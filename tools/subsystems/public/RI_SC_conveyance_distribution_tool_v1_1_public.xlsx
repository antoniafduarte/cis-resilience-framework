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04e12ef57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4e43cc6d1084118"/>
    <x:sheet xmlns:r="http://schemas.openxmlformats.org/officeDocument/2006/relationships" name="01_SOURCE_REGISTER" sheetId="2" r:id="Reac92a323ba64d87"/>
    <x:sheet xmlns:r="http://schemas.openxmlformats.org/officeDocument/2006/relationships" name="02_EXPORT_CIS" sheetId="3" r:id="R777a926ee9644068"/>
    <x:sheet xmlns:r="http://schemas.openxmlformats.org/officeDocument/2006/relationships" name="03_ANNUAL_OUTPUT" sheetId="4" r:id="R294361ccb6064aff"/>
    <x:sheet xmlns:r="http://schemas.openxmlformats.org/officeDocument/2006/relationships" name="04_FORMULA_MAP" sheetId="5" r:id="R925b4ed8cfd34dd0"/>
    <x:sheet xmlns:r="http://schemas.openxmlformats.org/officeDocument/2006/relationships" name="05_QC" sheetId="6" r:id="Ra4706571ffc0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FD96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928277dd547ec" /><Relationship Type="http://schemas.openxmlformats.org/officeDocument/2006/relationships/theme" Target="/xl/theme/theme1.xml" Id="R23313ba7056f4c72" /><Relationship Type="http://schemas.openxmlformats.org/officeDocument/2006/relationships/sharedStrings" Target="/xl/sharedStrings.xml" Id="Rc83f702fb6c445d3" /><Relationship Type="http://schemas.openxmlformats.org/officeDocument/2006/relationships/worksheet" Target="/xl/worksheets/sheet1.xml" Id="R64e43cc6d1084118" /><Relationship Type="http://schemas.openxmlformats.org/officeDocument/2006/relationships/worksheet" Target="/xl/worksheets/sheet2.xml" Id="Reac92a323ba64d87" /><Relationship Type="http://schemas.openxmlformats.org/officeDocument/2006/relationships/worksheet" Target="/xl/worksheets/sheet3.xml" Id="R777a926ee9644068" /><Relationship Type="http://schemas.openxmlformats.org/officeDocument/2006/relationships/worksheet" Target="/xl/worksheets/sheet4.xml" Id="R294361ccb6064aff" /><Relationship Type="http://schemas.openxmlformats.org/officeDocument/2006/relationships/worksheet" Target="/xl/worksheets/sheet5.xml" Id="R925b4ed8cfd34dd0" /><Relationship Type="http://schemas.openxmlformats.org/officeDocument/2006/relationships/worksheet" Target="/xl/worksheets/sheet6.xml" Id="Ra4706571ffc04d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3" t="str">
        <x:v>Subsystem C — public export and audit workbook</x:v>
      </x:c>
      <x:c r="B1" s="3"/>
      <x:c r="C1" s="3"/>
      <x:c r="D1" s="3"/>
      <x:c r="E1" s="3"/>
      <x:c r="F1" s="3"/>
      <x:c r="G1" s="3"/>
      <x:c r="H1" s="3"/>
    </x:row>
    <x:row r="3">
      <x:c r="A3" s="6" t="str">
        <x:v>Field</x:v>
      </x:c>
      <x:c r="B3" s="6" t="str">
        <x:v>Description</x:v>
      </x:c>
    </x:row>
    <x:row r="4">
      <x:c r="A4" s="9" t="str">
        <x:v>Subsystem</x:v>
      </x:c>
      <x:c r="B4" s="14" t="str">
        <x:v>C — Pressurised irrigation-network performance</x:v>
      </x:c>
    </x:row>
    <x:row r="5">
      <x:c r="A5" s="9" t="str">
        <x:v>Source workbook</x:v>
      </x:c>
      <x:c r="B5" s="14" t="str">
        <x:v>RI_SC_conveyance_distribution_tool_v1.xlsx</x:v>
      </x:c>
    </x:row>
    <x:row r="6">
      <x:c r="A6" s="9" t="str">
        <x:v>Public workbook version</x:v>
      </x:c>
      <x:c r="B6" s="14" t="str">
        <x:v>v1.1-public</x:v>
      </x:c>
    </x:row>
    <x:row r="7">
      <x:c r="A7" s="9" t="str">
        <x:v>Purpose</x:v>
      </x:c>
      <x:c r="B7" s="14" t="str">
        <x:v>Expose final C1–C5 outputs, annual series and formula provenance without external workbook links.</x:v>
      </x:c>
    </x:row>
    <x:row r="8">
      <x:c r="A8" s="9" t="str">
        <x:v>Final nomenclature</x:v>
      </x:c>
      <x:c r="B8" s="14" t="str">
        <x:v>RnetC, RcovC, RPDC, CRPD80C and MRPDC.</x:v>
      </x:c>
    </x:row>
    <x:row r="9">
      <x:c r="A9" s="9" t="str">
        <x:v>Calculation source</x:v>
      </x:c>
      <x:c r="B9" s="14" t="str">
        <x:v>Detailed hydraulic preprocessing and annual calculations remain in the source workbook.</x:v>
      </x:c>
    </x:row>
    <x:row r="10">
      <x:c r="A10" s="9" t="str">
        <x:v>External links</x:v>
      </x:c>
      <x:c r="B10" s="14" t="str">
        <x:v>None</x:v>
      </x:c>
    </x:row>
    <x:row r="11">
      <x:c r="A11" s="9" t="str">
        <x:v>Colour convention</x:v>
      </x:c>
      <x:c r="B11" s="14" t="str">
        <x:v>Dark blue: titles; yellow: provenance/attention; grey: reference/calculation areas; white: outputs.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8" hidden="0" customWidth="1"/>
  </x:cols>
  <x:sheetData>
    <x:row r="1">
      <x:c r="A1" s="3" t="str">
        <x:v>Source register</x:v>
      </x:c>
      <x:c r="B1" s="3"/>
      <x:c r="C1" s="3"/>
      <x:c r="D1" s="3"/>
      <x:c r="E1" s="3"/>
      <x:c r="F1" s="3"/>
      <x:c r="G1" s="3"/>
      <x:c r="H1" s="3"/>
    </x:row>
    <x:row r="3">
      <x:c r="A3" s="18" t="str">
        <x:v>Output</x:v>
      </x:c>
      <x:c r="B3" s="18" t="str">
        <x:v>Source workbook</x:v>
      </x:c>
      <x:c r="C3" s="18" t="str">
        <x:v>Source sheet</x:v>
      </x:c>
      <x:c r="D3" s="18" t="str">
        <x:v>Source range</x:v>
      </x:c>
      <x:c r="E3" s="18" t="str">
        <x:v>Import type</x:v>
      </x:c>
      <x:c r="F3" s="18" t="str">
        <x:v>Formula status</x:v>
      </x:c>
      <x:c r="G3" s="18" t="str">
        <x:v>Public use</x:v>
      </x:c>
      <x:c r="H3" s="18" t="str">
        <x:v>Notes</x:v>
      </x:c>
    </x:row>
    <x:row r="4">
      <x:c r="A4" s="20" t="str">
        <x:v>Final period indicators</x:v>
      </x:c>
      <x:c r="B4" s="22" t="str">
        <x:v>RI_SC_conveyance_distribution_tool_v1.xlsx</x:v>
      </x:c>
      <x:c r="C4" s="22" t="str">
        <x:v>C_FINAL_TOOL</x:v>
      </x:c>
      <x:c r="D4" s="22" t="str">
        <x:v>A20:H22</x:v>
      </x:c>
      <x:c r="E4" s="22" t="str">
        <x:v>Cached values</x:v>
      </x:c>
      <x:c r="F4" s="22" t="str">
        <x:v>Source formulas documented</x:v>
      </x:c>
      <x:c r="G4" s="14" t="str">
        <x:v>Baseline CIS assessment</x:v>
      </x:c>
      <x:c r="H4" s="14" t="str">
        <x:v>Names harmonised to final C1–C5 nomenclature.</x:v>
      </x:c>
    </x:row>
    <x:row r="5">
      <x:c r="A5" s="20" t="str">
        <x:v>Annual indicators</x:v>
      </x:c>
      <x:c r="B5" s="22" t="str">
        <x:v>RI_SC_conveyance_distribution_tool_v1.xlsx</x:v>
      </x:c>
      <x:c r="C5" s="22" t="str">
        <x:v>C_FINAL_TOOL</x:v>
      </x:c>
      <x:c r="D5" s="22" t="str">
        <x:v>A8:H18</x:v>
      </x:c>
      <x:c r="E5" s="22" t="str">
        <x:v>Cached values</x:v>
      </x:c>
      <x:c r="F5" s="22" t="str">
        <x:v>Source formulas documented</x:v>
      </x:c>
      <x:c r="G5" s="14" t="str">
        <x:v>Annual and pre/post analyses</x:v>
      </x:c>
      <x:c r="H5" s="14" t="str">
        <x:v>C3 is stored as percent of Pmin in the source output.</x:v>
      </x:c>
    </x:row>
    <x:row r="6">
      <x:c r="A6" s="20" t="str">
        <x:v>Preprocessed annual/scenario data</x:v>
      </x:c>
      <x:c r="B6" s="22" t="str">
        <x:v>RI_SC_conveyance_distribution_tool_v1.xlsx</x:v>
      </x:c>
      <x:c r="C6" s="22" t="str">
        <x:v>C_INPUT_PREPROCESSED</x:v>
      </x:c>
      <x:c r="D6" s="22" t="str">
        <x:v>A1:O44</x:v>
      </x:c>
      <x:c r="E6" s="22" t="str">
        <x:v>Not duplicated</x:v>
      </x:c>
      <x:c r="F6" s="22" t="str">
        <x:v>Visible in source workbook</x:v>
      </x:c>
      <x:c r="G6" s="14" t="str">
        <x:v>Detailed audit</x:v>
      </x:c>
      <x:c r="H6" s="14" t="str">
        <x:v>Four GIR variants by year.</x:v>
      </x:c>
    </x:row>
    <x:row r="7">
      <x:c r="A7" s="20" t="str">
        <x:v>Hydrant-level diagnostics</x:v>
      </x:c>
      <x:c r="B7" s="22" t="str">
        <x:v>RI_SC_conveyance_distribution_tool_v1.xlsx</x:v>
      </x:c>
      <x:c r="C7" s="22" t="str">
        <x:v>C_INPUT_HYDRANT_SUMMARY</x:v>
      </x:c>
      <x:c r="D7" s="22" t="str">
        <x:v>A1:T3436</x:v>
      </x:c>
      <x:c r="E7" s="22" t="str">
        <x:v>Not duplicated</x:v>
      </x:c>
      <x:c r="F7" s="22" t="str">
        <x:v>Visible in source workbook</x:v>
      </x:c>
      <x:c r="G7" s="14" t="str">
        <x:v>Spatial diagnostics</x:v>
      </x:c>
      <x:c r="H7" s="14" t="str">
        <x:v>Local reliability remains diagnostic, not a sixth aggregate indicator.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" t="str">
        <x:v>EXPORT_CIS — Subsystem C</x:v>
      </x:c>
      <x:c r="B1" s="3"/>
      <x:c r="C1" s="3"/>
      <x:c r="D1" s="3"/>
      <x:c r="E1" s="3"/>
      <x:c r="F1" s="3"/>
      <x:c r="G1" s="3"/>
      <x:c r="H1" s="3"/>
    </x:row>
    <x:row r="3">
      <x:c r="A3" s="18" t="str">
        <x:v>Indicator</x:v>
      </x:c>
      <x:c r="B3" s="18" t="str">
        <x:v>Symbol</x:v>
      </x:c>
      <x:c r="C3" s="18" t="str">
        <x:v>Raw value</x:v>
      </x:c>
      <x:c r="D3" s="18" t="str">
        <x:v>Unit</x:v>
      </x:c>
      <x:c r="E3" s="18" t="str">
        <x:v>Orientation</x:v>
      </x:c>
      <x:c r="F3" s="18" t="str">
        <x:v>Source sheet</x:v>
      </x:c>
      <x:c r="G3" s="18" t="str">
        <x:v>Source cell</x:v>
      </x:c>
      <x:c r="H3" s="18" t="str">
        <x:v>Use</x:v>
      </x:c>
    </x:row>
    <x:row r="4">
      <x:c r="A4" s="20" t="str">
        <x:v>Network pressure reliability</x:v>
      </x:c>
      <x:c r="B4" s="20" t="str">
        <x:v>Rnet^C</x:v>
      </x:c>
      <x:c r="C4" s="24" t="n">
        <x:v>0.9819737926182841</x:v>
      </x:c>
      <x:c r="D4" s="14" t="str">
        <x:v>-</x:v>
      </x:c>
      <x:c r="E4" s="14" t="str">
        <x:v>Positive</x:v>
      </x:c>
      <x:c r="F4" s="22" t="str">
        <x:v>C_FINAL_TOOL</x:v>
      </x:c>
      <x:c r="G4" s="22" t="str">
        <x:v>B22</x:v>
      </x:c>
      <x:c r="H4" s="14" t="str">
        <x:v>C1</x:v>
      </x:c>
    </x:row>
    <x:row r="5">
      <x:c r="A5" s="20" t="str">
        <x:v>Hydrant pressure coverage</x:v>
      </x:c>
      <x:c r="B5" s="20" t="str">
        <x:v>Rcov^C</x:v>
      </x:c>
      <x:c r="C5" s="24" t="n">
        <x:v>0.9465585443037974</x:v>
      </x:c>
      <x:c r="D5" s="14" t="str">
        <x:v>-</x:v>
      </x:c>
      <x:c r="E5" s="14" t="str">
        <x:v>Positive</x:v>
      </x:c>
      <x:c r="F5" s="22" t="str">
        <x:v>C_FINAL_TOOL</x:v>
      </x:c>
      <x:c r="G5" s="22" t="str">
        <x:v>C22</x:v>
      </x:c>
      <x:c r="H5" s="14" t="str">
        <x:v>C2</x:v>
      </x:c>
    </x:row>
    <x:row r="6">
      <x:c r="A6" s="20" t="str">
        <x:v>Overall relative pressure deficit</x:v>
      </x:c>
      <x:c r="B6" s="20" t="str">
        <x:v>RPD^C</x:v>
      </x:c>
      <x:c r="C6" s="24" t="n">
        <x:v>0.39790148373247947</x:v>
      </x:c>
      <x:c r="D6" s="14" t="str">
        <x:v>% of Pmin</x:v>
      </x:c>
      <x:c r="E6" s="14" t="str">
        <x:v>Negative</x:v>
      </x:c>
      <x:c r="F6" s="22" t="str">
        <x:v>C_FINAL_TOOL</x:v>
      </x:c>
      <x:c r="G6" s="22" t="str">
        <x:v>D22</x:v>
      </x:c>
      <x:c r="H6" s="14" t="str">
        <x:v>C3</x:v>
      </x:c>
    </x:row>
    <x:row r="7">
      <x:c r="A7" s="20" t="str">
        <x:v>Critical relative pressure deficit</x:v>
      </x:c>
      <x:c r="B7" s="20" t="str">
        <x:v>CRPD80^C</x:v>
      </x:c>
      <x:c r="C7" s="24" t="n">
        <x:v>0.3442534490523983</x:v>
      </x:c>
      <x:c r="D7" s="14" t="str">
        <x:v>-</x:v>
      </x:c>
      <x:c r="E7" s="14" t="str">
        <x:v>Negative</x:v>
      </x:c>
      <x:c r="F7" s="22" t="str">
        <x:v>C_FINAL_TOOL</x:v>
      </x:c>
      <x:c r="G7" s="22" t="str">
        <x:v>E22</x:v>
      </x:c>
      <x:c r="H7" s="14" t="str">
        <x:v>C4</x:v>
      </x:c>
    </x:row>
    <x:row r="8">
      <x:c r="A8" s="20" t="str">
        <x:v>Maximum relative pressure deficit</x:v>
      </x:c>
      <x:c r="B8" s="20" t="str">
        <x:v>MRPD^C</x:v>
      </x:c>
      <x:c r="C8" s="24" t="n">
        <x:v>0.43260758789703413</x:v>
      </x:c>
      <x:c r="D8" s="14" t="str">
        <x:v>-</x:v>
      </x:c>
      <x:c r="E8" s="14" t="str">
        <x:v>Negative</x:v>
      </x:c>
      <x:c r="F8" s="22" t="str">
        <x:v>C_FINAL_TOOL</x:v>
      </x:c>
      <x:c r="G8" s="22" t="str">
        <x:v>F22</x:v>
      </x:c>
      <x:c r="H8" s="14" t="str">
        <x:v>C5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0" hidden="0" customWidth="1"/>
    <x:col min="8" max="8" width="28" hidden="0" customWidth="1"/>
  </x:cols>
  <x:sheetData>
    <x:row r="1">
      <x:c r="A1" s="3" t="str">
        <x:v>Annual Subsystem C indicators — final nomenclature</x:v>
      </x:c>
      <x:c r="B1" s="3"/>
      <x:c r="C1" s="3"/>
      <x:c r="D1" s="3"/>
      <x:c r="E1" s="3"/>
      <x:c r="F1" s="3"/>
      <x:c r="G1" s="3"/>
      <x:c r="H1" s="3"/>
    </x:row>
    <x:row r="3">
      <x:c r="A3" s="18" t="str">
        <x:v>Year</x:v>
      </x:c>
      <x:c r="B3" s="18" t="str">
        <x:v>Rnet^C</x:v>
      </x:c>
      <x:c r="C3" s="18" t="str">
        <x:v>Rcov^C</x:v>
      </x:c>
      <x:c r="D3" s="18" t="str">
        <x:v>RPD^C (% Pmin)</x:v>
      </x:c>
      <x:c r="E3" s="18" t="str">
        <x:v>CRPD80^C</x:v>
      </x:c>
      <x:c r="F3" s="18" t="str">
        <x:v>MRPD^C</x:v>
      </x:c>
      <x:c r="G3" s="18" t="str">
        <x:v>QC</x:v>
      </x:c>
      <x:c r="H3" s="18" t="str">
        <x:v>Source derivation</x:v>
      </x:c>
    </x:row>
    <x:row r="4">
      <x:c r="A4" s="26" t="n">
        <x:v>2016</x:v>
      </x:c>
      <x:c r="B4" s="28" t="n">
        <x:v>0.9762651331719129</x:v>
      </x:c>
      <x:c r="C4" s="28" t="n">
        <x:v>0.9493670886075949</x:v>
      </x:c>
      <x:c r="D4" s="28" t="n">
        <x:v>0.6012941307942037</x:v>
      </x:c>
      <x:c r="E4" s="28" t="n">
        <x:v>0.49990097303378367</x:v>
      </x:c>
      <x:c r="F4" s="28" t="n">
        <x:v>0.5503718859683199</x:v>
      </x:c>
      <x:c r="G4" s="13" t="str">
        <x:v>OK</x:v>
      </x:c>
      <x:c r="H4" s="13"/>
    </x:row>
    <x:row r="5">
      <x:c r="A5" s="26" t="n">
        <x:v>2017</x:v>
      </x:c>
      <x:c r="B5" s="28" t="n">
        <x:v>0.9750181598062954</x:v>
      </x:c>
      <x:c r="C5" s="28" t="n">
        <x:v>0.9620253164556962</x:v>
      </x:c>
      <x:c r="D5" s="28" t="n">
        <x:v>0.648332470898067</x:v>
      </x:c>
      <x:c r="E5" s="28" t="n">
        <x:v>0.5010423399786021</x:v>
      </x:c>
      <x:c r="F5" s="28" t="n">
        <x:v>0.554586038922684</x:v>
      </x:c>
      <x:c r="G5" s="13" t="str">
        <x:v>OK</x:v>
      </x:c>
      <x:c r="H5" s="13"/>
    </x:row>
    <x:row r="6">
      <x:c r="A6" s="26" t="n">
        <x:v>2018</x:v>
      </x:c>
      <x:c r="B6" s="28" t="n">
        <x:v>0.9759322033898306</x:v>
      </x:c>
      <x:c r="C6" s="28" t="n">
        <x:v>0.9620253164556962</x:v>
      </x:c>
      <x:c r="D6" s="28" t="n">
        <x:v>0.6100183812222452</x:v>
      </x:c>
      <x:c r="E6" s="28" t="n">
        <x:v>0.4993602385178395</x:v>
      </x:c>
      <x:c r="F6" s="28" t="n">
        <x:v>0.5569008333629192</x:v>
      </x:c>
      <x:c r="G6" s="13" t="str">
        <x:v>OK</x:v>
      </x:c>
      <x:c r="H6" s="13"/>
    </x:row>
    <x:row r="7">
      <x:c r="A7" s="26" t="n">
        <x:v>2019</x:v>
      </x:c>
      <x:c r="B7" s="28" t="n">
        <x:v>0.974909200968523</x:v>
      </x:c>
      <x:c r="C7" s="28" t="n">
        <x:v>0.9493670886075949</x:v>
      </x:c>
      <x:c r="D7" s="28" t="n">
        <x:v>0.639876175428598</x:v>
      </x:c>
      <x:c r="E7" s="28" t="n">
        <x:v>0.500766269915743</x:v>
      </x:c>
      <x:c r="F7" s="28" t="n">
        <x:v>0.5543279952516535</x:v>
      </x:c>
      <x:c r="G7" s="13" t="str">
        <x:v>OK</x:v>
      </x:c>
      <x:c r="H7" s="13"/>
    </x:row>
    <x:row r="8">
      <x:c r="A8" s="26" t="n">
        <x:v>2020</x:v>
      </x:c>
      <x:c r="B8" s="28" t="n">
        <x:v>0.9758232445520582</x:v>
      </x:c>
      <x:c r="C8" s="28" t="n">
        <x:v>0.9620253164556962</x:v>
      </x:c>
      <x:c r="D8" s="28" t="n">
        <x:v>0.6103149186163784</x:v>
      </x:c>
      <x:c r="E8" s="28" t="n">
        <x:v>0.4994420434861728</x:v>
      </x:c>
      <x:c r="F8" s="28" t="n">
        <x:v>0.5539208887278614</x:v>
      </x:c>
      <x:c r="G8" s="13" t="str">
        <x:v>OK</x:v>
      </x:c>
      <x:c r="H8" s="13"/>
    </x:row>
    <x:row r="9">
      <x:c r="A9" s="26" t="n">
        <x:v>2021</x:v>
      </x:c>
      <x:c r="B9" s="28" t="n">
        <x:v>0.9751210653753026</x:v>
      </x:c>
      <x:c r="C9" s="28" t="n">
        <x:v>0.9620253164556962</x:v>
      </x:c>
      <x:c r="D9" s="28" t="n">
        <x:v>0.6362919644260256</x:v>
      </x:c>
      <x:c r="E9" s="28" t="n">
        <x:v>0.5008719268014221</x:v>
      </x:c>
      <x:c r="F9" s="28" t="n">
        <x:v>0.5556743818064849</x:v>
      </x:c>
      <x:c r="G9" s="13" t="str">
        <x:v>OK</x:v>
      </x:c>
      <x:c r="H9" s="13"/>
    </x:row>
    <x:row r="10">
      <x:c r="A10" s="26" t="n">
        <x:v>2022</x:v>
      </x:c>
      <x:c r="B10" s="28" t="n">
        <x:v>0.9916148648648648</x:v>
      </x:c>
      <x:c r="C10" s="28" t="n">
        <x:v>0.9270833333333334</x:v>
      </x:c>
      <x:c r="D10" s="28" t="n">
        <x:v>0.058028261146902925</x:v>
      </x:c>
      <x:c r="E10" s="28" t="n">
        <x:v>0.10650384456983088</x:v>
      </x:c>
      <x:c r="F10" s="28" t="n">
        <x:v>0.27403071283385083</x:v>
      </x:c>
      <x:c r="G10" s="13" t="str">
        <x:v>OK</x:v>
      </x:c>
      <x:c r="H10" s="13"/>
    </x:row>
    <x:row r="11">
      <x:c r="A11" s="26" t="n">
        <x:v>2023</x:v>
      </x:c>
      <x:c r="B11" s="28" t="n">
        <x:v>0.9913040540540541</x:v>
      </x:c>
      <x:c r="C11" s="28" t="n">
        <x:v>0.9166666666666666</x:v>
      </x:c>
      <x:c r="D11" s="28" t="n">
        <x:v>0.06164326161378143</x:v>
      </x:c>
      <x:c r="E11" s="28" t="n">
        <x:v>0.10963377767787187</x:v>
      </x:c>
      <x:c r="F11" s="28" t="n">
        <x:v>0.23593792807775574</x:v>
      </x:c>
      <x:c r="G11" s="13" t="str">
        <x:v>OK</x:v>
      </x:c>
      <x:c r="H11" s="13"/>
    </x:row>
    <x:row r="12">
      <x:c r="A12" s="26" t="n">
        <x:v>2024</x:v>
      </x:c>
      <x:c r="B12" s="28" t="n">
        <x:v>0.9917297297297297</x:v>
      </x:c>
      <x:c r="C12" s="28" t="n">
        <x:v>0.9583333333333334</x:v>
      </x:c>
      <x:c r="D12" s="28" t="n">
        <x:v>0.05737454041606783</x:v>
      </x:c>
      <x:c r="E12" s="28" t="n">
        <x:v>0.11192854642322791</x:v>
      </x:c>
      <x:c r="F12" s="28" t="n">
        <x:v>0.24219633706031113</x:v>
      </x:c>
      <x:c r="G12" s="13" t="str">
        <x:v>OK</x:v>
      </x:c>
      <x:c r="H12" s="13"/>
    </x:row>
    <x:row r="13">
      <x:c r="A13" s="26" t="n">
        <x:v>2025</x:v>
      </x:c>
      <x:c r="B13" s="28" t="n">
        <x:v>0.9920202702702703</x:v>
      </x:c>
      <x:c r="C13" s="28" t="n">
        <x:v>0.9166666666666666</x:v>
      </x:c>
      <x:c r="D13" s="28" t="n">
        <x:v>0.05584073276252496</x:v>
      </x:c>
      <x:c r="E13" s="28" t="n">
        <x:v>0.11308453011948852</x:v>
      </x:c>
      <x:c r="F13" s="28" t="n">
        <x:v>0.24812887695850092</x:v>
      </x:c>
      <x:c r="G13" s="13" t="str">
        <x:v>OK</x:v>
      </x:c>
      <x:c r="H13" s="13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70" hidden="0" customWidth="1"/>
    <x:col min="5" max="5" width="34" hidden="0" customWidth="1"/>
    <x:col min="6" max="6" width="34" hidden="0" customWidth="1"/>
  </x:cols>
  <x:sheetData>
    <x:row r="1">
      <x:c r="A1" s="3" t="str">
        <x:v>Formula map — source workbook</x:v>
      </x:c>
      <x:c r="B1" s="3"/>
      <x:c r="C1" s="3"/>
      <x:c r="D1" s="3"/>
      <x:c r="E1" s="3"/>
      <x:c r="F1" s="3"/>
    </x:row>
    <x:row r="3">
      <x:c r="A3" s="18" t="str">
        <x:v>Public output</x:v>
      </x:c>
      <x:c r="B3" s="18" t="str">
        <x:v>Final indicator</x:v>
      </x:c>
      <x:c r="C3" s="18" t="str">
        <x:v>Source cell</x:v>
      </x:c>
      <x:c r="D3" s="18" t="str">
        <x:v>Source formula</x:v>
      </x:c>
      <x:c r="E3" s="18" t="str">
        <x:v>Source range</x:v>
      </x:c>
      <x:c r="F3" s="18" t="str">
        <x:v>Comment</x:v>
      </x:c>
    </x:row>
    <x:row r="4">
      <x:c r="A4" s="20" t="str">
        <x:v>02_EXPORT_CIS!C4</x:v>
      </x:c>
      <x:c r="B4" s="20" t="str">
        <x:v>Rnet^C</x:v>
      </x:c>
      <x:c r="C4" s="20" t="str">
        <x:v>C_FINAL_TOOL!B22</x:v>
      </x:c>
      <x:c r="D4" s="22" t="str">
        <x:v>AVERAGE(B9:B18)</x:v>
      </x:c>
      <x:c r="E4" s="14" t="str">
        <x:v>C_FINAL_TOOL!A8:H22</x:v>
      </x:c>
      <x:c r="F4" s="14" t="str">
        <x:v>Final names replace the earlier draft labels.</x:v>
      </x:c>
    </x:row>
    <x:row r="5">
      <x:c r="A5" s="20" t="str">
        <x:v>02_EXPORT_CIS!C5</x:v>
      </x:c>
      <x:c r="B5" s="20" t="str">
        <x:v>Rcov^C</x:v>
      </x:c>
      <x:c r="C5" s="20" t="str">
        <x:v>C_FINAL_TOOL!C22</x:v>
      </x:c>
      <x:c r="D5" s="22" t="str">
        <x:v>AVERAGE(C9:C18)</x:v>
      </x:c>
      <x:c r="E5" s="14" t="str">
        <x:v>C_FINAL_TOOL!A8:H22</x:v>
      </x:c>
      <x:c r="F5" s="14" t="str">
        <x:v>Final names replace the earlier draft labels.</x:v>
      </x:c>
    </x:row>
    <x:row r="6">
      <x:c r="A6" s="20" t="str">
        <x:v>02_EXPORT_CIS!C6</x:v>
      </x:c>
      <x:c r="B6" s="20" t="str">
        <x:v>RPD^C</x:v>
      </x:c>
      <x:c r="C6" s="20" t="str">
        <x:v>C_FINAL_TOOL!D22</x:v>
      </x:c>
      <x:c r="D6" s="22" t="str">
        <x:v>AVERAGE(D9:D18)</x:v>
      </x:c>
      <x:c r="E6" s="14" t="str">
        <x:v>C_FINAL_TOOL!A8:H22</x:v>
      </x:c>
      <x:c r="F6" s="14" t="str">
        <x:v>Final names replace the earlier draft labels.</x:v>
      </x:c>
    </x:row>
    <x:row r="7">
      <x:c r="A7" s="20" t="str">
        <x:v>02_EXPORT_CIS!C7</x:v>
      </x:c>
      <x:c r="B7" s="20" t="str">
        <x:v>CRPD80^C</x:v>
      </x:c>
      <x:c r="C7" s="20" t="str">
        <x:v>C_FINAL_TOOL!E22</x:v>
      </x:c>
      <x:c r="D7" s="22" t="str">
        <x:v>AVERAGE(E9:E18)</x:v>
      </x:c>
      <x:c r="E7" s="14" t="str">
        <x:v>C_FINAL_TOOL!A8:H22</x:v>
      </x:c>
      <x:c r="F7" s="14" t="str">
        <x:v>Final names replace the earlier draft labels.</x:v>
      </x:c>
    </x:row>
    <x:row r="8">
      <x:c r="A8" s="20" t="str">
        <x:v>02_EXPORT_CIS!C8</x:v>
      </x:c>
      <x:c r="B8" s="20" t="str">
        <x:v>MRPD^C</x:v>
      </x:c>
      <x:c r="C8" s="20" t="str">
        <x:v>C_FINAL_TOOL!F22</x:v>
      </x:c>
      <x:c r="D8" s="22" t="str">
        <x:v>AVERAGE(F9:F18)</x:v>
      </x:c>
      <x:c r="E8" s="14" t="str">
        <x:v>C_FINAL_TOOL!A8:H22</x:v>
      </x:c>
      <x:c r="F8" s="14" t="str">
        <x:v>Final names replace the earlier draft labels.</x:v>
      </x:c>
    </x:row>
    <x:row r="9">
      <x:c r="A9" s="20" t="str">
        <x:v>03_ANNUAL_OUTPUT</x:v>
      </x:c>
      <x:c r="B9" s="20" t="str">
        <x:v>Rnet^C annual</x:v>
      </x:c>
      <x:c r="C9" s="20" t="str">
        <x:v>C_FINAL_TOOL!B9</x:v>
      </x:c>
      <x:c r="D9" s="22" t="str">
        <x:v>AVERAGE(C_INPUT_PREPROCESSED!J5:J8)</x:v>
      </x:c>
      <x:c r="E9" s="14" t="str">
        <x:v>C_FINAL_TOOL!A8:H18</x:v>
      </x:c>
      <x:c r="F9" s="14" t="str">
        <x:v>Formula pattern filled down by year in the source workbook.</x:v>
      </x:c>
    </x:row>
    <x:row r="10">
      <x:c r="A10" s="20" t="str">
        <x:v>03_ANNUAL_OUTPUT</x:v>
      </x:c>
      <x:c r="B10" s="20" t="str">
        <x:v>Rcov^C annual</x:v>
      </x:c>
      <x:c r="C10" s="20" t="str">
        <x:v>C_FINAL_TOOL!C9</x:v>
      </x:c>
      <x:c r="D10" s="22" t="str">
        <x:v>1-MAX(C_INPUT_PREPROCESSED!G5:G8)/AVERAGE(C_INPUT_PREPROCESSED!E5:E8)</x:v>
      </x:c>
      <x:c r="E10" s="14" t="str">
        <x:v>C_FINAL_TOOL!A8:H18</x:v>
      </x:c>
      <x:c r="F10" s="14" t="str">
        <x:v>Formula pattern filled down by year in the source workbook.</x:v>
      </x:c>
    </x:row>
    <x:row r="11">
      <x:c r="A11" s="20" t="str">
        <x:v>03_ANNUAL_OUTPUT</x:v>
      </x:c>
      <x:c r="B11" s="20" t="str">
        <x:v>RPD^C annual</x:v>
      </x:c>
      <x:c r="C11" s="20" t="str">
        <x:v>C_FINAL_TOOL!D9</x:v>
      </x:c>
      <x:c r="D11" s="22" t="str">
        <x:v>AVERAGE(C_INPUT_PREPROCESSED!K5:K8)*100</x:v>
      </x:c>
      <x:c r="E11" s="14" t="str">
        <x:v>C_FINAL_TOOL!A8:H18</x:v>
      </x:c>
      <x:c r="F11" s="14" t="str">
        <x:v>Formula pattern filled down by year in the source workbook.</x:v>
      </x:c>
    </x:row>
    <x:row r="12">
      <x:c r="A12" s="20" t="str">
        <x:v>03_ANNUAL_OUTPUT</x:v>
      </x:c>
      <x:c r="B12" s="20" t="str">
        <x:v>CRPD80^C annual</x:v>
      </x:c>
      <x:c r="C12" s="20" t="str">
        <x:v>C_FINAL_TOOL!E9</x:v>
      </x:c>
      <x:c r="D12" s="22" t="str">
        <x:v>AVERAGE(C_INPUT_PREPROCESSED!L5:L8)</x:v>
      </x:c>
      <x:c r="E12" s="14" t="str">
        <x:v>C_FINAL_TOOL!A8:H18</x:v>
      </x:c>
      <x:c r="F12" s="14" t="str">
        <x:v>Formula pattern filled down by year in the source workbook.</x:v>
      </x:c>
    </x:row>
    <x:row r="13">
      <x:c r="A13" s="20" t="str">
        <x:v>03_ANNUAL_OUTPUT</x:v>
      </x:c>
      <x:c r="B13" s="20" t="str">
        <x:v>MRPD^C annual</x:v>
      </x:c>
      <x:c r="C13" s="20" t="str">
        <x:v>C_FINAL_TOOL!F9</x:v>
      </x:c>
      <x:c r="D13" s="22" t="str">
        <x:v>AVERAGE(C_INPUT_PREPROCESSED!N5:N8)/$B$5</x:v>
      </x:c>
      <x:c r="E13" s="14" t="str">
        <x:v>C_FINAL_TOOL!A8:H18</x:v>
      </x:c>
      <x:c r="F13" s="14" t="str">
        <x:v>Formula pattern filled down by year in the source workbook.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</x:cols>
  <x:sheetData>
    <x:row r="1">
      <x:c r="A1" s="3" t="str">
        <x:v>Quality checks</x:v>
      </x:c>
      <x:c r="B1" s="3"/>
      <x:c r="C1" s="3"/>
    </x:row>
    <x:row r="3">
      <x:c r="A3" s="6" t="str">
        <x:v>Check</x:v>
      </x:c>
      <x:c r="B3" s="6" t="str">
        <x:v>Result/formula</x:v>
      </x:c>
      <x:c r="C3" s="6" t="str">
        <x:v>Expected</x:v>
      </x:c>
    </x:row>
    <x:row r="4">
      <x:c r="A4" s="26" t="str">
        <x:v>Number of final indicators</x:v>
      </x:c>
      <x:c r="B4" s="30" t="n">
        <x:f>COUNTA('02_EXPORT_CIS'!A4:A8)</x:f>
        <x:v>5</x:v>
      </x:c>
      <x:c r="C4" s="13" t="n">
        <x:v>5</x:v>
      </x:c>
    </x:row>
    <x:row r="5">
      <x:c r="A5" s="26" t="str">
        <x:v>Number of annual records</x:v>
      </x:c>
      <x:c r="B5" s="30" t="n">
        <x:f>COUNTA('03_ANNUAL_OUTPUT'!A4:A13)</x:f>
        <x:v>10</x:v>
      </x:c>
      <x:c r="C5" s="13" t="n">
        <x:v>10</x:v>
      </x:c>
    </x:row>
    <x:row r="6">
      <x:c r="A6" s="26" t="str">
        <x:v>Positive indicators within [0,1]</x:v>
      </x:c>
      <x:c r="B6" s="30" t="str">
        <x:f>IF(AND('02_EXPORT_CIS'!C4&gt;=0,'02_EXPORT_CIS'!C4&lt;=1,'02_EXPORT_CIS'!C5&gt;=0,'02_EXPORT_CIS'!C5&lt;=1),"PASS","FAIL")</x:f>
        <x:v>PASS</x:v>
      </x:c>
      <x:c r="C6" s="13" t="str">
        <x:v>PASS</x:v>
      </x:c>
    </x:row>
    <x:row r="7">
      <x:c r="A7" s="26" t="str">
        <x:v>Stress indicators non-negative</x:v>
      </x:c>
      <x:c r="B7" s="30" t="str">
        <x:f>IF(MIN('02_EXPORT_CIS'!C6:C8)&gt;=0,"PASS","FAIL")</x:f>
        <x:v>PASS</x:v>
      </x:c>
      <x:c r="C7" s="13" t="str">
        <x:v>PASS</x:v>
      </x:c>
    </x:row>
    <x:row r="8">
      <x:c r="A8" s="26" t="str">
        <x:v>External workbook links</x:v>
      </x:c>
      <x:c r="B8" s="30" t="str">
        <x:v>None</x:v>
      </x:c>
      <x:c r="C8" s="13" t="str">
        <x:v>PASS</x:v>
      </x:c>
    </x:row>
  </x:sheetData>
  <x:mergeCells>
    <x:mergeCell ref="A1:C1"/>
  </x:mergeCells>
  <x:pageMargins left="0.7" right="0.7" top="0.75" bottom="0.75" header="0.3" footer="0.3"/>
</x:worksheet>
</file>