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Revison_30_05_26_P5\3_REV_21_07_26\GITUB\UPLOAD\"/>
    </mc:Choice>
  </mc:AlternateContent>
  <xr:revisionPtr revIDLastSave="0" documentId="13_ncr:1_{E0439D59-9067-4DA3-8C93-AFCDE5B4AF8B}" xr6:coauthVersionLast="47" xr6:coauthVersionMax="47" xr10:uidLastSave="{00000000-0000-0000-0000-000000000000}"/>
  <bookViews>
    <workbookView xWindow="-120" yWindow="-120" windowWidth="38640" windowHeight="21120" tabRatio="855" xr2:uid="{00000000-000D-0000-FFFF-FFFF00000000}"/>
  </bookViews>
  <sheets>
    <sheet name="README" sheetId="1" r:id="rId1"/>
    <sheet name="CONTROL_PANEL" sheetId="2" r:id="rId2"/>
    <sheet name="B_METHOD" sheetId="3" r:id="rId3"/>
    <sheet name="DATA_DICTIONARY" sheetId="11" r:id="rId4"/>
    <sheet name="DATA_INPUT" sheetId="16" r:id="rId5"/>
    <sheet name="STORAGE_BALANCE_ENSEMBLE" sheetId="13" r:id="rId6"/>
    <sheet name="B_INPUT_RESERVOIR" sheetId="4" r:id="rId7"/>
    <sheet name="B_CALC_ANNUAL" sheetId="5" r:id="rId8"/>
    <sheet name="B_CALC_PERIOD" sheetId="6" r:id="rId9"/>
    <sheet name="QUALITY_CHECKS" sheetId="10" r:id="rId10"/>
    <sheet name="EXPORT_CIS" sheetId="19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9" l="1"/>
  <c r="A9" i="19"/>
  <c r="A8" i="19"/>
  <c r="A7" i="19"/>
  <c r="BV133" i="13"/>
  <c r="BV134" i="13"/>
  <c r="BV135" i="13"/>
  <c r="BV136" i="13"/>
  <c r="BV137" i="13"/>
  <c r="BV138" i="13"/>
  <c r="BV139" i="13"/>
  <c r="BV140" i="13"/>
  <c r="BV141" i="13"/>
  <c r="BV142" i="13"/>
  <c r="BV143" i="13"/>
  <c r="BV144" i="13"/>
  <c r="BV145" i="13"/>
  <c r="BV146" i="13"/>
  <c r="BV147" i="13"/>
  <c r="BV148" i="13"/>
  <c r="BV149" i="13"/>
  <c r="BV150" i="13"/>
  <c r="BV151" i="13"/>
  <c r="BV152" i="13"/>
  <c r="BV153" i="13"/>
  <c r="BV154" i="13"/>
  <c r="BV155" i="13"/>
  <c r="BV156" i="13"/>
  <c r="BV157" i="13"/>
  <c r="BV158" i="13"/>
  <c r="BV159" i="13"/>
  <c r="BV160" i="13"/>
  <c r="BV161" i="13"/>
  <c r="BV162" i="13"/>
  <c r="BV163" i="13"/>
  <c r="BV164" i="13"/>
  <c r="BV165" i="13"/>
  <c r="BV166" i="13"/>
  <c r="BV167" i="13"/>
  <c r="BV168" i="13"/>
  <c r="BV169" i="13"/>
  <c r="BV170" i="13"/>
  <c r="BV171" i="13"/>
  <c r="BV172" i="13"/>
  <c r="BV173" i="13"/>
  <c r="BV174" i="13"/>
  <c r="BV175" i="13"/>
  <c r="BV176" i="13"/>
  <c r="BV177" i="13"/>
  <c r="BV178" i="13"/>
  <c r="BV179" i="13"/>
  <c r="BV180" i="13"/>
  <c r="BV181" i="13"/>
  <c r="BV182" i="13"/>
  <c r="BV183" i="13"/>
  <c r="BV184" i="13"/>
  <c r="BV185" i="13"/>
  <c r="BV186" i="13"/>
  <c r="BV187" i="13"/>
  <c r="BV188" i="13"/>
  <c r="BV189" i="13"/>
  <c r="BV190" i="13"/>
  <c r="BV191" i="13"/>
  <c r="BV192" i="13"/>
  <c r="BV193" i="13"/>
  <c r="BV194" i="13"/>
  <c r="BV195" i="13"/>
  <c r="BV196" i="13"/>
  <c r="BV197" i="13"/>
  <c r="BV198" i="13"/>
  <c r="BV199" i="13"/>
  <c r="BV200" i="13"/>
  <c r="BV201" i="13"/>
  <c r="BV202" i="13"/>
  <c r="BV203" i="13"/>
  <c r="BV204" i="13"/>
  <c r="BV205" i="13"/>
  <c r="BV206" i="13"/>
  <c r="BV207" i="13"/>
  <c r="BV208" i="13"/>
  <c r="BV209" i="13"/>
  <c r="BV210" i="13"/>
  <c r="BV211" i="13"/>
  <c r="BV212" i="13"/>
  <c r="BV213" i="13"/>
  <c r="BV214" i="13"/>
  <c r="BV215" i="13"/>
  <c r="BV216" i="13"/>
  <c r="BV217" i="13"/>
  <c r="BV218" i="13"/>
  <c r="BV219" i="13"/>
  <c r="BV220" i="13"/>
  <c r="BV221" i="13"/>
  <c r="BV222" i="13"/>
  <c r="BV223" i="13"/>
  <c r="BV224" i="13"/>
  <c r="BV225" i="13"/>
  <c r="BV226" i="13"/>
  <c r="BV227" i="13"/>
  <c r="BV228" i="13"/>
  <c r="BV229" i="13"/>
  <c r="BV230" i="13"/>
  <c r="BV231" i="13"/>
  <c r="BV232" i="13"/>
  <c r="BV233" i="13"/>
  <c r="BV234" i="13"/>
  <c r="BV235" i="13"/>
  <c r="BV236" i="13"/>
  <c r="BV237" i="13"/>
  <c r="BV238" i="13"/>
  <c r="BV239" i="13"/>
  <c r="BV240" i="13"/>
  <c r="BV241" i="13"/>
  <c r="BV242" i="13"/>
  <c r="BV243" i="13"/>
  <c r="BV244" i="13"/>
  <c r="BV245" i="13"/>
  <c r="BV246" i="13"/>
  <c r="BV247" i="13"/>
  <c r="BV248" i="13"/>
  <c r="BV249" i="13"/>
  <c r="BV250" i="13"/>
  <c r="BV251" i="13"/>
  <c r="BV252" i="13"/>
  <c r="BV253" i="13"/>
  <c r="BV254" i="13"/>
  <c r="BV255" i="13"/>
  <c r="BV256" i="13"/>
  <c r="BV257" i="13"/>
  <c r="BV258" i="13"/>
  <c r="BV259" i="13"/>
  <c r="BV260" i="13"/>
  <c r="BV261" i="13"/>
  <c r="BV262" i="13"/>
  <c r="BV263" i="13"/>
  <c r="BV264" i="13"/>
  <c r="BV265" i="13"/>
  <c r="BV266" i="13"/>
  <c r="BV267" i="13"/>
  <c r="BV268" i="13"/>
  <c r="BV269" i="13"/>
  <c r="BV270" i="13"/>
  <c r="BV271" i="13"/>
  <c r="BV272" i="13"/>
  <c r="BV273" i="13"/>
  <c r="BV274" i="13"/>
  <c r="BV275" i="13"/>
  <c r="BV276" i="13"/>
  <c r="BV277" i="13"/>
  <c r="BV278" i="13"/>
  <c r="BV279" i="13"/>
  <c r="BV280" i="13"/>
  <c r="BV281" i="13"/>
  <c r="BV282" i="13"/>
  <c r="BV283" i="13"/>
  <c r="BV284" i="13"/>
  <c r="BV285" i="13"/>
  <c r="BV286" i="13"/>
  <c r="BV287" i="13"/>
  <c r="BV288" i="13"/>
  <c r="BV289" i="13"/>
  <c r="BV290" i="13"/>
  <c r="BV291" i="13"/>
  <c r="BV292" i="13"/>
  <c r="BV293" i="13"/>
  <c r="BV294" i="13"/>
  <c r="BV295" i="13"/>
  <c r="BV296" i="13"/>
  <c r="BV297" i="13"/>
  <c r="BV298" i="13"/>
  <c r="BV299" i="13"/>
  <c r="BV300" i="13"/>
  <c r="BV301" i="13"/>
  <c r="BV302" i="13"/>
  <c r="BV303" i="13"/>
  <c r="BV304" i="13"/>
  <c r="BV305" i="13"/>
  <c r="BV306" i="13"/>
  <c r="BV307" i="13"/>
  <c r="BV308" i="13"/>
  <c r="BV309" i="13"/>
  <c r="BV310" i="13"/>
  <c r="BV311" i="13"/>
  <c r="BV312" i="13"/>
  <c r="BV313" i="13"/>
  <c r="BV314" i="13"/>
  <c r="BV315" i="13"/>
  <c r="BV316" i="13"/>
  <c r="BV317" i="13"/>
  <c r="BV318" i="13"/>
  <c r="BV319" i="13"/>
  <c r="BV320" i="13"/>
  <c r="BV321" i="13"/>
  <c r="BV322" i="13"/>
  <c r="BV323" i="13"/>
  <c r="BV324" i="13"/>
  <c r="BV325" i="13"/>
  <c r="BV326" i="13"/>
  <c r="BV327" i="13"/>
  <c r="BV328" i="13"/>
  <c r="BV329" i="13"/>
  <c r="BV330" i="13"/>
  <c r="BV331" i="13"/>
  <c r="BV332" i="13"/>
  <c r="BV333" i="13"/>
  <c r="BV334" i="13"/>
  <c r="BV335" i="13"/>
  <c r="BV336" i="13"/>
  <c r="BV337" i="13"/>
  <c r="BV338" i="13"/>
  <c r="BV339" i="13"/>
  <c r="BV340" i="13"/>
  <c r="BV341" i="13"/>
  <c r="BV342" i="13"/>
  <c r="BV343" i="13"/>
  <c r="BV344" i="13"/>
  <c r="BV345" i="13"/>
  <c r="BV346" i="13"/>
  <c r="BV347" i="13"/>
  <c r="BV348" i="13"/>
  <c r="BV349" i="13"/>
  <c r="BV350" i="13"/>
  <c r="BV351" i="13"/>
  <c r="BV352" i="13"/>
  <c r="BV353" i="13"/>
  <c r="BV354" i="13"/>
  <c r="BV355" i="13"/>
  <c r="BV356" i="13"/>
  <c r="BV357" i="13"/>
  <c r="BV358" i="13"/>
  <c r="BV359" i="13"/>
  <c r="BV360" i="13"/>
  <c r="BV361" i="13"/>
  <c r="BV362" i="13"/>
  <c r="BV363" i="13"/>
  <c r="BV364" i="13"/>
  <c r="CO133" i="13"/>
  <c r="CO134" i="13"/>
  <c r="CO135" i="13"/>
  <c r="CO136" i="13"/>
  <c r="CO137" i="13"/>
  <c r="CO138" i="13"/>
  <c r="CO139" i="13"/>
  <c r="CO140" i="13"/>
  <c r="CO141" i="13"/>
  <c r="CO142" i="13"/>
  <c r="CO143" i="13"/>
  <c r="CO144" i="13"/>
  <c r="CO145" i="13"/>
  <c r="CO146" i="13"/>
  <c r="CO147" i="13"/>
  <c r="CO148" i="13"/>
  <c r="CO149" i="13"/>
  <c r="CO150" i="13"/>
  <c r="CO151" i="13"/>
  <c r="CO152" i="13"/>
  <c r="CO153" i="13"/>
  <c r="CO154" i="13"/>
  <c r="CO155" i="13"/>
  <c r="CO156" i="13"/>
  <c r="CO157" i="13"/>
  <c r="CO158" i="13"/>
  <c r="CO159" i="13"/>
  <c r="CO160" i="13"/>
  <c r="CO161" i="13"/>
  <c r="CO162" i="13"/>
  <c r="CO163" i="13"/>
  <c r="CO164" i="13"/>
  <c r="CO165" i="13"/>
  <c r="CO166" i="13"/>
  <c r="CO167" i="13"/>
  <c r="CO168" i="13"/>
  <c r="CO169" i="13"/>
  <c r="CO170" i="13"/>
  <c r="CO171" i="13"/>
  <c r="CO172" i="13"/>
  <c r="CO173" i="13"/>
  <c r="CO174" i="13"/>
  <c r="CO175" i="13"/>
  <c r="CO176" i="13"/>
  <c r="CO177" i="13"/>
  <c r="CO178" i="13"/>
  <c r="CO179" i="13"/>
  <c r="CO180" i="13"/>
  <c r="CO181" i="13"/>
  <c r="CO182" i="13"/>
  <c r="CO183" i="13"/>
  <c r="CO184" i="13"/>
  <c r="CO185" i="13"/>
  <c r="CO186" i="13"/>
  <c r="CO187" i="13"/>
  <c r="CO188" i="13"/>
  <c r="CO189" i="13"/>
  <c r="CO190" i="13"/>
  <c r="CO191" i="13"/>
  <c r="CO192" i="13"/>
  <c r="CO193" i="13"/>
  <c r="CO194" i="13"/>
  <c r="CO195" i="13"/>
  <c r="CO196" i="13"/>
  <c r="CO197" i="13"/>
  <c r="CO198" i="13"/>
  <c r="CO199" i="13"/>
  <c r="CO200" i="13"/>
  <c r="CO201" i="13"/>
  <c r="CO202" i="13"/>
  <c r="CO203" i="13"/>
  <c r="CO204" i="13"/>
  <c r="CO205" i="13"/>
  <c r="CO206" i="13"/>
  <c r="CO207" i="13"/>
  <c r="CO208" i="13"/>
  <c r="CO209" i="13"/>
  <c r="CO210" i="13"/>
  <c r="CO211" i="13"/>
  <c r="CO212" i="13"/>
  <c r="CO213" i="13"/>
  <c r="CO214" i="13"/>
  <c r="CO215" i="13"/>
  <c r="CO216" i="13"/>
  <c r="CO217" i="13"/>
  <c r="CO218" i="13"/>
  <c r="CO219" i="13"/>
  <c r="CO220" i="13"/>
  <c r="CO221" i="13"/>
  <c r="CO222" i="13"/>
  <c r="CO223" i="13"/>
  <c r="CO224" i="13"/>
  <c r="CO225" i="13"/>
  <c r="CO226" i="13"/>
  <c r="CO227" i="13"/>
  <c r="CO228" i="13"/>
  <c r="CO229" i="13"/>
  <c r="CO230" i="13"/>
  <c r="CO231" i="13"/>
  <c r="CO232" i="13"/>
  <c r="CO233" i="13"/>
  <c r="CO234" i="13"/>
  <c r="CO235" i="13"/>
  <c r="CO236" i="13"/>
  <c r="CO237" i="13"/>
  <c r="CO238" i="13"/>
  <c r="CO239" i="13"/>
  <c r="CO240" i="13"/>
  <c r="CO241" i="13"/>
  <c r="CO242" i="13"/>
  <c r="CO243" i="13"/>
  <c r="CO244" i="13"/>
  <c r="CO245" i="13"/>
  <c r="CO246" i="13"/>
  <c r="CO247" i="13"/>
  <c r="CO248" i="13"/>
  <c r="CO249" i="13"/>
  <c r="CO250" i="13"/>
  <c r="CO251" i="13"/>
  <c r="CO252" i="13"/>
  <c r="CO253" i="13"/>
  <c r="CO254" i="13"/>
  <c r="CO255" i="13"/>
  <c r="CO256" i="13"/>
  <c r="CO257" i="13"/>
  <c r="CO258" i="13"/>
  <c r="CO259" i="13"/>
  <c r="CO260" i="13"/>
  <c r="CO261" i="13"/>
  <c r="CO262" i="13"/>
  <c r="CO263" i="13"/>
  <c r="CO264" i="13"/>
  <c r="CO265" i="13"/>
  <c r="CO266" i="13"/>
  <c r="CO267" i="13"/>
  <c r="CO268" i="13"/>
  <c r="CO269" i="13"/>
  <c r="CO270" i="13"/>
  <c r="CO271" i="13"/>
  <c r="CO272" i="13"/>
  <c r="CO273" i="13"/>
  <c r="CO274" i="13"/>
  <c r="CO275" i="13"/>
  <c r="CO276" i="13"/>
  <c r="CO277" i="13"/>
  <c r="CO278" i="13"/>
  <c r="CO279" i="13"/>
  <c r="CO280" i="13"/>
  <c r="CO281" i="13"/>
  <c r="CO282" i="13"/>
  <c r="CO283" i="13"/>
  <c r="CO284" i="13"/>
  <c r="CO285" i="13"/>
  <c r="CO286" i="13"/>
  <c r="CO287" i="13"/>
  <c r="CO288" i="13"/>
  <c r="CO289" i="13"/>
  <c r="CO290" i="13"/>
  <c r="CO291" i="13"/>
  <c r="CO292" i="13"/>
  <c r="CO293" i="13"/>
  <c r="CO294" i="13"/>
  <c r="CO295" i="13"/>
  <c r="CO296" i="13"/>
  <c r="CO297" i="13"/>
  <c r="CO298" i="13"/>
  <c r="CO299" i="13"/>
  <c r="CO300" i="13"/>
  <c r="CO301" i="13"/>
  <c r="CO302" i="13"/>
  <c r="CO303" i="13"/>
  <c r="CO304" i="13"/>
  <c r="CO305" i="13"/>
  <c r="CO306" i="13"/>
  <c r="CO307" i="13"/>
  <c r="CO308" i="13"/>
  <c r="CO309" i="13"/>
  <c r="CO310" i="13"/>
  <c r="CO311" i="13"/>
  <c r="CO312" i="13"/>
  <c r="CO313" i="13"/>
  <c r="CO314" i="13"/>
  <c r="CO315" i="13"/>
  <c r="CO316" i="13"/>
  <c r="CO317" i="13"/>
  <c r="CO318" i="13"/>
  <c r="CO319" i="13"/>
  <c r="CO320" i="13"/>
  <c r="CO321" i="13"/>
  <c r="CO322" i="13"/>
  <c r="CO323" i="13"/>
  <c r="CO324" i="13"/>
  <c r="CO325" i="13"/>
  <c r="CO326" i="13"/>
  <c r="CO327" i="13"/>
  <c r="CO328" i="13"/>
  <c r="CO329" i="13"/>
  <c r="CO330" i="13"/>
  <c r="CO331" i="13"/>
  <c r="CO332" i="13"/>
  <c r="CO333" i="13"/>
  <c r="CO334" i="13"/>
  <c r="CO335" i="13"/>
  <c r="CO336" i="13"/>
  <c r="CO337" i="13"/>
  <c r="CO338" i="13"/>
  <c r="CO339" i="13"/>
  <c r="CO340" i="13"/>
  <c r="CO341" i="13"/>
  <c r="CO342" i="13"/>
  <c r="CO343" i="13"/>
  <c r="CO344" i="13"/>
  <c r="CO345" i="13"/>
  <c r="CO346" i="13"/>
  <c r="CO347" i="13"/>
  <c r="CO348" i="13"/>
  <c r="CO349" i="13"/>
  <c r="CO350" i="13"/>
  <c r="CO351" i="13"/>
  <c r="CO352" i="13"/>
  <c r="CO353" i="13"/>
  <c r="CO354" i="13"/>
  <c r="CO355" i="13"/>
  <c r="CO356" i="13"/>
  <c r="CO357" i="13"/>
  <c r="CO358" i="13"/>
  <c r="CO359" i="13"/>
  <c r="CO360" i="13"/>
  <c r="CO361" i="13"/>
  <c r="CO362" i="13"/>
  <c r="CO363" i="13"/>
  <c r="CO364" i="13"/>
  <c r="BC133" i="13"/>
  <c r="BC134" i="13"/>
  <c r="BC135" i="13"/>
  <c r="BC136" i="13"/>
  <c r="BC137" i="13"/>
  <c r="BC138" i="13"/>
  <c r="BC139" i="13"/>
  <c r="BC140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C168" i="13"/>
  <c r="BC169" i="13"/>
  <c r="BC170" i="13"/>
  <c r="BC171" i="13"/>
  <c r="BC172" i="13"/>
  <c r="BC173" i="13"/>
  <c r="BC174" i="13"/>
  <c r="BC175" i="13"/>
  <c r="BC176" i="13"/>
  <c r="BC177" i="13"/>
  <c r="BC178" i="13"/>
  <c r="BC179" i="13"/>
  <c r="BC180" i="13"/>
  <c r="BC181" i="13"/>
  <c r="BC182" i="13"/>
  <c r="BC183" i="13"/>
  <c r="BC184" i="13"/>
  <c r="BC185" i="13"/>
  <c r="BC186" i="13"/>
  <c r="BC187" i="13"/>
  <c r="BC188" i="13"/>
  <c r="BC189" i="13"/>
  <c r="BC190" i="13"/>
  <c r="BC191" i="13"/>
  <c r="BC192" i="13"/>
  <c r="BC193" i="13"/>
  <c r="BC194" i="13"/>
  <c r="BC195" i="13"/>
  <c r="BC196" i="13"/>
  <c r="BC197" i="13"/>
  <c r="BC198" i="13"/>
  <c r="BC199" i="13"/>
  <c r="BC200" i="13"/>
  <c r="BC201" i="13"/>
  <c r="BC202" i="13"/>
  <c r="BC203" i="13"/>
  <c r="BC204" i="13"/>
  <c r="BC205" i="13"/>
  <c r="BC206" i="13"/>
  <c r="BC207" i="13"/>
  <c r="BC208" i="13"/>
  <c r="BC209" i="13"/>
  <c r="BC210" i="13"/>
  <c r="BC211" i="13"/>
  <c r="BC212" i="13"/>
  <c r="BC213" i="13"/>
  <c r="BC214" i="13"/>
  <c r="BC215" i="13"/>
  <c r="BC216" i="13"/>
  <c r="BC217" i="13"/>
  <c r="BC218" i="13"/>
  <c r="BC219" i="13"/>
  <c r="BC220" i="13"/>
  <c r="BC221" i="13"/>
  <c r="BC222" i="13"/>
  <c r="BC223" i="13"/>
  <c r="BC224" i="13"/>
  <c r="BC225" i="13"/>
  <c r="BC226" i="13"/>
  <c r="BC227" i="13"/>
  <c r="BC228" i="13"/>
  <c r="BC229" i="13"/>
  <c r="BC230" i="13"/>
  <c r="BC231" i="13"/>
  <c r="BC232" i="13"/>
  <c r="BC233" i="13"/>
  <c r="BC234" i="13"/>
  <c r="BC235" i="13"/>
  <c r="BC236" i="13"/>
  <c r="BC237" i="13"/>
  <c r="BC238" i="13"/>
  <c r="BC239" i="13"/>
  <c r="BC240" i="13"/>
  <c r="BC241" i="13"/>
  <c r="BC242" i="13"/>
  <c r="BC243" i="13"/>
  <c r="BC244" i="13"/>
  <c r="BC245" i="13"/>
  <c r="BC246" i="13"/>
  <c r="BC247" i="13"/>
  <c r="BC248" i="13"/>
  <c r="BC249" i="13"/>
  <c r="BC250" i="13"/>
  <c r="BC251" i="13"/>
  <c r="BC252" i="13"/>
  <c r="BC253" i="13"/>
  <c r="BC254" i="13"/>
  <c r="BC255" i="13"/>
  <c r="BC256" i="13"/>
  <c r="BC257" i="13"/>
  <c r="BC258" i="13"/>
  <c r="BC259" i="13"/>
  <c r="BC260" i="13"/>
  <c r="BC261" i="13"/>
  <c r="BC262" i="13"/>
  <c r="BC263" i="13"/>
  <c r="BC264" i="13"/>
  <c r="BC265" i="13"/>
  <c r="BC266" i="13"/>
  <c r="BC267" i="13"/>
  <c r="BC268" i="13"/>
  <c r="BC269" i="13"/>
  <c r="BC270" i="13"/>
  <c r="BC271" i="13"/>
  <c r="BC272" i="13"/>
  <c r="BC273" i="13"/>
  <c r="BC274" i="13"/>
  <c r="BC275" i="13"/>
  <c r="BC276" i="13"/>
  <c r="BC277" i="13"/>
  <c r="BC278" i="13"/>
  <c r="BC279" i="13"/>
  <c r="BC280" i="13"/>
  <c r="BC281" i="13"/>
  <c r="BC282" i="13"/>
  <c r="BC283" i="13"/>
  <c r="BC284" i="13"/>
  <c r="BC285" i="13"/>
  <c r="BC286" i="13"/>
  <c r="BC287" i="13"/>
  <c r="BC288" i="13"/>
  <c r="BC289" i="13"/>
  <c r="BC290" i="13"/>
  <c r="BC291" i="13"/>
  <c r="BC292" i="13"/>
  <c r="BC293" i="13"/>
  <c r="BC294" i="13"/>
  <c r="BC295" i="13"/>
  <c r="BC296" i="13"/>
  <c r="BC297" i="13"/>
  <c r="BC298" i="13"/>
  <c r="BC299" i="13"/>
  <c r="BC300" i="13"/>
  <c r="BC301" i="13"/>
  <c r="BC302" i="13"/>
  <c r="BC303" i="13"/>
  <c r="BC304" i="13"/>
  <c r="BC305" i="13"/>
  <c r="BC306" i="13"/>
  <c r="BC307" i="13"/>
  <c r="BC308" i="13"/>
  <c r="BC309" i="13"/>
  <c r="BC310" i="13"/>
  <c r="BC311" i="13"/>
  <c r="BC312" i="13"/>
  <c r="BC313" i="13"/>
  <c r="BC314" i="13"/>
  <c r="BC315" i="13"/>
  <c r="BC316" i="13"/>
  <c r="BC317" i="13"/>
  <c r="BC318" i="13"/>
  <c r="BC319" i="13"/>
  <c r="BC320" i="13"/>
  <c r="BC321" i="13"/>
  <c r="BC322" i="13"/>
  <c r="BC323" i="13"/>
  <c r="BC324" i="13"/>
  <c r="BC325" i="13"/>
  <c r="BC326" i="13"/>
  <c r="BC327" i="13"/>
  <c r="BC328" i="13"/>
  <c r="BC329" i="13"/>
  <c r="BC330" i="13"/>
  <c r="BC331" i="13"/>
  <c r="BC332" i="13"/>
  <c r="BC333" i="13"/>
  <c r="BC334" i="13"/>
  <c r="BC335" i="13"/>
  <c r="BC336" i="13"/>
  <c r="BC337" i="13"/>
  <c r="BC338" i="13"/>
  <c r="BC339" i="13"/>
  <c r="BC340" i="13"/>
  <c r="BC341" i="13"/>
  <c r="BC342" i="13"/>
  <c r="BC343" i="13"/>
  <c r="BC344" i="13"/>
  <c r="BC345" i="13"/>
  <c r="BC346" i="13"/>
  <c r="BC347" i="13"/>
  <c r="BC348" i="13"/>
  <c r="BC349" i="13"/>
  <c r="BC350" i="13"/>
  <c r="BC351" i="13"/>
  <c r="BC352" i="13"/>
  <c r="BC353" i="13"/>
  <c r="BC354" i="13"/>
  <c r="BC355" i="13"/>
  <c r="BC356" i="13"/>
  <c r="BC357" i="13"/>
  <c r="BC358" i="13"/>
  <c r="BC359" i="13"/>
  <c r="BC360" i="13"/>
  <c r="BC361" i="13"/>
  <c r="BC362" i="13"/>
  <c r="BC363" i="13"/>
  <c r="BC364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AJ133" i="13"/>
  <c r="AJ134" i="13"/>
  <c r="AJ135" i="13"/>
  <c r="AJ136" i="13"/>
  <c r="AJ137" i="13"/>
  <c r="AJ138" i="13"/>
  <c r="AJ139" i="13"/>
  <c r="AJ140" i="13"/>
  <c r="AJ141" i="13"/>
  <c r="AJ142" i="13"/>
  <c r="AJ143" i="13"/>
  <c r="AJ144" i="13"/>
  <c r="AJ145" i="13"/>
  <c r="AJ146" i="13"/>
  <c r="AJ147" i="13"/>
  <c r="AJ148" i="13"/>
  <c r="AJ149" i="13"/>
  <c r="AJ150" i="13"/>
  <c r="AJ151" i="13"/>
  <c r="AJ152" i="13"/>
  <c r="AJ153" i="13"/>
  <c r="AJ154" i="13"/>
  <c r="AJ155" i="13"/>
  <c r="AJ156" i="13"/>
  <c r="AJ157" i="13"/>
  <c r="AJ158" i="13"/>
  <c r="AJ159" i="13"/>
  <c r="AJ160" i="13"/>
  <c r="AJ161" i="13"/>
  <c r="AJ162" i="13"/>
  <c r="AJ163" i="13"/>
  <c r="AJ164" i="13"/>
  <c r="AJ165" i="13"/>
  <c r="AJ166" i="13"/>
  <c r="AJ167" i="13"/>
  <c r="AJ168" i="13"/>
  <c r="AJ169" i="13"/>
  <c r="AJ170" i="13"/>
  <c r="AJ171" i="13"/>
  <c r="AJ172" i="13"/>
  <c r="AJ173" i="13"/>
  <c r="AJ174" i="13"/>
  <c r="AJ175" i="13"/>
  <c r="AJ176" i="13"/>
  <c r="AJ177" i="13"/>
  <c r="AJ178" i="13"/>
  <c r="AJ179" i="13"/>
  <c r="AJ180" i="13"/>
  <c r="AJ181" i="13"/>
  <c r="AJ182" i="13"/>
  <c r="AJ183" i="13"/>
  <c r="AJ184" i="13"/>
  <c r="AJ185" i="13"/>
  <c r="AJ186" i="13"/>
  <c r="AJ187" i="13"/>
  <c r="AJ188" i="13"/>
  <c r="AJ189" i="13"/>
  <c r="AJ190" i="13"/>
  <c r="AJ191" i="13"/>
  <c r="AJ192" i="13"/>
  <c r="AJ193" i="13"/>
  <c r="AJ194" i="13"/>
  <c r="AJ195" i="13"/>
  <c r="AJ196" i="13"/>
  <c r="AJ197" i="13"/>
  <c r="AJ198" i="13"/>
  <c r="AJ199" i="13"/>
  <c r="AJ200" i="13"/>
  <c r="AJ201" i="13"/>
  <c r="AJ202" i="13"/>
  <c r="AJ203" i="13"/>
  <c r="AJ204" i="13"/>
  <c r="AJ205" i="13"/>
  <c r="AJ206" i="13"/>
  <c r="AJ207" i="13"/>
  <c r="AJ208" i="13"/>
  <c r="AJ209" i="13"/>
  <c r="AJ210" i="13"/>
  <c r="AJ211" i="13"/>
  <c r="AJ212" i="13"/>
  <c r="AJ213" i="13"/>
  <c r="AJ214" i="13"/>
  <c r="AJ215" i="13"/>
  <c r="AJ216" i="13"/>
  <c r="AJ217" i="13"/>
  <c r="AJ218" i="13"/>
  <c r="AJ219" i="13"/>
  <c r="AJ220" i="13"/>
  <c r="AJ221" i="13"/>
  <c r="AJ222" i="13"/>
  <c r="AJ223" i="13"/>
  <c r="AJ224" i="13"/>
  <c r="AJ225" i="13"/>
  <c r="AJ226" i="13"/>
  <c r="AJ227" i="13"/>
  <c r="AJ228" i="13"/>
  <c r="AJ229" i="13"/>
  <c r="AJ230" i="13"/>
  <c r="AJ231" i="13"/>
  <c r="AJ232" i="13"/>
  <c r="AJ233" i="13"/>
  <c r="AJ234" i="13"/>
  <c r="AJ235" i="13"/>
  <c r="AJ236" i="13"/>
  <c r="AJ237" i="13"/>
  <c r="AJ238" i="13"/>
  <c r="AJ239" i="13"/>
  <c r="AJ240" i="13"/>
  <c r="AJ241" i="13"/>
  <c r="AJ242" i="13"/>
  <c r="AJ243" i="13"/>
  <c r="AJ244" i="13"/>
  <c r="AJ245" i="13"/>
  <c r="AJ246" i="13"/>
  <c r="AJ247" i="13"/>
  <c r="AJ248" i="13"/>
  <c r="AJ249" i="13"/>
  <c r="AJ250" i="13"/>
  <c r="AJ251" i="13"/>
  <c r="AJ252" i="13"/>
  <c r="AJ253" i="13"/>
  <c r="AJ254" i="13"/>
  <c r="AJ255" i="13"/>
  <c r="AJ256" i="13"/>
  <c r="AJ257" i="13"/>
  <c r="AJ258" i="13"/>
  <c r="AJ259" i="13"/>
  <c r="AJ260" i="13"/>
  <c r="AJ261" i="13"/>
  <c r="AJ262" i="13"/>
  <c r="AJ263" i="13"/>
  <c r="AJ264" i="13"/>
  <c r="AJ265" i="13"/>
  <c r="AJ266" i="13"/>
  <c r="AJ267" i="13"/>
  <c r="AJ268" i="13"/>
  <c r="AJ269" i="13"/>
  <c r="AJ270" i="13"/>
  <c r="AJ271" i="13"/>
  <c r="AJ272" i="13"/>
  <c r="AJ273" i="13"/>
  <c r="AJ274" i="13"/>
  <c r="AJ275" i="13"/>
  <c r="AJ276" i="13"/>
  <c r="AJ277" i="13"/>
  <c r="AJ278" i="13"/>
  <c r="AJ279" i="13"/>
  <c r="AJ280" i="13"/>
  <c r="AJ281" i="13"/>
  <c r="AJ282" i="13"/>
  <c r="AJ283" i="13"/>
  <c r="AJ284" i="13"/>
  <c r="AJ285" i="13"/>
  <c r="AJ286" i="13"/>
  <c r="AJ287" i="13"/>
  <c r="AJ288" i="13"/>
  <c r="AJ289" i="13"/>
  <c r="AJ290" i="13"/>
  <c r="AJ291" i="13"/>
  <c r="AJ292" i="13"/>
  <c r="AJ293" i="13"/>
  <c r="AJ294" i="13"/>
  <c r="AJ295" i="13"/>
  <c r="AJ296" i="13"/>
  <c r="AJ297" i="13"/>
  <c r="AJ298" i="13"/>
  <c r="AJ299" i="13"/>
  <c r="AJ300" i="13"/>
  <c r="AJ301" i="13"/>
  <c r="AJ302" i="13"/>
  <c r="AJ303" i="13"/>
  <c r="AJ304" i="13"/>
  <c r="AJ305" i="13"/>
  <c r="AJ306" i="13"/>
  <c r="AJ307" i="13"/>
  <c r="AJ308" i="13"/>
  <c r="AJ309" i="13"/>
  <c r="AJ310" i="13"/>
  <c r="AJ311" i="13"/>
  <c r="AJ312" i="13"/>
  <c r="AJ313" i="13"/>
  <c r="AJ314" i="13"/>
  <c r="AJ315" i="13"/>
  <c r="AJ316" i="13"/>
  <c r="AJ317" i="13"/>
  <c r="AJ318" i="13"/>
  <c r="AJ319" i="13"/>
  <c r="AJ320" i="13"/>
  <c r="AJ321" i="13"/>
  <c r="AJ322" i="13"/>
  <c r="AJ323" i="13"/>
  <c r="AJ324" i="13"/>
  <c r="AJ325" i="13"/>
  <c r="AJ326" i="13"/>
  <c r="AJ327" i="13"/>
  <c r="AJ328" i="13"/>
  <c r="AJ329" i="13"/>
  <c r="AJ330" i="13"/>
  <c r="AJ331" i="13"/>
  <c r="AJ332" i="13"/>
  <c r="AJ333" i="13"/>
  <c r="AJ334" i="13"/>
  <c r="AJ335" i="13"/>
  <c r="AJ336" i="13"/>
  <c r="AJ337" i="13"/>
  <c r="AJ338" i="13"/>
  <c r="AJ339" i="13"/>
  <c r="AJ340" i="13"/>
  <c r="AJ341" i="13"/>
  <c r="AJ342" i="13"/>
  <c r="AJ343" i="13"/>
  <c r="AJ344" i="13"/>
  <c r="AJ345" i="13"/>
  <c r="AJ346" i="13"/>
  <c r="AJ347" i="13"/>
  <c r="AJ348" i="13"/>
  <c r="AJ349" i="13"/>
  <c r="AJ350" i="13"/>
  <c r="AJ351" i="13"/>
  <c r="AJ352" i="13"/>
  <c r="AJ353" i="13"/>
  <c r="AJ354" i="13"/>
  <c r="AJ355" i="13"/>
  <c r="AJ356" i="13"/>
  <c r="AJ357" i="13"/>
  <c r="AJ358" i="13"/>
  <c r="AJ359" i="13"/>
  <c r="AJ360" i="13"/>
  <c r="AJ361" i="13"/>
  <c r="AJ362" i="13"/>
  <c r="AJ363" i="13"/>
  <c r="AJ364" i="13"/>
  <c r="AG6" i="13" l="1"/>
  <c r="AJ6" i="13" s="1"/>
  <c r="AG7" i="13"/>
  <c r="AJ7" i="13" s="1"/>
  <c r="AG8" i="13"/>
  <c r="AJ8" i="13" s="1"/>
  <c r="AG9" i="13"/>
  <c r="AJ9" i="13" s="1"/>
  <c r="AG10" i="13"/>
  <c r="AJ10" i="13" s="1"/>
  <c r="AG11" i="13"/>
  <c r="AG12" i="13"/>
  <c r="AG13" i="13"/>
  <c r="AG14" i="13"/>
  <c r="AG15" i="13"/>
  <c r="AG16" i="13"/>
  <c r="AG17" i="13"/>
  <c r="AG18" i="13"/>
  <c r="AJ18" i="13" s="1"/>
  <c r="AG19" i="13"/>
  <c r="AJ19" i="13" s="1"/>
  <c r="AG20" i="13"/>
  <c r="AJ20" i="13" s="1"/>
  <c r="AG21" i="13"/>
  <c r="AJ21" i="13" s="1"/>
  <c r="AG22" i="13"/>
  <c r="AJ22" i="13" s="1"/>
  <c r="AG23" i="13"/>
  <c r="AG24" i="13"/>
  <c r="AG25" i="13"/>
  <c r="AG26" i="13"/>
  <c r="AG27" i="13"/>
  <c r="AG28" i="13"/>
  <c r="AG29" i="13"/>
  <c r="AG30" i="13"/>
  <c r="AJ30" i="13" s="1"/>
  <c r="AG31" i="13"/>
  <c r="AJ31" i="13" s="1"/>
  <c r="AG32" i="13"/>
  <c r="AJ32" i="13" s="1"/>
  <c r="AG33" i="13"/>
  <c r="AJ33" i="13" s="1"/>
  <c r="AG34" i="13"/>
  <c r="AJ34" i="13" s="1"/>
  <c r="AG35" i="13"/>
  <c r="AG36" i="13"/>
  <c r="AG37" i="13"/>
  <c r="AG38" i="13"/>
  <c r="AG39" i="13"/>
  <c r="AG40" i="13"/>
  <c r="AG41" i="13"/>
  <c r="AG42" i="13"/>
  <c r="AJ42" i="13" s="1"/>
  <c r="AG43" i="13"/>
  <c r="AJ43" i="13" s="1"/>
  <c r="AG44" i="13"/>
  <c r="AJ44" i="13" s="1"/>
  <c r="AG45" i="13"/>
  <c r="AJ45" i="13" s="1"/>
  <c r="AG46" i="13"/>
  <c r="AJ46" i="13" s="1"/>
  <c r="AG47" i="13"/>
  <c r="AG48" i="13"/>
  <c r="AG49" i="13"/>
  <c r="AG50" i="13"/>
  <c r="AG51" i="13"/>
  <c r="AG52" i="13"/>
  <c r="AG53" i="13"/>
  <c r="AG54" i="13"/>
  <c r="AJ54" i="13" s="1"/>
  <c r="AG55" i="13"/>
  <c r="AJ55" i="13" s="1"/>
  <c r="AG56" i="13"/>
  <c r="AJ56" i="13" s="1"/>
  <c r="AG57" i="13"/>
  <c r="AJ57" i="13" s="1"/>
  <c r="AG58" i="13"/>
  <c r="AJ58" i="13" s="1"/>
  <c r="AG59" i="13"/>
  <c r="AG60" i="13"/>
  <c r="AG61" i="13"/>
  <c r="AG62" i="13"/>
  <c r="AG63" i="13"/>
  <c r="AG64" i="13"/>
  <c r="AG65" i="13"/>
  <c r="AG66" i="13"/>
  <c r="AJ66" i="13" s="1"/>
  <c r="AG67" i="13"/>
  <c r="AJ67" i="13" s="1"/>
  <c r="AG68" i="13"/>
  <c r="AJ68" i="13" s="1"/>
  <c r="AG69" i="13"/>
  <c r="AJ69" i="13" s="1"/>
  <c r="AG70" i="13"/>
  <c r="AJ70" i="13" s="1"/>
  <c r="AG71" i="13"/>
  <c r="AG72" i="13"/>
  <c r="AG73" i="13"/>
  <c r="AG74" i="13"/>
  <c r="AG75" i="13"/>
  <c r="AG76" i="13"/>
  <c r="AG77" i="13"/>
  <c r="AG78" i="13"/>
  <c r="AJ78" i="13" s="1"/>
  <c r="AG79" i="13"/>
  <c r="AJ79" i="13" s="1"/>
  <c r="AG80" i="13"/>
  <c r="AJ80" i="13" s="1"/>
  <c r="AG81" i="13"/>
  <c r="AJ81" i="13" s="1"/>
  <c r="AG82" i="13"/>
  <c r="AJ82" i="13" s="1"/>
  <c r="AG83" i="13"/>
  <c r="AG84" i="13"/>
  <c r="AG85" i="13"/>
  <c r="AG86" i="13"/>
  <c r="AG87" i="13"/>
  <c r="AG88" i="13"/>
  <c r="AG89" i="13"/>
  <c r="AG90" i="13"/>
  <c r="AJ90" i="13" s="1"/>
  <c r="AG91" i="13"/>
  <c r="AJ91" i="13" s="1"/>
  <c r="AG92" i="13"/>
  <c r="AJ92" i="13" s="1"/>
  <c r="AG93" i="13"/>
  <c r="AJ93" i="13" s="1"/>
  <c r="AG94" i="13"/>
  <c r="AJ94" i="13" s="1"/>
  <c r="AG95" i="13"/>
  <c r="AG96" i="13"/>
  <c r="AG97" i="13"/>
  <c r="AG98" i="13"/>
  <c r="AG99" i="13"/>
  <c r="AG100" i="13"/>
  <c r="AG101" i="13"/>
  <c r="AG102" i="13"/>
  <c r="AJ102" i="13" s="1"/>
  <c r="AG103" i="13"/>
  <c r="AJ103" i="13" s="1"/>
  <c r="AG104" i="13"/>
  <c r="AJ104" i="13" s="1"/>
  <c r="AG105" i="13"/>
  <c r="AJ105" i="13" s="1"/>
  <c r="AG106" i="13"/>
  <c r="AJ106" i="13" s="1"/>
  <c r="AG107" i="13"/>
  <c r="AG108" i="13"/>
  <c r="AG109" i="13"/>
  <c r="AG110" i="13"/>
  <c r="AG111" i="13"/>
  <c r="AG112" i="13"/>
  <c r="AG113" i="13"/>
  <c r="AG114" i="13"/>
  <c r="AJ114" i="13" s="1"/>
  <c r="AG115" i="13"/>
  <c r="AJ115" i="13" s="1"/>
  <c r="AG116" i="13"/>
  <c r="AJ116" i="13" s="1"/>
  <c r="AG117" i="13"/>
  <c r="AJ117" i="13" s="1"/>
  <c r="AG118" i="13"/>
  <c r="AJ118" i="13" s="1"/>
  <c r="AG119" i="13"/>
  <c r="AG120" i="13"/>
  <c r="AG121" i="13"/>
  <c r="AG122" i="13"/>
  <c r="AG123" i="13"/>
  <c r="AG124" i="13"/>
  <c r="AG125" i="13"/>
  <c r="AG126" i="13"/>
  <c r="AJ126" i="13" s="1"/>
  <c r="AG127" i="13"/>
  <c r="AJ127" i="13" s="1"/>
  <c r="AG128" i="13"/>
  <c r="AJ128" i="13" s="1"/>
  <c r="AG129" i="13"/>
  <c r="AJ129" i="13" s="1"/>
  <c r="AG130" i="13"/>
  <c r="AJ130" i="13" s="1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AG168" i="13"/>
  <c r="AG169" i="13"/>
  <c r="AG170" i="13"/>
  <c r="AG171" i="13"/>
  <c r="AG172" i="13"/>
  <c r="AG173" i="13"/>
  <c r="AG174" i="13"/>
  <c r="AG175" i="13"/>
  <c r="AG176" i="13"/>
  <c r="AG177" i="13"/>
  <c r="AG178" i="13"/>
  <c r="AG179" i="13"/>
  <c r="AG180" i="13"/>
  <c r="AG181" i="13"/>
  <c r="AG182" i="13"/>
  <c r="AG183" i="13"/>
  <c r="AG184" i="13"/>
  <c r="AG185" i="13"/>
  <c r="AG186" i="13"/>
  <c r="AG187" i="13"/>
  <c r="AG188" i="13"/>
  <c r="AG189" i="13"/>
  <c r="AG190" i="13"/>
  <c r="AG191" i="13"/>
  <c r="AG192" i="13"/>
  <c r="AG193" i="13"/>
  <c r="AG194" i="13"/>
  <c r="AG195" i="13"/>
  <c r="AG196" i="13"/>
  <c r="AG197" i="13"/>
  <c r="AG198" i="13"/>
  <c r="AG199" i="13"/>
  <c r="AG200" i="13"/>
  <c r="AG201" i="13"/>
  <c r="AG202" i="13"/>
  <c r="AG203" i="13"/>
  <c r="AG204" i="13"/>
  <c r="AG205" i="13"/>
  <c r="AG206" i="13"/>
  <c r="AG207" i="13"/>
  <c r="AG208" i="13"/>
  <c r="AG209" i="13"/>
  <c r="AG210" i="13"/>
  <c r="AG211" i="13"/>
  <c r="AG212" i="13"/>
  <c r="AG213" i="13"/>
  <c r="AG214" i="13"/>
  <c r="AG215" i="13"/>
  <c r="AG216" i="13"/>
  <c r="AG217" i="13"/>
  <c r="AG218" i="13"/>
  <c r="AG219" i="13"/>
  <c r="AG220" i="13"/>
  <c r="AG221" i="13"/>
  <c r="AG222" i="13"/>
  <c r="AG223" i="13"/>
  <c r="AG224" i="13"/>
  <c r="AG225" i="13"/>
  <c r="AG226" i="13"/>
  <c r="AG227" i="13"/>
  <c r="AG228" i="13"/>
  <c r="AG229" i="13"/>
  <c r="AG230" i="13"/>
  <c r="AG231" i="13"/>
  <c r="AG232" i="13"/>
  <c r="AG233" i="13"/>
  <c r="AG234" i="13"/>
  <c r="AG235" i="13"/>
  <c r="AG236" i="13"/>
  <c r="AG237" i="13"/>
  <c r="AG238" i="13"/>
  <c r="AG239" i="13"/>
  <c r="AG240" i="13"/>
  <c r="AG241" i="13"/>
  <c r="AG242" i="13"/>
  <c r="AG243" i="13"/>
  <c r="AG244" i="13"/>
  <c r="AG245" i="13"/>
  <c r="AG246" i="13"/>
  <c r="AG247" i="13"/>
  <c r="AG248" i="13"/>
  <c r="AG249" i="13"/>
  <c r="AG250" i="13"/>
  <c r="AG251" i="13"/>
  <c r="AG252" i="13"/>
  <c r="AG253" i="13"/>
  <c r="AG254" i="13"/>
  <c r="AG255" i="13"/>
  <c r="AG256" i="13"/>
  <c r="AG257" i="13"/>
  <c r="AG258" i="13"/>
  <c r="AG259" i="13"/>
  <c r="AG260" i="13"/>
  <c r="AG261" i="13"/>
  <c r="AG262" i="13"/>
  <c r="AG263" i="13"/>
  <c r="AG264" i="13"/>
  <c r="AG265" i="13"/>
  <c r="AG266" i="13"/>
  <c r="AG267" i="13"/>
  <c r="AG268" i="13"/>
  <c r="AG269" i="13"/>
  <c r="AG270" i="13"/>
  <c r="AG271" i="13"/>
  <c r="AG272" i="13"/>
  <c r="AG273" i="13"/>
  <c r="AG274" i="13"/>
  <c r="AG275" i="13"/>
  <c r="AG276" i="13"/>
  <c r="AG277" i="13"/>
  <c r="AG278" i="13"/>
  <c r="AG279" i="13"/>
  <c r="AG280" i="13"/>
  <c r="AG281" i="13"/>
  <c r="AG282" i="13"/>
  <c r="AG283" i="13"/>
  <c r="AG284" i="13"/>
  <c r="AG285" i="13"/>
  <c r="AG286" i="13"/>
  <c r="AG287" i="13"/>
  <c r="AG288" i="13"/>
  <c r="AG289" i="13"/>
  <c r="AG290" i="13"/>
  <c r="AG291" i="13"/>
  <c r="AG292" i="13"/>
  <c r="AG293" i="13"/>
  <c r="AG294" i="13"/>
  <c r="AG295" i="13"/>
  <c r="AG296" i="13"/>
  <c r="AG297" i="13"/>
  <c r="AG298" i="13"/>
  <c r="AG299" i="13"/>
  <c r="AG300" i="13"/>
  <c r="AG301" i="13"/>
  <c r="AG302" i="13"/>
  <c r="AG303" i="13"/>
  <c r="AG304" i="13"/>
  <c r="AG305" i="13"/>
  <c r="AG306" i="13"/>
  <c r="AG307" i="13"/>
  <c r="AG308" i="13"/>
  <c r="AG309" i="13"/>
  <c r="AG310" i="13"/>
  <c r="AG311" i="13"/>
  <c r="AG312" i="13"/>
  <c r="AG313" i="13"/>
  <c r="AG314" i="13"/>
  <c r="AG315" i="13"/>
  <c r="AG316" i="13"/>
  <c r="AG317" i="13"/>
  <c r="AG318" i="13"/>
  <c r="AG319" i="13"/>
  <c r="AG320" i="13"/>
  <c r="AG321" i="13"/>
  <c r="AG322" i="13"/>
  <c r="AG323" i="13"/>
  <c r="AG324" i="13"/>
  <c r="AG325" i="13"/>
  <c r="AG326" i="13"/>
  <c r="AG327" i="13"/>
  <c r="AG328" i="13"/>
  <c r="AG329" i="13"/>
  <c r="AG330" i="13"/>
  <c r="AG331" i="13"/>
  <c r="AG332" i="13"/>
  <c r="AG333" i="13"/>
  <c r="AG334" i="13"/>
  <c r="AG335" i="13"/>
  <c r="AG336" i="13"/>
  <c r="AG337" i="13"/>
  <c r="AG338" i="13"/>
  <c r="AG339" i="13"/>
  <c r="AG340" i="13"/>
  <c r="AG341" i="13"/>
  <c r="AG342" i="13"/>
  <c r="AG343" i="13"/>
  <c r="AG344" i="13"/>
  <c r="AG345" i="13"/>
  <c r="AG346" i="13"/>
  <c r="AG347" i="13"/>
  <c r="AG348" i="13"/>
  <c r="AG349" i="13"/>
  <c r="AG350" i="13"/>
  <c r="AG351" i="13"/>
  <c r="AG352" i="13"/>
  <c r="AG353" i="13"/>
  <c r="AG354" i="13"/>
  <c r="AG355" i="13"/>
  <c r="AG356" i="13"/>
  <c r="AG357" i="13"/>
  <c r="AG358" i="13"/>
  <c r="AG359" i="13"/>
  <c r="AG360" i="13"/>
  <c r="AG361" i="13"/>
  <c r="AG362" i="13"/>
  <c r="AG363" i="13"/>
  <c r="AG364" i="13"/>
  <c r="B44" i="5" l="1"/>
  <c r="B74" i="5" s="1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35" i="5"/>
  <c r="B36" i="5"/>
  <c r="B37" i="5"/>
  <c r="B38" i="5"/>
  <c r="B39" i="5"/>
  <c r="B40" i="5"/>
  <c r="B41" i="5"/>
  <c r="B42" i="5"/>
  <c r="B43" i="5"/>
  <c r="B34" i="5"/>
  <c r="S1447" i="4"/>
  <c r="J364" i="4"/>
  <c r="K364" i="4"/>
  <c r="L364" i="4"/>
  <c r="M364" i="4"/>
  <c r="N364" i="4"/>
  <c r="O364" i="4"/>
  <c r="P364" i="4"/>
  <c r="Q364" i="4"/>
  <c r="J725" i="4"/>
  <c r="K725" i="4"/>
  <c r="L725" i="4"/>
  <c r="M725" i="4"/>
  <c r="N725" i="4"/>
  <c r="O725" i="4"/>
  <c r="P725" i="4"/>
  <c r="Q725" i="4"/>
  <c r="J1086" i="4"/>
  <c r="K1086" i="4"/>
  <c r="L1086" i="4"/>
  <c r="M1086" i="4"/>
  <c r="N1086" i="4"/>
  <c r="O1086" i="4"/>
  <c r="P1086" i="4"/>
  <c r="Q1086" i="4"/>
  <c r="J1447" i="4"/>
  <c r="K1447" i="4"/>
  <c r="L1447" i="4"/>
  <c r="M1447" i="4"/>
  <c r="N1447" i="4"/>
  <c r="O1447" i="4"/>
  <c r="P1447" i="4"/>
  <c r="Q1447" i="4"/>
  <c r="B1403" i="4"/>
  <c r="B1404" i="4"/>
  <c r="B1405" i="4"/>
  <c r="B1406" i="4"/>
  <c r="B1407" i="4"/>
  <c r="B1408" i="4"/>
  <c r="B1409" i="4"/>
  <c r="B1410" i="4"/>
  <c r="B1411" i="4"/>
  <c r="C1411" i="4" s="1"/>
  <c r="B1412" i="4"/>
  <c r="C1412" i="4" s="1"/>
  <c r="B1413" i="4"/>
  <c r="C1413" i="4" s="1"/>
  <c r="B1414" i="4"/>
  <c r="C1414" i="4" s="1"/>
  <c r="B1415" i="4"/>
  <c r="C1415" i="4" s="1"/>
  <c r="B1416" i="4"/>
  <c r="B1417" i="4"/>
  <c r="C1417" i="4" s="1"/>
  <c r="B1418" i="4"/>
  <c r="D1418" i="4" s="1"/>
  <c r="B1419" i="4"/>
  <c r="C1419" i="4" s="1"/>
  <c r="B1420" i="4"/>
  <c r="C1420" i="4" s="1"/>
  <c r="B1421" i="4"/>
  <c r="C1421" i="4" s="1"/>
  <c r="B1422" i="4"/>
  <c r="C1422" i="4" s="1"/>
  <c r="B1423" i="4"/>
  <c r="B1424" i="4"/>
  <c r="B1425" i="4"/>
  <c r="B1426" i="4"/>
  <c r="C1426" i="4" s="1"/>
  <c r="B1427" i="4"/>
  <c r="B1428" i="4"/>
  <c r="B1429" i="4"/>
  <c r="B1430" i="4"/>
  <c r="B1431" i="4"/>
  <c r="C1431" i="4" s="1"/>
  <c r="B1432" i="4"/>
  <c r="C1432" i="4" s="1"/>
  <c r="B1433" i="4"/>
  <c r="C1433" i="4" s="1"/>
  <c r="B1434" i="4"/>
  <c r="C1434" i="4" s="1"/>
  <c r="B1435" i="4"/>
  <c r="C1435" i="4" s="1"/>
  <c r="B1436" i="4"/>
  <c r="B1437" i="4"/>
  <c r="C1437" i="4" s="1"/>
  <c r="B1438" i="4"/>
  <c r="D1438" i="4" s="1"/>
  <c r="B1439" i="4"/>
  <c r="C1439" i="4" s="1"/>
  <c r="B1440" i="4"/>
  <c r="C1440" i="4" s="1"/>
  <c r="B1441" i="4"/>
  <c r="C1441" i="4" s="1"/>
  <c r="B1442" i="4"/>
  <c r="C1442" i="4" s="1"/>
  <c r="B1443" i="4"/>
  <c r="B1444" i="4"/>
  <c r="B1445" i="4"/>
  <c r="B1446" i="4"/>
  <c r="C1446" i="4" s="1"/>
  <c r="B1215" i="4"/>
  <c r="C1215" i="4" s="1"/>
  <c r="B1216" i="4"/>
  <c r="B1217" i="4"/>
  <c r="C1217" i="4" s="1"/>
  <c r="B1218" i="4"/>
  <c r="D1218" i="4" s="1"/>
  <c r="B1219" i="4"/>
  <c r="C1219" i="4" s="1"/>
  <c r="B1220" i="4"/>
  <c r="C1220" i="4" s="1"/>
  <c r="B1221" i="4"/>
  <c r="C1221" i="4" s="1"/>
  <c r="B1222" i="4"/>
  <c r="C1222" i="4" s="1"/>
  <c r="B1223" i="4"/>
  <c r="B1224" i="4"/>
  <c r="B1225" i="4"/>
  <c r="B1226" i="4"/>
  <c r="B1227" i="4"/>
  <c r="B1228" i="4"/>
  <c r="B1229" i="4"/>
  <c r="B1230" i="4"/>
  <c r="B1231" i="4"/>
  <c r="C1231" i="4" s="1"/>
  <c r="B1232" i="4"/>
  <c r="C1232" i="4" s="1"/>
  <c r="B1233" i="4"/>
  <c r="C1233" i="4" s="1"/>
  <c r="B1234" i="4"/>
  <c r="C1234" i="4" s="1"/>
  <c r="B1235" i="4"/>
  <c r="C1235" i="4" s="1"/>
  <c r="B1236" i="4"/>
  <c r="B1237" i="4"/>
  <c r="C1237" i="4" s="1"/>
  <c r="B1238" i="4"/>
  <c r="D1238" i="4" s="1"/>
  <c r="B1239" i="4"/>
  <c r="C1239" i="4" s="1"/>
  <c r="B1240" i="4"/>
  <c r="C1240" i="4" s="1"/>
  <c r="B1241" i="4"/>
  <c r="C1241" i="4" s="1"/>
  <c r="B1242" i="4"/>
  <c r="C1242" i="4" s="1"/>
  <c r="B1243" i="4"/>
  <c r="B1244" i="4"/>
  <c r="B1245" i="4"/>
  <c r="B1246" i="4"/>
  <c r="B1247" i="4"/>
  <c r="B1248" i="4"/>
  <c r="B1249" i="4"/>
  <c r="B1250" i="4"/>
  <c r="B1251" i="4"/>
  <c r="C1251" i="4" s="1"/>
  <c r="B1252" i="4"/>
  <c r="C1252" i="4" s="1"/>
  <c r="B1253" i="4"/>
  <c r="C1253" i="4" s="1"/>
  <c r="B1254" i="4"/>
  <c r="C1254" i="4" s="1"/>
  <c r="B1255" i="4"/>
  <c r="C1255" i="4" s="1"/>
  <c r="B1256" i="4"/>
  <c r="B1257" i="4"/>
  <c r="C1257" i="4" s="1"/>
  <c r="B1258" i="4"/>
  <c r="D1258" i="4" s="1"/>
  <c r="B1259" i="4"/>
  <c r="D1259" i="4" s="1"/>
  <c r="B1260" i="4"/>
  <c r="C1260" i="4" s="1"/>
  <c r="B1261" i="4"/>
  <c r="C1261" i="4" s="1"/>
  <c r="B1262" i="4"/>
  <c r="C1262" i="4" s="1"/>
  <c r="B1263" i="4"/>
  <c r="B1264" i="4"/>
  <c r="B1265" i="4"/>
  <c r="B1266" i="4"/>
  <c r="B1267" i="4"/>
  <c r="B1268" i="4"/>
  <c r="B1269" i="4"/>
  <c r="B1270" i="4"/>
  <c r="B1271" i="4"/>
  <c r="C1271" i="4" s="1"/>
  <c r="B1272" i="4"/>
  <c r="C1272" i="4" s="1"/>
  <c r="B1273" i="4"/>
  <c r="C1273" i="4" s="1"/>
  <c r="B1274" i="4"/>
  <c r="C1274" i="4" s="1"/>
  <c r="B1275" i="4"/>
  <c r="C1275" i="4" s="1"/>
  <c r="B1276" i="4"/>
  <c r="B1277" i="4"/>
  <c r="C1277" i="4" s="1"/>
  <c r="B1278" i="4"/>
  <c r="D1278" i="4" s="1"/>
  <c r="B1279" i="4"/>
  <c r="C1279" i="4" s="1"/>
  <c r="B1280" i="4"/>
  <c r="C1280" i="4" s="1"/>
  <c r="B1281" i="4"/>
  <c r="C1281" i="4" s="1"/>
  <c r="B1282" i="4"/>
  <c r="C1282" i="4" s="1"/>
  <c r="B1283" i="4"/>
  <c r="B1284" i="4"/>
  <c r="B1285" i="4"/>
  <c r="B1286" i="4"/>
  <c r="B1287" i="4"/>
  <c r="B1288" i="4"/>
  <c r="B1289" i="4"/>
  <c r="B1290" i="4"/>
  <c r="B1291" i="4"/>
  <c r="C1291" i="4" s="1"/>
  <c r="B1292" i="4"/>
  <c r="C1292" i="4" s="1"/>
  <c r="B1293" i="4"/>
  <c r="C1293" i="4" s="1"/>
  <c r="B1294" i="4"/>
  <c r="C1294" i="4" s="1"/>
  <c r="B1295" i="4"/>
  <c r="D1295" i="4" s="1"/>
  <c r="B1296" i="4"/>
  <c r="B1297" i="4"/>
  <c r="C1297" i="4" s="1"/>
  <c r="B1298" i="4"/>
  <c r="D1298" i="4" s="1"/>
  <c r="B1299" i="4"/>
  <c r="C1299" i="4" s="1"/>
  <c r="B1300" i="4"/>
  <c r="C1300" i="4" s="1"/>
  <c r="B1301" i="4"/>
  <c r="C1301" i="4" s="1"/>
  <c r="B1302" i="4"/>
  <c r="C1302" i="4" s="1"/>
  <c r="B1303" i="4"/>
  <c r="B1304" i="4"/>
  <c r="B1305" i="4"/>
  <c r="B1306" i="4"/>
  <c r="B1307" i="4"/>
  <c r="B1308" i="4"/>
  <c r="B1309" i="4"/>
  <c r="B1310" i="4"/>
  <c r="B1311" i="4"/>
  <c r="C1311" i="4" s="1"/>
  <c r="B1312" i="4"/>
  <c r="C1312" i="4" s="1"/>
  <c r="B1313" i="4"/>
  <c r="C1313" i="4" s="1"/>
  <c r="B1314" i="4"/>
  <c r="D1314" i="4" s="1"/>
  <c r="B1315" i="4"/>
  <c r="C1315" i="4" s="1"/>
  <c r="B1316" i="4"/>
  <c r="B1317" i="4"/>
  <c r="C1317" i="4" s="1"/>
  <c r="B1318" i="4"/>
  <c r="D1318" i="4" s="1"/>
  <c r="B1319" i="4"/>
  <c r="C1319" i="4" s="1"/>
  <c r="B1320" i="4"/>
  <c r="C1320" i="4" s="1"/>
  <c r="B1321" i="4"/>
  <c r="C1321" i="4" s="1"/>
  <c r="B1322" i="4"/>
  <c r="C1322" i="4" s="1"/>
  <c r="B1323" i="4"/>
  <c r="B1324" i="4"/>
  <c r="B1325" i="4"/>
  <c r="B1326" i="4"/>
  <c r="B1327" i="4"/>
  <c r="B1328" i="4"/>
  <c r="B1329" i="4"/>
  <c r="B1330" i="4"/>
  <c r="B1331" i="4"/>
  <c r="C1331" i="4" s="1"/>
  <c r="B1332" i="4"/>
  <c r="C1332" i="4" s="1"/>
  <c r="B1333" i="4"/>
  <c r="C1333" i="4" s="1"/>
  <c r="B1334" i="4"/>
  <c r="C1334" i="4" s="1"/>
  <c r="B1335" i="4"/>
  <c r="C1335" i="4" s="1"/>
  <c r="B1336" i="4"/>
  <c r="B1337" i="4"/>
  <c r="C1337" i="4" s="1"/>
  <c r="B1338" i="4"/>
  <c r="D1338" i="4" s="1"/>
  <c r="B1339" i="4"/>
  <c r="C1339" i="4" s="1"/>
  <c r="B1340" i="4"/>
  <c r="C1340" i="4" s="1"/>
  <c r="B1341" i="4"/>
  <c r="C1341" i="4" s="1"/>
  <c r="B1342" i="4"/>
  <c r="C1342" i="4" s="1"/>
  <c r="B1343" i="4"/>
  <c r="B1344" i="4"/>
  <c r="B1345" i="4"/>
  <c r="B1346" i="4"/>
  <c r="B1347" i="4"/>
  <c r="B1348" i="4"/>
  <c r="B1349" i="4"/>
  <c r="B1350" i="4"/>
  <c r="B1351" i="4"/>
  <c r="C1351" i="4" s="1"/>
  <c r="B1352" i="4"/>
  <c r="C1352" i="4" s="1"/>
  <c r="B1353" i="4"/>
  <c r="C1353" i="4" s="1"/>
  <c r="B1354" i="4"/>
  <c r="C1354" i="4" s="1"/>
  <c r="B1355" i="4"/>
  <c r="C1355" i="4" s="1"/>
  <c r="B1356" i="4"/>
  <c r="B1357" i="4"/>
  <c r="C1357" i="4" s="1"/>
  <c r="B1358" i="4"/>
  <c r="D1358" i="4" s="1"/>
  <c r="B1359" i="4"/>
  <c r="C1359" i="4" s="1"/>
  <c r="B1360" i="4"/>
  <c r="C1360" i="4" s="1"/>
  <c r="B1361" i="4"/>
  <c r="C1361" i="4" s="1"/>
  <c r="B1362" i="4"/>
  <c r="C1362" i="4" s="1"/>
  <c r="B1363" i="4"/>
  <c r="B1364" i="4"/>
  <c r="B1365" i="4"/>
  <c r="B1366" i="4"/>
  <c r="B1367" i="4"/>
  <c r="B1368" i="4"/>
  <c r="B1369" i="4"/>
  <c r="B1370" i="4"/>
  <c r="B1371" i="4"/>
  <c r="C1371" i="4" s="1"/>
  <c r="B1372" i="4"/>
  <c r="C1372" i="4" s="1"/>
  <c r="B1373" i="4"/>
  <c r="C1373" i="4" s="1"/>
  <c r="B1374" i="4"/>
  <c r="C1374" i="4" s="1"/>
  <c r="B1375" i="4"/>
  <c r="C1375" i="4" s="1"/>
  <c r="B1376" i="4"/>
  <c r="B1377" i="4"/>
  <c r="C1377" i="4" s="1"/>
  <c r="B1378" i="4"/>
  <c r="D1378" i="4" s="1"/>
  <c r="B1379" i="4"/>
  <c r="C1379" i="4" s="1"/>
  <c r="B1380" i="4"/>
  <c r="C1380" i="4" s="1"/>
  <c r="B1381" i="4"/>
  <c r="C1381" i="4" s="1"/>
  <c r="B1382" i="4"/>
  <c r="C1382" i="4" s="1"/>
  <c r="B1383" i="4"/>
  <c r="B1384" i="4"/>
  <c r="B1385" i="4"/>
  <c r="B1386" i="4"/>
  <c r="B1387" i="4"/>
  <c r="B1388" i="4"/>
  <c r="B1389" i="4"/>
  <c r="B1390" i="4"/>
  <c r="B1391" i="4"/>
  <c r="C1391" i="4" s="1"/>
  <c r="B1392" i="4"/>
  <c r="C1392" i="4" s="1"/>
  <c r="B1393" i="4"/>
  <c r="C1393" i="4" s="1"/>
  <c r="B1394" i="4"/>
  <c r="C1394" i="4" s="1"/>
  <c r="B1395" i="4"/>
  <c r="C1395" i="4" s="1"/>
  <c r="B1396" i="4"/>
  <c r="B1397" i="4"/>
  <c r="C1397" i="4" s="1"/>
  <c r="B1398" i="4"/>
  <c r="D1398" i="4" s="1"/>
  <c r="B1399" i="4"/>
  <c r="C1399" i="4" s="1"/>
  <c r="B1400" i="4"/>
  <c r="C1400" i="4" s="1"/>
  <c r="B1401" i="4"/>
  <c r="C1401" i="4" s="1"/>
  <c r="B1402" i="4"/>
  <c r="C1402" i="4" s="1"/>
  <c r="B1088" i="4"/>
  <c r="B1089" i="4"/>
  <c r="B1090" i="4"/>
  <c r="B1091" i="4"/>
  <c r="C1091" i="4" s="1"/>
  <c r="B1092" i="4"/>
  <c r="C1092" i="4" s="1"/>
  <c r="B1093" i="4"/>
  <c r="C1093" i="4" s="1"/>
  <c r="B1094" i="4"/>
  <c r="C1094" i="4" s="1"/>
  <c r="B1095" i="4"/>
  <c r="C1095" i="4" s="1"/>
  <c r="B1096" i="4"/>
  <c r="B1097" i="4"/>
  <c r="C1097" i="4" s="1"/>
  <c r="B1098" i="4"/>
  <c r="C1098" i="4" s="1"/>
  <c r="B1099" i="4"/>
  <c r="C1099" i="4" s="1"/>
  <c r="B1100" i="4"/>
  <c r="C1100" i="4" s="1"/>
  <c r="B1101" i="4"/>
  <c r="C1101" i="4" s="1"/>
  <c r="B1102" i="4"/>
  <c r="C1102" i="4" s="1"/>
  <c r="B1103" i="4"/>
  <c r="B1104" i="4"/>
  <c r="B1105" i="4"/>
  <c r="B1106" i="4"/>
  <c r="B1107" i="4"/>
  <c r="B1108" i="4"/>
  <c r="B1109" i="4"/>
  <c r="B1110" i="4"/>
  <c r="B1111" i="4"/>
  <c r="C1111" i="4" s="1"/>
  <c r="B1112" i="4"/>
  <c r="C1112" i="4" s="1"/>
  <c r="B1113" i="4"/>
  <c r="C1113" i="4" s="1"/>
  <c r="B1114" i="4"/>
  <c r="C1114" i="4" s="1"/>
  <c r="B1115" i="4"/>
  <c r="C1115" i="4" s="1"/>
  <c r="B1116" i="4"/>
  <c r="B1117" i="4"/>
  <c r="C1117" i="4" s="1"/>
  <c r="B1118" i="4"/>
  <c r="C1118" i="4" s="1"/>
  <c r="B1119" i="4"/>
  <c r="C1119" i="4" s="1"/>
  <c r="B1120" i="4"/>
  <c r="C1120" i="4" s="1"/>
  <c r="B1121" i="4"/>
  <c r="C1121" i="4" s="1"/>
  <c r="B1122" i="4"/>
  <c r="C1122" i="4" s="1"/>
  <c r="B1123" i="4"/>
  <c r="B1124" i="4"/>
  <c r="B1125" i="4"/>
  <c r="B1126" i="4"/>
  <c r="B1127" i="4"/>
  <c r="B1128" i="4"/>
  <c r="B1129" i="4"/>
  <c r="B1130" i="4"/>
  <c r="B1131" i="4"/>
  <c r="C1131" i="4" s="1"/>
  <c r="B1132" i="4"/>
  <c r="C1132" i="4" s="1"/>
  <c r="B1133" i="4"/>
  <c r="C1133" i="4" s="1"/>
  <c r="B1134" i="4"/>
  <c r="C1134" i="4" s="1"/>
  <c r="B1135" i="4"/>
  <c r="C1135" i="4" s="1"/>
  <c r="B1136" i="4"/>
  <c r="B1137" i="4"/>
  <c r="C1137" i="4" s="1"/>
  <c r="B1138" i="4"/>
  <c r="C1138" i="4" s="1"/>
  <c r="B1139" i="4"/>
  <c r="C1139" i="4" s="1"/>
  <c r="B1140" i="4"/>
  <c r="C1140" i="4" s="1"/>
  <c r="B1141" i="4"/>
  <c r="C1141" i="4" s="1"/>
  <c r="B1142" i="4"/>
  <c r="C1142" i="4" s="1"/>
  <c r="B1143" i="4"/>
  <c r="B1144" i="4"/>
  <c r="B1145" i="4"/>
  <c r="B1146" i="4"/>
  <c r="B1147" i="4"/>
  <c r="B1148" i="4"/>
  <c r="B1149" i="4"/>
  <c r="B1150" i="4"/>
  <c r="B1151" i="4"/>
  <c r="C1151" i="4" s="1"/>
  <c r="B1152" i="4"/>
  <c r="C1152" i="4" s="1"/>
  <c r="B1153" i="4"/>
  <c r="C1153" i="4" s="1"/>
  <c r="B1154" i="4"/>
  <c r="C1154" i="4" s="1"/>
  <c r="B1155" i="4"/>
  <c r="C1155" i="4" s="1"/>
  <c r="B1156" i="4"/>
  <c r="B1157" i="4"/>
  <c r="C1157" i="4" s="1"/>
  <c r="B1158" i="4"/>
  <c r="C1158" i="4" s="1"/>
  <c r="B1159" i="4"/>
  <c r="C1159" i="4" s="1"/>
  <c r="B1160" i="4"/>
  <c r="C1160" i="4" s="1"/>
  <c r="B1161" i="4"/>
  <c r="C1161" i="4" s="1"/>
  <c r="B1162" i="4"/>
  <c r="C1162" i="4" s="1"/>
  <c r="B1163" i="4"/>
  <c r="B1164" i="4"/>
  <c r="B1165" i="4"/>
  <c r="B1166" i="4"/>
  <c r="B1167" i="4"/>
  <c r="B1168" i="4"/>
  <c r="B1169" i="4"/>
  <c r="B1170" i="4"/>
  <c r="B1171" i="4"/>
  <c r="C1171" i="4" s="1"/>
  <c r="B1172" i="4"/>
  <c r="C1172" i="4" s="1"/>
  <c r="B1173" i="4"/>
  <c r="C1173" i="4" s="1"/>
  <c r="B1174" i="4"/>
  <c r="C1174" i="4" s="1"/>
  <c r="B1175" i="4"/>
  <c r="C1175" i="4" s="1"/>
  <c r="B1176" i="4"/>
  <c r="B1177" i="4"/>
  <c r="C1177" i="4" s="1"/>
  <c r="B1178" i="4"/>
  <c r="C1178" i="4" s="1"/>
  <c r="B1179" i="4"/>
  <c r="C1179" i="4" s="1"/>
  <c r="B1180" i="4"/>
  <c r="C1180" i="4" s="1"/>
  <c r="B1181" i="4"/>
  <c r="C1181" i="4" s="1"/>
  <c r="B1182" i="4"/>
  <c r="C1182" i="4" s="1"/>
  <c r="B1183" i="4"/>
  <c r="B1184" i="4"/>
  <c r="B1185" i="4"/>
  <c r="B1186" i="4"/>
  <c r="B1187" i="4"/>
  <c r="B1188" i="4"/>
  <c r="B1189" i="4"/>
  <c r="B1190" i="4"/>
  <c r="B1191" i="4"/>
  <c r="C1191" i="4" s="1"/>
  <c r="B1192" i="4"/>
  <c r="C1192" i="4" s="1"/>
  <c r="B1193" i="4"/>
  <c r="C1193" i="4" s="1"/>
  <c r="B1194" i="4"/>
  <c r="C1194" i="4" s="1"/>
  <c r="B1195" i="4"/>
  <c r="C1195" i="4" s="1"/>
  <c r="B1196" i="4"/>
  <c r="B1197" i="4"/>
  <c r="C1197" i="4" s="1"/>
  <c r="B1198" i="4"/>
  <c r="C1198" i="4" s="1"/>
  <c r="B1199" i="4"/>
  <c r="C1199" i="4" s="1"/>
  <c r="B1200" i="4"/>
  <c r="C1200" i="4" s="1"/>
  <c r="B1201" i="4"/>
  <c r="C1201" i="4" s="1"/>
  <c r="B1202" i="4"/>
  <c r="C1202" i="4" s="1"/>
  <c r="B1203" i="4"/>
  <c r="B1204" i="4"/>
  <c r="B1205" i="4"/>
  <c r="B1206" i="4"/>
  <c r="B1207" i="4"/>
  <c r="B1208" i="4"/>
  <c r="B1209" i="4"/>
  <c r="B1210" i="4"/>
  <c r="B1211" i="4"/>
  <c r="C1211" i="4" s="1"/>
  <c r="B1212" i="4"/>
  <c r="C1212" i="4" s="1"/>
  <c r="B1213" i="4"/>
  <c r="C1213" i="4" s="1"/>
  <c r="B1214" i="4"/>
  <c r="C1214" i="4" s="1"/>
  <c r="B1087" i="4"/>
  <c r="E364" i="4"/>
  <c r="I136" i="4"/>
  <c r="J136" i="4" s="1"/>
  <c r="I137" i="4"/>
  <c r="N137" i="4" s="1"/>
  <c r="I138" i="4"/>
  <c r="P138" i="4" s="1"/>
  <c r="I139" i="4"/>
  <c r="J139" i="4" s="1"/>
  <c r="I140" i="4"/>
  <c r="M140" i="4" s="1"/>
  <c r="I141" i="4"/>
  <c r="I1585" i="4" s="1"/>
  <c r="I142" i="4"/>
  <c r="N142" i="4" s="1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132" i="4"/>
  <c r="L132" i="4" s="1"/>
  <c r="I133" i="4"/>
  <c r="I494" i="4" s="1"/>
  <c r="I134" i="4"/>
  <c r="I135" i="4"/>
  <c r="J135" i="4" s="1"/>
  <c r="I5" i="4"/>
  <c r="I6" i="4"/>
  <c r="I7" i="4"/>
  <c r="I1451" i="4" s="1"/>
  <c r="I8" i="4"/>
  <c r="I1452" i="4" s="1"/>
  <c r="I9" i="4"/>
  <c r="I370" i="4" s="1"/>
  <c r="I10" i="4"/>
  <c r="I11" i="4"/>
  <c r="I1455" i="4" s="1"/>
  <c r="I12" i="4"/>
  <c r="I1095" i="4" s="1"/>
  <c r="I13" i="4"/>
  <c r="I1457" i="4" s="1"/>
  <c r="I14" i="4"/>
  <c r="I1097" i="4" s="1"/>
  <c r="I15" i="4"/>
  <c r="I16" i="4"/>
  <c r="I17" i="4"/>
  <c r="I18" i="4"/>
  <c r="I19" i="4"/>
  <c r="I20" i="4"/>
  <c r="I21" i="4"/>
  <c r="I382" i="4" s="1"/>
  <c r="I22" i="4"/>
  <c r="I23" i="4"/>
  <c r="I24" i="4"/>
  <c r="I25" i="4"/>
  <c r="I386" i="4" s="1"/>
  <c r="I26" i="4"/>
  <c r="I27" i="4"/>
  <c r="E27" i="4" s="1"/>
  <c r="I28" i="4"/>
  <c r="I1472" i="4" s="1"/>
  <c r="I29" i="4"/>
  <c r="I1112" i="4" s="1"/>
  <c r="I30" i="4"/>
  <c r="I31" i="4"/>
  <c r="I1475" i="4" s="1"/>
  <c r="I32" i="4"/>
  <c r="I1476" i="4" s="1"/>
  <c r="I33" i="4"/>
  <c r="I1477" i="4" s="1"/>
  <c r="I34" i="4"/>
  <c r="I1117" i="4" s="1"/>
  <c r="I35" i="4"/>
  <c r="I36" i="4"/>
  <c r="I37" i="4"/>
  <c r="I38" i="4"/>
  <c r="I39" i="4"/>
  <c r="I40" i="4"/>
  <c r="I41" i="4"/>
  <c r="I1485" i="4" s="1"/>
  <c r="I42" i="4"/>
  <c r="I43" i="4"/>
  <c r="I44" i="4"/>
  <c r="I45" i="4"/>
  <c r="I406" i="4" s="1"/>
  <c r="I46" i="4"/>
  <c r="I47" i="4"/>
  <c r="I1491" i="4" s="1"/>
  <c r="I48" i="4"/>
  <c r="I1492" i="4" s="1"/>
  <c r="I49" i="4"/>
  <c r="I410" i="4" s="1"/>
  <c r="I50" i="4"/>
  <c r="I51" i="4"/>
  <c r="E51" i="4" s="1"/>
  <c r="I52" i="4"/>
  <c r="I1496" i="4" s="1"/>
  <c r="I53" i="4"/>
  <c r="E53" i="4" s="1"/>
  <c r="I54" i="4"/>
  <c r="I1498" i="4" s="1"/>
  <c r="I55" i="4"/>
  <c r="I56" i="4"/>
  <c r="I57" i="4"/>
  <c r="I58" i="4"/>
  <c r="I59" i="4"/>
  <c r="I60" i="4"/>
  <c r="I61" i="4"/>
  <c r="I1505" i="4" s="1"/>
  <c r="I62" i="4"/>
  <c r="I63" i="4"/>
  <c r="I64" i="4"/>
  <c r="I65" i="4"/>
  <c r="I1509" i="4" s="1"/>
  <c r="I66" i="4"/>
  <c r="I67" i="4"/>
  <c r="I1511" i="4" s="1"/>
  <c r="I68" i="4"/>
  <c r="I1512" i="4" s="1"/>
  <c r="I69" i="4"/>
  <c r="I430" i="4" s="1"/>
  <c r="I70" i="4"/>
  <c r="I71" i="4"/>
  <c r="E71" i="4" s="1"/>
  <c r="I72" i="4"/>
  <c r="I1516" i="4" s="1"/>
  <c r="I73" i="4"/>
  <c r="I1517" i="4" s="1"/>
  <c r="I74" i="4"/>
  <c r="I1518" i="4" s="1"/>
  <c r="I75" i="4"/>
  <c r="I76" i="4"/>
  <c r="I77" i="4"/>
  <c r="I78" i="4"/>
  <c r="I79" i="4"/>
  <c r="I80" i="4"/>
  <c r="I81" i="4"/>
  <c r="I1525" i="4" s="1"/>
  <c r="I82" i="4"/>
  <c r="I83" i="4"/>
  <c r="I84" i="4"/>
  <c r="I85" i="4"/>
  <c r="I1529" i="4" s="1"/>
  <c r="I86" i="4"/>
  <c r="I87" i="4"/>
  <c r="I1531" i="4" s="1"/>
  <c r="I88" i="4"/>
  <c r="I1532" i="4" s="1"/>
  <c r="I89" i="4"/>
  <c r="I1533" i="4" s="1"/>
  <c r="I90" i="4"/>
  <c r="I91" i="4"/>
  <c r="E91" i="4" s="1"/>
  <c r="I92" i="4"/>
  <c r="I1536" i="4" s="1"/>
  <c r="I93" i="4"/>
  <c r="I1537" i="4" s="1"/>
  <c r="I94" i="4"/>
  <c r="I1538" i="4" s="1"/>
  <c r="I95" i="4"/>
  <c r="I96" i="4"/>
  <c r="I97" i="4"/>
  <c r="I98" i="4"/>
  <c r="I99" i="4"/>
  <c r="I100" i="4"/>
  <c r="I101" i="4"/>
  <c r="I462" i="4" s="1"/>
  <c r="I102" i="4"/>
  <c r="I103" i="4"/>
  <c r="I104" i="4"/>
  <c r="I105" i="4"/>
  <c r="I466" i="4" s="1"/>
  <c r="I106" i="4"/>
  <c r="I107" i="4"/>
  <c r="E107" i="4" s="1"/>
  <c r="I108" i="4"/>
  <c r="I1552" i="4" s="1"/>
  <c r="I109" i="4"/>
  <c r="I1553" i="4" s="1"/>
  <c r="I110" i="4"/>
  <c r="I111" i="4"/>
  <c r="I1555" i="4" s="1"/>
  <c r="I112" i="4"/>
  <c r="I1556" i="4" s="1"/>
  <c r="I113" i="4"/>
  <c r="I1196" i="4" s="1"/>
  <c r="I114" i="4"/>
  <c r="I1558" i="4" s="1"/>
  <c r="I115" i="4"/>
  <c r="I116" i="4"/>
  <c r="I117" i="4"/>
  <c r="I118" i="4"/>
  <c r="I119" i="4"/>
  <c r="I120" i="4"/>
  <c r="I121" i="4"/>
  <c r="I482" i="4" s="1"/>
  <c r="I122" i="4"/>
  <c r="I123" i="4"/>
  <c r="I124" i="4"/>
  <c r="I125" i="4"/>
  <c r="I1569" i="4" s="1"/>
  <c r="I126" i="4"/>
  <c r="I127" i="4"/>
  <c r="E127" i="4" s="1"/>
  <c r="I128" i="4"/>
  <c r="I1572" i="4" s="1"/>
  <c r="I129" i="4"/>
  <c r="I490" i="4" s="1"/>
  <c r="I130" i="4"/>
  <c r="I131" i="4"/>
  <c r="I1575" i="4" s="1"/>
  <c r="I4" i="4"/>
  <c r="I365" i="4" s="1"/>
  <c r="N6" i="13"/>
  <c r="Q6" i="13" s="1"/>
  <c r="E725" i="4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D492" i="4" s="1"/>
  <c r="B493" i="4"/>
  <c r="C493" i="4" s="1"/>
  <c r="B494" i="4"/>
  <c r="D494" i="4" s="1"/>
  <c r="B495" i="4"/>
  <c r="D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D514" i="4" s="1"/>
  <c r="B515" i="4"/>
  <c r="D515" i="4" s="1"/>
  <c r="B516" i="4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B524" i="4"/>
  <c r="B525" i="4"/>
  <c r="B526" i="4"/>
  <c r="B527" i="4"/>
  <c r="B528" i="4"/>
  <c r="B529" i="4"/>
  <c r="B530" i="4"/>
  <c r="B531" i="4"/>
  <c r="C531" i="4" s="1"/>
  <c r="B532" i="4"/>
  <c r="D532" i="4" s="1"/>
  <c r="B533" i="4"/>
  <c r="C533" i="4" s="1"/>
  <c r="B534" i="4"/>
  <c r="C534" i="4" s="1"/>
  <c r="B535" i="4"/>
  <c r="C535" i="4" s="1"/>
  <c r="B536" i="4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B544" i="4"/>
  <c r="B545" i="4"/>
  <c r="B546" i="4"/>
  <c r="B547" i="4"/>
  <c r="B548" i="4"/>
  <c r="B549" i="4"/>
  <c r="B550" i="4"/>
  <c r="B551" i="4"/>
  <c r="C551" i="4" s="1"/>
  <c r="B552" i="4"/>
  <c r="C552" i="4" s="1"/>
  <c r="B553" i="4"/>
  <c r="C553" i="4" s="1"/>
  <c r="B554" i="4"/>
  <c r="C554" i="4" s="1"/>
  <c r="B555" i="4"/>
  <c r="C555" i="4" s="1"/>
  <c r="B556" i="4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B564" i="4"/>
  <c r="B565" i="4"/>
  <c r="B566" i="4"/>
  <c r="B567" i="4"/>
  <c r="B568" i="4"/>
  <c r="B569" i="4"/>
  <c r="B570" i="4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B584" i="4"/>
  <c r="B585" i="4"/>
  <c r="B586" i="4"/>
  <c r="B587" i="4"/>
  <c r="B588" i="4"/>
  <c r="B589" i="4"/>
  <c r="B590" i="4"/>
  <c r="B591" i="4"/>
  <c r="C591" i="4" s="1"/>
  <c r="B592" i="4"/>
  <c r="D592" i="4" s="1"/>
  <c r="B593" i="4"/>
  <c r="C593" i="4" s="1"/>
  <c r="B594" i="4"/>
  <c r="C594" i="4" s="1"/>
  <c r="B595" i="4"/>
  <c r="D595" i="4" s="1"/>
  <c r="B596" i="4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B604" i="4"/>
  <c r="B605" i="4"/>
  <c r="B606" i="4"/>
  <c r="B607" i="4"/>
  <c r="B608" i="4"/>
  <c r="B609" i="4"/>
  <c r="B610" i="4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B617" i="4"/>
  <c r="C617" i="4" s="1"/>
  <c r="B618" i="4"/>
  <c r="C618" i="4" s="1"/>
  <c r="B619" i="4"/>
  <c r="C619" i="4" s="1"/>
  <c r="B620" i="4"/>
  <c r="C620" i="4" s="1"/>
  <c r="B621" i="4"/>
  <c r="C621" i="4" s="1"/>
  <c r="B622" i="4"/>
  <c r="C622" i="4" s="1"/>
  <c r="B623" i="4"/>
  <c r="B624" i="4"/>
  <c r="B625" i="4"/>
  <c r="B626" i="4"/>
  <c r="B627" i="4"/>
  <c r="B628" i="4"/>
  <c r="B629" i="4"/>
  <c r="B630" i="4"/>
  <c r="B631" i="4"/>
  <c r="C631" i="4" s="1"/>
  <c r="B632" i="4"/>
  <c r="D632" i="4" s="1"/>
  <c r="B633" i="4"/>
  <c r="C633" i="4" s="1"/>
  <c r="B634" i="4"/>
  <c r="C634" i="4" s="1"/>
  <c r="B635" i="4"/>
  <c r="C635" i="4" s="1"/>
  <c r="B636" i="4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B644" i="4"/>
  <c r="B645" i="4"/>
  <c r="B646" i="4"/>
  <c r="B647" i="4"/>
  <c r="B648" i="4"/>
  <c r="B649" i="4"/>
  <c r="B650" i="4"/>
  <c r="B651" i="4"/>
  <c r="C651" i="4" s="1"/>
  <c r="B652" i="4"/>
  <c r="D652" i="4" s="1"/>
  <c r="B653" i="4"/>
  <c r="C653" i="4" s="1"/>
  <c r="B654" i="4"/>
  <c r="D654" i="4" s="1"/>
  <c r="B655" i="4"/>
  <c r="D655" i="4" s="1"/>
  <c r="B656" i="4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B664" i="4"/>
  <c r="B665" i="4"/>
  <c r="B666" i="4"/>
  <c r="B667" i="4"/>
  <c r="B668" i="4"/>
  <c r="B669" i="4"/>
  <c r="B670" i="4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B684" i="4"/>
  <c r="B685" i="4"/>
  <c r="B686" i="4"/>
  <c r="B687" i="4"/>
  <c r="B688" i="4"/>
  <c r="B689" i="4"/>
  <c r="B690" i="4"/>
  <c r="B691" i="4"/>
  <c r="C691" i="4" s="1"/>
  <c r="B692" i="4"/>
  <c r="D692" i="4" s="1"/>
  <c r="B693" i="4"/>
  <c r="C693" i="4" s="1"/>
  <c r="B694" i="4"/>
  <c r="D694" i="4" s="1"/>
  <c r="B695" i="4"/>
  <c r="C695" i="4" s="1"/>
  <c r="B696" i="4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B704" i="4"/>
  <c r="B705" i="4"/>
  <c r="B706" i="4"/>
  <c r="B707" i="4"/>
  <c r="B708" i="4"/>
  <c r="B709" i="4"/>
  <c r="B710" i="4"/>
  <c r="B711" i="4"/>
  <c r="C711" i="4" s="1"/>
  <c r="B712" i="4"/>
  <c r="D712" i="4" s="1"/>
  <c r="B713" i="4"/>
  <c r="C713" i="4" s="1"/>
  <c r="B714" i="4"/>
  <c r="C714" i="4" s="1"/>
  <c r="B715" i="4"/>
  <c r="C715" i="4" s="1"/>
  <c r="B716" i="4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B724" i="4"/>
  <c r="B366" i="4"/>
  <c r="B367" i="4"/>
  <c r="B728" i="4" s="1"/>
  <c r="B368" i="4"/>
  <c r="B1451" i="4" s="1"/>
  <c r="B369" i="4"/>
  <c r="B730" i="4" s="1"/>
  <c r="B370" i="4"/>
  <c r="B731" i="4" s="1"/>
  <c r="B371" i="4"/>
  <c r="B732" i="4" s="1"/>
  <c r="B372" i="4"/>
  <c r="B373" i="4"/>
  <c r="B734" i="4" s="1"/>
  <c r="B374" i="4"/>
  <c r="B375" i="4"/>
  <c r="B736" i="4" s="1"/>
  <c r="B376" i="4"/>
  <c r="B377" i="4"/>
  <c r="B738" i="4" s="1"/>
  <c r="B378" i="4"/>
  <c r="B739" i="4" s="1"/>
  <c r="B379" i="4"/>
  <c r="B740" i="4" s="1"/>
  <c r="B380" i="4"/>
  <c r="B741" i="4" s="1"/>
  <c r="B381" i="4"/>
  <c r="B742" i="4" s="1"/>
  <c r="B382" i="4"/>
  <c r="B743" i="4" s="1"/>
  <c r="B383" i="4"/>
  <c r="B744" i="4" s="1"/>
  <c r="B384" i="4"/>
  <c r="B745" i="4" s="1"/>
  <c r="B385" i="4"/>
  <c r="B386" i="4"/>
  <c r="B387" i="4"/>
  <c r="B748" i="4" s="1"/>
  <c r="B388" i="4"/>
  <c r="B1471" i="4" s="1"/>
  <c r="B389" i="4"/>
  <c r="B750" i="4" s="1"/>
  <c r="B390" i="4"/>
  <c r="B751" i="4" s="1"/>
  <c r="B391" i="4"/>
  <c r="B752" i="4" s="1"/>
  <c r="B392" i="4"/>
  <c r="B753" i="4" s="1"/>
  <c r="D753" i="4" s="1"/>
  <c r="B393" i="4"/>
  <c r="B754" i="4" s="1"/>
  <c r="B394" i="4"/>
  <c r="B755" i="4" s="1"/>
  <c r="B395" i="4"/>
  <c r="B756" i="4" s="1"/>
  <c r="B396" i="4"/>
  <c r="B757" i="4" s="1"/>
  <c r="B397" i="4"/>
  <c r="B758" i="4" s="1"/>
  <c r="B398" i="4"/>
  <c r="B759" i="4" s="1"/>
  <c r="B399" i="4"/>
  <c r="B760" i="4" s="1"/>
  <c r="B400" i="4"/>
  <c r="B761" i="4" s="1"/>
  <c r="B401" i="4"/>
  <c r="B762" i="4" s="1"/>
  <c r="B402" i="4"/>
  <c r="B763" i="4" s="1"/>
  <c r="B403" i="4"/>
  <c r="B764" i="4" s="1"/>
  <c r="B404" i="4"/>
  <c r="B765" i="4" s="1"/>
  <c r="B405" i="4"/>
  <c r="B766" i="4" s="1"/>
  <c r="B406" i="4"/>
  <c r="B407" i="4"/>
  <c r="B768" i="4" s="1"/>
  <c r="B408" i="4"/>
  <c r="B1491" i="4" s="1"/>
  <c r="B409" i="4"/>
  <c r="B770" i="4" s="1"/>
  <c r="B410" i="4"/>
  <c r="B771" i="4" s="1"/>
  <c r="B411" i="4"/>
  <c r="B772" i="4" s="1"/>
  <c r="D772" i="4" s="1"/>
  <c r="B412" i="4"/>
  <c r="B773" i="4" s="1"/>
  <c r="B413" i="4"/>
  <c r="B774" i="4" s="1"/>
  <c r="B414" i="4"/>
  <c r="B415" i="4"/>
  <c r="B776" i="4" s="1"/>
  <c r="B416" i="4"/>
  <c r="B777" i="4" s="1"/>
  <c r="B417" i="4"/>
  <c r="B778" i="4" s="1"/>
  <c r="B418" i="4"/>
  <c r="B779" i="4" s="1"/>
  <c r="B419" i="4"/>
  <c r="B780" i="4" s="1"/>
  <c r="B420" i="4"/>
  <c r="B781" i="4" s="1"/>
  <c r="B421" i="4"/>
  <c r="B782" i="4" s="1"/>
  <c r="B422" i="4"/>
  <c r="B783" i="4" s="1"/>
  <c r="B423" i="4"/>
  <c r="B784" i="4" s="1"/>
  <c r="B424" i="4"/>
  <c r="B785" i="4" s="1"/>
  <c r="B425" i="4"/>
  <c r="B786" i="4" s="1"/>
  <c r="B426" i="4"/>
  <c r="B427" i="4"/>
  <c r="B788" i="4" s="1"/>
  <c r="B428" i="4"/>
  <c r="B429" i="4"/>
  <c r="B790" i="4" s="1"/>
  <c r="B430" i="4"/>
  <c r="B791" i="4" s="1"/>
  <c r="B431" i="4"/>
  <c r="B792" i="4" s="1"/>
  <c r="D792" i="4" s="1"/>
  <c r="B432" i="4"/>
  <c r="B793" i="4" s="1"/>
  <c r="D793" i="4" s="1"/>
  <c r="B433" i="4"/>
  <c r="B794" i="4" s="1"/>
  <c r="D794" i="4" s="1"/>
  <c r="B434" i="4"/>
  <c r="B795" i="4" s="1"/>
  <c r="D795" i="4" s="1"/>
  <c r="B435" i="4"/>
  <c r="B796" i="4" s="1"/>
  <c r="B436" i="4"/>
  <c r="B797" i="4" s="1"/>
  <c r="B437" i="4"/>
  <c r="B798" i="4" s="1"/>
  <c r="B438" i="4"/>
  <c r="B799" i="4" s="1"/>
  <c r="B439" i="4"/>
  <c r="B800" i="4" s="1"/>
  <c r="B440" i="4"/>
  <c r="B801" i="4" s="1"/>
  <c r="B441" i="4"/>
  <c r="B802" i="4" s="1"/>
  <c r="B442" i="4"/>
  <c r="B803" i="4" s="1"/>
  <c r="B443" i="4"/>
  <c r="B804" i="4" s="1"/>
  <c r="B444" i="4"/>
  <c r="B805" i="4" s="1"/>
  <c r="B445" i="4"/>
  <c r="B806" i="4" s="1"/>
  <c r="B446" i="4"/>
  <c r="B447" i="4"/>
  <c r="B808" i="4" s="1"/>
  <c r="B448" i="4"/>
  <c r="B449" i="4"/>
  <c r="B810" i="4" s="1"/>
  <c r="B450" i="4"/>
  <c r="B811" i="4" s="1"/>
  <c r="B451" i="4"/>
  <c r="B812" i="4" s="1"/>
  <c r="B452" i="4"/>
  <c r="B813" i="4" s="1"/>
  <c r="B453" i="4"/>
  <c r="B814" i="4" s="1"/>
  <c r="B454" i="4"/>
  <c r="B815" i="4" s="1"/>
  <c r="B455" i="4"/>
  <c r="B816" i="4" s="1"/>
  <c r="B456" i="4"/>
  <c r="B817" i="4" s="1"/>
  <c r="B457" i="4"/>
  <c r="B818" i="4" s="1"/>
  <c r="B458" i="4"/>
  <c r="B819" i="4" s="1"/>
  <c r="B459" i="4"/>
  <c r="B820" i="4" s="1"/>
  <c r="B460" i="4"/>
  <c r="B821" i="4" s="1"/>
  <c r="B461" i="4"/>
  <c r="B822" i="4" s="1"/>
  <c r="B462" i="4"/>
  <c r="B823" i="4" s="1"/>
  <c r="B463" i="4"/>
  <c r="B824" i="4" s="1"/>
  <c r="B464" i="4"/>
  <c r="B825" i="4" s="1"/>
  <c r="B465" i="4"/>
  <c r="B826" i="4" s="1"/>
  <c r="B466" i="4"/>
  <c r="B467" i="4"/>
  <c r="B828" i="4" s="1"/>
  <c r="B468" i="4"/>
  <c r="B469" i="4"/>
  <c r="B830" i="4" s="1"/>
  <c r="B470" i="4"/>
  <c r="B831" i="4" s="1"/>
  <c r="B471" i="4"/>
  <c r="B832" i="4" s="1"/>
  <c r="B472" i="4"/>
  <c r="B833" i="4" s="1"/>
  <c r="D833" i="4" s="1"/>
  <c r="B473" i="4"/>
  <c r="B834" i="4" s="1"/>
  <c r="D834" i="4" s="1"/>
  <c r="B474" i="4"/>
  <c r="B835" i="4" s="1"/>
  <c r="B475" i="4"/>
  <c r="B836" i="4" s="1"/>
  <c r="B476" i="4"/>
  <c r="B837" i="4" s="1"/>
  <c r="B477" i="4"/>
  <c r="B838" i="4" s="1"/>
  <c r="B478" i="4"/>
  <c r="B839" i="4" s="1"/>
  <c r="B479" i="4"/>
  <c r="B840" i="4" s="1"/>
  <c r="B480" i="4"/>
  <c r="B841" i="4" s="1"/>
  <c r="B481" i="4"/>
  <c r="B842" i="4" s="1"/>
  <c r="B482" i="4"/>
  <c r="B843" i="4" s="1"/>
  <c r="B483" i="4"/>
  <c r="B844" i="4" s="1"/>
  <c r="B484" i="4"/>
  <c r="B845" i="4" s="1"/>
  <c r="B365" i="4"/>
  <c r="C365" i="4" s="1"/>
  <c r="N5" i="13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5" i="13"/>
  <c r="D4" i="4"/>
  <c r="C4" i="4"/>
  <c r="CL3" i="13"/>
  <c r="BS3" i="13"/>
  <c r="AZ3" i="13"/>
  <c r="AG3" i="13"/>
  <c r="CL6" i="13"/>
  <c r="CO6" i="13" s="1"/>
  <c r="CL7" i="13"/>
  <c r="CO7" i="13" s="1"/>
  <c r="CL8" i="13"/>
  <c r="CO8" i="13" s="1"/>
  <c r="CL9" i="13"/>
  <c r="CO9" i="13" s="1"/>
  <c r="CL10" i="13"/>
  <c r="CO10" i="13" s="1"/>
  <c r="CL11" i="13"/>
  <c r="CL12" i="13"/>
  <c r="CL13" i="13"/>
  <c r="CL14" i="13"/>
  <c r="CL15" i="13"/>
  <c r="CL16" i="13"/>
  <c r="CL17" i="13"/>
  <c r="CL18" i="13"/>
  <c r="CO18" i="13" s="1"/>
  <c r="CL19" i="13"/>
  <c r="CO19" i="13" s="1"/>
  <c r="CL20" i="13"/>
  <c r="CO20" i="13" s="1"/>
  <c r="CL21" i="13"/>
  <c r="CO21" i="13" s="1"/>
  <c r="CL22" i="13"/>
  <c r="CO22" i="13" s="1"/>
  <c r="CL23" i="13"/>
  <c r="CL24" i="13"/>
  <c r="CL25" i="13"/>
  <c r="CL26" i="13"/>
  <c r="CL27" i="13"/>
  <c r="CL28" i="13"/>
  <c r="CL29" i="13"/>
  <c r="CL30" i="13"/>
  <c r="CO30" i="13" s="1"/>
  <c r="CL31" i="13"/>
  <c r="CO31" i="13" s="1"/>
  <c r="CL32" i="13"/>
  <c r="CO32" i="13" s="1"/>
  <c r="CL33" i="13"/>
  <c r="CO33" i="13" s="1"/>
  <c r="CL34" i="13"/>
  <c r="CO34" i="13" s="1"/>
  <c r="CL35" i="13"/>
  <c r="CL36" i="13"/>
  <c r="CL37" i="13"/>
  <c r="CL38" i="13"/>
  <c r="CL39" i="13"/>
  <c r="CL40" i="13"/>
  <c r="CL41" i="13"/>
  <c r="CL42" i="13"/>
  <c r="CO42" i="13" s="1"/>
  <c r="CL43" i="13"/>
  <c r="CO43" i="13" s="1"/>
  <c r="CL44" i="13"/>
  <c r="CO44" i="13" s="1"/>
  <c r="CL45" i="13"/>
  <c r="CO45" i="13" s="1"/>
  <c r="CL46" i="13"/>
  <c r="CO46" i="13" s="1"/>
  <c r="CL47" i="13"/>
  <c r="CL48" i="13"/>
  <c r="CL49" i="13"/>
  <c r="CL50" i="13"/>
  <c r="CL51" i="13"/>
  <c r="CL52" i="13"/>
  <c r="CL53" i="13"/>
  <c r="CL54" i="13"/>
  <c r="CO54" i="13" s="1"/>
  <c r="CL55" i="13"/>
  <c r="CO55" i="13" s="1"/>
  <c r="CL56" i="13"/>
  <c r="CO56" i="13" s="1"/>
  <c r="CL57" i="13"/>
  <c r="CO57" i="13" s="1"/>
  <c r="CL58" i="13"/>
  <c r="CO58" i="13" s="1"/>
  <c r="CL59" i="13"/>
  <c r="CL60" i="13"/>
  <c r="CL61" i="13"/>
  <c r="CL62" i="13"/>
  <c r="CL63" i="13"/>
  <c r="CL64" i="13"/>
  <c r="CL65" i="13"/>
  <c r="CL66" i="13"/>
  <c r="CO66" i="13" s="1"/>
  <c r="CL67" i="13"/>
  <c r="CO67" i="13" s="1"/>
  <c r="CL68" i="13"/>
  <c r="CO68" i="13" s="1"/>
  <c r="CL69" i="13"/>
  <c r="CO69" i="13" s="1"/>
  <c r="CL70" i="13"/>
  <c r="CO70" i="13" s="1"/>
  <c r="CL71" i="13"/>
  <c r="CL72" i="13"/>
  <c r="CL73" i="13"/>
  <c r="CL74" i="13"/>
  <c r="CL75" i="13"/>
  <c r="CL76" i="13"/>
  <c r="CL77" i="13"/>
  <c r="CL78" i="13"/>
  <c r="CO78" i="13" s="1"/>
  <c r="CL79" i="13"/>
  <c r="CO79" i="13" s="1"/>
  <c r="CL80" i="13"/>
  <c r="CO80" i="13" s="1"/>
  <c r="CL81" i="13"/>
  <c r="CO81" i="13" s="1"/>
  <c r="CL82" i="13"/>
  <c r="CO82" i="13" s="1"/>
  <c r="CL83" i="13"/>
  <c r="CL84" i="13"/>
  <c r="CL85" i="13"/>
  <c r="CL86" i="13"/>
  <c r="CL87" i="13"/>
  <c r="CL88" i="13"/>
  <c r="CL89" i="13"/>
  <c r="CL90" i="13"/>
  <c r="CO90" i="13" s="1"/>
  <c r="CL91" i="13"/>
  <c r="CO91" i="13" s="1"/>
  <c r="CL92" i="13"/>
  <c r="CO92" i="13" s="1"/>
  <c r="CL93" i="13"/>
  <c r="CO93" i="13" s="1"/>
  <c r="CL94" i="13"/>
  <c r="CO94" i="13" s="1"/>
  <c r="CL95" i="13"/>
  <c r="CL96" i="13"/>
  <c r="CL97" i="13"/>
  <c r="CL98" i="13"/>
  <c r="CL99" i="13"/>
  <c r="CL100" i="13"/>
  <c r="CL101" i="13"/>
  <c r="CL102" i="13"/>
  <c r="CO102" i="13" s="1"/>
  <c r="CL103" i="13"/>
  <c r="CO103" i="13" s="1"/>
  <c r="CL104" i="13"/>
  <c r="CO104" i="13" s="1"/>
  <c r="CL105" i="13"/>
  <c r="CO105" i="13" s="1"/>
  <c r="CL106" i="13"/>
  <c r="CO106" i="13" s="1"/>
  <c r="CL107" i="13"/>
  <c r="CL108" i="13"/>
  <c r="CL109" i="13"/>
  <c r="CL110" i="13"/>
  <c r="CL111" i="13"/>
  <c r="CL112" i="13"/>
  <c r="CL113" i="13"/>
  <c r="CL114" i="13"/>
  <c r="CO114" i="13" s="1"/>
  <c r="CL115" i="13"/>
  <c r="CO115" i="13" s="1"/>
  <c r="CL116" i="13"/>
  <c r="CO116" i="13" s="1"/>
  <c r="CL117" i="13"/>
  <c r="CO117" i="13" s="1"/>
  <c r="CL118" i="13"/>
  <c r="CO118" i="13" s="1"/>
  <c r="CL119" i="13"/>
  <c r="CL120" i="13"/>
  <c r="CL121" i="13"/>
  <c r="CL122" i="13"/>
  <c r="CL123" i="13"/>
  <c r="CL124" i="13"/>
  <c r="CL125" i="13"/>
  <c r="CL126" i="13"/>
  <c r="CO126" i="13" s="1"/>
  <c r="CL127" i="13"/>
  <c r="CO127" i="13" s="1"/>
  <c r="CL128" i="13"/>
  <c r="CO128" i="13" s="1"/>
  <c r="CL129" i="13"/>
  <c r="CO129" i="13" s="1"/>
  <c r="CL130" i="13"/>
  <c r="CO130" i="13" s="1"/>
  <c r="CL131" i="13"/>
  <c r="CL132" i="13"/>
  <c r="CL133" i="13"/>
  <c r="CL134" i="13"/>
  <c r="CL135" i="13"/>
  <c r="CL136" i="13"/>
  <c r="CL137" i="13"/>
  <c r="CL138" i="13"/>
  <c r="CL139" i="13"/>
  <c r="CL140" i="13"/>
  <c r="CL141" i="13"/>
  <c r="CL142" i="13"/>
  <c r="CL143" i="13"/>
  <c r="CL144" i="13"/>
  <c r="CL145" i="13"/>
  <c r="CL146" i="13"/>
  <c r="CL147" i="13"/>
  <c r="CL148" i="13"/>
  <c r="CL149" i="13"/>
  <c r="CL150" i="13"/>
  <c r="CL151" i="13"/>
  <c r="CL152" i="13"/>
  <c r="CL153" i="13"/>
  <c r="CL154" i="13"/>
  <c r="CL155" i="13"/>
  <c r="CL156" i="13"/>
  <c r="CL157" i="13"/>
  <c r="CL158" i="13"/>
  <c r="CL159" i="13"/>
  <c r="CL160" i="13"/>
  <c r="CL161" i="13"/>
  <c r="CL162" i="13"/>
  <c r="CL163" i="13"/>
  <c r="CL164" i="13"/>
  <c r="CL165" i="13"/>
  <c r="CL166" i="13"/>
  <c r="CL167" i="13"/>
  <c r="CL168" i="13"/>
  <c r="CL169" i="13"/>
  <c r="CL170" i="13"/>
  <c r="CL171" i="13"/>
  <c r="CL172" i="13"/>
  <c r="CL173" i="13"/>
  <c r="CL174" i="13"/>
  <c r="CL175" i="13"/>
  <c r="CL176" i="13"/>
  <c r="CL177" i="13"/>
  <c r="CL178" i="13"/>
  <c r="CL179" i="13"/>
  <c r="CL180" i="13"/>
  <c r="CL181" i="13"/>
  <c r="CL182" i="13"/>
  <c r="CL183" i="13"/>
  <c r="CL184" i="13"/>
  <c r="CL185" i="13"/>
  <c r="CL186" i="13"/>
  <c r="CL187" i="13"/>
  <c r="CL188" i="13"/>
  <c r="CL189" i="13"/>
  <c r="CL190" i="13"/>
  <c r="CL191" i="13"/>
  <c r="CL192" i="13"/>
  <c r="CL193" i="13"/>
  <c r="CL194" i="13"/>
  <c r="CL195" i="13"/>
  <c r="CL196" i="13"/>
  <c r="CL197" i="13"/>
  <c r="CL198" i="13"/>
  <c r="CL199" i="13"/>
  <c r="CL200" i="13"/>
  <c r="CL201" i="13"/>
  <c r="CL202" i="13"/>
  <c r="CL203" i="13"/>
  <c r="CL204" i="13"/>
  <c r="CL205" i="13"/>
  <c r="CL206" i="13"/>
  <c r="CL207" i="13"/>
  <c r="CL208" i="13"/>
  <c r="CL209" i="13"/>
  <c r="CL210" i="13"/>
  <c r="CL211" i="13"/>
  <c r="CL212" i="13"/>
  <c r="CL213" i="13"/>
  <c r="CL214" i="13"/>
  <c r="CL215" i="13"/>
  <c r="CL216" i="13"/>
  <c r="CL217" i="13"/>
  <c r="CL218" i="13"/>
  <c r="CL219" i="13"/>
  <c r="CL220" i="13"/>
  <c r="CL221" i="13"/>
  <c r="CL222" i="13"/>
  <c r="CL223" i="13"/>
  <c r="CL224" i="13"/>
  <c r="CL225" i="13"/>
  <c r="CL226" i="13"/>
  <c r="CL227" i="13"/>
  <c r="CL228" i="13"/>
  <c r="CL229" i="13"/>
  <c r="CL230" i="13"/>
  <c r="CL231" i="13"/>
  <c r="CL232" i="13"/>
  <c r="CL233" i="13"/>
  <c r="CL234" i="13"/>
  <c r="CL235" i="13"/>
  <c r="CL236" i="13"/>
  <c r="CL237" i="13"/>
  <c r="CL238" i="13"/>
  <c r="CL239" i="13"/>
  <c r="CL240" i="13"/>
  <c r="CL241" i="13"/>
  <c r="CL242" i="13"/>
  <c r="CL243" i="13"/>
  <c r="CL244" i="13"/>
  <c r="CL245" i="13"/>
  <c r="CL246" i="13"/>
  <c r="CL247" i="13"/>
  <c r="CL248" i="13"/>
  <c r="CL249" i="13"/>
  <c r="CL250" i="13"/>
  <c r="CL251" i="13"/>
  <c r="CL252" i="13"/>
  <c r="CL253" i="13"/>
  <c r="CL254" i="13"/>
  <c r="CL255" i="13"/>
  <c r="CL256" i="13"/>
  <c r="CL257" i="13"/>
  <c r="CL258" i="13"/>
  <c r="CL259" i="13"/>
  <c r="CL260" i="13"/>
  <c r="CL261" i="13"/>
  <c r="CL262" i="13"/>
  <c r="CL263" i="13"/>
  <c r="CL264" i="13"/>
  <c r="CL265" i="13"/>
  <c r="CL266" i="13"/>
  <c r="CL267" i="13"/>
  <c r="CL268" i="13"/>
  <c r="CL269" i="13"/>
  <c r="CL270" i="13"/>
  <c r="CL271" i="13"/>
  <c r="CL272" i="13"/>
  <c r="CL273" i="13"/>
  <c r="CL274" i="13"/>
  <c r="CL275" i="13"/>
  <c r="CL276" i="13"/>
  <c r="CL277" i="13"/>
  <c r="CL278" i="13"/>
  <c r="CL279" i="13"/>
  <c r="CL280" i="13"/>
  <c r="CL281" i="13"/>
  <c r="CL282" i="13"/>
  <c r="CL283" i="13"/>
  <c r="CL284" i="13"/>
  <c r="CL285" i="13"/>
  <c r="CL286" i="13"/>
  <c r="CL287" i="13"/>
  <c r="CL288" i="13"/>
  <c r="CL289" i="13"/>
  <c r="CL290" i="13"/>
  <c r="CL291" i="13"/>
  <c r="CL292" i="13"/>
  <c r="CL293" i="13"/>
  <c r="CL294" i="13"/>
  <c r="CL295" i="13"/>
  <c r="CL296" i="13"/>
  <c r="CL297" i="13"/>
  <c r="CL298" i="13"/>
  <c r="CL299" i="13"/>
  <c r="CL300" i="13"/>
  <c r="CL301" i="13"/>
  <c r="CL302" i="13"/>
  <c r="CL303" i="13"/>
  <c r="CL304" i="13"/>
  <c r="CL305" i="13"/>
  <c r="CL306" i="13"/>
  <c r="CL307" i="13"/>
  <c r="CL308" i="13"/>
  <c r="CL309" i="13"/>
  <c r="CL310" i="13"/>
  <c r="CL311" i="13"/>
  <c r="CL312" i="13"/>
  <c r="CL313" i="13"/>
  <c r="CL314" i="13"/>
  <c r="CL315" i="13"/>
  <c r="CL316" i="13"/>
  <c r="CL317" i="13"/>
  <c r="CL318" i="13"/>
  <c r="CL319" i="13"/>
  <c r="CL320" i="13"/>
  <c r="CL321" i="13"/>
  <c r="CL322" i="13"/>
  <c r="CL323" i="13"/>
  <c r="CL324" i="13"/>
  <c r="CL325" i="13"/>
  <c r="CL326" i="13"/>
  <c r="CL327" i="13"/>
  <c r="CL328" i="13"/>
  <c r="CL329" i="13"/>
  <c r="CL330" i="13"/>
  <c r="CL331" i="13"/>
  <c r="CL332" i="13"/>
  <c r="CL333" i="13"/>
  <c r="CL334" i="13"/>
  <c r="CL335" i="13"/>
  <c r="CL336" i="13"/>
  <c r="CL337" i="13"/>
  <c r="CL338" i="13"/>
  <c r="CL339" i="13"/>
  <c r="CL340" i="13"/>
  <c r="CL341" i="13"/>
  <c r="CL342" i="13"/>
  <c r="CL343" i="13"/>
  <c r="CL344" i="13"/>
  <c r="CL345" i="13"/>
  <c r="CL346" i="13"/>
  <c r="CL347" i="13"/>
  <c r="CL348" i="13"/>
  <c r="CL349" i="13"/>
  <c r="CL350" i="13"/>
  <c r="CL351" i="13"/>
  <c r="CL352" i="13"/>
  <c r="CL353" i="13"/>
  <c r="CL354" i="13"/>
  <c r="CL355" i="13"/>
  <c r="CL356" i="13"/>
  <c r="CL357" i="13"/>
  <c r="CL358" i="13"/>
  <c r="CL359" i="13"/>
  <c r="CL360" i="13"/>
  <c r="CL361" i="13"/>
  <c r="CL362" i="13"/>
  <c r="CL363" i="13"/>
  <c r="CL364" i="13"/>
  <c r="CL5" i="13"/>
  <c r="CO5" i="13" s="1"/>
  <c r="CI133" i="13"/>
  <c r="CI134" i="13"/>
  <c r="CI135" i="13"/>
  <c r="CI136" i="13"/>
  <c r="CI137" i="13"/>
  <c r="CI138" i="13"/>
  <c r="CI139" i="13"/>
  <c r="CI140" i="13"/>
  <c r="CI141" i="13"/>
  <c r="CI142" i="13"/>
  <c r="CI143" i="13"/>
  <c r="CI144" i="13"/>
  <c r="CI145" i="13"/>
  <c r="CI146" i="13"/>
  <c r="CI147" i="13"/>
  <c r="CI148" i="13"/>
  <c r="CI149" i="13"/>
  <c r="CI150" i="13"/>
  <c r="CI151" i="13"/>
  <c r="CI152" i="13"/>
  <c r="CI153" i="13"/>
  <c r="CI154" i="13"/>
  <c r="CI155" i="13"/>
  <c r="CI156" i="13"/>
  <c r="CI157" i="13"/>
  <c r="CI158" i="13"/>
  <c r="CI159" i="13"/>
  <c r="CI160" i="13"/>
  <c r="CI161" i="13"/>
  <c r="CI162" i="13"/>
  <c r="CI163" i="13"/>
  <c r="CI164" i="13"/>
  <c r="CI165" i="13"/>
  <c r="CI166" i="13"/>
  <c r="CI167" i="13"/>
  <c r="CI168" i="13"/>
  <c r="CI169" i="13"/>
  <c r="CI170" i="13"/>
  <c r="CI171" i="13"/>
  <c r="CI172" i="13"/>
  <c r="CI173" i="13"/>
  <c r="CI174" i="13"/>
  <c r="CI175" i="13"/>
  <c r="CI176" i="13"/>
  <c r="CI177" i="13"/>
  <c r="CI178" i="13"/>
  <c r="CI179" i="13"/>
  <c r="CI180" i="13"/>
  <c r="CI181" i="13"/>
  <c r="CI182" i="13"/>
  <c r="CI183" i="13"/>
  <c r="CI184" i="13"/>
  <c r="CI185" i="13"/>
  <c r="CI186" i="13"/>
  <c r="CI187" i="13"/>
  <c r="CI188" i="13"/>
  <c r="CI189" i="13"/>
  <c r="CI190" i="13"/>
  <c r="CI191" i="13"/>
  <c r="CI192" i="13"/>
  <c r="CI193" i="13"/>
  <c r="CI194" i="13"/>
  <c r="CI195" i="13"/>
  <c r="CI196" i="13"/>
  <c r="CI197" i="13"/>
  <c r="CI198" i="13"/>
  <c r="CI199" i="13"/>
  <c r="CI200" i="13"/>
  <c r="CI201" i="13"/>
  <c r="CI202" i="13"/>
  <c r="CI203" i="13"/>
  <c r="CI204" i="13"/>
  <c r="CI205" i="13"/>
  <c r="CI206" i="13"/>
  <c r="CI207" i="13"/>
  <c r="CI208" i="13"/>
  <c r="CI209" i="13"/>
  <c r="CI210" i="13"/>
  <c r="CI211" i="13"/>
  <c r="CI212" i="13"/>
  <c r="CI213" i="13"/>
  <c r="CI214" i="13"/>
  <c r="CI215" i="13"/>
  <c r="CI216" i="13"/>
  <c r="CI217" i="13"/>
  <c r="CI218" i="13"/>
  <c r="CI219" i="13"/>
  <c r="CI220" i="13"/>
  <c r="CI221" i="13"/>
  <c r="CI222" i="13"/>
  <c r="CI223" i="13"/>
  <c r="CI224" i="13"/>
  <c r="CI225" i="13"/>
  <c r="CI226" i="13"/>
  <c r="CI227" i="13"/>
  <c r="CI228" i="13"/>
  <c r="CI229" i="13"/>
  <c r="CI230" i="13"/>
  <c r="CI231" i="13"/>
  <c r="CI232" i="13"/>
  <c r="CI233" i="13"/>
  <c r="CI234" i="13"/>
  <c r="CI235" i="13"/>
  <c r="CI236" i="13"/>
  <c r="CI237" i="13"/>
  <c r="CI238" i="13"/>
  <c r="CI239" i="13"/>
  <c r="CI240" i="13"/>
  <c r="CI241" i="13"/>
  <c r="CI242" i="13"/>
  <c r="CI243" i="13"/>
  <c r="CI244" i="13"/>
  <c r="CI245" i="13"/>
  <c r="CI246" i="13"/>
  <c r="CI247" i="13"/>
  <c r="CI248" i="13"/>
  <c r="CI249" i="13"/>
  <c r="CI250" i="13"/>
  <c r="CI251" i="13"/>
  <c r="CI252" i="13"/>
  <c r="CI253" i="13"/>
  <c r="CI254" i="13"/>
  <c r="CI255" i="13"/>
  <c r="CI256" i="13"/>
  <c r="CI257" i="13"/>
  <c r="CI258" i="13"/>
  <c r="CI259" i="13"/>
  <c r="CI260" i="13"/>
  <c r="CI261" i="13"/>
  <c r="CI262" i="13"/>
  <c r="CI263" i="13"/>
  <c r="CI264" i="13"/>
  <c r="CI265" i="13"/>
  <c r="CI266" i="13"/>
  <c r="CI267" i="13"/>
  <c r="CI268" i="13"/>
  <c r="CI269" i="13"/>
  <c r="CI270" i="13"/>
  <c r="CI271" i="13"/>
  <c r="CI272" i="13"/>
  <c r="CI273" i="13"/>
  <c r="CI274" i="13"/>
  <c r="CI275" i="13"/>
  <c r="CI276" i="13"/>
  <c r="CI277" i="13"/>
  <c r="CI278" i="13"/>
  <c r="CI279" i="13"/>
  <c r="CI280" i="13"/>
  <c r="CI281" i="13"/>
  <c r="CI282" i="13"/>
  <c r="CI283" i="13"/>
  <c r="CI284" i="13"/>
  <c r="CI285" i="13"/>
  <c r="CI286" i="13"/>
  <c r="CI287" i="13"/>
  <c r="CI288" i="13"/>
  <c r="CI289" i="13"/>
  <c r="CI290" i="13"/>
  <c r="CI291" i="13"/>
  <c r="CI292" i="13"/>
  <c r="CI293" i="13"/>
  <c r="CI294" i="13"/>
  <c r="CI295" i="13"/>
  <c r="CI296" i="13"/>
  <c r="CI297" i="13"/>
  <c r="CI298" i="13"/>
  <c r="CI299" i="13"/>
  <c r="CI300" i="13"/>
  <c r="CI301" i="13"/>
  <c r="CI302" i="13"/>
  <c r="CI303" i="13"/>
  <c r="CI304" i="13"/>
  <c r="CI305" i="13"/>
  <c r="CI306" i="13"/>
  <c r="CI307" i="13"/>
  <c r="CI308" i="13"/>
  <c r="CI309" i="13"/>
  <c r="CI310" i="13"/>
  <c r="CI311" i="13"/>
  <c r="CI312" i="13"/>
  <c r="CI313" i="13"/>
  <c r="CI314" i="13"/>
  <c r="CI315" i="13"/>
  <c r="CI316" i="13"/>
  <c r="CI317" i="13"/>
  <c r="CI318" i="13"/>
  <c r="CI319" i="13"/>
  <c r="CI320" i="13"/>
  <c r="CI321" i="13"/>
  <c r="CI322" i="13"/>
  <c r="CI323" i="13"/>
  <c r="CI324" i="13"/>
  <c r="CI325" i="13"/>
  <c r="CI326" i="13"/>
  <c r="CI327" i="13"/>
  <c r="CI328" i="13"/>
  <c r="CI329" i="13"/>
  <c r="CI330" i="13"/>
  <c r="CI331" i="13"/>
  <c r="CI332" i="13"/>
  <c r="CI333" i="13"/>
  <c r="CI334" i="13"/>
  <c r="CI335" i="13"/>
  <c r="CI336" i="13"/>
  <c r="CI337" i="13"/>
  <c r="CI338" i="13"/>
  <c r="CI339" i="13"/>
  <c r="CI340" i="13"/>
  <c r="CI341" i="13"/>
  <c r="CI342" i="13"/>
  <c r="CI343" i="13"/>
  <c r="CI344" i="13"/>
  <c r="CI345" i="13"/>
  <c r="CI346" i="13"/>
  <c r="CI347" i="13"/>
  <c r="CI348" i="13"/>
  <c r="CI349" i="13"/>
  <c r="CI350" i="13"/>
  <c r="CI351" i="13"/>
  <c r="CI352" i="13"/>
  <c r="CI353" i="13"/>
  <c r="CI354" i="13"/>
  <c r="CI355" i="13"/>
  <c r="CI356" i="13"/>
  <c r="CI357" i="13"/>
  <c r="CI358" i="13"/>
  <c r="CI359" i="13"/>
  <c r="CI360" i="13"/>
  <c r="CI361" i="13"/>
  <c r="CI362" i="13"/>
  <c r="CI363" i="13"/>
  <c r="CI364" i="13"/>
  <c r="CG133" i="13"/>
  <c r="CG134" i="13"/>
  <c r="CG135" i="13"/>
  <c r="CG136" i="13"/>
  <c r="CG137" i="13"/>
  <c r="CG138" i="13"/>
  <c r="CG139" i="13"/>
  <c r="CG140" i="13"/>
  <c r="CG141" i="13"/>
  <c r="CG142" i="13"/>
  <c r="CG143" i="13"/>
  <c r="CG144" i="13"/>
  <c r="CG145" i="13"/>
  <c r="CG146" i="13"/>
  <c r="CG147" i="13"/>
  <c r="CG148" i="13"/>
  <c r="CG149" i="13"/>
  <c r="CG150" i="13"/>
  <c r="CG151" i="13"/>
  <c r="CG152" i="13"/>
  <c r="CG153" i="13"/>
  <c r="CG154" i="13"/>
  <c r="CG155" i="13"/>
  <c r="CG156" i="13"/>
  <c r="CG157" i="13"/>
  <c r="CG158" i="13"/>
  <c r="CG159" i="13"/>
  <c r="CG160" i="13"/>
  <c r="CG161" i="13"/>
  <c r="CG162" i="13"/>
  <c r="CG163" i="13"/>
  <c r="CG164" i="13"/>
  <c r="CG165" i="13"/>
  <c r="CG166" i="13"/>
  <c r="CG167" i="13"/>
  <c r="CG168" i="13"/>
  <c r="CG169" i="13"/>
  <c r="CG170" i="13"/>
  <c r="CG171" i="13"/>
  <c r="CG172" i="13"/>
  <c r="CG173" i="13"/>
  <c r="CG174" i="13"/>
  <c r="CG175" i="13"/>
  <c r="CG176" i="13"/>
  <c r="CG177" i="13"/>
  <c r="CG178" i="13"/>
  <c r="CG179" i="13"/>
  <c r="CG180" i="13"/>
  <c r="CG181" i="13"/>
  <c r="CG182" i="13"/>
  <c r="CG183" i="13"/>
  <c r="CG184" i="13"/>
  <c r="CG185" i="13"/>
  <c r="CG186" i="13"/>
  <c r="CG187" i="13"/>
  <c r="CG188" i="13"/>
  <c r="CG189" i="13"/>
  <c r="CG190" i="13"/>
  <c r="CG191" i="13"/>
  <c r="CG192" i="13"/>
  <c r="CG193" i="13"/>
  <c r="CG194" i="13"/>
  <c r="CG195" i="13"/>
  <c r="CG196" i="13"/>
  <c r="CG197" i="13"/>
  <c r="CG198" i="13"/>
  <c r="CG199" i="13"/>
  <c r="CG200" i="13"/>
  <c r="CG201" i="13"/>
  <c r="CG202" i="13"/>
  <c r="CG203" i="13"/>
  <c r="CG204" i="13"/>
  <c r="CG205" i="13"/>
  <c r="CG206" i="13"/>
  <c r="CG207" i="13"/>
  <c r="CG208" i="13"/>
  <c r="CG209" i="13"/>
  <c r="CG210" i="13"/>
  <c r="CG211" i="13"/>
  <c r="CG212" i="13"/>
  <c r="CG213" i="13"/>
  <c r="CG214" i="13"/>
  <c r="CG215" i="13"/>
  <c r="CG216" i="13"/>
  <c r="CG217" i="13"/>
  <c r="CG218" i="13"/>
  <c r="CG219" i="13"/>
  <c r="CG220" i="13"/>
  <c r="CG221" i="13"/>
  <c r="CG222" i="13"/>
  <c r="CG223" i="13"/>
  <c r="CG224" i="13"/>
  <c r="CG225" i="13"/>
  <c r="CG226" i="13"/>
  <c r="CG227" i="13"/>
  <c r="CG228" i="13"/>
  <c r="CG229" i="13"/>
  <c r="CG230" i="13"/>
  <c r="CG231" i="13"/>
  <c r="CG232" i="13"/>
  <c r="CG233" i="13"/>
  <c r="CG234" i="13"/>
  <c r="CG235" i="13"/>
  <c r="CG236" i="13"/>
  <c r="CG237" i="13"/>
  <c r="CG238" i="13"/>
  <c r="CG239" i="13"/>
  <c r="CG240" i="13"/>
  <c r="CG241" i="13"/>
  <c r="CG242" i="13"/>
  <c r="CG243" i="13"/>
  <c r="CG244" i="13"/>
  <c r="CG245" i="13"/>
  <c r="CG246" i="13"/>
  <c r="CG247" i="13"/>
  <c r="CG248" i="13"/>
  <c r="CG249" i="13"/>
  <c r="CG250" i="13"/>
  <c r="CG251" i="13"/>
  <c r="CG252" i="13"/>
  <c r="CG253" i="13"/>
  <c r="CG254" i="13"/>
  <c r="CG255" i="13"/>
  <c r="CG256" i="13"/>
  <c r="CG257" i="13"/>
  <c r="CG258" i="13"/>
  <c r="CG259" i="13"/>
  <c r="CG260" i="13"/>
  <c r="CG261" i="13"/>
  <c r="CG262" i="13"/>
  <c r="CG263" i="13"/>
  <c r="CG264" i="13"/>
  <c r="CG265" i="13"/>
  <c r="CG266" i="13"/>
  <c r="CG267" i="13"/>
  <c r="CG268" i="13"/>
  <c r="CG269" i="13"/>
  <c r="CG270" i="13"/>
  <c r="CG271" i="13"/>
  <c r="CG272" i="13"/>
  <c r="CG273" i="13"/>
  <c r="CG274" i="13"/>
  <c r="CG275" i="13"/>
  <c r="CG276" i="13"/>
  <c r="CG277" i="13"/>
  <c r="CG278" i="13"/>
  <c r="CG279" i="13"/>
  <c r="CG280" i="13"/>
  <c r="CG281" i="13"/>
  <c r="CG282" i="13"/>
  <c r="CG283" i="13"/>
  <c r="CG284" i="13"/>
  <c r="CG285" i="13"/>
  <c r="CG286" i="13"/>
  <c r="CG287" i="13"/>
  <c r="CG288" i="13"/>
  <c r="CG289" i="13"/>
  <c r="CG290" i="13"/>
  <c r="CG291" i="13"/>
  <c r="CG292" i="13"/>
  <c r="CG293" i="13"/>
  <c r="CG294" i="13"/>
  <c r="CG295" i="13"/>
  <c r="CG296" i="13"/>
  <c r="CG297" i="13"/>
  <c r="CG298" i="13"/>
  <c r="CG299" i="13"/>
  <c r="CG300" i="13"/>
  <c r="CG301" i="13"/>
  <c r="CG302" i="13"/>
  <c r="CG303" i="13"/>
  <c r="CG304" i="13"/>
  <c r="CG305" i="13"/>
  <c r="CG306" i="13"/>
  <c r="CG307" i="13"/>
  <c r="CG308" i="13"/>
  <c r="CG309" i="13"/>
  <c r="CG310" i="13"/>
  <c r="CG311" i="13"/>
  <c r="CG312" i="13"/>
  <c r="CG313" i="13"/>
  <c r="CG314" i="13"/>
  <c r="CG315" i="13"/>
  <c r="CG316" i="13"/>
  <c r="CG317" i="13"/>
  <c r="CG318" i="13"/>
  <c r="CG319" i="13"/>
  <c r="CG320" i="13"/>
  <c r="CG321" i="13"/>
  <c r="CG322" i="13"/>
  <c r="CG323" i="13"/>
  <c r="CG324" i="13"/>
  <c r="CG325" i="13"/>
  <c r="CG326" i="13"/>
  <c r="CG327" i="13"/>
  <c r="CG328" i="13"/>
  <c r="CG329" i="13"/>
  <c r="CG330" i="13"/>
  <c r="CG331" i="13"/>
  <c r="CG332" i="13"/>
  <c r="CG333" i="13"/>
  <c r="CG334" i="13"/>
  <c r="CG335" i="13"/>
  <c r="CG336" i="13"/>
  <c r="CG337" i="13"/>
  <c r="CG338" i="13"/>
  <c r="CG339" i="13"/>
  <c r="CG340" i="13"/>
  <c r="CG341" i="13"/>
  <c r="CG342" i="13"/>
  <c r="CG343" i="13"/>
  <c r="CG344" i="13"/>
  <c r="CG345" i="13"/>
  <c r="CG346" i="13"/>
  <c r="CG347" i="13"/>
  <c r="CG348" i="13"/>
  <c r="CG349" i="13"/>
  <c r="CG350" i="13"/>
  <c r="CG351" i="13"/>
  <c r="CG352" i="13"/>
  <c r="CG353" i="13"/>
  <c r="CG354" i="13"/>
  <c r="CG355" i="13"/>
  <c r="CG356" i="13"/>
  <c r="CG357" i="13"/>
  <c r="CG358" i="13"/>
  <c r="CG359" i="13"/>
  <c r="CG360" i="13"/>
  <c r="CG361" i="13"/>
  <c r="CG362" i="13"/>
  <c r="CG363" i="13"/>
  <c r="CG364" i="13"/>
  <c r="CE6" i="13"/>
  <c r="CF6" i="13" s="1"/>
  <c r="CK6" i="13" s="1"/>
  <c r="CE7" i="13"/>
  <c r="CF7" i="13" s="1"/>
  <c r="CK7" i="13" s="1"/>
  <c r="CE8" i="13"/>
  <c r="CF8" i="13" s="1"/>
  <c r="CK8" i="13" s="1"/>
  <c r="CE9" i="13"/>
  <c r="CF9" i="13" s="1"/>
  <c r="CK9" i="13" s="1"/>
  <c r="CE10" i="13"/>
  <c r="CF10" i="13" s="1"/>
  <c r="CK10" i="13" s="1"/>
  <c r="CE11" i="13"/>
  <c r="CF11" i="13" s="1"/>
  <c r="CK11" i="13" s="1"/>
  <c r="CE12" i="13"/>
  <c r="CF12" i="13" s="1"/>
  <c r="CK12" i="13" s="1"/>
  <c r="CE13" i="13"/>
  <c r="CF13" i="13" s="1"/>
  <c r="CK13" i="13" s="1"/>
  <c r="CE14" i="13"/>
  <c r="CF14" i="13" s="1"/>
  <c r="CK14" i="13" s="1"/>
  <c r="CE15" i="13"/>
  <c r="CF15" i="13" s="1"/>
  <c r="CK15" i="13" s="1"/>
  <c r="CE16" i="13"/>
  <c r="CF16" i="13" s="1"/>
  <c r="CK16" i="13" s="1"/>
  <c r="CE17" i="13"/>
  <c r="CF17" i="13" s="1"/>
  <c r="CK17" i="13" s="1"/>
  <c r="CE18" i="13"/>
  <c r="CF18" i="13" s="1"/>
  <c r="CK18" i="13" s="1"/>
  <c r="CE19" i="13"/>
  <c r="CF19" i="13" s="1"/>
  <c r="CK19" i="13" s="1"/>
  <c r="CE20" i="13"/>
  <c r="CF20" i="13" s="1"/>
  <c r="CK20" i="13" s="1"/>
  <c r="CE21" i="13"/>
  <c r="CF21" i="13" s="1"/>
  <c r="CK21" i="13" s="1"/>
  <c r="CE22" i="13"/>
  <c r="CF22" i="13" s="1"/>
  <c r="CK22" i="13" s="1"/>
  <c r="CE23" i="13"/>
  <c r="CF23" i="13" s="1"/>
  <c r="CK23" i="13" s="1"/>
  <c r="CE24" i="13"/>
  <c r="CF24" i="13" s="1"/>
  <c r="CK24" i="13" s="1"/>
  <c r="CE25" i="13"/>
  <c r="CF25" i="13" s="1"/>
  <c r="CK25" i="13" s="1"/>
  <c r="CE26" i="13"/>
  <c r="CF26" i="13" s="1"/>
  <c r="CK26" i="13" s="1"/>
  <c r="CE27" i="13"/>
  <c r="CF27" i="13" s="1"/>
  <c r="CK27" i="13" s="1"/>
  <c r="CE28" i="13"/>
  <c r="CF28" i="13" s="1"/>
  <c r="CK28" i="13" s="1"/>
  <c r="CE29" i="13"/>
  <c r="CF29" i="13" s="1"/>
  <c r="CK29" i="13" s="1"/>
  <c r="CE30" i="13"/>
  <c r="CF30" i="13" s="1"/>
  <c r="CK30" i="13" s="1"/>
  <c r="CE31" i="13"/>
  <c r="CF31" i="13" s="1"/>
  <c r="CK31" i="13" s="1"/>
  <c r="CE32" i="13"/>
  <c r="CF32" i="13" s="1"/>
  <c r="CK32" i="13" s="1"/>
  <c r="CE33" i="13"/>
  <c r="CF33" i="13" s="1"/>
  <c r="CK33" i="13" s="1"/>
  <c r="CE34" i="13"/>
  <c r="CF34" i="13" s="1"/>
  <c r="CK34" i="13" s="1"/>
  <c r="CE35" i="13"/>
  <c r="CF35" i="13" s="1"/>
  <c r="CK35" i="13" s="1"/>
  <c r="CE36" i="13"/>
  <c r="CF36" i="13" s="1"/>
  <c r="CK36" i="13" s="1"/>
  <c r="CE37" i="13"/>
  <c r="CF37" i="13" s="1"/>
  <c r="CK37" i="13" s="1"/>
  <c r="CE38" i="13"/>
  <c r="CF38" i="13" s="1"/>
  <c r="CK38" i="13" s="1"/>
  <c r="CE39" i="13"/>
  <c r="CF39" i="13" s="1"/>
  <c r="CK39" i="13" s="1"/>
  <c r="CE40" i="13"/>
  <c r="CF40" i="13" s="1"/>
  <c r="CK40" i="13" s="1"/>
  <c r="CE41" i="13"/>
  <c r="CF41" i="13" s="1"/>
  <c r="CK41" i="13" s="1"/>
  <c r="CE42" i="13"/>
  <c r="CF42" i="13" s="1"/>
  <c r="CK42" i="13" s="1"/>
  <c r="CE43" i="13"/>
  <c r="CF43" i="13" s="1"/>
  <c r="CK43" i="13" s="1"/>
  <c r="CE44" i="13"/>
  <c r="CF44" i="13" s="1"/>
  <c r="CK44" i="13" s="1"/>
  <c r="CE45" i="13"/>
  <c r="CF45" i="13" s="1"/>
  <c r="CK45" i="13" s="1"/>
  <c r="CE46" i="13"/>
  <c r="CF46" i="13" s="1"/>
  <c r="CK46" i="13" s="1"/>
  <c r="CE47" i="13"/>
  <c r="CF47" i="13" s="1"/>
  <c r="CK47" i="13" s="1"/>
  <c r="CE48" i="13"/>
  <c r="CF48" i="13" s="1"/>
  <c r="CK48" i="13" s="1"/>
  <c r="CE49" i="13"/>
  <c r="CF49" i="13" s="1"/>
  <c r="CK49" i="13" s="1"/>
  <c r="CE50" i="13"/>
  <c r="CF50" i="13" s="1"/>
  <c r="CK50" i="13" s="1"/>
  <c r="CE51" i="13"/>
  <c r="CF51" i="13" s="1"/>
  <c r="CK51" i="13" s="1"/>
  <c r="CE52" i="13"/>
  <c r="CF52" i="13" s="1"/>
  <c r="CK52" i="13" s="1"/>
  <c r="CE53" i="13"/>
  <c r="CF53" i="13" s="1"/>
  <c r="CK53" i="13" s="1"/>
  <c r="CE54" i="13"/>
  <c r="CF54" i="13" s="1"/>
  <c r="CK54" i="13" s="1"/>
  <c r="CE55" i="13"/>
  <c r="CF55" i="13" s="1"/>
  <c r="CK55" i="13" s="1"/>
  <c r="CE56" i="13"/>
  <c r="CF56" i="13" s="1"/>
  <c r="CK56" i="13" s="1"/>
  <c r="CE57" i="13"/>
  <c r="CF57" i="13" s="1"/>
  <c r="CK57" i="13" s="1"/>
  <c r="CE58" i="13"/>
  <c r="CF58" i="13" s="1"/>
  <c r="CK58" i="13" s="1"/>
  <c r="CE59" i="13"/>
  <c r="CF59" i="13" s="1"/>
  <c r="CK59" i="13" s="1"/>
  <c r="CE60" i="13"/>
  <c r="CF60" i="13" s="1"/>
  <c r="CK60" i="13" s="1"/>
  <c r="CE61" i="13"/>
  <c r="CF61" i="13" s="1"/>
  <c r="CK61" i="13" s="1"/>
  <c r="CE62" i="13"/>
  <c r="CF62" i="13" s="1"/>
  <c r="CK62" i="13" s="1"/>
  <c r="CE63" i="13"/>
  <c r="CF63" i="13" s="1"/>
  <c r="CK63" i="13" s="1"/>
  <c r="CE64" i="13"/>
  <c r="CF64" i="13" s="1"/>
  <c r="CK64" i="13" s="1"/>
  <c r="CE65" i="13"/>
  <c r="CF65" i="13" s="1"/>
  <c r="CK65" i="13" s="1"/>
  <c r="CE66" i="13"/>
  <c r="CF66" i="13" s="1"/>
  <c r="CK66" i="13" s="1"/>
  <c r="CE67" i="13"/>
  <c r="CF67" i="13" s="1"/>
  <c r="CK67" i="13" s="1"/>
  <c r="CE68" i="13"/>
  <c r="CF68" i="13" s="1"/>
  <c r="CK68" i="13" s="1"/>
  <c r="CE69" i="13"/>
  <c r="CF69" i="13" s="1"/>
  <c r="CK69" i="13" s="1"/>
  <c r="CE70" i="13"/>
  <c r="CF70" i="13" s="1"/>
  <c r="CK70" i="13" s="1"/>
  <c r="CE71" i="13"/>
  <c r="CF71" i="13" s="1"/>
  <c r="CK71" i="13" s="1"/>
  <c r="CE72" i="13"/>
  <c r="CF72" i="13" s="1"/>
  <c r="CK72" i="13" s="1"/>
  <c r="CE73" i="13"/>
  <c r="CF73" i="13" s="1"/>
  <c r="CK73" i="13" s="1"/>
  <c r="CE74" i="13"/>
  <c r="CF74" i="13" s="1"/>
  <c r="CK74" i="13" s="1"/>
  <c r="CE75" i="13"/>
  <c r="CF75" i="13" s="1"/>
  <c r="CK75" i="13" s="1"/>
  <c r="CE76" i="13"/>
  <c r="CF76" i="13" s="1"/>
  <c r="CK76" i="13" s="1"/>
  <c r="CE77" i="13"/>
  <c r="CF77" i="13" s="1"/>
  <c r="CK77" i="13" s="1"/>
  <c r="CE78" i="13"/>
  <c r="CF78" i="13" s="1"/>
  <c r="CK78" i="13" s="1"/>
  <c r="CE79" i="13"/>
  <c r="CF79" i="13" s="1"/>
  <c r="CK79" i="13" s="1"/>
  <c r="CE80" i="13"/>
  <c r="CF80" i="13" s="1"/>
  <c r="CK80" i="13" s="1"/>
  <c r="CE81" i="13"/>
  <c r="CF81" i="13" s="1"/>
  <c r="CK81" i="13" s="1"/>
  <c r="CE82" i="13"/>
  <c r="CF82" i="13" s="1"/>
  <c r="CK82" i="13" s="1"/>
  <c r="CE83" i="13"/>
  <c r="CF83" i="13" s="1"/>
  <c r="CK83" i="13" s="1"/>
  <c r="CE84" i="13"/>
  <c r="CF84" i="13" s="1"/>
  <c r="CK84" i="13" s="1"/>
  <c r="CE85" i="13"/>
  <c r="CF85" i="13" s="1"/>
  <c r="CK85" i="13" s="1"/>
  <c r="CE86" i="13"/>
  <c r="CF86" i="13" s="1"/>
  <c r="CK86" i="13" s="1"/>
  <c r="CE87" i="13"/>
  <c r="CF87" i="13" s="1"/>
  <c r="CK87" i="13" s="1"/>
  <c r="CE88" i="13"/>
  <c r="CF88" i="13" s="1"/>
  <c r="CK88" i="13" s="1"/>
  <c r="CE89" i="13"/>
  <c r="CF89" i="13" s="1"/>
  <c r="CK89" i="13" s="1"/>
  <c r="CE90" i="13"/>
  <c r="CF90" i="13" s="1"/>
  <c r="CK90" i="13" s="1"/>
  <c r="CE91" i="13"/>
  <c r="CF91" i="13" s="1"/>
  <c r="CK91" i="13" s="1"/>
  <c r="CE92" i="13"/>
  <c r="CF92" i="13" s="1"/>
  <c r="CK92" i="13" s="1"/>
  <c r="CE93" i="13"/>
  <c r="CF93" i="13" s="1"/>
  <c r="CK93" i="13" s="1"/>
  <c r="CE94" i="13"/>
  <c r="CF94" i="13" s="1"/>
  <c r="CK94" i="13" s="1"/>
  <c r="CE95" i="13"/>
  <c r="CF95" i="13" s="1"/>
  <c r="CK95" i="13" s="1"/>
  <c r="CE96" i="13"/>
  <c r="CF96" i="13" s="1"/>
  <c r="CK96" i="13" s="1"/>
  <c r="CE97" i="13"/>
  <c r="CF97" i="13" s="1"/>
  <c r="CK97" i="13" s="1"/>
  <c r="CE98" i="13"/>
  <c r="CF98" i="13" s="1"/>
  <c r="CK98" i="13" s="1"/>
  <c r="CE99" i="13"/>
  <c r="CF99" i="13" s="1"/>
  <c r="CK99" i="13" s="1"/>
  <c r="CE100" i="13"/>
  <c r="CF100" i="13" s="1"/>
  <c r="CK100" i="13" s="1"/>
  <c r="CE101" i="13"/>
  <c r="CF101" i="13" s="1"/>
  <c r="CK101" i="13" s="1"/>
  <c r="CE102" i="13"/>
  <c r="CF102" i="13" s="1"/>
  <c r="CK102" i="13" s="1"/>
  <c r="CE103" i="13"/>
  <c r="CF103" i="13" s="1"/>
  <c r="CK103" i="13" s="1"/>
  <c r="CE104" i="13"/>
  <c r="CF104" i="13" s="1"/>
  <c r="CK104" i="13" s="1"/>
  <c r="CE105" i="13"/>
  <c r="CF105" i="13" s="1"/>
  <c r="CK105" i="13" s="1"/>
  <c r="CE106" i="13"/>
  <c r="CF106" i="13" s="1"/>
  <c r="CK106" i="13" s="1"/>
  <c r="CE107" i="13"/>
  <c r="CF107" i="13" s="1"/>
  <c r="CK107" i="13" s="1"/>
  <c r="CE108" i="13"/>
  <c r="CF108" i="13" s="1"/>
  <c r="CK108" i="13" s="1"/>
  <c r="CE109" i="13"/>
  <c r="CF109" i="13" s="1"/>
  <c r="CK109" i="13" s="1"/>
  <c r="CE110" i="13"/>
  <c r="CF110" i="13" s="1"/>
  <c r="CK110" i="13" s="1"/>
  <c r="CE111" i="13"/>
  <c r="CF111" i="13" s="1"/>
  <c r="CK111" i="13" s="1"/>
  <c r="CE112" i="13"/>
  <c r="CF112" i="13" s="1"/>
  <c r="CK112" i="13" s="1"/>
  <c r="CE113" i="13"/>
  <c r="CF113" i="13" s="1"/>
  <c r="CK113" i="13" s="1"/>
  <c r="CE114" i="13"/>
  <c r="CF114" i="13" s="1"/>
  <c r="CK114" i="13" s="1"/>
  <c r="CE115" i="13"/>
  <c r="CF115" i="13" s="1"/>
  <c r="CK115" i="13" s="1"/>
  <c r="CE116" i="13"/>
  <c r="CF116" i="13" s="1"/>
  <c r="CK116" i="13" s="1"/>
  <c r="CE117" i="13"/>
  <c r="CF117" i="13" s="1"/>
  <c r="CK117" i="13" s="1"/>
  <c r="CE118" i="13"/>
  <c r="CF118" i="13" s="1"/>
  <c r="CK118" i="13" s="1"/>
  <c r="CE119" i="13"/>
  <c r="CF119" i="13" s="1"/>
  <c r="CK119" i="13" s="1"/>
  <c r="CE120" i="13"/>
  <c r="CF120" i="13" s="1"/>
  <c r="CK120" i="13" s="1"/>
  <c r="CE121" i="13"/>
  <c r="CF121" i="13" s="1"/>
  <c r="CK121" i="13" s="1"/>
  <c r="CE122" i="13"/>
  <c r="CF122" i="13" s="1"/>
  <c r="CK122" i="13" s="1"/>
  <c r="CE123" i="13"/>
  <c r="CF123" i="13" s="1"/>
  <c r="CK123" i="13" s="1"/>
  <c r="CE124" i="13"/>
  <c r="CF124" i="13" s="1"/>
  <c r="CK124" i="13" s="1"/>
  <c r="CE125" i="13"/>
  <c r="CF125" i="13" s="1"/>
  <c r="CK125" i="13" s="1"/>
  <c r="CE126" i="13"/>
  <c r="CF126" i="13" s="1"/>
  <c r="CK126" i="13" s="1"/>
  <c r="CE127" i="13"/>
  <c r="CF127" i="13" s="1"/>
  <c r="CK127" i="13" s="1"/>
  <c r="CE128" i="13"/>
  <c r="CF128" i="13" s="1"/>
  <c r="CK128" i="13" s="1"/>
  <c r="CE129" i="13"/>
  <c r="CF129" i="13" s="1"/>
  <c r="CK129" i="13" s="1"/>
  <c r="CE130" i="13"/>
  <c r="CF130" i="13" s="1"/>
  <c r="CK130" i="13" s="1"/>
  <c r="CE131" i="13"/>
  <c r="CF131" i="13" s="1"/>
  <c r="CK131" i="13" s="1"/>
  <c r="CE132" i="13"/>
  <c r="CF132" i="13" s="1"/>
  <c r="CK132" i="13" s="1"/>
  <c r="CE133" i="13"/>
  <c r="CE134" i="13"/>
  <c r="CE135" i="13"/>
  <c r="CE136" i="13"/>
  <c r="CE137" i="13"/>
  <c r="CE138" i="13"/>
  <c r="CE139" i="13"/>
  <c r="CE140" i="13"/>
  <c r="CE141" i="13"/>
  <c r="CE142" i="13"/>
  <c r="CE143" i="13"/>
  <c r="CE144" i="13"/>
  <c r="CE145" i="13"/>
  <c r="CE146" i="13"/>
  <c r="CE147" i="13"/>
  <c r="CE148" i="13"/>
  <c r="CE149" i="13"/>
  <c r="CE150" i="13"/>
  <c r="CE151" i="13"/>
  <c r="CE152" i="13"/>
  <c r="CE153" i="13"/>
  <c r="CE154" i="13"/>
  <c r="CE155" i="13"/>
  <c r="CE156" i="13"/>
  <c r="CE157" i="13"/>
  <c r="CE158" i="13"/>
  <c r="CE159" i="13"/>
  <c r="CE160" i="13"/>
  <c r="CE161" i="13"/>
  <c r="CE162" i="13"/>
  <c r="CE163" i="13"/>
  <c r="CE164" i="13"/>
  <c r="CE165" i="13"/>
  <c r="CE166" i="13"/>
  <c r="CE167" i="13"/>
  <c r="CE168" i="13"/>
  <c r="CE169" i="13"/>
  <c r="CE170" i="13"/>
  <c r="CE171" i="13"/>
  <c r="CE172" i="13"/>
  <c r="CE173" i="13"/>
  <c r="CE174" i="13"/>
  <c r="CE175" i="13"/>
  <c r="CE176" i="13"/>
  <c r="CE177" i="13"/>
  <c r="CE178" i="13"/>
  <c r="CE179" i="13"/>
  <c r="CE180" i="13"/>
  <c r="CE181" i="13"/>
  <c r="CE182" i="13"/>
  <c r="CE183" i="13"/>
  <c r="CE184" i="13"/>
  <c r="CE185" i="13"/>
  <c r="CE186" i="13"/>
  <c r="CE187" i="13"/>
  <c r="CE188" i="13"/>
  <c r="CE189" i="13"/>
  <c r="CE190" i="13"/>
  <c r="CE191" i="13"/>
  <c r="CE192" i="13"/>
  <c r="CE193" i="13"/>
  <c r="CE194" i="13"/>
  <c r="CE195" i="13"/>
  <c r="CE196" i="13"/>
  <c r="CE197" i="13"/>
  <c r="CE198" i="13"/>
  <c r="CE199" i="13"/>
  <c r="CE200" i="13"/>
  <c r="CE201" i="13"/>
  <c r="CE202" i="13"/>
  <c r="CE203" i="13"/>
  <c r="CE204" i="13"/>
  <c r="CE205" i="13"/>
  <c r="CE206" i="13"/>
  <c r="CE207" i="13"/>
  <c r="CE208" i="13"/>
  <c r="CE209" i="13"/>
  <c r="CE210" i="13"/>
  <c r="CE211" i="13"/>
  <c r="CE212" i="13"/>
  <c r="CE213" i="13"/>
  <c r="CE214" i="13"/>
  <c r="CE215" i="13"/>
  <c r="CE216" i="13"/>
  <c r="CE217" i="13"/>
  <c r="CE218" i="13"/>
  <c r="CE219" i="13"/>
  <c r="CE220" i="13"/>
  <c r="CE221" i="13"/>
  <c r="CE222" i="13"/>
  <c r="CE223" i="13"/>
  <c r="CE224" i="13"/>
  <c r="CE225" i="13"/>
  <c r="CE226" i="13"/>
  <c r="CE227" i="13"/>
  <c r="CE228" i="13"/>
  <c r="CE229" i="13"/>
  <c r="CE230" i="13"/>
  <c r="CE231" i="13"/>
  <c r="CE232" i="13"/>
  <c r="CE233" i="13"/>
  <c r="CE234" i="13"/>
  <c r="CE235" i="13"/>
  <c r="CE236" i="13"/>
  <c r="CE237" i="13"/>
  <c r="CE238" i="13"/>
  <c r="CE239" i="13"/>
  <c r="CE240" i="13"/>
  <c r="CE241" i="13"/>
  <c r="CE242" i="13"/>
  <c r="CE243" i="13"/>
  <c r="CE244" i="13"/>
  <c r="CE245" i="13"/>
  <c r="CE246" i="13"/>
  <c r="CE247" i="13"/>
  <c r="CE248" i="13"/>
  <c r="CE249" i="13"/>
  <c r="CE250" i="13"/>
  <c r="CE251" i="13"/>
  <c r="CE252" i="13"/>
  <c r="CE253" i="13"/>
  <c r="CE254" i="13"/>
  <c r="CE255" i="13"/>
  <c r="CE256" i="13"/>
  <c r="CE257" i="13"/>
  <c r="CE258" i="13"/>
  <c r="CE259" i="13"/>
  <c r="CE260" i="13"/>
  <c r="CE261" i="13"/>
  <c r="CE262" i="13"/>
  <c r="CE263" i="13"/>
  <c r="CE264" i="13"/>
  <c r="CE265" i="13"/>
  <c r="CE266" i="13"/>
  <c r="CE267" i="13"/>
  <c r="CE268" i="13"/>
  <c r="CE269" i="13"/>
  <c r="CE270" i="13"/>
  <c r="CE271" i="13"/>
  <c r="CE272" i="13"/>
  <c r="CE273" i="13"/>
  <c r="CE274" i="13"/>
  <c r="CE275" i="13"/>
  <c r="CE276" i="13"/>
  <c r="CE277" i="13"/>
  <c r="CE278" i="13"/>
  <c r="CE279" i="13"/>
  <c r="CE280" i="13"/>
  <c r="CE281" i="13"/>
  <c r="CE282" i="13"/>
  <c r="CE283" i="13"/>
  <c r="CE284" i="13"/>
  <c r="CE285" i="13"/>
  <c r="CE286" i="13"/>
  <c r="CE287" i="13"/>
  <c r="CE288" i="13"/>
  <c r="CE289" i="13"/>
  <c r="CE290" i="13"/>
  <c r="CE291" i="13"/>
  <c r="CE292" i="13"/>
  <c r="CE293" i="13"/>
  <c r="CE294" i="13"/>
  <c r="CE295" i="13"/>
  <c r="CE296" i="13"/>
  <c r="CE297" i="13"/>
  <c r="CE298" i="13"/>
  <c r="CE299" i="13"/>
  <c r="CE300" i="13"/>
  <c r="CE301" i="13"/>
  <c r="CE302" i="13"/>
  <c r="CE303" i="13"/>
  <c r="CE304" i="13"/>
  <c r="CE305" i="13"/>
  <c r="CE306" i="13"/>
  <c r="CE307" i="13"/>
  <c r="CE308" i="13"/>
  <c r="CE309" i="13"/>
  <c r="CE310" i="13"/>
  <c r="CE311" i="13"/>
  <c r="CE312" i="13"/>
  <c r="CE313" i="13"/>
  <c r="CE314" i="13"/>
  <c r="CE315" i="13"/>
  <c r="CE316" i="13"/>
  <c r="CE317" i="13"/>
  <c r="CE318" i="13"/>
  <c r="CE319" i="13"/>
  <c r="CE320" i="13"/>
  <c r="CE321" i="13"/>
  <c r="CE322" i="13"/>
  <c r="CE323" i="13"/>
  <c r="CE324" i="13"/>
  <c r="CE325" i="13"/>
  <c r="CE326" i="13"/>
  <c r="CE327" i="13"/>
  <c r="CE328" i="13"/>
  <c r="CE329" i="13"/>
  <c r="CE330" i="13"/>
  <c r="CE331" i="13"/>
  <c r="CE332" i="13"/>
  <c r="CE333" i="13"/>
  <c r="CE334" i="13"/>
  <c r="CE335" i="13"/>
  <c r="CE336" i="13"/>
  <c r="CE337" i="13"/>
  <c r="CE338" i="13"/>
  <c r="CE339" i="13"/>
  <c r="CE340" i="13"/>
  <c r="CE341" i="13"/>
  <c r="CE342" i="13"/>
  <c r="CE343" i="13"/>
  <c r="CE344" i="13"/>
  <c r="CE345" i="13"/>
  <c r="CE346" i="13"/>
  <c r="CE347" i="13"/>
  <c r="CE348" i="13"/>
  <c r="CE349" i="13"/>
  <c r="CE350" i="13"/>
  <c r="CE351" i="13"/>
  <c r="CE352" i="13"/>
  <c r="CE353" i="13"/>
  <c r="CE354" i="13"/>
  <c r="CE355" i="13"/>
  <c r="CE356" i="13"/>
  <c r="CE357" i="13"/>
  <c r="CE358" i="13"/>
  <c r="CE359" i="13"/>
  <c r="CE360" i="13"/>
  <c r="CE361" i="13"/>
  <c r="CE362" i="13"/>
  <c r="CE363" i="13"/>
  <c r="CE364" i="13"/>
  <c r="BS6" i="13"/>
  <c r="BV6" i="13" s="1"/>
  <c r="BS7" i="13"/>
  <c r="BV7" i="13" s="1"/>
  <c r="BS8" i="13"/>
  <c r="BV8" i="13" s="1"/>
  <c r="BS9" i="13"/>
  <c r="BV9" i="13" s="1"/>
  <c r="BS10" i="13"/>
  <c r="BV10" i="13" s="1"/>
  <c r="BS11" i="13"/>
  <c r="BS12" i="13"/>
  <c r="BS13" i="13"/>
  <c r="BS14" i="13"/>
  <c r="BS15" i="13"/>
  <c r="BS16" i="13"/>
  <c r="BS17" i="13"/>
  <c r="BS18" i="13"/>
  <c r="BV18" i="13" s="1"/>
  <c r="BS19" i="13"/>
  <c r="BV19" i="13" s="1"/>
  <c r="BS20" i="13"/>
  <c r="BV20" i="13" s="1"/>
  <c r="BS21" i="13"/>
  <c r="BV21" i="13" s="1"/>
  <c r="BS22" i="13"/>
  <c r="BV22" i="13" s="1"/>
  <c r="BS23" i="13"/>
  <c r="BS24" i="13"/>
  <c r="BS25" i="13"/>
  <c r="BS26" i="13"/>
  <c r="BS27" i="13"/>
  <c r="BS28" i="13"/>
  <c r="BS29" i="13"/>
  <c r="BS30" i="13"/>
  <c r="BV30" i="13" s="1"/>
  <c r="BS31" i="13"/>
  <c r="BV31" i="13" s="1"/>
  <c r="BS32" i="13"/>
  <c r="BV32" i="13" s="1"/>
  <c r="BS33" i="13"/>
  <c r="BV33" i="13" s="1"/>
  <c r="BS34" i="13"/>
  <c r="BV34" i="13" s="1"/>
  <c r="BS35" i="13"/>
  <c r="BS36" i="13"/>
  <c r="BS37" i="13"/>
  <c r="BS38" i="13"/>
  <c r="BS39" i="13"/>
  <c r="BS40" i="13"/>
  <c r="BS41" i="13"/>
  <c r="BS42" i="13"/>
  <c r="BV42" i="13" s="1"/>
  <c r="BS43" i="13"/>
  <c r="BV43" i="13" s="1"/>
  <c r="BS44" i="13"/>
  <c r="BV44" i="13" s="1"/>
  <c r="BS45" i="13"/>
  <c r="BV45" i="13" s="1"/>
  <c r="BS46" i="13"/>
  <c r="BV46" i="13" s="1"/>
  <c r="BS47" i="13"/>
  <c r="BS48" i="13"/>
  <c r="BS49" i="13"/>
  <c r="BS50" i="13"/>
  <c r="BS51" i="13"/>
  <c r="BS52" i="13"/>
  <c r="BS53" i="13"/>
  <c r="BS54" i="13"/>
  <c r="BV54" i="13" s="1"/>
  <c r="BS55" i="13"/>
  <c r="BV55" i="13" s="1"/>
  <c r="BS56" i="13"/>
  <c r="BV56" i="13" s="1"/>
  <c r="BS57" i="13"/>
  <c r="BV57" i="13" s="1"/>
  <c r="BS58" i="13"/>
  <c r="BV58" i="13" s="1"/>
  <c r="BS59" i="13"/>
  <c r="BS60" i="13"/>
  <c r="BS61" i="13"/>
  <c r="BS62" i="13"/>
  <c r="BS63" i="13"/>
  <c r="BS64" i="13"/>
  <c r="BS65" i="13"/>
  <c r="BS66" i="13"/>
  <c r="BV66" i="13" s="1"/>
  <c r="BS67" i="13"/>
  <c r="BV67" i="13" s="1"/>
  <c r="BS68" i="13"/>
  <c r="BV68" i="13" s="1"/>
  <c r="BS69" i="13"/>
  <c r="BV69" i="13" s="1"/>
  <c r="BS70" i="13"/>
  <c r="BV70" i="13" s="1"/>
  <c r="BS71" i="13"/>
  <c r="BS72" i="13"/>
  <c r="BS73" i="13"/>
  <c r="BS74" i="13"/>
  <c r="BS75" i="13"/>
  <c r="BS76" i="13"/>
  <c r="BS77" i="13"/>
  <c r="BS78" i="13"/>
  <c r="BV78" i="13" s="1"/>
  <c r="BS79" i="13"/>
  <c r="BV79" i="13" s="1"/>
  <c r="BS80" i="13"/>
  <c r="BV80" i="13" s="1"/>
  <c r="BS81" i="13"/>
  <c r="BV81" i="13" s="1"/>
  <c r="BS82" i="13"/>
  <c r="BV82" i="13" s="1"/>
  <c r="BS83" i="13"/>
  <c r="BS84" i="13"/>
  <c r="BS85" i="13"/>
  <c r="BS86" i="13"/>
  <c r="BS87" i="13"/>
  <c r="BS88" i="13"/>
  <c r="BS89" i="13"/>
  <c r="BS90" i="13"/>
  <c r="BV90" i="13" s="1"/>
  <c r="BS91" i="13"/>
  <c r="BV91" i="13" s="1"/>
  <c r="BS92" i="13"/>
  <c r="BV92" i="13" s="1"/>
  <c r="BS93" i="13"/>
  <c r="BV93" i="13" s="1"/>
  <c r="BS94" i="13"/>
  <c r="BV94" i="13" s="1"/>
  <c r="BS95" i="13"/>
  <c r="BS96" i="13"/>
  <c r="BS97" i="13"/>
  <c r="BS98" i="13"/>
  <c r="BS99" i="13"/>
  <c r="BS100" i="13"/>
  <c r="BS101" i="13"/>
  <c r="BS102" i="13"/>
  <c r="BV102" i="13" s="1"/>
  <c r="BS103" i="13"/>
  <c r="BV103" i="13" s="1"/>
  <c r="BS104" i="13"/>
  <c r="BV104" i="13" s="1"/>
  <c r="BS105" i="13"/>
  <c r="BV105" i="13" s="1"/>
  <c r="BS106" i="13"/>
  <c r="BV106" i="13" s="1"/>
  <c r="BS107" i="13"/>
  <c r="BS108" i="13"/>
  <c r="BS109" i="13"/>
  <c r="BS110" i="13"/>
  <c r="BS111" i="13"/>
  <c r="BS112" i="13"/>
  <c r="BS113" i="13"/>
  <c r="BS114" i="13"/>
  <c r="BV114" i="13" s="1"/>
  <c r="BS115" i="13"/>
  <c r="BV115" i="13" s="1"/>
  <c r="BS116" i="13"/>
  <c r="BV116" i="13" s="1"/>
  <c r="BS117" i="13"/>
  <c r="BV117" i="13" s="1"/>
  <c r="BS118" i="13"/>
  <c r="BV118" i="13" s="1"/>
  <c r="BS119" i="13"/>
  <c r="BS120" i="13"/>
  <c r="BS121" i="13"/>
  <c r="BS122" i="13"/>
  <c r="BS123" i="13"/>
  <c r="BS124" i="13"/>
  <c r="BS125" i="13"/>
  <c r="BS126" i="13"/>
  <c r="BV126" i="13" s="1"/>
  <c r="BS127" i="13"/>
  <c r="BV127" i="13" s="1"/>
  <c r="BS128" i="13"/>
  <c r="BV128" i="13" s="1"/>
  <c r="BS129" i="13"/>
  <c r="BV129" i="13" s="1"/>
  <c r="BS130" i="13"/>
  <c r="BV130" i="13" s="1"/>
  <c r="BS131" i="13"/>
  <c r="BS132" i="13"/>
  <c r="BS133" i="13"/>
  <c r="BS134" i="13"/>
  <c r="BS135" i="13"/>
  <c r="BS136" i="13"/>
  <c r="BS137" i="13"/>
  <c r="BS138" i="13"/>
  <c r="BS139" i="13"/>
  <c r="BS140" i="13"/>
  <c r="BS141" i="13"/>
  <c r="BS142" i="13"/>
  <c r="BS143" i="13"/>
  <c r="BS144" i="13"/>
  <c r="BS145" i="13"/>
  <c r="BS146" i="13"/>
  <c r="BS147" i="13"/>
  <c r="BS148" i="13"/>
  <c r="BS149" i="13"/>
  <c r="BS150" i="13"/>
  <c r="BS151" i="13"/>
  <c r="BS152" i="13"/>
  <c r="BS153" i="13"/>
  <c r="BS154" i="13"/>
  <c r="BS155" i="13"/>
  <c r="BS156" i="13"/>
  <c r="BS157" i="13"/>
  <c r="BS158" i="13"/>
  <c r="BS159" i="13"/>
  <c r="BS160" i="13"/>
  <c r="BS161" i="13"/>
  <c r="BS162" i="13"/>
  <c r="BS163" i="13"/>
  <c r="BS164" i="13"/>
  <c r="BS165" i="13"/>
  <c r="BS166" i="13"/>
  <c r="BS167" i="13"/>
  <c r="BS168" i="13"/>
  <c r="BS169" i="13"/>
  <c r="BS170" i="13"/>
  <c r="BS171" i="13"/>
  <c r="BS172" i="13"/>
  <c r="BS173" i="13"/>
  <c r="BS174" i="13"/>
  <c r="BS175" i="13"/>
  <c r="BS176" i="13"/>
  <c r="BS177" i="13"/>
  <c r="BS178" i="13"/>
  <c r="BS179" i="13"/>
  <c r="BS180" i="13"/>
  <c r="BS181" i="13"/>
  <c r="BS182" i="13"/>
  <c r="BS183" i="13"/>
  <c r="BS184" i="13"/>
  <c r="BS185" i="13"/>
  <c r="BS186" i="13"/>
  <c r="BS187" i="13"/>
  <c r="BS188" i="13"/>
  <c r="BS189" i="13"/>
  <c r="BS190" i="13"/>
  <c r="BS191" i="13"/>
  <c r="BS192" i="13"/>
  <c r="BS193" i="13"/>
  <c r="BS194" i="13"/>
  <c r="BS195" i="13"/>
  <c r="BS196" i="13"/>
  <c r="BS197" i="13"/>
  <c r="BS198" i="13"/>
  <c r="BS199" i="13"/>
  <c r="BS200" i="13"/>
  <c r="BS201" i="13"/>
  <c r="BS202" i="13"/>
  <c r="BS203" i="13"/>
  <c r="BS204" i="13"/>
  <c r="BS205" i="13"/>
  <c r="BS206" i="13"/>
  <c r="BS207" i="13"/>
  <c r="BS208" i="13"/>
  <c r="BS209" i="13"/>
  <c r="BS210" i="13"/>
  <c r="BS211" i="13"/>
  <c r="BS212" i="13"/>
  <c r="BS213" i="13"/>
  <c r="BS214" i="13"/>
  <c r="BS215" i="13"/>
  <c r="BS216" i="13"/>
  <c r="BS217" i="13"/>
  <c r="BS218" i="13"/>
  <c r="BS219" i="13"/>
  <c r="BS220" i="13"/>
  <c r="BS221" i="13"/>
  <c r="BS222" i="13"/>
  <c r="BS223" i="13"/>
  <c r="BS224" i="13"/>
  <c r="BS225" i="13"/>
  <c r="BS226" i="13"/>
  <c r="BS227" i="13"/>
  <c r="BS228" i="13"/>
  <c r="BS229" i="13"/>
  <c r="BS230" i="13"/>
  <c r="BS231" i="13"/>
  <c r="BS232" i="13"/>
  <c r="BS233" i="13"/>
  <c r="BS234" i="13"/>
  <c r="BS235" i="13"/>
  <c r="BS236" i="13"/>
  <c r="BS237" i="13"/>
  <c r="BS238" i="13"/>
  <c r="BS239" i="13"/>
  <c r="BS240" i="13"/>
  <c r="BS241" i="13"/>
  <c r="BS242" i="13"/>
  <c r="BS243" i="13"/>
  <c r="BS244" i="13"/>
  <c r="BS245" i="13"/>
  <c r="BS246" i="13"/>
  <c r="BS247" i="13"/>
  <c r="BS248" i="13"/>
  <c r="BS249" i="13"/>
  <c r="BS250" i="13"/>
  <c r="BS251" i="13"/>
  <c r="BS252" i="13"/>
  <c r="BS253" i="13"/>
  <c r="BS254" i="13"/>
  <c r="BS255" i="13"/>
  <c r="BS256" i="13"/>
  <c r="BS257" i="13"/>
  <c r="BS258" i="13"/>
  <c r="BS259" i="13"/>
  <c r="BS260" i="13"/>
  <c r="BS261" i="13"/>
  <c r="BS262" i="13"/>
  <c r="BS263" i="13"/>
  <c r="BS264" i="13"/>
  <c r="BS265" i="13"/>
  <c r="BS266" i="13"/>
  <c r="BS267" i="13"/>
  <c r="BS268" i="13"/>
  <c r="BS269" i="13"/>
  <c r="BS270" i="13"/>
  <c r="BS271" i="13"/>
  <c r="BS272" i="13"/>
  <c r="BS273" i="13"/>
  <c r="BS274" i="13"/>
  <c r="BS275" i="13"/>
  <c r="BS276" i="13"/>
  <c r="BS277" i="13"/>
  <c r="BS278" i="13"/>
  <c r="BS279" i="13"/>
  <c r="BS280" i="13"/>
  <c r="BS281" i="13"/>
  <c r="BS282" i="13"/>
  <c r="BS283" i="13"/>
  <c r="BS284" i="13"/>
  <c r="BS285" i="13"/>
  <c r="BS286" i="13"/>
  <c r="BS287" i="13"/>
  <c r="BS288" i="13"/>
  <c r="BS289" i="13"/>
  <c r="BS290" i="13"/>
  <c r="BS291" i="13"/>
  <c r="BS292" i="13"/>
  <c r="BS293" i="13"/>
  <c r="BS294" i="13"/>
  <c r="BS295" i="13"/>
  <c r="BS296" i="13"/>
  <c r="BS297" i="13"/>
  <c r="BS298" i="13"/>
  <c r="BS299" i="13"/>
  <c r="BS300" i="13"/>
  <c r="BS301" i="13"/>
  <c r="BS302" i="13"/>
  <c r="BS303" i="13"/>
  <c r="BS304" i="13"/>
  <c r="BS305" i="13"/>
  <c r="BS306" i="13"/>
  <c r="BS307" i="13"/>
  <c r="BS308" i="13"/>
  <c r="BS309" i="13"/>
  <c r="BS310" i="13"/>
  <c r="BS311" i="13"/>
  <c r="BS312" i="13"/>
  <c r="BS313" i="13"/>
  <c r="BS314" i="13"/>
  <c r="BS315" i="13"/>
  <c r="BS316" i="13"/>
  <c r="BS317" i="13"/>
  <c r="BS318" i="13"/>
  <c r="BS319" i="13"/>
  <c r="BS320" i="13"/>
  <c r="BS321" i="13"/>
  <c r="BS322" i="13"/>
  <c r="BS323" i="13"/>
  <c r="BS324" i="13"/>
  <c r="BS325" i="13"/>
  <c r="BS326" i="13"/>
  <c r="BS327" i="13"/>
  <c r="BS328" i="13"/>
  <c r="BS329" i="13"/>
  <c r="BS330" i="13"/>
  <c r="BS331" i="13"/>
  <c r="BS332" i="13"/>
  <c r="BS333" i="13"/>
  <c r="BS334" i="13"/>
  <c r="BS335" i="13"/>
  <c r="BS336" i="13"/>
  <c r="BS337" i="13"/>
  <c r="BS338" i="13"/>
  <c r="BS339" i="13"/>
  <c r="BS340" i="13"/>
  <c r="BS341" i="13"/>
  <c r="BS342" i="13"/>
  <c r="BS343" i="13"/>
  <c r="BS344" i="13"/>
  <c r="BS345" i="13"/>
  <c r="BS346" i="13"/>
  <c r="BS347" i="13"/>
  <c r="BS348" i="13"/>
  <c r="BS349" i="13"/>
  <c r="BS350" i="13"/>
  <c r="BS351" i="13"/>
  <c r="BS352" i="13"/>
  <c r="BS353" i="13"/>
  <c r="BS354" i="13"/>
  <c r="BS355" i="13"/>
  <c r="BS356" i="13"/>
  <c r="BS357" i="13"/>
  <c r="BS358" i="13"/>
  <c r="BS359" i="13"/>
  <c r="BS360" i="13"/>
  <c r="BS361" i="13"/>
  <c r="BS362" i="13"/>
  <c r="BS363" i="13"/>
  <c r="BS364" i="13"/>
  <c r="BS5" i="13"/>
  <c r="BV5" i="13" s="1"/>
  <c r="BP133" i="13"/>
  <c r="BP134" i="13"/>
  <c r="BP135" i="13"/>
  <c r="BP136" i="13"/>
  <c r="BP137" i="13"/>
  <c r="BP138" i="13"/>
  <c r="BP139" i="13"/>
  <c r="BP140" i="13"/>
  <c r="BP141" i="13"/>
  <c r="BP142" i="13"/>
  <c r="BP143" i="13"/>
  <c r="BP144" i="13"/>
  <c r="BP145" i="13"/>
  <c r="BP146" i="13"/>
  <c r="BP147" i="13"/>
  <c r="BP148" i="13"/>
  <c r="BP149" i="13"/>
  <c r="BP150" i="13"/>
  <c r="BP151" i="13"/>
  <c r="BP152" i="13"/>
  <c r="BP153" i="13"/>
  <c r="BP154" i="13"/>
  <c r="BP155" i="13"/>
  <c r="BP156" i="13"/>
  <c r="BP157" i="13"/>
  <c r="BP158" i="13"/>
  <c r="BP159" i="13"/>
  <c r="BP160" i="13"/>
  <c r="BP161" i="13"/>
  <c r="BP162" i="13"/>
  <c r="BP163" i="13"/>
  <c r="BP164" i="13"/>
  <c r="BP165" i="13"/>
  <c r="BP166" i="13"/>
  <c r="BP167" i="13"/>
  <c r="BP168" i="13"/>
  <c r="BP169" i="13"/>
  <c r="BP170" i="13"/>
  <c r="BP171" i="13"/>
  <c r="BP172" i="13"/>
  <c r="BP173" i="13"/>
  <c r="BP174" i="13"/>
  <c r="BP175" i="13"/>
  <c r="BP176" i="13"/>
  <c r="BP177" i="13"/>
  <c r="BP178" i="13"/>
  <c r="BP179" i="13"/>
  <c r="BP180" i="13"/>
  <c r="BP181" i="13"/>
  <c r="BP182" i="13"/>
  <c r="BP183" i="13"/>
  <c r="BP184" i="13"/>
  <c r="BP185" i="13"/>
  <c r="BP186" i="13"/>
  <c r="BP187" i="13"/>
  <c r="BP188" i="13"/>
  <c r="BP189" i="13"/>
  <c r="BP190" i="13"/>
  <c r="BP191" i="13"/>
  <c r="BP192" i="13"/>
  <c r="BP193" i="13"/>
  <c r="BP194" i="13"/>
  <c r="BP195" i="13"/>
  <c r="BP196" i="13"/>
  <c r="BP197" i="13"/>
  <c r="BP198" i="13"/>
  <c r="BP199" i="13"/>
  <c r="BP200" i="13"/>
  <c r="BP201" i="13"/>
  <c r="BP202" i="13"/>
  <c r="BP203" i="13"/>
  <c r="BP204" i="13"/>
  <c r="BP205" i="13"/>
  <c r="BP206" i="13"/>
  <c r="BP207" i="13"/>
  <c r="BP208" i="13"/>
  <c r="BP209" i="13"/>
  <c r="BP210" i="13"/>
  <c r="BP211" i="13"/>
  <c r="BP212" i="13"/>
  <c r="BP213" i="13"/>
  <c r="BP214" i="13"/>
  <c r="BP215" i="13"/>
  <c r="BP216" i="13"/>
  <c r="BP217" i="13"/>
  <c r="BP218" i="13"/>
  <c r="BP219" i="13"/>
  <c r="BP220" i="13"/>
  <c r="BP221" i="13"/>
  <c r="BP222" i="13"/>
  <c r="BP223" i="13"/>
  <c r="BP224" i="13"/>
  <c r="BP225" i="13"/>
  <c r="BP226" i="13"/>
  <c r="BP227" i="13"/>
  <c r="BP228" i="13"/>
  <c r="BP229" i="13"/>
  <c r="BP230" i="13"/>
  <c r="BP231" i="13"/>
  <c r="BP232" i="13"/>
  <c r="BP233" i="13"/>
  <c r="BP234" i="13"/>
  <c r="BP235" i="13"/>
  <c r="BP236" i="13"/>
  <c r="BP237" i="13"/>
  <c r="BP238" i="13"/>
  <c r="BP239" i="13"/>
  <c r="BP240" i="13"/>
  <c r="BP241" i="13"/>
  <c r="BP242" i="13"/>
  <c r="BP243" i="13"/>
  <c r="BP244" i="13"/>
  <c r="BP245" i="13"/>
  <c r="BP246" i="13"/>
  <c r="BP247" i="13"/>
  <c r="BP248" i="13"/>
  <c r="BP249" i="13"/>
  <c r="BP250" i="13"/>
  <c r="BP251" i="13"/>
  <c r="BP252" i="13"/>
  <c r="BP253" i="13"/>
  <c r="BP254" i="13"/>
  <c r="BP255" i="13"/>
  <c r="BP256" i="13"/>
  <c r="BP257" i="13"/>
  <c r="BP258" i="13"/>
  <c r="BP259" i="13"/>
  <c r="BP260" i="13"/>
  <c r="BP261" i="13"/>
  <c r="BP262" i="13"/>
  <c r="BP263" i="13"/>
  <c r="BP264" i="13"/>
  <c r="BP265" i="13"/>
  <c r="BP266" i="13"/>
  <c r="BP267" i="13"/>
  <c r="BP268" i="13"/>
  <c r="BP269" i="13"/>
  <c r="BP270" i="13"/>
  <c r="BP271" i="13"/>
  <c r="BP272" i="13"/>
  <c r="BP273" i="13"/>
  <c r="BP274" i="13"/>
  <c r="BP275" i="13"/>
  <c r="BP276" i="13"/>
  <c r="BP277" i="13"/>
  <c r="BP278" i="13"/>
  <c r="BP279" i="13"/>
  <c r="BP280" i="13"/>
  <c r="BP281" i="13"/>
  <c r="BP282" i="13"/>
  <c r="BP283" i="13"/>
  <c r="BP284" i="13"/>
  <c r="BP285" i="13"/>
  <c r="BP286" i="13"/>
  <c r="BP287" i="13"/>
  <c r="BP288" i="13"/>
  <c r="BP289" i="13"/>
  <c r="BP290" i="13"/>
  <c r="BP291" i="13"/>
  <c r="BP292" i="13"/>
  <c r="BP293" i="13"/>
  <c r="BP294" i="13"/>
  <c r="BP295" i="13"/>
  <c r="BP296" i="13"/>
  <c r="BP297" i="13"/>
  <c r="BP298" i="13"/>
  <c r="BP299" i="13"/>
  <c r="BP300" i="13"/>
  <c r="BP301" i="13"/>
  <c r="BP302" i="13"/>
  <c r="BP303" i="13"/>
  <c r="BP304" i="13"/>
  <c r="BP305" i="13"/>
  <c r="BP306" i="13"/>
  <c r="BP307" i="13"/>
  <c r="BP308" i="13"/>
  <c r="BP309" i="13"/>
  <c r="BP310" i="13"/>
  <c r="BP311" i="13"/>
  <c r="BP312" i="13"/>
  <c r="BP313" i="13"/>
  <c r="BP314" i="13"/>
  <c r="BP315" i="13"/>
  <c r="BP316" i="13"/>
  <c r="BP317" i="13"/>
  <c r="BP318" i="13"/>
  <c r="BP319" i="13"/>
  <c r="BP320" i="13"/>
  <c r="BP321" i="13"/>
  <c r="BP322" i="13"/>
  <c r="BP323" i="13"/>
  <c r="BP324" i="13"/>
  <c r="BP325" i="13"/>
  <c r="BP326" i="13"/>
  <c r="BP327" i="13"/>
  <c r="BP328" i="13"/>
  <c r="BP329" i="13"/>
  <c r="BP330" i="13"/>
  <c r="BP331" i="13"/>
  <c r="BP332" i="13"/>
  <c r="BP333" i="13"/>
  <c r="BP334" i="13"/>
  <c r="BP335" i="13"/>
  <c r="BP336" i="13"/>
  <c r="BP337" i="13"/>
  <c r="BP338" i="13"/>
  <c r="BP339" i="13"/>
  <c r="BP340" i="13"/>
  <c r="BP341" i="13"/>
  <c r="BP342" i="13"/>
  <c r="BP343" i="13"/>
  <c r="BP344" i="13"/>
  <c r="BP345" i="13"/>
  <c r="BP346" i="13"/>
  <c r="BP347" i="13"/>
  <c r="BP348" i="13"/>
  <c r="BP349" i="13"/>
  <c r="BP350" i="13"/>
  <c r="BP351" i="13"/>
  <c r="BP352" i="13"/>
  <c r="BP353" i="13"/>
  <c r="BP354" i="13"/>
  <c r="BP355" i="13"/>
  <c r="BP356" i="13"/>
  <c r="BP357" i="13"/>
  <c r="BP358" i="13"/>
  <c r="BP359" i="13"/>
  <c r="BP360" i="13"/>
  <c r="BP361" i="13"/>
  <c r="BP362" i="13"/>
  <c r="BP363" i="13"/>
  <c r="BP364" i="13"/>
  <c r="BN133" i="13"/>
  <c r="BN134" i="13"/>
  <c r="BN135" i="13"/>
  <c r="BN136" i="13"/>
  <c r="BN137" i="13"/>
  <c r="BN138" i="13"/>
  <c r="BN139" i="13"/>
  <c r="BN140" i="13"/>
  <c r="BN141" i="13"/>
  <c r="BN142" i="13"/>
  <c r="BN143" i="13"/>
  <c r="BN144" i="13"/>
  <c r="BN145" i="13"/>
  <c r="BN146" i="13"/>
  <c r="BN147" i="13"/>
  <c r="BN148" i="13"/>
  <c r="BN149" i="13"/>
  <c r="BN150" i="13"/>
  <c r="BN151" i="13"/>
  <c r="BN152" i="13"/>
  <c r="BN153" i="13"/>
  <c r="BN154" i="13"/>
  <c r="BN155" i="13"/>
  <c r="BN156" i="13"/>
  <c r="BN157" i="13"/>
  <c r="BN158" i="13"/>
  <c r="BN159" i="13"/>
  <c r="BN160" i="13"/>
  <c r="BN161" i="13"/>
  <c r="BN162" i="13"/>
  <c r="BN163" i="13"/>
  <c r="BN164" i="13"/>
  <c r="BN165" i="13"/>
  <c r="BN166" i="13"/>
  <c r="BN167" i="13"/>
  <c r="BN168" i="13"/>
  <c r="BN169" i="13"/>
  <c r="BN170" i="13"/>
  <c r="BN171" i="13"/>
  <c r="BN172" i="13"/>
  <c r="BN173" i="13"/>
  <c r="BN174" i="13"/>
  <c r="BN175" i="13"/>
  <c r="BN176" i="13"/>
  <c r="BN177" i="13"/>
  <c r="BN178" i="13"/>
  <c r="BN179" i="13"/>
  <c r="BN180" i="13"/>
  <c r="BN181" i="13"/>
  <c r="BN182" i="13"/>
  <c r="BN183" i="13"/>
  <c r="BN184" i="13"/>
  <c r="BN185" i="13"/>
  <c r="BN186" i="13"/>
  <c r="BN187" i="13"/>
  <c r="BN188" i="13"/>
  <c r="BN189" i="13"/>
  <c r="BN190" i="13"/>
  <c r="BN191" i="13"/>
  <c r="BN192" i="13"/>
  <c r="BN193" i="13"/>
  <c r="BN194" i="13"/>
  <c r="BN195" i="13"/>
  <c r="BN196" i="13"/>
  <c r="BN197" i="13"/>
  <c r="BN198" i="13"/>
  <c r="BN199" i="13"/>
  <c r="BN200" i="13"/>
  <c r="BN201" i="13"/>
  <c r="BN202" i="13"/>
  <c r="BN203" i="13"/>
  <c r="BN204" i="13"/>
  <c r="BN205" i="13"/>
  <c r="BN206" i="13"/>
  <c r="BN207" i="13"/>
  <c r="BN208" i="13"/>
  <c r="BN209" i="13"/>
  <c r="BN210" i="13"/>
  <c r="BN211" i="13"/>
  <c r="BN212" i="13"/>
  <c r="BN213" i="13"/>
  <c r="BN214" i="13"/>
  <c r="BN215" i="13"/>
  <c r="BN216" i="13"/>
  <c r="BN217" i="13"/>
  <c r="BN218" i="13"/>
  <c r="BN219" i="13"/>
  <c r="BN220" i="13"/>
  <c r="BN221" i="13"/>
  <c r="BN222" i="13"/>
  <c r="BN223" i="13"/>
  <c r="BN224" i="13"/>
  <c r="BN225" i="13"/>
  <c r="BN226" i="13"/>
  <c r="BN227" i="13"/>
  <c r="BN228" i="13"/>
  <c r="BN229" i="13"/>
  <c r="BN230" i="13"/>
  <c r="BN231" i="13"/>
  <c r="BN232" i="13"/>
  <c r="BN233" i="13"/>
  <c r="BN234" i="13"/>
  <c r="BN235" i="13"/>
  <c r="BN236" i="13"/>
  <c r="BN237" i="13"/>
  <c r="BN238" i="13"/>
  <c r="BN239" i="13"/>
  <c r="BN240" i="13"/>
  <c r="BN241" i="13"/>
  <c r="BN242" i="13"/>
  <c r="BN243" i="13"/>
  <c r="BN244" i="13"/>
  <c r="BN245" i="13"/>
  <c r="BN246" i="13"/>
  <c r="BN247" i="13"/>
  <c r="BN248" i="13"/>
  <c r="BN249" i="13"/>
  <c r="BN250" i="13"/>
  <c r="BN251" i="13"/>
  <c r="BN252" i="13"/>
  <c r="BN253" i="13"/>
  <c r="BN254" i="13"/>
  <c r="BN255" i="13"/>
  <c r="BN256" i="13"/>
  <c r="BN257" i="13"/>
  <c r="BN258" i="13"/>
  <c r="BN259" i="13"/>
  <c r="BN260" i="13"/>
  <c r="BN261" i="13"/>
  <c r="BN262" i="13"/>
  <c r="BN263" i="13"/>
  <c r="BN264" i="13"/>
  <c r="BN265" i="13"/>
  <c r="BN266" i="13"/>
  <c r="BN267" i="13"/>
  <c r="BN268" i="13"/>
  <c r="BN269" i="13"/>
  <c r="BN270" i="13"/>
  <c r="BN271" i="13"/>
  <c r="BN272" i="13"/>
  <c r="BN273" i="13"/>
  <c r="BN274" i="13"/>
  <c r="BN275" i="13"/>
  <c r="BN276" i="13"/>
  <c r="BN277" i="13"/>
  <c r="BN278" i="13"/>
  <c r="BN279" i="13"/>
  <c r="BN280" i="13"/>
  <c r="BN281" i="13"/>
  <c r="BN282" i="13"/>
  <c r="BN283" i="13"/>
  <c r="BN284" i="13"/>
  <c r="BN285" i="13"/>
  <c r="BN286" i="13"/>
  <c r="BN287" i="13"/>
  <c r="BN288" i="13"/>
  <c r="BN289" i="13"/>
  <c r="BN290" i="13"/>
  <c r="BN291" i="13"/>
  <c r="BN292" i="13"/>
  <c r="BN293" i="13"/>
  <c r="BN294" i="13"/>
  <c r="BN295" i="13"/>
  <c r="BN296" i="13"/>
  <c r="BN297" i="13"/>
  <c r="BN298" i="13"/>
  <c r="BN299" i="13"/>
  <c r="BN300" i="13"/>
  <c r="BN301" i="13"/>
  <c r="BN302" i="13"/>
  <c r="BN303" i="13"/>
  <c r="BN304" i="13"/>
  <c r="BN305" i="13"/>
  <c r="BN306" i="13"/>
  <c r="BN307" i="13"/>
  <c r="BN308" i="13"/>
  <c r="BN309" i="13"/>
  <c r="BN310" i="13"/>
  <c r="BN311" i="13"/>
  <c r="BN312" i="13"/>
  <c r="BN313" i="13"/>
  <c r="BN314" i="13"/>
  <c r="BN315" i="13"/>
  <c r="BN316" i="13"/>
  <c r="BN317" i="13"/>
  <c r="BN318" i="13"/>
  <c r="BN319" i="13"/>
  <c r="BN320" i="13"/>
  <c r="BN321" i="13"/>
  <c r="BN322" i="13"/>
  <c r="BN323" i="13"/>
  <c r="BN324" i="13"/>
  <c r="BN325" i="13"/>
  <c r="BN326" i="13"/>
  <c r="BN327" i="13"/>
  <c r="BN328" i="13"/>
  <c r="BN329" i="13"/>
  <c r="BN330" i="13"/>
  <c r="BN331" i="13"/>
  <c r="BN332" i="13"/>
  <c r="BN333" i="13"/>
  <c r="BN334" i="13"/>
  <c r="BN335" i="13"/>
  <c r="BN336" i="13"/>
  <c r="BN337" i="13"/>
  <c r="BN338" i="13"/>
  <c r="BN339" i="13"/>
  <c r="BN340" i="13"/>
  <c r="BN341" i="13"/>
  <c r="BN342" i="13"/>
  <c r="BN343" i="13"/>
  <c r="BN344" i="13"/>
  <c r="BN345" i="13"/>
  <c r="BN346" i="13"/>
  <c r="BN347" i="13"/>
  <c r="BN348" i="13"/>
  <c r="BN349" i="13"/>
  <c r="BN350" i="13"/>
  <c r="BN351" i="13"/>
  <c r="BN352" i="13"/>
  <c r="BN353" i="13"/>
  <c r="BN354" i="13"/>
  <c r="BN355" i="13"/>
  <c r="BN356" i="13"/>
  <c r="BN357" i="13"/>
  <c r="BN358" i="13"/>
  <c r="BN359" i="13"/>
  <c r="BN360" i="13"/>
  <c r="BN361" i="13"/>
  <c r="BN362" i="13"/>
  <c r="BN363" i="13"/>
  <c r="BN364" i="13"/>
  <c r="BL6" i="13"/>
  <c r="BM6" i="13" s="1"/>
  <c r="BR6" i="13" s="1"/>
  <c r="BL7" i="13"/>
  <c r="BM7" i="13" s="1"/>
  <c r="BR7" i="13" s="1"/>
  <c r="BL8" i="13"/>
  <c r="BM8" i="13" s="1"/>
  <c r="BR8" i="13" s="1"/>
  <c r="BL9" i="13"/>
  <c r="BM9" i="13" s="1"/>
  <c r="BR9" i="13" s="1"/>
  <c r="BL10" i="13"/>
  <c r="BM10" i="13" s="1"/>
  <c r="BR10" i="13" s="1"/>
  <c r="BL11" i="13"/>
  <c r="BM11" i="13" s="1"/>
  <c r="BR11" i="13" s="1"/>
  <c r="BL12" i="13"/>
  <c r="BM12" i="13" s="1"/>
  <c r="BR12" i="13" s="1"/>
  <c r="BL13" i="13"/>
  <c r="BM13" i="13" s="1"/>
  <c r="BR13" i="13" s="1"/>
  <c r="BL14" i="13"/>
  <c r="BM14" i="13" s="1"/>
  <c r="BR14" i="13" s="1"/>
  <c r="BL15" i="13"/>
  <c r="BM15" i="13" s="1"/>
  <c r="BR15" i="13" s="1"/>
  <c r="BL16" i="13"/>
  <c r="BM16" i="13" s="1"/>
  <c r="BR16" i="13" s="1"/>
  <c r="BL17" i="13"/>
  <c r="BM17" i="13" s="1"/>
  <c r="BR17" i="13" s="1"/>
  <c r="BL18" i="13"/>
  <c r="BM18" i="13" s="1"/>
  <c r="BR18" i="13" s="1"/>
  <c r="BL19" i="13"/>
  <c r="BM19" i="13" s="1"/>
  <c r="BR19" i="13" s="1"/>
  <c r="BL20" i="13"/>
  <c r="BM20" i="13" s="1"/>
  <c r="BR20" i="13" s="1"/>
  <c r="BL21" i="13"/>
  <c r="BM21" i="13" s="1"/>
  <c r="BR21" i="13" s="1"/>
  <c r="BL22" i="13"/>
  <c r="BM22" i="13" s="1"/>
  <c r="BR22" i="13" s="1"/>
  <c r="BL23" i="13"/>
  <c r="BM23" i="13" s="1"/>
  <c r="BR23" i="13" s="1"/>
  <c r="BL24" i="13"/>
  <c r="BM24" i="13" s="1"/>
  <c r="BR24" i="13" s="1"/>
  <c r="BL25" i="13"/>
  <c r="BM25" i="13" s="1"/>
  <c r="BR25" i="13" s="1"/>
  <c r="BL26" i="13"/>
  <c r="BM26" i="13" s="1"/>
  <c r="BR26" i="13" s="1"/>
  <c r="BL27" i="13"/>
  <c r="BM27" i="13" s="1"/>
  <c r="BR27" i="13" s="1"/>
  <c r="BL28" i="13"/>
  <c r="BM28" i="13" s="1"/>
  <c r="BR28" i="13" s="1"/>
  <c r="BL29" i="13"/>
  <c r="BM29" i="13" s="1"/>
  <c r="BR29" i="13" s="1"/>
  <c r="BL30" i="13"/>
  <c r="BM30" i="13" s="1"/>
  <c r="BR30" i="13" s="1"/>
  <c r="BL31" i="13"/>
  <c r="BM31" i="13" s="1"/>
  <c r="BR31" i="13" s="1"/>
  <c r="BL32" i="13"/>
  <c r="BM32" i="13" s="1"/>
  <c r="BR32" i="13" s="1"/>
  <c r="BL33" i="13"/>
  <c r="BM33" i="13" s="1"/>
  <c r="BR33" i="13" s="1"/>
  <c r="BL34" i="13"/>
  <c r="BM34" i="13" s="1"/>
  <c r="BR34" i="13" s="1"/>
  <c r="BL35" i="13"/>
  <c r="BM35" i="13" s="1"/>
  <c r="BR35" i="13" s="1"/>
  <c r="BL36" i="13"/>
  <c r="BM36" i="13" s="1"/>
  <c r="BR36" i="13" s="1"/>
  <c r="BL37" i="13"/>
  <c r="BM37" i="13" s="1"/>
  <c r="BR37" i="13" s="1"/>
  <c r="BL38" i="13"/>
  <c r="BM38" i="13" s="1"/>
  <c r="BR38" i="13" s="1"/>
  <c r="BL39" i="13"/>
  <c r="BM39" i="13" s="1"/>
  <c r="BR39" i="13" s="1"/>
  <c r="BL40" i="13"/>
  <c r="BM40" i="13" s="1"/>
  <c r="BR40" i="13" s="1"/>
  <c r="BL41" i="13"/>
  <c r="BM41" i="13" s="1"/>
  <c r="BR41" i="13" s="1"/>
  <c r="BL42" i="13"/>
  <c r="BM42" i="13" s="1"/>
  <c r="BR42" i="13" s="1"/>
  <c r="BL43" i="13"/>
  <c r="BM43" i="13" s="1"/>
  <c r="BR43" i="13" s="1"/>
  <c r="BL44" i="13"/>
  <c r="BM44" i="13" s="1"/>
  <c r="BR44" i="13" s="1"/>
  <c r="BL45" i="13"/>
  <c r="BM45" i="13" s="1"/>
  <c r="BR45" i="13" s="1"/>
  <c r="BL46" i="13"/>
  <c r="BM46" i="13" s="1"/>
  <c r="BR46" i="13" s="1"/>
  <c r="BL47" i="13"/>
  <c r="BM47" i="13" s="1"/>
  <c r="BR47" i="13" s="1"/>
  <c r="BL48" i="13"/>
  <c r="BM48" i="13" s="1"/>
  <c r="BR48" i="13" s="1"/>
  <c r="BL49" i="13"/>
  <c r="BM49" i="13" s="1"/>
  <c r="BR49" i="13" s="1"/>
  <c r="BL50" i="13"/>
  <c r="BM50" i="13" s="1"/>
  <c r="BR50" i="13" s="1"/>
  <c r="BL51" i="13"/>
  <c r="BM51" i="13" s="1"/>
  <c r="BR51" i="13" s="1"/>
  <c r="BL52" i="13"/>
  <c r="BM52" i="13" s="1"/>
  <c r="BR52" i="13" s="1"/>
  <c r="BL53" i="13"/>
  <c r="BM53" i="13" s="1"/>
  <c r="BR53" i="13" s="1"/>
  <c r="BL54" i="13"/>
  <c r="BM54" i="13" s="1"/>
  <c r="BR54" i="13" s="1"/>
  <c r="BL55" i="13"/>
  <c r="BM55" i="13" s="1"/>
  <c r="BR55" i="13" s="1"/>
  <c r="BL56" i="13"/>
  <c r="BM56" i="13" s="1"/>
  <c r="BR56" i="13" s="1"/>
  <c r="BL57" i="13"/>
  <c r="BM57" i="13" s="1"/>
  <c r="BR57" i="13" s="1"/>
  <c r="BL58" i="13"/>
  <c r="BM58" i="13" s="1"/>
  <c r="BR58" i="13" s="1"/>
  <c r="BL59" i="13"/>
  <c r="BM59" i="13" s="1"/>
  <c r="BR59" i="13" s="1"/>
  <c r="BL60" i="13"/>
  <c r="BM60" i="13" s="1"/>
  <c r="BR60" i="13" s="1"/>
  <c r="BL61" i="13"/>
  <c r="BM61" i="13" s="1"/>
  <c r="BR61" i="13" s="1"/>
  <c r="BL62" i="13"/>
  <c r="BM62" i="13" s="1"/>
  <c r="BR62" i="13" s="1"/>
  <c r="BL63" i="13"/>
  <c r="BM63" i="13" s="1"/>
  <c r="BR63" i="13" s="1"/>
  <c r="BL64" i="13"/>
  <c r="BM64" i="13" s="1"/>
  <c r="BR64" i="13" s="1"/>
  <c r="BL65" i="13"/>
  <c r="BM65" i="13" s="1"/>
  <c r="BR65" i="13" s="1"/>
  <c r="BL66" i="13"/>
  <c r="BM66" i="13" s="1"/>
  <c r="BR66" i="13" s="1"/>
  <c r="BL67" i="13"/>
  <c r="BM67" i="13" s="1"/>
  <c r="BR67" i="13" s="1"/>
  <c r="BL68" i="13"/>
  <c r="BM68" i="13" s="1"/>
  <c r="BR68" i="13" s="1"/>
  <c r="BL69" i="13"/>
  <c r="BM69" i="13" s="1"/>
  <c r="BR69" i="13" s="1"/>
  <c r="BL70" i="13"/>
  <c r="BM70" i="13" s="1"/>
  <c r="BR70" i="13" s="1"/>
  <c r="BL71" i="13"/>
  <c r="BM71" i="13" s="1"/>
  <c r="BR71" i="13" s="1"/>
  <c r="BL72" i="13"/>
  <c r="BM72" i="13" s="1"/>
  <c r="BR72" i="13" s="1"/>
  <c r="BL73" i="13"/>
  <c r="BM73" i="13" s="1"/>
  <c r="BR73" i="13" s="1"/>
  <c r="BL74" i="13"/>
  <c r="BM74" i="13" s="1"/>
  <c r="BR74" i="13" s="1"/>
  <c r="BL75" i="13"/>
  <c r="BM75" i="13" s="1"/>
  <c r="BR75" i="13" s="1"/>
  <c r="BL76" i="13"/>
  <c r="BM76" i="13" s="1"/>
  <c r="BR76" i="13" s="1"/>
  <c r="BL77" i="13"/>
  <c r="BM77" i="13" s="1"/>
  <c r="BR77" i="13" s="1"/>
  <c r="BL78" i="13"/>
  <c r="BM78" i="13" s="1"/>
  <c r="BR78" i="13" s="1"/>
  <c r="BL79" i="13"/>
  <c r="BM79" i="13" s="1"/>
  <c r="BR79" i="13" s="1"/>
  <c r="BL80" i="13"/>
  <c r="BM80" i="13" s="1"/>
  <c r="BR80" i="13" s="1"/>
  <c r="BL81" i="13"/>
  <c r="BM81" i="13" s="1"/>
  <c r="BR81" i="13" s="1"/>
  <c r="BL82" i="13"/>
  <c r="BM82" i="13" s="1"/>
  <c r="BR82" i="13" s="1"/>
  <c r="BL83" i="13"/>
  <c r="BM83" i="13" s="1"/>
  <c r="BR83" i="13" s="1"/>
  <c r="BL84" i="13"/>
  <c r="BM84" i="13" s="1"/>
  <c r="BR84" i="13" s="1"/>
  <c r="BL85" i="13"/>
  <c r="BM85" i="13" s="1"/>
  <c r="BR85" i="13" s="1"/>
  <c r="BL86" i="13"/>
  <c r="BM86" i="13" s="1"/>
  <c r="BR86" i="13" s="1"/>
  <c r="BL87" i="13"/>
  <c r="BM87" i="13" s="1"/>
  <c r="BR87" i="13" s="1"/>
  <c r="BL88" i="13"/>
  <c r="BM88" i="13" s="1"/>
  <c r="BR88" i="13" s="1"/>
  <c r="BL89" i="13"/>
  <c r="BM89" i="13" s="1"/>
  <c r="BR89" i="13" s="1"/>
  <c r="BL90" i="13"/>
  <c r="BM90" i="13" s="1"/>
  <c r="BR90" i="13" s="1"/>
  <c r="BL91" i="13"/>
  <c r="BM91" i="13" s="1"/>
  <c r="BR91" i="13" s="1"/>
  <c r="BL92" i="13"/>
  <c r="BM92" i="13" s="1"/>
  <c r="BR92" i="13" s="1"/>
  <c r="BL93" i="13"/>
  <c r="BM93" i="13" s="1"/>
  <c r="BR93" i="13" s="1"/>
  <c r="BL94" i="13"/>
  <c r="BM94" i="13" s="1"/>
  <c r="BR94" i="13" s="1"/>
  <c r="BL95" i="13"/>
  <c r="BM95" i="13" s="1"/>
  <c r="BR95" i="13" s="1"/>
  <c r="BL96" i="13"/>
  <c r="BM96" i="13" s="1"/>
  <c r="BR96" i="13" s="1"/>
  <c r="BL97" i="13"/>
  <c r="BM97" i="13" s="1"/>
  <c r="BR97" i="13" s="1"/>
  <c r="BL98" i="13"/>
  <c r="BM98" i="13" s="1"/>
  <c r="BR98" i="13" s="1"/>
  <c r="BL99" i="13"/>
  <c r="BM99" i="13" s="1"/>
  <c r="BR99" i="13" s="1"/>
  <c r="BL100" i="13"/>
  <c r="BM100" i="13" s="1"/>
  <c r="BR100" i="13" s="1"/>
  <c r="BL101" i="13"/>
  <c r="BM101" i="13" s="1"/>
  <c r="BR101" i="13" s="1"/>
  <c r="BL102" i="13"/>
  <c r="BM102" i="13" s="1"/>
  <c r="BR102" i="13" s="1"/>
  <c r="BL103" i="13"/>
  <c r="BM103" i="13" s="1"/>
  <c r="BR103" i="13" s="1"/>
  <c r="BL104" i="13"/>
  <c r="BM104" i="13" s="1"/>
  <c r="BR104" i="13" s="1"/>
  <c r="BL105" i="13"/>
  <c r="BM105" i="13" s="1"/>
  <c r="BR105" i="13" s="1"/>
  <c r="BL106" i="13"/>
  <c r="BM106" i="13" s="1"/>
  <c r="BR106" i="13" s="1"/>
  <c r="BL107" i="13"/>
  <c r="BM107" i="13" s="1"/>
  <c r="BR107" i="13" s="1"/>
  <c r="BL108" i="13"/>
  <c r="BM108" i="13" s="1"/>
  <c r="BR108" i="13" s="1"/>
  <c r="BL109" i="13"/>
  <c r="BM109" i="13" s="1"/>
  <c r="BR109" i="13" s="1"/>
  <c r="BL110" i="13"/>
  <c r="BM110" i="13" s="1"/>
  <c r="BR110" i="13" s="1"/>
  <c r="BL111" i="13"/>
  <c r="BM111" i="13" s="1"/>
  <c r="BR111" i="13" s="1"/>
  <c r="BL112" i="13"/>
  <c r="BM112" i="13" s="1"/>
  <c r="BR112" i="13" s="1"/>
  <c r="BL113" i="13"/>
  <c r="BM113" i="13" s="1"/>
  <c r="BR113" i="13" s="1"/>
  <c r="BL114" i="13"/>
  <c r="BM114" i="13" s="1"/>
  <c r="BR114" i="13" s="1"/>
  <c r="BL115" i="13"/>
  <c r="BM115" i="13" s="1"/>
  <c r="BR115" i="13" s="1"/>
  <c r="BL116" i="13"/>
  <c r="BM116" i="13" s="1"/>
  <c r="BR116" i="13" s="1"/>
  <c r="BL117" i="13"/>
  <c r="BM117" i="13" s="1"/>
  <c r="BR117" i="13" s="1"/>
  <c r="BL118" i="13"/>
  <c r="BM118" i="13" s="1"/>
  <c r="BR118" i="13" s="1"/>
  <c r="BL119" i="13"/>
  <c r="BM119" i="13" s="1"/>
  <c r="BR119" i="13" s="1"/>
  <c r="BL120" i="13"/>
  <c r="BM120" i="13" s="1"/>
  <c r="BR120" i="13" s="1"/>
  <c r="BL121" i="13"/>
  <c r="BM121" i="13" s="1"/>
  <c r="BR121" i="13" s="1"/>
  <c r="BL122" i="13"/>
  <c r="BM122" i="13" s="1"/>
  <c r="BR122" i="13" s="1"/>
  <c r="BL123" i="13"/>
  <c r="BM123" i="13" s="1"/>
  <c r="BR123" i="13" s="1"/>
  <c r="BL124" i="13"/>
  <c r="BM124" i="13" s="1"/>
  <c r="BR124" i="13" s="1"/>
  <c r="BL125" i="13"/>
  <c r="BM125" i="13" s="1"/>
  <c r="BR125" i="13" s="1"/>
  <c r="BL126" i="13"/>
  <c r="BM126" i="13" s="1"/>
  <c r="BR126" i="13" s="1"/>
  <c r="BL127" i="13"/>
  <c r="BM127" i="13" s="1"/>
  <c r="BR127" i="13" s="1"/>
  <c r="BL128" i="13"/>
  <c r="BM128" i="13" s="1"/>
  <c r="BR128" i="13" s="1"/>
  <c r="BL129" i="13"/>
  <c r="BM129" i="13" s="1"/>
  <c r="BR129" i="13" s="1"/>
  <c r="BL130" i="13"/>
  <c r="BM130" i="13" s="1"/>
  <c r="BR130" i="13" s="1"/>
  <c r="BL131" i="13"/>
  <c r="BM131" i="13" s="1"/>
  <c r="BR131" i="13" s="1"/>
  <c r="BL132" i="13"/>
  <c r="BM132" i="13" s="1"/>
  <c r="BR132" i="13" s="1"/>
  <c r="BL133" i="13"/>
  <c r="BL134" i="13"/>
  <c r="BL135" i="13"/>
  <c r="BL136" i="13"/>
  <c r="BL137" i="13"/>
  <c r="BL138" i="13"/>
  <c r="BL139" i="13"/>
  <c r="BL140" i="13"/>
  <c r="BL141" i="13"/>
  <c r="BL142" i="13"/>
  <c r="BL143" i="13"/>
  <c r="BL144" i="13"/>
  <c r="BL145" i="13"/>
  <c r="BL146" i="13"/>
  <c r="BL147" i="13"/>
  <c r="BL148" i="13"/>
  <c r="BL149" i="13"/>
  <c r="BL150" i="13"/>
  <c r="BL151" i="13"/>
  <c r="BL152" i="13"/>
  <c r="BL153" i="13"/>
  <c r="BL154" i="13"/>
  <c r="BL155" i="13"/>
  <c r="BL156" i="13"/>
  <c r="BL157" i="13"/>
  <c r="BL158" i="13"/>
  <c r="BL159" i="13"/>
  <c r="BL160" i="13"/>
  <c r="BL161" i="13"/>
  <c r="BL162" i="13"/>
  <c r="BL163" i="13"/>
  <c r="BL164" i="13"/>
  <c r="BL165" i="13"/>
  <c r="BL166" i="13"/>
  <c r="BL167" i="13"/>
  <c r="BL168" i="13"/>
  <c r="BL169" i="13"/>
  <c r="BL170" i="13"/>
  <c r="BL171" i="13"/>
  <c r="BL172" i="13"/>
  <c r="BL173" i="13"/>
  <c r="BL174" i="13"/>
  <c r="BL175" i="13"/>
  <c r="BL176" i="13"/>
  <c r="BL177" i="13"/>
  <c r="BL178" i="13"/>
  <c r="BL179" i="13"/>
  <c r="BL180" i="13"/>
  <c r="BL181" i="13"/>
  <c r="BL182" i="13"/>
  <c r="BL183" i="13"/>
  <c r="BL184" i="13"/>
  <c r="BL185" i="13"/>
  <c r="BL186" i="13"/>
  <c r="BL187" i="13"/>
  <c r="BL188" i="13"/>
  <c r="BL189" i="13"/>
  <c r="BL190" i="13"/>
  <c r="BL191" i="13"/>
  <c r="BL192" i="13"/>
  <c r="BL193" i="13"/>
  <c r="BL194" i="13"/>
  <c r="BL195" i="13"/>
  <c r="BL196" i="13"/>
  <c r="BL197" i="13"/>
  <c r="BL198" i="13"/>
  <c r="BL199" i="13"/>
  <c r="BL200" i="13"/>
  <c r="BL201" i="13"/>
  <c r="BL202" i="13"/>
  <c r="BL203" i="13"/>
  <c r="BL204" i="13"/>
  <c r="BL205" i="13"/>
  <c r="BL206" i="13"/>
  <c r="BL207" i="13"/>
  <c r="BL208" i="13"/>
  <c r="BL209" i="13"/>
  <c r="BL210" i="13"/>
  <c r="BL211" i="13"/>
  <c r="BL212" i="13"/>
  <c r="BL213" i="13"/>
  <c r="BL214" i="13"/>
  <c r="BL215" i="13"/>
  <c r="BL216" i="13"/>
  <c r="BL217" i="13"/>
  <c r="BL218" i="13"/>
  <c r="BL219" i="13"/>
  <c r="BL220" i="13"/>
  <c r="BL221" i="13"/>
  <c r="BL222" i="13"/>
  <c r="BL223" i="13"/>
  <c r="BL224" i="13"/>
  <c r="BL225" i="13"/>
  <c r="BL226" i="13"/>
  <c r="BL227" i="13"/>
  <c r="BL228" i="13"/>
  <c r="BL229" i="13"/>
  <c r="BL230" i="13"/>
  <c r="BL231" i="13"/>
  <c r="BL232" i="13"/>
  <c r="BL233" i="13"/>
  <c r="BL234" i="13"/>
  <c r="BL235" i="13"/>
  <c r="BL236" i="13"/>
  <c r="BL237" i="13"/>
  <c r="BL238" i="13"/>
  <c r="BL239" i="13"/>
  <c r="BL240" i="13"/>
  <c r="BL241" i="13"/>
  <c r="BL242" i="13"/>
  <c r="BL243" i="13"/>
  <c r="BL244" i="13"/>
  <c r="BL245" i="13"/>
  <c r="BL246" i="13"/>
  <c r="BL247" i="13"/>
  <c r="BL248" i="13"/>
  <c r="BL249" i="13"/>
  <c r="BL250" i="13"/>
  <c r="BL251" i="13"/>
  <c r="BL252" i="13"/>
  <c r="BL253" i="13"/>
  <c r="BL254" i="13"/>
  <c r="BL255" i="13"/>
  <c r="BL256" i="13"/>
  <c r="BL257" i="13"/>
  <c r="BL258" i="13"/>
  <c r="BL259" i="13"/>
  <c r="BL260" i="13"/>
  <c r="BL261" i="13"/>
  <c r="BL262" i="13"/>
  <c r="BL263" i="13"/>
  <c r="BL264" i="13"/>
  <c r="BL265" i="13"/>
  <c r="BL266" i="13"/>
  <c r="BL267" i="13"/>
  <c r="BL268" i="13"/>
  <c r="BL269" i="13"/>
  <c r="BL270" i="13"/>
  <c r="BL271" i="13"/>
  <c r="BL272" i="13"/>
  <c r="BL273" i="13"/>
  <c r="BL274" i="13"/>
  <c r="BL275" i="13"/>
  <c r="BL276" i="13"/>
  <c r="BL277" i="13"/>
  <c r="BL278" i="13"/>
  <c r="BL279" i="13"/>
  <c r="BL280" i="13"/>
  <c r="BL281" i="13"/>
  <c r="BL282" i="13"/>
  <c r="BL283" i="13"/>
  <c r="BL284" i="13"/>
  <c r="BL285" i="13"/>
  <c r="BL286" i="13"/>
  <c r="BL287" i="13"/>
  <c r="BL288" i="13"/>
  <c r="BL289" i="13"/>
  <c r="BL290" i="13"/>
  <c r="BL291" i="13"/>
  <c r="BL292" i="13"/>
  <c r="BL293" i="13"/>
  <c r="BL294" i="13"/>
  <c r="BL295" i="13"/>
  <c r="BL296" i="13"/>
  <c r="BL297" i="13"/>
  <c r="BL298" i="13"/>
  <c r="BL299" i="13"/>
  <c r="BL300" i="13"/>
  <c r="BL301" i="13"/>
  <c r="BL302" i="13"/>
  <c r="BL303" i="13"/>
  <c r="BL304" i="13"/>
  <c r="BL305" i="13"/>
  <c r="BL306" i="13"/>
  <c r="BL307" i="13"/>
  <c r="BL308" i="13"/>
  <c r="BL309" i="13"/>
  <c r="BL310" i="13"/>
  <c r="BL311" i="13"/>
  <c r="BL312" i="13"/>
  <c r="BL313" i="13"/>
  <c r="BL314" i="13"/>
  <c r="BL315" i="13"/>
  <c r="BL316" i="13"/>
  <c r="BL317" i="13"/>
  <c r="BL318" i="13"/>
  <c r="BL319" i="13"/>
  <c r="BL320" i="13"/>
  <c r="BL321" i="13"/>
  <c r="BL322" i="13"/>
  <c r="BL323" i="13"/>
  <c r="BL324" i="13"/>
  <c r="BL325" i="13"/>
  <c r="BL326" i="13"/>
  <c r="BL327" i="13"/>
  <c r="BL328" i="13"/>
  <c r="BL329" i="13"/>
  <c r="BL330" i="13"/>
  <c r="BL331" i="13"/>
  <c r="BL332" i="13"/>
  <c r="BL333" i="13"/>
  <c r="BL334" i="13"/>
  <c r="BL335" i="13"/>
  <c r="BL336" i="13"/>
  <c r="BL337" i="13"/>
  <c r="BL338" i="13"/>
  <c r="BL339" i="13"/>
  <c r="BL340" i="13"/>
  <c r="BL341" i="13"/>
  <c r="BL342" i="13"/>
  <c r="BL343" i="13"/>
  <c r="BL344" i="13"/>
  <c r="BL345" i="13"/>
  <c r="BL346" i="13"/>
  <c r="BL347" i="13"/>
  <c r="BL348" i="13"/>
  <c r="BL349" i="13"/>
  <c r="BL350" i="13"/>
  <c r="BL351" i="13"/>
  <c r="BL352" i="13"/>
  <c r="BL353" i="13"/>
  <c r="BL354" i="13"/>
  <c r="BL355" i="13"/>
  <c r="BL356" i="13"/>
  <c r="BL357" i="13"/>
  <c r="BL358" i="13"/>
  <c r="BL359" i="13"/>
  <c r="BL360" i="13"/>
  <c r="BL361" i="13"/>
  <c r="BL362" i="13"/>
  <c r="BL363" i="13"/>
  <c r="BL364" i="13"/>
  <c r="BB133" i="13"/>
  <c r="F854" i="4" s="1"/>
  <c r="BB134" i="13"/>
  <c r="F855" i="4" s="1"/>
  <c r="BB135" i="13"/>
  <c r="F856" i="4" s="1"/>
  <c r="BB136" i="13"/>
  <c r="F857" i="4" s="1"/>
  <c r="BB137" i="13"/>
  <c r="F858" i="4" s="1"/>
  <c r="BB138" i="13"/>
  <c r="F859" i="4" s="1"/>
  <c r="BB139" i="13"/>
  <c r="F860" i="4" s="1"/>
  <c r="BB140" i="13"/>
  <c r="F861" i="4" s="1"/>
  <c r="BB141" i="13"/>
  <c r="F862" i="4" s="1"/>
  <c r="BB142" i="13"/>
  <c r="F863" i="4" s="1"/>
  <c r="BB143" i="13"/>
  <c r="F864" i="4" s="1"/>
  <c r="BB144" i="13"/>
  <c r="F865" i="4" s="1"/>
  <c r="BB145" i="13"/>
  <c r="F866" i="4" s="1"/>
  <c r="BB146" i="13"/>
  <c r="F867" i="4" s="1"/>
  <c r="BB147" i="13"/>
  <c r="F868" i="4" s="1"/>
  <c r="BB148" i="13"/>
  <c r="F869" i="4" s="1"/>
  <c r="BB149" i="13"/>
  <c r="F870" i="4" s="1"/>
  <c r="BB150" i="13"/>
  <c r="F871" i="4" s="1"/>
  <c r="BB151" i="13"/>
  <c r="F872" i="4" s="1"/>
  <c r="BB152" i="13"/>
  <c r="F873" i="4" s="1"/>
  <c r="BB153" i="13"/>
  <c r="F874" i="4" s="1"/>
  <c r="BB154" i="13"/>
  <c r="F875" i="4" s="1"/>
  <c r="BB155" i="13"/>
  <c r="F876" i="4" s="1"/>
  <c r="BB156" i="13"/>
  <c r="F877" i="4" s="1"/>
  <c r="BB157" i="13"/>
  <c r="F878" i="4" s="1"/>
  <c r="BB158" i="13"/>
  <c r="F879" i="4" s="1"/>
  <c r="BB159" i="13"/>
  <c r="F880" i="4" s="1"/>
  <c r="BB160" i="13"/>
  <c r="F881" i="4" s="1"/>
  <c r="BB161" i="13"/>
  <c r="F882" i="4" s="1"/>
  <c r="BB162" i="13"/>
  <c r="F883" i="4" s="1"/>
  <c r="BB163" i="13"/>
  <c r="F884" i="4" s="1"/>
  <c r="BB164" i="13"/>
  <c r="F885" i="4" s="1"/>
  <c r="BB165" i="13"/>
  <c r="F886" i="4" s="1"/>
  <c r="BB166" i="13"/>
  <c r="F887" i="4" s="1"/>
  <c r="BB167" i="13"/>
  <c r="F888" i="4" s="1"/>
  <c r="BB168" i="13"/>
  <c r="F889" i="4" s="1"/>
  <c r="BB169" i="13"/>
  <c r="F890" i="4" s="1"/>
  <c r="BB170" i="13"/>
  <c r="F891" i="4" s="1"/>
  <c r="BB171" i="13"/>
  <c r="F892" i="4" s="1"/>
  <c r="BB172" i="13"/>
  <c r="F893" i="4" s="1"/>
  <c r="BB173" i="13"/>
  <c r="F894" i="4" s="1"/>
  <c r="BB174" i="13"/>
  <c r="F895" i="4" s="1"/>
  <c r="BB175" i="13"/>
  <c r="F896" i="4" s="1"/>
  <c r="BB176" i="13"/>
  <c r="F897" i="4" s="1"/>
  <c r="BB177" i="13"/>
  <c r="F898" i="4" s="1"/>
  <c r="BB178" i="13"/>
  <c r="F899" i="4" s="1"/>
  <c r="BB179" i="13"/>
  <c r="F900" i="4" s="1"/>
  <c r="BB180" i="13"/>
  <c r="F901" i="4" s="1"/>
  <c r="BB181" i="13"/>
  <c r="F902" i="4" s="1"/>
  <c r="BB182" i="13"/>
  <c r="F903" i="4" s="1"/>
  <c r="BB183" i="13"/>
  <c r="F904" i="4" s="1"/>
  <c r="BB184" i="13"/>
  <c r="F905" i="4" s="1"/>
  <c r="BB185" i="13"/>
  <c r="F906" i="4" s="1"/>
  <c r="BB186" i="13"/>
  <c r="F907" i="4" s="1"/>
  <c r="BB187" i="13"/>
  <c r="F908" i="4" s="1"/>
  <c r="BB188" i="13"/>
  <c r="F909" i="4" s="1"/>
  <c r="BB189" i="13"/>
  <c r="F910" i="4" s="1"/>
  <c r="BB190" i="13"/>
  <c r="F911" i="4" s="1"/>
  <c r="BB191" i="13"/>
  <c r="F912" i="4" s="1"/>
  <c r="BB192" i="13"/>
  <c r="F913" i="4" s="1"/>
  <c r="BB193" i="13"/>
  <c r="F914" i="4" s="1"/>
  <c r="BB194" i="13"/>
  <c r="F915" i="4" s="1"/>
  <c r="BB195" i="13"/>
  <c r="F916" i="4" s="1"/>
  <c r="BB196" i="13"/>
  <c r="F917" i="4" s="1"/>
  <c r="BB197" i="13"/>
  <c r="F918" i="4" s="1"/>
  <c r="BB198" i="13"/>
  <c r="F919" i="4" s="1"/>
  <c r="BB199" i="13"/>
  <c r="F920" i="4" s="1"/>
  <c r="BB200" i="13"/>
  <c r="F921" i="4" s="1"/>
  <c r="BB201" i="13"/>
  <c r="F922" i="4" s="1"/>
  <c r="BB202" i="13"/>
  <c r="F923" i="4" s="1"/>
  <c r="BB203" i="13"/>
  <c r="F924" i="4" s="1"/>
  <c r="BB204" i="13"/>
  <c r="F925" i="4" s="1"/>
  <c r="BB205" i="13"/>
  <c r="F926" i="4" s="1"/>
  <c r="BB206" i="13"/>
  <c r="F927" i="4" s="1"/>
  <c r="BB207" i="13"/>
  <c r="F928" i="4" s="1"/>
  <c r="BB208" i="13"/>
  <c r="F929" i="4" s="1"/>
  <c r="BB209" i="13"/>
  <c r="F930" i="4" s="1"/>
  <c r="BB210" i="13"/>
  <c r="F931" i="4" s="1"/>
  <c r="BB211" i="13"/>
  <c r="F932" i="4" s="1"/>
  <c r="BB212" i="13"/>
  <c r="F933" i="4" s="1"/>
  <c r="BB213" i="13"/>
  <c r="F934" i="4" s="1"/>
  <c r="BB214" i="13"/>
  <c r="F935" i="4" s="1"/>
  <c r="BB215" i="13"/>
  <c r="F936" i="4" s="1"/>
  <c r="BB216" i="13"/>
  <c r="F937" i="4" s="1"/>
  <c r="BB217" i="13"/>
  <c r="F938" i="4" s="1"/>
  <c r="BB218" i="13"/>
  <c r="F939" i="4" s="1"/>
  <c r="BB219" i="13"/>
  <c r="F940" i="4" s="1"/>
  <c r="BB220" i="13"/>
  <c r="F941" i="4" s="1"/>
  <c r="BB221" i="13"/>
  <c r="F942" i="4" s="1"/>
  <c r="BB222" i="13"/>
  <c r="F943" i="4" s="1"/>
  <c r="BB223" i="13"/>
  <c r="F944" i="4" s="1"/>
  <c r="BB224" i="13"/>
  <c r="F945" i="4" s="1"/>
  <c r="BB225" i="13"/>
  <c r="F946" i="4" s="1"/>
  <c r="BB226" i="13"/>
  <c r="F947" i="4" s="1"/>
  <c r="BB227" i="13"/>
  <c r="F948" i="4" s="1"/>
  <c r="BB228" i="13"/>
  <c r="F949" i="4" s="1"/>
  <c r="BB229" i="13"/>
  <c r="F950" i="4" s="1"/>
  <c r="BB230" i="13"/>
  <c r="F951" i="4" s="1"/>
  <c r="BB231" i="13"/>
  <c r="F952" i="4" s="1"/>
  <c r="BB232" i="13"/>
  <c r="F953" i="4" s="1"/>
  <c r="BB233" i="13"/>
  <c r="F954" i="4" s="1"/>
  <c r="BB234" i="13"/>
  <c r="F955" i="4" s="1"/>
  <c r="BB235" i="13"/>
  <c r="F956" i="4" s="1"/>
  <c r="BB236" i="13"/>
  <c r="F957" i="4" s="1"/>
  <c r="BB237" i="13"/>
  <c r="F958" i="4" s="1"/>
  <c r="BB238" i="13"/>
  <c r="F959" i="4" s="1"/>
  <c r="BB239" i="13"/>
  <c r="F960" i="4" s="1"/>
  <c r="BB240" i="13"/>
  <c r="F961" i="4" s="1"/>
  <c r="BB241" i="13"/>
  <c r="F962" i="4" s="1"/>
  <c r="BB242" i="13"/>
  <c r="F963" i="4" s="1"/>
  <c r="BB243" i="13"/>
  <c r="F964" i="4" s="1"/>
  <c r="BB244" i="13"/>
  <c r="F965" i="4" s="1"/>
  <c r="BB245" i="13"/>
  <c r="F966" i="4" s="1"/>
  <c r="BB246" i="13"/>
  <c r="F967" i="4" s="1"/>
  <c r="BB247" i="13"/>
  <c r="F968" i="4" s="1"/>
  <c r="BB248" i="13"/>
  <c r="F969" i="4" s="1"/>
  <c r="BB249" i="13"/>
  <c r="F970" i="4" s="1"/>
  <c r="BB250" i="13"/>
  <c r="F971" i="4" s="1"/>
  <c r="BB251" i="13"/>
  <c r="F972" i="4" s="1"/>
  <c r="BB252" i="13"/>
  <c r="F973" i="4" s="1"/>
  <c r="BB253" i="13"/>
  <c r="F974" i="4" s="1"/>
  <c r="BB254" i="13"/>
  <c r="F975" i="4" s="1"/>
  <c r="BB255" i="13"/>
  <c r="F976" i="4" s="1"/>
  <c r="BB256" i="13"/>
  <c r="F977" i="4" s="1"/>
  <c r="BB257" i="13"/>
  <c r="F978" i="4" s="1"/>
  <c r="BB258" i="13"/>
  <c r="F979" i="4" s="1"/>
  <c r="BB259" i="13"/>
  <c r="F980" i="4" s="1"/>
  <c r="BB260" i="13"/>
  <c r="F981" i="4" s="1"/>
  <c r="BB261" i="13"/>
  <c r="F982" i="4" s="1"/>
  <c r="BB262" i="13"/>
  <c r="F983" i="4" s="1"/>
  <c r="BB263" i="13"/>
  <c r="F984" i="4" s="1"/>
  <c r="BB264" i="13"/>
  <c r="F985" i="4" s="1"/>
  <c r="BB265" i="13"/>
  <c r="F986" i="4" s="1"/>
  <c r="BB266" i="13"/>
  <c r="F987" i="4" s="1"/>
  <c r="BB267" i="13"/>
  <c r="F988" i="4" s="1"/>
  <c r="BB268" i="13"/>
  <c r="F989" i="4" s="1"/>
  <c r="BB269" i="13"/>
  <c r="F990" i="4" s="1"/>
  <c r="BB270" i="13"/>
  <c r="F991" i="4" s="1"/>
  <c r="BB271" i="13"/>
  <c r="F992" i="4" s="1"/>
  <c r="BB272" i="13"/>
  <c r="F993" i="4" s="1"/>
  <c r="BB273" i="13"/>
  <c r="F994" i="4" s="1"/>
  <c r="BB274" i="13"/>
  <c r="F995" i="4" s="1"/>
  <c r="BB275" i="13"/>
  <c r="F996" i="4" s="1"/>
  <c r="BB276" i="13"/>
  <c r="F997" i="4" s="1"/>
  <c r="BB277" i="13"/>
  <c r="F998" i="4" s="1"/>
  <c r="BB278" i="13"/>
  <c r="F999" i="4" s="1"/>
  <c r="BB279" i="13"/>
  <c r="F1000" i="4" s="1"/>
  <c r="BB280" i="13"/>
  <c r="F1001" i="4" s="1"/>
  <c r="BB281" i="13"/>
  <c r="F1002" i="4" s="1"/>
  <c r="BB282" i="13"/>
  <c r="F1003" i="4" s="1"/>
  <c r="BB283" i="13"/>
  <c r="F1004" i="4" s="1"/>
  <c r="BB284" i="13"/>
  <c r="F1005" i="4" s="1"/>
  <c r="BB285" i="13"/>
  <c r="F1006" i="4" s="1"/>
  <c r="BB286" i="13"/>
  <c r="F1007" i="4" s="1"/>
  <c r="BB287" i="13"/>
  <c r="F1008" i="4" s="1"/>
  <c r="BB288" i="13"/>
  <c r="F1009" i="4" s="1"/>
  <c r="BB289" i="13"/>
  <c r="F1010" i="4" s="1"/>
  <c r="BB290" i="13"/>
  <c r="F1011" i="4" s="1"/>
  <c r="BB291" i="13"/>
  <c r="F1012" i="4" s="1"/>
  <c r="BB292" i="13"/>
  <c r="F1013" i="4" s="1"/>
  <c r="BB293" i="13"/>
  <c r="F1014" i="4" s="1"/>
  <c r="BB294" i="13"/>
  <c r="F1015" i="4" s="1"/>
  <c r="BB295" i="13"/>
  <c r="F1016" i="4" s="1"/>
  <c r="BB296" i="13"/>
  <c r="F1017" i="4" s="1"/>
  <c r="BB297" i="13"/>
  <c r="F1018" i="4" s="1"/>
  <c r="BB298" i="13"/>
  <c r="F1019" i="4" s="1"/>
  <c r="BB299" i="13"/>
  <c r="F1020" i="4" s="1"/>
  <c r="BB300" i="13"/>
  <c r="F1021" i="4" s="1"/>
  <c r="BB301" i="13"/>
  <c r="F1022" i="4" s="1"/>
  <c r="BB302" i="13"/>
  <c r="F1023" i="4" s="1"/>
  <c r="BB303" i="13"/>
  <c r="F1024" i="4" s="1"/>
  <c r="BB304" i="13"/>
  <c r="F1025" i="4" s="1"/>
  <c r="BB305" i="13"/>
  <c r="F1026" i="4" s="1"/>
  <c r="BB306" i="13"/>
  <c r="F1027" i="4" s="1"/>
  <c r="BB307" i="13"/>
  <c r="F1028" i="4" s="1"/>
  <c r="BB308" i="13"/>
  <c r="F1029" i="4" s="1"/>
  <c r="BB309" i="13"/>
  <c r="F1030" i="4" s="1"/>
  <c r="BB310" i="13"/>
  <c r="F1031" i="4" s="1"/>
  <c r="BB311" i="13"/>
  <c r="F1032" i="4" s="1"/>
  <c r="BB312" i="13"/>
  <c r="F1033" i="4" s="1"/>
  <c r="BB313" i="13"/>
  <c r="F1034" i="4" s="1"/>
  <c r="BB314" i="13"/>
  <c r="F1035" i="4" s="1"/>
  <c r="BB315" i="13"/>
  <c r="F1036" i="4" s="1"/>
  <c r="BB316" i="13"/>
  <c r="F1037" i="4" s="1"/>
  <c r="BB317" i="13"/>
  <c r="F1038" i="4" s="1"/>
  <c r="BB318" i="13"/>
  <c r="F1039" i="4" s="1"/>
  <c r="BB319" i="13"/>
  <c r="F1040" i="4" s="1"/>
  <c r="BB320" i="13"/>
  <c r="F1041" i="4" s="1"/>
  <c r="BB321" i="13"/>
  <c r="F1042" i="4" s="1"/>
  <c r="BB322" i="13"/>
  <c r="F1043" i="4" s="1"/>
  <c r="BB323" i="13"/>
  <c r="F1044" i="4" s="1"/>
  <c r="BB324" i="13"/>
  <c r="F1045" i="4" s="1"/>
  <c r="BB325" i="13"/>
  <c r="F1046" i="4" s="1"/>
  <c r="BB326" i="13"/>
  <c r="F1047" i="4" s="1"/>
  <c r="BB327" i="13"/>
  <c r="F1048" i="4" s="1"/>
  <c r="BB328" i="13"/>
  <c r="F1049" i="4" s="1"/>
  <c r="BB329" i="13"/>
  <c r="F1050" i="4" s="1"/>
  <c r="BB330" i="13"/>
  <c r="F1051" i="4" s="1"/>
  <c r="BB331" i="13"/>
  <c r="F1052" i="4" s="1"/>
  <c r="BB332" i="13"/>
  <c r="F1053" i="4" s="1"/>
  <c r="BB333" i="13"/>
  <c r="F1054" i="4" s="1"/>
  <c r="BB334" i="13"/>
  <c r="F1055" i="4" s="1"/>
  <c r="BB335" i="13"/>
  <c r="F1056" i="4" s="1"/>
  <c r="BB336" i="13"/>
  <c r="F1057" i="4" s="1"/>
  <c r="BB337" i="13"/>
  <c r="F1058" i="4" s="1"/>
  <c r="BB338" i="13"/>
  <c r="F1059" i="4" s="1"/>
  <c r="BB339" i="13"/>
  <c r="F1060" i="4" s="1"/>
  <c r="BB340" i="13"/>
  <c r="F1061" i="4" s="1"/>
  <c r="BB341" i="13"/>
  <c r="F1062" i="4" s="1"/>
  <c r="BB342" i="13"/>
  <c r="F1063" i="4" s="1"/>
  <c r="BB343" i="13"/>
  <c r="F1064" i="4" s="1"/>
  <c r="BB344" i="13"/>
  <c r="F1065" i="4" s="1"/>
  <c r="BB345" i="13"/>
  <c r="F1066" i="4" s="1"/>
  <c r="BB346" i="13"/>
  <c r="F1067" i="4" s="1"/>
  <c r="BB347" i="13"/>
  <c r="F1068" i="4" s="1"/>
  <c r="BB348" i="13"/>
  <c r="F1069" i="4" s="1"/>
  <c r="BB349" i="13"/>
  <c r="F1070" i="4" s="1"/>
  <c r="BB350" i="13"/>
  <c r="F1071" i="4" s="1"/>
  <c r="BB351" i="13"/>
  <c r="F1072" i="4" s="1"/>
  <c r="BB352" i="13"/>
  <c r="F1073" i="4" s="1"/>
  <c r="BB353" i="13"/>
  <c r="F1074" i="4" s="1"/>
  <c r="BB354" i="13"/>
  <c r="F1075" i="4" s="1"/>
  <c r="BB355" i="13"/>
  <c r="F1076" i="4" s="1"/>
  <c r="BB356" i="13"/>
  <c r="F1077" i="4" s="1"/>
  <c r="BB357" i="13"/>
  <c r="F1078" i="4" s="1"/>
  <c r="BB358" i="13"/>
  <c r="F1079" i="4" s="1"/>
  <c r="BB359" i="13"/>
  <c r="F1080" i="4" s="1"/>
  <c r="BB360" i="13"/>
  <c r="F1081" i="4" s="1"/>
  <c r="BB361" i="13"/>
  <c r="F1082" i="4" s="1"/>
  <c r="BB362" i="13"/>
  <c r="F1083" i="4" s="1"/>
  <c r="BB363" i="13"/>
  <c r="F1084" i="4" s="1"/>
  <c r="BB364" i="13"/>
  <c r="F1085" i="4" s="1"/>
  <c r="AZ6" i="13"/>
  <c r="BC6" i="13" s="1"/>
  <c r="AZ7" i="13"/>
  <c r="BC7" i="13" s="1"/>
  <c r="AZ8" i="13"/>
  <c r="BC8" i="13" s="1"/>
  <c r="AZ9" i="13"/>
  <c r="BC9" i="13" s="1"/>
  <c r="AZ10" i="13"/>
  <c r="BC10" i="13" s="1"/>
  <c r="AZ11" i="13"/>
  <c r="AZ12" i="13"/>
  <c r="AZ13" i="13"/>
  <c r="AZ14" i="13"/>
  <c r="AZ15" i="13"/>
  <c r="AZ16" i="13"/>
  <c r="AZ17" i="13"/>
  <c r="AZ18" i="13"/>
  <c r="BC18" i="13" s="1"/>
  <c r="AZ19" i="13"/>
  <c r="BC19" i="13" s="1"/>
  <c r="AZ20" i="13"/>
  <c r="BC20" i="13" s="1"/>
  <c r="AZ21" i="13"/>
  <c r="BC21" i="13" s="1"/>
  <c r="AZ22" i="13"/>
  <c r="BC22" i="13" s="1"/>
  <c r="AZ23" i="13"/>
  <c r="AZ24" i="13"/>
  <c r="AZ25" i="13"/>
  <c r="AZ26" i="13"/>
  <c r="AZ27" i="13"/>
  <c r="AZ28" i="13"/>
  <c r="AZ29" i="13"/>
  <c r="AZ30" i="13"/>
  <c r="BC30" i="13" s="1"/>
  <c r="AZ31" i="13"/>
  <c r="BC31" i="13" s="1"/>
  <c r="AZ32" i="13"/>
  <c r="BC32" i="13" s="1"/>
  <c r="AZ33" i="13"/>
  <c r="BC33" i="13" s="1"/>
  <c r="AZ34" i="13"/>
  <c r="BC34" i="13" s="1"/>
  <c r="AZ35" i="13"/>
  <c r="AZ36" i="13"/>
  <c r="AZ37" i="13"/>
  <c r="AZ38" i="13"/>
  <c r="AZ39" i="13"/>
  <c r="AZ40" i="13"/>
  <c r="AZ41" i="13"/>
  <c r="AZ42" i="13"/>
  <c r="BC42" i="13" s="1"/>
  <c r="AZ43" i="13"/>
  <c r="BC43" i="13" s="1"/>
  <c r="AZ44" i="13"/>
  <c r="BC44" i="13" s="1"/>
  <c r="AZ45" i="13"/>
  <c r="BC45" i="13" s="1"/>
  <c r="AZ46" i="13"/>
  <c r="BC46" i="13" s="1"/>
  <c r="AZ47" i="13"/>
  <c r="AZ48" i="13"/>
  <c r="AZ49" i="13"/>
  <c r="AZ50" i="13"/>
  <c r="AZ51" i="13"/>
  <c r="AZ52" i="13"/>
  <c r="AZ53" i="13"/>
  <c r="AZ54" i="13"/>
  <c r="BC54" i="13" s="1"/>
  <c r="AZ55" i="13"/>
  <c r="BC55" i="13" s="1"/>
  <c r="AZ56" i="13"/>
  <c r="BC56" i="13" s="1"/>
  <c r="AZ57" i="13"/>
  <c r="BC57" i="13" s="1"/>
  <c r="AZ58" i="13"/>
  <c r="BC58" i="13" s="1"/>
  <c r="AZ59" i="13"/>
  <c r="AZ60" i="13"/>
  <c r="AZ61" i="13"/>
  <c r="AZ62" i="13"/>
  <c r="AZ63" i="13"/>
  <c r="AZ64" i="13"/>
  <c r="AZ65" i="13"/>
  <c r="AZ66" i="13"/>
  <c r="BC66" i="13" s="1"/>
  <c r="AZ67" i="13"/>
  <c r="BC67" i="13" s="1"/>
  <c r="AZ68" i="13"/>
  <c r="BC68" i="13" s="1"/>
  <c r="AZ69" i="13"/>
  <c r="BC69" i="13" s="1"/>
  <c r="AZ70" i="13"/>
  <c r="BC70" i="13" s="1"/>
  <c r="AZ71" i="13"/>
  <c r="AZ72" i="13"/>
  <c r="AZ73" i="13"/>
  <c r="AZ74" i="13"/>
  <c r="AZ75" i="13"/>
  <c r="AZ76" i="13"/>
  <c r="AZ77" i="13"/>
  <c r="AZ78" i="13"/>
  <c r="BC78" i="13" s="1"/>
  <c r="AZ79" i="13"/>
  <c r="BC79" i="13" s="1"/>
  <c r="AZ80" i="13"/>
  <c r="BC80" i="13" s="1"/>
  <c r="AZ81" i="13"/>
  <c r="BC81" i="13" s="1"/>
  <c r="AZ82" i="13"/>
  <c r="BC82" i="13" s="1"/>
  <c r="AZ83" i="13"/>
  <c r="AZ84" i="13"/>
  <c r="AZ85" i="13"/>
  <c r="AZ86" i="13"/>
  <c r="AZ87" i="13"/>
  <c r="AZ88" i="13"/>
  <c r="AZ89" i="13"/>
  <c r="AZ90" i="13"/>
  <c r="BC90" i="13" s="1"/>
  <c r="AZ91" i="13"/>
  <c r="BC91" i="13" s="1"/>
  <c r="AZ92" i="13"/>
  <c r="BC92" i="13" s="1"/>
  <c r="AZ93" i="13"/>
  <c r="BC93" i="13" s="1"/>
  <c r="AZ94" i="13"/>
  <c r="BC94" i="13" s="1"/>
  <c r="AZ95" i="13"/>
  <c r="AZ96" i="13"/>
  <c r="AZ97" i="13"/>
  <c r="AZ98" i="13"/>
  <c r="AZ99" i="13"/>
  <c r="AZ100" i="13"/>
  <c r="AZ101" i="13"/>
  <c r="AZ102" i="13"/>
  <c r="BC102" i="13" s="1"/>
  <c r="AZ103" i="13"/>
  <c r="BC103" i="13" s="1"/>
  <c r="AZ104" i="13"/>
  <c r="BC104" i="13" s="1"/>
  <c r="AZ105" i="13"/>
  <c r="BC105" i="13" s="1"/>
  <c r="AZ106" i="13"/>
  <c r="BC106" i="13" s="1"/>
  <c r="AZ107" i="13"/>
  <c r="AZ108" i="13"/>
  <c r="AZ109" i="13"/>
  <c r="AZ110" i="13"/>
  <c r="AZ111" i="13"/>
  <c r="AZ112" i="13"/>
  <c r="AZ113" i="13"/>
  <c r="AZ114" i="13"/>
  <c r="BC114" i="13" s="1"/>
  <c r="AZ115" i="13"/>
  <c r="BC115" i="13" s="1"/>
  <c r="AZ116" i="13"/>
  <c r="BC116" i="13" s="1"/>
  <c r="AZ117" i="13"/>
  <c r="BC117" i="13" s="1"/>
  <c r="AZ118" i="13"/>
  <c r="BC118" i="13" s="1"/>
  <c r="AZ119" i="13"/>
  <c r="AZ120" i="13"/>
  <c r="AZ121" i="13"/>
  <c r="AZ122" i="13"/>
  <c r="AZ123" i="13"/>
  <c r="AZ124" i="13"/>
  <c r="AZ125" i="13"/>
  <c r="AZ126" i="13"/>
  <c r="BC126" i="13" s="1"/>
  <c r="AZ127" i="13"/>
  <c r="BC127" i="13" s="1"/>
  <c r="AZ128" i="13"/>
  <c r="BC128" i="13" s="1"/>
  <c r="AZ129" i="13"/>
  <c r="BC129" i="13" s="1"/>
  <c r="AZ130" i="13"/>
  <c r="BC130" i="13" s="1"/>
  <c r="AZ131" i="13"/>
  <c r="AZ132" i="13"/>
  <c r="AZ133" i="13"/>
  <c r="AZ134" i="13"/>
  <c r="AZ135" i="13"/>
  <c r="AZ136" i="13"/>
  <c r="AZ137" i="13"/>
  <c r="AZ138" i="13"/>
  <c r="AZ139" i="13"/>
  <c r="AZ140" i="13"/>
  <c r="AZ141" i="13"/>
  <c r="AZ142" i="13"/>
  <c r="AZ143" i="13"/>
  <c r="AZ144" i="13"/>
  <c r="AZ145" i="13"/>
  <c r="AZ146" i="13"/>
  <c r="AZ147" i="13"/>
  <c r="AZ148" i="13"/>
  <c r="AZ149" i="13"/>
  <c r="AZ150" i="13"/>
  <c r="AZ151" i="13"/>
  <c r="AZ152" i="13"/>
  <c r="AZ153" i="13"/>
  <c r="AZ154" i="13"/>
  <c r="AZ155" i="13"/>
  <c r="AZ156" i="13"/>
  <c r="AZ157" i="13"/>
  <c r="AZ158" i="13"/>
  <c r="AZ159" i="13"/>
  <c r="AZ160" i="13"/>
  <c r="AZ161" i="13"/>
  <c r="AZ162" i="13"/>
  <c r="AZ163" i="13"/>
  <c r="AZ164" i="13"/>
  <c r="AZ165" i="13"/>
  <c r="AZ166" i="13"/>
  <c r="AZ167" i="13"/>
  <c r="AZ168" i="13"/>
  <c r="AZ169" i="13"/>
  <c r="AZ170" i="13"/>
  <c r="AZ171" i="13"/>
  <c r="AZ172" i="13"/>
  <c r="AZ173" i="13"/>
  <c r="AZ174" i="13"/>
  <c r="AZ175" i="13"/>
  <c r="AZ176" i="13"/>
  <c r="AZ177" i="13"/>
  <c r="AZ178" i="13"/>
  <c r="AZ179" i="13"/>
  <c r="AZ180" i="13"/>
  <c r="AZ181" i="13"/>
  <c r="AZ182" i="13"/>
  <c r="AZ183" i="13"/>
  <c r="AZ184" i="13"/>
  <c r="AZ185" i="13"/>
  <c r="AZ186" i="13"/>
  <c r="AZ187" i="13"/>
  <c r="AZ188" i="13"/>
  <c r="AZ189" i="13"/>
  <c r="AZ190" i="13"/>
  <c r="AZ191" i="13"/>
  <c r="AZ192" i="13"/>
  <c r="AZ193" i="13"/>
  <c r="AZ194" i="13"/>
  <c r="AZ195" i="13"/>
  <c r="AZ196" i="13"/>
  <c r="AZ197" i="13"/>
  <c r="AZ198" i="13"/>
  <c r="AZ199" i="13"/>
  <c r="AZ200" i="13"/>
  <c r="AZ201" i="13"/>
  <c r="AZ202" i="13"/>
  <c r="AZ203" i="13"/>
  <c r="AZ204" i="13"/>
  <c r="AZ205" i="13"/>
  <c r="AZ206" i="13"/>
  <c r="AZ207" i="13"/>
  <c r="AZ208" i="13"/>
  <c r="AZ209" i="13"/>
  <c r="AZ210" i="13"/>
  <c r="AZ211" i="13"/>
  <c r="AZ212" i="13"/>
  <c r="AZ213" i="13"/>
  <c r="AZ214" i="13"/>
  <c r="AZ215" i="13"/>
  <c r="AZ216" i="13"/>
  <c r="AZ217" i="13"/>
  <c r="AZ218" i="13"/>
  <c r="AZ219" i="13"/>
  <c r="AZ220" i="13"/>
  <c r="AZ221" i="13"/>
  <c r="AZ222" i="13"/>
  <c r="AZ223" i="13"/>
  <c r="AZ224" i="13"/>
  <c r="AZ225" i="13"/>
  <c r="AZ226" i="13"/>
  <c r="AZ227" i="13"/>
  <c r="AZ228" i="13"/>
  <c r="AZ229" i="13"/>
  <c r="AZ230" i="13"/>
  <c r="AZ231" i="13"/>
  <c r="AZ232" i="13"/>
  <c r="AZ233" i="13"/>
  <c r="AZ234" i="13"/>
  <c r="AZ235" i="13"/>
  <c r="AZ236" i="13"/>
  <c r="AZ237" i="13"/>
  <c r="AZ238" i="13"/>
  <c r="AZ239" i="13"/>
  <c r="AZ240" i="13"/>
  <c r="AZ241" i="13"/>
  <c r="AZ242" i="13"/>
  <c r="AZ243" i="13"/>
  <c r="AZ244" i="13"/>
  <c r="AZ245" i="13"/>
  <c r="AZ246" i="13"/>
  <c r="AZ247" i="13"/>
  <c r="AZ248" i="13"/>
  <c r="AZ249" i="13"/>
  <c r="AZ250" i="13"/>
  <c r="AZ251" i="13"/>
  <c r="AZ252" i="13"/>
  <c r="AZ253" i="13"/>
  <c r="AZ254" i="13"/>
  <c r="AZ255" i="13"/>
  <c r="AZ256" i="13"/>
  <c r="AZ257" i="13"/>
  <c r="AZ258" i="13"/>
  <c r="AZ259" i="13"/>
  <c r="AZ260" i="13"/>
  <c r="AZ261" i="13"/>
  <c r="AZ262" i="13"/>
  <c r="AZ263" i="13"/>
  <c r="AZ264" i="13"/>
  <c r="AZ265" i="13"/>
  <c r="AZ266" i="13"/>
  <c r="AZ267" i="13"/>
  <c r="AZ268" i="13"/>
  <c r="AZ269" i="13"/>
  <c r="AZ270" i="13"/>
  <c r="AZ271" i="13"/>
  <c r="AZ272" i="13"/>
  <c r="AZ273" i="13"/>
  <c r="AZ274" i="13"/>
  <c r="AZ275" i="13"/>
  <c r="AZ276" i="13"/>
  <c r="AZ277" i="13"/>
  <c r="AZ278" i="13"/>
  <c r="AZ279" i="13"/>
  <c r="AZ280" i="13"/>
  <c r="AZ281" i="13"/>
  <c r="AZ282" i="13"/>
  <c r="AZ283" i="13"/>
  <c r="AZ284" i="13"/>
  <c r="AZ285" i="13"/>
  <c r="AZ286" i="13"/>
  <c r="AZ287" i="13"/>
  <c r="AZ288" i="13"/>
  <c r="AZ289" i="13"/>
  <c r="AZ290" i="13"/>
  <c r="AZ291" i="13"/>
  <c r="AZ292" i="13"/>
  <c r="AZ293" i="13"/>
  <c r="AZ294" i="13"/>
  <c r="AZ295" i="13"/>
  <c r="AZ296" i="13"/>
  <c r="AZ297" i="13"/>
  <c r="AZ298" i="13"/>
  <c r="AZ299" i="13"/>
  <c r="AZ300" i="13"/>
  <c r="AZ301" i="13"/>
  <c r="AZ302" i="13"/>
  <c r="AZ303" i="13"/>
  <c r="AZ304" i="13"/>
  <c r="AZ305" i="13"/>
  <c r="AZ306" i="13"/>
  <c r="AZ307" i="13"/>
  <c r="AZ308" i="13"/>
  <c r="AZ309" i="13"/>
  <c r="AZ310" i="13"/>
  <c r="AZ311" i="13"/>
  <c r="AZ312" i="13"/>
  <c r="AZ313" i="13"/>
  <c r="AZ314" i="13"/>
  <c r="AZ315" i="13"/>
  <c r="AZ316" i="13"/>
  <c r="AZ317" i="13"/>
  <c r="AZ318" i="13"/>
  <c r="AZ319" i="13"/>
  <c r="AZ320" i="13"/>
  <c r="AZ321" i="13"/>
  <c r="AZ322" i="13"/>
  <c r="AZ323" i="13"/>
  <c r="AZ324" i="13"/>
  <c r="AZ325" i="13"/>
  <c r="AZ326" i="13"/>
  <c r="AZ327" i="13"/>
  <c r="AZ328" i="13"/>
  <c r="AZ329" i="13"/>
  <c r="AZ330" i="13"/>
  <c r="AZ331" i="13"/>
  <c r="AZ332" i="13"/>
  <c r="AZ333" i="13"/>
  <c r="AZ334" i="13"/>
  <c r="AZ335" i="13"/>
  <c r="AZ336" i="13"/>
  <c r="AZ337" i="13"/>
  <c r="AZ338" i="13"/>
  <c r="AZ339" i="13"/>
  <c r="AZ340" i="13"/>
  <c r="AZ341" i="13"/>
  <c r="AZ342" i="13"/>
  <c r="AZ343" i="13"/>
  <c r="AZ344" i="13"/>
  <c r="AZ345" i="13"/>
  <c r="AZ346" i="13"/>
  <c r="AZ347" i="13"/>
  <c r="AZ348" i="13"/>
  <c r="AZ349" i="13"/>
  <c r="AZ350" i="13"/>
  <c r="AZ351" i="13"/>
  <c r="AZ352" i="13"/>
  <c r="AZ353" i="13"/>
  <c r="AZ354" i="13"/>
  <c r="AZ355" i="13"/>
  <c r="AZ356" i="13"/>
  <c r="AZ357" i="13"/>
  <c r="AZ358" i="13"/>
  <c r="AZ359" i="13"/>
  <c r="AZ360" i="13"/>
  <c r="AZ361" i="13"/>
  <c r="AZ362" i="13"/>
  <c r="AZ363" i="13"/>
  <c r="AZ364" i="13"/>
  <c r="AZ5" i="13"/>
  <c r="BC5" i="13" s="1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207" i="13"/>
  <c r="AW208" i="13"/>
  <c r="AW209" i="13"/>
  <c r="AW210" i="13"/>
  <c r="AW211" i="13"/>
  <c r="AW212" i="13"/>
  <c r="AW213" i="13"/>
  <c r="AW214" i="13"/>
  <c r="AW215" i="13"/>
  <c r="AW216" i="13"/>
  <c r="AW217" i="13"/>
  <c r="AW218" i="13"/>
  <c r="AW219" i="13"/>
  <c r="AW220" i="13"/>
  <c r="AW221" i="13"/>
  <c r="AW222" i="13"/>
  <c r="AW223" i="13"/>
  <c r="AW224" i="13"/>
  <c r="AW225" i="13"/>
  <c r="AW226" i="13"/>
  <c r="AW227" i="13"/>
  <c r="AW228" i="13"/>
  <c r="AW229" i="13"/>
  <c r="AW230" i="13"/>
  <c r="AW231" i="13"/>
  <c r="AW232" i="13"/>
  <c r="AW233" i="13"/>
  <c r="AW234" i="13"/>
  <c r="AW235" i="13"/>
  <c r="AW236" i="13"/>
  <c r="AW237" i="13"/>
  <c r="AW238" i="13"/>
  <c r="AW239" i="13"/>
  <c r="AW240" i="13"/>
  <c r="AW241" i="13"/>
  <c r="AW242" i="13"/>
  <c r="AW243" i="13"/>
  <c r="AW244" i="13"/>
  <c r="AW245" i="13"/>
  <c r="AW246" i="13"/>
  <c r="AW247" i="13"/>
  <c r="AW248" i="13"/>
  <c r="AW249" i="13"/>
  <c r="AW250" i="13"/>
  <c r="AW251" i="13"/>
  <c r="AW252" i="13"/>
  <c r="AW253" i="13"/>
  <c r="AW254" i="13"/>
  <c r="AW255" i="13"/>
  <c r="AW256" i="13"/>
  <c r="AW257" i="13"/>
  <c r="AW258" i="13"/>
  <c r="AW259" i="13"/>
  <c r="AW260" i="13"/>
  <c r="AW261" i="13"/>
  <c r="AW262" i="13"/>
  <c r="AW263" i="13"/>
  <c r="AW264" i="13"/>
  <c r="AW265" i="13"/>
  <c r="AW266" i="13"/>
  <c r="AW267" i="13"/>
  <c r="AW268" i="13"/>
  <c r="AW269" i="13"/>
  <c r="AW270" i="13"/>
  <c r="AW271" i="13"/>
  <c r="AW272" i="13"/>
  <c r="AW273" i="13"/>
  <c r="AW274" i="13"/>
  <c r="AW275" i="13"/>
  <c r="AW276" i="13"/>
  <c r="AW277" i="13"/>
  <c r="AW278" i="13"/>
  <c r="AW279" i="13"/>
  <c r="AW280" i="13"/>
  <c r="AW281" i="13"/>
  <c r="AW282" i="13"/>
  <c r="AW283" i="13"/>
  <c r="AW284" i="13"/>
  <c r="AW285" i="13"/>
  <c r="AW286" i="13"/>
  <c r="AW287" i="13"/>
  <c r="AW288" i="13"/>
  <c r="AW289" i="13"/>
  <c r="AW290" i="13"/>
  <c r="AW291" i="13"/>
  <c r="AW292" i="13"/>
  <c r="AW293" i="13"/>
  <c r="AW294" i="13"/>
  <c r="AW295" i="13"/>
  <c r="AW296" i="13"/>
  <c r="AW297" i="13"/>
  <c r="AW298" i="13"/>
  <c r="AW299" i="13"/>
  <c r="AW300" i="13"/>
  <c r="AW301" i="13"/>
  <c r="AW302" i="13"/>
  <c r="AW303" i="13"/>
  <c r="AW304" i="13"/>
  <c r="AW305" i="13"/>
  <c r="AW306" i="13"/>
  <c r="AW307" i="13"/>
  <c r="AW308" i="13"/>
  <c r="AW309" i="13"/>
  <c r="AW310" i="13"/>
  <c r="AW311" i="13"/>
  <c r="AW312" i="13"/>
  <c r="AW313" i="13"/>
  <c r="AW314" i="13"/>
  <c r="AW315" i="13"/>
  <c r="AW316" i="13"/>
  <c r="AW317" i="13"/>
  <c r="AW318" i="13"/>
  <c r="AW319" i="13"/>
  <c r="AW320" i="13"/>
  <c r="AW321" i="13"/>
  <c r="AW322" i="13"/>
  <c r="AW323" i="13"/>
  <c r="AW324" i="13"/>
  <c r="AW325" i="13"/>
  <c r="AW326" i="13"/>
  <c r="AW327" i="13"/>
  <c r="AW328" i="13"/>
  <c r="AW329" i="13"/>
  <c r="AW330" i="13"/>
  <c r="AW331" i="13"/>
  <c r="AW332" i="13"/>
  <c r="AW333" i="13"/>
  <c r="AW334" i="13"/>
  <c r="AW335" i="13"/>
  <c r="AW336" i="13"/>
  <c r="AW337" i="13"/>
  <c r="AW338" i="13"/>
  <c r="AW339" i="13"/>
  <c r="AW340" i="13"/>
  <c r="AW341" i="13"/>
  <c r="AW342" i="13"/>
  <c r="AW343" i="13"/>
  <c r="AW344" i="13"/>
  <c r="AW345" i="13"/>
  <c r="AW346" i="13"/>
  <c r="AW347" i="13"/>
  <c r="AW348" i="13"/>
  <c r="AW349" i="13"/>
  <c r="AW350" i="13"/>
  <c r="AW351" i="13"/>
  <c r="AW352" i="13"/>
  <c r="AW353" i="13"/>
  <c r="AW354" i="13"/>
  <c r="AW355" i="13"/>
  <c r="AW356" i="13"/>
  <c r="AW357" i="13"/>
  <c r="AW358" i="13"/>
  <c r="AW359" i="13"/>
  <c r="AW360" i="13"/>
  <c r="AW361" i="13"/>
  <c r="AW362" i="13"/>
  <c r="AW363" i="13"/>
  <c r="AW364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U168" i="13"/>
  <c r="AU169" i="13"/>
  <c r="AU170" i="13"/>
  <c r="AU171" i="13"/>
  <c r="AU172" i="13"/>
  <c r="AU173" i="13"/>
  <c r="AU174" i="13"/>
  <c r="AU175" i="13"/>
  <c r="AU176" i="13"/>
  <c r="AU177" i="13"/>
  <c r="AU178" i="13"/>
  <c r="AU179" i="13"/>
  <c r="AU180" i="13"/>
  <c r="AU181" i="13"/>
  <c r="AU182" i="13"/>
  <c r="AU183" i="13"/>
  <c r="AU184" i="13"/>
  <c r="AU185" i="13"/>
  <c r="AU186" i="13"/>
  <c r="AU187" i="13"/>
  <c r="AU188" i="13"/>
  <c r="AU189" i="13"/>
  <c r="AU190" i="13"/>
  <c r="AU191" i="13"/>
  <c r="AU192" i="13"/>
  <c r="AU193" i="13"/>
  <c r="AU194" i="13"/>
  <c r="AU195" i="13"/>
  <c r="AU196" i="13"/>
  <c r="AU197" i="13"/>
  <c r="AU198" i="13"/>
  <c r="AU199" i="13"/>
  <c r="AU200" i="13"/>
  <c r="AU201" i="13"/>
  <c r="AU202" i="13"/>
  <c r="AU203" i="13"/>
  <c r="AU204" i="13"/>
  <c r="AU205" i="13"/>
  <c r="AU206" i="13"/>
  <c r="AU207" i="13"/>
  <c r="AU208" i="13"/>
  <c r="AU209" i="13"/>
  <c r="AU210" i="13"/>
  <c r="AU211" i="13"/>
  <c r="AU212" i="13"/>
  <c r="AU213" i="13"/>
  <c r="AU214" i="13"/>
  <c r="AU215" i="13"/>
  <c r="AU216" i="13"/>
  <c r="AU217" i="13"/>
  <c r="AU218" i="13"/>
  <c r="AU219" i="13"/>
  <c r="AU220" i="13"/>
  <c r="AU221" i="13"/>
  <c r="AU222" i="13"/>
  <c r="AU223" i="13"/>
  <c r="AU224" i="13"/>
  <c r="AU225" i="13"/>
  <c r="AU226" i="13"/>
  <c r="AU227" i="13"/>
  <c r="AU228" i="13"/>
  <c r="AU229" i="13"/>
  <c r="AU230" i="13"/>
  <c r="AU231" i="13"/>
  <c r="AU232" i="13"/>
  <c r="AU233" i="13"/>
  <c r="AU234" i="13"/>
  <c r="AU235" i="13"/>
  <c r="AU236" i="13"/>
  <c r="AU237" i="13"/>
  <c r="AU238" i="13"/>
  <c r="AU239" i="13"/>
  <c r="AU240" i="13"/>
  <c r="AU241" i="13"/>
  <c r="AU242" i="13"/>
  <c r="AU243" i="13"/>
  <c r="AU244" i="13"/>
  <c r="AU245" i="13"/>
  <c r="AU246" i="13"/>
  <c r="AU247" i="13"/>
  <c r="AU248" i="13"/>
  <c r="AU249" i="13"/>
  <c r="AU250" i="13"/>
  <c r="AU251" i="13"/>
  <c r="AU252" i="13"/>
  <c r="AU253" i="13"/>
  <c r="AU254" i="13"/>
  <c r="AU255" i="13"/>
  <c r="AU256" i="13"/>
  <c r="AU257" i="13"/>
  <c r="AU258" i="13"/>
  <c r="AU259" i="13"/>
  <c r="AU260" i="13"/>
  <c r="AU261" i="13"/>
  <c r="AU262" i="13"/>
  <c r="AU263" i="13"/>
  <c r="AU264" i="13"/>
  <c r="AU265" i="13"/>
  <c r="AU266" i="13"/>
  <c r="AU267" i="13"/>
  <c r="AU268" i="13"/>
  <c r="AU269" i="13"/>
  <c r="AU270" i="13"/>
  <c r="AU271" i="13"/>
  <c r="AU272" i="13"/>
  <c r="AU273" i="13"/>
  <c r="AU274" i="13"/>
  <c r="AU275" i="13"/>
  <c r="AU276" i="13"/>
  <c r="AU277" i="13"/>
  <c r="AU278" i="13"/>
  <c r="AU279" i="13"/>
  <c r="AU280" i="13"/>
  <c r="AU281" i="13"/>
  <c r="AU282" i="13"/>
  <c r="AU283" i="13"/>
  <c r="AU284" i="13"/>
  <c r="AU285" i="13"/>
  <c r="AU286" i="13"/>
  <c r="AU287" i="13"/>
  <c r="AU288" i="13"/>
  <c r="AU289" i="13"/>
  <c r="AU290" i="13"/>
  <c r="AU291" i="13"/>
  <c r="AU292" i="13"/>
  <c r="AU293" i="13"/>
  <c r="AU294" i="13"/>
  <c r="AU295" i="13"/>
  <c r="AU296" i="13"/>
  <c r="AU297" i="13"/>
  <c r="AU298" i="13"/>
  <c r="AU299" i="13"/>
  <c r="AU300" i="13"/>
  <c r="AU301" i="13"/>
  <c r="AU302" i="13"/>
  <c r="AU303" i="13"/>
  <c r="AU304" i="13"/>
  <c r="AU305" i="13"/>
  <c r="AU306" i="13"/>
  <c r="AU307" i="13"/>
  <c r="AU308" i="13"/>
  <c r="AU309" i="13"/>
  <c r="AU310" i="13"/>
  <c r="AU311" i="13"/>
  <c r="AU312" i="13"/>
  <c r="AU313" i="13"/>
  <c r="AU314" i="13"/>
  <c r="AU315" i="13"/>
  <c r="AU316" i="13"/>
  <c r="AU317" i="13"/>
  <c r="AU318" i="13"/>
  <c r="AU319" i="13"/>
  <c r="AU320" i="13"/>
  <c r="AU321" i="13"/>
  <c r="AU322" i="13"/>
  <c r="AU323" i="13"/>
  <c r="AU324" i="13"/>
  <c r="AU325" i="13"/>
  <c r="AU326" i="13"/>
  <c r="AU327" i="13"/>
  <c r="AU328" i="13"/>
  <c r="AU329" i="13"/>
  <c r="AU330" i="13"/>
  <c r="AU331" i="13"/>
  <c r="AU332" i="13"/>
  <c r="AU333" i="13"/>
  <c r="AU334" i="13"/>
  <c r="AU335" i="13"/>
  <c r="AU336" i="13"/>
  <c r="AU337" i="13"/>
  <c r="AU338" i="13"/>
  <c r="AU339" i="13"/>
  <c r="AU340" i="13"/>
  <c r="AU341" i="13"/>
  <c r="AU342" i="13"/>
  <c r="AU343" i="13"/>
  <c r="AU344" i="13"/>
  <c r="AU345" i="13"/>
  <c r="AU346" i="13"/>
  <c r="AU347" i="13"/>
  <c r="AU348" i="13"/>
  <c r="AU349" i="13"/>
  <c r="AU350" i="13"/>
  <c r="AU351" i="13"/>
  <c r="AU352" i="13"/>
  <c r="AU353" i="13"/>
  <c r="AU354" i="13"/>
  <c r="AU355" i="13"/>
  <c r="AU356" i="13"/>
  <c r="AU357" i="13"/>
  <c r="AU358" i="13"/>
  <c r="AU359" i="13"/>
  <c r="AU360" i="13"/>
  <c r="AU361" i="13"/>
  <c r="AU362" i="13"/>
  <c r="AU363" i="13"/>
  <c r="AU364" i="13"/>
  <c r="AS6" i="13"/>
  <c r="AT6" i="13" s="1"/>
  <c r="AY6" i="13" s="1"/>
  <c r="AS7" i="13"/>
  <c r="AT7" i="13" s="1"/>
  <c r="AY7" i="13" s="1"/>
  <c r="AS8" i="13"/>
  <c r="AT8" i="13" s="1"/>
  <c r="AY8" i="13" s="1"/>
  <c r="AS9" i="13"/>
  <c r="AT9" i="13" s="1"/>
  <c r="AY9" i="13" s="1"/>
  <c r="AS10" i="13"/>
  <c r="AT10" i="13" s="1"/>
  <c r="AY10" i="13" s="1"/>
  <c r="AS11" i="13"/>
  <c r="AT11" i="13" s="1"/>
  <c r="AY11" i="13" s="1"/>
  <c r="AS12" i="13"/>
  <c r="AT12" i="13" s="1"/>
  <c r="AY12" i="13" s="1"/>
  <c r="AS13" i="13"/>
  <c r="AT13" i="13" s="1"/>
  <c r="AY13" i="13" s="1"/>
  <c r="AS14" i="13"/>
  <c r="AT14" i="13" s="1"/>
  <c r="AY14" i="13" s="1"/>
  <c r="AS15" i="13"/>
  <c r="AT15" i="13" s="1"/>
  <c r="AY15" i="13" s="1"/>
  <c r="AS16" i="13"/>
  <c r="AT16" i="13" s="1"/>
  <c r="AY16" i="13" s="1"/>
  <c r="AS17" i="13"/>
  <c r="AT17" i="13" s="1"/>
  <c r="AY17" i="13" s="1"/>
  <c r="AS18" i="13"/>
  <c r="AT18" i="13" s="1"/>
  <c r="AY18" i="13" s="1"/>
  <c r="AS19" i="13"/>
  <c r="AT19" i="13" s="1"/>
  <c r="AY19" i="13" s="1"/>
  <c r="AS20" i="13"/>
  <c r="AT20" i="13" s="1"/>
  <c r="AY20" i="13" s="1"/>
  <c r="AS21" i="13"/>
  <c r="AT21" i="13" s="1"/>
  <c r="AY21" i="13" s="1"/>
  <c r="AS22" i="13"/>
  <c r="AT22" i="13" s="1"/>
  <c r="AY22" i="13" s="1"/>
  <c r="AS23" i="13"/>
  <c r="AT23" i="13" s="1"/>
  <c r="AY23" i="13" s="1"/>
  <c r="AS24" i="13"/>
  <c r="AT24" i="13" s="1"/>
  <c r="AY24" i="13" s="1"/>
  <c r="AS25" i="13"/>
  <c r="AT25" i="13" s="1"/>
  <c r="AY25" i="13" s="1"/>
  <c r="AS26" i="13"/>
  <c r="AT26" i="13" s="1"/>
  <c r="AY26" i="13" s="1"/>
  <c r="AS27" i="13"/>
  <c r="AT27" i="13" s="1"/>
  <c r="AY27" i="13" s="1"/>
  <c r="AS28" i="13"/>
  <c r="AT28" i="13" s="1"/>
  <c r="AY28" i="13" s="1"/>
  <c r="AS29" i="13"/>
  <c r="AT29" i="13" s="1"/>
  <c r="AY29" i="13" s="1"/>
  <c r="AS30" i="13"/>
  <c r="AT30" i="13" s="1"/>
  <c r="AY30" i="13" s="1"/>
  <c r="AS31" i="13"/>
  <c r="AT31" i="13" s="1"/>
  <c r="AY31" i="13" s="1"/>
  <c r="AS32" i="13"/>
  <c r="AT32" i="13" s="1"/>
  <c r="AY32" i="13" s="1"/>
  <c r="AS33" i="13"/>
  <c r="AT33" i="13" s="1"/>
  <c r="AY33" i="13" s="1"/>
  <c r="AS34" i="13"/>
  <c r="AT34" i="13" s="1"/>
  <c r="AY34" i="13" s="1"/>
  <c r="AS35" i="13"/>
  <c r="AT35" i="13" s="1"/>
  <c r="AY35" i="13" s="1"/>
  <c r="AS36" i="13"/>
  <c r="AT36" i="13" s="1"/>
  <c r="AY36" i="13" s="1"/>
  <c r="AS37" i="13"/>
  <c r="AT37" i="13" s="1"/>
  <c r="AY37" i="13" s="1"/>
  <c r="AS38" i="13"/>
  <c r="AT38" i="13" s="1"/>
  <c r="AY38" i="13" s="1"/>
  <c r="AS39" i="13"/>
  <c r="AT39" i="13" s="1"/>
  <c r="AY39" i="13" s="1"/>
  <c r="AS40" i="13"/>
  <c r="AT40" i="13" s="1"/>
  <c r="AY40" i="13" s="1"/>
  <c r="AS41" i="13"/>
  <c r="AT41" i="13" s="1"/>
  <c r="AY41" i="13" s="1"/>
  <c r="AS42" i="13"/>
  <c r="AT42" i="13" s="1"/>
  <c r="AY42" i="13" s="1"/>
  <c r="AS43" i="13"/>
  <c r="AT43" i="13" s="1"/>
  <c r="AY43" i="13" s="1"/>
  <c r="AS44" i="13"/>
  <c r="AT44" i="13" s="1"/>
  <c r="AY44" i="13" s="1"/>
  <c r="AS45" i="13"/>
  <c r="AT45" i="13" s="1"/>
  <c r="AY45" i="13" s="1"/>
  <c r="AS46" i="13"/>
  <c r="AT46" i="13" s="1"/>
  <c r="AY46" i="13" s="1"/>
  <c r="AS47" i="13"/>
  <c r="AT47" i="13" s="1"/>
  <c r="AY47" i="13" s="1"/>
  <c r="AS48" i="13"/>
  <c r="AT48" i="13" s="1"/>
  <c r="AY48" i="13" s="1"/>
  <c r="AS49" i="13"/>
  <c r="AT49" i="13" s="1"/>
  <c r="AY49" i="13" s="1"/>
  <c r="AS50" i="13"/>
  <c r="AT50" i="13" s="1"/>
  <c r="AY50" i="13" s="1"/>
  <c r="AS51" i="13"/>
  <c r="AT51" i="13" s="1"/>
  <c r="AY51" i="13" s="1"/>
  <c r="AS52" i="13"/>
  <c r="AT52" i="13" s="1"/>
  <c r="AY52" i="13" s="1"/>
  <c r="AS53" i="13"/>
  <c r="AT53" i="13" s="1"/>
  <c r="AY53" i="13" s="1"/>
  <c r="AS54" i="13"/>
  <c r="AT54" i="13" s="1"/>
  <c r="AY54" i="13" s="1"/>
  <c r="AS55" i="13"/>
  <c r="AT55" i="13" s="1"/>
  <c r="AY55" i="13" s="1"/>
  <c r="AS56" i="13"/>
  <c r="AT56" i="13" s="1"/>
  <c r="AY56" i="13" s="1"/>
  <c r="AS57" i="13"/>
  <c r="AT57" i="13" s="1"/>
  <c r="AY57" i="13" s="1"/>
  <c r="AS58" i="13"/>
  <c r="AT58" i="13" s="1"/>
  <c r="AY58" i="13" s="1"/>
  <c r="AS59" i="13"/>
  <c r="AT59" i="13" s="1"/>
  <c r="AY59" i="13" s="1"/>
  <c r="AS60" i="13"/>
  <c r="AT60" i="13" s="1"/>
  <c r="AY60" i="13" s="1"/>
  <c r="AS61" i="13"/>
  <c r="AT61" i="13" s="1"/>
  <c r="AY61" i="13" s="1"/>
  <c r="AS62" i="13"/>
  <c r="AT62" i="13" s="1"/>
  <c r="AY62" i="13" s="1"/>
  <c r="AS63" i="13"/>
  <c r="AT63" i="13" s="1"/>
  <c r="AY63" i="13" s="1"/>
  <c r="AS64" i="13"/>
  <c r="AT64" i="13" s="1"/>
  <c r="AY64" i="13" s="1"/>
  <c r="AS65" i="13"/>
  <c r="AT65" i="13" s="1"/>
  <c r="AY65" i="13" s="1"/>
  <c r="AS66" i="13"/>
  <c r="AT66" i="13" s="1"/>
  <c r="AY66" i="13" s="1"/>
  <c r="AS67" i="13"/>
  <c r="AT67" i="13" s="1"/>
  <c r="AY67" i="13" s="1"/>
  <c r="AS68" i="13"/>
  <c r="AT68" i="13" s="1"/>
  <c r="AY68" i="13" s="1"/>
  <c r="AS69" i="13"/>
  <c r="AT69" i="13" s="1"/>
  <c r="AY69" i="13" s="1"/>
  <c r="AS70" i="13"/>
  <c r="AT70" i="13" s="1"/>
  <c r="AY70" i="13" s="1"/>
  <c r="AS71" i="13"/>
  <c r="AT71" i="13" s="1"/>
  <c r="AY71" i="13" s="1"/>
  <c r="AS72" i="13"/>
  <c r="AT72" i="13" s="1"/>
  <c r="AY72" i="13" s="1"/>
  <c r="AS73" i="13"/>
  <c r="AT73" i="13" s="1"/>
  <c r="AY73" i="13" s="1"/>
  <c r="AS74" i="13"/>
  <c r="AT74" i="13" s="1"/>
  <c r="AY74" i="13" s="1"/>
  <c r="AS75" i="13"/>
  <c r="AT75" i="13" s="1"/>
  <c r="AY75" i="13" s="1"/>
  <c r="AS76" i="13"/>
  <c r="AT76" i="13" s="1"/>
  <c r="AY76" i="13" s="1"/>
  <c r="AS77" i="13"/>
  <c r="AT77" i="13" s="1"/>
  <c r="AY77" i="13" s="1"/>
  <c r="AS78" i="13"/>
  <c r="AT78" i="13" s="1"/>
  <c r="AY78" i="13" s="1"/>
  <c r="AS79" i="13"/>
  <c r="AT79" i="13" s="1"/>
  <c r="AY79" i="13" s="1"/>
  <c r="AS80" i="13"/>
  <c r="AT80" i="13" s="1"/>
  <c r="AY80" i="13" s="1"/>
  <c r="AS81" i="13"/>
  <c r="AT81" i="13" s="1"/>
  <c r="AY81" i="13" s="1"/>
  <c r="AS82" i="13"/>
  <c r="AT82" i="13" s="1"/>
  <c r="AY82" i="13" s="1"/>
  <c r="AS83" i="13"/>
  <c r="AT83" i="13" s="1"/>
  <c r="AY83" i="13" s="1"/>
  <c r="AS84" i="13"/>
  <c r="AT84" i="13" s="1"/>
  <c r="AY84" i="13" s="1"/>
  <c r="AS85" i="13"/>
  <c r="AT85" i="13" s="1"/>
  <c r="AY85" i="13" s="1"/>
  <c r="AS86" i="13"/>
  <c r="AT86" i="13" s="1"/>
  <c r="AY86" i="13" s="1"/>
  <c r="AS87" i="13"/>
  <c r="AT87" i="13" s="1"/>
  <c r="AY87" i="13" s="1"/>
  <c r="AS88" i="13"/>
  <c r="AT88" i="13" s="1"/>
  <c r="AY88" i="13" s="1"/>
  <c r="AS89" i="13"/>
  <c r="AT89" i="13" s="1"/>
  <c r="AY89" i="13" s="1"/>
  <c r="AS90" i="13"/>
  <c r="AT90" i="13" s="1"/>
  <c r="AY90" i="13" s="1"/>
  <c r="AS91" i="13"/>
  <c r="AT91" i="13" s="1"/>
  <c r="AY91" i="13" s="1"/>
  <c r="AS92" i="13"/>
  <c r="AT92" i="13" s="1"/>
  <c r="AY92" i="13" s="1"/>
  <c r="AS93" i="13"/>
  <c r="AT93" i="13" s="1"/>
  <c r="AY93" i="13" s="1"/>
  <c r="AS94" i="13"/>
  <c r="AT94" i="13" s="1"/>
  <c r="AY94" i="13" s="1"/>
  <c r="AS95" i="13"/>
  <c r="AT95" i="13" s="1"/>
  <c r="AY95" i="13" s="1"/>
  <c r="AS96" i="13"/>
  <c r="AT96" i="13" s="1"/>
  <c r="AY96" i="13" s="1"/>
  <c r="AS97" i="13"/>
  <c r="AT97" i="13" s="1"/>
  <c r="AY97" i="13" s="1"/>
  <c r="AS98" i="13"/>
  <c r="AT98" i="13" s="1"/>
  <c r="AY98" i="13" s="1"/>
  <c r="AS99" i="13"/>
  <c r="AT99" i="13" s="1"/>
  <c r="AY99" i="13" s="1"/>
  <c r="AS100" i="13"/>
  <c r="AT100" i="13" s="1"/>
  <c r="AY100" i="13" s="1"/>
  <c r="AS101" i="13"/>
  <c r="AT101" i="13" s="1"/>
  <c r="AY101" i="13" s="1"/>
  <c r="AS102" i="13"/>
  <c r="AT102" i="13" s="1"/>
  <c r="AY102" i="13" s="1"/>
  <c r="AS103" i="13"/>
  <c r="AT103" i="13" s="1"/>
  <c r="AY103" i="13" s="1"/>
  <c r="AS104" i="13"/>
  <c r="AT104" i="13" s="1"/>
  <c r="AY104" i="13" s="1"/>
  <c r="AS105" i="13"/>
  <c r="AT105" i="13" s="1"/>
  <c r="AY105" i="13" s="1"/>
  <c r="AS106" i="13"/>
  <c r="AT106" i="13" s="1"/>
  <c r="AY106" i="13" s="1"/>
  <c r="AS107" i="13"/>
  <c r="AT107" i="13" s="1"/>
  <c r="AY107" i="13" s="1"/>
  <c r="AS108" i="13"/>
  <c r="AT108" i="13" s="1"/>
  <c r="AY108" i="13" s="1"/>
  <c r="AS109" i="13"/>
  <c r="AT109" i="13" s="1"/>
  <c r="AY109" i="13" s="1"/>
  <c r="AS110" i="13"/>
  <c r="AT110" i="13" s="1"/>
  <c r="AY110" i="13" s="1"/>
  <c r="AS111" i="13"/>
  <c r="AT111" i="13" s="1"/>
  <c r="AY111" i="13" s="1"/>
  <c r="AS112" i="13"/>
  <c r="AT112" i="13" s="1"/>
  <c r="AY112" i="13" s="1"/>
  <c r="AS113" i="13"/>
  <c r="AT113" i="13" s="1"/>
  <c r="AY113" i="13" s="1"/>
  <c r="AS114" i="13"/>
  <c r="AT114" i="13" s="1"/>
  <c r="AY114" i="13" s="1"/>
  <c r="AS115" i="13"/>
  <c r="AT115" i="13" s="1"/>
  <c r="AY115" i="13" s="1"/>
  <c r="AS116" i="13"/>
  <c r="AT116" i="13" s="1"/>
  <c r="AY116" i="13" s="1"/>
  <c r="AS117" i="13"/>
  <c r="AT117" i="13" s="1"/>
  <c r="AY117" i="13" s="1"/>
  <c r="AS118" i="13"/>
  <c r="AT118" i="13" s="1"/>
  <c r="AY118" i="13" s="1"/>
  <c r="AS119" i="13"/>
  <c r="AT119" i="13" s="1"/>
  <c r="AY119" i="13" s="1"/>
  <c r="AS120" i="13"/>
  <c r="AT120" i="13" s="1"/>
  <c r="AY120" i="13" s="1"/>
  <c r="AS121" i="13"/>
  <c r="AT121" i="13" s="1"/>
  <c r="AY121" i="13" s="1"/>
  <c r="AS122" i="13"/>
  <c r="AT122" i="13" s="1"/>
  <c r="AY122" i="13" s="1"/>
  <c r="AS123" i="13"/>
  <c r="AT123" i="13" s="1"/>
  <c r="AY123" i="13" s="1"/>
  <c r="AS124" i="13"/>
  <c r="AT124" i="13" s="1"/>
  <c r="AY124" i="13" s="1"/>
  <c r="AS125" i="13"/>
  <c r="AT125" i="13" s="1"/>
  <c r="AY125" i="13" s="1"/>
  <c r="AS126" i="13"/>
  <c r="AT126" i="13" s="1"/>
  <c r="AY126" i="13" s="1"/>
  <c r="AS127" i="13"/>
  <c r="AT127" i="13" s="1"/>
  <c r="AY127" i="13" s="1"/>
  <c r="AS128" i="13"/>
  <c r="AT128" i="13" s="1"/>
  <c r="AY128" i="13" s="1"/>
  <c r="AS129" i="13"/>
  <c r="AT129" i="13" s="1"/>
  <c r="AY129" i="13" s="1"/>
  <c r="AS130" i="13"/>
  <c r="AT130" i="13" s="1"/>
  <c r="AY130" i="13" s="1"/>
  <c r="AS131" i="13"/>
  <c r="AT131" i="13" s="1"/>
  <c r="AY131" i="13" s="1"/>
  <c r="AS132" i="13"/>
  <c r="AT132" i="13" s="1"/>
  <c r="AY132" i="13" s="1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178" i="13"/>
  <c r="AS179" i="13"/>
  <c r="AS180" i="13"/>
  <c r="AS181" i="13"/>
  <c r="AS182" i="13"/>
  <c r="AS183" i="13"/>
  <c r="AS184" i="13"/>
  <c r="AS185" i="13"/>
  <c r="AS186" i="13"/>
  <c r="AS187" i="13"/>
  <c r="AS188" i="13"/>
  <c r="AS189" i="13"/>
  <c r="AS190" i="13"/>
  <c r="AS191" i="13"/>
  <c r="AS192" i="13"/>
  <c r="AS193" i="13"/>
  <c r="AS194" i="13"/>
  <c r="AS195" i="13"/>
  <c r="AS196" i="13"/>
  <c r="AS197" i="13"/>
  <c r="AS198" i="13"/>
  <c r="AS199" i="13"/>
  <c r="AS200" i="13"/>
  <c r="AS201" i="13"/>
  <c r="AS202" i="13"/>
  <c r="AS203" i="13"/>
  <c r="AS204" i="13"/>
  <c r="AS205" i="13"/>
  <c r="AS206" i="13"/>
  <c r="AS207" i="13"/>
  <c r="AS208" i="13"/>
  <c r="AS209" i="13"/>
  <c r="AS210" i="13"/>
  <c r="AS211" i="13"/>
  <c r="AS212" i="13"/>
  <c r="AS213" i="13"/>
  <c r="AS214" i="13"/>
  <c r="AS215" i="13"/>
  <c r="AS216" i="13"/>
  <c r="AS217" i="13"/>
  <c r="AS218" i="13"/>
  <c r="AS219" i="13"/>
  <c r="AS220" i="13"/>
  <c r="AS221" i="13"/>
  <c r="AS222" i="13"/>
  <c r="AS223" i="13"/>
  <c r="AS224" i="13"/>
  <c r="AS225" i="13"/>
  <c r="AS226" i="13"/>
  <c r="AS227" i="13"/>
  <c r="AS228" i="13"/>
  <c r="AS229" i="13"/>
  <c r="AS230" i="13"/>
  <c r="AS231" i="13"/>
  <c r="AS232" i="13"/>
  <c r="AS233" i="13"/>
  <c r="AS234" i="13"/>
  <c r="AS235" i="13"/>
  <c r="AS236" i="13"/>
  <c r="AS237" i="13"/>
  <c r="AS238" i="13"/>
  <c r="AS239" i="13"/>
  <c r="AS240" i="13"/>
  <c r="AS241" i="13"/>
  <c r="AS242" i="13"/>
  <c r="AS243" i="13"/>
  <c r="AS244" i="13"/>
  <c r="AS245" i="13"/>
  <c r="AS246" i="13"/>
  <c r="AS247" i="13"/>
  <c r="AS248" i="13"/>
  <c r="AS249" i="13"/>
  <c r="AS250" i="13"/>
  <c r="AS251" i="13"/>
  <c r="AS252" i="13"/>
  <c r="AS253" i="13"/>
  <c r="AS254" i="13"/>
  <c r="AS255" i="13"/>
  <c r="AS256" i="13"/>
  <c r="AS257" i="13"/>
  <c r="AS258" i="13"/>
  <c r="AS259" i="13"/>
  <c r="AS260" i="13"/>
  <c r="AS261" i="13"/>
  <c r="AS262" i="13"/>
  <c r="AS263" i="13"/>
  <c r="AS264" i="13"/>
  <c r="AS265" i="13"/>
  <c r="AS266" i="13"/>
  <c r="AS267" i="13"/>
  <c r="AS268" i="13"/>
  <c r="AS269" i="13"/>
  <c r="AS270" i="13"/>
  <c r="AS271" i="13"/>
  <c r="AS272" i="13"/>
  <c r="AS273" i="13"/>
  <c r="AS274" i="13"/>
  <c r="AS275" i="13"/>
  <c r="AS276" i="13"/>
  <c r="AS277" i="13"/>
  <c r="AS278" i="13"/>
  <c r="AS279" i="13"/>
  <c r="AS280" i="13"/>
  <c r="AS281" i="13"/>
  <c r="AS282" i="13"/>
  <c r="AS283" i="13"/>
  <c r="AS284" i="13"/>
  <c r="AS285" i="13"/>
  <c r="AS286" i="13"/>
  <c r="AS287" i="13"/>
  <c r="AS288" i="13"/>
  <c r="AS289" i="13"/>
  <c r="AS290" i="13"/>
  <c r="AS291" i="13"/>
  <c r="AS292" i="13"/>
  <c r="AS293" i="13"/>
  <c r="AS294" i="13"/>
  <c r="AS295" i="13"/>
  <c r="AS296" i="13"/>
  <c r="AS297" i="13"/>
  <c r="AS298" i="13"/>
  <c r="AS299" i="13"/>
  <c r="AS300" i="13"/>
  <c r="AS301" i="13"/>
  <c r="AS302" i="13"/>
  <c r="AS303" i="13"/>
  <c r="AS304" i="13"/>
  <c r="AS305" i="13"/>
  <c r="AS306" i="13"/>
  <c r="AS307" i="13"/>
  <c r="AS308" i="13"/>
  <c r="AS309" i="13"/>
  <c r="AS310" i="13"/>
  <c r="AS311" i="13"/>
  <c r="AS312" i="13"/>
  <c r="AS313" i="13"/>
  <c r="AS314" i="13"/>
  <c r="AS315" i="13"/>
  <c r="AS316" i="13"/>
  <c r="AS317" i="13"/>
  <c r="AS318" i="13"/>
  <c r="AS319" i="13"/>
  <c r="AS320" i="13"/>
  <c r="AS321" i="13"/>
  <c r="AS322" i="13"/>
  <c r="AS323" i="13"/>
  <c r="AS324" i="13"/>
  <c r="AS325" i="13"/>
  <c r="AS326" i="13"/>
  <c r="AS327" i="13"/>
  <c r="AS328" i="13"/>
  <c r="AS329" i="13"/>
  <c r="AS330" i="13"/>
  <c r="AS331" i="13"/>
  <c r="AS332" i="13"/>
  <c r="AS333" i="13"/>
  <c r="AS334" i="13"/>
  <c r="AS335" i="13"/>
  <c r="AS336" i="13"/>
  <c r="AS337" i="13"/>
  <c r="AS338" i="13"/>
  <c r="AS339" i="13"/>
  <c r="AS340" i="13"/>
  <c r="AS341" i="13"/>
  <c r="AS342" i="13"/>
  <c r="AS343" i="13"/>
  <c r="AS344" i="13"/>
  <c r="AS345" i="13"/>
  <c r="AS346" i="13"/>
  <c r="AS347" i="13"/>
  <c r="AS348" i="13"/>
  <c r="AS349" i="13"/>
  <c r="AS350" i="13"/>
  <c r="AS351" i="13"/>
  <c r="AS352" i="13"/>
  <c r="AS353" i="13"/>
  <c r="AS354" i="13"/>
  <c r="AS355" i="13"/>
  <c r="AS356" i="13"/>
  <c r="AS357" i="13"/>
  <c r="AS358" i="13"/>
  <c r="AS359" i="13"/>
  <c r="AS360" i="13"/>
  <c r="AS361" i="13"/>
  <c r="AS362" i="13"/>
  <c r="AS363" i="13"/>
  <c r="AS364" i="13"/>
  <c r="AS5" i="13"/>
  <c r="AT5" i="13" s="1"/>
  <c r="AY5" i="13" s="1"/>
  <c r="AG5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D287" i="13"/>
  <c r="AD288" i="13"/>
  <c r="AD289" i="13"/>
  <c r="AD290" i="13"/>
  <c r="AD291" i="13"/>
  <c r="AD292" i="13"/>
  <c r="AD293" i="13"/>
  <c r="AD294" i="13"/>
  <c r="AD295" i="13"/>
  <c r="AD296" i="13"/>
  <c r="AD297" i="13"/>
  <c r="AD298" i="13"/>
  <c r="AD299" i="13"/>
  <c r="AD300" i="13"/>
  <c r="AD301" i="13"/>
  <c r="AD302" i="13"/>
  <c r="AD303" i="13"/>
  <c r="AD304" i="13"/>
  <c r="AD305" i="13"/>
  <c r="AD306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334" i="13"/>
  <c r="AD335" i="13"/>
  <c r="AD336" i="13"/>
  <c r="AD337" i="13"/>
  <c r="AD338" i="13"/>
  <c r="AD339" i="13"/>
  <c r="AD340" i="13"/>
  <c r="AD341" i="13"/>
  <c r="AD342" i="13"/>
  <c r="AD343" i="13"/>
  <c r="AD344" i="13"/>
  <c r="AD345" i="13"/>
  <c r="AD346" i="13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D363" i="13"/>
  <c r="AD364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AB237" i="13"/>
  <c r="AB238" i="13"/>
  <c r="AB239" i="13"/>
  <c r="AB240" i="13"/>
  <c r="AB241" i="13"/>
  <c r="AB242" i="13"/>
  <c r="AB243" i="13"/>
  <c r="AB244" i="13"/>
  <c r="AB245" i="13"/>
  <c r="AB246" i="13"/>
  <c r="AB247" i="13"/>
  <c r="AB248" i="13"/>
  <c r="AB249" i="13"/>
  <c r="AB250" i="13"/>
  <c r="AB251" i="13"/>
  <c r="AB252" i="13"/>
  <c r="AB253" i="13"/>
  <c r="AB254" i="13"/>
  <c r="AB255" i="13"/>
  <c r="AB256" i="13"/>
  <c r="AB257" i="13"/>
  <c r="AB258" i="13"/>
  <c r="AB259" i="13"/>
  <c r="AB260" i="13"/>
  <c r="AB261" i="13"/>
  <c r="AB262" i="13"/>
  <c r="AB263" i="13"/>
  <c r="AB264" i="13"/>
  <c r="AB265" i="13"/>
  <c r="AB266" i="13"/>
  <c r="AB267" i="13"/>
  <c r="AB268" i="13"/>
  <c r="AB269" i="13"/>
  <c r="AB270" i="13"/>
  <c r="AB271" i="13"/>
  <c r="AB272" i="13"/>
  <c r="AB273" i="13"/>
  <c r="AB274" i="13"/>
  <c r="AB275" i="13"/>
  <c r="AB276" i="13"/>
  <c r="AB277" i="13"/>
  <c r="AB278" i="13"/>
  <c r="AB279" i="13"/>
  <c r="AB280" i="13"/>
  <c r="AB281" i="13"/>
  <c r="AB282" i="13"/>
  <c r="AB283" i="13"/>
  <c r="AB284" i="13"/>
  <c r="AB285" i="13"/>
  <c r="AB286" i="13"/>
  <c r="AB287" i="13"/>
  <c r="AB288" i="13"/>
  <c r="AB289" i="13"/>
  <c r="AB290" i="13"/>
  <c r="AB291" i="13"/>
  <c r="AB292" i="13"/>
  <c r="AB293" i="13"/>
  <c r="AB294" i="13"/>
  <c r="AB295" i="13"/>
  <c r="AB296" i="13"/>
  <c r="AB297" i="13"/>
  <c r="AB298" i="13"/>
  <c r="AB299" i="13"/>
  <c r="AB300" i="13"/>
  <c r="AB301" i="13"/>
  <c r="AB302" i="13"/>
  <c r="AB303" i="13"/>
  <c r="AB304" i="13"/>
  <c r="AB305" i="13"/>
  <c r="AB306" i="13"/>
  <c r="AB307" i="13"/>
  <c r="AB308" i="13"/>
  <c r="AB309" i="13"/>
  <c r="AB310" i="13"/>
  <c r="AB311" i="13"/>
  <c r="AB312" i="13"/>
  <c r="AB313" i="13"/>
  <c r="AB314" i="13"/>
  <c r="AB315" i="13"/>
  <c r="AB316" i="13"/>
  <c r="AB317" i="13"/>
  <c r="AB318" i="13"/>
  <c r="AB319" i="13"/>
  <c r="AB320" i="13"/>
  <c r="AB321" i="13"/>
  <c r="AB322" i="13"/>
  <c r="AB323" i="13"/>
  <c r="AB324" i="13"/>
  <c r="AB325" i="13"/>
  <c r="AB326" i="13"/>
  <c r="AB327" i="13"/>
  <c r="AB328" i="13"/>
  <c r="AB329" i="13"/>
  <c r="AB330" i="13"/>
  <c r="AB331" i="13"/>
  <c r="AB332" i="13"/>
  <c r="AB333" i="13"/>
  <c r="AB334" i="13"/>
  <c r="AB335" i="13"/>
  <c r="AB336" i="13"/>
  <c r="AB337" i="13"/>
  <c r="AB338" i="13"/>
  <c r="AB339" i="13"/>
  <c r="AB340" i="13"/>
  <c r="AB341" i="13"/>
  <c r="AB342" i="13"/>
  <c r="AB343" i="13"/>
  <c r="AB344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Z6" i="13"/>
  <c r="AA6" i="13" s="1"/>
  <c r="AF6" i="13" s="1"/>
  <c r="Z7" i="13"/>
  <c r="AA7" i="13" s="1"/>
  <c r="AF7" i="13" s="1"/>
  <c r="Z8" i="13"/>
  <c r="AA8" i="13" s="1"/>
  <c r="AF8" i="13" s="1"/>
  <c r="Z9" i="13"/>
  <c r="AA9" i="13" s="1"/>
  <c r="AF9" i="13" s="1"/>
  <c r="Z10" i="13"/>
  <c r="AA10" i="13" s="1"/>
  <c r="AF10" i="13" s="1"/>
  <c r="Z11" i="13"/>
  <c r="AA11" i="13" s="1"/>
  <c r="AF11" i="13" s="1"/>
  <c r="Z12" i="13"/>
  <c r="AA12" i="13" s="1"/>
  <c r="AF12" i="13" s="1"/>
  <c r="Z13" i="13"/>
  <c r="AA13" i="13" s="1"/>
  <c r="AF13" i="13" s="1"/>
  <c r="Z14" i="13"/>
  <c r="AA14" i="13" s="1"/>
  <c r="AF14" i="13" s="1"/>
  <c r="Z15" i="13"/>
  <c r="AA15" i="13" s="1"/>
  <c r="AF15" i="13" s="1"/>
  <c r="Z16" i="13"/>
  <c r="AA16" i="13" s="1"/>
  <c r="AF16" i="13" s="1"/>
  <c r="Z17" i="13"/>
  <c r="AA17" i="13" s="1"/>
  <c r="AF17" i="13" s="1"/>
  <c r="Z18" i="13"/>
  <c r="AA18" i="13" s="1"/>
  <c r="AF18" i="13" s="1"/>
  <c r="Z19" i="13"/>
  <c r="AA19" i="13" s="1"/>
  <c r="AF19" i="13" s="1"/>
  <c r="Z20" i="13"/>
  <c r="AA20" i="13" s="1"/>
  <c r="AF20" i="13" s="1"/>
  <c r="Z21" i="13"/>
  <c r="AA21" i="13" s="1"/>
  <c r="AF21" i="13" s="1"/>
  <c r="Z22" i="13"/>
  <c r="AA22" i="13" s="1"/>
  <c r="AF22" i="13" s="1"/>
  <c r="Z23" i="13"/>
  <c r="AA23" i="13" s="1"/>
  <c r="AF23" i="13" s="1"/>
  <c r="Z24" i="13"/>
  <c r="AA24" i="13" s="1"/>
  <c r="AF24" i="13" s="1"/>
  <c r="Z25" i="13"/>
  <c r="AA25" i="13" s="1"/>
  <c r="AF25" i="13" s="1"/>
  <c r="Z26" i="13"/>
  <c r="AA26" i="13" s="1"/>
  <c r="AF26" i="13" s="1"/>
  <c r="Z27" i="13"/>
  <c r="AA27" i="13" s="1"/>
  <c r="AF27" i="13" s="1"/>
  <c r="Z28" i="13"/>
  <c r="AA28" i="13" s="1"/>
  <c r="AF28" i="13" s="1"/>
  <c r="Z29" i="13"/>
  <c r="AA29" i="13" s="1"/>
  <c r="AF29" i="13" s="1"/>
  <c r="Z30" i="13"/>
  <c r="AA30" i="13" s="1"/>
  <c r="AF30" i="13" s="1"/>
  <c r="Z31" i="13"/>
  <c r="AA31" i="13" s="1"/>
  <c r="AF31" i="13" s="1"/>
  <c r="Z32" i="13"/>
  <c r="AA32" i="13" s="1"/>
  <c r="AF32" i="13" s="1"/>
  <c r="Z33" i="13"/>
  <c r="AA33" i="13" s="1"/>
  <c r="AF33" i="13" s="1"/>
  <c r="Z34" i="13"/>
  <c r="AA34" i="13" s="1"/>
  <c r="AF34" i="13" s="1"/>
  <c r="Z35" i="13"/>
  <c r="AA35" i="13" s="1"/>
  <c r="AF35" i="13" s="1"/>
  <c r="Z36" i="13"/>
  <c r="AA36" i="13" s="1"/>
  <c r="AF36" i="13" s="1"/>
  <c r="Z37" i="13"/>
  <c r="AA37" i="13" s="1"/>
  <c r="AF37" i="13" s="1"/>
  <c r="Z38" i="13"/>
  <c r="AA38" i="13" s="1"/>
  <c r="AF38" i="13" s="1"/>
  <c r="Z39" i="13"/>
  <c r="AA39" i="13" s="1"/>
  <c r="AF39" i="13" s="1"/>
  <c r="Z40" i="13"/>
  <c r="AA40" i="13" s="1"/>
  <c r="AF40" i="13" s="1"/>
  <c r="Z41" i="13"/>
  <c r="AA41" i="13" s="1"/>
  <c r="AF41" i="13" s="1"/>
  <c r="Z42" i="13"/>
  <c r="AA42" i="13" s="1"/>
  <c r="AF42" i="13" s="1"/>
  <c r="Z43" i="13"/>
  <c r="AA43" i="13" s="1"/>
  <c r="AF43" i="13" s="1"/>
  <c r="Z44" i="13"/>
  <c r="AA44" i="13" s="1"/>
  <c r="AF44" i="13" s="1"/>
  <c r="Z45" i="13"/>
  <c r="AA45" i="13" s="1"/>
  <c r="AF45" i="13" s="1"/>
  <c r="Z46" i="13"/>
  <c r="AA46" i="13" s="1"/>
  <c r="AF46" i="13" s="1"/>
  <c r="Z47" i="13"/>
  <c r="AA47" i="13" s="1"/>
  <c r="AF47" i="13" s="1"/>
  <c r="Z48" i="13"/>
  <c r="AA48" i="13" s="1"/>
  <c r="AF48" i="13" s="1"/>
  <c r="Z49" i="13"/>
  <c r="AA49" i="13" s="1"/>
  <c r="AF49" i="13" s="1"/>
  <c r="Z50" i="13"/>
  <c r="AA50" i="13" s="1"/>
  <c r="AF50" i="13" s="1"/>
  <c r="Z51" i="13"/>
  <c r="AA51" i="13" s="1"/>
  <c r="AF51" i="13" s="1"/>
  <c r="Z52" i="13"/>
  <c r="AA52" i="13" s="1"/>
  <c r="AF52" i="13" s="1"/>
  <c r="Z53" i="13"/>
  <c r="AA53" i="13" s="1"/>
  <c r="AF53" i="13" s="1"/>
  <c r="Z54" i="13"/>
  <c r="AA54" i="13" s="1"/>
  <c r="AF54" i="13" s="1"/>
  <c r="Z55" i="13"/>
  <c r="AA55" i="13" s="1"/>
  <c r="AF55" i="13" s="1"/>
  <c r="Z56" i="13"/>
  <c r="AA56" i="13" s="1"/>
  <c r="AF56" i="13" s="1"/>
  <c r="Z57" i="13"/>
  <c r="AA57" i="13" s="1"/>
  <c r="AF57" i="13" s="1"/>
  <c r="Z58" i="13"/>
  <c r="AA58" i="13" s="1"/>
  <c r="AF58" i="13" s="1"/>
  <c r="Z59" i="13"/>
  <c r="AA59" i="13" s="1"/>
  <c r="AF59" i="13" s="1"/>
  <c r="Z60" i="13"/>
  <c r="AA60" i="13" s="1"/>
  <c r="AF60" i="13" s="1"/>
  <c r="Z61" i="13"/>
  <c r="AA61" i="13" s="1"/>
  <c r="AF61" i="13" s="1"/>
  <c r="Z62" i="13"/>
  <c r="AA62" i="13" s="1"/>
  <c r="AF62" i="13" s="1"/>
  <c r="Z63" i="13"/>
  <c r="AA63" i="13" s="1"/>
  <c r="AF63" i="13" s="1"/>
  <c r="Z64" i="13"/>
  <c r="AA64" i="13" s="1"/>
  <c r="AF64" i="13" s="1"/>
  <c r="Z65" i="13"/>
  <c r="AA65" i="13" s="1"/>
  <c r="AF65" i="13" s="1"/>
  <c r="Z66" i="13"/>
  <c r="AA66" i="13" s="1"/>
  <c r="AF66" i="13" s="1"/>
  <c r="Z67" i="13"/>
  <c r="AA67" i="13" s="1"/>
  <c r="AF67" i="13" s="1"/>
  <c r="Z68" i="13"/>
  <c r="AA68" i="13" s="1"/>
  <c r="AF68" i="13" s="1"/>
  <c r="Z69" i="13"/>
  <c r="AA69" i="13" s="1"/>
  <c r="AF69" i="13" s="1"/>
  <c r="Z70" i="13"/>
  <c r="AA70" i="13" s="1"/>
  <c r="AF70" i="13" s="1"/>
  <c r="Z71" i="13"/>
  <c r="AA71" i="13" s="1"/>
  <c r="AF71" i="13" s="1"/>
  <c r="Z72" i="13"/>
  <c r="AA72" i="13" s="1"/>
  <c r="AF72" i="13" s="1"/>
  <c r="Z73" i="13"/>
  <c r="AA73" i="13" s="1"/>
  <c r="AF73" i="13" s="1"/>
  <c r="Z74" i="13"/>
  <c r="AA74" i="13" s="1"/>
  <c r="AF74" i="13" s="1"/>
  <c r="Z75" i="13"/>
  <c r="AA75" i="13" s="1"/>
  <c r="AF75" i="13" s="1"/>
  <c r="Z76" i="13"/>
  <c r="AA76" i="13" s="1"/>
  <c r="AF76" i="13" s="1"/>
  <c r="Z77" i="13"/>
  <c r="AA77" i="13" s="1"/>
  <c r="AF77" i="13" s="1"/>
  <c r="Z78" i="13"/>
  <c r="AA78" i="13" s="1"/>
  <c r="AF78" i="13" s="1"/>
  <c r="Z79" i="13"/>
  <c r="AA79" i="13" s="1"/>
  <c r="AF79" i="13" s="1"/>
  <c r="Z80" i="13"/>
  <c r="AA80" i="13" s="1"/>
  <c r="AF80" i="13" s="1"/>
  <c r="Z81" i="13"/>
  <c r="AA81" i="13" s="1"/>
  <c r="AF81" i="13" s="1"/>
  <c r="Z82" i="13"/>
  <c r="AA82" i="13" s="1"/>
  <c r="AF82" i="13" s="1"/>
  <c r="Z83" i="13"/>
  <c r="AA83" i="13" s="1"/>
  <c r="AF83" i="13" s="1"/>
  <c r="Z84" i="13"/>
  <c r="AA84" i="13" s="1"/>
  <c r="AF84" i="13" s="1"/>
  <c r="Z85" i="13"/>
  <c r="AA85" i="13" s="1"/>
  <c r="AF85" i="13" s="1"/>
  <c r="Z86" i="13"/>
  <c r="AA86" i="13" s="1"/>
  <c r="AF86" i="13" s="1"/>
  <c r="Z87" i="13"/>
  <c r="AA87" i="13" s="1"/>
  <c r="AF87" i="13" s="1"/>
  <c r="Z88" i="13"/>
  <c r="AA88" i="13" s="1"/>
  <c r="AF88" i="13" s="1"/>
  <c r="Z89" i="13"/>
  <c r="AA89" i="13" s="1"/>
  <c r="AF89" i="13" s="1"/>
  <c r="Z90" i="13"/>
  <c r="AA90" i="13" s="1"/>
  <c r="AF90" i="13" s="1"/>
  <c r="Z91" i="13"/>
  <c r="AA91" i="13" s="1"/>
  <c r="AF91" i="13" s="1"/>
  <c r="Z92" i="13"/>
  <c r="AA92" i="13" s="1"/>
  <c r="AF92" i="13" s="1"/>
  <c r="Z93" i="13"/>
  <c r="AA93" i="13" s="1"/>
  <c r="AF93" i="13" s="1"/>
  <c r="Z94" i="13"/>
  <c r="AA94" i="13" s="1"/>
  <c r="AF94" i="13" s="1"/>
  <c r="Z95" i="13"/>
  <c r="AA95" i="13" s="1"/>
  <c r="AF95" i="13" s="1"/>
  <c r="Z96" i="13"/>
  <c r="AA96" i="13" s="1"/>
  <c r="AF96" i="13" s="1"/>
  <c r="Z97" i="13"/>
  <c r="AA97" i="13" s="1"/>
  <c r="AF97" i="13" s="1"/>
  <c r="Z98" i="13"/>
  <c r="AA98" i="13" s="1"/>
  <c r="AF98" i="13" s="1"/>
  <c r="Z99" i="13"/>
  <c r="AA99" i="13" s="1"/>
  <c r="AF99" i="13" s="1"/>
  <c r="Z100" i="13"/>
  <c r="AA100" i="13" s="1"/>
  <c r="AF100" i="13" s="1"/>
  <c r="Z101" i="13"/>
  <c r="AA101" i="13" s="1"/>
  <c r="AF101" i="13" s="1"/>
  <c r="Z102" i="13"/>
  <c r="AA102" i="13" s="1"/>
  <c r="AF102" i="13" s="1"/>
  <c r="Z103" i="13"/>
  <c r="AA103" i="13" s="1"/>
  <c r="AF103" i="13" s="1"/>
  <c r="Z104" i="13"/>
  <c r="AA104" i="13" s="1"/>
  <c r="AF104" i="13" s="1"/>
  <c r="Z105" i="13"/>
  <c r="AA105" i="13" s="1"/>
  <c r="AF105" i="13" s="1"/>
  <c r="Z106" i="13"/>
  <c r="AA106" i="13" s="1"/>
  <c r="AF106" i="13" s="1"/>
  <c r="Z107" i="13"/>
  <c r="AA107" i="13" s="1"/>
  <c r="AF107" i="13" s="1"/>
  <c r="Z108" i="13"/>
  <c r="AA108" i="13" s="1"/>
  <c r="AF108" i="13" s="1"/>
  <c r="Z109" i="13"/>
  <c r="AA109" i="13" s="1"/>
  <c r="AF109" i="13" s="1"/>
  <c r="Z110" i="13"/>
  <c r="AA110" i="13" s="1"/>
  <c r="AF110" i="13" s="1"/>
  <c r="Z111" i="13"/>
  <c r="AA111" i="13" s="1"/>
  <c r="AF111" i="13" s="1"/>
  <c r="Z112" i="13"/>
  <c r="AA112" i="13" s="1"/>
  <c r="AF112" i="13" s="1"/>
  <c r="Z113" i="13"/>
  <c r="AA113" i="13" s="1"/>
  <c r="AF113" i="13" s="1"/>
  <c r="Z114" i="13"/>
  <c r="AA114" i="13" s="1"/>
  <c r="AF114" i="13" s="1"/>
  <c r="Z115" i="13"/>
  <c r="AA115" i="13" s="1"/>
  <c r="AF115" i="13" s="1"/>
  <c r="Z116" i="13"/>
  <c r="AA116" i="13" s="1"/>
  <c r="AF116" i="13" s="1"/>
  <c r="Z117" i="13"/>
  <c r="AA117" i="13" s="1"/>
  <c r="AF117" i="13" s="1"/>
  <c r="Z118" i="13"/>
  <c r="AA118" i="13" s="1"/>
  <c r="AF118" i="13" s="1"/>
  <c r="Z119" i="13"/>
  <c r="AA119" i="13" s="1"/>
  <c r="AF119" i="13" s="1"/>
  <c r="Z120" i="13"/>
  <c r="AA120" i="13" s="1"/>
  <c r="AF120" i="13" s="1"/>
  <c r="Z121" i="13"/>
  <c r="AA121" i="13" s="1"/>
  <c r="AF121" i="13" s="1"/>
  <c r="Z122" i="13"/>
  <c r="AA122" i="13" s="1"/>
  <c r="AF122" i="13" s="1"/>
  <c r="Z123" i="13"/>
  <c r="AA123" i="13" s="1"/>
  <c r="AF123" i="13" s="1"/>
  <c r="Z124" i="13"/>
  <c r="AA124" i="13" s="1"/>
  <c r="AF124" i="13" s="1"/>
  <c r="Z125" i="13"/>
  <c r="AA125" i="13" s="1"/>
  <c r="AF125" i="13" s="1"/>
  <c r="Z126" i="13"/>
  <c r="AA126" i="13" s="1"/>
  <c r="AF126" i="13" s="1"/>
  <c r="Z127" i="13"/>
  <c r="AA127" i="13" s="1"/>
  <c r="AF127" i="13" s="1"/>
  <c r="Z128" i="13"/>
  <c r="AA128" i="13" s="1"/>
  <c r="AF128" i="13" s="1"/>
  <c r="Z129" i="13"/>
  <c r="AA129" i="13" s="1"/>
  <c r="AF129" i="13" s="1"/>
  <c r="Z130" i="13"/>
  <c r="AA130" i="13" s="1"/>
  <c r="AF130" i="13" s="1"/>
  <c r="Z131" i="13"/>
  <c r="AA131" i="13" s="1"/>
  <c r="AF131" i="13" s="1"/>
  <c r="Z132" i="13"/>
  <c r="AA132" i="13" s="1"/>
  <c r="AF132" i="13" s="1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Z178" i="13"/>
  <c r="Z179" i="13"/>
  <c r="Z180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Z193" i="13"/>
  <c r="Z194" i="13"/>
  <c r="Z195" i="13"/>
  <c r="Z196" i="13"/>
  <c r="Z197" i="13"/>
  <c r="Z198" i="13"/>
  <c r="Z199" i="13"/>
  <c r="Z200" i="13"/>
  <c r="Z201" i="13"/>
  <c r="Z202" i="13"/>
  <c r="Z203" i="13"/>
  <c r="Z204" i="13"/>
  <c r="Z205" i="13"/>
  <c r="Z206" i="13"/>
  <c r="Z207" i="13"/>
  <c r="Z208" i="13"/>
  <c r="Z209" i="13"/>
  <c r="Z210" i="13"/>
  <c r="Z211" i="13"/>
  <c r="Z212" i="13"/>
  <c r="Z213" i="13"/>
  <c r="Z214" i="13"/>
  <c r="Z215" i="13"/>
  <c r="Z216" i="13"/>
  <c r="Z217" i="13"/>
  <c r="Z218" i="13"/>
  <c r="Z219" i="13"/>
  <c r="Z220" i="13"/>
  <c r="Z221" i="13"/>
  <c r="Z222" i="13"/>
  <c r="Z223" i="13"/>
  <c r="Z224" i="13"/>
  <c r="Z225" i="13"/>
  <c r="Z226" i="13"/>
  <c r="Z227" i="13"/>
  <c r="Z228" i="13"/>
  <c r="Z229" i="13"/>
  <c r="Z230" i="13"/>
  <c r="Z231" i="13"/>
  <c r="Z232" i="13"/>
  <c r="Z233" i="13"/>
  <c r="Z234" i="13"/>
  <c r="Z235" i="13"/>
  <c r="Z236" i="13"/>
  <c r="Z237" i="13"/>
  <c r="Z238" i="13"/>
  <c r="Z239" i="13"/>
  <c r="Z240" i="13"/>
  <c r="Z241" i="13"/>
  <c r="Z242" i="13"/>
  <c r="Z243" i="13"/>
  <c r="Z244" i="13"/>
  <c r="Z245" i="13"/>
  <c r="Z246" i="13"/>
  <c r="Z247" i="13"/>
  <c r="Z248" i="13"/>
  <c r="Z249" i="13"/>
  <c r="Z250" i="13"/>
  <c r="Z251" i="13"/>
  <c r="Z252" i="13"/>
  <c r="Z253" i="13"/>
  <c r="Z254" i="13"/>
  <c r="Z255" i="13"/>
  <c r="Z256" i="13"/>
  <c r="Z257" i="13"/>
  <c r="Z258" i="13"/>
  <c r="Z259" i="13"/>
  <c r="Z260" i="13"/>
  <c r="Z261" i="13"/>
  <c r="Z262" i="13"/>
  <c r="Z263" i="13"/>
  <c r="Z264" i="13"/>
  <c r="Z265" i="13"/>
  <c r="Z266" i="13"/>
  <c r="Z267" i="13"/>
  <c r="Z268" i="13"/>
  <c r="Z269" i="13"/>
  <c r="Z270" i="13"/>
  <c r="Z271" i="13"/>
  <c r="Z272" i="13"/>
  <c r="Z273" i="13"/>
  <c r="Z274" i="13"/>
  <c r="Z275" i="13"/>
  <c r="Z276" i="13"/>
  <c r="Z277" i="13"/>
  <c r="Z278" i="13"/>
  <c r="Z279" i="13"/>
  <c r="Z280" i="13"/>
  <c r="Z281" i="13"/>
  <c r="Z282" i="13"/>
  <c r="Z283" i="13"/>
  <c r="Z284" i="13"/>
  <c r="Z285" i="13"/>
  <c r="Z286" i="13"/>
  <c r="Z287" i="13"/>
  <c r="Z288" i="13"/>
  <c r="Z289" i="13"/>
  <c r="Z290" i="13"/>
  <c r="Z291" i="13"/>
  <c r="Z292" i="13"/>
  <c r="Z293" i="13"/>
  <c r="Z294" i="13"/>
  <c r="Z295" i="13"/>
  <c r="Z296" i="13"/>
  <c r="Z297" i="13"/>
  <c r="Z298" i="13"/>
  <c r="Z299" i="13"/>
  <c r="Z300" i="13"/>
  <c r="Z301" i="13"/>
  <c r="Z302" i="13"/>
  <c r="Z303" i="13"/>
  <c r="Z304" i="13"/>
  <c r="Z305" i="13"/>
  <c r="Z306" i="13"/>
  <c r="Z307" i="13"/>
  <c r="Z308" i="13"/>
  <c r="Z309" i="13"/>
  <c r="Z310" i="13"/>
  <c r="Z311" i="13"/>
  <c r="Z312" i="13"/>
  <c r="Z313" i="13"/>
  <c r="Z314" i="13"/>
  <c r="Z315" i="13"/>
  <c r="Z316" i="13"/>
  <c r="Z317" i="13"/>
  <c r="Z318" i="13"/>
  <c r="Z319" i="13"/>
  <c r="Z320" i="13"/>
  <c r="Z321" i="13"/>
  <c r="Z322" i="13"/>
  <c r="Z323" i="13"/>
  <c r="Z324" i="13"/>
  <c r="Z325" i="13"/>
  <c r="Z326" i="13"/>
  <c r="Z327" i="13"/>
  <c r="Z328" i="13"/>
  <c r="Z329" i="13"/>
  <c r="Z330" i="13"/>
  <c r="Z331" i="13"/>
  <c r="Z332" i="13"/>
  <c r="Z333" i="13"/>
  <c r="Z334" i="13"/>
  <c r="Z335" i="13"/>
  <c r="Z336" i="13"/>
  <c r="Z337" i="13"/>
  <c r="Z338" i="13"/>
  <c r="Z339" i="13"/>
  <c r="Z340" i="13"/>
  <c r="Z341" i="13"/>
  <c r="Z342" i="13"/>
  <c r="Z343" i="13"/>
  <c r="Z344" i="13"/>
  <c r="Z345" i="13"/>
  <c r="Z346" i="13"/>
  <c r="Z347" i="13"/>
  <c r="Z348" i="13"/>
  <c r="Z349" i="13"/>
  <c r="Z350" i="13"/>
  <c r="Z351" i="13"/>
  <c r="Z352" i="13"/>
  <c r="Z353" i="13"/>
  <c r="Z354" i="13"/>
  <c r="Z355" i="13"/>
  <c r="Z356" i="13"/>
  <c r="Z357" i="13"/>
  <c r="Z358" i="13"/>
  <c r="Z359" i="13"/>
  <c r="Z360" i="13"/>
  <c r="Z361" i="13"/>
  <c r="Z362" i="13"/>
  <c r="Z363" i="13"/>
  <c r="Z364" i="13"/>
  <c r="Z5" i="13"/>
  <c r="AA5" i="13" s="1"/>
  <c r="AF5" i="13" s="1"/>
  <c r="Y5" i="13"/>
  <c r="G1807" i="4"/>
  <c r="CN364" i="13"/>
  <c r="F1807" i="4" s="1"/>
  <c r="CM364" i="13"/>
  <c r="CK364" i="13"/>
  <c r="CJ364" i="13"/>
  <c r="CH364" i="13"/>
  <c r="CF364" i="13"/>
  <c r="CD364" i="13"/>
  <c r="CC364" i="13"/>
  <c r="CB364" i="13"/>
  <c r="CA364" i="13"/>
  <c r="G1806" i="4"/>
  <c r="CN363" i="13"/>
  <c r="F1806" i="4" s="1"/>
  <c r="CM363" i="13"/>
  <c r="CK363" i="13"/>
  <c r="CJ363" i="13"/>
  <c r="CH363" i="13"/>
  <c r="CF363" i="13"/>
  <c r="CD363" i="13"/>
  <c r="CC363" i="13"/>
  <c r="CB363" i="13"/>
  <c r="CA363" i="13"/>
  <c r="G1805" i="4"/>
  <c r="CN362" i="13"/>
  <c r="F1805" i="4" s="1"/>
  <c r="CM362" i="13"/>
  <c r="CK362" i="13"/>
  <c r="CJ362" i="13"/>
  <c r="CH362" i="13"/>
  <c r="CF362" i="13"/>
  <c r="CD362" i="13"/>
  <c r="CC362" i="13"/>
  <c r="CB362" i="13"/>
  <c r="CA362" i="13"/>
  <c r="G1804" i="4"/>
  <c r="CN361" i="13"/>
  <c r="F1804" i="4" s="1"/>
  <c r="CM361" i="13"/>
  <c r="CK361" i="13"/>
  <c r="CJ361" i="13"/>
  <c r="CH361" i="13"/>
  <c r="CF361" i="13"/>
  <c r="CD361" i="13"/>
  <c r="CC361" i="13"/>
  <c r="CB361" i="13"/>
  <c r="CA361" i="13"/>
  <c r="G1803" i="4"/>
  <c r="CN360" i="13"/>
  <c r="F1803" i="4" s="1"/>
  <c r="CM360" i="13"/>
  <c r="CK360" i="13"/>
  <c r="CJ360" i="13"/>
  <c r="CH360" i="13"/>
  <c r="CF360" i="13"/>
  <c r="CD360" i="13"/>
  <c r="CC360" i="13"/>
  <c r="CB360" i="13"/>
  <c r="CA360" i="13"/>
  <c r="G1802" i="4"/>
  <c r="CN359" i="13"/>
  <c r="F1802" i="4" s="1"/>
  <c r="CM359" i="13"/>
  <c r="CK359" i="13"/>
  <c r="CJ359" i="13"/>
  <c r="CH359" i="13"/>
  <c r="CF359" i="13"/>
  <c r="CD359" i="13"/>
  <c r="CC359" i="13"/>
  <c r="CB359" i="13"/>
  <c r="CA359" i="13"/>
  <c r="G1801" i="4"/>
  <c r="CN358" i="13"/>
  <c r="F1801" i="4" s="1"/>
  <c r="CM358" i="13"/>
  <c r="CK358" i="13"/>
  <c r="CJ358" i="13"/>
  <c r="CH358" i="13"/>
  <c r="CF358" i="13"/>
  <c r="CD358" i="13"/>
  <c r="CC358" i="13"/>
  <c r="CB358" i="13"/>
  <c r="CA358" i="13"/>
  <c r="G1800" i="4"/>
  <c r="CN357" i="13"/>
  <c r="F1800" i="4" s="1"/>
  <c r="CM357" i="13"/>
  <c r="CK357" i="13"/>
  <c r="CJ357" i="13"/>
  <c r="CH357" i="13"/>
  <c r="CF357" i="13"/>
  <c r="CD357" i="13"/>
  <c r="CC357" i="13"/>
  <c r="CB357" i="13"/>
  <c r="CA357" i="13"/>
  <c r="G1799" i="4"/>
  <c r="CN356" i="13"/>
  <c r="F1799" i="4" s="1"/>
  <c r="CM356" i="13"/>
  <c r="CK356" i="13"/>
  <c r="CJ356" i="13"/>
  <c r="CH356" i="13"/>
  <c r="CF356" i="13"/>
  <c r="CD356" i="13"/>
  <c r="CC356" i="13"/>
  <c r="CB356" i="13"/>
  <c r="CA356" i="13"/>
  <c r="G1798" i="4"/>
  <c r="CN355" i="13"/>
  <c r="F1798" i="4" s="1"/>
  <c r="CM355" i="13"/>
  <c r="CK355" i="13"/>
  <c r="CJ355" i="13"/>
  <c r="CH355" i="13"/>
  <c r="CF355" i="13"/>
  <c r="CD355" i="13"/>
  <c r="CC355" i="13"/>
  <c r="CB355" i="13"/>
  <c r="CA355" i="13"/>
  <c r="G1797" i="4"/>
  <c r="CN354" i="13"/>
  <c r="F1797" i="4" s="1"/>
  <c r="CM354" i="13"/>
  <c r="CK354" i="13"/>
  <c r="CJ354" i="13"/>
  <c r="CH354" i="13"/>
  <c r="CF354" i="13"/>
  <c r="CD354" i="13"/>
  <c r="CC354" i="13"/>
  <c r="CB354" i="13"/>
  <c r="CA354" i="13"/>
  <c r="G1796" i="4"/>
  <c r="CN353" i="13"/>
  <c r="F1796" i="4" s="1"/>
  <c r="CM353" i="13"/>
  <c r="CK353" i="13"/>
  <c r="CJ353" i="13"/>
  <c r="CH353" i="13"/>
  <c r="CF353" i="13"/>
  <c r="CD353" i="13"/>
  <c r="CC353" i="13"/>
  <c r="CB353" i="13"/>
  <c r="CA353" i="13"/>
  <c r="G1795" i="4"/>
  <c r="CN352" i="13"/>
  <c r="F1795" i="4" s="1"/>
  <c r="CM352" i="13"/>
  <c r="CK352" i="13"/>
  <c r="CJ352" i="13"/>
  <c r="CH352" i="13"/>
  <c r="CF352" i="13"/>
  <c r="CD352" i="13"/>
  <c r="CC352" i="13"/>
  <c r="CB352" i="13"/>
  <c r="CA352" i="13"/>
  <c r="G1794" i="4"/>
  <c r="CN351" i="13"/>
  <c r="F1794" i="4" s="1"/>
  <c r="CM351" i="13"/>
  <c r="CK351" i="13"/>
  <c r="CJ351" i="13"/>
  <c r="CH351" i="13"/>
  <c r="CF351" i="13"/>
  <c r="CD351" i="13"/>
  <c r="CC351" i="13"/>
  <c r="CB351" i="13"/>
  <c r="CA351" i="13"/>
  <c r="G1793" i="4"/>
  <c r="CN350" i="13"/>
  <c r="F1793" i="4" s="1"/>
  <c r="CM350" i="13"/>
  <c r="CK350" i="13"/>
  <c r="CJ350" i="13"/>
  <c r="CH350" i="13"/>
  <c r="CF350" i="13"/>
  <c r="CD350" i="13"/>
  <c r="CC350" i="13"/>
  <c r="CB350" i="13"/>
  <c r="CA350" i="13"/>
  <c r="G1792" i="4"/>
  <c r="CN349" i="13"/>
  <c r="F1792" i="4" s="1"/>
  <c r="CM349" i="13"/>
  <c r="CK349" i="13"/>
  <c r="CJ349" i="13"/>
  <c r="CH349" i="13"/>
  <c r="CF349" i="13"/>
  <c r="CD349" i="13"/>
  <c r="CC349" i="13"/>
  <c r="CB349" i="13"/>
  <c r="CA349" i="13"/>
  <c r="G1791" i="4"/>
  <c r="CN348" i="13"/>
  <c r="F1791" i="4" s="1"/>
  <c r="CM348" i="13"/>
  <c r="CK348" i="13"/>
  <c r="CJ348" i="13"/>
  <c r="CH348" i="13"/>
  <c r="CF348" i="13"/>
  <c r="CD348" i="13"/>
  <c r="CC348" i="13"/>
  <c r="CB348" i="13"/>
  <c r="CA348" i="13"/>
  <c r="G1790" i="4"/>
  <c r="CN347" i="13"/>
  <c r="F1790" i="4" s="1"/>
  <c r="CM347" i="13"/>
  <c r="CK347" i="13"/>
  <c r="CJ347" i="13"/>
  <c r="CH347" i="13"/>
  <c r="CF347" i="13"/>
  <c r="CD347" i="13"/>
  <c r="CC347" i="13"/>
  <c r="CB347" i="13"/>
  <c r="CA347" i="13"/>
  <c r="G1789" i="4"/>
  <c r="CN346" i="13"/>
  <c r="F1789" i="4" s="1"/>
  <c r="CM346" i="13"/>
  <c r="CK346" i="13"/>
  <c r="CJ346" i="13"/>
  <c r="CH346" i="13"/>
  <c r="CF346" i="13"/>
  <c r="CD346" i="13"/>
  <c r="CC346" i="13"/>
  <c r="CB346" i="13"/>
  <c r="CA346" i="13"/>
  <c r="G1788" i="4"/>
  <c r="CN345" i="13"/>
  <c r="F1788" i="4" s="1"/>
  <c r="CM345" i="13"/>
  <c r="CK345" i="13"/>
  <c r="CJ345" i="13"/>
  <c r="CH345" i="13"/>
  <c r="CF345" i="13"/>
  <c r="CD345" i="13"/>
  <c r="CC345" i="13"/>
  <c r="CB345" i="13"/>
  <c r="CA345" i="13"/>
  <c r="G1787" i="4"/>
  <c r="CN344" i="13"/>
  <c r="F1787" i="4" s="1"/>
  <c r="CM344" i="13"/>
  <c r="CK344" i="13"/>
  <c r="CJ344" i="13"/>
  <c r="CH344" i="13"/>
  <c r="CF344" i="13"/>
  <c r="CD344" i="13"/>
  <c r="CC344" i="13"/>
  <c r="CB344" i="13"/>
  <c r="CA344" i="13"/>
  <c r="G1786" i="4"/>
  <c r="CN343" i="13"/>
  <c r="F1786" i="4" s="1"/>
  <c r="CM343" i="13"/>
  <c r="CK343" i="13"/>
  <c r="CJ343" i="13"/>
  <c r="CH343" i="13"/>
  <c r="CF343" i="13"/>
  <c r="CD343" i="13"/>
  <c r="CC343" i="13"/>
  <c r="CB343" i="13"/>
  <c r="CA343" i="13"/>
  <c r="G1785" i="4"/>
  <c r="CN342" i="13"/>
  <c r="F1785" i="4" s="1"/>
  <c r="CM342" i="13"/>
  <c r="CK342" i="13"/>
  <c r="CJ342" i="13"/>
  <c r="CH342" i="13"/>
  <c r="CF342" i="13"/>
  <c r="CD342" i="13"/>
  <c r="CC342" i="13"/>
  <c r="CB342" i="13"/>
  <c r="CA342" i="13"/>
  <c r="G1784" i="4"/>
  <c r="CN341" i="13"/>
  <c r="F1784" i="4" s="1"/>
  <c r="CM341" i="13"/>
  <c r="CK341" i="13"/>
  <c r="CJ341" i="13"/>
  <c r="CH341" i="13"/>
  <c r="CF341" i="13"/>
  <c r="CD341" i="13"/>
  <c r="CC341" i="13"/>
  <c r="CB341" i="13"/>
  <c r="CA341" i="13"/>
  <c r="G1783" i="4"/>
  <c r="CN340" i="13"/>
  <c r="F1783" i="4" s="1"/>
  <c r="CM340" i="13"/>
  <c r="CK340" i="13"/>
  <c r="CJ340" i="13"/>
  <c r="CH340" i="13"/>
  <c r="CF340" i="13"/>
  <c r="CD340" i="13"/>
  <c r="CC340" i="13"/>
  <c r="CB340" i="13"/>
  <c r="CA340" i="13"/>
  <c r="G1782" i="4"/>
  <c r="CN339" i="13"/>
  <c r="F1782" i="4" s="1"/>
  <c r="CM339" i="13"/>
  <c r="CK339" i="13"/>
  <c r="CJ339" i="13"/>
  <c r="CH339" i="13"/>
  <c r="CF339" i="13"/>
  <c r="CD339" i="13"/>
  <c r="CC339" i="13"/>
  <c r="CB339" i="13"/>
  <c r="CA339" i="13"/>
  <c r="G1781" i="4"/>
  <c r="CN338" i="13"/>
  <c r="F1781" i="4" s="1"/>
  <c r="CM338" i="13"/>
  <c r="CK338" i="13"/>
  <c r="CJ338" i="13"/>
  <c r="CH338" i="13"/>
  <c r="CF338" i="13"/>
  <c r="CD338" i="13"/>
  <c r="CC338" i="13"/>
  <c r="CB338" i="13"/>
  <c r="CA338" i="13"/>
  <c r="G1780" i="4"/>
  <c r="CN337" i="13"/>
  <c r="F1780" i="4" s="1"/>
  <c r="CM337" i="13"/>
  <c r="CK337" i="13"/>
  <c r="CJ337" i="13"/>
  <c r="CH337" i="13"/>
  <c r="CF337" i="13"/>
  <c r="CD337" i="13"/>
  <c r="CC337" i="13"/>
  <c r="CB337" i="13"/>
  <c r="CA337" i="13"/>
  <c r="G1779" i="4"/>
  <c r="CN336" i="13"/>
  <c r="F1779" i="4" s="1"/>
  <c r="CM336" i="13"/>
  <c r="CK336" i="13"/>
  <c r="CJ336" i="13"/>
  <c r="CH336" i="13"/>
  <c r="CF336" i="13"/>
  <c r="CD336" i="13"/>
  <c r="CC336" i="13"/>
  <c r="CB336" i="13"/>
  <c r="CA336" i="13"/>
  <c r="G1778" i="4"/>
  <c r="CN335" i="13"/>
  <c r="F1778" i="4" s="1"/>
  <c r="CM335" i="13"/>
  <c r="CK335" i="13"/>
  <c r="CJ335" i="13"/>
  <c r="CH335" i="13"/>
  <c r="CF335" i="13"/>
  <c r="CD335" i="13"/>
  <c r="CC335" i="13"/>
  <c r="CB335" i="13"/>
  <c r="CA335" i="13"/>
  <c r="G1777" i="4"/>
  <c r="CN334" i="13"/>
  <c r="F1777" i="4" s="1"/>
  <c r="CM334" i="13"/>
  <c r="CK334" i="13"/>
  <c r="CJ334" i="13"/>
  <c r="CH334" i="13"/>
  <c r="CF334" i="13"/>
  <c r="CD334" i="13"/>
  <c r="CC334" i="13"/>
  <c r="CB334" i="13"/>
  <c r="CA334" i="13"/>
  <c r="G1776" i="4"/>
  <c r="CN333" i="13"/>
  <c r="F1776" i="4" s="1"/>
  <c r="CM333" i="13"/>
  <c r="CK333" i="13"/>
  <c r="CJ333" i="13"/>
  <c r="CH333" i="13"/>
  <c r="CF333" i="13"/>
  <c r="CD333" i="13"/>
  <c r="CC333" i="13"/>
  <c r="CB333" i="13"/>
  <c r="CA333" i="13"/>
  <c r="G1775" i="4"/>
  <c r="CN332" i="13"/>
  <c r="F1775" i="4" s="1"/>
  <c r="CM332" i="13"/>
  <c r="CK332" i="13"/>
  <c r="CJ332" i="13"/>
  <c r="CH332" i="13"/>
  <c r="CF332" i="13"/>
  <c r="CD332" i="13"/>
  <c r="CC332" i="13"/>
  <c r="CB332" i="13"/>
  <c r="CA332" i="13"/>
  <c r="G1774" i="4"/>
  <c r="CN331" i="13"/>
  <c r="F1774" i="4" s="1"/>
  <c r="CM331" i="13"/>
  <c r="CK331" i="13"/>
  <c r="CJ331" i="13"/>
  <c r="CH331" i="13"/>
  <c r="CF331" i="13"/>
  <c r="CD331" i="13"/>
  <c r="CC331" i="13"/>
  <c r="CB331" i="13"/>
  <c r="CA331" i="13"/>
  <c r="G1773" i="4"/>
  <c r="CN330" i="13"/>
  <c r="F1773" i="4" s="1"/>
  <c r="CM330" i="13"/>
  <c r="CK330" i="13"/>
  <c r="CJ330" i="13"/>
  <c r="CH330" i="13"/>
  <c r="CF330" i="13"/>
  <c r="CD330" i="13"/>
  <c r="CC330" i="13"/>
  <c r="CB330" i="13"/>
  <c r="CA330" i="13"/>
  <c r="G1772" i="4"/>
  <c r="CN329" i="13"/>
  <c r="F1772" i="4" s="1"/>
  <c r="CM329" i="13"/>
  <c r="CK329" i="13"/>
  <c r="CJ329" i="13"/>
  <c r="CH329" i="13"/>
  <c r="CF329" i="13"/>
  <c r="CD329" i="13"/>
  <c r="CC329" i="13"/>
  <c r="CB329" i="13"/>
  <c r="CA329" i="13"/>
  <c r="G1771" i="4"/>
  <c r="CN328" i="13"/>
  <c r="F1771" i="4" s="1"/>
  <c r="CM328" i="13"/>
  <c r="CK328" i="13"/>
  <c r="CJ328" i="13"/>
  <c r="CH328" i="13"/>
  <c r="CF328" i="13"/>
  <c r="CD328" i="13"/>
  <c r="CC328" i="13"/>
  <c r="CB328" i="13"/>
  <c r="CA328" i="13"/>
  <c r="G1770" i="4"/>
  <c r="CN327" i="13"/>
  <c r="F1770" i="4" s="1"/>
  <c r="CM327" i="13"/>
  <c r="CK327" i="13"/>
  <c r="CJ327" i="13"/>
  <c r="CH327" i="13"/>
  <c r="CF327" i="13"/>
  <c r="CD327" i="13"/>
  <c r="CC327" i="13"/>
  <c r="CB327" i="13"/>
  <c r="CA327" i="13"/>
  <c r="G1769" i="4"/>
  <c r="CN326" i="13"/>
  <c r="F1769" i="4" s="1"/>
  <c r="CM326" i="13"/>
  <c r="CK326" i="13"/>
  <c r="CJ326" i="13"/>
  <c r="CH326" i="13"/>
  <c r="CF326" i="13"/>
  <c r="CD326" i="13"/>
  <c r="CC326" i="13"/>
  <c r="CB326" i="13"/>
  <c r="CA326" i="13"/>
  <c r="G1768" i="4"/>
  <c r="CN325" i="13"/>
  <c r="F1768" i="4" s="1"/>
  <c r="CM325" i="13"/>
  <c r="CK325" i="13"/>
  <c r="CJ325" i="13"/>
  <c r="CH325" i="13"/>
  <c r="CF325" i="13"/>
  <c r="CD325" i="13"/>
  <c r="CC325" i="13"/>
  <c r="CB325" i="13"/>
  <c r="CA325" i="13"/>
  <c r="G1767" i="4"/>
  <c r="CN324" i="13"/>
  <c r="F1767" i="4" s="1"/>
  <c r="CM324" i="13"/>
  <c r="CK324" i="13"/>
  <c r="CJ324" i="13"/>
  <c r="CH324" i="13"/>
  <c r="CF324" i="13"/>
  <c r="CD324" i="13"/>
  <c r="CC324" i="13"/>
  <c r="CB324" i="13"/>
  <c r="CA324" i="13"/>
  <c r="G1766" i="4"/>
  <c r="CN323" i="13"/>
  <c r="F1766" i="4" s="1"/>
  <c r="CM323" i="13"/>
  <c r="CK323" i="13"/>
  <c r="CJ323" i="13"/>
  <c r="CH323" i="13"/>
  <c r="CF323" i="13"/>
  <c r="CD323" i="13"/>
  <c r="CC323" i="13"/>
  <c r="CB323" i="13"/>
  <c r="CA323" i="13"/>
  <c r="G1765" i="4"/>
  <c r="CN322" i="13"/>
  <c r="F1765" i="4" s="1"/>
  <c r="CM322" i="13"/>
  <c r="CK322" i="13"/>
  <c r="CJ322" i="13"/>
  <c r="CH322" i="13"/>
  <c r="CF322" i="13"/>
  <c r="CD322" i="13"/>
  <c r="CC322" i="13"/>
  <c r="CB322" i="13"/>
  <c r="CA322" i="13"/>
  <c r="G1764" i="4"/>
  <c r="CN321" i="13"/>
  <c r="F1764" i="4" s="1"/>
  <c r="CM321" i="13"/>
  <c r="CK321" i="13"/>
  <c r="CJ321" i="13"/>
  <c r="CH321" i="13"/>
  <c r="CF321" i="13"/>
  <c r="CD321" i="13"/>
  <c r="CC321" i="13"/>
  <c r="CB321" i="13"/>
  <c r="CA321" i="13"/>
  <c r="G1763" i="4"/>
  <c r="CN320" i="13"/>
  <c r="F1763" i="4" s="1"/>
  <c r="CM320" i="13"/>
  <c r="CK320" i="13"/>
  <c r="CJ320" i="13"/>
  <c r="CH320" i="13"/>
  <c r="CF320" i="13"/>
  <c r="CD320" i="13"/>
  <c r="CC320" i="13"/>
  <c r="CB320" i="13"/>
  <c r="CA320" i="13"/>
  <c r="G1762" i="4"/>
  <c r="CN319" i="13"/>
  <c r="F1762" i="4" s="1"/>
  <c r="CM319" i="13"/>
  <c r="CK319" i="13"/>
  <c r="CJ319" i="13"/>
  <c r="CH319" i="13"/>
  <c r="CF319" i="13"/>
  <c r="CD319" i="13"/>
  <c r="CC319" i="13"/>
  <c r="CB319" i="13"/>
  <c r="CA319" i="13"/>
  <c r="G1761" i="4"/>
  <c r="CN318" i="13"/>
  <c r="F1761" i="4" s="1"/>
  <c r="CM318" i="13"/>
  <c r="CK318" i="13"/>
  <c r="CJ318" i="13"/>
  <c r="CH318" i="13"/>
  <c r="CF318" i="13"/>
  <c r="CD318" i="13"/>
  <c r="CC318" i="13"/>
  <c r="CB318" i="13"/>
  <c r="CA318" i="13"/>
  <c r="G1760" i="4"/>
  <c r="CN317" i="13"/>
  <c r="F1760" i="4" s="1"/>
  <c r="CM317" i="13"/>
  <c r="CK317" i="13"/>
  <c r="CJ317" i="13"/>
  <c r="CH317" i="13"/>
  <c r="CF317" i="13"/>
  <c r="CD317" i="13"/>
  <c r="CC317" i="13"/>
  <c r="CB317" i="13"/>
  <c r="CA317" i="13"/>
  <c r="G1759" i="4"/>
  <c r="CN316" i="13"/>
  <c r="F1759" i="4" s="1"/>
  <c r="CM316" i="13"/>
  <c r="CK316" i="13"/>
  <c r="CJ316" i="13"/>
  <c r="CH316" i="13"/>
  <c r="CF316" i="13"/>
  <c r="CD316" i="13"/>
  <c r="CC316" i="13"/>
  <c r="CB316" i="13"/>
  <c r="CA316" i="13"/>
  <c r="G1758" i="4"/>
  <c r="CN315" i="13"/>
  <c r="F1758" i="4" s="1"/>
  <c r="CM315" i="13"/>
  <c r="CK315" i="13"/>
  <c r="CJ315" i="13"/>
  <c r="CH315" i="13"/>
  <c r="CF315" i="13"/>
  <c r="CD315" i="13"/>
  <c r="CC315" i="13"/>
  <c r="CB315" i="13"/>
  <c r="CA315" i="13"/>
  <c r="G1757" i="4"/>
  <c r="CN314" i="13"/>
  <c r="F1757" i="4" s="1"/>
  <c r="CM314" i="13"/>
  <c r="CK314" i="13"/>
  <c r="CJ314" i="13"/>
  <c r="CH314" i="13"/>
  <c r="CF314" i="13"/>
  <c r="CD314" i="13"/>
  <c r="CC314" i="13"/>
  <c r="CB314" i="13"/>
  <c r="CA314" i="13"/>
  <c r="G1756" i="4"/>
  <c r="CN313" i="13"/>
  <c r="F1756" i="4" s="1"/>
  <c r="CM313" i="13"/>
  <c r="CK313" i="13"/>
  <c r="CJ313" i="13"/>
  <c r="CH313" i="13"/>
  <c r="CF313" i="13"/>
  <c r="CD313" i="13"/>
  <c r="CC313" i="13"/>
  <c r="CB313" i="13"/>
  <c r="CA313" i="13"/>
  <c r="G1755" i="4"/>
  <c r="CN312" i="13"/>
  <c r="F1755" i="4" s="1"/>
  <c r="CM312" i="13"/>
  <c r="CK312" i="13"/>
  <c r="CJ312" i="13"/>
  <c r="CH312" i="13"/>
  <c r="CF312" i="13"/>
  <c r="CD312" i="13"/>
  <c r="CC312" i="13"/>
  <c r="CB312" i="13"/>
  <c r="CA312" i="13"/>
  <c r="G1754" i="4"/>
  <c r="CN311" i="13"/>
  <c r="F1754" i="4" s="1"/>
  <c r="CM311" i="13"/>
  <c r="CK311" i="13"/>
  <c r="CJ311" i="13"/>
  <c r="CH311" i="13"/>
  <c r="CF311" i="13"/>
  <c r="CD311" i="13"/>
  <c r="CC311" i="13"/>
  <c r="CB311" i="13"/>
  <c r="CA311" i="13"/>
  <c r="G1753" i="4"/>
  <c r="CN310" i="13"/>
  <c r="F1753" i="4" s="1"/>
  <c r="CM310" i="13"/>
  <c r="CK310" i="13"/>
  <c r="CJ310" i="13"/>
  <c r="CH310" i="13"/>
  <c r="CF310" i="13"/>
  <c r="CD310" i="13"/>
  <c r="CC310" i="13"/>
  <c r="CB310" i="13"/>
  <c r="CA310" i="13"/>
  <c r="G1752" i="4"/>
  <c r="CN309" i="13"/>
  <c r="F1752" i="4" s="1"/>
  <c r="CM309" i="13"/>
  <c r="CK309" i="13"/>
  <c r="CJ309" i="13"/>
  <c r="CH309" i="13"/>
  <c r="CF309" i="13"/>
  <c r="CD309" i="13"/>
  <c r="CC309" i="13"/>
  <c r="CB309" i="13"/>
  <c r="CA309" i="13"/>
  <c r="G1751" i="4"/>
  <c r="CN308" i="13"/>
  <c r="F1751" i="4" s="1"/>
  <c r="CM308" i="13"/>
  <c r="CK308" i="13"/>
  <c r="CJ308" i="13"/>
  <c r="CH308" i="13"/>
  <c r="CF308" i="13"/>
  <c r="CD308" i="13"/>
  <c r="CC308" i="13"/>
  <c r="CB308" i="13"/>
  <c r="CA308" i="13"/>
  <c r="G1750" i="4"/>
  <c r="CN307" i="13"/>
  <c r="F1750" i="4" s="1"/>
  <c r="CM307" i="13"/>
  <c r="CK307" i="13"/>
  <c r="CJ307" i="13"/>
  <c r="CH307" i="13"/>
  <c r="CF307" i="13"/>
  <c r="CD307" i="13"/>
  <c r="CC307" i="13"/>
  <c r="CB307" i="13"/>
  <c r="CA307" i="13"/>
  <c r="G1749" i="4"/>
  <c r="CN306" i="13"/>
  <c r="F1749" i="4" s="1"/>
  <c r="CM306" i="13"/>
  <c r="CK306" i="13"/>
  <c r="CJ306" i="13"/>
  <c r="CH306" i="13"/>
  <c r="CF306" i="13"/>
  <c r="CD306" i="13"/>
  <c r="CC306" i="13"/>
  <c r="CB306" i="13"/>
  <c r="CA306" i="13"/>
  <c r="G1748" i="4"/>
  <c r="CN305" i="13"/>
  <c r="F1748" i="4" s="1"/>
  <c r="CM305" i="13"/>
  <c r="CK305" i="13"/>
  <c r="CJ305" i="13"/>
  <c r="CH305" i="13"/>
  <c r="CF305" i="13"/>
  <c r="CD305" i="13"/>
  <c r="CC305" i="13"/>
  <c r="CB305" i="13"/>
  <c r="CA305" i="13"/>
  <c r="G1747" i="4"/>
  <c r="CN304" i="13"/>
  <c r="F1747" i="4" s="1"/>
  <c r="CM304" i="13"/>
  <c r="CK304" i="13"/>
  <c r="CJ304" i="13"/>
  <c r="CH304" i="13"/>
  <c r="CF304" i="13"/>
  <c r="CD304" i="13"/>
  <c r="CC304" i="13"/>
  <c r="CB304" i="13"/>
  <c r="CA304" i="13"/>
  <c r="G1746" i="4"/>
  <c r="CN303" i="13"/>
  <c r="F1746" i="4" s="1"/>
  <c r="CM303" i="13"/>
  <c r="CK303" i="13"/>
  <c r="CJ303" i="13"/>
  <c r="CH303" i="13"/>
  <c r="CF303" i="13"/>
  <c r="CD303" i="13"/>
  <c r="CC303" i="13"/>
  <c r="CB303" i="13"/>
  <c r="CA303" i="13"/>
  <c r="G1745" i="4"/>
  <c r="CN302" i="13"/>
  <c r="F1745" i="4" s="1"/>
  <c r="CM302" i="13"/>
  <c r="CK302" i="13"/>
  <c r="CJ302" i="13"/>
  <c r="CH302" i="13"/>
  <c r="CF302" i="13"/>
  <c r="CD302" i="13"/>
  <c r="CC302" i="13"/>
  <c r="CB302" i="13"/>
  <c r="CA302" i="13"/>
  <c r="G1744" i="4"/>
  <c r="CN301" i="13"/>
  <c r="F1744" i="4" s="1"/>
  <c r="CM301" i="13"/>
  <c r="CK301" i="13"/>
  <c r="CJ301" i="13"/>
  <c r="CH301" i="13"/>
  <c r="CF301" i="13"/>
  <c r="CD301" i="13"/>
  <c r="CC301" i="13"/>
  <c r="CB301" i="13"/>
  <c r="CA301" i="13"/>
  <c r="G1743" i="4"/>
  <c r="CN300" i="13"/>
  <c r="F1743" i="4" s="1"/>
  <c r="CM300" i="13"/>
  <c r="CK300" i="13"/>
  <c r="CJ300" i="13"/>
  <c r="CH300" i="13"/>
  <c r="CF300" i="13"/>
  <c r="CD300" i="13"/>
  <c r="CC300" i="13"/>
  <c r="CB300" i="13"/>
  <c r="CA300" i="13"/>
  <c r="G1742" i="4"/>
  <c r="CN299" i="13"/>
  <c r="F1742" i="4" s="1"/>
  <c r="CM299" i="13"/>
  <c r="CK299" i="13"/>
  <c r="CJ299" i="13"/>
  <c r="CH299" i="13"/>
  <c r="CF299" i="13"/>
  <c r="CD299" i="13"/>
  <c r="CC299" i="13"/>
  <c r="CB299" i="13"/>
  <c r="CA299" i="13"/>
  <c r="G1741" i="4"/>
  <c r="CN298" i="13"/>
  <c r="F1741" i="4" s="1"/>
  <c r="CM298" i="13"/>
  <c r="CK298" i="13"/>
  <c r="CJ298" i="13"/>
  <c r="CH298" i="13"/>
  <c r="CF298" i="13"/>
  <c r="CD298" i="13"/>
  <c r="CC298" i="13"/>
  <c r="CB298" i="13"/>
  <c r="CA298" i="13"/>
  <c r="G1740" i="4"/>
  <c r="CN297" i="13"/>
  <c r="F1740" i="4" s="1"/>
  <c r="CM297" i="13"/>
  <c r="CK297" i="13"/>
  <c r="CJ297" i="13"/>
  <c r="CH297" i="13"/>
  <c r="CF297" i="13"/>
  <c r="CD297" i="13"/>
  <c r="CC297" i="13"/>
  <c r="CB297" i="13"/>
  <c r="CA297" i="13"/>
  <c r="G1739" i="4"/>
  <c r="CN296" i="13"/>
  <c r="F1739" i="4" s="1"/>
  <c r="CM296" i="13"/>
  <c r="CK296" i="13"/>
  <c r="CJ296" i="13"/>
  <c r="CH296" i="13"/>
  <c r="CF296" i="13"/>
  <c r="CD296" i="13"/>
  <c r="CC296" i="13"/>
  <c r="CB296" i="13"/>
  <c r="CA296" i="13"/>
  <c r="G1738" i="4"/>
  <c r="CN295" i="13"/>
  <c r="F1738" i="4" s="1"/>
  <c r="CM295" i="13"/>
  <c r="CK295" i="13"/>
  <c r="CJ295" i="13"/>
  <c r="CH295" i="13"/>
  <c r="CF295" i="13"/>
  <c r="CD295" i="13"/>
  <c r="CC295" i="13"/>
  <c r="CB295" i="13"/>
  <c r="CA295" i="13"/>
  <c r="G1737" i="4"/>
  <c r="CN294" i="13"/>
  <c r="F1737" i="4" s="1"/>
  <c r="CM294" i="13"/>
  <c r="CK294" i="13"/>
  <c r="CJ294" i="13"/>
  <c r="CH294" i="13"/>
  <c r="CF294" i="13"/>
  <c r="CD294" i="13"/>
  <c r="CC294" i="13"/>
  <c r="CB294" i="13"/>
  <c r="CA294" i="13"/>
  <c r="G1736" i="4"/>
  <c r="CN293" i="13"/>
  <c r="F1736" i="4" s="1"/>
  <c r="CM293" i="13"/>
  <c r="CK293" i="13"/>
  <c r="CJ293" i="13"/>
  <c r="CH293" i="13"/>
  <c r="CF293" i="13"/>
  <c r="CD293" i="13"/>
  <c r="CC293" i="13"/>
  <c r="CB293" i="13"/>
  <c r="CA293" i="13"/>
  <c r="G1735" i="4"/>
  <c r="CN292" i="13"/>
  <c r="F1735" i="4" s="1"/>
  <c r="CM292" i="13"/>
  <c r="CK292" i="13"/>
  <c r="CJ292" i="13"/>
  <c r="CH292" i="13"/>
  <c r="CF292" i="13"/>
  <c r="CD292" i="13"/>
  <c r="CC292" i="13"/>
  <c r="CB292" i="13"/>
  <c r="CA292" i="13"/>
  <c r="G1734" i="4"/>
  <c r="CN291" i="13"/>
  <c r="F1734" i="4" s="1"/>
  <c r="CM291" i="13"/>
  <c r="CK291" i="13"/>
  <c r="CJ291" i="13"/>
  <c r="CH291" i="13"/>
  <c r="CF291" i="13"/>
  <c r="CD291" i="13"/>
  <c r="CC291" i="13"/>
  <c r="CB291" i="13"/>
  <c r="CA291" i="13"/>
  <c r="G1733" i="4"/>
  <c r="CN290" i="13"/>
  <c r="F1733" i="4" s="1"/>
  <c r="CM290" i="13"/>
  <c r="CK290" i="13"/>
  <c r="CJ290" i="13"/>
  <c r="CH290" i="13"/>
  <c r="CF290" i="13"/>
  <c r="CD290" i="13"/>
  <c r="CC290" i="13"/>
  <c r="CB290" i="13"/>
  <c r="CA290" i="13"/>
  <c r="G1732" i="4"/>
  <c r="CN289" i="13"/>
  <c r="F1732" i="4" s="1"/>
  <c r="CM289" i="13"/>
  <c r="CK289" i="13"/>
  <c r="CJ289" i="13"/>
  <c r="CH289" i="13"/>
  <c r="CF289" i="13"/>
  <c r="CD289" i="13"/>
  <c r="CC289" i="13"/>
  <c r="CB289" i="13"/>
  <c r="CA289" i="13"/>
  <c r="G1731" i="4"/>
  <c r="CN288" i="13"/>
  <c r="F1731" i="4" s="1"/>
  <c r="CM288" i="13"/>
  <c r="CK288" i="13"/>
  <c r="CJ288" i="13"/>
  <c r="CH288" i="13"/>
  <c r="CF288" i="13"/>
  <c r="CD288" i="13"/>
  <c r="CC288" i="13"/>
  <c r="CB288" i="13"/>
  <c r="CA288" i="13"/>
  <c r="G1730" i="4"/>
  <c r="CN287" i="13"/>
  <c r="F1730" i="4" s="1"/>
  <c r="CM287" i="13"/>
  <c r="CK287" i="13"/>
  <c r="CJ287" i="13"/>
  <c r="CH287" i="13"/>
  <c r="CF287" i="13"/>
  <c r="CD287" i="13"/>
  <c r="CC287" i="13"/>
  <c r="CB287" i="13"/>
  <c r="CA287" i="13"/>
  <c r="G1729" i="4"/>
  <c r="CN286" i="13"/>
  <c r="F1729" i="4" s="1"/>
  <c r="CM286" i="13"/>
  <c r="CK286" i="13"/>
  <c r="CJ286" i="13"/>
  <c r="CH286" i="13"/>
  <c r="CF286" i="13"/>
  <c r="CD286" i="13"/>
  <c r="CC286" i="13"/>
  <c r="CB286" i="13"/>
  <c r="CA286" i="13"/>
  <c r="G1728" i="4"/>
  <c r="CN285" i="13"/>
  <c r="F1728" i="4" s="1"/>
  <c r="CM285" i="13"/>
  <c r="CK285" i="13"/>
  <c r="CJ285" i="13"/>
  <c r="CH285" i="13"/>
  <c r="CF285" i="13"/>
  <c r="CD285" i="13"/>
  <c r="CC285" i="13"/>
  <c r="CB285" i="13"/>
  <c r="CA285" i="13"/>
  <c r="G1727" i="4"/>
  <c r="CN284" i="13"/>
  <c r="F1727" i="4" s="1"/>
  <c r="CM284" i="13"/>
  <c r="CK284" i="13"/>
  <c r="CJ284" i="13"/>
  <c r="CH284" i="13"/>
  <c r="CF284" i="13"/>
  <c r="CD284" i="13"/>
  <c r="CC284" i="13"/>
  <c r="CB284" i="13"/>
  <c r="CA284" i="13"/>
  <c r="G1726" i="4"/>
  <c r="CN283" i="13"/>
  <c r="F1726" i="4" s="1"/>
  <c r="CM283" i="13"/>
  <c r="CK283" i="13"/>
  <c r="CJ283" i="13"/>
  <c r="CH283" i="13"/>
  <c r="CF283" i="13"/>
  <c r="CD283" i="13"/>
  <c r="CC283" i="13"/>
  <c r="CB283" i="13"/>
  <c r="CA283" i="13"/>
  <c r="G1725" i="4"/>
  <c r="CN282" i="13"/>
  <c r="F1725" i="4" s="1"/>
  <c r="CM282" i="13"/>
  <c r="CK282" i="13"/>
  <c r="CJ282" i="13"/>
  <c r="CH282" i="13"/>
  <c r="CF282" i="13"/>
  <c r="CD282" i="13"/>
  <c r="CC282" i="13"/>
  <c r="CB282" i="13"/>
  <c r="CA282" i="13"/>
  <c r="G1724" i="4"/>
  <c r="CN281" i="13"/>
  <c r="F1724" i="4" s="1"/>
  <c r="CM281" i="13"/>
  <c r="CK281" i="13"/>
  <c r="CJ281" i="13"/>
  <c r="CH281" i="13"/>
  <c r="CF281" i="13"/>
  <c r="CD281" i="13"/>
  <c r="CC281" i="13"/>
  <c r="CB281" i="13"/>
  <c r="CA281" i="13"/>
  <c r="G1723" i="4"/>
  <c r="CN280" i="13"/>
  <c r="F1723" i="4" s="1"/>
  <c r="CM280" i="13"/>
  <c r="CK280" i="13"/>
  <c r="CJ280" i="13"/>
  <c r="CH280" i="13"/>
  <c r="CF280" i="13"/>
  <c r="CD280" i="13"/>
  <c r="CC280" i="13"/>
  <c r="CB280" i="13"/>
  <c r="CA280" i="13"/>
  <c r="G1722" i="4"/>
  <c r="CN279" i="13"/>
  <c r="F1722" i="4" s="1"/>
  <c r="CM279" i="13"/>
  <c r="CK279" i="13"/>
  <c r="CJ279" i="13"/>
  <c r="CH279" i="13"/>
  <c r="CF279" i="13"/>
  <c r="CD279" i="13"/>
  <c r="CC279" i="13"/>
  <c r="CB279" i="13"/>
  <c r="CA279" i="13"/>
  <c r="G1721" i="4"/>
  <c r="CN278" i="13"/>
  <c r="F1721" i="4" s="1"/>
  <c r="CM278" i="13"/>
  <c r="CK278" i="13"/>
  <c r="CJ278" i="13"/>
  <c r="CH278" i="13"/>
  <c r="CF278" i="13"/>
  <c r="CD278" i="13"/>
  <c r="CC278" i="13"/>
  <c r="CB278" i="13"/>
  <c r="CA278" i="13"/>
  <c r="G1720" i="4"/>
  <c r="CN277" i="13"/>
  <c r="F1720" i="4" s="1"/>
  <c r="CM277" i="13"/>
  <c r="CK277" i="13"/>
  <c r="CJ277" i="13"/>
  <c r="CH277" i="13"/>
  <c r="CF277" i="13"/>
  <c r="CD277" i="13"/>
  <c r="CC277" i="13"/>
  <c r="CB277" i="13"/>
  <c r="CA277" i="13"/>
  <c r="G1719" i="4"/>
  <c r="CN276" i="13"/>
  <c r="F1719" i="4" s="1"/>
  <c r="CM276" i="13"/>
  <c r="CK276" i="13"/>
  <c r="CJ276" i="13"/>
  <c r="CH276" i="13"/>
  <c r="CF276" i="13"/>
  <c r="CD276" i="13"/>
  <c r="CC276" i="13"/>
  <c r="CB276" i="13"/>
  <c r="CA276" i="13"/>
  <c r="G1718" i="4"/>
  <c r="CN275" i="13"/>
  <c r="F1718" i="4" s="1"/>
  <c r="CM275" i="13"/>
  <c r="CK275" i="13"/>
  <c r="CJ275" i="13"/>
  <c r="CH275" i="13"/>
  <c r="CF275" i="13"/>
  <c r="CD275" i="13"/>
  <c r="CC275" i="13"/>
  <c r="CB275" i="13"/>
  <c r="CA275" i="13"/>
  <c r="G1717" i="4"/>
  <c r="CN274" i="13"/>
  <c r="F1717" i="4" s="1"/>
  <c r="CM274" i="13"/>
  <c r="CK274" i="13"/>
  <c r="CJ274" i="13"/>
  <c r="CH274" i="13"/>
  <c r="CF274" i="13"/>
  <c r="CD274" i="13"/>
  <c r="CC274" i="13"/>
  <c r="CB274" i="13"/>
  <c r="CA274" i="13"/>
  <c r="G1716" i="4"/>
  <c r="CN273" i="13"/>
  <c r="F1716" i="4" s="1"/>
  <c r="CM273" i="13"/>
  <c r="CK273" i="13"/>
  <c r="CJ273" i="13"/>
  <c r="CH273" i="13"/>
  <c r="CF273" i="13"/>
  <c r="CD273" i="13"/>
  <c r="CC273" i="13"/>
  <c r="CB273" i="13"/>
  <c r="CA273" i="13"/>
  <c r="G1715" i="4"/>
  <c r="CN272" i="13"/>
  <c r="F1715" i="4" s="1"/>
  <c r="CM272" i="13"/>
  <c r="CK272" i="13"/>
  <c r="CJ272" i="13"/>
  <c r="CH272" i="13"/>
  <c r="CF272" i="13"/>
  <c r="CD272" i="13"/>
  <c r="CC272" i="13"/>
  <c r="CB272" i="13"/>
  <c r="CA272" i="13"/>
  <c r="G1714" i="4"/>
  <c r="CN271" i="13"/>
  <c r="F1714" i="4" s="1"/>
  <c r="CM271" i="13"/>
  <c r="CK271" i="13"/>
  <c r="CJ271" i="13"/>
  <c r="CH271" i="13"/>
  <c r="CF271" i="13"/>
  <c r="CD271" i="13"/>
  <c r="CC271" i="13"/>
  <c r="CB271" i="13"/>
  <c r="CA271" i="13"/>
  <c r="G1713" i="4"/>
  <c r="CN270" i="13"/>
  <c r="F1713" i="4" s="1"/>
  <c r="CM270" i="13"/>
  <c r="CK270" i="13"/>
  <c r="CJ270" i="13"/>
  <c r="CH270" i="13"/>
  <c r="CF270" i="13"/>
  <c r="CD270" i="13"/>
  <c r="CC270" i="13"/>
  <c r="CB270" i="13"/>
  <c r="CA270" i="13"/>
  <c r="G1712" i="4"/>
  <c r="CN269" i="13"/>
  <c r="F1712" i="4" s="1"/>
  <c r="CM269" i="13"/>
  <c r="CK269" i="13"/>
  <c r="CJ269" i="13"/>
  <c r="CH269" i="13"/>
  <c r="CF269" i="13"/>
  <c r="CD269" i="13"/>
  <c r="CC269" i="13"/>
  <c r="CB269" i="13"/>
  <c r="CA269" i="13"/>
  <c r="G1711" i="4"/>
  <c r="CN268" i="13"/>
  <c r="F1711" i="4" s="1"/>
  <c r="CM268" i="13"/>
  <c r="CK268" i="13"/>
  <c r="CJ268" i="13"/>
  <c r="CH268" i="13"/>
  <c r="CF268" i="13"/>
  <c r="CD268" i="13"/>
  <c r="CC268" i="13"/>
  <c r="CB268" i="13"/>
  <c r="CA268" i="13"/>
  <c r="G1710" i="4"/>
  <c r="CN267" i="13"/>
  <c r="F1710" i="4" s="1"/>
  <c r="CM267" i="13"/>
  <c r="CK267" i="13"/>
  <c r="CJ267" i="13"/>
  <c r="CH267" i="13"/>
  <c r="CF267" i="13"/>
  <c r="CD267" i="13"/>
  <c r="CC267" i="13"/>
  <c r="CB267" i="13"/>
  <c r="CA267" i="13"/>
  <c r="G1709" i="4"/>
  <c r="CN266" i="13"/>
  <c r="F1709" i="4" s="1"/>
  <c r="CM266" i="13"/>
  <c r="CK266" i="13"/>
  <c r="CJ266" i="13"/>
  <c r="CH266" i="13"/>
  <c r="CF266" i="13"/>
  <c r="CD266" i="13"/>
  <c r="CC266" i="13"/>
  <c r="CB266" i="13"/>
  <c r="CA266" i="13"/>
  <c r="G1708" i="4"/>
  <c r="CN265" i="13"/>
  <c r="F1708" i="4" s="1"/>
  <c r="CM265" i="13"/>
  <c r="CK265" i="13"/>
  <c r="CJ265" i="13"/>
  <c r="CH265" i="13"/>
  <c r="CF265" i="13"/>
  <c r="CD265" i="13"/>
  <c r="CC265" i="13"/>
  <c r="CB265" i="13"/>
  <c r="CA265" i="13"/>
  <c r="G1707" i="4"/>
  <c r="CN264" i="13"/>
  <c r="F1707" i="4" s="1"/>
  <c r="CM264" i="13"/>
  <c r="CK264" i="13"/>
  <c r="CJ264" i="13"/>
  <c r="CH264" i="13"/>
  <c r="CF264" i="13"/>
  <c r="CD264" i="13"/>
  <c r="CC264" i="13"/>
  <c r="CB264" i="13"/>
  <c r="CA264" i="13"/>
  <c r="G1706" i="4"/>
  <c r="CN263" i="13"/>
  <c r="F1706" i="4" s="1"/>
  <c r="CM263" i="13"/>
  <c r="CK263" i="13"/>
  <c r="CJ263" i="13"/>
  <c r="CH263" i="13"/>
  <c r="CF263" i="13"/>
  <c r="CD263" i="13"/>
  <c r="CC263" i="13"/>
  <c r="CB263" i="13"/>
  <c r="CA263" i="13"/>
  <c r="G1705" i="4"/>
  <c r="CN262" i="13"/>
  <c r="F1705" i="4" s="1"/>
  <c r="CM262" i="13"/>
  <c r="CK262" i="13"/>
  <c r="CJ262" i="13"/>
  <c r="CH262" i="13"/>
  <c r="CF262" i="13"/>
  <c r="CD262" i="13"/>
  <c r="CC262" i="13"/>
  <c r="CB262" i="13"/>
  <c r="CA262" i="13"/>
  <c r="G1704" i="4"/>
  <c r="CN261" i="13"/>
  <c r="F1704" i="4" s="1"/>
  <c r="CM261" i="13"/>
  <c r="CK261" i="13"/>
  <c r="CJ261" i="13"/>
  <c r="CH261" i="13"/>
  <c r="CF261" i="13"/>
  <c r="CD261" i="13"/>
  <c r="CC261" i="13"/>
  <c r="CB261" i="13"/>
  <c r="CA261" i="13"/>
  <c r="G1703" i="4"/>
  <c r="CN260" i="13"/>
  <c r="F1703" i="4" s="1"/>
  <c r="CM260" i="13"/>
  <c r="CK260" i="13"/>
  <c r="CJ260" i="13"/>
  <c r="CH260" i="13"/>
  <c r="CF260" i="13"/>
  <c r="CD260" i="13"/>
  <c r="CC260" i="13"/>
  <c r="CB260" i="13"/>
  <c r="CA260" i="13"/>
  <c r="G1702" i="4"/>
  <c r="CN259" i="13"/>
  <c r="F1702" i="4" s="1"/>
  <c r="CM259" i="13"/>
  <c r="CK259" i="13"/>
  <c r="CJ259" i="13"/>
  <c r="CH259" i="13"/>
  <c r="CF259" i="13"/>
  <c r="CD259" i="13"/>
  <c r="CC259" i="13"/>
  <c r="CB259" i="13"/>
  <c r="CA259" i="13"/>
  <c r="G1701" i="4"/>
  <c r="CN258" i="13"/>
  <c r="F1701" i="4" s="1"/>
  <c r="CM258" i="13"/>
  <c r="CK258" i="13"/>
  <c r="CJ258" i="13"/>
  <c r="CH258" i="13"/>
  <c r="CF258" i="13"/>
  <c r="CD258" i="13"/>
  <c r="CC258" i="13"/>
  <c r="CB258" i="13"/>
  <c r="CA258" i="13"/>
  <c r="G1700" i="4"/>
  <c r="CN257" i="13"/>
  <c r="F1700" i="4" s="1"/>
  <c r="CM257" i="13"/>
  <c r="CK257" i="13"/>
  <c r="CJ257" i="13"/>
  <c r="CH257" i="13"/>
  <c r="CF257" i="13"/>
  <c r="CD257" i="13"/>
  <c r="CC257" i="13"/>
  <c r="CB257" i="13"/>
  <c r="CA257" i="13"/>
  <c r="G1699" i="4"/>
  <c r="CN256" i="13"/>
  <c r="F1699" i="4" s="1"/>
  <c r="CM256" i="13"/>
  <c r="CK256" i="13"/>
  <c r="CJ256" i="13"/>
  <c r="CH256" i="13"/>
  <c r="CF256" i="13"/>
  <c r="CD256" i="13"/>
  <c r="CC256" i="13"/>
  <c r="CB256" i="13"/>
  <c r="CA256" i="13"/>
  <c r="G1698" i="4"/>
  <c r="CN255" i="13"/>
  <c r="F1698" i="4" s="1"/>
  <c r="CM255" i="13"/>
  <c r="CK255" i="13"/>
  <c r="CJ255" i="13"/>
  <c r="CH255" i="13"/>
  <c r="CF255" i="13"/>
  <c r="CD255" i="13"/>
  <c r="CC255" i="13"/>
  <c r="CB255" i="13"/>
  <c r="CA255" i="13"/>
  <c r="G1697" i="4"/>
  <c r="CN254" i="13"/>
  <c r="F1697" i="4" s="1"/>
  <c r="CM254" i="13"/>
  <c r="CK254" i="13"/>
  <c r="CJ254" i="13"/>
  <c r="CH254" i="13"/>
  <c r="CF254" i="13"/>
  <c r="CD254" i="13"/>
  <c r="CC254" i="13"/>
  <c r="CB254" i="13"/>
  <c r="CA254" i="13"/>
  <c r="G1696" i="4"/>
  <c r="CN253" i="13"/>
  <c r="F1696" i="4" s="1"/>
  <c r="CM253" i="13"/>
  <c r="CK253" i="13"/>
  <c r="CJ253" i="13"/>
  <c r="CH253" i="13"/>
  <c r="CF253" i="13"/>
  <c r="CD253" i="13"/>
  <c r="CC253" i="13"/>
  <c r="CB253" i="13"/>
  <c r="CA253" i="13"/>
  <c r="G1695" i="4"/>
  <c r="CN252" i="13"/>
  <c r="F1695" i="4" s="1"/>
  <c r="CM252" i="13"/>
  <c r="CK252" i="13"/>
  <c r="CJ252" i="13"/>
  <c r="CH252" i="13"/>
  <c r="CF252" i="13"/>
  <c r="CD252" i="13"/>
  <c r="CC252" i="13"/>
  <c r="CB252" i="13"/>
  <c r="CA252" i="13"/>
  <c r="G1694" i="4"/>
  <c r="CN251" i="13"/>
  <c r="F1694" i="4" s="1"/>
  <c r="CM251" i="13"/>
  <c r="CK251" i="13"/>
  <c r="CJ251" i="13"/>
  <c r="CH251" i="13"/>
  <c r="CF251" i="13"/>
  <c r="CD251" i="13"/>
  <c r="CC251" i="13"/>
  <c r="CB251" i="13"/>
  <c r="CA251" i="13"/>
  <c r="G1693" i="4"/>
  <c r="CN250" i="13"/>
  <c r="F1693" i="4" s="1"/>
  <c r="CM250" i="13"/>
  <c r="CK250" i="13"/>
  <c r="CJ250" i="13"/>
  <c r="CH250" i="13"/>
  <c r="CF250" i="13"/>
  <c r="CD250" i="13"/>
  <c r="CC250" i="13"/>
  <c r="CB250" i="13"/>
  <c r="CA250" i="13"/>
  <c r="G1692" i="4"/>
  <c r="CN249" i="13"/>
  <c r="F1692" i="4" s="1"/>
  <c r="CM249" i="13"/>
  <c r="CK249" i="13"/>
  <c r="CJ249" i="13"/>
  <c r="CH249" i="13"/>
  <c r="CF249" i="13"/>
  <c r="CD249" i="13"/>
  <c r="CC249" i="13"/>
  <c r="CB249" i="13"/>
  <c r="CA249" i="13"/>
  <c r="G1691" i="4"/>
  <c r="CN248" i="13"/>
  <c r="F1691" i="4" s="1"/>
  <c r="CM248" i="13"/>
  <c r="CK248" i="13"/>
  <c r="CJ248" i="13"/>
  <c r="CH248" i="13"/>
  <c r="CF248" i="13"/>
  <c r="CD248" i="13"/>
  <c r="CC248" i="13"/>
  <c r="CB248" i="13"/>
  <c r="CA248" i="13"/>
  <c r="G1690" i="4"/>
  <c r="CN247" i="13"/>
  <c r="F1690" i="4" s="1"/>
  <c r="CM247" i="13"/>
  <c r="CK247" i="13"/>
  <c r="CJ247" i="13"/>
  <c r="CH247" i="13"/>
  <c r="CF247" i="13"/>
  <c r="CD247" i="13"/>
  <c r="CC247" i="13"/>
  <c r="CB247" i="13"/>
  <c r="CA247" i="13"/>
  <c r="G1689" i="4"/>
  <c r="CN246" i="13"/>
  <c r="F1689" i="4" s="1"/>
  <c r="CM246" i="13"/>
  <c r="CK246" i="13"/>
  <c r="CJ246" i="13"/>
  <c r="CH246" i="13"/>
  <c r="CF246" i="13"/>
  <c r="CD246" i="13"/>
  <c r="CC246" i="13"/>
  <c r="CB246" i="13"/>
  <c r="CA246" i="13"/>
  <c r="G1688" i="4"/>
  <c r="CN245" i="13"/>
  <c r="F1688" i="4" s="1"/>
  <c r="CM245" i="13"/>
  <c r="CK245" i="13"/>
  <c r="CJ245" i="13"/>
  <c r="CH245" i="13"/>
  <c r="CF245" i="13"/>
  <c r="CD245" i="13"/>
  <c r="CC245" i="13"/>
  <c r="CB245" i="13"/>
  <c r="CA245" i="13"/>
  <c r="G1687" i="4"/>
  <c r="CN244" i="13"/>
  <c r="F1687" i="4" s="1"/>
  <c r="CM244" i="13"/>
  <c r="CK244" i="13"/>
  <c r="CJ244" i="13"/>
  <c r="CH244" i="13"/>
  <c r="CF244" i="13"/>
  <c r="CD244" i="13"/>
  <c r="CC244" i="13"/>
  <c r="CB244" i="13"/>
  <c r="CA244" i="13"/>
  <c r="G1686" i="4"/>
  <c r="CN243" i="13"/>
  <c r="F1686" i="4" s="1"/>
  <c r="CM243" i="13"/>
  <c r="CK243" i="13"/>
  <c r="CJ243" i="13"/>
  <c r="CH243" i="13"/>
  <c r="CF243" i="13"/>
  <c r="CD243" i="13"/>
  <c r="CC243" i="13"/>
  <c r="CB243" i="13"/>
  <c r="CA243" i="13"/>
  <c r="G1685" i="4"/>
  <c r="CN242" i="13"/>
  <c r="F1685" i="4" s="1"/>
  <c r="CM242" i="13"/>
  <c r="CK242" i="13"/>
  <c r="CJ242" i="13"/>
  <c r="CH242" i="13"/>
  <c r="CF242" i="13"/>
  <c r="CD242" i="13"/>
  <c r="CC242" i="13"/>
  <c r="CB242" i="13"/>
  <c r="CA242" i="13"/>
  <c r="G1684" i="4"/>
  <c r="CN241" i="13"/>
  <c r="F1684" i="4" s="1"/>
  <c r="CM241" i="13"/>
  <c r="CK241" i="13"/>
  <c r="CJ241" i="13"/>
  <c r="CH241" i="13"/>
  <c r="CF241" i="13"/>
  <c r="CD241" i="13"/>
  <c r="CC241" i="13"/>
  <c r="CB241" i="13"/>
  <c r="CA241" i="13"/>
  <c r="G1683" i="4"/>
  <c r="CN240" i="13"/>
  <c r="F1683" i="4" s="1"/>
  <c r="CM240" i="13"/>
  <c r="CK240" i="13"/>
  <c r="CJ240" i="13"/>
  <c r="CH240" i="13"/>
  <c r="CF240" i="13"/>
  <c r="CD240" i="13"/>
  <c r="CC240" i="13"/>
  <c r="CB240" i="13"/>
  <c r="CA240" i="13"/>
  <c r="G1682" i="4"/>
  <c r="CN239" i="13"/>
  <c r="F1682" i="4" s="1"/>
  <c r="CM239" i="13"/>
  <c r="CK239" i="13"/>
  <c r="CJ239" i="13"/>
  <c r="CH239" i="13"/>
  <c r="CF239" i="13"/>
  <c r="CD239" i="13"/>
  <c r="CC239" i="13"/>
  <c r="CB239" i="13"/>
  <c r="CA239" i="13"/>
  <c r="G1681" i="4"/>
  <c r="CN238" i="13"/>
  <c r="F1681" i="4" s="1"/>
  <c r="CM238" i="13"/>
  <c r="CK238" i="13"/>
  <c r="CJ238" i="13"/>
  <c r="CH238" i="13"/>
  <c r="CF238" i="13"/>
  <c r="CD238" i="13"/>
  <c r="CC238" i="13"/>
  <c r="CB238" i="13"/>
  <c r="CA238" i="13"/>
  <c r="G1680" i="4"/>
  <c r="CN237" i="13"/>
  <c r="F1680" i="4" s="1"/>
  <c r="CM237" i="13"/>
  <c r="CK237" i="13"/>
  <c r="CJ237" i="13"/>
  <c r="CH237" i="13"/>
  <c r="CF237" i="13"/>
  <c r="CD237" i="13"/>
  <c r="CC237" i="13"/>
  <c r="CB237" i="13"/>
  <c r="CA237" i="13"/>
  <c r="G1679" i="4"/>
  <c r="CN236" i="13"/>
  <c r="F1679" i="4" s="1"/>
  <c r="CM236" i="13"/>
  <c r="CK236" i="13"/>
  <c r="CJ236" i="13"/>
  <c r="CH236" i="13"/>
  <c r="CF236" i="13"/>
  <c r="CD236" i="13"/>
  <c r="CC236" i="13"/>
  <c r="CB236" i="13"/>
  <c r="CA236" i="13"/>
  <c r="G1678" i="4"/>
  <c r="CN235" i="13"/>
  <c r="F1678" i="4" s="1"/>
  <c r="CM235" i="13"/>
  <c r="CK235" i="13"/>
  <c r="CJ235" i="13"/>
  <c r="CH235" i="13"/>
  <c r="CF235" i="13"/>
  <c r="CD235" i="13"/>
  <c r="CC235" i="13"/>
  <c r="CB235" i="13"/>
  <c r="CA235" i="13"/>
  <c r="G1677" i="4"/>
  <c r="CN234" i="13"/>
  <c r="F1677" i="4" s="1"/>
  <c r="CM234" i="13"/>
  <c r="CK234" i="13"/>
  <c r="CJ234" i="13"/>
  <c r="CH234" i="13"/>
  <c r="CF234" i="13"/>
  <c r="CD234" i="13"/>
  <c r="CC234" i="13"/>
  <c r="CB234" i="13"/>
  <c r="CA234" i="13"/>
  <c r="G1676" i="4"/>
  <c r="CN233" i="13"/>
  <c r="F1676" i="4" s="1"/>
  <c r="CM233" i="13"/>
  <c r="CK233" i="13"/>
  <c r="CJ233" i="13"/>
  <c r="CH233" i="13"/>
  <c r="CF233" i="13"/>
  <c r="CD233" i="13"/>
  <c r="CC233" i="13"/>
  <c r="CB233" i="13"/>
  <c r="CA233" i="13"/>
  <c r="G1675" i="4"/>
  <c r="CN232" i="13"/>
  <c r="F1675" i="4" s="1"/>
  <c r="CM232" i="13"/>
  <c r="CK232" i="13"/>
  <c r="CJ232" i="13"/>
  <c r="CH232" i="13"/>
  <c r="CF232" i="13"/>
  <c r="CD232" i="13"/>
  <c r="CC232" i="13"/>
  <c r="CB232" i="13"/>
  <c r="CA232" i="13"/>
  <c r="G1674" i="4"/>
  <c r="CN231" i="13"/>
  <c r="F1674" i="4" s="1"/>
  <c r="CM231" i="13"/>
  <c r="CK231" i="13"/>
  <c r="CJ231" i="13"/>
  <c r="CH231" i="13"/>
  <c r="CF231" i="13"/>
  <c r="CD231" i="13"/>
  <c r="CC231" i="13"/>
  <c r="CB231" i="13"/>
  <c r="CA231" i="13"/>
  <c r="G1673" i="4"/>
  <c r="CN230" i="13"/>
  <c r="F1673" i="4" s="1"/>
  <c r="CM230" i="13"/>
  <c r="CK230" i="13"/>
  <c r="CJ230" i="13"/>
  <c r="CH230" i="13"/>
  <c r="CF230" i="13"/>
  <c r="CD230" i="13"/>
  <c r="CC230" i="13"/>
  <c r="CB230" i="13"/>
  <c r="CA230" i="13"/>
  <c r="G1672" i="4"/>
  <c r="CN229" i="13"/>
  <c r="F1672" i="4" s="1"/>
  <c r="CM229" i="13"/>
  <c r="CK229" i="13"/>
  <c r="CJ229" i="13"/>
  <c r="CH229" i="13"/>
  <c r="CF229" i="13"/>
  <c r="CD229" i="13"/>
  <c r="CC229" i="13"/>
  <c r="CB229" i="13"/>
  <c r="CA229" i="13"/>
  <c r="G1671" i="4"/>
  <c r="CN228" i="13"/>
  <c r="F1671" i="4" s="1"/>
  <c r="CM228" i="13"/>
  <c r="CK228" i="13"/>
  <c r="CJ228" i="13"/>
  <c r="CH228" i="13"/>
  <c r="CF228" i="13"/>
  <c r="CD228" i="13"/>
  <c r="CC228" i="13"/>
  <c r="CB228" i="13"/>
  <c r="CA228" i="13"/>
  <c r="G1670" i="4"/>
  <c r="CN227" i="13"/>
  <c r="F1670" i="4" s="1"/>
  <c r="CM227" i="13"/>
  <c r="CK227" i="13"/>
  <c r="CJ227" i="13"/>
  <c r="CH227" i="13"/>
  <c r="CF227" i="13"/>
  <c r="CD227" i="13"/>
  <c r="CC227" i="13"/>
  <c r="CB227" i="13"/>
  <c r="CA227" i="13"/>
  <c r="G1669" i="4"/>
  <c r="CN226" i="13"/>
  <c r="F1669" i="4" s="1"/>
  <c r="CM226" i="13"/>
  <c r="CK226" i="13"/>
  <c r="CJ226" i="13"/>
  <c r="CH226" i="13"/>
  <c r="CF226" i="13"/>
  <c r="CD226" i="13"/>
  <c r="CC226" i="13"/>
  <c r="CB226" i="13"/>
  <c r="CA226" i="13"/>
  <c r="G1668" i="4"/>
  <c r="CN225" i="13"/>
  <c r="F1668" i="4" s="1"/>
  <c r="CM225" i="13"/>
  <c r="CK225" i="13"/>
  <c r="CJ225" i="13"/>
  <c r="CH225" i="13"/>
  <c r="CF225" i="13"/>
  <c r="CD225" i="13"/>
  <c r="CC225" i="13"/>
  <c r="CB225" i="13"/>
  <c r="CA225" i="13"/>
  <c r="G1667" i="4"/>
  <c r="CN224" i="13"/>
  <c r="F1667" i="4" s="1"/>
  <c r="CM224" i="13"/>
  <c r="CK224" i="13"/>
  <c r="CJ224" i="13"/>
  <c r="CH224" i="13"/>
  <c r="CF224" i="13"/>
  <c r="CD224" i="13"/>
  <c r="CC224" i="13"/>
  <c r="CB224" i="13"/>
  <c r="CA224" i="13"/>
  <c r="G1666" i="4"/>
  <c r="CN223" i="13"/>
  <c r="F1666" i="4" s="1"/>
  <c r="CM223" i="13"/>
  <c r="CK223" i="13"/>
  <c r="CJ223" i="13"/>
  <c r="CH223" i="13"/>
  <c r="CF223" i="13"/>
  <c r="CD223" i="13"/>
  <c r="CC223" i="13"/>
  <c r="CB223" i="13"/>
  <c r="CA223" i="13"/>
  <c r="G1665" i="4"/>
  <c r="CN222" i="13"/>
  <c r="F1665" i="4" s="1"/>
  <c r="CM222" i="13"/>
  <c r="CK222" i="13"/>
  <c r="CJ222" i="13"/>
  <c r="CH222" i="13"/>
  <c r="CF222" i="13"/>
  <c r="CD222" i="13"/>
  <c r="CC222" i="13"/>
  <c r="CB222" i="13"/>
  <c r="CA222" i="13"/>
  <c r="G1664" i="4"/>
  <c r="CN221" i="13"/>
  <c r="F1664" i="4" s="1"/>
  <c r="CM221" i="13"/>
  <c r="CK221" i="13"/>
  <c r="CJ221" i="13"/>
  <c r="CH221" i="13"/>
  <c r="CF221" i="13"/>
  <c r="CD221" i="13"/>
  <c r="CC221" i="13"/>
  <c r="CB221" i="13"/>
  <c r="CA221" i="13"/>
  <c r="G1663" i="4"/>
  <c r="CN220" i="13"/>
  <c r="F1663" i="4" s="1"/>
  <c r="CM220" i="13"/>
  <c r="CK220" i="13"/>
  <c r="CJ220" i="13"/>
  <c r="CH220" i="13"/>
  <c r="CF220" i="13"/>
  <c r="CD220" i="13"/>
  <c r="CC220" i="13"/>
  <c r="CB220" i="13"/>
  <c r="CA220" i="13"/>
  <c r="G1662" i="4"/>
  <c r="CN219" i="13"/>
  <c r="F1662" i="4" s="1"/>
  <c r="CM219" i="13"/>
  <c r="CK219" i="13"/>
  <c r="CJ219" i="13"/>
  <c r="CH219" i="13"/>
  <c r="CF219" i="13"/>
  <c r="CD219" i="13"/>
  <c r="CC219" i="13"/>
  <c r="CB219" i="13"/>
  <c r="CA219" i="13"/>
  <c r="G1661" i="4"/>
  <c r="CN218" i="13"/>
  <c r="F1661" i="4" s="1"/>
  <c r="CM218" i="13"/>
  <c r="CK218" i="13"/>
  <c r="CJ218" i="13"/>
  <c r="CH218" i="13"/>
  <c r="CF218" i="13"/>
  <c r="CD218" i="13"/>
  <c r="CC218" i="13"/>
  <c r="CB218" i="13"/>
  <c r="CA218" i="13"/>
  <c r="G1660" i="4"/>
  <c r="CN217" i="13"/>
  <c r="F1660" i="4" s="1"/>
  <c r="CM217" i="13"/>
  <c r="CK217" i="13"/>
  <c r="CJ217" i="13"/>
  <c r="CH217" i="13"/>
  <c r="CF217" i="13"/>
  <c r="CD217" i="13"/>
  <c r="CC217" i="13"/>
  <c r="CB217" i="13"/>
  <c r="CA217" i="13"/>
  <c r="G1659" i="4"/>
  <c r="CN216" i="13"/>
  <c r="F1659" i="4" s="1"/>
  <c r="CM216" i="13"/>
  <c r="CK216" i="13"/>
  <c r="CJ216" i="13"/>
  <c r="CH216" i="13"/>
  <c r="CF216" i="13"/>
  <c r="CD216" i="13"/>
  <c r="CC216" i="13"/>
  <c r="CB216" i="13"/>
  <c r="CA216" i="13"/>
  <c r="G1658" i="4"/>
  <c r="CN215" i="13"/>
  <c r="F1658" i="4" s="1"/>
  <c r="CM215" i="13"/>
  <c r="CK215" i="13"/>
  <c r="CJ215" i="13"/>
  <c r="CH215" i="13"/>
  <c r="CF215" i="13"/>
  <c r="CD215" i="13"/>
  <c r="CC215" i="13"/>
  <c r="CB215" i="13"/>
  <c r="CA215" i="13"/>
  <c r="G1657" i="4"/>
  <c r="CN214" i="13"/>
  <c r="F1657" i="4" s="1"/>
  <c r="CM214" i="13"/>
  <c r="CK214" i="13"/>
  <c r="CJ214" i="13"/>
  <c r="CH214" i="13"/>
  <c r="CF214" i="13"/>
  <c r="CD214" i="13"/>
  <c r="CC214" i="13"/>
  <c r="CB214" i="13"/>
  <c r="CA214" i="13"/>
  <c r="G1656" i="4"/>
  <c r="CN213" i="13"/>
  <c r="F1656" i="4" s="1"/>
  <c r="CM213" i="13"/>
  <c r="CK213" i="13"/>
  <c r="CJ213" i="13"/>
  <c r="CH213" i="13"/>
  <c r="CF213" i="13"/>
  <c r="CD213" i="13"/>
  <c r="CC213" i="13"/>
  <c r="CB213" i="13"/>
  <c r="CA213" i="13"/>
  <c r="G1655" i="4"/>
  <c r="CN212" i="13"/>
  <c r="F1655" i="4" s="1"/>
  <c r="CM212" i="13"/>
  <c r="CK212" i="13"/>
  <c r="CJ212" i="13"/>
  <c r="CH212" i="13"/>
  <c r="CF212" i="13"/>
  <c r="CD212" i="13"/>
  <c r="CC212" i="13"/>
  <c r="CB212" i="13"/>
  <c r="CA212" i="13"/>
  <c r="G1654" i="4"/>
  <c r="CN211" i="13"/>
  <c r="F1654" i="4" s="1"/>
  <c r="CM211" i="13"/>
  <c r="CK211" i="13"/>
  <c r="CJ211" i="13"/>
  <c r="CH211" i="13"/>
  <c r="CF211" i="13"/>
  <c r="CD211" i="13"/>
  <c r="CC211" i="13"/>
  <c r="CB211" i="13"/>
  <c r="CA211" i="13"/>
  <c r="G1653" i="4"/>
  <c r="CN210" i="13"/>
  <c r="F1653" i="4" s="1"/>
  <c r="CM210" i="13"/>
  <c r="CK210" i="13"/>
  <c r="CJ210" i="13"/>
  <c r="CH210" i="13"/>
  <c r="CF210" i="13"/>
  <c r="CD210" i="13"/>
  <c r="CC210" i="13"/>
  <c r="CB210" i="13"/>
  <c r="CA210" i="13"/>
  <c r="G1652" i="4"/>
  <c r="CN209" i="13"/>
  <c r="F1652" i="4" s="1"/>
  <c r="CM209" i="13"/>
  <c r="CK209" i="13"/>
  <c r="CJ209" i="13"/>
  <c r="CH209" i="13"/>
  <c r="CF209" i="13"/>
  <c r="CD209" i="13"/>
  <c r="CC209" i="13"/>
  <c r="CB209" i="13"/>
  <c r="CA209" i="13"/>
  <c r="G1651" i="4"/>
  <c r="CN208" i="13"/>
  <c r="F1651" i="4" s="1"/>
  <c r="CM208" i="13"/>
  <c r="CK208" i="13"/>
  <c r="CJ208" i="13"/>
  <c r="CH208" i="13"/>
  <c r="CF208" i="13"/>
  <c r="CD208" i="13"/>
  <c r="CC208" i="13"/>
  <c r="CB208" i="13"/>
  <c r="CA208" i="13"/>
  <c r="G1650" i="4"/>
  <c r="CN207" i="13"/>
  <c r="F1650" i="4" s="1"/>
  <c r="CM207" i="13"/>
  <c r="CK207" i="13"/>
  <c r="CJ207" i="13"/>
  <c r="CH207" i="13"/>
  <c r="CF207" i="13"/>
  <c r="CD207" i="13"/>
  <c r="CC207" i="13"/>
  <c r="CB207" i="13"/>
  <c r="CA207" i="13"/>
  <c r="G1649" i="4"/>
  <c r="CN206" i="13"/>
  <c r="F1649" i="4" s="1"/>
  <c r="CM206" i="13"/>
  <c r="CK206" i="13"/>
  <c r="CJ206" i="13"/>
  <c r="CH206" i="13"/>
  <c r="CF206" i="13"/>
  <c r="CD206" i="13"/>
  <c r="CC206" i="13"/>
  <c r="CB206" i="13"/>
  <c r="CA206" i="13"/>
  <c r="G1648" i="4"/>
  <c r="CN205" i="13"/>
  <c r="F1648" i="4" s="1"/>
  <c r="CM205" i="13"/>
  <c r="CK205" i="13"/>
  <c r="CJ205" i="13"/>
  <c r="CH205" i="13"/>
  <c r="CF205" i="13"/>
  <c r="CD205" i="13"/>
  <c r="CC205" i="13"/>
  <c r="CB205" i="13"/>
  <c r="CA205" i="13"/>
  <c r="G1647" i="4"/>
  <c r="CN204" i="13"/>
  <c r="F1647" i="4" s="1"/>
  <c r="CM204" i="13"/>
  <c r="CK204" i="13"/>
  <c r="CJ204" i="13"/>
  <c r="CH204" i="13"/>
  <c r="CF204" i="13"/>
  <c r="CD204" i="13"/>
  <c r="CC204" i="13"/>
  <c r="CB204" i="13"/>
  <c r="CA204" i="13"/>
  <c r="G1646" i="4"/>
  <c r="CN203" i="13"/>
  <c r="F1646" i="4" s="1"/>
  <c r="CM203" i="13"/>
  <c r="CK203" i="13"/>
  <c r="CJ203" i="13"/>
  <c r="CH203" i="13"/>
  <c r="CF203" i="13"/>
  <c r="CD203" i="13"/>
  <c r="CC203" i="13"/>
  <c r="CB203" i="13"/>
  <c r="CA203" i="13"/>
  <c r="G1645" i="4"/>
  <c r="CN202" i="13"/>
  <c r="F1645" i="4" s="1"/>
  <c r="CM202" i="13"/>
  <c r="CK202" i="13"/>
  <c r="CJ202" i="13"/>
  <c r="CH202" i="13"/>
  <c r="CF202" i="13"/>
  <c r="CD202" i="13"/>
  <c r="CC202" i="13"/>
  <c r="CB202" i="13"/>
  <c r="CA202" i="13"/>
  <c r="G1644" i="4"/>
  <c r="CN201" i="13"/>
  <c r="F1644" i="4" s="1"/>
  <c r="CM201" i="13"/>
  <c r="CK201" i="13"/>
  <c r="CJ201" i="13"/>
  <c r="CH201" i="13"/>
  <c r="CF201" i="13"/>
  <c r="CD201" i="13"/>
  <c r="CC201" i="13"/>
  <c r="CB201" i="13"/>
  <c r="CA201" i="13"/>
  <c r="G1643" i="4"/>
  <c r="CN200" i="13"/>
  <c r="F1643" i="4" s="1"/>
  <c r="CM200" i="13"/>
  <c r="CK200" i="13"/>
  <c r="CJ200" i="13"/>
  <c r="CH200" i="13"/>
  <c r="CF200" i="13"/>
  <c r="CD200" i="13"/>
  <c r="CC200" i="13"/>
  <c r="CB200" i="13"/>
  <c r="CA200" i="13"/>
  <c r="G1642" i="4"/>
  <c r="CN199" i="13"/>
  <c r="F1642" i="4" s="1"/>
  <c r="CM199" i="13"/>
  <c r="CK199" i="13"/>
  <c r="CJ199" i="13"/>
  <c r="CH199" i="13"/>
  <c r="CF199" i="13"/>
  <c r="CD199" i="13"/>
  <c r="CC199" i="13"/>
  <c r="CB199" i="13"/>
  <c r="CA199" i="13"/>
  <c r="G1641" i="4"/>
  <c r="CN198" i="13"/>
  <c r="F1641" i="4" s="1"/>
  <c r="CM198" i="13"/>
  <c r="CK198" i="13"/>
  <c r="CJ198" i="13"/>
  <c r="CH198" i="13"/>
  <c r="CF198" i="13"/>
  <c r="CD198" i="13"/>
  <c r="CC198" i="13"/>
  <c r="CB198" i="13"/>
  <c r="CA198" i="13"/>
  <c r="G1640" i="4"/>
  <c r="CN197" i="13"/>
  <c r="F1640" i="4" s="1"/>
  <c r="CM197" i="13"/>
  <c r="CK197" i="13"/>
  <c r="CJ197" i="13"/>
  <c r="CH197" i="13"/>
  <c r="CF197" i="13"/>
  <c r="CD197" i="13"/>
  <c r="CC197" i="13"/>
  <c r="CB197" i="13"/>
  <c r="CA197" i="13"/>
  <c r="G1639" i="4"/>
  <c r="CN196" i="13"/>
  <c r="F1639" i="4" s="1"/>
  <c r="CM196" i="13"/>
  <c r="CK196" i="13"/>
  <c r="CJ196" i="13"/>
  <c r="CH196" i="13"/>
  <c r="CF196" i="13"/>
  <c r="CD196" i="13"/>
  <c r="CC196" i="13"/>
  <c r="CB196" i="13"/>
  <c r="CA196" i="13"/>
  <c r="G1638" i="4"/>
  <c r="CN195" i="13"/>
  <c r="F1638" i="4" s="1"/>
  <c r="CM195" i="13"/>
  <c r="CK195" i="13"/>
  <c r="CJ195" i="13"/>
  <c r="CH195" i="13"/>
  <c r="CF195" i="13"/>
  <c r="CD195" i="13"/>
  <c r="CC195" i="13"/>
  <c r="CB195" i="13"/>
  <c r="CA195" i="13"/>
  <c r="G1637" i="4"/>
  <c r="CN194" i="13"/>
  <c r="F1637" i="4" s="1"/>
  <c r="CM194" i="13"/>
  <c r="CK194" i="13"/>
  <c r="CJ194" i="13"/>
  <c r="CH194" i="13"/>
  <c r="CF194" i="13"/>
  <c r="CD194" i="13"/>
  <c r="CC194" i="13"/>
  <c r="CB194" i="13"/>
  <c r="CA194" i="13"/>
  <c r="G1636" i="4"/>
  <c r="CN193" i="13"/>
  <c r="F1636" i="4" s="1"/>
  <c r="CM193" i="13"/>
  <c r="CK193" i="13"/>
  <c r="CJ193" i="13"/>
  <c r="CH193" i="13"/>
  <c r="CF193" i="13"/>
  <c r="CD193" i="13"/>
  <c r="CC193" i="13"/>
  <c r="CB193" i="13"/>
  <c r="CA193" i="13"/>
  <c r="G1635" i="4"/>
  <c r="CN192" i="13"/>
  <c r="F1635" i="4" s="1"/>
  <c r="CM192" i="13"/>
  <c r="CK192" i="13"/>
  <c r="CJ192" i="13"/>
  <c r="CH192" i="13"/>
  <c r="CF192" i="13"/>
  <c r="CD192" i="13"/>
  <c r="CC192" i="13"/>
  <c r="CB192" i="13"/>
  <c r="CA192" i="13"/>
  <c r="G1634" i="4"/>
  <c r="CN191" i="13"/>
  <c r="F1634" i="4" s="1"/>
  <c r="CM191" i="13"/>
  <c r="CK191" i="13"/>
  <c r="CJ191" i="13"/>
  <c r="CH191" i="13"/>
  <c r="CF191" i="13"/>
  <c r="CD191" i="13"/>
  <c r="CC191" i="13"/>
  <c r="CB191" i="13"/>
  <c r="CA191" i="13"/>
  <c r="G1633" i="4"/>
  <c r="CN190" i="13"/>
  <c r="F1633" i="4" s="1"/>
  <c r="CM190" i="13"/>
  <c r="CK190" i="13"/>
  <c r="CJ190" i="13"/>
  <c r="CH190" i="13"/>
  <c r="CF190" i="13"/>
  <c r="CD190" i="13"/>
  <c r="CC190" i="13"/>
  <c r="CB190" i="13"/>
  <c r="CA190" i="13"/>
  <c r="G1632" i="4"/>
  <c r="CN189" i="13"/>
  <c r="F1632" i="4" s="1"/>
  <c r="CM189" i="13"/>
  <c r="CK189" i="13"/>
  <c r="CJ189" i="13"/>
  <c r="CH189" i="13"/>
  <c r="CF189" i="13"/>
  <c r="CD189" i="13"/>
  <c r="CC189" i="13"/>
  <c r="CB189" i="13"/>
  <c r="CA189" i="13"/>
  <c r="G1631" i="4"/>
  <c r="CN188" i="13"/>
  <c r="F1631" i="4" s="1"/>
  <c r="CM188" i="13"/>
  <c r="CK188" i="13"/>
  <c r="CJ188" i="13"/>
  <c r="CH188" i="13"/>
  <c r="CF188" i="13"/>
  <c r="CD188" i="13"/>
  <c r="CC188" i="13"/>
  <c r="CB188" i="13"/>
  <c r="CA188" i="13"/>
  <c r="G1630" i="4"/>
  <c r="CN187" i="13"/>
  <c r="F1630" i="4" s="1"/>
  <c r="CM187" i="13"/>
  <c r="CK187" i="13"/>
  <c r="CJ187" i="13"/>
  <c r="CH187" i="13"/>
  <c r="CF187" i="13"/>
  <c r="CD187" i="13"/>
  <c r="CC187" i="13"/>
  <c r="CB187" i="13"/>
  <c r="CA187" i="13"/>
  <c r="G1629" i="4"/>
  <c r="CN186" i="13"/>
  <c r="F1629" i="4" s="1"/>
  <c r="CM186" i="13"/>
  <c r="CK186" i="13"/>
  <c r="CJ186" i="13"/>
  <c r="CH186" i="13"/>
  <c r="CF186" i="13"/>
  <c r="CD186" i="13"/>
  <c r="CC186" i="13"/>
  <c r="CB186" i="13"/>
  <c r="CA186" i="13"/>
  <c r="G1628" i="4"/>
  <c r="CN185" i="13"/>
  <c r="F1628" i="4" s="1"/>
  <c r="CM185" i="13"/>
  <c r="CK185" i="13"/>
  <c r="CJ185" i="13"/>
  <c r="CH185" i="13"/>
  <c r="CF185" i="13"/>
  <c r="CD185" i="13"/>
  <c r="CC185" i="13"/>
  <c r="CB185" i="13"/>
  <c r="CA185" i="13"/>
  <c r="G1627" i="4"/>
  <c r="CN184" i="13"/>
  <c r="F1627" i="4" s="1"/>
  <c r="CM184" i="13"/>
  <c r="CK184" i="13"/>
  <c r="CJ184" i="13"/>
  <c r="CH184" i="13"/>
  <c r="CF184" i="13"/>
  <c r="CD184" i="13"/>
  <c r="CC184" i="13"/>
  <c r="CB184" i="13"/>
  <c r="CA184" i="13"/>
  <c r="G1626" i="4"/>
  <c r="CN183" i="13"/>
  <c r="F1626" i="4" s="1"/>
  <c r="CM183" i="13"/>
  <c r="CK183" i="13"/>
  <c r="CJ183" i="13"/>
  <c r="CH183" i="13"/>
  <c r="CF183" i="13"/>
  <c r="CD183" i="13"/>
  <c r="CC183" i="13"/>
  <c r="CB183" i="13"/>
  <c r="CA183" i="13"/>
  <c r="G1625" i="4"/>
  <c r="CN182" i="13"/>
  <c r="F1625" i="4" s="1"/>
  <c r="CM182" i="13"/>
  <c r="CK182" i="13"/>
  <c r="CJ182" i="13"/>
  <c r="CH182" i="13"/>
  <c r="CF182" i="13"/>
  <c r="CD182" i="13"/>
  <c r="CC182" i="13"/>
  <c r="CB182" i="13"/>
  <c r="CA182" i="13"/>
  <c r="G1624" i="4"/>
  <c r="CN181" i="13"/>
  <c r="F1624" i="4" s="1"/>
  <c r="CM181" i="13"/>
  <c r="CK181" i="13"/>
  <c r="CJ181" i="13"/>
  <c r="CH181" i="13"/>
  <c r="CF181" i="13"/>
  <c r="CD181" i="13"/>
  <c r="CC181" i="13"/>
  <c r="CB181" i="13"/>
  <c r="CA181" i="13"/>
  <c r="G1623" i="4"/>
  <c r="CN180" i="13"/>
  <c r="F1623" i="4" s="1"/>
  <c r="CM180" i="13"/>
  <c r="CK180" i="13"/>
  <c r="CJ180" i="13"/>
  <c r="CH180" i="13"/>
  <c r="CF180" i="13"/>
  <c r="CD180" i="13"/>
  <c r="CC180" i="13"/>
  <c r="CB180" i="13"/>
  <c r="CA180" i="13"/>
  <c r="G1622" i="4"/>
  <c r="CN179" i="13"/>
  <c r="F1622" i="4" s="1"/>
  <c r="CM179" i="13"/>
  <c r="CK179" i="13"/>
  <c r="CJ179" i="13"/>
  <c r="CH179" i="13"/>
  <c r="CF179" i="13"/>
  <c r="CD179" i="13"/>
  <c r="CC179" i="13"/>
  <c r="CB179" i="13"/>
  <c r="CA179" i="13"/>
  <c r="G1621" i="4"/>
  <c r="CN178" i="13"/>
  <c r="F1621" i="4" s="1"/>
  <c r="CM178" i="13"/>
  <c r="CK178" i="13"/>
  <c r="CJ178" i="13"/>
  <c r="CH178" i="13"/>
  <c r="CF178" i="13"/>
  <c r="CD178" i="13"/>
  <c r="CC178" i="13"/>
  <c r="CB178" i="13"/>
  <c r="CA178" i="13"/>
  <c r="G1620" i="4"/>
  <c r="CN177" i="13"/>
  <c r="F1620" i="4" s="1"/>
  <c r="CM177" i="13"/>
  <c r="CK177" i="13"/>
  <c r="CJ177" i="13"/>
  <c r="CH177" i="13"/>
  <c r="CF177" i="13"/>
  <c r="CD177" i="13"/>
  <c r="CC177" i="13"/>
  <c r="CB177" i="13"/>
  <c r="CA177" i="13"/>
  <c r="G1619" i="4"/>
  <c r="CN176" i="13"/>
  <c r="F1619" i="4" s="1"/>
  <c r="CM176" i="13"/>
  <c r="CK176" i="13"/>
  <c r="CJ176" i="13"/>
  <c r="CH176" i="13"/>
  <c r="CF176" i="13"/>
  <c r="CD176" i="13"/>
  <c r="CC176" i="13"/>
  <c r="CB176" i="13"/>
  <c r="CA176" i="13"/>
  <c r="G1618" i="4"/>
  <c r="CN175" i="13"/>
  <c r="F1618" i="4" s="1"/>
  <c r="CM175" i="13"/>
  <c r="CK175" i="13"/>
  <c r="CJ175" i="13"/>
  <c r="CH175" i="13"/>
  <c r="CF175" i="13"/>
  <c r="CD175" i="13"/>
  <c r="CC175" i="13"/>
  <c r="CB175" i="13"/>
  <c r="CA175" i="13"/>
  <c r="G1617" i="4"/>
  <c r="CN174" i="13"/>
  <c r="F1617" i="4" s="1"/>
  <c r="CM174" i="13"/>
  <c r="CK174" i="13"/>
  <c r="CJ174" i="13"/>
  <c r="CH174" i="13"/>
  <c r="CF174" i="13"/>
  <c r="CD174" i="13"/>
  <c r="CC174" i="13"/>
  <c r="CB174" i="13"/>
  <c r="CA174" i="13"/>
  <c r="G1616" i="4"/>
  <c r="CN173" i="13"/>
  <c r="F1616" i="4" s="1"/>
  <c r="CM173" i="13"/>
  <c r="CK173" i="13"/>
  <c r="CJ173" i="13"/>
  <c r="CH173" i="13"/>
  <c r="CF173" i="13"/>
  <c r="CD173" i="13"/>
  <c r="CC173" i="13"/>
  <c r="CB173" i="13"/>
  <c r="CA173" i="13"/>
  <c r="G1615" i="4"/>
  <c r="CN172" i="13"/>
  <c r="F1615" i="4" s="1"/>
  <c r="CM172" i="13"/>
  <c r="CK172" i="13"/>
  <c r="CJ172" i="13"/>
  <c r="CH172" i="13"/>
  <c r="CF172" i="13"/>
  <c r="CD172" i="13"/>
  <c r="CC172" i="13"/>
  <c r="CB172" i="13"/>
  <c r="CA172" i="13"/>
  <c r="G1614" i="4"/>
  <c r="CN171" i="13"/>
  <c r="F1614" i="4" s="1"/>
  <c r="CM171" i="13"/>
  <c r="CK171" i="13"/>
  <c r="CJ171" i="13"/>
  <c r="CH171" i="13"/>
  <c r="CF171" i="13"/>
  <c r="CD171" i="13"/>
  <c r="CC171" i="13"/>
  <c r="CB171" i="13"/>
  <c r="CA171" i="13"/>
  <c r="G1613" i="4"/>
  <c r="CN170" i="13"/>
  <c r="F1613" i="4" s="1"/>
  <c r="CM170" i="13"/>
  <c r="CK170" i="13"/>
  <c r="CJ170" i="13"/>
  <c r="CH170" i="13"/>
  <c r="CF170" i="13"/>
  <c r="CD170" i="13"/>
  <c r="CC170" i="13"/>
  <c r="CB170" i="13"/>
  <c r="CA170" i="13"/>
  <c r="G1612" i="4"/>
  <c r="CN169" i="13"/>
  <c r="F1612" i="4" s="1"/>
  <c r="CM169" i="13"/>
  <c r="CK169" i="13"/>
  <c r="CJ169" i="13"/>
  <c r="CH169" i="13"/>
  <c r="CF169" i="13"/>
  <c r="CD169" i="13"/>
  <c r="CC169" i="13"/>
  <c r="CB169" i="13"/>
  <c r="CA169" i="13"/>
  <c r="G1611" i="4"/>
  <c r="CN168" i="13"/>
  <c r="F1611" i="4" s="1"/>
  <c r="CM168" i="13"/>
  <c r="CK168" i="13"/>
  <c r="CJ168" i="13"/>
  <c r="CH168" i="13"/>
  <c r="CF168" i="13"/>
  <c r="CD168" i="13"/>
  <c r="CC168" i="13"/>
  <c r="CB168" i="13"/>
  <c r="CA168" i="13"/>
  <c r="G1610" i="4"/>
  <c r="CN167" i="13"/>
  <c r="F1610" i="4" s="1"/>
  <c r="CM167" i="13"/>
  <c r="CK167" i="13"/>
  <c r="CJ167" i="13"/>
  <c r="CH167" i="13"/>
  <c r="CF167" i="13"/>
  <c r="CD167" i="13"/>
  <c r="CC167" i="13"/>
  <c r="CB167" i="13"/>
  <c r="CA167" i="13"/>
  <c r="G1609" i="4"/>
  <c r="CN166" i="13"/>
  <c r="F1609" i="4" s="1"/>
  <c r="CM166" i="13"/>
  <c r="CK166" i="13"/>
  <c r="CJ166" i="13"/>
  <c r="CH166" i="13"/>
  <c r="CF166" i="13"/>
  <c r="CD166" i="13"/>
  <c r="CC166" i="13"/>
  <c r="CB166" i="13"/>
  <c r="CA166" i="13"/>
  <c r="G1608" i="4"/>
  <c r="CN165" i="13"/>
  <c r="F1608" i="4" s="1"/>
  <c r="CM165" i="13"/>
  <c r="CK165" i="13"/>
  <c r="CJ165" i="13"/>
  <c r="CH165" i="13"/>
  <c r="CF165" i="13"/>
  <c r="CD165" i="13"/>
  <c r="CC165" i="13"/>
  <c r="CB165" i="13"/>
  <c r="CA165" i="13"/>
  <c r="G1607" i="4"/>
  <c r="CN164" i="13"/>
  <c r="F1607" i="4" s="1"/>
  <c r="CM164" i="13"/>
  <c r="CK164" i="13"/>
  <c r="CJ164" i="13"/>
  <c r="CH164" i="13"/>
  <c r="CF164" i="13"/>
  <c r="CD164" i="13"/>
  <c r="CC164" i="13"/>
  <c r="CB164" i="13"/>
  <c r="CA164" i="13"/>
  <c r="G1606" i="4"/>
  <c r="CN163" i="13"/>
  <c r="F1606" i="4" s="1"/>
  <c r="CM163" i="13"/>
  <c r="CK163" i="13"/>
  <c r="CJ163" i="13"/>
  <c r="CH163" i="13"/>
  <c r="CF163" i="13"/>
  <c r="CD163" i="13"/>
  <c r="CC163" i="13"/>
  <c r="CB163" i="13"/>
  <c r="CA163" i="13"/>
  <c r="G1605" i="4"/>
  <c r="CN162" i="13"/>
  <c r="F1605" i="4" s="1"/>
  <c r="CM162" i="13"/>
  <c r="CK162" i="13"/>
  <c r="CJ162" i="13"/>
  <c r="CH162" i="13"/>
  <c r="CF162" i="13"/>
  <c r="CD162" i="13"/>
  <c r="CC162" i="13"/>
  <c r="CB162" i="13"/>
  <c r="CA162" i="13"/>
  <c r="G1604" i="4"/>
  <c r="CN161" i="13"/>
  <c r="F1604" i="4" s="1"/>
  <c r="CM161" i="13"/>
  <c r="CK161" i="13"/>
  <c r="CJ161" i="13"/>
  <c r="CH161" i="13"/>
  <c r="CF161" i="13"/>
  <c r="CD161" i="13"/>
  <c r="CC161" i="13"/>
  <c r="CB161" i="13"/>
  <c r="CA161" i="13"/>
  <c r="G1603" i="4"/>
  <c r="CN160" i="13"/>
  <c r="F1603" i="4" s="1"/>
  <c r="CM160" i="13"/>
  <c r="CK160" i="13"/>
  <c r="CJ160" i="13"/>
  <c r="CH160" i="13"/>
  <c r="CF160" i="13"/>
  <c r="CD160" i="13"/>
  <c r="CC160" i="13"/>
  <c r="CB160" i="13"/>
  <c r="CA160" i="13"/>
  <c r="G1602" i="4"/>
  <c r="CN159" i="13"/>
  <c r="F1602" i="4" s="1"/>
  <c r="CM159" i="13"/>
  <c r="CK159" i="13"/>
  <c r="CJ159" i="13"/>
  <c r="CH159" i="13"/>
  <c r="CF159" i="13"/>
  <c r="CD159" i="13"/>
  <c r="CC159" i="13"/>
  <c r="CB159" i="13"/>
  <c r="CA159" i="13"/>
  <c r="G1601" i="4"/>
  <c r="CN158" i="13"/>
  <c r="F1601" i="4" s="1"/>
  <c r="CM158" i="13"/>
  <c r="CK158" i="13"/>
  <c r="CJ158" i="13"/>
  <c r="CH158" i="13"/>
  <c r="CF158" i="13"/>
  <c r="CD158" i="13"/>
  <c r="CC158" i="13"/>
  <c r="CB158" i="13"/>
  <c r="CA158" i="13"/>
  <c r="G1600" i="4"/>
  <c r="CN157" i="13"/>
  <c r="F1600" i="4" s="1"/>
  <c r="CM157" i="13"/>
  <c r="CK157" i="13"/>
  <c r="CJ157" i="13"/>
  <c r="CH157" i="13"/>
  <c r="CF157" i="13"/>
  <c r="CD157" i="13"/>
  <c r="CC157" i="13"/>
  <c r="CB157" i="13"/>
  <c r="CA157" i="13"/>
  <c r="G1599" i="4"/>
  <c r="CN156" i="13"/>
  <c r="F1599" i="4" s="1"/>
  <c r="CM156" i="13"/>
  <c r="CK156" i="13"/>
  <c r="CJ156" i="13"/>
  <c r="CH156" i="13"/>
  <c r="CF156" i="13"/>
  <c r="CD156" i="13"/>
  <c r="CC156" i="13"/>
  <c r="CB156" i="13"/>
  <c r="CA156" i="13"/>
  <c r="G1598" i="4"/>
  <c r="CN155" i="13"/>
  <c r="F1598" i="4" s="1"/>
  <c r="CM155" i="13"/>
  <c r="CK155" i="13"/>
  <c r="CJ155" i="13"/>
  <c r="CH155" i="13"/>
  <c r="CF155" i="13"/>
  <c r="CD155" i="13"/>
  <c r="CC155" i="13"/>
  <c r="CB155" i="13"/>
  <c r="CA155" i="13"/>
  <c r="G1597" i="4"/>
  <c r="CN154" i="13"/>
  <c r="F1597" i="4" s="1"/>
  <c r="CM154" i="13"/>
  <c r="CK154" i="13"/>
  <c r="CJ154" i="13"/>
  <c r="CH154" i="13"/>
  <c r="CF154" i="13"/>
  <c r="CD154" i="13"/>
  <c r="CC154" i="13"/>
  <c r="CB154" i="13"/>
  <c r="CA154" i="13"/>
  <c r="G1596" i="4"/>
  <c r="CN153" i="13"/>
  <c r="F1596" i="4" s="1"/>
  <c r="CM153" i="13"/>
  <c r="CK153" i="13"/>
  <c r="CJ153" i="13"/>
  <c r="CH153" i="13"/>
  <c r="CF153" i="13"/>
  <c r="CD153" i="13"/>
  <c r="CC153" i="13"/>
  <c r="CB153" i="13"/>
  <c r="CA153" i="13"/>
  <c r="G1595" i="4"/>
  <c r="CN152" i="13"/>
  <c r="F1595" i="4" s="1"/>
  <c r="CM152" i="13"/>
  <c r="CK152" i="13"/>
  <c r="CJ152" i="13"/>
  <c r="CH152" i="13"/>
  <c r="CF152" i="13"/>
  <c r="CD152" i="13"/>
  <c r="CC152" i="13"/>
  <c r="CB152" i="13"/>
  <c r="CA152" i="13"/>
  <c r="G1594" i="4"/>
  <c r="CN151" i="13"/>
  <c r="F1594" i="4" s="1"/>
  <c r="CM151" i="13"/>
  <c r="CK151" i="13"/>
  <c r="CJ151" i="13"/>
  <c r="CH151" i="13"/>
  <c r="CF151" i="13"/>
  <c r="CD151" i="13"/>
  <c r="CC151" i="13"/>
  <c r="CB151" i="13"/>
  <c r="CA151" i="13"/>
  <c r="G1593" i="4"/>
  <c r="CN150" i="13"/>
  <c r="F1593" i="4" s="1"/>
  <c r="CM150" i="13"/>
  <c r="CK150" i="13"/>
  <c r="CJ150" i="13"/>
  <c r="CH150" i="13"/>
  <c r="CF150" i="13"/>
  <c r="CD150" i="13"/>
  <c r="CC150" i="13"/>
  <c r="CB150" i="13"/>
  <c r="CA150" i="13"/>
  <c r="G1592" i="4"/>
  <c r="CN149" i="13"/>
  <c r="F1592" i="4" s="1"/>
  <c r="CM149" i="13"/>
  <c r="CK149" i="13"/>
  <c r="CJ149" i="13"/>
  <c r="CH149" i="13"/>
  <c r="CF149" i="13"/>
  <c r="CD149" i="13"/>
  <c r="CC149" i="13"/>
  <c r="CB149" i="13"/>
  <c r="CA149" i="13"/>
  <c r="G1591" i="4"/>
  <c r="CN148" i="13"/>
  <c r="F1591" i="4" s="1"/>
  <c r="CM148" i="13"/>
  <c r="CK148" i="13"/>
  <c r="CJ148" i="13"/>
  <c r="CH148" i="13"/>
  <c r="CF148" i="13"/>
  <c r="CD148" i="13"/>
  <c r="CC148" i="13"/>
  <c r="CB148" i="13"/>
  <c r="CA148" i="13"/>
  <c r="G1590" i="4"/>
  <c r="CN147" i="13"/>
  <c r="F1590" i="4" s="1"/>
  <c r="CM147" i="13"/>
  <c r="CK147" i="13"/>
  <c r="CJ147" i="13"/>
  <c r="CH147" i="13"/>
  <c r="CF147" i="13"/>
  <c r="CD147" i="13"/>
  <c r="CC147" i="13"/>
  <c r="CB147" i="13"/>
  <c r="CA147" i="13"/>
  <c r="G1589" i="4"/>
  <c r="CN146" i="13"/>
  <c r="F1589" i="4" s="1"/>
  <c r="CM146" i="13"/>
  <c r="H1589" i="4" s="1"/>
  <c r="CK146" i="13"/>
  <c r="CJ146" i="13"/>
  <c r="CH146" i="13"/>
  <c r="CF146" i="13"/>
  <c r="CD146" i="13"/>
  <c r="CC146" i="13"/>
  <c r="CB146" i="13"/>
  <c r="CA146" i="13"/>
  <c r="G1588" i="4"/>
  <c r="CN145" i="13"/>
  <c r="F1588" i="4" s="1"/>
  <c r="CM145" i="13"/>
  <c r="H1588" i="4" s="1"/>
  <c r="CK145" i="13"/>
  <c r="CJ145" i="13"/>
  <c r="CH145" i="13"/>
  <c r="CF145" i="13"/>
  <c r="CD145" i="13"/>
  <c r="CC145" i="13"/>
  <c r="CB145" i="13"/>
  <c r="CA145" i="13"/>
  <c r="G1587" i="4"/>
  <c r="CN144" i="13"/>
  <c r="F1587" i="4" s="1"/>
  <c r="CM144" i="13"/>
  <c r="H1587" i="4" s="1"/>
  <c r="CK144" i="13"/>
  <c r="CJ144" i="13"/>
  <c r="CH144" i="13"/>
  <c r="CF144" i="13"/>
  <c r="CD144" i="13"/>
  <c r="CC144" i="13"/>
  <c r="CB144" i="13"/>
  <c r="CA144" i="13"/>
  <c r="G1586" i="4"/>
  <c r="CN143" i="13"/>
  <c r="F1586" i="4" s="1"/>
  <c r="CM143" i="13"/>
  <c r="H1586" i="4" s="1"/>
  <c r="CK143" i="13"/>
  <c r="CJ143" i="13"/>
  <c r="CH143" i="13"/>
  <c r="CF143" i="13"/>
  <c r="CD143" i="13"/>
  <c r="CC143" i="13"/>
  <c r="CB143" i="13"/>
  <c r="CA143" i="13"/>
  <c r="G1585" i="4"/>
  <c r="CN142" i="13"/>
  <c r="F1585" i="4" s="1"/>
  <c r="CM142" i="13"/>
  <c r="H1585" i="4" s="1"/>
  <c r="CK142" i="13"/>
  <c r="CJ142" i="13"/>
  <c r="CH142" i="13"/>
  <c r="CF142" i="13"/>
  <c r="CD142" i="13"/>
  <c r="CC142" i="13"/>
  <c r="CB142" i="13"/>
  <c r="CA142" i="13"/>
  <c r="G1584" i="4"/>
  <c r="CN141" i="13"/>
  <c r="F1584" i="4" s="1"/>
  <c r="CM141" i="13"/>
  <c r="H1584" i="4" s="1"/>
  <c r="CK141" i="13"/>
  <c r="CJ141" i="13"/>
  <c r="CH141" i="13"/>
  <c r="CF141" i="13"/>
  <c r="CD141" i="13"/>
  <c r="CC141" i="13"/>
  <c r="CB141" i="13"/>
  <c r="CA141" i="13"/>
  <c r="G1583" i="4"/>
  <c r="CN140" i="13"/>
  <c r="F1583" i="4" s="1"/>
  <c r="CM140" i="13"/>
  <c r="H1583" i="4" s="1"/>
  <c r="CK140" i="13"/>
  <c r="CJ140" i="13"/>
  <c r="CH140" i="13"/>
  <c r="CF140" i="13"/>
  <c r="CD140" i="13"/>
  <c r="CC140" i="13"/>
  <c r="CB140" i="13"/>
  <c r="CA140" i="13"/>
  <c r="G1582" i="4"/>
  <c r="CN139" i="13"/>
  <c r="F1582" i="4" s="1"/>
  <c r="CM139" i="13"/>
  <c r="H1582" i="4" s="1"/>
  <c r="CK139" i="13"/>
  <c r="CJ139" i="13"/>
  <c r="CH139" i="13"/>
  <c r="CF139" i="13"/>
  <c r="CD139" i="13"/>
  <c r="CC139" i="13"/>
  <c r="CB139" i="13"/>
  <c r="CA139" i="13"/>
  <c r="G1581" i="4"/>
  <c r="CN138" i="13"/>
  <c r="F1581" i="4" s="1"/>
  <c r="CM138" i="13"/>
  <c r="H1581" i="4" s="1"/>
  <c r="CK138" i="13"/>
  <c r="CJ138" i="13"/>
  <c r="CH138" i="13"/>
  <c r="CF138" i="13"/>
  <c r="CD138" i="13"/>
  <c r="CC138" i="13"/>
  <c r="CB138" i="13"/>
  <c r="CA138" i="13"/>
  <c r="G1580" i="4"/>
  <c r="CN137" i="13"/>
  <c r="F1580" i="4" s="1"/>
  <c r="CM137" i="13"/>
  <c r="H1580" i="4" s="1"/>
  <c r="CK137" i="13"/>
  <c r="CJ137" i="13"/>
  <c r="CH137" i="13"/>
  <c r="CF137" i="13"/>
  <c r="CD137" i="13"/>
  <c r="CC137" i="13"/>
  <c r="CB137" i="13"/>
  <c r="CA137" i="13"/>
  <c r="G1579" i="4"/>
  <c r="CN136" i="13"/>
  <c r="F1579" i="4" s="1"/>
  <c r="CM136" i="13"/>
  <c r="H1579" i="4" s="1"/>
  <c r="CK136" i="13"/>
  <c r="CJ136" i="13"/>
  <c r="CH136" i="13"/>
  <c r="CF136" i="13"/>
  <c r="CD136" i="13"/>
  <c r="CC136" i="13"/>
  <c r="CB136" i="13"/>
  <c r="CA136" i="13"/>
  <c r="BZ136" i="13"/>
  <c r="BZ148" i="13" s="1"/>
  <c r="BZ160" i="13" s="1"/>
  <c r="BZ172" i="13" s="1"/>
  <c r="BZ184" i="13" s="1"/>
  <c r="BZ196" i="13" s="1"/>
  <c r="BZ208" i="13" s="1"/>
  <c r="BZ220" i="13" s="1"/>
  <c r="BZ232" i="13" s="1"/>
  <c r="BZ244" i="13" s="1"/>
  <c r="BZ256" i="13" s="1"/>
  <c r="BZ268" i="13" s="1"/>
  <c r="BZ280" i="13" s="1"/>
  <c r="BZ292" i="13" s="1"/>
  <c r="BZ304" i="13" s="1"/>
  <c r="BZ316" i="13" s="1"/>
  <c r="BZ328" i="13" s="1"/>
  <c r="BZ340" i="13" s="1"/>
  <c r="BZ352" i="13" s="1"/>
  <c r="BZ364" i="13" s="1"/>
  <c r="G1578" i="4"/>
  <c r="CN135" i="13"/>
  <c r="F1578" i="4" s="1"/>
  <c r="CM135" i="13"/>
  <c r="H1578" i="4" s="1"/>
  <c r="CK135" i="13"/>
  <c r="CJ135" i="13"/>
  <c r="CH135" i="13"/>
  <c r="CF135" i="13"/>
  <c r="CD135" i="13"/>
  <c r="CC135" i="13"/>
  <c r="CB135" i="13"/>
  <c r="CA135" i="13"/>
  <c r="BZ135" i="13"/>
  <c r="BZ147" i="13" s="1"/>
  <c r="BZ159" i="13" s="1"/>
  <c r="BZ171" i="13" s="1"/>
  <c r="BZ183" i="13" s="1"/>
  <c r="BZ195" i="13" s="1"/>
  <c r="BZ207" i="13" s="1"/>
  <c r="BZ219" i="13" s="1"/>
  <c r="BZ231" i="13" s="1"/>
  <c r="BZ243" i="13" s="1"/>
  <c r="BZ255" i="13" s="1"/>
  <c r="BZ267" i="13" s="1"/>
  <c r="BZ279" i="13" s="1"/>
  <c r="BZ291" i="13" s="1"/>
  <c r="BZ303" i="13" s="1"/>
  <c r="BZ315" i="13" s="1"/>
  <c r="BZ327" i="13" s="1"/>
  <c r="BZ339" i="13" s="1"/>
  <c r="BZ351" i="13" s="1"/>
  <c r="BZ363" i="13" s="1"/>
  <c r="G1577" i="4"/>
  <c r="CN134" i="13"/>
  <c r="F1577" i="4" s="1"/>
  <c r="CM134" i="13"/>
  <c r="H1577" i="4" s="1"/>
  <c r="CK134" i="13"/>
  <c r="CJ134" i="13"/>
  <c r="CH134" i="13"/>
  <c r="CF134" i="13"/>
  <c r="CD134" i="13"/>
  <c r="CC134" i="13"/>
  <c r="CB134" i="13"/>
  <c r="CA134" i="13"/>
  <c r="BZ134" i="13"/>
  <c r="BZ146" i="13" s="1"/>
  <c r="BZ158" i="13" s="1"/>
  <c r="BZ170" i="13" s="1"/>
  <c r="BZ182" i="13" s="1"/>
  <c r="BZ194" i="13" s="1"/>
  <c r="BZ206" i="13" s="1"/>
  <c r="BZ218" i="13" s="1"/>
  <c r="BZ230" i="13" s="1"/>
  <c r="BZ242" i="13" s="1"/>
  <c r="BZ254" i="13" s="1"/>
  <c r="BZ266" i="13" s="1"/>
  <c r="BZ278" i="13" s="1"/>
  <c r="BZ290" i="13" s="1"/>
  <c r="BZ302" i="13" s="1"/>
  <c r="BZ314" i="13" s="1"/>
  <c r="BZ326" i="13" s="1"/>
  <c r="BZ338" i="13" s="1"/>
  <c r="BZ350" i="13" s="1"/>
  <c r="BZ362" i="13" s="1"/>
  <c r="G1576" i="4"/>
  <c r="CN133" i="13"/>
  <c r="F1576" i="4" s="1"/>
  <c r="CM133" i="13"/>
  <c r="H1576" i="4" s="1"/>
  <c r="CK133" i="13"/>
  <c r="CJ133" i="13"/>
  <c r="CH133" i="13"/>
  <c r="CF133" i="13"/>
  <c r="CD133" i="13"/>
  <c r="CA133" i="13"/>
  <c r="BZ133" i="13"/>
  <c r="BZ145" i="13" s="1"/>
  <c r="BZ157" i="13" s="1"/>
  <c r="BZ169" i="13" s="1"/>
  <c r="BZ181" i="13" s="1"/>
  <c r="BZ193" i="13" s="1"/>
  <c r="BZ205" i="13" s="1"/>
  <c r="BZ217" i="13" s="1"/>
  <c r="BZ229" i="13" s="1"/>
  <c r="BZ241" i="13" s="1"/>
  <c r="BZ253" i="13" s="1"/>
  <c r="BZ265" i="13" s="1"/>
  <c r="BZ277" i="13" s="1"/>
  <c r="BZ289" i="13" s="1"/>
  <c r="BZ301" i="13" s="1"/>
  <c r="BZ313" i="13" s="1"/>
  <c r="BZ325" i="13" s="1"/>
  <c r="BZ337" i="13" s="1"/>
  <c r="BZ349" i="13" s="1"/>
  <c r="BZ361" i="13" s="1"/>
  <c r="BZ132" i="13"/>
  <c r="BZ144" i="13" s="1"/>
  <c r="BZ156" i="13" s="1"/>
  <c r="BZ168" i="13" s="1"/>
  <c r="BZ180" i="13" s="1"/>
  <c r="BZ192" i="13" s="1"/>
  <c r="BZ204" i="13" s="1"/>
  <c r="BZ216" i="13" s="1"/>
  <c r="BZ228" i="13" s="1"/>
  <c r="BZ240" i="13" s="1"/>
  <c r="BZ252" i="13" s="1"/>
  <c r="BZ264" i="13" s="1"/>
  <c r="BZ276" i="13" s="1"/>
  <c r="BZ288" i="13" s="1"/>
  <c r="BZ300" i="13" s="1"/>
  <c r="BZ312" i="13" s="1"/>
  <c r="BZ324" i="13" s="1"/>
  <c r="BZ336" i="13" s="1"/>
  <c r="BZ348" i="13" s="1"/>
  <c r="BZ360" i="13" s="1"/>
  <c r="BZ131" i="13"/>
  <c r="BZ143" i="13" s="1"/>
  <c r="BZ155" i="13" s="1"/>
  <c r="BZ167" i="13" s="1"/>
  <c r="BZ179" i="13" s="1"/>
  <c r="BZ191" i="13" s="1"/>
  <c r="BZ203" i="13" s="1"/>
  <c r="BZ215" i="13" s="1"/>
  <c r="BZ227" i="13" s="1"/>
  <c r="BZ239" i="13" s="1"/>
  <c r="BZ251" i="13" s="1"/>
  <c r="BZ263" i="13" s="1"/>
  <c r="BZ275" i="13" s="1"/>
  <c r="BZ287" i="13" s="1"/>
  <c r="BZ299" i="13" s="1"/>
  <c r="BZ311" i="13" s="1"/>
  <c r="BZ323" i="13" s="1"/>
  <c r="BZ335" i="13" s="1"/>
  <c r="BZ347" i="13" s="1"/>
  <c r="BZ359" i="13" s="1"/>
  <c r="BZ130" i="13"/>
  <c r="BZ142" i="13" s="1"/>
  <c r="BZ154" i="13" s="1"/>
  <c r="BZ166" i="13" s="1"/>
  <c r="BZ178" i="13" s="1"/>
  <c r="BZ190" i="13" s="1"/>
  <c r="BZ202" i="13" s="1"/>
  <c r="BZ214" i="13" s="1"/>
  <c r="BZ226" i="13" s="1"/>
  <c r="BZ238" i="13" s="1"/>
  <c r="BZ250" i="13" s="1"/>
  <c r="BZ262" i="13" s="1"/>
  <c r="BZ274" i="13" s="1"/>
  <c r="BZ286" i="13" s="1"/>
  <c r="BZ298" i="13" s="1"/>
  <c r="BZ310" i="13" s="1"/>
  <c r="BZ322" i="13" s="1"/>
  <c r="BZ334" i="13" s="1"/>
  <c r="BZ346" i="13" s="1"/>
  <c r="BZ358" i="13" s="1"/>
  <c r="BZ129" i="13"/>
  <c r="BZ141" i="13" s="1"/>
  <c r="BZ153" i="13" s="1"/>
  <c r="BZ165" i="13" s="1"/>
  <c r="BZ177" i="13" s="1"/>
  <c r="BZ189" i="13" s="1"/>
  <c r="BZ201" i="13" s="1"/>
  <c r="BZ213" i="13" s="1"/>
  <c r="BZ225" i="13" s="1"/>
  <c r="BZ237" i="13" s="1"/>
  <c r="BZ249" i="13" s="1"/>
  <c r="BZ261" i="13" s="1"/>
  <c r="BZ273" i="13" s="1"/>
  <c r="BZ285" i="13" s="1"/>
  <c r="BZ297" i="13" s="1"/>
  <c r="BZ309" i="13" s="1"/>
  <c r="BZ321" i="13" s="1"/>
  <c r="BZ333" i="13" s="1"/>
  <c r="BZ345" i="13" s="1"/>
  <c r="BZ357" i="13" s="1"/>
  <c r="BZ128" i="13"/>
  <c r="BZ140" i="13" s="1"/>
  <c r="BZ152" i="13" s="1"/>
  <c r="BZ164" i="13" s="1"/>
  <c r="BZ176" i="13" s="1"/>
  <c r="BZ188" i="13" s="1"/>
  <c r="BZ200" i="13" s="1"/>
  <c r="BZ212" i="13" s="1"/>
  <c r="BZ224" i="13" s="1"/>
  <c r="BZ236" i="13" s="1"/>
  <c r="BZ248" i="13" s="1"/>
  <c r="BZ260" i="13" s="1"/>
  <c r="BZ272" i="13" s="1"/>
  <c r="BZ284" i="13" s="1"/>
  <c r="BZ296" i="13" s="1"/>
  <c r="BZ308" i="13" s="1"/>
  <c r="BZ320" i="13" s="1"/>
  <c r="BZ332" i="13" s="1"/>
  <c r="BZ344" i="13" s="1"/>
  <c r="BZ356" i="13" s="1"/>
  <c r="BZ127" i="13"/>
  <c r="BZ139" i="13" s="1"/>
  <c r="BZ151" i="13" s="1"/>
  <c r="BZ163" i="13" s="1"/>
  <c r="BZ175" i="13" s="1"/>
  <c r="BZ187" i="13" s="1"/>
  <c r="BZ199" i="13" s="1"/>
  <c r="BZ211" i="13" s="1"/>
  <c r="BZ223" i="13" s="1"/>
  <c r="BZ235" i="13" s="1"/>
  <c r="BZ247" i="13" s="1"/>
  <c r="BZ259" i="13" s="1"/>
  <c r="BZ271" i="13" s="1"/>
  <c r="BZ283" i="13" s="1"/>
  <c r="BZ295" i="13" s="1"/>
  <c r="BZ307" i="13" s="1"/>
  <c r="BZ319" i="13" s="1"/>
  <c r="BZ331" i="13" s="1"/>
  <c r="BZ343" i="13" s="1"/>
  <c r="BZ355" i="13" s="1"/>
  <c r="BZ126" i="13"/>
  <c r="BZ138" i="13" s="1"/>
  <c r="BZ150" i="13" s="1"/>
  <c r="BZ162" i="13" s="1"/>
  <c r="BZ174" i="13" s="1"/>
  <c r="BZ186" i="13" s="1"/>
  <c r="BZ198" i="13" s="1"/>
  <c r="BZ210" i="13" s="1"/>
  <c r="BZ222" i="13" s="1"/>
  <c r="BZ234" i="13" s="1"/>
  <c r="BZ246" i="13" s="1"/>
  <c r="BZ258" i="13" s="1"/>
  <c r="BZ270" i="13" s="1"/>
  <c r="BZ282" i="13" s="1"/>
  <c r="BZ294" i="13" s="1"/>
  <c r="BZ306" i="13" s="1"/>
  <c r="BZ318" i="13" s="1"/>
  <c r="BZ330" i="13" s="1"/>
  <c r="BZ342" i="13" s="1"/>
  <c r="BZ354" i="13" s="1"/>
  <c r="BZ125" i="13"/>
  <c r="BZ137" i="13" s="1"/>
  <c r="BZ149" i="13" s="1"/>
  <c r="BZ161" i="13" s="1"/>
  <c r="BZ173" i="13" s="1"/>
  <c r="BZ185" i="13" s="1"/>
  <c r="BZ197" i="13" s="1"/>
  <c r="BZ209" i="13" s="1"/>
  <c r="BZ221" i="13" s="1"/>
  <c r="BZ233" i="13" s="1"/>
  <c r="BZ245" i="13" s="1"/>
  <c r="BZ257" i="13" s="1"/>
  <c r="BZ269" i="13" s="1"/>
  <c r="BZ281" i="13" s="1"/>
  <c r="BZ293" i="13" s="1"/>
  <c r="BZ305" i="13" s="1"/>
  <c r="BZ317" i="13" s="1"/>
  <c r="BZ329" i="13" s="1"/>
  <c r="BZ341" i="13" s="1"/>
  <c r="BZ353" i="13" s="1"/>
  <c r="BY28" i="13"/>
  <c r="CA28" i="13" s="1"/>
  <c r="BY27" i="13"/>
  <c r="CA27" i="13" s="1"/>
  <c r="BY26" i="13"/>
  <c r="CA26" i="13" s="1"/>
  <c r="BY25" i="13"/>
  <c r="CA25" i="13" s="1"/>
  <c r="BY24" i="13"/>
  <c r="BY36" i="13" s="1"/>
  <c r="CA36" i="13" s="1"/>
  <c r="BY23" i="13"/>
  <c r="CA23" i="13" s="1"/>
  <c r="BY22" i="13"/>
  <c r="CA22" i="13" s="1"/>
  <c r="BY21" i="13"/>
  <c r="CA21" i="13" s="1"/>
  <c r="BY20" i="13"/>
  <c r="BY32" i="13" s="1"/>
  <c r="BY19" i="13"/>
  <c r="BY31" i="13" s="1"/>
  <c r="CA31" i="13" s="1"/>
  <c r="BY18" i="13"/>
  <c r="BY30" i="13" s="1"/>
  <c r="BY42" i="13" s="1"/>
  <c r="BY17" i="13"/>
  <c r="BY29" i="13" s="1"/>
  <c r="CA16" i="13"/>
  <c r="CA15" i="13"/>
  <c r="CA14" i="13"/>
  <c r="CA13" i="13"/>
  <c r="CA12" i="13"/>
  <c r="CA11" i="13"/>
  <c r="CA10" i="13"/>
  <c r="CA9" i="13"/>
  <c r="CA8" i="13"/>
  <c r="CA7" i="13"/>
  <c r="CA6" i="13"/>
  <c r="CE5" i="13"/>
  <c r="CF5" i="13" s="1"/>
  <c r="CK5" i="13" s="1"/>
  <c r="CD5" i="13"/>
  <c r="CC5" i="13"/>
  <c r="CA5" i="13"/>
  <c r="G1446" i="4"/>
  <c r="BU364" i="13"/>
  <c r="F1446" i="4" s="1"/>
  <c r="BT364" i="13"/>
  <c r="H1446" i="4" s="1"/>
  <c r="BR364" i="13"/>
  <c r="BQ364" i="13"/>
  <c r="BO364" i="13"/>
  <c r="BM364" i="13"/>
  <c r="BK364" i="13"/>
  <c r="BJ364" i="13"/>
  <c r="BI364" i="13"/>
  <c r="BH364" i="13"/>
  <c r="G1445" i="4"/>
  <c r="BU363" i="13"/>
  <c r="F1445" i="4" s="1"/>
  <c r="BT363" i="13"/>
  <c r="H1445" i="4" s="1"/>
  <c r="BR363" i="13"/>
  <c r="BQ363" i="13"/>
  <c r="BO363" i="13"/>
  <c r="BM363" i="13"/>
  <c r="BK363" i="13"/>
  <c r="BJ363" i="13"/>
  <c r="BI363" i="13"/>
  <c r="BH363" i="13"/>
  <c r="G1444" i="4"/>
  <c r="BU362" i="13"/>
  <c r="F1444" i="4" s="1"/>
  <c r="BT362" i="13"/>
  <c r="H1444" i="4" s="1"/>
  <c r="BR362" i="13"/>
  <c r="BQ362" i="13"/>
  <c r="BO362" i="13"/>
  <c r="BM362" i="13"/>
  <c r="BK362" i="13"/>
  <c r="BJ362" i="13"/>
  <c r="BI362" i="13"/>
  <c r="BH362" i="13"/>
  <c r="G1443" i="4"/>
  <c r="BU361" i="13"/>
  <c r="F1443" i="4" s="1"/>
  <c r="BT361" i="13"/>
  <c r="H1443" i="4" s="1"/>
  <c r="BR361" i="13"/>
  <c r="BQ361" i="13"/>
  <c r="BO361" i="13"/>
  <c r="BM361" i="13"/>
  <c r="BK361" i="13"/>
  <c r="BJ361" i="13"/>
  <c r="BI361" i="13"/>
  <c r="BH361" i="13"/>
  <c r="G1442" i="4"/>
  <c r="BU360" i="13"/>
  <c r="F1442" i="4" s="1"/>
  <c r="BT360" i="13"/>
  <c r="H1442" i="4" s="1"/>
  <c r="BR360" i="13"/>
  <c r="BQ360" i="13"/>
  <c r="BO360" i="13"/>
  <c r="BM360" i="13"/>
  <c r="BK360" i="13"/>
  <c r="BJ360" i="13"/>
  <c r="BI360" i="13"/>
  <c r="BH360" i="13"/>
  <c r="G1441" i="4"/>
  <c r="BU359" i="13"/>
  <c r="F1441" i="4" s="1"/>
  <c r="BT359" i="13"/>
  <c r="H1441" i="4" s="1"/>
  <c r="BR359" i="13"/>
  <c r="BQ359" i="13"/>
  <c r="BO359" i="13"/>
  <c r="BM359" i="13"/>
  <c r="BK359" i="13"/>
  <c r="BJ359" i="13"/>
  <c r="BI359" i="13"/>
  <c r="BH359" i="13"/>
  <c r="G1440" i="4"/>
  <c r="BU358" i="13"/>
  <c r="F1440" i="4" s="1"/>
  <c r="BT358" i="13"/>
  <c r="H1440" i="4" s="1"/>
  <c r="BR358" i="13"/>
  <c r="BQ358" i="13"/>
  <c r="BO358" i="13"/>
  <c r="BM358" i="13"/>
  <c r="BK358" i="13"/>
  <c r="BJ358" i="13"/>
  <c r="BI358" i="13"/>
  <c r="BH358" i="13"/>
  <c r="G1439" i="4"/>
  <c r="BU357" i="13"/>
  <c r="F1439" i="4" s="1"/>
  <c r="BT357" i="13"/>
  <c r="H1439" i="4" s="1"/>
  <c r="BR357" i="13"/>
  <c r="BQ357" i="13"/>
  <c r="BO357" i="13"/>
  <c r="BM357" i="13"/>
  <c r="BK357" i="13"/>
  <c r="BJ357" i="13"/>
  <c r="BI357" i="13"/>
  <c r="BH357" i="13"/>
  <c r="G1438" i="4"/>
  <c r="BU356" i="13"/>
  <c r="F1438" i="4" s="1"/>
  <c r="BT356" i="13"/>
  <c r="H1438" i="4" s="1"/>
  <c r="BR356" i="13"/>
  <c r="BQ356" i="13"/>
  <c r="BO356" i="13"/>
  <c r="BM356" i="13"/>
  <c r="BK356" i="13"/>
  <c r="BJ356" i="13"/>
  <c r="BI356" i="13"/>
  <c r="BH356" i="13"/>
  <c r="G1437" i="4"/>
  <c r="BU355" i="13"/>
  <c r="F1437" i="4" s="1"/>
  <c r="BT355" i="13"/>
  <c r="H1437" i="4" s="1"/>
  <c r="BR355" i="13"/>
  <c r="BQ355" i="13"/>
  <c r="BO355" i="13"/>
  <c r="BM355" i="13"/>
  <c r="BK355" i="13"/>
  <c r="BJ355" i="13"/>
  <c r="BI355" i="13"/>
  <c r="BH355" i="13"/>
  <c r="G1436" i="4"/>
  <c r="BU354" i="13"/>
  <c r="F1436" i="4" s="1"/>
  <c r="BT354" i="13"/>
  <c r="H1436" i="4" s="1"/>
  <c r="BR354" i="13"/>
  <c r="BQ354" i="13"/>
  <c r="BO354" i="13"/>
  <c r="BM354" i="13"/>
  <c r="BK354" i="13"/>
  <c r="BJ354" i="13"/>
  <c r="BI354" i="13"/>
  <c r="BH354" i="13"/>
  <c r="G1435" i="4"/>
  <c r="BU353" i="13"/>
  <c r="F1435" i="4" s="1"/>
  <c r="BT353" i="13"/>
  <c r="H1435" i="4" s="1"/>
  <c r="BR353" i="13"/>
  <c r="BQ353" i="13"/>
  <c r="BO353" i="13"/>
  <c r="BM353" i="13"/>
  <c r="BK353" i="13"/>
  <c r="BJ353" i="13"/>
  <c r="BI353" i="13"/>
  <c r="BH353" i="13"/>
  <c r="G1434" i="4"/>
  <c r="BU352" i="13"/>
  <c r="F1434" i="4" s="1"/>
  <c r="BT352" i="13"/>
  <c r="H1434" i="4" s="1"/>
  <c r="BR352" i="13"/>
  <c r="BQ352" i="13"/>
  <c r="BO352" i="13"/>
  <c r="BM352" i="13"/>
  <c r="BK352" i="13"/>
  <c r="BJ352" i="13"/>
  <c r="BI352" i="13"/>
  <c r="BH352" i="13"/>
  <c r="G1433" i="4"/>
  <c r="BU351" i="13"/>
  <c r="F1433" i="4" s="1"/>
  <c r="BT351" i="13"/>
  <c r="H1433" i="4" s="1"/>
  <c r="BR351" i="13"/>
  <c r="BQ351" i="13"/>
  <c r="BO351" i="13"/>
  <c r="BM351" i="13"/>
  <c r="BK351" i="13"/>
  <c r="BJ351" i="13"/>
  <c r="BI351" i="13"/>
  <c r="BH351" i="13"/>
  <c r="G1432" i="4"/>
  <c r="BU350" i="13"/>
  <c r="F1432" i="4" s="1"/>
  <c r="BT350" i="13"/>
  <c r="H1432" i="4" s="1"/>
  <c r="BR350" i="13"/>
  <c r="BQ350" i="13"/>
  <c r="BO350" i="13"/>
  <c r="BM350" i="13"/>
  <c r="BK350" i="13"/>
  <c r="BJ350" i="13"/>
  <c r="BI350" i="13"/>
  <c r="BH350" i="13"/>
  <c r="G1431" i="4"/>
  <c r="BU349" i="13"/>
  <c r="F1431" i="4" s="1"/>
  <c r="BT349" i="13"/>
  <c r="H1431" i="4" s="1"/>
  <c r="BR349" i="13"/>
  <c r="BQ349" i="13"/>
  <c r="BO349" i="13"/>
  <c r="BM349" i="13"/>
  <c r="BK349" i="13"/>
  <c r="BJ349" i="13"/>
  <c r="BI349" i="13"/>
  <c r="BH349" i="13"/>
  <c r="G1430" i="4"/>
  <c r="BU348" i="13"/>
  <c r="F1430" i="4" s="1"/>
  <c r="BT348" i="13"/>
  <c r="H1430" i="4" s="1"/>
  <c r="BR348" i="13"/>
  <c r="BQ348" i="13"/>
  <c r="BO348" i="13"/>
  <c r="BM348" i="13"/>
  <c r="BK348" i="13"/>
  <c r="BJ348" i="13"/>
  <c r="BI348" i="13"/>
  <c r="BH348" i="13"/>
  <c r="G1429" i="4"/>
  <c r="BU347" i="13"/>
  <c r="F1429" i="4" s="1"/>
  <c r="BT347" i="13"/>
  <c r="H1429" i="4" s="1"/>
  <c r="BR347" i="13"/>
  <c r="BQ347" i="13"/>
  <c r="BO347" i="13"/>
  <c r="BM347" i="13"/>
  <c r="BK347" i="13"/>
  <c r="BJ347" i="13"/>
  <c r="BI347" i="13"/>
  <c r="BH347" i="13"/>
  <c r="G1428" i="4"/>
  <c r="BU346" i="13"/>
  <c r="F1428" i="4" s="1"/>
  <c r="BT346" i="13"/>
  <c r="H1428" i="4" s="1"/>
  <c r="BR346" i="13"/>
  <c r="BQ346" i="13"/>
  <c r="BO346" i="13"/>
  <c r="BM346" i="13"/>
  <c r="BK346" i="13"/>
  <c r="BJ346" i="13"/>
  <c r="BI346" i="13"/>
  <c r="BH346" i="13"/>
  <c r="G1427" i="4"/>
  <c r="BU345" i="13"/>
  <c r="F1427" i="4" s="1"/>
  <c r="BT345" i="13"/>
  <c r="H1427" i="4" s="1"/>
  <c r="BR345" i="13"/>
  <c r="BQ345" i="13"/>
  <c r="BO345" i="13"/>
  <c r="BM345" i="13"/>
  <c r="BK345" i="13"/>
  <c r="BJ345" i="13"/>
  <c r="BI345" i="13"/>
  <c r="BH345" i="13"/>
  <c r="G1426" i="4"/>
  <c r="BU344" i="13"/>
  <c r="F1426" i="4" s="1"/>
  <c r="BT344" i="13"/>
  <c r="H1426" i="4" s="1"/>
  <c r="BR344" i="13"/>
  <c r="BQ344" i="13"/>
  <c r="BO344" i="13"/>
  <c r="BM344" i="13"/>
  <c r="BK344" i="13"/>
  <c r="BJ344" i="13"/>
  <c r="BI344" i="13"/>
  <c r="BH344" i="13"/>
  <c r="G1425" i="4"/>
  <c r="BU343" i="13"/>
  <c r="F1425" i="4" s="1"/>
  <c r="BT343" i="13"/>
  <c r="H1425" i="4" s="1"/>
  <c r="BR343" i="13"/>
  <c r="BQ343" i="13"/>
  <c r="BO343" i="13"/>
  <c r="BM343" i="13"/>
  <c r="BK343" i="13"/>
  <c r="BJ343" i="13"/>
  <c r="BI343" i="13"/>
  <c r="BH343" i="13"/>
  <c r="G1424" i="4"/>
  <c r="BU342" i="13"/>
  <c r="F1424" i="4" s="1"/>
  <c r="BT342" i="13"/>
  <c r="H1424" i="4" s="1"/>
  <c r="BR342" i="13"/>
  <c r="BQ342" i="13"/>
  <c r="BO342" i="13"/>
  <c r="BM342" i="13"/>
  <c r="BK342" i="13"/>
  <c r="BJ342" i="13"/>
  <c r="BI342" i="13"/>
  <c r="BH342" i="13"/>
  <c r="G1423" i="4"/>
  <c r="BU341" i="13"/>
  <c r="F1423" i="4" s="1"/>
  <c r="BT341" i="13"/>
  <c r="H1423" i="4" s="1"/>
  <c r="BR341" i="13"/>
  <c r="BQ341" i="13"/>
  <c r="BO341" i="13"/>
  <c r="BM341" i="13"/>
  <c r="BK341" i="13"/>
  <c r="BJ341" i="13"/>
  <c r="BI341" i="13"/>
  <c r="BH341" i="13"/>
  <c r="G1422" i="4"/>
  <c r="BU340" i="13"/>
  <c r="F1422" i="4" s="1"/>
  <c r="BT340" i="13"/>
  <c r="H1422" i="4" s="1"/>
  <c r="BR340" i="13"/>
  <c r="BQ340" i="13"/>
  <c r="BO340" i="13"/>
  <c r="BM340" i="13"/>
  <c r="BK340" i="13"/>
  <c r="BJ340" i="13"/>
  <c r="BI340" i="13"/>
  <c r="BH340" i="13"/>
  <c r="G1421" i="4"/>
  <c r="BU339" i="13"/>
  <c r="F1421" i="4" s="1"/>
  <c r="BT339" i="13"/>
  <c r="H1421" i="4" s="1"/>
  <c r="BR339" i="13"/>
  <c r="BQ339" i="13"/>
  <c r="BO339" i="13"/>
  <c r="BM339" i="13"/>
  <c r="BK339" i="13"/>
  <c r="BJ339" i="13"/>
  <c r="BI339" i="13"/>
  <c r="BH339" i="13"/>
  <c r="G1420" i="4"/>
  <c r="BU338" i="13"/>
  <c r="F1420" i="4" s="1"/>
  <c r="BT338" i="13"/>
  <c r="H1420" i="4" s="1"/>
  <c r="BR338" i="13"/>
  <c r="BQ338" i="13"/>
  <c r="BO338" i="13"/>
  <c r="BM338" i="13"/>
  <c r="BK338" i="13"/>
  <c r="BJ338" i="13"/>
  <c r="BI338" i="13"/>
  <c r="BH338" i="13"/>
  <c r="G1419" i="4"/>
  <c r="BU337" i="13"/>
  <c r="F1419" i="4" s="1"/>
  <c r="BT337" i="13"/>
  <c r="H1419" i="4" s="1"/>
  <c r="BR337" i="13"/>
  <c r="BQ337" i="13"/>
  <c r="BO337" i="13"/>
  <c r="BM337" i="13"/>
  <c r="BK337" i="13"/>
  <c r="BJ337" i="13"/>
  <c r="BI337" i="13"/>
  <c r="BH337" i="13"/>
  <c r="G1418" i="4"/>
  <c r="BU336" i="13"/>
  <c r="F1418" i="4" s="1"/>
  <c r="BT336" i="13"/>
  <c r="H1418" i="4" s="1"/>
  <c r="BR336" i="13"/>
  <c r="BQ336" i="13"/>
  <c r="BO336" i="13"/>
  <c r="BM336" i="13"/>
  <c r="BK336" i="13"/>
  <c r="BJ336" i="13"/>
  <c r="BI336" i="13"/>
  <c r="BH336" i="13"/>
  <c r="G1417" i="4"/>
  <c r="BU335" i="13"/>
  <c r="F1417" i="4" s="1"/>
  <c r="BT335" i="13"/>
  <c r="H1417" i="4" s="1"/>
  <c r="BR335" i="13"/>
  <c r="BQ335" i="13"/>
  <c r="BO335" i="13"/>
  <c r="BM335" i="13"/>
  <c r="BK335" i="13"/>
  <c r="BJ335" i="13"/>
  <c r="BI335" i="13"/>
  <c r="BH335" i="13"/>
  <c r="G1416" i="4"/>
  <c r="BU334" i="13"/>
  <c r="F1416" i="4" s="1"/>
  <c r="BT334" i="13"/>
  <c r="H1416" i="4" s="1"/>
  <c r="BR334" i="13"/>
  <c r="BQ334" i="13"/>
  <c r="BO334" i="13"/>
  <c r="BM334" i="13"/>
  <c r="BK334" i="13"/>
  <c r="BJ334" i="13"/>
  <c r="BI334" i="13"/>
  <c r="BH334" i="13"/>
  <c r="G1415" i="4"/>
  <c r="BU333" i="13"/>
  <c r="F1415" i="4" s="1"/>
  <c r="BT333" i="13"/>
  <c r="H1415" i="4" s="1"/>
  <c r="BR333" i="13"/>
  <c r="BQ333" i="13"/>
  <c r="BO333" i="13"/>
  <c r="BM333" i="13"/>
  <c r="BK333" i="13"/>
  <c r="BJ333" i="13"/>
  <c r="BI333" i="13"/>
  <c r="BH333" i="13"/>
  <c r="G1414" i="4"/>
  <c r="BU332" i="13"/>
  <c r="F1414" i="4" s="1"/>
  <c r="BT332" i="13"/>
  <c r="H1414" i="4" s="1"/>
  <c r="BR332" i="13"/>
  <c r="BQ332" i="13"/>
  <c r="BO332" i="13"/>
  <c r="BM332" i="13"/>
  <c r="BK332" i="13"/>
  <c r="BJ332" i="13"/>
  <c r="BI332" i="13"/>
  <c r="BH332" i="13"/>
  <c r="G1413" i="4"/>
  <c r="BU331" i="13"/>
  <c r="F1413" i="4" s="1"/>
  <c r="BT331" i="13"/>
  <c r="H1413" i="4" s="1"/>
  <c r="BR331" i="13"/>
  <c r="BQ331" i="13"/>
  <c r="BO331" i="13"/>
  <c r="BM331" i="13"/>
  <c r="BK331" i="13"/>
  <c r="BJ331" i="13"/>
  <c r="BI331" i="13"/>
  <c r="BH331" i="13"/>
  <c r="G1412" i="4"/>
  <c r="BU330" i="13"/>
  <c r="F1412" i="4" s="1"/>
  <c r="BT330" i="13"/>
  <c r="H1412" i="4" s="1"/>
  <c r="BR330" i="13"/>
  <c r="BQ330" i="13"/>
  <c r="BO330" i="13"/>
  <c r="BM330" i="13"/>
  <c r="BK330" i="13"/>
  <c r="BJ330" i="13"/>
  <c r="BI330" i="13"/>
  <c r="BH330" i="13"/>
  <c r="G1411" i="4"/>
  <c r="BU329" i="13"/>
  <c r="F1411" i="4" s="1"/>
  <c r="BT329" i="13"/>
  <c r="H1411" i="4" s="1"/>
  <c r="BR329" i="13"/>
  <c r="BQ329" i="13"/>
  <c r="BO329" i="13"/>
  <c r="BM329" i="13"/>
  <c r="BK329" i="13"/>
  <c r="BJ329" i="13"/>
  <c r="BI329" i="13"/>
  <c r="BH329" i="13"/>
  <c r="G1410" i="4"/>
  <c r="BU328" i="13"/>
  <c r="F1410" i="4" s="1"/>
  <c r="BT328" i="13"/>
  <c r="H1410" i="4" s="1"/>
  <c r="BR328" i="13"/>
  <c r="BQ328" i="13"/>
  <c r="BO328" i="13"/>
  <c r="BM328" i="13"/>
  <c r="BK328" i="13"/>
  <c r="BJ328" i="13"/>
  <c r="BI328" i="13"/>
  <c r="BH328" i="13"/>
  <c r="G1409" i="4"/>
  <c r="BU327" i="13"/>
  <c r="F1409" i="4" s="1"/>
  <c r="BT327" i="13"/>
  <c r="H1409" i="4" s="1"/>
  <c r="BR327" i="13"/>
  <c r="BQ327" i="13"/>
  <c r="BO327" i="13"/>
  <c r="BM327" i="13"/>
  <c r="BK327" i="13"/>
  <c r="BJ327" i="13"/>
  <c r="BI327" i="13"/>
  <c r="BH327" i="13"/>
  <c r="G1408" i="4"/>
  <c r="BU326" i="13"/>
  <c r="F1408" i="4" s="1"/>
  <c r="BT326" i="13"/>
  <c r="H1408" i="4" s="1"/>
  <c r="BR326" i="13"/>
  <c r="BQ326" i="13"/>
  <c r="BO326" i="13"/>
  <c r="BM326" i="13"/>
  <c r="BK326" i="13"/>
  <c r="BJ326" i="13"/>
  <c r="BI326" i="13"/>
  <c r="BH326" i="13"/>
  <c r="G1407" i="4"/>
  <c r="BU325" i="13"/>
  <c r="F1407" i="4" s="1"/>
  <c r="BT325" i="13"/>
  <c r="H1407" i="4" s="1"/>
  <c r="BR325" i="13"/>
  <c r="BQ325" i="13"/>
  <c r="BO325" i="13"/>
  <c r="BM325" i="13"/>
  <c r="BK325" i="13"/>
  <c r="BJ325" i="13"/>
  <c r="BI325" i="13"/>
  <c r="BH325" i="13"/>
  <c r="G1406" i="4"/>
  <c r="BU324" i="13"/>
  <c r="F1406" i="4" s="1"/>
  <c r="BT324" i="13"/>
  <c r="H1406" i="4" s="1"/>
  <c r="BR324" i="13"/>
  <c r="BQ324" i="13"/>
  <c r="BO324" i="13"/>
  <c r="BM324" i="13"/>
  <c r="BK324" i="13"/>
  <c r="BJ324" i="13"/>
  <c r="BI324" i="13"/>
  <c r="BH324" i="13"/>
  <c r="G1405" i="4"/>
  <c r="BU323" i="13"/>
  <c r="F1405" i="4" s="1"/>
  <c r="BT323" i="13"/>
  <c r="H1405" i="4" s="1"/>
  <c r="BR323" i="13"/>
  <c r="BQ323" i="13"/>
  <c r="BO323" i="13"/>
  <c r="BM323" i="13"/>
  <c r="BK323" i="13"/>
  <c r="BJ323" i="13"/>
  <c r="BI323" i="13"/>
  <c r="BH323" i="13"/>
  <c r="G1404" i="4"/>
  <c r="BU322" i="13"/>
  <c r="F1404" i="4" s="1"/>
  <c r="BT322" i="13"/>
  <c r="H1404" i="4" s="1"/>
  <c r="BR322" i="13"/>
  <c r="BQ322" i="13"/>
  <c r="BO322" i="13"/>
  <c r="BM322" i="13"/>
  <c r="BK322" i="13"/>
  <c r="BJ322" i="13"/>
  <c r="BI322" i="13"/>
  <c r="BH322" i="13"/>
  <c r="G1403" i="4"/>
  <c r="BU321" i="13"/>
  <c r="F1403" i="4" s="1"/>
  <c r="BT321" i="13"/>
  <c r="H1403" i="4" s="1"/>
  <c r="BR321" i="13"/>
  <c r="BQ321" i="13"/>
  <c r="BO321" i="13"/>
  <c r="BM321" i="13"/>
  <c r="BK321" i="13"/>
  <c r="BJ321" i="13"/>
  <c r="BI321" i="13"/>
  <c r="BH321" i="13"/>
  <c r="G1402" i="4"/>
  <c r="BU320" i="13"/>
  <c r="F1402" i="4" s="1"/>
  <c r="BT320" i="13"/>
  <c r="H1402" i="4" s="1"/>
  <c r="BR320" i="13"/>
  <c r="BQ320" i="13"/>
  <c r="BO320" i="13"/>
  <c r="BM320" i="13"/>
  <c r="BK320" i="13"/>
  <c r="BJ320" i="13"/>
  <c r="BI320" i="13"/>
  <c r="BH320" i="13"/>
  <c r="G1401" i="4"/>
  <c r="BU319" i="13"/>
  <c r="F1401" i="4" s="1"/>
  <c r="BT319" i="13"/>
  <c r="H1401" i="4" s="1"/>
  <c r="BR319" i="13"/>
  <c r="BQ319" i="13"/>
  <c r="BO319" i="13"/>
  <c r="BM319" i="13"/>
  <c r="BK319" i="13"/>
  <c r="BJ319" i="13"/>
  <c r="BI319" i="13"/>
  <c r="BH319" i="13"/>
  <c r="G1400" i="4"/>
  <c r="BU318" i="13"/>
  <c r="F1400" i="4" s="1"/>
  <c r="BT318" i="13"/>
  <c r="H1400" i="4" s="1"/>
  <c r="BR318" i="13"/>
  <c r="BQ318" i="13"/>
  <c r="BO318" i="13"/>
  <c r="BM318" i="13"/>
  <c r="BK318" i="13"/>
  <c r="BJ318" i="13"/>
  <c r="BI318" i="13"/>
  <c r="BH318" i="13"/>
  <c r="G1399" i="4"/>
  <c r="BU317" i="13"/>
  <c r="F1399" i="4" s="1"/>
  <c r="BT317" i="13"/>
  <c r="H1399" i="4" s="1"/>
  <c r="BR317" i="13"/>
  <c r="BQ317" i="13"/>
  <c r="BO317" i="13"/>
  <c r="BM317" i="13"/>
  <c r="BK317" i="13"/>
  <c r="BJ317" i="13"/>
  <c r="BI317" i="13"/>
  <c r="BH317" i="13"/>
  <c r="G1398" i="4"/>
  <c r="BU316" i="13"/>
  <c r="F1398" i="4" s="1"/>
  <c r="BT316" i="13"/>
  <c r="H1398" i="4" s="1"/>
  <c r="BR316" i="13"/>
  <c r="BQ316" i="13"/>
  <c r="BO316" i="13"/>
  <c r="BM316" i="13"/>
  <c r="BK316" i="13"/>
  <c r="BJ316" i="13"/>
  <c r="BI316" i="13"/>
  <c r="BH316" i="13"/>
  <c r="G1397" i="4"/>
  <c r="BU315" i="13"/>
  <c r="F1397" i="4" s="1"/>
  <c r="BT315" i="13"/>
  <c r="H1397" i="4" s="1"/>
  <c r="BR315" i="13"/>
  <c r="BQ315" i="13"/>
  <c r="BO315" i="13"/>
  <c r="BM315" i="13"/>
  <c r="BK315" i="13"/>
  <c r="BJ315" i="13"/>
  <c r="BI315" i="13"/>
  <c r="BH315" i="13"/>
  <c r="G1396" i="4"/>
  <c r="BU314" i="13"/>
  <c r="F1396" i="4" s="1"/>
  <c r="BT314" i="13"/>
  <c r="H1396" i="4" s="1"/>
  <c r="BR314" i="13"/>
  <c r="BQ314" i="13"/>
  <c r="BO314" i="13"/>
  <c r="BM314" i="13"/>
  <c r="BK314" i="13"/>
  <c r="BJ314" i="13"/>
  <c r="BI314" i="13"/>
  <c r="BH314" i="13"/>
  <c r="G1395" i="4"/>
  <c r="BU313" i="13"/>
  <c r="F1395" i="4" s="1"/>
  <c r="BT313" i="13"/>
  <c r="H1395" i="4" s="1"/>
  <c r="BR313" i="13"/>
  <c r="BQ313" i="13"/>
  <c r="BO313" i="13"/>
  <c r="BM313" i="13"/>
  <c r="BK313" i="13"/>
  <c r="BJ313" i="13"/>
  <c r="BI313" i="13"/>
  <c r="BH313" i="13"/>
  <c r="G1394" i="4"/>
  <c r="BU312" i="13"/>
  <c r="F1394" i="4" s="1"/>
  <c r="BT312" i="13"/>
  <c r="H1394" i="4" s="1"/>
  <c r="BR312" i="13"/>
  <c r="BQ312" i="13"/>
  <c r="BO312" i="13"/>
  <c r="BM312" i="13"/>
  <c r="BK312" i="13"/>
  <c r="BJ312" i="13"/>
  <c r="BI312" i="13"/>
  <c r="BH312" i="13"/>
  <c r="G1393" i="4"/>
  <c r="BU311" i="13"/>
  <c r="F1393" i="4" s="1"/>
  <c r="BT311" i="13"/>
  <c r="H1393" i="4" s="1"/>
  <c r="BR311" i="13"/>
  <c r="BQ311" i="13"/>
  <c r="BO311" i="13"/>
  <c r="BM311" i="13"/>
  <c r="BK311" i="13"/>
  <c r="BJ311" i="13"/>
  <c r="BI311" i="13"/>
  <c r="BH311" i="13"/>
  <c r="G1392" i="4"/>
  <c r="BU310" i="13"/>
  <c r="F1392" i="4" s="1"/>
  <c r="BT310" i="13"/>
  <c r="H1392" i="4" s="1"/>
  <c r="BR310" i="13"/>
  <c r="BQ310" i="13"/>
  <c r="BO310" i="13"/>
  <c r="BM310" i="13"/>
  <c r="BK310" i="13"/>
  <c r="BJ310" i="13"/>
  <c r="BI310" i="13"/>
  <c r="BH310" i="13"/>
  <c r="G1391" i="4"/>
  <c r="BU309" i="13"/>
  <c r="F1391" i="4" s="1"/>
  <c r="BT309" i="13"/>
  <c r="H1391" i="4" s="1"/>
  <c r="BR309" i="13"/>
  <c r="BQ309" i="13"/>
  <c r="BO309" i="13"/>
  <c r="BM309" i="13"/>
  <c r="BK309" i="13"/>
  <c r="BJ309" i="13"/>
  <c r="BI309" i="13"/>
  <c r="BH309" i="13"/>
  <c r="G1390" i="4"/>
  <c r="BU308" i="13"/>
  <c r="F1390" i="4" s="1"/>
  <c r="BT308" i="13"/>
  <c r="H1390" i="4" s="1"/>
  <c r="BR308" i="13"/>
  <c r="BQ308" i="13"/>
  <c r="BO308" i="13"/>
  <c r="BM308" i="13"/>
  <c r="BK308" i="13"/>
  <c r="BJ308" i="13"/>
  <c r="BI308" i="13"/>
  <c r="BH308" i="13"/>
  <c r="G1389" i="4"/>
  <c r="BU307" i="13"/>
  <c r="F1389" i="4" s="1"/>
  <c r="BT307" i="13"/>
  <c r="H1389" i="4" s="1"/>
  <c r="BR307" i="13"/>
  <c r="BQ307" i="13"/>
  <c r="BO307" i="13"/>
  <c r="BM307" i="13"/>
  <c r="BK307" i="13"/>
  <c r="BJ307" i="13"/>
  <c r="BI307" i="13"/>
  <c r="BH307" i="13"/>
  <c r="G1388" i="4"/>
  <c r="BU306" i="13"/>
  <c r="F1388" i="4" s="1"/>
  <c r="BT306" i="13"/>
  <c r="H1388" i="4" s="1"/>
  <c r="BR306" i="13"/>
  <c r="BQ306" i="13"/>
  <c r="BO306" i="13"/>
  <c r="BM306" i="13"/>
  <c r="BK306" i="13"/>
  <c r="BJ306" i="13"/>
  <c r="BI306" i="13"/>
  <c r="BH306" i="13"/>
  <c r="G1387" i="4"/>
  <c r="BU305" i="13"/>
  <c r="F1387" i="4" s="1"/>
  <c r="BT305" i="13"/>
  <c r="H1387" i="4" s="1"/>
  <c r="BR305" i="13"/>
  <c r="BQ305" i="13"/>
  <c r="BO305" i="13"/>
  <c r="BM305" i="13"/>
  <c r="BK305" i="13"/>
  <c r="BJ305" i="13"/>
  <c r="BI305" i="13"/>
  <c r="BH305" i="13"/>
  <c r="G1386" i="4"/>
  <c r="BU304" i="13"/>
  <c r="F1386" i="4" s="1"/>
  <c r="BT304" i="13"/>
  <c r="H1386" i="4" s="1"/>
  <c r="BR304" i="13"/>
  <c r="BQ304" i="13"/>
  <c r="BO304" i="13"/>
  <c r="BM304" i="13"/>
  <c r="BK304" i="13"/>
  <c r="BJ304" i="13"/>
  <c r="BI304" i="13"/>
  <c r="BH304" i="13"/>
  <c r="G1385" i="4"/>
  <c r="BU303" i="13"/>
  <c r="F1385" i="4" s="1"/>
  <c r="BT303" i="13"/>
  <c r="H1385" i="4" s="1"/>
  <c r="BR303" i="13"/>
  <c r="BQ303" i="13"/>
  <c r="BO303" i="13"/>
  <c r="BM303" i="13"/>
  <c r="BK303" i="13"/>
  <c r="BJ303" i="13"/>
  <c r="BI303" i="13"/>
  <c r="BH303" i="13"/>
  <c r="G1384" i="4"/>
  <c r="BU302" i="13"/>
  <c r="F1384" i="4" s="1"/>
  <c r="BT302" i="13"/>
  <c r="H1384" i="4" s="1"/>
  <c r="BR302" i="13"/>
  <c r="BQ302" i="13"/>
  <c r="BO302" i="13"/>
  <c r="BM302" i="13"/>
  <c r="BK302" i="13"/>
  <c r="BJ302" i="13"/>
  <c r="BI302" i="13"/>
  <c r="BH302" i="13"/>
  <c r="G1383" i="4"/>
  <c r="BU301" i="13"/>
  <c r="F1383" i="4" s="1"/>
  <c r="BT301" i="13"/>
  <c r="H1383" i="4" s="1"/>
  <c r="BR301" i="13"/>
  <c r="BQ301" i="13"/>
  <c r="BO301" i="13"/>
  <c r="BM301" i="13"/>
  <c r="BK301" i="13"/>
  <c r="BJ301" i="13"/>
  <c r="BI301" i="13"/>
  <c r="BH301" i="13"/>
  <c r="G1382" i="4"/>
  <c r="BU300" i="13"/>
  <c r="F1382" i="4" s="1"/>
  <c r="BT300" i="13"/>
  <c r="H1382" i="4" s="1"/>
  <c r="BR300" i="13"/>
  <c r="BQ300" i="13"/>
  <c r="BO300" i="13"/>
  <c r="BM300" i="13"/>
  <c r="BK300" i="13"/>
  <c r="BJ300" i="13"/>
  <c r="BI300" i="13"/>
  <c r="BH300" i="13"/>
  <c r="G1381" i="4"/>
  <c r="BU299" i="13"/>
  <c r="F1381" i="4" s="1"/>
  <c r="BT299" i="13"/>
  <c r="H1381" i="4" s="1"/>
  <c r="BR299" i="13"/>
  <c r="BQ299" i="13"/>
  <c r="BO299" i="13"/>
  <c r="BM299" i="13"/>
  <c r="BK299" i="13"/>
  <c r="BJ299" i="13"/>
  <c r="BI299" i="13"/>
  <c r="BH299" i="13"/>
  <c r="G1380" i="4"/>
  <c r="BU298" i="13"/>
  <c r="F1380" i="4" s="1"/>
  <c r="BT298" i="13"/>
  <c r="H1380" i="4" s="1"/>
  <c r="BR298" i="13"/>
  <c r="BQ298" i="13"/>
  <c r="BO298" i="13"/>
  <c r="BM298" i="13"/>
  <c r="BK298" i="13"/>
  <c r="BJ298" i="13"/>
  <c r="BI298" i="13"/>
  <c r="BH298" i="13"/>
  <c r="G1379" i="4"/>
  <c r="BU297" i="13"/>
  <c r="F1379" i="4" s="1"/>
  <c r="BT297" i="13"/>
  <c r="H1379" i="4" s="1"/>
  <c r="BR297" i="13"/>
  <c r="BQ297" i="13"/>
  <c r="BO297" i="13"/>
  <c r="BM297" i="13"/>
  <c r="BK297" i="13"/>
  <c r="BJ297" i="13"/>
  <c r="BI297" i="13"/>
  <c r="BH297" i="13"/>
  <c r="G1378" i="4"/>
  <c r="BU296" i="13"/>
  <c r="F1378" i="4" s="1"/>
  <c r="BT296" i="13"/>
  <c r="H1378" i="4" s="1"/>
  <c r="BR296" i="13"/>
  <c r="BQ296" i="13"/>
  <c r="BO296" i="13"/>
  <c r="BM296" i="13"/>
  <c r="BK296" i="13"/>
  <c r="BJ296" i="13"/>
  <c r="BI296" i="13"/>
  <c r="BH296" i="13"/>
  <c r="G1377" i="4"/>
  <c r="BU295" i="13"/>
  <c r="F1377" i="4" s="1"/>
  <c r="BT295" i="13"/>
  <c r="H1377" i="4" s="1"/>
  <c r="BR295" i="13"/>
  <c r="BQ295" i="13"/>
  <c r="BO295" i="13"/>
  <c r="BM295" i="13"/>
  <c r="BK295" i="13"/>
  <c r="BJ295" i="13"/>
  <c r="BI295" i="13"/>
  <c r="BH295" i="13"/>
  <c r="G1376" i="4"/>
  <c r="BU294" i="13"/>
  <c r="F1376" i="4" s="1"/>
  <c r="BT294" i="13"/>
  <c r="H1376" i="4" s="1"/>
  <c r="BR294" i="13"/>
  <c r="BQ294" i="13"/>
  <c r="BO294" i="13"/>
  <c r="BM294" i="13"/>
  <c r="BK294" i="13"/>
  <c r="BJ294" i="13"/>
  <c r="BI294" i="13"/>
  <c r="BH294" i="13"/>
  <c r="G1375" i="4"/>
  <c r="BU293" i="13"/>
  <c r="F1375" i="4" s="1"/>
  <c r="BT293" i="13"/>
  <c r="H1375" i="4" s="1"/>
  <c r="BR293" i="13"/>
  <c r="BQ293" i="13"/>
  <c r="BO293" i="13"/>
  <c r="BM293" i="13"/>
  <c r="BK293" i="13"/>
  <c r="BJ293" i="13"/>
  <c r="BI293" i="13"/>
  <c r="BH293" i="13"/>
  <c r="G1374" i="4"/>
  <c r="BU292" i="13"/>
  <c r="F1374" i="4" s="1"/>
  <c r="BT292" i="13"/>
  <c r="H1374" i="4" s="1"/>
  <c r="BR292" i="13"/>
  <c r="BQ292" i="13"/>
  <c r="BO292" i="13"/>
  <c r="BM292" i="13"/>
  <c r="BK292" i="13"/>
  <c r="BJ292" i="13"/>
  <c r="BI292" i="13"/>
  <c r="BH292" i="13"/>
  <c r="G1373" i="4"/>
  <c r="BU291" i="13"/>
  <c r="F1373" i="4" s="1"/>
  <c r="BT291" i="13"/>
  <c r="H1373" i="4" s="1"/>
  <c r="BR291" i="13"/>
  <c r="BQ291" i="13"/>
  <c r="BO291" i="13"/>
  <c r="BM291" i="13"/>
  <c r="BK291" i="13"/>
  <c r="BJ291" i="13"/>
  <c r="BI291" i="13"/>
  <c r="BH291" i="13"/>
  <c r="G1372" i="4"/>
  <c r="BU290" i="13"/>
  <c r="F1372" i="4" s="1"/>
  <c r="BT290" i="13"/>
  <c r="H1372" i="4" s="1"/>
  <c r="BR290" i="13"/>
  <c r="BQ290" i="13"/>
  <c r="BO290" i="13"/>
  <c r="BM290" i="13"/>
  <c r="BK290" i="13"/>
  <c r="BJ290" i="13"/>
  <c r="BI290" i="13"/>
  <c r="BH290" i="13"/>
  <c r="G1371" i="4"/>
  <c r="BU289" i="13"/>
  <c r="F1371" i="4" s="1"/>
  <c r="BT289" i="13"/>
  <c r="H1371" i="4" s="1"/>
  <c r="BR289" i="13"/>
  <c r="BQ289" i="13"/>
  <c r="BO289" i="13"/>
  <c r="BM289" i="13"/>
  <c r="BK289" i="13"/>
  <c r="BJ289" i="13"/>
  <c r="BI289" i="13"/>
  <c r="BH289" i="13"/>
  <c r="G1370" i="4"/>
  <c r="BU288" i="13"/>
  <c r="F1370" i="4" s="1"/>
  <c r="BT288" i="13"/>
  <c r="H1370" i="4" s="1"/>
  <c r="BR288" i="13"/>
  <c r="BQ288" i="13"/>
  <c r="BO288" i="13"/>
  <c r="BM288" i="13"/>
  <c r="BK288" i="13"/>
  <c r="BJ288" i="13"/>
  <c r="BI288" i="13"/>
  <c r="BH288" i="13"/>
  <c r="G1369" i="4"/>
  <c r="BU287" i="13"/>
  <c r="F1369" i="4" s="1"/>
  <c r="BT287" i="13"/>
  <c r="H1369" i="4" s="1"/>
  <c r="BR287" i="13"/>
  <c r="BQ287" i="13"/>
  <c r="BO287" i="13"/>
  <c r="BM287" i="13"/>
  <c r="BK287" i="13"/>
  <c r="BJ287" i="13"/>
  <c r="BI287" i="13"/>
  <c r="BH287" i="13"/>
  <c r="G1368" i="4"/>
  <c r="BU286" i="13"/>
  <c r="F1368" i="4" s="1"/>
  <c r="BT286" i="13"/>
  <c r="H1368" i="4" s="1"/>
  <c r="BR286" i="13"/>
  <c r="BQ286" i="13"/>
  <c r="BO286" i="13"/>
  <c r="BM286" i="13"/>
  <c r="BK286" i="13"/>
  <c r="BJ286" i="13"/>
  <c r="BI286" i="13"/>
  <c r="BH286" i="13"/>
  <c r="G1367" i="4"/>
  <c r="BU285" i="13"/>
  <c r="F1367" i="4" s="1"/>
  <c r="BT285" i="13"/>
  <c r="H1367" i="4" s="1"/>
  <c r="BR285" i="13"/>
  <c r="BQ285" i="13"/>
  <c r="BO285" i="13"/>
  <c r="BM285" i="13"/>
  <c r="BK285" i="13"/>
  <c r="BJ285" i="13"/>
  <c r="BI285" i="13"/>
  <c r="BH285" i="13"/>
  <c r="G1366" i="4"/>
  <c r="BU284" i="13"/>
  <c r="F1366" i="4" s="1"/>
  <c r="BT284" i="13"/>
  <c r="H1366" i="4" s="1"/>
  <c r="BR284" i="13"/>
  <c r="BQ284" i="13"/>
  <c r="BO284" i="13"/>
  <c r="BM284" i="13"/>
  <c r="BK284" i="13"/>
  <c r="BJ284" i="13"/>
  <c r="BI284" i="13"/>
  <c r="BH284" i="13"/>
  <c r="G1365" i="4"/>
  <c r="BU283" i="13"/>
  <c r="F1365" i="4" s="1"/>
  <c r="BT283" i="13"/>
  <c r="H1365" i="4" s="1"/>
  <c r="BR283" i="13"/>
  <c r="BQ283" i="13"/>
  <c r="BO283" i="13"/>
  <c r="BM283" i="13"/>
  <c r="BK283" i="13"/>
  <c r="BJ283" i="13"/>
  <c r="BI283" i="13"/>
  <c r="BH283" i="13"/>
  <c r="G1364" i="4"/>
  <c r="BU282" i="13"/>
  <c r="F1364" i="4" s="1"/>
  <c r="BT282" i="13"/>
  <c r="H1364" i="4" s="1"/>
  <c r="BR282" i="13"/>
  <c r="BQ282" i="13"/>
  <c r="BO282" i="13"/>
  <c r="BM282" i="13"/>
  <c r="BK282" i="13"/>
  <c r="BJ282" i="13"/>
  <c r="BI282" i="13"/>
  <c r="BH282" i="13"/>
  <c r="G1363" i="4"/>
  <c r="BU281" i="13"/>
  <c r="F1363" i="4" s="1"/>
  <c r="BT281" i="13"/>
  <c r="H1363" i="4" s="1"/>
  <c r="BR281" i="13"/>
  <c r="BQ281" i="13"/>
  <c r="BO281" i="13"/>
  <c r="BM281" i="13"/>
  <c r="BK281" i="13"/>
  <c r="BJ281" i="13"/>
  <c r="BI281" i="13"/>
  <c r="BH281" i="13"/>
  <c r="G1362" i="4"/>
  <c r="BU280" i="13"/>
  <c r="F1362" i="4" s="1"/>
  <c r="BT280" i="13"/>
  <c r="H1362" i="4" s="1"/>
  <c r="BR280" i="13"/>
  <c r="BQ280" i="13"/>
  <c r="BO280" i="13"/>
  <c r="BM280" i="13"/>
  <c r="BK280" i="13"/>
  <c r="BJ280" i="13"/>
  <c r="BI280" i="13"/>
  <c r="BH280" i="13"/>
  <c r="G1361" i="4"/>
  <c r="BU279" i="13"/>
  <c r="F1361" i="4" s="1"/>
  <c r="BT279" i="13"/>
  <c r="H1361" i="4" s="1"/>
  <c r="BR279" i="13"/>
  <c r="BQ279" i="13"/>
  <c r="BO279" i="13"/>
  <c r="BM279" i="13"/>
  <c r="BK279" i="13"/>
  <c r="BJ279" i="13"/>
  <c r="BI279" i="13"/>
  <c r="BH279" i="13"/>
  <c r="G1360" i="4"/>
  <c r="BU278" i="13"/>
  <c r="F1360" i="4" s="1"/>
  <c r="BT278" i="13"/>
  <c r="H1360" i="4" s="1"/>
  <c r="BR278" i="13"/>
  <c r="BQ278" i="13"/>
  <c r="BO278" i="13"/>
  <c r="BM278" i="13"/>
  <c r="BK278" i="13"/>
  <c r="BJ278" i="13"/>
  <c r="BI278" i="13"/>
  <c r="BH278" i="13"/>
  <c r="G1359" i="4"/>
  <c r="BU277" i="13"/>
  <c r="F1359" i="4" s="1"/>
  <c r="BT277" i="13"/>
  <c r="H1359" i="4" s="1"/>
  <c r="BR277" i="13"/>
  <c r="BQ277" i="13"/>
  <c r="BO277" i="13"/>
  <c r="BM277" i="13"/>
  <c r="BK277" i="13"/>
  <c r="BJ277" i="13"/>
  <c r="BI277" i="13"/>
  <c r="BH277" i="13"/>
  <c r="G1358" i="4"/>
  <c r="BU276" i="13"/>
  <c r="F1358" i="4" s="1"/>
  <c r="BT276" i="13"/>
  <c r="H1358" i="4" s="1"/>
  <c r="BR276" i="13"/>
  <c r="BQ276" i="13"/>
  <c r="BO276" i="13"/>
  <c r="BM276" i="13"/>
  <c r="BK276" i="13"/>
  <c r="BJ276" i="13"/>
  <c r="BI276" i="13"/>
  <c r="BH276" i="13"/>
  <c r="G1357" i="4"/>
  <c r="BU275" i="13"/>
  <c r="F1357" i="4" s="1"/>
  <c r="BT275" i="13"/>
  <c r="H1357" i="4" s="1"/>
  <c r="BR275" i="13"/>
  <c r="BQ275" i="13"/>
  <c r="BO275" i="13"/>
  <c r="BM275" i="13"/>
  <c r="BK275" i="13"/>
  <c r="BJ275" i="13"/>
  <c r="BI275" i="13"/>
  <c r="BH275" i="13"/>
  <c r="G1356" i="4"/>
  <c r="BU274" i="13"/>
  <c r="F1356" i="4" s="1"/>
  <c r="BT274" i="13"/>
  <c r="H1356" i="4" s="1"/>
  <c r="BR274" i="13"/>
  <c r="BQ274" i="13"/>
  <c r="BO274" i="13"/>
  <c r="BM274" i="13"/>
  <c r="BK274" i="13"/>
  <c r="BJ274" i="13"/>
  <c r="BI274" i="13"/>
  <c r="BH274" i="13"/>
  <c r="G1355" i="4"/>
  <c r="BU273" i="13"/>
  <c r="F1355" i="4" s="1"/>
  <c r="BT273" i="13"/>
  <c r="H1355" i="4" s="1"/>
  <c r="BR273" i="13"/>
  <c r="BQ273" i="13"/>
  <c r="BO273" i="13"/>
  <c r="BM273" i="13"/>
  <c r="BK273" i="13"/>
  <c r="BJ273" i="13"/>
  <c r="BI273" i="13"/>
  <c r="BH273" i="13"/>
  <c r="G1354" i="4"/>
  <c r="BU272" i="13"/>
  <c r="F1354" i="4" s="1"/>
  <c r="BT272" i="13"/>
  <c r="H1354" i="4" s="1"/>
  <c r="BR272" i="13"/>
  <c r="BQ272" i="13"/>
  <c r="BO272" i="13"/>
  <c r="BM272" i="13"/>
  <c r="BK272" i="13"/>
  <c r="BJ272" i="13"/>
  <c r="BI272" i="13"/>
  <c r="BH272" i="13"/>
  <c r="G1353" i="4"/>
  <c r="BU271" i="13"/>
  <c r="F1353" i="4" s="1"/>
  <c r="BT271" i="13"/>
  <c r="H1353" i="4" s="1"/>
  <c r="BR271" i="13"/>
  <c r="BQ271" i="13"/>
  <c r="BO271" i="13"/>
  <c r="BM271" i="13"/>
  <c r="BK271" i="13"/>
  <c r="BJ271" i="13"/>
  <c r="BI271" i="13"/>
  <c r="BH271" i="13"/>
  <c r="G1352" i="4"/>
  <c r="BU270" i="13"/>
  <c r="F1352" i="4" s="1"/>
  <c r="BT270" i="13"/>
  <c r="H1352" i="4" s="1"/>
  <c r="BR270" i="13"/>
  <c r="BQ270" i="13"/>
  <c r="BO270" i="13"/>
  <c r="BM270" i="13"/>
  <c r="BK270" i="13"/>
  <c r="BJ270" i="13"/>
  <c r="BI270" i="13"/>
  <c r="BH270" i="13"/>
  <c r="G1351" i="4"/>
  <c r="BU269" i="13"/>
  <c r="F1351" i="4" s="1"/>
  <c r="BT269" i="13"/>
  <c r="H1351" i="4" s="1"/>
  <c r="BR269" i="13"/>
  <c r="BQ269" i="13"/>
  <c r="BO269" i="13"/>
  <c r="BM269" i="13"/>
  <c r="BK269" i="13"/>
  <c r="BJ269" i="13"/>
  <c r="BI269" i="13"/>
  <c r="BH269" i="13"/>
  <c r="G1350" i="4"/>
  <c r="BU268" i="13"/>
  <c r="F1350" i="4" s="1"/>
  <c r="BT268" i="13"/>
  <c r="H1350" i="4" s="1"/>
  <c r="BR268" i="13"/>
  <c r="BQ268" i="13"/>
  <c r="BO268" i="13"/>
  <c r="BM268" i="13"/>
  <c r="BK268" i="13"/>
  <c r="BJ268" i="13"/>
  <c r="BI268" i="13"/>
  <c r="BH268" i="13"/>
  <c r="G1349" i="4"/>
  <c r="BU267" i="13"/>
  <c r="F1349" i="4" s="1"/>
  <c r="BT267" i="13"/>
  <c r="H1349" i="4" s="1"/>
  <c r="BR267" i="13"/>
  <c r="BQ267" i="13"/>
  <c r="BO267" i="13"/>
  <c r="BM267" i="13"/>
  <c r="BK267" i="13"/>
  <c r="BJ267" i="13"/>
  <c r="BI267" i="13"/>
  <c r="BH267" i="13"/>
  <c r="G1348" i="4"/>
  <c r="BU266" i="13"/>
  <c r="F1348" i="4" s="1"/>
  <c r="BT266" i="13"/>
  <c r="H1348" i="4" s="1"/>
  <c r="BR266" i="13"/>
  <c r="BQ266" i="13"/>
  <c r="BO266" i="13"/>
  <c r="BM266" i="13"/>
  <c r="BK266" i="13"/>
  <c r="BJ266" i="13"/>
  <c r="BI266" i="13"/>
  <c r="BH266" i="13"/>
  <c r="G1347" i="4"/>
  <c r="BU265" i="13"/>
  <c r="F1347" i="4" s="1"/>
  <c r="BT265" i="13"/>
  <c r="H1347" i="4" s="1"/>
  <c r="BR265" i="13"/>
  <c r="BQ265" i="13"/>
  <c r="BO265" i="13"/>
  <c r="BM265" i="13"/>
  <c r="BK265" i="13"/>
  <c r="BJ265" i="13"/>
  <c r="BI265" i="13"/>
  <c r="BH265" i="13"/>
  <c r="G1346" i="4"/>
  <c r="BU264" i="13"/>
  <c r="F1346" i="4" s="1"/>
  <c r="BT264" i="13"/>
  <c r="H1346" i="4" s="1"/>
  <c r="BR264" i="13"/>
  <c r="BQ264" i="13"/>
  <c r="BO264" i="13"/>
  <c r="BM264" i="13"/>
  <c r="BK264" i="13"/>
  <c r="BJ264" i="13"/>
  <c r="BI264" i="13"/>
  <c r="BH264" i="13"/>
  <c r="G1345" i="4"/>
  <c r="BU263" i="13"/>
  <c r="F1345" i="4" s="1"/>
  <c r="BT263" i="13"/>
  <c r="H1345" i="4" s="1"/>
  <c r="BR263" i="13"/>
  <c r="BQ263" i="13"/>
  <c r="BO263" i="13"/>
  <c r="BM263" i="13"/>
  <c r="BK263" i="13"/>
  <c r="BJ263" i="13"/>
  <c r="BI263" i="13"/>
  <c r="BH263" i="13"/>
  <c r="G1344" i="4"/>
  <c r="BU262" i="13"/>
  <c r="F1344" i="4" s="1"/>
  <c r="BT262" i="13"/>
  <c r="H1344" i="4" s="1"/>
  <c r="BR262" i="13"/>
  <c r="BQ262" i="13"/>
  <c r="BO262" i="13"/>
  <c r="BM262" i="13"/>
  <c r="BK262" i="13"/>
  <c r="BJ262" i="13"/>
  <c r="BI262" i="13"/>
  <c r="BH262" i="13"/>
  <c r="G1343" i="4"/>
  <c r="BU261" i="13"/>
  <c r="F1343" i="4" s="1"/>
  <c r="BT261" i="13"/>
  <c r="H1343" i="4" s="1"/>
  <c r="BR261" i="13"/>
  <c r="BQ261" i="13"/>
  <c r="BO261" i="13"/>
  <c r="BM261" i="13"/>
  <c r="BK261" i="13"/>
  <c r="BJ261" i="13"/>
  <c r="BI261" i="13"/>
  <c r="BH261" i="13"/>
  <c r="G1342" i="4"/>
  <c r="BU260" i="13"/>
  <c r="F1342" i="4" s="1"/>
  <c r="BT260" i="13"/>
  <c r="H1342" i="4" s="1"/>
  <c r="BR260" i="13"/>
  <c r="BQ260" i="13"/>
  <c r="BO260" i="13"/>
  <c r="BM260" i="13"/>
  <c r="BK260" i="13"/>
  <c r="BJ260" i="13"/>
  <c r="BI260" i="13"/>
  <c r="BH260" i="13"/>
  <c r="G1341" i="4"/>
  <c r="BU259" i="13"/>
  <c r="F1341" i="4" s="1"/>
  <c r="BT259" i="13"/>
  <c r="H1341" i="4" s="1"/>
  <c r="BR259" i="13"/>
  <c r="BQ259" i="13"/>
  <c r="BO259" i="13"/>
  <c r="BM259" i="13"/>
  <c r="BK259" i="13"/>
  <c r="BJ259" i="13"/>
  <c r="BI259" i="13"/>
  <c r="BH259" i="13"/>
  <c r="G1340" i="4"/>
  <c r="BU258" i="13"/>
  <c r="F1340" i="4" s="1"/>
  <c r="BT258" i="13"/>
  <c r="H1340" i="4" s="1"/>
  <c r="BR258" i="13"/>
  <c r="BQ258" i="13"/>
  <c r="BO258" i="13"/>
  <c r="BM258" i="13"/>
  <c r="BK258" i="13"/>
  <c r="BJ258" i="13"/>
  <c r="BI258" i="13"/>
  <c r="BH258" i="13"/>
  <c r="G1339" i="4"/>
  <c r="BU257" i="13"/>
  <c r="F1339" i="4" s="1"/>
  <c r="BT257" i="13"/>
  <c r="H1339" i="4" s="1"/>
  <c r="BR257" i="13"/>
  <c r="BQ257" i="13"/>
  <c r="BO257" i="13"/>
  <c r="BM257" i="13"/>
  <c r="BK257" i="13"/>
  <c r="BJ257" i="13"/>
  <c r="BI257" i="13"/>
  <c r="BH257" i="13"/>
  <c r="G1338" i="4"/>
  <c r="BU256" i="13"/>
  <c r="F1338" i="4" s="1"/>
  <c r="BT256" i="13"/>
  <c r="H1338" i="4" s="1"/>
  <c r="BR256" i="13"/>
  <c r="BQ256" i="13"/>
  <c r="BO256" i="13"/>
  <c r="BM256" i="13"/>
  <c r="BK256" i="13"/>
  <c r="BJ256" i="13"/>
  <c r="BI256" i="13"/>
  <c r="BH256" i="13"/>
  <c r="G1337" i="4"/>
  <c r="BU255" i="13"/>
  <c r="F1337" i="4" s="1"/>
  <c r="BT255" i="13"/>
  <c r="H1337" i="4" s="1"/>
  <c r="BR255" i="13"/>
  <c r="BQ255" i="13"/>
  <c r="BO255" i="13"/>
  <c r="BM255" i="13"/>
  <c r="BK255" i="13"/>
  <c r="BJ255" i="13"/>
  <c r="BI255" i="13"/>
  <c r="BH255" i="13"/>
  <c r="G1336" i="4"/>
  <c r="BU254" i="13"/>
  <c r="F1336" i="4" s="1"/>
  <c r="BT254" i="13"/>
  <c r="H1336" i="4" s="1"/>
  <c r="BR254" i="13"/>
  <c r="BQ254" i="13"/>
  <c r="BO254" i="13"/>
  <c r="BM254" i="13"/>
  <c r="BK254" i="13"/>
  <c r="BJ254" i="13"/>
  <c r="BI254" i="13"/>
  <c r="BH254" i="13"/>
  <c r="G1335" i="4"/>
  <c r="BU253" i="13"/>
  <c r="F1335" i="4" s="1"/>
  <c r="BT253" i="13"/>
  <c r="H1335" i="4" s="1"/>
  <c r="BR253" i="13"/>
  <c r="BQ253" i="13"/>
  <c r="BO253" i="13"/>
  <c r="BM253" i="13"/>
  <c r="BK253" i="13"/>
  <c r="BJ253" i="13"/>
  <c r="BI253" i="13"/>
  <c r="BH253" i="13"/>
  <c r="G1334" i="4"/>
  <c r="BU252" i="13"/>
  <c r="F1334" i="4" s="1"/>
  <c r="BT252" i="13"/>
  <c r="H1334" i="4" s="1"/>
  <c r="BR252" i="13"/>
  <c r="BQ252" i="13"/>
  <c r="BO252" i="13"/>
  <c r="BM252" i="13"/>
  <c r="BK252" i="13"/>
  <c r="BJ252" i="13"/>
  <c r="BI252" i="13"/>
  <c r="BH252" i="13"/>
  <c r="G1333" i="4"/>
  <c r="BU251" i="13"/>
  <c r="F1333" i="4" s="1"/>
  <c r="BT251" i="13"/>
  <c r="H1333" i="4" s="1"/>
  <c r="BR251" i="13"/>
  <c r="BQ251" i="13"/>
  <c r="BO251" i="13"/>
  <c r="BM251" i="13"/>
  <c r="BK251" i="13"/>
  <c r="BJ251" i="13"/>
  <c r="BI251" i="13"/>
  <c r="BH251" i="13"/>
  <c r="G1332" i="4"/>
  <c r="BU250" i="13"/>
  <c r="F1332" i="4" s="1"/>
  <c r="BT250" i="13"/>
  <c r="H1332" i="4" s="1"/>
  <c r="BR250" i="13"/>
  <c r="BQ250" i="13"/>
  <c r="BO250" i="13"/>
  <c r="BM250" i="13"/>
  <c r="BK250" i="13"/>
  <c r="BJ250" i="13"/>
  <c r="BI250" i="13"/>
  <c r="BH250" i="13"/>
  <c r="G1331" i="4"/>
  <c r="BU249" i="13"/>
  <c r="F1331" i="4" s="1"/>
  <c r="BT249" i="13"/>
  <c r="H1331" i="4" s="1"/>
  <c r="BR249" i="13"/>
  <c r="BQ249" i="13"/>
  <c r="BO249" i="13"/>
  <c r="BM249" i="13"/>
  <c r="BK249" i="13"/>
  <c r="BJ249" i="13"/>
  <c r="BI249" i="13"/>
  <c r="BH249" i="13"/>
  <c r="G1330" i="4"/>
  <c r="BU248" i="13"/>
  <c r="F1330" i="4" s="1"/>
  <c r="BT248" i="13"/>
  <c r="H1330" i="4" s="1"/>
  <c r="BR248" i="13"/>
  <c r="BQ248" i="13"/>
  <c r="BO248" i="13"/>
  <c r="BM248" i="13"/>
  <c r="BK248" i="13"/>
  <c r="BJ248" i="13"/>
  <c r="BI248" i="13"/>
  <c r="BH248" i="13"/>
  <c r="G1329" i="4"/>
  <c r="BU247" i="13"/>
  <c r="F1329" i="4" s="1"/>
  <c r="BT247" i="13"/>
  <c r="H1329" i="4" s="1"/>
  <c r="BR247" i="13"/>
  <c r="BQ247" i="13"/>
  <c r="BO247" i="13"/>
  <c r="BM247" i="13"/>
  <c r="BK247" i="13"/>
  <c r="BJ247" i="13"/>
  <c r="BI247" i="13"/>
  <c r="BH247" i="13"/>
  <c r="G1328" i="4"/>
  <c r="BU246" i="13"/>
  <c r="F1328" i="4" s="1"/>
  <c r="BT246" i="13"/>
  <c r="H1328" i="4" s="1"/>
  <c r="BR246" i="13"/>
  <c r="BQ246" i="13"/>
  <c r="BO246" i="13"/>
  <c r="BM246" i="13"/>
  <c r="BK246" i="13"/>
  <c r="BJ246" i="13"/>
  <c r="BI246" i="13"/>
  <c r="BH246" i="13"/>
  <c r="G1327" i="4"/>
  <c r="BU245" i="13"/>
  <c r="F1327" i="4" s="1"/>
  <c r="BT245" i="13"/>
  <c r="H1327" i="4" s="1"/>
  <c r="BR245" i="13"/>
  <c r="BQ245" i="13"/>
  <c r="BO245" i="13"/>
  <c r="BM245" i="13"/>
  <c r="BK245" i="13"/>
  <c r="BJ245" i="13"/>
  <c r="BI245" i="13"/>
  <c r="BH245" i="13"/>
  <c r="G1326" i="4"/>
  <c r="BU244" i="13"/>
  <c r="F1326" i="4" s="1"/>
  <c r="BT244" i="13"/>
  <c r="H1326" i="4" s="1"/>
  <c r="BR244" i="13"/>
  <c r="BQ244" i="13"/>
  <c r="BO244" i="13"/>
  <c r="BM244" i="13"/>
  <c r="BK244" i="13"/>
  <c r="BJ244" i="13"/>
  <c r="BI244" i="13"/>
  <c r="BH244" i="13"/>
  <c r="G1325" i="4"/>
  <c r="BU243" i="13"/>
  <c r="F1325" i="4" s="1"/>
  <c r="BT243" i="13"/>
  <c r="H1325" i="4" s="1"/>
  <c r="BR243" i="13"/>
  <c r="BQ243" i="13"/>
  <c r="BO243" i="13"/>
  <c r="BM243" i="13"/>
  <c r="BK243" i="13"/>
  <c r="BJ243" i="13"/>
  <c r="BI243" i="13"/>
  <c r="BH243" i="13"/>
  <c r="G1324" i="4"/>
  <c r="BU242" i="13"/>
  <c r="F1324" i="4" s="1"/>
  <c r="BT242" i="13"/>
  <c r="H1324" i="4" s="1"/>
  <c r="BR242" i="13"/>
  <c r="BQ242" i="13"/>
  <c r="BO242" i="13"/>
  <c r="BM242" i="13"/>
  <c r="BK242" i="13"/>
  <c r="BJ242" i="13"/>
  <c r="BI242" i="13"/>
  <c r="BH242" i="13"/>
  <c r="G1323" i="4"/>
  <c r="BU241" i="13"/>
  <c r="F1323" i="4" s="1"/>
  <c r="BT241" i="13"/>
  <c r="H1323" i="4" s="1"/>
  <c r="BR241" i="13"/>
  <c r="BQ241" i="13"/>
  <c r="BO241" i="13"/>
  <c r="BM241" i="13"/>
  <c r="BK241" i="13"/>
  <c r="BJ241" i="13"/>
  <c r="BI241" i="13"/>
  <c r="BH241" i="13"/>
  <c r="G1322" i="4"/>
  <c r="BU240" i="13"/>
  <c r="F1322" i="4" s="1"/>
  <c r="BT240" i="13"/>
  <c r="H1322" i="4" s="1"/>
  <c r="BR240" i="13"/>
  <c r="BQ240" i="13"/>
  <c r="BO240" i="13"/>
  <c r="BM240" i="13"/>
  <c r="BK240" i="13"/>
  <c r="BJ240" i="13"/>
  <c r="BI240" i="13"/>
  <c r="BH240" i="13"/>
  <c r="G1321" i="4"/>
  <c r="BU239" i="13"/>
  <c r="F1321" i="4" s="1"/>
  <c r="BT239" i="13"/>
  <c r="H1321" i="4" s="1"/>
  <c r="BR239" i="13"/>
  <c r="BQ239" i="13"/>
  <c r="BO239" i="13"/>
  <c r="BM239" i="13"/>
  <c r="BK239" i="13"/>
  <c r="BJ239" i="13"/>
  <c r="BI239" i="13"/>
  <c r="BH239" i="13"/>
  <c r="G1320" i="4"/>
  <c r="BU238" i="13"/>
  <c r="F1320" i="4" s="1"/>
  <c r="BT238" i="13"/>
  <c r="H1320" i="4" s="1"/>
  <c r="BR238" i="13"/>
  <c r="BQ238" i="13"/>
  <c r="BO238" i="13"/>
  <c r="BM238" i="13"/>
  <c r="BK238" i="13"/>
  <c r="BJ238" i="13"/>
  <c r="BI238" i="13"/>
  <c r="BH238" i="13"/>
  <c r="G1319" i="4"/>
  <c r="BU237" i="13"/>
  <c r="F1319" i="4" s="1"/>
  <c r="BT237" i="13"/>
  <c r="H1319" i="4" s="1"/>
  <c r="BR237" i="13"/>
  <c r="BQ237" i="13"/>
  <c r="BO237" i="13"/>
  <c r="BM237" i="13"/>
  <c r="BK237" i="13"/>
  <c r="BJ237" i="13"/>
  <c r="BI237" i="13"/>
  <c r="BH237" i="13"/>
  <c r="G1318" i="4"/>
  <c r="BU236" i="13"/>
  <c r="F1318" i="4" s="1"/>
  <c r="BT236" i="13"/>
  <c r="H1318" i="4" s="1"/>
  <c r="BR236" i="13"/>
  <c r="BQ236" i="13"/>
  <c r="BO236" i="13"/>
  <c r="BM236" i="13"/>
  <c r="BK236" i="13"/>
  <c r="BJ236" i="13"/>
  <c r="BI236" i="13"/>
  <c r="BH236" i="13"/>
  <c r="G1317" i="4"/>
  <c r="BU235" i="13"/>
  <c r="F1317" i="4" s="1"/>
  <c r="BT235" i="13"/>
  <c r="H1317" i="4" s="1"/>
  <c r="BR235" i="13"/>
  <c r="BQ235" i="13"/>
  <c r="BO235" i="13"/>
  <c r="BM235" i="13"/>
  <c r="BK235" i="13"/>
  <c r="BJ235" i="13"/>
  <c r="BI235" i="13"/>
  <c r="BH235" i="13"/>
  <c r="G1316" i="4"/>
  <c r="BU234" i="13"/>
  <c r="F1316" i="4" s="1"/>
  <c r="BT234" i="13"/>
  <c r="H1316" i="4" s="1"/>
  <c r="BR234" i="13"/>
  <c r="BQ234" i="13"/>
  <c r="BO234" i="13"/>
  <c r="BM234" i="13"/>
  <c r="BK234" i="13"/>
  <c r="BJ234" i="13"/>
  <c r="BI234" i="13"/>
  <c r="BH234" i="13"/>
  <c r="G1315" i="4"/>
  <c r="BU233" i="13"/>
  <c r="F1315" i="4" s="1"/>
  <c r="BT233" i="13"/>
  <c r="H1315" i="4" s="1"/>
  <c r="BR233" i="13"/>
  <c r="BQ233" i="13"/>
  <c r="BO233" i="13"/>
  <c r="BM233" i="13"/>
  <c r="BK233" i="13"/>
  <c r="BJ233" i="13"/>
  <c r="BI233" i="13"/>
  <c r="BH233" i="13"/>
  <c r="G1314" i="4"/>
  <c r="BU232" i="13"/>
  <c r="F1314" i="4" s="1"/>
  <c r="BT232" i="13"/>
  <c r="H1314" i="4" s="1"/>
  <c r="BR232" i="13"/>
  <c r="BQ232" i="13"/>
  <c r="BO232" i="13"/>
  <c r="BM232" i="13"/>
  <c r="BK232" i="13"/>
  <c r="BJ232" i="13"/>
  <c r="BI232" i="13"/>
  <c r="BH232" i="13"/>
  <c r="G1313" i="4"/>
  <c r="BU231" i="13"/>
  <c r="F1313" i="4" s="1"/>
  <c r="BT231" i="13"/>
  <c r="H1313" i="4" s="1"/>
  <c r="BR231" i="13"/>
  <c r="BQ231" i="13"/>
  <c r="BO231" i="13"/>
  <c r="BM231" i="13"/>
  <c r="BK231" i="13"/>
  <c r="BJ231" i="13"/>
  <c r="BI231" i="13"/>
  <c r="BH231" i="13"/>
  <c r="G1312" i="4"/>
  <c r="BU230" i="13"/>
  <c r="F1312" i="4" s="1"/>
  <c r="BT230" i="13"/>
  <c r="H1312" i="4" s="1"/>
  <c r="BR230" i="13"/>
  <c r="BQ230" i="13"/>
  <c r="BO230" i="13"/>
  <c r="BM230" i="13"/>
  <c r="BK230" i="13"/>
  <c r="BJ230" i="13"/>
  <c r="BI230" i="13"/>
  <c r="BH230" i="13"/>
  <c r="G1311" i="4"/>
  <c r="BU229" i="13"/>
  <c r="F1311" i="4" s="1"/>
  <c r="BT229" i="13"/>
  <c r="H1311" i="4" s="1"/>
  <c r="BR229" i="13"/>
  <c r="BQ229" i="13"/>
  <c r="BO229" i="13"/>
  <c r="BM229" i="13"/>
  <c r="BK229" i="13"/>
  <c r="BJ229" i="13"/>
  <c r="BI229" i="13"/>
  <c r="BH229" i="13"/>
  <c r="G1310" i="4"/>
  <c r="BU228" i="13"/>
  <c r="F1310" i="4" s="1"/>
  <c r="BT228" i="13"/>
  <c r="H1310" i="4" s="1"/>
  <c r="BR228" i="13"/>
  <c r="BQ228" i="13"/>
  <c r="BO228" i="13"/>
  <c r="BM228" i="13"/>
  <c r="BK228" i="13"/>
  <c r="BJ228" i="13"/>
  <c r="BI228" i="13"/>
  <c r="BH228" i="13"/>
  <c r="G1309" i="4"/>
  <c r="BU227" i="13"/>
  <c r="F1309" i="4" s="1"/>
  <c r="BT227" i="13"/>
  <c r="H1309" i="4" s="1"/>
  <c r="BR227" i="13"/>
  <c r="BQ227" i="13"/>
  <c r="BO227" i="13"/>
  <c r="BM227" i="13"/>
  <c r="BK227" i="13"/>
  <c r="BJ227" i="13"/>
  <c r="BI227" i="13"/>
  <c r="BH227" i="13"/>
  <c r="G1308" i="4"/>
  <c r="BU226" i="13"/>
  <c r="F1308" i="4" s="1"/>
  <c r="BT226" i="13"/>
  <c r="H1308" i="4" s="1"/>
  <c r="BR226" i="13"/>
  <c r="BQ226" i="13"/>
  <c r="BO226" i="13"/>
  <c r="BM226" i="13"/>
  <c r="BK226" i="13"/>
  <c r="BJ226" i="13"/>
  <c r="BI226" i="13"/>
  <c r="BH226" i="13"/>
  <c r="G1307" i="4"/>
  <c r="BU225" i="13"/>
  <c r="F1307" i="4" s="1"/>
  <c r="BT225" i="13"/>
  <c r="H1307" i="4" s="1"/>
  <c r="BR225" i="13"/>
  <c r="BQ225" i="13"/>
  <c r="BO225" i="13"/>
  <c r="BM225" i="13"/>
  <c r="BK225" i="13"/>
  <c r="BJ225" i="13"/>
  <c r="BI225" i="13"/>
  <c r="BH225" i="13"/>
  <c r="G1306" i="4"/>
  <c r="BU224" i="13"/>
  <c r="F1306" i="4" s="1"/>
  <c r="BT224" i="13"/>
  <c r="H1306" i="4" s="1"/>
  <c r="BR224" i="13"/>
  <c r="BQ224" i="13"/>
  <c r="BO224" i="13"/>
  <c r="BM224" i="13"/>
  <c r="BK224" i="13"/>
  <c r="BJ224" i="13"/>
  <c r="BI224" i="13"/>
  <c r="BH224" i="13"/>
  <c r="G1305" i="4"/>
  <c r="BU223" i="13"/>
  <c r="F1305" i="4" s="1"/>
  <c r="BT223" i="13"/>
  <c r="H1305" i="4" s="1"/>
  <c r="BR223" i="13"/>
  <c r="BQ223" i="13"/>
  <c r="BO223" i="13"/>
  <c r="BM223" i="13"/>
  <c r="BK223" i="13"/>
  <c r="BJ223" i="13"/>
  <c r="BI223" i="13"/>
  <c r="BH223" i="13"/>
  <c r="G1304" i="4"/>
  <c r="BU222" i="13"/>
  <c r="F1304" i="4" s="1"/>
  <c r="BT222" i="13"/>
  <c r="H1304" i="4" s="1"/>
  <c r="BR222" i="13"/>
  <c r="BQ222" i="13"/>
  <c r="BO222" i="13"/>
  <c r="BM222" i="13"/>
  <c r="BK222" i="13"/>
  <c r="BJ222" i="13"/>
  <c r="BI222" i="13"/>
  <c r="BH222" i="13"/>
  <c r="G1303" i="4"/>
  <c r="BU221" i="13"/>
  <c r="F1303" i="4" s="1"/>
  <c r="BT221" i="13"/>
  <c r="H1303" i="4" s="1"/>
  <c r="BR221" i="13"/>
  <c r="BQ221" i="13"/>
  <c r="BO221" i="13"/>
  <c r="BM221" i="13"/>
  <c r="BK221" i="13"/>
  <c r="BJ221" i="13"/>
  <c r="BI221" i="13"/>
  <c r="BH221" i="13"/>
  <c r="G1302" i="4"/>
  <c r="BU220" i="13"/>
  <c r="F1302" i="4" s="1"/>
  <c r="BT220" i="13"/>
  <c r="H1302" i="4" s="1"/>
  <c r="BR220" i="13"/>
  <c r="BQ220" i="13"/>
  <c r="BO220" i="13"/>
  <c r="BM220" i="13"/>
  <c r="BK220" i="13"/>
  <c r="BJ220" i="13"/>
  <c r="BI220" i="13"/>
  <c r="BH220" i="13"/>
  <c r="G1301" i="4"/>
  <c r="BU219" i="13"/>
  <c r="F1301" i="4" s="1"/>
  <c r="BT219" i="13"/>
  <c r="H1301" i="4" s="1"/>
  <c r="BR219" i="13"/>
  <c r="BQ219" i="13"/>
  <c r="BO219" i="13"/>
  <c r="BM219" i="13"/>
  <c r="BK219" i="13"/>
  <c r="BJ219" i="13"/>
  <c r="BI219" i="13"/>
  <c r="BH219" i="13"/>
  <c r="G1300" i="4"/>
  <c r="BU218" i="13"/>
  <c r="F1300" i="4" s="1"/>
  <c r="BT218" i="13"/>
  <c r="H1300" i="4" s="1"/>
  <c r="BR218" i="13"/>
  <c r="BQ218" i="13"/>
  <c r="BO218" i="13"/>
  <c r="BM218" i="13"/>
  <c r="BK218" i="13"/>
  <c r="BJ218" i="13"/>
  <c r="BI218" i="13"/>
  <c r="BH218" i="13"/>
  <c r="G1299" i="4"/>
  <c r="BU217" i="13"/>
  <c r="F1299" i="4" s="1"/>
  <c r="BT217" i="13"/>
  <c r="H1299" i="4" s="1"/>
  <c r="BR217" i="13"/>
  <c r="BQ217" i="13"/>
  <c r="BO217" i="13"/>
  <c r="BM217" i="13"/>
  <c r="BK217" i="13"/>
  <c r="BJ217" i="13"/>
  <c r="BI217" i="13"/>
  <c r="BH217" i="13"/>
  <c r="G1298" i="4"/>
  <c r="BU216" i="13"/>
  <c r="F1298" i="4" s="1"/>
  <c r="BT216" i="13"/>
  <c r="H1298" i="4" s="1"/>
  <c r="BR216" i="13"/>
  <c r="BQ216" i="13"/>
  <c r="BO216" i="13"/>
  <c r="BM216" i="13"/>
  <c r="BK216" i="13"/>
  <c r="BJ216" i="13"/>
  <c r="BI216" i="13"/>
  <c r="BH216" i="13"/>
  <c r="G1297" i="4"/>
  <c r="BU215" i="13"/>
  <c r="F1297" i="4" s="1"/>
  <c r="BT215" i="13"/>
  <c r="H1297" i="4" s="1"/>
  <c r="BR215" i="13"/>
  <c r="BQ215" i="13"/>
  <c r="BO215" i="13"/>
  <c r="BM215" i="13"/>
  <c r="BK215" i="13"/>
  <c r="BJ215" i="13"/>
  <c r="BI215" i="13"/>
  <c r="BH215" i="13"/>
  <c r="G1296" i="4"/>
  <c r="BU214" i="13"/>
  <c r="F1296" i="4" s="1"/>
  <c r="BT214" i="13"/>
  <c r="H1296" i="4" s="1"/>
  <c r="BR214" i="13"/>
  <c r="BQ214" i="13"/>
  <c r="BO214" i="13"/>
  <c r="BM214" i="13"/>
  <c r="BK214" i="13"/>
  <c r="BJ214" i="13"/>
  <c r="BI214" i="13"/>
  <c r="BH214" i="13"/>
  <c r="G1295" i="4"/>
  <c r="BU213" i="13"/>
  <c r="F1295" i="4" s="1"/>
  <c r="BT213" i="13"/>
  <c r="H1295" i="4" s="1"/>
  <c r="BR213" i="13"/>
  <c r="BQ213" i="13"/>
  <c r="BO213" i="13"/>
  <c r="BM213" i="13"/>
  <c r="BK213" i="13"/>
  <c r="BJ213" i="13"/>
  <c r="BI213" i="13"/>
  <c r="BH213" i="13"/>
  <c r="G1294" i="4"/>
  <c r="BU212" i="13"/>
  <c r="F1294" i="4" s="1"/>
  <c r="BT212" i="13"/>
  <c r="H1294" i="4" s="1"/>
  <c r="BR212" i="13"/>
  <c r="BQ212" i="13"/>
  <c r="BO212" i="13"/>
  <c r="BM212" i="13"/>
  <c r="BK212" i="13"/>
  <c r="BJ212" i="13"/>
  <c r="BI212" i="13"/>
  <c r="BH212" i="13"/>
  <c r="G1293" i="4"/>
  <c r="BU211" i="13"/>
  <c r="F1293" i="4" s="1"/>
  <c r="BT211" i="13"/>
  <c r="H1293" i="4" s="1"/>
  <c r="BR211" i="13"/>
  <c r="BQ211" i="13"/>
  <c r="BO211" i="13"/>
  <c r="BM211" i="13"/>
  <c r="BK211" i="13"/>
  <c r="BJ211" i="13"/>
  <c r="BI211" i="13"/>
  <c r="BH211" i="13"/>
  <c r="G1292" i="4"/>
  <c r="BU210" i="13"/>
  <c r="F1292" i="4" s="1"/>
  <c r="BT210" i="13"/>
  <c r="H1292" i="4" s="1"/>
  <c r="BR210" i="13"/>
  <c r="BQ210" i="13"/>
  <c r="BO210" i="13"/>
  <c r="BM210" i="13"/>
  <c r="BK210" i="13"/>
  <c r="BJ210" i="13"/>
  <c r="BI210" i="13"/>
  <c r="BH210" i="13"/>
  <c r="G1291" i="4"/>
  <c r="BU209" i="13"/>
  <c r="F1291" i="4" s="1"/>
  <c r="BT209" i="13"/>
  <c r="H1291" i="4" s="1"/>
  <c r="BR209" i="13"/>
  <c r="BQ209" i="13"/>
  <c r="BO209" i="13"/>
  <c r="BM209" i="13"/>
  <c r="BK209" i="13"/>
  <c r="BJ209" i="13"/>
  <c r="BI209" i="13"/>
  <c r="BH209" i="13"/>
  <c r="G1290" i="4"/>
  <c r="BU208" i="13"/>
  <c r="F1290" i="4" s="1"/>
  <c r="BT208" i="13"/>
  <c r="H1290" i="4" s="1"/>
  <c r="BR208" i="13"/>
  <c r="BQ208" i="13"/>
  <c r="BO208" i="13"/>
  <c r="BM208" i="13"/>
  <c r="BK208" i="13"/>
  <c r="BJ208" i="13"/>
  <c r="BI208" i="13"/>
  <c r="BH208" i="13"/>
  <c r="G1289" i="4"/>
  <c r="BU207" i="13"/>
  <c r="F1289" i="4" s="1"/>
  <c r="BT207" i="13"/>
  <c r="H1289" i="4" s="1"/>
  <c r="BR207" i="13"/>
  <c r="BQ207" i="13"/>
  <c r="BO207" i="13"/>
  <c r="BM207" i="13"/>
  <c r="BK207" i="13"/>
  <c r="BJ207" i="13"/>
  <c r="BI207" i="13"/>
  <c r="BH207" i="13"/>
  <c r="G1288" i="4"/>
  <c r="BU206" i="13"/>
  <c r="F1288" i="4" s="1"/>
  <c r="BT206" i="13"/>
  <c r="H1288" i="4" s="1"/>
  <c r="BR206" i="13"/>
  <c r="BQ206" i="13"/>
  <c r="BO206" i="13"/>
  <c r="BM206" i="13"/>
  <c r="BK206" i="13"/>
  <c r="BJ206" i="13"/>
  <c r="BI206" i="13"/>
  <c r="BH206" i="13"/>
  <c r="G1287" i="4"/>
  <c r="BU205" i="13"/>
  <c r="F1287" i="4" s="1"/>
  <c r="BT205" i="13"/>
  <c r="H1287" i="4" s="1"/>
  <c r="BR205" i="13"/>
  <c r="BQ205" i="13"/>
  <c r="BO205" i="13"/>
  <c r="BM205" i="13"/>
  <c r="BK205" i="13"/>
  <c r="BJ205" i="13"/>
  <c r="BI205" i="13"/>
  <c r="BH205" i="13"/>
  <c r="G1286" i="4"/>
  <c r="BU204" i="13"/>
  <c r="F1286" i="4" s="1"/>
  <c r="BT204" i="13"/>
  <c r="H1286" i="4" s="1"/>
  <c r="BR204" i="13"/>
  <c r="BQ204" i="13"/>
  <c r="BO204" i="13"/>
  <c r="BM204" i="13"/>
  <c r="BK204" i="13"/>
  <c r="BJ204" i="13"/>
  <c r="BI204" i="13"/>
  <c r="BH204" i="13"/>
  <c r="G1285" i="4"/>
  <c r="BU203" i="13"/>
  <c r="F1285" i="4" s="1"/>
  <c r="BT203" i="13"/>
  <c r="H1285" i="4" s="1"/>
  <c r="BR203" i="13"/>
  <c r="BQ203" i="13"/>
  <c r="BO203" i="13"/>
  <c r="BM203" i="13"/>
  <c r="BK203" i="13"/>
  <c r="BJ203" i="13"/>
  <c r="BI203" i="13"/>
  <c r="BH203" i="13"/>
  <c r="G1284" i="4"/>
  <c r="BU202" i="13"/>
  <c r="F1284" i="4" s="1"/>
  <c r="BT202" i="13"/>
  <c r="H1284" i="4" s="1"/>
  <c r="BR202" i="13"/>
  <c r="BQ202" i="13"/>
  <c r="BO202" i="13"/>
  <c r="BM202" i="13"/>
  <c r="BK202" i="13"/>
  <c r="BJ202" i="13"/>
  <c r="BI202" i="13"/>
  <c r="BH202" i="13"/>
  <c r="G1283" i="4"/>
  <c r="BU201" i="13"/>
  <c r="F1283" i="4" s="1"/>
  <c r="BT201" i="13"/>
  <c r="H1283" i="4" s="1"/>
  <c r="BR201" i="13"/>
  <c r="BQ201" i="13"/>
  <c r="BO201" i="13"/>
  <c r="BM201" i="13"/>
  <c r="BK201" i="13"/>
  <c r="BJ201" i="13"/>
  <c r="BI201" i="13"/>
  <c r="BH201" i="13"/>
  <c r="G1282" i="4"/>
  <c r="BU200" i="13"/>
  <c r="F1282" i="4" s="1"/>
  <c r="BT200" i="13"/>
  <c r="H1282" i="4" s="1"/>
  <c r="BR200" i="13"/>
  <c r="BQ200" i="13"/>
  <c r="BO200" i="13"/>
  <c r="BM200" i="13"/>
  <c r="BK200" i="13"/>
  <c r="BJ200" i="13"/>
  <c r="BI200" i="13"/>
  <c r="BH200" i="13"/>
  <c r="G1281" i="4"/>
  <c r="BU199" i="13"/>
  <c r="F1281" i="4" s="1"/>
  <c r="BT199" i="13"/>
  <c r="H1281" i="4" s="1"/>
  <c r="BR199" i="13"/>
  <c r="BQ199" i="13"/>
  <c r="BO199" i="13"/>
  <c r="BM199" i="13"/>
  <c r="BK199" i="13"/>
  <c r="BJ199" i="13"/>
  <c r="BI199" i="13"/>
  <c r="BH199" i="13"/>
  <c r="G1280" i="4"/>
  <c r="BU198" i="13"/>
  <c r="F1280" i="4" s="1"/>
  <c r="BT198" i="13"/>
  <c r="H1280" i="4" s="1"/>
  <c r="BR198" i="13"/>
  <c r="BQ198" i="13"/>
  <c r="BO198" i="13"/>
  <c r="BM198" i="13"/>
  <c r="BK198" i="13"/>
  <c r="BJ198" i="13"/>
  <c r="BI198" i="13"/>
  <c r="BH198" i="13"/>
  <c r="G1279" i="4"/>
  <c r="BU197" i="13"/>
  <c r="F1279" i="4" s="1"/>
  <c r="BT197" i="13"/>
  <c r="H1279" i="4" s="1"/>
  <c r="BR197" i="13"/>
  <c r="BQ197" i="13"/>
  <c r="BO197" i="13"/>
  <c r="BM197" i="13"/>
  <c r="BK197" i="13"/>
  <c r="BJ197" i="13"/>
  <c r="BI197" i="13"/>
  <c r="BH197" i="13"/>
  <c r="G1278" i="4"/>
  <c r="BU196" i="13"/>
  <c r="F1278" i="4" s="1"/>
  <c r="BT196" i="13"/>
  <c r="H1278" i="4" s="1"/>
  <c r="BR196" i="13"/>
  <c r="BQ196" i="13"/>
  <c r="BO196" i="13"/>
  <c r="BM196" i="13"/>
  <c r="BK196" i="13"/>
  <c r="BJ196" i="13"/>
  <c r="BI196" i="13"/>
  <c r="BH196" i="13"/>
  <c r="G1277" i="4"/>
  <c r="BU195" i="13"/>
  <c r="F1277" i="4" s="1"/>
  <c r="BT195" i="13"/>
  <c r="H1277" i="4" s="1"/>
  <c r="BR195" i="13"/>
  <c r="BQ195" i="13"/>
  <c r="BO195" i="13"/>
  <c r="BM195" i="13"/>
  <c r="BK195" i="13"/>
  <c r="BJ195" i="13"/>
  <c r="BI195" i="13"/>
  <c r="BH195" i="13"/>
  <c r="G1276" i="4"/>
  <c r="BU194" i="13"/>
  <c r="F1276" i="4" s="1"/>
  <c r="BT194" i="13"/>
  <c r="H1276" i="4" s="1"/>
  <c r="BR194" i="13"/>
  <c r="BQ194" i="13"/>
  <c r="BO194" i="13"/>
  <c r="BM194" i="13"/>
  <c r="BK194" i="13"/>
  <c r="BJ194" i="13"/>
  <c r="BI194" i="13"/>
  <c r="BH194" i="13"/>
  <c r="G1275" i="4"/>
  <c r="BU193" i="13"/>
  <c r="F1275" i="4" s="1"/>
  <c r="BT193" i="13"/>
  <c r="H1275" i="4" s="1"/>
  <c r="BR193" i="13"/>
  <c r="BQ193" i="13"/>
  <c r="BO193" i="13"/>
  <c r="BM193" i="13"/>
  <c r="BK193" i="13"/>
  <c r="BJ193" i="13"/>
  <c r="BI193" i="13"/>
  <c r="BH193" i="13"/>
  <c r="G1274" i="4"/>
  <c r="BU192" i="13"/>
  <c r="F1274" i="4" s="1"/>
  <c r="BT192" i="13"/>
  <c r="H1274" i="4" s="1"/>
  <c r="BR192" i="13"/>
  <c r="BQ192" i="13"/>
  <c r="BO192" i="13"/>
  <c r="BM192" i="13"/>
  <c r="BK192" i="13"/>
  <c r="BJ192" i="13"/>
  <c r="BI192" i="13"/>
  <c r="BH192" i="13"/>
  <c r="G1273" i="4"/>
  <c r="BU191" i="13"/>
  <c r="F1273" i="4" s="1"/>
  <c r="BT191" i="13"/>
  <c r="H1273" i="4" s="1"/>
  <c r="BR191" i="13"/>
  <c r="BQ191" i="13"/>
  <c r="BO191" i="13"/>
  <c r="BM191" i="13"/>
  <c r="BK191" i="13"/>
  <c r="BJ191" i="13"/>
  <c r="BI191" i="13"/>
  <c r="BH191" i="13"/>
  <c r="G1272" i="4"/>
  <c r="BU190" i="13"/>
  <c r="F1272" i="4" s="1"/>
  <c r="BT190" i="13"/>
  <c r="H1272" i="4" s="1"/>
  <c r="BR190" i="13"/>
  <c r="BQ190" i="13"/>
  <c r="BO190" i="13"/>
  <c r="BM190" i="13"/>
  <c r="BK190" i="13"/>
  <c r="BJ190" i="13"/>
  <c r="BI190" i="13"/>
  <c r="BH190" i="13"/>
  <c r="G1271" i="4"/>
  <c r="BU189" i="13"/>
  <c r="F1271" i="4" s="1"/>
  <c r="BT189" i="13"/>
  <c r="H1271" i="4" s="1"/>
  <c r="BR189" i="13"/>
  <c r="BQ189" i="13"/>
  <c r="BO189" i="13"/>
  <c r="BM189" i="13"/>
  <c r="BK189" i="13"/>
  <c r="BJ189" i="13"/>
  <c r="BI189" i="13"/>
  <c r="BH189" i="13"/>
  <c r="G1270" i="4"/>
  <c r="BU188" i="13"/>
  <c r="F1270" i="4" s="1"/>
  <c r="BT188" i="13"/>
  <c r="H1270" i="4" s="1"/>
  <c r="BR188" i="13"/>
  <c r="BQ188" i="13"/>
  <c r="BO188" i="13"/>
  <c r="BM188" i="13"/>
  <c r="BK188" i="13"/>
  <c r="BJ188" i="13"/>
  <c r="BI188" i="13"/>
  <c r="BH188" i="13"/>
  <c r="G1269" i="4"/>
  <c r="BU187" i="13"/>
  <c r="F1269" i="4" s="1"/>
  <c r="BT187" i="13"/>
  <c r="H1269" i="4" s="1"/>
  <c r="BR187" i="13"/>
  <c r="BQ187" i="13"/>
  <c r="BO187" i="13"/>
  <c r="BM187" i="13"/>
  <c r="BK187" i="13"/>
  <c r="BJ187" i="13"/>
  <c r="BI187" i="13"/>
  <c r="BH187" i="13"/>
  <c r="G1268" i="4"/>
  <c r="BU186" i="13"/>
  <c r="F1268" i="4" s="1"/>
  <c r="BT186" i="13"/>
  <c r="H1268" i="4" s="1"/>
  <c r="BR186" i="13"/>
  <c r="BQ186" i="13"/>
  <c r="BO186" i="13"/>
  <c r="BM186" i="13"/>
  <c r="BK186" i="13"/>
  <c r="BJ186" i="13"/>
  <c r="BI186" i="13"/>
  <c r="BH186" i="13"/>
  <c r="G1267" i="4"/>
  <c r="BU185" i="13"/>
  <c r="F1267" i="4" s="1"/>
  <c r="BT185" i="13"/>
  <c r="H1267" i="4" s="1"/>
  <c r="BR185" i="13"/>
  <c r="BQ185" i="13"/>
  <c r="BO185" i="13"/>
  <c r="BM185" i="13"/>
  <c r="BK185" i="13"/>
  <c r="BJ185" i="13"/>
  <c r="BI185" i="13"/>
  <c r="BH185" i="13"/>
  <c r="G1266" i="4"/>
  <c r="BU184" i="13"/>
  <c r="F1266" i="4" s="1"/>
  <c r="BT184" i="13"/>
  <c r="H1266" i="4" s="1"/>
  <c r="BR184" i="13"/>
  <c r="BQ184" i="13"/>
  <c r="BO184" i="13"/>
  <c r="BM184" i="13"/>
  <c r="BK184" i="13"/>
  <c r="BJ184" i="13"/>
  <c r="BI184" i="13"/>
  <c r="BH184" i="13"/>
  <c r="G1265" i="4"/>
  <c r="BU183" i="13"/>
  <c r="F1265" i="4" s="1"/>
  <c r="BT183" i="13"/>
  <c r="H1265" i="4" s="1"/>
  <c r="BR183" i="13"/>
  <c r="BQ183" i="13"/>
  <c r="BO183" i="13"/>
  <c r="BM183" i="13"/>
  <c r="BK183" i="13"/>
  <c r="BJ183" i="13"/>
  <c r="BI183" i="13"/>
  <c r="BH183" i="13"/>
  <c r="G1264" i="4"/>
  <c r="BU182" i="13"/>
  <c r="F1264" i="4" s="1"/>
  <c r="BT182" i="13"/>
  <c r="H1264" i="4" s="1"/>
  <c r="BR182" i="13"/>
  <c r="BQ182" i="13"/>
  <c r="BO182" i="13"/>
  <c r="BM182" i="13"/>
  <c r="BK182" i="13"/>
  <c r="BJ182" i="13"/>
  <c r="BI182" i="13"/>
  <c r="BH182" i="13"/>
  <c r="G1263" i="4"/>
  <c r="BU181" i="13"/>
  <c r="F1263" i="4" s="1"/>
  <c r="BT181" i="13"/>
  <c r="H1263" i="4" s="1"/>
  <c r="BR181" i="13"/>
  <c r="BQ181" i="13"/>
  <c r="BO181" i="13"/>
  <c r="BM181" i="13"/>
  <c r="BK181" i="13"/>
  <c r="BJ181" i="13"/>
  <c r="BI181" i="13"/>
  <c r="BH181" i="13"/>
  <c r="G1262" i="4"/>
  <c r="BU180" i="13"/>
  <c r="F1262" i="4" s="1"/>
  <c r="BT180" i="13"/>
  <c r="H1262" i="4" s="1"/>
  <c r="BR180" i="13"/>
  <c r="BQ180" i="13"/>
  <c r="BO180" i="13"/>
  <c r="BM180" i="13"/>
  <c r="BK180" i="13"/>
  <c r="BJ180" i="13"/>
  <c r="BI180" i="13"/>
  <c r="BH180" i="13"/>
  <c r="G1261" i="4"/>
  <c r="BU179" i="13"/>
  <c r="F1261" i="4" s="1"/>
  <c r="BT179" i="13"/>
  <c r="H1261" i="4" s="1"/>
  <c r="BR179" i="13"/>
  <c r="BQ179" i="13"/>
  <c r="BO179" i="13"/>
  <c r="BM179" i="13"/>
  <c r="BK179" i="13"/>
  <c r="BJ179" i="13"/>
  <c r="BI179" i="13"/>
  <c r="BH179" i="13"/>
  <c r="G1260" i="4"/>
  <c r="BU178" i="13"/>
  <c r="F1260" i="4" s="1"/>
  <c r="BT178" i="13"/>
  <c r="H1260" i="4" s="1"/>
  <c r="BR178" i="13"/>
  <c r="BQ178" i="13"/>
  <c r="BO178" i="13"/>
  <c r="BM178" i="13"/>
  <c r="BK178" i="13"/>
  <c r="BJ178" i="13"/>
  <c r="BI178" i="13"/>
  <c r="BH178" i="13"/>
  <c r="G1259" i="4"/>
  <c r="BU177" i="13"/>
  <c r="F1259" i="4" s="1"/>
  <c r="BT177" i="13"/>
  <c r="H1259" i="4" s="1"/>
  <c r="BR177" i="13"/>
  <c r="BQ177" i="13"/>
  <c r="BO177" i="13"/>
  <c r="BM177" i="13"/>
  <c r="BK177" i="13"/>
  <c r="BJ177" i="13"/>
  <c r="BI177" i="13"/>
  <c r="BH177" i="13"/>
  <c r="G1258" i="4"/>
  <c r="BU176" i="13"/>
  <c r="F1258" i="4" s="1"/>
  <c r="BT176" i="13"/>
  <c r="H1258" i="4" s="1"/>
  <c r="BR176" i="13"/>
  <c r="BQ176" i="13"/>
  <c r="BO176" i="13"/>
  <c r="BM176" i="13"/>
  <c r="BK176" i="13"/>
  <c r="BJ176" i="13"/>
  <c r="BI176" i="13"/>
  <c r="BH176" i="13"/>
  <c r="G1257" i="4"/>
  <c r="BU175" i="13"/>
  <c r="F1257" i="4" s="1"/>
  <c r="BT175" i="13"/>
  <c r="H1257" i="4" s="1"/>
  <c r="BR175" i="13"/>
  <c r="BQ175" i="13"/>
  <c r="BO175" i="13"/>
  <c r="BM175" i="13"/>
  <c r="BK175" i="13"/>
  <c r="BJ175" i="13"/>
  <c r="BI175" i="13"/>
  <c r="BH175" i="13"/>
  <c r="G1256" i="4"/>
  <c r="BU174" i="13"/>
  <c r="F1256" i="4" s="1"/>
  <c r="BT174" i="13"/>
  <c r="H1256" i="4" s="1"/>
  <c r="BR174" i="13"/>
  <c r="BQ174" i="13"/>
  <c r="BO174" i="13"/>
  <c r="BM174" i="13"/>
  <c r="BK174" i="13"/>
  <c r="BJ174" i="13"/>
  <c r="BI174" i="13"/>
  <c r="BH174" i="13"/>
  <c r="G1255" i="4"/>
  <c r="BU173" i="13"/>
  <c r="F1255" i="4" s="1"/>
  <c r="BT173" i="13"/>
  <c r="H1255" i="4" s="1"/>
  <c r="BR173" i="13"/>
  <c r="BQ173" i="13"/>
  <c r="BO173" i="13"/>
  <c r="BM173" i="13"/>
  <c r="BK173" i="13"/>
  <c r="BJ173" i="13"/>
  <c r="BI173" i="13"/>
  <c r="BH173" i="13"/>
  <c r="G1254" i="4"/>
  <c r="BU172" i="13"/>
  <c r="F1254" i="4" s="1"/>
  <c r="BT172" i="13"/>
  <c r="H1254" i="4" s="1"/>
  <c r="BR172" i="13"/>
  <c r="BQ172" i="13"/>
  <c r="BO172" i="13"/>
  <c r="BM172" i="13"/>
  <c r="BK172" i="13"/>
  <c r="BJ172" i="13"/>
  <c r="BI172" i="13"/>
  <c r="BH172" i="13"/>
  <c r="G1253" i="4"/>
  <c r="BU171" i="13"/>
  <c r="F1253" i="4" s="1"/>
  <c r="BT171" i="13"/>
  <c r="H1253" i="4" s="1"/>
  <c r="BR171" i="13"/>
  <c r="BQ171" i="13"/>
  <c r="BO171" i="13"/>
  <c r="BM171" i="13"/>
  <c r="BK171" i="13"/>
  <c r="BJ171" i="13"/>
  <c r="BI171" i="13"/>
  <c r="BH171" i="13"/>
  <c r="G1252" i="4"/>
  <c r="BU170" i="13"/>
  <c r="F1252" i="4" s="1"/>
  <c r="BT170" i="13"/>
  <c r="H1252" i="4" s="1"/>
  <c r="BR170" i="13"/>
  <c r="BQ170" i="13"/>
  <c r="BO170" i="13"/>
  <c r="BM170" i="13"/>
  <c r="BK170" i="13"/>
  <c r="BJ170" i="13"/>
  <c r="BI170" i="13"/>
  <c r="BH170" i="13"/>
  <c r="G1251" i="4"/>
  <c r="BU169" i="13"/>
  <c r="F1251" i="4" s="1"/>
  <c r="BT169" i="13"/>
  <c r="H1251" i="4" s="1"/>
  <c r="BR169" i="13"/>
  <c r="BQ169" i="13"/>
  <c r="BO169" i="13"/>
  <c r="BM169" i="13"/>
  <c r="BK169" i="13"/>
  <c r="BJ169" i="13"/>
  <c r="BI169" i="13"/>
  <c r="BH169" i="13"/>
  <c r="G1250" i="4"/>
  <c r="BU168" i="13"/>
  <c r="F1250" i="4" s="1"/>
  <c r="BT168" i="13"/>
  <c r="H1250" i="4" s="1"/>
  <c r="BR168" i="13"/>
  <c r="BQ168" i="13"/>
  <c r="BO168" i="13"/>
  <c r="BM168" i="13"/>
  <c r="BK168" i="13"/>
  <c r="BJ168" i="13"/>
  <c r="BI168" i="13"/>
  <c r="BH168" i="13"/>
  <c r="G1249" i="4"/>
  <c r="BU167" i="13"/>
  <c r="F1249" i="4" s="1"/>
  <c r="BT167" i="13"/>
  <c r="H1249" i="4" s="1"/>
  <c r="BR167" i="13"/>
  <c r="BQ167" i="13"/>
  <c r="BO167" i="13"/>
  <c r="BM167" i="13"/>
  <c r="BK167" i="13"/>
  <c r="BJ167" i="13"/>
  <c r="BI167" i="13"/>
  <c r="BH167" i="13"/>
  <c r="G1248" i="4"/>
  <c r="BU166" i="13"/>
  <c r="F1248" i="4" s="1"/>
  <c r="BT166" i="13"/>
  <c r="H1248" i="4" s="1"/>
  <c r="BR166" i="13"/>
  <c r="BQ166" i="13"/>
  <c r="BO166" i="13"/>
  <c r="BM166" i="13"/>
  <c r="BK166" i="13"/>
  <c r="BJ166" i="13"/>
  <c r="BI166" i="13"/>
  <c r="BH166" i="13"/>
  <c r="G1247" i="4"/>
  <c r="BU165" i="13"/>
  <c r="F1247" i="4" s="1"/>
  <c r="BT165" i="13"/>
  <c r="H1247" i="4" s="1"/>
  <c r="BR165" i="13"/>
  <c r="BQ165" i="13"/>
  <c r="BO165" i="13"/>
  <c r="BM165" i="13"/>
  <c r="BK165" i="13"/>
  <c r="BJ165" i="13"/>
  <c r="BI165" i="13"/>
  <c r="BH165" i="13"/>
  <c r="G1246" i="4"/>
  <c r="BU164" i="13"/>
  <c r="F1246" i="4" s="1"/>
  <c r="BT164" i="13"/>
  <c r="H1246" i="4" s="1"/>
  <c r="BR164" i="13"/>
  <c r="BQ164" i="13"/>
  <c r="BO164" i="13"/>
  <c r="BM164" i="13"/>
  <c r="BK164" i="13"/>
  <c r="BJ164" i="13"/>
  <c r="BI164" i="13"/>
  <c r="BH164" i="13"/>
  <c r="G1245" i="4"/>
  <c r="BU163" i="13"/>
  <c r="F1245" i="4" s="1"/>
  <c r="BT163" i="13"/>
  <c r="H1245" i="4" s="1"/>
  <c r="BR163" i="13"/>
  <c r="BQ163" i="13"/>
  <c r="BO163" i="13"/>
  <c r="BM163" i="13"/>
  <c r="BK163" i="13"/>
  <c r="BJ163" i="13"/>
  <c r="BI163" i="13"/>
  <c r="BH163" i="13"/>
  <c r="G1244" i="4"/>
  <c r="BU162" i="13"/>
  <c r="F1244" i="4" s="1"/>
  <c r="BT162" i="13"/>
  <c r="H1244" i="4" s="1"/>
  <c r="BR162" i="13"/>
  <c r="BQ162" i="13"/>
  <c r="BO162" i="13"/>
  <c r="BM162" i="13"/>
  <c r="BK162" i="13"/>
  <c r="BJ162" i="13"/>
  <c r="BI162" i="13"/>
  <c r="BH162" i="13"/>
  <c r="G1243" i="4"/>
  <c r="BU161" i="13"/>
  <c r="F1243" i="4" s="1"/>
  <c r="BT161" i="13"/>
  <c r="H1243" i="4" s="1"/>
  <c r="BR161" i="13"/>
  <c r="BQ161" i="13"/>
  <c r="BO161" i="13"/>
  <c r="BM161" i="13"/>
  <c r="BK161" i="13"/>
  <c r="BJ161" i="13"/>
  <c r="BI161" i="13"/>
  <c r="BH161" i="13"/>
  <c r="G1242" i="4"/>
  <c r="BU160" i="13"/>
  <c r="F1242" i="4" s="1"/>
  <c r="BT160" i="13"/>
  <c r="H1242" i="4" s="1"/>
  <c r="BR160" i="13"/>
  <c r="BQ160" i="13"/>
  <c r="BO160" i="13"/>
  <c r="BM160" i="13"/>
  <c r="BK160" i="13"/>
  <c r="BJ160" i="13"/>
  <c r="BI160" i="13"/>
  <c r="BH160" i="13"/>
  <c r="G1241" i="4"/>
  <c r="BU159" i="13"/>
  <c r="F1241" i="4" s="1"/>
  <c r="BT159" i="13"/>
  <c r="H1241" i="4" s="1"/>
  <c r="BR159" i="13"/>
  <c r="BQ159" i="13"/>
  <c r="BO159" i="13"/>
  <c r="BM159" i="13"/>
  <c r="BK159" i="13"/>
  <c r="BJ159" i="13"/>
  <c r="BI159" i="13"/>
  <c r="BH159" i="13"/>
  <c r="G1240" i="4"/>
  <c r="BU158" i="13"/>
  <c r="F1240" i="4" s="1"/>
  <c r="BT158" i="13"/>
  <c r="H1240" i="4" s="1"/>
  <c r="BR158" i="13"/>
  <c r="BQ158" i="13"/>
  <c r="BO158" i="13"/>
  <c r="BM158" i="13"/>
  <c r="BK158" i="13"/>
  <c r="BJ158" i="13"/>
  <c r="BI158" i="13"/>
  <c r="BH158" i="13"/>
  <c r="G1239" i="4"/>
  <c r="BU157" i="13"/>
  <c r="F1239" i="4" s="1"/>
  <c r="BT157" i="13"/>
  <c r="H1239" i="4" s="1"/>
  <c r="BR157" i="13"/>
  <c r="BQ157" i="13"/>
  <c r="BO157" i="13"/>
  <c r="BM157" i="13"/>
  <c r="BK157" i="13"/>
  <c r="BJ157" i="13"/>
  <c r="BI157" i="13"/>
  <c r="BH157" i="13"/>
  <c r="G1238" i="4"/>
  <c r="BU156" i="13"/>
  <c r="F1238" i="4" s="1"/>
  <c r="BT156" i="13"/>
  <c r="H1238" i="4" s="1"/>
  <c r="BR156" i="13"/>
  <c r="BQ156" i="13"/>
  <c r="BO156" i="13"/>
  <c r="BM156" i="13"/>
  <c r="BK156" i="13"/>
  <c r="BJ156" i="13"/>
  <c r="BI156" i="13"/>
  <c r="BH156" i="13"/>
  <c r="G1237" i="4"/>
  <c r="BU155" i="13"/>
  <c r="F1237" i="4" s="1"/>
  <c r="BT155" i="13"/>
  <c r="H1237" i="4" s="1"/>
  <c r="BR155" i="13"/>
  <c r="BQ155" i="13"/>
  <c r="BO155" i="13"/>
  <c r="BM155" i="13"/>
  <c r="BK155" i="13"/>
  <c r="BJ155" i="13"/>
  <c r="BI155" i="13"/>
  <c r="BH155" i="13"/>
  <c r="G1236" i="4"/>
  <c r="BU154" i="13"/>
  <c r="F1236" i="4" s="1"/>
  <c r="BT154" i="13"/>
  <c r="H1236" i="4" s="1"/>
  <c r="BR154" i="13"/>
  <c r="BQ154" i="13"/>
  <c r="BO154" i="13"/>
  <c r="BM154" i="13"/>
  <c r="BK154" i="13"/>
  <c r="BJ154" i="13"/>
  <c r="BI154" i="13"/>
  <c r="BH154" i="13"/>
  <c r="G1235" i="4"/>
  <c r="BU153" i="13"/>
  <c r="F1235" i="4" s="1"/>
  <c r="BT153" i="13"/>
  <c r="H1235" i="4" s="1"/>
  <c r="BR153" i="13"/>
  <c r="BQ153" i="13"/>
  <c r="BO153" i="13"/>
  <c r="BM153" i="13"/>
  <c r="BK153" i="13"/>
  <c r="BJ153" i="13"/>
  <c r="BI153" i="13"/>
  <c r="BH153" i="13"/>
  <c r="G1234" i="4"/>
  <c r="BU152" i="13"/>
  <c r="F1234" i="4" s="1"/>
  <c r="BT152" i="13"/>
  <c r="H1234" i="4" s="1"/>
  <c r="BR152" i="13"/>
  <c r="BQ152" i="13"/>
  <c r="BO152" i="13"/>
  <c r="BM152" i="13"/>
  <c r="BK152" i="13"/>
  <c r="BJ152" i="13"/>
  <c r="BI152" i="13"/>
  <c r="BH152" i="13"/>
  <c r="G1233" i="4"/>
  <c r="BU151" i="13"/>
  <c r="F1233" i="4" s="1"/>
  <c r="BT151" i="13"/>
  <c r="H1233" i="4" s="1"/>
  <c r="BR151" i="13"/>
  <c r="BQ151" i="13"/>
  <c r="BO151" i="13"/>
  <c r="BM151" i="13"/>
  <c r="BK151" i="13"/>
  <c r="BJ151" i="13"/>
  <c r="BI151" i="13"/>
  <c r="BH151" i="13"/>
  <c r="G1232" i="4"/>
  <c r="BU150" i="13"/>
  <c r="F1232" i="4" s="1"/>
  <c r="BT150" i="13"/>
  <c r="H1232" i="4" s="1"/>
  <c r="BR150" i="13"/>
  <c r="BQ150" i="13"/>
  <c r="BO150" i="13"/>
  <c r="BM150" i="13"/>
  <c r="BK150" i="13"/>
  <c r="BJ150" i="13"/>
  <c r="BI150" i="13"/>
  <c r="BH150" i="13"/>
  <c r="G1231" i="4"/>
  <c r="BU149" i="13"/>
  <c r="F1231" i="4" s="1"/>
  <c r="BT149" i="13"/>
  <c r="H1231" i="4" s="1"/>
  <c r="BR149" i="13"/>
  <c r="BQ149" i="13"/>
  <c r="BO149" i="13"/>
  <c r="BM149" i="13"/>
  <c r="BK149" i="13"/>
  <c r="BJ149" i="13"/>
  <c r="BI149" i="13"/>
  <c r="BH149" i="13"/>
  <c r="G1230" i="4"/>
  <c r="BU148" i="13"/>
  <c r="F1230" i="4" s="1"/>
  <c r="BT148" i="13"/>
  <c r="H1230" i="4" s="1"/>
  <c r="BR148" i="13"/>
  <c r="BQ148" i="13"/>
  <c r="BO148" i="13"/>
  <c r="BM148" i="13"/>
  <c r="BK148" i="13"/>
  <c r="BJ148" i="13"/>
  <c r="BI148" i="13"/>
  <c r="BH148" i="13"/>
  <c r="G1229" i="4"/>
  <c r="BU147" i="13"/>
  <c r="F1229" i="4" s="1"/>
  <c r="BT147" i="13"/>
  <c r="H1229" i="4" s="1"/>
  <c r="BR147" i="13"/>
  <c r="BQ147" i="13"/>
  <c r="BO147" i="13"/>
  <c r="BM147" i="13"/>
  <c r="BK147" i="13"/>
  <c r="BJ147" i="13"/>
  <c r="BI147" i="13"/>
  <c r="BH147" i="13"/>
  <c r="G1228" i="4"/>
  <c r="BU146" i="13"/>
  <c r="F1228" i="4" s="1"/>
  <c r="BT146" i="13"/>
  <c r="H1228" i="4" s="1"/>
  <c r="BR146" i="13"/>
  <c r="BQ146" i="13"/>
  <c r="BO146" i="13"/>
  <c r="BM146" i="13"/>
  <c r="BK146" i="13"/>
  <c r="BJ146" i="13"/>
  <c r="BI146" i="13"/>
  <c r="BH146" i="13"/>
  <c r="G1227" i="4"/>
  <c r="BU145" i="13"/>
  <c r="F1227" i="4" s="1"/>
  <c r="BT145" i="13"/>
  <c r="H1227" i="4" s="1"/>
  <c r="BR145" i="13"/>
  <c r="BQ145" i="13"/>
  <c r="BO145" i="13"/>
  <c r="BM145" i="13"/>
  <c r="BK145" i="13"/>
  <c r="BJ145" i="13"/>
  <c r="BI145" i="13"/>
  <c r="BH145" i="13"/>
  <c r="G1226" i="4"/>
  <c r="BU144" i="13"/>
  <c r="F1226" i="4" s="1"/>
  <c r="BT144" i="13"/>
  <c r="H1226" i="4" s="1"/>
  <c r="BR144" i="13"/>
  <c r="BQ144" i="13"/>
  <c r="BO144" i="13"/>
  <c r="BM144" i="13"/>
  <c r="BK144" i="13"/>
  <c r="BJ144" i="13"/>
  <c r="BI144" i="13"/>
  <c r="BH144" i="13"/>
  <c r="G1225" i="4"/>
  <c r="BU143" i="13"/>
  <c r="F1225" i="4" s="1"/>
  <c r="BT143" i="13"/>
  <c r="H1225" i="4" s="1"/>
  <c r="BR143" i="13"/>
  <c r="BQ143" i="13"/>
  <c r="BO143" i="13"/>
  <c r="BM143" i="13"/>
  <c r="BK143" i="13"/>
  <c r="BJ143" i="13"/>
  <c r="BI143" i="13"/>
  <c r="BH143" i="13"/>
  <c r="G1224" i="4"/>
  <c r="BU142" i="13"/>
  <c r="F1224" i="4" s="1"/>
  <c r="BT142" i="13"/>
  <c r="H1224" i="4" s="1"/>
  <c r="BR142" i="13"/>
  <c r="BQ142" i="13"/>
  <c r="BO142" i="13"/>
  <c r="BM142" i="13"/>
  <c r="BK142" i="13"/>
  <c r="BJ142" i="13"/>
  <c r="BI142" i="13"/>
  <c r="BH142" i="13"/>
  <c r="G1223" i="4"/>
  <c r="BU141" i="13"/>
  <c r="F1223" i="4" s="1"/>
  <c r="BT141" i="13"/>
  <c r="H1223" i="4" s="1"/>
  <c r="BR141" i="13"/>
  <c r="BQ141" i="13"/>
  <c r="BO141" i="13"/>
  <c r="BM141" i="13"/>
  <c r="BK141" i="13"/>
  <c r="BJ141" i="13"/>
  <c r="BI141" i="13"/>
  <c r="BH141" i="13"/>
  <c r="G1222" i="4"/>
  <c r="BU140" i="13"/>
  <c r="F1222" i="4" s="1"/>
  <c r="BT140" i="13"/>
  <c r="H1222" i="4" s="1"/>
  <c r="BR140" i="13"/>
  <c r="BQ140" i="13"/>
  <c r="BO140" i="13"/>
  <c r="BM140" i="13"/>
  <c r="BK140" i="13"/>
  <c r="BJ140" i="13"/>
  <c r="BI140" i="13"/>
  <c r="BH140" i="13"/>
  <c r="G1221" i="4"/>
  <c r="BU139" i="13"/>
  <c r="F1221" i="4" s="1"/>
  <c r="BT139" i="13"/>
  <c r="H1221" i="4" s="1"/>
  <c r="BR139" i="13"/>
  <c r="BQ139" i="13"/>
  <c r="BO139" i="13"/>
  <c r="BM139" i="13"/>
  <c r="BK139" i="13"/>
  <c r="BJ139" i="13"/>
  <c r="BI139" i="13"/>
  <c r="BH139" i="13"/>
  <c r="G1220" i="4"/>
  <c r="BU138" i="13"/>
  <c r="F1220" i="4" s="1"/>
  <c r="BT138" i="13"/>
  <c r="H1220" i="4" s="1"/>
  <c r="BR138" i="13"/>
  <c r="BQ138" i="13"/>
  <c r="BO138" i="13"/>
  <c r="BM138" i="13"/>
  <c r="BK138" i="13"/>
  <c r="BJ138" i="13"/>
  <c r="BI138" i="13"/>
  <c r="BH138" i="13"/>
  <c r="G1219" i="4"/>
  <c r="BU137" i="13"/>
  <c r="F1219" i="4" s="1"/>
  <c r="BT137" i="13"/>
  <c r="H1219" i="4" s="1"/>
  <c r="BR137" i="13"/>
  <c r="BQ137" i="13"/>
  <c r="BO137" i="13"/>
  <c r="BM137" i="13"/>
  <c r="BK137" i="13"/>
  <c r="BJ137" i="13"/>
  <c r="BI137" i="13"/>
  <c r="BH137" i="13"/>
  <c r="G1218" i="4"/>
  <c r="BU136" i="13"/>
  <c r="F1218" i="4" s="1"/>
  <c r="BT136" i="13"/>
  <c r="H1218" i="4" s="1"/>
  <c r="BR136" i="13"/>
  <c r="BQ136" i="13"/>
  <c r="BO136" i="13"/>
  <c r="BM136" i="13"/>
  <c r="BK136" i="13"/>
  <c r="BJ136" i="13"/>
  <c r="BI136" i="13"/>
  <c r="BH136" i="13"/>
  <c r="BG136" i="13"/>
  <c r="BG148" i="13" s="1"/>
  <c r="BG160" i="13" s="1"/>
  <c r="BG172" i="13" s="1"/>
  <c r="BG184" i="13" s="1"/>
  <c r="BG196" i="13" s="1"/>
  <c r="BG208" i="13" s="1"/>
  <c r="BG220" i="13" s="1"/>
  <c r="BG232" i="13" s="1"/>
  <c r="BG244" i="13" s="1"/>
  <c r="BG256" i="13" s="1"/>
  <c r="BG268" i="13" s="1"/>
  <c r="BG280" i="13" s="1"/>
  <c r="BG292" i="13" s="1"/>
  <c r="BG304" i="13" s="1"/>
  <c r="BG316" i="13" s="1"/>
  <c r="BG328" i="13" s="1"/>
  <c r="BG340" i="13" s="1"/>
  <c r="BG352" i="13" s="1"/>
  <c r="BG364" i="13" s="1"/>
  <c r="G1217" i="4"/>
  <c r="BU135" i="13"/>
  <c r="F1217" i="4" s="1"/>
  <c r="BT135" i="13"/>
  <c r="H1217" i="4" s="1"/>
  <c r="BR135" i="13"/>
  <c r="BQ135" i="13"/>
  <c r="BO135" i="13"/>
  <c r="BM135" i="13"/>
  <c r="BK135" i="13"/>
  <c r="BJ135" i="13"/>
  <c r="BI135" i="13"/>
  <c r="BH135" i="13"/>
  <c r="BG135" i="13"/>
  <c r="BG147" i="13" s="1"/>
  <c r="BG159" i="13" s="1"/>
  <c r="BG171" i="13" s="1"/>
  <c r="BG183" i="13" s="1"/>
  <c r="BG195" i="13" s="1"/>
  <c r="BG207" i="13" s="1"/>
  <c r="BG219" i="13" s="1"/>
  <c r="BG231" i="13" s="1"/>
  <c r="BG243" i="13" s="1"/>
  <c r="BG255" i="13" s="1"/>
  <c r="BG267" i="13" s="1"/>
  <c r="BG279" i="13" s="1"/>
  <c r="BG291" i="13" s="1"/>
  <c r="BG303" i="13" s="1"/>
  <c r="BG315" i="13" s="1"/>
  <c r="BG327" i="13" s="1"/>
  <c r="BG339" i="13" s="1"/>
  <c r="BG351" i="13" s="1"/>
  <c r="BG363" i="13" s="1"/>
  <c r="G1216" i="4"/>
  <c r="BU134" i="13"/>
  <c r="F1216" i="4" s="1"/>
  <c r="BT134" i="13"/>
  <c r="H1216" i="4" s="1"/>
  <c r="BR134" i="13"/>
  <c r="BQ134" i="13"/>
  <c r="BO134" i="13"/>
  <c r="BM134" i="13"/>
  <c r="BK134" i="13"/>
  <c r="BJ134" i="13"/>
  <c r="BI134" i="13"/>
  <c r="BH134" i="13"/>
  <c r="BG134" i="13"/>
  <c r="BG146" i="13" s="1"/>
  <c r="BG158" i="13" s="1"/>
  <c r="BG170" i="13" s="1"/>
  <c r="BG182" i="13" s="1"/>
  <c r="BG194" i="13" s="1"/>
  <c r="BG206" i="13" s="1"/>
  <c r="BG218" i="13" s="1"/>
  <c r="BG230" i="13" s="1"/>
  <c r="BG242" i="13" s="1"/>
  <c r="BG254" i="13" s="1"/>
  <c r="BG266" i="13" s="1"/>
  <c r="BG278" i="13" s="1"/>
  <c r="BG290" i="13" s="1"/>
  <c r="BG302" i="13" s="1"/>
  <c r="BG314" i="13" s="1"/>
  <c r="BG326" i="13" s="1"/>
  <c r="BG338" i="13" s="1"/>
  <c r="BG350" i="13" s="1"/>
  <c r="BG362" i="13" s="1"/>
  <c r="G1215" i="4"/>
  <c r="BU133" i="13"/>
  <c r="F1215" i="4" s="1"/>
  <c r="BT133" i="13"/>
  <c r="H1215" i="4" s="1"/>
  <c r="BR133" i="13"/>
  <c r="BQ133" i="13"/>
  <c r="BO133" i="13"/>
  <c r="BM133" i="13"/>
  <c r="BK133" i="13"/>
  <c r="BH133" i="13"/>
  <c r="BG133" i="13"/>
  <c r="BG145" i="13" s="1"/>
  <c r="BG157" i="13" s="1"/>
  <c r="BG169" i="13" s="1"/>
  <c r="BG181" i="13" s="1"/>
  <c r="BG193" i="13" s="1"/>
  <c r="BG205" i="13" s="1"/>
  <c r="BG217" i="13" s="1"/>
  <c r="BG229" i="13" s="1"/>
  <c r="BG241" i="13" s="1"/>
  <c r="BG253" i="13" s="1"/>
  <c r="BG265" i="13" s="1"/>
  <c r="BG277" i="13" s="1"/>
  <c r="BG289" i="13" s="1"/>
  <c r="BG301" i="13" s="1"/>
  <c r="BG313" i="13" s="1"/>
  <c r="BG325" i="13" s="1"/>
  <c r="BG337" i="13" s="1"/>
  <c r="BG349" i="13" s="1"/>
  <c r="BG361" i="13" s="1"/>
  <c r="BG132" i="13"/>
  <c r="BG144" i="13" s="1"/>
  <c r="BG156" i="13" s="1"/>
  <c r="BG168" i="13" s="1"/>
  <c r="BG180" i="13" s="1"/>
  <c r="BG192" i="13" s="1"/>
  <c r="BG204" i="13" s="1"/>
  <c r="BG216" i="13" s="1"/>
  <c r="BG228" i="13" s="1"/>
  <c r="BG240" i="13" s="1"/>
  <c r="BG252" i="13" s="1"/>
  <c r="BG264" i="13" s="1"/>
  <c r="BG276" i="13" s="1"/>
  <c r="BG288" i="13" s="1"/>
  <c r="BG300" i="13" s="1"/>
  <c r="BG312" i="13" s="1"/>
  <c r="BG324" i="13" s="1"/>
  <c r="BG336" i="13" s="1"/>
  <c r="BG348" i="13" s="1"/>
  <c r="BG360" i="13" s="1"/>
  <c r="BG131" i="13"/>
  <c r="BG143" i="13" s="1"/>
  <c r="BG155" i="13" s="1"/>
  <c r="BG167" i="13" s="1"/>
  <c r="BG179" i="13" s="1"/>
  <c r="BG191" i="13" s="1"/>
  <c r="BG203" i="13" s="1"/>
  <c r="BG215" i="13" s="1"/>
  <c r="BG227" i="13" s="1"/>
  <c r="BG239" i="13" s="1"/>
  <c r="BG251" i="13" s="1"/>
  <c r="BG263" i="13" s="1"/>
  <c r="BG275" i="13" s="1"/>
  <c r="BG287" i="13" s="1"/>
  <c r="BG299" i="13" s="1"/>
  <c r="BG311" i="13" s="1"/>
  <c r="BG323" i="13" s="1"/>
  <c r="BG335" i="13" s="1"/>
  <c r="BG347" i="13" s="1"/>
  <c r="BG359" i="13" s="1"/>
  <c r="BG130" i="13"/>
  <c r="BG142" i="13" s="1"/>
  <c r="BG154" i="13" s="1"/>
  <c r="BG166" i="13" s="1"/>
  <c r="BG178" i="13" s="1"/>
  <c r="BG190" i="13" s="1"/>
  <c r="BG202" i="13" s="1"/>
  <c r="BG214" i="13" s="1"/>
  <c r="BG226" i="13" s="1"/>
  <c r="BG238" i="13" s="1"/>
  <c r="BG250" i="13" s="1"/>
  <c r="BG262" i="13" s="1"/>
  <c r="BG274" i="13" s="1"/>
  <c r="BG286" i="13" s="1"/>
  <c r="BG298" i="13" s="1"/>
  <c r="BG310" i="13" s="1"/>
  <c r="BG322" i="13" s="1"/>
  <c r="BG334" i="13" s="1"/>
  <c r="BG346" i="13" s="1"/>
  <c r="BG358" i="13" s="1"/>
  <c r="BG129" i="13"/>
  <c r="BG141" i="13" s="1"/>
  <c r="BG153" i="13" s="1"/>
  <c r="BG165" i="13" s="1"/>
  <c r="BG177" i="13" s="1"/>
  <c r="BG189" i="13" s="1"/>
  <c r="BG201" i="13" s="1"/>
  <c r="BG213" i="13" s="1"/>
  <c r="BG225" i="13" s="1"/>
  <c r="BG237" i="13" s="1"/>
  <c r="BG249" i="13" s="1"/>
  <c r="BG261" i="13" s="1"/>
  <c r="BG273" i="13" s="1"/>
  <c r="BG285" i="13" s="1"/>
  <c r="BG297" i="13" s="1"/>
  <c r="BG309" i="13" s="1"/>
  <c r="BG321" i="13" s="1"/>
  <c r="BG333" i="13" s="1"/>
  <c r="BG345" i="13" s="1"/>
  <c r="BG357" i="13" s="1"/>
  <c r="BG128" i="13"/>
  <c r="BG140" i="13" s="1"/>
  <c r="BG152" i="13" s="1"/>
  <c r="BG164" i="13" s="1"/>
  <c r="BG176" i="13" s="1"/>
  <c r="BG188" i="13" s="1"/>
  <c r="BG200" i="13" s="1"/>
  <c r="BG212" i="13" s="1"/>
  <c r="BG224" i="13" s="1"/>
  <c r="BG236" i="13" s="1"/>
  <c r="BG248" i="13" s="1"/>
  <c r="BG260" i="13" s="1"/>
  <c r="BG272" i="13" s="1"/>
  <c r="BG284" i="13" s="1"/>
  <c r="BG296" i="13" s="1"/>
  <c r="BG308" i="13" s="1"/>
  <c r="BG320" i="13" s="1"/>
  <c r="BG332" i="13" s="1"/>
  <c r="BG344" i="13" s="1"/>
  <c r="BG356" i="13" s="1"/>
  <c r="BG127" i="13"/>
  <c r="BG139" i="13" s="1"/>
  <c r="BG151" i="13" s="1"/>
  <c r="BG163" i="13" s="1"/>
  <c r="BG175" i="13" s="1"/>
  <c r="BG187" i="13" s="1"/>
  <c r="BG199" i="13" s="1"/>
  <c r="BG211" i="13" s="1"/>
  <c r="BG223" i="13" s="1"/>
  <c r="BG235" i="13" s="1"/>
  <c r="BG247" i="13" s="1"/>
  <c r="BG259" i="13" s="1"/>
  <c r="BG271" i="13" s="1"/>
  <c r="BG283" i="13" s="1"/>
  <c r="BG295" i="13" s="1"/>
  <c r="BG307" i="13" s="1"/>
  <c r="BG319" i="13" s="1"/>
  <c r="BG331" i="13" s="1"/>
  <c r="BG343" i="13" s="1"/>
  <c r="BG355" i="13" s="1"/>
  <c r="BG126" i="13"/>
  <c r="BG138" i="13" s="1"/>
  <c r="BG150" i="13" s="1"/>
  <c r="BG162" i="13" s="1"/>
  <c r="BG174" i="13" s="1"/>
  <c r="BG186" i="13" s="1"/>
  <c r="BG198" i="13" s="1"/>
  <c r="BG210" i="13" s="1"/>
  <c r="BG222" i="13" s="1"/>
  <c r="BG234" i="13" s="1"/>
  <c r="BG246" i="13" s="1"/>
  <c r="BG258" i="13" s="1"/>
  <c r="BG270" i="13" s="1"/>
  <c r="BG282" i="13" s="1"/>
  <c r="BG294" i="13" s="1"/>
  <c r="BG306" i="13" s="1"/>
  <c r="BG318" i="13" s="1"/>
  <c r="BG330" i="13" s="1"/>
  <c r="BG342" i="13" s="1"/>
  <c r="BG354" i="13" s="1"/>
  <c r="BG125" i="13"/>
  <c r="BG137" i="13" s="1"/>
  <c r="BG149" i="13" s="1"/>
  <c r="BG161" i="13" s="1"/>
  <c r="BG173" i="13" s="1"/>
  <c r="BG185" i="13" s="1"/>
  <c r="BG197" i="13" s="1"/>
  <c r="BG209" i="13" s="1"/>
  <c r="BG221" i="13" s="1"/>
  <c r="BG233" i="13" s="1"/>
  <c r="BG245" i="13" s="1"/>
  <c r="BG257" i="13" s="1"/>
  <c r="BG269" i="13" s="1"/>
  <c r="BG281" i="13" s="1"/>
  <c r="BG293" i="13" s="1"/>
  <c r="BG305" i="13" s="1"/>
  <c r="BG317" i="13" s="1"/>
  <c r="BG329" i="13" s="1"/>
  <c r="BG341" i="13" s="1"/>
  <c r="BG353" i="13" s="1"/>
  <c r="BF28" i="13"/>
  <c r="BH28" i="13" s="1"/>
  <c r="BF27" i="13"/>
  <c r="BF39" i="13" s="1"/>
  <c r="BF51" i="13" s="1"/>
  <c r="BF63" i="13" s="1"/>
  <c r="BF26" i="13"/>
  <c r="BF38" i="13" s="1"/>
  <c r="BF25" i="13"/>
  <c r="BH25" i="13" s="1"/>
  <c r="BF24" i="13"/>
  <c r="BF36" i="13" s="1"/>
  <c r="BF23" i="13"/>
  <c r="BH23" i="13" s="1"/>
  <c r="BF22" i="13"/>
  <c r="BF34" i="13" s="1"/>
  <c r="BF46" i="13" s="1"/>
  <c r="BH46" i="13" s="1"/>
  <c r="BF21" i="13"/>
  <c r="BF33" i="13" s="1"/>
  <c r="BF20" i="13"/>
  <c r="BH20" i="13" s="1"/>
  <c r="BF19" i="13"/>
  <c r="BF18" i="13"/>
  <c r="BH18" i="13" s="1"/>
  <c r="BF17" i="13"/>
  <c r="BF29" i="13" s="1"/>
  <c r="BF41" i="13" s="1"/>
  <c r="BF53" i="13" s="1"/>
  <c r="BH16" i="13"/>
  <c r="BH15" i="13"/>
  <c r="BH14" i="13"/>
  <c r="BH13" i="13"/>
  <c r="BH12" i="13"/>
  <c r="BH11" i="13"/>
  <c r="BH10" i="13"/>
  <c r="BH9" i="13"/>
  <c r="BH8" i="13"/>
  <c r="BH7" i="13"/>
  <c r="BH6" i="13"/>
  <c r="BL5" i="13"/>
  <c r="BM5" i="13" s="1"/>
  <c r="BR5" i="13" s="1"/>
  <c r="BK5" i="13"/>
  <c r="BJ5" i="13"/>
  <c r="BH5" i="13"/>
  <c r="G1085" i="4"/>
  <c r="BA364" i="13"/>
  <c r="H1085" i="4" s="1"/>
  <c r="AY364" i="13"/>
  <c r="AX364" i="13"/>
  <c r="AV364" i="13"/>
  <c r="AT364" i="13"/>
  <c r="AR364" i="13"/>
  <c r="AQ364" i="13"/>
  <c r="AP364" i="13"/>
  <c r="AO364" i="13"/>
  <c r="G1084" i="4"/>
  <c r="BA363" i="13"/>
  <c r="H1084" i="4" s="1"/>
  <c r="AY363" i="13"/>
  <c r="AX363" i="13"/>
  <c r="AV363" i="13"/>
  <c r="AT363" i="13"/>
  <c r="AR363" i="13"/>
  <c r="AQ363" i="13"/>
  <c r="AP363" i="13"/>
  <c r="AO363" i="13"/>
  <c r="G1083" i="4"/>
  <c r="BA362" i="13"/>
  <c r="H1083" i="4" s="1"/>
  <c r="AY362" i="13"/>
  <c r="AX362" i="13"/>
  <c r="AV362" i="13"/>
  <c r="AT362" i="13"/>
  <c r="AR362" i="13"/>
  <c r="AQ362" i="13"/>
  <c r="AP362" i="13"/>
  <c r="AO362" i="13"/>
  <c r="G1082" i="4"/>
  <c r="BA361" i="13"/>
  <c r="H1082" i="4" s="1"/>
  <c r="AY361" i="13"/>
  <c r="AX361" i="13"/>
  <c r="AV361" i="13"/>
  <c r="AT361" i="13"/>
  <c r="AR361" i="13"/>
  <c r="AQ361" i="13"/>
  <c r="AP361" i="13"/>
  <c r="AO361" i="13"/>
  <c r="G1081" i="4"/>
  <c r="BA360" i="13"/>
  <c r="H1081" i="4" s="1"/>
  <c r="AY360" i="13"/>
  <c r="AX360" i="13"/>
  <c r="AV360" i="13"/>
  <c r="AT360" i="13"/>
  <c r="AR360" i="13"/>
  <c r="AQ360" i="13"/>
  <c r="AP360" i="13"/>
  <c r="AO360" i="13"/>
  <c r="G1080" i="4"/>
  <c r="BA359" i="13"/>
  <c r="H1080" i="4" s="1"/>
  <c r="AY359" i="13"/>
  <c r="AX359" i="13"/>
  <c r="AV359" i="13"/>
  <c r="AT359" i="13"/>
  <c r="AR359" i="13"/>
  <c r="AQ359" i="13"/>
  <c r="AP359" i="13"/>
  <c r="AO359" i="13"/>
  <c r="G1079" i="4"/>
  <c r="BA358" i="13"/>
  <c r="H1079" i="4" s="1"/>
  <c r="AY358" i="13"/>
  <c r="AX358" i="13"/>
  <c r="AV358" i="13"/>
  <c r="AT358" i="13"/>
  <c r="AR358" i="13"/>
  <c r="AQ358" i="13"/>
  <c r="AP358" i="13"/>
  <c r="AO358" i="13"/>
  <c r="G1078" i="4"/>
  <c r="BA357" i="13"/>
  <c r="H1078" i="4" s="1"/>
  <c r="AY357" i="13"/>
  <c r="AX357" i="13"/>
  <c r="AV357" i="13"/>
  <c r="AT357" i="13"/>
  <c r="AR357" i="13"/>
  <c r="AQ357" i="13"/>
  <c r="AP357" i="13"/>
  <c r="AO357" i="13"/>
  <c r="G1077" i="4"/>
  <c r="BA356" i="13"/>
  <c r="H1077" i="4" s="1"/>
  <c r="AY356" i="13"/>
  <c r="AX356" i="13"/>
  <c r="AV356" i="13"/>
  <c r="AT356" i="13"/>
  <c r="AR356" i="13"/>
  <c r="AQ356" i="13"/>
  <c r="AP356" i="13"/>
  <c r="AO356" i="13"/>
  <c r="G1076" i="4"/>
  <c r="BA355" i="13"/>
  <c r="H1076" i="4" s="1"/>
  <c r="AY355" i="13"/>
  <c r="AX355" i="13"/>
  <c r="AV355" i="13"/>
  <c r="AT355" i="13"/>
  <c r="AR355" i="13"/>
  <c r="AQ355" i="13"/>
  <c r="AP355" i="13"/>
  <c r="AO355" i="13"/>
  <c r="G1075" i="4"/>
  <c r="BA354" i="13"/>
  <c r="H1075" i="4" s="1"/>
  <c r="AY354" i="13"/>
  <c r="AX354" i="13"/>
  <c r="AV354" i="13"/>
  <c r="AT354" i="13"/>
  <c r="AR354" i="13"/>
  <c r="AQ354" i="13"/>
  <c r="AP354" i="13"/>
  <c r="AO354" i="13"/>
  <c r="G1074" i="4"/>
  <c r="BA353" i="13"/>
  <c r="H1074" i="4" s="1"/>
  <c r="AY353" i="13"/>
  <c r="AX353" i="13"/>
  <c r="AV353" i="13"/>
  <c r="AT353" i="13"/>
  <c r="AR353" i="13"/>
  <c r="AQ353" i="13"/>
  <c r="AP353" i="13"/>
  <c r="AO353" i="13"/>
  <c r="G1073" i="4"/>
  <c r="BA352" i="13"/>
  <c r="H1073" i="4" s="1"/>
  <c r="AY352" i="13"/>
  <c r="AX352" i="13"/>
  <c r="AV352" i="13"/>
  <c r="AT352" i="13"/>
  <c r="AR352" i="13"/>
  <c r="AQ352" i="13"/>
  <c r="AP352" i="13"/>
  <c r="AO352" i="13"/>
  <c r="G1072" i="4"/>
  <c r="BA351" i="13"/>
  <c r="H1072" i="4" s="1"/>
  <c r="AY351" i="13"/>
  <c r="AX351" i="13"/>
  <c r="AV351" i="13"/>
  <c r="AT351" i="13"/>
  <c r="AR351" i="13"/>
  <c r="AQ351" i="13"/>
  <c r="AP351" i="13"/>
  <c r="AO351" i="13"/>
  <c r="G1071" i="4"/>
  <c r="BA350" i="13"/>
  <c r="H1071" i="4" s="1"/>
  <c r="AY350" i="13"/>
  <c r="AX350" i="13"/>
  <c r="AV350" i="13"/>
  <c r="AT350" i="13"/>
  <c r="AR350" i="13"/>
  <c r="AQ350" i="13"/>
  <c r="AP350" i="13"/>
  <c r="AO350" i="13"/>
  <c r="G1070" i="4"/>
  <c r="BA349" i="13"/>
  <c r="H1070" i="4" s="1"/>
  <c r="AY349" i="13"/>
  <c r="AX349" i="13"/>
  <c r="AV349" i="13"/>
  <c r="AT349" i="13"/>
  <c r="AR349" i="13"/>
  <c r="AQ349" i="13"/>
  <c r="AP349" i="13"/>
  <c r="AO349" i="13"/>
  <c r="G1069" i="4"/>
  <c r="BA348" i="13"/>
  <c r="H1069" i="4" s="1"/>
  <c r="AY348" i="13"/>
  <c r="AX348" i="13"/>
  <c r="AV348" i="13"/>
  <c r="AT348" i="13"/>
  <c r="AR348" i="13"/>
  <c r="AQ348" i="13"/>
  <c r="AP348" i="13"/>
  <c r="AO348" i="13"/>
  <c r="G1068" i="4"/>
  <c r="BA347" i="13"/>
  <c r="H1068" i="4" s="1"/>
  <c r="AY347" i="13"/>
  <c r="AX347" i="13"/>
  <c r="AV347" i="13"/>
  <c r="AT347" i="13"/>
  <c r="AR347" i="13"/>
  <c r="AQ347" i="13"/>
  <c r="AP347" i="13"/>
  <c r="AO347" i="13"/>
  <c r="G1067" i="4"/>
  <c r="BA346" i="13"/>
  <c r="H1067" i="4" s="1"/>
  <c r="AY346" i="13"/>
  <c r="AX346" i="13"/>
  <c r="AV346" i="13"/>
  <c r="AT346" i="13"/>
  <c r="AR346" i="13"/>
  <c r="AQ346" i="13"/>
  <c r="AP346" i="13"/>
  <c r="AO346" i="13"/>
  <c r="G1066" i="4"/>
  <c r="BA345" i="13"/>
  <c r="H1066" i="4" s="1"/>
  <c r="AY345" i="13"/>
  <c r="AX345" i="13"/>
  <c r="AV345" i="13"/>
  <c r="AT345" i="13"/>
  <c r="AR345" i="13"/>
  <c r="AQ345" i="13"/>
  <c r="AP345" i="13"/>
  <c r="AO345" i="13"/>
  <c r="G1065" i="4"/>
  <c r="BA344" i="13"/>
  <c r="H1065" i="4" s="1"/>
  <c r="AY344" i="13"/>
  <c r="AX344" i="13"/>
  <c r="AV344" i="13"/>
  <c r="AT344" i="13"/>
  <c r="AR344" i="13"/>
  <c r="AQ344" i="13"/>
  <c r="AP344" i="13"/>
  <c r="AO344" i="13"/>
  <c r="G1064" i="4"/>
  <c r="BA343" i="13"/>
  <c r="H1064" i="4" s="1"/>
  <c r="AY343" i="13"/>
  <c r="AX343" i="13"/>
  <c r="AV343" i="13"/>
  <c r="AT343" i="13"/>
  <c r="AR343" i="13"/>
  <c r="AQ343" i="13"/>
  <c r="AP343" i="13"/>
  <c r="AO343" i="13"/>
  <c r="G1063" i="4"/>
  <c r="BA342" i="13"/>
  <c r="H1063" i="4" s="1"/>
  <c r="AY342" i="13"/>
  <c r="AX342" i="13"/>
  <c r="AV342" i="13"/>
  <c r="AT342" i="13"/>
  <c r="AR342" i="13"/>
  <c r="AQ342" i="13"/>
  <c r="AP342" i="13"/>
  <c r="AO342" i="13"/>
  <c r="G1062" i="4"/>
  <c r="BA341" i="13"/>
  <c r="H1062" i="4" s="1"/>
  <c r="AY341" i="13"/>
  <c r="AX341" i="13"/>
  <c r="AV341" i="13"/>
  <c r="AT341" i="13"/>
  <c r="AR341" i="13"/>
  <c r="AQ341" i="13"/>
  <c r="AP341" i="13"/>
  <c r="AO341" i="13"/>
  <c r="G1061" i="4"/>
  <c r="BA340" i="13"/>
  <c r="H1061" i="4" s="1"/>
  <c r="AY340" i="13"/>
  <c r="AX340" i="13"/>
  <c r="AV340" i="13"/>
  <c r="AT340" i="13"/>
  <c r="AR340" i="13"/>
  <c r="AQ340" i="13"/>
  <c r="AP340" i="13"/>
  <c r="AO340" i="13"/>
  <c r="G1060" i="4"/>
  <c r="BA339" i="13"/>
  <c r="H1060" i="4" s="1"/>
  <c r="AY339" i="13"/>
  <c r="AX339" i="13"/>
  <c r="AV339" i="13"/>
  <c r="AT339" i="13"/>
  <c r="AR339" i="13"/>
  <c r="AQ339" i="13"/>
  <c r="AP339" i="13"/>
  <c r="AO339" i="13"/>
  <c r="G1059" i="4"/>
  <c r="BA338" i="13"/>
  <c r="H1059" i="4" s="1"/>
  <c r="AY338" i="13"/>
  <c r="AX338" i="13"/>
  <c r="AV338" i="13"/>
  <c r="AT338" i="13"/>
  <c r="AR338" i="13"/>
  <c r="AQ338" i="13"/>
  <c r="AP338" i="13"/>
  <c r="AO338" i="13"/>
  <c r="G1058" i="4"/>
  <c r="BA337" i="13"/>
  <c r="H1058" i="4" s="1"/>
  <c r="AY337" i="13"/>
  <c r="AX337" i="13"/>
  <c r="AV337" i="13"/>
  <c r="AT337" i="13"/>
  <c r="AR337" i="13"/>
  <c r="AQ337" i="13"/>
  <c r="AP337" i="13"/>
  <c r="AO337" i="13"/>
  <c r="G1057" i="4"/>
  <c r="BA336" i="13"/>
  <c r="H1057" i="4" s="1"/>
  <c r="AY336" i="13"/>
  <c r="AX336" i="13"/>
  <c r="AV336" i="13"/>
  <c r="AT336" i="13"/>
  <c r="AR336" i="13"/>
  <c r="AQ336" i="13"/>
  <c r="AP336" i="13"/>
  <c r="AO336" i="13"/>
  <c r="G1056" i="4"/>
  <c r="BA335" i="13"/>
  <c r="H1056" i="4" s="1"/>
  <c r="AY335" i="13"/>
  <c r="AX335" i="13"/>
  <c r="AV335" i="13"/>
  <c r="AT335" i="13"/>
  <c r="AR335" i="13"/>
  <c r="AQ335" i="13"/>
  <c r="AP335" i="13"/>
  <c r="AO335" i="13"/>
  <c r="G1055" i="4"/>
  <c r="BA334" i="13"/>
  <c r="H1055" i="4" s="1"/>
  <c r="AY334" i="13"/>
  <c r="AX334" i="13"/>
  <c r="AV334" i="13"/>
  <c r="AT334" i="13"/>
  <c r="AR334" i="13"/>
  <c r="AQ334" i="13"/>
  <c r="AP334" i="13"/>
  <c r="AO334" i="13"/>
  <c r="G1054" i="4"/>
  <c r="BA333" i="13"/>
  <c r="H1054" i="4" s="1"/>
  <c r="AY333" i="13"/>
  <c r="AX333" i="13"/>
  <c r="AV333" i="13"/>
  <c r="AT333" i="13"/>
  <c r="AR333" i="13"/>
  <c r="AQ333" i="13"/>
  <c r="AP333" i="13"/>
  <c r="AO333" i="13"/>
  <c r="G1053" i="4"/>
  <c r="BA332" i="13"/>
  <c r="H1053" i="4" s="1"/>
  <c r="AY332" i="13"/>
  <c r="AX332" i="13"/>
  <c r="AV332" i="13"/>
  <c r="AT332" i="13"/>
  <c r="AR332" i="13"/>
  <c r="AQ332" i="13"/>
  <c r="AP332" i="13"/>
  <c r="AO332" i="13"/>
  <c r="G1052" i="4"/>
  <c r="BA331" i="13"/>
  <c r="H1052" i="4" s="1"/>
  <c r="AY331" i="13"/>
  <c r="AX331" i="13"/>
  <c r="AV331" i="13"/>
  <c r="AT331" i="13"/>
  <c r="AR331" i="13"/>
  <c r="AQ331" i="13"/>
  <c r="AP331" i="13"/>
  <c r="AO331" i="13"/>
  <c r="G1051" i="4"/>
  <c r="BA330" i="13"/>
  <c r="H1051" i="4" s="1"/>
  <c r="AY330" i="13"/>
  <c r="AX330" i="13"/>
  <c r="AV330" i="13"/>
  <c r="AT330" i="13"/>
  <c r="AR330" i="13"/>
  <c r="AQ330" i="13"/>
  <c r="AP330" i="13"/>
  <c r="AO330" i="13"/>
  <c r="G1050" i="4"/>
  <c r="BA329" i="13"/>
  <c r="H1050" i="4" s="1"/>
  <c r="AY329" i="13"/>
  <c r="AX329" i="13"/>
  <c r="AV329" i="13"/>
  <c r="AT329" i="13"/>
  <c r="AR329" i="13"/>
  <c r="AQ329" i="13"/>
  <c r="AP329" i="13"/>
  <c r="AO329" i="13"/>
  <c r="G1049" i="4"/>
  <c r="BA328" i="13"/>
  <c r="H1049" i="4" s="1"/>
  <c r="AY328" i="13"/>
  <c r="AX328" i="13"/>
  <c r="AV328" i="13"/>
  <c r="AT328" i="13"/>
  <c r="AR328" i="13"/>
  <c r="AQ328" i="13"/>
  <c r="AP328" i="13"/>
  <c r="AO328" i="13"/>
  <c r="G1048" i="4"/>
  <c r="BA327" i="13"/>
  <c r="H1048" i="4" s="1"/>
  <c r="AY327" i="13"/>
  <c r="AX327" i="13"/>
  <c r="AV327" i="13"/>
  <c r="AT327" i="13"/>
  <c r="AR327" i="13"/>
  <c r="AQ327" i="13"/>
  <c r="AP327" i="13"/>
  <c r="AO327" i="13"/>
  <c r="G1047" i="4"/>
  <c r="BA326" i="13"/>
  <c r="H1047" i="4" s="1"/>
  <c r="AY326" i="13"/>
  <c r="AX326" i="13"/>
  <c r="AV326" i="13"/>
  <c r="AT326" i="13"/>
  <c r="AR326" i="13"/>
  <c r="AQ326" i="13"/>
  <c r="AP326" i="13"/>
  <c r="AO326" i="13"/>
  <c r="G1046" i="4"/>
  <c r="BA325" i="13"/>
  <c r="H1046" i="4" s="1"/>
  <c r="AY325" i="13"/>
  <c r="AX325" i="13"/>
  <c r="AV325" i="13"/>
  <c r="AT325" i="13"/>
  <c r="AR325" i="13"/>
  <c r="AQ325" i="13"/>
  <c r="AP325" i="13"/>
  <c r="AO325" i="13"/>
  <c r="G1045" i="4"/>
  <c r="BA324" i="13"/>
  <c r="H1045" i="4" s="1"/>
  <c r="AY324" i="13"/>
  <c r="AX324" i="13"/>
  <c r="AV324" i="13"/>
  <c r="AT324" i="13"/>
  <c r="AR324" i="13"/>
  <c r="AQ324" i="13"/>
  <c r="AP324" i="13"/>
  <c r="AO324" i="13"/>
  <c r="G1044" i="4"/>
  <c r="BA323" i="13"/>
  <c r="H1044" i="4" s="1"/>
  <c r="AY323" i="13"/>
  <c r="AX323" i="13"/>
  <c r="AV323" i="13"/>
  <c r="AT323" i="13"/>
  <c r="AR323" i="13"/>
  <c r="AQ323" i="13"/>
  <c r="AP323" i="13"/>
  <c r="AO323" i="13"/>
  <c r="G1043" i="4"/>
  <c r="BA322" i="13"/>
  <c r="H1043" i="4" s="1"/>
  <c r="AY322" i="13"/>
  <c r="AX322" i="13"/>
  <c r="AV322" i="13"/>
  <c r="AT322" i="13"/>
  <c r="AR322" i="13"/>
  <c r="AQ322" i="13"/>
  <c r="AP322" i="13"/>
  <c r="AO322" i="13"/>
  <c r="G1042" i="4"/>
  <c r="BA321" i="13"/>
  <c r="H1042" i="4" s="1"/>
  <c r="AY321" i="13"/>
  <c r="AX321" i="13"/>
  <c r="AV321" i="13"/>
  <c r="AT321" i="13"/>
  <c r="AR321" i="13"/>
  <c r="AQ321" i="13"/>
  <c r="AP321" i="13"/>
  <c r="AO321" i="13"/>
  <c r="G1041" i="4"/>
  <c r="BA320" i="13"/>
  <c r="H1041" i="4" s="1"/>
  <c r="AY320" i="13"/>
  <c r="AX320" i="13"/>
  <c r="AV320" i="13"/>
  <c r="AT320" i="13"/>
  <c r="AR320" i="13"/>
  <c r="AQ320" i="13"/>
  <c r="AP320" i="13"/>
  <c r="AO320" i="13"/>
  <c r="G1040" i="4"/>
  <c r="BA319" i="13"/>
  <c r="H1040" i="4" s="1"/>
  <c r="AY319" i="13"/>
  <c r="AX319" i="13"/>
  <c r="AV319" i="13"/>
  <c r="AT319" i="13"/>
  <c r="AR319" i="13"/>
  <c r="AQ319" i="13"/>
  <c r="AP319" i="13"/>
  <c r="AO319" i="13"/>
  <c r="G1039" i="4"/>
  <c r="BA318" i="13"/>
  <c r="H1039" i="4" s="1"/>
  <c r="AY318" i="13"/>
  <c r="AX318" i="13"/>
  <c r="AV318" i="13"/>
  <c r="AT318" i="13"/>
  <c r="AR318" i="13"/>
  <c r="AQ318" i="13"/>
  <c r="AP318" i="13"/>
  <c r="AO318" i="13"/>
  <c r="G1038" i="4"/>
  <c r="BA317" i="13"/>
  <c r="H1038" i="4" s="1"/>
  <c r="AY317" i="13"/>
  <c r="AX317" i="13"/>
  <c r="AV317" i="13"/>
  <c r="AT317" i="13"/>
  <c r="AR317" i="13"/>
  <c r="AQ317" i="13"/>
  <c r="AP317" i="13"/>
  <c r="AO317" i="13"/>
  <c r="G1037" i="4"/>
  <c r="BA316" i="13"/>
  <c r="H1037" i="4" s="1"/>
  <c r="AY316" i="13"/>
  <c r="AX316" i="13"/>
  <c r="AV316" i="13"/>
  <c r="AT316" i="13"/>
  <c r="AR316" i="13"/>
  <c r="AQ316" i="13"/>
  <c r="AP316" i="13"/>
  <c r="AO316" i="13"/>
  <c r="G1036" i="4"/>
  <c r="BA315" i="13"/>
  <c r="H1036" i="4" s="1"/>
  <c r="AY315" i="13"/>
  <c r="AX315" i="13"/>
  <c r="AV315" i="13"/>
  <c r="AT315" i="13"/>
  <c r="AR315" i="13"/>
  <c r="AQ315" i="13"/>
  <c r="AP315" i="13"/>
  <c r="AO315" i="13"/>
  <c r="G1035" i="4"/>
  <c r="BA314" i="13"/>
  <c r="H1035" i="4" s="1"/>
  <c r="AY314" i="13"/>
  <c r="AX314" i="13"/>
  <c r="AV314" i="13"/>
  <c r="AT314" i="13"/>
  <c r="AR314" i="13"/>
  <c r="AQ314" i="13"/>
  <c r="AP314" i="13"/>
  <c r="AO314" i="13"/>
  <c r="G1034" i="4"/>
  <c r="BA313" i="13"/>
  <c r="H1034" i="4" s="1"/>
  <c r="AY313" i="13"/>
  <c r="AX313" i="13"/>
  <c r="AV313" i="13"/>
  <c r="AT313" i="13"/>
  <c r="AR313" i="13"/>
  <c r="AQ313" i="13"/>
  <c r="AP313" i="13"/>
  <c r="AO313" i="13"/>
  <c r="G1033" i="4"/>
  <c r="BA312" i="13"/>
  <c r="H1033" i="4" s="1"/>
  <c r="AY312" i="13"/>
  <c r="AX312" i="13"/>
  <c r="AV312" i="13"/>
  <c r="AT312" i="13"/>
  <c r="AR312" i="13"/>
  <c r="AQ312" i="13"/>
  <c r="AP312" i="13"/>
  <c r="AO312" i="13"/>
  <c r="G1032" i="4"/>
  <c r="BA311" i="13"/>
  <c r="H1032" i="4" s="1"/>
  <c r="AY311" i="13"/>
  <c r="AX311" i="13"/>
  <c r="AV311" i="13"/>
  <c r="AT311" i="13"/>
  <c r="AR311" i="13"/>
  <c r="AQ311" i="13"/>
  <c r="AP311" i="13"/>
  <c r="AO311" i="13"/>
  <c r="G1031" i="4"/>
  <c r="BA310" i="13"/>
  <c r="H1031" i="4" s="1"/>
  <c r="AY310" i="13"/>
  <c r="AX310" i="13"/>
  <c r="AV310" i="13"/>
  <c r="AT310" i="13"/>
  <c r="AR310" i="13"/>
  <c r="AQ310" i="13"/>
  <c r="AP310" i="13"/>
  <c r="AO310" i="13"/>
  <c r="G1030" i="4"/>
  <c r="BA309" i="13"/>
  <c r="H1030" i="4" s="1"/>
  <c r="AY309" i="13"/>
  <c r="AX309" i="13"/>
  <c r="AV309" i="13"/>
  <c r="AT309" i="13"/>
  <c r="AR309" i="13"/>
  <c r="AQ309" i="13"/>
  <c r="AP309" i="13"/>
  <c r="AO309" i="13"/>
  <c r="G1029" i="4"/>
  <c r="BA308" i="13"/>
  <c r="H1029" i="4" s="1"/>
  <c r="AY308" i="13"/>
  <c r="AX308" i="13"/>
  <c r="AV308" i="13"/>
  <c r="AT308" i="13"/>
  <c r="AR308" i="13"/>
  <c r="AQ308" i="13"/>
  <c r="AP308" i="13"/>
  <c r="AO308" i="13"/>
  <c r="G1028" i="4"/>
  <c r="BA307" i="13"/>
  <c r="H1028" i="4" s="1"/>
  <c r="AY307" i="13"/>
  <c r="AX307" i="13"/>
  <c r="AV307" i="13"/>
  <c r="AT307" i="13"/>
  <c r="AR307" i="13"/>
  <c r="AQ307" i="13"/>
  <c r="AP307" i="13"/>
  <c r="AO307" i="13"/>
  <c r="G1027" i="4"/>
  <c r="BA306" i="13"/>
  <c r="H1027" i="4" s="1"/>
  <c r="AY306" i="13"/>
  <c r="AX306" i="13"/>
  <c r="AV306" i="13"/>
  <c r="AT306" i="13"/>
  <c r="AR306" i="13"/>
  <c r="AQ306" i="13"/>
  <c r="AP306" i="13"/>
  <c r="AO306" i="13"/>
  <c r="G1026" i="4"/>
  <c r="BA305" i="13"/>
  <c r="H1026" i="4" s="1"/>
  <c r="AY305" i="13"/>
  <c r="AX305" i="13"/>
  <c r="AV305" i="13"/>
  <c r="AT305" i="13"/>
  <c r="AR305" i="13"/>
  <c r="AQ305" i="13"/>
  <c r="AP305" i="13"/>
  <c r="AO305" i="13"/>
  <c r="G1025" i="4"/>
  <c r="BA304" i="13"/>
  <c r="H1025" i="4" s="1"/>
  <c r="AY304" i="13"/>
  <c r="AX304" i="13"/>
  <c r="AV304" i="13"/>
  <c r="AT304" i="13"/>
  <c r="AR304" i="13"/>
  <c r="AQ304" i="13"/>
  <c r="AP304" i="13"/>
  <c r="AO304" i="13"/>
  <c r="G1024" i="4"/>
  <c r="BA303" i="13"/>
  <c r="H1024" i="4" s="1"/>
  <c r="AY303" i="13"/>
  <c r="AX303" i="13"/>
  <c r="AV303" i="13"/>
  <c r="AT303" i="13"/>
  <c r="AR303" i="13"/>
  <c r="AQ303" i="13"/>
  <c r="AP303" i="13"/>
  <c r="AO303" i="13"/>
  <c r="G1023" i="4"/>
  <c r="BA302" i="13"/>
  <c r="H1023" i="4" s="1"/>
  <c r="AY302" i="13"/>
  <c r="AX302" i="13"/>
  <c r="AV302" i="13"/>
  <c r="AT302" i="13"/>
  <c r="AR302" i="13"/>
  <c r="AQ302" i="13"/>
  <c r="AP302" i="13"/>
  <c r="AO302" i="13"/>
  <c r="G1022" i="4"/>
  <c r="BA301" i="13"/>
  <c r="H1022" i="4" s="1"/>
  <c r="AY301" i="13"/>
  <c r="AX301" i="13"/>
  <c r="AV301" i="13"/>
  <c r="AT301" i="13"/>
  <c r="AR301" i="13"/>
  <c r="AQ301" i="13"/>
  <c r="AP301" i="13"/>
  <c r="AO301" i="13"/>
  <c r="G1021" i="4"/>
  <c r="BA300" i="13"/>
  <c r="H1021" i="4" s="1"/>
  <c r="AY300" i="13"/>
  <c r="AX300" i="13"/>
  <c r="AV300" i="13"/>
  <c r="AT300" i="13"/>
  <c r="AR300" i="13"/>
  <c r="AQ300" i="13"/>
  <c r="AP300" i="13"/>
  <c r="AO300" i="13"/>
  <c r="G1020" i="4"/>
  <c r="BA299" i="13"/>
  <c r="H1020" i="4" s="1"/>
  <c r="AY299" i="13"/>
  <c r="AX299" i="13"/>
  <c r="AV299" i="13"/>
  <c r="AT299" i="13"/>
  <c r="AR299" i="13"/>
  <c r="AQ299" i="13"/>
  <c r="AP299" i="13"/>
  <c r="AO299" i="13"/>
  <c r="G1019" i="4"/>
  <c r="BA298" i="13"/>
  <c r="H1019" i="4" s="1"/>
  <c r="AY298" i="13"/>
  <c r="AX298" i="13"/>
  <c r="AV298" i="13"/>
  <c r="AT298" i="13"/>
  <c r="AR298" i="13"/>
  <c r="AQ298" i="13"/>
  <c r="AP298" i="13"/>
  <c r="AO298" i="13"/>
  <c r="G1018" i="4"/>
  <c r="BA297" i="13"/>
  <c r="H1018" i="4" s="1"/>
  <c r="AY297" i="13"/>
  <c r="AX297" i="13"/>
  <c r="AV297" i="13"/>
  <c r="AT297" i="13"/>
  <c r="AR297" i="13"/>
  <c r="AQ297" i="13"/>
  <c r="AP297" i="13"/>
  <c r="AO297" i="13"/>
  <c r="G1017" i="4"/>
  <c r="BA296" i="13"/>
  <c r="H1017" i="4" s="1"/>
  <c r="AY296" i="13"/>
  <c r="AX296" i="13"/>
  <c r="AV296" i="13"/>
  <c r="AT296" i="13"/>
  <c r="AR296" i="13"/>
  <c r="AQ296" i="13"/>
  <c r="AP296" i="13"/>
  <c r="AO296" i="13"/>
  <c r="G1016" i="4"/>
  <c r="BA295" i="13"/>
  <c r="H1016" i="4" s="1"/>
  <c r="AY295" i="13"/>
  <c r="AX295" i="13"/>
  <c r="AV295" i="13"/>
  <c r="AT295" i="13"/>
  <c r="AR295" i="13"/>
  <c r="AQ295" i="13"/>
  <c r="AP295" i="13"/>
  <c r="AO295" i="13"/>
  <c r="G1015" i="4"/>
  <c r="BA294" i="13"/>
  <c r="H1015" i="4" s="1"/>
  <c r="AY294" i="13"/>
  <c r="AX294" i="13"/>
  <c r="AV294" i="13"/>
  <c r="AT294" i="13"/>
  <c r="AR294" i="13"/>
  <c r="AQ294" i="13"/>
  <c r="AP294" i="13"/>
  <c r="AO294" i="13"/>
  <c r="G1014" i="4"/>
  <c r="BA293" i="13"/>
  <c r="H1014" i="4" s="1"/>
  <c r="AY293" i="13"/>
  <c r="AX293" i="13"/>
  <c r="AV293" i="13"/>
  <c r="AT293" i="13"/>
  <c r="AR293" i="13"/>
  <c r="AQ293" i="13"/>
  <c r="AP293" i="13"/>
  <c r="AO293" i="13"/>
  <c r="G1013" i="4"/>
  <c r="BA292" i="13"/>
  <c r="H1013" i="4" s="1"/>
  <c r="AY292" i="13"/>
  <c r="AX292" i="13"/>
  <c r="AV292" i="13"/>
  <c r="AT292" i="13"/>
  <c r="AR292" i="13"/>
  <c r="AQ292" i="13"/>
  <c r="AP292" i="13"/>
  <c r="AO292" i="13"/>
  <c r="G1012" i="4"/>
  <c r="BA291" i="13"/>
  <c r="H1012" i="4" s="1"/>
  <c r="AY291" i="13"/>
  <c r="AX291" i="13"/>
  <c r="AV291" i="13"/>
  <c r="AT291" i="13"/>
  <c r="AR291" i="13"/>
  <c r="AQ291" i="13"/>
  <c r="AP291" i="13"/>
  <c r="AO291" i="13"/>
  <c r="G1011" i="4"/>
  <c r="BA290" i="13"/>
  <c r="H1011" i="4" s="1"/>
  <c r="AY290" i="13"/>
  <c r="AX290" i="13"/>
  <c r="AV290" i="13"/>
  <c r="AT290" i="13"/>
  <c r="AR290" i="13"/>
  <c r="AQ290" i="13"/>
  <c r="AP290" i="13"/>
  <c r="AO290" i="13"/>
  <c r="G1010" i="4"/>
  <c r="BA289" i="13"/>
  <c r="H1010" i="4" s="1"/>
  <c r="AY289" i="13"/>
  <c r="AX289" i="13"/>
  <c r="AV289" i="13"/>
  <c r="AT289" i="13"/>
  <c r="AR289" i="13"/>
  <c r="AQ289" i="13"/>
  <c r="AP289" i="13"/>
  <c r="AO289" i="13"/>
  <c r="G1009" i="4"/>
  <c r="BA288" i="13"/>
  <c r="H1009" i="4" s="1"/>
  <c r="AY288" i="13"/>
  <c r="AX288" i="13"/>
  <c r="AV288" i="13"/>
  <c r="AT288" i="13"/>
  <c r="AR288" i="13"/>
  <c r="AQ288" i="13"/>
  <c r="AP288" i="13"/>
  <c r="AO288" i="13"/>
  <c r="G1008" i="4"/>
  <c r="BA287" i="13"/>
  <c r="H1008" i="4" s="1"/>
  <c r="AY287" i="13"/>
  <c r="AX287" i="13"/>
  <c r="AV287" i="13"/>
  <c r="AT287" i="13"/>
  <c r="AR287" i="13"/>
  <c r="AQ287" i="13"/>
  <c r="AP287" i="13"/>
  <c r="AO287" i="13"/>
  <c r="G1007" i="4"/>
  <c r="BA286" i="13"/>
  <c r="H1007" i="4" s="1"/>
  <c r="AY286" i="13"/>
  <c r="AX286" i="13"/>
  <c r="AV286" i="13"/>
  <c r="AT286" i="13"/>
  <c r="AR286" i="13"/>
  <c r="AQ286" i="13"/>
  <c r="AP286" i="13"/>
  <c r="AO286" i="13"/>
  <c r="G1006" i="4"/>
  <c r="BA285" i="13"/>
  <c r="H1006" i="4" s="1"/>
  <c r="AY285" i="13"/>
  <c r="AX285" i="13"/>
  <c r="AV285" i="13"/>
  <c r="AT285" i="13"/>
  <c r="AR285" i="13"/>
  <c r="AQ285" i="13"/>
  <c r="AP285" i="13"/>
  <c r="AO285" i="13"/>
  <c r="G1005" i="4"/>
  <c r="BA284" i="13"/>
  <c r="H1005" i="4" s="1"/>
  <c r="AY284" i="13"/>
  <c r="AX284" i="13"/>
  <c r="AV284" i="13"/>
  <c r="AT284" i="13"/>
  <c r="AR284" i="13"/>
  <c r="AQ284" i="13"/>
  <c r="AP284" i="13"/>
  <c r="AO284" i="13"/>
  <c r="G1004" i="4"/>
  <c r="BA283" i="13"/>
  <c r="H1004" i="4" s="1"/>
  <c r="AY283" i="13"/>
  <c r="AX283" i="13"/>
  <c r="AV283" i="13"/>
  <c r="AT283" i="13"/>
  <c r="AR283" i="13"/>
  <c r="AQ283" i="13"/>
  <c r="AP283" i="13"/>
  <c r="AO283" i="13"/>
  <c r="G1003" i="4"/>
  <c r="BA282" i="13"/>
  <c r="H1003" i="4" s="1"/>
  <c r="AY282" i="13"/>
  <c r="AX282" i="13"/>
  <c r="AV282" i="13"/>
  <c r="AT282" i="13"/>
  <c r="AR282" i="13"/>
  <c r="AQ282" i="13"/>
  <c r="AP282" i="13"/>
  <c r="AO282" i="13"/>
  <c r="G1002" i="4"/>
  <c r="BA281" i="13"/>
  <c r="H1002" i="4" s="1"/>
  <c r="AY281" i="13"/>
  <c r="AX281" i="13"/>
  <c r="AV281" i="13"/>
  <c r="AT281" i="13"/>
  <c r="AR281" i="13"/>
  <c r="AQ281" i="13"/>
  <c r="AP281" i="13"/>
  <c r="AO281" i="13"/>
  <c r="G1001" i="4"/>
  <c r="BA280" i="13"/>
  <c r="H1001" i="4" s="1"/>
  <c r="AY280" i="13"/>
  <c r="AX280" i="13"/>
  <c r="AV280" i="13"/>
  <c r="AT280" i="13"/>
  <c r="AR280" i="13"/>
  <c r="AQ280" i="13"/>
  <c r="AP280" i="13"/>
  <c r="AO280" i="13"/>
  <c r="G1000" i="4"/>
  <c r="BA279" i="13"/>
  <c r="H1000" i="4" s="1"/>
  <c r="AY279" i="13"/>
  <c r="AX279" i="13"/>
  <c r="AV279" i="13"/>
  <c r="AT279" i="13"/>
  <c r="AR279" i="13"/>
  <c r="AQ279" i="13"/>
  <c r="AP279" i="13"/>
  <c r="AO279" i="13"/>
  <c r="G999" i="4"/>
  <c r="BA278" i="13"/>
  <c r="H999" i="4" s="1"/>
  <c r="AY278" i="13"/>
  <c r="AX278" i="13"/>
  <c r="AV278" i="13"/>
  <c r="AT278" i="13"/>
  <c r="AR278" i="13"/>
  <c r="AQ278" i="13"/>
  <c r="AP278" i="13"/>
  <c r="AO278" i="13"/>
  <c r="G998" i="4"/>
  <c r="BA277" i="13"/>
  <c r="H998" i="4" s="1"/>
  <c r="AY277" i="13"/>
  <c r="AX277" i="13"/>
  <c r="AV277" i="13"/>
  <c r="AT277" i="13"/>
  <c r="AR277" i="13"/>
  <c r="AQ277" i="13"/>
  <c r="AP277" i="13"/>
  <c r="AO277" i="13"/>
  <c r="G997" i="4"/>
  <c r="BA276" i="13"/>
  <c r="H997" i="4" s="1"/>
  <c r="AY276" i="13"/>
  <c r="AX276" i="13"/>
  <c r="AV276" i="13"/>
  <c r="AT276" i="13"/>
  <c r="AR276" i="13"/>
  <c r="AQ276" i="13"/>
  <c r="AP276" i="13"/>
  <c r="AO276" i="13"/>
  <c r="G996" i="4"/>
  <c r="BA275" i="13"/>
  <c r="H996" i="4" s="1"/>
  <c r="AY275" i="13"/>
  <c r="AX275" i="13"/>
  <c r="AV275" i="13"/>
  <c r="AT275" i="13"/>
  <c r="AR275" i="13"/>
  <c r="AQ275" i="13"/>
  <c r="AP275" i="13"/>
  <c r="AO275" i="13"/>
  <c r="G995" i="4"/>
  <c r="BA274" i="13"/>
  <c r="H995" i="4" s="1"/>
  <c r="AY274" i="13"/>
  <c r="AX274" i="13"/>
  <c r="AV274" i="13"/>
  <c r="AT274" i="13"/>
  <c r="AR274" i="13"/>
  <c r="AQ274" i="13"/>
  <c r="AP274" i="13"/>
  <c r="AO274" i="13"/>
  <c r="G994" i="4"/>
  <c r="BA273" i="13"/>
  <c r="H994" i="4" s="1"/>
  <c r="AY273" i="13"/>
  <c r="AX273" i="13"/>
  <c r="AV273" i="13"/>
  <c r="AT273" i="13"/>
  <c r="AR273" i="13"/>
  <c r="AQ273" i="13"/>
  <c r="AP273" i="13"/>
  <c r="AO273" i="13"/>
  <c r="G993" i="4"/>
  <c r="BA272" i="13"/>
  <c r="H993" i="4" s="1"/>
  <c r="AY272" i="13"/>
  <c r="AX272" i="13"/>
  <c r="AV272" i="13"/>
  <c r="AT272" i="13"/>
  <c r="AR272" i="13"/>
  <c r="AQ272" i="13"/>
  <c r="AP272" i="13"/>
  <c r="AO272" i="13"/>
  <c r="G992" i="4"/>
  <c r="BA271" i="13"/>
  <c r="H992" i="4" s="1"/>
  <c r="AY271" i="13"/>
  <c r="AX271" i="13"/>
  <c r="AV271" i="13"/>
  <c r="AT271" i="13"/>
  <c r="AR271" i="13"/>
  <c r="AQ271" i="13"/>
  <c r="AP271" i="13"/>
  <c r="AO271" i="13"/>
  <c r="G991" i="4"/>
  <c r="BA270" i="13"/>
  <c r="H991" i="4" s="1"/>
  <c r="AY270" i="13"/>
  <c r="AX270" i="13"/>
  <c r="AV270" i="13"/>
  <c r="AT270" i="13"/>
  <c r="AR270" i="13"/>
  <c r="AQ270" i="13"/>
  <c r="AP270" i="13"/>
  <c r="AO270" i="13"/>
  <c r="G990" i="4"/>
  <c r="BA269" i="13"/>
  <c r="H990" i="4" s="1"/>
  <c r="AY269" i="13"/>
  <c r="AX269" i="13"/>
  <c r="AV269" i="13"/>
  <c r="AT269" i="13"/>
  <c r="AR269" i="13"/>
  <c r="AQ269" i="13"/>
  <c r="AP269" i="13"/>
  <c r="AO269" i="13"/>
  <c r="G989" i="4"/>
  <c r="BA268" i="13"/>
  <c r="H989" i="4" s="1"/>
  <c r="AY268" i="13"/>
  <c r="AX268" i="13"/>
  <c r="AV268" i="13"/>
  <c r="AT268" i="13"/>
  <c r="AR268" i="13"/>
  <c r="AQ268" i="13"/>
  <c r="AP268" i="13"/>
  <c r="AO268" i="13"/>
  <c r="G988" i="4"/>
  <c r="BA267" i="13"/>
  <c r="H988" i="4" s="1"/>
  <c r="AY267" i="13"/>
  <c r="AX267" i="13"/>
  <c r="AV267" i="13"/>
  <c r="AT267" i="13"/>
  <c r="AR267" i="13"/>
  <c r="AQ267" i="13"/>
  <c r="AP267" i="13"/>
  <c r="AO267" i="13"/>
  <c r="G987" i="4"/>
  <c r="BA266" i="13"/>
  <c r="H987" i="4" s="1"/>
  <c r="AY266" i="13"/>
  <c r="AX266" i="13"/>
  <c r="AV266" i="13"/>
  <c r="AT266" i="13"/>
  <c r="AR266" i="13"/>
  <c r="AQ266" i="13"/>
  <c r="AP266" i="13"/>
  <c r="AO266" i="13"/>
  <c r="G986" i="4"/>
  <c r="BA265" i="13"/>
  <c r="H986" i="4" s="1"/>
  <c r="AY265" i="13"/>
  <c r="AX265" i="13"/>
  <c r="AV265" i="13"/>
  <c r="AT265" i="13"/>
  <c r="AR265" i="13"/>
  <c r="AQ265" i="13"/>
  <c r="AP265" i="13"/>
  <c r="AO265" i="13"/>
  <c r="G985" i="4"/>
  <c r="BA264" i="13"/>
  <c r="H985" i="4" s="1"/>
  <c r="AY264" i="13"/>
  <c r="AX264" i="13"/>
  <c r="AV264" i="13"/>
  <c r="AT264" i="13"/>
  <c r="AR264" i="13"/>
  <c r="AQ264" i="13"/>
  <c r="AP264" i="13"/>
  <c r="AO264" i="13"/>
  <c r="G984" i="4"/>
  <c r="BA263" i="13"/>
  <c r="H984" i="4" s="1"/>
  <c r="AY263" i="13"/>
  <c r="AX263" i="13"/>
  <c r="AV263" i="13"/>
  <c r="AT263" i="13"/>
  <c r="AR263" i="13"/>
  <c r="AQ263" i="13"/>
  <c r="AP263" i="13"/>
  <c r="AO263" i="13"/>
  <c r="G983" i="4"/>
  <c r="BA262" i="13"/>
  <c r="H983" i="4" s="1"/>
  <c r="AY262" i="13"/>
  <c r="AX262" i="13"/>
  <c r="AV262" i="13"/>
  <c r="AT262" i="13"/>
  <c r="AR262" i="13"/>
  <c r="AQ262" i="13"/>
  <c r="AP262" i="13"/>
  <c r="AO262" i="13"/>
  <c r="G982" i="4"/>
  <c r="BA261" i="13"/>
  <c r="H982" i="4" s="1"/>
  <c r="AY261" i="13"/>
  <c r="AX261" i="13"/>
  <c r="AV261" i="13"/>
  <c r="AT261" i="13"/>
  <c r="AR261" i="13"/>
  <c r="AQ261" i="13"/>
  <c r="AP261" i="13"/>
  <c r="AO261" i="13"/>
  <c r="G981" i="4"/>
  <c r="BA260" i="13"/>
  <c r="H981" i="4" s="1"/>
  <c r="AY260" i="13"/>
  <c r="AX260" i="13"/>
  <c r="AV260" i="13"/>
  <c r="AT260" i="13"/>
  <c r="AR260" i="13"/>
  <c r="AQ260" i="13"/>
  <c r="AP260" i="13"/>
  <c r="AO260" i="13"/>
  <c r="G980" i="4"/>
  <c r="BA259" i="13"/>
  <c r="H980" i="4" s="1"/>
  <c r="AY259" i="13"/>
  <c r="AX259" i="13"/>
  <c r="AV259" i="13"/>
  <c r="AT259" i="13"/>
  <c r="AR259" i="13"/>
  <c r="AQ259" i="13"/>
  <c r="AP259" i="13"/>
  <c r="AO259" i="13"/>
  <c r="G979" i="4"/>
  <c r="BA258" i="13"/>
  <c r="H979" i="4" s="1"/>
  <c r="AY258" i="13"/>
  <c r="AX258" i="13"/>
  <c r="AV258" i="13"/>
  <c r="AT258" i="13"/>
  <c r="AR258" i="13"/>
  <c r="AQ258" i="13"/>
  <c r="AP258" i="13"/>
  <c r="AO258" i="13"/>
  <c r="G978" i="4"/>
  <c r="BA257" i="13"/>
  <c r="H978" i="4" s="1"/>
  <c r="AY257" i="13"/>
  <c r="AX257" i="13"/>
  <c r="AV257" i="13"/>
  <c r="AT257" i="13"/>
  <c r="AR257" i="13"/>
  <c r="AQ257" i="13"/>
  <c r="AP257" i="13"/>
  <c r="AO257" i="13"/>
  <c r="G977" i="4"/>
  <c r="BA256" i="13"/>
  <c r="H977" i="4" s="1"/>
  <c r="AY256" i="13"/>
  <c r="AX256" i="13"/>
  <c r="AV256" i="13"/>
  <c r="AT256" i="13"/>
  <c r="AR256" i="13"/>
  <c r="AQ256" i="13"/>
  <c r="AP256" i="13"/>
  <c r="AO256" i="13"/>
  <c r="G976" i="4"/>
  <c r="BA255" i="13"/>
  <c r="H976" i="4" s="1"/>
  <c r="AY255" i="13"/>
  <c r="AX255" i="13"/>
  <c r="AV255" i="13"/>
  <c r="AT255" i="13"/>
  <c r="AR255" i="13"/>
  <c r="AQ255" i="13"/>
  <c r="AP255" i="13"/>
  <c r="AO255" i="13"/>
  <c r="G975" i="4"/>
  <c r="BA254" i="13"/>
  <c r="H975" i="4" s="1"/>
  <c r="AY254" i="13"/>
  <c r="AX254" i="13"/>
  <c r="AV254" i="13"/>
  <c r="AT254" i="13"/>
  <c r="AR254" i="13"/>
  <c r="AQ254" i="13"/>
  <c r="AP254" i="13"/>
  <c r="AO254" i="13"/>
  <c r="G974" i="4"/>
  <c r="BA253" i="13"/>
  <c r="H974" i="4" s="1"/>
  <c r="AY253" i="13"/>
  <c r="AX253" i="13"/>
  <c r="AV253" i="13"/>
  <c r="AT253" i="13"/>
  <c r="AR253" i="13"/>
  <c r="AQ253" i="13"/>
  <c r="AP253" i="13"/>
  <c r="AO253" i="13"/>
  <c r="G973" i="4"/>
  <c r="BA252" i="13"/>
  <c r="H973" i="4" s="1"/>
  <c r="AY252" i="13"/>
  <c r="AX252" i="13"/>
  <c r="AV252" i="13"/>
  <c r="AT252" i="13"/>
  <c r="AR252" i="13"/>
  <c r="AQ252" i="13"/>
  <c r="AP252" i="13"/>
  <c r="AO252" i="13"/>
  <c r="G972" i="4"/>
  <c r="BA251" i="13"/>
  <c r="H972" i="4" s="1"/>
  <c r="AY251" i="13"/>
  <c r="AX251" i="13"/>
  <c r="AV251" i="13"/>
  <c r="AT251" i="13"/>
  <c r="AR251" i="13"/>
  <c r="AQ251" i="13"/>
  <c r="AP251" i="13"/>
  <c r="AO251" i="13"/>
  <c r="G971" i="4"/>
  <c r="BA250" i="13"/>
  <c r="H971" i="4" s="1"/>
  <c r="AY250" i="13"/>
  <c r="AX250" i="13"/>
  <c r="AV250" i="13"/>
  <c r="AT250" i="13"/>
  <c r="AR250" i="13"/>
  <c r="AQ250" i="13"/>
  <c r="AP250" i="13"/>
  <c r="AO250" i="13"/>
  <c r="G970" i="4"/>
  <c r="BA249" i="13"/>
  <c r="H970" i="4" s="1"/>
  <c r="AY249" i="13"/>
  <c r="AX249" i="13"/>
  <c r="AV249" i="13"/>
  <c r="AT249" i="13"/>
  <c r="AR249" i="13"/>
  <c r="AQ249" i="13"/>
  <c r="AP249" i="13"/>
  <c r="AO249" i="13"/>
  <c r="G969" i="4"/>
  <c r="BA248" i="13"/>
  <c r="H969" i="4" s="1"/>
  <c r="AY248" i="13"/>
  <c r="AX248" i="13"/>
  <c r="AV248" i="13"/>
  <c r="AT248" i="13"/>
  <c r="AR248" i="13"/>
  <c r="AQ248" i="13"/>
  <c r="AP248" i="13"/>
  <c r="AO248" i="13"/>
  <c r="G968" i="4"/>
  <c r="BA247" i="13"/>
  <c r="H968" i="4" s="1"/>
  <c r="AY247" i="13"/>
  <c r="AX247" i="13"/>
  <c r="AV247" i="13"/>
  <c r="AT247" i="13"/>
  <c r="AR247" i="13"/>
  <c r="AQ247" i="13"/>
  <c r="AP247" i="13"/>
  <c r="AO247" i="13"/>
  <c r="G967" i="4"/>
  <c r="BA246" i="13"/>
  <c r="H967" i="4" s="1"/>
  <c r="AY246" i="13"/>
  <c r="AX246" i="13"/>
  <c r="AV246" i="13"/>
  <c r="AT246" i="13"/>
  <c r="AR246" i="13"/>
  <c r="AQ246" i="13"/>
  <c r="AP246" i="13"/>
  <c r="AO246" i="13"/>
  <c r="G966" i="4"/>
  <c r="BA245" i="13"/>
  <c r="H966" i="4" s="1"/>
  <c r="AY245" i="13"/>
  <c r="AX245" i="13"/>
  <c r="AV245" i="13"/>
  <c r="AT245" i="13"/>
  <c r="AR245" i="13"/>
  <c r="AQ245" i="13"/>
  <c r="AP245" i="13"/>
  <c r="AO245" i="13"/>
  <c r="G965" i="4"/>
  <c r="BA244" i="13"/>
  <c r="H965" i="4" s="1"/>
  <c r="AY244" i="13"/>
  <c r="AX244" i="13"/>
  <c r="AV244" i="13"/>
  <c r="AT244" i="13"/>
  <c r="AR244" i="13"/>
  <c r="AQ244" i="13"/>
  <c r="AP244" i="13"/>
  <c r="AO244" i="13"/>
  <c r="G964" i="4"/>
  <c r="BA243" i="13"/>
  <c r="H964" i="4" s="1"/>
  <c r="AY243" i="13"/>
  <c r="AX243" i="13"/>
  <c r="AV243" i="13"/>
  <c r="AT243" i="13"/>
  <c r="AR243" i="13"/>
  <c r="AQ243" i="13"/>
  <c r="AP243" i="13"/>
  <c r="AO243" i="13"/>
  <c r="G963" i="4"/>
  <c r="BA242" i="13"/>
  <c r="H963" i="4" s="1"/>
  <c r="AY242" i="13"/>
  <c r="AX242" i="13"/>
  <c r="AV242" i="13"/>
  <c r="AT242" i="13"/>
  <c r="AR242" i="13"/>
  <c r="AQ242" i="13"/>
  <c r="AP242" i="13"/>
  <c r="AO242" i="13"/>
  <c r="G962" i="4"/>
  <c r="BA241" i="13"/>
  <c r="H962" i="4" s="1"/>
  <c r="AY241" i="13"/>
  <c r="AX241" i="13"/>
  <c r="AV241" i="13"/>
  <c r="AT241" i="13"/>
  <c r="AR241" i="13"/>
  <c r="AQ241" i="13"/>
  <c r="AP241" i="13"/>
  <c r="AO241" i="13"/>
  <c r="G961" i="4"/>
  <c r="BA240" i="13"/>
  <c r="H961" i="4" s="1"/>
  <c r="AY240" i="13"/>
  <c r="AX240" i="13"/>
  <c r="AV240" i="13"/>
  <c r="AT240" i="13"/>
  <c r="AR240" i="13"/>
  <c r="AQ240" i="13"/>
  <c r="AP240" i="13"/>
  <c r="AO240" i="13"/>
  <c r="G960" i="4"/>
  <c r="BA239" i="13"/>
  <c r="H960" i="4" s="1"/>
  <c r="AY239" i="13"/>
  <c r="AX239" i="13"/>
  <c r="AV239" i="13"/>
  <c r="AT239" i="13"/>
  <c r="AR239" i="13"/>
  <c r="AQ239" i="13"/>
  <c r="AP239" i="13"/>
  <c r="AO239" i="13"/>
  <c r="G959" i="4"/>
  <c r="BA238" i="13"/>
  <c r="H959" i="4" s="1"/>
  <c r="AY238" i="13"/>
  <c r="AX238" i="13"/>
  <c r="AV238" i="13"/>
  <c r="AT238" i="13"/>
  <c r="AR238" i="13"/>
  <c r="AQ238" i="13"/>
  <c r="AP238" i="13"/>
  <c r="AO238" i="13"/>
  <c r="G958" i="4"/>
  <c r="BA237" i="13"/>
  <c r="H958" i="4" s="1"/>
  <c r="AY237" i="13"/>
  <c r="AX237" i="13"/>
  <c r="AV237" i="13"/>
  <c r="AT237" i="13"/>
  <c r="AR237" i="13"/>
  <c r="AQ237" i="13"/>
  <c r="AP237" i="13"/>
  <c r="AO237" i="13"/>
  <c r="G957" i="4"/>
  <c r="BA236" i="13"/>
  <c r="H957" i="4" s="1"/>
  <c r="AY236" i="13"/>
  <c r="AX236" i="13"/>
  <c r="AV236" i="13"/>
  <c r="AT236" i="13"/>
  <c r="AR236" i="13"/>
  <c r="AQ236" i="13"/>
  <c r="AP236" i="13"/>
  <c r="AO236" i="13"/>
  <c r="G956" i="4"/>
  <c r="BA235" i="13"/>
  <c r="H956" i="4" s="1"/>
  <c r="AY235" i="13"/>
  <c r="AX235" i="13"/>
  <c r="AV235" i="13"/>
  <c r="AT235" i="13"/>
  <c r="AR235" i="13"/>
  <c r="AQ235" i="13"/>
  <c r="AP235" i="13"/>
  <c r="AO235" i="13"/>
  <c r="G955" i="4"/>
  <c r="BA234" i="13"/>
  <c r="H955" i="4" s="1"/>
  <c r="AY234" i="13"/>
  <c r="AX234" i="13"/>
  <c r="AV234" i="13"/>
  <c r="AT234" i="13"/>
  <c r="AR234" i="13"/>
  <c r="AQ234" i="13"/>
  <c r="AP234" i="13"/>
  <c r="AO234" i="13"/>
  <c r="G954" i="4"/>
  <c r="BA233" i="13"/>
  <c r="H954" i="4" s="1"/>
  <c r="AY233" i="13"/>
  <c r="AX233" i="13"/>
  <c r="AV233" i="13"/>
  <c r="AT233" i="13"/>
  <c r="AR233" i="13"/>
  <c r="AQ233" i="13"/>
  <c r="AP233" i="13"/>
  <c r="AO233" i="13"/>
  <c r="G953" i="4"/>
  <c r="BA232" i="13"/>
  <c r="H953" i="4" s="1"/>
  <c r="AY232" i="13"/>
  <c r="AX232" i="13"/>
  <c r="AV232" i="13"/>
  <c r="AT232" i="13"/>
  <c r="AR232" i="13"/>
  <c r="AQ232" i="13"/>
  <c r="AP232" i="13"/>
  <c r="AO232" i="13"/>
  <c r="G952" i="4"/>
  <c r="BA231" i="13"/>
  <c r="H952" i="4" s="1"/>
  <c r="AY231" i="13"/>
  <c r="AX231" i="13"/>
  <c r="AV231" i="13"/>
  <c r="AT231" i="13"/>
  <c r="AR231" i="13"/>
  <c r="AQ231" i="13"/>
  <c r="AP231" i="13"/>
  <c r="AO231" i="13"/>
  <c r="G951" i="4"/>
  <c r="BA230" i="13"/>
  <c r="H951" i="4" s="1"/>
  <c r="AY230" i="13"/>
  <c r="AX230" i="13"/>
  <c r="AV230" i="13"/>
  <c r="AT230" i="13"/>
  <c r="AR230" i="13"/>
  <c r="AQ230" i="13"/>
  <c r="AP230" i="13"/>
  <c r="AO230" i="13"/>
  <c r="G950" i="4"/>
  <c r="BA229" i="13"/>
  <c r="H950" i="4" s="1"/>
  <c r="AY229" i="13"/>
  <c r="AX229" i="13"/>
  <c r="AV229" i="13"/>
  <c r="AT229" i="13"/>
  <c r="AR229" i="13"/>
  <c r="AQ229" i="13"/>
  <c r="AP229" i="13"/>
  <c r="AO229" i="13"/>
  <c r="G949" i="4"/>
  <c r="BA228" i="13"/>
  <c r="H949" i="4" s="1"/>
  <c r="AY228" i="13"/>
  <c r="AX228" i="13"/>
  <c r="AV228" i="13"/>
  <c r="AT228" i="13"/>
  <c r="AR228" i="13"/>
  <c r="AQ228" i="13"/>
  <c r="AP228" i="13"/>
  <c r="AO228" i="13"/>
  <c r="G948" i="4"/>
  <c r="BA227" i="13"/>
  <c r="H948" i="4" s="1"/>
  <c r="AY227" i="13"/>
  <c r="AX227" i="13"/>
  <c r="AV227" i="13"/>
  <c r="AT227" i="13"/>
  <c r="AR227" i="13"/>
  <c r="AQ227" i="13"/>
  <c r="AP227" i="13"/>
  <c r="AO227" i="13"/>
  <c r="G947" i="4"/>
  <c r="BA226" i="13"/>
  <c r="H947" i="4" s="1"/>
  <c r="AY226" i="13"/>
  <c r="AX226" i="13"/>
  <c r="AV226" i="13"/>
  <c r="AT226" i="13"/>
  <c r="AR226" i="13"/>
  <c r="AQ226" i="13"/>
  <c r="AP226" i="13"/>
  <c r="AO226" i="13"/>
  <c r="G946" i="4"/>
  <c r="BA225" i="13"/>
  <c r="H946" i="4" s="1"/>
  <c r="AY225" i="13"/>
  <c r="AX225" i="13"/>
  <c r="AV225" i="13"/>
  <c r="AT225" i="13"/>
  <c r="AR225" i="13"/>
  <c r="AQ225" i="13"/>
  <c r="AP225" i="13"/>
  <c r="AO225" i="13"/>
  <c r="G945" i="4"/>
  <c r="BA224" i="13"/>
  <c r="H945" i="4" s="1"/>
  <c r="AY224" i="13"/>
  <c r="AX224" i="13"/>
  <c r="AV224" i="13"/>
  <c r="AT224" i="13"/>
  <c r="AR224" i="13"/>
  <c r="AQ224" i="13"/>
  <c r="AP224" i="13"/>
  <c r="AO224" i="13"/>
  <c r="G944" i="4"/>
  <c r="BA223" i="13"/>
  <c r="H944" i="4" s="1"/>
  <c r="AY223" i="13"/>
  <c r="AX223" i="13"/>
  <c r="AV223" i="13"/>
  <c r="AT223" i="13"/>
  <c r="AR223" i="13"/>
  <c r="AQ223" i="13"/>
  <c r="AP223" i="13"/>
  <c r="AO223" i="13"/>
  <c r="G943" i="4"/>
  <c r="BA222" i="13"/>
  <c r="H943" i="4" s="1"/>
  <c r="AY222" i="13"/>
  <c r="AX222" i="13"/>
  <c r="AV222" i="13"/>
  <c r="AT222" i="13"/>
  <c r="AR222" i="13"/>
  <c r="AQ222" i="13"/>
  <c r="AP222" i="13"/>
  <c r="AO222" i="13"/>
  <c r="G942" i="4"/>
  <c r="BA221" i="13"/>
  <c r="H942" i="4" s="1"/>
  <c r="AY221" i="13"/>
  <c r="AX221" i="13"/>
  <c r="AV221" i="13"/>
  <c r="AT221" i="13"/>
  <c r="AR221" i="13"/>
  <c r="AQ221" i="13"/>
  <c r="AP221" i="13"/>
  <c r="AO221" i="13"/>
  <c r="G941" i="4"/>
  <c r="BA220" i="13"/>
  <c r="H941" i="4" s="1"/>
  <c r="AY220" i="13"/>
  <c r="AX220" i="13"/>
  <c r="AV220" i="13"/>
  <c r="AT220" i="13"/>
  <c r="AR220" i="13"/>
  <c r="AQ220" i="13"/>
  <c r="AP220" i="13"/>
  <c r="AO220" i="13"/>
  <c r="G940" i="4"/>
  <c r="BA219" i="13"/>
  <c r="H940" i="4" s="1"/>
  <c r="AY219" i="13"/>
  <c r="AX219" i="13"/>
  <c r="AV219" i="13"/>
  <c r="AT219" i="13"/>
  <c r="AR219" i="13"/>
  <c r="AQ219" i="13"/>
  <c r="AP219" i="13"/>
  <c r="AO219" i="13"/>
  <c r="G939" i="4"/>
  <c r="BA218" i="13"/>
  <c r="H939" i="4" s="1"/>
  <c r="AY218" i="13"/>
  <c r="AX218" i="13"/>
  <c r="AV218" i="13"/>
  <c r="AT218" i="13"/>
  <c r="AR218" i="13"/>
  <c r="AQ218" i="13"/>
  <c r="AP218" i="13"/>
  <c r="AO218" i="13"/>
  <c r="G938" i="4"/>
  <c r="BA217" i="13"/>
  <c r="H938" i="4" s="1"/>
  <c r="AY217" i="13"/>
  <c r="AX217" i="13"/>
  <c r="AV217" i="13"/>
  <c r="AT217" i="13"/>
  <c r="AR217" i="13"/>
  <c r="AQ217" i="13"/>
  <c r="AP217" i="13"/>
  <c r="AO217" i="13"/>
  <c r="G937" i="4"/>
  <c r="BA216" i="13"/>
  <c r="H937" i="4" s="1"/>
  <c r="AY216" i="13"/>
  <c r="AX216" i="13"/>
  <c r="AV216" i="13"/>
  <c r="AT216" i="13"/>
  <c r="AR216" i="13"/>
  <c r="AQ216" i="13"/>
  <c r="AP216" i="13"/>
  <c r="AO216" i="13"/>
  <c r="G936" i="4"/>
  <c r="BA215" i="13"/>
  <c r="H936" i="4" s="1"/>
  <c r="AY215" i="13"/>
  <c r="AX215" i="13"/>
  <c r="AV215" i="13"/>
  <c r="AT215" i="13"/>
  <c r="AR215" i="13"/>
  <c r="AQ215" i="13"/>
  <c r="AP215" i="13"/>
  <c r="AO215" i="13"/>
  <c r="G935" i="4"/>
  <c r="BA214" i="13"/>
  <c r="H935" i="4" s="1"/>
  <c r="AY214" i="13"/>
  <c r="AX214" i="13"/>
  <c r="AV214" i="13"/>
  <c r="AT214" i="13"/>
  <c r="AR214" i="13"/>
  <c r="AQ214" i="13"/>
  <c r="AP214" i="13"/>
  <c r="AO214" i="13"/>
  <c r="G934" i="4"/>
  <c r="BA213" i="13"/>
  <c r="H934" i="4" s="1"/>
  <c r="AY213" i="13"/>
  <c r="AX213" i="13"/>
  <c r="AV213" i="13"/>
  <c r="AT213" i="13"/>
  <c r="AR213" i="13"/>
  <c r="AQ213" i="13"/>
  <c r="AP213" i="13"/>
  <c r="AO213" i="13"/>
  <c r="G933" i="4"/>
  <c r="BA212" i="13"/>
  <c r="H933" i="4" s="1"/>
  <c r="AY212" i="13"/>
  <c r="AX212" i="13"/>
  <c r="AV212" i="13"/>
  <c r="AT212" i="13"/>
  <c r="AR212" i="13"/>
  <c r="AQ212" i="13"/>
  <c r="AP212" i="13"/>
  <c r="AO212" i="13"/>
  <c r="G932" i="4"/>
  <c r="BA211" i="13"/>
  <c r="H932" i="4" s="1"/>
  <c r="AY211" i="13"/>
  <c r="AX211" i="13"/>
  <c r="AV211" i="13"/>
  <c r="AT211" i="13"/>
  <c r="AR211" i="13"/>
  <c r="AQ211" i="13"/>
  <c r="AP211" i="13"/>
  <c r="AO211" i="13"/>
  <c r="G931" i="4"/>
  <c r="BA210" i="13"/>
  <c r="H931" i="4" s="1"/>
  <c r="AY210" i="13"/>
  <c r="AX210" i="13"/>
  <c r="AV210" i="13"/>
  <c r="AT210" i="13"/>
  <c r="AR210" i="13"/>
  <c r="AQ210" i="13"/>
  <c r="AP210" i="13"/>
  <c r="AO210" i="13"/>
  <c r="G930" i="4"/>
  <c r="BA209" i="13"/>
  <c r="H930" i="4" s="1"/>
  <c r="AY209" i="13"/>
  <c r="AX209" i="13"/>
  <c r="AV209" i="13"/>
  <c r="AT209" i="13"/>
  <c r="AR209" i="13"/>
  <c r="AQ209" i="13"/>
  <c r="AP209" i="13"/>
  <c r="AO209" i="13"/>
  <c r="G929" i="4"/>
  <c r="BA208" i="13"/>
  <c r="H929" i="4" s="1"/>
  <c r="AY208" i="13"/>
  <c r="AX208" i="13"/>
  <c r="AV208" i="13"/>
  <c r="AT208" i="13"/>
  <c r="AR208" i="13"/>
  <c r="AQ208" i="13"/>
  <c r="AP208" i="13"/>
  <c r="AO208" i="13"/>
  <c r="G928" i="4"/>
  <c r="BA207" i="13"/>
  <c r="H928" i="4" s="1"/>
  <c r="AY207" i="13"/>
  <c r="AX207" i="13"/>
  <c r="AV207" i="13"/>
  <c r="AT207" i="13"/>
  <c r="AR207" i="13"/>
  <c r="AQ207" i="13"/>
  <c r="AP207" i="13"/>
  <c r="AO207" i="13"/>
  <c r="G927" i="4"/>
  <c r="BA206" i="13"/>
  <c r="H927" i="4" s="1"/>
  <c r="AY206" i="13"/>
  <c r="AX206" i="13"/>
  <c r="AV206" i="13"/>
  <c r="AT206" i="13"/>
  <c r="AR206" i="13"/>
  <c r="AQ206" i="13"/>
  <c r="AP206" i="13"/>
  <c r="AO206" i="13"/>
  <c r="G926" i="4"/>
  <c r="BA205" i="13"/>
  <c r="H926" i="4" s="1"/>
  <c r="AY205" i="13"/>
  <c r="AX205" i="13"/>
  <c r="AV205" i="13"/>
  <c r="AT205" i="13"/>
  <c r="AR205" i="13"/>
  <c r="AQ205" i="13"/>
  <c r="AP205" i="13"/>
  <c r="AO205" i="13"/>
  <c r="G925" i="4"/>
  <c r="BA204" i="13"/>
  <c r="H925" i="4" s="1"/>
  <c r="AY204" i="13"/>
  <c r="AX204" i="13"/>
  <c r="AV204" i="13"/>
  <c r="AT204" i="13"/>
  <c r="AR204" i="13"/>
  <c r="AQ204" i="13"/>
  <c r="AP204" i="13"/>
  <c r="AO204" i="13"/>
  <c r="G924" i="4"/>
  <c r="BA203" i="13"/>
  <c r="H924" i="4" s="1"/>
  <c r="AY203" i="13"/>
  <c r="AX203" i="13"/>
  <c r="AV203" i="13"/>
  <c r="AT203" i="13"/>
  <c r="AR203" i="13"/>
  <c r="AQ203" i="13"/>
  <c r="AP203" i="13"/>
  <c r="AO203" i="13"/>
  <c r="G923" i="4"/>
  <c r="BA202" i="13"/>
  <c r="H923" i="4" s="1"/>
  <c r="AY202" i="13"/>
  <c r="AX202" i="13"/>
  <c r="AV202" i="13"/>
  <c r="AT202" i="13"/>
  <c r="AR202" i="13"/>
  <c r="AQ202" i="13"/>
  <c r="AP202" i="13"/>
  <c r="AO202" i="13"/>
  <c r="G922" i="4"/>
  <c r="BA201" i="13"/>
  <c r="H922" i="4" s="1"/>
  <c r="AY201" i="13"/>
  <c r="AX201" i="13"/>
  <c r="AV201" i="13"/>
  <c r="AT201" i="13"/>
  <c r="AR201" i="13"/>
  <c r="AQ201" i="13"/>
  <c r="AP201" i="13"/>
  <c r="AO201" i="13"/>
  <c r="G921" i="4"/>
  <c r="BA200" i="13"/>
  <c r="H921" i="4" s="1"/>
  <c r="AY200" i="13"/>
  <c r="AX200" i="13"/>
  <c r="AV200" i="13"/>
  <c r="AT200" i="13"/>
  <c r="AR200" i="13"/>
  <c r="AQ200" i="13"/>
  <c r="AP200" i="13"/>
  <c r="AO200" i="13"/>
  <c r="G920" i="4"/>
  <c r="BA199" i="13"/>
  <c r="H920" i="4" s="1"/>
  <c r="AY199" i="13"/>
  <c r="AX199" i="13"/>
  <c r="AV199" i="13"/>
  <c r="AT199" i="13"/>
  <c r="AR199" i="13"/>
  <c r="AQ199" i="13"/>
  <c r="AP199" i="13"/>
  <c r="AO199" i="13"/>
  <c r="G919" i="4"/>
  <c r="BA198" i="13"/>
  <c r="H919" i="4" s="1"/>
  <c r="AY198" i="13"/>
  <c r="AX198" i="13"/>
  <c r="AV198" i="13"/>
  <c r="AT198" i="13"/>
  <c r="AR198" i="13"/>
  <c r="AQ198" i="13"/>
  <c r="AP198" i="13"/>
  <c r="AO198" i="13"/>
  <c r="G918" i="4"/>
  <c r="BA197" i="13"/>
  <c r="H918" i="4" s="1"/>
  <c r="AY197" i="13"/>
  <c r="AX197" i="13"/>
  <c r="AV197" i="13"/>
  <c r="AT197" i="13"/>
  <c r="AR197" i="13"/>
  <c r="AQ197" i="13"/>
  <c r="AP197" i="13"/>
  <c r="AO197" i="13"/>
  <c r="G917" i="4"/>
  <c r="BA196" i="13"/>
  <c r="H917" i="4" s="1"/>
  <c r="AY196" i="13"/>
  <c r="AX196" i="13"/>
  <c r="AV196" i="13"/>
  <c r="AT196" i="13"/>
  <c r="AR196" i="13"/>
  <c r="AQ196" i="13"/>
  <c r="AP196" i="13"/>
  <c r="AO196" i="13"/>
  <c r="G916" i="4"/>
  <c r="BA195" i="13"/>
  <c r="H916" i="4" s="1"/>
  <c r="AY195" i="13"/>
  <c r="AX195" i="13"/>
  <c r="AV195" i="13"/>
  <c r="AT195" i="13"/>
  <c r="AR195" i="13"/>
  <c r="AQ195" i="13"/>
  <c r="AP195" i="13"/>
  <c r="AO195" i="13"/>
  <c r="G915" i="4"/>
  <c r="BA194" i="13"/>
  <c r="H915" i="4" s="1"/>
  <c r="AY194" i="13"/>
  <c r="AX194" i="13"/>
  <c r="AV194" i="13"/>
  <c r="AT194" i="13"/>
  <c r="AR194" i="13"/>
  <c r="AQ194" i="13"/>
  <c r="AP194" i="13"/>
  <c r="AO194" i="13"/>
  <c r="G914" i="4"/>
  <c r="BA193" i="13"/>
  <c r="H914" i="4" s="1"/>
  <c r="AY193" i="13"/>
  <c r="AX193" i="13"/>
  <c r="AV193" i="13"/>
  <c r="AT193" i="13"/>
  <c r="AR193" i="13"/>
  <c r="AQ193" i="13"/>
  <c r="AP193" i="13"/>
  <c r="AO193" i="13"/>
  <c r="G913" i="4"/>
  <c r="BA192" i="13"/>
  <c r="H913" i="4" s="1"/>
  <c r="AY192" i="13"/>
  <c r="AX192" i="13"/>
  <c r="AV192" i="13"/>
  <c r="AT192" i="13"/>
  <c r="AR192" i="13"/>
  <c r="AQ192" i="13"/>
  <c r="AP192" i="13"/>
  <c r="AO192" i="13"/>
  <c r="G912" i="4"/>
  <c r="BA191" i="13"/>
  <c r="H912" i="4" s="1"/>
  <c r="AY191" i="13"/>
  <c r="AX191" i="13"/>
  <c r="AV191" i="13"/>
  <c r="AT191" i="13"/>
  <c r="AR191" i="13"/>
  <c r="AQ191" i="13"/>
  <c r="AP191" i="13"/>
  <c r="AO191" i="13"/>
  <c r="G911" i="4"/>
  <c r="BA190" i="13"/>
  <c r="H911" i="4" s="1"/>
  <c r="AY190" i="13"/>
  <c r="AX190" i="13"/>
  <c r="AV190" i="13"/>
  <c r="AT190" i="13"/>
  <c r="AR190" i="13"/>
  <c r="AQ190" i="13"/>
  <c r="AP190" i="13"/>
  <c r="AO190" i="13"/>
  <c r="G910" i="4"/>
  <c r="BA189" i="13"/>
  <c r="H910" i="4" s="1"/>
  <c r="AY189" i="13"/>
  <c r="AX189" i="13"/>
  <c r="AV189" i="13"/>
  <c r="AT189" i="13"/>
  <c r="AR189" i="13"/>
  <c r="AQ189" i="13"/>
  <c r="AP189" i="13"/>
  <c r="AO189" i="13"/>
  <c r="G909" i="4"/>
  <c r="BA188" i="13"/>
  <c r="H909" i="4" s="1"/>
  <c r="AY188" i="13"/>
  <c r="AX188" i="13"/>
  <c r="AV188" i="13"/>
  <c r="AT188" i="13"/>
  <c r="AR188" i="13"/>
  <c r="AQ188" i="13"/>
  <c r="AP188" i="13"/>
  <c r="AO188" i="13"/>
  <c r="G908" i="4"/>
  <c r="BA187" i="13"/>
  <c r="H908" i="4" s="1"/>
  <c r="AY187" i="13"/>
  <c r="AX187" i="13"/>
  <c r="AV187" i="13"/>
  <c r="AT187" i="13"/>
  <c r="AR187" i="13"/>
  <c r="AQ187" i="13"/>
  <c r="AP187" i="13"/>
  <c r="AO187" i="13"/>
  <c r="G907" i="4"/>
  <c r="BA186" i="13"/>
  <c r="H907" i="4" s="1"/>
  <c r="AY186" i="13"/>
  <c r="AX186" i="13"/>
  <c r="AV186" i="13"/>
  <c r="AT186" i="13"/>
  <c r="AR186" i="13"/>
  <c r="AQ186" i="13"/>
  <c r="AP186" i="13"/>
  <c r="AO186" i="13"/>
  <c r="G906" i="4"/>
  <c r="BA185" i="13"/>
  <c r="H906" i="4" s="1"/>
  <c r="AY185" i="13"/>
  <c r="AX185" i="13"/>
  <c r="AV185" i="13"/>
  <c r="AT185" i="13"/>
  <c r="AR185" i="13"/>
  <c r="AQ185" i="13"/>
  <c r="AP185" i="13"/>
  <c r="AO185" i="13"/>
  <c r="G905" i="4"/>
  <c r="BA184" i="13"/>
  <c r="H905" i="4" s="1"/>
  <c r="AY184" i="13"/>
  <c r="AX184" i="13"/>
  <c r="AV184" i="13"/>
  <c r="AT184" i="13"/>
  <c r="AR184" i="13"/>
  <c r="AQ184" i="13"/>
  <c r="AP184" i="13"/>
  <c r="AO184" i="13"/>
  <c r="G904" i="4"/>
  <c r="BA183" i="13"/>
  <c r="H904" i="4" s="1"/>
  <c r="AY183" i="13"/>
  <c r="AX183" i="13"/>
  <c r="AV183" i="13"/>
  <c r="AT183" i="13"/>
  <c r="AR183" i="13"/>
  <c r="AQ183" i="13"/>
  <c r="AP183" i="13"/>
  <c r="AO183" i="13"/>
  <c r="G903" i="4"/>
  <c r="BA182" i="13"/>
  <c r="H903" i="4" s="1"/>
  <c r="AY182" i="13"/>
  <c r="AX182" i="13"/>
  <c r="AV182" i="13"/>
  <c r="AT182" i="13"/>
  <c r="AR182" i="13"/>
  <c r="AQ182" i="13"/>
  <c r="AP182" i="13"/>
  <c r="AO182" i="13"/>
  <c r="G902" i="4"/>
  <c r="BA181" i="13"/>
  <c r="H902" i="4" s="1"/>
  <c r="AY181" i="13"/>
  <c r="AX181" i="13"/>
  <c r="AV181" i="13"/>
  <c r="AT181" i="13"/>
  <c r="AR181" i="13"/>
  <c r="AQ181" i="13"/>
  <c r="AP181" i="13"/>
  <c r="AO181" i="13"/>
  <c r="G901" i="4"/>
  <c r="BA180" i="13"/>
  <c r="H901" i="4" s="1"/>
  <c r="AY180" i="13"/>
  <c r="AX180" i="13"/>
  <c r="AV180" i="13"/>
  <c r="AT180" i="13"/>
  <c r="AR180" i="13"/>
  <c r="AQ180" i="13"/>
  <c r="AP180" i="13"/>
  <c r="AO180" i="13"/>
  <c r="G900" i="4"/>
  <c r="BA179" i="13"/>
  <c r="H900" i="4" s="1"/>
  <c r="AY179" i="13"/>
  <c r="AX179" i="13"/>
  <c r="AV179" i="13"/>
  <c r="AT179" i="13"/>
  <c r="AR179" i="13"/>
  <c r="AQ179" i="13"/>
  <c r="AP179" i="13"/>
  <c r="AO179" i="13"/>
  <c r="G899" i="4"/>
  <c r="BA178" i="13"/>
  <c r="H899" i="4" s="1"/>
  <c r="AY178" i="13"/>
  <c r="AX178" i="13"/>
  <c r="AV178" i="13"/>
  <c r="AT178" i="13"/>
  <c r="AR178" i="13"/>
  <c r="AQ178" i="13"/>
  <c r="AP178" i="13"/>
  <c r="AO178" i="13"/>
  <c r="G898" i="4"/>
  <c r="BA177" i="13"/>
  <c r="H898" i="4" s="1"/>
  <c r="AY177" i="13"/>
  <c r="AX177" i="13"/>
  <c r="AV177" i="13"/>
  <c r="AT177" i="13"/>
  <c r="AR177" i="13"/>
  <c r="AQ177" i="13"/>
  <c r="AP177" i="13"/>
  <c r="AO177" i="13"/>
  <c r="G897" i="4"/>
  <c r="BA176" i="13"/>
  <c r="H897" i="4" s="1"/>
  <c r="AY176" i="13"/>
  <c r="AX176" i="13"/>
  <c r="AV176" i="13"/>
  <c r="AT176" i="13"/>
  <c r="AR176" i="13"/>
  <c r="AQ176" i="13"/>
  <c r="AP176" i="13"/>
  <c r="AO176" i="13"/>
  <c r="G896" i="4"/>
  <c r="BA175" i="13"/>
  <c r="H896" i="4" s="1"/>
  <c r="AY175" i="13"/>
  <c r="AX175" i="13"/>
  <c r="AV175" i="13"/>
  <c r="AT175" i="13"/>
  <c r="AR175" i="13"/>
  <c r="AQ175" i="13"/>
  <c r="AP175" i="13"/>
  <c r="AO175" i="13"/>
  <c r="G895" i="4"/>
  <c r="BA174" i="13"/>
  <c r="H895" i="4" s="1"/>
  <c r="AY174" i="13"/>
  <c r="AX174" i="13"/>
  <c r="AV174" i="13"/>
  <c r="AT174" i="13"/>
  <c r="AR174" i="13"/>
  <c r="AQ174" i="13"/>
  <c r="AP174" i="13"/>
  <c r="AO174" i="13"/>
  <c r="G894" i="4"/>
  <c r="BA173" i="13"/>
  <c r="H894" i="4" s="1"/>
  <c r="AY173" i="13"/>
  <c r="AX173" i="13"/>
  <c r="AV173" i="13"/>
  <c r="AT173" i="13"/>
  <c r="AR173" i="13"/>
  <c r="AQ173" i="13"/>
  <c r="AP173" i="13"/>
  <c r="AO173" i="13"/>
  <c r="G893" i="4"/>
  <c r="BA172" i="13"/>
  <c r="H893" i="4" s="1"/>
  <c r="AY172" i="13"/>
  <c r="AX172" i="13"/>
  <c r="AV172" i="13"/>
  <c r="AT172" i="13"/>
  <c r="AR172" i="13"/>
  <c r="AQ172" i="13"/>
  <c r="AP172" i="13"/>
  <c r="AO172" i="13"/>
  <c r="G892" i="4"/>
  <c r="BA171" i="13"/>
  <c r="H892" i="4" s="1"/>
  <c r="AY171" i="13"/>
  <c r="AX171" i="13"/>
  <c r="AV171" i="13"/>
  <c r="AT171" i="13"/>
  <c r="AR171" i="13"/>
  <c r="AQ171" i="13"/>
  <c r="AP171" i="13"/>
  <c r="AO171" i="13"/>
  <c r="G891" i="4"/>
  <c r="BA170" i="13"/>
  <c r="H891" i="4" s="1"/>
  <c r="AY170" i="13"/>
  <c r="AX170" i="13"/>
  <c r="AV170" i="13"/>
  <c r="AT170" i="13"/>
  <c r="AR170" i="13"/>
  <c r="AQ170" i="13"/>
  <c r="AP170" i="13"/>
  <c r="AO170" i="13"/>
  <c r="G890" i="4"/>
  <c r="BA169" i="13"/>
  <c r="H890" i="4" s="1"/>
  <c r="AY169" i="13"/>
  <c r="AX169" i="13"/>
  <c r="AV169" i="13"/>
  <c r="AT169" i="13"/>
  <c r="AR169" i="13"/>
  <c r="AQ169" i="13"/>
  <c r="AP169" i="13"/>
  <c r="AO169" i="13"/>
  <c r="G889" i="4"/>
  <c r="BA168" i="13"/>
  <c r="H889" i="4" s="1"/>
  <c r="AY168" i="13"/>
  <c r="AX168" i="13"/>
  <c r="AV168" i="13"/>
  <c r="AT168" i="13"/>
  <c r="AR168" i="13"/>
  <c r="AQ168" i="13"/>
  <c r="AP168" i="13"/>
  <c r="AO168" i="13"/>
  <c r="G888" i="4"/>
  <c r="BA167" i="13"/>
  <c r="H888" i="4" s="1"/>
  <c r="AY167" i="13"/>
  <c r="AX167" i="13"/>
  <c r="AV167" i="13"/>
  <c r="AT167" i="13"/>
  <c r="AR167" i="13"/>
  <c r="AQ167" i="13"/>
  <c r="AP167" i="13"/>
  <c r="AO167" i="13"/>
  <c r="G887" i="4"/>
  <c r="BA166" i="13"/>
  <c r="H887" i="4" s="1"/>
  <c r="AY166" i="13"/>
  <c r="AX166" i="13"/>
  <c r="AV166" i="13"/>
  <c r="AT166" i="13"/>
  <c r="AR166" i="13"/>
  <c r="AQ166" i="13"/>
  <c r="AP166" i="13"/>
  <c r="AO166" i="13"/>
  <c r="G886" i="4"/>
  <c r="BA165" i="13"/>
  <c r="H886" i="4" s="1"/>
  <c r="AY165" i="13"/>
  <c r="AX165" i="13"/>
  <c r="AV165" i="13"/>
  <c r="AT165" i="13"/>
  <c r="AR165" i="13"/>
  <c r="AQ165" i="13"/>
  <c r="AP165" i="13"/>
  <c r="AO165" i="13"/>
  <c r="G885" i="4"/>
  <c r="BA164" i="13"/>
  <c r="H885" i="4" s="1"/>
  <c r="AY164" i="13"/>
  <c r="AX164" i="13"/>
  <c r="AV164" i="13"/>
  <c r="AT164" i="13"/>
  <c r="AR164" i="13"/>
  <c r="AQ164" i="13"/>
  <c r="AP164" i="13"/>
  <c r="AO164" i="13"/>
  <c r="G884" i="4"/>
  <c r="BA163" i="13"/>
  <c r="H884" i="4" s="1"/>
  <c r="AY163" i="13"/>
  <c r="AX163" i="13"/>
  <c r="AV163" i="13"/>
  <c r="AT163" i="13"/>
  <c r="AR163" i="13"/>
  <c r="AQ163" i="13"/>
  <c r="AP163" i="13"/>
  <c r="AO163" i="13"/>
  <c r="G883" i="4"/>
  <c r="BA162" i="13"/>
  <c r="H883" i="4" s="1"/>
  <c r="AY162" i="13"/>
  <c r="AX162" i="13"/>
  <c r="AV162" i="13"/>
  <c r="AT162" i="13"/>
  <c r="AR162" i="13"/>
  <c r="AQ162" i="13"/>
  <c r="AP162" i="13"/>
  <c r="AO162" i="13"/>
  <c r="G882" i="4"/>
  <c r="BA161" i="13"/>
  <c r="H882" i="4" s="1"/>
  <c r="AY161" i="13"/>
  <c r="AX161" i="13"/>
  <c r="AV161" i="13"/>
  <c r="AT161" i="13"/>
  <c r="AR161" i="13"/>
  <c r="AQ161" i="13"/>
  <c r="AP161" i="13"/>
  <c r="AO161" i="13"/>
  <c r="G881" i="4"/>
  <c r="BA160" i="13"/>
  <c r="H881" i="4" s="1"/>
  <c r="AY160" i="13"/>
  <c r="AX160" i="13"/>
  <c r="AV160" i="13"/>
  <c r="AT160" i="13"/>
  <c r="AR160" i="13"/>
  <c r="AQ160" i="13"/>
  <c r="AP160" i="13"/>
  <c r="AO160" i="13"/>
  <c r="G880" i="4"/>
  <c r="BA159" i="13"/>
  <c r="H880" i="4" s="1"/>
  <c r="AY159" i="13"/>
  <c r="AX159" i="13"/>
  <c r="AV159" i="13"/>
  <c r="AT159" i="13"/>
  <c r="AR159" i="13"/>
  <c r="AQ159" i="13"/>
  <c r="AP159" i="13"/>
  <c r="AO159" i="13"/>
  <c r="G879" i="4"/>
  <c r="BA158" i="13"/>
  <c r="H879" i="4" s="1"/>
  <c r="AY158" i="13"/>
  <c r="AX158" i="13"/>
  <c r="AV158" i="13"/>
  <c r="AT158" i="13"/>
  <c r="AR158" i="13"/>
  <c r="AQ158" i="13"/>
  <c r="AP158" i="13"/>
  <c r="AO158" i="13"/>
  <c r="G878" i="4"/>
  <c r="BA157" i="13"/>
  <c r="H878" i="4" s="1"/>
  <c r="AY157" i="13"/>
  <c r="AX157" i="13"/>
  <c r="AV157" i="13"/>
  <c r="AT157" i="13"/>
  <c r="AR157" i="13"/>
  <c r="AQ157" i="13"/>
  <c r="AP157" i="13"/>
  <c r="AO157" i="13"/>
  <c r="G877" i="4"/>
  <c r="BA156" i="13"/>
  <c r="H877" i="4" s="1"/>
  <c r="AY156" i="13"/>
  <c r="AX156" i="13"/>
  <c r="AV156" i="13"/>
  <c r="AT156" i="13"/>
  <c r="AR156" i="13"/>
  <c r="AQ156" i="13"/>
  <c r="AP156" i="13"/>
  <c r="AO156" i="13"/>
  <c r="G876" i="4"/>
  <c r="BA155" i="13"/>
  <c r="H876" i="4" s="1"/>
  <c r="AY155" i="13"/>
  <c r="AX155" i="13"/>
  <c r="AV155" i="13"/>
  <c r="AT155" i="13"/>
  <c r="AR155" i="13"/>
  <c r="AQ155" i="13"/>
  <c r="AP155" i="13"/>
  <c r="AO155" i="13"/>
  <c r="G875" i="4"/>
  <c r="BA154" i="13"/>
  <c r="H875" i="4" s="1"/>
  <c r="AY154" i="13"/>
  <c r="AX154" i="13"/>
  <c r="AV154" i="13"/>
  <c r="AT154" i="13"/>
  <c r="AR154" i="13"/>
  <c r="AQ154" i="13"/>
  <c r="AP154" i="13"/>
  <c r="AO154" i="13"/>
  <c r="G874" i="4"/>
  <c r="BA153" i="13"/>
  <c r="H874" i="4" s="1"/>
  <c r="AY153" i="13"/>
  <c r="AX153" i="13"/>
  <c r="AV153" i="13"/>
  <c r="AT153" i="13"/>
  <c r="AR153" i="13"/>
  <c r="AQ153" i="13"/>
  <c r="AP153" i="13"/>
  <c r="AO153" i="13"/>
  <c r="G873" i="4"/>
  <c r="BA152" i="13"/>
  <c r="H873" i="4" s="1"/>
  <c r="AY152" i="13"/>
  <c r="AX152" i="13"/>
  <c r="AV152" i="13"/>
  <c r="AT152" i="13"/>
  <c r="AR152" i="13"/>
  <c r="AQ152" i="13"/>
  <c r="AP152" i="13"/>
  <c r="AO152" i="13"/>
  <c r="G872" i="4"/>
  <c r="BA151" i="13"/>
  <c r="H872" i="4" s="1"/>
  <c r="AY151" i="13"/>
  <c r="AX151" i="13"/>
  <c r="AV151" i="13"/>
  <c r="AT151" i="13"/>
  <c r="AR151" i="13"/>
  <c r="AQ151" i="13"/>
  <c r="AP151" i="13"/>
  <c r="AO151" i="13"/>
  <c r="G871" i="4"/>
  <c r="BA150" i="13"/>
  <c r="H871" i="4" s="1"/>
  <c r="AY150" i="13"/>
  <c r="AX150" i="13"/>
  <c r="AV150" i="13"/>
  <c r="AT150" i="13"/>
  <c r="AR150" i="13"/>
  <c r="AQ150" i="13"/>
  <c r="AP150" i="13"/>
  <c r="AO150" i="13"/>
  <c r="G870" i="4"/>
  <c r="BA149" i="13"/>
  <c r="H870" i="4" s="1"/>
  <c r="AY149" i="13"/>
  <c r="AX149" i="13"/>
  <c r="AV149" i="13"/>
  <c r="AT149" i="13"/>
  <c r="AR149" i="13"/>
  <c r="AQ149" i="13"/>
  <c r="AP149" i="13"/>
  <c r="AO149" i="13"/>
  <c r="G869" i="4"/>
  <c r="BA148" i="13"/>
  <c r="H869" i="4" s="1"/>
  <c r="AY148" i="13"/>
  <c r="AX148" i="13"/>
  <c r="AV148" i="13"/>
  <c r="AT148" i="13"/>
  <c r="AR148" i="13"/>
  <c r="AQ148" i="13"/>
  <c r="AP148" i="13"/>
  <c r="AO148" i="13"/>
  <c r="G868" i="4"/>
  <c r="BA147" i="13"/>
  <c r="H868" i="4" s="1"/>
  <c r="AY147" i="13"/>
  <c r="AX147" i="13"/>
  <c r="AV147" i="13"/>
  <c r="AT147" i="13"/>
  <c r="AR147" i="13"/>
  <c r="AQ147" i="13"/>
  <c r="AP147" i="13"/>
  <c r="AO147" i="13"/>
  <c r="G867" i="4"/>
  <c r="BA146" i="13"/>
  <c r="H867" i="4" s="1"/>
  <c r="AY146" i="13"/>
  <c r="AX146" i="13"/>
  <c r="AV146" i="13"/>
  <c r="AT146" i="13"/>
  <c r="AR146" i="13"/>
  <c r="AQ146" i="13"/>
  <c r="AP146" i="13"/>
  <c r="AO146" i="13"/>
  <c r="G866" i="4"/>
  <c r="BA145" i="13"/>
  <c r="H866" i="4" s="1"/>
  <c r="AY145" i="13"/>
  <c r="AX145" i="13"/>
  <c r="AV145" i="13"/>
  <c r="AT145" i="13"/>
  <c r="AR145" i="13"/>
  <c r="AQ145" i="13"/>
  <c r="AP145" i="13"/>
  <c r="AO145" i="13"/>
  <c r="G865" i="4"/>
  <c r="BA144" i="13"/>
  <c r="H865" i="4" s="1"/>
  <c r="AY144" i="13"/>
  <c r="AX144" i="13"/>
  <c r="AV144" i="13"/>
  <c r="AT144" i="13"/>
  <c r="AR144" i="13"/>
  <c r="AQ144" i="13"/>
  <c r="AP144" i="13"/>
  <c r="AO144" i="13"/>
  <c r="G864" i="4"/>
  <c r="BA143" i="13"/>
  <c r="H864" i="4" s="1"/>
  <c r="AY143" i="13"/>
  <c r="AX143" i="13"/>
  <c r="AV143" i="13"/>
  <c r="AT143" i="13"/>
  <c r="AR143" i="13"/>
  <c r="AQ143" i="13"/>
  <c r="AP143" i="13"/>
  <c r="AO143" i="13"/>
  <c r="G863" i="4"/>
  <c r="BA142" i="13"/>
  <c r="H863" i="4" s="1"/>
  <c r="AY142" i="13"/>
  <c r="AX142" i="13"/>
  <c r="AV142" i="13"/>
  <c r="AT142" i="13"/>
  <c r="AR142" i="13"/>
  <c r="AQ142" i="13"/>
  <c r="AP142" i="13"/>
  <c r="AO142" i="13"/>
  <c r="G862" i="4"/>
  <c r="BA141" i="13"/>
  <c r="H862" i="4" s="1"/>
  <c r="AY141" i="13"/>
  <c r="AX141" i="13"/>
  <c r="AV141" i="13"/>
  <c r="AT141" i="13"/>
  <c r="AR141" i="13"/>
  <c r="AQ141" i="13"/>
  <c r="AP141" i="13"/>
  <c r="AO141" i="13"/>
  <c r="G861" i="4"/>
  <c r="BA140" i="13"/>
  <c r="H861" i="4" s="1"/>
  <c r="AY140" i="13"/>
  <c r="AX140" i="13"/>
  <c r="AV140" i="13"/>
  <c r="AT140" i="13"/>
  <c r="AR140" i="13"/>
  <c r="AQ140" i="13"/>
  <c r="AP140" i="13"/>
  <c r="AO140" i="13"/>
  <c r="G860" i="4"/>
  <c r="BA139" i="13"/>
  <c r="H860" i="4" s="1"/>
  <c r="AY139" i="13"/>
  <c r="AX139" i="13"/>
  <c r="AV139" i="13"/>
  <c r="AT139" i="13"/>
  <c r="AR139" i="13"/>
  <c r="AQ139" i="13"/>
  <c r="AP139" i="13"/>
  <c r="AO139" i="13"/>
  <c r="G859" i="4"/>
  <c r="BA138" i="13"/>
  <c r="H859" i="4" s="1"/>
  <c r="AY138" i="13"/>
  <c r="AX138" i="13"/>
  <c r="AV138" i="13"/>
  <c r="AT138" i="13"/>
  <c r="AR138" i="13"/>
  <c r="AQ138" i="13"/>
  <c r="AP138" i="13"/>
  <c r="AO138" i="13"/>
  <c r="G858" i="4"/>
  <c r="BA137" i="13"/>
  <c r="H858" i="4" s="1"/>
  <c r="AY137" i="13"/>
  <c r="AX137" i="13"/>
  <c r="AV137" i="13"/>
  <c r="AT137" i="13"/>
  <c r="AR137" i="13"/>
  <c r="AQ137" i="13"/>
  <c r="AP137" i="13"/>
  <c r="AO137" i="13"/>
  <c r="G857" i="4"/>
  <c r="BA136" i="13"/>
  <c r="H857" i="4" s="1"/>
  <c r="AY136" i="13"/>
  <c r="AX136" i="13"/>
  <c r="AV136" i="13"/>
  <c r="AT136" i="13"/>
  <c r="AR136" i="13"/>
  <c r="AQ136" i="13"/>
  <c r="AP136" i="13"/>
  <c r="AO136" i="13"/>
  <c r="AN136" i="13"/>
  <c r="AN148" i="13" s="1"/>
  <c r="AN160" i="13" s="1"/>
  <c r="AN172" i="13" s="1"/>
  <c r="AN184" i="13" s="1"/>
  <c r="AN196" i="13" s="1"/>
  <c r="AN208" i="13" s="1"/>
  <c r="AN220" i="13" s="1"/>
  <c r="AN232" i="13" s="1"/>
  <c r="AN244" i="13" s="1"/>
  <c r="AN256" i="13" s="1"/>
  <c r="AN268" i="13" s="1"/>
  <c r="AN280" i="13" s="1"/>
  <c r="AN292" i="13" s="1"/>
  <c r="AN304" i="13" s="1"/>
  <c r="AN316" i="13" s="1"/>
  <c r="AN328" i="13" s="1"/>
  <c r="AN340" i="13" s="1"/>
  <c r="AN352" i="13" s="1"/>
  <c r="AN364" i="13" s="1"/>
  <c r="G856" i="4"/>
  <c r="BA135" i="13"/>
  <c r="H856" i="4" s="1"/>
  <c r="AY135" i="13"/>
  <c r="AX135" i="13"/>
  <c r="AV135" i="13"/>
  <c r="AT135" i="13"/>
  <c r="AR135" i="13"/>
  <c r="AQ135" i="13"/>
  <c r="AP135" i="13"/>
  <c r="AO135" i="13"/>
  <c r="AN135" i="13"/>
  <c r="AN147" i="13" s="1"/>
  <c r="AN159" i="13" s="1"/>
  <c r="AN171" i="13" s="1"/>
  <c r="AN183" i="13" s="1"/>
  <c r="AN195" i="13" s="1"/>
  <c r="AN207" i="13" s="1"/>
  <c r="AN219" i="13" s="1"/>
  <c r="AN231" i="13" s="1"/>
  <c r="AN243" i="13" s="1"/>
  <c r="AN255" i="13" s="1"/>
  <c r="AN267" i="13" s="1"/>
  <c r="AN279" i="13" s="1"/>
  <c r="AN291" i="13" s="1"/>
  <c r="AN303" i="13" s="1"/>
  <c r="AN315" i="13" s="1"/>
  <c r="AN327" i="13" s="1"/>
  <c r="AN339" i="13" s="1"/>
  <c r="AN351" i="13" s="1"/>
  <c r="AN363" i="13" s="1"/>
  <c r="G855" i="4"/>
  <c r="BA134" i="13"/>
  <c r="H855" i="4" s="1"/>
  <c r="AY134" i="13"/>
  <c r="AX134" i="13"/>
  <c r="AV134" i="13"/>
  <c r="AT134" i="13"/>
  <c r="AR134" i="13"/>
  <c r="AQ134" i="13"/>
  <c r="AP134" i="13"/>
  <c r="AO134" i="13"/>
  <c r="AN134" i="13"/>
  <c r="AN146" i="13" s="1"/>
  <c r="AN158" i="13" s="1"/>
  <c r="AN170" i="13" s="1"/>
  <c r="AN182" i="13" s="1"/>
  <c r="AN194" i="13" s="1"/>
  <c r="AN206" i="13" s="1"/>
  <c r="AN218" i="13" s="1"/>
  <c r="AN230" i="13" s="1"/>
  <c r="AN242" i="13" s="1"/>
  <c r="AN254" i="13" s="1"/>
  <c r="AN266" i="13" s="1"/>
  <c r="AN278" i="13" s="1"/>
  <c r="AN290" i="13" s="1"/>
  <c r="AN302" i="13" s="1"/>
  <c r="AN314" i="13" s="1"/>
  <c r="AN326" i="13" s="1"/>
  <c r="AN338" i="13" s="1"/>
  <c r="AN350" i="13" s="1"/>
  <c r="AN362" i="13" s="1"/>
  <c r="G854" i="4"/>
  <c r="BA133" i="13"/>
  <c r="H854" i="4" s="1"/>
  <c r="AY133" i="13"/>
  <c r="AX133" i="13"/>
  <c r="AV133" i="13"/>
  <c r="AT133" i="13"/>
  <c r="AR133" i="13"/>
  <c r="AO133" i="13"/>
  <c r="AN133" i="13"/>
  <c r="AN145" i="13" s="1"/>
  <c r="AN157" i="13" s="1"/>
  <c r="AN169" i="13" s="1"/>
  <c r="AN181" i="13" s="1"/>
  <c r="AN193" i="13" s="1"/>
  <c r="AN205" i="13" s="1"/>
  <c r="AN217" i="13" s="1"/>
  <c r="AN229" i="13" s="1"/>
  <c r="AN241" i="13" s="1"/>
  <c r="AN253" i="13" s="1"/>
  <c r="AN265" i="13" s="1"/>
  <c r="AN277" i="13" s="1"/>
  <c r="AN289" i="13" s="1"/>
  <c r="AN301" i="13" s="1"/>
  <c r="AN313" i="13" s="1"/>
  <c r="AN325" i="13" s="1"/>
  <c r="AN337" i="13" s="1"/>
  <c r="AN349" i="13" s="1"/>
  <c r="AN361" i="13" s="1"/>
  <c r="AN132" i="13"/>
  <c r="AN144" i="13" s="1"/>
  <c r="AN156" i="13" s="1"/>
  <c r="AN168" i="13" s="1"/>
  <c r="AN180" i="13" s="1"/>
  <c r="AN192" i="13" s="1"/>
  <c r="AN204" i="13" s="1"/>
  <c r="AN216" i="13" s="1"/>
  <c r="AN228" i="13" s="1"/>
  <c r="AN240" i="13" s="1"/>
  <c r="AN252" i="13" s="1"/>
  <c r="AN264" i="13" s="1"/>
  <c r="AN276" i="13" s="1"/>
  <c r="AN288" i="13" s="1"/>
  <c r="AN300" i="13" s="1"/>
  <c r="AN312" i="13" s="1"/>
  <c r="AN324" i="13" s="1"/>
  <c r="AN336" i="13" s="1"/>
  <c r="AN348" i="13" s="1"/>
  <c r="AN360" i="13" s="1"/>
  <c r="AN131" i="13"/>
  <c r="AN143" i="13" s="1"/>
  <c r="AN155" i="13" s="1"/>
  <c r="AN167" i="13" s="1"/>
  <c r="AN179" i="13" s="1"/>
  <c r="AN191" i="13" s="1"/>
  <c r="AN203" i="13" s="1"/>
  <c r="AN215" i="13" s="1"/>
  <c r="AN227" i="13" s="1"/>
  <c r="AN239" i="13" s="1"/>
  <c r="AN251" i="13" s="1"/>
  <c r="AN263" i="13" s="1"/>
  <c r="AN275" i="13" s="1"/>
  <c r="AN287" i="13" s="1"/>
  <c r="AN299" i="13" s="1"/>
  <c r="AN311" i="13" s="1"/>
  <c r="AN323" i="13" s="1"/>
  <c r="AN335" i="13" s="1"/>
  <c r="AN347" i="13" s="1"/>
  <c r="AN359" i="13" s="1"/>
  <c r="AN130" i="13"/>
  <c r="AN142" i="13" s="1"/>
  <c r="AN154" i="13" s="1"/>
  <c r="AN166" i="13" s="1"/>
  <c r="AN178" i="13" s="1"/>
  <c r="AN190" i="13" s="1"/>
  <c r="AN202" i="13" s="1"/>
  <c r="AN214" i="13" s="1"/>
  <c r="AN226" i="13" s="1"/>
  <c r="AN238" i="13" s="1"/>
  <c r="AN250" i="13" s="1"/>
  <c r="AN262" i="13" s="1"/>
  <c r="AN274" i="13" s="1"/>
  <c r="AN286" i="13" s="1"/>
  <c r="AN298" i="13" s="1"/>
  <c r="AN310" i="13" s="1"/>
  <c r="AN322" i="13" s="1"/>
  <c r="AN334" i="13" s="1"/>
  <c r="AN346" i="13" s="1"/>
  <c r="AN358" i="13" s="1"/>
  <c r="AN129" i="13"/>
  <c r="AN141" i="13" s="1"/>
  <c r="AN153" i="13" s="1"/>
  <c r="AN165" i="13" s="1"/>
  <c r="AN177" i="13" s="1"/>
  <c r="AN189" i="13" s="1"/>
  <c r="AN201" i="13" s="1"/>
  <c r="AN213" i="13" s="1"/>
  <c r="AN225" i="13" s="1"/>
  <c r="AN237" i="13" s="1"/>
  <c r="AN249" i="13" s="1"/>
  <c r="AN261" i="13" s="1"/>
  <c r="AN273" i="13" s="1"/>
  <c r="AN285" i="13" s="1"/>
  <c r="AN297" i="13" s="1"/>
  <c r="AN309" i="13" s="1"/>
  <c r="AN321" i="13" s="1"/>
  <c r="AN333" i="13" s="1"/>
  <c r="AN345" i="13" s="1"/>
  <c r="AN357" i="13" s="1"/>
  <c r="AN128" i="13"/>
  <c r="AN140" i="13" s="1"/>
  <c r="AN152" i="13" s="1"/>
  <c r="AN164" i="13" s="1"/>
  <c r="AN176" i="13" s="1"/>
  <c r="AN188" i="13" s="1"/>
  <c r="AN200" i="13" s="1"/>
  <c r="AN212" i="13" s="1"/>
  <c r="AN224" i="13" s="1"/>
  <c r="AN236" i="13" s="1"/>
  <c r="AN248" i="13" s="1"/>
  <c r="AN260" i="13" s="1"/>
  <c r="AN272" i="13" s="1"/>
  <c r="AN284" i="13" s="1"/>
  <c r="AN296" i="13" s="1"/>
  <c r="AN308" i="13" s="1"/>
  <c r="AN320" i="13" s="1"/>
  <c r="AN332" i="13" s="1"/>
  <c r="AN344" i="13" s="1"/>
  <c r="AN356" i="13" s="1"/>
  <c r="AN127" i="13"/>
  <c r="AN139" i="13" s="1"/>
  <c r="AN151" i="13" s="1"/>
  <c r="AN163" i="13" s="1"/>
  <c r="AN175" i="13" s="1"/>
  <c r="AN187" i="13" s="1"/>
  <c r="AN199" i="13" s="1"/>
  <c r="AN211" i="13" s="1"/>
  <c r="AN223" i="13" s="1"/>
  <c r="AN235" i="13" s="1"/>
  <c r="AN247" i="13" s="1"/>
  <c r="AN259" i="13" s="1"/>
  <c r="AN271" i="13" s="1"/>
  <c r="AN283" i="13" s="1"/>
  <c r="AN295" i="13" s="1"/>
  <c r="AN307" i="13" s="1"/>
  <c r="AN319" i="13" s="1"/>
  <c r="AN331" i="13" s="1"/>
  <c r="AN343" i="13" s="1"/>
  <c r="AN355" i="13" s="1"/>
  <c r="AN126" i="13"/>
  <c r="AN138" i="13" s="1"/>
  <c r="AN150" i="13" s="1"/>
  <c r="AN162" i="13" s="1"/>
  <c r="AN174" i="13" s="1"/>
  <c r="AN186" i="13" s="1"/>
  <c r="AN198" i="13" s="1"/>
  <c r="AN210" i="13" s="1"/>
  <c r="AN222" i="13" s="1"/>
  <c r="AN234" i="13" s="1"/>
  <c r="AN246" i="13" s="1"/>
  <c r="AN258" i="13" s="1"/>
  <c r="AN270" i="13" s="1"/>
  <c r="AN282" i="13" s="1"/>
  <c r="AN294" i="13" s="1"/>
  <c r="AN306" i="13" s="1"/>
  <c r="AN318" i="13" s="1"/>
  <c r="AN330" i="13" s="1"/>
  <c r="AN342" i="13" s="1"/>
  <c r="AN354" i="13" s="1"/>
  <c r="AN125" i="13"/>
  <c r="AN137" i="13" s="1"/>
  <c r="AN149" i="13" s="1"/>
  <c r="AN161" i="13" s="1"/>
  <c r="AN173" i="13" s="1"/>
  <c r="AN185" i="13" s="1"/>
  <c r="AN197" i="13" s="1"/>
  <c r="AN209" i="13" s="1"/>
  <c r="AN221" i="13" s="1"/>
  <c r="AN233" i="13" s="1"/>
  <c r="AN245" i="13" s="1"/>
  <c r="AN257" i="13" s="1"/>
  <c r="AN269" i="13" s="1"/>
  <c r="AN281" i="13" s="1"/>
  <c r="AN293" i="13" s="1"/>
  <c r="AN305" i="13" s="1"/>
  <c r="AN317" i="13" s="1"/>
  <c r="AN329" i="13" s="1"/>
  <c r="AN341" i="13" s="1"/>
  <c r="AN353" i="13" s="1"/>
  <c r="AM28" i="13"/>
  <c r="AO28" i="13" s="1"/>
  <c r="AM27" i="13"/>
  <c r="AM39" i="13" s="1"/>
  <c r="AO39" i="13" s="1"/>
  <c r="AM26" i="13"/>
  <c r="AM38" i="13" s="1"/>
  <c r="AO38" i="13" s="1"/>
  <c r="AM25" i="13"/>
  <c r="AM37" i="13" s="1"/>
  <c r="AM24" i="13"/>
  <c r="AO24" i="13" s="1"/>
  <c r="AM23" i="13"/>
  <c r="AM22" i="13"/>
  <c r="AM34" i="13" s="1"/>
  <c r="AO34" i="13" s="1"/>
  <c r="AM21" i="13"/>
  <c r="AM33" i="13" s="1"/>
  <c r="AO33" i="13" s="1"/>
  <c r="AM20" i="13"/>
  <c r="AM19" i="13"/>
  <c r="AO19" i="13" s="1"/>
  <c r="AM18" i="13"/>
  <c r="AO18" i="13" s="1"/>
  <c r="AM17" i="13"/>
  <c r="AM29" i="13" s="1"/>
  <c r="AO29" i="13" s="1"/>
  <c r="AO16" i="13"/>
  <c r="AO15" i="13"/>
  <c r="AO14" i="13"/>
  <c r="AO13" i="13"/>
  <c r="AO12" i="13"/>
  <c r="AO11" i="13"/>
  <c r="AO10" i="13"/>
  <c r="AO9" i="13"/>
  <c r="AO8" i="13"/>
  <c r="AO7" i="13"/>
  <c r="AO6" i="13"/>
  <c r="AR5" i="13"/>
  <c r="AQ5" i="13"/>
  <c r="AO5" i="13"/>
  <c r="G724" i="4"/>
  <c r="AI364" i="13"/>
  <c r="F724" i="4" s="1"/>
  <c r="AH364" i="13"/>
  <c r="H724" i="4" s="1"/>
  <c r="AF364" i="13"/>
  <c r="AE364" i="13"/>
  <c r="AC364" i="13"/>
  <c r="AA364" i="13"/>
  <c r="Y364" i="13"/>
  <c r="X364" i="13"/>
  <c r="W364" i="13"/>
  <c r="V364" i="13"/>
  <c r="G723" i="4"/>
  <c r="AI363" i="13"/>
  <c r="F723" i="4" s="1"/>
  <c r="AH363" i="13"/>
  <c r="H723" i="4" s="1"/>
  <c r="AF363" i="13"/>
  <c r="AE363" i="13"/>
  <c r="AC363" i="13"/>
  <c r="AA363" i="13"/>
  <c r="Y363" i="13"/>
  <c r="X363" i="13"/>
  <c r="W363" i="13"/>
  <c r="V363" i="13"/>
  <c r="G722" i="4"/>
  <c r="AI362" i="13"/>
  <c r="F722" i="4" s="1"/>
  <c r="AH362" i="13"/>
  <c r="H722" i="4" s="1"/>
  <c r="AF362" i="13"/>
  <c r="AE362" i="13"/>
  <c r="AC362" i="13"/>
  <c r="AA362" i="13"/>
  <c r="Y362" i="13"/>
  <c r="X362" i="13"/>
  <c r="W362" i="13"/>
  <c r="V362" i="13"/>
  <c r="G721" i="4"/>
  <c r="AI361" i="13"/>
  <c r="F721" i="4" s="1"/>
  <c r="AH361" i="13"/>
  <c r="H721" i="4" s="1"/>
  <c r="AF361" i="13"/>
  <c r="AE361" i="13"/>
  <c r="AC361" i="13"/>
  <c r="AA361" i="13"/>
  <c r="Y361" i="13"/>
  <c r="X361" i="13"/>
  <c r="W361" i="13"/>
  <c r="V361" i="13"/>
  <c r="G720" i="4"/>
  <c r="AI360" i="13"/>
  <c r="F720" i="4" s="1"/>
  <c r="AH360" i="13"/>
  <c r="H720" i="4" s="1"/>
  <c r="AF360" i="13"/>
  <c r="AE360" i="13"/>
  <c r="AC360" i="13"/>
  <c r="AA360" i="13"/>
  <c r="Y360" i="13"/>
  <c r="X360" i="13"/>
  <c r="W360" i="13"/>
  <c r="V360" i="13"/>
  <c r="G719" i="4"/>
  <c r="AI359" i="13"/>
  <c r="F719" i="4" s="1"/>
  <c r="AH359" i="13"/>
  <c r="H719" i="4" s="1"/>
  <c r="AF359" i="13"/>
  <c r="AE359" i="13"/>
  <c r="AC359" i="13"/>
  <c r="AA359" i="13"/>
  <c r="Y359" i="13"/>
  <c r="X359" i="13"/>
  <c r="W359" i="13"/>
  <c r="V359" i="13"/>
  <c r="G718" i="4"/>
  <c r="AI358" i="13"/>
  <c r="F718" i="4" s="1"/>
  <c r="AH358" i="13"/>
  <c r="H718" i="4" s="1"/>
  <c r="AF358" i="13"/>
  <c r="AE358" i="13"/>
  <c r="AC358" i="13"/>
  <c r="AA358" i="13"/>
  <c r="Y358" i="13"/>
  <c r="X358" i="13"/>
  <c r="W358" i="13"/>
  <c r="V358" i="13"/>
  <c r="G717" i="4"/>
  <c r="AI357" i="13"/>
  <c r="F717" i="4" s="1"/>
  <c r="AH357" i="13"/>
  <c r="H717" i="4" s="1"/>
  <c r="AF357" i="13"/>
  <c r="AE357" i="13"/>
  <c r="AC357" i="13"/>
  <c r="AA357" i="13"/>
  <c r="Y357" i="13"/>
  <c r="X357" i="13"/>
  <c r="W357" i="13"/>
  <c r="V357" i="13"/>
  <c r="G716" i="4"/>
  <c r="AI356" i="13"/>
  <c r="F716" i="4" s="1"/>
  <c r="AH356" i="13"/>
  <c r="H716" i="4" s="1"/>
  <c r="AF356" i="13"/>
  <c r="AE356" i="13"/>
  <c r="AC356" i="13"/>
  <c r="AA356" i="13"/>
  <c r="Y356" i="13"/>
  <c r="X356" i="13"/>
  <c r="W356" i="13"/>
  <c r="V356" i="13"/>
  <c r="G715" i="4"/>
  <c r="AI355" i="13"/>
  <c r="F715" i="4" s="1"/>
  <c r="AH355" i="13"/>
  <c r="H715" i="4" s="1"/>
  <c r="AF355" i="13"/>
  <c r="AE355" i="13"/>
  <c r="AC355" i="13"/>
  <c r="AA355" i="13"/>
  <c r="Y355" i="13"/>
  <c r="X355" i="13"/>
  <c r="W355" i="13"/>
  <c r="V355" i="13"/>
  <c r="G714" i="4"/>
  <c r="AI354" i="13"/>
  <c r="F714" i="4" s="1"/>
  <c r="AH354" i="13"/>
  <c r="H714" i="4" s="1"/>
  <c r="AF354" i="13"/>
  <c r="AE354" i="13"/>
  <c r="AC354" i="13"/>
  <c r="AA354" i="13"/>
  <c r="Y354" i="13"/>
  <c r="X354" i="13"/>
  <c r="W354" i="13"/>
  <c r="V354" i="13"/>
  <c r="G713" i="4"/>
  <c r="AI353" i="13"/>
  <c r="F713" i="4" s="1"/>
  <c r="AH353" i="13"/>
  <c r="H713" i="4" s="1"/>
  <c r="AF353" i="13"/>
  <c r="AE353" i="13"/>
  <c r="AC353" i="13"/>
  <c r="AA353" i="13"/>
  <c r="Y353" i="13"/>
  <c r="X353" i="13"/>
  <c r="W353" i="13"/>
  <c r="V353" i="13"/>
  <c r="G712" i="4"/>
  <c r="AI352" i="13"/>
  <c r="F712" i="4" s="1"/>
  <c r="AH352" i="13"/>
  <c r="H712" i="4" s="1"/>
  <c r="AF352" i="13"/>
  <c r="AE352" i="13"/>
  <c r="AC352" i="13"/>
  <c r="AA352" i="13"/>
  <c r="Y352" i="13"/>
  <c r="X352" i="13"/>
  <c r="W352" i="13"/>
  <c r="V352" i="13"/>
  <c r="G711" i="4"/>
  <c r="AI351" i="13"/>
  <c r="F711" i="4" s="1"/>
  <c r="AH351" i="13"/>
  <c r="H711" i="4" s="1"/>
  <c r="AF351" i="13"/>
  <c r="AE351" i="13"/>
  <c r="AC351" i="13"/>
  <c r="AA351" i="13"/>
  <c r="Y351" i="13"/>
  <c r="X351" i="13"/>
  <c r="W351" i="13"/>
  <c r="V351" i="13"/>
  <c r="G710" i="4"/>
  <c r="AI350" i="13"/>
  <c r="F710" i="4" s="1"/>
  <c r="AH350" i="13"/>
  <c r="H710" i="4" s="1"/>
  <c r="AF350" i="13"/>
  <c r="AE350" i="13"/>
  <c r="AC350" i="13"/>
  <c r="AA350" i="13"/>
  <c r="Y350" i="13"/>
  <c r="X350" i="13"/>
  <c r="W350" i="13"/>
  <c r="V350" i="13"/>
  <c r="G709" i="4"/>
  <c r="AI349" i="13"/>
  <c r="F709" i="4" s="1"/>
  <c r="AH349" i="13"/>
  <c r="H709" i="4" s="1"/>
  <c r="AF349" i="13"/>
  <c r="AE349" i="13"/>
  <c r="AC349" i="13"/>
  <c r="AA349" i="13"/>
  <c r="Y349" i="13"/>
  <c r="X349" i="13"/>
  <c r="W349" i="13"/>
  <c r="V349" i="13"/>
  <c r="G708" i="4"/>
  <c r="AI348" i="13"/>
  <c r="F708" i="4" s="1"/>
  <c r="AH348" i="13"/>
  <c r="H708" i="4" s="1"/>
  <c r="AF348" i="13"/>
  <c r="AE348" i="13"/>
  <c r="AC348" i="13"/>
  <c r="AA348" i="13"/>
  <c r="Y348" i="13"/>
  <c r="X348" i="13"/>
  <c r="W348" i="13"/>
  <c r="V348" i="13"/>
  <c r="G707" i="4"/>
  <c r="AI347" i="13"/>
  <c r="F707" i="4" s="1"/>
  <c r="AH347" i="13"/>
  <c r="H707" i="4" s="1"/>
  <c r="AF347" i="13"/>
  <c r="AE347" i="13"/>
  <c r="AC347" i="13"/>
  <c r="AA347" i="13"/>
  <c r="Y347" i="13"/>
  <c r="X347" i="13"/>
  <c r="W347" i="13"/>
  <c r="V347" i="13"/>
  <c r="G706" i="4"/>
  <c r="AI346" i="13"/>
  <c r="F706" i="4" s="1"/>
  <c r="AH346" i="13"/>
  <c r="H706" i="4" s="1"/>
  <c r="AF346" i="13"/>
  <c r="AE346" i="13"/>
  <c r="AC346" i="13"/>
  <c r="AA346" i="13"/>
  <c r="Y346" i="13"/>
  <c r="X346" i="13"/>
  <c r="W346" i="13"/>
  <c r="V346" i="13"/>
  <c r="G705" i="4"/>
  <c r="AI345" i="13"/>
  <c r="F705" i="4" s="1"/>
  <c r="AH345" i="13"/>
  <c r="H705" i="4" s="1"/>
  <c r="AF345" i="13"/>
  <c r="AE345" i="13"/>
  <c r="AC345" i="13"/>
  <c r="AA345" i="13"/>
  <c r="Y345" i="13"/>
  <c r="X345" i="13"/>
  <c r="W345" i="13"/>
  <c r="V345" i="13"/>
  <c r="G704" i="4"/>
  <c r="AI344" i="13"/>
  <c r="F704" i="4" s="1"/>
  <c r="AH344" i="13"/>
  <c r="H704" i="4" s="1"/>
  <c r="AF344" i="13"/>
  <c r="AE344" i="13"/>
  <c r="AC344" i="13"/>
  <c r="AA344" i="13"/>
  <c r="Y344" i="13"/>
  <c r="X344" i="13"/>
  <c r="W344" i="13"/>
  <c r="V344" i="13"/>
  <c r="G703" i="4"/>
  <c r="AI343" i="13"/>
  <c r="F703" i="4" s="1"/>
  <c r="AH343" i="13"/>
  <c r="H703" i="4" s="1"/>
  <c r="AF343" i="13"/>
  <c r="AE343" i="13"/>
  <c r="AC343" i="13"/>
  <c r="AA343" i="13"/>
  <c r="Y343" i="13"/>
  <c r="X343" i="13"/>
  <c r="W343" i="13"/>
  <c r="V343" i="13"/>
  <c r="G702" i="4"/>
  <c r="AI342" i="13"/>
  <c r="F702" i="4" s="1"/>
  <c r="AH342" i="13"/>
  <c r="H702" i="4" s="1"/>
  <c r="AF342" i="13"/>
  <c r="AE342" i="13"/>
  <c r="AC342" i="13"/>
  <c r="AA342" i="13"/>
  <c r="Y342" i="13"/>
  <c r="X342" i="13"/>
  <c r="W342" i="13"/>
  <c r="V342" i="13"/>
  <c r="G701" i="4"/>
  <c r="AI341" i="13"/>
  <c r="F701" i="4" s="1"/>
  <c r="AH341" i="13"/>
  <c r="H701" i="4" s="1"/>
  <c r="AF341" i="13"/>
  <c r="AE341" i="13"/>
  <c r="AC341" i="13"/>
  <c r="AA341" i="13"/>
  <c r="Y341" i="13"/>
  <c r="X341" i="13"/>
  <c r="W341" i="13"/>
  <c r="V341" i="13"/>
  <c r="G700" i="4"/>
  <c r="AI340" i="13"/>
  <c r="F700" i="4" s="1"/>
  <c r="AH340" i="13"/>
  <c r="H700" i="4" s="1"/>
  <c r="AF340" i="13"/>
  <c r="AE340" i="13"/>
  <c r="AC340" i="13"/>
  <c r="AA340" i="13"/>
  <c r="Y340" i="13"/>
  <c r="X340" i="13"/>
  <c r="W340" i="13"/>
  <c r="V340" i="13"/>
  <c r="G699" i="4"/>
  <c r="AI339" i="13"/>
  <c r="F699" i="4" s="1"/>
  <c r="AH339" i="13"/>
  <c r="H699" i="4" s="1"/>
  <c r="AF339" i="13"/>
  <c r="AE339" i="13"/>
  <c r="AC339" i="13"/>
  <c r="AA339" i="13"/>
  <c r="Y339" i="13"/>
  <c r="X339" i="13"/>
  <c r="W339" i="13"/>
  <c r="V339" i="13"/>
  <c r="G698" i="4"/>
  <c r="AI338" i="13"/>
  <c r="F698" i="4" s="1"/>
  <c r="AH338" i="13"/>
  <c r="H698" i="4" s="1"/>
  <c r="AF338" i="13"/>
  <c r="AE338" i="13"/>
  <c r="AC338" i="13"/>
  <c r="AA338" i="13"/>
  <c r="Y338" i="13"/>
  <c r="X338" i="13"/>
  <c r="W338" i="13"/>
  <c r="V338" i="13"/>
  <c r="G697" i="4"/>
  <c r="AI337" i="13"/>
  <c r="F697" i="4" s="1"/>
  <c r="AH337" i="13"/>
  <c r="H697" i="4" s="1"/>
  <c r="AF337" i="13"/>
  <c r="AE337" i="13"/>
  <c r="AC337" i="13"/>
  <c r="AA337" i="13"/>
  <c r="Y337" i="13"/>
  <c r="X337" i="13"/>
  <c r="W337" i="13"/>
  <c r="V337" i="13"/>
  <c r="G696" i="4"/>
  <c r="AI336" i="13"/>
  <c r="F696" i="4" s="1"/>
  <c r="AH336" i="13"/>
  <c r="H696" i="4" s="1"/>
  <c r="AF336" i="13"/>
  <c r="AE336" i="13"/>
  <c r="AC336" i="13"/>
  <c r="AA336" i="13"/>
  <c r="Y336" i="13"/>
  <c r="X336" i="13"/>
  <c r="W336" i="13"/>
  <c r="V336" i="13"/>
  <c r="G695" i="4"/>
  <c r="AI335" i="13"/>
  <c r="F695" i="4" s="1"/>
  <c r="AH335" i="13"/>
  <c r="H695" i="4" s="1"/>
  <c r="AF335" i="13"/>
  <c r="AE335" i="13"/>
  <c r="AC335" i="13"/>
  <c r="AA335" i="13"/>
  <c r="Y335" i="13"/>
  <c r="X335" i="13"/>
  <c r="W335" i="13"/>
  <c r="V335" i="13"/>
  <c r="G694" i="4"/>
  <c r="AI334" i="13"/>
  <c r="F694" i="4" s="1"/>
  <c r="AH334" i="13"/>
  <c r="H694" i="4" s="1"/>
  <c r="AF334" i="13"/>
  <c r="AE334" i="13"/>
  <c r="AC334" i="13"/>
  <c r="AA334" i="13"/>
  <c r="Y334" i="13"/>
  <c r="X334" i="13"/>
  <c r="W334" i="13"/>
  <c r="V334" i="13"/>
  <c r="G693" i="4"/>
  <c r="AI333" i="13"/>
  <c r="F693" i="4" s="1"/>
  <c r="AH333" i="13"/>
  <c r="H693" i="4" s="1"/>
  <c r="AF333" i="13"/>
  <c r="AE333" i="13"/>
  <c r="AC333" i="13"/>
  <c r="AA333" i="13"/>
  <c r="Y333" i="13"/>
  <c r="X333" i="13"/>
  <c r="W333" i="13"/>
  <c r="V333" i="13"/>
  <c r="G692" i="4"/>
  <c r="AI332" i="13"/>
  <c r="F692" i="4" s="1"/>
  <c r="AH332" i="13"/>
  <c r="H692" i="4" s="1"/>
  <c r="AF332" i="13"/>
  <c r="AE332" i="13"/>
  <c r="AC332" i="13"/>
  <c r="AA332" i="13"/>
  <c r="Y332" i="13"/>
  <c r="X332" i="13"/>
  <c r="W332" i="13"/>
  <c r="V332" i="13"/>
  <c r="G691" i="4"/>
  <c r="AI331" i="13"/>
  <c r="F691" i="4" s="1"/>
  <c r="AH331" i="13"/>
  <c r="H691" i="4" s="1"/>
  <c r="AF331" i="13"/>
  <c r="AE331" i="13"/>
  <c r="AC331" i="13"/>
  <c r="AA331" i="13"/>
  <c r="Y331" i="13"/>
  <c r="X331" i="13"/>
  <c r="W331" i="13"/>
  <c r="V331" i="13"/>
  <c r="G690" i="4"/>
  <c r="AI330" i="13"/>
  <c r="F690" i="4" s="1"/>
  <c r="AH330" i="13"/>
  <c r="H690" i="4" s="1"/>
  <c r="AF330" i="13"/>
  <c r="AE330" i="13"/>
  <c r="AC330" i="13"/>
  <c r="AA330" i="13"/>
  <c r="Y330" i="13"/>
  <c r="X330" i="13"/>
  <c r="W330" i="13"/>
  <c r="V330" i="13"/>
  <c r="G689" i="4"/>
  <c r="AI329" i="13"/>
  <c r="F689" i="4" s="1"/>
  <c r="AH329" i="13"/>
  <c r="H689" i="4" s="1"/>
  <c r="AF329" i="13"/>
  <c r="AE329" i="13"/>
  <c r="AC329" i="13"/>
  <c r="AA329" i="13"/>
  <c r="Y329" i="13"/>
  <c r="X329" i="13"/>
  <c r="W329" i="13"/>
  <c r="V329" i="13"/>
  <c r="G688" i="4"/>
  <c r="AI328" i="13"/>
  <c r="F688" i="4" s="1"/>
  <c r="AH328" i="13"/>
  <c r="H688" i="4" s="1"/>
  <c r="AF328" i="13"/>
  <c r="AE328" i="13"/>
  <c r="AC328" i="13"/>
  <c r="AA328" i="13"/>
  <c r="Y328" i="13"/>
  <c r="X328" i="13"/>
  <c r="W328" i="13"/>
  <c r="V328" i="13"/>
  <c r="G687" i="4"/>
  <c r="AI327" i="13"/>
  <c r="F687" i="4" s="1"/>
  <c r="AH327" i="13"/>
  <c r="H687" i="4" s="1"/>
  <c r="AF327" i="13"/>
  <c r="AE327" i="13"/>
  <c r="AC327" i="13"/>
  <c r="AA327" i="13"/>
  <c r="Y327" i="13"/>
  <c r="X327" i="13"/>
  <c r="W327" i="13"/>
  <c r="V327" i="13"/>
  <c r="G686" i="4"/>
  <c r="AI326" i="13"/>
  <c r="F686" i="4" s="1"/>
  <c r="AH326" i="13"/>
  <c r="H686" i="4" s="1"/>
  <c r="AF326" i="13"/>
  <c r="AE326" i="13"/>
  <c r="AC326" i="13"/>
  <c r="AA326" i="13"/>
  <c r="Y326" i="13"/>
  <c r="X326" i="13"/>
  <c r="W326" i="13"/>
  <c r="V326" i="13"/>
  <c r="G685" i="4"/>
  <c r="AI325" i="13"/>
  <c r="F685" i="4" s="1"/>
  <c r="AH325" i="13"/>
  <c r="H685" i="4" s="1"/>
  <c r="AF325" i="13"/>
  <c r="AE325" i="13"/>
  <c r="AC325" i="13"/>
  <c r="AA325" i="13"/>
  <c r="Y325" i="13"/>
  <c r="X325" i="13"/>
  <c r="W325" i="13"/>
  <c r="V325" i="13"/>
  <c r="G684" i="4"/>
  <c r="AI324" i="13"/>
  <c r="F684" i="4" s="1"/>
  <c r="AH324" i="13"/>
  <c r="H684" i="4" s="1"/>
  <c r="AF324" i="13"/>
  <c r="AE324" i="13"/>
  <c r="AC324" i="13"/>
  <c r="AA324" i="13"/>
  <c r="Y324" i="13"/>
  <c r="X324" i="13"/>
  <c r="W324" i="13"/>
  <c r="V324" i="13"/>
  <c r="G683" i="4"/>
  <c r="AI323" i="13"/>
  <c r="F683" i="4" s="1"/>
  <c r="AH323" i="13"/>
  <c r="H683" i="4" s="1"/>
  <c r="AF323" i="13"/>
  <c r="AE323" i="13"/>
  <c r="AC323" i="13"/>
  <c r="AA323" i="13"/>
  <c r="Y323" i="13"/>
  <c r="X323" i="13"/>
  <c r="W323" i="13"/>
  <c r="V323" i="13"/>
  <c r="G682" i="4"/>
  <c r="AI322" i="13"/>
  <c r="F682" i="4" s="1"/>
  <c r="AH322" i="13"/>
  <c r="H682" i="4" s="1"/>
  <c r="AF322" i="13"/>
  <c r="AE322" i="13"/>
  <c r="AC322" i="13"/>
  <c r="AA322" i="13"/>
  <c r="Y322" i="13"/>
  <c r="X322" i="13"/>
  <c r="W322" i="13"/>
  <c r="V322" i="13"/>
  <c r="G681" i="4"/>
  <c r="AI321" i="13"/>
  <c r="F681" i="4" s="1"/>
  <c r="AH321" i="13"/>
  <c r="H681" i="4" s="1"/>
  <c r="AF321" i="13"/>
  <c r="AE321" i="13"/>
  <c r="AC321" i="13"/>
  <c r="AA321" i="13"/>
  <c r="Y321" i="13"/>
  <c r="X321" i="13"/>
  <c r="W321" i="13"/>
  <c r="V321" i="13"/>
  <c r="G680" i="4"/>
  <c r="AI320" i="13"/>
  <c r="F680" i="4" s="1"/>
  <c r="AH320" i="13"/>
  <c r="H680" i="4" s="1"/>
  <c r="AF320" i="13"/>
  <c r="AE320" i="13"/>
  <c r="AC320" i="13"/>
  <c r="AA320" i="13"/>
  <c r="Y320" i="13"/>
  <c r="X320" i="13"/>
  <c r="W320" i="13"/>
  <c r="V320" i="13"/>
  <c r="G679" i="4"/>
  <c r="AI319" i="13"/>
  <c r="F679" i="4" s="1"/>
  <c r="AH319" i="13"/>
  <c r="H679" i="4" s="1"/>
  <c r="AF319" i="13"/>
  <c r="AE319" i="13"/>
  <c r="AC319" i="13"/>
  <c r="AA319" i="13"/>
  <c r="Y319" i="13"/>
  <c r="X319" i="13"/>
  <c r="W319" i="13"/>
  <c r="V319" i="13"/>
  <c r="G678" i="4"/>
  <c r="AI318" i="13"/>
  <c r="F678" i="4" s="1"/>
  <c r="AH318" i="13"/>
  <c r="H678" i="4" s="1"/>
  <c r="AF318" i="13"/>
  <c r="AE318" i="13"/>
  <c r="AC318" i="13"/>
  <c r="AA318" i="13"/>
  <c r="Y318" i="13"/>
  <c r="X318" i="13"/>
  <c r="W318" i="13"/>
  <c r="V318" i="13"/>
  <c r="G677" i="4"/>
  <c r="AI317" i="13"/>
  <c r="F677" i="4" s="1"/>
  <c r="AH317" i="13"/>
  <c r="H677" i="4" s="1"/>
  <c r="AF317" i="13"/>
  <c r="AE317" i="13"/>
  <c r="AC317" i="13"/>
  <c r="AA317" i="13"/>
  <c r="Y317" i="13"/>
  <c r="X317" i="13"/>
  <c r="W317" i="13"/>
  <c r="V317" i="13"/>
  <c r="G676" i="4"/>
  <c r="AI316" i="13"/>
  <c r="F676" i="4" s="1"/>
  <c r="AH316" i="13"/>
  <c r="H676" i="4" s="1"/>
  <c r="AF316" i="13"/>
  <c r="AE316" i="13"/>
  <c r="AC316" i="13"/>
  <c r="AA316" i="13"/>
  <c r="Y316" i="13"/>
  <c r="X316" i="13"/>
  <c r="W316" i="13"/>
  <c r="V316" i="13"/>
  <c r="G675" i="4"/>
  <c r="AI315" i="13"/>
  <c r="F675" i="4" s="1"/>
  <c r="AH315" i="13"/>
  <c r="H675" i="4" s="1"/>
  <c r="AF315" i="13"/>
  <c r="AE315" i="13"/>
  <c r="AC315" i="13"/>
  <c r="AA315" i="13"/>
  <c r="Y315" i="13"/>
  <c r="X315" i="13"/>
  <c r="W315" i="13"/>
  <c r="V315" i="13"/>
  <c r="G674" i="4"/>
  <c r="AI314" i="13"/>
  <c r="F674" i="4" s="1"/>
  <c r="AH314" i="13"/>
  <c r="H674" i="4" s="1"/>
  <c r="AF314" i="13"/>
  <c r="AE314" i="13"/>
  <c r="AC314" i="13"/>
  <c r="AA314" i="13"/>
  <c r="Y314" i="13"/>
  <c r="X314" i="13"/>
  <c r="W314" i="13"/>
  <c r="V314" i="13"/>
  <c r="G673" i="4"/>
  <c r="AI313" i="13"/>
  <c r="F673" i="4" s="1"/>
  <c r="AH313" i="13"/>
  <c r="H673" i="4" s="1"/>
  <c r="AF313" i="13"/>
  <c r="AE313" i="13"/>
  <c r="AC313" i="13"/>
  <c r="AA313" i="13"/>
  <c r="Y313" i="13"/>
  <c r="X313" i="13"/>
  <c r="W313" i="13"/>
  <c r="V313" i="13"/>
  <c r="G672" i="4"/>
  <c r="AI312" i="13"/>
  <c r="F672" i="4" s="1"/>
  <c r="AH312" i="13"/>
  <c r="H672" i="4" s="1"/>
  <c r="AF312" i="13"/>
  <c r="AE312" i="13"/>
  <c r="AC312" i="13"/>
  <c r="AA312" i="13"/>
  <c r="Y312" i="13"/>
  <c r="X312" i="13"/>
  <c r="W312" i="13"/>
  <c r="V312" i="13"/>
  <c r="G671" i="4"/>
  <c r="AI311" i="13"/>
  <c r="F671" i="4" s="1"/>
  <c r="AH311" i="13"/>
  <c r="H671" i="4" s="1"/>
  <c r="AF311" i="13"/>
  <c r="AE311" i="13"/>
  <c r="AC311" i="13"/>
  <c r="AA311" i="13"/>
  <c r="Y311" i="13"/>
  <c r="X311" i="13"/>
  <c r="W311" i="13"/>
  <c r="V311" i="13"/>
  <c r="G670" i="4"/>
  <c r="AI310" i="13"/>
  <c r="F670" i="4" s="1"/>
  <c r="AH310" i="13"/>
  <c r="H670" i="4" s="1"/>
  <c r="AF310" i="13"/>
  <c r="AE310" i="13"/>
  <c r="AC310" i="13"/>
  <c r="AA310" i="13"/>
  <c r="Y310" i="13"/>
  <c r="X310" i="13"/>
  <c r="W310" i="13"/>
  <c r="V310" i="13"/>
  <c r="G669" i="4"/>
  <c r="AI309" i="13"/>
  <c r="F669" i="4" s="1"/>
  <c r="AH309" i="13"/>
  <c r="H669" i="4" s="1"/>
  <c r="AF309" i="13"/>
  <c r="AE309" i="13"/>
  <c r="AC309" i="13"/>
  <c r="AA309" i="13"/>
  <c r="Y309" i="13"/>
  <c r="X309" i="13"/>
  <c r="W309" i="13"/>
  <c r="V309" i="13"/>
  <c r="G668" i="4"/>
  <c r="AI308" i="13"/>
  <c r="F668" i="4" s="1"/>
  <c r="AH308" i="13"/>
  <c r="H668" i="4" s="1"/>
  <c r="AF308" i="13"/>
  <c r="AE308" i="13"/>
  <c r="AC308" i="13"/>
  <c r="AA308" i="13"/>
  <c r="Y308" i="13"/>
  <c r="X308" i="13"/>
  <c r="W308" i="13"/>
  <c r="V308" i="13"/>
  <c r="G667" i="4"/>
  <c r="AI307" i="13"/>
  <c r="F667" i="4" s="1"/>
  <c r="AH307" i="13"/>
  <c r="H667" i="4" s="1"/>
  <c r="AF307" i="13"/>
  <c r="AE307" i="13"/>
  <c r="AC307" i="13"/>
  <c r="AA307" i="13"/>
  <c r="Y307" i="13"/>
  <c r="X307" i="13"/>
  <c r="W307" i="13"/>
  <c r="V307" i="13"/>
  <c r="G666" i="4"/>
  <c r="AI306" i="13"/>
  <c r="F666" i="4" s="1"/>
  <c r="AH306" i="13"/>
  <c r="H666" i="4" s="1"/>
  <c r="AF306" i="13"/>
  <c r="AE306" i="13"/>
  <c r="AC306" i="13"/>
  <c r="AA306" i="13"/>
  <c r="Y306" i="13"/>
  <c r="X306" i="13"/>
  <c r="W306" i="13"/>
  <c r="V306" i="13"/>
  <c r="G665" i="4"/>
  <c r="AI305" i="13"/>
  <c r="F665" i="4" s="1"/>
  <c r="AH305" i="13"/>
  <c r="H665" i="4" s="1"/>
  <c r="AF305" i="13"/>
  <c r="AE305" i="13"/>
  <c r="AC305" i="13"/>
  <c r="AA305" i="13"/>
  <c r="Y305" i="13"/>
  <c r="X305" i="13"/>
  <c r="W305" i="13"/>
  <c r="V305" i="13"/>
  <c r="G664" i="4"/>
  <c r="AI304" i="13"/>
  <c r="F664" i="4" s="1"/>
  <c r="AH304" i="13"/>
  <c r="H664" i="4" s="1"/>
  <c r="AF304" i="13"/>
  <c r="AE304" i="13"/>
  <c r="AC304" i="13"/>
  <c r="AA304" i="13"/>
  <c r="Y304" i="13"/>
  <c r="X304" i="13"/>
  <c r="W304" i="13"/>
  <c r="V304" i="13"/>
  <c r="G663" i="4"/>
  <c r="AI303" i="13"/>
  <c r="F663" i="4" s="1"/>
  <c r="AH303" i="13"/>
  <c r="H663" i="4" s="1"/>
  <c r="AF303" i="13"/>
  <c r="AE303" i="13"/>
  <c r="AC303" i="13"/>
  <c r="AA303" i="13"/>
  <c r="Y303" i="13"/>
  <c r="X303" i="13"/>
  <c r="W303" i="13"/>
  <c r="V303" i="13"/>
  <c r="G662" i="4"/>
  <c r="AI302" i="13"/>
  <c r="F662" i="4" s="1"/>
  <c r="AH302" i="13"/>
  <c r="H662" i="4" s="1"/>
  <c r="AF302" i="13"/>
  <c r="AE302" i="13"/>
  <c r="AC302" i="13"/>
  <c r="AA302" i="13"/>
  <c r="Y302" i="13"/>
  <c r="X302" i="13"/>
  <c r="W302" i="13"/>
  <c r="V302" i="13"/>
  <c r="G661" i="4"/>
  <c r="AI301" i="13"/>
  <c r="F661" i="4" s="1"/>
  <c r="AH301" i="13"/>
  <c r="H661" i="4" s="1"/>
  <c r="AF301" i="13"/>
  <c r="AE301" i="13"/>
  <c r="AC301" i="13"/>
  <c r="AA301" i="13"/>
  <c r="Y301" i="13"/>
  <c r="X301" i="13"/>
  <c r="W301" i="13"/>
  <c r="V301" i="13"/>
  <c r="G660" i="4"/>
  <c r="AI300" i="13"/>
  <c r="F660" i="4" s="1"/>
  <c r="AH300" i="13"/>
  <c r="H660" i="4" s="1"/>
  <c r="AF300" i="13"/>
  <c r="AE300" i="13"/>
  <c r="AC300" i="13"/>
  <c r="AA300" i="13"/>
  <c r="Y300" i="13"/>
  <c r="X300" i="13"/>
  <c r="W300" i="13"/>
  <c r="V300" i="13"/>
  <c r="G659" i="4"/>
  <c r="AI299" i="13"/>
  <c r="F659" i="4" s="1"/>
  <c r="AH299" i="13"/>
  <c r="H659" i="4" s="1"/>
  <c r="AF299" i="13"/>
  <c r="AE299" i="13"/>
  <c r="AC299" i="13"/>
  <c r="AA299" i="13"/>
  <c r="Y299" i="13"/>
  <c r="X299" i="13"/>
  <c r="W299" i="13"/>
  <c r="V299" i="13"/>
  <c r="G658" i="4"/>
  <c r="AI298" i="13"/>
  <c r="F658" i="4" s="1"/>
  <c r="AH298" i="13"/>
  <c r="H658" i="4" s="1"/>
  <c r="AF298" i="13"/>
  <c r="AE298" i="13"/>
  <c r="AC298" i="13"/>
  <c r="AA298" i="13"/>
  <c r="Y298" i="13"/>
  <c r="X298" i="13"/>
  <c r="W298" i="13"/>
  <c r="V298" i="13"/>
  <c r="G657" i="4"/>
  <c r="AI297" i="13"/>
  <c r="F657" i="4" s="1"/>
  <c r="AH297" i="13"/>
  <c r="H657" i="4" s="1"/>
  <c r="AF297" i="13"/>
  <c r="AE297" i="13"/>
  <c r="AC297" i="13"/>
  <c r="AA297" i="13"/>
  <c r="Y297" i="13"/>
  <c r="X297" i="13"/>
  <c r="W297" i="13"/>
  <c r="V297" i="13"/>
  <c r="G656" i="4"/>
  <c r="AI296" i="13"/>
  <c r="F656" i="4" s="1"/>
  <c r="AH296" i="13"/>
  <c r="H656" i="4" s="1"/>
  <c r="AF296" i="13"/>
  <c r="AE296" i="13"/>
  <c r="AC296" i="13"/>
  <c r="AA296" i="13"/>
  <c r="Y296" i="13"/>
  <c r="X296" i="13"/>
  <c r="W296" i="13"/>
  <c r="V296" i="13"/>
  <c r="G655" i="4"/>
  <c r="AI295" i="13"/>
  <c r="F655" i="4" s="1"/>
  <c r="AH295" i="13"/>
  <c r="H655" i="4" s="1"/>
  <c r="AF295" i="13"/>
  <c r="AE295" i="13"/>
  <c r="AC295" i="13"/>
  <c r="AA295" i="13"/>
  <c r="Y295" i="13"/>
  <c r="X295" i="13"/>
  <c r="W295" i="13"/>
  <c r="V295" i="13"/>
  <c r="G654" i="4"/>
  <c r="AI294" i="13"/>
  <c r="F654" i="4" s="1"/>
  <c r="AH294" i="13"/>
  <c r="H654" i="4" s="1"/>
  <c r="AF294" i="13"/>
  <c r="AE294" i="13"/>
  <c r="AC294" i="13"/>
  <c r="AA294" i="13"/>
  <c r="Y294" i="13"/>
  <c r="X294" i="13"/>
  <c r="W294" i="13"/>
  <c r="V294" i="13"/>
  <c r="G653" i="4"/>
  <c r="AI293" i="13"/>
  <c r="F653" i="4" s="1"/>
  <c r="AH293" i="13"/>
  <c r="H653" i="4" s="1"/>
  <c r="AF293" i="13"/>
  <c r="AE293" i="13"/>
  <c r="AC293" i="13"/>
  <c r="AA293" i="13"/>
  <c r="Y293" i="13"/>
  <c r="X293" i="13"/>
  <c r="W293" i="13"/>
  <c r="V293" i="13"/>
  <c r="G652" i="4"/>
  <c r="AI292" i="13"/>
  <c r="F652" i="4" s="1"/>
  <c r="AH292" i="13"/>
  <c r="H652" i="4" s="1"/>
  <c r="AF292" i="13"/>
  <c r="AE292" i="13"/>
  <c r="AC292" i="13"/>
  <c r="AA292" i="13"/>
  <c r="Y292" i="13"/>
  <c r="X292" i="13"/>
  <c r="W292" i="13"/>
  <c r="V292" i="13"/>
  <c r="G651" i="4"/>
  <c r="AI291" i="13"/>
  <c r="F651" i="4" s="1"/>
  <c r="AH291" i="13"/>
  <c r="H651" i="4" s="1"/>
  <c r="AF291" i="13"/>
  <c r="AE291" i="13"/>
  <c r="AC291" i="13"/>
  <c r="AA291" i="13"/>
  <c r="Y291" i="13"/>
  <c r="X291" i="13"/>
  <c r="W291" i="13"/>
  <c r="V291" i="13"/>
  <c r="G650" i="4"/>
  <c r="AI290" i="13"/>
  <c r="F650" i="4" s="1"/>
  <c r="AH290" i="13"/>
  <c r="H650" i="4" s="1"/>
  <c r="AF290" i="13"/>
  <c r="AE290" i="13"/>
  <c r="AC290" i="13"/>
  <c r="AA290" i="13"/>
  <c r="Y290" i="13"/>
  <c r="X290" i="13"/>
  <c r="W290" i="13"/>
  <c r="V290" i="13"/>
  <c r="G649" i="4"/>
  <c r="AI289" i="13"/>
  <c r="F649" i="4" s="1"/>
  <c r="AH289" i="13"/>
  <c r="H649" i="4" s="1"/>
  <c r="AF289" i="13"/>
  <c r="AE289" i="13"/>
  <c r="AC289" i="13"/>
  <c r="AA289" i="13"/>
  <c r="Y289" i="13"/>
  <c r="X289" i="13"/>
  <c r="W289" i="13"/>
  <c r="V289" i="13"/>
  <c r="G648" i="4"/>
  <c r="AI288" i="13"/>
  <c r="F648" i="4" s="1"/>
  <c r="AH288" i="13"/>
  <c r="H648" i="4" s="1"/>
  <c r="AF288" i="13"/>
  <c r="AE288" i="13"/>
  <c r="AC288" i="13"/>
  <c r="AA288" i="13"/>
  <c r="Y288" i="13"/>
  <c r="X288" i="13"/>
  <c r="W288" i="13"/>
  <c r="V288" i="13"/>
  <c r="G647" i="4"/>
  <c r="AI287" i="13"/>
  <c r="F647" i="4" s="1"/>
  <c r="AH287" i="13"/>
  <c r="H647" i="4" s="1"/>
  <c r="AF287" i="13"/>
  <c r="AE287" i="13"/>
  <c r="AC287" i="13"/>
  <c r="AA287" i="13"/>
  <c r="Y287" i="13"/>
  <c r="X287" i="13"/>
  <c r="W287" i="13"/>
  <c r="V287" i="13"/>
  <c r="G646" i="4"/>
  <c r="AI286" i="13"/>
  <c r="F646" i="4" s="1"/>
  <c r="AH286" i="13"/>
  <c r="H646" i="4" s="1"/>
  <c r="AF286" i="13"/>
  <c r="AE286" i="13"/>
  <c r="AC286" i="13"/>
  <c r="AA286" i="13"/>
  <c r="Y286" i="13"/>
  <c r="X286" i="13"/>
  <c r="W286" i="13"/>
  <c r="V286" i="13"/>
  <c r="G645" i="4"/>
  <c r="AI285" i="13"/>
  <c r="F645" i="4" s="1"/>
  <c r="AH285" i="13"/>
  <c r="H645" i="4" s="1"/>
  <c r="AF285" i="13"/>
  <c r="AE285" i="13"/>
  <c r="AC285" i="13"/>
  <c r="AA285" i="13"/>
  <c r="Y285" i="13"/>
  <c r="X285" i="13"/>
  <c r="W285" i="13"/>
  <c r="V285" i="13"/>
  <c r="G644" i="4"/>
  <c r="AI284" i="13"/>
  <c r="F644" i="4" s="1"/>
  <c r="AH284" i="13"/>
  <c r="H644" i="4" s="1"/>
  <c r="AF284" i="13"/>
  <c r="AE284" i="13"/>
  <c r="AC284" i="13"/>
  <c r="AA284" i="13"/>
  <c r="Y284" i="13"/>
  <c r="X284" i="13"/>
  <c r="W284" i="13"/>
  <c r="V284" i="13"/>
  <c r="G643" i="4"/>
  <c r="AI283" i="13"/>
  <c r="F643" i="4" s="1"/>
  <c r="AH283" i="13"/>
  <c r="H643" i="4" s="1"/>
  <c r="AF283" i="13"/>
  <c r="AE283" i="13"/>
  <c r="AC283" i="13"/>
  <c r="AA283" i="13"/>
  <c r="Y283" i="13"/>
  <c r="X283" i="13"/>
  <c r="W283" i="13"/>
  <c r="V283" i="13"/>
  <c r="G642" i="4"/>
  <c r="AI282" i="13"/>
  <c r="F642" i="4" s="1"/>
  <c r="AH282" i="13"/>
  <c r="H642" i="4" s="1"/>
  <c r="AF282" i="13"/>
  <c r="AE282" i="13"/>
  <c r="AC282" i="13"/>
  <c r="AA282" i="13"/>
  <c r="Y282" i="13"/>
  <c r="X282" i="13"/>
  <c r="W282" i="13"/>
  <c r="V282" i="13"/>
  <c r="G641" i="4"/>
  <c r="AI281" i="13"/>
  <c r="F641" i="4" s="1"/>
  <c r="AH281" i="13"/>
  <c r="H641" i="4" s="1"/>
  <c r="AF281" i="13"/>
  <c r="AE281" i="13"/>
  <c r="AC281" i="13"/>
  <c r="AA281" i="13"/>
  <c r="Y281" i="13"/>
  <c r="X281" i="13"/>
  <c r="W281" i="13"/>
  <c r="V281" i="13"/>
  <c r="G640" i="4"/>
  <c r="AI280" i="13"/>
  <c r="F640" i="4" s="1"/>
  <c r="AH280" i="13"/>
  <c r="H640" i="4" s="1"/>
  <c r="AF280" i="13"/>
  <c r="AE280" i="13"/>
  <c r="AC280" i="13"/>
  <c r="AA280" i="13"/>
  <c r="Y280" i="13"/>
  <c r="X280" i="13"/>
  <c r="W280" i="13"/>
  <c r="V280" i="13"/>
  <c r="G639" i="4"/>
  <c r="AI279" i="13"/>
  <c r="F639" i="4" s="1"/>
  <c r="AH279" i="13"/>
  <c r="H639" i="4" s="1"/>
  <c r="AF279" i="13"/>
  <c r="AE279" i="13"/>
  <c r="AC279" i="13"/>
  <c r="AA279" i="13"/>
  <c r="Y279" i="13"/>
  <c r="X279" i="13"/>
  <c r="W279" i="13"/>
  <c r="V279" i="13"/>
  <c r="G638" i="4"/>
  <c r="AI278" i="13"/>
  <c r="F638" i="4" s="1"/>
  <c r="AH278" i="13"/>
  <c r="H638" i="4" s="1"/>
  <c r="AF278" i="13"/>
  <c r="AE278" i="13"/>
  <c r="AC278" i="13"/>
  <c r="AA278" i="13"/>
  <c r="Y278" i="13"/>
  <c r="X278" i="13"/>
  <c r="W278" i="13"/>
  <c r="V278" i="13"/>
  <c r="G637" i="4"/>
  <c r="AI277" i="13"/>
  <c r="F637" i="4" s="1"/>
  <c r="AH277" i="13"/>
  <c r="H637" i="4" s="1"/>
  <c r="AF277" i="13"/>
  <c r="AE277" i="13"/>
  <c r="AC277" i="13"/>
  <c r="AA277" i="13"/>
  <c r="Y277" i="13"/>
  <c r="X277" i="13"/>
  <c r="W277" i="13"/>
  <c r="V277" i="13"/>
  <c r="G636" i="4"/>
  <c r="AI276" i="13"/>
  <c r="F636" i="4" s="1"/>
  <c r="AH276" i="13"/>
  <c r="H636" i="4" s="1"/>
  <c r="AF276" i="13"/>
  <c r="AE276" i="13"/>
  <c r="AC276" i="13"/>
  <c r="AA276" i="13"/>
  <c r="Y276" i="13"/>
  <c r="X276" i="13"/>
  <c r="W276" i="13"/>
  <c r="V276" i="13"/>
  <c r="G635" i="4"/>
  <c r="AI275" i="13"/>
  <c r="F635" i="4" s="1"/>
  <c r="AH275" i="13"/>
  <c r="H635" i="4" s="1"/>
  <c r="AF275" i="13"/>
  <c r="AE275" i="13"/>
  <c r="AC275" i="13"/>
  <c r="AA275" i="13"/>
  <c r="Y275" i="13"/>
  <c r="X275" i="13"/>
  <c r="W275" i="13"/>
  <c r="V275" i="13"/>
  <c r="G634" i="4"/>
  <c r="AI274" i="13"/>
  <c r="F634" i="4" s="1"/>
  <c r="AH274" i="13"/>
  <c r="H634" i="4" s="1"/>
  <c r="AF274" i="13"/>
  <c r="AE274" i="13"/>
  <c r="AC274" i="13"/>
  <c r="AA274" i="13"/>
  <c r="Y274" i="13"/>
  <c r="X274" i="13"/>
  <c r="W274" i="13"/>
  <c r="V274" i="13"/>
  <c r="G633" i="4"/>
  <c r="AI273" i="13"/>
  <c r="F633" i="4" s="1"/>
  <c r="AH273" i="13"/>
  <c r="H633" i="4" s="1"/>
  <c r="AF273" i="13"/>
  <c r="AE273" i="13"/>
  <c r="AC273" i="13"/>
  <c r="AA273" i="13"/>
  <c r="Y273" i="13"/>
  <c r="X273" i="13"/>
  <c r="W273" i="13"/>
  <c r="V273" i="13"/>
  <c r="G632" i="4"/>
  <c r="AI272" i="13"/>
  <c r="F632" i="4" s="1"/>
  <c r="AH272" i="13"/>
  <c r="H632" i="4" s="1"/>
  <c r="AF272" i="13"/>
  <c r="AE272" i="13"/>
  <c r="AC272" i="13"/>
  <c r="AA272" i="13"/>
  <c r="Y272" i="13"/>
  <c r="X272" i="13"/>
  <c r="W272" i="13"/>
  <c r="V272" i="13"/>
  <c r="G631" i="4"/>
  <c r="AI271" i="13"/>
  <c r="F631" i="4" s="1"/>
  <c r="AH271" i="13"/>
  <c r="H631" i="4" s="1"/>
  <c r="AF271" i="13"/>
  <c r="AE271" i="13"/>
  <c r="AC271" i="13"/>
  <c r="AA271" i="13"/>
  <c r="Y271" i="13"/>
  <c r="X271" i="13"/>
  <c r="W271" i="13"/>
  <c r="V271" i="13"/>
  <c r="G630" i="4"/>
  <c r="AI270" i="13"/>
  <c r="F630" i="4" s="1"/>
  <c r="AH270" i="13"/>
  <c r="H630" i="4" s="1"/>
  <c r="AF270" i="13"/>
  <c r="AE270" i="13"/>
  <c r="AC270" i="13"/>
  <c r="AA270" i="13"/>
  <c r="Y270" i="13"/>
  <c r="X270" i="13"/>
  <c r="W270" i="13"/>
  <c r="V270" i="13"/>
  <c r="G629" i="4"/>
  <c r="AI269" i="13"/>
  <c r="F629" i="4" s="1"/>
  <c r="AH269" i="13"/>
  <c r="H629" i="4" s="1"/>
  <c r="AF269" i="13"/>
  <c r="AE269" i="13"/>
  <c r="AC269" i="13"/>
  <c r="AA269" i="13"/>
  <c r="Y269" i="13"/>
  <c r="X269" i="13"/>
  <c r="W269" i="13"/>
  <c r="V269" i="13"/>
  <c r="G628" i="4"/>
  <c r="AI268" i="13"/>
  <c r="F628" i="4" s="1"/>
  <c r="AH268" i="13"/>
  <c r="H628" i="4" s="1"/>
  <c r="AF268" i="13"/>
  <c r="AE268" i="13"/>
  <c r="AC268" i="13"/>
  <c r="AA268" i="13"/>
  <c r="Y268" i="13"/>
  <c r="X268" i="13"/>
  <c r="W268" i="13"/>
  <c r="V268" i="13"/>
  <c r="G627" i="4"/>
  <c r="AI267" i="13"/>
  <c r="F627" i="4" s="1"/>
  <c r="AH267" i="13"/>
  <c r="H627" i="4" s="1"/>
  <c r="AF267" i="13"/>
  <c r="AE267" i="13"/>
  <c r="AC267" i="13"/>
  <c r="AA267" i="13"/>
  <c r="Y267" i="13"/>
  <c r="X267" i="13"/>
  <c r="W267" i="13"/>
  <c r="V267" i="13"/>
  <c r="G626" i="4"/>
  <c r="AI266" i="13"/>
  <c r="F626" i="4" s="1"/>
  <c r="AH266" i="13"/>
  <c r="H626" i="4" s="1"/>
  <c r="AF266" i="13"/>
  <c r="AE266" i="13"/>
  <c r="AC266" i="13"/>
  <c r="AA266" i="13"/>
  <c r="Y266" i="13"/>
  <c r="X266" i="13"/>
  <c r="W266" i="13"/>
  <c r="V266" i="13"/>
  <c r="G625" i="4"/>
  <c r="AI265" i="13"/>
  <c r="F625" i="4" s="1"/>
  <c r="AH265" i="13"/>
  <c r="H625" i="4" s="1"/>
  <c r="AF265" i="13"/>
  <c r="AE265" i="13"/>
  <c r="AC265" i="13"/>
  <c r="AA265" i="13"/>
  <c r="Y265" i="13"/>
  <c r="X265" i="13"/>
  <c r="W265" i="13"/>
  <c r="V265" i="13"/>
  <c r="G624" i="4"/>
  <c r="AI264" i="13"/>
  <c r="F624" i="4" s="1"/>
  <c r="AH264" i="13"/>
  <c r="H624" i="4" s="1"/>
  <c r="AF264" i="13"/>
  <c r="AE264" i="13"/>
  <c r="AC264" i="13"/>
  <c r="AA264" i="13"/>
  <c r="Y264" i="13"/>
  <c r="X264" i="13"/>
  <c r="W264" i="13"/>
  <c r="V264" i="13"/>
  <c r="G623" i="4"/>
  <c r="AI263" i="13"/>
  <c r="F623" i="4" s="1"/>
  <c r="AH263" i="13"/>
  <c r="H623" i="4" s="1"/>
  <c r="AF263" i="13"/>
  <c r="AE263" i="13"/>
  <c r="AC263" i="13"/>
  <c r="AA263" i="13"/>
  <c r="Y263" i="13"/>
  <c r="X263" i="13"/>
  <c r="W263" i="13"/>
  <c r="V263" i="13"/>
  <c r="G622" i="4"/>
  <c r="AI262" i="13"/>
  <c r="F622" i="4" s="1"/>
  <c r="AH262" i="13"/>
  <c r="H622" i="4" s="1"/>
  <c r="AF262" i="13"/>
  <c r="AE262" i="13"/>
  <c r="AC262" i="13"/>
  <c r="AA262" i="13"/>
  <c r="Y262" i="13"/>
  <c r="X262" i="13"/>
  <c r="W262" i="13"/>
  <c r="V262" i="13"/>
  <c r="G621" i="4"/>
  <c r="AI261" i="13"/>
  <c r="F621" i="4" s="1"/>
  <c r="AH261" i="13"/>
  <c r="H621" i="4" s="1"/>
  <c r="AF261" i="13"/>
  <c r="AE261" i="13"/>
  <c r="AC261" i="13"/>
  <c r="AA261" i="13"/>
  <c r="Y261" i="13"/>
  <c r="X261" i="13"/>
  <c r="W261" i="13"/>
  <c r="V261" i="13"/>
  <c r="G620" i="4"/>
  <c r="AI260" i="13"/>
  <c r="F620" i="4" s="1"/>
  <c r="AH260" i="13"/>
  <c r="H620" i="4" s="1"/>
  <c r="AF260" i="13"/>
  <c r="AE260" i="13"/>
  <c r="AC260" i="13"/>
  <c r="AA260" i="13"/>
  <c r="Y260" i="13"/>
  <c r="X260" i="13"/>
  <c r="W260" i="13"/>
  <c r="V260" i="13"/>
  <c r="G619" i="4"/>
  <c r="AI259" i="13"/>
  <c r="F619" i="4" s="1"/>
  <c r="AH259" i="13"/>
  <c r="H619" i="4" s="1"/>
  <c r="AF259" i="13"/>
  <c r="AE259" i="13"/>
  <c r="AC259" i="13"/>
  <c r="AA259" i="13"/>
  <c r="Y259" i="13"/>
  <c r="X259" i="13"/>
  <c r="W259" i="13"/>
  <c r="V259" i="13"/>
  <c r="G618" i="4"/>
  <c r="AI258" i="13"/>
  <c r="F618" i="4" s="1"/>
  <c r="AH258" i="13"/>
  <c r="H618" i="4" s="1"/>
  <c r="AF258" i="13"/>
  <c r="AE258" i="13"/>
  <c r="AC258" i="13"/>
  <c r="AA258" i="13"/>
  <c r="Y258" i="13"/>
  <c r="X258" i="13"/>
  <c r="W258" i="13"/>
  <c r="V258" i="13"/>
  <c r="G617" i="4"/>
  <c r="AI257" i="13"/>
  <c r="F617" i="4" s="1"/>
  <c r="AH257" i="13"/>
  <c r="H617" i="4" s="1"/>
  <c r="AF257" i="13"/>
  <c r="AE257" i="13"/>
  <c r="AC257" i="13"/>
  <c r="AA257" i="13"/>
  <c r="Y257" i="13"/>
  <c r="X257" i="13"/>
  <c r="W257" i="13"/>
  <c r="V257" i="13"/>
  <c r="G616" i="4"/>
  <c r="AI256" i="13"/>
  <c r="F616" i="4" s="1"/>
  <c r="AH256" i="13"/>
  <c r="H616" i="4" s="1"/>
  <c r="AF256" i="13"/>
  <c r="AE256" i="13"/>
  <c r="AC256" i="13"/>
  <c r="AA256" i="13"/>
  <c r="Y256" i="13"/>
  <c r="X256" i="13"/>
  <c r="W256" i="13"/>
  <c r="V256" i="13"/>
  <c r="G615" i="4"/>
  <c r="AI255" i="13"/>
  <c r="F615" i="4" s="1"/>
  <c r="AH255" i="13"/>
  <c r="H615" i="4" s="1"/>
  <c r="AF255" i="13"/>
  <c r="AE255" i="13"/>
  <c r="AC255" i="13"/>
  <c r="AA255" i="13"/>
  <c r="Y255" i="13"/>
  <c r="X255" i="13"/>
  <c r="W255" i="13"/>
  <c r="V255" i="13"/>
  <c r="G614" i="4"/>
  <c r="AI254" i="13"/>
  <c r="F614" i="4" s="1"/>
  <c r="AH254" i="13"/>
  <c r="H614" i="4" s="1"/>
  <c r="AF254" i="13"/>
  <c r="AE254" i="13"/>
  <c r="AC254" i="13"/>
  <c r="AA254" i="13"/>
  <c r="Y254" i="13"/>
  <c r="X254" i="13"/>
  <c r="W254" i="13"/>
  <c r="V254" i="13"/>
  <c r="G613" i="4"/>
  <c r="AI253" i="13"/>
  <c r="F613" i="4" s="1"/>
  <c r="AH253" i="13"/>
  <c r="H613" i="4" s="1"/>
  <c r="AF253" i="13"/>
  <c r="AE253" i="13"/>
  <c r="AC253" i="13"/>
  <c r="AA253" i="13"/>
  <c r="Y253" i="13"/>
  <c r="X253" i="13"/>
  <c r="W253" i="13"/>
  <c r="V253" i="13"/>
  <c r="G612" i="4"/>
  <c r="AI252" i="13"/>
  <c r="F612" i="4" s="1"/>
  <c r="AH252" i="13"/>
  <c r="H612" i="4" s="1"/>
  <c r="AF252" i="13"/>
  <c r="AE252" i="13"/>
  <c r="AC252" i="13"/>
  <c r="AA252" i="13"/>
  <c r="Y252" i="13"/>
  <c r="X252" i="13"/>
  <c r="W252" i="13"/>
  <c r="V252" i="13"/>
  <c r="G611" i="4"/>
  <c r="AI251" i="13"/>
  <c r="F611" i="4" s="1"/>
  <c r="AH251" i="13"/>
  <c r="H611" i="4" s="1"/>
  <c r="AF251" i="13"/>
  <c r="AE251" i="13"/>
  <c r="AC251" i="13"/>
  <c r="AA251" i="13"/>
  <c r="Y251" i="13"/>
  <c r="X251" i="13"/>
  <c r="W251" i="13"/>
  <c r="V251" i="13"/>
  <c r="G610" i="4"/>
  <c r="AI250" i="13"/>
  <c r="F610" i="4" s="1"/>
  <c r="AH250" i="13"/>
  <c r="H610" i="4" s="1"/>
  <c r="AF250" i="13"/>
  <c r="AE250" i="13"/>
  <c r="AC250" i="13"/>
  <c r="AA250" i="13"/>
  <c r="Y250" i="13"/>
  <c r="X250" i="13"/>
  <c r="W250" i="13"/>
  <c r="V250" i="13"/>
  <c r="G609" i="4"/>
  <c r="AI249" i="13"/>
  <c r="F609" i="4" s="1"/>
  <c r="AH249" i="13"/>
  <c r="H609" i="4" s="1"/>
  <c r="AF249" i="13"/>
  <c r="AE249" i="13"/>
  <c r="AC249" i="13"/>
  <c r="AA249" i="13"/>
  <c r="Y249" i="13"/>
  <c r="X249" i="13"/>
  <c r="W249" i="13"/>
  <c r="V249" i="13"/>
  <c r="G608" i="4"/>
  <c r="AI248" i="13"/>
  <c r="F608" i="4" s="1"/>
  <c r="AH248" i="13"/>
  <c r="H608" i="4" s="1"/>
  <c r="AF248" i="13"/>
  <c r="AE248" i="13"/>
  <c r="AC248" i="13"/>
  <c r="AA248" i="13"/>
  <c r="Y248" i="13"/>
  <c r="X248" i="13"/>
  <c r="W248" i="13"/>
  <c r="V248" i="13"/>
  <c r="G607" i="4"/>
  <c r="AI247" i="13"/>
  <c r="F607" i="4" s="1"/>
  <c r="AH247" i="13"/>
  <c r="H607" i="4" s="1"/>
  <c r="AF247" i="13"/>
  <c r="AE247" i="13"/>
  <c r="AC247" i="13"/>
  <c r="AA247" i="13"/>
  <c r="Y247" i="13"/>
  <c r="X247" i="13"/>
  <c r="W247" i="13"/>
  <c r="V247" i="13"/>
  <c r="G606" i="4"/>
  <c r="AI246" i="13"/>
  <c r="F606" i="4" s="1"/>
  <c r="AH246" i="13"/>
  <c r="H606" i="4" s="1"/>
  <c r="AF246" i="13"/>
  <c r="AE246" i="13"/>
  <c r="AC246" i="13"/>
  <c r="AA246" i="13"/>
  <c r="Y246" i="13"/>
  <c r="X246" i="13"/>
  <c r="W246" i="13"/>
  <c r="V246" i="13"/>
  <c r="G605" i="4"/>
  <c r="AI245" i="13"/>
  <c r="F605" i="4" s="1"/>
  <c r="AH245" i="13"/>
  <c r="H605" i="4" s="1"/>
  <c r="AF245" i="13"/>
  <c r="AE245" i="13"/>
  <c r="AC245" i="13"/>
  <c r="AA245" i="13"/>
  <c r="Y245" i="13"/>
  <c r="X245" i="13"/>
  <c r="W245" i="13"/>
  <c r="V245" i="13"/>
  <c r="G604" i="4"/>
  <c r="AI244" i="13"/>
  <c r="F604" i="4" s="1"/>
  <c r="AH244" i="13"/>
  <c r="H604" i="4" s="1"/>
  <c r="AF244" i="13"/>
  <c r="AE244" i="13"/>
  <c r="AC244" i="13"/>
  <c r="AA244" i="13"/>
  <c r="Y244" i="13"/>
  <c r="X244" i="13"/>
  <c r="W244" i="13"/>
  <c r="V244" i="13"/>
  <c r="G603" i="4"/>
  <c r="AI243" i="13"/>
  <c r="F603" i="4" s="1"/>
  <c r="AH243" i="13"/>
  <c r="H603" i="4" s="1"/>
  <c r="AF243" i="13"/>
  <c r="AE243" i="13"/>
  <c r="AC243" i="13"/>
  <c r="AA243" i="13"/>
  <c r="Y243" i="13"/>
  <c r="X243" i="13"/>
  <c r="W243" i="13"/>
  <c r="V243" i="13"/>
  <c r="G602" i="4"/>
  <c r="AI242" i="13"/>
  <c r="F602" i="4" s="1"/>
  <c r="AH242" i="13"/>
  <c r="H602" i="4" s="1"/>
  <c r="AF242" i="13"/>
  <c r="AE242" i="13"/>
  <c r="AC242" i="13"/>
  <c r="AA242" i="13"/>
  <c r="Y242" i="13"/>
  <c r="X242" i="13"/>
  <c r="W242" i="13"/>
  <c r="V242" i="13"/>
  <c r="G601" i="4"/>
  <c r="AI241" i="13"/>
  <c r="F601" i="4" s="1"/>
  <c r="AH241" i="13"/>
  <c r="H601" i="4" s="1"/>
  <c r="AF241" i="13"/>
  <c r="AE241" i="13"/>
  <c r="AC241" i="13"/>
  <c r="AA241" i="13"/>
  <c r="Y241" i="13"/>
  <c r="X241" i="13"/>
  <c r="W241" i="13"/>
  <c r="V241" i="13"/>
  <c r="G600" i="4"/>
  <c r="AI240" i="13"/>
  <c r="F600" i="4" s="1"/>
  <c r="AH240" i="13"/>
  <c r="H600" i="4" s="1"/>
  <c r="AF240" i="13"/>
  <c r="AE240" i="13"/>
  <c r="AC240" i="13"/>
  <c r="AA240" i="13"/>
  <c r="Y240" i="13"/>
  <c r="X240" i="13"/>
  <c r="W240" i="13"/>
  <c r="V240" i="13"/>
  <c r="G599" i="4"/>
  <c r="AI239" i="13"/>
  <c r="F599" i="4" s="1"/>
  <c r="AH239" i="13"/>
  <c r="H599" i="4" s="1"/>
  <c r="AF239" i="13"/>
  <c r="AE239" i="13"/>
  <c r="AC239" i="13"/>
  <c r="AA239" i="13"/>
  <c r="Y239" i="13"/>
  <c r="X239" i="13"/>
  <c r="W239" i="13"/>
  <c r="V239" i="13"/>
  <c r="G598" i="4"/>
  <c r="AI238" i="13"/>
  <c r="F598" i="4" s="1"/>
  <c r="AH238" i="13"/>
  <c r="H598" i="4" s="1"/>
  <c r="AF238" i="13"/>
  <c r="AE238" i="13"/>
  <c r="AC238" i="13"/>
  <c r="AA238" i="13"/>
  <c r="Y238" i="13"/>
  <c r="X238" i="13"/>
  <c r="W238" i="13"/>
  <c r="V238" i="13"/>
  <c r="G597" i="4"/>
  <c r="AI237" i="13"/>
  <c r="F597" i="4" s="1"/>
  <c r="AH237" i="13"/>
  <c r="H597" i="4" s="1"/>
  <c r="AF237" i="13"/>
  <c r="AE237" i="13"/>
  <c r="AC237" i="13"/>
  <c r="AA237" i="13"/>
  <c r="Y237" i="13"/>
  <c r="X237" i="13"/>
  <c r="W237" i="13"/>
  <c r="V237" i="13"/>
  <c r="G596" i="4"/>
  <c r="AI236" i="13"/>
  <c r="F596" i="4" s="1"/>
  <c r="AH236" i="13"/>
  <c r="H596" i="4" s="1"/>
  <c r="AF236" i="13"/>
  <c r="AE236" i="13"/>
  <c r="AC236" i="13"/>
  <c r="AA236" i="13"/>
  <c r="Y236" i="13"/>
  <c r="X236" i="13"/>
  <c r="W236" i="13"/>
  <c r="V236" i="13"/>
  <c r="G595" i="4"/>
  <c r="AI235" i="13"/>
  <c r="F595" i="4" s="1"/>
  <c r="AH235" i="13"/>
  <c r="H595" i="4" s="1"/>
  <c r="AF235" i="13"/>
  <c r="AE235" i="13"/>
  <c r="AC235" i="13"/>
  <c r="AA235" i="13"/>
  <c r="Y235" i="13"/>
  <c r="X235" i="13"/>
  <c r="W235" i="13"/>
  <c r="V235" i="13"/>
  <c r="G594" i="4"/>
  <c r="AI234" i="13"/>
  <c r="F594" i="4" s="1"/>
  <c r="AH234" i="13"/>
  <c r="H594" i="4" s="1"/>
  <c r="AF234" i="13"/>
  <c r="AE234" i="13"/>
  <c r="AC234" i="13"/>
  <c r="AA234" i="13"/>
  <c r="Y234" i="13"/>
  <c r="X234" i="13"/>
  <c r="W234" i="13"/>
  <c r="V234" i="13"/>
  <c r="G593" i="4"/>
  <c r="AI233" i="13"/>
  <c r="F593" i="4" s="1"/>
  <c r="AH233" i="13"/>
  <c r="H593" i="4" s="1"/>
  <c r="AF233" i="13"/>
  <c r="AE233" i="13"/>
  <c r="AC233" i="13"/>
  <c r="AA233" i="13"/>
  <c r="Y233" i="13"/>
  <c r="X233" i="13"/>
  <c r="W233" i="13"/>
  <c r="V233" i="13"/>
  <c r="G592" i="4"/>
  <c r="AI232" i="13"/>
  <c r="F592" i="4" s="1"/>
  <c r="AH232" i="13"/>
  <c r="H592" i="4" s="1"/>
  <c r="AF232" i="13"/>
  <c r="AE232" i="13"/>
  <c r="AC232" i="13"/>
  <c r="AA232" i="13"/>
  <c r="Y232" i="13"/>
  <c r="X232" i="13"/>
  <c r="W232" i="13"/>
  <c r="V232" i="13"/>
  <c r="G591" i="4"/>
  <c r="AI231" i="13"/>
  <c r="F591" i="4" s="1"/>
  <c r="AH231" i="13"/>
  <c r="H591" i="4" s="1"/>
  <c r="AF231" i="13"/>
  <c r="AE231" i="13"/>
  <c r="AC231" i="13"/>
  <c r="AA231" i="13"/>
  <c r="Y231" i="13"/>
  <c r="X231" i="13"/>
  <c r="W231" i="13"/>
  <c r="V231" i="13"/>
  <c r="G590" i="4"/>
  <c r="AI230" i="13"/>
  <c r="F590" i="4" s="1"/>
  <c r="AH230" i="13"/>
  <c r="H590" i="4" s="1"/>
  <c r="AF230" i="13"/>
  <c r="AE230" i="13"/>
  <c r="AC230" i="13"/>
  <c r="AA230" i="13"/>
  <c r="Y230" i="13"/>
  <c r="X230" i="13"/>
  <c r="W230" i="13"/>
  <c r="V230" i="13"/>
  <c r="G589" i="4"/>
  <c r="AI229" i="13"/>
  <c r="F589" i="4" s="1"/>
  <c r="AH229" i="13"/>
  <c r="H589" i="4" s="1"/>
  <c r="AF229" i="13"/>
  <c r="AE229" i="13"/>
  <c r="AC229" i="13"/>
  <c r="AA229" i="13"/>
  <c r="Y229" i="13"/>
  <c r="X229" i="13"/>
  <c r="W229" i="13"/>
  <c r="V229" i="13"/>
  <c r="G588" i="4"/>
  <c r="AI228" i="13"/>
  <c r="F588" i="4" s="1"/>
  <c r="AH228" i="13"/>
  <c r="H588" i="4" s="1"/>
  <c r="AF228" i="13"/>
  <c r="AE228" i="13"/>
  <c r="AC228" i="13"/>
  <c r="AA228" i="13"/>
  <c r="Y228" i="13"/>
  <c r="X228" i="13"/>
  <c r="W228" i="13"/>
  <c r="V228" i="13"/>
  <c r="G587" i="4"/>
  <c r="AI227" i="13"/>
  <c r="F587" i="4" s="1"/>
  <c r="AH227" i="13"/>
  <c r="H587" i="4" s="1"/>
  <c r="AF227" i="13"/>
  <c r="AE227" i="13"/>
  <c r="AC227" i="13"/>
  <c r="AA227" i="13"/>
  <c r="Y227" i="13"/>
  <c r="X227" i="13"/>
  <c r="W227" i="13"/>
  <c r="V227" i="13"/>
  <c r="G586" i="4"/>
  <c r="AI226" i="13"/>
  <c r="F586" i="4" s="1"/>
  <c r="AH226" i="13"/>
  <c r="H586" i="4" s="1"/>
  <c r="AF226" i="13"/>
  <c r="AE226" i="13"/>
  <c r="AC226" i="13"/>
  <c r="AA226" i="13"/>
  <c r="Y226" i="13"/>
  <c r="X226" i="13"/>
  <c r="W226" i="13"/>
  <c r="V226" i="13"/>
  <c r="G585" i="4"/>
  <c r="AI225" i="13"/>
  <c r="F585" i="4" s="1"/>
  <c r="AH225" i="13"/>
  <c r="H585" i="4" s="1"/>
  <c r="AF225" i="13"/>
  <c r="AE225" i="13"/>
  <c r="AC225" i="13"/>
  <c r="AA225" i="13"/>
  <c r="Y225" i="13"/>
  <c r="X225" i="13"/>
  <c r="W225" i="13"/>
  <c r="V225" i="13"/>
  <c r="G584" i="4"/>
  <c r="AI224" i="13"/>
  <c r="F584" i="4" s="1"/>
  <c r="AH224" i="13"/>
  <c r="H584" i="4" s="1"/>
  <c r="AF224" i="13"/>
  <c r="AE224" i="13"/>
  <c r="AC224" i="13"/>
  <c r="AA224" i="13"/>
  <c r="Y224" i="13"/>
  <c r="X224" i="13"/>
  <c r="W224" i="13"/>
  <c r="V224" i="13"/>
  <c r="G583" i="4"/>
  <c r="AI223" i="13"/>
  <c r="F583" i="4" s="1"/>
  <c r="AH223" i="13"/>
  <c r="H583" i="4" s="1"/>
  <c r="AF223" i="13"/>
  <c r="AE223" i="13"/>
  <c r="AC223" i="13"/>
  <c r="AA223" i="13"/>
  <c r="Y223" i="13"/>
  <c r="X223" i="13"/>
  <c r="W223" i="13"/>
  <c r="V223" i="13"/>
  <c r="G582" i="4"/>
  <c r="AI222" i="13"/>
  <c r="F582" i="4" s="1"/>
  <c r="AH222" i="13"/>
  <c r="H582" i="4" s="1"/>
  <c r="AF222" i="13"/>
  <c r="AE222" i="13"/>
  <c r="AC222" i="13"/>
  <c r="AA222" i="13"/>
  <c r="Y222" i="13"/>
  <c r="X222" i="13"/>
  <c r="W222" i="13"/>
  <c r="V222" i="13"/>
  <c r="G581" i="4"/>
  <c r="AI221" i="13"/>
  <c r="F581" i="4" s="1"/>
  <c r="AH221" i="13"/>
  <c r="H581" i="4" s="1"/>
  <c r="AF221" i="13"/>
  <c r="AE221" i="13"/>
  <c r="AC221" i="13"/>
  <c r="AA221" i="13"/>
  <c r="Y221" i="13"/>
  <c r="X221" i="13"/>
  <c r="W221" i="13"/>
  <c r="V221" i="13"/>
  <c r="G580" i="4"/>
  <c r="AI220" i="13"/>
  <c r="F580" i="4" s="1"/>
  <c r="AH220" i="13"/>
  <c r="H580" i="4" s="1"/>
  <c r="AF220" i="13"/>
  <c r="AE220" i="13"/>
  <c r="AC220" i="13"/>
  <c r="AA220" i="13"/>
  <c r="Y220" i="13"/>
  <c r="X220" i="13"/>
  <c r="W220" i="13"/>
  <c r="V220" i="13"/>
  <c r="G579" i="4"/>
  <c r="AI219" i="13"/>
  <c r="F579" i="4" s="1"/>
  <c r="AH219" i="13"/>
  <c r="H579" i="4" s="1"/>
  <c r="AF219" i="13"/>
  <c r="AE219" i="13"/>
  <c r="AC219" i="13"/>
  <c r="AA219" i="13"/>
  <c r="Y219" i="13"/>
  <c r="X219" i="13"/>
  <c r="W219" i="13"/>
  <c r="V219" i="13"/>
  <c r="G578" i="4"/>
  <c r="AI218" i="13"/>
  <c r="F578" i="4" s="1"/>
  <c r="AH218" i="13"/>
  <c r="H578" i="4" s="1"/>
  <c r="AF218" i="13"/>
  <c r="AE218" i="13"/>
  <c r="AC218" i="13"/>
  <c r="AA218" i="13"/>
  <c r="Y218" i="13"/>
  <c r="X218" i="13"/>
  <c r="W218" i="13"/>
  <c r="V218" i="13"/>
  <c r="G577" i="4"/>
  <c r="AI217" i="13"/>
  <c r="F577" i="4" s="1"/>
  <c r="AH217" i="13"/>
  <c r="H577" i="4" s="1"/>
  <c r="AF217" i="13"/>
  <c r="AE217" i="13"/>
  <c r="AC217" i="13"/>
  <c r="AA217" i="13"/>
  <c r="Y217" i="13"/>
  <c r="X217" i="13"/>
  <c r="W217" i="13"/>
  <c r="V217" i="13"/>
  <c r="G576" i="4"/>
  <c r="AI216" i="13"/>
  <c r="F576" i="4" s="1"/>
  <c r="AH216" i="13"/>
  <c r="H576" i="4" s="1"/>
  <c r="AF216" i="13"/>
  <c r="AE216" i="13"/>
  <c r="AC216" i="13"/>
  <c r="AA216" i="13"/>
  <c r="Y216" i="13"/>
  <c r="X216" i="13"/>
  <c r="W216" i="13"/>
  <c r="V216" i="13"/>
  <c r="G575" i="4"/>
  <c r="AI215" i="13"/>
  <c r="F575" i="4" s="1"/>
  <c r="AH215" i="13"/>
  <c r="H575" i="4" s="1"/>
  <c r="AF215" i="13"/>
  <c r="AE215" i="13"/>
  <c r="AC215" i="13"/>
  <c r="AA215" i="13"/>
  <c r="Y215" i="13"/>
  <c r="X215" i="13"/>
  <c r="W215" i="13"/>
  <c r="V215" i="13"/>
  <c r="G574" i="4"/>
  <c r="AI214" i="13"/>
  <c r="F574" i="4" s="1"/>
  <c r="AH214" i="13"/>
  <c r="H574" i="4" s="1"/>
  <c r="AF214" i="13"/>
  <c r="AE214" i="13"/>
  <c r="AC214" i="13"/>
  <c r="AA214" i="13"/>
  <c r="Y214" i="13"/>
  <c r="X214" i="13"/>
  <c r="W214" i="13"/>
  <c r="V214" i="13"/>
  <c r="G573" i="4"/>
  <c r="AI213" i="13"/>
  <c r="F573" i="4" s="1"/>
  <c r="AH213" i="13"/>
  <c r="H573" i="4" s="1"/>
  <c r="AF213" i="13"/>
  <c r="AE213" i="13"/>
  <c r="AC213" i="13"/>
  <c r="AA213" i="13"/>
  <c r="Y213" i="13"/>
  <c r="X213" i="13"/>
  <c r="W213" i="13"/>
  <c r="V213" i="13"/>
  <c r="G572" i="4"/>
  <c r="AI212" i="13"/>
  <c r="F572" i="4" s="1"/>
  <c r="AH212" i="13"/>
  <c r="H572" i="4" s="1"/>
  <c r="AF212" i="13"/>
  <c r="AE212" i="13"/>
  <c r="AC212" i="13"/>
  <c r="AA212" i="13"/>
  <c r="Y212" i="13"/>
  <c r="X212" i="13"/>
  <c r="W212" i="13"/>
  <c r="V212" i="13"/>
  <c r="G571" i="4"/>
  <c r="AI211" i="13"/>
  <c r="F571" i="4" s="1"/>
  <c r="AH211" i="13"/>
  <c r="H571" i="4" s="1"/>
  <c r="AF211" i="13"/>
  <c r="AE211" i="13"/>
  <c r="AC211" i="13"/>
  <c r="AA211" i="13"/>
  <c r="Y211" i="13"/>
  <c r="X211" i="13"/>
  <c r="W211" i="13"/>
  <c r="V211" i="13"/>
  <c r="G570" i="4"/>
  <c r="AI210" i="13"/>
  <c r="F570" i="4" s="1"/>
  <c r="AH210" i="13"/>
  <c r="H570" i="4" s="1"/>
  <c r="AF210" i="13"/>
  <c r="AE210" i="13"/>
  <c r="AC210" i="13"/>
  <c r="AA210" i="13"/>
  <c r="Y210" i="13"/>
  <c r="X210" i="13"/>
  <c r="W210" i="13"/>
  <c r="V210" i="13"/>
  <c r="G569" i="4"/>
  <c r="AI209" i="13"/>
  <c r="F569" i="4" s="1"/>
  <c r="AH209" i="13"/>
  <c r="H569" i="4" s="1"/>
  <c r="AF209" i="13"/>
  <c r="AE209" i="13"/>
  <c r="AC209" i="13"/>
  <c r="AA209" i="13"/>
  <c r="Y209" i="13"/>
  <c r="X209" i="13"/>
  <c r="W209" i="13"/>
  <c r="V209" i="13"/>
  <c r="G568" i="4"/>
  <c r="AI208" i="13"/>
  <c r="F568" i="4" s="1"/>
  <c r="AH208" i="13"/>
  <c r="H568" i="4" s="1"/>
  <c r="AF208" i="13"/>
  <c r="AE208" i="13"/>
  <c r="AC208" i="13"/>
  <c r="AA208" i="13"/>
  <c r="Y208" i="13"/>
  <c r="X208" i="13"/>
  <c r="W208" i="13"/>
  <c r="V208" i="13"/>
  <c r="G567" i="4"/>
  <c r="AI207" i="13"/>
  <c r="F567" i="4" s="1"/>
  <c r="AH207" i="13"/>
  <c r="H567" i="4" s="1"/>
  <c r="AF207" i="13"/>
  <c r="AE207" i="13"/>
  <c r="AC207" i="13"/>
  <c r="AA207" i="13"/>
  <c r="Y207" i="13"/>
  <c r="X207" i="13"/>
  <c r="W207" i="13"/>
  <c r="V207" i="13"/>
  <c r="G566" i="4"/>
  <c r="AI206" i="13"/>
  <c r="F566" i="4" s="1"/>
  <c r="AH206" i="13"/>
  <c r="H566" i="4" s="1"/>
  <c r="AF206" i="13"/>
  <c r="AE206" i="13"/>
  <c r="AC206" i="13"/>
  <c r="AA206" i="13"/>
  <c r="Y206" i="13"/>
  <c r="X206" i="13"/>
  <c r="W206" i="13"/>
  <c r="V206" i="13"/>
  <c r="G565" i="4"/>
  <c r="AI205" i="13"/>
  <c r="F565" i="4" s="1"/>
  <c r="AH205" i="13"/>
  <c r="H565" i="4" s="1"/>
  <c r="AF205" i="13"/>
  <c r="AE205" i="13"/>
  <c r="AC205" i="13"/>
  <c r="AA205" i="13"/>
  <c r="Y205" i="13"/>
  <c r="X205" i="13"/>
  <c r="W205" i="13"/>
  <c r="V205" i="13"/>
  <c r="G564" i="4"/>
  <c r="AI204" i="13"/>
  <c r="F564" i="4" s="1"/>
  <c r="AH204" i="13"/>
  <c r="H564" i="4" s="1"/>
  <c r="AF204" i="13"/>
  <c r="AE204" i="13"/>
  <c r="AC204" i="13"/>
  <c r="AA204" i="13"/>
  <c r="Y204" i="13"/>
  <c r="X204" i="13"/>
  <c r="W204" i="13"/>
  <c r="V204" i="13"/>
  <c r="G563" i="4"/>
  <c r="AI203" i="13"/>
  <c r="F563" i="4" s="1"/>
  <c r="AH203" i="13"/>
  <c r="H563" i="4" s="1"/>
  <c r="AF203" i="13"/>
  <c r="AE203" i="13"/>
  <c r="AC203" i="13"/>
  <c r="AA203" i="13"/>
  <c r="Y203" i="13"/>
  <c r="X203" i="13"/>
  <c r="W203" i="13"/>
  <c r="V203" i="13"/>
  <c r="G562" i="4"/>
  <c r="AI202" i="13"/>
  <c r="F562" i="4" s="1"/>
  <c r="AH202" i="13"/>
  <c r="H562" i="4" s="1"/>
  <c r="AF202" i="13"/>
  <c r="AE202" i="13"/>
  <c r="AC202" i="13"/>
  <c r="AA202" i="13"/>
  <c r="Y202" i="13"/>
  <c r="X202" i="13"/>
  <c r="W202" i="13"/>
  <c r="V202" i="13"/>
  <c r="G561" i="4"/>
  <c r="AI201" i="13"/>
  <c r="F561" i="4" s="1"/>
  <c r="AH201" i="13"/>
  <c r="H561" i="4" s="1"/>
  <c r="AF201" i="13"/>
  <c r="AE201" i="13"/>
  <c r="AC201" i="13"/>
  <c r="AA201" i="13"/>
  <c r="Y201" i="13"/>
  <c r="X201" i="13"/>
  <c r="W201" i="13"/>
  <c r="V201" i="13"/>
  <c r="G560" i="4"/>
  <c r="AI200" i="13"/>
  <c r="F560" i="4" s="1"/>
  <c r="AH200" i="13"/>
  <c r="H560" i="4" s="1"/>
  <c r="AF200" i="13"/>
  <c r="AE200" i="13"/>
  <c r="AC200" i="13"/>
  <c r="AA200" i="13"/>
  <c r="Y200" i="13"/>
  <c r="X200" i="13"/>
  <c r="W200" i="13"/>
  <c r="V200" i="13"/>
  <c r="G559" i="4"/>
  <c r="AI199" i="13"/>
  <c r="F559" i="4" s="1"/>
  <c r="AH199" i="13"/>
  <c r="H559" i="4" s="1"/>
  <c r="AF199" i="13"/>
  <c r="AE199" i="13"/>
  <c r="AC199" i="13"/>
  <c r="AA199" i="13"/>
  <c r="Y199" i="13"/>
  <c r="X199" i="13"/>
  <c r="W199" i="13"/>
  <c r="V199" i="13"/>
  <c r="G558" i="4"/>
  <c r="AI198" i="13"/>
  <c r="F558" i="4" s="1"/>
  <c r="AH198" i="13"/>
  <c r="H558" i="4" s="1"/>
  <c r="AF198" i="13"/>
  <c r="AE198" i="13"/>
  <c r="AC198" i="13"/>
  <c r="AA198" i="13"/>
  <c r="Y198" i="13"/>
  <c r="X198" i="13"/>
  <c r="W198" i="13"/>
  <c r="V198" i="13"/>
  <c r="G557" i="4"/>
  <c r="AI197" i="13"/>
  <c r="F557" i="4" s="1"/>
  <c r="AH197" i="13"/>
  <c r="H557" i="4" s="1"/>
  <c r="AF197" i="13"/>
  <c r="AE197" i="13"/>
  <c r="AC197" i="13"/>
  <c r="AA197" i="13"/>
  <c r="Y197" i="13"/>
  <c r="X197" i="13"/>
  <c r="W197" i="13"/>
  <c r="V197" i="13"/>
  <c r="G556" i="4"/>
  <c r="AI196" i="13"/>
  <c r="F556" i="4" s="1"/>
  <c r="AH196" i="13"/>
  <c r="H556" i="4" s="1"/>
  <c r="AF196" i="13"/>
  <c r="AE196" i="13"/>
  <c r="AC196" i="13"/>
  <c r="AA196" i="13"/>
  <c r="Y196" i="13"/>
  <c r="X196" i="13"/>
  <c r="W196" i="13"/>
  <c r="V196" i="13"/>
  <c r="G555" i="4"/>
  <c r="AI195" i="13"/>
  <c r="F555" i="4" s="1"/>
  <c r="AH195" i="13"/>
  <c r="H555" i="4" s="1"/>
  <c r="AF195" i="13"/>
  <c r="AE195" i="13"/>
  <c r="AC195" i="13"/>
  <c r="AA195" i="13"/>
  <c r="Y195" i="13"/>
  <c r="X195" i="13"/>
  <c r="W195" i="13"/>
  <c r="V195" i="13"/>
  <c r="G554" i="4"/>
  <c r="AI194" i="13"/>
  <c r="F554" i="4" s="1"/>
  <c r="AH194" i="13"/>
  <c r="H554" i="4" s="1"/>
  <c r="AF194" i="13"/>
  <c r="AE194" i="13"/>
  <c r="AC194" i="13"/>
  <c r="AA194" i="13"/>
  <c r="Y194" i="13"/>
  <c r="X194" i="13"/>
  <c r="W194" i="13"/>
  <c r="V194" i="13"/>
  <c r="G553" i="4"/>
  <c r="AI193" i="13"/>
  <c r="F553" i="4" s="1"/>
  <c r="AH193" i="13"/>
  <c r="H553" i="4" s="1"/>
  <c r="AF193" i="13"/>
  <c r="AE193" i="13"/>
  <c r="AC193" i="13"/>
  <c r="AA193" i="13"/>
  <c r="Y193" i="13"/>
  <c r="X193" i="13"/>
  <c r="W193" i="13"/>
  <c r="V193" i="13"/>
  <c r="G552" i="4"/>
  <c r="AI192" i="13"/>
  <c r="F552" i="4" s="1"/>
  <c r="AH192" i="13"/>
  <c r="H552" i="4" s="1"/>
  <c r="AF192" i="13"/>
  <c r="AE192" i="13"/>
  <c r="AC192" i="13"/>
  <c r="AA192" i="13"/>
  <c r="Y192" i="13"/>
  <c r="X192" i="13"/>
  <c r="W192" i="13"/>
  <c r="V192" i="13"/>
  <c r="G551" i="4"/>
  <c r="AI191" i="13"/>
  <c r="F551" i="4" s="1"/>
  <c r="AH191" i="13"/>
  <c r="H551" i="4" s="1"/>
  <c r="AF191" i="13"/>
  <c r="AE191" i="13"/>
  <c r="AC191" i="13"/>
  <c r="AA191" i="13"/>
  <c r="Y191" i="13"/>
  <c r="X191" i="13"/>
  <c r="W191" i="13"/>
  <c r="V191" i="13"/>
  <c r="G550" i="4"/>
  <c r="AI190" i="13"/>
  <c r="F550" i="4" s="1"/>
  <c r="AH190" i="13"/>
  <c r="H550" i="4" s="1"/>
  <c r="AF190" i="13"/>
  <c r="AE190" i="13"/>
  <c r="AC190" i="13"/>
  <c r="AA190" i="13"/>
  <c r="Y190" i="13"/>
  <c r="X190" i="13"/>
  <c r="W190" i="13"/>
  <c r="V190" i="13"/>
  <c r="G549" i="4"/>
  <c r="AI189" i="13"/>
  <c r="F549" i="4" s="1"/>
  <c r="AH189" i="13"/>
  <c r="H549" i="4" s="1"/>
  <c r="AF189" i="13"/>
  <c r="AE189" i="13"/>
  <c r="AC189" i="13"/>
  <c r="AA189" i="13"/>
  <c r="Y189" i="13"/>
  <c r="X189" i="13"/>
  <c r="W189" i="13"/>
  <c r="V189" i="13"/>
  <c r="G548" i="4"/>
  <c r="AI188" i="13"/>
  <c r="F548" i="4" s="1"/>
  <c r="AH188" i="13"/>
  <c r="H548" i="4" s="1"/>
  <c r="AF188" i="13"/>
  <c r="AE188" i="13"/>
  <c r="AC188" i="13"/>
  <c r="AA188" i="13"/>
  <c r="Y188" i="13"/>
  <c r="X188" i="13"/>
  <c r="W188" i="13"/>
  <c r="V188" i="13"/>
  <c r="G547" i="4"/>
  <c r="AI187" i="13"/>
  <c r="F547" i="4" s="1"/>
  <c r="AH187" i="13"/>
  <c r="H547" i="4" s="1"/>
  <c r="AF187" i="13"/>
  <c r="AE187" i="13"/>
  <c r="AC187" i="13"/>
  <c r="AA187" i="13"/>
  <c r="Y187" i="13"/>
  <c r="X187" i="13"/>
  <c r="W187" i="13"/>
  <c r="V187" i="13"/>
  <c r="G546" i="4"/>
  <c r="AI186" i="13"/>
  <c r="F546" i="4" s="1"/>
  <c r="AH186" i="13"/>
  <c r="H546" i="4" s="1"/>
  <c r="AF186" i="13"/>
  <c r="AE186" i="13"/>
  <c r="AC186" i="13"/>
  <c r="AA186" i="13"/>
  <c r="Y186" i="13"/>
  <c r="X186" i="13"/>
  <c r="W186" i="13"/>
  <c r="V186" i="13"/>
  <c r="G545" i="4"/>
  <c r="AI185" i="13"/>
  <c r="F545" i="4" s="1"/>
  <c r="AH185" i="13"/>
  <c r="H545" i="4" s="1"/>
  <c r="AF185" i="13"/>
  <c r="AE185" i="13"/>
  <c r="AC185" i="13"/>
  <c r="AA185" i="13"/>
  <c r="Y185" i="13"/>
  <c r="X185" i="13"/>
  <c r="W185" i="13"/>
  <c r="V185" i="13"/>
  <c r="G544" i="4"/>
  <c r="AI184" i="13"/>
  <c r="F544" i="4" s="1"/>
  <c r="AH184" i="13"/>
  <c r="H544" i="4" s="1"/>
  <c r="AF184" i="13"/>
  <c r="AE184" i="13"/>
  <c r="AC184" i="13"/>
  <c r="AA184" i="13"/>
  <c r="Y184" i="13"/>
  <c r="X184" i="13"/>
  <c r="W184" i="13"/>
  <c r="V184" i="13"/>
  <c r="G543" i="4"/>
  <c r="AI183" i="13"/>
  <c r="F543" i="4" s="1"/>
  <c r="AH183" i="13"/>
  <c r="H543" i="4" s="1"/>
  <c r="AF183" i="13"/>
  <c r="AE183" i="13"/>
  <c r="AC183" i="13"/>
  <c r="AA183" i="13"/>
  <c r="Y183" i="13"/>
  <c r="X183" i="13"/>
  <c r="W183" i="13"/>
  <c r="V183" i="13"/>
  <c r="G542" i="4"/>
  <c r="AI182" i="13"/>
  <c r="F542" i="4" s="1"/>
  <c r="AH182" i="13"/>
  <c r="H542" i="4" s="1"/>
  <c r="AF182" i="13"/>
  <c r="AE182" i="13"/>
  <c r="AC182" i="13"/>
  <c r="AA182" i="13"/>
  <c r="Y182" i="13"/>
  <c r="X182" i="13"/>
  <c r="W182" i="13"/>
  <c r="V182" i="13"/>
  <c r="G541" i="4"/>
  <c r="AI181" i="13"/>
  <c r="F541" i="4" s="1"/>
  <c r="AH181" i="13"/>
  <c r="H541" i="4" s="1"/>
  <c r="AF181" i="13"/>
  <c r="AE181" i="13"/>
  <c r="AC181" i="13"/>
  <c r="AA181" i="13"/>
  <c r="Y181" i="13"/>
  <c r="X181" i="13"/>
  <c r="W181" i="13"/>
  <c r="V181" i="13"/>
  <c r="G540" i="4"/>
  <c r="AI180" i="13"/>
  <c r="F540" i="4" s="1"/>
  <c r="AH180" i="13"/>
  <c r="H540" i="4" s="1"/>
  <c r="AF180" i="13"/>
  <c r="AE180" i="13"/>
  <c r="AC180" i="13"/>
  <c r="AA180" i="13"/>
  <c r="Y180" i="13"/>
  <c r="X180" i="13"/>
  <c r="W180" i="13"/>
  <c r="V180" i="13"/>
  <c r="G539" i="4"/>
  <c r="AI179" i="13"/>
  <c r="F539" i="4" s="1"/>
  <c r="AH179" i="13"/>
  <c r="H539" i="4" s="1"/>
  <c r="AF179" i="13"/>
  <c r="AE179" i="13"/>
  <c r="AC179" i="13"/>
  <c r="AA179" i="13"/>
  <c r="Y179" i="13"/>
  <c r="X179" i="13"/>
  <c r="W179" i="13"/>
  <c r="V179" i="13"/>
  <c r="G538" i="4"/>
  <c r="AI178" i="13"/>
  <c r="F538" i="4" s="1"/>
  <c r="AH178" i="13"/>
  <c r="H538" i="4" s="1"/>
  <c r="AF178" i="13"/>
  <c r="AE178" i="13"/>
  <c r="AC178" i="13"/>
  <c r="AA178" i="13"/>
  <c r="Y178" i="13"/>
  <c r="X178" i="13"/>
  <c r="W178" i="13"/>
  <c r="V178" i="13"/>
  <c r="G537" i="4"/>
  <c r="AI177" i="13"/>
  <c r="F537" i="4" s="1"/>
  <c r="AH177" i="13"/>
  <c r="H537" i="4" s="1"/>
  <c r="AF177" i="13"/>
  <c r="AE177" i="13"/>
  <c r="AC177" i="13"/>
  <c r="AA177" i="13"/>
  <c r="Y177" i="13"/>
  <c r="X177" i="13"/>
  <c r="W177" i="13"/>
  <c r="V177" i="13"/>
  <c r="G536" i="4"/>
  <c r="AI176" i="13"/>
  <c r="F536" i="4" s="1"/>
  <c r="AH176" i="13"/>
  <c r="H536" i="4" s="1"/>
  <c r="AF176" i="13"/>
  <c r="AE176" i="13"/>
  <c r="AC176" i="13"/>
  <c r="AA176" i="13"/>
  <c r="Y176" i="13"/>
  <c r="X176" i="13"/>
  <c r="W176" i="13"/>
  <c r="V176" i="13"/>
  <c r="G535" i="4"/>
  <c r="AI175" i="13"/>
  <c r="F535" i="4" s="1"/>
  <c r="AH175" i="13"/>
  <c r="H535" i="4" s="1"/>
  <c r="AF175" i="13"/>
  <c r="AE175" i="13"/>
  <c r="AC175" i="13"/>
  <c r="AA175" i="13"/>
  <c r="Y175" i="13"/>
  <c r="X175" i="13"/>
  <c r="W175" i="13"/>
  <c r="V175" i="13"/>
  <c r="G534" i="4"/>
  <c r="AI174" i="13"/>
  <c r="F534" i="4" s="1"/>
  <c r="AH174" i="13"/>
  <c r="H534" i="4" s="1"/>
  <c r="AF174" i="13"/>
  <c r="AE174" i="13"/>
  <c r="AC174" i="13"/>
  <c r="AA174" i="13"/>
  <c r="Y174" i="13"/>
  <c r="X174" i="13"/>
  <c r="W174" i="13"/>
  <c r="V174" i="13"/>
  <c r="G533" i="4"/>
  <c r="AI173" i="13"/>
  <c r="F533" i="4" s="1"/>
  <c r="AH173" i="13"/>
  <c r="H533" i="4" s="1"/>
  <c r="AF173" i="13"/>
  <c r="AE173" i="13"/>
  <c r="AC173" i="13"/>
  <c r="AA173" i="13"/>
  <c r="Y173" i="13"/>
  <c r="X173" i="13"/>
  <c r="W173" i="13"/>
  <c r="V173" i="13"/>
  <c r="G532" i="4"/>
  <c r="AI172" i="13"/>
  <c r="F532" i="4" s="1"/>
  <c r="AH172" i="13"/>
  <c r="H532" i="4" s="1"/>
  <c r="AF172" i="13"/>
  <c r="AE172" i="13"/>
  <c r="AC172" i="13"/>
  <c r="AA172" i="13"/>
  <c r="Y172" i="13"/>
  <c r="X172" i="13"/>
  <c r="W172" i="13"/>
  <c r="V172" i="13"/>
  <c r="G531" i="4"/>
  <c r="AI171" i="13"/>
  <c r="F531" i="4" s="1"/>
  <c r="AH171" i="13"/>
  <c r="H531" i="4" s="1"/>
  <c r="AF171" i="13"/>
  <c r="AE171" i="13"/>
  <c r="AC171" i="13"/>
  <c r="AA171" i="13"/>
  <c r="Y171" i="13"/>
  <c r="X171" i="13"/>
  <c r="W171" i="13"/>
  <c r="V171" i="13"/>
  <c r="G530" i="4"/>
  <c r="AI170" i="13"/>
  <c r="F530" i="4" s="1"/>
  <c r="AH170" i="13"/>
  <c r="H530" i="4" s="1"/>
  <c r="AF170" i="13"/>
  <c r="AE170" i="13"/>
  <c r="AC170" i="13"/>
  <c r="AA170" i="13"/>
  <c r="Y170" i="13"/>
  <c r="X170" i="13"/>
  <c r="W170" i="13"/>
  <c r="V170" i="13"/>
  <c r="G529" i="4"/>
  <c r="AI169" i="13"/>
  <c r="F529" i="4" s="1"/>
  <c r="AH169" i="13"/>
  <c r="H529" i="4" s="1"/>
  <c r="AF169" i="13"/>
  <c r="AE169" i="13"/>
  <c r="AC169" i="13"/>
  <c r="AA169" i="13"/>
  <c r="Y169" i="13"/>
  <c r="X169" i="13"/>
  <c r="W169" i="13"/>
  <c r="V169" i="13"/>
  <c r="G528" i="4"/>
  <c r="AI168" i="13"/>
  <c r="F528" i="4" s="1"/>
  <c r="AH168" i="13"/>
  <c r="H528" i="4" s="1"/>
  <c r="AF168" i="13"/>
  <c r="AE168" i="13"/>
  <c r="AC168" i="13"/>
  <c r="AA168" i="13"/>
  <c r="Y168" i="13"/>
  <c r="X168" i="13"/>
  <c r="W168" i="13"/>
  <c r="V168" i="13"/>
  <c r="G527" i="4"/>
  <c r="AI167" i="13"/>
  <c r="F527" i="4" s="1"/>
  <c r="AH167" i="13"/>
  <c r="H527" i="4" s="1"/>
  <c r="AF167" i="13"/>
  <c r="AE167" i="13"/>
  <c r="AC167" i="13"/>
  <c r="AA167" i="13"/>
  <c r="Y167" i="13"/>
  <c r="X167" i="13"/>
  <c r="W167" i="13"/>
  <c r="V167" i="13"/>
  <c r="G526" i="4"/>
  <c r="AI166" i="13"/>
  <c r="F526" i="4" s="1"/>
  <c r="AH166" i="13"/>
  <c r="H526" i="4" s="1"/>
  <c r="AF166" i="13"/>
  <c r="AE166" i="13"/>
  <c r="AC166" i="13"/>
  <c r="AA166" i="13"/>
  <c r="Y166" i="13"/>
  <c r="X166" i="13"/>
  <c r="W166" i="13"/>
  <c r="V166" i="13"/>
  <c r="G525" i="4"/>
  <c r="AI165" i="13"/>
  <c r="F525" i="4" s="1"/>
  <c r="AH165" i="13"/>
  <c r="H525" i="4" s="1"/>
  <c r="AF165" i="13"/>
  <c r="AE165" i="13"/>
  <c r="AC165" i="13"/>
  <c r="AA165" i="13"/>
  <c r="Y165" i="13"/>
  <c r="X165" i="13"/>
  <c r="W165" i="13"/>
  <c r="V165" i="13"/>
  <c r="G524" i="4"/>
  <c r="AI164" i="13"/>
  <c r="F524" i="4" s="1"/>
  <c r="AH164" i="13"/>
  <c r="H524" i="4" s="1"/>
  <c r="AF164" i="13"/>
  <c r="AE164" i="13"/>
  <c r="AC164" i="13"/>
  <c r="AA164" i="13"/>
  <c r="Y164" i="13"/>
  <c r="X164" i="13"/>
  <c r="W164" i="13"/>
  <c r="V164" i="13"/>
  <c r="G523" i="4"/>
  <c r="AI163" i="13"/>
  <c r="F523" i="4" s="1"/>
  <c r="AH163" i="13"/>
  <c r="H523" i="4" s="1"/>
  <c r="AF163" i="13"/>
  <c r="AE163" i="13"/>
  <c r="AC163" i="13"/>
  <c r="AA163" i="13"/>
  <c r="Y163" i="13"/>
  <c r="X163" i="13"/>
  <c r="W163" i="13"/>
  <c r="V163" i="13"/>
  <c r="G522" i="4"/>
  <c r="AI162" i="13"/>
  <c r="F522" i="4" s="1"/>
  <c r="AH162" i="13"/>
  <c r="H522" i="4" s="1"/>
  <c r="AF162" i="13"/>
  <c r="AE162" i="13"/>
  <c r="AC162" i="13"/>
  <c r="AA162" i="13"/>
  <c r="Y162" i="13"/>
  <c r="X162" i="13"/>
  <c r="W162" i="13"/>
  <c r="V162" i="13"/>
  <c r="G521" i="4"/>
  <c r="AI161" i="13"/>
  <c r="F521" i="4" s="1"/>
  <c r="AH161" i="13"/>
  <c r="H521" i="4" s="1"/>
  <c r="AF161" i="13"/>
  <c r="AE161" i="13"/>
  <c r="AC161" i="13"/>
  <c r="AA161" i="13"/>
  <c r="Y161" i="13"/>
  <c r="X161" i="13"/>
  <c r="W161" i="13"/>
  <c r="V161" i="13"/>
  <c r="G520" i="4"/>
  <c r="AI160" i="13"/>
  <c r="F520" i="4" s="1"/>
  <c r="AH160" i="13"/>
  <c r="H520" i="4" s="1"/>
  <c r="AF160" i="13"/>
  <c r="AE160" i="13"/>
  <c r="AC160" i="13"/>
  <c r="AA160" i="13"/>
  <c r="Y160" i="13"/>
  <c r="X160" i="13"/>
  <c r="W160" i="13"/>
  <c r="V160" i="13"/>
  <c r="G519" i="4"/>
  <c r="AI159" i="13"/>
  <c r="F519" i="4" s="1"/>
  <c r="AH159" i="13"/>
  <c r="H519" i="4" s="1"/>
  <c r="AF159" i="13"/>
  <c r="AE159" i="13"/>
  <c r="AC159" i="13"/>
  <c r="AA159" i="13"/>
  <c r="Y159" i="13"/>
  <c r="X159" i="13"/>
  <c r="W159" i="13"/>
  <c r="V159" i="13"/>
  <c r="G518" i="4"/>
  <c r="AI158" i="13"/>
  <c r="F518" i="4" s="1"/>
  <c r="AH158" i="13"/>
  <c r="H518" i="4" s="1"/>
  <c r="AF158" i="13"/>
  <c r="AE158" i="13"/>
  <c r="AC158" i="13"/>
  <c r="AA158" i="13"/>
  <c r="Y158" i="13"/>
  <c r="X158" i="13"/>
  <c r="W158" i="13"/>
  <c r="V158" i="13"/>
  <c r="G517" i="4"/>
  <c r="AI157" i="13"/>
  <c r="F517" i="4" s="1"/>
  <c r="AH157" i="13"/>
  <c r="H517" i="4" s="1"/>
  <c r="AF157" i="13"/>
  <c r="AE157" i="13"/>
  <c r="AC157" i="13"/>
  <c r="AA157" i="13"/>
  <c r="Y157" i="13"/>
  <c r="X157" i="13"/>
  <c r="W157" i="13"/>
  <c r="V157" i="13"/>
  <c r="G516" i="4"/>
  <c r="AI156" i="13"/>
  <c r="F516" i="4" s="1"/>
  <c r="AH156" i="13"/>
  <c r="H516" i="4" s="1"/>
  <c r="AF156" i="13"/>
  <c r="AE156" i="13"/>
  <c r="AC156" i="13"/>
  <c r="AA156" i="13"/>
  <c r="Y156" i="13"/>
  <c r="X156" i="13"/>
  <c r="W156" i="13"/>
  <c r="V156" i="13"/>
  <c r="G515" i="4"/>
  <c r="AI155" i="13"/>
  <c r="F515" i="4" s="1"/>
  <c r="AH155" i="13"/>
  <c r="H515" i="4" s="1"/>
  <c r="AF155" i="13"/>
  <c r="AE155" i="13"/>
  <c r="AC155" i="13"/>
  <c r="AA155" i="13"/>
  <c r="Y155" i="13"/>
  <c r="X155" i="13"/>
  <c r="W155" i="13"/>
  <c r="V155" i="13"/>
  <c r="G514" i="4"/>
  <c r="AI154" i="13"/>
  <c r="F514" i="4" s="1"/>
  <c r="AH154" i="13"/>
  <c r="H514" i="4" s="1"/>
  <c r="AF154" i="13"/>
  <c r="AE154" i="13"/>
  <c r="AC154" i="13"/>
  <c r="AA154" i="13"/>
  <c r="Y154" i="13"/>
  <c r="X154" i="13"/>
  <c r="W154" i="13"/>
  <c r="V154" i="13"/>
  <c r="G513" i="4"/>
  <c r="AI153" i="13"/>
  <c r="F513" i="4" s="1"/>
  <c r="AH153" i="13"/>
  <c r="H513" i="4" s="1"/>
  <c r="AF153" i="13"/>
  <c r="AE153" i="13"/>
  <c r="AC153" i="13"/>
  <c r="AA153" i="13"/>
  <c r="Y153" i="13"/>
  <c r="X153" i="13"/>
  <c r="W153" i="13"/>
  <c r="V153" i="13"/>
  <c r="G512" i="4"/>
  <c r="AI152" i="13"/>
  <c r="F512" i="4" s="1"/>
  <c r="AH152" i="13"/>
  <c r="H512" i="4" s="1"/>
  <c r="AF152" i="13"/>
  <c r="AE152" i="13"/>
  <c r="AC152" i="13"/>
  <c r="AA152" i="13"/>
  <c r="Y152" i="13"/>
  <c r="X152" i="13"/>
  <c r="W152" i="13"/>
  <c r="V152" i="13"/>
  <c r="G511" i="4"/>
  <c r="AI151" i="13"/>
  <c r="F511" i="4" s="1"/>
  <c r="AH151" i="13"/>
  <c r="H511" i="4" s="1"/>
  <c r="AF151" i="13"/>
  <c r="AE151" i="13"/>
  <c r="AC151" i="13"/>
  <c r="AA151" i="13"/>
  <c r="Y151" i="13"/>
  <c r="X151" i="13"/>
  <c r="W151" i="13"/>
  <c r="V151" i="13"/>
  <c r="G510" i="4"/>
  <c r="AI150" i="13"/>
  <c r="F510" i="4" s="1"/>
  <c r="AH150" i="13"/>
  <c r="H510" i="4" s="1"/>
  <c r="AF150" i="13"/>
  <c r="AE150" i="13"/>
  <c r="AC150" i="13"/>
  <c r="AA150" i="13"/>
  <c r="Y150" i="13"/>
  <c r="X150" i="13"/>
  <c r="W150" i="13"/>
  <c r="V150" i="13"/>
  <c r="G509" i="4"/>
  <c r="AI149" i="13"/>
  <c r="F509" i="4" s="1"/>
  <c r="AH149" i="13"/>
  <c r="H509" i="4" s="1"/>
  <c r="AF149" i="13"/>
  <c r="AE149" i="13"/>
  <c r="AC149" i="13"/>
  <c r="AA149" i="13"/>
  <c r="Y149" i="13"/>
  <c r="X149" i="13"/>
  <c r="W149" i="13"/>
  <c r="V149" i="13"/>
  <c r="G508" i="4"/>
  <c r="AI148" i="13"/>
  <c r="F508" i="4" s="1"/>
  <c r="AH148" i="13"/>
  <c r="H508" i="4" s="1"/>
  <c r="AF148" i="13"/>
  <c r="AE148" i="13"/>
  <c r="AC148" i="13"/>
  <c r="AA148" i="13"/>
  <c r="Y148" i="13"/>
  <c r="X148" i="13"/>
  <c r="W148" i="13"/>
  <c r="V148" i="13"/>
  <c r="G507" i="4"/>
  <c r="AI147" i="13"/>
  <c r="F507" i="4" s="1"/>
  <c r="AH147" i="13"/>
  <c r="H507" i="4" s="1"/>
  <c r="AF147" i="13"/>
  <c r="AE147" i="13"/>
  <c r="AC147" i="13"/>
  <c r="AA147" i="13"/>
  <c r="Y147" i="13"/>
  <c r="X147" i="13"/>
  <c r="W147" i="13"/>
  <c r="V147" i="13"/>
  <c r="G506" i="4"/>
  <c r="AI146" i="13"/>
  <c r="F506" i="4" s="1"/>
  <c r="AH146" i="13"/>
  <c r="H506" i="4" s="1"/>
  <c r="AF146" i="13"/>
  <c r="AE146" i="13"/>
  <c r="AC146" i="13"/>
  <c r="AA146" i="13"/>
  <c r="Y146" i="13"/>
  <c r="X146" i="13"/>
  <c r="W146" i="13"/>
  <c r="V146" i="13"/>
  <c r="G505" i="4"/>
  <c r="AI145" i="13"/>
  <c r="F505" i="4" s="1"/>
  <c r="AH145" i="13"/>
  <c r="H505" i="4" s="1"/>
  <c r="AF145" i="13"/>
  <c r="AE145" i="13"/>
  <c r="AC145" i="13"/>
  <c r="AA145" i="13"/>
  <c r="Y145" i="13"/>
  <c r="X145" i="13"/>
  <c r="W145" i="13"/>
  <c r="V145" i="13"/>
  <c r="G504" i="4"/>
  <c r="AI144" i="13"/>
  <c r="F504" i="4" s="1"/>
  <c r="AH144" i="13"/>
  <c r="H504" i="4" s="1"/>
  <c r="AF144" i="13"/>
  <c r="AE144" i="13"/>
  <c r="AC144" i="13"/>
  <c r="AA144" i="13"/>
  <c r="Y144" i="13"/>
  <c r="X144" i="13"/>
  <c r="W144" i="13"/>
  <c r="V144" i="13"/>
  <c r="G503" i="4"/>
  <c r="AI143" i="13"/>
  <c r="F503" i="4" s="1"/>
  <c r="AH143" i="13"/>
  <c r="H503" i="4" s="1"/>
  <c r="AF143" i="13"/>
  <c r="AE143" i="13"/>
  <c r="AC143" i="13"/>
  <c r="AA143" i="13"/>
  <c r="Y143" i="13"/>
  <c r="X143" i="13"/>
  <c r="W143" i="13"/>
  <c r="V143" i="13"/>
  <c r="G502" i="4"/>
  <c r="AI142" i="13"/>
  <c r="F502" i="4" s="1"/>
  <c r="AH142" i="13"/>
  <c r="H502" i="4" s="1"/>
  <c r="AF142" i="13"/>
  <c r="AE142" i="13"/>
  <c r="AC142" i="13"/>
  <c r="AA142" i="13"/>
  <c r="Y142" i="13"/>
  <c r="X142" i="13"/>
  <c r="W142" i="13"/>
  <c r="V142" i="13"/>
  <c r="G501" i="4"/>
  <c r="AI141" i="13"/>
  <c r="F501" i="4" s="1"/>
  <c r="AH141" i="13"/>
  <c r="H501" i="4" s="1"/>
  <c r="AF141" i="13"/>
  <c r="AE141" i="13"/>
  <c r="AC141" i="13"/>
  <c r="AA141" i="13"/>
  <c r="Y141" i="13"/>
  <c r="X141" i="13"/>
  <c r="W141" i="13"/>
  <c r="V141" i="13"/>
  <c r="G500" i="4"/>
  <c r="AI140" i="13"/>
  <c r="F500" i="4" s="1"/>
  <c r="AH140" i="13"/>
  <c r="H500" i="4" s="1"/>
  <c r="AF140" i="13"/>
  <c r="AE140" i="13"/>
  <c r="AC140" i="13"/>
  <c r="AA140" i="13"/>
  <c r="Y140" i="13"/>
  <c r="X140" i="13"/>
  <c r="W140" i="13"/>
  <c r="V140" i="13"/>
  <c r="G499" i="4"/>
  <c r="AI139" i="13"/>
  <c r="F499" i="4" s="1"/>
  <c r="AH139" i="13"/>
  <c r="H499" i="4" s="1"/>
  <c r="AF139" i="13"/>
  <c r="AE139" i="13"/>
  <c r="AC139" i="13"/>
  <c r="AA139" i="13"/>
  <c r="Y139" i="13"/>
  <c r="X139" i="13"/>
  <c r="W139" i="13"/>
  <c r="V139" i="13"/>
  <c r="G498" i="4"/>
  <c r="AI138" i="13"/>
  <c r="F498" i="4" s="1"/>
  <c r="AH138" i="13"/>
  <c r="H498" i="4" s="1"/>
  <c r="AF138" i="13"/>
  <c r="AE138" i="13"/>
  <c r="AC138" i="13"/>
  <c r="AA138" i="13"/>
  <c r="Y138" i="13"/>
  <c r="X138" i="13"/>
  <c r="W138" i="13"/>
  <c r="V138" i="13"/>
  <c r="G497" i="4"/>
  <c r="AI137" i="13"/>
  <c r="F497" i="4" s="1"/>
  <c r="AH137" i="13"/>
  <c r="H497" i="4" s="1"/>
  <c r="AF137" i="13"/>
  <c r="AE137" i="13"/>
  <c r="AC137" i="13"/>
  <c r="AA137" i="13"/>
  <c r="Y137" i="13"/>
  <c r="X137" i="13"/>
  <c r="W137" i="13"/>
  <c r="V137" i="13"/>
  <c r="G496" i="4"/>
  <c r="AI136" i="13"/>
  <c r="F496" i="4" s="1"/>
  <c r="AH136" i="13"/>
  <c r="H496" i="4" s="1"/>
  <c r="AF136" i="13"/>
  <c r="AE136" i="13"/>
  <c r="AC136" i="13"/>
  <c r="AA136" i="13"/>
  <c r="Y136" i="13"/>
  <c r="X136" i="13"/>
  <c r="W136" i="13"/>
  <c r="V136" i="13"/>
  <c r="U136" i="13"/>
  <c r="U148" i="13" s="1"/>
  <c r="U160" i="13" s="1"/>
  <c r="U172" i="13" s="1"/>
  <c r="U184" i="13" s="1"/>
  <c r="U196" i="13" s="1"/>
  <c r="U208" i="13" s="1"/>
  <c r="U220" i="13" s="1"/>
  <c r="U232" i="13" s="1"/>
  <c r="U244" i="13" s="1"/>
  <c r="U256" i="13" s="1"/>
  <c r="U268" i="13" s="1"/>
  <c r="U280" i="13" s="1"/>
  <c r="U292" i="13" s="1"/>
  <c r="U304" i="13" s="1"/>
  <c r="U316" i="13" s="1"/>
  <c r="U328" i="13" s="1"/>
  <c r="U340" i="13" s="1"/>
  <c r="U352" i="13" s="1"/>
  <c r="U364" i="13" s="1"/>
  <c r="G495" i="4"/>
  <c r="AI135" i="13"/>
  <c r="F495" i="4" s="1"/>
  <c r="AH135" i="13"/>
  <c r="H495" i="4" s="1"/>
  <c r="AF135" i="13"/>
  <c r="AE135" i="13"/>
  <c r="AC135" i="13"/>
  <c r="AA135" i="13"/>
  <c r="Y135" i="13"/>
  <c r="X135" i="13"/>
  <c r="W135" i="13"/>
  <c r="V135" i="13"/>
  <c r="U135" i="13"/>
  <c r="U147" i="13" s="1"/>
  <c r="U159" i="13" s="1"/>
  <c r="U171" i="13" s="1"/>
  <c r="U183" i="13" s="1"/>
  <c r="U195" i="13" s="1"/>
  <c r="U207" i="13" s="1"/>
  <c r="U219" i="13" s="1"/>
  <c r="U231" i="13" s="1"/>
  <c r="U243" i="13" s="1"/>
  <c r="U255" i="13" s="1"/>
  <c r="U267" i="13" s="1"/>
  <c r="U279" i="13" s="1"/>
  <c r="U291" i="13" s="1"/>
  <c r="U303" i="13" s="1"/>
  <c r="U315" i="13" s="1"/>
  <c r="U327" i="13" s="1"/>
  <c r="U339" i="13" s="1"/>
  <c r="U351" i="13" s="1"/>
  <c r="U363" i="13" s="1"/>
  <c r="G494" i="4"/>
  <c r="AI134" i="13"/>
  <c r="F494" i="4" s="1"/>
  <c r="AH134" i="13"/>
  <c r="H494" i="4" s="1"/>
  <c r="AF134" i="13"/>
  <c r="AE134" i="13"/>
  <c r="AC134" i="13"/>
  <c r="AA134" i="13"/>
  <c r="Y134" i="13"/>
  <c r="X134" i="13"/>
  <c r="W134" i="13"/>
  <c r="V134" i="13"/>
  <c r="U134" i="13"/>
  <c r="U146" i="13" s="1"/>
  <c r="U158" i="13" s="1"/>
  <c r="U170" i="13" s="1"/>
  <c r="U182" i="13" s="1"/>
  <c r="U194" i="13" s="1"/>
  <c r="U206" i="13" s="1"/>
  <c r="U218" i="13" s="1"/>
  <c r="U230" i="13" s="1"/>
  <c r="U242" i="13" s="1"/>
  <c r="U254" i="13" s="1"/>
  <c r="U266" i="13" s="1"/>
  <c r="U278" i="13" s="1"/>
  <c r="U290" i="13" s="1"/>
  <c r="U302" i="13" s="1"/>
  <c r="U314" i="13" s="1"/>
  <c r="U326" i="13" s="1"/>
  <c r="U338" i="13" s="1"/>
  <c r="U350" i="13" s="1"/>
  <c r="U362" i="13" s="1"/>
  <c r="G493" i="4"/>
  <c r="AI133" i="13"/>
  <c r="F493" i="4" s="1"/>
  <c r="AH133" i="13"/>
  <c r="H493" i="4" s="1"/>
  <c r="AF133" i="13"/>
  <c r="AE133" i="13"/>
  <c r="AC133" i="13"/>
  <c r="AA133" i="13"/>
  <c r="Y133" i="13"/>
  <c r="V133" i="13"/>
  <c r="U133" i="13"/>
  <c r="U145" i="13" s="1"/>
  <c r="U157" i="13" s="1"/>
  <c r="U169" i="13" s="1"/>
  <c r="U181" i="13" s="1"/>
  <c r="U193" i="13" s="1"/>
  <c r="U205" i="13" s="1"/>
  <c r="U217" i="13" s="1"/>
  <c r="U229" i="13" s="1"/>
  <c r="U241" i="13" s="1"/>
  <c r="U253" i="13" s="1"/>
  <c r="U265" i="13" s="1"/>
  <c r="U277" i="13" s="1"/>
  <c r="U289" i="13" s="1"/>
  <c r="U301" i="13" s="1"/>
  <c r="U313" i="13" s="1"/>
  <c r="U325" i="13" s="1"/>
  <c r="U337" i="13" s="1"/>
  <c r="U349" i="13" s="1"/>
  <c r="U361" i="13" s="1"/>
  <c r="U132" i="13"/>
  <c r="U144" i="13" s="1"/>
  <c r="U156" i="13" s="1"/>
  <c r="U168" i="13" s="1"/>
  <c r="U180" i="13" s="1"/>
  <c r="U192" i="13" s="1"/>
  <c r="U204" i="13" s="1"/>
  <c r="U216" i="13" s="1"/>
  <c r="U228" i="13" s="1"/>
  <c r="U240" i="13" s="1"/>
  <c r="U252" i="13" s="1"/>
  <c r="U264" i="13" s="1"/>
  <c r="U276" i="13" s="1"/>
  <c r="U288" i="13" s="1"/>
  <c r="U300" i="13" s="1"/>
  <c r="U312" i="13" s="1"/>
  <c r="U324" i="13" s="1"/>
  <c r="U336" i="13" s="1"/>
  <c r="U348" i="13" s="1"/>
  <c r="U360" i="13" s="1"/>
  <c r="U131" i="13"/>
  <c r="U143" i="13" s="1"/>
  <c r="U155" i="13" s="1"/>
  <c r="U167" i="13" s="1"/>
  <c r="U179" i="13" s="1"/>
  <c r="U191" i="13" s="1"/>
  <c r="U203" i="13" s="1"/>
  <c r="U215" i="13" s="1"/>
  <c r="U227" i="13" s="1"/>
  <c r="U239" i="13" s="1"/>
  <c r="U251" i="13" s="1"/>
  <c r="U263" i="13" s="1"/>
  <c r="U275" i="13" s="1"/>
  <c r="U287" i="13" s="1"/>
  <c r="U299" i="13" s="1"/>
  <c r="U311" i="13" s="1"/>
  <c r="U323" i="13" s="1"/>
  <c r="U335" i="13" s="1"/>
  <c r="U347" i="13" s="1"/>
  <c r="U359" i="13" s="1"/>
  <c r="U130" i="13"/>
  <c r="U142" i="13" s="1"/>
  <c r="U154" i="13" s="1"/>
  <c r="U166" i="13" s="1"/>
  <c r="U178" i="13" s="1"/>
  <c r="U190" i="13" s="1"/>
  <c r="U202" i="13" s="1"/>
  <c r="U214" i="13" s="1"/>
  <c r="U226" i="13" s="1"/>
  <c r="U238" i="13" s="1"/>
  <c r="U250" i="13" s="1"/>
  <c r="U262" i="13" s="1"/>
  <c r="U274" i="13" s="1"/>
  <c r="U286" i="13" s="1"/>
  <c r="U298" i="13" s="1"/>
  <c r="U310" i="13" s="1"/>
  <c r="U322" i="13" s="1"/>
  <c r="U334" i="13" s="1"/>
  <c r="U346" i="13" s="1"/>
  <c r="U358" i="13" s="1"/>
  <c r="U129" i="13"/>
  <c r="U141" i="13" s="1"/>
  <c r="U153" i="13" s="1"/>
  <c r="U165" i="13" s="1"/>
  <c r="U177" i="13" s="1"/>
  <c r="U189" i="13" s="1"/>
  <c r="U201" i="13" s="1"/>
  <c r="U213" i="13" s="1"/>
  <c r="U225" i="13" s="1"/>
  <c r="U237" i="13" s="1"/>
  <c r="U249" i="13" s="1"/>
  <c r="U261" i="13" s="1"/>
  <c r="U273" i="13" s="1"/>
  <c r="U285" i="13" s="1"/>
  <c r="U297" i="13" s="1"/>
  <c r="U309" i="13" s="1"/>
  <c r="U321" i="13" s="1"/>
  <c r="U333" i="13" s="1"/>
  <c r="U345" i="13" s="1"/>
  <c r="U357" i="13" s="1"/>
  <c r="U128" i="13"/>
  <c r="U140" i="13" s="1"/>
  <c r="U152" i="13" s="1"/>
  <c r="U164" i="13" s="1"/>
  <c r="U176" i="13" s="1"/>
  <c r="U188" i="13" s="1"/>
  <c r="U200" i="13" s="1"/>
  <c r="U212" i="13" s="1"/>
  <c r="U224" i="13" s="1"/>
  <c r="U236" i="13" s="1"/>
  <c r="U248" i="13" s="1"/>
  <c r="U260" i="13" s="1"/>
  <c r="U272" i="13" s="1"/>
  <c r="U284" i="13" s="1"/>
  <c r="U296" i="13" s="1"/>
  <c r="U308" i="13" s="1"/>
  <c r="U320" i="13" s="1"/>
  <c r="U332" i="13" s="1"/>
  <c r="U344" i="13" s="1"/>
  <c r="U356" i="13" s="1"/>
  <c r="U127" i="13"/>
  <c r="U139" i="13" s="1"/>
  <c r="U151" i="13" s="1"/>
  <c r="U163" i="13" s="1"/>
  <c r="U175" i="13" s="1"/>
  <c r="U187" i="13" s="1"/>
  <c r="U199" i="13" s="1"/>
  <c r="U211" i="13" s="1"/>
  <c r="U223" i="13" s="1"/>
  <c r="U235" i="13" s="1"/>
  <c r="U247" i="13" s="1"/>
  <c r="U259" i="13" s="1"/>
  <c r="U271" i="13" s="1"/>
  <c r="U283" i="13" s="1"/>
  <c r="U295" i="13" s="1"/>
  <c r="U307" i="13" s="1"/>
  <c r="U319" i="13" s="1"/>
  <c r="U331" i="13" s="1"/>
  <c r="U343" i="13" s="1"/>
  <c r="U355" i="13" s="1"/>
  <c r="U126" i="13"/>
  <c r="U138" i="13" s="1"/>
  <c r="U150" i="13" s="1"/>
  <c r="U162" i="13" s="1"/>
  <c r="U174" i="13" s="1"/>
  <c r="U186" i="13" s="1"/>
  <c r="U198" i="13" s="1"/>
  <c r="U210" i="13" s="1"/>
  <c r="U222" i="13" s="1"/>
  <c r="U234" i="13" s="1"/>
  <c r="U246" i="13" s="1"/>
  <c r="U258" i="13" s="1"/>
  <c r="U270" i="13" s="1"/>
  <c r="U282" i="13" s="1"/>
  <c r="U294" i="13" s="1"/>
  <c r="U306" i="13" s="1"/>
  <c r="U318" i="13" s="1"/>
  <c r="U330" i="13" s="1"/>
  <c r="U342" i="13" s="1"/>
  <c r="U354" i="13" s="1"/>
  <c r="U125" i="13"/>
  <c r="U137" i="13" s="1"/>
  <c r="U149" i="13" s="1"/>
  <c r="U161" i="13" s="1"/>
  <c r="U173" i="13" s="1"/>
  <c r="U185" i="13" s="1"/>
  <c r="U197" i="13" s="1"/>
  <c r="U209" i="13" s="1"/>
  <c r="U221" i="13" s="1"/>
  <c r="U233" i="13" s="1"/>
  <c r="U245" i="13" s="1"/>
  <c r="U257" i="13" s="1"/>
  <c r="U269" i="13" s="1"/>
  <c r="U281" i="13" s="1"/>
  <c r="U293" i="13" s="1"/>
  <c r="U305" i="13" s="1"/>
  <c r="U317" i="13" s="1"/>
  <c r="U329" i="13" s="1"/>
  <c r="U341" i="13" s="1"/>
  <c r="U353" i="13" s="1"/>
  <c r="T28" i="13"/>
  <c r="V28" i="13" s="1"/>
  <c r="T27" i="13"/>
  <c r="T26" i="13"/>
  <c r="T38" i="13" s="1"/>
  <c r="T25" i="13"/>
  <c r="V25" i="13" s="1"/>
  <c r="T24" i="13"/>
  <c r="T23" i="13"/>
  <c r="T22" i="13"/>
  <c r="V22" i="13" s="1"/>
  <c r="T21" i="13"/>
  <c r="T33" i="13" s="1"/>
  <c r="T20" i="13"/>
  <c r="V20" i="13" s="1"/>
  <c r="T19" i="13"/>
  <c r="T18" i="13"/>
  <c r="V18" i="13" s="1"/>
  <c r="T17" i="13"/>
  <c r="V17" i="13" s="1"/>
  <c r="V16" i="13"/>
  <c r="V15" i="13"/>
  <c r="V14" i="13"/>
  <c r="V13" i="13"/>
  <c r="V12" i="13"/>
  <c r="V11" i="13"/>
  <c r="V10" i="13"/>
  <c r="V9" i="13"/>
  <c r="V8" i="13"/>
  <c r="V7" i="13"/>
  <c r="V6" i="13"/>
  <c r="X5" i="13"/>
  <c r="V5" i="13"/>
  <c r="G5" i="13"/>
  <c r="H5" i="13" s="1"/>
  <c r="E5" i="13"/>
  <c r="F133" i="13"/>
  <c r="F134" i="13"/>
  <c r="F135" i="13"/>
  <c r="E134" i="13"/>
  <c r="D134" i="13"/>
  <c r="D135" i="13"/>
  <c r="D136" i="13"/>
  <c r="D137" i="13"/>
  <c r="N3" i="13"/>
  <c r="P364" i="13"/>
  <c r="O364" i="13"/>
  <c r="N364" i="13"/>
  <c r="M364" i="13"/>
  <c r="L364" i="13"/>
  <c r="K364" i="13"/>
  <c r="J364" i="13"/>
  <c r="I364" i="13"/>
  <c r="H364" i="13"/>
  <c r="G364" i="13"/>
  <c r="F364" i="13"/>
  <c r="E364" i="13"/>
  <c r="D364" i="13"/>
  <c r="C364" i="13"/>
  <c r="P363" i="13"/>
  <c r="O363" i="13"/>
  <c r="N363" i="13"/>
  <c r="M363" i="13"/>
  <c r="L363" i="13"/>
  <c r="K363" i="13"/>
  <c r="J363" i="13"/>
  <c r="I363" i="13"/>
  <c r="H363" i="13"/>
  <c r="G363" i="13"/>
  <c r="F363" i="13"/>
  <c r="E363" i="13"/>
  <c r="D363" i="13"/>
  <c r="C363" i="13"/>
  <c r="P362" i="13"/>
  <c r="O362" i="13"/>
  <c r="N362" i="13"/>
  <c r="M362" i="13"/>
  <c r="L362" i="13"/>
  <c r="K362" i="13"/>
  <c r="J362" i="13"/>
  <c r="I362" i="13"/>
  <c r="H362" i="13"/>
  <c r="G362" i="13"/>
  <c r="F362" i="13"/>
  <c r="E362" i="13"/>
  <c r="D362" i="13"/>
  <c r="C362" i="13"/>
  <c r="P361" i="13"/>
  <c r="O361" i="13"/>
  <c r="N361" i="13"/>
  <c r="M361" i="13"/>
  <c r="L361" i="13"/>
  <c r="K361" i="13"/>
  <c r="J361" i="13"/>
  <c r="I361" i="13"/>
  <c r="H361" i="13"/>
  <c r="G361" i="13"/>
  <c r="F361" i="13"/>
  <c r="E361" i="13"/>
  <c r="D361" i="13"/>
  <c r="C361" i="13"/>
  <c r="P360" i="13"/>
  <c r="O360" i="13"/>
  <c r="N360" i="13"/>
  <c r="M360" i="13"/>
  <c r="L360" i="13"/>
  <c r="K360" i="13"/>
  <c r="J360" i="13"/>
  <c r="I360" i="13"/>
  <c r="H360" i="13"/>
  <c r="G360" i="13"/>
  <c r="F360" i="13"/>
  <c r="E360" i="13"/>
  <c r="D360" i="13"/>
  <c r="C360" i="13"/>
  <c r="P359" i="13"/>
  <c r="O359" i="13"/>
  <c r="N359" i="13"/>
  <c r="M359" i="13"/>
  <c r="L359" i="13"/>
  <c r="K359" i="13"/>
  <c r="J359" i="13"/>
  <c r="I359" i="13"/>
  <c r="H359" i="13"/>
  <c r="G359" i="13"/>
  <c r="F359" i="13"/>
  <c r="E359" i="13"/>
  <c r="D359" i="13"/>
  <c r="C359" i="13"/>
  <c r="P358" i="13"/>
  <c r="O358" i="13"/>
  <c r="N358" i="13"/>
  <c r="M358" i="13"/>
  <c r="L358" i="13"/>
  <c r="K358" i="13"/>
  <c r="J358" i="13"/>
  <c r="I358" i="13"/>
  <c r="H358" i="13"/>
  <c r="G358" i="13"/>
  <c r="F358" i="13"/>
  <c r="E358" i="13"/>
  <c r="D358" i="13"/>
  <c r="C358" i="13"/>
  <c r="P357" i="13"/>
  <c r="O357" i="13"/>
  <c r="N357" i="13"/>
  <c r="M357" i="13"/>
  <c r="L357" i="13"/>
  <c r="K357" i="13"/>
  <c r="J357" i="13"/>
  <c r="I357" i="13"/>
  <c r="H357" i="13"/>
  <c r="G357" i="13"/>
  <c r="F357" i="13"/>
  <c r="E357" i="13"/>
  <c r="D357" i="13"/>
  <c r="C357" i="13"/>
  <c r="P356" i="13"/>
  <c r="O356" i="13"/>
  <c r="N356" i="13"/>
  <c r="M356" i="13"/>
  <c r="L356" i="13"/>
  <c r="K356" i="13"/>
  <c r="J356" i="13"/>
  <c r="I356" i="13"/>
  <c r="H356" i="13"/>
  <c r="G356" i="13"/>
  <c r="F356" i="13"/>
  <c r="E356" i="13"/>
  <c r="D356" i="13"/>
  <c r="C356" i="13"/>
  <c r="P355" i="13"/>
  <c r="O355" i="13"/>
  <c r="N355" i="13"/>
  <c r="M355" i="13"/>
  <c r="L355" i="13"/>
  <c r="K355" i="13"/>
  <c r="J355" i="13"/>
  <c r="I355" i="13"/>
  <c r="H355" i="13"/>
  <c r="G355" i="13"/>
  <c r="F355" i="13"/>
  <c r="E355" i="13"/>
  <c r="D355" i="13"/>
  <c r="C355" i="13"/>
  <c r="P354" i="13"/>
  <c r="O354" i="13"/>
  <c r="N354" i="13"/>
  <c r="M354" i="13"/>
  <c r="L354" i="13"/>
  <c r="K354" i="13"/>
  <c r="J354" i="13"/>
  <c r="I354" i="13"/>
  <c r="H354" i="13"/>
  <c r="G354" i="13"/>
  <c r="F354" i="13"/>
  <c r="E354" i="13"/>
  <c r="D354" i="13"/>
  <c r="C354" i="13"/>
  <c r="P353" i="13"/>
  <c r="O353" i="13"/>
  <c r="N353" i="13"/>
  <c r="M353" i="13"/>
  <c r="L353" i="13"/>
  <c r="K353" i="13"/>
  <c r="J353" i="13"/>
  <c r="I353" i="13"/>
  <c r="H353" i="13"/>
  <c r="G353" i="13"/>
  <c r="F353" i="13"/>
  <c r="E353" i="13"/>
  <c r="D353" i="13"/>
  <c r="C353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D352" i="13"/>
  <c r="C352" i="13"/>
  <c r="P351" i="13"/>
  <c r="O351" i="13"/>
  <c r="N351" i="13"/>
  <c r="M351" i="13"/>
  <c r="L351" i="13"/>
  <c r="K351" i="13"/>
  <c r="J351" i="13"/>
  <c r="I351" i="13"/>
  <c r="H351" i="13"/>
  <c r="G351" i="13"/>
  <c r="F351" i="13"/>
  <c r="E351" i="13"/>
  <c r="D351" i="13"/>
  <c r="C351" i="13"/>
  <c r="P350" i="13"/>
  <c r="O350" i="13"/>
  <c r="N350" i="13"/>
  <c r="M350" i="13"/>
  <c r="L350" i="13"/>
  <c r="K350" i="13"/>
  <c r="J350" i="13"/>
  <c r="I350" i="13"/>
  <c r="H350" i="13"/>
  <c r="G350" i="13"/>
  <c r="F350" i="13"/>
  <c r="E350" i="13"/>
  <c r="D350" i="13"/>
  <c r="C350" i="13"/>
  <c r="P349" i="13"/>
  <c r="O349" i="13"/>
  <c r="N349" i="13"/>
  <c r="M349" i="13"/>
  <c r="L349" i="13"/>
  <c r="K349" i="13"/>
  <c r="J349" i="13"/>
  <c r="I349" i="13"/>
  <c r="H349" i="13"/>
  <c r="G349" i="13"/>
  <c r="F349" i="13"/>
  <c r="E349" i="13"/>
  <c r="D349" i="13"/>
  <c r="C349" i="13"/>
  <c r="P348" i="13"/>
  <c r="O348" i="13"/>
  <c r="N348" i="13"/>
  <c r="M348" i="13"/>
  <c r="L348" i="13"/>
  <c r="K348" i="13"/>
  <c r="J348" i="13"/>
  <c r="I348" i="13"/>
  <c r="H348" i="13"/>
  <c r="G348" i="13"/>
  <c r="F348" i="13"/>
  <c r="E348" i="13"/>
  <c r="D348" i="13"/>
  <c r="C348" i="13"/>
  <c r="P347" i="13"/>
  <c r="O347" i="13"/>
  <c r="N347" i="13"/>
  <c r="M347" i="13"/>
  <c r="L347" i="13"/>
  <c r="K347" i="13"/>
  <c r="J347" i="13"/>
  <c r="I347" i="13"/>
  <c r="H347" i="13"/>
  <c r="G347" i="13"/>
  <c r="F347" i="13"/>
  <c r="E347" i="13"/>
  <c r="D347" i="13"/>
  <c r="C347" i="13"/>
  <c r="P346" i="13"/>
  <c r="O346" i="13"/>
  <c r="N346" i="13"/>
  <c r="M346" i="13"/>
  <c r="L346" i="13"/>
  <c r="K346" i="13"/>
  <c r="J346" i="13"/>
  <c r="I346" i="13"/>
  <c r="H346" i="13"/>
  <c r="G346" i="13"/>
  <c r="F346" i="13"/>
  <c r="E346" i="13"/>
  <c r="D346" i="13"/>
  <c r="C346" i="13"/>
  <c r="P345" i="13"/>
  <c r="O345" i="13"/>
  <c r="N345" i="13"/>
  <c r="M345" i="13"/>
  <c r="L345" i="13"/>
  <c r="K345" i="13"/>
  <c r="J345" i="13"/>
  <c r="I345" i="13"/>
  <c r="H345" i="13"/>
  <c r="G345" i="13"/>
  <c r="F345" i="13"/>
  <c r="E345" i="13"/>
  <c r="D345" i="13"/>
  <c r="C345" i="13"/>
  <c r="P344" i="13"/>
  <c r="O344" i="13"/>
  <c r="N344" i="13"/>
  <c r="M344" i="13"/>
  <c r="L344" i="13"/>
  <c r="K344" i="13"/>
  <c r="J344" i="13"/>
  <c r="I344" i="13"/>
  <c r="H344" i="13"/>
  <c r="G344" i="13"/>
  <c r="F344" i="13"/>
  <c r="E344" i="13"/>
  <c r="D344" i="13"/>
  <c r="C344" i="13"/>
  <c r="P343" i="13"/>
  <c r="O343" i="13"/>
  <c r="N343" i="13"/>
  <c r="M343" i="13"/>
  <c r="L343" i="13"/>
  <c r="K343" i="13"/>
  <c r="J343" i="13"/>
  <c r="I343" i="13"/>
  <c r="H343" i="13"/>
  <c r="G343" i="13"/>
  <c r="F343" i="13"/>
  <c r="E343" i="13"/>
  <c r="D343" i="13"/>
  <c r="C343" i="13"/>
  <c r="P342" i="13"/>
  <c r="O342" i="13"/>
  <c r="N342" i="13"/>
  <c r="M342" i="13"/>
  <c r="L342" i="13"/>
  <c r="K342" i="13"/>
  <c r="J342" i="13"/>
  <c r="I342" i="13"/>
  <c r="H342" i="13"/>
  <c r="G342" i="13"/>
  <c r="F342" i="13"/>
  <c r="E342" i="13"/>
  <c r="D342" i="13"/>
  <c r="C342" i="13"/>
  <c r="P341" i="13"/>
  <c r="O341" i="13"/>
  <c r="N341" i="13"/>
  <c r="M341" i="13"/>
  <c r="L341" i="13"/>
  <c r="K341" i="13"/>
  <c r="J341" i="13"/>
  <c r="I341" i="13"/>
  <c r="H341" i="13"/>
  <c r="G341" i="13"/>
  <c r="F341" i="13"/>
  <c r="E341" i="13"/>
  <c r="D341" i="13"/>
  <c r="C341" i="13"/>
  <c r="P340" i="13"/>
  <c r="O340" i="13"/>
  <c r="N340" i="13"/>
  <c r="M340" i="13"/>
  <c r="L340" i="13"/>
  <c r="K340" i="13"/>
  <c r="J340" i="13"/>
  <c r="I340" i="13"/>
  <c r="H340" i="13"/>
  <c r="G340" i="13"/>
  <c r="F340" i="13"/>
  <c r="E340" i="13"/>
  <c r="D340" i="13"/>
  <c r="C340" i="13"/>
  <c r="P339" i="13"/>
  <c r="O339" i="13"/>
  <c r="N339" i="13"/>
  <c r="M339" i="13"/>
  <c r="L339" i="13"/>
  <c r="K339" i="13"/>
  <c r="J339" i="13"/>
  <c r="I339" i="13"/>
  <c r="H339" i="13"/>
  <c r="G339" i="13"/>
  <c r="F339" i="13"/>
  <c r="E339" i="13"/>
  <c r="D339" i="13"/>
  <c r="C339" i="13"/>
  <c r="P338" i="13"/>
  <c r="O338" i="13"/>
  <c r="N338" i="13"/>
  <c r="M338" i="13"/>
  <c r="L338" i="13"/>
  <c r="K338" i="13"/>
  <c r="J338" i="13"/>
  <c r="I338" i="13"/>
  <c r="H338" i="13"/>
  <c r="G338" i="13"/>
  <c r="F338" i="13"/>
  <c r="E338" i="13"/>
  <c r="D338" i="13"/>
  <c r="C338" i="13"/>
  <c r="P337" i="13"/>
  <c r="O337" i="13"/>
  <c r="N337" i="13"/>
  <c r="M337" i="13"/>
  <c r="L337" i="13"/>
  <c r="K337" i="13"/>
  <c r="J337" i="13"/>
  <c r="I337" i="13"/>
  <c r="H337" i="13"/>
  <c r="G337" i="13"/>
  <c r="F337" i="13"/>
  <c r="E337" i="13"/>
  <c r="D337" i="13"/>
  <c r="C337" i="13"/>
  <c r="P336" i="13"/>
  <c r="O336" i="13"/>
  <c r="N336" i="13"/>
  <c r="M336" i="13"/>
  <c r="L336" i="13"/>
  <c r="K336" i="13"/>
  <c r="J336" i="13"/>
  <c r="I336" i="13"/>
  <c r="H336" i="13"/>
  <c r="G336" i="13"/>
  <c r="F336" i="13"/>
  <c r="E336" i="13"/>
  <c r="D336" i="13"/>
  <c r="C336" i="13"/>
  <c r="P335" i="13"/>
  <c r="O335" i="13"/>
  <c r="N335" i="13"/>
  <c r="M335" i="13"/>
  <c r="L335" i="13"/>
  <c r="K335" i="13"/>
  <c r="J335" i="13"/>
  <c r="I335" i="13"/>
  <c r="H335" i="13"/>
  <c r="G335" i="13"/>
  <c r="F335" i="13"/>
  <c r="E335" i="13"/>
  <c r="D335" i="13"/>
  <c r="C335" i="13"/>
  <c r="P334" i="13"/>
  <c r="O334" i="13"/>
  <c r="N334" i="13"/>
  <c r="M334" i="13"/>
  <c r="L334" i="13"/>
  <c r="K334" i="13"/>
  <c r="J334" i="13"/>
  <c r="I334" i="13"/>
  <c r="H334" i="13"/>
  <c r="G334" i="13"/>
  <c r="F334" i="13"/>
  <c r="E334" i="13"/>
  <c r="D334" i="13"/>
  <c r="C334" i="13"/>
  <c r="P333" i="13"/>
  <c r="O333" i="13"/>
  <c r="N333" i="13"/>
  <c r="M333" i="13"/>
  <c r="L333" i="13"/>
  <c r="K333" i="13"/>
  <c r="J333" i="13"/>
  <c r="I333" i="13"/>
  <c r="H333" i="13"/>
  <c r="G333" i="13"/>
  <c r="F333" i="13"/>
  <c r="E333" i="13"/>
  <c r="D333" i="13"/>
  <c r="C333" i="13"/>
  <c r="P332" i="13"/>
  <c r="O332" i="13"/>
  <c r="N332" i="13"/>
  <c r="M332" i="13"/>
  <c r="L332" i="13"/>
  <c r="K332" i="13"/>
  <c r="J332" i="13"/>
  <c r="I332" i="13"/>
  <c r="H332" i="13"/>
  <c r="G332" i="13"/>
  <c r="F332" i="13"/>
  <c r="E332" i="13"/>
  <c r="D332" i="13"/>
  <c r="C332" i="13"/>
  <c r="P331" i="13"/>
  <c r="O331" i="13"/>
  <c r="N331" i="13"/>
  <c r="M331" i="13"/>
  <c r="L331" i="13"/>
  <c r="K331" i="13"/>
  <c r="J331" i="13"/>
  <c r="I331" i="13"/>
  <c r="H331" i="13"/>
  <c r="G331" i="13"/>
  <c r="F331" i="13"/>
  <c r="E331" i="13"/>
  <c r="D331" i="13"/>
  <c r="C331" i="13"/>
  <c r="P330" i="13"/>
  <c r="O330" i="13"/>
  <c r="N330" i="13"/>
  <c r="M330" i="13"/>
  <c r="L330" i="13"/>
  <c r="K330" i="13"/>
  <c r="J330" i="13"/>
  <c r="I330" i="13"/>
  <c r="H330" i="13"/>
  <c r="G330" i="13"/>
  <c r="F330" i="13"/>
  <c r="E330" i="13"/>
  <c r="D330" i="13"/>
  <c r="C330" i="13"/>
  <c r="P329" i="13"/>
  <c r="O329" i="13"/>
  <c r="N329" i="13"/>
  <c r="M329" i="13"/>
  <c r="L329" i="13"/>
  <c r="K329" i="13"/>
  <c r="J329" i="13"/>
  <c r="I329" i="13"/>
  <c r="H329" i="13"/>
  <c r="G329" i="13"/>
  <c r="F329" i="13"/>
  <c r="E329" i="13"/>
  <c r="D329" i="13"/>
  <c r="C329" i="13"/>
  <c r="P328" i="13"/>
  <c r="O328" i="13"/>
  <c r="N328" i="13"/>
  <c r="M328" i="13"/>
  <c r="L328" i="13"/>
  <c r="K328" i="13"/>
  <c r="J328" i="13"/>
  <c r="I328" i="13"/>
  <c r="H328" i="13"/>
  <c r="G328" i="13"/>
  <c r="F328" i="13"/>
  <c r="E328" i="13"/>
  <c r="D328" i="13"/>
  <c r="C328" i="13"/>
  <c r="P327" i="13"/>
  <c r="O327" i="13"/>
  <c r="N327" i="13"/>
  <c r="M327" i="13"/>
  <c r="L327" i="13"/>
  <c r="K327" i="13"/>
  <c r="J327" i="13"/>
  <c r="I327" i="13"/>
  <c r="H327" i="13"/>
  <c r="G327" i="13"/>
  <c r="F327" i="13"/>
  <c r="E327" i="13"/>
  <c r="D327" i="13"/>
  <c r="C327" i="13"/>
  <c r="P326" i="13"/>
  <c r="O326" i="13"/>
  <c r="N326" i="13"/>
  <c r="M326" i="13"/>
  <c r="L326" i="13"/>
  <c r="K326" i="13"/>
  <c r="J326" i="13"/>
  <c r="I326" i="13"/>
  <c r="H326" i="13"/>
  <c r="G326" i="13"/>
  <c r="F326" i="13"/>
  <c r="E326" i="13"/>
  <c r="D326" i="13"/>
  <c r="C326" i="13"/>
  <c r="P325" i="13"/>
  <c r="O325" i="13"/>
  <c r="N325" i="13"/>
  <c r="M325" i="13"/>
  <c r="L325" i="13"/>
  <c r="K325" i="13"/>
  <c r="J325" i="13"/>
  <c r="I325" i="13"/>
  <c r="H325" i="13"/>
  <c r="G325" i="13"/>
  <c r="F325" i="13"/>
  <c r="E325" i="13"/>
  <c r="D325" i="13"/>
  <c r="C325" i="13"/>
  <c r="P324" i="13"/>
  <c r="O324" i="13"/>
  <c r="N324" i="13"/>
  <c r="M324" i="13"/>
  <c r="L324" i="13"/>
  <c r="K324" i="13"/>
  <c r="J324" i="13"/>
  <c r="I324" i="13"/>
  <c r="H324" i="13"/>
  <c r="G324" i="13"/>
  <c r="F324" i="13"/>
  <c r="E324" i="13"/>
  <c r="D324" i="13"/>
  <c r="C324" i="13"/>
  <c r="P323" i="13"/>
  <c r="O323" i="13"/>
  <c r="N323" i="13"/>
  <c r="M323" i="13"/>
  <c r="L323" i="13"/>
  <c r="K323" i="13"/>
  <c r="J323" i="13"/>
  <c r="I323" i="13"/>
  <c r="H323" i="13"/>
  <c r="G323" i="13"/>
  <c r="F323" i="13"/>
  <c r="E323" i="13"/>
  <c r="D323" i="13"/>
  <c r="C323" i="13"/>
  <c r="P322" i="13"/>
  <c r="O322" i="13"/>
  <c r="N322" i="13"/>
  <c r="M322" i="13"/>
  <c r="L322" i="13"/>
  <c r="K322" i="13"/>
  <c r="J322" i="13"/>
  <c r="I322" i="13"/>
  <c r="H322" i="13"/>
  <c r="G322" i="13"/>
  <c r="F322" i="13"/>
  <c r="E322" i="13"/>
  <c r="D322" i="13"/>
  <c r="C322" i="13"/>
  <c r="P321" i="13"/>
  <c r="O321" i="13"/>
  <c r="N321" i="13"/>
  <c r="M321" i="13"/>
  <c r="L321" i="13"/>
  <c r="K321" i="13"/>
  <c r="J321" i="13"/>
  <c r="I321" i="13"/>
  <c r="H321" i="13"/>
  <c r="G321" i="13"/>
  <c r="F321" i="13"/>
  <c r="E321" i="13"/>
  <c r="D321" i="13"/>
  <c r="C321" i="13"/>
  <c r="P320" i="13"/>
  <c r="O320" i="13"/>
  <c r="N320" i="13"/>
  <c r="M320" i="13"/>
  <c r="L320" i="13"/>
  <c r="K320" i="13"/>
  <c r="J320" i="13"/>
  <c r="I320" i="13"/>
  <c r="H320" i="13"/>
  <c r="G320" i="13"/>
  <c r="F320" i="13"/>
  <c r="E320" i="13"/>
  <c r="D320" i="13"/>
  <c r="C320" i="13"/>
  <c r="P319" i="13"/>
  <c r="O319" i="13"/>
  <c r="N319" i="13"/>
  <c r="M319" i="13"/>
  <c r="L319" i="13"/>
  <c r="K319" i="13"/>
  <c r="J319" i="13"/>
  <c r="I319" i="13"/>
  <c r="H319" i="13"/>
  <c r="G319" i="13"/>
  <c r="F319" i="13"/>
  <c r="E319" i="13"/>
  <c r="D319" i="13"/>
  <c r="C319" i="13"/>
  <c r="P318" i="13"/>
  <c r="O318" i="13"/>
  <c r="N318" i="13"/>
  <c r="M318" i="13"/>
  <c r="L318" i="13"/>
  <c r="K318" i="13"/>
  <c r="J318" i="13"/>
  <c r="I318" i="13"/>
  <c r="H318" i="13"/>
  <c r="G318" i="13"/>
  <c r="F318" i="13"/>
  <c r="E318" i="13"/>
  <c r="D318" i="13"/>
  <c r="C318" i="13"/>
  <c r="P317" i="13"/>
  <c r="O317" i="13"/>
  <c r="N317" i="13"/>
  <c r="M317" i="13"/>
  <c r="L317" i="13"/>
  <c r="K317" i="13"/>
  <c r="J317" i="13"/>
  <c r="I317" i="13"/>
  <c r="H317" i="13"/>
  <c r="G317" i="13"/>
  <c r="F317" i="13"/>
  <c r="E317" i="13"/>
  <c r="D317" i="13"/>
  <c r="C317" i="13"/>
  <c r="P316" i="13"/>
  <c r="O316" i="13"/>
  <c r="N316" i="13"/>
  <c r="M316" i="13"/>
  <c r="L316" i="13"/>
  <c r="K316" i="13"/>
  <c r="J316" i="13"/>
  <c r="I316" i="13"/>
  <c r="H316" i="13"/>
  <c r="G316" i="13"/>
  <c r="F316" i="13"/>
  <c r="E316" i="13"/>
  <c r="D316" i="13"/>
  <c r="C316" i="13"/>
  <c r="P315" i="13"/>
  <c r="O315" i="13"/>
  <c r="N315" i="13"/>
  <c r="M315" i="13"/>
  <c r="L315" i="13"/>
  <c r="K315" i="13"/>
  <c r="J315" i="13"/>
  <c r="I315" i="13"/>
  <c r="H315" i="13"/>
  <c r="G315" i="13"/>
  <c r="F315" i="13"/>
  <c r="E315" i="13"/>
  <c r="D315" i="13"/>
  <c r="C315" i="13"/>
  <c r="P314" i="13"/>
  <c r="O314" i="13"/>
  <c r="N314" i="13"/>
  <c r="M314" i="13"/>
  <c r="L314" i="13"/>
  <c r="K314" i="13"/>
  <c r="J314" i="13"/>
  <c r="I314" i="13"/>
  <c r="H314" i="13"/>
  <c r="G314" i="13"/>
  <c r="F314" i="13"/>
  <c r="E314" i="13"/>
  <c r="D314" i="13"/>
  <c r="C314" i="13"/>
  <c r="P313" i="13"/>
  <c r="O313" i="13"/>
  <c r="N313" i="13"/>
  <c r="M313" i="13"/>
  <c r="L313" i="13"/>
  <c r="K313" i="13"/>
  <c r="J313" i="13"/>
  <c r="I313" i="13"/>
  <c r="H313" i="13"/>
  <c r="G313" i="13"/>
  <c r="F313" i="13"/>
  <c r="E313" i="13"/>
  <c r="D313" i="13"/>
  <c r="C313" i="13"/>
  <c r="P312" i="13"/>
  <c r="O312" i="13"/>
  <c r="N312" i="13"/>
  <c r="M312" i="13"/>
  <c r="L312" i="13"/>
  <c r="K312" i="13"/>
  <c r="J312" i="13"/>
  <c r="I312" i="13"/>
  <c r="H312" i="13"/>
  <c r="G312" i="13"/>
  <c r="F312" i="13"/>
  <c r="E312" i="13"/>
  <c r="D312" i="13"/>
  <c r="C312" i="13"/>
  <c r="P311" i="13"/>
  <c r="O311" i="13"/>
  <c r="N311" i="13"/>
  <c r="M311" i="13"/>
  <c r="L311" i="13"/>
  <c r="K311" i="13"/>
  <c r="J311" i="13"/>
  <c r="I311" i="13"/>
  <c r="H311" i="13"/>
  <c r="G311" i="13"/>
  <c r="F311" i="13"/>
  <c r="E311" i="13"/>
  <c r="D311" i="13"/>
  <c r="C311" i="13"/>
  <c r="P310" i="13"/>
  <c r="O310" i="13"/>
  <c r="N310" i="13"/>
  <c r="M310" i="13"/>
  <c r="L310" i="13"/>
  <c r="K310" i="13"/>
  <c r="J310" i="13"/>
  <c r="I310" i="13"/>
  <c r="H310" i="13"/>
  <c r="G310" i="13"/>
  <c r="F310" i="13"/>
  <c r="E310" i="13"/>
  <c r="D310" i="13"/>
  <c r="C310" i="13"/>
  <c r="P309" i="13"/>
  <c r="O309" i="13"/>
  <c r="N309" i="13"/>
  <c r="M309" i="13"/>
  <c r="L309" i="13"/>
  <c r="K309" i="13"/>
  <c r="J309" i="13"/>
  <c r="I309" i="13"/>
  <c r="H309" i="13"/>
  <c r="G309" i="13"/>
  <c r="F309" i="13"/>
  <c r="E309" i="13"/>
  <c r="D309" i="13"/>
  <c r="C309" i="13"/>
  <c r="P308" i="13"/>
  <c r="O308" i="13"/>
  <c r="N308" i="13"/>
  <c r="M308" i="13"/>
  <c r="L308" i="13"/>
  <c r="K308" i="13"/>
  <c r="J308" i="13"/>
  <c r="I308" i="13"/>
  <c r="H308" i="13"/>
  <c r="G308" i="13"/>
  <c r="F308" i="13"/>
  <c r="E308" i="13"/>
  <c r="D308" i="13"/>
  <c r="C308" i="13"/>
  <c r="P307" i="13"/>
  <c r="O307" i="13"/>
  <c r="N307" i="13"/>
  <c r="M307" i="13"/>
  <c r="L307" i="13"/>
  <c r="K307" i="13"/>
  <c r="J307" i="13"/>
  <c r="I307" i="13"/>
  <c r="H307" i="13"/>
  <c r="G307" i="13"/>
  <c r="F307" i="13"/>
  <c r="E307" i="13"/>
  <c r="D307" i="13"/>
  <c r="C307" i="13"/>
  <c r="P306" i="13"/>
  <c r="O306" i="13"/>
  <c r="N306" i="13"/>
  <c r="M306" i="13"/>
  <c r="L306" i="13"/>
  <c r="K306" i="13"/>
  <c r="J306" i="13"/>
  <c r="I306" i="13"/>
  <c r="H306" i="13"/>
  <c r="G306" i="13"/>
  <c r="F306" i="13"/>
  <c r="E306" i="13"/>
  <c r="D306" i="13"/>
  <c r="C306" i="13"/>
  <c r="P305" i="13"/>
  <c r="O305" i="13"/>
  <c r="N305" i="13"/>
  <c r="M305" i="13"/>
  <c r="L305" i="13"/>
  <c r="K305" i="13"/>
  <c r="J305" i="13"/>
  <c r="I305" i="13"/>
  <c r="H305" i="13"/>
  <c r="G305" i="13"/>
  <c r="F305" i="13"/>
  <c r="E305" i="13"/>
  <c r="D305" i="13"/>
  <c r="C305" i="13"/>
  <c r="P304" i="13"/>
  <c r="O304" i="13"/>
  <c r="N304" i="13"/>
  <c r="M304" i="13"/>
  <c r="L304" i="13"/>
  <c r="K304" i="13"/>
  <c r="J304" i="13"/>
  <c r="I304" i="13"/>
  <c r="H304" i="13"/>
  <c r="G304" i="13"/>
  <c r="F304" i="13"/>
  <c r="E304" i="13"/>
  <c r="D304" i="13"/>
  <c r="C304" i="13"/>
  <c r="P303" i="13"/>
  <c r="O303" i="13"/>
  <c r="N303" i="13"/>
  <c r="M303" i="13"/>
  <c r="L303" i="13"/>
  <c r="K303" i="13"/>
  <c r="J303" i="13"/>
  <c r="I303" i="13"/>
  <c r="H303" i="13"/>
  <c r="G303" i="13"/>
  <c r="F303" i="13"/>
  <c r="E303" i="13"/>
  <c r="D303" i="13"/>
  <c r="C303" i="13"/>
  <c r="P302" i="13"/>
  <c r="O302" i="13"/>
  <c r="N302" i="13"/>
  <c r="M302" i="13"/>
  <c r="L302" i="13"/>
  <c r="K302" i="13"/>
  <c r="J302" i="13"/>
  <c r="I302" i="13"/>
  <c r="H302" i="13"/>
  <c r="G302" i="13"/>
  <c r="F302" i="13"/>
  <c r="E302" i="13"/>
  <c r="D302" i="13"/>
  <c r="C302" i="13"/>
  <c r="P301" i="13"/>
  <c r="O301" i="13"/>
  <c r="N301" i="13"/>
  <c r="M301" i="13"/>
  <c r="L301" i="13"/>
  <c r="K301" i="13"/>
  <c r="J301" i="13"/>
  <c r="I301" i="13"/>
  <c r="H301" i="13"/>
  <c r="G301" i="13"/>
  <c r="F301" i="13"/>
  <c r="E301" i="13"/>
  <c r="D301" i="13"/>
  <c r="C301" i="13"/>
  <c r="P300" i="13"/>
  <c r="O300" i="13"/>
  <c r="N300" i="13"/>
  <c r="M300" i="13"/>
  <c r="L300" i="13"/>
  <c r="K300" i="13"/>
  <c r="J300" i="13"/>
  <c r="I300" i="13"/>
  <c r="H300" i="13"/>
  <c r="G300" i="13"/>
  <c r="F300" i="13"/>
  <c r="E300" i="13"/>
  <c r="D300" i="13"/>
  <c r="C300" i="13"/>
  <c r="P299" i="13"/>
  <c r="O299" i="13"/>
  <c r="N299" i="13"/>
  <c r="M299" i="13"/>
  <c r="L299" i="13"/>
  <c r="K299" i="13"/>
  <c r="J299" i="13"/>
  <c r="I299" i="13"/>
  <c r="H299" i="13"/>
  <c r="G299" i="13"/>
  <c r="F299" i="13"/>
  <c r="E299" i="13"/>
  <c r="D299" i="13"/>
  <c r="C299" i="13"/>
  <c r="P298" i="13"/>
  <c r="O298" i="13"/>
  <c r="N298" i="13"/>
  <c r="M298" i="13"/>
  <c r="L298" i="13"/>
  <c r="K298" i="13"/>
  <c r="J298" i="13"/>
  <c r="I298" i="13"/>
  <c r="H298" i="13"/>
  <c r="G298" i="13"/>
  <c r="F298" i="13"/>
  <c r="E298" i="13"/>
  <c r="D298" i="13"/>
  <c r="C298" i="13"/>
  <c r="P297" i="13"/>
  <c r="O297" i="13"/>
  <c r="N297" i="13"/>
  <c r="M297" i="13"/>
  <c r="L297" i="13"/>
  <c r="K297" i="13"/>
  <c r="J297" i="13"/>
  <c r="I297" i="13"/>
  <c r="H297" i="13"/>
  <c r="G297" i="13"/>
  <c r="F297" i="13"/>
  <c r="E297" i="13"/>
  <c r="D297" i="13"/>
  <c r="C297" i="13"/>
  <c r="P296" i="13"/>
  <c r="O296" i="13"/>
  <c r="N296" i="13"/>
  <c r="M296" i="13"/>
  <c r="L296" i="13"/>
  <c r="K296" i="13"/>
  <c r="J296" i="13"/>
  <c r="I296" i="13"/>
  <c r="H296" i="13"/>
  <c r="G296" i="13"/>
  <c r="F296" i="13"/>
  <c r="E296" i="13"/>
  <c r="D296" i="13"/>
  <c r="C296" i="13"/>
  <c r="P295" i="13"/>
  <c r="O295" i="13"/>
  <c r="N295" i="13"/>
  <c r="M295" i="13"/>
  <c r="L295" i="13"/>
  <c r="K295" i="13"/>
  <c r="J295" i="13"/>
  <c r="I295" i="13"/>
  <c r="H295" i="13"/>
  <c r="G295" i="13"/>
  <c r="F295" i="13"/>
  <c r="E295" i="13"/>
  <c r="D295" i="13"/>
  <c r="C295" i="13"/>
  <c r="P294" i="13"/>
  <c r="O294" i="13"/>
  <c r="N294" i="13"/>
  <c r="M294" i="13"/>
  <c r="L294" i="13"/>
  <c r="K294" i="13"/>
  <c r="J294" i="13"/>
  <c r="I294" i="13"/>
  <c r="H294" i="13"/>
  <c r="G294" i="13"/>
  <c r="F294" i="13"/>
  <c r="E294" i="13"/>
  <c r="D294" i="13"/>
  <c r="C294" i="13"/>
  <c r="P293" i="13"/>
  <c r="O293" i="13"/>
  <c r="N293" i="13"/>
  <c r="M293" i="13"/>
  <c r="L293" i="13"/>
  <c r="K293" i="13"/>
  <c r="J293" i="13"/>
  <c r="I293" i="13"/>
  <c r="H293" i="13"/>
  <c r="G293" i="13"/>
  <c r="F293" i="13"/>
  <c r="E293" i="13"/>
  <c r="D293" i="13"/>
  <c r="C293" i="13"/>
  <c r="P292" i="13"/>
  <c r="O292" i="13"/>
  <c r="N292" i="13"/>
  <c r="M292" i="13"/>
  <c r="L292" i="13"/>
  <c r="K292" i="13"/>
  <c r="J292" i="13"/>
  <c r="I292" i="13"/>
  <c r="H292" i="13"/>
  <c r="G292" i="13"/>
  <c r="F292" i="13"/>
  <c r="E292" i="13"/>
  <c r="D292" i="13"/>
  <c r="C292" i="13"/>
  <c r="P291" i="13"/>
  <c r="O291" i="13"/>
  <c r="N291" i="13"/>
  <c r="M291" i="13"/>
  <c r="L291" i="13"/>
  <c r="K291" i="13"/>
  <c r="J291" i="13"/>
  <c r="I291" i="13"/>
  <c r="H291" i="13"/>
  <c r="G291" i="13"/>
  <c r="F291" i="13"/>
  <c r="E291" i="13"/>
  <c r="D291" i="13"/>
  <c r="C291" i="13"/>
  <c r="P290" i="13"/>
  <c r="O290" i="13"/>
  <c r="N290" i="13"/>
  <c r="M290" i="13"/>
  <c r="L290" i="13"/>
  <c r="K290" i="13"/>
  <c r="J290" i="13"/>
  <c r="I290" i="13"/>
  <c r="H290" i="13"/>
  <c r="G290" i="13"/>
  <c r="F290" i="13"/>
  <c r="E290" i="13"/>
  <c r="D290" i="13"/>
  <c r="C290" i="13"/>
  <c r="P289" i="13"/>
  <c r="O289" i="13"/>
  <c r="N289" i="13"/>
  <c r="M289" i="13"/>
  <c r="L289" i="13"/>
  <c r="K289" i="13"/>
  <c r="J289" i="13"/>
  <c r="I289" i="13"/>
  <c r="H289" i="13"/>
  <c r="G289" i="13"/>
  <c r="F289" i="13"/>
  <c r="E289" i="13"/>
  <c r="D289" i="13"/>
  <c r="C289" i="13"/>
  <c r="P288" i="13"/>
  <c r="O288" i="13"/>
  <c r="N288" i="13"/>
  <c r="M288" i="13"/>
  <c r="L288" i="13"/>
  <c r="K288" i="13"/>
  <c r="J288" i="13"/>
  <c r="I288" i="13"/>
  <c r="H288" i="13"/>
  <c r="G288" i="13"/>
  <c r="F288" i="13"/>
  <c r="E288" i="13"/>
  <c r="D288" i="13"/>
  <c r="C288" i="13"/>
  <c r="P287" i="13"/>
  <c r="O287" i="13"/>
  <c r="N287" i="13"/>
  <c r="M287" i="13"/>
  <c r="L287" i="13"/>
  <c r="K287" i="13"/>
  <c r="J287" i="13"/>
  <c r="I287" i="13"/>
  <c r="H287" i="13"/>
  <c r="G287" i="13"/>
  <c r="F287" i="13"/>
  <c r="E287" i="13"/>
  <c r="D287" i="13"/>
  <c r="C287" i="13"/>
  <c r="P286" i="13"/>
  <c r="O286" i="13"/>
  <c r="N286" i="13"/>
  <c r="M286" i="13"/>
  <c r="L286" i="13"/>
  <c r="K286" i="13"/>
  <c r="J286" i="13"/>
  <c r="I286" i="13"/>
  <c r="H286" i="13"/>
  <c r="G286" i="13"/>
  <c r="F286" i="13"/>
  <c r="E286" i="13"/>
  <c r="D286" i="13"/>
  <c r="C286" i="13"/>
  <c r="P285" i="13"/>
  <c r="O285" i="13"/>
  <c r="N285" i="13"/>
  <c r="M285" i="13"/>
  <c r="L285" i="13"/>
  <c r="K285" i="13"/>
  <c r="J285" i="13"/>
  <c r="I285" i="13"/>
  <c r="H285" i="13"/>
  <c r="G285" i="13"/>
  <c r="F285" i="13"/>
  <c r="E285" i="13"/>
  <c r="D285" i="13"/>
  <c r="C285" i="13"/>
  <c r="P284" i="13"/>
  <c r="O284" i="13"/>
  <c r="N284" i="13"/>
  <c r="M284" i="13"/>
  <c r="L284" i="13"/>
  <c r="K284" i="13"/>
  <c r="J284" i="13"/>
  <c r="I284" i="13"/>
  <c r="H284" i="13"/>
  <c r="G284" i="13"/>
  <c r="F284" i="13"/>
  <c r="E284" i="13"/>
  <c r="D284" i="13"/>
  <c r="C284" i="13"/>
  <c r="P283" i="13"/>
  <c r="O283" i="13"/>
  <c r="N283" i="13"/>
  <c r="M283" i="13"/>
  <c r="L283" i="13"/>
  <c r="K283" i="13"/>
  <c r="J283" i="13"/>
  <c r="I283" i="13"/>
  <c r="H283" i="13"/>
  <c r="G283" i="13"/>
  <c r="F283" i="13"/>
  <c r="E283" i="13"/>
  <c r="D283" i="13"/>
  <c r="C283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D282" i="13"/>
  <c r="C282" i="13"/>
  <c r="P281" i="13"/>
  <c r="O281" i="13"/>
  <c r="N281" i="13"/>
  <c r="M281" i="13"/>
  <c r="L281" i="13"/>
  <c r="K281" i="13"/>
  <c r="J281" i="13"/>
  <c r="I281" i="13"/>
  <c r="H281" i="13"/>
  <c r="G281" i="13"/>
  <c r="F281" i="13"/>
  <c r="E281" i="13"/>
  <c r="D281" i="13"/>
  <c r="C281" i="13"/>
  <c r="P280" i="13"/>
  <c r="O280" i="13"/>
  <c r="N280" i="13"/>
  <c r="M280" i="13"/>
  <c r="L280" i="13"/>
  <c r="K280" i="13"/>
  <c r="J280" i="13"/>
  <c r="I280" i="13"/>
  <c r="H280" i="13"/>
  <c r="G280" i="13"/>
  <c r="F280" i="13"/>
  <c r="E280" i="13"/>
  <c r="D280" i="13"/>
  <c r="C280" i="13"/>
  <c r="P279" i="13"/>
  <c r="O279" i="13"/>
  <c r="N279" i="13"/>
  <c r="M279" i="13"/>
  <c r="L279" i="13"/>
  <c r="K279" i="13"/>
  <c r="J279" i="13"/>
  <c r="I279" i="13"/>
  <c r="H279" i="13"/>
  <c r="G279" i="13"/>
  <c r="F279" i="13"/>
  <c r="E279" i="13"/>
  <c r="D279" i="13"/>
  <c r="C279" i="13"/>
  <c r="P278" i="13"/>
  <c r="O278" i="13"/>
  <c r="N278" i="13"/>
  <c r="M278" i="13"/>
  <c r="L278" i="13"/>
  <c r="K278" i="13"/>
  <c r="J278" i="13"/>
  <c r="I278" i="13"/>
  <c r="H278" i="13"/>
  <c r="G278" i="13"/>
  <c r="F278" i="13"/>
  <c r="E278" i="13"/>
  <c r="D278" i="13"/>
  <c r="C278" i="13"/>
  <c r="P277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P276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P275" i="13"/>
  <c r="O275" i="13"/>
  <c r="N275" i="13"/>
  <c r="M275" i="13"/>
  <c r="L275" i="13"/>
  <c r="K275" i="13"/>
  <c r="J275" i="13"/>
  <c r="I275" i="13"/>
  <c r="H275" i="13"/>
  <c r="G275" i="13"/>
  <c r="F275" i="13"/>
  <c r="E275" i="13"/>
  <c r="D275" i="13"/>
  <c r="C275" i="13"/>
  <c r="P274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P272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P271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P270" i="13"/>
  <c r="O270" i="13"/>
  <c r="N270" i="13"/>
  <c r="M270" i="13"/>
  <c r="L270" i="13"/>
  <c r="K270" i="13"/>
  <c r="J270" i="13"/>
  <c r="I270" i="13"/>
  <c r="H270" i="13"/>
  <c r="G270" i="13"/>
  <c r="F270" i="13"/>
  <c r="E270" i="13"/>
  <c r="D270" i="13"/>
  <c r="C270" i="13"/>
  <c r="P269" i="13"/>
  <c r="O269" i="13"/>
  <c r="N269" i="13"/>
  <c r="M269" i="13"/>
  <c r="L269" i="13"/>
  <c r="K269" i="13"/>
  <c r="J269" i="13"/>
  <c r="I269" i="13"/>
  <c r="H269" i="13"/>
  <c r="G269" i="13"/>
  <c r="F269" i="13"/>
  <c r="E269" i="13"/>
  <c r="D269" i="13"/>
  <c r="C269" i="13"/>
  <c r="P268" i="13"/>
  <c r="O268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P267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P262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P261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P253" i="13"/>
  <c r="O253" i="13"/>
  <c r="N253" i="13"/>
  <c r="M253" i="13"/>
  <c r="L253" i="13"/>
  <c r="K253" i="13"/>
  <c r="J253" i="13"/>
  <c r="I253" i="13"/>
  <c r="H253" i="13"/>
  <c r="G253" i="13"/>
  <c r="F253" i="13"/>
  <c r="E253" i="13"/>
  <c r="D253" i="13"/>
  <c r="C253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C252" i="13"/>
  <c r="P251" i="13"/>
  <c r="O251" i="13"/>
  <c r="N251" i="13"/>
  <c r="M251" i="13"/>
  <c r="L251" i="13"/>
  <c r="K251" i="13"/>
  <c r="J251" i="13"/>
  <c r="I251" i="13"/>
  <c r="H251" i="13"/>
  <c r="G251" i="13"/>
  <c r="F251" i="13"/>
  <c r="E251" i="13"/>
  <c r="D251" i="13"/>
  <c r="C251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P243" i="13"/>
  <c r="O243" i="13"/>
  <c r="N243" i="13"/>
  <c r="M243" i="13"/>
  <c r="L243" i="13"/>
  <c r="K243" i="13"/>
  <c r="J243" i="13"/>
  <c r="I243" i="13"/>
  <c r="H243" i="13"/>
  <c r="G243" i="13"/>
  <c r="F243" i="13"/>
  <c r="E243" i="13"/>
  <c r="D243" i="13"/>
  <c r="C243" i="13"/>
  <c r="P242" i="13"/>
  <c r="O242" i="13"/>
  <c r="N242" i="13"/>
  <c r="M242" i="13"/>
  <c r="L242" i="13"/>
  <c r="K242" i="13"/>
  <c r="J242" i="13"/>
  <c r="I242" i="13"/>
  <c r="H242" i="13"/>
  <c r="G242" i="13"/>
  <c r="F242" i="13"/>
  <c r="E242" i="13"/>
  <c r="D242" i="13"/>
  <c r="C242" i="13"/>
  <c r="P241" i="13"/>
  <c r="O241" i="13"/>
  <c r="N241" i="13"/>
  <c r="M241" i="13"/>
  <c r="L241" i="13"/>
  <c r="K241" i="13"/>
  <c r="J241" i="13"/>
  <c r="I241" i="13"/>
  <c r="H241" i="13"/>
  <c r="G241" i="13"/>
  <c r="F241" i="13"/>
  <c r="E241" i="13"/>
  <c r="D241" i="13"/>
  <c r="C241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P233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P232" i="13"/>
  <c r="O232" i="13"/>
  <c r="N232" i="13"/>
  <c r="M232" i="13"/>
  <c r="L232" i="13"/>
  <c r="K232" i="13"/>
  <c r="J232" i="13"/>
  <c r="I232" i="13"/>
  <c r="H232" i="13"/>
  <c r="G232" i="13"/>
  <c r="F232" i="13"/>
  <c r="E232" i="13"/>
  <c r="D232" i="13"/>
  <c r="C232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P223" i="13"/>
  <c r="O223" i="13"/>
  <c r="N223" i="13"/>
  <c r="M223" i="13"/>
  <c r="L223" i="13"/>
  <c r="K223" i="13"/>
  <c r="J223" i="13"/>
  <c r="I223" i="13"/>
  <c r="H223" i="13"/>
  <c r="G223" i="13"/>
  <c r="F223" i="13"/>
  <c r="E223" i="13"/>
  <c r="D223" i="13"/>
  <c r="C223" i="13"/>
  <c r="P222" i="13"/>
  <c r="O222" i="13"/>
  <c r="N222" i="13"/>
  <c r="M222" i="13"/>
  <c r="L222" i="13"/>
  <c r="K222" i="13"/>
  <c r="J222" i="13"/>
  <c r="I222" i="13"/>
  <c r="H222" i="13"/>
  <c r="G222" i="13"/>
  <c r="F222" i="13"/>
  <c r="E222" i="13"/>
  <c r="D222" i="13"/>
  <c r="C222" i="13"/>
  <c r="P221" i="13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C221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P185" i="13"/>
  <c r="O185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P142" i="13"/>
  <c r="F141" i="4" s="1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P141" i="13"/>
  <c r="F140" i="4" s="1"/>
  <c r="O141" i="13"/>
  <c r="H140" i="4" s="1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P140" i="13"/>
  <c r="F139" i="4" s="1"/>
  <c r="O140" i="13"/>
  <c r="H139" i="4" s="1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G138" i="4"/>
  <c r="P139" i="13"/>
  <c r="F138" i="4" s="1"/>
  <c r="O139" i="13"/>
  <c r="H138" i="4" s="1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G137" i="4"/>
  <c r="P138" i="13"/>
  <c r="F137" i="4" s="1"/>
  <c r="O138" i="13"/>
  <c r="H137" i="4" s="1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G136" i="4"/>
  <c r="P137" i="13"/>
  <c r="F136" i="4" s="1"/>
  <c r="O137" i="13"/>
  <c r="H136" i="4" s="1"/>
  <c r="N137" i="13"/>
  <c r="M137" i="13"/>
  <c r="L137" i="13"/>
  <c r="K137" i="13"/>
  <c r="J137" i="13"/>
  <c r="I137" i="13"/>
  <c r="H137" i="13"/>
  <c r="G137" i="13"/>
  <c r="F137" i="13"/>
  <c r="E137" i="13"/>
  <c r="C137" i="13"/>
  <c r="G135" i="4"/>
  <c r="P136" i="13"/>
  <c r="F135" i="4" s="1"/>
  <c r="O136" i="13"/>
  <c r="H135" i="4" s="1"/>
  <c r="N136" i="13"/>
  <c r="M136" i="13"/>
  <c r="L136" i="13"/>
  <c r="K136" i="13"/>
  <c r="J136" i="13"/>
  <c r="I136" i="13"/>
  <c r="H136" i="13"/>
  <c r="G136" i="13"/>
  <c r="F136" i="13"/>
  <c r="E136" i="13"/>
  <c r="C136" i="13"/>
  <c r="G134" i="4"/>
  <c r="P135" i="13"/>
  <c r="F134" i="4" s="1"/>
  <c r="O135" i="13"/>
  <c r="H134" i="4" s="1"/>
  <c r="N135" i="13"/>
  <c r="M135" i="13"/>
  <c r="L135" i="13"/>
  <c r="K135" i="13"/>
  <c r="J135" i="13"/>
  <c r="I135" i="13"/>
  <c r="H135" i="13"/>
  <c r="G135" i="13"/>
  <c r="E135" i="13"/>
  <c r="C135" i="13"/>
  <c r="G133" i="4"/>
  <c r="P134" i="13"/>
  <c r="F133" i="4" s="1"/>
  <c r="O134" i="13"/>
  <c r="H133" i="4" s="1"/>
  <c r="N134" i="13"/>
  <c r="M134" i="13"/>
  <c r="L134" i="13"/>
  <c r="K134" i="13"/>
  <c r="J134" i="13"/>
  <c r="I134" i="13"/>
  <c r="H134" i="13"/>
  <c r="G134" i="13"/>
  <c r="C134" i="13"/>
  <c r="G132" i="4"/>
  <c r="P133" i="13"/>
  <c r="F132" i="4" s="1"/>
  <c r="O133" i="13"/>
  <c r="H132" i="4" s="1"/>
  <c r="N133" i="13"/>
  <c r="M133" i="13"/>
  <c r="L133" i="13"/>
  <c r="K133" i="13"/>
  <c r="J133" i="13"/>
  <c r="I133" i="13"/>
  <c r="H133" i="13"/>
  <c r="G133" i="13"/>
  <c r="C133" i="13"/>
  <c r="N132" i="13"/>
  <c r="G132" i="13"/>
  <c r="N131" i="13"/>
  <c r="G131" i="13"/>
  <c r="N130" i="13"/>
  <c r="Q130" i="13" s="1"/>
  <c r="G130" i="13"/>
  <c r="N129" i="13"/>
  <c r="Q129" i="13" s="1"/>
  <c r="G129" i="13"/>
  <c r="N128" i="13"/>
  <c r="Q128" i="13" s="1"/>
  <c r="G128" i="13"/>
  <c r="N127" i="13"/>
  <c r="Q127" i="13" s="1"/>
  <c r="G127" i="13"/>
  <c r="N126" i="13"/>
  <c r="Q126" i="13" s="1"/>
  <c r="G126" i="13"/>
  <c r="N125" i="13"/>
  <c r="G125" i="13"/>
  <c r="N124" i="13"/>
  <c r="G124" i="13"/>
  <c r="N123" i="13"/>
  <c r="G123" i="13"/>
  <c r="N122" i="13"/>
  <c r="G122" i="13"/>
  <c r="N121" i="13"/>
  <c r="G121" i="13"/>
  <c r="N120" i="13"/>
  <c r="G120" i="13"/>
  <c r="N119" i="13"/>
  <c r="G119" i="13"/>
  <c r="N118" i="13"/>
  <c r="Q118" i="13" s="1"/>
  <c r="G118" i="13"/>
  <c r="N117" i="13"/>
  <c r="Q117" i="13" s="1"/>
  <c r="G117" i="13"/>
  <c r="N116" i="13"/>
  <c r="Q116" i="13" s="1"/>
  <c r="G116" i="13"/>
  <c r="N115" i="13"/>
  <c r="Q115" i="13" s="1"/>
  <c r="G115" i="13"/>
  <c r="N114" i="13"/>
  <c r="Q114" i="13" s="1"/>
  <c r="G114" i="13"/>
  <c r="N113" i="13"/>
  <c r="G113" i="13"/>
  <c r="N112" i="13"/>
  <c r="G112" i="13"/>
  <c r="N111" i="13"/>
  <c r="G111" i="13"/>
  <c r="N110" i="13"/>
  <c r="G110" i="13"/>
  <c r="N109" i="13"/>
  <c r="G109" i="13"/>
  <c r="N108" i="13"/>
  <c r="G108" i="13"/>
  <c r="N107" i="13"/>
  <c r="G107" i="13"/>
  <c r="N106" i="13"/>
  <c r="Q106" i="13" s="1"/>
  <c r="G106" i="13"/>
  <c r="N105" i="13"/>
  <c r="Q105" i="13" s="1"/>
  <c r="G105" i="13"/>
  <c r="N104" i="13"/>
  <c r="Q104" i="13" s="1"/>
  <c r="G104" i="13"/>
  <c r="N103" i="13"/>
  <c r="Q103" i="13" s="1"/>
  <c r="G103" i="13"/>
  <c r="N102" i="13"/>
  <c r="Q102" i="13" s="1"/>
  <c r="G102" i="13"/>
  <c r="N101" i="13"/>
  <c r="G101" i="13"/>
  <c r="N100" i="13"/>
  <c r="G100" i="13"/>
  <c r="N99" i="13"/>
  <c r="G99" i="13"/>
  <c r="N98" i="13"/>
  <c r="G98" i="13"/>
  <c r="N97" i="13"/>
  <c r="G97" i="13"/>
  <c r="N96" i="13"/>
  <c r="G96" i="13"/>
  <c r="N95" i="13"/>
  <c r="G95" i="13"/>
  <c r="N94" i="13"/>
  <c r="Q94" i="13" s="1"/>
  <c r="G94" i="13"/>
  <c r="N93" i="13"/>
  <c r="Q93" i="13" s="1"/>
  <c r="G93" i="13"/>
  <c r="N92" i="13"/>
  <c r="Q92" i="13" s="1"/>
  <c r="G92" i="13"/>
  <c r="N91" i="13"/>
  <c r="Q91" i="13" s="1"/>
  <c r="G91" i="13"/>
  <c r="N90" i="13"/>
  <c r="Q90" i="13" s="1"/>
  <c r="G90" i="13"/>
  <c r="N89" i="13"/>
  <c r="G89" i="13"/>
  <c r="N88" i="13"/>
  <c r="G88" i="13"/>
  <c r="N87" i="13"/>
  <c r="G87" i="13"/>
  <c r="N86" i="13"/>
  <c r="G86" i="13"/>
  <c r="N85" i="13"/>
  <c r="G85" i="13"/>
  <c r="N84" i="13"/>
  <c r="G84" i="13"/>
  <c r="N83" i="13"/>
  <c r="G83" i="13"/>
  <c r="N82" i="13"/>
  <c r="Q82" i="13" s="1"/>
  <c r="G82" i="13"/>
  <c r="N81" i="13"/>
  <c r="Q81" i="13" s="1"/>
  <c r="G81" i="13"/>
  <c r="N80" i="13"/>
  <c r="Q80" i="13" s="1"/>
  <c r="G80" i="13"/>
  <c r="N79" i="13"/>
  <c r="Q79" i="13" s="1"/>
  <c r="G79" i="13"/>
  <c r="N78" i="13"/>
  <c r="Q78" i="13" s="1"/>
  <c r="G78" i="13"/>
  <c r="N77" i="13"/>
  <c r="G77" i="13"/>
  <c r="N76" i="13"/>
  <c r="G76" i="13"/>
  <c r="N75" i="13"/>
  <c r="G75" i="13"/>
  <c r="N74" i="13"/>
  <c r="G74" i="13"/>
  <c r="N73" i="13"/>
  <c r="G73" i="13"/>
  <c r="N72" i="13"/>
  <c r="G72" i="13"/>
  <c r="N71" i="13"/>
  <c r="G71" i="13"/>
  <c r="N70" i="13"/>
  <c r="Q70" i="13" s="1"/>
  <c r="G70" i="13"/>
  <c r="N69" i="13"/>
  <c r="Q69" i="13" s="1"/>
  <c r="G69" i="13"/>
  <c r="N68" i="13"/>
  <c r="Q68" i="13" s="1"/>
  <c r="G68" i="13"/>
  <c r="N67" i="13"/>
  <c r="Q67" i="13" s="1"/>
  <c r="G67" i="13"/>
  <c r="N66" i="13"/>
  <c r="Q66" i="13" s="1"/>
  <c r="G66" i="13"/>
  <c r="N65" i="13"/>
  <c r="G65" i="13"/>
  <c r="N64" i="13"/>
  <c r="G64" i="13"/>
  <c r="N63" i="13"/>
  <c r="G63" i="13"/>
  <c r="N62" i="13"/>
  <c r="G62" i="13"/>
  <c r="N61" i="13"/>
  <c r="G61" i="13"/>
  <c r="N60" i="13"/>
  <c r="G60" i="13"/>
  <c r="N59" i="13"/>
  <c r="G59" i="13"/>
  <c r="N58" i="13"/>
  <c r="Q58" i="13" s="1"/>
  <c r="G58" i="13"/>
  <c r="N57" i="13"/>
  <c r="Q57" i="13" s="1"/>
  <c r="G57" i="13"/>
  <c r="N56" i="13"/>
  <c r="Q56" i="13" s="1"/>
  <c r="G56" i="13"/>
  <c r="N55" i="13"/>
  <c r="Q55" i="13" s="1"/>
  <c r="G55" i="13"/>
  <c r="N54" i="13"/>
  <c r="Q54" i="13" s="1"/>
  <c r="G54" i="13"/>
  <c r="N53" i="13"/>
  <c r="G53" i="13"/>
  <c r="N52" i="13"/>
  <c r="G52" i="13"/>
  <c r="N51" i="13"/>
  <c r="G51" i="13"/>
  <c r="N50" i="13"/>
  <c r="G50" i="13"/>
  <c r="N49" i="13"/>
  <c r="G49" i="13"/>
  <c r="N48" i="13"/>
  <c r="G48" i="13"/>
  <c r="N47" i="13"/>
  <c r="G47" i="13"/>
  <c r="N46" i="13"/>
  <c r="Q46" i="13" s="1"/>
  <c r="G46" i="13"/>
  <c r="N45" i="13"/>
  <c r="Q45" i="13" s="1"/>
  <c r="G45" i="13"/>
  <c r="N44" i="13"/>
  <c r="Q44" i="13" s="1"/>
  <c r="G44" i="13"/>
  <c r="N43" i="13"/>
  <c r="Q43" i="13" s="1"/>
  <c r="G43" i="13"/>
  <c r="N42" i="13"/>
  <c r="Q42" i="13" s="1"/>
  <c r="G42" i="13"/>
  <c r="N41" i="13"/>
  <c r="G41" i="13"/>
  <c r="N40" i="13"/>
  <c r="G40" i="13"/>
  <c r="N39" i="13"/>
  <c r="G39" i="13"/>
  <c r="N38" i="13"/>
  <c r="G38" i="13"/>
  <c r="N37" i="13"/>
  <c r="G37" i="13"/>
  <c r="N36" i="13"/>
  <c r="G36" i="13"/>
  <c r="N35" i="13"/>
  <c r="G35" i="13"/>
  <c r="N34" i="13"/>
  <c r="Q34" i="13" s="1"/>
  <c r="G34" i="13"/>
  <c r="N33" i="13"/>
  <c r="Q33" i="13" s="1"/>
  <c r="G33" i="13"/>
  <c r="N32" i="13"/>
  <c r="Q32" i="13" s="1"/>
  <c r="G32" i="13"/>
  <c r="N31" i="13"/>
  <c r="Q31" i="13" s="1"/>
  <c r="G31" i="13"/>
  <c r="N30" i="13"/>
  <c r="Q30" i="13" s="1"/>
  <c r="G30" i="13"/>
  <c r="N29" i="13"/>
  <c r="G29" i="13"/>
  <c r="N28" i="13"/>
  <c r="G28" i="13"/>
  <c r="N27" i="13"/>
  <c r="G27" i="13"/>
  <c r="N26" i="13"/>
  <c r="G26" i="13"/>
  <c r="N25" i="13"/>
  <c r="G25" i="13"/>
  <c r="N24" i="13"/>
  <c r="G24" i="13"/>
  <c r="H24" i="13" s="1"/>
  <c r="N23" i="13"/>
  <c r="G23" i="13"/>
  <c r="N22" i="13"/>
  <c r="Q22" i="13" s="1"/>
  <c r="G22" i="13"/>
  <c r="N21" i="13"/>
  <c r="Q21" i="13" s="1"/>
  <c r="G21" i="13"/>
  <c r="N20" i="13"/>
  <c r="Q20" i="13" s="1"/>
  <c r="G20" i="13"/>
  <c r="N19" i="13"/>
  <c r="Q19" i="13" s="1"/>
  <c r="G19" i="13"/>
  <c r="N18" i="13"/>
  <c r="Q18" i="13" s="1"/>
  <c r="G18" i="13"/>
  <c r="N17" i="13"/>
  <c r="G17" i="13"/>
  <c r="N16" i="13"/>
  <c r="G16" i="13"/>
  <c r="C16" i="13"/>
  <c r="N15" i="13"/>
  <c r="G15" i="13"/>
  <c r="H15" i="13" s="1"/>
  <c r="M15" i="13" s="1"/>
  <c r="C15" i="13"/>
  <c r="N14" i="13"/>
  <c r="G14" i="13"/>
  <c r="C14" i="13"/>
  <c r="N13" i="13"/>
  <c r="G13" i="13"/>
  <c r="C13" i="13"/>
  <c r="N12" i="13"/>
  <c r="G12" i="13"/>
  <c r="H12" i="13" s="1"/>
  <c r="C12" i="13"/>
  <c r="N11" i="13"/>
  <c r="G11" i="13"/>
  <c r="C11" i="13"/>
  <c r="N10" i="13"/>
  <c r="Q10" i="13" s="1"/>
  <c r="G10" i="13"/>
  <c r="C10" i="13"/>
  <c r="N9" i="13"/>
  <c r="Q9" i="13" s="1"/>
  <c r="G9" i="13"/>
  <c r="C9" i="13"/>
  <c r="N8" i="13"/>
  <c r="Q8" i="13" s="1"/>
  <c r="G8" i="13"/>
  <c r="C8" i="13"/>
  <c r="N7" i="13"/>
  <c r="Q7" i="13" s="1"/>
  <c r="G7" i="13"/>
  <c r="C7" i="13"/>
  <c r="G6" i="13"/>
  <c r="C6" i="13"/>
  <c r="F5" i="13"/>
  <c r="F28" i="16"/>
  <c r="F40" i="16" s="1"/>
  <c r="F52" i="16" s="1"/>
  <c r="F64" i="16" s="1"/>
  <c r="F27" i="16"/>
  <c r="F39" i="16" s="1"/>
  <c r="F51" i="16" s="1"/>
  <c r="F63" i="16" s="1"/>
  <c r="F26" i="16"/>
  <c r="F38" i="16" s="1"/>
  <c r="F50" i="16" s="1"/>
  <c r="F62" i="16" s="1"/>
  <c r="F25" i="16"/>
  <c r="F37" i="16" s="1"/>
  <c r="F49" i="16" s="1"/>
  <c r="F61" i="16" s="1"/>
  <c r="F24" i="16"/>
  <c r="F36" i="16" s="1"/>
  <c r="F48" i="16" s="1"/>
  <c r="F60" i="16" s="1"/>
  <c r="F23" i="16"/>
  <c r="F35" i="16" s="1"/>
  <c r="F47" i="16" s="1"/>
  <c r="F59" i="16" s="1"/>
  <c r="F22" i="16"/>
  <c r="F34" i="16" s="1"/>
  <c r="F46" i="16" s="1"/>
  <c r="F58" i="16" s="1"/>
  <c r="F21" i="16"/>
  <c r="F33" i="16" s="1"/>
  <c r="F45" i="16" s="1"/>
  <c r="F57" i="16" s="1"/>
  <c r="F20" i="16"/>
  <c r="F32" i="16" s="1"/>
  <c r="F44" i="16" s="1"/>
  <c r="F56" i="16" s="1"/>
  <c r="F19" i="16"/>
  <c r="F31" i="16" s="1"/>
  <c r="F43" i="16" s="1"/>
  <c r="F55" i="16" s="1"/>
  <c r="F18" i="16"/>
  <c r="F30" i="16" s="1"/>
  <c r="F42" i="16" s="1"/>
  <c r="F54" i="16" s="1"/>
  <c r="F17" i="16"/>
  <c r="F29" i="16" s="1"/>
  <c r="F41" i="16" s="1"/>
  <c r="F53" i="16" s="1"/>
  <c r="F65" i="16" s="1"/>
  <c r="AB132" i="13" s="1"/>
  <c r="AB131" i="13" s="1"/>
  <c r="AB130" i="13" s="1"/>
  <c r="AB129" i="13" s="1"/>
  <c r="AB128" i="13" s="1"/>
  <c r="AB127" i="13" s="1"/>
  <c r="AB126" i="13" s="1"/>
  <c r="AB125" i="13" s="1"/>
  <c r="AB124" i="13" s="1"/>
  <c r="AB123" i="13" s="1"/>
  <c r="AB122" i="13" s="1"/>
  <c r="AB121" i="13" s="1"/>
  <c r="AB120" i="13" s="1"/>
  <c r="AB119" i="13" s="1"/>
  <c r="AB118" i="13" s="1"/>
  <c r="AB117" i="13" s="1"/>
  <c r="AB116" i="13" s="1"/>
  <c r="AB68" i="13" s="1"/>
  <c r="E28" i="16"/>
  <c r="E40" i="16" s="1"/>
  <c r="E52" i="16" s="1"/>
  <c r="E64" i="16" s="1"/>
  <c r="E76" i="16" s="1"/>
  <c r="E88" i="16" s="1"/>
  <c r="E27" i="16"/>
  <c r="E39" i="16" s="1"/>
  <c r="E51" i="16" s="1"/>
  <c r="E63" i="16" s="1"/>
  <c r="E26" i="16"/>
  <c r="E38" i="16" s="1"/>
  <c r="E50" i="16" s="1"/>
  <c r="E62" i="16" s="1"/>
  <c r="E74" i="16" s="1"/>
  <c r="E86" i="16" s="1"/>
  <c r="E98" i="16" s="1"/>
  <c r="E110" i="16" s="1"/>
  <c r="E122" i="16" s="1"/>
  <c r="E25" i="16"/>
  <c r="E37" i="16" s="1"/>
  <c r="E49" i="16" s="1"/>
  <c r="E61" i="16" s="1"/>
  <c r="E73" i="16" s="1"/>
  <c r="E24" i="16"/>
  <c r="E36" i="16" s="1"/>
  <c r="E48" i="16" s="1"/>
  <c r="E23" i="16"/>
  <c r="E22" i="16"/>
  <c r="E34" i="16" s="1"/>
  <c r="E46" i="16" s="1"/>
  <c r="E58" i="16" s="1"/>
  <c r="E70" i="16" s="1"/>
  <c r="E82" i="16" s="1"/>
  <c r="E94" i="16" s="1"/>
  <c r="E106" i="16" s="1"/>
  <c r="E118" i="16" s="1"/>
  <c r="E21" i="16"/>
  <c r="E33" i="16" s="1"/>
  <c r="E45" i="16" s="1"/>
  <c r="E57" i="16" s="1"/>
  <c r="E20" i="16"/>
  <c r="E32" i="16" s="1"/>
  <c r="E44" i="16" s="1"/>
  <c r="E56" i="16" s="1"/>
  <c r="E68" i="16" s="1"/>
  <c r="E19" i="16"/>
  <c r="E31" i="16" s="1"/>
  <c r="E43" i="16" s="1"/>
  <c r="E18" i="16"/>
  <c r="E30" i="16" s="1"/>
  <c r="E42" i="16" s="1"/>
  <c r="E54" i="16" s="1"/>
  <c r="E66" i="16" s="1"/>
  <c r="E78" i="16" s="1"/>
  <c r="E17" i="16"/>
  <c r="G15" i="16" s="1"/>
  <c r="H13" i="16" s="1"/>
  <c r="AD13" i="13" s="1"/>
  <c r="AB12" i="13" s="1"/>
  <c r="H11" i="16" s="1"/>
  <c r="AD11" i="13" s="1"/>
  <c r="AB11" i="13" s="1"/>
  <c r="G10" i="16" s="1"/>
  <c r="AB10" i="13" s="1"/>
  <c r="AB9" i="13" s="1"/>
  <c r="AB8" i="13" s="1"/>
  <c r="G7" i="16" s="1"/>
  <c r="AB6" i="13" s="1"/>
  <c r="G5" i="16" s="1"/>
  <c r="B126" i="13"/>
  <c r="B138" i="13" s="1"/>
  <c r="B150" i="13" s="1"/>
  <c r="B162" i="13" s="1"/>
  <c r="B174" i="13" s="1"/>
  <c r="B186" i="13" s="1"/>
  <c r="B198" i="13" s="1"/>
  <c r="B210" i="13" s="1"/>
  <c r="B222" i="13" s="1"/>
  <c r="B234" i="13" s="1"/>
  <c r="B246" i="13" s="1"/>
  <c r="B258" i="13" s="1"/>
  <c r="B270" i="13" s="1"/>
  <c r="B282" i="13" s="1"/>
  <c r="B294" i="13" s="1"/>
  <c r="B306" i="13" s="1"/>
  <c r="B318" i="13" s="1"/>
  <c r="B330" i="13" s="1"/>
  <c r="B342" i="13" s="1"/>
  <c r="B354" i="13" s="1"/>
  <c r="B127" i="13"/>
  <c r="B139" i="13" s="1"/>
  <c r="B151" i="13" s="1"/>
  <c r="B163" i="13" s="1"/>
  <c r="B175" i="13" s="1"/>
  <c r="B187" i="13" s="1"/>
  <c r="B199" i="13" s="1"/>
  <c r="B211" i="13" s="1"/>
  <c r="B223" i="13" s="1"/>
  <c r="B235" i="13" s="1"/>
  <c r="B247" i="13" s="1"/>
  <c r="B259" i="13" s="1"/>
  <c r="B271" i="13" s="1"/>
  <c r="B283" i="13" s="1"/>
  <c r="B295" i="13" s="1"/>
  <c r="B307" i="13" s="1"/>
  <c r="B319" i="13" s="1"/>
  <c r="B331" i="13" s="1"/>
  <c r="B343" i="13" s="1"/>
  <c r="B355" i="13" s="1"/>
  <c r="B128" i="13"/>
  <c r="B140" i="13" s="1"/>
  <c r="B152" i="13" s="1"/>
  <c r="B164" i="13" s="1"/>
  <c r="B176" i="13" s="1"/>
  <c r="B188" i="13" s="1"/>
  <c r="B200" i="13" s="1"/>
  <c r="B212" i="13" s="1"/>
  <c r="B224" i="13" s="1"/>
  <c r="B236" i="13" s="1"/>
  <c r="B248" i="13" s="1"/>
  <c r="B260" i="13" s="1"/>
  <c r="B272" i="13" s="1"/>
  <c r="B284" i="13" s="1"/>
  <c r="B296" i="13" s="1"/>
  <c r="B308" i="13" s="1"/>
  <c r="B320" i="13" s="1"/>
  <c r="B332" i="13" s="1"/>
  <c r="B344" i="13" s="1"/>
  <c r="B356" i="13" s="1"/>
  <c r="B129" i="13"/>
  <c r="B141" i="13" s="1"/>
  <c r="B153" i="13" s="1"/>
  <c r="B165" i="13" s="1"/>
  <c r="B177" i="13" s="1"/>
  <c r="B189" i="13" s="1"/>
  <c r="B201" i="13" s="1"/>
  <c r="B213" i="13" s="1"/>
  <c r="B225" i="13" s="1"/>
  <c r="B237" i="13" s="1"/>
  <c r="B249" i="13" s="1"/>
  <c r="B261" i="13" s="1"/>
  <c r="B273" i="13" s="1"/>
  <c r="B285" i="13" s="1"/>
  <c r="B297" i="13" s="1"/>
  <c r="B309" i="13" s="1"/>
  <c r="B321" i="13" s="1"/>
  <c r="B333" i="13" s="1"/>
  <c r="B345" i="13" s="1"/>
  <c r="B357" i="13" s="1"/>
  <c r="B130" i="13"/>
  <c r="B142" i="13" s="1"/>
  <c r="B154" i="13" s="1"/>
  <c r="B166" i="13" s="1"/>
  <c r="B178" i="13" s="1"/>
  <c r="B190" i="13" s="1"/>
  <c r="B202" i="13" s="1"/>
  <c r="B214" i="13" s="1"/>
  <c r="B226" i="13" s="1"/>
  <c r="B238" i="13" s="1"/>
  <c r="B250" i="13" s="1"/>
  <c r="B262" i="13" s="1"/>
  <c r="B274" i="13" s="1"/>
  <c r="B286" i="13" s="1"/>
  <c r="B298" i="13" s="1"/>
  <c r="B310" i="13" s="1"/>
  <c r="B322" i="13" s="1"/>
  <c r="B334" i="13" s="1"/>
  <c r="B346" i="13" s="1"/>
  <c r="B358" i="13" s="1"/>
  <c r="B131" i="13"/>
  <c r="B143" i="13" s="1"/>
  <c r="B155" i="13" s="1"/>
  <c r="B167" i="13" s="1"/>
  <c r="B179" i="13" s="1"/>
  <c r="B191" i="13" s="1"/>
  <c r="B203" i="13" s="1"/>
  <c r="B215" i="13" s="1"/>
  <c r="B227" i="13" s="1"/>
  <c r="B239" i="13" s="1"/>
  <c r="B251" i="13" s="1"/>
  <c r="B263" i="13" s="1"/>
  <c r="B275" i="13" s="1"/>
  <c r="B287" i="13" s="1"/>
  <c r="B299" i="13" s="1"/>
  <c r="B311" i="13" s="1"/>
  <c r="B323" i="13" s="1"/>
  <c r="B335" i="13" s="1"/>
  <c r="B347" i="13" s="1"/>
  <c r="B359" i="13" s="1"/>
  <c r="B132" i="13"/>
  <c r="B144" i="13" s="1"/>
  <c r="B156" i="13" s="1"/>
  <c r="B168" i="13" s="1"/>
  <c r="B180" i="13" s="1"/>
  <c r="B192" i="13" s="1"/>
  <c r="B204" i="13" s="1"/>
  <c r="B216" i="13" s="1"/>
  <c r="B228" i="13" s="1"/>
  <c r="B240" i="13" s="1"/>
  <c r="B252" i="13" s="1"/>
  <c r="B264" i="13" s="1"/>
  <c r="B276" i="13" s="1"/>
  <c r="B288" i="13" s="1"/>
  <c r="B300" i="13" s="1"/>
  <c r="B312" i="13" s="1"/>
  <c r="B324" i="13" s="1"/>
  <c r="B336" i="13" s="1"/>
  <c r="B348" i="13" s="1"/>
  <c r="B360" i="13" s="1"/>
  <c r="B133" i="13"/>
  <c r="B145" i="13" s="1"/>
  <c r="B157" i="13" s="1"/>
  <c r="B169" i="13" s="1"/>
  <c r="B181" i="13" s="1"/>
  <c r="B193" i="13" s="1"/>
  <c r="B205" i="13" s="1"/>
  <c r="B217" i="13" s="1"/>
  <c r="B229" i="13" s="1"/>
  <c r="B241" i="13" s="1"/>
  <c r="B253" i="13" s="1"/>
  <c r="B265" i="13" s="1"/>
  <c r="B277" i="13" s="1"/>
  <c r="B289" i="13" s="1"/>
  <c r="B301" i="13" s="1"/>
  <c r="B313" i="13" s="1"/>
  <c r="B325" i="13" s="1"/>
  <c r="B337" i="13" s="1"/>
  <c r="B349" i="13" s="1"/>
  <c r="B361" i="13" s="1"/>
  <c r="B134" i="13"/>
  <c r="B146" i="13" s="1"/>
  <c r="B158" i="13" s="1"/>
  <c r="B170" i="13" s="1"/>
  <c r="B182" i="13" s="1"/>
  <c r="B194" i="13" s="1"/>
  <c r="B206" i="13" s="1"/>
  <c r="B218" i="13" s="1"/>
  <c r="B230" i="13" s="1"/>
  <c r="B242" i="13" s="1"/>
  <c r="B254" i="13" s="1"/>
  <c r="B266" i="13" s="1"/>
  <c r="B278" i="13" s="1"/>
  <c r="B290" i="13" s="1"/>
  <c r="B302" i="13" s="1"/>
  <c r="B314" i="13" s="1"/>
  <c r="B326" i="13" s="1"/>
  <c r="B338" i="13" s="1"/>
  <c r="B350" i="13" s="1"/>
  <c r="B362" i="13" s="1"/>
  <c r="B135" i="13"/>
  <c r="B147" i="13" s="1"/>
  <c r="B159" i="13" s="1"/>
  <c r="B171" i="13" s="1"/>
  <c r="B183" i="13" s="1"/>
  <c r="B195" i="13" s="1"/>
  <c r="B207" i="13" s="1"/>
  <c r="B219" i="13" s="1"/>
  <c r="B231" i="13" s="1"/>
  <c r="B243" i="13" s="1"/>
  <c r="B255" i="13" s="1"/>
  <c r="B267" i="13" s="1"/>
  <c r="B279" i="13" s="1"/>
  <c r="B291" i="13" s="1"/>
  <c r="B303" i="13" s="1"/>
  <c r="B315" i="13" s="1"/>
  <c r="B327" i="13" s="1"/>
  <c r="B339" i="13" s="1"/>
  <c r="B351" i="13" s="1"/>
  <c r="B363" i="13" s="1"/>
  <c r="B136" i="13"/>
  <c r="B148" i="13" s="1"/>
  <c r="B160" i="13" s="1"/>
  <c r="B172" i="13" s="1"/>
  <c r="B184" i="13" s="1"/>
  <c r="B196" i="13" s="1"/>
  <c r="B208" i="13" s="1"/>
  <c r="B220" i="13" s="1"/>
  <c r="B232" i="13" s="1"/>
  <c r="B244" i="13" s="1"/>
  <c r="B256" i="13" s="1"/>
  <c r="B268" i="13" s="1"/>
  <c r="B280" i="13" s="1"/>
  <c r="B292" i="13" s="1"/>
  <c r="B304" i="13" s="1"/>
  <c r="B316" i="13" s="1"/>
  <c r="B328" i="13" s="1"/>
  <c r="B340" i="13" s="1"/>
  <c r="B352" i="13" s="1"/>
  <c r="B364" i="13" s="1"/>
  <c r="B125" i="13"/>
  <c r="B137" i="13" s="1"/>
  <c r="B149" i="13" s="1"/>
  <c r="B161" i="13" s="1"/>
  <c r="B173" i="13" s="1"/>
  <c r="B185" i="13" s="1"/>
  <c r="B197" i="13" s="1"/>
  <c r="B209" i="13" s="1"/>
  <c r="B221" i="13" s="1"/>
  <c r="B233" i="13" s="1"/>
  <c r="B245" i="13" s="1"/>
  <c r="B257" i="13" s="1"/>
  <c r="B269" i="13" s="1"/>
  <c r="B281" i="13" s="1"/>
  <c r="B293" i="13" s="1"/>
  <c r="B305" i="13" s="1"/>
  <c r="B317" i="13" s="1"/>
  <c r="B329" i="13" s="1"/>
  <c r="B341" i="13" s="1"/>
  <c r="B353" i="13" s="1"/>
  <c r="A25" i="13"/>
  <c r="A26" i="13"/>
  <c r="A27" i="13"/>
  <c r="A28" i="13"/>
  <c r="A20" i="13"/>
  <c r="A21" i="13"/>
  <c r="A22" i="13"/>
  <c r="A23" i="13"/>
  <c r="A24" i="13"/>
  <c r="A18" i="13"/>
  <c r="A19" i="13"/>
  <c r="A17" i="13"/>
  <c r="C17" i="13" s="1"/>
  <c r="CG5" i="13" l="1"/>
  <c r="CH5" i="13" s="1"/>
  <c r="I5" i="13"/>
  <c r="J5" i="13" s="1"/>
  <c r="Q5" i="13"/>
  <c r="AJ5" i="13"/>
  <c r="H6" i="16"/>
  <c r="AD6" i="13" s="1"/>
  <c r="G6" i="16"/>
  <c r="H5" i="16"/>
  <c r="AW5" i="13" s="1"/>
  <c r="AX5" i="13" s="1"/>
  <c r="F70" i="16"/>
  <c r="H58" i="16"/>
  <c r="F74" i="16"/>
  <c r="H62" i="16"/>
  <c r="F75" i="16"/>
  <c r="H63" i="16"/>
  <c r="F69" i="16"/>
  <c r="H57" i="16"/>
  <c r="F68" i="16"/>
  <c r="H56" i="16"/>
  <c r="F71" i="16"/>
  <c r="H59" i="16"/>
  <c r="F73" i="16"/>
  <c r="H61" i="16"/>
  <c r="F67" i="16"/>
  <c r="H55" i="16"/>
  <c r="F72" i="16"/>
  <c r="H60" i="16"/>
  <c r="F76" i="16"/>
  <c r="H64" i="16"/>
  <c r="F77" i="16"/>
  <c r="H65" i="16"/>
  <c r="H54" i="16"/>
  <c r="F66" i="16"/>
  <c r="B90" i="5"/>
  <c r="B89" i="5"/>
  <c r="B88" i="5"/>
  <c r="B87" i="5"/>
  <c r="B86" i="5"/>
  <c r="B85" i="5"/>
  <c r="B64" i="5"/>
  <c r="B84" i="5"/>
  <c r="B73" i="5"/>
  <c r="B83" i="5"/>
  <c r="B72" i="5"/>
  <c r="B82" i="5"/>
  <c r="B71" i="5"/>
  <c r="B81" i="5"/>
  <c r="B70" i="5"/>
  <c r="B80" i="5"/>
  <c r="B69" i="5"/>
  <c r="B79" i="5"/>
  <c r="B68" i="5"/>
  <c r="B78" i="5"/>
  <c r="B67" i="5"/>
  <c r="B77" i="5"/>
  <c r="B66" i="5"/>
  <c r="B76" i="5"/>
  <c r="B65" i="5"/>
  <c r="B75" i="5"/>
  <c r="B104" i="5"/>
  <c r="B93" i="5"/>
  <c r="B92" i="5"/>
  <c r="B91" i="5"/>
  <c r="C14" i="5"/>
  <c r="P14" i="5" s="1"/>
  <c r="Q139" i="4"/>
  <c r="P139" i="4"/>
  <c r="O138" i="4"/>
  <c r="M138" i="4"/>
  <c r="K138" i="4"/>
  <c r="Q135" i="4"/>
  <c r="P135" i="4"/>
  <c r="Q356" i="4"/>
  <c r="J356" i="4"/>
  <c r="K356" i="4"/>
  <c r="L356" i="4"/>
  <c r="M356" i="4"/>
  <c r="N356" i="4"/>
  <c r="O356" i="4"/>
  <c r="P356" i="4"/>
  <c r="L336" i="4"/>
  <c r="M336" i="4"/>
  <c r="N336" i="4"/>
  <c r="O336" i="4"/>
  <c r="P336" i="4"/>
  <c r="Q336" i="4"/>
  <c r="J336" i="4"/>
  <c r="K336" i="4"/>
  <c r="K316" i="4"/>
  <c r="P316" i="4"/>
  <c r="Q316" i="4"/>
  <c r="J316" i="4"/>
  <c r="M316" i="4"/>
  <c r="L316" i="4"/>
  <c r="N316" i="4"/>
  <c r="O316" i="4"/>
  <c r="O296" i="4"/>
  <c r="P296" i="4"/>
  <c r="Q296" i="4"/>
  <c r="K296" i="4"/>
  <c r="L296" i="4"/>
  <c r="M296" i="4"/>
  <c r="N296" i="4"/>
  <c r="J296" i="4"/>
  <c r="K276" i="4"/>
  <c r="L276" i="4"/>
  <c r="M276" i="4"/>
  <c r="O276" i="4"/>
  <c r="P276" i="4"/>
  <c r="Q276" i="4"/>
  <c r="N276" i="4"/>
  <c r="J276" i="4"/>
  <c r="P256" i="4"/>
  <c r="Q256" i="4"/>
  <c r="J256" i="4"/>
  <c r="K256" i="4"/>
  <c r="L256" i="4"/>
  <c r="M256" i="4"/>
  <c r="N256" i="4"/>
  <c r="O256" i="4"/>
  <c r="O236" i="4"/>
  <c r="P236" i="4"/>
  <c r="Q236" i="4"/>
  <c r="J236" i="4"/>
  <c r="K236" i="4"/>
  <c r="L236" i="4"/>
  <c r="M236" i="4"/>
  <c r="N236" i="4"/>
  <c r="J216" i="4"/>
  <c r="K216" i="4"/>
  <c r="L216" i="4"/>
  <c r="M216" i="4"/>
  <c r="N216" i="4"/>
  <c r="O216" i="4"/>
  <c r="P216" i="4"/>
  <c r="Q216" i="4"/>
  <c r="O196" i="4"/>
  <c r="P196" i="4"/>
  <c r="Q196" i="4"/>
  <c r="J196" i="4"/>
  <c r="K196" i="4"/>
  <c r="L196" i="4"/>
  <c r="N196" i="4"/>
  <c r="M196" i="4"/>
  <c r="K176" i="4"/>
  <c r="L176" i="4"/>
  <c r="M176" i="4"/>
  <c r="N176" i="4"/>
  <c r="O176" i="4"/>
  <c r="P176" i="4"/>
  <c r="Q176" i="4"/>
  <c r="J176" i="4"/>
  <c r="J156" i="4"/>
  <c r="K156" i="4"/>
  <c r="L156" i="4"/>
  <c r="M156" i="4"/>
  <c r="N156" i="4"/>
  <c r="O156" i="4"/>
  <c r="P156" i="4"/>
  <c r="Q156" i="4"/>
  <c r="K355" i="4"/>
  <c r="O355" i="4"/>
  <c r="P355" i="4"/>
  <c r="Q355" i="4"/>
  <c r="L355" i="4"/>
  <c r="M355" i="4"/>
  <c r="N355" i="4"/>
  <c r="J355" i="4"/>
  <c r="K335" i="4"/>
  <c r="J335" i="4"/>
  <c r="L335" i="4"/>
  <c r="M335" i="4"/>
  <c r="N335" i="4"/>
  <c r="O335" i="4"/>
  <c r="P335" i="4"/>
  <c r="Q335" i="4"/>
  <c r="K315" i="4"/>
  <c r="M315" i="4"/>
  <c r="N315" i="4"/>
  <c r="O315" i="4"/>
  <c r="P315" i="4"/>
  <c r="Q315" i="4"/>
  <c r="J315" i="4"/>
  <c r="L315" i="4"/>
  <c r="K295" i="4"/>
  <c r="O295" i="4"/>
  <c r="P295" i="4"/>
  <c r="J295" i="4"/>
  <c r="M295" i="4"/>
  <c r="N295" i="4"/>
  <c r="Q295" i="4"/>
  <c r="L295" i="4"/>
  <c r="K275" i="4"/>
  <c r="J275" i="4"/>
  <c r="L275" i="4"/>
  <c r="Q275" i="4"/>
  <c r="P275" i="4"/>
  <c r="M275" i="4"/>
  <c r="N275" i="4"/>
  <c r="O275" i="4"/>
  <c r="K255" i="4"/>
  <c r="O255" i="4"/>
  <c r="P255" i="4"/>
  <c r="Q255" i="4"/>
  <c r="J255" i="4"/>
  <c r="L255" i="4"/>
  <c r="M255" i="4"/>
  <c r="N255" i="4"/>
  <c r="K235" i="4"/>
  <c r="J235" i="4"/>
  <c r="L235" i="4"/>
  <c r="M235" i="4"/>
  <c r="P235" i="4"/>
  <c r="Q235" i="4"/>
  <c r="N235" i="4"/>
  <c r="O235" i="4"/>
  <c r="K215" i="4"/>
  <c r="Q215" i="4"/>
  <c r="J215" i="4"/>
  <c r="L215" i="4"/>
  <c r="M215" i="4"/>
  <c r="N215" i="4"/>
  <c r="O215" i="4"/>
  <c r="P215" i="4"/>
  <c r="K195" i="4"/>
  <c r="N195" i="4"/>
  <c r="O195" i="4"/>
  <c r="P195" i="4"/>
  <c r="Q195" i="4"/>
  <c r="J195" i="4"/>
  <c r="L195" i="4"/>
  <c r="M195" i="4"/>
  <c r="K175" i="4"/>
  <c r="J175" i="4"/>
  <c r="L175" i="4"/>
  <c r="M175" i="4"/>
  <c r="N175" i="4"/>
  <c r="O175" i="4"/>
  <c r="P175" i="4"/>
  <c r="Q175" i="4"/>
  <c r="N155" i="4"/>
  <c r="O155" i="4"/>
  <c r="K155" i="4"/>
  <c r="J155" i="4"/>
  <c r="L155" i="4"/>
  <c r="M155" i="4"/>
  <c r="P155" i="4"/>
  <c r="Q155" i="4"/>
  <c r="I1798" i="4"/>
  <c r="N354" i="4"/>
  <c r="O354" i="4"/>
  <c r="J354" i="4"/>
  <c r="K354" i="4"/>
  <c r="L354" i="4"/>
  <c r="M354" i="4"/>
  <c r="P354" i="4"/>
  <c r="Q354" i="4"/>
  <c r="I1778" i="4"/>
  <c r="N334" i="4"/>
  <c r="O334" i="4"/>
  <c r="L334" i="4"/>
  <c r="M334" i="4"/>
  <c r="P334" i="4"/>
  <c r="J334" i="4"/>
  <c r="K334" i="4"/>
  <c r="Q334" i="4"/>
  <c r="I1397" i="4"/>
  <c r="N314" i="4"/>
  <c r="O314" i="4"/>
  <c r="L314" i="4"/>
  <c r="M314" i="4"/>
  <c r="P314" i="4"/>
  <c r="J314" i="4"/>
  <c r="K314" i="4"/>
  <c r="Q314" i="4"/>
  <c r="I1738" i="4"/>
  <c r="N294" i="4"/>
  <c r="O294" i="4"/>
  <c r="J294" i="4"/>
  <c r="L294" i="4"/>
  <c r="M294" i="4"/>
  <c r="P294" i="4"/>
  <c r="K294" i="4"/>
  <c r="Q294" i="4"/>
  <c r="I1718" i="4"/>
  <c r="N274" i="4"/>
  <c r="O274" i="4"/>
  <c r="M274" i="4"/>
  <c r="P274" i="4"/>
  <c r="Q274" i="4"/>
  <c r="J274" i="4"/>
  <c r="K274" i="4"/>
  <c r="L274" i="4"/>
  <c r="I1698" i="4"/>
  <c r="N254" i="4"/>
  <c r="O254" i="4"/>
  <c r="L254" i="4"/>
  <c r="M254" i="4"/>
  <c r="K254" i="4"/>
  <c r="P254" i="4"/>
  <c r="J254" i="4"/>
  <c r="Q254" i="4"/>
  <c r="I1678" i="4"/>
  <c r="N234" i="4"/>
  <c r="O234" i="4"/>
  <c r="J234" i="4"/>
  <c r="K234" i="4"/>
  <c r="L234" i="4"/>
  <c r="M234" i="4"/>
  <c r="P234" i="4"/>
  <c r="Q234" i="4"/>
  <c r="I1297" i="4"/>
  <c r="N214" i="4"/>
  <c r="O214" i="4"/>
  <c r="L214" i="4"/>
  <c r="M214" i="4"/>
  <c r="P214" i="4"/>
  <c r="J214" i="4"/>
  <c r="K214" i="4"/>
  <c r="Q214" i="4"/>
  <c r="I1638" i="4"/>
  <c r="N194" i="4"/>
  <c r="O194" i="4"/>
  <c r="J194" i="4"/>
  <c r="M194" i="4"/>
  <c r="P194" i="4"/>
  <c r="Q194" i="4"/>
  <c r="L194" i="4"/>
  <c r="K194" i="4"/>
  <c r="I1618" i="4"/>
  <c r="N174" i="4"/>
  <c r="O174" i="4"/>
  <c r="Q174" i="4"/>
  <c r="M174" i="4"/>
  <c r="P174" i="4"/>
  <c r="J174" i="4"/>
  <c r="K174" i="4"/>
  <c r="L174" i="4"/>
  <c r="I1598" i="4"/>
  <c r="N154" i="4"/>
  <c r="O154" i="4"/>
  <c r="J154" i="4"/>
  <c r="K154" i="4"/>
  <c r="L154" i="4"/>
  <c r="M154" i="4"/>
  <c r="P154" i="4"/>
  <c r="Q154" i="4"/>
  <c r="Q142" i="4"/>
  <c r="O135" i="4"/>
  <c r="I714" i="4"/>
  <c r="E714" i="4" s="1"/>
  <c r="J353" i="4"/>
  <c r="O353" i="4"/>
  <c r="P353" i="4"/>
  <c r="Q353" i="4"/>
  <c r="L353" i="4"/>
  <c r="M353" i="4"/>
  <c r="N353" i="4"/>
  <c r="K353" i="4"/>
  <c r="I694" i="4"/>
  <c r="E694" i="4" s="1"/>
  <c r="J333" i="4"/>
  <c r="K333" i="4"/>
  <c r="L333" i="4"/>
  <c r="M333" i="4"/>
  <c r="N333" i="4"/>
  <c r="O333" i="4"/>
  <c r="Q333" i="4"/>
  <c r="P333" i="4"/>
  <c r="I674" i="4"/>
  <c r="E674" i="4" s="1"/>
  <c r="L313" i="4"/>
  <c r="M313" i="4"/>
  <c r="N313" i="4"/>
  <c r="O313" i="4"/>
  <c r="J313" i="4"/>
  <c r="K313" i="4"/>
  <c r="P313" i="4"/>
  <c r="Q313" i="4"/>
  <c r="I654" i="4"/>
  <c r="E654" i="4" s="1"/>
  <c r="P293" i="4"/>
  <c r="Q293" i="4"/>
  <c r="J293" i="4"/>
  <c r="K293" i="4"/>
  <c r="L293" i="4"/>
  <c r="N293" i="4"/>
  <c r="O293" i="4"/>
  <c r="M293" i="4"/>
  <c r="I634" i="4"/>
  <c r="E634" i="4" s="1"/>
  <c r="L273" i="4"/>
  <c r="M273" i="4"/>
  <c r="N273" i="4"/>
  <c r="J273" i="4"/>
  <c r="K273" i="4"/>
  <c r="O273" i="4"/>
  <c r="P273" i="4"/>
  <c r="Q273" i="4"/>
  <c r="I614" i="4"/>
  <c r="E614" i="4" s="1"/>
  <c r="J253" i="4"/>
  <c r="L253" i="4"/>
  <c r="M253" i="4"/>
  <c r="N253" i="4"/>
  <c r="O253" i="4"/>
  <c r="P253" i="4"/>
  <c r="Q253" i="4"/>
  <c r="K253" i="4"/>
  <c r="I594" i="4"/>
  <c r="E594" i="4" s="1"/>
  <c r="P233" i="4"/>
  <c r="Q233" i="4"/>
  <c r="L233" i="4"/>
  <c r="M233" i="4"/>
  <c r="N233" i="4"/>
  <c r="J233" i="4"/>
  <c r="K233" i="4"/>
  <c r="O233" i="4"/>
  <c r="I574" i="4"/>
  <c r="E574" i="4" s="1"/>
  <c r="K213" i="4"/>
  <c r="L213" i="4"/>
  <c r="M213" i="4"/>
  <c r="N213" i="4"/>
  <c r="O213" i="4"/>
  <c r="Q213" i="4"/>
  <c r="J213" i="4"/>
  <c r="P213" i="4"/>
  <c r="I554" i="4"/>
  <c r="E554" i="4" s="1"/>
  <c r="P193" i="4"/>
  <c r="Q193" i="4"/>
  <c r="J193" i="4"/>
  <c r="K193" i="4"/>
  <c r="L193" i="4"/>
  <c r="M193" i="4"/>
  <c r="N193" i="4"/>
  <c r="O193" i="4"/>
  <c r="I534" i="4"/>
  <c r="E534" i="4" s="1"/>
  <c r="L173" i="4"/>
  <c r="M173" i="4"/>
  <c r="N173" i="4"/>
  <c r="J173" i="4"/>
  <c r="K173" i="4"/>
  <c r="O173" i="4"/>
  <c r="P173" i="4"/>
  <c r="Q173" i="4"/>
  <c r="I514" i="4"/>
  <c r="E514" i="4" s="1"/>
  <c r="J153" i="4"/>
  <c r="K153" i="4"/>
  <c r="L153" i="4"/>
  <c r="M153" i="4"/>
  <c r="N153" i="4"/>
  <c r="O153" i="4"/>
  <c r="P153" i="4"/>
  <c r="Q153" i="4"/>
  <c r="M142" i="4"/>
  <c r="N135" i="4"/>
  <c r="I713" i="4"/>
  <c r="E713" i="4" s="1"/>
  <c r="J352" i="4"/>
  <c r="K352" i="4"/>
  <c r="O352" i="4"/>
  <c r="P352" i="4"/>
  <c r="Q352" i="4"/>
  <c r="L352" i="4"/>
  <c r="N352" i="4"/>
  <c r="M352" i="4"/>
  <c r="I693" i="4"/>
  <c r="E693" i="4" s="1"/>
  <c r="J332" i="4"/>
  <c r="K332" i="4"/>
  <c r="O332" i="4"/>
  <c r="L332" i="4"/>
  <c r="M332" i="4"/>
  <c r="N332" i="4"/>
  <c r="Q332" i="4"/>
  <c r="P332" i="4"/>
  <c r="I673" i="4"/>
  <c r="E673" i="4" s="1"/>
  <c r="J312" i="4"/>
  <c r="K312" i="4"/>
  <c r="O312" i="4"/>
  <c r="L312" i="4"/>
  <c r="M312" i="4"/>
  <c r="N312" i="4"/>
  <c r="Q312" i="4"/>
  <c r="P312" i="4"/>
  <c r="I653" i="4"/>
  <c r="E653" i="4" s="1"/>
  <c r="J292" i="4"/>
  <c r="K292" i="4"/>
  <c r="O292" i="4"/>
  <c r="P292" i="4"/>
  <c r="Q292" i="4"/>
  <c r="L292" i="4"/>
  <c r="M292" i="4"/>
  <c r="N292" i="4"/>
  <c r="I633" i="4"/>
  <c r="E633" i="4" s="1"/>
  <c r="J272" i="4"/>
  <c r="K272" i="4"/>
  <c r="O272" i="4"/>
  <c r="L272" i="4"/>
  <c r="P272" i="4"/>
  <c r="Q272" i="4"/>
  <c r="M272" i="4"/>
  <c r="N272" i="4"/>
  <c r="I613" i="4"/>
  <c r="E613" i="4" s="1"/>
  <c r="J252" i="4"/>
  <c r="K252" i="4"/>
  <c r="O252" i="4"/>
  <c r="P252" i="4"/>
  <c r="Q252" i="4"/>
  <c r="L252" i="4"/>
  <c r="M252" i="4"/>
  <c r="N252" i="4"/>
  <c r="I593" i="4"/>
  <c r="E593" i="4" s="1"/>
  <c r="J232" i="4"/>
  <c r="K232" i="4"/>
  <c r="O232" i="4"/>
  <c r="L232" i="4"/>
  <c r="M232" i="4"/>
  <c r="N232" i="4"/>
  <c r="Q232" i="4"/>
  <c r="P232" i="4"/>
  <c r="I573" i="4"/>
  <c r="E573" i="4" s="1"/>
  <c r="J212" i="4"/>
  <c r="K212" i="4"/>
  <c r="O212" i="4"/>
  <c r="L212" i="4"/>
  <c r="M212" i="4"/>
  <c r="N212" i="4"/>
  <c r="Q212" i="4"/>
  <c r="P212" i="4"/>
  <c r="I553" i="4"/>
  <c r="E553" i="4" s="1"/>
  <c r="J192" i="4"/>
  <c r="K192" i="4"/>
  <c r="O192" i="4"/>
  <c r="N192" i="4"/>
  <c r="P192" i="4"/>
  <c r="Q192" i="4"/>
  <c r="L192" i="4"/>
  <c r="M192" i="4"/>
  <c r="I533" i="4"/>
  <c r="E533" i="4" s="1"/>
  <c r="J172" i="4"/>
  <c r="K172" i="4"/>
  <c r="O172" i="4"/>
  <c r="L172" i="4"/>
  <c r="M172" i="4"/>
  <c r="N172" i="4"/>
  <c r="P172" i="4"/>
  <c r="Q172" i="4"/>
  <c r="I513" i="4"/>
  <c r="E513" i="4" s="1"/>
  <c r="J152" i="4"/>
  <c r="K152" i="4"/>
  <c r="O152" i="4"/>
  <c r="N152" i="4"/>
  <c r="P152" i="4"/>
  <c r="Q152" i="4"/>
  <c r="M152" i="4"/>
  <c r="L152" i="4"/>
  <c r="L142" i="4"/>
  <c r="M135" i="4"/>
  <c r="E351" i="4"/>
  <c r="S351" i="4" s="1"/>
  <c r="O351" i="4"/>
  <c r="P351" i="4"/>
  <c r="Q351" i="4"/>
  <c r="J351" i="4"/>
  <c r="L351" i="4"/>
  <c r="K351" i="4"/>
  <c r="M351" i="4"/>
  <c r="N351" i="4"/>
  <c r="I1775" i="4"/>
  <c r="Q331" i="4"/>
  <c r="J331" i="4"/>
  <c r="K331" i="4"/>
  <c r="L331" i="4"/>
  <c r="M331" i="4"/>
  <c r="O331" i="4"/>
  <c r="N331" i="4"/>
  <c r="P331" i="4"/>
  <c r="I1755" i="4"/>
  <c r="M311" i="4"/>
  <c r="N311" i="4"/>
  <c r="O311" i="4"/>
  <c r="L311" i="4"/>
  <c r="P311" i="4"/>
  <c r="Q311" i="4"/>
  <c r="J311" i="4"/>
  <c r="K311" i="4"/>
  <c r="E291" i="4"/>
  <c r="S291" i="4" s="1"/>
  <c r="J291" i="4"/>
  <c r="K291" i="4"/>
  <c r="L291" i="4"/>
  <c r="M291" i="4"/>
  <c r="N291" i="4"/>
  <c r="O291" i="4"/>
  <c r="P291" i="4"/>
  <c r="Q291" i="4"/>
  <c r="E271" i="4"/>
  <c r="S271" i="4" s="1"/>
  <c r="Q271" i="4"/>
  <c r="J271" i="4"/>
  <c r="K271" i="4"/>
  <c r="P271" i="4"/>
  <c r="L271" i="4"/>
  <c r="M271" i="4"/>
  <c r="N271" i="4"/>
  <c r="O271" i="4"/>
  <c r="E251" i="4"/>
  <c r="S251" i="4" s="1"/>
  <c r="M251" i="4"/>
  <c r="N251" i="4"/>
  <c r="P251" i="4"/>
  <c r="J251" i="4"/>
  <c r="K251" i="4"/>
  <c r="L251" i="4"/>
  <c r="Q251" i="4"/>
  <c r="O251" i="4"/>
  <c r="I1675" i="4"/>
  <c r="Q231" i="4"/>
  <c r="J231" i="4"/>
  <c r="K231" i="4"/>
  <c r="L231" i="4"/>
  <c r="M231" i="4"/>
  <c r="N231" i="4"/>
  <c r="O231" i="4"/>
  <c r="P231" i="4"/>
  <c r="I1655" i="4"/>
  <c r="M211" i="4"/>
  <c r="N211" i="4"/>
  <c r="O211" i="4"/>
  <c r="L211" i="4"/>
  <c r="P211" i="4"/>
  <c r="Q211" i="4"/>
  <c r="J211" i="4"/>
  <c r="K211" i="4"/>
  <c r="E191" i="4"/>
  <c r="S191" i="4" s="1"/>
  <c r="J191" i="4"/>
  <c r="K191" i="4"/>
  <c r="N191" i="4"/>
  <c r="O191" i="4"/>
  <c r="P191" i="4"/>
  <c r="L191" i="4"/>
  <c r="M191" i="4"/>
  <c r="Q191" i="4"/>
  <c r="E171" i="4"/>
  <c r="S171" i="4" s="1"/>
  <c r="P171" i="4"/>
  <c r="Q171" i="4"/>
  <c r="J171" i="4"/>
  <c r="K171" i="4"/>
  <c r="M171" i="4"/>
  <c r="N171" i="4"/>
  <c r="L171" i="4"/>
  <c r="O171" i="4"/>
  <c r="E151" i="4"/>
  <c r="S151" i="4" s="1"/>
  <c r="J151" i="4"/>
  <c r="K151" i="4"/>
  <c r="N151" i="4"/>
  <c r="O151" i="4"/>
  <c r="P151" i="4"/>
  <c r="L151" i="4"/>
  <c r="Q151" i="4"/>
  <c r="M151" i="4"/>
  <c r="K141" i="4"/>
  <c r="K350" i="4"/>
  <c r="J350" i="4"/>
  <c r="M350" i="4"/>
  <c r="N350" i="4"/>
  <c r="O350" i="4"/>
  <c r="P350" i="4"/>
  <c r="Q350" i="4"/>
  <c r="L350" i="4"/>
  <c r="K330" i="4"/>
  <c r="J330" i="4"/>
  <c r="L330" i="4"/>
  <c r="M330" i="4"/>
  <c r="O330" i="4"/>
  <c r="N330" i="4"/>
  <c r="P330" i="4"/>
  <c r="Q330" i="4"/>
  <c r="K310" i="4"/>
  <c r="M310" i="4"/>
  <c r="J310" i="4"/>
  <c r="P310" i="4"/>
  <c r="L310" i="4"/>
  <c r="O310" i="4"/>
  <c r="Q310" i="4"/>
  <c r="N310" i="4"/>
  <c r="K290" i="4"/>
  <c r="Q290" i="4"/>
  <c r="M290" i="4"/>
  <c r="N290" i="4"/>
  <c r="O290" i="4"/>
  <c r="J290" i="4"/>
  <c r="L290" i="4"/>
  <c r="P290" i="4"/>
  <c r="K270" i="4"/>
  <c r="M270" i="4"/>
  <c r="N270" i="4"/>
  <c r="O270" i="4"/>
  <c r="Q270" i="4"/>
  <c r="J270" i="4"/>
  <c r="L270" i="4"/>
  <c r="P270" i="4"/>
  <c r="K250" i="4"/>
  <c r="J250" i="4"/>
  <c r="Q250" i="4"/>
  <c r="L250" i="4"/>
  <c r="N250" i="4"/>
  <c r="O250" i="4"/>
  <c r="M250" i="4"/>
  <c r="P250" i="4"/>
  <c r="K230" i="4"/>
  <c r="P230" i="4"/>
  <c r="Q230" i="4"/>
  <c r="O230" i="4"/>
  <c r="J230" i="4"/>
  <c r="M230" i="4"/>
  <c r="L230" i="4"/>
  <c r="N230" i="4"/>
  <c r="K210" i="4"/>
  <c r="L210" i="4"/>
  <c r="M210" i="4"/>
  <c r="N210" i="4"/>
  <c r="O210" i="4"/>
  <c r="P210" i="4"/>
  <c r="J210" i="4"/>
  <c r="Q210" i="4"/>
  <c r="K190" i="4"/>
  <c r="Q190" i="4"/>
  <c r="J190" i="4"/>
  <c r="L190" i="4"/>
  <c r="M190" i="4"/>
  <c r="N190" i="4"/>
  <c r="P190" i="4"/>
  <c r="O190" i="4"/>
  <c r="K170" i="4"/>
  <c r="M170" i="4"/>
  <c r="N170" i="4"/>
  <c r="O170" i="4"/>
  <c r="J170" i="4"/>
  <c r="L170" i="4"/>
  <c r="P170" i="4"/>
  <c r="Q170" i="4"/>
  <c r="N150" i="4"/>
  <c r="O150" i="4"/>
  <c r="K150" i="4"/>
  <c r="Q150" i="4"/>
  <c r="J150" i="4"/>
  <c r="L150" i="4"/>
  <c r="M150" i="4"/>
  <c r="P150" i="4"/>
  <c r="J141" i="4"/>
  <c r="I710" i="4"/>
  <c r="E710" i="4" s="1"/>
  <c r="N349" i="4"/>
  <c r="O349" i="4"/>
  <c r="P349" i="4"/>
  <c r="Q349" i="4"/>
  <c r="J349" i="4"/>
  <c r="K349" i="4"/>
  <c r="L349" i="4"/>
  <c r="M349" i="4"/>
  <c r="I690" i="4"/>
  <c r="E690" i="4" s="1"/>
  <c r="N329" i="4"/>
  <c r="O329" i="4"/>
  <c r="J329" i="4"/>
  <c r="K329" i="4"/>
  <c r="L329" i="4"/>
  <c r="M329" i="4"/>
  <c r="P329" i="4"/>
  <c r="Q329" i="4"/>
  <c r="I670" i="4"/>
  <c r="E670" i="4" s="1"/>
  <c r="N309" i="4"/>
  <c r="O309" i="4"/>
  <c r="P309" i="4"/>
  <c r="Q309" i="4"/>
  <c r="K309" i="4"/>
  <c r="L309" i="4"/>
  <c r="J309" i="4"/>
  <c r="M309" i="4"/>
  <c r="I650" i="4"/>
  <c r="E650" i="4" s="1"/>
  <c r="N289" i="4"/>
  <c r="O289" i="4"/>
  <c r="P289" i="4"/>
  <c r="Q289" i="4"/>
  <c r="J289" i="4"/>
  <c r="K289" i="4"/>
  <c r="M289" i="4"/>
  <c r="L289" i="4"/>
  <c r="I630" i="4"/>
  <c r="E630" i="4" s="1"/>
  <c r="N269" i="4"/>
  <c r="O269" i="4"/>
  <c r="J269" i="4"/>
  <c r="K269" i="4"/>
  <c r="L269" i="4"/>
  <c r="M269" i="4"/>
  <c r="P269" i="4"/>
  <c r="Q269" i="4"/>
  <c r="I610" i="4"/>
  <c r="E610" i="4" s="1"/>
  <c r="N249" i="4"/>
  <c r="O249" i="4"/>
  <c r="P249" i="4"/>
  <c r="Q249" i="4"/>
  <c r="J249" i="4"/>
  <c r="K249" i="4"/>
  <c r="L249" i="4"/>
  <c r="M249" i="4"/>
  <c r="I590" i="4"/>
  <c r="E590" i="4" s="1"/>
  <c r="N229" i="4"/>
  <c r="O229" i="4"/>
  <c r="J229" i="4"/>
  <c r="K229" i="4"/>
  <c r="L229" i="4"/>
  <c r="M229" i="4"/>
  <c r="P229" i="4"/>
  <c r="Q229" i="4"/>
  <c r="I570" i="4"/>
  <c r="E570" i="4" s="1"/>
  <c r="N209" i="4"/>
  <c r="O209" i="4"/>
  <c r="J209" i="4"/>
  <c r="K209" i="4"/>
  <c r="L209" i="4"/>
  <c r="P209" i="4"/>
  <c r="M209" i="4"/>
  <c r="Q209" i="4"/>
  <c r="I550" i="4"/>
  <c r="E550" i="4" s="1"/>
  <c r="N189" i="4"/>
  <c r="O189" i="4"/>
  <c r="M189" i="4"/>
  <c r="P189" i="4"/>
  <c r="Q189" i="4"/>
  <c r="J189" i="4"/>
  <c r="K189" i="4"/>
  <c r="L189" i="4"/>
  <c r="I530" i="4"/>
  <c r="E530" i="4" s="1"/>
  <c r="N169" i="4"/>
  <c r="O169" i="4"/>
  <c r="J169" i="4"/>
  <c r="K169" i="4"/>
  <c r="L169" i="4"/>
  <c r="M169" i="4"/>
  <c r="P169" i="4"/>
  <c r="Q169" i="4"/>
  <c r="I510" i="4"/>
  <c r="E510" i="4" s="1"/>
  <c r="N149" i="4"/>
  <c r="O149" i="4"/>
  <c r="K149" i="4"/>
  <c r="L149" i="4"/>
  <c r="M149" i="4"/>
  <c r="P149" i="4"/>
  <c r="Q149" i="4"/>
  <c r="J149" i="4"/>
  <c r="Q140" i="4"/>
  <c r="E348" i="4"/>
  <c r="S348" i="4" s="1"/>
  <c r="M348" i="4"/>
  <c r="N348" i="4"/>
  <c r="O348" i="4"/>
  <c r="J348" i="4"/>
  <c r="K348" i="4"/>
  <c r="L348" i="4"/>
  <c r="P348" i="4"/>
  <c r="Q348" i="4"/>
  <c r="I1772" i="4"/>
  <c r="J328" i="4"/>
  <c r="P328" i="4"/>
  <c r="Q328" i="4"/>
  <c r="K328" i="4"/>
  <c r="L328" i="4"/>
  <c r="M328" i="4"/>
  <c r="N328" i="4"/>
  <c r="O328" i="4"/>
  <c r="I669" i="4"/>
  <c r="E669" i="4" s="1"/>
  <c r="N308" i="4"/>
  <c r="O308" i="4"/>
  <c r="P308" i="4"/>
  <c r="J308" i="4"/>
  <c r="K308" i="4"/>
  <c r="L308" i="4"/>
  <c r="M308" i="4"/>
  <c r="Q308" i="4"/>
  <c r="I1732" i="4"/>
  <c r="J288" i="4"/>
  <c r="K288" i="4"/>
  <c r="L288" i="4"/>
  <c r="N288" i="4"/>
  <c r="O288" i="4"/>
  <c r="P288" i="4"/>
  <c r="Q288" i="4"/>
  <c r="M288" i="4"/>
  <c r="I1712" i="4"/>
  <c r="O268" i="4"/>
  <c r="P268" i="4"/>
  <c r="Q268" i="4"/>
  <c r="J268" i="4"/>
  <c r="L268" i="4"/>
  <c r="N268" i="4"/>
  <c r="K268" i="4"/>
  <c r="M268" i="4"/>
  <c r="I1692" i="4"/>
  <c r="N248" i="4"/>
  <c r="O248" i="4"/>
  <c r="Q248" i="4"/>
  <c r="P248" i="4"/>
  <c r="J248" i="4"/>
  <c r="K248" i="4"/>
  <c r="L248" i="4"/>
  <c r="M248" i="4"/>
  <c r="I1672" i="4"/>
  <c r="J228" i="4"/>
  <c r="K228" i="4"/>
  <c r="L228" i="4"/>
  <c r="M228" i="4"/>
  <c r="O228" i="4"/>
  <c r="P228" i="4"/>
  <c r="Q228" i="4"/>
  <c r="N228" i="4"/>
  <c r="I1652" i="4"/>
  <c r="N208" i="4"/>
  <c r="O208" i="4"/>
  <c r="P208" i="4"/>
  <c r="J208" i="4"/>
  <c r="L208" i="4"/>
  <c r="M208" i="4"/>
  <c r="Q208" i="4"/>
  <c r="K208" i="4"/>
  <c r="I549" i="4"/>
  <c r="E549" i="4" s="1"/>
  <c r="J188" i="4"/>
  <c r="K188" i="4"/>
  <c r="L188" i="4"/>
  <c r="O188" i="4"/>
  <c r="P188" i="4"/>
  <c r="Q188" i="4"/>
  <c r="N188" i="4"/>
  <c r="M188" i="4"/>
  <c r="I1612" i="4"/>
  <c r="Q168" i="4"/>
  <c r="P168" i="4"/>
  <c r="K168" i="4"/>
  <c r="M168" i="4"/>
  <c r="O168" i="4"/>
  <c r="L168" i="4"/>
  <c r="N168" i="4"/>
  <c r="J168" i="4"/>
  <c r="I1592" i="4"/>
  <c r="J148" i="4"/>
  <c r="K148" i="4"/>
  <c r="L148" i="4"/>
  <c r="M148" i="4"/>
  <c r="N148" i="4"/>
  <c r="O148" i="4"/>
  <c r="P148" i="4"/>
  <c r="Q148" i="4"/>
  <c r="I708" i="4"/>
  <c r="E708" i="4" s="1"/>
  <c r="J347" i="4"/>
  <c r="K347" i="4"/>
  <c r="O347" i="4"/>
  <c r="L347" i="4"/>
  <c r="M347" i="4"/>
  <c r="N347" i="4"/>
  <c r="P347" i="4"/>
  <c r="Q347" i="4"/>
  <c r="I688" i="4"/>
  <c r="E688" i="4" s="1"/>
  <c r="J327" i="4"/>
  <c r="K327" i="4"/>
  <c r="O327" i="4"/>
  <c r="P327" i="4"/>
  <c r="Q327" i="4"/>
  <c r="L327" i="4"/>
  <c r="M327" i="4"/>
  <c r="N327" i="4"/>
  <c r="I668" i="4"/>
  <c r="E668" i="4" s="1"/>
  <c r="J307" i="4"/>
  <c r="K307" i="4"/>
  <c r="O307" i="4"/>
  <c r="M307" i="4"/>
  <c r="Q307" i="4"/>
  <c r="L307" i="4"/>
  <c r="N307" i="4"/>
  <c r="P307" i="4"/>
  <c r="I648" i="4"/>
  <c r="J287" i="4"/>
  <c r="K287" i="4"/>
  <c r="O287" i="4"/>
  <c r="L287" i="4"/>
  <c r="M287" i="4"/>
  <c r="N287" i="4"/>
  <c r="P287" i="4"/>
  <c r="Q287" i="4"/>
  <c r="I628" i="4"/>
  <c r="J267" i="4"/>
  <c r="K267" i="4"/>
  <c r="O267" i="4"/>
  <c r="M267" i="4"/>
  <c r="N267" i="4"/>
  <c r="P267" i="4"/>
  <c r="L267" i="4"/>
  <c r="Q267" i="4"/>
  <c r="I608" i="4"/>
  <c r="E608" i="4" s="1"/>
  <c r="J247" i="4"/>
  <c r="K247" i="4"/>
  <c r="O247" i="4"/>
  <c r="L247" i="4"/>
  <c r="M247" i="4"/>
  <c r="N247" i="4"/>
  <c r="P247" i="4"/>
  <c r="Q247" i="4"/>
  <c r="I588" i="4"/>
  <c r="E588" i="4" s="1"/>
  <c r="J227" i="4"/>
  <c r="K227" i="4"/>
  <c r="O227" i="4"/>
  <c r="Q227" i="4"/>
  <c r="L227" i="4"/>
  <c r="N227" i="4"/>
  <c r="P227" i="4"/>
  <c r="M227" i="4"/>
  <c r="I568" i="4"/>
  <c r="E568" i="4" s="1"/>
  <c r="J207" i="4"/>
  <c r="K207" i="4"/>
  <c r="O207" i="4"/>
  <c r="L207" i="4"/>
  <c r="M207" i="4"/>
  <c r="N207" i="4"/>
  <c r="P207" i="4"/>
  <c r="Q207" i="4"/>
  <c r="I548" i="4"/>
  <c r="E548" i="4" s="1"/>
  <c r="J187" i="4"/>
  <c r="K187" i="4"/>
  <c r="O187" i="4"/>
  <c r="L187" i="4"/>
  <c r="M187" i="4"/>
  <c r="N187" i="4"/>
  <c r="P187" i="4"/>
  <c r="Q187" i="4"/>
  <c r="I528" i="4"/>
  <c r="E528" i="4" s="1"/>
  <c r="J167" i="4"/>
  <c r="K167" i="4"/>
  <c r="O167" i="4"/>
  <c r="M167" i="4"/>
  <c r="N167" i="4"/>
  <c r="P167" i="4"/>
  <c r="L167" i="4"/>
  <c r="Q167" i="4"/>
  <c r="I508" i="4"/>
  <c r="E508" i="4" s="1"/>
  <c r="J147" i="4"/>
  <c r="K147" i="4"/>
  <c r="O147" i="4"/>
  <c r="L147" i="4"/>
  <c r="M147" i="4"/>
  <c r="N147" i="4"/>
  <c r="Q147" i="4"/>
  <c r="P147" i="4"/>
  <c r="I495" i="4"/>
  <c r="E495" i="4" s="1"/>
  <c r="P134" i="4"/>
  <c r="O346" i="4"/>
  <c r="P346" i="4"/>
  <c r="Q346" i="4"/>
  <c r="M346" i="4"/>
  <c r="N346" i="4"/>
  <c r="J346" i="4"/>
  <c r="L346" i="4"/>
  <c r="K346" i="4"/>
  <c r="K326" i="4"/>
  <c r="L326" i="4"/>
  <c r="M326" i="4"/>
  <c r="J326" i="4"/>
  <c r="N326" i="4"/>
  <c r="O326" i="4"/>
  <c r="P326" i="4"/>
  <c r="Q326" i="4"/>
  <c r="K306" i="4"/>
  <c r="L306" i="4"/>
  <c r="M306" i="4"/>
  <c r="Q306" i="4"/>
  <c r="J306" i="4"/>
  <c r="N306" i="4"/>
  <c r="O306" i="4"/>
  <c r="P306" i="4"/>
  <c r="O286" i="4"/>
  <c r="P286" i="4"/>
  <c r="L286" i="4"/>
  <c r="M286" i="4"/>
  <c r="N286" i="4"/>
  <c r="J286" i="4"/>
  <c r="K286" i="4"/>
  <c r="Q286" i="4"/>
  <c r="K266" i="4"/>
  <c r="L266" i="4"/>
  <c r="O266" i="4"/>
  <c r="P266" i="4"/>
  <c r="Q266" i="4"/>
  <c r="J266" i="4"/>
  <c r="M266" i="4"/>
  <c r="N266" i="4"/>
  <c r="O246" i="4"/>
  <c r="P246" i="4"/>
  <c r="Q246" i="4"/>
  <c r="J246" i="4"/>
  <c r="N246" i="4"/>
  <c r="K246" i="4"/>
  <c r="L246" i="4"/>
  <c r="M246" i="4"/>
  <c r="K226" i="4"/>
  <c r="L226" i="4"/>
  <c r="M226" i="4"/>
  <c r="J226" i="4"/>
  <c r="N226" i="4"/>
  <c r="O226" i="4"/>
  <c r="P226" i="4"/>
  <c r="Q226" i="4"/>
  <c r="L206" i="4"/>
  <c r="M206" i="4"/>
  <c r="N206" i="4"/>
  <c r="O206" i="4"/>
  <c r="P206" i="4"/>
  <c r="Q206" i="4"/>
  <c r="J206" i="4"/>
  <c r="K206" i="4"/>
  <c r="N186" i="4"/>
  <c r="O186" i="4"/>
  <c r="P186" i="4"/>
  <c r="Q186" i="4"/>
  <c r="J186" i="4"/>
  <c r="K186" i="4"/>
  <c r="L186" i="4"/>
  <c r="M186" i="4"/>
  <c r="J166" i="4"/>
  <c r="K166" i="4"/>
  <c r="L166" i="4"/>
  <c r="M166" i="4"/>
  <c r="N166" i="4"/>
  <c r="O166" i="4"/>
  <c r="P166" i="4"/>
  <c r="Q166" i="4"/>
  <c r="J146" i="4"/>
  <c r="K146" i="4"/>
  <c r="L146" i="4"/>
  <c r="M146" i="4"/>
  <c r="N146" i="4"/>
  <c r="O146" i="4"/>
  <c r="P146" i="4"/>
  <c r="Q146" i="4"/>
  <c r="O494" i="4"/>
  <c r="P494" i="4"/>
  <c r="N494" i="4"/>
  <c r="Q494" i="4"/>
  <c r="J494" i="4"/>
  <c r="K494" i="4"/>
  <c r="L494" i="4"/>
  <c r="M494" i="4"/>
  <c r="I706" i="4"/>
  <c r="E706" i="4" s="1"/>
  <c r="K345" i="4"/>
  <c r="J345" i="4"/>
  <c r="L345" i="4"/>
  <c r="M345" i="4"/>
  <c r="P345" i="4"/>
  <c r="N345" i="4"/>
  <c r="O345" i="4"/>
  <c r="Q345" i="4"/>
  <c r="I686" i="4"/>
  <c r="E686" i="4" s="1"/>
  <c r="K325" i="4"/>
  <c r="P325" i="4"/>
  <c r="Q325" i="4"/>
  <c r="M325" i="4"/>
  <c r="O325" i="4"/>
  <c r="J325" i="4"/>
  <c r="L325" i="4"/>
  <c r="N325" i="4"/>
  <c r="I666" i="4"/>
  <c r="E666" i="4" s="1"/>
  <c r="K305" i="4"/>
  <c r="O305" i="4"/>
  <c r="P305" i="4"/>
  <c r="Q305" i="4"/>
  <c r="J305" i="4"/>
  <c r="M305" i="4"/>
  <c r="N305" i="4"/>
  <c r="L305" i="4"/>
  <c r="I646" i="4"/>
  <c r="E646" i="4" s="1"/>
  <c r="K285" i="4"/>
  <c r="J285" i="4"/>
  <c r="L285" i="4"/>
  <c r="M285" i="4"/>
  <c r="N285" i="4"/>
  <c r="O285" i="4"/>
  <c r="Q285" i="4"/>
  <c r="P285" i="4"/>
  <c r="I626" i="4"/>
  <c r="E626" i="4" s="1"/>
  <c r="K265" i="4"/>
  <c r="J265" i="4"/>
  <c r="L265" i="4"/>
  <c r="M265" i="4"/>
  <c r="N265" i="4"/>
  <c r="O265" i="4"/>
  <c r="P265" i="4"/>
  <c r="Q265" i="4"/>
  <c r="I606" i="4"/>
  <c r="E606" i="4" s="1"/>
  <c r="K245" i="4"/>
  <c r="O245" i="4"/>
  <c r="P245" i="4"/>
  <c r="J245" i="4"/>
  <c r="L245" i="4"/>
  <c r="M245" i="4"/>
  <c r="N245" i="4"/>
  <c r="Q245" i="4"/>
  <c r="I586" i="4"/>
  <c r="E586" i="4" s="1"/>
  <c r="K225" i="4"/>
  <c r="J225" i="4"/>
  <c r="L225" i="4"/>
  <c r="M225" i="4"/>
  <c r="N225" i="4"/>
  <c r="O225" i="4"/>
  <c r="P225" i="4"/>
  <c r="Q225" i="4"/>
  <c r="I566" i="4"/>
  <c r="E566" i="4" s="1"/>
  <c r="K205" i="4"/>
  <c r="O205" i="4"/>
  <c r="P205" i="4"/>
  <c r="Q205" i="4"/>
  <c r="J205" i="4"/>
  <c r="L205" i="4"/>
  <c r="M205" i="4"/>
  <c r="N205" i="4"/>
  <c r="I546" i="4"/>
  <c r="E546" i="4" s="1"/>
  <c r="K185" i="4"/>
  <c r="J185" i="4"/>
  <c r="L185" i="4"/>
  <c r="M185" i="4"/>
  <c r="P185" i="4"/>
  <c r="Q185" i="4"/>
  <c r="N185" i="4"/>
  <c r="O185" i="4"/>
  <c r="I526" i="4"/>
  <c r="E526" i="4" s="1"/>
  <c r="N165" i="4"/>
  <c r="O165" i="4"/>
  <c r="K165" i="4"/>
  <c r="P165" i="4"/>
  <c r="Q165" i="4"/>
  <c r="J165" i="4"/>
  <c r="L165" i="4"/>
  <c r="M165" i="4"/>
  <c r="I506" i="4"/>
  <c r="E506" i="4" s="1"/>
  <c r="N145" i="4"/>
  <c r="O145" i="4"/>
  <c r="P145" i="4"/>
  <c r="Q145" i="4"/>
  <c r="K145" i="4"/>
  <c r="M145" i="4"/>
  <c r="J145" i="4"/>
  <c r="L145" i="4"/>
  <c r="I1576" i="4"/>
  <c r="M132" i="4"/>
  <c r="Q132" i="4"/>
  <c r="N344" i="4"/>
  <c r="O344" i="4"/>
  <c r="J344" i="4"/>
  <c r="K344" i="4"/>
  <c r="L344" i="4"/>
  <c r="M344" i="4"/>
  <c r="P344" i="4"/>
  <c r="Q344" i="4"/>
  <c r="N324" i="4"/>
  <c r="O324" i="4"/>
  <c r="K324" i="4"/>
  <c r="L324" i="4"/>
  <c r="M324" i="4"/>
  <c r="J324" i="4"/>
  <c r="Q324" i="4"/>
  <c r="P324" i="4"/>
  <c r="N304" i="4"/>
  <c r="O304" i="4"/>
  <c r="L304" i="4"/>
  <c r="M304" i="4"/>
  <c r="J304" i="4"/>
  <c r="K304" i="4"/>
  <c r="P304" i="4"/>
  <c r="Q304" i="4"/>
  <c r="N284" i="4"/>
  <c r="O284" i="4"/>
  <c r="L284" i="4"/>
  <c r="M284" i="4"/>
  <c r="P284" i="4"/>
  <c r="Q284" i="4"/>
  <c r="K284" i="4"/>
  <c r="J284" i="4"/>
  <c r="N264" i="4"/>
  <c r="O264" i="4"/>
  <c r="L264" i="4"/>
  <c r="M264" i="4"/>
  <c r="P264" i="4"/>
  <c r="J264" i="4"/>
  <c r="K264" i="4"/>
  <c r="Q264" i="4"/>
  <c r="N244" i="4"/>
  <c r="O244" i="4"/>
  <c r="J244" i="4"/>
  <c r="P244" i="4"/>
  <c r="Q244" i="4"/>
  <c r="K244" i="4"/>
  <c r="L244" i="4"/>
  <c r="M244" i="4"/>
  <c r="N224" i="4"/>
  <c r="O224" i="4"/>
  <c r="Q224" i="4"/>
  <c r="J224" i="4"/>
  <c r="P224" i="4"/>
  <c r="K224" i="4"/>
  <c r="L224" i="4"/>
  <c r="M224" i="4"/>
  <c r="N204" i="4"/>
  <c r="O204" i="4"/>
  <c r="K204" i="4"/>
  <c r="L204" i="4"/>
  <c r="M204" i="4"/>
  <c r="P204" i="4"/>
  <c r="Q204" i="4"/>
  <c r="J204" i="4"/>
  <c r="N184" i="4"/>
  <c r="O184" i="4"/>
  <c r="J184" i="4"/>
  <c r="K184" i="4"/>
  <c r="L184" i="4"/>
  <c r="M184" i="4"/>
  <c r="Q184" i="4"/>
  <c r="P184" i="4"/>
  <c r="N164" i="4"/>
  <c r="O164" i="4"/>
  <c r="J164" i="4"/>
  <c r="K164" i="4"/>
  <c r="L164" i="4"/>
  <c r="M164" i="4"/>
  <c r="P164" i="4"/>
  <c r="Q164" i="4"/>
  <c r="N144" i="4"/>
  <c r="O144" i="4"/>
  <c r="Q144" i="4"/>
  <c r="J144" i="4"/>
  <c r="K144" i="4"/>
  <c r="L144" i="4"/>
  <c r="M144" i="4"/>
  <c r="P144" i="4"/>
  <c r="N138" i="4"/>
  <c r="K363" i="4"/>
  <c r="L363" i="4"/>
  <c r="M363" i="4"/>
  <c r="J363" i="4"/>
  <c r="N363" i="4"/>
  <c r="O363" i="4"/>
  <c r="P363" i="4"/>
  <c r="Q363" i="4"/>
  <c r="P343" i="4"/>
  <c r="Q343" i="4"/>
  <c r="K343" i="4"/>
  <c r="L343" i="4"/>
  <c r="M343" i="4"/>
  <c r="N343" i="4"/>
  <c r="O343" i="4"/>
  <c r="J343" i="4"/>
  <c r="L323" i="4"/>
  <c r="M323" i="4"/>
  <c r="N323" i="4"/>
  <c r="J323" i="4"/>
  <c r="K323" i="4"/>
  <c r="P323" i="4"/>
  <c r="O323" i="4"/>
  <c r="Q323" i="4"/>
  <c r="J303" i="4"/>
  <c r="Q303" i="4"/>
  <c r="K303" i="4"/>
  <c r="M303" i="4"/>
  <c r="O303" i="4"/>
  <c r="P303" i="4"/>
  <c r="L303" i="4"/>
  <c r="N303" i="4"/>
  <c r="P283" i="4"/>
  <c r="Q283" i="4"/>
  <c r="J283" i="4"/>
  <c r="K283" i="4"/>
  <c r="L283" i="4"/>
  <c r="M283" i="4"/>
  <c r="O283" i="4"/>
  <c r="N283" i="4"/>
  <c r="L263" i="4"/>
  <c r="M263" i="4"/>
  <c r="J263" i="4"/>
  <c r="K263" i="4"/>
  <c r="P263" i="4"/>
  <c r="Q263" i="4"/>
  <c r="N263" i="4"/>
  <c r="O263" i="4"/>
  <c r="P243" i="4"/>
  <c r="Q243" i="4"/>
  <c r="J243" i="4"/>
  <c r="K243" i="4"/>
  <c r="L243" i="4"/>
  <c r="M243" i="4"/>
  <c r="N243" i="4"/>
  <c r="O243" i="4"/>
  <c r="L223" i="4"/>
  <c r="M223" i="4"/>
  <c r="N223" i="4"/>
  <c r="P223" i="4"/>
  <c r="Q223" i="4"/>
  <c r="J223" i="4"/>
  <c r="K223" i="4"/>
  <c r="O223" i="4"/>
  <c r="J203" i="4"/>
  <c r="M203" i="4"/>
  <c r="N203" i="4"/>
  <c r="O203" i="4"/>
  <c r="K203" i="4"/>
  <c r="L203" i="4"/>
  <c r="P203" i="4"/>
  <c r="Q203" i="4"/>
  <c r="O183" i="4"/>
  <c r="P183" i="4"/>
  <c r="Q183" i="4"/>
  <c r="J183" i="4"/>
  <c r="K183" i="4"/>
  <c r="L183" i="4"/>
  <c r="M183" i="4"/>
  <c r="N183" i="4"/>
  <c r="J163" i="4"/>
  <c r="K163" i="4"/>
  <c r="L163" i="4"/>
  <c r="M163" i="4"/>
  <c r="N163" i="4"/>
  <c r="O163" i="4"/>
  <c r="P163" i="4"/>
  <c r="Q163" i="4"/>
  <c r="J143" i="4"/>
  <c r="K143" i="4"/>
  <c r="L143" i="4"/>
  <c r="M143" i="4"/>
  <c r="N143" i="4"/>
  <c r="O143" i="4"/>
  <c r="P143" i="4"/>
  <c r="Q143" i="4"/>
  <c r="O362" i="4"/>
  <c r="P362" i="4"/>
  <c r="Q362" i="4"/>
  <c r="J362" i="4"/>
  <c r="K362" i="4"/>
  <c r="L362" i="4"/>
  <c r="M362" i="4"/>
  <c r="N362" i="4"/>
  <c r="J342" i="4"/>
  <c r="K342" i="4"/>
  <c r="O342" i="4"/>
  <c r="P342" i="4"/>
  <c r="Q342" i="4"/>
  <c r="L342" i="4"/>
  <c r="M342" i="4"/>
  <c r="N342" i="4"/>
  <c r="J322" i="4"/>
  <c r="K322" i="4"/>
  <c r="O322" i="4"/>
  <c r="M322" i="4"/>
  <c r="N322" i="4"/>
  <c r="P322" i="4"/>
  <c r="Q322" i="4"/>
  <c r="L322" i="4"/>
  <c r="J302" i="4"/>
  <c r="K302" i="4"/>
  <c r="O302" i="4"/>
  <c r="P302" i="4"/>
  <c r="Q302" i="4"/>
  <c r="L302" i="4"/>
  <c r="M302" i="4"/>
  <c r="N302" i="4"/>
  <c r="J282" i="4"/>
  <c r="K282" i="4"/>
  <c r="O282" i="4"/>
  <c r="L282" i="4"/>
  <c r="M282" i="4"/>
  <c r="P282" i="4"/>
  <c r="Q282" i="4"/>
  <c r="N282" i="4"/>
  <c r="J262" i="4"/>
  <c r="K262" i="4"/>
  <c r="O262" i="4"/>
  <c r="Q262" i="4"/>
  <c r="M262" i="4"/>
  <c r="N262" i="4"/>
  <c r="L262" i="4"/>
  <c r="P262" i="4"/>
  <c r="J242" i="4"/>
  <c r="K242" i="4"/>
  <c r="O242" i="4"/>
  <c r="P242" i="4"/>
  <c r="Q242" i="4"/>
  <c r="L242" i="4"/>
  <c r="M242" i="4"/>
  <c r="N242" i="4"/>
  <c r="J222" i="4"/>
  <c r="K222" i="4"/>
  <c r="O222" i="4"/>
  <c r="L222" i="4"/>
  <c r="M222" i="4"/>
  <c r="N222" i="4"/>
  <c r="P222" i="4"/>
  <c r="Q222" i="4"/>
  <c r="J202" i="4"/>
  <c r="K202" i="4"/>
  <c r="O202" i="4"/>
  <c r="P202" i="4"/>
  <c r="Q202" i="4"/>
  <c r="L202" i="4"/>
  <c r="N202" i="4"/>
  <c r="M202" i="4"/>
  <c r="J182" i="4"/>
  <c r="K182" i="4"/>
  <c r="O182" i="4"/>
  <c r="L182" i="4"/>
  <c r="M182" i="4"/>
  <c r="Q182" i="4"/>
  <c r="P182" i="4"/>
  <c r="N182" i="4"/>
  <c r="J162" i="4"/>
  <c r="K162" i="4"/>
  <c r="O162" i="4"/>
  <c r="N162" i="4"/>
  <c r="P162" i="4"/>
  <c r="Q162" i="4"/>
  <c r="L162" i="4"/>
  <c r="M162" i="4"/>
  <c r="L138" i="4"/>
  <c r="I1805" i="4"/>
  <c r="M361" i="4"/>
  <c r="N361" i="4"/>
  <c r="O361" i="4"/>
  <c r="K361" i="4"/>
  <c r="L361" i="4"/>
  <c r="P361" i="4"/>
  <c r="Q361" i="4"/>
  <c r="J361" i="4"/>
  <c r="I1785" i="4"/>
  <c r="J341" i="4"/>
  <c r="K341" i="4"/>
  <c r="N341" i="4"/>
  <c r="O341" i="4"/>
  <c r="P341" i="4"/>
  <c r="L341" i="4"/>
  <c r="M341" i="4"/>
  <c r="Q341" i="4"/>
  <c r="I1765" i="4"/>
  <c r="J321" i="4"/>
  <c r="K321" i="4"/>
  <c r="Q321" i="4"/>
  <c r="L321" i="4"/>
  <c r="M321" i="4"/>
  <c r="N321" i="4"/>
  <c r="O321" i="4"/>
  <c r="P321" i="4"/>
  <c r="I1745" i="4"/>
  <c r="M301" i="4"/>
  <c r="N301" i="4"/>
  <c r="Q301" i="4"/>
  <c r="J301" i="4"/>
  <c r="L301" i="4"/>
  <c r="O301" i="4"/>
  <c r="P301" i="4"/>
  <c r="K301" i="4"/>
  <c r="E281" i="4"/>
  <c r="S281" i="4" s="1"/>
  <c r="Q281" i="4"/>
  <c r="J281" i="4"/>
  <c r="K281" i="4"/>
  <c r="L281" i="4"/>
  <c r="M281" i="4"/>
  <c r="O281" i="4"/>
  <c r="P281" i="4"/>
  <c r="N281" i="4"/>
  <c r="E261" i="4"/>
  <c r="S261" i="4" s="1"/>
  <c r="M261" i="4"/>
  <c r="N261" i="4"/>
  <c r="O261" i="4"/>
  <c r="J261" i="4"/>
  <c r="K261" i="4"/>
  <c r="L261" i="4"/>
  <c r="P261" i="4"/>
  <c r="Q261" i="4"/>
  <c r="I1685" i="4"/>
  <c r="J241" i="4"/>
  <c r="K241" i="4"/>
  <c r="L241" i="4"/>
  <c r="M241" i="4"/>
  <c r="O241" i="4"/>
  <c r="P241" i="4"/>
  <c r="N241" i="4"/>
  <c r="Q241" i="4"/>
  <c r="I1665" i="4"/>
  <c r="P221" i="4"/>
  <c r="Q221" i="4"/>
  <c r="K221" i="4"/>
  <c r="L221" i="4"/>
  <c r="M221" i="4"/>
  <c r="N221" i="4"/>
  <c r="O221" i="4"/>
  <c r="J221" i="4"/>
  <c r="I1645" i="4"/>
  <c r="L201" i="4"/>
  <c r="M201" i="4"/>
  <c r="N201" i="4"/>
  <c r="O201" i="4"/>
  <c r="P201" i="4"/>
  <c r="Q201" i="4"/>
  <c r="J201" i="4"/>
  <c r="K201" i="4"/>
  <c r="E181" i="4"/>
  <c r="S181" i="4" s="1"/>
  <c r="Q181" i="4"/>
  <c r="J181" i="4"/>
  <c r="K181" i="4"/>
  <c r="L181" i="4"/>
  <c r="M181" i="4"/>
  <c r="N181" i="4"/>
  <c r="O181" i="4"/>
  <c r="P181" i="4"/>
  <c r="E161" i="4"/>
  <c r="S161" i="4" s="1"/>
  <c r="J161" i="4"/>
  <c r="K161" i="4"/>
  <c r="Q161" i="4"/>
  <c r="L161" i="4"/>
  <c r="M161" i="4"/>
  <c r="N161" i="4"/>
  <c r="O161" i="4"/>
  <c r="P161" i="4"/>
  <c r="L1585" i="4"/>
  <c r="M1585" i="4"/>
  <c r="N1585" i="4"/>
  <c r="J1585" i="4"/>
  <c r="K1585" i="4"/>
  <c r="O1585" i="4"/>
  <c r="P1585" i="4"/>
  <c r="Q1585" i="4"/>
  <c r="O360" i="4"/>
  <c r="P360" i="4"/>
  <c r="Q360" i="4"/>
  <c r="J360" i="4"/>
  <c r="K360" i="4"/>
  <c r="L360" i="4"/>
  <c r="M360" i="4"/>
  <c r="N360" i="4"/>
  <c r="K340" i="4"/>
  <c r="Q340" i="4"/>
  <c r="J340" i="4"/>
  <c r="L340" i="4"/>
  <c r="M340" i="4"/>
  <c r="N340" i="4"/>
  <c r="P340" i="4"/>
  <c r="O340" i="4"/>
  <c r="K320" i="4"/>
  <c r="M320" i="4"/>
  <c r="N320" i="4"/>
  <c r="O320" i="4"/>
  <c r="Q320" i="4"/>
  <c r="J320" i="4"/>
  <c r="L320" i="4"/>
  <c r="P320" i="4"/>
  <c r="K300" i="4"/>
  <c r="J300" i="4"/>
  <c r="M300" i="4"/>
  <c r="N300" i="4"/>
  <c r="O300" i="4"/>
  <c r="P300" i="4"/>
  <c r="Q300" i="4"/>
  <c r="L300" i="4"/>
  <c r="K280" i="4"/>
  <c r="Q280" i="4"/>
  <c r="N280" i="4"/>
  <c r="O280" i="4"/>
  <c r="P280" i="4"/>
  <c r="M280" i="4"/>
  <c r="J280" i="4"/>
  <c r="L280" i="4"/>
  <c r="K260" i="4"/>
  <c r="M260" i="4"/>
  <c r="N260" i="4"/>
  <c r="Q260" i="4"/>
  <c r="L260" i="4"/>
  <c r="O260" i="4"/>
  <c r="P260" i="4"/>
  <c r="J260" i="4"/>
  <c r="K240" i="4"/>
  <c r="Q240" i="4"/>
  <c r="J240" i="4"/>
  <c r="L240" i="4"/>
  <c r="M240" i="4"/>
  <c r="N240" i="4"/>
  <c r="O240" i="4"/>
  <c r="P240" i="4"/>
  <c r="K220" i="4"/>
  <c r="M220" i="4"/>
  <c r="N220" i="4"/>
  <c r="O220" i="4"/>
  <c r="L220" i="4"/>
  <c r="Q220" i="4"/>
  <c r="P220" i="4"/>
  <c r="J220" i="4"/>
  <c r="K200" i="4"/>
  <c r="J200" i="4"/>
  <c r="N200" i="4"/>
  <c r="O200" i="4"/>
  <c r="P200" i="4"/>
  <c r="Q200" i="4"/>
  <c r="L200" i="4"/>
  <c r="M200" i="4"/>
  <c r="K180" i="4"/>
  <c r="P180" i="4"/>
  <c r="Q180" i="4"/>
  <c r="J180" i="4"/>
  <c r="L180" i="4"/>
  <c r="M180" i="4"/>
  <c r="N180" i="4"/>
  <c r="O180" i="4"/>
  <c r="N160" i="4"/>
  <c r="O160" i="4"/>
  <c r="K160" i="4"/>
  <c r="Q160" i="4"/>
  <c r="J160" i="4"/>
  <c r="L160" i="4"/>
  <c r="M160" i="4"/>
  <c r="P160" i="4"/>
  <c r="J140" i="4"/>
  <c r="N140" i="4"/>
  <c r="O140" i="4"/>
  <c r="P140" i="4"/>
  <c r="J138" i="4"/>
  <c r="P359" i="4"/>
  <c r="Q359" i="4"/>
  <c r="K359" i="4"/>
  <c r="L359" i="4"/>
  <c r="M359" i="4"/>
  <c r="N359" i="4"/>
  <c r="O359" i="4"/>
  <c r="J359" i="4"/>
  <c r="N339" i="4"/>
  <c r="O339" i="4"/>
  <c r="P339" i="4"/>
  <c r="Q339" i="4"/>
  <c r="K339" i="4"/>
  <c r="M339" i="4"/>
  <c r="J339" i="4"/>
  <c r="L339" i="4"/>
  <c r="N319" i="4"/>
  <c r="O319" i="4"/>
  <c r="J319" i="4"/>
  <c r="K319" i="4"/>
  <c r="L319" i="4"/>
  <c r="M319" i="4"/>
  <c r="P319" i="4"/>
  <c r="Q319" i="4"/>
  <c r="N299" i="4"/>
  <c r="O299" i="4"/>
  <c r="P299" i="4"/>
  <c r="Q299" i="4"/>
  <c r="J299" i="4"/>
  <c r="K299" i="4"/>
  <c r="L299" i="4"/>
  <c r="M299" i="4"/>
  <c r="N279" i="4"/>
  <c r="O279" i="4"/>
  <c r="J279" i="4"/>
  <c r="K279" i="4"/>
  <c r="L279" i="4"/>
  <c r="M279" i="4"/>
  <c r="P279" i="4"/>
  <c r="Q279" i="4"/>
  <c r="N259" i="4"/>
  <c r="O259" i="4"/>
  <c r="J259" i="4"/>
  <c r="K259" i="4"/>
  <c r="L259" i="4"/>
  <c r="M259" i="4"/>
  <c r="Q259" i="4"/>
  <c r="P259" i="4"/>
  <c r="N239" i="4"/>
  <c r="O239" i="4"/>
  <c r="P239" i="4"/>
  <c r="Q239" i="4"/>
  <c r="L239" i="4"/>
  <c r="J239" i="4"/>
  <c r="K239" i="4"/>
  <c r="M239" i="4"/>
  <c r="N219" i="4"/>
  <c r="O219" i="4"/>
  <c r="J219" i="4"/>
  <c r="K219" i="4"/>
  <c r="L219" i="4"/>
  <c r="M219" i="4"/>
  <c r="Q219" i="4"/>
  <c r="P219" i="4"/>
  <c r="N199" i="4"/>
  <c r="O199" i="4"/>
  <c r="P199" i="4"/>
  <c r="Q199" i="4"/>
  <c r="J199" i="4"/>
  <c r="K199" i="4"/>
  <c r="L199" i="4"/>
  <c r="M199" i="4"/>
  <c r="N179" i="4"/>
  <c r="O179" i="4"/>
  <c r="J179" i="4"/>
  <c r="K179" i="4"/>
  <c r="L179" i="4"/>
  <c r="P179" i="4"/>
  <c r="Q179" i="4"/>
  <c r="M179" i="4"/>
  <c r="N159" i="4"/>
  <c r="O159" i="4"/>
  <c r="K159" i="4"/>
  <c r="L159" i="4"/>
  <c r="M159" i="4"/>
  <c r="P159" i="4"/>
  <c r="Q159" i="4"/>
  <c r="J159" i="4"/>
  <c r="Q137" i="4"/>
  <c r="K358" i="4"/>
  <c r="L358" i="4"/>
  <c r="M358" i="4"/>
  <c r="N358" i="4"/>
  <c r="O358" i="4"/>
  <c r="P358" i="4"/>
  <c r="Q358" i="4"/>
  <c r="J358" i="4"/>
  <c r="J338" i="4"/>
  <c r="K338" i="4"/>
  <c r="L338" i="4"/>
  <c r="M338" i="4"/>
  <c r="N338" i="4"/>
  <c r="O338" i="4"/>
  <c r="P338" i="4"/>
  <c r="Q338" i="4"/>
  <c r="P318" i="4"/>
  <c r="Q318" i="4"/>
  <c r="M318" i="4"/>
  <c r="O318" i="4"/>
  <c r="J318" i="4"/>
  <c r="K318" i="4"/>
  <c r="L318" i="4"/>
  <c r="N318" i="4"/>
  <c r="N298" i="4"/>
  <c r="O298" i="4"/>
  <c r="K298" i="4"/>
  <c r="L298" i="4"/>
  <c r="M298" i="4"/>
  <c r="Q298" i="4"/>
  <c r="J298" i="4"/>
  <c r="P298" i="4"/>
  <c r="J278" i="4"/>
  <c r="K278" i="4"/>
  <c r="N278" i="4"/>
  <c r="O278" i="4"/>
  <c r="P278" i="4"/>
  <c r="L278" i="4"/>
  <c r="M278" i="4"/>
  <c r="Q278" i="4"/>
  <c r="N258" i="4"/>
  <c r="O258" i="4"/>
  <c r="P258" i="4"/>
  <c r="J258" i="4"/>
  <c r="L258" i="4"/>
  <c r="M258" i="4"/>
  <c r="Q258" i="4"/>
  <c r="K258" i="4"/>
  <c r="J238" i="4"/>
  <c r="K238" i="4"/>
  <c r="L238" i="4"/>
  <c r="M238" i="4"/>
  <c r="N238" i="4"/>
  <c r="O238" i="4"/>
  <c r="P238" i="4"/>
  <c r="Q238" i="4"/>
  <c r="Q218" i="4"/>
  <c r="N218" i="4"/>
  <c r="O218" i="4"/>
  <c r="P218" i="4"/>
  <c r="K218" i="4"/>
  <c r="L218" i="4"/>
  <c r="J218" i="4"/>
  <c r="M218" i="4"/>
  <c r="M198" i="4"/>
  <c r="N198" i="4"/>
  <c r="O198" i="4"/>
  <c r="P198" i="4"/>
  <c r="Q198" i="4"/>
  <c r="K198" i="4"/>
  <c r="L198" i="4"/>
  <c r="J198" i="4"/>
  <c r="J178" i="4"/>
  <c r="K178" i="4"/>
  <c r="L178" i="4"/>
  <c r="M178" i="4"/>
  <c r="N178" i="4"/>
  <c r="O178" i="4"/>
  <c r="P178" i="4"/>
  <c r="Q178" i="4"/>
  <c r="J158" i="4"/>
  <c r="K158" i="4"/>
  <c r="O158" i="4"/>
  <c r="P158" i="4"/>
  <c r="Q158" i="4"/>
  <c r="L158" i="4"/>
  <c r="M158" i="4"/>
  <c r="N158" i="4"/>
  <c r="M137" i="4"/>
  <c r="J357" i="4"/>
  <c r="K357" i="4"/>
  <c r="L357" i="4"/>
  <c r="M357" i="4"/>
  <c r="N357" i="4"/>
  <c r="Q357" i="4"/>
  <c r="O357" i="4"/>
  <c r="P357" i="4"/>
  <c r="J337" i="4"/>
  <c r="K337" i="4"/>
  <c r="O337" i="4"/>
  <c r="Q337" i="4"/>
  <c r="M337" i="4"/>
  <c r="L337" i="4"/>
  <c r="N337" i="4"/>
  <c r="P337" i="4"/>
  <c r="J317" i="4"/>
  <c r="K317" i="4"/>
  <c r="O317" i="4"/>
  <c r="M317" i="4"/>
  <c r="N317" i="4"/>
  <c r="P317" i="4"/>
  <c r="L317" i="4"/>
  <c r="Q317" i="4"/>
  <c r="J297" i="4"/>
  <c r="K297" i="4"/>
  <c r="O297" i="4"/>
  <c r="L297" i="4"/>
  <c r="M297" i="4"/>
  <c r="P297" i="4"/>
  <c r="Q297" i="4"/>
  <c r="N297" i="4"/>
  <c r="J277" i="4"/>
  <c r="K277" i="4"/>
  <c r="O277" i="4"/>
  <c r="L277" i="4"/>
  <c r="M277" i="4"/>
  <c r="N277" i="4"/>
  <c r="Q277" i="4"/>
  <c r="P277" i="4"/>
  <c r="J257" i="4"/>
  <c r="K257" i="4"/>
  <c r="O257" i="4"/>
  <c r="M257" i="4"/>
  <c r="N257" i="4"/>
  <c r="L257" i="4"/>
  <c r="P257" i="4"/>
  <c r="Q257" i="4"/>
  <c r="J237" i="4"/>
  <c r="K237" i="4"/>
  <c r="O237" i="4"/>
  <c r="L237" i="4"/>
  <c r="Q237" i="4"/>
  <c r="M237" i="4"/>
  <c r="N237" i="4"/>
  <c r="P237" i="4"/>
  <c r="J217" i="4"/>
  <c r="K217" i="4"/>
  <c r="O217" i="4"/>
  <c r="M217" i="4"/>
  <c r="N217" i="4"/>
  <c r="P217" i="4"/>
  <c r="L217" i="4"/>
  <c r="Q217" i="4"/>
  <c r="J197" i="4"/>
  <c r="K197" i="4"/>
  <c r="O197" i="4"/>
  <c r="N197" i="4"/>
  <c r="P197" i="4"/>
  <c r="Q197" i="4"/>
  <c r="L197" i="4"/>
  <c r="M197" i="4"/>
  <c r="J177" i="4"/>
  <c r="K177" i="4"/>
  <c r="O177" i="4"/>
  <c r="Q177" i="4"/>
  <c r="L177" i="4"/>
  <c r="M177" i="4"/>
  <c r="P177" i="4"/>
  <c r="N177" i="4"/>
  <c r="J157" i="4"/>
  <c r="K157" i="4"/>
  <c r="O157" i="4"/>
  <c r="M157" i="4"/>
  <c r="N157" i="4"/>
  <c r="P157" i="4"/>
  <c r="L157" i="4"/>
  <c r="Q157" i="4"/>
  <c r="L137" i="4"/>
  <c r="Q134" i="4"/>
  <c r="K142" i="4"/>
  <c r="O139" i="4"/>
  <c r="K137" i="4"/>
  <c r="O134" i="4"/>
  <c r="K132" i="4"/>
  <c r="J142" i="4"/>
  <c r="N139" i="4"/>
  <c r="J137" i="4"/>
  <c r="N134" i="4"/>
  <c r="J132" i="4"/>
  <c r="Q141" i="4"/>
  <c r="M139" i="4"/>
  <c r="Q136" i="4"/>
  <c r="M134" i="4"/>
  <c r="P141" i="4"/>
  <c r="L139" i="4"/>
  <c r="P136" i="4"/>
  <c r="L134" i="4"/>
  <c r="O141" i="4"/>
  <c r="K139" i="4"/>
  <c r="O136" i="4"/>
  <c r="K134" i="4"/>
  <c r="N141" i="4"/>
  <c r="N136" i="4"/>
  <c r="J134" i="4"/>
  <c r="M141" i="4"/>
  <c r="Q138" i="4"/>
  <c r="M136" i="4"/>
  <c r="Q133" i="4"/>
  <c r="L141" i="4"/>
  <c r="L136" i="4"/>
  <c r="P133" i="4"/>
  <c r="K136" i="4"/>
  <c r="O133" i="4"/>
  <c r="N133" i="4"/>
  <c r="M133" i="4"/>
  <c r="L133" i="4"/>
  <c r="K133" i="4"/>
  <c r="J133" i="4"/>
  <c r="P142" i="4"/>
  <c r="L140" i="4"/>
  <c r="P137" i="4"/>
  <c r="L135" i="4"/>
  <c r="P132" i="4"/>
  <c r="O142" i="4"/>
  <c r="K140" i="4"/>
  <c r="O137" i="4"/>
  <c r="K135" i="4"/>
  <c r="O132" i="4"/>
  <c r="N132" i="4"/>
  <c r="I1801" i="4"/>
  <c r="I1781" i="4"/>
  <c r="I1761" i="4"/>
  <c r="I1741" i="4"/>
  <c r="I1721" i="4"/>
  <c r="I1701" i="4"/>
  <c r="I1681" i="4"/>
  <c r="I1661" i="4"/>
  <c r="I1641" i="4"/>
  <c r="I1621" i="4"/>
  <c r="I1601" i="4"/>
  <c r="I1581" i="4"/>
  <c r="I487" i="4"/>
  <c r="I467" i="4"/>
  <c r="I1530" i="4"/>
  <c r="I1510" i="4"/>
  <c r="I407" i="4"/>
  <c r="I1470" i="4"/>
  <c r="I1450" i="4"/>
  <c r="E124" i="4"/>
  <c r="E104" i="4"/>
  <c r="I1528" i="4"/>
  <c r="I1508" i="4"/>
  <c r="I1127" i="4"/>
  <c r="E24" i="4"/>
  <c r="E123" i="4"/>
  <c r="I464" i="4"/>
  <c r="I1527" i="4"/>
  <c r="I1507" i="4"/>
  <c r="I404" i="4"/>
  <c r="I384" i="4"/>
  <c r="I707" i="4"/>
  <c r="I687" i="4"/>
  <c r="I667" i="4"/>
  <c r="I647" i="4"/>
  <c r="I627" i="4"/>
  <c r="I607" i="4"/>
  <c r="I587" i="4"/>
  <c r="I567" i="4"/>
  <c r="I547" i="4"/>
  <c r="I527" i="4"/>
  <c r="I507" i="4"/>
  <c r="E507" i="4" s="1"/>
  <c r="I705" i="4"/>
  <c r="I685" i="4"/>
  <c r="I665" i="4"/>
  <c r="I645" i="4"/>
  <c r="I625" i="4"/>
  <c r="I605" i="4"/>
  <c r="I585" i="4"/>
  <c r="I565" i="4"/>
  <c r="I545" i="4"/>
  <c r="I525" i="4"/>
  <c r="I505" i="4"/>
  <c r="I1564" i="4"/>
  <c r="I1544" i="4"/>
  <c r="I1524" i="4"/>
  <c r="I1504" i="4"/>
  <c r="I1484" i="4"/>
  <c r="I1464" i="4"/>
  <c r="I1807" i="4"/>
  <c r="I1787" i="4"/>
  <c r="I684" i="4"/>
  <c r="E303" i="4"/>
  <c r="S303" i="4" s="1"/>
  <c r="I644" i="4"/>
  <c r="I624" i="4"/>
  <c r="E243" i="4"/>
  <c r="S243" i="4" s="1"/>
  <c r="E223" i="4"/>
  <c r="S223" i="4" s="1"/>
  <c r="I564" i="4"/>
  <c r="I544" i="4"/>
  <c r="I1607" i="4"/>
  <c r="E143" i="4"/>
  <c r="S143" i="4" s="1"/>
  <c r="I1562" i="4"/>
  <c r="I1542" i="4"/>
  <c r="I1522" i="4"/>
  <c r="I1502" i="4"/>
  <c r="I1482" i="4"/>
  <c r="I1462" i="4"/>
  <c r="I1561" i="4"/>
  <c r="I1541" i="4"/>
  <c r="I1521" i="4"/>
  <c r="I1501" i="4"/>
  <c r="I1481" i="4"/>
  <c r="I1461" i="4"/>
  <c r="I1804" i="4"/>
  <c r="I1784" i="4"/>
  <c r="I1764" i="4"/>
  <c r="I1744" i="4"/>
  <c r="I1724" i="4"/>
  <c r="I1704" i="4"/>
  <c r="I1684" i="4"/>
  <c r="I1664" i="4"/>
  <c r="I1644" i="4"/>
  <c r="I1624" i="4"/>
  <c r="I1604" i="4"/>
  <c r="I1584" i="4"/>
  <c r="I1802" i="4"/>
  <c r="I1782" i="4"/>
  <c r="I1762" i="4"/>
  <c r="I1742" i="4"/>
  <c r="I1722" i="4"/>
  <c r="I1702" i="4"/>
  <c r="I1682" i="4"/>
  <c r="I1662" i="4"/>
  <c r="I1642" i="4"/>
  <c r="I1622" i="4"/>
  <c r="I1602" i="4"/>
  <c r="I1582" i="4"/>
  <c r="I1574" i="4"/>
  <c r="I1554" i="4"/>
  <c r="I1534" i="4"/>
  <c r="I1514" i="4"/>
  <c r="E50" i="4"/>
  <c r="I1474" i="4"/>
  <c r="I1454" i="4"/>
  <c r="E350" i="4"/>
  <c r="S350" i="4" s="1"/>
  <c r="I1774" i="4"/>
  <c r="I1754" i="4"/>
  <c r="I1734" i="4"/>
  <c r="I1714" i="4"/>
  <c r="E250" i="4"/>
  <c r="S250" i="4" s="1"/>
  <c r="I1674" i="4"/>
  <c r="I1654" i="4"/>
  <c r="I1634" i="4"/>
  <c r="I1614" i="4"/>
  <c r="E150" i="4"/>
  <c r="S150" i="4" s="1"/>
  <c r="I1449" i="4"/>
  <c r="I496" i="4"/>
  <c r="I483" i="4"/>
  <c r="I463" i="4"/>
  <c r="I443" i="4"/>
  <c r="I1506" i="4"/>
  <c r="I403" i="4"/>
  <c r="I383" i="4"/>
  <c r="I1563" i="4"/>
  <c r="I1543" i="4"/>
  <c r="I1523" i="4"/>
  <c r="I1503" i="4"/>
  <c r="I1483" i="4"/>
  <c r="I1463" i="4"/>
  <c r="I1806" i="4"/>
  <c r="E342" i="4"/>
  <c r="S342" i="4" s="1"/>
  <c r="I1766" i="4"/>
  <c r="E302" i="4"/>
  <c r="S302" i="4" s="1"/>
  <c r="I1726" i="4"/>
  <c r="I1706" i="4"/>
  <c r="I1686" i="4"/>
  <c r="I1666" i="4"/>
  <c r="E202" i="4"/>
  <c r="S202" i="4" s="1"/>
  <c r="I1626" i="4"/>
  <c r="I1606" i="4"/>
  <c r="I1586" i="4"/>
  <c r="I1560" i="4"/>
  <c r="I1540" i="4"/>
  <c r="I1520" i="4"/>
  <c r="I1500" i="4"/>
  <c r="I1480" i="4"/>
  <c r="I1460" i="4"/>
  <c r="I1803" i="4"/>
  <c r="I1783" i="4"/>
  <c r="I1763" i="4"/>
  <c r="I1743" i="4"/>
  <c r="I1723" i="4"/>
  <c r="I1703" i="4"/>
  <c r="I1683" i="4"/>
  <c r="I1663" i="4"/>
  <c r="I1643" i="4"/>
  <c r="I1623" i="4"/>
  <c r="I1603" i="4"/>
  <c r="I1583" i="4"/>
  <c r="I1559" i="4"/>
  <c r="I1539" i="4"/>
  <c r="I1519" i="4"/>
  <c r="I1499" i="4"/>
  <c r="I1479" i="4"/>
  <c r="I1459" i="4"/>
  <c r="I1800" i="4"/>
  <c r="I1780" i="4"/>
  <c r="I1399" i="4"/>
  <c r="I1740" i="4"/>
  <c r="I1720" i="4"/>
  <c r="I1700" i="4"/>
  <c r="I1680" i="4"/>
  <c r="I1660" i="4"/>
  <c r="I1640" i="4"/>
  <c r="I1620" i="4"/>
  <c r="I1600" i="4"/>
  <c r="I1580" i="4"/>
  <c r="I1799" i="4"/>
  <c r="I1418" i="4"/>
  <c r="I1759" i="4"/>
  <c r="I1739" i="4"/>
  <c r="I1719" i="4"/>
  <c r="I1699" i="4"/>
  <c r="I1318" i="4"/>
  <c r="I1659" i="4"/>
  <c r="I1639" i="4"/>
  <c r="I1619" i="4"/>
  <c r="I1599" i="4"/>
  <c r="I1608" i="4"/>
  <c r="I1794" i="4"/>
  <c r="I1788" i="4"/>
  <c r="I1768" i="4"/>
  <c r="I1571" i="4"/>
  <c r="I1568" i="4"/>
  <c r="I1471" i="4"/>
  <c r="I1711" i="4"/>
  <c r="I1695" i="4"/>
  <c r="I1551" i="4"/>
  <c r="I1548" i="4"/>
  <c r="I1671" i="4"/>
  <c r="I1513" i="4"/>
  <c r="I1668" i="4"/>
  <c r="I1187" i="4"/>
  <c r="I1795" i="4"/>
  <c r="I1651" i="4"/>
  <c r="I1493" i="4"/>
  <c r="I1791" i="4"/>
  <c r="I1488" i="4"/>
  <c r="I1615" i="4"/>
  <c r="I1468" i="4"/>
  <c r="I1595" i="4"/>
  <c r="I1594" i="4"/>
  <c r="I1458" i="4"/>
  <c r="I1588" i="4"/>
  <c r="I1453" i="4"/>
  <c r="I1735" i="4"/>
  <c r="I1770" i="4"/>
  <c r="I1710" i="4"/>
  <c r="I1547" i="4"/>
  <c r="I1767" i="4"/>
  <c r="I1708" i="4"/>
  <c r="I1650" i="4"/>
  <c r="I1591" i="4"/>
  <c r="I908" i="4"/>
  <c r="I1707" i="4"/>
  <c r="I1648" i="4"/>
  <c r="I1590" i="4"/>
  <c r="I1647" i="4"/>
  <c r="I1167" i="4"/>
  <c r="I1587" i="4"/>
  <c r="I1487" i="4"/>
  <c r="I1751" i="4"/>
  <c r="I1694" i="4"/>
  <c r="I1635" i="4"/>
  <c r="I1116" i="4"/>
  <c r="I1750" i="4"/>
  <c r="I1691" i="4"/>
  <c r="I1578" i="4"/>
  <c r="I1748" i="4"/>
  <c r="I1690" i="4"/>
  <c r="I1631" i="4"/>
  <c r="I1577" i="4"/>
  <c r="I1478" i="4"/>
  <c r="I1747" i="4"/>
  <c r="I1688" i="4"/>
  <c r="I1630" i="4"/>
  <c r="I1573" i="4"/>
  <c r="I1473" i="4"/>
  <c r="I1687" i="4"/>
  <c r="I1628" i="4"/>
  <c r="I1627" i="4"/>
  <c r="I1790" i="4"/>
  <c r="I1731" i="4"/>
  <c r="I1567" i="4"/>
  <c r="I1467" i="4"/>
  <c r="I1730" i="4"/>
  <c r="I1728" i="4"/>
  <c r="I1670" i="4"/>
  <c r="I1611" i="4"/>
  <c r="I1727" i="4"/>
  <c r="I1610" i="4"/>
  <c r="I1667" i="4"/>
  <c r="I1715" i="4"/>
  <c r="I1771" i="4"/>
  <c r="I1786" i="4"/>
  <c r="I1746" i="4"/>
  <c r="I1646" i="4"/>
  <c r="I1566" i="4"/>
  <c r="I1546" i="4"/>
  <c r="I1526" i="4"/>
  <c r="I1486" i="4"/>
  <c r="I1466" i="4"/>
  <c r="I1725" i="4"/>
  <c r="I1705" i="4"/>
  <c r="I1625" i="4"/>
  <c r="I1605" i="4"/>
  <c r="I1565" i="4"/>
  <c r="I1545" i="4"/>
  <c r="I1465" i="4"/>
  <c r="E1585" i="4"/>
  <c r="I1760" i="4"/>
  <c r="I1779" i="4"/>
  <c r="I1679" i="4"/>
  <c r="I1579" i="4"/>
  <c r="I1758" i="4"/>
  <c r="I1658" i="4"/>
  <c r="I1797" i="4"/>
  <c r="I1777" i="4"/>
  <c r="I1757" i="4"/>
  <c r="I1737" i="4"/>
  <c r="I1717" i="4"/>
  <c r="I1697" i="4"/>
  <c r="I1677" i="4"/>
  <c r="I1657" i="4"/>
  <c r="I1637" i="4"/>
  <c r="I1617" i="4"/>
  <c r="I1597" i="4"/>
  <c r="I1557" i="4"/>
  <c r="I1497" i="4"/>
  <c r="I1796" i="4"/>
  <c r="I1776" i="4"/>
  <c r="I1756" i="4"/>
  <c r="I1736" i="4"/>
  <c r="I1716" i="4"/>
  <c r="I1696" i="4"/>
  <c r="I1676" i="4"/>
  <c r="I1656" i="4"/>
  <c r="I1636" i="4"/>
  <c r="I1616" i="4"/>
  <c r="I1596" i="4"/>
  <c r="I1456" i="4"/>
  <c r="I1535" i="4"/>
  <c r="I1515" i="4"/>
  <c r="I1495" i="4"/>
  <c r="I1494" i="4"/>
  <c r="I1793" i="4"/>
  <c r="I1773" i="4"/>
  <c r="I1753" i="4"/>
  <c r="I1733" i="4"/>
  <c r="I1713" i="4"/>
  <c r="I1693" i="4"/>
  <c r="I1673" i="4"/>
  <c r="I1653" i="4"/>
  <c r="I1633" i="4"/>
  <c r="I1613" i="4"/>
  <c r="I1593" i="4"/>
  <c r="I1792" i="4"/>
  <c r="I1752" i="4"/>
  <c r="I1632" i="4"/>
  <c r="I1133" i="4"/>
  <c r="I1570" i="4"/>
  <c r="I1550" i="4"/>
  <c r="I1490" i="4"/>
  <c r="I1789" i="4"/>
  <c r="I1769" i="4"/>
  <c r="I1749" i="4"/>
  <c r="I1729" i="4"/>
  <c r="I1709" i="4"/>
  <c r="I1689" i="4"/>
  <c r="I1669" i="4"/>
  <c r="I1649" i="4"/>
  <c r="I1629" i="4"/>
  <c r="I1609" i="4"/>
  <c r="I1589" i="4"/>
  <c r="I1549" i="4"/>
  <c r="I1489" i="4"/>
  <c r="I1469" i="4"/>
  <c r="I1008" i="4"/>
  <c r="I1218" i="4"/>
  <c r="I1213" i="4"/>
  <c r="I1207" i="4"/>
  <c r="I1198" i="4"/>
  <c r="I1197" i="4"/>
  <c r="I1158" i="4"/>
  <c r="I1118" i="4"/>
  <c r="I1107" i="4"/>
  <c r="I1448" i="4"/>
  <c r="I1005" i="4"/>
  <c r="I1157" i="4"/>
  <c r="I995" i="4"/>
  <c r="I1156" i="4"/>
  <c r="I1153" i="4"/>
  <c r="I865" i="4"/>
  <c r="I1147" i="4"/>
  <c r="I1138" i="4"/>
  <c r="I1217" i="4"/>
  <c r="I1137" i="4"/>
  <c r="I1216" i="4"/>
  <c r="I1136" i="4"/>
  <c r="I1193" i="4"/>
  <c r="I1113" i="4"/>
  <c r="I1178" i="4"/>
  <c r="I1098" i="4"/>
  <c r="I1177" i="4"/>
  <c r="I1176" i="4"/>
  <c r="I1096" i="4"/>
  <c r="I1173" i="4"/>
  <c r="I1093" i="4"/>
  <c r="I749" i="4"/>
  <c r="I1427" i="4"/>
  <c r="I1407" i="4"/>
  <c r="I1387" i="4"/>
  <c r="I1367" i="4"/>
  <c r="I1347" i="4"/>
  <c r="I1327" i="4"/>
  <c r="I1307" i="4"/>
  <c r="I1287" i="4"/>
  <c r="I1267" i="4"/>
  <c r="I1247" i="4"/>
  <c r="I1227" i="4"/>
  <c r="I1446" i="4"/>
  <c r="I1426" i="4"/>
  <c r="I1406" i="4"/>
  <c r="I1386" i="4"/>
  <c r="I1366" i="4"/>
  <c r="I1346" i="4"/>
  <c r="I1326" i="4"/>
  <c r="I1306" i="4"/>
  <c r="I1286" i="4"/>
  <c r="I1266" i="4"/>
  <c r="I1246" i="4"/>
  <c r="I1226" i="4"/>
  <c r="I1206" i="4"/>
  <c r="I1186" i="4"/>
  <c r="I1166" i="4"/>
  <c r="I1146" i="4"/>
  <c r="I1126" i="4"/>
  <c r="I1106" i="4"/>
  <c r="I1445" i="4"/>
  <c r="I1425" i="4"/>
  <c r="I1405" i="4"/>
  <c r="I1385" i="4"/>
  <c r="I1365" i="4"/>
  <c r="I1345" i="4"/>
  <c r="I1325" i="4"/>
  <c r="I1305" i="4"/>
  <c r="I1285" i="4"/>
  <c r="I1265" i="4"/>
  <c r="I1245" i="4"/>
  <c r="I1225" i="4"/>
  <c r="I1205" i="4"/>
  <c r="I1185" i="4"/>
  <c r="I1165" i="4"/>
  <c r="I1145" i="4"/>
  <c r="I1125" i="4"/>
  <c r="I1105" i="4"/>
  <c r="I1444" i="4"/>
  <c r="I1424" i="4"/>
  <c r="I1404" i="4"/>
  <c r="I1384" i="4"/>
  <c r="I1364" i="4"/>
  <c r="I1344" i="4"/>
  <c r="I1324" i="4"/>
  <c r="I1304" i="4"/>
  <c r="I1284" i="4"/>
  <c r="I1264" i="4"/>
  <c r="I1244" i="4"/>
  <c r="I1224" i="4"/>
  <c r="I1204" i="4"/>
  <c r="I1184" i="4"/>
  <c r="I1164" i="4"/>
  <c r="I1144" i="4"/>
  <c r="I1124" i="4"/>
  <c r="I1104" i="4"/>
  <c r="I1443" i="4"/>
  <c r="I1423" i="4"/>
  <c r="I1403" i="4"/>
  <c r="I1383" i="4"/>
  <c r="I1363" i="4"/>
  <c r="I1343" i="4"/>
  <c r="I1323" i="4"/>
  <c r="I1303" i="4"/>
  <c r="I1283" i="4"/>
  <c r="I1263" i="4"/>
  <c r="I1243" i="4"/>
  <c r="I1223" i="4"/>
  <c r="I1203" i="4"/>
  <c r="I1183" i="4"/>
  <c r="I1163" i="4"/>
  <c r="I1143" i="4"/>
  <c r="I1123" i="4"/>
  <c r="I1103" i="4"/>
  <c r="I1442" i="4"/>
  <c r="I1422" i="4"/>
  <c r="I1402" i="4"/>
  <c r="I1382" i="4"/>
  <c r="I1362" i="4"/>
  <c r="I1342" i="4"/>
  <c r="I1322" i="4"/>
  <c r="I1302" i="4"/>
  <c r="I1282" i="4"/>
  <c r="I1262" i="4"/>
  <c r="I1242" i="4"/>
  <c r="I1222" i="4"/>
  <c r="I1202" i="4"/>
  <c r="I1182" i="4"/>
  <c r="I1162" i="4"/>
  <c r="I1142" i="4"/>
  <c r="I1122" i="4"/>
  <c r="I1102" i="4"/>
  <c r="I1441" i="4"/>
  <c r="I1421" i="4"/>
  <c r="I1401" i="4"/>
  <c r="I1381" i="4"/>
  <c r="I1361" i="4"/>
  <c r="I1341" i="4"/>
  <c r="I1321" i="4"/>
  <c r="I1301" i="4"/>
  <c r="I1281" i="4"/>
  <c r="I1261" i="4"/>
  <c r="I1241" i="4"/>
  <c r="I1221" i="4"/>
  <c r="I1201" i="4"/>
  <c r="I1181" i="4"/>
  <c r="I1161" i="4"/>
  <c r="I1141" i="4"/>
  <c r="I1121" i="4"/>
  <c r="I1101" i="4"/>
  <c r="I1440" i="4"/>
  <c r="I1420" i="4"/>
  <c r="I1400" i="4"/>
  <c r="I1380" i="4"/>
  <c r="I1360" i="4"/>
  <c r="I1340" i="4"/>
  <c r="I1320" i="4"/>
  <c r="I1300" i="4"/>
  <c r="I1280" i="4"/>
  <c r="I1260" i="4"/>
  <c r="I1240" i="4"/>
  <c r="I1220" i="4"/>
  <c r="I1200" i="4"/>
  <c r="I1180" i="4"/>
  <c r="I1160" i="4"/>
  <c r="I1140" i="4"/>
  <c r="I1120" i="4"/>
  <c r="I1100" i="4"/>
  <c r="I1439" i="4"/>
  <c r="I1419" i="4"/>
  <c r="I1379" i="4"/>
  <c r="I1359" i="4"/>
  <c r="I1339" i="4"/>
  <c r="I1319" i="4"/>
  <c r="I1299" i="4"/>
  <c r="I1279" i="4"/>
  <c r="I1259" i="4"/>
  <c r="I1239" i="4"/>
  <c r="I1219" i="4"/>
  <c r="I1199" i="4"/>
  <c r="I1179" i="4"/>
  <c r="I1159" i="4"/>
  <c r="I1139" i="4"/>
  <c r="I1119" i="4"/>
  <c r="I1099" i="4"/>
  <c r="I1438" i="4"/>
  <c r="I1398" i="4"/>
  <c r="I1378" i="4"/>
  <c r="I1358" i="4"/>
  <c r="I1338" i="4"/>
  <c r="I1298" i="4"/>
  <c r="I1278" i="4"/>
  <c r="I1258" i="4"/>
  <c r="I1238" i="4"/>
  <c r="I1437" i="4"/>
  <c r="I1417" i="4"/>
  <c r="I1377" i="4"/>
  <c r="I1357" i="4"/>
  <c r="I1337" i="4"/>
  <c r="I1317" i="4"/>
  <c r="I1277" i="4"/>
  <c r="I1257" i="4"/>
  <c r="I1237" i="4"/>
  <c r="I1010" i="4"/>
  <c r="I1436" i="4"/>
  <c r="I1416" i="4"/>
  <c r="I1396" i="4"/>
  <c r="I1376" i="4"/>
  <c r="I1356" i="4"/>
  <c r="I1336" i="4"/>
  <c r="I1316" i="4"/>
  <c r="I1296" i="4"/>
  <c r="I1276" i="4"/>
  <c r="I1256" i="4"/>
  <c r="I1236" i="4"/>
  <c r="I1435" i="4"/>
  <c r="I1415" i="4"/>
  <c r="I1395" i="4"/>
  <c r="I1375" i="4"/>
  <c r="I1355" i="4"/>
  <c r="I1335" i="4"/>
  <c r="I1315" i="4"/>
  <c r="I1295" i="4"/>
  <c r="I1275" i="4"/>
  <c r="I1255" i="4"/>
  <c r="I1235" i="4"/>
  <c r="I1215" i="4"/>
  <c r="I1195" i="4"/>
  <c r="I1175" i="4"/>
  <c r="I1155" i="4"/>
  <c r="I1135" i="4"/>
  <c r="I1115" i="4"/>
  <c r="I1434" i="4"/>
  <c r="I1414" i="4"/>
  <c r="I1394" i="4"/>
  <c r="I1374" i="4"/>
  <c r="I1354" i="4"/>
  <c r="I1334" i="4"/>
  <c r="I1314" i="4"/>
  <c r="I1294" i="4"/>
  <c r="I1274" i="4"/>
  <c r="I1254" i="4"/>
  <c r="I1234" i="4"/>
  <c r="I1214" i="4"/>
  <c r="I1194" i="4"/>
  <c r="I1174" i="4"/>
  <c r="I1154" i="4"/>
  <c r="I1134" i="4"/>
  <c r="I1114" i="4"/>
  <c r="I1094" i="4"/>
  <c r="I1433" i="4"/>
  <c r="I1413" i="4"/>
  <c r="I1393" i="4"/>
  <c r="I1373" i="4"/>
  <c r="I1353" i="4"/>
  <c r="I1333" i="4"/>
  <c r="I1313" i="4"/>
  <c r="I1293" i="4"/>
  <c r="I1273" i="4"/>
  <c r="I1253" i="4"/>
  <c r="I1233" i="4"/>
  <c r="I912" i="4"/>
  <c r="I1432" i="4"/>
  <c r="I1412" i="4"/>
  <c r="I1392" i="4"/>
  <c r="I1372" i="4"/>
  <c r="I1352" i="4"/>
  <c r="I1332" i="4"/>
  <c r="I1312" i="4"/>
  <c r="I1292" i="4"/>
  <c r="I1272" i="4"/>
  <c r="I1252" i="4"/>
  <c r="I1232" i="4"/>
  <c r="I1212" i="4"/>
  <c r="I1192" i="4"/>
  <c r="I1172" i="4"/>
  <c r="I1152" i="4"/>
  <c r="I1132" i="4"/>
  <c r="I1092" i="4"/>
  <c r="I1431" i="4"/>
  <c r="I1411" i="4"/>
  <c r="I1391" i="4"/>
  <c r="I1371" i="4"/>
  <c r="I1351" i="4"/>
  <c r="I1331" i="4"/>
  <c r="I1311" i="4"/>
  <c r="I1291" i="4"/>
  <c r="I1271" i="4"/>
  <c r="I1251" i="4"/>
  <c r="I1231" i="4"/>
  <c r="I1211" i="4"/>
  <c r="I1191" i="4"/>
  <c r="I1171" i="4"/>
  <c r="I1151" i="4"/>
  <c r="I1131" i="4"/>
  <c r="I1111" i="4"/>
  <c r="I1091" i="4"/>
  <c r="I905" i="4"/>
  <c r="I1430" i="4"/>
  <c r="I1410" i="4"/>
  <c r="I1390" i="4"/>
  <c r="I1370" i="4"/>
  <c r="I1350" i="4"/>
  <c r="I1330" i="4"/>
  <c r="I1310" i="4"/>
  <c r="I1290" i="4"/>
  <c r="I1270" i="4"/>
  <c r="I1250" i="4"/>
  <c r="I1230" i="4"/>
  <c r="I1210" i="4"/>
  <c r="I1190" i="4"/>
  <c r="I1170" i="4"/>
  <c r="I1150" i="4"/>
  <c r="I1130" i="4"/>
  <c r="I1110" i="4"/>
  <c r="I1090" i="4"/>
  <c r="I888" i="4"/>
  <c r="I1429" i="4"/>
  <c r="I1409" i="4"/>
  <c r="I1389" i="4"/>
  <c r="I1369" i="4"/>
  <c r="I1349" i="4"/>
  <c r="I1329" i="4"/>
  <c r="I1309" i="4"/>
  <c r="I1289" i="4"/>
  <c r="I1269" i="4"/>
  <c r="I1249" i="4"/>
  <c r="I1229" i="4"/>
  <c r="I1209" i="4"/>
  <c r="I1189" i="4"/>
  <c r="I1169" i="4"/>
  <c r="I1149" i="4"/>
  <c r="I1129" i="4"/>
  <c r="I1109" i="4"/>
  <c r="I1089" i="4"/>
  <c r="I1428" i="4"/>
  <c r="I1408" i="4"/>
  <c r="I1388" i="4"/>
  <c r="I1368" i="4"/>
  <c r="I1348" i="4"/>
  <c r="I1328" i="4"/>
  <c r="I1308" i="4"/>
  <c r="I1288" i="4"/>
  <c r="I1268" i="4"/>
  <c r="I1248" i="4"/>
  <c r="I1228" i="4"/>
  <c r="I1208" i="4"/>
  <c r="I1188" i="4"/>
  <c r="I1168" i="4"/>
  <c r="I1148" i="4"/>
  <c r="I1128" i="4"/>
  <c r="I1108" i="4"/>
  <c r="I1088" i="4"/>
  <c r="I895" i="4"/>
  <c r="I988" i="4"/>
  <c r="I886" i="4"/>
  <c r="I986" i="4"/>
  <c r="I868" i="4"/>
  <c r="I968" i="4"/>
  <c r="I866" i="4"/>
  <c r="I1068" i="4"/>
  <c r="I966" i="4"/>
  <c r="I1066" i="4"/>
  <c r="I965" i="4"/>
  <c r="I856" i="4"/>
  <c r="I1065" i="4"/>
  <c r="I955" i="4"/>
  <c r="I854" i="4"/>
  <c r="I1055" i="4"/>
  <c r="I951" i="4"/>
  <c r="I852" i="4"/>
  <c r="I1051" i="4"/>
  <c r="I950" i="4"/>
  <c r="I812" i="4"/>
  <c r="I1050" i="4"/>
  <c r="I948" i="4"/>
  <c r="I809" i="4"/>
  <c r="I1048" i="4"/>
  <c r="I946" i="4"/>
  <c r="I805" i="4"/>
  <c r="I1046" i="4"/>
  <c r="I935" i="4"/>
  <c r="I783" i="4"/>
  <c r="I1035" i="4"/>
  <c r="I926" i="4"/>
  <c r="I755" i="4"/>
  <c r="I1026" i="4"/>
  <c r="I915" i="4"/>
  <c r="I752" i="4"/>
  <c r="I1015" i="4"/>
  <c r="I1012" i="4"/>
  <c r="I911" i="4"/>
  <c r="I743" i="4"/>
  <c r="I1011" i="4"/>
  <c r="I910" i="4"/>
  <c r="I1087" i="4"/>
  <c r="I841" i="4"/>
  <c r="I1032" i="4"/>
  <c r="I932" i="4"/>
  <c r="I835" i="4"/>
  <c r="I781" i="4"/>
  <c r="I1085" i="4"/>
  <c r="I1031" i="4"/>
  <c r="I985" i="4"/>
  <c r="I931" i="4"/>
  <c r="I885" i="4"/>
  <c r="I833" i="4"/>
  <c r="I775" i="4"/>
  <c r="I1081" i="4"/>
  <c r="I1030" i="4"/>
  <c r="I981" i="4"/>
  <c r="I930" i="4"/>
  <c r="I881" i="4"/>
  <c r="I832" i="4"/>
  <c r="I773" i="4"/>
  <c r="I1075" i="4"/>
  <c r="I1028" i="4"/>
  <c r="I975" i="4"/>
  <c r="I928" i="4"/>
  <c r="I875" i="4"/>
  <c r="I829" i="4"/>
  <c r="I772" i="4"/>
  <c r="I1072" i="4"/>
  <c r="I972" i="4"/>
  <c r="I872" i="4"/>
  <c r="I825" i="4"/>
  <c r="I769" i="4"/>
  <c r="I1071" i="4"/>
  <c r="I1025" i="4"/>
  <c r="I971" i="4"/>
  <c r="I925" i="4"/>
  <c r="I871" i="4"/>
  <c r="I823" i="4"/>
  <c r="I765" i="4"/>
  <c r="I1070" i="4"/>
  <c r="I1021" i="4"/>
  <c r="I970" i="4"/>
  <c r="I921" i="4"/>
  <c r="I870" i="4"/>
  <c r="I821" i="4"/>
  <c r="I763" i="4"/>
  <c r="I815" i="4"/>
  <c r="I761" i="4"/>
  <c r="I813" i="4"/>
  <c r="I753" i="4"/>
  <c r="I1061" i="4"/>
  <c r="I961" i="4"/>
  <c r="I861" i="4"/>
  <c r="I1052" i="4"/>
  <c r="I1006" i="4"/>
  <c r="I952" i="4"/>
  <c r="I906" i="4"/>
  <c r="I855" i="4"/>
  <c r="I803" i="4"/>
  <c r="I745" i="4"/>
  <c r="I801" i="4"/>
  <c r="I1001" i="4"/>
  <c r="I901" i="4"/>
  <c r="I853" i="4"/>
  <c r="I795" i="4"/>
  <c r="I741" i="4"/>
  <c r="I793" i="4"/>
  <c r="I735" i="4"/>
  <c r="E1455" i="4"/>
  <c r="I992" i="4"/>
  <c r="I892" i="4"/>
  <c r="I849" i="4"/>
  <c r="I792" i="4"/>
  <c r="I733" i="4"/>
  <c r="I1045" i="4"/>
  <c r="I991" i="4"/>
  <c r="I945" i="4"/>
  <c r="I891" i="4"/>
  <c r="I845" i="4"/>
  <c r="I789" i="4"/>
  <c r="I732" i="4"/>
  <c r="I1041" i="4"/>
  <c r="I990" i="4"/>
  <c r="I941" i="4"/>
  <c r="I890" i="4"/>
  <c r="I843" i="4"/>
  <c r="I785" i="4"/>
  <c r="I729" i="4"/>
  <c r="I846" i="4"/>
  <c r="I826" i="4"/>
  <c r="I806" i="4"/>
  <c r="I786" i="4"/>
  <c r="I766" i="4"/>
  <c r="I746" i="4"/>
  <c r="I1084" i="4"/>
  <c r="I1064" i="4"/>
  <c r="I1044" i="4"/>
  <c r="I1024" i="4"/>
  <c r="I1004" i="4"/>
  <c r="I984" i="4"/>
  <c r="I964" i="4"/>
  <c r="I944" i="4"/>
  <c r="I924" i="4"/>
  <c r="I904" i="4"/>
  <c r="I884" i="4"/>
  <c r="I864" i="4"/>
  <c r="I844" i="4"/>
  <c r="I824" i="4"/>
  <c r="I804" i="4"/>
  <c r="I784" i="4"/>
  <c r="I764" i="4"/>
  <c r="I744" i="4"/>
  <c r="I1083" i="4"/>
  <c r="I1063" i="4"/>
  <c r="I1043" i="4"/>
  <c r="I1023" i="4"/>
  <c r="I1003" i="4"/>
  <c r="I983" i="4"/>
  <c r="I963" i="4"/>
  <c r="I943" i="4"/>
  <c r="I923" i="4"/>
  <c r="I903" i="4"/>
  <c r="I883" i="4"/>
  <c r="I863" i="4"/>
  <c r="I1082" i="4"/>
  <c r="I1062" i="4"/>
  <c r="I1042" i="4"/>
  <c r="I1022" i="4"/>
  <c r="I1002" i="4"/>
  <c r="I982" i="4"/>
  <c r="I962" i="4"/>
  <c r="I942" i="4"/>
  <c r="I922" i="4"/>
  <c r="I902" i="4"/>
  <c r="I882" i="4"/>
  <c r="I862" i="4"/>
  <c r="I842" i="4"/>
  <c r="I822" i="4"/>
  <c r="I802" i="4"/>
  <c r="I782" i="4"/>
  <c r="I762" i="4"/>
  <c r="I742" i="4"/>
  <c r="I1080" i="4"/>
  <c r="I1060" i="4"/>
  <c r="I1040" i="4"/>
  <c r="I1020" i="4"/>
  <c r="I1000" i="4"/>
  <c r="I980" i="4"/>
  <c r="I960" i="4"/>
  <c r="I940" i="4"/>
  <c r="I920" i="4"/>
  <c r="I900" i="4"/>
  <c r="I880" i="4"/>
  <c r="I860" i="4"/>
  <c r="I840" i="4"/>
  <c r="I820" i="4"/>
  <c r="I800" i="4"/>
  <c r="I780" i="4"/>
  <c r="I760" i="4"/>
  <c r="I740" i="4"/>
  <c r="I1079" i="4"/>
  <c r="I1059" i="4"/>
  <c r="I1039" i="4"/>
  <c r="I1019" i="4"/>
  <c r="I999" i="4"/>
  <c r="I979" i="4"/>
  <c r="I959" i="4"/>
  <c r="I939" i="4"/>
  <c r="I919" i="4"/>
  <c r="I899" i="4"/>
  <c r="I879" i="4"/>
  <c r="I859" i="4"/>
  <c r="I839" i="4"/>
  <c r="I819" i="4"/>
  <c r="I799" i="4"/>
  <c r="I779" i="4"/>
  <c r="I759" i="4"/>
  <c r="I739" i="4"/>
  <c r="I1078" i="4"/>
  <c r="I1058" i="4"/>
  <c r="I1038" i="4"/>
  <c r="I1018" i="4"/>
  <c r="I998" i="4"/>
  <c r="I978" i="4"/>
  <c r="I958" i="4"/>
  <c r="I938" i="4"/>
  <c r="I918" i="4"/>
  <c r="I898" i="4"/>
  <c r="I878" i="4"/>
  <c r="I858" i="4"/>
  <c r="I838" i="4"/>
  <c r="I818" i="4"/>
  <c r="I798" i="4"/>
  <c r="I778" i="4"/>
  <c r="I758" i="4"/>
  <c r="I738" i="4"/>
  <c r="I1077" i="4"/>
  <c r="I1057" i="4"/>
  <c r="I1037" i="4"/>
  <c r="I1017" i="4"/>
  <c r="I997" i="4"/>
  <c r="I977" i="4"/>
  <c r="I957" i="4"/>
  <c r="I937" i="4"/>
  <c r="I917" i="4"/>
  <c r="I897" i="4"/>
  <c r="I877" i="4"/>
  <c r="I857" i="4"/>
  <c r="I837" i="4"/>
  <c r="I817" i="4"/>
  <c r="I797" i="4"/>
  <c r="I777" i="4"/>
  <c r="I757" i="4"/>
  <c r="I737" i="4"/>
  <c r="I1076" i="4"/>
  <c r="I1056" i="4"/>
  <c r="I1036" i="4"/>
  <c r="I1016" i="4"/>
  <c r="I996" i="4"/>
  <c r="I976" i="4"/>
  <c r="I956" i="4"/>
  <c r="I936" i="4"/>
  <c r="I916" i="4"/>
  <c r="I896" i="4"/>
  <c r="I876" i="4"/>
  <c r="I836" i="4"/>
  <c r="I816" i="4"/>
  <c r="I796" i="4"/>
  <c r="I776" i="4"/>
  <c r="I756" i="4"/>
  <c r="I736" i="4"/>
  <c r="I1074" i="4"/>
  <c r="I1054" i="4"/>
  <c r="I1034" i="4"/>
  <c r="I1014" i="4"/>
  <c r="I994" i="4"/>
  <c r="I974" i="4"/>
  <c r="I954" i="4"/>
  <c r="I934" i="4"/>
  <c r="I914" i="4"/>
  <c r="I894" i="4"/>
  <c r="I874" i="4"/>
  <c r="I834" i="4"/>
  <c r="I814" i="4"/>
  <c r="I794" i="4"/>
  <c r="I774" i="4"/>
  <c r="I754" i="4"/>
  <c r="I734" i="4"/>
  <c r="I1073" i="4"/>
  <c r="I1053" i="4"/>
  <c r="I1033" i="4"/>
  <c r="I1013" i="4"/>
  <c r="I993" i="4"/>
  <c r="I973" i="4"/>
  <c r="I953" i="4"/>
  <c r="I933" i="4"/>
  <c r="I913" i="4"/>
  <c r="I893" i="4"/>
  <c r="I873" i="4"/>
  <c r="I851" i="4"/>
  <c r="I831" i="4"/>
  <c r="I811" i="4"/>
  <c r="I791" i="4"/>
  <c r="I771" i="4"/>
  <c r="I751" i="4"/>
  <c r="I731" i="4"/>
  <c r="I850" i="4"/>
  <c r="I830" i="4"/>
  <c r="I810" i="4"/>
  <c r="I790" i="4"/>
  <c r="I770" i="4"/>
  <c r="I750" i="4"/>
  <c r="I730" i="4"/>
  <c r="I1069" i="4"/>
  <c r="I1049" i="4"/>
  <c r="I1029" i="4"/>
  <c r="I1009" i="4"/>
  <c r="I989" i="4"/>
  <c r="I969" i="4"/>
  <c r="I949" i="4"/>
  <c r="I929" i="4"/>
  <c r="I909" i="4"/>
  <c r="I889" i="4"/>
  <c r="I869" i="4"/>
  <c r="I848" i="4"/>
  <c r="I828" i="4"/>
  <c r="I808" i="4"/>
  <c r="I788" i="4"/>
  <c r="I768" i="4"/>
  <c r="I748" i="4"/>
  <c r="I728" i="4"/>
  <c r="E1472" i="4"/>
  <c r="I1067" i="4"/>
  <c r="I1047" i="4"/>
  <c r="I1027" i="4"/>
  <c r="I1007" i="4"/>
  <c r="I987" i="4"/>
  <c r="I967" i="4"/>
  <c r="I947" i="4"/>
  <c r="I927" i="4"/>
  <c r="I907" i="4"/>
  <c r="I887" i="4"/>
  <c r="I867" i="4"/>
  <c r="I847" i="4"/>
  <c r="I827" i="4"/>
  <c r="I807" i="4"/>
  <c r="I787" i="4"/>
  <c r="I767" i="4"/>
  <c r="I747" i="4"/>
  <c r="I727" i="4"/>
  <c r="E1492" i="4"/>
  <c r="I726" i="4"/>
  <c r="E1512" i="4"/>
  <c r="E1477" i="4"/>
  <c r="E1457" i="4"/>
  <c r="E1572" i="4"/>
  <c r="E1556" i="4"/>
  <c r="E1496" i="4"/>
  <c r="E1452" i="4"/>
  <c r="E1525" i="4"/>
  <c r="E1485" i="4"/>
  <c r="E1569" i="4"/>
  <c r="E1558" i="4"/>
  <c r="E1538" i="4"/>
  <c r="E1518" i="4"/>
  <c r="E1498" i="4"/>
  <c r="E1553" i="4"/>
  <c r="E1533" i="4"/>
  <c r="E1536" i="4"/>
  <c r="E1529" i="4"/>
  <c r="E1509" i="4"/>
  <c r="E1505" i="4"/>
  <c r="E1537" i="4"/>
  <c r="E1517" i="4"/>
  <c r="E1575" i="4"/>
  <c r="E1552" i="4"/>
  <c r="E1532" i="4"/>
  <c r="E1531" i="4"/>
  <c r="E1511" i="4"/>
  <c r="E1491" i="4"/>
  <c r="E1451" i="4"/>
  <c r="E1516" i="4"/>
  <c r="E1476" i="4"/>
  <c r="E1555" i="4"/>
  <c r="E1475" i="4"/>
  <c r="B1760" i="4"/>
  <c r="B1758" i="4"/>
  <c r="B1738" i="4"/>
  <c r="B1701" i="4"/>
  <c r="B1700" i="4"/>
  <c r="B1597" i="4"/>
  <c r="B1797" i="4"/>
  <c r="B1559" i="4"/>
  <c r="B1780" i="4"/>
  <c r="B1558" i="4"/>
  <c r="B1778" i="4"/>
  <c r="B1776" i="4"/>
  <c r="B1742" i="4"/>
  <c r="B1737" i="4"/>
  <c r="B1704" i="4"/>
  <c r="B1674" i="4"/>
  <c r="B1663" i="4"/>
  <c r="B1654" i="4"/>
  <c r="B1625" i="4"/>
  <c r="B775" i="4"/>
  <c r="C775" i="4" s="1"/>
  <c r="B1497" i="4"/>
  <c r="B735" i="4"/>
  <c r="C735" i="4" s="1"/>
  <c r="B1457" i="4"/>
  <c r="C1207" i="4"/>
  <c r="C1187" i="4"/>
  <c r="C1167" i="4"/>
  <c r="C1147" i="4"/>
  <c r="C1127" i="4"/>
  <c r="C1107" i="4"/>
  <c r="B1636" i="4"/>
  <c r="C1206" i="4"/>
  <c r="C1186" i="4"/>
  <c r="C1166" i="4"/>
  <c r="C1146" i="4"/>
  <c r="C1126" i="4"/>
  <c r="C1106" i="4"/>
  <c r="B1741" i="4"/>
  <c r="B1703" i="4"/>
  <c r="B1665" i="4"/>
  <c r="B1635" i="4"/>
  <c r="C1205" i="4"/>
  <c r="C1185" i="4"/>
  <c r="C1165" i="4"/>
  <c r="C1145" i="4"/>
  <c r="C1125" i="4"/>
  <c r="C1105" i="4"/>
  <c r="B1563" i="4"/>
  <c r="B1777" i="4"/>
  <c r="B1740" i="4"/>
  <c r="B1702" i="4"/>
  <c r="B1664" i="4"/>
  <c r="B1634" i="4"/>
  <c r="C710" i="4"/>
  <c r="B1793" i="4"/>
  <c r="D690" i="4"/>
  <c r="B1773" i="4"/>
  <c r="C670" i="4"/>
  <c r="B1753" i="4"/>
  <c r="C650" i="4"/>
  <c r="B1733" i="4"/>
  <c r="D630" i="4"/>
  <c r="B1713" i="4"/>
  <c r="C610" i="4"/>
  <c r="B1693" i="4"/>
  <c r="C590" i="4"/>
  <c r="B1673" i="4"/>
  <c r="C570" i="4"/>
  <c r="B1653" i="4"/>
  <c r="C550" i="4"/>
  <c r="B1633" i="4"/>
  <c r="C530" i="4"/>
  <c r="B1613" i="4"/>
  <c r="C1204" i="4"/>
  <c r="C1184" i="4"/>
  <c r="C1164" i="4"/>
  <c r="C1144" i="4"/>
  <c r="C1124" i="4"/>
  <c r="C1104" i="4"/>
  <c r="C709" i="4"/>
  <c r="B1792" i="4"/>
  <c r="C689" i="4"/>
  <c r="B1772" i="4"/>
  <c r="C669" i="4"/>
  <c r="B1752" i="4"/>
  <c r="C649" i="4"/>
  <c r="B1732" i="4"/>
  <c r="C629" i="4"/>
  <c r="B1712" i="4"/>
  <c r="C609" i="4"/>
  <c r="B1692" i="4"/>
  <c r="C589" i="4"/>
  <c r="B1672" i="4"/>
  <c r="C569" i="4"/>
  <c r="B1652" i="4"/>
  <c r="C549" i="4"/>
  <c r="B1632" i="4"/>
  <c r="C529" i="4"/>
  <c r="B1612" i="4"/>
  <c r="D1203" i="4"/>
  <c r="D1183" i="4"/>
  <c r="C1163" i="4"/>
  <c r="D1143" i="4"/>
  <c r="D1123" i="4"/>
  <c r="D1103" i="4"/>
  <c r="D1430" i="4"/>
  <c r="D1410" i="4"/>
  <c r="B1805" i="4"/>
  <c r="B1775" i="4"/>
  <c r="B1662" i="4"/>
  <c r="B1624" i="4"/>
  <c r="C708" i="4"/>
  <c r="B1791" i="4"/>
  <c r="C688" i="4"/>
  <c r="B1771" i="4"/>
  <c r="C668" i="4"/>
  <c r="B1751" i="4"/>
  <c r="C648" i="4"/>
  <c r="B1731" i="4"/>
  <c r="C628" i="4"/>
  <c r="B1711" i="4"/>
  <c r="C608" i="4"/>
  <c r="B1691" i="4"/>
  <c r="C588" i="4"/>
  <c r="B1671" i="4"/>
  <c r="C568" i="4"/>
  <c r="B1651" i="4"/>
  <c r="C548" i="4"/>
  <c r="B1631" i="4"/>
  <c r="C528" i="4"/>
  <c r="B1611" i="4"/>
  <c r="C1429" i="4"/>
  <c r="C1409" i="4"/>
  <c r="B1557" i="4"/>
  <c r="B1804" i="4"/>
  <c r="B1774" i="4"/>
  <c r="B1736" i="4"/>
  <c r="B1698" i="4"/>
  <c r="B1661" i="4"/>
  <c r="B1623" i="4"/>
  <c r="C707" i="4"/>
  <c r="B1790" i="4"/>
  <c r="C687" i="4"/>
  <c r="B1770" i="4"/>
  <c r="C667" i="4"/>
  <c r="B1750" i="4"/>
  <c r="C647" i="4"/>
  <c r="B1730" i="4"/>
  <c r="C627" i="4"/>
  <c r="B1710" i="4"/>
  <c r="C607" i="4"/>
  <c r="B1690" i="4"/>
  <c r="C587" i="4"/>
  <c r="B1670" i="4"/>
  <c r="C567" i="4"/>
  <c r="B1650" i="4"/>
  <c r="C547" i="4"/>
  <c r="B1630" i="4"/>
  <c r="C527" i="4"/>
  <c r="B1610" i="4"/>
  <c r="C1396" i="4"/>
  <c r="C1376" i="4"/>
  <c r="C1356" i="4"/>
  <c r="C1336" i="4"/>
  <c r="C1316" i="4"/>
  <c r="C1296" i="4"/>
  <c r="C1276" i="4"/>
  <c r="C1256" i="4"/>
  <c r="C1236" i="4"/>
  <c r="C1216" i="4"/>
  <c r="D1428" i="4"/>
  <c r="C1408" i="4"/>
  <c r="B1548" i="4"/>
  <c r="B1803" i="4"/>
  <c r="B1765" i="4"/>
  <c r="B1735" i="4"/>
  <c r="B1697" i="4"/>
  <c r="B1660" i="4"/>
  <c r="B1622" i="4"/>
  <c r="D828" i="4"/>
  <c r="D788" i="4"/>
  <c r="D748" i="4"/>
  <c r="C706" i="4"/>
  <c r="B1789" i="4"/>
  <c r="C686" i="4"/>
  <c r="B1769" i="4"/>
  <c r="C666" i="4"/>
  <c r="B1749" i="4"/>
  <c r="C646" i="4"/>
  <c r="B1729" i="4"/>
  <c r="C626" i="4"/>
  <c r="B1709" i="4"/>
  <c r="C606" i="4"/>
  <c r="B1689" i="4"/>
  <c r="C586" i="4"/>
  <c r="B1669" i="4"/>
  <c r="C566" i="4"/>
  <c r="B1649" i="4"/>
  <c r="C546" i="4"/>
  <c r="B1629" i="4"/>
  <c r="C526" i="4"/>
  <c r="B1609" i="4"/>
  <c r="C1427" i="4"/>
  <c r="C1407" i="4"/>
  <c r="B1519" i="4"/>
  <c r="B1802" i="4"/>
  <c r="B1764" i="4"/>
  <c r="B1734" i="4"/>
  <c r="B1696" i="4"/>
  <c r="B1658" i="4"/>
  <c r="B1621" i="4"/>
  <c r="C705" i="4"/>
  <c r="B1788" i="4"/>
  <c r="C685" i="4"/>
  <c r="B1768" i="4"/>
  <c r="C665" i="4"/>
  <c r="B1748" i="4"/>
  <c r="C645" i="4"/>
  <c r="B1728" i="4"/>
  <c r="C625" i="4"/>
  <c r="B1708" i="4"/>
  <c r="C605" i="4"/>
  <c r="B1688" i="4"/>
  <c r="C585" i="4"/>
  <c r="B1668" i="4"/>
  <c r="D565" i="4"/>
  <c r="B1648" i="4"/>
  <c r="C545" i="4"/>
  <c r="B1628" i="4"/>
  <c r="C525" i="4"/>
  <c r="B1608" i="4"/>
  <c r="C1406" i="4"/>
  <c r="B1518" i="4"/>
  <c r="B1801" i="4"/>
  <c r="B1763" i="4"/>
  <c r="B1725" i="4"/>
  <c r="B1695" i="4"/>
  <c r="B1657" i="4"/>
  <c r="B1620" i="4"/>
  <c r="D786" i="4"/>
  <c r="D766" i="4"/>
  <c r="B746" i="4"/>
  <c r="C746" i="4" s="1"/>
  <c r="B1468" i="4"/>
  <c r="C724" i="4"/>
  <c r="B1807" i="4"/>
  <c r="C704" i="4"/>
  <c r="B1787" i="4"/>
  <c r="C684" i="4"/>
  <c r="B1767" i="4"/>
  <c r="C664" i="4"/>
  <c r="B1747" i="4"/>
  <c r="C644" i="4"/>
  <c r="B1727" i="4"/>
  <c r="C624" i="4"/>
  <c r="B1707" i="4"/>
  <c r="C604" i="4"/>
  <c r="B1687" i="4"/>
  <c r="C584" i="4"/>
  <c r="B1667" i="4"/>
  <c r="C564" i="4"/>
  <c r="B1647" i="4"/>
  <c r="C544" i="4"/>
  <c r="B1627" i="4"/>
  <c r="C524" i="4"/>
  <c r="B1607" i="4"/>
  <c r="D1445" i="4"/>
  <c r="D1425" i="4"/>
  <c r="C1405" i="4"/>
  <c r="B1517" i="4"/>
  <c r="B1800" i="4"/>
  <c r="B1762" i="4"/>
  <c r="B1724" i="4"/>
  <c r="B1694" i="4"/>
  <c r="B1656" i="4"/>
  <c r="B1618" i="4"/>
  <c r="C723" i="4"/>
  <c r="B1806" i="4"/>
  <c r="C703" i="4"/>
  <c r="B1786" i="4"/>
  <c r="C683" i="4"/>
  <c r="B1766" i="4"/>
  <c r="C663" i="4"/>
  <c r="B1746" i="4"/>
  <c r="C643" i="4"/>
  <c r="B1726" i="4"/>
  <c r="C623" i="4"/>
  <c r="B1706" i="4"/>
  <c r="C603" i="4"/>
  <c r="B1686" i="4"/>
  <c r="C583" i="4"/>
  <c r="B1666" i="4"/>
  <c r="C563" i="4"/>
  <c r="B1646" i="4"/>
  <c r="C543" i="4"/>
  <c r="B1626" i="4"/>
  <c r="C523" i="4"/>
  <c r="B1606" i="4"/>
  <c r="C1444" i="4"/>
  <c r="C1424" i="4"/>
  <c r="C1404" i="4"/>
  <c r="B1508" i="4"/>
  <c r="B1798" i="4"/>
  <c r="B1761" i="4"/>
  <c r="B1723" i="4"/>
  <c r="B1685" i="4"/>
  <c r="B1655" i="4"/>
  <c r="B1617" i="4"/>
  <c r="C1196" i="4"/>
  <c r="C1176" i="4"/>
  <c r="C1156" i="4"/>
  <c r="C1136" i="4"/>
  <c r="C1116" i="4"/>
  <c r="D1096" i="4"/>
  <c r="C1443" i="4"/>
  <c r="C1423" i="4"/>
  <c r="C1403" i="4"/>
  <c r="B1503" i="4"/>
  <c r="B1722" i="4"/>
  <c r="B1684" i="4"/>
  <c r="B1616" i="4"/>
  <c r="D1390" i="4"/>
  <c r="D1370" i="4"/>
  <c r="D1350" i="4"/>
  <c r="D1330" i="4"/>
  <c r="D1310" i="4"/>
  <c r="D1290" i="4"/>
  <c r="D1270" i="4"/>
  <c r="D1250" i="4"/>
  <c r="D1230" i="4"/>
  <c r="B1463" i="4"/>
  <c r="B1796" i="4"/>
  <c r="B1721" i="4"/>
  <c r="B1683" i="4"/>
  <c r="B1645" i="4"/>
  <c r="B1615" i="4"/>
  <c r="C1389" i="4"/>
  <c r="D1369" i="4"/>
  <c r="C1349" i="4"/>
  <c r="C1329" i="4"/>
  <c r="C1309" i="4"/>
  <c r="D1289" i="4"/>
  <c r="D1269" i="4"/>
  <c r="C1249" i="4"/>
  <c r="C1229" i="4"/>
  <c r="B1458" i="4"/>
  <c r="B1795" i="4"/>
  <c r="B1757" i="4"/>
  <c r="B1720" i="4"/>
  <c r="B1682" i="4"/>
  <c r="B1644" i="4"/>
  <c r="B1614" i="4"/>
  <c r="D1388" i="4"/>
  <c r="D1368" i="4"/>
  <c r="D1348" i="4"/>
  <c r="D1328" i="4"/>
  <c r="D1308" i="4"/>
  <c r="D1288" i="4"/>
  <c r="D1268" i="4"/>
  <c r="D1248" i="4"/>
  <c r="D1228" i="4"/>
  <c r="B1794" i="4"/>
  <c r="B1756" i="4"/>
  <c r="B1718" i="4"/>
  <c r="B1681" i="4"/>
  <c r="B1643" i="4"/>
  <c r="B1605" i="4"/>
  <c r="C1387" i="4"/>
  <c r="C1367" i="4"/>
  <c r="C1347" i="4"/>
  <c r="C1327" i="4"/>
  <c r="C1307" i="4"/>
  <c r="C1287" i="4"/>
  <c r="C1267" i="4"/>
  <c r="C1247" i="4"/>
  <c r="C1227" i="4"/>
  <c r="B1785" i="4"/>
  <c r="B1755" i="4"/>
  <c r="B1717" i="4"/>
  <c r="B1680" i="4"/>
  <c r="B1642" i="4"/>
  <c r="B1604" i="4"/>
  <c r="C1386" i="4"/>
  <c r="C1366" i="4"/>
  <c r="C1346" i="4"/>
  <c r="C1326" i="4"/>
  <c r="C1306" i="4"/>
  <c r="C1286" i="4"/>
  <c r="C1266" i="4"/>
  <c r="C1246" i="4"/>
  <c r="C1226" i="4"/>
  <c r="B1784" i="4"/>
  <c r="B1754" i="4"/>
  <c r="B1716" i="4"/>
  <c r="B1678" i="4"/>
  <c r="B1641" i="4"/>
  <c r="B1603" i="4"/>
  <c r="C716" i="4"/>
  <c r="B1799" i="4"/>
  <c r="C696" i="4"/>
  <c r="B1779" i="4"/>
  <c r="C676" i="4"/>
  <c r="B1759" i="4"/>
  <c r="D656" i="4"/>
  <c r="B1739" i="4"/>
  <c r="C636" i="4"/>
  <c r="B1719" i="4"/>
  <c r="C616" i="4"/>
  <c r="B1699" i="4"/>
  <c r="C596" i="4"/>
  <c r="B1679" i="4"/>
  <c r="C576" i="4"/>
  <c r="B1659" i="4"/>
  <c r="C556" i="4"/>
  <c r="B1639" i="4"/>
  <c r="C536" i="4"/>
  <c r="B1619" i="4"/>
  <c r="D516" i="4"/>
  <c r="B1599" i="4"/>
  <c r="C1210" i="4"/>
  <c r="C1190" i="4"/>
  <c r="C1170" i="4"/>
  <c r="C1150" i="4"/>
  <c r="C1130" i="4"/>
  <c r="C1110" i="4"/>
  <c r="C1090" i="4"/>
  <c r="C1385" i="4"/>
  <c r="C1365" i="4"/>
  <c r="C1345" i="4"/>
  <c r="C1325" i="4"/>
  <c r="C1305" i="4"/>
  <c r="C1285" i="4"/>
  <c r="C1265" i="4"/>
  <c r="C1245" i="4"/>
  <c r="C1225" i="4"/>
  <c r="B1783" i="4"/>
  <c r="B1745" i="4"/>
  <c r="B1715" i="4"/>
  <c r="B1677" i="4"/>
  <c r="B1640" i="4"/>
  <c r="B1602" i="4"/>
  <c r="B737" i="4"/>
  <c r="B1459" i="4"/>
  <c r="C1209" i="4"/>
  <c r="C1189" i="4"/>
  <c r="C1169" i="4"/>
  <c r="C1149" i="4"/>
  <c r="C1129" i="4"/>
  <c r="C1109" i="4"/>
  <c r="C1089" i="4"/>
  <c r="C1384" i="4"/>
  <c r="C1364" i="4"/>
  <c r="D1344" i="4"/>
  <c r="D1324" i="4"/>
  <c r="C1304" i="4"/>
  <c r="C1284" i="4"/>
  <c r="C1264" i="4"/>
  <c r="C1244" i="4"/>
  <c r="C1224" i="4"/>
  <c r="C1436" i="4"/>
  <c r="C1416" i="4"/>
  <c r="B1782" i="4"/>
  <c r="B1744" i="4"/>
  <c r="B1714" i="4"/>
  <c r="B1676" i="4"/>
  <c r="B1638" i="4"/>
  <c r="B1601" i="4"/>
  <c r="C1208" i="4"/>
  <c r="C1188" i="4"/>
  <c r="C1168" i="4"/>
  <c r="C1148" i="4"/>
  <c r="C1128" i="4"/>
  <c r="C1108" i="4"/>
  <c r="C1088" i="4"/>
  <c r="C1383" i="4"/>
  <c r="C1363" i="4"/>
  <c r="C1343" i="4"/>
  <c r="C1323" i="4"/>
  <c r="C1303" i="4"/>
  <c r="C1283" i="4"/>
  <c r="C1263" i="4"/>
  <c r="C1243" i="4"/>
  <c r="C1223" i="4"/>
  <c r="B1781" i="4"/>
  <c r="B1743" i="4"/>
  <c r="B1705" i="4"/>
  <c r="B1675" i="4"/>
  <c r="B1637" i="4"/>
  <c r="B1600" i="4"/>
  <c r="B1596" i="4"/>
  <c r="B1543" i="4"/>
  <c r="B1494" i="4"/>
  <c r="B1594" i="4"/>
  <c r="B1539" i="4"/>
  <c r="B1493" i="4"/>
  <c r="B1593" i="4"/>
  <c r="B1538" i="4"/>
  <c r="B1492" i="4"/>
  <c r="B1592" i="4"/>
  <c r="B1537" i="4"/>
  <c r="B1488" i="4"/>
  <c r="B1588" i="4"/>
  <c r="B1534" i="4"/>
  <c r="B1483" i="4"/>
  <c r="B1578" i="4"/>
  <c r="B1533" i="4"/>
  <c r="B1479" i="4"/>
  <c r="B1577" i="4"/>
  <c r="B1532" i="4"/>
  <c r="B1478" i="4"/>
  <c r="B1576" i="4"/>
  <c r="B1528" i="4"/>
  <c r="B1477" i="4"/>
  <c r="B1574" i="4"/>
  <c r="B1523" i="4"/>
  <c r="B1474" i="4"/>
  <c r="B1573" i="4"/>
  <c r="B1473" i="4"/>
  <c r="B1572" i="4"/>
  <c r="B1472" i="4"/>
  <c r="B1568" i="4"/>
  <c r="B1514" i="4"/>
  <c r="B1513" i="4"/>
  <c r="B1512" i="4"/>
  <c r="B1554" i="4"/>
  <c r="B1454" i="4"/>
  <c r="B1553" i="4"/>
  <c r="B1499" i="4"/>
  <c r="B1453" i="4"/>
  <c r="B1598" i="4"/>
  <c r="B1552" i="4"/>
  <c r="B1498" i="4"/>
  <c r="B1452" i="4"/>
  <c r="B1587" i="4"/>
  <c r="B1567" i="4"/>
  <c r="B1547" i="4"/>
  <c r="B1527" i="4"/>
  <c r="B1507" i="4"/>
  <c r="B1487" i="4"/>
  <c r="B1467" i="4"/>
  <c r="B1586" i="4"/>
  <c r="B1566" i="4"/>
  <c r="B1546" i="4"/>
  <c r="B1526" i="4"/>
  <c r="B1506" i="4"/>
  <c r="B1486" i="4"/>
  <c r="B1466" i="4"/>
  <c r="B1585" i="4"/>
  <c r="B1565" i="4"/>
  <c r="B1545" i="4"/>
  <c r="B1525" i="4"/>
  <c r="B1505" i="4"/>
  <c r="B1485" i="4"/>
  <c r="B1465" i="4"/>
  <c r="B1584" i="4"/>
  <c r="B1564" i="4"/>
  <c r="B1544" i="4"/>
  <c r="B1524" i="4"/>
  <c r="B1504" i="4"/>
  <c r="B1484" i="4"/>
  <c r="B1464" i="4"/>
  <c r="B1583" i="4"/>
  <c r="B1582" i="4"/>
  <c r="B1562" i="4"/>
  <c r="B1542" i="4"/>
  <c r="B1522" i="4"/>
  <c r="B1502" i="4"/>
  <c r="B1482" i="4"/>
  <c r="B1462" i="4"/>
  <c r="B1581" i="4"/>
  <c r="B1561" i="4"/>
  <c r="B1541" i="4"/>
  <c r="B1521" i="4"/>
  <c r="B1501" i="4"/>
  <c r="B1481" i="4"/>
  <c r="B1461" i="4"/>
  <c r="B1580" i="4"/>
  <c r="B1560" i="4"/>
  <c r="B1540" i="4"/>
  <c r="B1520" i="4"/>
  <c r="B1500" i="4"/>
  <c r="B1480" i="4"/>
  <c r="B1460" i="4"/>
  <c r="B1579" i="4"/>
  <c r="B1556" i="4"/>
  <c r="B1536" i="4"/>
  <c r="B1516" i="4"/>
  <c r="B1496" i="4"/>
  <c r="B1476" i="4"/>
  <c r="B1456" i="4"/>
  <c r="B1595" i="4"/>
  <c r="B1575" i="4"/>
  <c r="B1555" i="4"/>
  <c r="B1535" i="4"/>
  <c r="B1515" i="4"/>
  <c r="B1495" i="4"/>
  <c r="B1475" i="4"/>
  <c r="B1455" i="4"/>
  <c r="B1591" i="4"/>
  <c r="B1571" i="4"/>
  <c r="B1551" i="4"/>
  <c r="B1531" i="4"/>
  <c r="B1511" i="4"/>
  <c r="B1590" i="4"/>
  <c r="B1570" i="4"/>
  <c r="B1550" i="4"/>
  <c r="B1530" i="4"/>
  <c r="B1510" i="4"/>
  <c r="B1490" i="4"/>
  <c r="B1470" i="4"/>
  <c r="B1450" i="4"/>
  <c r="B1589" i="4"/>
  <c r="B1569" i="4"/>
  <c r="B1549" i="4"/>
  <c r="B1529" i="4"/>
  <c r="B1509" i="4"/>
  <c r="B1489" i="4"/>
  <c r="B1469" i="4"/>
  <c r="B1449" i="4"/>
  <c r="D1427" i="4"/>
  <c r="D1279" i="4"/>
  <c r="C1259" i="4"/>
  <c r="D1414" i="4"/>
  <c r="C1295" i="4"/>
  <c r="D1224" i="4"/>
  <c r="C1445" i="4"/>
  <c r="D1437" i="4"/>
  <c r="D1404" i="4"/>
  <c r="C1390" i="4"/>
  <c r="C1344" i="4"/>
  <c r="D1339" i="4"/>
  <c r="C1290" i="4"/>
  <c r="C1250" i="4"/>
  <c r="C1438" i="4"/>
  <c r="D1434" i="4"/>
  <c r="D1389" i="4"/>
  <c r="C1289" i="4"/>
  <c r="D1384" i="4"/>
  <c r="D1444" i="4"/>
  <c r="D1374" i="4"/>
  <c r="C1269" i="4"/>
  <c r="D1264" i="4"/>
  <c r="C1369" i="4"/>
  <c r="D1355" i="4"/>
  <c r="C1350" i="4"/>
  <c r="D1249" i="4"/>
  <c r="D1349" i="4"/>
  <c r="D1229" i="4"/>
  <c r="C1428" i="4"/>
  <c r="C1425" i="4"/>
  <c r="D1329" i="4"/>
  <c r="C1324" i="4"/>
  <c r="D1408" i="4"/>
  <c r="D1319" i="4"/>
  <c r="C1314" i="4"/>
  <c r="C1310" i="4"/>
  <c r="D1399" i="4"/>
  <c r="C1370" i="4"/>
  <c r="D1309" i="4"/>
  <c r="C1278" i="4"/>
  <c r="C1338" i="4"/>
  <c r="D1275" i="4"/>
  <c r="C1248" i="4"/>
  <c r="C1398" i="4"/>
  <c r="D1335" i="4"/>
  <c r="C1308" i="4"/>
  <c r="D1244" i="4"/>
  <c r="D1424" i="4"/>
  <c r="D1395" i="4"/>
  <c r="C1368" i="4"/>
  <c r="D1304" i="4"/>
  <c r="D1274" i="4"/>
  <c r="D1239" i="4"/>
  <c r="D1364" i="4"/>
  <c r="D1334" i="4"/>
  <c r="C1418" i="4"/>
  <c r="D1394" i="4"/>
  <c r="D1299" i="4"/>
  <c r="C1270" i="4"/>
  <c r="C1238" i="4"/>
  <c r="D1417" i="4"/>
  <c r="D1359" i="4"/>
  <c r="C1330" i="4"/>
  <c r="D1235" i="4"/>
  <c r="C1298" i="4"/>
  <c r="C1358" i="4"/>
  <c r="C1268" i="4"/>
  <c r="D1234" i="4"/>
  <c r="C1410" i="4"/>
  <c r="C1328" i="4"/>
  <c r="D1409" i="4"/>
  <c r="C1388" i="4"/>
  <c r="D1294" i="4"/>
  <c r="C1230" i="4"/>
  <c r="D1354" i="4"/>
  <c r="D1379" i="4"/>
  <c r="C1258" i="4"/>
  <c r="C1228" i="4"/>
  <c r="C1430" i="4"/>
  <c r="D1407" i="4"/>
  <c r="C1318" i="4"/>
  <c r="D1255" i="4"/>
  <c r="D1429" i="4"/>
  <c r="C1378" i="4"/>
  <c r="D1315" i="4"/>
  <c r="C1288" i="4"/>
  <c r="D1219" i="4"/>
  <c r="D1405" i="4"/>
  <c r="D1375" i="4"/>
  <c r="C1348" i="4"/>
  <c r="D1284" i="4"/>
  <c r="D1254" i="4"/>
  <c r="C1218" i="4"/>
  <c r="D1443" i="4"/>
  <c r="D1433" i="4"/>
  <c r="D1423" i="4"/>
  <c r="D1413" i="4"/>
  <c r="D1403" i="4"/>
  <c r="D1393" i="4"/>
  <c r="D1383" i="4"/>
  <c r="D1373" i="4"/>
  <c r="D1363" i="4"/>
  <c r="D1353" i="4"/>
  <c r="D1343" i="4"/>
  <c r="D1333" i="4"/>
  <c r="D1323" i="4"/>
  <c r="D1313" i="4"/>
  <c r="D1303" i="4"/>
  <c r="D1293" i="4"/>
  <c r="D1283" i="4"/>
  <c r="D1273" i="4"/>
  <c r="D1263" i="4"/>
  <c r="D1253" i="4"/>
  <c r="D1243" i="4"/>
  <c r="D1233" i="4"/>
  <c r="D1223" i="4"/>
  <c r="D1442" i="4"/>
  <c r="D1432" i="4"/>
  <c r="D1422" i="4"/>
  <c r="D1412" i="4"/>
  <c r="D1402" i="4"/>
  <c r="D1392" i="4"/>
  <c r="D1382" i="4"/>
  <c r="D1372" i="4"/>
  <c r="D1362" i="4"/>
  <c r="D1352" i="4"/>
  <c r="D1342" i="4"/>
  <c r="D1332" i="4"/>
  <c r="D1322" i="4"/>
  <c r="D1312" i="4"/>
  <c r="D1302" i="4"/>
  <c r="D1292" i="4"/>
  <c r="D1282" i="4"/>
  <c r="D1272" i="4"/>
  <c r="D1262" i="4"/>
  <c r="D1252" i="4"/>
  <c r="D1242" i="4"/>
  <c r="D1232" i="4"/>
  <c r="D1222" i="4"/>
  <c r="D1441" i="4"/>
  <c r="D1431" i="4"/>
  <c r="D1421" i="4"/>
  <c r="D1411" i="4"/>
  <c r="D1401" i="4"/>
  <c r="D1391" i="4"/>
  <c r="D1381" i="4"/>
  <c r="D1371" i="4"/>
  <c r="D1361" i="4"/>
  <c r="D1351" i="4"/>
  <c r="D1341" i="4"/>
  <c r="D1331" i="4"/>
  <c r="D1321" i="4"/>
  <c r="D1311" i="4"/>
  <c r="D1301" i="4"/>
  <c r="D1291" i="4"/>
  <c r="D1281" i="4"/>
  <c r="D1271" i="4"/>
  <c r="D1261" i="4"/>
  <c r="D1251" i="4"/>
  <c r="D1241" i="4"/>
  <c r="D1231" i="4"/>
  <c r="D1221" i="4"/>
  <c r="D1440" i="4"/>
  <c r="D1420" i="4"/>
  <c r="D1400" i="4"/>
  <c r="D1380" i="4"/>
  <c r="D1360" i="4"/>
  <c r="D1340" i="4"/>
  <c r="D1320" i="4"/>
  <c r="D1300" i="4"/>
  <c r="D1280" i="4"/>
  <c r="D1260" i="4"/>
  <c r="D1240" i="4"/>
  <c r="D1220" i="4"/>
  <c r="D1439" i="4"/>
  <c r="D1419" i="4"/>
  <c r="D1397" i="4"/>
  <c r="D1387" i="4"/>
  <c r="D1377" i="4"/>
  <c r="D1367" i="4"/>
  <c r="D1357" i="4"/>
  <c r="D1347" i="4"/>
  <c r="D1337" i="4"/>
  <c r="D1327" i="4"/>
  <c r="D1317" i="4"/>
  <c r="D1307" i="4"/>
  <c r="D1297" i="4"/>
  <c r="D1287" i="4"/>
  <c r="D1277" i="4"/>
  <c r="D1267" i="4"/>
  <c r="D1257" i="4"/>
  <c r="D1247" i="4"/>
  <c r="D1237" i="4"/>
  <c r="D1227" i="4"/>
  <c r="D1217" i="4"/>
  <c r="D1446" i="4"/>
  <c r="D1436" i="4"/>
  <c r="D1426" i="4"/>
  <c r="D1416" i="4"/>
  <c r="D1406" i="4"/>
  <c r="D1396" i="4"/>
  <c r="D1386" i="4"/>
  <c r="D1376" i="4"/>
  <c r="D1366" i="4"/>
  <c r="D1356" i="4"/>
  <c r="D1346" i="4"/>
  <c r="D1336" i="4"/>
  <c r="D1326" i="4"/>
  <c r="D1316" i="4"/>
  <c r="D1306" i="4"/>
  <c r="D1296" i="4"/>
  <c r="D1286" i="4"/>
  <c r="D1276" i="4"/>
  <c r="D1266" i="4"/>
  <c r="D1256" i="4"/>
  <c r="D1246" i="4"/>
  <c r="D1236" i="4"/>
  <c r="D1226" i="4"/>
  <c r="D1216" i="4"/>
  <c r="D1435" i="4"/>
  <c r="D1415" i="4"/>
  <c r="D1385" i="4"/>
  <c r="D1365" i="4"/>
  <c r="D1345" i="4"/>
  <c r="D1325" i="4"/>
  <c r="D1305" i="4"/>
  <c r="D1285" i="4"/>
  <c r="D1265" i="4"/>
  <c r="D1245" i="4"/>
  <c r="D1225" i="4"/>
  <c r="D1215" i="4"/>
  <c r="B1448" i="4"/>
  <c r="D1134" i="4"/>
  <c r="D1147" i="4"/>
  <c r="D1206" i="4"/>
  <c r="D1153" i="4"/>
  <c r="D1133" i="4"/>
  <c r="D1107" i="4"/>
  <c r="D1106" i="4"/>
  <c r="D1207" i="4"/>
  <c r="D1197" i="4"/>
  <c r="D1196" i="4"/>
  <c r="D1187" i="4"/>
  <c r="D1186" i="4"/>
  <c r="C1096" i="4"/>
  <c r="D1177" i="4"/>
  <c r="D1157" i="4"/>
  <c r="D1156" i="4"/>
  <c r="D1097" i="4"/>
  <c r="D1132" i="4"/>
  <c r="D1176" i="4"/>
  <c r="D1131" i="4"/>
  <c r="D1174" i="4"/>
  <c r="D1127" i="4"/>
  <c r="D1173" i="4"/>
  <c r="D1126" i="4"/>
  <c r="C1143" i="4"/>
  <c r="D1172" i="4"/>
  <c r="D1117" i="4"/>
  <c r="C1123" i="4"/>
  <c r="D1171" i="4"/>
  <c r="D1116" i="4"/>
  <c r="D1214" i="4"/>
  <c r="D1167" i="4"/>
  <c r="D1114" i="4"/>
  <c r="D1213" i="4"/>
  <c r="D1166" i="4"/>
  <c r="D1113" i="4"/>
  <c r="C1103" i="4"/>
  <c r="D1212" i="4"/>
  <c r="D1112" i="4"/>
  <c r="D1211" i="4"/>
  <c r="D1111" i="4"/>
  <c r="D1154" i="4"/>
  <c r="D1152" i="4"/>
  <c r="D1151" i="4"/>
  <c r="D1194" i="4"/>
  <c r="D1094" i="4"/>
  <c r="D1193" i="4"/>
  <c r="D1146" i="4"/>
  <c r="D1093" i="4"/>
  <c r="D1192" i="4"/>
  <c r="D1137" i="4"/>
  <c r="D1092" i="4"/>
  <c r="D1191" i="4"/>
  <c r="D1136" i="4"/>
  <c r="D1091" i="4"/>
  <c r="C1203" i="4"/>
  <c r="D1205" i="4"/>
  <c r="D1185" i="4"/>
  <c r="D1165" i="4"/>
  <c r="D1145" i="4"/>
  <c r="D1125" i="4"/>
  <c r="D1105" i="4"/>
  <c r="C1183" i="4"/>
  <c r="D1204" i="4"/>
  <c r="D1184" i="4"/>
  <c r="D1164" i="4"/>
  <c r="D1144" i="4"/>
  <c r="D1124" i="4"/>
  <c r="D1104" i="4"/>
  <c r="D1163" i="4"/>
  <c r="D1202" i="4"/>
  <c r="D1182" i="4"/>
  <c r="D1162" i="4"/>
  <c r="D1142" i="4"/>
  <c r="D1122" i="4"/>
  <c r="D1102" i="4"/>
  <c r="D1201" i="4"/>
  <c r="D1181" i="4"/>
  <c r="D1161" i="4"/>
  <c r="D1141" i="4"/>
  <c r="D1121" i="4"/>
  <c r="D1101" i="4"/>
  <c r="D1200" i="4"/>
  <c r="D1180" i="4"/>
  <c r="D1160" i="4"/>
  <c r="D1140" i="4"/>
  <c r="D1120" i="4"/>
  <c r="D1100" i="4"/>
  <c r="D1199" i="4"/>
  <c r="D1179" i="4"/>
  <c r="D1159" i="4"/>
  <c r="D1139" i="4"/>
  <c r="D1119" i="4"/>
  <c r="D1099" i="4"/>
  <c r="D1198" i="4"/>
  <c r="D1178" i="4"/>
  <c r="D1158" i="4"/>
  <c r="D1138" i="4"/>
  <c r="D1118" i="4"/>
  <c r="D1098" i="4"/>
  <c r="D1195" i="4"/>
  <c r="D1175" i="4"/>
  <c r="D1155" i="4"/>
  <c r="D1135" i="4"/>
  <c r="D1115" i="4"/>
  <c r="D1095" i="4"/>
  <c r="D1210" i="4"/>
  <c r="D1190" i="4"/>
  <c r="D1170" i="4"/>
  <c r="D1150" i="4"/>
  <c r="D1130" i="4"/>
  <c r="D1110" i="4"/>
  <c r="D1090" i="4"/>
  <c r="D1209" i="4"/>
  <c r="D1189" i="4"/>
  <c r="D1169" i="4"/>
  <c r="D1149" i="4"/>
  <c r="D1129" i="4"/>
  <c r="D1109" i="4"/>
  <c r="D1089" i="4"/>
  <c r="D1208" i="4"/>
  <c r="D1188" i="4"/>
  <c r="D1168" i="4"/>
  <c r="D1148" i="4"/>
  <c r="D1128" i="4"/>
  <c r="D1108" i="4"/>
  <c r="D1088" i="4"/>
  <c r="E293" i="4"/>
  <c r="S293" i="4" s="1"/>
  <c r="D752" i="4"/>
  <c r="D751" i="4"/>
  <c r="D812" i="4"/>
  <c r="D811" i="4"/>
  <c r="D830" i="4"/>
  <c r="D816" i="4"/>
  <c r="D810" i="4"/>
  <c r="D750" i="4"/>
  <c r="C1087" i="4"/>
  <c r="D1087" i="4"/>
  <c r="D791" i="4"/>
  <c r="E287" i="4"/>
  <c r="S287" i="4" s="1"/>
  <c r="D790" i="4"/>
  <c r="D776" i="4"/>
  <c r="D836" i="4"/>
  <c r="D773" i="4"/>
  <c r="B875" i="4"/>
  <c r="D835" i="4"/>
  <c r="D771" i="4"/>
  <c r="D832" i="4"/>
  <c r="D770" i="4"/>
  <c r="D831" i="4"/>
  <c r="D756" i="4"/>
  <c r="D755" i="4"/>
  <c r="D815" i="4"/>
  <c r="D813" i="4"/>
  <c r="D736" i="4"/>
  <c r="D796" i="4"/>
  <c r="D732" i="4"/>
  <c r="D731" i="4"/>
  <c r="D730" i="4"/>
  <c r="D826" i="4"/>
  <c r="D806" i="4"/>
  <c r="D845" i="4"/>
  <c r="D825" i="4"/>
  <c r="D805" i="4"/>
  <c r="D785" i="4"/>
  <c r="D765" i="4"/>
  <c r="D745" i="4"/>
  <c r="D844" i="4"/>
  <c r="D824" i="4"/>
  <c r="D804" i="4"/>
  <c r="D784" i="4"/>
  <c r="D764" i="4"/>
  <c r="D744" i="4"/>
  <c r="D843" i="4"/>
  <c r="D823" i="4"/>
  <c r="D803" i="4"/>
  <c r="D783" i="4"/>
  <c r="D763" i="4"/>
  <c r="D743" i="4"/>
  <c r="D842" i="4"/>
  <c r="D822" i="4"/>
  <c r="D802" i="4"/>
  <c r="D782" i="4"/>
  <c r="D762" i="4"/>
  <c r="D742" i="4"/>
  <c r="D841" i="4"/>
  <c r="D821" i="4"/>
  <c r="D801" i="4"/>
  <c r="D781" i="4"/>
  <c r="D761" i="4"/>
  <c r="D741" i="4"/>
  <c r="D840" i="4"/>
  <c r="D820" i="4"/>
  <c r="D800" i="4"/>
  <c r="D780" i="4"/>
  <c r="D760" i="4"/>
  <c r="D740" i="4"/>
  <c r="D839" i="4"/>
  <c r="D819" i="4"/>
  <c r="D799" i="4"/>
  <c r="D779" i="4"/>
  <c r="D759" i="4"/>
  <c r="D739" i="4"/>
  <c r="E9" i="4"/>
  <c r="D838" i="4"/>
  <c r="D818" i="4"/>
  <c r="D798" i="4"/>
  <c r="D778" i="4"/>
  <c r="D758" i="4"/>
  <c r="D738" i="4"/>
  <c r="D837" i="4"/>
  <c r="D817" i="4"/>
  <c r="D797" i="4"/>
  <c r="D777" i="4"/>
  <c r="D757" i="4"/>
  <c r="D814" i="4"/>
  <c r="D774" i="4"/>
  <c r="D754" i="4"/>
  <c r="D734" i="4"/>
  <c r="D808" i="4"/>
  <c r="D768" i="4"/>
  <c r="D728" i="4"/>
  <c r="C766" i="4"/>
  <c r="B871" i="4"/>
  <c r="C845" i="4"/>
  <c r="C844" i="4"/>
  <c r="C826" i="4"/>
  <c r="C825" i="4"/>
  <c r="C824" i="4"/>
  <c r="E247" i="4"/>
  <c r="S247" i="4" s="1"/>
  <c r="C815" i="4"/>
  <c r="C806" i="4"/>
  <c r="C805" i="4"/>
  <c r="C804" i="4"/>
  <c r="C785" i="4"/>
  <c r="B1033" i="4"/>
  <c r="C784" i="4"/>
  <c r="B1008" i="4"/>
  <c r="B995" i="4"/>
  <c r="C765" i="4"/>
  <c r="B993" i="4"/>
  <c r="C764" i="4"/>
  <c r="B953" i="4"/>
  <c r="C755" i="4"/>
  <c r="B951" i="4"/>
  <c r="B948" i="4"/>
  <c r="C745" i="4"/>
  <c r="B888" i="4"/>
  <c r="C744" i="4"/>
  <c r="C833" i="4"/>
  <c r="C793" i="4"/>
  <c r="C753" i="4"/>
  <c r="C792" i="4"/>
  <c r="C772" i="4"/>
  <c r="C828" i="4"/>
  <c r="C788" i="4"/>
  <c r="C748" i="4"/>
  <c r="C794" i="4"/>
  <c r="C786" i="4"/>
  <c r="C834" i="4"/>
  <c r="C795" i="4"/>
  <c r="E233" i="4"/>
  <c r="S233" i="4" s="1"/>
  <c r="B946" i="4"/>
  <c r="C843" i="4"/>
  <c r="C823" i="4"/>
  <c r="C803" i="4"/>
  <c r="C783" i="4"/>
  <c r="C763" i="4"/>
  <c r="C743" i="4"/>
  <c r="B934" i="4"/>
  <c r="C842" i="4"/>
  <c r="C822" i="4"/>
  <c r="C802" i="4"/>
  <c r="C782" i="4"/>
  <c r="C762" i="4"/>
  <c r="C742" i="4"/>
  <c r="B1068" i="4"/>
  <c r="B933" i="4"/>
  <c r="C841" i="4"/>
  <c r="C821" i="4"/>
  <c r="C801" i="4"/>
  <c r="C781" i="4"/>
  <c r="C761" i="4"/>
  <c r="C741" i="4"/>
  <c r="B1066" i="4"/>
  <c r="B915" i="4"/>
  <c r="C840" i="4"/>
  <c r="C820" i="4"/>
  <c r="C800" i="4"/>
  <c r="C780" i="4"/>
  <c r="C760" i="4"/>
  <c r="C740" i="4"/>
  <c r="B1054" i="4"/>
  <c r="B911" i="4"/>
  <c r="C839" i="4"/>
  <c r="C819" i="4"/>
  <c r="C799" i="4"/>
  <c r="C779" i="4"/>
  <c r="C759" i="4"/>
  <c r="C739" i="4"/>
  <c r="B1053" i="4"/>
  <c r="B894" i="4"/>
  <c r="C838" i="4"/>
  <c r="C818" i="4"/>
  <c r="C798" i="4"/>
  <c r="C778" i="4"/>
  <c r="C758" i="4"/>
  <c r="C738" i="4"/>
  <c r="B1051" i="4"/>
  <c r="B893" i="4"/>
  <c r="C837" i="4"/>
  <c r="C817" i="4"/>
  <c r="C797" i="4"/>
  <c r="C777" i="4"/>
  <c r="C757" i="4"/>
  <c r="B1046" i="4"/>
  <c r="B891" i="4"/>
  <c r="C836" i="4"/>
  <c r="C816" i="4"/>
  <c r="C796" i="4"/>
  <c r="C776" i="4"/>
  <c r="C756" i="4"/>
  <c r="C736" i="4"/>
  <c r="C835" i="4"/>
  <c r="B1011" i="4"/>
  <c r="B886" i="4"/>
  <c r="C814" i="4"/>
  <c r="C774" i="4"/>
  <c r="C754" i="4"/>
  <c r="C734" i="4"/>
  <c r="C813" i="4"/>
  <c r="C773" i="4"/>
  <c r="B1006" i="4"/>
  <c r="B874" i="4"/>
  <c r="C832" i="4"/>
  <c r="C812" i="4"/>
  <c r="C752" i="4"/>
  <c r="C732" i="4"/>
  <c r="C831" i="4"/>
  <c r="C811" i="4"/>
  <c r="C791" i="4"/>
  <c r="C771" i="4"/>
  <c r="C751" i="4"/>
  <c r="C731" i="4"/>
  <c r="E313" i="4"/>
  <c r="S313" i="4" s="1"/>
  <c r="B994" i="4"/>
  <c r="B866" i="4"/>
  <c r="C830" i="4"/>
  <c r="C810" i="4"/>
  <c r="C790" i="4"/>
  <c r="C770" i="4"/>
  <c r="C750" i="4"/>
  <c r="C730" i="4"/>
  <c r="B991" i="4"/>
  <c r="C808" i="4"/>
  <c r="C768" i="4"/>
  <c r="C728" i="4"/>
  <c r="E253" i="4"/>
  <c r="S253" i="4" s="1"/>
  <c r="B974" i="4"/>
  <c r="B1031" i="4"/>
  <c r="B973" i="4"/>
  <c r="B914" i="4"/>
  <c r="B855" i="4"/>
  <c r="E246" i="4"/>
  <c r="S246" i="4" s="1"/>
  <c r="B1030" i="4"/>
  <c r="B971" i="4"/>
  <c r="B913" i="4"/>
  <c r="B854" i="4"/>
  <c r="B1028" i="4"/>
  <c r="B970" i="4"/>
  <c r="B853" i="4"/>
  <c r="E186" i="4"/>
  <c r="S186" i="4" s="1"/>
  <c r="B1075" i="4"/>
  <c r="B1026" i="4"/>
  <c r="B968" i="4"/>
  <c r="B910" i="4"/>
  <c r="B851" i="4"/>
  <c r="B1074" i="4"/>
  <c r="B1015" i="4"/>
  <c r="B966" i="4"/>
  <c r="B908" i="4"/>
  <c r="B850" i="4"/>
  <c r="B1073" i="4"/>
  <c r="B1014" i="4"/>
  <c r="B955" i="4"/>
  <c r="B906" i="4"/>
  <c r="B848" i="4"/>
  <c r="B1071" i="4"/>
  <c r="B1013" i="4"/>
  <c r="B954" i="4"/>
  <c r="B895" i="4"/>
  <c r="B846" i="4"/>
  <c r="B1070" i="4"/>
  <c r="B1010" i="4"/>
  <c r="B950" i="4"/>
  <c r="B1055" i="4"/>
  <c r="B890" i="4"/>
  <c r="B935" i="4"/>
  <c r="B1050" i="4"/>
  <c r="B1048" i="4"/>
  <c r="B990" i="4"/>
  <c r="B931" i="4"/>
  <c r="B873" i="4"/>
  <c r="B988" i="4"/>
  <c r="B930" i="4"/>
  <c r="B1035" i="4"/>
  <c r="B986" i="4"/>
  <c r="B928" i="4"/>
  <c r="B870" i="4"/>
  <c r="E286" i="4"/>
  <c r="S286" i="4" s="1"/>
  <c r="B1034" i="4"/>
  <c r="B975" i="4"/>
  <c r="B926" i="4"/>
  <c r="B868" i="4"/>
  <c r="E347" i="4"/>
  <c r="S347" i="4" s="1"/>
  <c r="E167" i="4"/>
  <c r="S167" i="4" s="1"/>
  <c r="B1085" i="4"/>
  <c r="B1065" i="4"/>
  <c r="B1045" i="4"/>
  <c r="B1025" i="4"/>
  <c r="B1005" i="4"/>
  <c r="B985" i="4"/>
  <c r="B965" i="4"/>
  <c r="B945" i="4"/>
  <c r="B925" i="4"/>
  <c r="B905" i="4"/>
  <c r="B885" i="4"/>
  <c r="B865" i="4"/>
  <c r="E327" i="4"/>
  <c r="S327" i="4" s="1"/>
  <c r="E166" i="4"/>
  <c r="S166" i="4" s="1"/>
  <c r="B1084" i="4"/>
  <c r="B1064" i="4"/>
  <c r="B1044" i="4"/>
  <c r="B1024" i="4"/>
  <c r="B1004" i="4"/>
  <c r="B984" i="4"/>
  <c r="B964" i="4"/>
  <c r="B944" i="4"/>
  <c r="B924" i="4"/>
  <c r="B904" i="4"/>
  <c r="B884" i="4"/>
  <c r="B864" i="4"/>
  <c r="E325" i="4"/>
  <c r="S325" i="4" s="1"/>
  <c r="E147" i="4"/>
  <c r="S147" i="4" s="1"/>
  <c r="B1083" i="4"/>
  <c r="B1063" i="4"/>
  <c r="B1043" i="4"/>
  <c r="B1023" i="4"/>
  <c r="B1003" i="4"/>
  <c r="B983" i="4"/>
  <c r="B963" i="4"/>
  <c r="B943" i="4"/>
  <c r="B923" i="4"/>
  <c r="B903" i="4"/>
  <c r="B883" i="4"/>
  <c r="B863" i="4"/>
  <c r="E146" i="4"/>
  <c r="S146" i="4" s="1"/>
  <c r="B1082" i="4"/>
  <c r="B1062" i="4"/>
  <c r="B1042" i="4"/>
  <c r="B1022" i="4"/>
  <c r="B1002" i="4"/>
  <c r="B982" i="4"/>
  <c r="B962" i="4"/>
  <c r="B942" i="4"/>
  <c r="B922" i="4"/>
  <c r="B902" i="4"/>
  <c r="B882" i="4"/>
  <c r="B862" i="4"/>
  <c r="E309" i="4"/>
  <c r="S309" i="4" s="1"/>
  <c r="E135" i="4"/>
  <c r="S135" i="4" s="1"/>
  <c r="B1081" i="4"/>
  <c r="B1061" i="4"/>
  <c r="B1041" i="4"/>
  <c r="B1021" i="4"/>
  <c r="B1001" i="4"/>
  <c r="B981" i="4"/>
  <c r="B961" i="4"/>
  <c r="B941" i="4"/>
  <c r="B921" i="4"/>
  <c r="B901" i="4"/>
  <c r="B881" i="4"/>
  <c r="B861" i="4"/>
  <c r="E307" i="4"/>
  <c r="S307" i="4" s="1"/>
  <c r="E134" i="4"/>
  <c r="S134" i="4" s="1"/>
  <c r="E386" i="4"/>
  <c r="B1080" i="4"/>
  <c r="B1060" i="4"/>
  <c r="B1040" i="4"/>
  <c r="B1020" i="4"/>
  <c r="B1000" i="4"/>
  <c r="B980" i="4"/>
  <c r="B960" i="4"/>
  <c r="B940" i="4"/>
  <c r="B920" i="4"/>
  <c r="B900" i="4"/>
  <c r="B880" i="4"/>
  <c r="B860" i="4"/>
  <c r="E306" i="4"/>
  <c r="S306" i="4" s="1"/>
  <c r="B1079" i="4"/>
  <c r="B1059" i="4"/>
  <c r="B1039" i="4"/>
  <c r="B1019" i="4"/>
  <c r="B999" i="4"/>
  <c r="B979" i="4"/>
  <c r="B959" i="4"/>
  <c r="B939" i="4"/>
  <c r="B919" i="4"/>
  <c r="B899" i="4"/>
  <c r="B879" i="4"/>
  <c r="B859" i="4"/>
  <c r="B1078" i="4"/>
  <c r="B1058" i="4"/>
  <c r="B1038" i="4"/>
  <c r="B1018" i="4"/>
  <c r="B998" i="4"/>
  <c r="B978" i="4"/>
  <c r="B958" i="4"/>
  <c r="B938" i="4"/>
  <c r="B918" i="4"/>
  <c r="B898" i="4"/>
  <c r="B878" i="4"/>
  <c r="B858" i="4"/>
  <c r="B1077" i="4"/>
  <c r="B1057" i="4"/>
  <c r="B1037" i="4"/>
  <c r="B1017" i="4"/>
  <c r="B997" i="4"/>
  <c r="B977" i="4"/>
  <c r="B957" i="4"/>
  <c r="B937" i="4"/>
  <c r="B917" i="4"/>
  <c r="B897" i="4"/>
  <c r="B877" i="4"/>
  <c r="B857" i="4"/>
  <c r="B1076" i="4"/>
  <c r="B1056" i="4"/>
  <c r="B1036" i="4"/>
  <c r="B1016" i="4"/>
  <c r="B996" i="4"/>
  <c r="B976" i="4"/>
  <c r="B956" i="4"/>
  <c r="B936" i="4"/>
  <c r="B916" i="4"/>
  <c r="B896" i="4"/>
  <c r="B876" i="4"/>
  <c r="B856" i="4"/>
  <c r="E267" i="4"/>
  <c r="S267" i="4" s="1"/>
  <c r="B733" i="4"/>
  <c r="B1072" i="4"/>
  <c r="B1052" i="4"/>
  <c r="B1032" i="4"/>
  <c r="B1012" i="4"/>
  <c r="B992" i="4"/>
  <c r="B972" i="4"/>
  <c r="B952" i="4"/>
  <c r="B932" i="4"/>
  <c r="B912" i="4"/>
  <c r="B892" i="4"/>
  <c r="B872" i="4"/>
  <c r="B852" i="4"/>
  <c r="E227" i="4"/>
  <c r="S227" i="4" s="1"/>
  <c r="E207" i="4"/>
  <c r="S207" i="4" s="1"/>
  <c r="B1069" i="4"/>
  <c r="B1049" i="4"/>
  <c r="B1029" i="4"/>
  <c r="B1009" i="4"/>
  <c r="B989" i="4"/>
  <c r="B969" i="4"/>
  <c r="B949" i="4"/>
  <c r="B929" i="4"/>
  <c r="B909" i="4"/>
  <c r="B889" i="4"/>
  <c r="B869" i="4"/>
  <c r="B849" i="4"/>
  <c r="B829" i="4"/>
  <c r="B809" i="4"/>
  <c r="B789" i="4"/>
  <c r="B769" i="4"/>
  <c r="B749" i="4"/>
  <c r="B729" i="4"/>
  <c r="E25" i="4"/>
  <c r="E204" i="4"/>
  <c r="S204" i="4" s="1"/>
  <c r="E23" i="4"/>
  <c r="E187" i="4"/>
  <c r="S187" i="4" s="1"/>
  <c r="B1067" i="4"/>
  <c r="B1047" i="4"/>
  <c r="B1027" i="4"/>
  <c r="B1007" i="4"/>
  <c r="B987" i="4"/>
  <c r="B967" i="4"/>
  <c r="B947" i="4"/>
  <c r="B927" i="4"/>
  <c r="B907" i="4"/>
  <c r="B887" i="4"/>
  <c r="B867" i="4"/>
  <c r="B847" i="4"/>
  <c r="B827" i="4"/>
  <c r="B807" i="4"/>
  <c r="B787" i="4"/>
  <c r="B767" i="4"/>
  <c r="B747" i="4"/>
  <c r="B727" i="4"/>
  <c r="E353" i="4"/>
  <c r="S353" i="4" s="1"/>
  <c r="E226" i="4"/>
  <c r="S226" i="4" s="1"/>
  <c r="E346" i="4"/>
  <c r="S346" i="4" s="1"/>
  <c r="E206" i="4"/>
  <c r="S206" i="4" s="1"/>
  <c r="E326" i="4"/>
  <c r="S326" i="4" s="1"/>
  <c r="E188" i="4"/>
  <c r="S188" i="4" s="1"/>
  <c r="E406" i="4"/>
  <c r="E266" i="4"/>
  <c r="S266" i="4" s="1"/>
  <c r="E103" i="4"/>
  <c r="E43" i="4"/>
  <c r="E323" i="4"/>
  <c r="S323" i="4" s="1"/>
  <c r="E308" i="4"/>
  <c r="S308" i="4" s="1"/>
  <c r="E184" i="4"/>
  <c r="S184" i="4" s="1"/>
  <c r="E105" i="4"/>
  <c r="E304" i="4"/>
  <c r="S304" i="4" s="1"/>
  <c r="E183" i="4"/>
  <c r="S183" i="4" s="1"/>
  <c r="E101" i="4"/>
  <c r="E494" i="4"/>
  <c r="E45" i="4"/>
  <c r="E149" i="4"/>
  <c r="S149" i="4" s="1"/>
  <c r="E466" i="4"/>
  <c r="E244" i="4"/>
  <c r="S244" i="4" s="1"/>
  <c r="E21" i="4"/>
  <c r="E305" i="4"/>
  <c r="S305" i="4" s="1"/>
  <c r="E245" i="4"/>
  <c r="S245" i="4" s="1"/>
  <c r="E185" i="4"/>
  <c r="S185" i="4" s="1"/>
  <c r="E352" i="4"/>
  <c r="S352" i="4" s="1"/>
  <c r="E292" i="4"/>
  <c r="S292" i="4" s="1"/>
  <c r="E232" i="4"/>
  <c r="S232" i="4" s="1"/>
  <c r="E173" i="4"/>
  <c r="S173" i="4" s="1"/>
  <c r="E172" i="4"/>
  <c r="S172" i="4" s="1"/>
  <c r="E482" i="4"/>
  <c r="E344" i="4"/>
  <c r="S344" i="4" s="1"/>
  <c r="E285" i="4"/>
  <c r="S285" i="4" s="1"/>
  <c r="E225" i="4"/>
  <c r="S225" i="4" s="1"/>
  <c r="E129" i="4"/>
  <c r="E333" i="4"/>
  <c r="S333" i="4" s="1"/>
  <c r="E284" i="4"/>
  <c r="S284" i="4" s="1"/>
  <c r="E224" i="4"/>
  <c r="S224" i="4" s="1"/>
  <c r="E165" i="4"/>
  <c r="S165" i="4" s="1"/>
  <c r="E462" i="4"/>
  <c r="E121" i="4"/>
  <c r="E332" i="4"/>
  <c r="S332" i="4" s="1"/>
  <c r="E283" i="4"/>
  <c r="S283" i="4" s="1"/>
  <c r="E213" i="4"/>
  <c r="S213" i="4" s="1"/>
  <c r="E164" i="4"/>
  <c r="S164" i="4" s="1"/>
  <c r="E430" i="4"/>
  <c r="E273" i="4"/>
  <c r="S273" i="4" s="1"/>
  <c r="E212" i="4"/>
  <c r="S212" i="4" s="1"/>
  <c r="E153" i="4"/>
  <c r="S153" i="4" s="1"/>
  <c r="E410" i="4"/>
  <c r="E272" i="4"/>
  <c r="S272" i="4" s="1"/>
  <c r="E152" i="4"/>
  <c r="S152" i="4" s="1"/>
  <c r="E82" i="4"/>
  <c r="E324" i="4"/>
  <c r="S324" i="4" s="1"/>
  <c r="E205" i="4"/>
  <c r="S205" i="4" s="1"/>
  <c r="E69" i="4"/>
  <c r="E265" i="4"/>
  <c r="S265" i="4" s="1"/>
  <c r="E49" i="4"/>
  <c r="E264" i="4"/>
  <c r="S264" i="4" s="1"/>
  <c r="E203" i="4"/>
  <c r="S203" i="4" s="1"/>
  <c r="E145" i="4"/>
  <c r="S145" i="4" s="1"/>
  <c r="E312" i="4"/>
  <c r="S312" i="4" s="1"/>
  <c r="E263" i="4"/>
  <c r="S263" i="4" s="1"/>
  <c r="E193" i="4"/>
  <c r="S193" i="4" s="1"/>
  <c r="E144" i="4"/>
  <c r="S144" i="4" s="1"/>
  <c r="E192" i="4"/>
  <c r="S192" i="4" s="1"/>
  <c r="E370" i="4"/>
  <c r="E42" i="4"/>
  <c r="E252" i="4"/>
  <c r="S252" i="4" s="1"/>
  <c r="I604" i="4"/>
  <c r="E122" i="4"/>
  <c r="E345" i="4"/>
  <c r="S345" i="4" s="1"/>
  <c r="E102" i="4"/>
  <c r="I712" i="4"/>
  <c r="I622" i="4"/>
  <c r="I612" i="4"/>
  <c r="I611" i="4"/>
  <c r="I542" i="4"/>
  <c r="E382" i="4"/>
  <c r="I504" i="4"/>
  <c r="I488" i="4"/>
  <c r="E22" i="4"/>
  <c r="E133" i="4"/>
  <c r="S133" i="4" s="1"/>
  <c r="E490" i="4"/>
  <c r="I485" i="4"/>
  <c r="I468" i="4"/>
  <c r="E86" i="4"/>
  <c r="I447" i="4"/>
  <c r="E66" i="4"/>
  <c r="I427" i="4"/>
  <c r="E26" i="4"/>
  <c r="I387" i="4"/>
  <c r="E6" i="4"/>
  <c r="I367" i="4"/>
  <c r="E126" i="4"/>
  <c r="E249" i="4"/>
  <c r="S249" i="4" s="1"/>
  <c r="E349" i="4"/>
  <c r="S349" i="4" s="1"/>
  <c r="E83" i="4"/>
  <c r="I444" i="4"/>
  <c r="E63" i="4"/>
  <c r="I424" i="4"/>
  <c r="E106" i="4"/>
  <c r="E189" i="4"/>
  <c r="S189" i="4" s="1"/>
  <c r="E81" i="4"/>
  <c r="I442" i="4"/>
  <c r="E61" i="4"/>
  <c r="I422" i="4"/>
  <c r="E41" i="4"/>
  <c r="I402" i="4"/>
  <c r="E132" i="4"/>
  <c r="S132" i="4" s="1"/>
  <c r="I493" i="4"/>
  <c r="E289" i="4"/>
  <c r="S289" i="4" s="1"/>
  <c r="E120" i="4"/>
  <c r="I481" i="4"/>
  <c r="E100" i="4"/>
  <c r="I461" i="4"/>
  <c r="E119" i="4"/>
  <c r="I480" i="4"/>
  <c r="E99" i="4"/>
  <c r="I460" i="4"/>
  <c r="E229" i="4"/>
  <c r="S229" i="4" s="1"/>
  <c r="E329" i="4"/>
  <c r="S329" i="4" s="1"/>
  <c r="E116" i="4"/>
  <c r="I477" i="4"/>
  <c r="E96" i="4"/>
  <c r="I457" i="4"/>
  <c r="E76" i="4"/>
  <c r="I437" i="4"/>
  <c r="E56" i="4"/>
  <c r="I417" i="4"/>
  <c r="E36" i="4"/>
  <c r="I397" i="4"/>
  <c r="E16" i="4"/>
  <c r="I377" i="4"/>
  <c r="E359" i="4"/>
  <c r="S359" i="4" s="1"/>
  <c r="I720" i="4"/>
  <c r="E339" i="4"/>
  <c r="S339" i="4" s="1"/>
  <c r="I700" i="4"/>
  <c r="E319" i="4"/>
  <c r="S319" i="4" s="1"/>
  <c r="I680" i="4"/>
  <c r="E299" i="4"/>
  <c r="S299" i="4" s="1"/>
  <c r="I660" i="4"/>
  <c r="E279" i="4"/>
  <c r="S279" i="4" s="1"/>
  <c r="I640" i="4"/>
  <c r="E259" i="4"/>
  <c r="S259" i="4" s="1"/>
  <c r="I620" i="4"/>
  <c r="E239" i="4"/>
  <c r="S239" i="4" s="1"/>
  <c r="I600" i="4"/>
  <c r="E219" i="4"/>
  <c r="S219" i="4" s="1"/>
  <c r="I580" i="4"/>
  <c r="E199" i="4"/>
  <c r="S199" i="4" s="1"/>
  <c r="I560" i="4"/>
  <c r="E179" i="4"/>
  <c r="S179" i="4" s="1"/>
  <c r="I540" i="4"/>
  <c r="E159" i="4"/>
  <c r="S159" i="4" s="1"/>
  <c r="I520" i="4"/>
  <c r="E139" i="4"/>
  <c r="S139" i="4" s="1"/>
  <c r="I500" i="4"/>
  <c r="E115" i="4"/>
  <c r="I476" i="4"/>
  <c r="E95" i="4"/>
  <c r="I456" i="4"/>
  <c r="E75" i="4"/>
  <c r="I436" i="4"/>
  <c r="E55" i="4"/>
  <c r="I416" i="4"/>
  <c r="E35" i="4"/>
  <c r="I396" i="4"/>
  <c r="E15" i="4"/>
  <c r="I376" i="4"/>
  <c r="E358" i="4"/>
  <c r="S358" i="4" s="1"/>
  <c r="I719" i="4"/>
  <c r="E338" i="4"/>
  <c r="S338" i="4" s="1"/>
  <c r="I699" i="4"/>
  <c r="E318" i="4"/>
  <c r="S318" i="4" s="1"/>
  <c r="I679" i="4"/>
  <c r="E298" i="4"/>
  <c r="S298" i="4" s="1"/>
  <c r="I659" i="4"/>
  <c r="E278" i="4"/>
  <c r="S278" i="4" s="1"/>
  <c r="I639" i="4"/>
  <c r="E258" i="4"/>
  <c r="S258" i="4" s="1"/>
  <c r="I619" i="4"/>
  <c r="E238" i="4"/>
  <c r="S238" i="4" s="1"/>
  <c r="I599" i="4"/>
  <c r="E218" i="4"/>
  <c r="S218" i="4" s="1"/>
  <c r="I579" i="4"/>
  <c r="E198" i="4"/>
  <c r="S198" i="4" s="1"/>
  <c r="I559" i="4"/>
  <c r="E178" i="4"/>
  <c r="S178" i="4" s="1"/>
  <c r="I539" i="4"/>
  <c r="E158" i="4"/>
  <c r="S158" i="4" s="1"/>
  <c r="I519" i="4"/>
  <c r="E138" i="4"/>
  <c r="S138" i="4" s="1"/>
  <c r="I499" i="4"/>
  <c r="E46" i="4"/>
  <c r="E114" i="4"/>
  <c r="I475" i="4"/>
  <c r="E94" i="4"/>
  <c r="I455" i="4"/>
  <c r="E74" i="4"/>
  <c r="I435" i="4"/>
  <c r="E54" i="4"/>
  <c r="I415" i="4"/>
  <c r="E34" i="4"/>
  <c r="I395" i="4"/>
  <c r="E14" i="4"/>
  <c r="I375" i="4"/>
  <c r="E357" i="4"/>
  <c r="S357" i="4" s="1"/>
  <c r="I718" i="4"/>
  <c r="E337" i="4"/>
  <c r="S337" i="4" s="1"/>
  <c r="I698" i="4"/>
  <c r="E317" i="4"/>
  <c r="S317" i="4" s="1"/>
  <c r="I678" i="4"/>
  <c r="E297" i="4"/>
  <c r="S297" i="4" s="1"/>
  <c r="I658" i="4"/>
  <c r="E277" i="4"/>
  <c r="S277" i="4" s="1"/>
  <c r="I638" i="4"/>
  <c r="E257" i="4"/>
  <c r="S257" i="4" s="1"/>
  <c r="I618" i="4"/>
  <c r="E237" i="4"/>
  <c r="S237" i="4" s="1"/>
  <c r="I598" i="4"/>
  <c r="E217" i="4"/>
  <c r="S217" i="4" s="1"/>
  <c r="I578" i="4"/>
  <c r="E197" i="4"/>
  <c r="S197" i="4" s="1"/>
  <c r="I558" i="4"/>
  <c r="E177" i="4"/>
  <c r="S177" i="4" s="1"/>
  <c r="I538" i="4"/>
  <c r="E157" i="4"/>
  <c r="S157" i="4" s="1"/>
  <c r="I518" i="4"/>
  <c r="E137" i="4"/>
  <c r="S137" i="4" s="1"/>
  <c r="I498" i="4"/>
  <c r="E169" i="4"/>
  <c r="S169" i="4" s="1"/>
  <c r="E113" i="4"/>
  <c r="I474" i="4"/>
  <c r="E93" i="4"/>
  <c r="I454" i="4"/>
  <c r="E73" i="4"/>
  <c r="I434" i="4"/>
  <c r="E33" i="4"/>
  <c r="I394" i="4"/>
  <c r="E13" i="4"/>
  <c r="I374" i="4"/>
  <c r="E356" i="4"/>
  <c r="S356" i="4" s="1"/>
  <c r="I717" i="4"/>
  <c r="E336" i="4"/>
  <c r="S336" i="4" s="1"/>
  <c r="I697" i="4"/>
  <c r="E316" i="4"/>
  <c r="S316" i="4" s="1"/>
  <c r="I677" i="4"/>
  <c r="E296" i="4"/>
  <c r="S296" i="4" s="1"/>
  <c r="I657" i="4"/>
  <c r="E276" i="4"/>
  <c r="S276" i="4" s="1"/>
  <c r="I637" i="4"/>
  <c r="E256" i="4"/>
  <c r="S256" i="4" s="1"/>
  <c r="I617" i="4"/>
  <c r="E236" i="4"/>
  <c r="S236" i="4" s="1"/>
  <c r="I597" i="4"/>
  <c r="E216" i="4"/>
  <c r="S216" i="4" s="1"/>
  <c r="I577" i="4"/>
  <c r="E196" i="4"/>
  <c r="S196" i="4" s="1"/>
  <c r="I557" i="4"/>
  <c r="E176" i="4"/>
  <c r="S176" i="4" s="1"/>
  <c r="I537" i="4"/>
  <c r="E156" i="4"/>
  <c r="S156" i="4" s="1"/>
  <c r="I517" i="4"/>
  <c r="E136" i="4"/>
  <c r="S136" i="4" s="1"/>
  <c r="I497" i="4"/>
  <c r="E269" i="4"/>
  <c r="S269" i="4" s="1"/>
  <c r="E365" i="4"/>
  <c r="E112" i="4"/>
  <c r="I473" i="4"/>
  <c r="E92" i="4"/>
  <c r="I453" i="4"/>
  <c r="E72" i="4"/>
  <c r="I433" i="4"/>
  <c r="E52" i="4"/>
  <c r="I413" i="4"/>
  <c r="E32" i="4"/>
  <c r="I393" i="4"/>
  <c r="E12" i="4"/>
  <c r="I373" i="4"/>
  <c r="E355" i="4"/>
  <c r="S355" i="4" s="1"/>
  <c r="I716" i="4"/>
  <c r="E335" i="4"/>
  <c r="S335" i="4" s="1"/>
  <c r="I696" i="4"/>
  <c r="E315" i="4"/>
  <c r="S315" i="4" s="1"/>
  <c r="I676" i="4"/>
  <c r="E295" i="4"/>
  <c r="S295" i="4" s="1"/>
  <c r="I656" i="4"/>
  <c r="E275" i="4"/>
  <c r="S275" i="4" s="1"/>
  <c r="I636" i="4"/>
  <c r="E255" i="4"/>
  <c r="S255" i="4" s="1"/>
  <c r="I616" i="4"/>
  <c r="E235" i="4"/>
  <c r="S235" i="4" s="1"/>
  <c r="I596" i="4"/>
  <c r="E215" i="4"/>
  <c r="S215" i="4" s="1"/>
  <c r="I576" i="4"/>
  <c r="E195" i="4"/>
  <c r="S195" i="4" s="1"/>
  <c r="I556" i="4"/>
  <c r="E175" i="4"/>
  <c r="S175" i="4" s="1"/>
  <c r="I536" i="4"/>
  <c r="E155" i="4"/>
  <c r="S155" i="4" s="1"/>
  <c r="I516" i="4"/>
  <c r="I484" i="4"/>
  <c r="E209" i="4"/>
  <c r="S209" i="4" s="1"/>
  <c r="I414" i="4"/>
  <c r="E131" i="4"/>
  <c r="I492" i="4"/>
  <c r="E111" i="4"/>
  <c r="I472" i="4"/>
  <c r="E31" i="4"/>
  <c r="I392" i="4"/>
  <c r="E11" i="4"/>
  <c r="I372" i="4"/>
  <c r="E354" i="4"/>
  <c r="S354" i="4" s="1"/>
  <c r="I715" i="4"/>
  <c r="E334" i="4"/>
  <c r="S334" i="4" s="1"/>
  <c r="I695" i="4"/>
  <c r="E314" i="4"/>
  <c r="S314" i="4" s="1"/>
  <c r="I675" i="4"/>
  <c r="E294" i="4"/>
  <c r="S294" i="4" s="1"/>
  <c r="I655" i="4"/>
  <c r="E274" i="4"/>
  <c r="S274" i="4" s="1"/>
  <c r="I635" i="4"/>
  <c r="E254" i="4"/>
  <c r="S254" i="4" s="1"/>
  <c r="I615" i="4"/>
  <c r="E234" i="4"/>
  <c r="S234" i="4" s="1"/>
  <c r="I595" i="4"/>
  <c r="E214" i="4"/>
  <c r="S214" i="4" s="1"/>
  <c r="I575" i="4"/>
  <c r="E194" i="4"/>
  <c r="S194" i="4" s="1"/>
  <c r="I555" i="4"/>
  <c r="E174" i="4"/>
  <c r="S174" i="4" s="1"/>
  <c r="I535" i="4"/>
  <c r="E154" i="4"/>
  <c r="S154" i="4" s="1"/>
  <c r="I515" i="4"/>
  <c r="I711" i="4"/>
  <c r="I465" i="4"/>
  <c r="E130" i="4"/>
  <c r="I491" i="4"/>
  <c r="E110" i="4"/>
  <c r="I471" i="4"/>
  <c r="E90" i="4"/>
  <c r="I451" i="4"/>
  <c r="E70" i="4"/>
  <c r="I431" i="4"/>
  <c r="E30" i="4"/>
  <c r="I391" i="4"/>
  <c r="E10" i="4"/>
  <c r="I371" i="4"/>
  <c r="I709" i="4"/>
  <c r="E109" i="4"/>
  <c r="I470" i="4"/>
  <c r="E89" i="4"/>
  <c r="I450" i="4"/>
  <c r="E29" i="4"/>
  <c r="I390" i="4"/>
  <c r="I584" i="4"/>
  <c r="E128" i="4"/>
  <c r="I489" i="4"/>
  <c r="E108" i="4"/>
  <c r="I469" i="4"/>
  <c r="E88" i="4"/>
  <c r="I449" i="4"/>
  <c r="E68" i="4"/>
  <c r="I429" i="4"/>
  <c r="E48" i="4"/>
  <c r="I409" i="4"/>
  <c r="E28" i="4"/>
  <c r="I389" i="4"/>
  <c r="E8" i="4"/>
  <c r="I369" i="4"/>
  <c r="E331" i="4"/>
  <c r="S331" i="4" s="1"/>
  <c r="I692" i="4"/>
  <c r="E311" i="4"/>
  <c r="S311" i="4" s="1"/>
  <c r="I672" i="4"/>
  <c r="E231" i="4"/>
  <c r="S231" i="4" s="1"/>
  <c r="I592" i="4"/>
  <c r="E211" i="4"/>
  <c r="S211" i="4" s="1"/>
  <c r="I572" i="4"/>
  <c r="I703" i="4"/>
  <c r="I452" i="4"/>
  <c r="E87" i="4"/>
  <c r="I448" i="4"/>
  <c r="E67" i="4"/>
  <c r="I428" i="4"/>
  <c r="E47" i="4"/>
  <c r="I408" i="4"/>
  <c r="E7" i="4"/>
  <c r="I368" i="4"/>
  <c r="E330" i="4"/>
  <c r="S330" i="4" s="1"/>
  <c r="I691" i="4"/>
  <c r="E310" i="4"/>
  <c r="S310" i="4" s="1"/>
  <c r="I671" i="4"/>
  <c r="E290" i="4"/>
  <c r="S290" i="4" s="1"/>
  <c r="I651" i="4"/>
  <c r="E270" i="4"/>
  <c r="S270" i="4" s="1"/>
  <c r="I631" i="4"/>
  <c r="E230" i="4"/>
  <c r="S230" i="4" s="1"/>
  <c r="I591" i="4"/>
  <c r="E210" i="4"/>
  <c r="S210" i="4" s="1"/>
  <c r="I571" i="4"/>
  <c r="E190" i="4"/>
  <c r="S190" i="4" s="1"/>
  <c r="I551" i="4"/>
  <c r="E170" i="4"/>
  <c r="S170" i="4" s="1"/>
  <c r="I531" i="4"/>
  <c r="E125" i="4"/>
  <c r="I486" i="4"/>
  <c r="E85" i="4"/>
  <c r="I446" i="4"/>
  <c r="E65" i="4"/>
  <c r="I426" i="4"/>
  <c r="E5" i="4"/>
  <c r="I366" i="4"/>
  <c r="E328" i="4"/>
  <c r="S328" i="4" s="1"/>
  <c r="I689" i="4"/>
  <c r="E288" i="4"/>
  <c r="S288" i="4" s="1"/>
  <c r="I649" i="4"/>
  <c r="E268" i="4"/>
  <c r="S268" i="4" s="1"/>
  <c r="I629" i="4"/>
  <c r="E248" i="4"/>
  <c r="S248" i="4" s="1"/>
  <c r="I609" i="4"/>
  <c r="E228" i="4"/>
  <c r="S228" i="4" s="1"/>
  <c r="I589" i="4"/>
  <c r="E208" i="4"/>
  <c r="S208" i="4" s="1"/>
  <c r="I569" i="4"/>
  <c r="E168" i="4"/>
  <c r="S168" i="4" s="1"/>
  <c r="I529" i="4"/>
  <c r="E148" i="4"/>
  <c r="S148" i="4" s="1"/>
  <c r="I509" i="4"/>
  <c r="I563" i="4"/>
  <c r="I432" i="4"/>
  <c r="E84" i="4"/>
  <c r="I445" i="4"/>
  <c r="E64" i="4"/>
  <c r="I425" i="4"/>
  <c r="E44" i="4"/>
  <c r="I405" i="4"/>
  <c r="I552" i="4"/>
  <c r="E62" i="4"/>
  <c r="I423" i="4"/>
  <c r="I664" i="4"/>
  <c r="I412" i="4"/>
  <c r="I663" i="4"/>
  <c r="I532" i="4"/>
  <c r="I411" i="4"/>
  <c r="E80" i="4"/>
  <c r="I441" i="4"/>
  <c r="E60" i="4"/>
  <c r="I421" i="4"/>
  <c r="E40" i="4"/>
  <c r="I401" i="4"/>
  <c r="E20" i="4"/>
  <c r="I381" i="4"/>
  <c r="E363" i="4"/>
  <c r="S363" i="4" s="1"/>
  <c r="I724" i="4"/>
  <c r="E343" i="4"/>
  <c r="S343" i="4" s="1"/>
  <c r="I704" i="4"/>
  <c r="E163" i="4"/>
  <c r="S163" i="4" s="1"/>
  <c r="I524" i="4"/>
  <c r="I652" i="4"/>
  <c r="I522" i="4"/>
  <c r="E79" i="4"/>
  <c r="I440" i="4"/>
  <c r="E59" i="4"/>
  <c r="I420" i="4"/>
  <c r="E39" i="4"/>
  <c r="I400" i="4"/>
  <c r="E19" i="4"/>
  <c r="I380" i="4"/>
  <c r="E362" i="4"/>
  <c r="S362" i="4" s="1"/>
  <c r="I723" i="4"/>
  <c r="E322" i="4"/>
  <c r="S322" i="4" s="1"/>
  <c r="I683" i="4"/>
  <c r="E282" i="4"/>
  <c r="S282" i="4" s="1"/>
  <c r="I643" i="4"/>
  <c r="E262" i="4"/>
  <c r="S262" i="4" s="1"/>
  <c r="I623" i="4"/>
  <c r="E242" i="4"/>
  <c r="S242" i="4" s="1"/>
  <c r="I603" i="4"/>
  <c r="E222" i="4"/>
  <c r="S222" i="4" s="1"/>
  <c r="I583" i="4"/>
  <c r="E182" i="4"/>
  <c r="S182" i="4" s="1"/>
  <c r="I543" i="4"/>
  <c r="E162" i="4"/>
  <c r="S162" i="4" s="1"/>
  <c r="I523" i="4"/>
  <c r="E142" i="4"/>
  <c r="S142" i="4" s="1"/>
  <c r="I503" i="4"/>
  <c r="I642" i="4"/>
  <c r="I388" i="4"/>
  <c r="E118" i="4"/>
  <c r="I479" i="4"/>
  <c r="E98" i="4"/>
  <c r="I459" i="4"/>
  <c r="E78" i="4"/>
  <c r="I439" i="4"/>
  <c r="E58" i="4"/>
  <c r="I419" i="4"/>
  <c r="E38" i="4"/>
  <c r="I399" i="4"/>
  <c r="E18" i="4"/>
  <c r="I379" i="4"/>
  <c r="E361" i="4"/>
  <c r="S361" i="4" s="1"/>
  <c r="I722" i="4"/>
  <c r="E341" i="4"/>
  <c r="S341" i="4" s="1"/>
  <c r="I702" i="4"/>
  <c r="E321" i="4"/>
  <c r="S321" i="4" s="1"/>
  <c r="I682" i="4"/>
  <c r="E301" i="4"/>
  <c r="S301" i="4" s="1"/>
  <c r="I662" i="4"/>
  <c r="E241" i="4"/>
  <c r="S241" i="4" s="1"/>
  <c r="I602" i="4"/>
  <c r="E221" i="4"/>
  <c r="S221" i="4" s="1"/>
  <c r="I582" i="4"/>
  <c r="E201" i="4"/>
  <c r="S201" i="4" s="1"/>
  <c r="I562" i="4"/>
  <c r="E141" i="4"/>
  <c r="S141" i="4" s="1"/>
  <c r="I502" i="4"/>
  <c r="I512" i="4"/>
  <c r="I385" i="4"/>
  <c r="E117" i="4"/>
  <c r="I478" i="4"/>
  <c r="E97" i="4"/>
  <c r="I458" i="4"/>
  <c r="E77" i="4"/>
  <c r="I438" i="4"/>
  <c r="E57" i="4"/>
  <c r="I418" i="4"/>
  <c r="E37" i="4"/>
  <c r="I398" i="4"/>
  <c r="E17" i="4"/>
  <c r="I378" i="4"/>
  <c r="E360" i="4"/>
  <c r="S360" i="4" s="1"/>
  <c r="I721" i="4"/>
  <c r="E340" i="4"/>
  <c r="S340" i="4" s="1"/>
  <c r="I701" i="4"/>
  <c r="E320" i="4"/>
  <c r="S320" i="4" s="1"/>
  <c r="I681" i="4"/>
  <c r="E300" i="4"/>
  <c r="S300" i="4" s="1"/>
  <c r="I661" i="4"/>
  <c r="E280" i="4"/>
  <c r="S280" i="4" s="1"/>
  <c r="I641" i="4"/>
  <c r="E260" i="4"/>
  <c r="S260" i="4" s="1"/>
  <c r="I621" i="4"/>
  <c r="E240" i="4"/>
  <c r="S240" i="4" s="1"/>
  <c r="I601" i="4"/>
  <c r="E220" i="4"/>
  <c r="S220" i="4" s="1"/>
  <c r="I581" i="4"/>
  <c r="E200" i="4"/>
  <c r="S200" i="4" s="1"/>
  <c r="I561" i="4"/>
  <c r="E180" i="4"/>
  <c r="S180" i="4" s="1"/>
  <c r="I541" i="4"/>
  <c r="E160" i="4"/>
  <c r="S160" i="4" s="1"/>
  <c r="I521" i="4"/>
  <c r="E140" i="4"/>
  <c r="S140" i="4" s="1"/>
  <c r="I501" i="4"/>
  <c r="I632" i="4"/>
  <c r="I511" i="4"/>
  <c r="B726" i="4"/>
  <c r="D649" i="4"/>
  <c r="D685" i="4"/>
  <c r="D505" i="4"/>
  <c r="D724" i="4"/>
  <c r="D684" i="4"/>
  <c r="D645" i="4"/>
  <c r="D504" i="4"/>
  <c r="D484" i="4"/>
  <c r="D482" i="4"/>
  <c r="D425" i="4"/>
  <c r="D424" i="4"/>
  <c r="D585" i="4"/>
  <c r="C565" i="4"/>
  <c r="D584" i="4"/>
  <c r="D582" i="4"/>
  <c r="D569" i="4"/>
  <c r="D545" i="4"/>
  <c r="D525" i="4"/>
  <c r="D524" i="4"/>
  <c r="D522" i="4"/>
  <c r="D509" i="4"/>
  <c r="D709" i="4"/>
  <c r="D662" i="4"/>
  <c r="D442" i="4"/>
  <c r="D642" i="4"/>
  <c r="D422" i="4"/>
  <c r="D609" i="4"/>
  <c r="D405" i="4"/>
  <c r="D589" i="4"/>
  <c r="D402" i="4"/>
  <c r="D587" i="4"/>
  <c r="D385" i="4"/>
  <c r="C595" i="4"/>
  <c r="D702" i="4"/>
  <c r="D625" i="4"/>
  <c r="D562" i="4"/>
  <c r="D489" i="4"/>
  <c r="C592" i="4"/>
  <c r="D693" i="4"/>
  <c r="D624" i="4"/>
  <c r="D553" i="4"/>
  <c r="D487" i="4"/>
  <c r="D689" i="4"/>
  <c r="D622" i="4"/>
  <c r="D549" i="4"/>
  <c r="D485" i="4"/>
  <c r="D613" i="4"/>
  <c r="D547" i="4"/>
  <c r="C532" i="4"/>
  <c r="D682" i="4"/>
  <c r="D607" i="4"/>
  <c r="D544" i="4"/>
  <c r="D465" i="4"/>
  <c r="C492" i="4"/>
  <c r="D673" i="4"/>
  <c r="D605" i="4"/>
  <c r="D542" i="4"/>
  <c r="D464" i="4"/>
  <c r="C452" i="4"/>
  <c r="D669" i="4"/>
  <c r="D604" i="4"/>
  <c r="D533" i="4"/>
  <c r="D462" i="4"/>
  <c r="C425" i="4"/>
  <c r="D665" i="4"/>
  <c r="D602" i="4"/>
  <c r="D529" i="4"/>
  <c r="D445" i="4"/>
  <c r="C392" i="4"/>
  <c r="D664" i="4"/>
  <c r="D593" i="4"/>
  <c r="D527" i="4"/>
  <c r="D444" i="4"/>
  <c r="D653" i="4"/>
  <c r="D647" i="4"/>
  <c r="D513" i="4"/>
  <c r="D722" i="4"/>
  <c r="D644" i="4"/>
  <c r="D573" i="4"/>
  <c r="D507" i="4"/>
  <c r="D404" i="4"/>
  <c r="D713" i="4"/>
  <c r="D633" i="4"/>
  <c r="D567" i="4"/>
  <c r="D705" i="4"/>
  <c r="D629" i="4"/>
  <c r="D502" i="4"/>
  <c r="D384" i="4"/>
  <c r="C712" i="4"/>
  <c r="D704" i="4"/>
  <c r="D627" i="4"/>
  <c r="D564" i="4"/>
  <c r="D493" i="4"/>
  <c r="D382" i="4"/>
  <c r="C376" i="4"/>
  <c r="C694" i="4"/>
  <c r="C692" i="4"/>
  <c r="C516" i="4"/>
  <c r="D723" i="4"/>
  <c r="D703" i="4"/>
  <c r="D683" i="4"/>
  <c r="D663" i="4"/>
  <c r="D643" i="4"/>
  <c r="D623" i="4"/>
  <c r="D603" i="4"/>
  <c r="D583" i="4"/>
  <c r="D563" i="4"/>
  <c r="D543" i="4"/>
  <c r="D523" i="4"/>
  <c r="D503" i="4"/>
  <c r="D483" i="4"/>
  <c r="D463" i="4"/>
  <c r="D443" i="4"/>
  <c r="D423" i="4"/>
  <c r="D403" i="4"/>
  <c r="D383" i="4"/>
  <c r="C690" i="4"/>
  <c r="C515" i="4"/>
  <c r="C514" i="4"/>
  <c r="D721" i="4"/>
  <c r="D701" i="4"/>
  <c r="D681" i="4"/>
  <c r="D661" i="4"/>
  <c r="D641" i="4"/>
  <c r="D621" i="4"/>
  <c r="D601" i="4"/>
  <c r="D581" i="4"/>
  <c r="D561" i="4"/>
  <c r="D541" i="4"/>
  <c r="D521" i="4"/>
  <c r="D501" i="4"/>
  <c r="D481" i="4"/>
  <c r="D461" i="4"/>
  <c r="D441" i="4"/>
  <c r="D421" i="4"/>
  <c r="D401" i="4"/>
  <c r="D381" i="4"/>
  <c r="C656" i="4"/>
  <c r="C495" i="4"/>
  <c r="D720" i="4"/>
  <c r="D700" i="4"/>
  <c r="D680" i="4"/>
  <c r="D660" i="4"/>
  <c r="D640" i="4"/>
  <c r="D620" i="4"/>
  <c r="D600" i="4"/>
  <c r="D580" i="4"/>
  <c r="D560" i="4"/>
  <c r="D540" i="4"/>
  <c r="D520" i="4"/>
  <c r="D500" i="4"/>
  <c r="D480" i="4"/>
  <c r="D460" i="4"/>
  <c r="D440" i="4"/>
  <c r="D420" i="4"/>
  <c r="D400" i="4"/>
  <c r="D380" i="4"/>
  <c r="C655" i="4"/>
  <c r="C494" i="4"/>
  <c r="D719" i="4"/>
  <c r="D699" i="4"/>
  <c r="D679" i="4"/>
  <c r="D659" i="4"/>
  <c r="D639" i="4"/>
  <c r="D619" i="4"/>
  <c r="D599" i="4"/>
  <c r="D579" i="4"/>
  <c r="D559" i="4"/>
  <c r="D539" i="4"/>
  <c r="D519" i="4"/>
  <c r="D499" i="4"/>
  <c r="D479" i="4"/>
  <c r="D459" i="4"/>
  <c r="D439" i="4"/>
  <c r="D419" i="4"/>
  <c r="D399" i="4"/>
  <c r="D379" i="4"/>
  <c r="C654" i="4"/>
  <c r="D718" i="4"/>
  <c r="D698" i="4"/>
  <c r="D678" i="4"/>
  <c r="D658" i="4"/>
  <c r="D638" i="4"/>
  <c r="D618" i="4"/>
  <c r="D598" i="4"/>
  <c r="D578" i="4"/>
  <c r="D558" i="4"/>
  <c r="D538" i="4"/>
  <c r="D518" i="4"/>
  <c r="D498" i="4"/>
  <c r="D478" i="4"/>
  <c r="D458" i="4"/>
  <c r="D438" i="4"/>
  <c r="D418" i="4"/>
  <c r="D398" i="4"/>
  <c r="D378" i="4"/>
  <c r="C652" i="4"/>
  <c r="C465" i="4"/>
  <c r="D717" i="4"/>
  <c r="D697" i="4"/>
  <c r="D677" i="4"/>
  <c r="D657" i="4"/>
  <c r="D637" i="4"/>
  <c r="D617" i="4"/>
  <c r="D597" i="4"/>
  <c r="D577" i="4"/>
  <c r="D557" i="4"/>
  <c r="D537" i="4"/>
  <c r="D517" i="4"/>
  <c r="D497" i="4"/>
  <c r="D477" i="4"/>
  <c r="D457" i="4"/>
  <c r="D437" i="4"/>
  <c r="D417" i="4"/>
  <c r="D397" i="4"/>
  <c r="D377" i="4"/>
  <c r="C632" i="4"/>
  <c r="C456" i="4"/>
  <c r="D716" i="4"/>
  <c r="D696" i="4"/>
  <c r="D676" i="4"/>
  <c r="D636" i="4"/>
  <c r="D616" i="4"/>
  <c r="D596" i="4"/>
  <c r="D576" i="4"/>
  <c r="D556" i="4"/>
  <c r="D536" i="4"/>
  <c r="D496" i="4"/>
  <c r="D476" i="4"/>
  <c r="D456" i="4"/>
  <c r="D436" i="4"/>
  <c r="D416" i="4"/>
  <c r="D396" i="4"/>
  <c r="D376" i="4"/>
  <c r="C630" i="4"/>
  <c r="C455" i="4"/>
  <c r="D715" i="4"/>
  <c r="D695" i="4"/>
  <c r="D675" i="4"/>
  <c r="D635" i="4"/>
  <c r="D615" i="4"/>
  <c r="D575" i="4"/>
  <c r="D555" i="4"/>
  <c r="D535" i="4"/>
  <c r="D475" i="4"/>
  <c r="D455" i="4"/>
  <c r="D435" i="4"/>
  <c r="D415" i="4"/>
  <c r="D395" i="4"/>
  <c r="D375" i="4"/>
  <c r="C454" i="4"/>
  <c r="D714" i="4"/>
  <c r="D674" i="4"/>
  <c r="D634" i="4"/>
  <c r="D614" i="4"/>
  <c r="D594" i="4"/>
  <c r="D574" i="4"/>
  <c r="D554" i="4"/>
  <c r="D534" i="4"/>
  <c r="D474" i="4"/>
  <c r="D454" i="4"/>
  <c r="D434" i="4"/>
  <c r="D414" i="4"/>
  <c r="D394" i="4"/>
  <c r="D374" i="4"/>
  <c r="D473" i="4"/>
  <c r="D453" i="4"/>
  <c r="D433" i="4"/>
  <c r="D413" i="4"/>
  <c r="D393" i="4"/>
  <c r="D373" i="4"/>
  <c r="C432" i="4"/>
  <c r="D672" i="4"/>
  <c r="D612" i="4"/>
  <c r="D572" i="4"/>
  <c r="D552" i="4"/>
  <c r="D512" i="4"/>
  <c r="D472" i="4"/>
  <c r="D452" i="4"/>
  <c r="D432" i="4"/>
  <c r="D412" i="4"/>
  <c r="D392" i="4"/>
  <c r="D372" i="4"/>
  <c r="C430" i="4"/>
  <c r="D711" i="4"/>
  <c r="D691" i="4"/>
  <c r="D671" i="4"/>
  <c r="D651" i="4"/>
  <c r="D631" i="4"/>
  <c r="D611" i="4"/>
  <c r="D591" i="4"/>
  <c r="D571" i="4"/>
  <c r="D551" i="4"/>
  <c r="D531" i="4"/>
  <c r="D511" i="4"/>
  <c r="D491" i="4"/>
  <c r="D471" i="4"/>
  <c r="D451" i="4"/>
  <c r="D431" i="4"/>
  <c r="D411" i="4"/>
  <c r="D391" i="4"/>
  <c r="D371" i="4"/>
  <c r="D710" i="4"/>
  <c r="D670" i="4"/>
  <c r="D650" i="4"/>
  <c r="D610" i="4"/>
  <c r="D590" i="4"/>
  <c r="D570" i="4"/>
  <c r="D550" i="4"/>
  <c r="D530" i="4"/>
  <c r="D510" i="4"/>
  <c r="D490" i="4"/>
  <c r="D470" i="4"/>
  <c r="D450" i="4"/>
  <c r="D430" i="4"/>
  <c r="D410" i="4"/>
  <c r="D390" i="4"/>
  <c r="D370" i="4"/>
  <c r="C395" i="4"/>
  <c r="D469" i="4"/>
  <c r="D449" i="4"/>
  <c r="D429" i="4"/>
  <c r="D409" i="4"/>
  <c r="D389" i="4"/>
  <c r="D369" i="4"/>
  <c r="C394" i="4"/>
  <c r="D708" i="4"/>
  <c r="D688" i="4"/>
  <c r="D668" i="4"/>
  <c r="D648" i="4"/>
  <c r="D628" i="4"/>
  <c r="D608" i="4"/>
  <c r="D588" i="4"/>
  <c r="D568" i="4"/>
  <c r="D548" i="4"/>
  <c r="D528" i="4"/>
  <c r="D508" i="4"/>
  <c r="D488" i="4"/>
  <c r="D468" i="4"/>
  <c r="D448" i="4"/>
  <c r="D428" i="4"/>
  <c r="D408" i="4"/>
  <c r="D388" i="4"/>
  <c r="D368" i="4"/>
  <c r="D707" i="4"/>
  <c r="D687" i="4"/>
  <c r="D667" i="4"/>
  <c r="D467" i="4"/>
  <c r="D447" i="4"/>
  <c r="D427" i="4"/>
  <c r="D407" i="4"/>
  <c r="D387" i="4"/>
  <c r="D367" i="4"/>
  <c r="C385" i="4"/>
  <c r="D706" i="4"/>
  <c r="D686" i="4"/>
  <c r="D666" i="4"/>
  <c r="D646" i="4"/>
  <c r="D626" i="4"/>
  <c r="D606" i="4"/>
  <c r="D586" i="4"/>
  <c r="D566" i="4"/>
  <c r="D546" i="4"/>
  <c r="D526" i="4"/>
  <c r="D506" i="4"/>
  <c r="D486" i="4"/>
  <c r="D466" i="4"/>
  <c r="D446" i="4"/>
  <c r="D426" i="4"/>
  <c r="D406" i="4"/>
  <c r="D386" i="4"/>
  <c r="D366" i="4"/>
  <c r="C416" i="4"/>
  <c r="C415" i="4"/>
  <c r="C476" i="4"/>
  <c r="C414" i="4"/>
  <c r="C475" i="4"/>
  <c r="C412" i="4"/>
  <c r="C474" i="4"/>
  <c r="C410" i="4"/>
  <c r="C472" i="4"/>
  <c r="C405" i="4"/>
  <c r="C470" i="4"/>
  <c r="C396" i="4"/>
  <c r="C390" i="4"/>
  <c r="C450" i="4"/>
  <c r="C445" i="4"/>
  <c r="C375" i="4"/>
  <c r="C436" i="4"/>
  <c r="C374" i="4"/>
  <c r="C435" i="4"/>
  <c r="C372" i="4"/>
  <c r="C434" i="4"/>
  <c r="C370" i="4"/>
  <c r="C484" i="4"/>
  <c r="C464" i="4"/>
  <c r="C444" i="4"/>
  <c r="C424" i="4"/>
  <c r="C404" i="4"/>
  <c r="C384" i="4"/>
  <c r="C483" i="4"/>
  <c r="C463" i="4"/>
  <c r="C443" i="4"/>
  <c r="C423" i="4"/>
  <c r="C403" i="4"/>
  <c r="C383" i="4"/>
  <c r="C482" i="4"/>
  <c r="C462" i="4"/>
  <c r="C442" i="4"/>
  <c r="C422" i="4"/>
  <c r="C402" i="4"/>
  <c r="C382" i="4"/>
  <c r="C481" i="4"/>
  <c r="C461" i="4"/>
  <c r="C441" i="4"/>
  <c r="C421" i="4"/>
  <c r="C401" i="4"/>
  <c r="C381" i="4"/>
  <c r="C480" i="4"/>
  <c r="C460" i="4"/>
  <c r="C440" i="4"/>
  <c r="C420" i="4"/>
  <c r="C400" i="4"/>
  <c r="C380" i="4"/>
  <c r="C479" i="4"/>
  <c r="C459" i="4"/>
  <c r="C439" i="4"/>
  <c r="C419" i="4"/>
  <c r="C399" i="4"/>
  <c r="C379" i="4"/>
  <c r="C478" i="4"/>
  <c r="C458" i="4"/>
  <c r="C438" i="4"/>
  <c r="C418" i="4"/>
  <c r="C398" i="4"/>
  <c r="C378" i="4"/>
  <c r="C477" i="4"/>
  <c r="C457" i="4"/>
  <c r="C437" i="4"/>
  <c r="C417" i="4"/>
  <c r="C397" i="4"/>
  <c r="C377" i="4"/>
  <c r="C473" i="4"/>
  <c r="C453" i="4"/>
  <c r="C433" i="4"/>
  <c r="C413" i="4"/>
  <c r="C393" i="4"/>
  <c r="C373" i="4"/>
  <c r="C471" i="4"/>
  <c r="C451" i="4"/>
  <c r="C431" i="4"/>
  <c r="C411" i="4"/>
  <c r="C391" i="4"/>
  <c r="C371" i="4"/>
  <c r="C469" i="4"/>
  <c r="C449" i="4"/>
  <c r="C429" i="4"/>
  <c r="C409" i="4"/>
  <c r="C389" i="4"/>
  <c r="C369" i="4"/>
  <c r="C468" i="4"/>
  <c r="C448" i="4"/>
  <c r="C428" i="4"/>
  <c r="C408" i="4"/>
  <c r="C388" i="4"/>
  <c r="C368" i="4"/>
  <c r="C467" i="4"/>
  <c r="C447" i="4"/>
  <c r="C427" i="4"/>
  <c r="C407" i="4"/>
  <c r="C387" i="4"/>
  <c r="C367" i="4"/>
  <c r="C466" i="4"/>
  <c r="C446" i="4"/>
  <c r="C426" i="4"/>
  <c r="C406" i="4"/>
  <c r="C386" i="4"/>
  <c r="C366" i="4"/>
  <c r="D365" i="4"/>
  <c r="CG116" i="13"/>
  <c r="CI13" i="13"/>
  <c r="CI11" i="13"/>
  <c r="CG125" i="13"/>
  <c r="CG124" i="13"/>
  <c r="CG123" i="13"/>
  <c r="CG122" i="13"/>
  <c r="CG121" i="13"/>
  <c r="CG120" i="13"/>
  <c r="CG119" i="13"/>
  <c r="CG118" i="13"/>
  <c r="CG117" i="13"/>
  <c r="CG132" i="13"/>
  <c r="CG12" i="13"/>
  <c r="CG131" i="13"/>
  <c r="CG11" i="13"/>
  <c r="CG130" i="13"/>
  <c r="CG10" i="13"/>
  <c r="CG129" i="13"/>
  <c r="CG9" i="13"/>
  <c r="CG128" i="13"/>
  <c r="CG68" i="13"/>
  <c r="CG8" i="13"/>
  <c r="CG127" i="13"/>
  <c r="CG126" i="13"/>
  <c r="CG6" i="13"/>
  <c r="BN125" i="13"/>
  <c r="BP13" i="13"/>
  <c r="BP11" i="13"/>
  <c r="BN124" i="13"/>
  <c r="BN123" i="13"/>
  <c r="BN122" i="13"/>
  <c r="BN121" i="13"/>
  <c r="BN120" i="13"/>
  <c r="BN119" i="13"/>
  <c r="BN118" i="13"/>
  <c r="BN117" i="13"/>
  <c r="BN116" i="13"/>
  <c r="BN132" i="13"/>
  <c r="BN12" i="13"/>
  <c r="BN131" i="13"/>
  <c r="BN11" i="13"/>
  <c r="BN130" i="13"/>
  <c r="BN10" i="13"/>
  <c r="BN129" i="13"/>
  <c r="BN9" i="13"/>
  <c r="BN128" i="13"/>
  <c r="BN68" i="13"/>
  <c r="BN8" i="13"/>
  <c r="BN127" i="13"/>
  <c r="BN126" i="13"/>
  <c r="BN6" i="13"/>
  <c r="AU125" i="13"/>
  <c r="AW13" i="13"/>
  <c r="AW11" i="13"/>
  <c r="AU124" i="13"/>
  <c r="AU123" i="13"/>
  <c r="AU122" i="13"/>
  <c r="AU121" i="13"/>
  <c r="AU120" i="13"/>
  <c r="AU119" i="13"/>
  <c r="AU118" i="13"/>
  <c r="AU117" i="13"/>
  <c r="AU116" i="13"/>
  <c r="AU132" i="13"/>
  <c r="AU12" i="13"/>
  <c r="AU131" i="13"/>
  <c r="AU11" i="13"/>
  <c r="AU130" i="13"/>
  <c r="AU10" i="13"/>
  <c r="AU129" i="13"/>
  <c r="AU9" i="13"/>
  <c r="AU128" i="13"/>
  <c r="AU68" i="13"/>
  <c r="AU8" i="13"/>
  <c r="AU127" i="13"/>
  <c r="AU126" i="13"/>
  <c r="AU6" i="13"/>
  <c r="AB5" i="13"/>
  <c r="AC5" i="13" s="1"/>
  <c r="BH34" i="13"/>
  <c r="BF40" i="13"/>
  <c r="BH40" i="13" s="1"/>
  <c r="BY38" i="13"/>
  <c r="CA38" i="13" s="1"/>
  <c r="AM41" i="13"/>
  <c r="AM53" i="13" s="1"/>
  <c r="AO53" i="13" s="1"/>
  <c r="CA18" i="13"/>
  <c r="BY39" i="13"/>
  <c r="BY51" i="13" s="1"/>
  <c r="CA51" i="13" s="1"/>
  <c r="BF58" i="13"/>
  <c r="BF70" i="13" s="1"/>
  <c r="BY35" i="13"/>
  <c r="BY47" i="13" s="1"/>
  <c r="AM30" i="13"/>
  <c r="AM42" i="13" s="1"/>
  <c r="AM54" i="13" s="1"/>
  <c r="BY37" i="13"/>
  <c r="CA37" i="13" s="1"/>
  <c r="BF30" i="13"/>
  <c r="BH30" i="13" s="1"/>
  <c r="CA19" i="13"/>
  <c r="BY41" i="13"/>
  <c r="CA29" i="13"/>
  <c r="CA32" i="13"/>
  <c r="BY44" i="13"/>
  <c r="CA42" i="13"/>
  <c r="BY54" i="13"/>
  <c r="AO23" i="13"/>
  <c r="AM35" i="13"/>
  <c r="AM47" i="13" s="1"/>
  <c r="AO47" i="13" s="1"/>
  <c r="BH19" i="13"/>
  <c r="BF31" i="13"/>
  <c r="BF48" i="13"/>
  <c r="BF60" i="13" s="1"/>
  <c r="BH36" i="13"/>
  <c r="CA17" i="13"/>
  <c r="BH24" i="13"/>
  <c r="CA20" i="13"/>
  <c r="BY48" i="13"/>
  <c r="BH21" i="13"/>
  <c r="CA30" i="13"/>
  <c r="BF35" i="13"/>
  <c r="BH35" i="13" s="1"/>
  <c r="AM36" i="13"/>
  <c r="AM48" i="13" s="1"/>
  <c r="AM50" i="13"/>
  <c r="AM62" i="13" s="1"/>
  <c r="AM74" i="13" s="1"/>
  <c r="BH39" i="13"/>
  <c r="BY34" i="13"/>
  <c r="BY43" i="13"/>
  <c r="BH51" i="13"/>
  <c r="AM51" i="13"/>
  <c r="AM63" i="13" s="1"/>
  <c r="BH26" i="13"/>
  <c r="CA24" i="13"/>
  <c r="BY33" i="13"/>
  <c r="BY40" i="13"/>
  <c r="BH41" i="13"/>
  <c r="AM32" i="13"/>
  <c r="AM44" i="13" s="1"/>
  <c r="AO20" i="13"/>
  <c r="BN5" i="13"/>
  <c r="BO5" i="13" s="1"/>
  <c r="BH29" i="13"/>
  <c r="BH53" i="13"/>
  <c r="BF65" i="13"/>
  <c r="BF50" i="13"/>
  <c r="BH38" i="13"/>
  <c r="V23" i="13"/>
  <c r="T35" i="13"/>
  <c r="V35" i="13" s="1"/>
  <c r="V27" i="13"/>
  <c r="T39" i="13"/>
  <c r="V39" i="13" s="1"/>
  <c r="BH63" i="13"/>
  <c r="BF75" i="13"/>
  <c r="BF45" i="13"/>
  <c r="BH33" i="13"/>
  <c r="AM40" i="13"/>
  <c r="AM52" i="13" s="1"/>
  <c r="V26" i="13"/>
  <c r="AM45" i="13"/>
  <c r="BF32" i="13"/>
  <c r="BF37" i="13"/>
  <c r="BH17" i="13"/>
  <c r="BH22" i="13"/>
  <c r="BH27" i="13"/>
  <c r="AM31" i="13"/>
  <c r="AO25" i="13"/>
  <c r="T30" i="13"/>
  <c r="T34" i="13"/>
  <c r="AM49" i="13"/>
  <c r="AO37" i="13"/>
  <c r="V21" i="13"/>
  <c r="AO26" i="13"/>
  <c r="T29" i="13"/>
  <c r="T41" i="13" s="1"/>
  <c r="AU5" i="13"/>
  <c r="AV5" i="13" s="1"/>
  <c r="AM46" i="13"/>
  <c r="T40" i="13"/>
  <c r="AO21" i="13"/>
  <c r="AO17" i="13"/>
  <c r="AO22" i="13"/>
  <c r="AO27" i="13"/>
  <c r="T31" i="13"/>
  <c r="V19" i="13"/>
  <c r="T36" i="13"/>
  <c r="V24" i="13"/>
  <c r="T50" i="13"/>
  <c r="V38" i="13"/>
  <c r="T45" i="13"/>
  <c r="V33" i="13"/>
  <c r="T32" i="13"/>
  <c r="T37" i="13"/>
  <c r="I11" i="13"/>
  <c r="H6" i="13"/>
  <c r="H63" i="13"/>
  <c r="I119" i="13"/>
  <c r="H103" i="13"/>
  <c r="I129" i="13"/>
  <c r="H37" i="13"/>
  <c r="H57" i="13"/>
  <c r="H77" i="13"/>
  <c r="H87" i="13"/>
  <c r="H97" i="13"/>
  <c r="I68" i="13"/>
  <c r="H18" i="13"/>
  <c r="H38" i="13"/>
  <c r="H48" i="13"/>
  <c r="H118" i="13"/>
  <c r="C22" i="13"/>
  <c r="I123" i="13"/>
  <c r="H59" i="13"/>
  <c r="H109" i="13"/>
  <c r="C27" i="13"/>
  <c r="I131" i="13"/>
  <c r="C28" i="13"/>
  <c r="H129" i="13"/>
  <c r="H52" i="13"/>
  <c r="H72" i="13"/>
  <c r="H102" i="13"/>
  <c r="H132" i="13"/>
  <c r="I8" i="13"/>
  <c r="H62" i="13"/>
  <c r="H82" i="13"/>
  <c r="H112" i="13"/>
  <c r="M24" i="13"/>
  <c r="H44" i="13"/>
  <c r="H84" i="13"/>
  <c r="H94" i="13"/>
  <c r="H104" i="13"/>
  <c r="H124" i="13"/>
  <c r="K13" i="13"/>
  <c r="I118" i="13"/>
  <c r="I128" i="13"/>
  <c r="H25" i="13"/>
  <c r="H35" i="13"/>
  <c r="H45" i="13"/>
  <c r="H65" i="13"/>
  <c r="H75" i="13"/>
  <c r="H95" i="13"/>
  <c r="H105" i="13"/>
  <c r="H115" i="13"/>
  <c r="H56" i="13"/>
  <c r="H80" i="13"/>
  <c r="H110" i="13"/>
  <c r="H21" i="13"/>
  <c r="H31" i="13"/>
  <c r="H51" i="13"/>
  <c r="H71" i="13"/>
  <c r="H101" i="13"/>
  <c r="H111" i="13"/>
  <c r="H131" i="13"/>
  <c r="A38" i="13"/>
  <c r="I126" i="13"/>
  <c r="H29" i="13"/>
  <c r="H70" i="13"/>
  <c r="H89" i="13"/>
  <c r="H108" i="13"/>
  <c r="H8" i="13"/>
  <c r="H120" i="13"/>
  <c r="H98" i="13"/>
  <c r="C19" i="13"/>
  <c r="H36" i="13"/>
  <c r="H28" i="13"/>
  <c r="H54" i="13"/>
  <c r="H96" i="13"/>
  <c r="H20" i="13"/>
  <c r="H64" i="13"/>
  <c r="H106" i="13"/>
  <c r="H91" i="13"/>
  <c r="I117" i="13"/>
  <c r="H50" i="13"/>
  <c r="H76" i="13"/>
  <c r="H85" i="13"/>
  <c r="H92" i="13"/>
  <c r="H60" i="13"/>
  <c r="H119" i="13"/>
  <c r="I10" i="13"/>
  <c r="H86" i="13"/>
  <c r="H79" i="13"/>
  <c r="I124" i="13"/>
  <c r="H126" i="13"/>
  <c r="H26" i="13"/>
  <c r="A37" i="13"/>
  <c r="C25" i="13"/>
  <c r="H11" i="13"/>
  <c r="H33" i="13"/>
  <c r="H49" i="13"/>
  <c r="H41" i="13"/>
  <c r="I125" i="13"/>
  <c r="H34" i="13"/>
  <c r="H58" i="13"/>
  <c r="H73" i="13"/>
  <c r="H88" i="13"/>
  <c r="H117" i="13"/>
  <c r="I12" i="13"/>
  <c r="H13" i="13"/>
  <c r="H43" i="13"/>
  <c r="H67" i="13"/>
  <c r="H128" i="13"/>
  <c r="H125" i="13"/>
  <c r="K11" i="13"/>
  <c r="H74" i="13"/>
  <c r="I127" i="13"/>
  <c r="H113" i="13"/>
  <c r="H17" i="13"/>
  <c r="H40" i="13"/>
  <c r="M12" i="13"/>
  <c r="H66" i="13"/>
  <c r="H81" i="13"/>
  <c r="H68" i="13"/>
  <c r="H121" i="13"/>
  <c r="H53" i="13"/>
  <c r="H83" i="13"/>
  <c r="H14" i="13"/>
  <c r="H61" i="13"/>
  <c r="H69" i="13"/>
  <c r="H114" i="13"/>
  <c r="C18" i="13"/>
  <c r="H107" i="13"/>
  <c r="H122" i="13"/>
  <c r="H130" i="13"/>
  <c r="H27" i="13"/>
  <c r="I120" i="13"/>
  <c r="I130" i="13"/>
  <c r="H9" i="13"/>
  <c r="H22" i="13"/>
  <c r="H99" i="13"/>
  <c r="I9" i="13"/>
  <c r="H30" i="13"/>
  <c r="H46" i="13"/>
  <c r="H123" i="13"/>
  <c r="H19" i="13"/>
  <c r="H42" i="13"/>
  <c r="H127" i="13"/>
  <c r="C24" i="13"/>
  <c r="C23" i="13"/>
  <c r="I121" i="13"/>
  <c r="H23" i="13"/>
  <c r="H47" i="13"/>
  <c r="H116" i="13"/>
  <c r="H32" i="13"/>
  <c r="H55" i="13"/>
  <c r="C21" i="13"/>
  <c r="I6" i="13"/>
  <c r="H100" i="13"/>
  <c r="C20" i="13"/>
  <c r="I122" i="13"/>
  <c r="I132" i="13"/>
  <c r="H10" i="13"/>
  <c r="H16" i="13"/>
  <c r="H39" i="13"/>
  <c r="H93" i="13"/>
  <c r="I116" i="13"/>
  <c r="H7" i="13"/>
  <c r="H90" i="13"/>
  <c r="H78" i="13"/>
  <c r="C26" i="13"/>
  <c r="A32" i="13"/>
  <c r="H33" i="16"/>
  <c r="H46" i="16"/>
  <c r="H15" i="16"/>
  <c r="H14" i="16"/>
  <c r="H12" i="16"/>
  <c r="H43" i="16"/>
  <c r="H44" i="16"/>
  <c r="H45" i="16"/>
  <c r="H49" i="16"/>
  <c r="H36" i="16"/>
  <c r="H23" i="16"/>
  <c r="H34" i="16"/>
  <c r="H25" i="16"/>
  <c r="H24" i="16"/>
  <c r="H30" i="16"/>
  <c r="H16" i="16"/>
  <c r="H20" i="16"/>
  <c r="H7" i="16"/>
  <c r="H51" i="16"/>
  <c r="H42" i="16"/>
  <c r="H22" i="16"/>
  <c r="H21" i="16"/>
  <c r="H10" i="16"/>
  <c r="H40" i="16"/>
  <c r="H50" i="16"/>
  <c r="H39" i="16"/>
  <c r="H19" i="16"/>
  <c r="H52" i="16"/>
  <c r="H38" i="16"/>
  <c r="H18" i="16"/>
  <c r="H37" i="16"/>
  <c r="H17" i="16"/>
  <c r="H31" i="16"/>
  <c r="H9" i="16"/>
  <c r="H48" i="16"/>
  <c r="H28" i="16"/>
  <c r="H8" i="16"/>
  <c r="H32" i="16"/>
  <c r="H27" i="16"/>
  <c r="H26" i="16"/>
  <c r="G17" i="16"/>
  <c r="G18" i="16"/>
  <c r="G37" i="16"/>
  <c r="G43" i="16"/>
  <c r="G26" i="16"/>
  <c r="G27" i="16"/>
  <c r="G13" i="16"/>
  <c r="G31" i="16"/>
  <c r="G51" i="16"/>
  <c r="G11" i="16"/>
  <c r="E29" i="16"/>
  <c r="E41" i="16" s="1"/>
  <c r="E53" i="16" s="1"/>
  <c r="G32" i="16"/>
  <c r="G14" i="16"/>
  <c r="G19" i="16"/>
  <c r="G9" i="16"/>
  <c r="G12" i="16"/>
  <c r="G39" i="16"/>
  <c r="G33" i="16"/>
  <c r="G23" i="16"/>
  <c r="G46" i="16"/>
  <c r="G8" i="16"/>
  <c r="G16" i="16"/>
  <c r="E80" i="16"/>
  <c r="E92" i="16" s="1"/>
  <c r="G68" i="16"/>
  <c r="E130" i="16"/>
  <c r="G130" i="16" s="1"/>
  <c r="G118" i="16"/>
  <c r="E85" i="16"/>
  <c r="E97" i="16" s="1"/>
  <c r="G73" i="16"/>
  <c r="E90" i="16"/>
  <c r="G78" i="16"/>
  <c r="E100" i="16"/>
  <c r="E112" i="16" s="1"/>
  <c r="E124" i="16" s="1"/>
  <c r="G124" i="16" s="1"/>
  <c r="G88" i="16"/>
  <c r="E60" i="16"/>
  <c r="E72" i="16" s="1"/>
  <c r="G48" i="16"/>
  <c r="G52" i="16"/>
  <c r="G76" i="16"/>
  <c r="G61" i="16"/>
  <c r="G24" i="16"/>
  <c r="G94" i="16"/>
  <c r="G22" i="16"/>
  <c r="G30" i="16"/>
  <c r="E69" i="16"/>
  <c r="G57" i="16"/>
  <c r="G82" i="16"/>
  <c r="G50" i="16"/>
  <c r="E55" i="16"/>
  <c r="G74" i="16"/>
  <c r="G106" i="16"/>
  <c r="G20" i="16"/>
  <c r="G28" i="16"/>
  <c r="E35" i="16"/>
  <c r="E75" i="16"/>
  <c r="G63" i="16"/>
  <c r="G86" i="16"/>
  <c r="G66" i="16"/>
  <c r="G42" i="16"/>
  <c r="G58" i="16"/>
  <c r="G98" i="16"/>
  <c r="G25" i="16"/>
  <c r="G64" i="16"/>
  <c r="G40" i="16"/>
  <c r="G21" i="16"/>
  <c r="G49" i="16"/>
  <c r="G54" i="16"/>
  <c r="G122" i="16"/>
  <c r="G44" i="16"/>
  <c r="G56" i="16"/>
  <c r="G34" i="16"/>
  <c r="G36" i="16"/>
  <c r="G38" i="16"/>
  <c r="G45" i="16"/>
  <c r="G62" i="16"/>
  <c r="G70" i="16"/>
  <c r="G110" i="16"/>
  <c r="A39" i="13"/>
  <c r="A40" i="13"/>
  <c r="A35" i="13"/>
  <c r="A34" i="13"/>
  <c r="A33" i="13"/>
  <c r="A31" i="13"/>
  <c r="A29" i="13"/>
  <c r="A36" i="13"/>
  <c r="A30" i="13"/>
  <c r="CI6" i="13" l="1"/>
  <c r="K6" i="13"/>
  <c r="BP6" i="13"/>
  <c r="K5" i="13"/>
  <c r="L5" i="13" s="1"/>
  <c r="AW6" i="13"/>
  <c r="F85" i="16"/>
  <c r="H73" i="16"/>
  <c r="K73" i="13" s="1"/>
  <c r="F84" i="16"/>
  <c r="H72" i="16"/>
  <c r="F79" i="16"/>
  <c r="H67" i="16"/>
  <c r="F80" i="16"/>
  <c r="H68" i="16"/>
  <c r="AD68" i="13" s="1"/>
  <c r="F87" i="16"/>
  <c r="H75" i="16"/>
  <c r="F88" i="16"/>
  <c r="H76" i="16"/>
  <c r="CI76" i="13" s="1"/>
  <c r="F81" i="16"/>
  <c r="H69" i="16"/>
  <c r="BP69" i="13" s="1"/>
  <c r="F78" i="16"/>
  <c r="H66" i="16"/>
  <c r="AD66" i="13" s="1"/>
  <c r="F86" i="16"/>
  <c r="H74" i="16"/>
  <c r="CI74" i="13" s="1"/>
  <c r="F83" i="16"/>
  <c r="H71" i="16"/>
  <c r="F89" i="16"/>
  <c r="H77" i="16"/>
  <c r="F82" i="16"/>
  <c r="H70" i="16"/>
  <c r="BP70" i="13" s="1"/>
  <c r="CI5" i="13"/>
  <c r="CJ5" i="13" s="1"/>
  <c r="CM5" i="13" s="1"/>
  <c r="BP5" i="13"/>
  <c r="BQ5" i="13" s="1"/>
  <c r="BT5" i="13" s="1"/>
  <c r="AD5" i="13"/>
  <c r="AE5" i="13" s="1"/>
  <c r="AH5" i="13" s="1"/>
  <c r="M16" i="5"/>
  <c r="M25" i="5"/>
  <c r="M17" i="5"/>
  <c r="M31" i="5"/>
  <c r="M15" i="5"/>
  <c r="M33" i="5"/>
  <c r="M24" i="5"/>
  <c r="M28" i="5"/>
  <c r="M30" i="5"/>
  <c r="M27" i="5"/>
  <c r="M22" i="5"/>
  <c r="M29" i="5"/>
  <c r="M32" i="5"/>
  <c r="M19" i="5"/>
  <c r="M20" i="5"/>
  <c r="M21" i="5"/>
  <c r="M18" i="5"/>
  <c r="M26" i="5"/>
  <c r="M23" i="5"/>
  <c r="B105" i="5"/>
  <c r="B110" i="5"/>
  <c r="B113" i="5"/>
  <c r="B95" i="5"/>
  <c r="B100" i="5"/>
  <c r="B103" i="5"/>
  <c r="B106" i="5"/>
  <c r="B111" i="5"/>
  <c r="B114" i="5"/>
  <c r="B96" i="5"/>
  <c r="B101" i="5"/>
  <c r="B94" i="5"/>
  <c r="B107" i="5"/>
  <c r="B112" i="5"/>
  <c r="B115" i="5"/>
  <c r="B97" i="5"/>
  <c r="B102" i="5"/>
  <c r="B121" i="5"/>
  <c r="B116" i="5"/>
  <c r="B108" i="5"/>
  <c r="B122" i="5"/>
  <c r="B117" i="5"/>
  <c r="B98" i="5"/>
  <c r="B123" i="5"/>
  <c r="B118" i="5"/>
  <c r="B109" i="5"/>
  <c r="B119" i="5"/>
  <c r="B134" i="5"/>
  <c r="B99" i="5"/>
  <c r="B120" i="5"/>
  <c r="C1748" i="4"/>
  <c r="D1748" i="4"/>
  <c r="C1751" i="4"/>
  <c r="D1751" i="4"/>
  <c r="C1717" i="4"/>
  <c r="D1717" i="4"/>
  <c r="C1715" i="4"/>
  <c r="D1715" i="4"/>
  <c r="C1755" i="4"/>
  <c r="D1755" i="4"/>
  <c r="C1806" i="4"/>
  <c r="D1806" i="4"/>
  <c r="C1695" i="4"/>
  <c r="D1695" i="4"/>
  <c r="C1697" i="4"/>
  <c r="D1697" i="4"/>
  <c r="C1736" i="4"/>
  <c r="D1736" i="4"/>
  <c r="C1773" i="4"/>
  <c r="D1773" i="4"/>
  <c r="C1745" i="4"/>
  <c r="D1745" i="4"/>
  <c r="C1785" i="4"/>
  <c r="D1785" i="4"/>
  <c r="C1725" i="4"/>
  <c r="D1725" i="4"/>
  <c r="C1735" i="4"/>
  <c r="D1735" i="4"/>
  <c r="C1774" i="4"/>
  <c r="D1774" i="4"/>
  <c r="C1704" i="4"/>
  <c r="D1704" i="4"/>
  <c r="C1783" i="4"/>
  <c r="D1783" i="4"/>
  <c r="C1763" i="4"/>
  <c r="D1763" i="4"/>
  <c r="C1768" i="4"/>
  <c r="D1768" i="4"/>
  <c r="C1804" i="4"/>
  <c r="D1804" i="4"/>
  <c r="C1793" i="4"/>
  <c r="D1793" i="4"/>
  <c r="C1737" i="4"/>
  <c r="D1737" i="4"/>
  <c r="C1801" i="4"/>
  <c r="D1801" i="4"/>
  <c r="C1803" i="4"/>
  <c r="D1803" i="4"/>
  <c r="C1742" i="4"/>
  <c r="D1742" i="4"/>
  <c r="C1716" i="4"/>
  <c r="D1716" i="4"/>
  <c r="C1694" i="4"/>
  <c r="D1694" i="4"/>
  <c r="C1727" i="4"/>
  <c r="D1727" i="4"/>
  <c r="C1788" i="4"/>
  <c r="D1788" i="4"/>
  <c r="C1791" i="4"/>
  <c r="D1791" i="4"/>
  <c r="C1776" i="4"/>
  <c r="D1776" i="4"/>
  <c r="C1707" i="4"/>
  <c r="D1707" i="4"/>
  <c r="C1754" i="4"/>
  <c r="D1754" i="4"/>
  <c r="C1721" i="4"/>
  <c r="D1721" i="4"/>
  <c r="C1724" i="4"/>
  <c r="D1724" i="4"/>
  <c r="C1709" i="4"/>
  <c r="D1709" i="4"/>
  <c r="C1778" i="4"/>
  <c r="D1778" i="4"/>
  <c r="C1784" i="4"/>
  <c r="D1784" i="4"/>
  <c r="C1796" i="4"/>
  <c r="D1796" i="4"/>
  <c r="C1762" i="4"/>
  <c r="D1762" i="4"/>
  <c r="C1747" i="4"/>
  <c r="D1747" i="4"/>
  <c r="C1702" i="4"/>
  <c r="D1702" i="4"/>
  <c r="C1771" i="4"/>
  <c r="D1771" i="4"/>
  <c r="C1800" i="4"/>
  <c r="D1800" i="4"/>
  <c r="C1729" i="4"/>
  <c r="D1729" i="4"/>
  <c r="C1710" i="4"/>
  <c r="D1710" i="4"/>
  <c r="C1740" i="4"/>
  <c r="D1740" i="4"/>
  <c r="C1780" i="4"/>
  <c r="D1780" i="4"/>
  <c r="C1799" i="4"/>
  <c r="D1799" i="4"/>
  <c r="C1765" i="4"/>
  <c r="D1765" i="4"/>
  <c r="C1767" i="4"/>
  <c r="D1767" i="4"/>
  <c r="C1696" i="4"/>
  <c r="D1696" i="4"/>
  <c r="C1775" i="4"/>
  <c r="D1775" i="4"/>
  <c r="C1712" i="4"/>
  <c r="D1712" i="4"/>
  <c r="C1777" i="4"/>
  <c r="D1777" i="4"/>
  <c r="C1722" i="4"/>
  <c r="D1722" i="4"/>
  <c r="C1741" i="4"/>
  <c r="D1741" i="4"/>
  <c r="C1699" i="4"/>
  <c r="D1699" i="4"/>
  <c r="C1720" i="4"/>
  <c r="D1720" i="4"/>
  <c r="C1734" i="4"/>
  <c r="D1734" i="4"/>
  <c r="C1749" i="4"/>
  <c r="D1749" i="4"/>
  <c r="C1730" i="4"/>
  <c r="D1730" i="4"/>
  <c r="C1805" i="4"/>
  <c r="D1805" i="4"/>
  <c r="C1797" i="4"/>
  <c r="D1797" i="4"/>
  <c r="C1757" i="4"/>
  <c r="D1757" i="4"/>
  <c r="C1706" i="4"/>
  <c r="D1706" i="4"/>
  <c r="C1787" i="4"/>
  <c r="D1787" i="4"/>
  <c r="C1764" i="4"/>
  <c r="D1764" i="4"/>
  <c r="C1732" i="4"/>
  <c r="D1732" i="4"/>
  <c r="C1719" i="4"/>
  <c r="D1719" i="4"/>
  <c r="C1795" i="4"/>
  <c r="D1795" i="4"/>
  <c r="C1802" i="4"/>
  <c r="D1802" i="4"/>
  <c r="C1769" i="4"/>
  <c r="D1769" i="4"/>
  <c r="C1750" i="4"/>
  <c r="D1750" i="4"/>
  <c r="C1700" i="4"/>
  <c r="D1700" i="4"/>
  <c r="C1726" i="4"/>
  <c r="D1726" i="4"/>
  <c r="C1807" i="4"/>
  <c r="D1807" i="4"/>
  <c r="C1752" i="4"/>
  <c r="D1752" i="4"/>
  <c r="C1693" i="4"/>
  <c r="D1693" i="4"/>
  <c r="C1701" i="4"/>
  <c r="D1701" i="4"/>
  <c r="C1698" i="4"/>
  <c r="D1698" i="4"/>
  <c r="C1705" i="4"/>
  <c r="D1705" i="4"/>
  <c r="C1743" i="4"/>
  <c r="D1743" i="4"/>
  <c r="C1739" i="4"/>
  <c r="D1739" i="4"/>
  <c r="C1723" i="4"/>
  <c r="D1723" i="4"/>
  <c r="C1789" i="4"/>
  <c r="D1789" i="4"/>
  <c r="C1770" i="4"/>
  <c r="D1770" i="4"/>
  <c r="C1738" i="4"/>
  <c r="D1738" i="4"/>
  <c r="C1781" i="4"/>
  <c r="D1781" i="4"/>
  <c r="C1714" i="4"/>
  <c r="D1714" i="4"/>
  <c r="C1718" i="4"/>
  <c r="D1718" i="4"/>
  <c r="C1761" i="4"/>
  <c r="D1761" i="4"/>
  <c r="C1746" i="4"/>
  <c r="D1746" i="4"/>
  <c r="C1772" i="4"/>
  <c r="D1772" i="4"/>
  <c r="C1713" i="4"/>
  <c r="D1713" i="4"/>
  <c r="C1758" i="4"/>
  <c r="D1758" i="4"/>
  <c r="C1744" i="4"/>
  <c r="D1744" i="4"/>
  <c r="C1759" i="4"/>
  <c r="D1759" i="4"/>
  <c r="C1756" i="4"/>
  <c r="D1756" i="4"/>
  <c r="C1798" i="4"/>
  <c r="D1798" i="4"/>
  <c r="C1790" i="4"/>
  <c r="D1790" i="4"/>
  <c r="C1760" i="4"/>
  <c r="D1760" i="4"/>
  <c r="C1782" i="4"/>
  <c r="D1782" i="4"/>
  <c r="C1794" i="4"/>
  <c r="D1794" i="4"/>
  <c r="C1766" i="4"/>
  <c r="D1766" i="4"/>
  <c r="C1708" i="4"/>
  <c r="D1708" i="4"/>
  <c r="C1711" i="4"/>
  <c r="D1711" i="4"/>
  <c r="C1792" i="4"/>
  <c r="D1792" i="4"/>
  <c r="C1733" i="4"/>
  <c r="D1733" i="4"/>
  <c r="C1779" i="4"/>
  <c r="D1779" i="4"/>
  <c r="C1786" i="4"/>
  <c r="D1786" i="4"/>
  <c r="C1728" i="4"/>
  <c r="D1728" i="4"/>
  <c r="C1731" i="4"/>
  <c r="D1731" i="4"/>
  <c r="C1753" i="4"/>
  <c r="D1753" i="4"/>
  <c r="C1703" i="4"/>
  <c r="D1703" i="4"/>
  <c r="D1549" i="4"/>
  <c r="C1539" i="4"/>
  <c r="D1553" i="4"/>
  <c r="C1554" i="4"/>
  <c r="C1551" i="4"/>
  <c r="C1625" i="4"/>
  <c r="D1449" i="4"/>
  <c r="C1540" i="4"/>
  <c r="C1663" i="4"/>
  <c r="D1469" i="4"/>
  <c r="C1455" i="4"/>
  <c r="D1509" i="4"/>
  <c r="D1529" i="4"/>
  <c r="L1027" i="4"/>
  <c r="M1027" i="4"/>
  <c r="N1027" i="4"/>
  <c r="O1027" i="4"/>
  <c r="P1027" i="4"/>
  <c r="Q1027" i="4"/>
  <c r="J1027" i="4"/>
  <c r="K1027" i="4"/>
  <c r="J1014" i="4"/>
  <c r="K1014" i="4"/>
  <c r="L1014" i="4"/>
  <c r="M1014" i="4"/>
  <c r="N1014" i="4"/>
  <c r="O1014" i="4"/>
  <c r="P1014" i="4"/>
  <c r="Q1014" i="4"/>
  <c r="Q882" i="4"/>
  <c r="J882" i="4"/>
  <c r="K882" i="4"/>
  <c r="L882" i="4"/>
  <c r="M882" i="4"/>
  <c r="N882" i="4"/>
  <c r="O882" i="4"/>
  <c r="P882" i="4"/>
  <c r="J1045" i="4"/>
  <c r="L1045" i="4"/>
  <c r="Q1045" i="4"/>
  <c r="K1045" i="4"/>
  <c r="N1045" i="4"/>
  <c r="O1045" i="4"/>
  <c r="P1045" i="4"/>
  <c r="M1045" i="4"/>
  <c r="N951" i="4"/>
  <c r="O951" i="4"/>
  <c r="P951" i="4"/>
  <c r="Q951" i="4"/>
  <c r="L951" i="4"/>
  <c r="M951" i="4"/>
  <c r="J951" i="4"/>
  <c r="K951" i="4"/>
  <c r="Q1231" i="4"/>
  <c r="J1231" i="4"/>
  <c r="K1231" i="4"/>
  <c r="L1231" i="4"/>
  <c r="M1231" i="4"/>
  <c r="N1231" i="4"/>
  <c r="O1231" i="4"/>
  <c r="P1231" i="4"/>
  <c r="P1265" i="4"/>
  <c r="Q1265" i="4"/>
  <c r="J1265" i="4"/>
  <c r="K1265" i="4"/>
  <c r="L1265" i="4"/>
  <c r="M1265" i="4"/>
  <c r="N1265" i="4"/>
  <c r="O1265" i="4"/>
  <c r="O1709" i="4"/>
  <c r="N1709" i="4"/>
  <c r="P1709" i="4"/>
  <c r="Q1709" i="4"/>
  <c r="J1709" i="4"/>
  <c r="K1709" i="4"/>
  <c r="L1709" i="4"/>
  <c r="M1709" i="4"/>
  <c r="J1799" i="4"/>
  <c r="K1799" i="4"/>
  <c r="L1799" i="4"/>
  <c r="M1799" i="4"/>
  <c r="N1799" i="4"/>
  <c r="O1799" i="4"/>
  <c r="P1799" i="4"/>
  <c r="Q1799" i="4"/>
  <c r="E483" i="4"/>
  <c r="J1661" i="4"/>
  <c r="K1661" i="4"/>
  <c r="L1661" i="4"/>
  <c r="M1661" i="4"/>
  <c r="N1661" i="4"/>
  <c r="O1661" i="4"/>
  <c r="P1661" i="4"/>
  <c r="Q1661" i="4"/>
  <c r="L521" i="4"/>
  <c r="M521" i="4"/>
  <c r="N521" i="4"/>
  <c r="O521" i="4"/>
  <c r="P521" i="4"/>
  <c r="J521" i="4"/>
  <c r="K521" i="4"/>
  <c r="Q521" i="4"/>
  <c r="P721" i="4"/>
  <c r="Q721" i="4"/>
  <c r="L721" i="4"/>
  <c r="M721" i="4"/>
  <c r="N721" i="4"/>
  <c r="O721" i="4"/>
  <c r="J721" i="4"/>
  <c r="K721" i="4"/>
  <c r="O582" i="4"/>
  <c r="P582" i="4"/>
  <c r="Q582" i="4"/>
  <c r="J582" i="4"/>
  <c r="K582" i="4"/>
  <c r="L582" i="4"/>
  <c r="M582" i="4"/>
  <c r="N582" i="4"/>
  <c r="Q683" i="4"/>
  <c r="J683" i="4"/>
  <c r="K683" i="4"/>
  <c r="L683" i="4"/>
  <c r="N683" i="4"/>
  <c r="M683" i="4"/>
  <c r="O683" i="4"/>
  <c r="P683" i="4"/>
  <c r="M671" i="4"/>
  <c r="N671" i="4"/>
  <c r="O671" i="4"/>
  <c r="P671" i="4"/>
  <c r="J671" i="4"/>
  <c r="K671" i="4"/>
  <c r="L671" i="4"/>
  <c r="Q671" i="4"/>
  <c r="N692" i="4"/>
  <c r="O692" i="4"/>
  <c r="P692" i="4"/>
  <c r="J692" i="4"/>
  <c r="K692" i="4"/>
  <c r="L692" i="4"/>
  <c r="M692" i="4"/>
  <c r="Q692" i="4"/>
  <c r="N535" i="4"/>
  <c r="O535" i="4"/>
  <c r="P535" i="4"/>
  <c r="Q535" i="4"/>
  <c r="K535" i="4"/>
  <c r="L535" i="4"/>
  <c r="M535" i="4"/>
  <c r="J535" i="4"/>
  <c r="J596" i="4"/>
  <c r="K596" i="4"/>
  <c r="L596" i="4"/>
  <c r="M596" i="4"/>
  <c r="Q596" i="4"/>
  <c r="N596" i="4"/>
  <c r="P596" i="4"/>
  <c r="O596" i="4"/>
  <c r="Q617" i="4"/>
  <c r="J617" i="4"/>
  <c r="K617" i="4"/>
  <c r="L617" i="4"/>
  <c r="M617" i="4"/>
  <c r="N617" i="4"/>
  <c r="O617" i="4"/>
  <c r="P617" i="4"/>
  <c r="O499" i="4"/>
  <c r="P499" i="4"/>
  <c r="N499" i="4"/>
  <c r="Q499" i="4"/>
  <c r="J499" i="4"/>
  <c r="K499" i="4"/>
  <c r="M499" i="4"/>
  <c r="L499" i="4"/>
  <c r="J699" i="4"/>
  <c r="K699" i="4"/>
  <c r="L699" i="4"/>
  <c r="N699" i="4"/>
  <c r="M699" i="4"/>
  <c r="O699" i="4"/>
  <c r="P699" i="4"/>
  <c r="Q699" i="4"/>
  <c r="N540" i="4"/>
  <c r="O540" i="4"/>
  <c r="P540" i="4"/>
  <c r="Q540" i="4"/>
  <c r="M540" i="4"/>
  <c r="J540" i="4"/>
  <c r="K540" i="4"/>
  <c r="L540" i="4"/>
  <c r="N1047" i="4"/>
  <c r="O1047" i="4"/>
  <c r="P1047" i="4"/>
  <c r="Q1047" i="4"/>
  <c r="J1047" i="4"/>
  <c r="L1047" i="4"/>
  <c r="K1047" i="4"/>
  <c r="M1047" i="4"/>
  <c r="J1069" i="4"/>
  <c r="K1069" i="4"/>
  <c r="L1069" i="4"/>
  <c r="M1069" i="4"/>
  <c r="N1069" i="4"/>
  <c r="O1069" i="4"/>
  <c r="P1069" i="4"/>
  <c r="Q1069" i="4"/>
  <c r="J973" i="4"/>
  <c r="K973" i="4"/>
  <c r="L973" i="4"/>
  <c r="M973" i="4"/>
  <c r="N973" i="4"/>
  <c r="O973" i="4"/>
  <c r="P973" i="4"/>
  <c r="Q973" i="4"/>
  <c r="J1034" i="4"/>
  <c r="K1034" i="4"/>
  <c r="L1034" i="4"/>
  <c r="M1034" i="4"/>
  <c r="N1034" i="4"/>
  <c r="P1034" i="4"/>
  <c r="Q1034" i="4"/>
  <c r="O1034" i="4"/>
  <c r="M860" i="4"/>
  <c r="N860" i="4"/>
  <c r="O860" i="4"/>
  <c r="P860" i="4"/>
  <c r="J860" i="4"/>
  <c r="K860" i="4"/>
  <c r="L860" i="4"/>
  <c r="Q860" i="4"/>
  <c r="Q902" i="4"/>
  <c r="J902" i="4"/>
  <c r="K902" i="4"/>
  <c r="L902" i="4"/>
  <c r="M902" i="4"/>
  <c r="O902" i="4"/>
  <c r="N902" i="4"/>
  <c r="P902" i="4"/>
  <c r="J1063" i="4"/>
  <c r="K1063" i="4"/>
  <c r="L1063" i="4"/>
  <c r="M1063" i="4"/>
  <c r="P1063" i="4"/>
  <c r="N1063" i="4"/>
  <c r="O1063" i="4"/>
  <c r="Q1063" i="4"/>
  <c r="M1052" i="4"/>
  <c r="N1052" i="4"/>
  <c r="O1052" i="4"/>
  <c r="P1052" i="4"/>
  <c r="Q1052" i="4"/>
  <c r="J1052" i="4"/>
  <c r="L1052" i="4"/>
  <c r="K1052" i="4"/>
  <c r="N1025" i="4"/>
  <c r="O1025" i="4"/>
  <c r="P1025" i="4"/>
  <c r="Q1025" i="4"/>
  <c r="J1025" i="4"/>
  <c r="L1025" i="4"/>
  <c r="M1025" i="4"/>
  <c r="K1025" i="4"/>
  <c r="N1081" i="4"/>
  <c r="O1081" i="4"/>
  <c r="P1081" i="4"/>
  <c r="Q1081" i="4"/>
  <c r="J1081" i="4"/>
  <c r="L1081" i="4"/>
  <c r="K1081" i="4"/>
  <c r="M1081" i="4"/>
  <c r="M1055" i="4"/>
  <c r="N1055" i="4"/>
  <c r="O1055" i="4"/>
  <c r="P1055" i="4"/>
  <c r="Q1055" i="4"/>
  <c r="J1055" i="4"/>
  <c r="K1055" i="4"/>
  <c r="L1055" i="4"/>
  <c r="O1230" i="4"/>
  <c r="P1230" i="4"/>
  <c r="Q1230" i="4"/>
  <c r="J1230" i="4"/>
  <c r="L1230" i="4"/>
  <c r="N1230" i="4"/>
  <c r="K1230" i="4"/>
  <c r="M1230" i="4"/>
  <c r="J1251" i="4"/>
  <c r="K1251" i="4"/>
  <c r="L1251" i="4"/>
  <c r="N1251" i="4"/>
  <c r="O1251" i="4"/>
  <c r="P1251" i="4"/>
  <c r="M1251" i="4"/>
  <c r="Q1251" i="4"/>
  <c r="L1312" i="4"/>
  <c r="N1312" i="4"/>
  <c r="O1312" i="4"/>
  <c r="P1312" i="4"/>
  <c r="Q1312" i="4"/>
  <c r="J1312" i="4"/>
  <c r="K1312" i="4"/>
  <c r="M1312" i="4"/>
  <c r="J1356" i="4"/>
  <c r="K1356" i="4"/>
  <c r="P1356" i="4"/>
  <c r="Q1356" i="4"/>
  <c r="L1356" i="4"/>
  <c r="M1356" i="4"/>
  <c r="N1356" i="4"/>
  <c r="O1356" i="4"/>
  <c r="L1358" i="4"/>
  <c r="M1358" i="4"/>
  <c r="N1358" i="4"/>
  <c r="O1358" i="4"/>
  <c r="J1358" i="4"/>
  <c r="K1358" i="4"/>
  <c r="P1358" i="4"/>
  <c r="Q1358" i="4"/>
  <c r="J1439" i="4"/>
  <c r="K1439" i="4"/>
  <c r="L1439" i="4"/>
  <c r="M1439" i="4"/>
  <c r="N1439" i="4"/>
  <c r="O1439" i="4"/>
  <c r="P1439" i="4"/>
  <c r="Q1439" i="4"/>
  <c r="J1244" i="4"/>
  <c r="K1244" i="4"/>
  <c r="M1244" i="4"/>
  <c r="O1244" i="4"/>
  <c r="P1244" i="4"/>
  <c r="Q1244" i="4"/>
  <c r="L1244" i="4"/>
  <c r="N1244" i="4"/>
  <c r="P1285" i="4"/>
  <c r="Q1285" i="4"/>
  <c r="J1285" i="4"/>
  <c r="K1285" i="4"/>
  <c r="L1285" i="4"/>
  <c r="N1285" i="4"/>
  <c r="M1285" i="4"/>
  <c r="O1285" i="4"/>
  <c r="J1326" i="4"/>
  <c r="K1326" i="4"/>
  <c r="Q1326" i="4"/>
  <c r="L1326" i="4"/>
  <c r="M1326" i="4"/>
  <c r="N1326" i="4"/>
  <c r="O1326" i="4"/>
  <c r="P1326" i="4"/>
  <c r="O1729" i="4"/>
  <c r="J1729" i="4"/>
  <c r="K1729" i="4"/>
  <c r="L1729" i="4"/>
  <c r="M1729" i="4"/>
  <c r="N1729" i="4"/>
  <c r="P1729" i="4"/>
  <c r="Q1729" i="4"/>
  <c r="K1773" i="4"/>
  <c r="L1773" i="4"/>
  <c r="M1773" i="4"/>
  <c r="Q1773" i="4"/>
  <c r="J1773" i="4"/>
  <c r="N1773" i="4"/>
  <c r="O1773" i="4"/>
  <c r="P1773" i="4"/>
  <c r="P1597" i="4"/>
  <c r="Q1597" i="4"/>
  <c r="J1597" i="4"/>
  <c r="K1597" i="4"/>
  <c r="L1597" i="4"/>
  <c r="M1597" i="4"/>
  <c r="N1597" i="4"/>
  <c r="O1597" i="4"/>
  <c r="K1728" i="4"/>
  <c r="L1728" i="4"/>
  <c r="M1728" i="4"/>
  <c r="N1728" i="4"/>
  <c r="O1728" i="4"/>
  <c r="P1728" i="4"/>
  <c r="Q1728" i="4"/>
  <c r="J1728" i="4"/>
  <c r="J1691" i="4"/>
  <c r="K1691" i="4"/>
  <c r="L1691" i="4"/>
  <c r="M1691" i="4"/>
  <c r="N1691" i="4"/>
  <c r="O1691" i="4"/>
  <c r="P1691" i="4"/>
  <c r="Q1691" i="4"/>
  <c r="O1770" i="4"/>
  <c r="P1770" i="4"/>
  <c r="Q1770" i="4"/>
  <c r="J1770" i="4"/>
  <c r="K1770" i="4"/>
  <c r="L1770" i="4"/>
  <c r="M1770" i="4"/>
  <c r="N1770" i="4"/>
  <c r="O1695" i="4"/>
  <c r="P1695" i="4"/>
  <c r="Q1695" i="4"/>
  <c r="J1695" i="4"/>
  <c r="K1695" i="4"/>
  <c r="L1695" i="4"/>
  <c r="M1695" i="4"/>
  <c r="N1695" i="4"/>
  <c r="L1580" i="4"/>
  <c r="M1580" i="4"/>
  <c r="N1580" i="4"/>
  <c r="P1580" i="4"/>
  <c r="Q1580" i="4"/>
  <c r="J1580" i="4"/>
  <c r="K1580" i="4"/>
  <c r="O1580" i="4"/>
  <c r="J1623" i="4"/>
  <c r="M1623" i="4"/>
  <c r="N1623" i="4"/>
  <c r="O1623" i="4"/>
  <c r="P1623" i="4"/>
  <c r="Q1623" i="4"/>
  <c r="K1623" i="4"/>
  <c r="L1623" i="4"/>
  <c r="K1666" i="4"/>
  <c r="L1666" i="4"/>
  <c r="N1666" i="4"/>
  <c r="O1666" i="4"/>
  <c r="P1666" i="4"/>
  <c r="Q1666" i="4"/>
  <c r="J1666" i="4"/>
  <c r="M1666" i="4"/>
  <c r="L496" i="4"/>
  <c r="M496" i="4"/>
  <c r="N496" i="4"/>
  <c r="O496" i="4"/>
  <c r="P496" i="4"/>
  <c r="J496" i="4"/>
  <c r="K496" i="4"/>
  <c r="Q496" i="4"/>
  <c r="P1582" i="4"/>
  <c r="Q1582" i="4"/>
  <c r="J1582" i="4"/>
  <c r="K1582" i="4"/>
  <c r="L1582" i="4"/>
  <c r="M1582" i="4"/>
  <c r="N1582" i="4"/>
  <c r="O1582" i="4"/>
  <c r="O1744" i="4"/>
  <c r="J1744" i="4"/>
  <c r="K1744" i="4"/>
  <c r="L1744" i="4"/>
  <c r="M1744" i="4"/>
  <c r="N1744" i="4"/>
  <c r="P1744" i="4"/>
  <c r="Q1744" i="4"/>
  <c r="N625" i="4"/>
  <c r="O625" i="4"/>
  <c r="P625" i="4"/>
  <c r="J625" i="4"/>
  <c r="K625" i="4"/>
  <c r="L625" i="4"/>
  <c r="M625" i="4"/>
  <c r="Q625" i="4"/>
  <c r="E464" i="4"/>
  <c r="K1681" i="4"/>
  <c r="L1681" i="4"/>
  <c r="O1681" i="4"/>
  <c r="P1681" i="4"/>
  <c r="Q1681" i="4"/>
  <c r="J1681" i="4"/>
  <c r="M1681" i="4"/>
  <c r="N1681" i="4"/>
  <c r="J1672" i="4"/>
  <c r="K1672" i="4"/>
  <c r="L1672" i="4"/>
  <c r="M1672" i="4"/>
  <c r="N1672" i="4"/>
  <c r="O1672" i="4"/>
  <c r="P1672" i="4"/>
  <c r="Q1672" i="4"/>
  <c r="O1675" i="4"/>
  <c r="P1675" i="4"/>
  <c r="Q1675" i="4"/>
  <c r="J1675" i="4"/>
  <c r="K1675" i="4"/>
  <c r="L1675" i="4"/>
  <c r="M1675" i="4"/>
  <c r="N1675" i="4"/>
  <c r="Q693" i="4"/>
  <c r="J693" i="4"/>
  <c r="K693" i="4"/>
  <c r="L693" i="4"/>
  <c r="M693" i="4"/>
  <c r="N693" i="4"/>
  <c r="P693" i="4"/>
  <c r="O693" i="4"/>
  <c r="J574" i="4"/>
  <c r="K574" i="4"/>
  <c r="L574" i="4"/>
  <c r="M574" i="4"/>
  <c r="P574" i="4"/>
  <c r="N574" i="4"/>
  <c r="Q574" i="4"/>
  <c r="O574" i="4"/>
  <c r="K1698" i="4"/>
  <c r="L1698" i="4"/>
  <c r="M1698" i="4"/>
  <c r="J1698" i="4"/>
  <c r="N1698" i="4"/>
  <c r="O1698" i="4"/>
  <c r="P1698" i="4"/>
  <c r="Q1698" i="4"/>
  <c r="Q678" i="4"/>
  <c r="J678" i="4"/>
  <c r="N678" i="4"/>
  <c r="L678" i="4"/>
  <c r="M678" i="4"/>
  <c r="O678" i="4"/>
  <c r="P678" i="4"/>
  <c r="K678" i="4"/>
  <c r="L1067" i="4"/>
  <c r="Q1067" i="4"/>
  <c r="K1067" i="4"/>
  <c r="M1067" i="4"/>
  <c r="N1067" i="4"/>
  <c r="P1067" i="4"/>
  <c r="O1067" i="4"/>
  <c r="J1067" i="4"/>
  <c r="J993" i="4"/>
  <c r="K993" i="4"/>
  <c r="L993" i="4"/>
  <c r="M993" i="4"/>
  <c r="N993" i="4"/>
  <c r="O993" i="4"/>
  <c r="P993" i="4"/>
  <c r="Q993" i="4"/>
  <c r="J1054" i="4"/>
  <c r="K1054" i="4"/>
  <c r="L1054" i="4"/>
  <c r="M1054" i="4"/>
  <c r="P1054" i="4"/>
  <c r="N1054" i="4"/>
  <c r="O1054" i="4"/>
  <c r="Q1054" i="4"/>
  <c r="M880" i="4"/>
  <c r="N880" i="4"/>
  <c r="O880" i="4"/>
  <c r="P880" i="4"/>
  <c r="J880" i="4"/>
  <c r="K880" i="4"/>
  <c r="L880" i="4"/>
  <c r="Q880" i="4"/>
  <c r="Q922" i="4"/>
  <c r="M922" i="4"/>
  <c r="N922" i="4"/>
  <c r="O922" i="4"/>
  <c r="P922" i="4"/>
  <c r="L922" i="4"/>
  <c r="J922" i="4"/>
  <c r="K922" i="4"/>
  <c r="M1083" i="4"/>
  <c r="N1083" i="4"/>
  <c r="O1083" i="4"/>
  <c r="P1083" i="4"/>
  <c r="Q1083" i="4"/>
  <c r="J1083" i="4"/>
  <c r="L1083" i="4"/>
  <c r="K1083" i="4"/>
  <c r="J861" i="4"/>
  <c r="K861" i="4"/>
  <c r="L861" i="4"/>
  <c r="M861" i="4"/>
  <c r="N861" i="4"/>
  <c r="P861" i="4"/>
  <c r="Q861" i="4"/>
  <c r="O861" i="4"/>
  <c r="N1071" i="4"/>
  <c r="O1071" i="4"/>
  <c r="P1071" i="4"/>
  <c r="Q1071" i="4"/>
  <c r="J1071" i="4"/>
  <c r="K1071" i="4"/>
  <c r="L1071" i="4"/>
  <c r="M1071" i="4"/>
  <c r="M915" i="4"/>
  <c r="N915" i="4"/>
  <c r="O915" i="4"/>
  <c r="P915" i="4"/>
  <c r="K915" i="4"/>
  <c r="L915" i="4"/>
  <c r="Q915" i="4"/>
  <c r="J915" i="4"/>
  <c r="M854" i="4"/>
  <c r="N854" i="4"/>
  <c r="O854" i="4"/>
  <c r="J854" i="4"/>
  <c r="K854" i="4"/>
  <c r="P854" i="4"/>
  <c r="L854" i="4"/>
  <c r="Q854" i="4"/>
  <c r="J1229" i="4"/>
  <c r="K1229" i="4"/>
  <c r="L1229" i="4"/>
  <c r="M1229" i="4"/>
  <c r="N1229" i="4"/>
  <c r="P1229" i="4"/>
  <c r="Q1229" i="4"/>
  <c r="O1229" i="4"/>
  <c r="P1250" i="4"/>
  <c r="Q1250" i="4"/>
  <c r="J1250" i="4"/>
  <c r="K1250" i="4"/>
  <c r="L1250" i="4"/>
  <c r="M1250" i="4"/>
  <c r="N1250" i="4"/>
  <c r="O1250" i="4"/>
  <c r="J1271" i="4"/>
  <c r="K1271" i="4"/>
  <c r="L1271" i="4"/>
  <c r="N1271" i="4"/>
  <c r="O1271" i="4"/>
  <c r="P1271" i="4"/>
  <c r="M1271" i="4"/>
  <c r="Q1271" i="4"/>
  <c r="L1332" i="4"/>
  <c r="J1332" i="4"/>
  <c r="K1332" i="4"/>
  <c r="M1332" i="4"/>
  <c r="N1332" i="4"/>
  <c r="O1332" i="4"/>
  <c r="P1332" i="4"/>
  <c r="Q1332" i="4"/>
  <c r="J1376" i="4"/>
  <c r="K1376" i="4"/>
  <c r="L1376" i="4"/>
  <c r="M1376" i="4"/>
  <c r="O1376" i="4"/>
  <c r="N1376" i="4"/>
  <c r="P1376" i="4"/>
  <c r="Q1376" i="4"/>
  <c r="L1378" i="4"/>
  <c r="M1378" i="4"/>
  <c r="N1378" i="4"/>
  <c r="O1378" i="4"/>
  <c r="P1378" i="4"/>
  <c r="Q1378" i="4"/>
  <c r="J1378" i="4"/>
  <c r="K1378" i="4"/>
  <c r="K1223" i="4"/>
  <c r="L1223" i="4"/>
  <c r="M1223" i="4"/>
  <c r="J1223" i="4"/>
  <c r="N1223" i="4"/>
  <c r="O1223" i="4"/>
  <c r="P1223" i="4"/>
  <c r="Q1223" i="4"/>
  <c r="J1264" i="4"/>
  <c r="K1264" i="4"/>
  <c r="L1264" i="4"/>
  <c r="N1264" i="4"/>
  <c r="P1264" i="4"/>
  <c r="Q1264" i="4"/>
  <c r="O1264" i="4"/>
  <c r="M1264" i="4"/>
  <c r="P1305" i="4"/>
  <c r="Q1305" i="4"/>
  <c r="J1305" i="4"/>
  <c r="K1305" i="4"/>
  <c r="L1305" i="4"/>
  <c r="M1305" i="4"/>
  <c r="N1305" i="4"/>
  <c r="O1305" i="4"/>
  <c r="J1346" i="4"/>
  <c r="K1346" i="4"/>
  <c r="Q1346" i="4"/>
  <c r="L1346" i="4"/>
  <c r="M1346" i="4"/>
  <c r="N1346" i="4"/>
  <c r="O1346" i="4"/>
  <c r="P1346" i="4"/>
  <c r="O1749" i="4"/>
  <c r="J1749" i="4"/>
  <c r="K1749" i="4"/>
  <c r="L1749" i="4"/>
  <c r="M1749" i="4"/>
  <c r="N1749" i="4"/>
  <c r="P1749" i="4"/>
  <c r="Q1749" i="4"/>
  <c r="K1793" i="4"/>
  <c r="L1793" i="4"/>
  <c r="M1793" i="4"/>
  <c r="J1793" i="4"/>
  <c r="N1793" i="4"/>
  <c r="O1793" i="4"/>
  <c r="P1793" i="4"/>
  <c r="Q1793" i="4"/>
  <c r="P1617" i="4"/>
  <c r="Q1617" i="4"/>
  <c r="L1617" i="4"/>
  <c r="M1617" i="4"/>
  <c r="N1617" i="4"/>
  <c r="O1617" i="4"/>
  <c r="J1617" i="4"/>
  <c r="K1617" i="4"/>
  <c r="L1605" i="4"/>
  <c r="M1605" i="4"/>
  <c r="N1605" i="4"/>
  <c r="P1605" i="4"/>
  <c r="Q1605" i="4"/>
  <c r="J1605" i="4"/>
  <c r="K1605" i="4"/>
  <c r="O1605" i="4"/>
  <c r="O1730" i="4"/>
  <c r="P1730" i="4"/>
  <c r="Q1730" i="4"/>
  <c r="J1730" i="4"/>
  <c r="K1730" i="4"/>
  <c r="L1730" i="4"/>
  <c r="M1730" i="4"/>
  <c r="N1730" i="4"/>
  <c r="O1750" i="4"/>
  <c r="P1750" i="4"/>
  <c r="Q1750" i="4"/>
  <c r="K1750" i="4"/>
  <c r="L1750" i="4"/>
  <c r="M1750" i="4"/>
  <c r="N1750" i="4"/>
  <c r="J1750" i="4"/>
  <c r="O1735" i="4"/>
  <c r="P1735" i="4"/>
  <c r="Q1735" i="4"/>
  <c r="J1735" i="4"/>
  <c r="K1735" i="4"/>
  <c r="L1735" i="4"/>
  <c r="M1735" i="4"/>
  <c r="N1735" i="4"/>
  <c r="J1711" i="4"/>
  <c r="K1711" i="4"/>
  <c r="L1711" i="4"/>
  <c r="M1711" i="4"/>
  <c r="N1711" i="4"/>
  <c r="O1711" i="4"/>
  <c r="P1711" i="4"/>
  <c r="Q1711" i="4"/>
  <c r="L1600" i="4"/>
  <c r="M1600" i="4"/>
  <c r="N1600" i="4"/>
  <c r="J1600" i="4"/>
  <c r="K1600" i="4"/>
  <c r="O1600" i="4"/>
  <c r="P1600" i="4"/>
  <c r="Q1600" i="4"/>
  <c r="K1643" i="4"/>
  <c r="L1643" i="4"/>
  <c r="M1643" i="4"/>
  <c r="N1643" i="4"/>
  <c r="O1643" i="4"/>
  <c r="P1643" i="4"/>
  <c r="J1643" i="4"/>
  <c r="Q1643" i="4"/>
  <c r="K1686" i="4"/>
  <c r="L1686" i="4"/>
  <c r="N1686" i="4"/>
  <c r="O1686" i="4"/>
  <c r="P1686" i="4"/>
  <c r="Q1686" i="4"/>
  <c r="J1686" i="4"/>
  <c r="M1686" i="4"/>
  <c r="E1449" i="4"/>
  <c r="P1602" i="4"/>
  <c r="Q1602" i="4"/>
  <c r="N1602" i="4"/>
  <c r="O1602" i="4"/>
  <c r="J1602" i="4"/>
  <c r="K1602" i="4"/>
  <c r="L1602" i="4"/>
  <c r="M1602" i="4"/>
  <c r="Q1764" i="4"/>
  <c r="J1764" i="4"/>
  <c r="K1764" i="4"/>
  <c r="L1764" i="4"/>
  <c r="M1764" i="4"/>
  <c r="N1764" i="4"/>
  <c r="O1764" i="4"/>
  <c r="P1764" i="4"/>
  <c r="M645" i="4"/>
  <c r="O645" i="4"/>
  <c r="P645" i="4"/>
  <c r="Q645" i="4"/>
  <c r="N645" i="4"/>
  <c r="J645" i="4"/>
  <c r="K645" i="4"/>
  <c r="L645" i="4"/>
  <c r="J1701" i="4"/>
  <c r="K1701" i="4"/>
  <c r="L1701" i="4"/>
  <c r="M1701" i="4"/>
  <c r="N1701" i="4"/>
  <c r="O1701" i="4"/>
  <c r="P1701" i="4"/>
  <c r="Q1701" i="4"/>
  <c r="O1765" i="4"/>
  <c r="P1765" i="4"/>
  <c r="Q1765" i="4"/>
  <c r="J1765" i="4"/>
  <c r="K1765" i="4"/>
  <c r="L1765" i="4"/>
  <c r="M1765" i="4"/>
  <c r="N1765" i="4"/>
  <c r="Q626" i="4"/>
  <c r="J626" i="4"/>
  <c r="K626" i="4"/>
  <c r="L626" i="4"/>
  <c r="M626" i="4"/>
  <c r="P626" i="4"/>
  <c r="N626" i="4"/>
  <c r="O626" i="4"/>
  <c r="J588" i="4"/>
  <c r="K588" i="4"/>
  <c r="L588" i="4"/>
  <c r="P588" i="4"/>
  <c r="Q588" i="4"/>
  <c r="M588" i="4"/>
  <c r="N588" i="4"/>
  <c r="O588" i="4"/>
  <c r="N530" i="4"/>
  <c r="O530" i="4"/>
  <c r="P530" i="4"/>
  <c r="Q530" i="4"/>
  <c r="L530" i="4"/>
  <c r="M530" i="4"/>
  <c r="J530" i="4"/>
  <c r="K530" i="4"/>
  <c r="Q658" i="4"/>
  <c r="K658" i="4"/>
  <c r="L658" i="4"/>
  <c r="M658" i="4"/>
  <c r="N658" i="4"/>
  <c r="O658" i="4"/>
  <c r="P658" i="4"/>
  <c r="J658" i="4"/>
  <c r="J1049" i="4"/>
  <c r="K1049" i="4"/>
  <c r="L1049" i="4"/>
  <c r="M1049" i="4"/>
  <c r="N1049" i="4"/>
  <c r="O1049" i="4"/>
  <c r="P1049" i="4"/>
  <c r="Q1049" i="4"/>
  <c r="N1006" i="4"/>
  <c r="O1006" i="4"/>
  <c r="P1006" i="4"/>
  <c r="Q1006" i="4"/>
  <c r="J1006" i="4"/>
  <c r="K1006" i="4"/>
  <c r="L1006" i="4"/>
  <c r="M1006" i="4"/>
  <c r="J1292" i="4"/>
  <c r="L1292" i="4"/>
  <c r="M1292" i="4"/>
  <c r="N1292" i="4"/>
  <c r="O1292" i="4"/>
  <c r="P1292" i="4"/>
  <c r="K1292" i="4"/>
  <c r="Q1292" i="4"/>
  <c r="J1224" i="4"/>
  <c r="K1224" i="4"/>
  <c r="L1224" i="4"/>
  <c r="N1224" i="4"/>
  <c r="P1224" i="4"/>
  <c r="Q1224" i="4"/>
  <c r="O1224" i="4"/>
  <c r="M1224" i="4"/>
  <c r="O1670" i="4"/>
  <c r="P1670" i="4"/>
  <c r="Q1670" i="4"/>
  <c r="J1670" i="4"/>
  <c r="K1670" i="4"/>
  <c r="L1670" i="4"/>
  <c r="M1670" i="4"/>
  <c r="N1670" i="4"/>
  <c r="N605" i="4"/>
  <c r="O605" i="4"/>
  <c r="P605" i="4"/>
  <c r="J605" i="4"/>
  <c r="L605" i="4"/>
  <c r="Q605" i="4"/>
  <c r="M605" i="4"/>
  <c r="K605" i="4"/>
  <c r="Q541" i="4"/>
  <c r="J541" i="4"/>
  <c r="K541" i="4"/>
  <c r="L541" i="4"/>
  <c r="M541" i="4"/>
  <c r="N541" i="4"/>
  <c r="O541" i="4"/>
  <c r="P541" i="4"/>
  <c r="J602" i="4"/>
  <c r="K602" i="4"/>
  <c r="M602" i="4"/>
  <c r="N602" i="4"/>
  <c r="O602" i="4"/>
  <c r="P602" i="4"/>
  <c r="Q602" i="4"/>
  <c r="L602" i="4"/>
  <c r="M723" i="4"/>
  <c r="N723" i="4"/>
  <c r="O723" i="4"/>
  <c r="P723" i="4"/>
  <c r="J723" i="4"/>
  <c r="K723" i="4"/>
  <c r="Q723" i="4"/>
  <c r="L723" i="4"/>
  <c r="M691" i="4"/>
  <c r="N691" i="4"/>
  <c r="O691" i="4"/>
  <c r="P691" i="4"/>
  <c r="J691" i="4"/>
  <c r="K691" i="4"/>
  <c r="L691" i="4"/>
  <c r="Q691" i="4"/>
  <c r="N555" i="4"/>
  <c r="O555" i="4"/>
  <c r="P555" i="4"/>
  <c r="J555" i="4"/>
  <c r="K555" i="4"/>
  <c r="L555" i="4"/>
  <c r="M555" i="4"/>
  <c r="Q555" i="4"/>
  <c r="M616" i="4"/>
  <c r="N616" i="4"/>
  <c r="O616" i="4"/>
  <c r="P616" i="4"/>
  <c r="Q616" i="4"/>
  <c r="K616" i="4"/>
  <c r="L616" i="4"/>
  <c r="J616" i="4"/>
  <c r="Q637" i="4"/>
  <c r="J637" i="4"/>
  <c r="K637" i="4"/>
  <c r="L637" i="4"/>
  <c r="M637" i="4"/>
  <c r="N637" i="4"/>
  <c r="O637" i="4"/>
  <c r="P637" i="4"/>
  <c r="O519" i="4"/>
  <c r="P519" i="4"/>
  <c r="N519" i="4"/>
  <c r="Q519" i="4"/>
  <c r="K519" i="4"/>
  <c r="L519" i="4"/>
  <c r="M519" i="4"/>
  <c r="J519" i="4"/>
  <c r="P719" i="4"/>
  <c r="Q719" i="4"/>
  <c r="J719" i="4"/>
  <c r="K719" i="4"/>
  <c r="L719" i="4"/>
  <c r="M719" i="4"/>
  <c r="N719" i="4"/>
  <c r="O719" i="4"/>
  <c r="N560" i="4"/>
  <c r="O560" i="4"/>
  <c r="P560" i="4"/>
  <c r="L560" i="4"/>
  <c r="M560" i="4"/>
  <c r="Q560" i="4"/>
  <c r="K560" i="4"/>
  <c r="J560" i="4"/>
  <c r="N604" i="4"/>
  <c r="O604" i="4"/>
  <c r="P604" i="4"/>
  <c r="Q604" i="4"/>
  <c r="J604" i="4"/>
  <c r="K604" i="4"/>
  <c r="L604" i="4"/>
  <c r="M604" i="4"/>
  <c r="J1013" i="4"/>
  <c r="K1013" i="4"/>
  <c r="L1013" i="4"/>
  <c r="M1013" i="4"/>
  <c r="N1013" i="4"/>
  <c r="O1013" i="4"/>
  <c r="Q1013" i="4"/>
  <c r="P1013" i="4"/>
  <c r="J1074" i="4"/>
  <c r="K1074" i="4"/>
  <c r="L1074" i="4"/>
  <c r="M1074" i="4"/>
  <c r="N1074" i="4"/>
  <c r="O1074" i="4"/>
  <c r="P1074" i="4"/>
  <c r="Q1074" i="4"/>
  <c r="N859" i="4"/>
  <c r="J859" i="4"/>
  <c r="M859" i="4"/>
  <c r="O859" i="4"/>
  <c r="P859" i="4"/>
  <c r="Q859" i="4"/>
  <c r="K859" i="4"/>
  <c r="L859" i="4"/>
  <c r="M900" i="4"/>
  <c r="N900" i="4"/>
  <c r="O900" i="4"/>
  <c r="P900" i="4"/>
  <c r="J900" i="4"/>
  <c r="Q900" i="4"/>
  <c r="K900" i="4"/>
  <c r="L900" i="4"/>
  <c r="Q942" i="4"/>
  <c r="M942" i="4"/>
  <c r="N942" i="4"/>
  <c r="O942" i="4"/>
  <c r="P942" i="4"/>
  <c r="J942" i="4"/>
  <c r="K942" i="4"/>
  <c r="L942" i="4"/>
  <c r="N961" i="4"/>
  <c r="O961" i="4"/>
  <c r="P961" i="4"/>
  <c r="Q961" i="4"/>
  <c r="J961" i="4"/>
  <c r="K961" i="4"/>
  <c r="M961" i="4"/>
  <c r="L961" i="4"/>
  <c r="N1026" i="4"/>
  <c r="O1026" i="4"/>
  <c r="P1026" i="4"/>
  <c r="Q1026" i="4"/>
  <c r="J1026" i="4"/>
  <c r="K1026" i="4"/>
  <c r="L1026" i="4"/>
  <c r="M1026" i="4"/>
  <c r="N955" i="4"/>
  <c r="O955" i="4"/>
  <c r="P955" i="4"/>
  <c r="Q955" i="4"/>
  <c r="L955" i="4"/>
  <c r="M955" i="4"/>
  <c r="J955" i="4"/>
  <c r="K955" i="4"/>
  <c r="J1249" i="4"/>
  <c r="K1249" i="4"/>
  <c r="L1249" i="4"/>
  <c r="N1249" i="4"/>
  <c r="P1249" i="4"/>
  <c r="Q1249" i="4"/>
  <c r="M1249" i="4"/>
  <c r="O1249" i="4"/>
  <c r="P1270" i="4"/>
  <c r="Q1270" i="4"/>
  <c r="J1270" i="4"/>
  <c r="K1270" i="4"/>
  <c r="L1270" i="4"/>
  <c r="M1270" i="4"/>
  <c r="N1270" i="4"/>
  <c r="O1270" i="4"/>
  <c r="J1291" i="4"/>
  <c r="K1291" i="4"/>
  <c r="O1291" i="4"/>
  <c r="L1291" i="4"/>
  <c r="M1291" i="4"/>
  <c r="N1291" i="4"/>
  <c r="P1291" i="4"/>
  <c r="Q1291" i="4"/>
  <c r="L1352" i="4"/>
  <c r="J1352" i="4"/>
  <c r="K1352" i="4"/>
  <c r="M1352" i="4"/>
  <c r="N1352" i="4"/>
  <c r="O1352" i="4"/>
  <c r="P1352" i="4"/>
  <c r="Q1352" i="4"/>
  <c r="O1215" i="4"/>
  <c r="P1215" i="4"/>
  <c r="Q1215" i="4"/>
  <c r="J1215" i="4"/>
  <c r="K1215" i="4"/>
  <c r="L1215" i="4"/>
  <c r="N1215" i="4"/>
  <c r="M1215" i="4"/>
  <c r="J1396" i="4"/>
  <c r="K1396" i="4"/>
  <c r="L1396" i="4"/>
  <c r="M1396" i="4"/>
  <c r="N1396" i="4"/>
  <c r="O1396" i="4"/>
  <c r="P1396" i="4"/>
  <c r="Q1396" i="4"/>
  <c r="L1398" i="4"/>
  <c r="M1398" i="4"/>
  <c r="N1398" i="4"/>
  <c r="O1398" i="4"/>
  <c r="K1398" i="4"/>
  <c r="J1398" i="4"/>
  <c r="P1398" i="4"/>
  <c r="Q1398" i="4"/>
  <c r="K1243" i="4"/>
  <c r="J1243" i="4"/>
  <c r="L1243" i="4"/>
  <c r="M1243" i="4"/>
  <c r="N1243" i="4"/>
  <c r="O1243" i="4"/>
  <c r="Q1243" i="4"/>
  <c r="P1243" i="4"/>
  <c r="K1284" i="4"/>
  <c r="N1284" i="4"/>
  <c r="P1284" i="4"/>
  <c r="Q1284" i="4"/>
  <c r="M1284" i="4"/>
  <c r="O1284" i="4"/>
  <c r="J1284" i="4"/>
  <c r="L1284" i="4"/>
  <c r="P1325" i="4"/>
  <c r="Q1325" i="4"/>
  <c r="K1325" i="4"/>
  <c r="L1325" i="4"/>
  <c r="M1325" i="4"/>
  <c r="N1325" i="4"/>
  <c r="O1325" i="4"/>
  <c r="J1325" i="4"/>
  <c r="J1366" i="4"/>
  <c r="K1366" i="4"/>
  <c r="L1366" i="4"/>
  <c r="M1366" i="4"/>
  <c r="N1366" i="4"/>
  <c r="O1366" i="4"/>
  <c r="P1366" i="4"/>
  <c r="Q1366" i="4"/>
  <c r="J1769" i="4"/>
  <c r="K1769" i="4"/>
  <c r="L1769" i="4"/>
  <c r="M1769" i="4"/>
  <c r="N1769" i="4"/>
  <c r="O1769" i="4"/>
  <c r="P1769" i="4"/>
  <c r="Q1769" i="4"/>
  <c r="P1637" i="4"/>
  <c r="Q1637" i="4"/>
  <c r="J1637" i="4"/>
  <c r="K1637" i="4"/>
  <c r="L1637" i="4"/>
  <c r="M1637" i="4"/>
  <c r="N1637" i="4"/>
  <c r="O1637" i="4"/>
  <c r="L1625" i="4"/>
  <c r="M1625" i="4"/>
  <c r="N1625" i="4"/>
  <c r="J1625" i="4"/>
  <c r="K1625" i="4"/>
  <c r="O1625" i="4"/>
  <c r="P1625" i="4"/>
  <c r="Q1625" i="4"/>
  <c r="L1620" i="4"/>
  <c r="M1620" i="4"/>
  <c r="N1620" i="4"/>
  <c r="K1620" i="4"/>
  <c r="O1620" i="4"/>
  <c r="P1620" i="4"/>
  <c r="Q1620" i="4"/>
  <c r="J1620" i="4"/>
  <c r="K1663" i="4"/>
  <c r="L1663" i="4"/>
  <c r="M1663" i="4"/>
  <c r="O1663" i="4"/>
  <c r="P1663" i="4"/>
  <c r="J1663" i="4"/>
  <c r="N1663" i="4"/>
  <c r="Q1663" i="4"/>
  <c r="N1706" i="4"/>
  <c r="O1706" i="4"/>
  <c r="P1706" i="4"/>
  <c r="Q1706" i="4"/>
  <c r="J1706" i="4"/>
  <c r="K1706" i="4"/>
  <c r="L1706" i="4"/>
  <c r="M1706" i="4"/>
  <c r="P1622" i="4"/>
  <c r="Q1622" i="4"/>
  <c r="J1622" i="4"/>
  <c r="K1622" i="4"/>
  <c r="L1622" i="4"/>
  <c r="M1622" i="4"/>
  <c r="N1622" i="4"/>
  <c r="O1622" i="4"/>
  <c r="J1784" i="4"/>
  <c r="K1784" i="4"/>
  <c r="L1784" i="4"/>
  <c r="M1784" i="4"/>
  <c r="N1784" i="4"/>
  <c r="O1784" i="4"/>
  <c r="P1784" i="4"/>
  <c r="Q1784" i="4"/>
  <c r="J624" i="4"/>
  <c r="L624" i="4"/>
  <c r="Q624" i="4"/>
  <c r="K624" i="4"/>
  <c r="M624" i="4"/>
  <c r="N624" i="4"/>
  <c r="O624" i="4"/>
  <c r="P624" i="4"/>
  <c r="M665" i="4"/>
  <c r="K665" i="4"/>
  <c r="L665" i="4"/>
  <c r="N665" i="4"/>
  <c r="O665" i="4"/>
  <c r="J665" i="4"/>
  <c r="P665" i="4"/>
  <c r="Q665" i="4"/>
  <c r="J1721" i="4"/>
  <c r="K1721" i="4"/>
  <c r="L1721" i="4"/>
  <c r="M1721" i="4"/>
  <c r="N1721" i="4"/>
  <c r="O1721" i="4"/>
  <c r="P1721" i="4"/>
  <c r="Q1721" i="4"/>
  <c r="O549" i="4"/>
  <c r="J549" i="4"/>
  <c r="N549" i="4"/>
  <c r="P549" i="4"/>
  <c r="Q549" i="4"/>
  <c r="K549" i="4"/>
  <c r="L549" i="4"/>
  <c r="M549" i="4"/>
  <c r="J710" i="4"/>
  <c r="L710" i="4"/>
  <c r="Q710" i="4"/>
  <c r="K710" i="4"/>
  <c r="M710" i="4"/>
  <c r="N710" i="4"/>
  <c r="O710" i="4"/>
  <c r="P710" i="4"/>
  <c r="Q653" i="4"/>
  <c r="K653" i="4"/>
  <c r="M653" i="4"/>
  <c r="N653" i="4"/>
  <c r="O653" i="4"/>
  <c r="P653" i="4"/>
  <c r="J653" i="4"/>
  <c r="L653" i="4"/>
  <c r="O534" i="4"/>
  <c r="J534" i="4"/>
  <c r="K534" i="4"/>
  <c r="L534" i="4"/>
  <c r="M534" i="4"/>
  <c r="N534" i="4"/>
  <c r="P534" i="4"/>
  <c r="Q534" i="4"/>
  <c r="L1297" i="4"/>
  <c r="M1297" i="4"/>
  <c r="N1297" i="4"/>
  <c r="O1297" i="4"/>
  <c r="P1297" i="4"/>
  <c r="J1297" i="4"/>
  <c r="K1297" i="4"/>
  <c r="Q1297" i="4"/>
  <c r="N971" i="4"/>
  <c r="O971" i="4"/>
  <c r="P971" i="4"/>
  <c r="Q971" i="4"/>
  <c r="J971" i="4"/>
  <c r="K971" i="4"/>
  <c r="L971" i="4"/>
  <c r="M971" i="4"/>
  <c r="L1419" i="4"/>
  <c r="M1419" i="4"/>
  <c r="N1419" i="4"/>
  <c r="O1419" i="4"/>
  <c r="P1419" i="4"/>
  <c r="Q1419" i="4"/>
  <c r="J1419" i="4"/>
  <c r="K1419" i="4"/>
  <c r="O1710" i="4"/>
  <c r="P1710" i="4"/>
  <c r="Q1710" i="4"/>
  <c r="J1710" i="4"/>
  <c r="K1710" i="4"/>
  <c r="L1710" i="4"/>
  <c r="M1710" i="4"/>
  <c r="N1710" i="4"/>
  <c r="J564" i="4"/>
  <c r="K564" i="4"/>
  <c r="L564" i="4"/>
  <c r="M564" i="4"/>
  <c r="N564" i="4"/>
  <c r="Q564" i="4"/>
  <c r="O564" i="4"/>
  <c r="P564" i="4"/>
  <c r="J563" i="4"/>
  <c r="K563" i="4"/>
  <c r="L563" i="4"/>
  <c r="N563" i="4"/>
  <c r="O563" i="4"/>
  <c r="P563" i="4"/>
  <c r="Q563" i="4"/>
  <c r="M563" i="4"/>
  <c r="P709" i="4"/>
  <c r="Q709" i="4"/>
  <c r="L709" i="4"/>
  <c r="M709" i="4"/>
  <c r="N709" i="4"/>
  <c r="O709" i="4"/>
  <c r="J709" i="4"/>
  <c r="K709" i="4"/>
  <c r="J498" i="4"/>
  <c r="K498" i="4"/>
  <c r="L498" i="4"/>
  <c r="M498" i="4"/>
  <c r="N498" i="4"/>
  <c r="O498" i="4"/>
  <c r="P498" i="4"/>
  <c r="Q498" i="4"/>
  <c r="Q698" i="4"/>
  <c r="N698" i="4"/>
  <c r="O698" i="4"/>
  <c r="P698" i="4"/>
  <c r="J698" i="4"/>
  <c r="K698" i="4"/>
  <c r="L698" i="4"/>
  <c r="M698" i="4"/>
  <c r="J493" i="4"/>
  <c r="K493" i="4"/>
  <c r="L493" i="4"/>
  <c r="M493" i="4"/>
  <c r="N493" i="4"/>
  <c r="O493" i="4"/>
  <c r="P493" i="4"/>
  <c r="Q493" i="4"/>
  <c r="L1033" i="4"/>
  <c r="M1033" i="4"/>
  <c r="N1033" i="4"/>
  <c r="O1033" i="4"/>
  <c r="P1033" i="4"/>
  <c r="Q1033" i="4"/>
  <c r="K1033" i="4"/>
  <c r="J1033" i="4"/>
  <c r="Q879" i="4"/>
  <c r="J879" i="4"/>
  <c r="K879" i="4"/>
  <c r="L879" i="4"/>
  <c r="M879" i="4"/>
  <c r="N879" i="4"/>
  <c r="P879" i="4"/>
  <c r="O879" i="4"/>
  <c r="M920" i="4"/>
  <c r="N920" i="4"/>
  <c r="O920" i="4"/>
  <c r="P920" i="4"/>
  <c r="Q920" i="4"/>
  <c r="J920" i="4"/>
  <c r="K920" i="4"/>
  <c r="L920" i="4"/>
  <c r="J962" i="4"/>
  <c r="K962" i="4"/>
  <c r="L962" i="4"/>
  <c r="M962" i="4"/>
  <c r="N962" i="4"/>
  <c r="O962" i="4"/>
  <c r="P962" i="4"/>
  <c r="Q962" i="4"/>
  <c r="Q892" i="4"/>
  <c r="M892" i="4"/>
  <c r="N892" i="4"/>
  <c r="O892" i="4"/>
  <c r="P892" i="4"/>
  <c r="J892" i="4"/>
  <c r="L892" i="4"/>
  <c r="K892" i="4"/>
  <c r="N1061" i="4"/>
  <c r="O1061" i="4"/>
  <c r="P1061" i="4"/>
  <c r="Q1061" i="4"/>
  <c r="M1061" i="4"/>
  <c r="J1061" i="4"/>
  <c r="K1061" i="4"/>
  <c r="L1061" i="4"/>
  <c r="M885" i="4"/>
  <c r="N885" i="4"/>
  <c r="O885" i="4"/>
  <c r="P885" i="4"/>
  <c r="J885" i="4"/>
  <c r="K885" i="4"/>
  <c r="L885" i="4"/>
  <c r="Q885" i="4"/>
  <c r="J1065" i="4"/>
  <c r="K1065" i="4"/>
  <c r="L1065" i="4"/>
  <c r="M1065" i="4"/>
  <c r="N1065" i="4"/>
  <c r="P1065" i="4"/>
  <c r="O1065" i="4"/>
  <c r="Q1065" i="4"/>
  <c r="K1228" i="4"/>
  <c r="L1228" i="4"/>
  <c r="M1228" i="4"/>
  <c r="J1228" i="4"/>
  <c r="N1228" i="4"/>
  <c r="O1228" i="4"/>
  <c r="P1228" i="4"/>
  <c r="Q1228" i="4"/>
  <c r="J1269" i="4"/>
  <c r="K1269" i="4"/>
  <c r="L1269" i="4"/>
  <c r="N1269" i="4"/>
  <c r="P1269" i="4"/>
  <c r="Q1269" i="4"/>
  <c r="M1269" i="4"/>
  <c r="O1269" i="4"/>
  <c r="P1290" i="4"/>
  <c r="Q1290" i="4"/>
  <c r="J1290" i="4"/>
  <c r="K1290" i="4"/>
  <c r="L1290" i="4"/>
  <c r="N1290" i="4"/>
  <c r="M1290" i="4"/>
  <c r="O1290" i="4"/>
  <c r="J1311" i="4"/>
  <c r="K1311" i="4"/>
  <c r="L1311" i="4"/>
  <c r="M1311" i="4"/>
  <c r="N1311" i="4"/>
  <c r="O1311" i="4"/>
  <c r="P1311" i="4"/>
  <c r="Q1311" i="4"/>
  <c r="L1372" i="4"/>
  <c r="M1372" i="4"/>
  <c r="N1372" i="4"/>
  <c r="O1372" i="4"/>
  <c r="P1372" i="4"/>
  <c r="Q1372" i="4"/>
  <c r="J1372" i="4"/>
  <c r="K1372" i="4"/>
  <c r="O1235" i="4"/>
  <c r="P1235" i="4"/>
  <c r="Q1235" i="4"/>
  <c r="J1235" i="4"/>
  <c r="K1235" i="4"/>
  <c r="L1235" i="4"/>
  <c r="N1235" i="4"/>
  <c r="M1235" i="4"/>
  <c r="J1416" i="4"/>
  <c r="K1416" i="4"/>
  <c r="L1416" i="4"/>
  <c r="M1416" i="4"/>
  <c r="N1416" i="4"/>
  <c r="O1416" i="4"/>
  <c r="P1416" i="4"/>
  <c r="Q1416" i="4"/>
  <c r="J1438" i="4"/>
  <c r="K1438" i="4"/>
  <c r="L1438" i="4"/>
  <c r="M1438" i="4"/>
  <c r="N1438" i="4"/>
  <c r="O1438" i="4"/>
  <c r="P1438" i="4"/>
  <c r="Q1438" i="4"/>
  <c r="Q1222" i="4"/>
  <c r="J1222" i="4"/>
  <c r="K1222" i="4"/>
  <c r="L1222" i="4"/>
  <c r="M1222" i="4"/>
  <c r="N1222" i="4"/>
  <c r="O1222" i="4"/>
  <c r="P1222" i="4"/>
  <c r="L1263" i="4"/>
  <c r="M1263" i="4"/>
  <c r="N1263" i="4"/>
  <c r="O1263" i="4"/>
  <c r="P1263" i="4"/>
  <c r="J1263" i="4"/>
  <c r="K1263" i="4"/>
  <c r="Q1263" i="4"/>
  <c r="K1304" i="4"/>
  <c r="P1304" i="4"/>
  <c r="N1304" i="4"/>
  <c r="O1304" i="4"/>
  <c r="Q1304" i="4"/>
  <c r="J1304" i="4"/>
  <c r="L1304" i="4"/>
  <c r="M1304" i="4"/>
  <c r="P1345" i="4"/>
  <c r="Q1345" i="4"/>
  <c r="K1345" i="4"/>
  <c r="L1345" i="4"/>
  <c r="M1345" i="4"/>
  <c r="N1345" i="4"/>
  <c r="O1345" i="4"/>
  <c r="J1345" i="4"/>
  <c r="J1386" i="4"/>
  <c r="K1386" i="4"/>
  <c r="N1386" i="4"/>
  <c r="O1386" i="4"/>
  <c r="P1386" i="4"/>
  <c r="Q1386" i="4"/>
  <c r="L1386" i="4"/>
  <c r="M1386" i="4"/>
  <c r="J1789" i="4"/>
  <c r="K1789" i="4"/>
  <c r="L1789" i="4"/>
  <c r="M1789" i="4"/>
  <c r="N1789" i="4"/>
  <c r="O1789" i="4"/>
  <c r="P1789" i="4"/>
  <c r="Q1789" i="4"/>
  <c r="J1657" i="4"/>
  <c r="K1657" i="4"/>
  <c r="L1657" i="4"/>
  <c r="M1657" i="4"/>
  <c r="N1657" i="4"/>
  <c r="O1657" i="4"/>
  <c r="P1657" i="4"/>
  <c r="Q1657" i="4"/>
  <c r="O1705" i="4"/>
  <c r="P1705" i="4"/>
  <c r="Q1705" i="4"/>
  <c r="J1705" i="4"/>
  <c r="K1705" i="4"/>
  <c r="L1705" i="4"/>
  <c r="M1705" i="4"/>
  <c r="N1705" i="4"/>
  <c r="L1635" i="4"/>
  <c r="M1635" i="4"/>
  <c r="N1635" i="4"/>
  <c r="J1635" i="4"/>
  <c r="K1635" i="4"/>
  <c r="O1635" i="4"/>
  <c r="P1635" i="4"/>
  <c r="Q1635" i="4"/>
  <c r="J1588" i="4"/>
  <c r="K1588" i="4"/>
  <c r="L1588" i="4"/>
  <c r="M1588" i="4"/>
  <c r="N1588" i="4"/>
  <c r="O1588" i="4"/>
  <c r="P1588" i="4"/>
  <c r="Q1588" i="4"/>
  <c r="M1640" i="4"/>
  <c r="O1640" i="4"/>
  <c r="P1640" i="4"/>
  <c r="Q1640" i="4"/>
  <c r="J1640" i="4"/>
  <c r="K1640" i="4"/>
  <c r="L1640" i="4"/>
  <c r="N1640" i="4"/>
  <c r="K1683" i="4"/>
  <c r="L1683" i="4"/>
  <c r="M1683" i="4"/>
  <c r="O1683" i="4"/>
  <c r="P1683" i="4"/>
  <c r="J1683" i="4"/>
  <c r="N1683" i="4"/>
  <c r="Q1683" i="4"/>
  <c r="J1726" i="4"/>
  <c r="K1726" i="4"/>
  <c r="L1726" i="4"/>
  <c r="M1726" i="4"/>
  <c r="N1726" i="4"/>
  <c r="O1726" i="4"/>
  <c r="P1726" i="4"/>
  <c r="Q1726" i="4"/>
  <c r="M1614" i="4"/>
  <c r="N1614" i="4"/>
  <c r="O1614" i="4"/>
  <c r="P1614" i="4"/>
  <c r="Q1614" i="4"/>
  <c r="J1614" i="4"/>
  <c r="K1614" i="4"/>
  <c r="L1614" i="4"/>
  <c r="J1642" i="4"/>
  <c r="K1642" i="4"/>
  <c r="L1642" i="4"/>
  <c r="M1642" i="4"/>
  <c r="N1642" i="4"/>
  <c r="O1642" i="4"/>
  <c r="P1642" i="4"/>
  <c r="Q1642" i="4"/>
  <c r="J1804" i="4"/>
  <c r="K1804" i="4"/>
  <c r="L1804" i="4"/>
  <c r="M1804" i="4"/>
  <c r="N1804" i="4"/>
  <c r="O1804" i="4"/>
  <c r="P1804" i="4"/>
  <c r="Q1804" i="4"/>
  <c r="J644" i="4"/>
  <c r="K644" i="4"/>
  <c r="L644" i="4"/>
  <c r="M644" i="4"/>
  <c r="N644" i="4"/>
  <c r="O644" i="4"/>
  <c r="P644" i="4"/>
  <c r="Q644" i="4"/>
  <c r="K685" i="4"/>
  <c r="L685" i="4"/>
  <c r="M685" i="4"/>
  <c r="N685" i="4"/>
  <c r="J685" i="4"/>
  <c r="O685" i="4"/>
  <c r="P685" i="4"/>
  <c r="Q685" i="4"/>
  <c r="J1741" i="4"/>
  <c r="K1741" i="4"/>
  <c r="L1741" i="4"/>
  <c r="M1741" i="4"/>
  <c r="N1741" i="4"/>
  <c r="O1741" i="4"/>
  <c r="P1741" i="4"/>
  <c r="Q1741" i="4"/>
  <c r="Q586" i="4"/>
  <c r="J586" i="4"/>
  <c r="K586" i="4"/>
  <c r="L586" i="4"/>
  <c r="M586" i="4"/>
  <c r="N586" i="4"/>
  <c r="O586" i="4"/>
  <c r="P586" i="4"/>
  <c r="J548" i="4"/>
  <c r="K548" i="4"/>
  <c r="L548" i="4"/>
  <c r="N548" i="4"/>
  <c r="O548" i="4"/>
  <c r="P548" i="4"/>
  <c r="Q548" i="4"/>
  <c r="M548" i="4"/>
  <c r="P714" i="4"/>
  <c r="Q714" i="4"/>
  <c r="J714" i="4"/>
  <c r="K714" i="4"/>
  <c r="L714" i="4"/>
  <c r="N714" i="4"/>
  <c r="O714" i="4"/>
  <c r="M714" i="4"/>
  <c r="J1043" i="4"/>
  <c r="K1043" i="4"/>
  <c r="L1043" i="4"/>
  <c r="M1043" i="4"/>
  <c r="N1043" i="4"/>
  <c r="P1043" i="4"/>
  <c r="O1043" i="4"/>
  <c r="Q1043" i="4"/>
  <c r="J561" i="4"/>
  <c r="K561" i="4"/>
  <c r="L561" i="4"/>
  <c r="M561" i="4"/>
  <c r="N561" i="4"/>
  <c r="O561" i="4"/>
  <c r="P561" i="4"/>
  <c r="Q561" i="4"/>
  <c r="Q662" i="4"/>
  <c r="O662" i="4"/>
  <c r="K662" i="4"/>
  <c r="P662" i="4"/>
  <c r="J662" i="4"/>
  <c r="N662" i="4"/>
  <c r="L662" i="4"/>
  <c r="M662" i="4"/>
  <c r="O509" i="4"/>
  <c r="P509" i="4"/>
  <c r="J509" i="4"/>
  <c r="K509" i="4"/>
  <c r="L509" i="4"/>
  <c r="M509" i="4"/>
  <c r="N509" i="4"/>
  <c r="Q509" i="4"/>
  <c r="N575" i="4"/>
  <c r="O575" i="4"/>
  <c r="P575" i="4"/>
  <c r="J575" i="4"/>
  <c r="K575" i="4"/>
  <c r="L575" i="4"/>
  <c r="M575" i="4"/>
  <c r="Q575" i="4"/>
  <c r="M636" i="4"/>
  <c r="N636" i="4"/>
  <c r="O636" i="4"/>
  <c r="P636" i="4"/>
  <c r="Q636" i="4"/>
  <c r="L636" i="4"/>
  <c r="J636" i="4"/>
  <c r="K636" i="4"/>
  <c r="Q657" i="4"/>
  <c r="L657" i="4"/>
  <c r="M657" i="4"/>
  <c r="N657" i="4"/>
  <c r="O657" i="4"/>
  <c r="P657" i="4"/>
  <c r="J657" i="4"/>
  <c r="K657" i="4"/>
  <c r="O539" i="4"/>
  <c r="J539" i="4"/>
  <c r="K539" i="4"/>
  <c r="L539" i="4"/>
  <c r="P539" i="4"/>
  <c r="Q539" i="4"/>
  <c r="M539" i="4"/>
  <c r="N539" i="4"/>
  <c r="N580" i="4"/>
  <c r="O580" i="4"/>
  <c r="P580" i="4"/>
  <c r="J580" i="4"/>
  <c r="K580" i="4"/>
  <c r="Q580" i="4"/>
  <c r="M580" i="4"/>
  <c r="L580" i="4"/>
  <c r="N1053" i="4"/>
  <c r="O1053" i="4"/>
  <c r="P1053" i="4"/>
  <c r="Q1053" i="4"/>
  <c r="J1053" i="4"/>
  <c r="L1053" i="4"/>
  <c r="M1053" i="4"/>
  <c r="K1053" i="4"/>
  <c r="J858" i="4"/>
  <c r="K858" i="4"/>
  <c r="L858" i="4"/>
  <c r="M858" i="4"/>
  <c r="O858" i="4"/>
  <c r="N858" i="4"/>
  <c r="P858" i="4"/>
  <c r="Q858" i="4"/>
  <c r="J899" i="4"/>
  <c r="K899" i="4"/>
  <c r="L899" i="4"/>
  <c r="M899" i="4"/>
  <c r="O899" i="4"/>
  <c r="N899" i="4"/>
  <c r="P899" i="4"/>
  <c r="Q899" i="4"/>
  <c r="M940" i="4"/>
  <c r="N940" i="4"/>
  <c r="O940" i="4"/>
  <c r="P940" i="4"/>
  <c r="Q940" i="4"/>
  <c r="K940" i="4"/>
  <c r="L940" i="4"/>
  <c r="J940" i="4"/>
  <c r="J982" i="4"/>
  <c r="K982" i="4"/>
  <c r="N982" i="4"/>
  <c r="O982" i="4"/>
  <c r="P982" i="4"/>
  <c r="Q982" i="4"/>
  <c r="M982" i="4"/>
  <c r="L982" i="4"/>
  <c r="O992" i="4"/>
  <c r="P992" i="4"/>
  <c r="Q992" i="4"/>
  <c r="J992" i="4"/>
  <c r="K992" i="4"/>
  <c r="M992" i="4"/>
  <c r="N992" i="4"/>
  <c r="L992" i="4"/>
  <c r="Q872" i="4"/>
  <c r="J872" i="4"/>
  <c r="M872" i="4"/>
  <c r="N872" i="4"/>
  <c r="O872" i="4"/>
  <c r="P872" i="4"/>
  <c r="K872" i="4"/>
  <c r="L872" i="4"/>
  <c r="K931" i="4"/>
  <c r="Q931" i="4"/>
  <c r="L931" i="4"/>
  <c r="M931" i="4"/>
  <c r="N931" i="4"/>
  <c r="O931" i="4"/>
  <c r="P931" i="4"/>
  <c r="J931" i="4"/>
  <c r="Q926" i="4"/>
  <c r="J926" i="4"/>
  <c r="K926" i="4"/>
  <c r="L926" i="4"/>
  <c r="M926" i="4"/>
  <c r="N926" i="4"/>
  <c r="P926" i="4"/>
  <c r="O926" i="4"/>
  <c r="Q856" i="4"/>
  <c r="J856" i="4"/>
  <c r="K856" i="4"/>
  <c r="L856" i="4"/>
  <c r="M856" i="4"/>
  <c r="N856" i="4"/>
  <c r="O856" i="4"/>
  <c r="P856" i="4"/>
  <c r="L1248" i="4"/>
  <c r="M1248" i="4"/>
  <c r="N1248" i="4"/>
  <c r="O1248" i="4"/>
  <c r="P1248" i="4"/>
  <c r="J1248" i="4"/>
  <c r="K1248" i="4"/>
  <c r="Q1248" i="4"/>
  <c r="K1289" i="4"/>
  <c r="N1289" i="4"/>
  <c r="P1289" i="4"/>
  <c r="Q1289" i="4"/>
  <c r="J1289" i="4"/>
  <c r="L1289" i="4"/>
  <c r="O1289" i="4"/>
  <c r="M1289" i="4"/>
  <c r="P1310" i="4"/>
  <c r="Q1310" i="4"/>
  <c r="J1310" i="4"/>
  <c r="K1310" i="4"/>
  <c r="L1310" i="4"/>
  <c r="O1310" i="4"/>
  <c r="M1310" i="4"/>
  <c r="N1310" i="4"/>
  <c r="J1331" i="4"/>
  <c r="K1331" i="4"/>
  <c r="L1331" i="4"/>
  <c r="N1331" i="4"/>
  <c r="Q1331" i="4"/>
  <c r="O1331" i="4"/>
  <c r="P1331" i="4"/>
  <c r="M1331" i="4"/>
  <c r="K1392" i="4"/>
  <c r="N1392" i="4"/>
  <c r="O1392" i="4"/>
  <c r="P1392" i="4"/>
  <c r="Q1392" i="4"/>
  <c r="J1392" i="4"/>
  <c r="L1392" i="4"/>
  <c r="M1392" i="4"/>
  <c r="P1255" i="4"/>
  <c r="Q1255" i="4"/>
  <c r="J1255" i="4"/>
  <c r="K1255" i="4"/>
  <c r="L1255" i="4"/>
  <c r="M1255" i="4"/>
  <c r="N1255" i="4"/>
  <c r="O1255" i="4"/>
  <c r="J1436" i="4"/>
  <c r="K1436" i="4"/>
  <c r="N1436" i="4"/>
  <c r="O1436" i="4"/>
  <c r="P1436" i="4"/>
  <c r="Q1436" i="4"/>
  <c r="M1436" i="4"/>
  <c r="L1436" i="4"/>
  <c r="J1242" i="4"/>
  <c r="K1242" i="4"/>
  <c r="L1242" i="4"/>
  <c r="M1242" i="4"/>
  <c r="N1242" i="4"/>
  <c r="O1242" i="4"/>
  <c r="P1242" i="4"/>
  <c r="Q1242" i="4"/>
  <c r="L1283" i="4"/>
  <c r="M1283" i="4"/>
  <c r="N1283" i="4"/>
  <c r="O1283" i="4"/>
  <c r="P1283" i="4"/>
  <c r="J1283" i="4"/>
  <c r="Q1283" i="4"/>
  <c r="K1283" i="4"/>
  <c r="P1324" i="4"/>
  <c r="J1324" i="4"/>
  <c r="K1324" i="4"/>
  <c r="L1324" i="4"/>
  <c r="M1324" i="4"/>
  <c r="O1324" i="4"/>
  <c r="N1324" i="4"/>
  <c r="Q1324" i="4"/>
  <c r="P1365" i="4"/>
  <c r="Q1365" i="4"/>
  <c r="J1365" i="4"/>
  <c r="K1365" i="4"/>
  <c r="L1365" i="4"/>
  <c r="M1365" i="4"/>
  <c r="N1365" i="4"/>
  <c r="O1365" i="4"/>
  <c r="J1406" i="4"/>
  <c r="K1406" i="4"/>
  <c r="P1406" i="4"/>
  <c r="Q1406" i="4"/>
  <c r="L1406" i="4"/>
  <c r="M1406" i="4"/>
  <c r="N1406" i="4"/>
  <c r="O1406" i="4"/>
  <c r="J1677" i="4"/>
  <c r="K1677" i="4"/>
  <c r="L1677" i="4"/>
  <c r="M1677" i="4"/>
  <c r="N1677" i="4"/>
  <c r="O1677" i="4"/>
  <c r="P1677" i="4"/>
  <c r="Q1677" i="4"/>
  <c r="O1725" i="4"/>
  <c r="P1725" i="4"/>
  <c r="Q1725" i="4"/>
  <c r="K1725" i="4"/>
  <c r="L1725" i="4"/>
  <c r="M1725" i="4"/>
  <c r="N1725" i="4"/>
  <c r="J1725" i="4"/>
  <c r="N1731" i="4"/>
  <c r="O1731" i="4"/>
  <c r="P1731" i="4"/>
  <c r="Q1731" i="4"/>
  <c r="J1731" i="4"/>
  <c r="K1731" i="4"/>
  <c r="L1731" i="4"/>
  <c r="M1731" i="4"/>
  <c r="N1694" i="4"/>
  <c r="O1694" i="4"/>
  <c r="J1694" i="4"/>
  <c r="K1694" i="4"/>
  <c r="L1694" i="4"/>
  <c r="M1694" i="4"/>
  <c r="P1694" i="4"/>
  <c r="Q1694" i="4"/>
  <c r="O1660" i="4"/>
  <c r="P1660" i="4"/>
  <c r="Q1660" i="4"/>
  <c r="J1660" i="4"/>
  <c r="K1660" i="4"/>
  <c r="N1660" i="4"/>
  <c r="L1660" i="4"/>
  <c r="M1660" i="4"/>
  <c r="K1703" i="4"/>
  <c r="L1703" i="4"/>
  <c r="M1703" i="4"/>
  <c r="N1703" i="4"/>
  <c r="O1703" i="4"/>
  <c r="P1703" i="4"/>
  <c r="Q1703" i="4"/>
  <c r="J1703" i="4"/>
  <c r="Q1634" i="4"/>
  <c r="J1634" i="4"/>
  <c r="K1634" i="4"/>
  <c r="L1634" i="4"/>
  <c r="M1634" i="4"/>
  <c r="N1634" i="4"/>
  <c r="O1634" i="4"/>
  <c r="P1634" i="4"/>
  <c r="J1662" i="4"/>
  <c r="K1662" i="4"/>
  <c r="L1662" i="4"/>
  <c r="M1662" i="4"/>
  <c r="N1662" i="4"/>
  <c r="O1662" i="4"/>
  <c r="P1662" i="4"/>
  <c r="Q1662" i="4"/>
  <c r="E1461" i="4"/>
  <c r="J705" i="4"/>
  <c r="L705" i="4"/>
  <c r="K705" i="4"/>
  <c r="P705" i="4"/>
  <c r="M705" i="4"/>
  <c r="N705" i="4"/>
  <c r="O705" i="4"/>
  <c r="Q705" i="4"/>
  <c r="E1508" i="4"/>
  <c r="J1761" i="4"/>
  <c r="K1761" i="4"/>
  <c r="L1761" i="4"/>
  <c r="M1761" i="4"/>
  <c r="N1761" i="4"/>
  <c r="O1761" i="4"/>
  <c r="P1761" i="4"/>
  <c r="Q1761" i="4"/>
  <c r="P1592" i="4"/>
  <c r="Q1592" i="4"/>
  <c r="L1592" i="4"/>
  <c r="M1592" i="4"/>
  <c r="N1592" i="4"/>
  <c r="O1592" i="4"/>
  <c r="J1592" i="4"/>
  <c r="K1592" i="4"/>
  <c r="N670" i="4"/>
  <c r="O670" i="4"/>
  <c r="P670" i="4"/>
  <c r="Q670" i="4"/>
  <c r="M670" i="4"/>
  <c r="J670" i="4"/>
  <c r="K670" i="4"/>
  <c r="L670" i="4"/>
  <c r="J613" i="4"/>
  <c r="K613" i="4"/>
  <c r="L613" i="4"/>
  <c r="N613" i="4"/>
  <c r="O613" i="4"/>
  <c r="P613" i="4"/>
  <c r="Q613" i="4"/>
  <c r="M613" i="4"/>
  <c r="J1618" i="4"/>
  <c r="K1618" i="4"/>
  <c r="L1618" i="4"/>
  <c r="Q1618" i="4"/>
  <c r="M1618" i="4"/>
  <c r="N1618" i="4"/>
  <c r="O1618" i="4"/>
  <c r="P1618" i="4"/>
  <c r="N1076" i="4"/>
  <c r="O1076" i="4"/>
  <c r="P1076" i="4"/>
  <c r="Q1076" i="4"/>
  <c r="L1076" i="4"/>
  <c r="K1076" i="4"/>
  <c r="J1076" i="4"/>
  <c r="M1076" i="4"/>
  <c r="N1015" i="4"/>
  <c r="Q1015" i="4"/>
  <c r="J1015" i="4"/>
  <c r="K1015" i="4"/>
  <c r="L1015" i="4"/>
  <c r="O1015" i="4"/>
  <c r="M1015" i="4"/>
  <c r="P1015" i="4"/>
  <c r="L1338" i="4"/>
  <c r="M1338" i="4"/>
  <c r="N1338" i="4"/>
  <c r="O1338" i="4"/>
  <c r="P1338" i="4"/>
  <c r="Q1338" i="4"/>
  <c r="J1338" i="4"/>
  <c r="K1338" i="4"/>
  <c r="N1005" i="4"/>
  <c r="Q1005" i="4"/>
  <c r="J1005" i="4"/>
  <c r="K1005" i="4"/>
  <c r="L1005" i="4"/>
  <c r="O1005" i="4"/>
  <c r="M1005" i="4"/>
  <c r="P1005" i="4"/>
  <c r="J1603" i="4"/>
  <c r="K1603" i="4"/>
  <c r="L1603" i="4"/>
  <c r="M1603" i="4"/>
  <c r="N1603" i="4"/>
  <c r="O1603" i="4"/>
  <c r="P1603" i="4"/>
  <c r="Q1603" i="4"/>
  <c r="O1805" i="4"/>
  <c r="P1805" i="4"/>
  <c r="Q1805" i="4"/>
  <c r="J1805" i="4"/>
  <c r="K1805" i="4"/>
  <c r="L1805" i="4"/>
  <c r="M1805" i="4"/>
  <c r="N1805" i="4"/>
  <c r="J628" i="4"/>
  <c r="K628" i="4"/>
  <c r="L628" i="4"/>
  <c r="M628" i="4"/>
  <c r="N628" i="4"/>
  <c r="O628" i="4"/>
  <c r="P628" i="4"/>
  <c r="Q628" i="4"/>
  <c r="Q642" i="4"/>
  <c r="K642" i="4"/>
  <c r="L642" i="4"/>
  <c r="M642" i="4"/>
  <c r="N642" i="4"/>
  <c r="O642" i="4"/>
  <c r="J642" i="4"/>
  <c r="P642" i="4"/>
  <c r="J518" i="4"/>
  <c r="K518" i="4"/>
  <c r="L518" i="4"/>
  <c r="M518" i="4"/>
  <c r="N518" i="4"/>
  <c r="O518" i="4"/>
  <c r="P518" i="4"/>
  <c r="Q518" i="4"/>
  <c r="P718" i="4"/>
  <c r="Q718" i="4"/>
  <c r="J718" i="4"/>
  <c r="M718" i="4"/>
  <c r="N718" i="4"/>
  <c r="O718" i="4"/>
  <c r="K718" i="4"/>
  <c r="L718" i="4"/>
  <c r="L1073" i="4"/>
  <c r="Q1073" i="4"/>
  <c r="J1073" i="4"/>
  <c r="K1073" i="4"/>
  <c r="M1073" i="4"/>
  <c r="N1073" i="4"/>
  <c r="P1073" i="4"/>
  <c r="O1073" i="4"/>
  <c r="J878" i="4"/>
  <c r="K878" i="4"/>
  <c r="L878" i="4"/>
  <c r="N878" i="4"/>
  <c r="Q878" i="4"/>
  <c r="M878" i="4"/>
  <c r="O878" i="4"/>
  <c r="P878" i="4"/>
  <c r="M919" i="4"/>
  <c r="N919" i="4"/>
  <c r="O919" i="4"/>
  <c r="P919" i="4"/>
  <c r="Q919" i="4"/>
  <c r="J919" i="4"/>
  <c r="K919" i="4"/>
  <c r="L919" i="4"/>
  <c r="N960" i="4"/>
  <c r="O960" i="4"/>
  <c r="P960" i="4"/>
  <c r="Q960" i="4"/>
  <c r="J960" i="4"/>
  <c r="K960" i="4"/>
  <c r="L960" i="4"/>
  <c r="M960" i="4"/>
  <c r="O1002" i="4"/>
  <c r="P1002" i="4"/>
  <c r="Q1002" i="4"/>
  <c r="J1002" i="4"/>
  <c r="K1002" i="4"/>
  <c r="M1002" i="4"/>
  <c r="N1002" i="4"/>
  <c r="L1002" i="4"/>
  <c r="L972" i="4"/>
  <c r="M972" i="4"/>
  <c r="N972" i="4"/>
  <c r="O972" i="4"/>
  <c r="P972" i="4"/>
  <c r="Q972" i="4"/>
  <c r="J972" i="4"/>
  <c r="K972" i="4"/>
  <c r="N985" i="4"/>
  <c r="O985" i="4"/>
  <c r="P985" i="4"/>
  <c r="Q985" i="4"/>
  <c r="J985" i="4"/>
  <c r="K985" i="4"/>
  <c r="L985" i="4"/>
  <c r="M985" i="4"/>
  <c r="J1035" i="4"/>
  <c r="K1035" i="4"/>
  <c r="L1035" i="4"/>
  <c r="M1035" i="4"/>
  <c r="N1035" i="4"/>
  <c r="O1035" i="4"/>
  <c r="P1035" i="4"/>
  <c r="Q1035" i="4"/>
  <c r="N965" i="4"/>
  <c r="O965" i="4"/>
  <c r="P965" i="4"/>
  <c r="Q965" i="4"/>
  <c r="J965" i="4"/>
  <c r="K965" i="4"/>
  <c r="L965" i="4"/>
  <c r="M965" i="4"/>
  <c r="L1268" i="4"/>
  <c r="M1268" i="4"/>
  <c r="N1268" i="4"/>
  <c r="O1268" i="4"/>
  <c r="P1268" i="4"/>
  <c r="J1268" i="4"/>
  <c r="K1268" i="4"/>
  <c r="Q1268" i="4"/>
  <c r="K1309" i="4"/>
  <c r="P1309" i="4"/>
  <c r="J1309" i="4"/>
  <c r="L1309" i="4"/>
  <c r="M1309" i="4"/>
  <c r="N1309" i="4"/>
  <c r="O1309" i="4"/>
  <c r="Q1309" i="4"/>
  <c r="P1330" i="4"/>
  <c r="Q1330" i="4"/>
  <c r="K1330" i="4"/>
  <c r="L1330" i="4"/>
  <c r="M1330" i="4"/>
  <c r="N1330" i="4"/>
  <c r="O1330" i="4"/>
  <c r="J1330" i="4"/>
  <c r="J1351" i="4"/>
  <c r="K1351" i="4"/>
  <c r="L1351" i="4"/>
  <c r="N1351" i="4"/>
  <c r="Q1351" i="4"/>
  <c r="M1351" i="4"/>
  <c r="O1351" i="4"/>
  <c r="P1351" i="4"/>
  <c r="P1412" i="4"/>
  <c r="Q1412" i="4"/>
  <c r="J1412" i="4"/>
  <c r="K1412" i="4"/>
  <c r="L1412" i="4"/>
  <c r="M1412" i="4"/>
  <c r="N1412" i="4"/>
  <c r="O1412" i="4"/>
  <c r="P1275" i="4"/>
  <c r="Q1275" i="4"/>
  <c r="J1275" i="4"/>
  <c r="K1275" i="4"/>
  <c r="L1275" i="4"/>
  <c r="M1275" i="4"/>
  <c r="N1275" i="4"/>
  <c r="O1275" i="4"/>
  <c r="N1010" i="4"/>
  <c r="J1010" i="4"/>
  <c r="K1010" i="4"/>
  <c r="L1010" i="4"/>
  <c r="M1010" i="4"/>
  <c r="Q1010" i="4"/>
  <c r="O1010" i="4"/>
  <c r="P1010" i="4"/>
  <c r="K1221" i="4"/>
  <c r="L1221" i="4"/>
  <c r="M1221" i="4"/>
  <c r="O1221" i="4"/>
  <c r="Q1221" i="4"/>
  <c r="J1221" i="4"/>
  <c r="N1221" i="4"/>
  <c r="P1221" i="4"/>
  <c r="J1262" i="4"/>
  <c r="L1262" i="4"/>
  <c r="M1262" i="4"/>
  <c r="N1262" i="4"/>
  <c r="O1262" i="4"/>
  <c r="P1262" i="4"/>
  <c r="Q1262" i="4"/>
  <c r="K1262" i="4"/>
  <c r="L1303" i="4"/>
  <c r="M1303" i="4"/>
  <c r="N1303" i="4"/>
  <c r="O1303" i="4"/>
  <c r="J1303" i="4"/>
  <c r="K1303" i="4"/>
  <c r="P1303" i="4"/>
  <c r="Q1303" i="4"/>
  <c r="P1344" i="4"/>
  <c r="J1344" i="4"/>
  <c r="K1344" i="4"/>
  <c r="L1344" i="4"/>
  <c r="M1344" i="4"/>
  <c r="O1344" i="4"/>
  <c r="N1344" i="4"/>
  <c r="Q1344" i="4"/>
  <c r="P1385" i="4"/>
  <c r="Q1385" i="4"/>
  <c r="J1385" i="4"/>
  <c r="K1385" i="4"/>
  <c r="L1385" i="4"/>
  <c r="M1385" i="4"/>
  <c r="O1385" i="4"/>
  <c r="N1385" i="4"/>
  <c r="J1426" i="4"/>
  <c r="K1426" i="4"/>
  <c r="L1426" i="4"/>
  <c r="M1426" i="4"/>
  <c r="O1426" i="4"/>
  <c r="N1426" i="4"/>
  <c r="P1426" i="4"/>
  <c r="Q1426" i="4"/>
  <c r="K1697" i="4"/>
  <c r="J1697" i="4"/>
  <c r="L1697" i="4"/>
  <c r="M1697" i="4"/>
  <c r="N1697" i="4"/>
  <c r="O1697" i="4"/>
  <c r="P1697" i="4"/>
  <c r="Q1697" i="4"/>
  <c r="O1790" i="4"/>
  <c r="P1790" i="4"/>
  <c r="Q1790" i="4"/>
  <c r="J1790" i="4"/>
  <c r="K1790" i="4"/>
  <c r="L1790" i="4"/>
  <c r="M1790" i="4"/>
  <c r="N1790" i="4"/>
  <c r="J1751" i="4"/>
  <c r="K1751" i="4"/>
  <c r="L1751" i="4"/>
  <c r="M1751" i="4"/>
  <c r="N1751" i="4"/>
  <c r="O1751" i="4"/>
  <c r="P1751" i="4"/>
  <c r="Q1751" i="4"/>
  <c r="J1594" i="4"/>
  <c r="K1594" i="4"/>
  <c r="L1594" i="4"/>
  <c r="M1594" i="4"/>
  <c r="N1594" i="4"/>
  <c r="O1594" i="4"/>
  <c r="P1594" i="4"/>
  <c r="Q1594" i="4"/>
  <c r="K1768" i="4"/>
  <c r="L1768" i="4"/>
  <c r="M1768" i="4"/>
  <c r="J1768" i="4"/>
  <c r="N1768" i="4"/>
  <c r="O1768" i="4"/>
  <c r="P1768" i="4"/>
  <c r="Q1768" i="4"/>
  <c r="O1680" i="4"/>
  <c r="P1680" i="4"/>
  <c r="Q1680" i="4"/>
  <c r="J1680" i="4"/>
  <c r="K1680" i="4"/>
  <c r="L1680" i="4"/>
  <c r="M1680" i="4"/>
  <c r="N1680" i="4"/>
  <c r="K1723" i="4"/>
  <c r="L1723" i="4"/>
  <c r="M1723" i="4"/>
  <c r="J1723" i="4"/>
  <c r="N1723" i="4"/>
  <c r="O1723" i="4"/>
  <c r="P1723" i="4"/>
  <c r="Q1723" i="4"/>
  <c r="J1766" i="4"/>
  <c r="K1766" i="4"/>
  <c r="L1766" i="4"/>
  <c r="M1766" i="4"/>
  <c r="N1766" i="4"/>
  <c r="O1766" i="4"/>
  <c r="P1766" i="4"/>
  <c r="Q1766" i="4"/>
  <c r="M1654" i="4"/>
  <c r="N1654" i="4"/>
  <c r="O1654" i="4"/>
  <c r="P1654" i="4"/>
  <c r="Q1654" i="4"/>
  <c r="J1654" i="4"/>
  <c r="K1654" i="4"/>
  <c r="L1654" i="4"/>
  <c r="J1682" i="4"/>
  <c r="K1682" i="4"/>
  <c r="L1682" i="4"/>
  <c r="M1682" i="4"/>
  <c r="N1682" i="4"/>
  <c r="O1682" i="4"/>
  <c r="P1682" i="4"/>
  <c r="Q1682" i="4"/>
  <c r="E1481" i="4"/>
  <c r="J684" i="4"/>
  <c r="K684" i="4"/>
  <c r="L684" i="4"/>
  <c r="M684" i="4"/>
  <c r="N684" i="4"/>
  <c r="O684" i="4"/>
  <c r="P684" i="4"/>
  <c r="Q684" i="4"/>
  <c r="K507" i="4"/>
  <c r="L507" i="4"/>
  <c r="J507" i="4"/>
  <c r="M507" i="4"/>
  <c r="N507" i="4"/>
  <c r="O507" i="4"/>
  <c r="Q507" i="4"/>
  <c r="P507" i="4"/>
  <c r="E1528" i="4"/>
  <c r="J1781" i="4"/>
  <c r="K1781" i="4"/>
  <c r="L1781" i="4"/>
  <c r="M1781" i="4"/>
  <c r="N1781" i="4"/>
  <c r="O1781" i="4"/>
  <c r="P1781" i="4"/>
  <c r="Q1781" i="4"/>
  <c r="O1685" i="4"/>
  <c r="P1685" i="4"/>
  <c r="Q1685" i="4"/>
  <c r="J1685" i="4"/>
  <c r="K1685" i="4"/>
  <c r="L1685" i="4"/>
  <c r="M1685" i="4"/>
  <c r="N1685" i="4"/>
  <c r="J546" i="4"/>
  <c r="O546" i="4"/>
  <c r="P546" i="4"/>
  <c r="Q546" i="4"/>
  <c r="N546" i="4"/>
  <c r="K546" i="4"/>
  <c r="M546" i="4"/>
  <c r="L546" i="4"/>
  <c r="J508" i="4"/>
  <c r="K508" i="4"/>
  <c r="L508" i="4"/>
  <c r="M508" i="4"/>
  <c r="N508" i="4"/>
  <c r="O508" i="4"/>
  <c r="P508" i="4"/>
  <c r="Q508" i="4"/>
  <c r="J1772" i="4"/>
  <c r="K1772" i="4"/>
  <c r="L1772" i="4"/>
  <c r="M1772" i="4"/>
  <c r="N1772" i="4"/>
  <c r="O1772" i="4"/>
  <c r="P1772" i="4"/>
  <c r="Q1772" i="4"/>
  <c r="O1775" i="4"/>
  <c r="P1775" i="4"/>
  <c r="Q1775" i="4"/>
  <c r="J1775" i="4"/>
  <c r="K1775" i="4"/>
  <c r="L1775" i="4"/>
  <c r="M1775" i="4"/>
  <c r="N1775" i="4"/>
  <c r="J674" i="4"/>
  <c r="K674" i="4"/>
  <c r="L674" i="4"/>
  <c r="N674" i="4"/>
  <c r="M674" i="4"/>
  <c r="P674" i="4"/>
  <c r="Q674" i="4"/>
  <c r="O674" i="4"/>
  <c r="K1798" i="4"/>
  <c r="L1798" i="4"/>
  <c r="M1798" i="4"/>
  <c r="J1798" i="4"/>
  <c r="N1798" i="4"/>
  <c r="O1798" i="4"/>
  <c r="P1798" i="4"/>
  <c r="Q1798" i="4"/>
  <c r="J953" i="4"/>
  <c r="K953" i="4"/>
  <c r="L953" i="4"/>
  <c r="M953" i="4"/>
  <c r="N953" i="4"/>
  <c r="O953" i="4"/>
  <c r="P953" i="4"/>
  <c r="Q953" i="4"/>
  <c r="J1084" i="4"/>
  <c r="K1084" i="4"/>
  <c r="L1084" i="4"/>
  <c r="M1084" i="4"/>
  <c r="N1084" i="4"/>
  <c r="P1084" i="4"/>
  <c r="Q1084" i="4"/>
  <c r="O1084" i="4"/>
  <c r="L1030" i="4"/>
  <c r="M1030" i="4"/>
  <c r="N1030" i="4"/>
  <c r="O1030" i="4"/>
  <c r="P1030" i="4"/>
  <c r="Q1030" i="4"/>
  <c r="K1030" i="4"/>
  <c r="J1030" i="4"/>
  <c r="J1336" i="4"/>
  <c r="K1336" i="4"/>
  <c r="Q1336" i="4"/>
  <c r="L1336" i="4"/>
  <c r="M1336" i="4"/>
  <c r="N1336" i="4"/>
  <c r="O1336" i="4"/>
  <c r="P1336" i="4"/>
  <c r="J1306" i="4"/>
  <c r="K1306" i="4"/>
  <c r="O1306" i="4"/>
  <c r="L1306" i="4"/>
  <c r="P1306" i="4"/>
  <c r="Q1306" i="4"/>
  <c r="M1306" i="4"/>
  <c r="N1306" i="4"/>
  <c r="K1753" i="4"/>
  <c r="L1753" i="4"/>
  <c r="M1753" i="4"/>
  <c r="J1753" i="4"/>
  <c r="N1753" i="4"/>
  <c r="O1753" i="4"/>
  <c r="P1753" i="4"/>
  <c r="Q1753" i="4"/>
  <c r="J1578" i="4"/>
  <c r="K1578" i="4"/>
  <c r="L1578" i="4"/>
  <c r="M1578" i="4"/>
  <c r="N1578" i="4"/>
  <c r="O1578" i="4"/>
  <c r="P1578" i="4"/>
  <c r="Q1578" i="4"/>
  <c r="O1724" i="4"/>
  <c r="J1724" i="4"/>
  <c r="K1724" i="4"/>
  <c r="L1724" i="4"/>
  <c r="M1724" i="4"/>
  <c r="N1724" i="4"/>
  <c r="P1724" i="4"/>
  <c r="Q1724" i="4"/>
  <c r="E1527" i="4"/>
  <c r="M666" i="4"/>
  <c r="N666" i="4"/>
  <c r="O666" i="4"/>
  <c r="P666" i="4"/>
  <c r="K666" i="4"/>
  <c r="J666" i="4"/>
  <c r="L666" i="4"/>
  <c r="Q666" i="4"/>
  <c r="N570" i="4"/>
  <c r="O570" i="4"/>
  <c r="P570" i="4"/>
  <c r="J570" i="4"/>
  <c r="K570" i="4"/>
  <c r="L570" i="4"/>
  <c r="M570" i="4"/>
  <c r="Q570" i="4"/>
  <c r="K581" i="4"/>
  <c r="L581" i="4"/>
  <c r="M581" i="4"/>
  <c r="N581" i="4"/>
  <c r="O581" i="4"/>
  <c r="J581" i="4"/>
  <c r="P581" i="4"/>
  <c r="Q581" i="4"/>
  <c r="J682" i="4"/>
  <c r="N682" i="4"/>
  <c r="M682" i="4"/>
  <c r="Q682" i="4"/>
  <c r="K682" i="4"/>
  <c r="L682" i="4"/>
  <c r="O682" i="4"/>
  <c r="P682" i="4"/>
  <c r="J503" i="4"/>
  <c r="K503" i="4"/>
  <c r="L503" i="4"/>
  <c r="M503" i="4"/>
  <c r="N503" i="4"/>
  <c r="O503" i="4"/>
  <c r="P503" i="4"/>
  <c r="Q503" i="4"/>
  <c r="O529" i="4"/>
  <c r="P529" i="4"/>
  <c r="J529" i="4"/>
  <c r="K529" i="4"/>
  <c r="L529" i="4"/>
  <c r="M529" i="4"/>
  <c r="N529" i="4"/>
  <c r="Q529" i="4"/>
  <c r="N595" i="4"/>
  <c r="O595" i="4"/>
  <c r="P595" i="4"/>
  <c r="Q595" i="4"/>
  <c r="K595" i="4"/>
  <c r="J595" i="4"/>
  <c r="L595" i="4"/>
  <c r="M595" i="4"/>
  <c r="M656" i="4"/>
  <c r="N656" i="4"/>
  <c r="O656" i="4"/>
  <c r="P656" i="4"/>
  <c r="Q656" i="4"/>
  <c r="K656" i="4"/>
  <c r="L656" i="4"/>
  <c r="J656" i="4"/>
  <c r="J677" i="4"/>
  <c r="K677" i="4"/>
  <c r="L677" i="4"/>
  <c r="N677" i="4"/>
  <c r="O677" i="4"/>
  <c r="P677" i="4"/>
  <c r="Q677" i="4"/>
  <c r="M677" i="4"/>
  <c r="L559" i="4"/>
  <c r="M559" i="4"/>
  <c r="N559" i="4"/>
  <c r="O559" i="4"/>
  <c r="P559" i="4"/>
  <c r="Q559" i="4"/>
  <c r="J559" i="4"/>
  <c r="K559" i="4"/>
  <c r="N600" i="4"/>
  <c r="O600" i="4"/>
  <c r="P600" i="4"/>
  <c r="L600" i="4"/>
  <c r="M600" i="4"/>
  <c r="Q600" i="4"/>
  <c r="K600" i="4"/>
  <c r="J600" i="4"/>
  <c r="O504" i="4"/>
  <c r="P504" i="4"/>
  <c r="J504" i="4"/>
  <c r="K504" i="4"/>
  <c r="L504" i="4"/>
  <c r="M504" i="4"/>
  <c r="N504" i="4"/>
  <c r="Q504" i="4"/>
  <c r="Q857" i="4"/>
  <c r="J857" i="4"/>
  <c r="K857" i="4"/>
  <c r="M857" i="4"/>
  <c r="N857" i="4"/>
  <c r="O857" i="4"/>
  <c r="P857" i="4"/>
  <c r="L857" i="4"/>
  <c r="J898" i="4"/>
  <c r="K898" i="4"/>
  <c r="L898" i="4"/>
  <c r="Q898" i="4"/>
  <c r="M898" i="4"/>
  <c r="N898" i="4"/>
  <c r="O898" i="4"/>
  <c r="P898" i="4"/>
  <c r="M939" i="4"/>
  <c r="N939" i="4"/>
  <c r="O939" i="4"/>
  <c r="P939" i="4"/>
  <c r="J939" i="4"/>
  <c r="K939" i="4"/>
  <c r="L939" i="4"/>
  <c r="Q939" i="4"/>
  <c r="N980" i="4"/>
  <c r="O980" i="4"/>
  <c r="P980" i="4"/>
  <c r="Q980" i="4"/>
  <c r="L980" i="4"/>
  <c r="M980" i="4"/>
  <c r="J980" i="4"/>
  <c r="K980" i="4"/>
  <c r="N1022" i="4"/>
  <c r="O1022" i="4"/>
  <c r="P1022" i="4"/>
  <c r="Q1022" i="4"/>
  <c r="J1022" i="4"/>
  <c r="L1022" i="4"/>
  <c r="K1022" i="4"/>
  <c r="M1022" i="4"/>
  <c r="N1072" i="4"/>
  <c r="O1072" i="4"/>
  <c r="P1072" i="4"/>
  <c r="Q1072" i="4"/>
  <c r="J1072" i="4"/>
  <c r="L1072" i="4"/>
  <c r="M1072" i="4"/>
  <c r="K1072" i="4"/>
  <c r="N1031" i="4"/>
  <c r="O1031" i="4"/>
  <c r="P1031" i="4"/>
  <c r="Q1031" i="4"/>
  <c r="J1031" i="4"/>
  <c r="L1031" i="4"/>
  <c r="K1031" i="4"/>
  <c r="M1031" i="4"/>
  <c r="N1066" i="4"/>
  <c r="O1066" i="4"/>
  <c r="P1066" i="4"/>
  <c r="Q1066" i="4"/>
  <c r="J1066" i="4"/>
  <c r="K1066" i="4"/>
  <c r="L1066" i="4"/>
  <c r="M1066" i="4"/>
  <c r="L1288" i="4"/>
  <c r="M1288" i="4"/>
  <c r="N1288" i="4"/>
  <c r="O1288" i="4"/>
  <c r="J1288" i="4"/>
  <c r="K1288" i="4"/>
  <c r="P1288" i="4"/>
  <c r="Q1288" i="4"/>
  <c r="P1329" i="4"/>
  <c r="J1329" i="4"/>
  <c r="K1329" i="4"/>
  <c r="L1329" i="4"/>
  <c r="M1329" i="4"/>
  <c r="N1329" i="4"/>
  <c r="O1329" i="4"/>
  <c r="Q1329" i="4"/>
  <c r="P1350" i="4"/>
  <c r="Q1350" i="4"/>
  <c r="K1350" i="4"/>
  <c r="L1350" i="4"/>
  <c r="M1350" i="4"/>
  <c r="N1350" i="4"/>
  <c r="O1350" i="4"/>
  <c r="J1350" i="4"/>
  <c r="J1371" i="4"/>
  <c r="K1371" i="4"/>
  <c r="L1371" i="4"/>
  <c r="M1371" i="4"/>
  <c r="N1371" i="4"/>
  <c r="O1371" i="4"/>
  <c r="P1371" i="4"/>
  <c r="Q1371" i="4"/>
  <c r="J1432" i="4"/>
  <c r="K1432" i="4"/>
  <c r="L1432" i="4"/>
  <c r="M1432" i="4"/>
  <c r="N1432" i="4"/>
  <c r="O1432" i="4"/>
  <c r="P1432" i="4"/>
  <c r="Q1432" i="4"/>
  <c r="P1234" i="4"/>
  <c r="Q1234" i="4"/>
  <c r="J1234" i="4"/>
  <c r="K1234" i="4"/>
  <c r="L1234" i="4"/>
  <c r="M1234" i="4"/>
  <c r="N1234" i="4"/>
  <c r="O1234" i="4"/>
  <c r="P1295" i="4"/>
  <c r="Q1295" i="4"/>
  <c r="J1295" i="4"/>
  <c r="K1295" i="4"/>
  <c r="L1295" i="4"/>
  <c r="N1295" i="4"/>
  <c r="M1295" i="4"/>
  <c r="O1295" i="4"/>
  <c r="O1237" i="4"/>
  <c r="P1237" i="4"/>
  <c r="Q1237" i="4"/>
  <c r="J1237" i="4"/>
  <c r="K1237" i="4"/>
  <c r="L1237" i="4"/>
  <c r="M1237" i="4"/>
  <c r="N1237" i="4"/>
  <c r="J1241" i="4"/>
  <c r="L1241" i="4"/>
  <c r="M1241" i="4"/>
  <c r="N1241" i="4"/>
  <c r="P1241" i="4"/>
  <c r="K1241" i="4"/>
  <c r="O1241" i="4"/>
  <c r="Q1241" i="4"/>
  <c r="J1282" i="4"/>
  <c r="L1282" i="4"/>
  <c r="M1282" i="4"/>
  <c r="N1282" i="4"/>
  <c r="O1282" i="4"/>
  <c r="P1282" i="4"/>
  <c r="K1282" i="4"/>
  <c r="Q1282" i="4"/>
  <c r="L1323" i="4"/>
  <c r="M1323" i="4"/>
  <c r="N1323" i="4"/>
  <c r="O1323" i="4"/>
  <c r="P1323" i="4"/>
  <c r="Q1323" i="4"/>
  <c r="J1323" i="4"/>
  <c r="K1323" i="4"/>
  <c r="K1364" i="4"/>
  <c r="N1364" i="4"/>
  <c r="O1364" i="4"/>
  <c r="P1364" i="4"/>
  <c r="Q1364" i="4"/>
  <c r="L1364" i="4"/>
  <c r="M1364" i="4"/>
  <c r="J1364" i="4"/>
  <c r="P1405" i="4"/>
  <c r="Q1405" i="4"/>
  <c r="J1405" i="4"/>
  <c r="K1405" i="4"/>
  <c r="L1405" i="4"/>
  <c r="M1405" i="4"/>
  <c r="N1405" i="4"/>
  <c r="O1405" i="4"/>
  <c r="O1446" i="4"/>
  <c r="P1446" i="4"/>
  <c r="Q1446" i="4"/>
  <c r="J1446" i="4"/>
  <c r="K1446" i="4"/>
  <c r="L1446" i="4"/>
  <c r="M1446" i="4"/>
  <c r="N1446" i="4"/>
  <c r="K1717" i="4"/>
  <c r="J1717" i="4"/>
  <c r="L1717" i="4"/>
  <c r="M1717" i="4"/>
  <c r="N1717" i="4"/>
  <c r="O1717" i="4"/>
  <c r="P1717" i="4"/>
  <c r="Q1717" i="4"/>
  <c r="P1627" i="4"/>
  <c r="Q1627" i="4"/>
  <c r="N1627" i="4"/>
  <c r="O1627" i="4"/>
  <c r="J1627" i="4"/>
  <c r="K1627" i="4"/>
  <c r="L1627" i="4"/>
  <c r="M1627" i="4"/>
  <c r="L1595" i="4"/>
  <c r="M1595" i="4"/>
  <c r="N1595" i="4"/>
  <c r="K1595" i="4"/>
  <c r="O1595" i="4"/>
  <c r="P1595" i="4"/>
  <c r="Q1595" i="4"/>
  <c r="J1595" i="4"/>
  <c r="K1788" i="4"/>
  <c r="L1788" i="4"/>
  <c r="M1788" i="4"/>
  <c r="O1788" i="4"/>
  <c r="P1788" i="4"/>
  <c r="Q1788" i="4"/>
  <c r="J1788" i="4"/>
  <c r="N1788" i="4"/>
  <c r="O1700" i="4"/>
  <c r="P1700" i="4"/>
  <c r="Q1700" i="4"/>
  <c r="K1700" i="4"/>
  <c r="L1700" i="4"/>
  <c r="M1700" i="4"/>
  <c r="N1700" i="4"/>
  <c r="J1700" i="4"/>
  <c r="K1743" i="4"/>
  <c r="L1743" i="4"/>
  <c r="M1743" i="4"/>
  <c r="J1743" i="4"/>
  <c r="N1743" i="4"/>
  <c r="O1743" i="4"/>
  <c r="P1743" i="4"/>
  <c r="Q1743" i="4"/>
  <c r="N1674" i="4"/>
  <c r="O1674" i="4"/>
  <c r="P1674" i="4"/>
  <c r="Q1674" i="4"/>
  <c r="J1674" i="4"/>
  <c r="K1674" i="4"/>
  <c r="L1674" i="4"/>
  <c r="M1674" i="4"/>
  <c r="K1702" i="4"/>
  <c r="J1702" i="4"/>
  <c r="L1702" i="4"/>
  <c r="M1702" i="4"/>
  <c r="N1702" i="4"/>
  <c r="O1702" i="4"/>
  <c r="P1702" i="4"/>
  <c r="Q1702" i="4"/>
  <c r="E1501" i="4"/>
  <c r="J1787" i="4"/>
  <c r="K1787" i="4"/>
  <c r="L1787" i="4"/>
  <c r="M1787" i="4"/>
  <c r="N1787" i="4"/>
  <c r="O1787" i="4"/>
  <c r="P1787" i="4"/>
  <c r="Q1787" i="4"/>
  <c r="K527" i="4"/>
  <c r="L527" i="4"/>
  <c r="J527" i="4"/>
  <c r="M527" i="4"/>
  <c r="N527" i="4"/>
  <c r="O527" i="4"/>
  <c r="P527" i="4"/>
  <c r="Q527" i="4"/>
  <c r="J1801" i="4"/>
  <c r="K1801" i="4"/>
  <c r="L1801" i="4"/>
  <c r="M1801" i="4"/>
  <c r="N1801" i="4"/>
  <c r="O1801" i="4"/>
  <c r="P1801" i="4"/>
  <c r="Q1801" i="4"/>
  <c r="Q688" i="4"/>
  <c r="O688" i="4"/>
  <c r="P688" i="4"/>
  <c r="J688" i="4"/>
  <c r="K688" i="4"/>
  <c r="L688" i="4"/>
  <c r="M688" i="4"/>
  <c r="N688" i="4"/>
  <c r="N630" i="4"/>
  <c r="O630" i="4"/>
  <c r="P630" i="4"/>
  <c r="J630" i="4"/>
  <c r="K630" i="4"/>
  <c r="L630" i="4"/>
  <c r="M630" i="4"/>
  <c r="Q630" i="4"/>
  <c r="J573" i="4"/>
  <c r="K573" i="4"/>
  <c r="L573" i="4"/>
  <c r="N573" i="4"/>
  <c r="O573" i="4"/>
  <c r="P573" i="4"/>
  <c r="Q573" i="4"/>
  <c r="M573" i="4"/>
  <c r="J513" i="4"/>
  <c r="K513" i="4"/>
  <c r="L513" i="4"/>
  <c r="M513" i="4"/>
  <c r="N513" i="4"/>
  <c r="O513" i="4"/>
  <c r="P513" i="4"/>
  <c r="Q513" i="4"/>
  <c r="J538" i="4"/>
  <c r="K538" i="4"/>
  <c r="L538" i="4"/>
  <c r="M538" i="4"/>
  <c r="P538" i="4"/>
  <c r="Q538" i="4"/>
  <c r="O538" i="4"/>
  <c r="N538" i="4"/>
  <c r="Q877" i="4"/>
  <c r="J877" i="4"/>
  <c r="K877" i="4"/>
  <c r="L877" i="4"/>
  <c r="M877" i="4"/>
  <c r="O877" i="4"/>
  <c r="N877" i="4"/>
  <c r="P877" i="4"/>
  <c r="J918" i="4"/>
  <c r="K918" i="4"/>
  <c r="L918" i="4"/>
  <c r="M918" i="4"/>
  <c r="O918" i="4"/>
  <c r="P918" i="4"/>
  <c r="Q918" i="4"/>
  <c r="N918" i="4"/>
  <c r="J959" i="4"/>
  <c r="K959" i="4"/>
  <c r="L959" i="4"/>
  <c r="M959" i="4"/>
  <c r="P959" i="4"/>
  <c r="Q959" i="4"/>
  <c r="N959" i="4"/>
  <c r="O959" i="4"/>
  <c r="N1000" i="4"/>
  <c r="J1000" i="4"/>
  <c r="K1000" i="4"/>
  <c r="L1000" i="4"/>
  <c r="M1000" i="4"/>
  <c r="Q1000" i="4"/>
  <c r="P1000" i="4"/>
  <c r="O1000" i="4"/>
  <c r="J1042" i="4"/>
  <c r="L1042" i="4"/>
  <c r="Q1042" i="4"/>
  <c r="K1042" i="4"/>
  <c r="M1042" i="4"/>
  <c r="O1042" i="4"/>
  <c r="P1042" i="4"/>
  <c r="N1042" i="4"/>
  <c r="J1085" i="4"/>
  <c r="K1085" i="4"/>
  <c r="L1085" i="4"/>
  <c r="M1085" i="4"/>
  <c r="P1085" i="4"/>
  <c r="N1085" i="4"/>
  <c r="O1085" i="4"/>
  <c r="Q1085" i="4"/>
  <c r="M935" i="4"/>
  <c r="N935" i="4"/>
  <c r="O935" i="4"/>
  <c r="P935" i="4"/>
  <c r="J935" i="4"/>
  <c r="K935" i="4"/>
  <c r="L935" i="4"/>
  <c r="Q935" i="4"/>
  <c r="N966" i="4"/>
  <c r="O966" i="4"/>
  <c r="P966" i="4"/>
  <c r="Q966" i="4"/>
  <c r="J966" i="4"/>
  <c r="K966" i="4"/>
  <c r="L966" i="4"/>
  <c r="M966" i="4"/>
  <c r="L1308" i="4"/>
  <c r="M1308" i="4"/>
  <c r="N1308" i="4"/>
  <c r="O1308" i="4"/>
  <c r="Q1308" i="4"/>
  <c r="J1308" i="4"/>
  <c r="K1308" i="4"/>
  <c r="P1308" i="4"/>
  <c r="P1349" i="4"/>
  <c r="J1349" i="4"/>
  <c r="K1349" i="4"/>
  <c r="L1349" i="4"/>
  <c r="M1349" i="4"/>
  <c r="N1349" i="4"/>
  <c r="O1349" i="4"/>
  <c r="Q1349" i="4"/>
  <c r="P1370" i="4"/>
  <c r="Q1370" i="4"/>
  <c r="K1370" i="4"/>
  <c r="N1370" i="4"/>
  <c r="O1370" i="4"/>
  <c r="J1370" i="4"/>
  <c r="L1370" i="4"/>
  <c r="M1370" i="4"/>
  <c r="J1391" i="4"/>
  <c r="K1391" i="4"/>
  <c r="L1391" i="4"/>
  <c r="M1391" i="4"/>
  <c r="N1391" i="4"/>
  <c r="O1391" i="4"/>
  <c r="P1391" i="4"/>
  <c r="Q1391" i="4"/>
  <c r="Q912" i="4"/>
  <c r="K912" i="4"/>
  <c r="J912" i="4"/>
  <c r="L912" i="4"/>
  <c r="M912" i="4"/>
  <c r="N912" i="4"/>
  <c r="O912" i="4"/>
  <c r="P912" i="4"/>
  <c r="J1254" i="4"/>
  <c r="K1254" i="4"/>
  <c r="L1254" i="4"/>
  <c r="N1254" i="4"/>
  <c r="P1254" i="4"/>
  <c r="Q1254" i="4"/>
  <c r="M1254" i="4"/>
  <c r="O1254" i="4"/>
  <c r="P1315" i="4"/>
  <c r="Q1315" i="4"/>
  <c r="J1315" i="4"/>
  <c r="K1315" i="4"/>
  <c r="L1315" i="4"/>
  <c r="M1315" i="4"/>
  <c r="N1315" i="4"/>
  <c r="O1315" i="4"/>
  <c r="J1257" i="4"/>
  <c r="L1257" i="4"/>
  <c r="M1257" i="4"/>
  <c r="N1257" i="4"/>
  <c r="O1257" i="4"/>
  <c r="P1257" i="4"/>
  <c r="Q1257" i="4"/>
  <c r="K1257" i="4"/>
  <c r="O1220" i="4"/>
  <c r="P1220" i="4"/>
  <c r="Q1220" i="4"/>
  <c r="J1220" i="4"/>
  <c r="K1220" i="4"/>
  <c r="L1220" i="4"/>
  <c r="M1220" i="4"/>
  <c r="N1220" i="4"/>
  <c r="J1261" i="4"/>
  <c r="K1261" i="4"/>
  <c r="L1261" i="4"/>
  <c r="N1261" i="4"/>
  <c r="O1261" i="4"/>
  <c r="P1261" i="4"/>
  <c r="M1261" i="4"/>
  <c r="Q1261" i="4"/>
  <c r="L1302" i="4"/>
  <c r="M1302" i="4"/>
  <c r="N1302" i="4"/>
  <c r="O1302" i="4"/>
  <c r="P1302" i="4"/>
  <c r="J1302" i="4"/>
  <c r="K1302" i="4"/>
  <c r="Q1302" i="4"/>
  <c r="L1343" i="4"/>
  <c r="M1343" i="4"/>
  <c r="N1343" i="4"/>
  <c r="O1343" i="4"/>
  <c r="P1343" i="4"/>
  <c r="Q1343" i="4"/>
  <c r="J1343" i="4"/>
  <c r="K1343" i="4"/>
  <c r="P1384" i="4"/>
  <c r="Q1384" i="4"/>
  <c r="J1384" i="4"/>
  <c r="K1384" i="4"/>
  <c r="L1384" i="4"/>
  <c r="M1384" i="4"/>
  <c r="N1384" i="4"/>
  <c r="O1384" i="4"/>
  <c r="P1425" i="4"/>
  <c r="Q1425" i="4"/>
  <c r="L1425" i="4"/>
  <c r="M1425" i="4"/>
  <c r="N1425" i="4"/>
  <c r="O1425" i="4"/>
  <c r="K1425" i="4"/>
  <c r="J1425" i="4"/>
  <c r="J1227" i="4"/>
  <c r="K1227" i="4"/>
  <c r="M1227" i="4"/>
  <c r="O1227" i="4"/>
  <c r="P1227" i="4"/>
  <c r="Q1227" i="4"/>
  <c r="L1227" i="4"/>
  <c r="N1227" i="4"/>
  <c r="P1596" i="4"/>
  <c r="Q1596" i="4"/>
  <c r="J1596" i="4"/>
  <c r="K1596" i="4"/>
  <c r="L1596" i="4"/>
  <c r="M1596" i="4"/>
  <c r="N1596" i="4"/>
  <c r="O1596" i="4"/>
  <c r="K1737" i="4"/>
  <c r="O1737" i="4"/>
  <c r="P1737" i="4"/>
  <c r="Q1737" i="4"/>
  <c r="J1737" i="4"/>
  <c r="L1737" i="4"/>
  <c r="M1737" i="4"/>
  <c r="N1737" i="4"/>
  <c r="J1628" i="4"/>
  <c r="K1628" i="4"/>
  <c r="L1628" i="4"/>
  <c r="M1628" i="4"/>
  <c r="N1628" i="4"/>
  <c r="O1628" i="4"/>
  <c r="P1628" i="4"/>
  <c r="Q1628" i="4"/>
  <c r="P1587" i="4"/>
  <c r="Q1587" i="4"/>
  <c r="J1587" i="4"/>
  <c r="K1587" i="4"/>
  <c r="L1587" i="4"/>
  <c r="M1587" i="4"/>
  <c r="N1587" i="4"/>
  <c r="O1587" i="4"/>
  <c r="M1794" i="4"/>
  <c r="N1794" i="4"/>
  <c r="O1794" i="4"/>
  <c r="P1794" i="4"/>
  <c r="Q1794" i="4"/>
  <c r="J1794" i="4"/>
  <c r="K1794" i="4"/>
  <c r="L1794" i="4"/>
  <c r="O1720" i="4"/>
  <c r="P1720" i="4"/>
  <c r="Q1720" i="4"/>
  <c r="J1720" i="4"/>
  <c r="K1720" i="4"/>
  <c r="L1720" i="4"/>
  <c r="M1720" i="4"/>
  <c r="N1720" i="4"/>
  <c r="K1763" i="4"/>
  <c r="L1763" i="4"/>
  <c r="M1763" i="4"/>
  <c r="J1763" i="4"/>
  <c r="N1763" i="4"/>
  <c r="O1763" i="4"/>
  <c r="P1763" i="4"/>
  <c r="Q1763" i="4"/>
  <c r="L1806" i="4"/>
  <c r="M1806" i="4"/>
  <c r="N1806" i="4"/>
  <c r="O1806" i="4"/>
  <c r="P1806" i="4"/>
  <c r="Q1806" i="4"/>
  <c r="J1806" i="4"/>
  <c r="K1806" i="4"/>
  <c r="K1722" i="4"/>
  <c r="J1722" i="4"/>
  <c r="L1722" i="4"/>
  <c r="M1722" i="4"/>
  <c r="N1722" i="4"/>
  <c r="O1722" i="4"/>
  <c r="P1722" i="4"/>
  <c r="Q1722" i="4"/>
  <c r="E1521" i="4"/>
  <c r="J1807" i="4"/>
  <c r="K1807" i="4"/>
  <c r="L1807" i="4"/>
  <c r="M1807" i="4"/>
  <c r="N1807" i="4"/>
  <c r="O1807" i="4"/>
  <c r="P1807" i="4"/>
  <c r="Q1807" i="4"/>
  <c r="K547" i="4"/>
  <c r="J547" i="4"/>
  <c r="L547" i="4"/>
  <c r="M547" i="4"/>
  <c r="N547" i="4"/>
  <c r="O547" i="4"/>
  <c r="P547" i="4"/>
  <c r="Q547" i="4"/>
  <c r="O1645" i="4"/>
  <c r="P1645" i="4"/>
  <c r="Q1645" i="4"/>
  <c r="J1645" i="4"/>
  <c r="K1645" i="4"/>
  <c r="L1645" i="4"/>
  <c r="M1645" i="4"/>
  <c r="N1645" i="4"/>
  <c r="P506" i="4"/>
  <c r="Q506" i="4"/>
  <c r="J506" i="4"/>
  <c r="K506" i="4"/>
  <c r="L506" i="4"/>
  <c r="M506" i="4"/>
  <c r="O506" i="4"/>
  <c r="N506" i="4"/>
  <c r="K1732" i="4"/>
  <c r="J1732" i="4"/>
  <c r="L1732" i="4"/>
  <c r="M1732" i="4"/>
  <c r="N1732" i="4"/>
  <c r="O1732" i="4"/>
  <c r="P1732" i="4"/>
  <c r="Q1732" i="4"/>
  <c r="J634" i="4"/>
  <c r="K634" i="4"/>
  <c r="L634" i="4"/>
  <c r="M634" i="4"/>
  <c r="N634" i="4"/>
  <c r="O634" i="4"/>
  <c r="P634" i="4"/>
  <c r="Q634" i="4"/>
  <c r="L1397" i="4"/>
  <c r="M1397" i="4"/>
  <c r="N1397" i="4"/>
  <c r="O1397" i="4"/>
  <c r="P1397" i="4"/>
  <c r="Q1397" i="4"/>
  <c r="J1397" i="4"/>
  <c r="K1397" i="4"/>
  <c r="J523" i="4"/>
  <c r="K523" i="4"/>
  <c r="L523" i="4"/>
  <c r="M523" i="4"/>
  <c r="N523" i="4"/>
  <c r="O523" i="4"/>
  <c r="P523" i="4"/>
  <c r="Q523" i="4"/>
  <c r="P531" i="4"/>
  <c r="Q531" i="4"/>
  <c r="J531" i="4"/>
  <c r="K531" i="4"/>
  <c r="L531" i="4"/>
  <c r="M531" i="4"/>
  <c r="N531" i="4"/>
  <c r="O531" i="4"/>
  <c r="N615" i="4"/>
  <c r="O615" i="4"/>
  <c r="P615" i="4"/>
  <c r="J615" i="4"/>
  <c r="L615" i="4"/>
  <c r="K615" i="4"/>
  <c r="M615" i="4"/>
  <c r="Q615" i="4"/>
  <c r="M676" i="4"/>
  <c r="N676" i="4"/>
  <c r="O676" i="4"/>
  <c r="P676" i="4"/>
  <c r="J676" i="4"/>
  <c r="K676" i="4"/>
  <c r="L676" i="4"/>
  <c r="Q676" i="4"/>
  <c r="K497" i="4"/>
  <c r="L497" i="4"/>
  <c r="J497" i="4"/>
  <c r="M497" i="4"/>
  <c r="N497" i="4"/>
  <c r="O497" i="4"/>
  <c r="P497" i="4"/>
  <c r="Q497" i="4"/>
  <c r="K697" i="4"/>
  <c r="L697" i="4"/>
  <c r="M697" i="4"/>
  <c r="N697" i="4"/>
  <c r="P697" i="4"/>
  <c r="Q697" i="4"/>
  <c r="J697" i="4"/>
  <c r="O697" i="4"/>
  <c r="P579" i="4"/>
  <c r="Q579" i="4"/>
  <c r="J579" i="4"/>
  <c r="L579" i="4"/>
  <c r="M579" i="4"/>
  <c r="K579" i="4"/>
  <c r="N579" i="4"/>
  <c r="O579" i="4"/>
  <c r="N620" i="4"/>
  <c r="O620" i="4"/>
  <c r="P620" i="4"/>
  <c r="Q620" i="4"/>
  <c r="J620" i="4"/>
  <c r="K620" i="4"/>
  <c r="L620" i="4"/>
  <c r="M620" i="4"/>
  <c r="Q897" i="4"/>
  <c r="J897" i="4"/>
  <c r="M897" i="4"/>
  <c r="N897" i="4"/>
  <c r="O897" i="4"/>
  <c r="P897" i="4"/>
  <c r="L897" i="4"/>
  <c r="K897" i="4"/>
  <c r="J938" i="4"/>
  <c r="K938" i="4"/>
  <c r="L938" i="4"/>
  <c r="M938" i="4"/>
  <c r="N938" i="4"/>
  <c r="O938" i="4"/>
  <c r="P938" i="4"/>
  <c r="Q938" i="4"/>
  <c r="J979" i="4"/>
  <c r="K979" i="4"/>
  <c r="L979" i="4"/>
  <c r="M979" i="4"/>
  <c r="N979" i="4"/>
  <c r="O979" i="4"/>
  <c r="P979" i="4"/>
  <c r="Q979" i="4"/>
  <c r="J1020" i="4"/>
  <c r="K1020" i="4"/>
  <c r="L1020" i="4"/>
  <c r="M1020" i="4"/>
  <c r="P1020" i="4"/>
  <c r="Q1020" i="4"/>
  <c r="N1020" i="4"/>
  <c r="O1020" i="4"/>
  <c r="J1062" i="4"/>
  <c r="K1062" i="4"/>
  <c r="L1062" i="4"/>
  <c r="M1062" i="4"/>
  <c r="N1062" i="4"/>
  <c r="P1062" i="4"/>
  <c r="O1062" i="4"/>
  <c r="Q1062" i="4"/>
  <c r="N864" i="4"/>
  <c r="K864" i="4"/>
  <c r="L864" i="4"/>
  <c r="M864" i="4"/>
  <c r="O864" i="4"/>
  <c r="P864" i="4"/>
  <c r="J864" i="4"/>
  <c r="Q864" i="4"/>
  <c r="N1046" i="4"/>
  <c r="O1046" i="4"/>
  <c r="P1046" i="4"/>
  <c r="Q1046" i="4"/>
  <c r="J1046" i="4"/>
  <c r="K1046" i="4"/>
  <c r="L1046" i="4"/>
  <c r="M1046" i="4"/>
  <c r="J1068" i="4"/>
  <c r="K1068" i="4"/>
  <c r="L1068" i="4"/>
  <c r="M1068" i="4"/>
  <c r="N1068" i="4"/>
  <c r="P1068" i="4"/>
  <c r="Q1068" i="4"/>
  <c r="O1068" i="4"/>
  <c r="L1328" i="4"/>
  <c r="M1328" i="4"/>
  <c r="N1328" i="4"/>
  <c r="O1328" i="4"/>
  <c r="P1328" i="4"/>
  <c r="Q1328" i="4"/>
  <c r="J1328" i="4"/>
  <c r="K1328" i="4"/>
  <c r="L1369" i="4"/>
  <c r="M1369" i="4"/>
  <c r="N1369" i="4"/>
  <c r="O1369" i="4"/>
  <c r="P1369" i="4"/>
  <c r="Q1369" i="4"/>
  <c r="J1369" i="4"/>
  <c r="K1369" i="4"/>
  <c r="P1390" i="4"/>
  <c r="Q1390" i="4"/>
  <c r="J1390" i="4"/>
  <c r="K1390" i="4"/>
  <c r="L1390" i="4"/>
  <c r="M1390" i="4"/>
  <c r="N1390" i="4"/>
  <c r="O1390" i="4"/>
  <c r="J1411" i="4"/>
  <c r="K1411" i="4"/>
  <c r="N1411" i="4"/>
  <c r="O1411" i="4"/>
  <c r="P1411" i="4"/>
  <c r="Q1411" i="4"/>
  <c r="L1411" i="4"/>
  <c r="M1411" i="4"/>
  <c r="K1233" i="4"/>
  <c r="L1233" i="4"/>
  <c r="M1233" i="4"/>
  <c r="N1233" i="4"/>
  <c r="P1233" i="4"/>
  <c r="Q1233" i="4"/>
  <c r="J1233" i="4"/>
  <c r="O1233" i="4"/>
  <c r="J1274" i="4"/>
  <c r="K1274" i="4"/>
  <c r="L1274" i="4"/>
  <c r="N1274" i="4"/>
  <c r="P1274" i="4"/>
  <c r="Q1274" i="4"/>
  <c r="M1274" i="4"/>
  <c r="O1274" i="4"/>
  <c r="P1335" i="4"/>
  <c r="Q1335" i="4"/>
  <c r="K1335" i="4"/>
  <c r="L1335" i="4"/>
  <c r="M1335" i="4"/>
  <c r="N1335" i="4"/>
  <c r="O1335" i="4"/>
  <c r="J1335" i="4"/>
  <c r="J1277" i="4"/>
  <c r="L1277" i="4"/>
  <c r="M1277" i="4"/>
  <c r="N1277" i="4"/>
  <c r="O1277" i="4"/>
  <c r="P1277" i="4"/>
  <c r="K1277" i="4"/>
  <c r="Q1277" i="4"/>
  <c r="O1240" i="4"/>
  <c r="M1240" i="4"/>
  <c r="N1240" i="4"/>
  <c r="P1240" i="4"/>
  <c r="Q1240" i="4"/>
  <c r="J1240" i="4"/>
  <c r="K1240" i="4"/>
  <c r="L1240" i="4"/>
  <c r="J1281" i="4"/>
  <c r="K1281" i="4"/>
  <c r="L1281" i="4"/>
  <c r="O1281" i="4"/>
  <c r="M1281" i="4"/>
  <c r="N1281" i="4"/>
  <c r="P1281" i="4"/>
  <c r="Q1281" i="4"/>
  <c r="L1322" i="4"/>
  <c r="J1322" i="4"/>
  <c r="K1322" i="4"/>
  <c r="M1322" i="4"/>
  <c r="N1322" i="4"/>
  <c r="O1322" i="4"/>
  <c r="P1322" i="4"/>
  <c r="Q1322" i="4"/>
  <c r="L1363" i="4"/>
  <c r="M1363" i="4"/>
  <c r="N1363" i="4"/>
  <c r="O1363" i="4"/>
  <c r="J1363" i="4"/>
  <c r="K1363" i="4"/>
  <c r="P1363" i="4"/>
  <c r="Q1363" i="4"/>
  <c r="J1404" i="4"/>
  <c r="K1404" i="4"/>
  <c r="L1404" i="4"/>
  <c r="M1404" i="4"/>
  <c r="O1404" i="4"/>
  <c r="N1404" i="4"/>
  <c r="P1404" i="4"/>
  <c r="Q1404" i="4"/>
  <c r="L1445" i="4"/>
  <c r="M1445" i="4"/>
  <c r="N1445" i="4"/>
  <c r="O1445" i="4"/>
  <c r="P1445" i="4"/>
  <c r="Q1445" i="4"/>
  <c r="J1445" i="4"/>
  <c r="K1445" i="4"/>
  <c r="J1247" i="4"/>
  <c r="L1247" i="4"/>
  <c r="M1247" i="4"/>
  <c r="N1247" i="4"/>
  <c r="O1247" i="4"/>
  <c r="P1247" i="4"/>
  <c r="Q1247" i="4"/>
  <c r="K1247" i="4"/>
  <c r="K1218" i="4"/>
  <c r="L1218" i="4"/>
  <c r="M1218" i="4"/>
  <c r="J1218" i="4"/>
  <c r="N1218" i="4"/>
  <c r="P1218" i="4"/>
  <c r="O1218" i="4"/>
  <c r="Q1218" i="4"/>
  <c r="P1632" i="4"/>
  <c r="Q1632" i="4"/>
  <c r="J1632" i="4"/>
  <c r="K1632" i="4"/>
  <c r="L1632" i="4"/>
  <c r="M1632" i="4"/>
  <c r="N1632" i="4"/>
  <c r="O1632" i="4"/>
  <c r="J1616" i="4"/>
  <c r="K1616" i="4"/>
  <c r="L1616" i="4"/>
  <c r="M1616" i="4"/>
  <c r="N1616" i="4"/>
  <c r="O1616" i="4"/>
  <c r="P1616" i="4"/>
  <c r="Q1616" i="4"/>
  <c r="J1757" i="4"/>
  <c r="K1757" i="4"/>
  <c r="L1757" i="4"/>
  <c r="M1757" i="4"/>
  <c r="N1757" i="4"/>
  <c r="O1757" i="4"/>
  <c r="P1757" i="4"/>
  <c r="Q1757" i="4"/>
  <c r="J1687" i="4"/>
  <c r="K1687" i="4"/>
  <c r="N1687" i="4"/>
  <c r="L1687" i="4"/>
  <c r="M1687" i="4"/>
  <c r="O1687" i="4"/>
  <c r="P1687" i="4"/>
  <c r="Q1687" i="4"/>
  <c r="L1615" i="4"/>
  <c r="M1615" i="4"/>
  <c r="N1615" i="4"/>
  <c r="J1615" i="4"/>
  <c r="K1615" i="4"/>
  <c r="O1615" i="4"/>
  <c r="P1615" i="4"/>
  <c r="Q1615" i="4"/>
  <c r="J1608" i="4"/>
  <c r="O1608" i="4"/>
  <c r="P1608" i="4"/>
  <c r="Q1608" i="4"/>
  <c r="K1608" i="4"/>
  <c r="L1608" i="4"/>
  <c r="M1608" i="4"/>
  <c r="N1608" i="4"/>
  <c r="O1740" i="4"/>
  <c r="P1740" i="4"/>
  <c r="Q1740" i="4"/>
  <c r="J1740" i="4"/>
  <c r="K1740" i="4"/>
  <c r="L1740" i="4"/>
  <c r="M1740" i="4"/>
  <c r="N1740" i="4"/>
  <c r="K1783" i="4"/>
  <c r="L1783" i="4"/>
  <c r="M1783" i="4"/>
  <c r="J1783" i="4"/>
  <c r="N1783" i="4"/>
  <c r="O1783" i="4"/>
  <c r="P1783" i="4"/>
  <c r="Q1783" i="4"/>
  <c r="E1463" i="4"/>
  <c r="O1714" i="4"/>
  <c r="J1714" i="4"/>
  <c r="K1714" i="4"/>
  <c r="L1714" i="4"/>
  <c r="M1714" i="4"/>
  <c r="N1714" i="4"/>
  <c r="P1714" i="4"/>
  <c r="Q1714" i="4"/>
  <c r="K1742" i="4"/>
  <c r="J1742" i="4"/>
  <c r="L1742" i="4"/>
  <c r="M1742" i="4"/>
  <c r="N1742" i="4"/>
  <c r="O1742" i="4"/>
  <c r="P1742" i="4"/>
  <c r="Q1742" i="4"/>
  <c r="E1541" i="4"/>
  <c r="E1464" i="4"/>
  <c r="Q567" i="4"/>
  <c r="K567" i="4"/>
  <c r="L567" i="4"/>
  <c r="M567" i="4"/>
  <c r="N567" i="4"/>
  <c r="J567" i="4"/>
  <c r="O567" i="4"/>
  <c r="P567" i="4"/>
  <c r="L1576" i="4"/>
  <c r="M1576" i="4"/>
  <c r="N1576" i="4"/>
  <c r="O1576" i="4"/>
  <c r="P1576" i="4"/>
  <c r="Q1576" i="4"/>
  <c r="J1576" i="4"/>
  <c r="K1576" i="4"/>
  <c r="M686" i="4"/>
  <c r="N686" i="4"/>
  <c r="O686" i="4"/>
  <c r="P686" i="4"/>
  <c r="J686" i="4"/>
  <c r="K686" i="4"/>
  <c r="L686" i="4"/>
  <c r="Q686" i="4"/>
  <c r="Q648" i="4"/>
  <c r="K648" i="4"/>
  <c r="J648" i="4"/>
  <c r="L648" i="4"/>
  <c r="M648" i="4"/>
  <c r="N648" i="4"/>
  <c r="O648" i="4"/>
  <c r="P648" i="4"/>
  <c r="N590" i="4"/>
  <c r="O590" i="4"/>
  <c r="P590" i="4"/>
  <c r="J590" i="4"/>
  <c r="K590" i="4"/>
  <c r="L590" i="4"/>
  <c r="M590" i="4"/>
  <c r="Q590" i="4"/>
  <c r="J533" i="4"/>
  <c r="K533" i="4"/>
  <c r="L533" i="4"/>
  <c r="M533" i="4"/>
  <c r="N533" i="4"/>
  <c r="O533" i="4"/>
  <c r="P533" i="4"/>
  <c r="Q533" i="4"/>
  <c r="K532" i="4"/>
  <c r="L532" i="4"/>
  <c r="J532" i="4"/>
  <c r="M532" i="4"/>
  <c r="N532" i="4"/>
  <c r="O532" i="4"/>
  <c r="P532" i="4"/>
  <c r="Q532" i="4"/>
  <c r="J558" i="4"/>
  <c r="K558" i="4"/>
  <c r="L558" i="4"/>
  <c r="M558" i="4"/>
  <c r="N558" i="4"/>
  <c r="O558" i="4"/>
  <c r="P558" i="4"/>
  <c r="Q558" i="4"/>
  <c r="Q876" i="4"/>
  <c r="J876" i="4"/>
  <c r="K876" i="4"/>
  <c r="L876" i="4"/>
  <c r="M876" i="4"/>
  <c r="N876" i="4"/>
  <c r="O876" i="4"/>
  <c r="P876" i="4"/>
  <c r="Q917" i="4"/>
  <c r="M917" i="4"/>
  <c r="N917" i="4"/>
  <c r="O917" i="4"/>
  <c r="P917" i="4"/>
  <c r="J917" i="4"/>
  <c r="K917" i="4"/>
  <c r="L917" i="4"/>
  <c r="J958" i="4"/>
  <c r="K958" i="4"/>
  <c r="L958" i="4"/>
  <c r="M958" i="4"/>
  <c r="N958" i="4"/>
  <c r="O958" i="4"/>
  <c r="P958" i="4"/>
  <c r="Q958" i="4"/>
  <c r="J999" i="4"/>
  <c r="K999" i="4"/>
  <c r="L999" i="4"/>
  <c r="M999" i="4"/>
  <c r="N999" i="4"/>
  <c r="O999" i="4"/>
  <c r="P999" i="4"/>
  <c r="Q999" i="4"/>
  <c r="J1040" i="4"/>
  <c r="K1040" i="4"/>
  <c r="L1040" i="4"/>
  <c r="M1040" i="4"/>
  <c r="N1040" i="4"/>
  <c r="P1040" i="4"/>
  <c r="O1040" i="4"/>
  <c r="Q1040" i="4"/>
  <c r="J1082" i="4"/>
  <c r="K1082" i="4"/>
  <c r="L1082" i="4"/>
  <c r="M1082" i="4"/>
  <c r="P1082" i="4"/>
  <c r="O1082" i="4"/>
  <c r="Q1082" i="4"/>
  <c r="N1082" i="4"/>
  <c r="K884" i="4"/>
  <c r="N884" i="4"/>
  <c r="Q884" i="4"/>
  <c r="M884" i="4"/>
  <c r="O884" i="4"/>
  <c r="P884" i="4"/>
  <c r="J884" i="4"/>
  <c r="L884" i="4"/>
  <c r="M890" i="4"/>
  <c r="N890" i="4"/>
  <c r="O890" i="4"/>
  <c r="P890" i="4"/>
  <c r="K890" i="4"/>
  <c r="J890" i="4"/>
  <c r="L890" i="4"/>
  <c r="Q890" i="4"/>
  <c r="M875" i="4"/>
  <c r="N875" i="4"/>
  <c r="O875" i="4"/>
  <c r="P875" i="4"/>
  <c r="J875" i="4"/>
  <c r="Q875" i="4"/>
  <c r="K875" i="4"/>
  <c r="L875" i="4"/>
  <c r="L866" i="4"/>
  <c r="M866" i="4"/>
  <c r="N866" i="4"/>
  <c r="O866" i="4"/>
  <c r="P866" i="4"/>
  <c r="Q866" i="4"/>
  <c r="K866" i="4"/>
  <c r="J866" i="4"/>
  <c r="L1348" i="4"/>
  <c r="M1348" i="4"/>
  <c r="N1348" i="4"/>
  <c r="O1348" i="4"/>
  <c r="P1348" i="4"/>
  <c r="Q1348" i="4"/>
  <c r="J1348" i="4"/>
  <c r="K1348" i="4"/>
  <c r="K1389" i="4"/>
  <c r="N1389" i="4"/>
  <c r="O1389" i="4"/>
  <c r="P1389" i="4"/>
  <c r="Q1389" i="4"/>
  <c r="J1389" i="4"/>
  <c r="L1389" i="4"/>
  <c r="M1389" i="4"/>
  <c r="P1410" i="4"/>
  <c r="Q1410" i="4"/>
  <c r="J1410" i="4"/>
  <c r="K1410" i="4"/>
  <c r="L1410" i="4"/>
  <c r="M1410" i="4"/>
  <c r="O1410" i="4"/>
  <c r="N1410" i="4"/>
  <c r="J1431" i="4"/>
  <c r="K1431" i="4"/>
  <c r="P1431" i="4"/>
  <c r="Q1431" i="4"/>
  <c r="L1431" i="4"/>
  <c r="M1431" i="4"/>
  <c r="O1431" i="4"/>
  <c r="N1431" i="4"/>
  <c r="L1253" i="4"/>
  <c r="M1253" i="4"/>
  <c r="N1253" i="4"/>
  <c r="O1253" i="4"/>
  <c r="P1253" i="4"/>
  <c r="J1253" i="4"/>
  <c r="K1253" i="4"/>
  <c r="Q1253" i="4"/>
  <c r="K1294" i="4"/>
  <c r="N1294" i="4"/>
  <c r="P1294" i="4"/>
  <c r="Q1294" i="4"/>
  <c r="J1294" i="4"/>
  <c r="L1294" i="4"/>
  <c r="M1294" i="4"/>
  <c r="O1294" i="4"/>
  <c r="P1355" i="4"/>
  <c r="Q1355" i="4"/>
  <c r="J1355" i="4"/>
  <c r="K1355" i="4"/>
  <c r="L1355" i="4"/>
  <c r="M1355" i="4"/>
  <c r="N1355" i="4"/>
  <c r="O1355" i="4"/>
  <c r="L1317" i="4"/>
  <c r="N1317" i="4"/>
  <c r="O1317" i="4"/>
  <c r="J1317" i="4"/>
  <c r="K1317" i="4"/>
  <c r="M1317" i="4"/>
  <c r="Q1317" i="4"/>
  <c r="P1317" i="4"/>
  <c r="P1260" i="4"/>
  <c r="Q1260" i="4"/>
  <c r="J1260" i="4"/>
  <c r="K1260" i="4"/>
  <c r="L1260" i="4"/>
  <c r="M1260" i="4"/>
  <c r="N1260" i="4"/>
  <c r="O1260" i="4"/>
  <c r="J1301" i="4"/>
  <c r="K1301" i="4"/>
  <c r="O1301" i="4"/>
  <c r="L1301" i="4"/>
  <c r="N1301" i="4"/>
  <c r="M1301" i="4"/>
  <c r="P1301" i="4"/>
  <c r="Q1301" i="4"/>
  <c r="L1342" i="4"/>
  <c r="J1342" i="4"/>
  <c r="K1342" i="4"/>
  <c r="M1342" i="4"/>
  <c r="N1342" i="4"/>
  <c r="O1342" i="4"/>
  <c r="P1342" i="4"/>
  <c r="Q1342" i="4"/>
  <c r="L1383" i="4"/>
  <c r="M1383" i="4"/>
  <c r="N1383" i="4"/>
  <c r="O1383" i="4"/>
  <c r="J1383" i="4"/>
  <c r="K1383" i="4"/>
  <c r="P1383" i="4"/>
  <c r="Q1383" i="4"/>
  <c r="J1424" i="4"/>
  <c r="K1424" i="4"/>
  <c r="L1424" i="4"/>
  <c r="M1424" i="4"/>
  <c r="N1424" i="4"/>
  <c r="O1424" i="4"/>
  <c r="P1424" i="4"/>
  <c r="Q1424" i="4"/>
  <c r="J1267" i="4"/>
  <c r="L1267" i="4"/>
  <c r="M1267" i="4"/>
  <c r="N1267" i="4"/>
  <c r="O1267" i="4"/>
  <c r="P1267" i="4"/>
  <c r="Q1267" i="4"/>
  <c r="K1267" i="4"/>
  <c r="K1216" i="4"/>
  <c r="L1216" i="4"/>
  <c r="M1216" i="4"/>
  <c r="N1216" i="4"/>
  <c r="O1216" i="4"/>
  <c r="P1216" i="4"/>
  <c r="Q1216" i="4"/>
  <c r="J1216" i="4"/>
  <c r="J1008" i="4"/>
  <c r="K1008" i="4"/>
  <c r="L1008" i="4"/>
  <c r="M1008" i="4"/>
  <c r="N1008" i="4"/>
  <c r="P1008" i="4"/>
  <c r="Q1008" i="4"/>
  <c r="O1008" i="4"/>
  <c r="J1752" i="4"/>
  <c r="K1752" i="4"/>
  <c r="L1752" i="4"/>
  <c r="M1752" i="4"/>
  <c r="N1752" i="4"/>
  <c r="O1752" i="4"/>
  <c r="P1752" i="4"/>
  <c r="Q1752" i="4"/>
  <c r="N1636" i="4"/>
  <c r="O1636" i="4"/>
  <c r="P1636" i="4"/>
  <c r="Q1636" i="4"/>
  <c r="L1636" i="4"/>
  <c r="M1636" i="4"/>
  <c r="J1636" i="4"/>
  <c r="K1636" i="4"/>
  <c r="J1777" i="4"/>
  <c r="K1777" i="4"/>
  <c r="L1777" i="4"/>
  <c r="M1777" i="4"/>
  <c r="N1777" i="4"/>
  <c r="O1777" i="4"/>
  <c r="P1777" i="4"/>
  <c r="Q1777" i="4"/>
  <c r="J1647" i="4"/>
  <c r="K1647" i="4"/>
  <c r="L1647" i="4"/>
  <c r="M1647" i="4"/>
  <c r="N1647" i="4"/>
  <c r="O1647" i="4"/>
  <c r="P1647" i="4"/>
  <c r="Q1647" i="4"/>
  <c r="O1599" i="4"/>
  <c r="P1599" i="4"/>
  <c r="Q1599" i="4"/>
  <c r="J1599" i="4"/>
  <c r="K1599" i="4"/>
  <c r="L1599" i="4"/>
  <c r="M1599" i="4"/>
  <c r="N1599" i="4"/>
  <c r="J1399" i="4"/>
  <c r="K1399" i="4"/>
  <c r="L1399" i="4"/>
  <c r="M1399" i="4"/>
  <c r="N1399" i="4"/>
  <c r="O1399" i="4"/>
  <c r="P1399" i="4"/>
  <c r="Q1399" i="4"/>
  <c r="K1803" i="4"/>
  <c r="L1803" i="4"/>
  <c r="M1803" i="4"/>
  <c r="J1803" i="4"/>
  <c r="N1803" i="4"/>
  <c r="O1803" i="4"/>
  <c r="P1803" i="4"/>
  <c r="Q1803" i="4"/>
  <c r="E1483" i="4"/>
  <c r="O1734" i="4"/>
  <c r="N1734" i="4"/>
  <c r="P1734" i="4"/>
  <c r="Q1734" i="4"/>
  <c r="J1734" i="4"/>
  <c r="K1734" i="4"/>
  <c r="L1734" i="4"/>
  <c r="M1734" i="4"/>
  <c r="J1762" i="4"/>
  <c r="K1762" i="4"/>
  <c r="L1762" i="4"/>
  <c r="M1762" i="4"/>
  <c r="N1762" i="4"/>
  <c r="O1762" i="4"/>
  <c r="P1762" i="4"/>
  <c r="Q1762" i="4"/>
  <c r="E1561" i="4"/>
  <c r="E1484" i="4"/>
  <c r="J587" i="4"/>
  <c r="K587" i="4"/>
  <c r="L587" i="4"/>
  <c r="M587" i="4"/>
  <c r="N587" i="4"/>
  <c r="O587" i="4"/>
  <c r="P587" i="4"/>
  <c r="Q587" i="4"/>
  <c r="E1470" i="4"/>
  <c r="J1692" i="4"/>
  <c r="K1692" i="4"/>
  <c r="N1692" i="4"/>
  <c r="L1692" i="4"/>
  <c r="M1692" i="4"/>
  <c r="O1692" i="4"/>
  <c r="P1692" i="4"/>
  <c r="Q1692" i="4"/>
  <c r="Q713" i="4"/>
  <c r="J713" i="4"/>
  <c r="K713" i="4"/>
  <c r="L713" i="4"/>
  <c r="M713" i="4"/>
  <c r="N713" i="4"/>
  <c r="O713" i="4"/>
  <c r="P713" i="4"/>
  <c r="N594" i="4"/>
  <c r="O594" i="4"/>
  <c r="P594" i="4"/>
  <c r="Q594" i="4"/>
  <c r="M594" i="4"/>
  <c r="J594" i="4"/>
  <c r="K594" i="4"/>
  <c r="L594" i="4"/>
  <c r="K1718" i="4"/>
  <c r="L1718" i="4"/>
  <c r="M1718" i="4"/>
  <c r="J1718" i="4"/>
  <c r="N1718" i="4"/>
  <c r="O1718" i="4"/>
  <c r="P1718" i="4"/>
  <c r="Q1718" i="4"/>
  <c r="O601" i="4"/>
  <c r="P601" i="4"/>
  <c r="Q601" i="4"/>
  <c r="J601" i="4"/>
  <c r="N601" i="4"/>
  <c r="M601" i="4"/>
  <c r="K601" i="4"/>
  <c r="L601" i="4"/>
  <c r="K621" i="4"/>
  <c r="M621" i="4"/>
  <c r="J621" i="4"/>
  <c r="L621" i="4"/>
  <c r="N621" i="4"/>
  <c r="O621" i="4"/>
  <c r="P621" i="4"/>
  <c r="Q621" i="4"/>
  <c r="L722" i="4"/>
  <c r="M722" i="4"/>
  <c r="N722" i="4"/>
  <c r="P722" i="4"/>
  <c r="J722" i="4"/>
  <c r="K722" i="4"/>
  <c r="O722" i="4"/>
  <c r="Q722" i="4"/>
  <c r="J543" i="4"/>
  <c r="K543" i="4"/>
  <c r="L543" i="4"/>
  <c r="M543" i="4"/>
  <c r="N543" i="4"/>
  <c r="O543" i="4"/>
  <c r="P543" i="4"/>
  <c r="Q543" i="4"/>
  <c r="Q663" i="4"/>
  <c r="P663" i="4"/>
  <c r="J663" i="4"/>
  <c r="K663" i="4"/>
  <c r="L663" i="4"/>
  <c r="M663" i="4"/>
  <c r="N663" i="4"/>
  <c r="O663" i="4"/>
  <c r="P589" i="4"/>
  <c r="Q589" i="4"/>
  <c r="J589" i="4"/>
  <c r="K589" i="4"/>
  <c r="M589" i="4"/>
  <c r="O589" i="4"/>
  <c r="L589" i="4"/>
  <c r="N589" i="4"/>
  <c r="N551" i="4"/>
  <c r="O551" i="4"/>
  <c r="P551" i="4"/>
  <c r="Q551" i="4"/>
  <c r="J551" i="4"/>
  <c r="K551" i="4"/>
  <c r="L551" i="4"/>
  <c r="M551" i="4"/>
  <c r="M635" i="4"/>
  <c r="O635" i="4"/>
  <c r="J635" i="4"/>
  <c r="L635" i="4"/>
  <c r="K635" i="4"/>
  <c r="Q635" i="4"/>
  <c r="N635" i="4"/>
  <c r="P635" i="4"/>
  <c r="M696" i="4"/>
  <c r="N696" i="4"/>
  <c r="O696" i="4"/>
  <c r="P696" i="4"/>
  <c r="J696" i="4"/>
  <c r="K696" i="4"/>
  <c r="L696" i="4"/>
  <c r="Q696" i="4"/>
  <c r="K517" i="4"/>
  <c r="L517" i="4"/>
  <c r="N517" i="4"/>
  <c r="O517" i="4"/>
  <c r="P517" i="4"/>
  <c r="Q517" i="4"/>
  <c r="J517" i="4"/>
  <c r="M517" i="4"/>
  <c r="L717" i="4"/>
  <c r="M717" i="4"/>
  <c r="N717" i="4"/>
  <c r="P717" i="4"/>
  <c r="J717" i="4"/>
  <c r="K717" i="4"/>
  <c r="O717" i="4"/>
  <c r="Q717" i="4"/>
  <c r="J599" i="4"/>
  <c r="K599" i="4"/>
  <c r="L599" i="4"/>
  <c r="Q599" i="4"/>
  <c r="M599" i="4"/>
  <c r="P599" i="4"/>
  <c r="N599" i="4"/>
  <c r="O599" i="4"/>
  <c r="M640" i="4"/>
  <c r="O640" i="4"/>
  <c r="L640" i="4"/>
  <c r="N640" i="4"/>
  <c r="J640" i="4"/>
  <c r="K640" i="4"/>
  <c r="P640" i="4"/>
  <c r="Q640" i="4"/>
  <c r="K542" i="4"/>
  <c r="J542" i="4"/>
  <c r="L542" i="4"/>
  <c r="M542" i="4"/>
  <c r="N542" i="4"/>
  <c r="P542" i="4"/>
  <c r="Q542" i="4"/>
  <c r="O542" i="4"/>
  <c r="J869" i="4"/>
  <c r="M869" i="4"/>
  <c r="N869" i="4"/>
  <c r="O869" i="4"/>
  <c r="P869" i="4"/>
  <c r="Q869" i="4"/>
  <c r="K869" i="4"/>
  <c r="L869" i="4"/>
  <c r="J896" i="4"/>
  <c r="K896" i="4"/>
  <c r="L896" i="4"/>
  <c r="M896" i="4"/>
  <c r="O896" i="4"/>
  <c r="N896" i="4"/>
  <c r="P896" i="4"/>
  <c r="Q896" i="4"/>
  <c r="Q937" i="4"/>
  <c r="J937" i="4"/>
  <c r="M937" i="4"/>
  <c r="N937" i="4"/>
  <c r="O937" i="4"/>
  <c r="P937" i="4"/>
  <c r="L937" i="4"/>
  <c r="K937" i="4"/>
  <c r="J978" i="4"/>
  <c r="K978" i="4"/>
  <c r="L978" i="4"/>
  <c r="M978" i="4"/>
  <c r="N978" i="4"/>
  <c r="O978" i="4"/>
  <c r="P978" i="4"/>
  <c r="Q978" i="4"/>
  <c r="J1019" i="4"/>
  <c r="K1019" i="4"/>
  <c r="L1019" i="4"/>
  <c r="M1019" i="4"/>
  <c r="N1019" i="4"/>
  <c r="O1019" i="4"/>
  <c r="P1019" i="4"/>
  <c r="Q1019" i="4"/>
  <c r="J1060" i="4"/>
  <c r="K1060" i="4"/>
  <c r="L1060" i="4"/>
  <c r="M1060" i="4"/>
  <c r="P1060" i="4"/>
  <c r="O1060" i="4"/>
  <c r="Q1060" i="4"/>
  <c r="N1060" i="4"/>
  <c r="J863" i="4"/>
  <c r="K863" i="4"/>
  <c r="L863" i="4"/>
  <c r="M863" i="4"/>
  <c r="N863" i="4"/>
  <c r="O863" i="4"/>
  <c r="P863" i="4"/>
  <c r="Q863" i="4"/>
  <c r="Q904" i="4"/>
  <c r="J904" i="4"/>
  <c r="K904" i="4"/>
  <c r="L904" i="4"/>
  <c r="M904" i="4"/>
  <c r="N904" i="4"/>
  <c r="O904" i="4"/>
  <c r="P904" i="4"/>
  <c r="M941" i="4"/>
  <c r="N941" i="4"/>
  <c r="O941" i="4"/>
  <c r="P941" i="4"/>
  <c r="Q941" i="4"/>
  <c r="J941" i="4"/>
  <c r="K941" i="4"/>
  <c r="L941" i="4"/>
  <c r="M870" i="4"/>
  <c r="N870" i="4"/>
  <c r="O870" i="4"/>
  <c r="P870" i="4"/>
  <c r="Q870" i="4"/>
  <c r="J870" i="4"/>
  <c r="K870" i="4"/>
  <c r="L870" i="4"/>
  <c r="J928" i="4"/>
  <c r="K928" i="4"/>
  <c r="L928" i="4"/>
  <c r="Q928" i="4"/>
  <c r="M928" i="4"/>
  <c r="N928" i="4"/>
  <c r="O928" i="4"/>
  <c r="P928" i="4"/>
  <c r="Q932" i="4"/>
  <c r="J932" i="4"/>
  <c r="K932" i="4"/>
  <c r="L932" i="4"/>
  <c r="M932" i="4"/>
  <c r="N932" i="4"/>
  <c r="O932" i="4"/>
  <c r="P932" i="4"/>
  <c r="J946" i="4"/>
  <c r="K946" i="4"/>
  <c r="L946" i="4"/>
  <c r="O946" i="4"/>
  <c r="P946" i="4"/>
  <c r="Q946" i="4"/>
  <c r="M946" i="4"/>
  <c r="N946" i="4"/>
  <c r="J968" i="4"/>
  <c r="K968" i="4"/>
  <c r="L968" i="4"/>
  <c r="M968" i="4"/>
  <c r="N968" i="4"/>
  <c r="O968" i="4"/>
  <c r="P968" i="4"/>
  <c r="Q968" i="4"/>
  <c r="L1368" i="4"/>
  <c r="M1368" i="4"/>
  <c r="N1368" i="4"/>
  <c r="O1368" i="4"/>
  <c r="J1368" i="4"/>
  <c r="K1368" i="4"/>
  <c r="P1368" i="4"/>
  <c r="Q1368" i="4"/>
  <c r="P1409" i="4"/>
  <c r="Q1409" i="4"/>
  <c r="J1409" i="4"/>
  <c r="K1409" i="4"/>
  <c r="L1409" i="4"/>
  <c r="M1409" i="4"/>
  <c r="N1409" i="4"/>
  <c r="O1409" i="4"/>
  <c r="P1430" i="4"/>
  <c r="Q1430" i="4"/>
  <c r="J1430" i="4"/>
  <c r="K1430" i="4"/>
  <c r="L1430" i="4"/>
  <c r="M1430" i="4"/>
  <c r="N1430" i="4"/>
  <c r="O1430" i="4"/>
  <c r="L1273" i="4"/>
  <c r="M1273" i="4"/>
  <c r="N1273" i="4"/>
  <c r="O1273" i="4"/>
  <c r="P1273" i="4"/>
  <c r="J1273" i="4"/>
  <c r="K1273" i="4"/>
  <c r="Q1273" i="4"/>
  <c r="P1314" i="4"/>
  <c r="K1314" i="4"/>
  <c r="N1314" i="4"/>
  <c r="O1314" i="4"/>
  <c r="Q1314" i="4"/>
  <c r="L1314" i="4"/>
  <c r="M1314" i="4"/>
  <c r="J1314" i="4"/>
  <c r="P1375" i="4"/>
  <c r="Q1375" i="4"/>
  <c r="L1375" i="4"/>
  <c r="M1375" i="4"/>
  <c r="N1375" i="4"/>
  <c r="O1375" i="4"/>
  <c r="J1375" i="4"/>
  <c r="K1375" i="4"/>
  <c r="L1337" i="4"/>
  <c r="J1337" i="4"/>
  <c r="K1337" i="4"/>
  <c r="M1337" i="4"/>
  <c r="N1337" i="4"/>
  <c r="O1337" i="4"/>
  <c r="Q1337" i="4"/>
  <c r="P1337" i="4"/>
  <c r="J1219" i="4"/>
  <c r="K1219" i="4"/>
  <c r="L1219" i="4"/>
  <c r="M1219" i="4"/>
  <c r="N1219" i="4"/>
  <c r="O1219" i="4"/>
  <c r="P1219" i="4"/>
  <c r="Q1219" i="4"/>
  <c r="P1280" i="4"/>
  <c r="Q1280" i="4"/>
  <c r="J1280" i="4"/>
  <c r="K1280" i="4"/>
  <c r="L1280" i="4"/>
  <c r="N1280" i="4"/>
  <c r="M1280" i="4"/>
  <c r="O1280" i="4"/>
  <c r="J1321" i="4"/>
  <c r="K1321" i="4"/>
  <c r="L1321" i="4"/>
  <c r="N1321" i="4"/>
  <c r="Q1321" i="4"/>
  <c r="M1321" i="4"/>
  <c r="O1321" i="4"/>
  <c r="P1321" i="4"/>
  <c r="P1362" i="4"/>
  <c r="Q1362" i="4"/>
  <c r="J1362" i="4"/>
  <c r="K1362" i="4"/>
  <c r="L1362" i="4"/>
  <c r="M1362" i="4"/>
  <c r="N1362" i="4"/>
  <c r="O1362" i="4"/>
  <c r="L1403" i="4"/>
  <c r="M1403" i="4"/>
  <c r="N1403" i="4"/>
  <c r="O1403" i="4"/>
  <c r="P1403" i="4"/>
  <c r="Q1403" i="4"/>
  <c r="J1403" i="4"/>
  <c r="K1403" i="4"/>
  <c r="K1444" i="4"/>
  <c r="L1444" i="4"/>
  <c r="M1444" i="4"/>
  <c r="N1444" i="4"/>
  <c r="O1444" i="4"/>
  <c r="P1444" i="4"/>
  <c r="Q1444" i="4"/>
  <c r="J1444" i="4"/>
  <c r="J1287" i="4"/>
  <c r="L1287" i="4"/>
  <c r="M1287" i="4"/>
  <c r="N1287" i="4"/>
  <c r="O1287" i="4"/>
  <c r="P1287" i="4"/>
  <c r="Q1287" i="4"/>
  <c r="K1287" i="4"/>
  <c r="J1792" i="4"/>
  <c r="K1792" i="4"/>
  <c r="L1792" i="4"/>
  <c r="M1792" i="4"/>
  <c r="N1792" i="4"/>
  <c r="O1792" i="4"/>
  <c r="P1792" i="4"/>
  <c r="Q1792" i="4"/>
  <c r="J1656" i="4"/>
  <c r="K1656" i="4"/>
  <c r="L1656" i="4"/>
  <c r="Q1656" i="4"/>
  <c r="M1656" i="4"/>
  <c r="N1656" i="4"/>
  <c r="O1656" i="4"/>
  <c r="P1656" i="4"/>
  <c r="L1797" i="4"/>
  <c r="M1797" i="4"/>
  <c r="N1797" i="4"/>
  <c r="O1797" i="4"/>
  <c r="P1797" i="4"/>
  <c r="Q1797" i="4"/>
  <c r="J1797" i="4"/>
  <c r="K1797" i="4"/>
  <c r="J1646" i="4"/>
  <c r="K1646" i="4"/>
  <c r="L1646" i="4"/>
  <c r="Q1646" i="4"/>
  <c r="M1646" i="4"/>
  <c r="N1646" i="4"/>
  <c r="O1646" i="4"/>
  <c r="P1646" i="4"/>
  <c r="L1590" i="4"/>
  <c r="M1590" i="4"/>
  <c r="N1590" i="4"/>
  <c r="J1590" i="4"/>
  <c r="K1590" i="4"/>
  <c r="O1590" i="4"/>
  <c r="P1590" i="4"/>
  <c r="Q1590" i="4"/>
  <c r="N1791" i="4"/>
  <c r="O1791" i="4"/>
  <c r="P1791" i="4"/>
  <c r="Q1791" i="4"/>
  <c r="J1791" i="4"/>
  <c r="K1791" i="4"/>
  <c r="L1791" i="4"/>
  <c r="M1791" i="4"/>
  <c r="J1619" i="4"/>
  <c r="K1619" i="4"/>
  <c r="L1619" i="4"/>
  <c r="M1619" i="4"/>
  <c r="N1619" i="4"/>
  <c r="O1619" i="4"/>
  <c r="P1619" i="4"/>
  <c r="Q1619" i="4"/>
  <c r="O1780" i="4"/>
  <c r="P1780" i="4"/>
  <c r="Q1780" i="4"/>
  <c r="J1780" i="4"/>
  <c r="K1780" i="4"/>
  <c r="L1780" i="4"/>
  <c r="M1780" i="4"/>
  <c r="N1780" i="4"/>
  <c r="E1503" i="4"/>
  <c r="J1754" i="4"/>
  <c r="K1754" i="4"/>
  <c r="L1754" i="4"/>
  <c r="M1754" i="4"/>
  <c r="N1754" i="4"/>
  <c r="O1754" i="4"/>
  <c r="P1754" i="4"/>
  <c r="Q1754" i="4"/>
  <c r="N1782" i="4"/>
  <c r="O1782" i="4"/>
  <c r="P1782" i="4"/>
  <c r="Q1782" i="4"/>
  <c r="J1782" i="4"/>
  <c r="K1782" i="4"/>
  <c r="L1782" i="4"/>
  <c r="M1782" i="4"/>
  <c r="E1504" i="4"/>
  <c r="M607" i="4"/>
  <c r="N607" i="4"/>
  <c r="O607" i="4"/>
  <c r="P607" i="4"/>
  <c r="Q607" i="4"/>
  <c r="J607" i="4"/>
  <c r="K607" i="4"/>
  <c r="L607" i="4"/>
  <c r="E407" i="4"/>
  <c r="O1785" i="4"/>
  <c r="P1785" i="4"/>
  <c r="Q1785" i="4"/>
  <c r="M1785" i="4"/>
  <c r="N1785" i="4"/>
  <c r="J1785" i="4"/>
  <c r="K1785" i="4"/>
  <c r="L1785" i="4"/>
  <c r="M646" i="4"/>
  <c r="N646" i="4"/>
  <c r="O646" i="4"/>
  <c r="P646" i="4"/>
  <c r="Q646" i="4"/>
  <c r="J646" i="4"/>
  <c r="K646" i="4"/>
  <c r="L646" i="4"/>
  <c r="J608" i="4"/>
  <c r="K608" i="4"/>
  <c r="L608" i="4"/>
  <c r="M608" i="4"/>
  <c r="N608" i="4"/>
  <c r="P608" i="4"/>
  <c r="O608" i="4"/>
  <c r="Q608" i="4"/>
  <c r="N550" i="4"/>
  <c r="O550" i="4"/>
  <c r="P550" i="4"/>
  <c r="K550" i="4"/>
  <c r="L550" i="4"/>
  <c r="M550" i="4"/>
  <c r="Q550" i="4"/>
  <c r="J550" i="4"/>
  <c r="Q867" i="4"/>
  <c r="J867" i="4"/>
  <c r="M867" i="4"/>
  <c r="N867" i="4"/>
  <c r="O867" i="4"/>
  <c r="P867" i="4"/>
  <c r="K867" i="4"/>
  <c r="L867" i="4"/>
  <c r="M889" i="4"/>
  <c r="N889" i="4"/>
  <c r="O889" i="4"/>
  <c r="P889" i="4"/>
  <c r="Q889" i="4"/>
  <c r="J889" i="4"/>
  <c r="K889" i="4"/>
  <c r="L889" i="4"/>
  <c r="M916" i="4"/>
  <c r="N916" i="4"/>
  <c r="O916" i="4"/>
  <c r="P916" i="4"/>
  <c r="Q916" i="4"/>
  <c r="J916" i="4"/>
  <c r="K916" i="4"/>
  <c r="L916" i="4"/>
  <c r="J957" i="4"/>
  <c r="K957" i="4"/>
  <c r="N957" i="4"/>
  <c r="O957" i="4"/>
  <c r="P957" i="4"/>
  <c r="Q957" i="4"/>
  <c r="M957" i="4"/>
  <c r="L957" i="4"/>
  <c r="J998" i="4"/>
  <c r="K998" i="4"/>
  <c r="L998" i="4"/>
  <c r="M998" i="4"/>
  <c r="N998" i="4"/>
  <c r="P998" i="4"/>
  <c r="O998" i="4"/>
  <c r="Q998" i="4"/>
  <c r="J1039" i="4"/>
  <c r="K1039" i="4"/>
  <c r="L1039" i="4"/>
  <c r="M1039" i="4"/>
  <c r="P1039" i="4"/>
  <c r="Q1039" i="4"/>
  <c r="O1039" i="4"/>
  <c r="N1039" i="4"/>
  <c r="M1080" i="4"/>
  <c r="N1080" i="4"/>
  <c r="O1080" i="4"/>
  <c r="P1080" i="4"/>
  <c r="Q1080" i="4"/>
  <c r="J1080" i="4"/>
  <c r="K1080" i="4"/>
  <c r="L1080" i="4"/>
  <c r="J883" i="4"/>
  <c r="K883" i="4"/>
  <c r="L883" i="4"/>
  <c r="M883" i="4"/>
  <c r="N883" i="4"/>
  <c r="O883" i="4"/>
  <c r="P883" i="4"/>
  <c r="Q883" i="4"/>
  <c r="J924" i="4"/>
  <c r="K924" i="4"/>
  <c r="L924" i="4"/>
  <c r="M924" i="4"/>
  <c r="O924" i="4"/>
  <c r="N924" i="4"/>
  <c r="P924" i="4"/>
  <c r="Q924" i="4"/>
  <c r="N990" i="4"/>
  <c r="O990" i="4"/>
  <c r="P990" i="4"/>
  <c r="J990" i="4"/>
  <c r="K990" i="4"/>
  <c r="Q990" i="4"/>
  <c r="L990" i="4"/>
  <c r="M990" i="4"/>
  <c r="Q901" i="4"/>
  <c r="J901" i="4"/>
  <c r="K901" i="4"/>
  <c r="L901" i="4"/>
  <c r="M901" i="4"/>
  <c r="N901" i="4"/>
  <c r="O901" i="4"/>
  <c r="P901" i="4"/>
  <c r="J921" i="4"/>
  <c r="K921" i="4"/>
  <c r="L921" i="4"/>
  <c r="M921" i="4"/>
  <c r="O921" i="4"/>
  <c r="N921" i="4"/>
  <c r="P921" i="4"/>
  <c r="Q921" i="4"/>
  <c r="N975" i="4"/>
  <c r="O975" i="4"/>
  <c r="P975" i="4"/>
  <c r="Q975" i="4"/>
  <c r="J975" i="4"/>
  <c r="K975" i="4"/>
  <c r="L975" i="4"/>
  <c r="M975" i="4"/>
  <c r="J1032" i="4"/>
  <c r="K1032" i="4"/>
  <c r="L1032" i="4"/>
  <c r="M1032" i="4"/>
  <c r="N1032" i="4"/>
  <c r="O1032" i="4"/>
  <c r="P1032" i="4"/>
  <c r="Q1032" i="4"/>
  <c r="L1048" i="4"/>
  <c r="Q1048" i="4"/>
  <c r="N1048" i="4"/>
  <c r="O1048" i="4"/>
  <c r="P1048" i="4"/>
  <c r="J1048" i="4"/>
  <c r="K1048" i="4"/>
  <c r="M1048" i="4"/>
  <c r="J868" i="4"/>
  <c r="K868" i="4"/>
  <c r="L868" i="4"/>
  <c r="M868" i="4"/>
  <c r="O868" i="4"/>
  <c r="N868" i="4"/>
  <c r="P868" i="4"/>
  <c r="Q868" i="4"/>
  <c r="L1388" i="4"/>
  <c r="M1388" i="4"/>
  <c r="N1388" i="4"/>
  <c r="O1388" i="4"/>
  <c r="J1388" i="4"/>
  <c r="K1388" i="4"/>
  <c r="P1388" i="4"/>
  <c r="Q1388" i="4"/>
  <c r="J1429" i="4"/>
  <c r="K1429" i="4"/>
  <c r="L1429" i="4"/>
  <c r="M1429" i="4"/>
  <c r="O1429" i="4"/>
  <c r="N1429" i="4"/>
  <c r="P1429" i="4"/>
  <c r="Q1429" i="4"/>
  <c r="M905" i="4"/>
  <c r="N905" i="4"/>
  <c r="O905" i="4"/>
  <c r="P905" i="4"/>
  <c r="J905" i="4"/>
  <c r="K905" i="4"/>
  <c r="L905" i="4"/>
  <c r="Q905" i="4"/>
  <c r="L1293" i="4"/>
  <c r="M1293" i="4"/>
  <c r="N1293" i="4"/>
  <c r="O1293" i="4"/>
  <c r="J1293" i="4"/>
  <c r="K1293" i="4"/>
  <c r="P1293" i="4"/>
  <c r="Q1293" i="4"/>
  <c r="P1334" i="4"/>
  <c r="J1334" i="4"/>
  <c r="K1334" i="4"/>
  <c r="L1334" i="4"/>
  <c r="M1334" i="4"/>
  <c r="O1334" i="4"/>
  <c r="N1334" i="4"/>
  <c r="Q1334" i="4"/>
  <c r="P1395" i="4"/>
  <c r="Q1395" i="4"/>
  <c r="K1395" i="4"/>
  <c r="N1395" i="4"/>
  <c r="O1395" i="4"/>
  <c r="L1395" i="4"/>
  <c r="M1395" i="4"/>
  <c r="J1395" i="4"/>
  <c r="J1357" i="4"/>
  <c r="K1357" i="4"/>
  <c r="L1357" i="4"/>
  <c r="M1357" i="4"/>
  <c r="O1357" i="4"/>
  <c r="N1357" i="4"/>
  <c r="P1357" i="4"/>
  <c r="Q1357" i="4"/>
  <c r="K1239" i="4"/>
  <c r="M1239" i="4"/>
  <c r="N1239" i="4"/>
  <c r="O1239" i="4"/>
  <c r="P1239" i="4"/>
  <c r="Q1239" i="4"/>
  <c r="L1239" i="4"/>
  <c r="J1239" i="4"/>
  <c r="P1300" i="4"/>
  <c r="Q1300" i="4"/>
  <c r="J1300" i="4"/>
  <c r="K1300" i="4"/>
  <c r="L1300" i="4"/>
  <c r="M1300" i="4"/>
  <c r="N1300" i="4"/>
  <c r="O1300" i="4"/>
  <c r="J1341" i="4"/>
  <c r="K1341" i="4"/>
  <c r="L1341" i="4"/>
  <c r="N1341" i="4"/>
  <c r="Q1341" i="4"/>
  <c r="M1341" i="4"/>
  <c r="O1341" i="4"/>
  <c r="P1341" i="4"/>
  <c r="J1382" i="4"/>
  <c r="K1382" i="4"/>
  <c r="L1382" i="4"/>
  <c r="M1382" i="4"/>
  <c r="O1382" i="4"/>
  <c r="N1382" i="4"/>
  <c r="P1382" i="4"/>
  <c r="Q1382" i="4"/>
  <c r="L1423" i="4"/>
  <c r="M1423" i="4"/>
  <c r="N1423" i="4"/>
  <c r="O1423" i="4"/>
  <c r="K1423" i="4"/>
  <c r="J1423" i="4"/>
  <c r="P1423" i="4"/>
  <c r="Q1423" i="4"/>
  <c r="L1307" i="4"/>
  <c r="N1307" i="4"/>
  <c r="O1307" i="4"/>
  <c r="J1307" i="4"/>
  <c r="K1307" i="4"/>
  <c r="M1307" i="4"/>
  <c r="P1307" i="4"/>
  <c r="Q1307" i="4"/>
  <c r="K1217" i="4"/>
  <c r="L1217" i="4"/>
  <c r="M1217" i="4"/>
  <c r="N1217" i="4"/>
  <c r="O1217" i="4"/>
  <c r="Q1217" i="4"/>
  <c r="P1217" i="4"/>
  <c r="J1217" i="4"/>
  <c r="J1593" i="4"/>
  <c r="Q1593" i="4"/>
  <c r="K1593" i="4"/>
  <c r="L1593" i="4"/>
  <c r="M1593" i="4"/>
  <c r="N1593" i="4"/>
  <c r="O1593" i="4"/>
  <c r="P1593" i="4"/>
  <c r="K1676" i="4"/>
  <c r="L1676" i="4"/>
  <c r="O1676" i="4"/>
  <c r="P1676" i="4"/>
  <c r="Q1676" i="4"/>
  <c r="J1676" i="4"/>
  <c r="M1676" i="4"/>
  <c r="N1676" i="4"/>
  <c r="K1658" i="4"/>
  <c r="L1658" i="4"/>
  <c r="M1658" i="4"/>
  <c r="N1658" i="4"/>
  <c r="O1658" i="4"/>
  <c r="P1658" i="4"/>
  <c r="J1658" i="4"/>
  <c r="Q1658" i="4"/>
  <c r="J1746" i="4"/>
  <c r="K1746" i="4"/>
  <c r="L1746" i="4"/>
  <c r="M1746" i="4"/>
  <c r="N1746" i="4"/>
  <c r="O1746" i="4"/>
  <c r="P1746" i="4"/>
  <c r="Q1746" i="4"/>
  <c r="L1630" i="4"/>
  <c r="M1630" i="4"/>
  <c r="N1630" i="4"/>
  <c r="P1630" i="4"/>
  <c r="Q1630" i="4"/>
  <c r="J1630" i="4"/>
  <c r="K1630" i="4"/>
  <c r="O1630" i="4"/>
  <c r="K1648" i="4"/>
  <c r="L1648" i="4"/>
  <c r="M1648" i="4"/>
  <c r="N1648" i="4"/>
  <c r="O1648" i="4"/>
  <c r="P1648" i="4"/>
  <c r="J1648" i="4"/>
  <c r="Q1648" i="4"/>
  <c r="L1639" i="4"/>
  <c r="M1639" i="4"/>
  <c r="N1639" i="4"/>
  <c r="O1639" i="4"/>
  <c r="P1639" i="4"/>
  <c r="Q1639" i="4"/>
  <c r="J1639" i="4"/>
  <c r="K1639" i="4"/>
  <c r="O1800" i="4"/>
  <c r="P1800" i="4"/>
  <c r="Q1800" i="4"/>
  <c r="K1800" i="4"/>
  <c r="L1800" i="4"/>
  <c r="M1800" i="4"/>
  <c r="N1800" i="4"/>
  <c r="J1800" i="4"/>
  <c r="E1523" i="4"/>
  <c r="J1774" i="4"/>
  <c r="K1774" i="4"/>
  <c r="L1774" i="4"/>
  <c r="M1774" i="4"/>
  <c r="N1774" i="4"/>
  <c r="O1774" i="4"/>
  <c r="P1774" i="4"/>
  <c r="Q1774" i="4"/>
  <c r="J1802" i="4"/>
  <c r="K1802" i="4"/>
  <c r="L1802" i="4"/>
  <c r="M1802" i="4"/>
  <c r="N1802" i="4"/>
  <c r="O1802" i="4"/>
  <c r="P1802" i="4"/>
  <c r="Q1802" i="4"/>
  <c r="E1482" i="4"/>
  <c r="E1524" i="4"/>
  <c r="Q627" i="4"/>
  <c r="K627" i="4"/>
  <c r="O627" i="4"/>
  <c r="J627" i="4"/>
  <c r="L627" i="4"/>
  <c r="M627" i="4"/>
  <c r="P627" i="4"/>
  <c r="N627" i="4"/>
  <c r="E1510" i="4"/>
  <c r="J1652" i="4"/>
  <c r="K1652" i="4"/>
  <c r="L1652" i="4"/>
  <c r="M1652" i="4"/>
  <c r="N1652" i="4"/>
  <c r="O1652" i="4"/>
  <c r="P1652" i="4"/>
  <c r="Q1652" i="4"/>
  <c r="O1655" i="4"/>
  <c r="P1655" i="4"/>
  <c r="Q1655" i="4"/>
  <c r="J1655" i="4"/>
  <c r="K1655" i="4"/>
  <c r="L1655" i="4"/>
  <c r="M1655" i="4"/>
  <c r="N1655" i="4"/>
  <c r="Q673" i="4"/>
  <c r="N673" i="4"/>
  <c r="O673" i="4"/>
  <c r="P673" i="4"/>
  <c r="K673" i="4"/>
  <c r="L673" i="4"/>
  <c r="M673" i="4"/>
  <c r="J673" i="4"/>
  <c r="N554" i="4"/>
  <c r="O554" i="4"/>
  <c r="P554" i="4"/>
  <c r="Q554" i="4"/>
  <c r="J554" i="4"/>
  <c r="K554" i="4"/>
  <c r="L554" i="4"/>
  <c r="M554" i="4"/>
  <c r="K1678" i="4"/>
  <c r="L1678" i="4"/>
  <c r="M1678" i="4"/>
  <c r="O1678" i="4"/>
  <c r="P1678" i="4"/>
  <c r="J1678" i="4"/>
  <c r="N1678" i="4"/>
  <c r="Q1678" i="4"/>
  <c r="L609" i="4"/>
  <c r="N609" i="4"/>
  <c r="P609" i="4"/>
  <c r="M609" i="4"/>
  <c r="O609" i="4"/>
  <c r="Q609" i="4"/>
  <c r="K609" i="4"/>
  <c r="J609" i="4"/>
  <c r="L516" i="4"/>
  <c r="M516" i="4"/>
  <c r="N516" i="4"/>
  <c r="O516" i="4"/>
  <c r="P516" i="4"/>
  <c r="Q516" i="4"/>
  <c r="J516" i="4"/>
  <c r="K516" i="4"/>
  <c r="Q716" i="4"/>
  <c r="J716" i="4"/>
  <c r="K716" i="4"/>
  <c r="L716" i="4"/>
  <c r="M716" i="4"/>
  <c r="N716" i="4"/>
  <c r="O716" i="4"/>
  <c r="P716" i="4"/>
  <c r="K537" i="4"/>
  <c r="L537" i="4"/>
  <c r="M537" i="4"/>
  <c r="N537" i="4"/>
  <c r="O537" i="4"/>
  <c r="P537" i="4"/>
  <c r="Q537" i="4"/>
  <c r="J537" i="4"/>
  <c r="L619" i="4"/>
  <c r="M619" i="4"/>
  <c r="N619" i="4"/>
  <c r="O619" i="4"/>
  <c r="P619" i="4"/>
  <c r="K619" i="4"/>
  <c r="Q619" i="4"/>
  <c r="J619" i="4"/>
  <c r="M660" i="4"/>
  <c r="O660" i="4"/>
  <c r="P660" i="4"/>
  <c r="Q660" i="4"/>
  <c r="J660" i="4"/>
  <c r="K660" i="4"/>
  <c r="L660" i="4"/>
  <c r="N660" i="4"/>
  <c r="J611" i="4"/>
  <c r="K611" i="4"/>
  <c r="P611" i="4"/>
  <c r="Q611" i="4"/>
  <c r="L611" i="4"/>
  <c r="M611" i="4"/>
  <c r="N611" i="4"/>
  <c r="O611" i="4"/>
  <c r="E1576" i="4"/>
  <c r="Q887" i="4"/>
  <c r="K887" i="4"/>
  <c r="N887" i="4"/>
  <c r="J887" i="4"/>
  <c r="L887" i="4"/>
  <c r="M887" i="4"/>
  <c r="P887" i="4"/>
  <c r="O887" i="4"/>
  <c r="K909" i="4"/>
  <c r="N909" i="4"/>
  <c r="Q909" i="4"/>
  <c r="J909" i="4"/>
  <c r="L909" i="4"/>
  <c r="M909" i="4"/>
  <c r="P909" i="4"/>
  <c r="O909" i="4"/>
  <c r="J874" i="4"/>
  <c r="K874" i="4"/>
  <c r="L874" i="4"/>
  <c r="M874" i="4"/>
  <c r="O874" i="4"/>
  <c r="P874" i="4"/>
  <c r="Q874" i="4"/>
  <c r="N874" i="4"/>
  <c r="M936" i="4"/>
  <c r="N936" i="4"/>
  <c r="O936" i="4"/>
  <c r="P936" i="4"/>
  <c r="J936" i="4"/>
  <c r="K936" i="4"/>
  <c r="L936" i="4"/>
  <c r="Q936" i="4"/>
  <c r="J977" i="4"/>
  <c r="K977" i="4"/>
  <c r="L977" i="4"/>
  <c r="M977" i="4"/>
  <c r="N977" i="4"/>
  <c r="O977" i="4"/>
  <c r="Q977" i="4"/>
  <c r="P977" i="4"/>
  <c r="J1018" i="4"/>
  <c r="K1018" i="4"/>
  <c r="L1018" i="4"/>
  <c r="M1018" i="4"/>
  <c r="N1018" i="4"/>
  <c r="P1018" i="4"/>
  <c r="Q1018" i="4"/>
  <c r="O1018" i="4"/>
  <c r="J1059" i="4"/>
  <c r="K1059" i="4"/>
  <c r="L1059" i="4"/>
  <c r="M1059" i="4"/>
  <c r="N1059" i="4"/>
  <c r="P1059" i="4"/>
  <c r="O1059" i="4"/>
  <c r="Q1059" i="4"/>
  <c r="J903" i="4"/>
  <c r="K903" i="4"/>
  <c r="L903" i="4"/>
  <c r="N903" i="4"/>
  <c r="Q903" i="4"/>
  <c r="M903" i="4"/>
  <c r="O903" i="4"/>
  <c r="P903" i="4"/>
  <c r="M944" i="4"/>
  <c r="N944" i="4"/>
  <c r="O944" i="4"/>
  <c r="P944" i="4"/>
  <c r="J944" i="4"/>
  <c r="K944" i="4"/>
  <c r="L944" i="4"/>
  <c r="Q944" i="4"/>
  <c r="N1041" i="4"/>
  <c r="O1041" i="4"/>
  <c r="P1041" i="4"/>
  <c r="Q1041" i="4"/>
  <c r="J1041" i="4"/>
  <c r="K1041" i="4"/>
  <c r="L1041" i="4"/>
  <c r="M1041" i="4"/>
  <c r="N1001" i="4"/>
  <c r="O1001" i="4"/>
  <c r="P1001" i="4"/>
  <c r="Q1001" i="4"/>
  <c r="J1001" i="4"/>
  <c r="K1001" i="4"/>
  <c r="L1001" i="4"/>
  <c r="M1001" i="4"/>
  <c r="N970" i="4"/>
  <c r="O970" i="4"/>
  <c r="P970" i="4"/>
  <c r="Q970" i="4"/>
  <c r="J970" i="4"/>
  <c r="K970" i="4"/>
  <c r="L970" i="4"/>
  <c r="M970" i="4"/>
  <c r="N1028" i="4"/>
  <c r="O1028" i="4"/>
  <c r="P1028" i="4"/>
  <c r="Q1028" i="4"/>
  <c r="J1028" i="4"/>
  <c r="L1028" i="4"/>
  <c r="K1028" i="4"/>
  <c r="M1028" i="4"/>
  <c r="N986" i="4"/>
  <c r="O986" i="4"/>
  <c r="P986" i="4"/>
  <c r="Q986" i="4"/>
  <c r="J986" i="4"/>
  <c r="K986" i="4"/>
  <c r="L986" i="4"/>
  <c r="M986" i="4"/>
  <c r="L1408" i="4"/>
  <c r="M1408" i="4"/>
  <c r="N1408" i="4"/>
  <c r="O1408" i="4"/>
  <c r="J1408" i="4"/>
  <c r="K1408" i="4"/>
  <c r="P1408" i="4"/>
  <c r="Q1408" i="4"/>
  <c r="J888" i="4"/>
  <c r="K888" i="4"/>
  <c r="L888" i="4"/>
  <c r="M888" i="4"/>
  <c r="N888" i="4"/>
  <c r="O888" i="4"/>
  <c r="P888" i="4"/>
  <c r="Q888" i="4"/>
  <c r="L1313" i="4"/>
  <c r="M1313" i="4"/>
  <c r="N1313" i="4"/>
  <c r="O1313" i="4"/>
  <c r="J1313" i="4"/>
  <c r="K1313" i="4"/>
  <c r="P1313" i="4"/>
  <c r="Q1313" i="4"/>
  <c r="J1354" i="4"/>
  <c r="K1354" i="4"/>
  <c r="L1354" i="4"/>
  <c r="M1354" i="4"/>
  <c r="O1354" i="4"/>
  <c r="N1354" i="4"/>
  <c r="P1354" i="4"/>
  <c r="Q1354" i="4"/>
  <c r="P1415" i="4"/>
  <c r="Q1415" i="4"/>
  <c r="J1415" i="4"/>
  <c r="K1415" i="4"/>
  <c r="L1415" i="4"/>
  <c r="M1415" i="4"/>
  <c r="N1415" i="4"/>
  <c r="O1415" i="4"/>
  <c r="J1377" i="4"/>
  <c r="K1377" i="4"/>
  <c r="L1377" i="4"/>
  <c r="M1377" i="4"/>
  <c r="N1377" i="4"/>
  <c r="O1377" i="4"/>
  <c r="P1377" i="4"/>
  <c r="Q1377" i="4"/>
  <c r="J1259" i="4"/>
  <c r="K1259" i="4"/>
  <c r="L1259" i="4"/>
  <c r="N1259" i="4"/>
  <c r="P1259" i="4"/>
  <c r="Q1259" i="4"/>
  <c r="M1259" i="4"/>
  <c r="O1259" i="4"/>
  <c r="P1320" i="4"/>
  <c r="Q1320" i="4"/>
  <c r="K1320" i="4"/>
  <c r="L1320" i="4"/>
  <c r="M1320" i="4"/>
  <c r="N1320" i="4"/>
  <c r="O1320" i="4"/>
  <c r="J1320" i="4"/>
  <c r="J1361" i="4"/>
  <c r="K1361" i="4"/>
  <c r="N1361" i="4"/>
  <c r="O1361" i="4"/>
  <c r="P1361" i="4"/>
  <c r="Q1361" i="4"/>
  <c r="L1361" i="4"/>
  <c r="M1361" i="4"/>
  <c r="J1402" i="4"/>
  <c r="K1402" i="4"/>
  <c r="L1402" i="4"/>
  <c r="M1402" i="4"/>
  <c r="N1402" i="4"/>
  <c r="O1402" i="4"/>
  <c r="P1402" i="4"/>
  <c r="Q1402" i="4"/>
  <c r="J1443" i="4"/>
  <c r="K1443" i="4"/>
  <c r="L1443" i="4"/>
  <c r="M1443" i="4"/>
  <c r="N1443" i="4"/>
  <c r="O1443" i="4"/>
  <c r="P1443" i="4"/>
  <c r="Q1443" i="4"/>
  <c r="L1327" i="4"/>
  <c r="J1327" i="4"/>
  <c r="K1327" i="4"/>
  <c r="M1327" i="4"/>
  <c r="N1327" i="4"/>
  <c r="O1327" i="4"/>
  <c r="Q1327" i="4"/>
  <c r="P1327" i="4"/>
  <c r="J1613" i="4"/>
  <c r="K1613" i="4"/>
  <c r="L1613" i="4"/>
  <c r="M1613" i="4"/>
  <c r="N1613" i="4"/>
  <c r="O1613" i="4"/>
  <c r="P1613" i="4"/>
  <c r="Q1613" i="4"/>
  <c r="J1696" i="4"/>
  <c r="K1696" i="4"/>
  <c r="L1696" i="4"/>
  <c r="M1696" i="4"/>
  <c r="N1696" i="4"/>
  <c r="O1696" i="4"/>
  <c r="P1696" i="4"/>
  <c r="Q1696" i="4"/>
  <c r="K1758" i="4"/>
  <c r="L1758" i="4"/>
  <c r="M1758" i="4"/>
  <c r="J1758" i="4"/>
  <c r="N1758" i="4"/>
  <c r="O1758" i="4"/>
  <c r="P1758" i="4"/>
  <c r="Q1758" i="4"/>
  <c r="J1786" i="4"/>
  <c r="K1786" i="4"/>
  <c r="L1786" i="4"/>
  <c r="M1786" i="4"/>
  <c r="N1786" i="4"/>
  <c r="O1786" i="4"/>
  <c r="P1786" i="4"/>
  <c r="Q1786" i="4"/>
  <c r="K1688" i="4"/>
  <c r="L1688" i="4"/>
  <c r="M1688" i="4"/>
  <c r="J1688" i="4"/>
  <c r="N1688" i="4"/>
  <c r="O1688" i="4"/>
  <c r="P1688" i="4"/>
  <c r="Q1688" i="4"/>
  <c r="K1707" i="4"/>
  <c r="J1707" i="4"/>
  <c r="L1707" i="4"/>
  <c r="M1707" i="4"/>
  <c r="N1707" i="4"/>
  <c r="O1707" i="4"/>
  <c r="P1707" i="4"/>
  <c r="Q1707" i="4"/>
  <c r="J1651" i="4"/>
  <c r="K1651" i="4"/>
  <c r="L1651" i="4"/>
  <c r="Q1651" i="4"/>
  <c r="M1651" i="4"/>
  <c r="N1651" i="4"/>
  <c r="O1651" i="4"/>
  <c r="P1651" i="4"/>
  <c r="N1659" i="4"/>
  <c r="O1659" i="4"/>
  <c r="P1659" i="4"/>
  <c r="Q1659" i="4"/>
  <c r="J1659" i="4"/>
  <c r="K1659" i="4"/>
  <c r="L1659" i="4"/>
  <c r="M1659" i="4"/>
  <c r="Q1584" i="4"/>
  <c r="J1584" i="4"/>
  <c r="K1584" i="4"/>
  <c r="L1584" i="4"/>
  <c r="M1584" i="4"/>
  <c r="N1584" i="4"/>
  <c r="O1584" i="4"/>
  <c r="P1584" i="4"/>
  <c r="E1544" i="4"/>
  <c r="Q647" i="4"/>
  <c r="M647" i="4"/>
  <c r="N647" i="4"/>
  <c r="O647" i="4"/>
  <c r="P647" i="4"/>
  <c r="J647" i="4"/>
  <c r="L647" i="4"/>
  <c r="K647" i="4"/>
  <c r="E1530" i="4"/>
  <c r="O1745" i="4"/>
  <c r="P1745" i="4"/>
  <c r="Q1745" i="4"/>
  <c r="J1745" i="4"/>
  <c r="K1745" i="4"/>
  <c r="L1745" i="4"/>
  <c r="M1745" i="4"/>
  <c r="N1745" i="4"/>
  <c r="M606" i="4"/>
  <c r="O606" i="4"/>
  <c r="P606" i="4"/>
  <c r="J606" i="4"/>
  <c r="K606" i="4"/>
  <c r="L606" i="4"/>
  <c r="N606" i="4"/>
  <c r="Q606" i="4"/>
  <c r="J568" i="4"/>
  <c r="K568" i="4"/>
  <c r="L568" i="4"/>
  <c r="M568" i="4"/>
  <c r="N568" i="4"/>
  <c r="O568" i="4"/>
  <c r="P568" i="4"/>
  <c r="Q568" i="4"/>
  <c r="N510" i="4"/>
  <c r="O510" i="4"/>
  <c r="P510" i="4"/>
  <c r="Q510" i="4"/>
  <c r="L510" i="4"/>
  <c r="M510" i="4"/>
  <c r="J510" i="4"/>
  <c r="K510" i="4"/>
  <c r="M641" i="4"/>
  <c r="N641" i="4"/>
  <c r="O641" i="4"/>
  <c r="P641" i="4"/>
  <c r="Q641" i="4"/>
  <c r="K641" i="4"/>
  <c r="L641" i="4"/>
  <c r="J641" i="4"/>
  <c r="Q652" i="4"/>
  <c r="K652" i="4"/>
  <c r="N652" i="4"/>
  <c r="O652" i="4"/>
  <c r="P652" i="4"/>
  <c r="J652" i="4"/>
  <c r="L652" i="4"/>
  <c r="M652" i="4"/>
  <c r="J703" i="4"/>
  <c r="K703" i="4"/>
  <c r="L703" i="4"/>
  <c r="M703" i="4"/>
  <c r="N703" i="4"/>
  <c r="O703" i="4"/>
  <c r="P703" i="4"/>
  <c r="Q703" i="4"/>
  <c r="J598" i="4"/>
  <c r="K598" i="4"/>
  <c r="L598" i="4"/>
  <c r="P598" i="4"/>
  <c r="Q598" i="4"/>
  <c r="M598" i="4"/>
  <c r="N598" i="4"/>
  <c r="O598" i="4"/>
  <c r="K612" i="4"/>
  <c r="M612" i="4"/>
  <c r="J612" i="4"/>
  <c r="L612" i="4"/>
  <c r="N612" i="4"/>
  <c r="P612" i="4"/>
  <c r="Q612" i="4"/>
  <c r="O612" i="4"/>
  <c r="Q907" i="4"/>
  <c r="J907" i="4"/>
  <c r="K907" i="4"/>
  <c r="L907" i="4"/>
  <c r="M907" i="4"/>
  <c r="N907" i="4"/>
  <c r="O907" i="4"/>
  <c r="P907" i="4"/>
  <c r="Q929" i="4"/>
  <c r="J929" i="4"/>
  <c r="K929" i="4"/>
  <c r="L929" i="4"/>
  <c r="M929" i="4"/>
  <c r="N929" i="4"/>
  <c r="O929" i="4"/>
  <c r="P929" i="4"/>
  <c r="J894" i="4"/>
  <c r="M894" i="4"/>
  <c r="N894" i="4"/>
  <c r="O894" i="4"/>
  <c r="P894" i="4"/>
  <c r="Q894" i="4"/>
  <c r="K894" i="4"/>
  <c r="L894" i="4"/>
  <c r="N956" i="4"/>
  <c r="O956" i="4"/>
  <c r="P956" i="4"/>
  <c r="Q956" i="4"/>
  <c r="J956" i="4"/>
  <c r="K956" i="4"/>
  <c r="L956" i="4"/>
  <c r="M956" i="4"/>
  <c r="J997" i="4"/>
  <c r="K997" i="4"/>
  <c r="L997" i="4"/>
  <c r="O997" i="4"/>
  <c r="P997" i="4"/>
  <c r="Q997" i="4"/>
  <c r="N997" i="4"/>
  <c r="M997" i="4"/>
  <c r="J1038" i="4"/>
  <c r="K1038" i="4"/>
  <c r="L1038" i="4"/>
  <c r="M1038" i="4"/>
  <c r="N1038" i="4"/>
  <c r="O1038" i="4"/>
  <c r="P1038" i="4"/>
  <c r="Q1038" i="4"/>
  <c r="J1079" i="4"/>
  <c r="K1079" i="4"/>
  <c r="L1079" i="4"/>
  <c r="M1079" i="4"/>
  <c r="P1079" i="4"/>
  <c r="N1079" i="4"/>
  <c r="O1079" i="4"/>
  <c r="Q1079" i="4"/>
  <c r="J923" i="4"/>
  <c r="K923" i="4"/>
  <c r="L923" i="4"/>
  <c r="Q923" i="4"/>
  <c r="M923" i="4"/>
  <c r="N923" i="4"/>
  <c r="O923" i="4"/>
  <c r="P923" i="4"/>
  <c r="J964" i="4"/>
  <c r="K964" i="4"/>
  <c r="L964" i="4"/>
  <c r="M964" i="4"/>
  <c r="N964" i="4"/>
  <c r="O964" i="4"/>
  <c r="P964" i="4"/>
  <c r="Q964" i="4"/>
  <c r="N1021" i="4"/>
  <c r="O1021" i="4"/>
  <c r="P1021" i="4"/>
  <c r="Q1021" i="4"/>
  <c r="J1021" i="4"/>
  <c r="K1021" i="4"/>
  <c r="L1021" i="4"/>
  <c r="M1021" i="4"/>
  <c r="N1075" i="4"/>
  <c r="O1075" i="4"/>
  <c r="P1075" i="4"/>
  <c r="Q1075" i="4"/>
  <c r="J1075" i="4"/>
  <c r="L1075" i="4"/>
  <c r="K1075" i="4"/>
  <c r="M1075" i="4"/>
  <c r="J948" i="4"/>
  <c r="K948" i="4"/>
  <c r="L948" i="4"/>
  <c r="Q948" i="4"/>
  <c r="M948" i="4"/>
  <c r="N948" i="4"/>
  <c r="O948" i="4"/>
  <c r="P948" i="4"/>
  <c r="M886" i="4"/>
  <c r="N886" i="4"/>
  <c r="O886" i="4"/>
  <c r="P886" i="4"/>
  <c r="Q886" i="4"/>
  <c r="J886" i="4"/>
  <c r="K886" i="4"/>
  <c r="L886" i="4"/>
  <c r="L1428" i="4"/>
  <c r="M1428" i="4"/>
  <c r="N1428" i="4"/>
  <c r="O1428" i="4"/>
  <c r="P1428" i="4"/>
  <c r="Q1428" i="4"/>
  <c r="J1428" i="4"/>
  <c r="K1428" i="4"/>
  <c r="L1333" i="4"/>
  <c r="M1333" i="4"/>
  <c r="N1333" i="4"/>
  <c r="O1333" i="4"/>
  <c r="P1333" i="4"/>
  <c r="Q1333" i="4"/>
  <c r="J1333" i="4"/>
  <c r="K1333" i="4"/>
  <c r="J1374" i="4"/>
  <c r="K1374" i="4"/>
  <c r="L1374" i="4"/>
  <c r="M1374" i="4"/>
  <c r="N1374" i="4"/>
  <c r="O1374" i="4"/>
  <c r="P1374" i="4"/>
  <c r="Q1374" i="4"/>
  <c r="P1435" i="4"/>
  <c r="Q1435" i="4"/>
  <c r="J1435" i="4"/>
  <c r="K1435" i="4"/>
  <c r="L1435" i="4"/>
  <c r="M1435" i="4"/>
  <c r="N1435" i="4"/>
  <c r="O1435" i="4"/>
  <c r="K1417" i="4"/>
  <c r="N1417" i="4"/>
  <c r="O1417" i="4"/>
  <c r="P1417" i="4"/>
  <c r="Q1417" i="4"/>
  <c r="J1417" i="4"/>
  <c r="L1417" i="4"/>
  <c r="M1417" i="4"/>
  <c r="J1279" i="4"/>
  <c r="K1279" i="4"/>
  <c r="N1279" i="4"/>
  <c r="P1279" i="4"/>
  <c r="Q1279" i="4"/>
  <c r="L1279" i="4"/>
  <c r="M1279" i="4"/>
  <c r="O1279" i="4"/>
  <c r="P1340" i="4"/>
  <c r="Q1340" i="4"/>
  <c r="K1340" i="4"/>
  <c r="L1340" i="4"/>
  <c r="M1340" i="4"/>
  <c r="N1340" i="4"/>
  <c r="O1340" i="4"/>
  <c r="J1340" i="4"/>
  <c r="J1381" i="4"/>
  <c r="K1381" i="4"/>
  <c r="P1381" i="4"/>
  <c r="Q1381" i="4"/>
  <c r="L1381" i="4"/>
  <c r="M1381" i="4"/>
  <c r="N1381" i="4"/>
  <c r="O1381" i="4"/>
  <c r="L1422" i="4"/>
  <c r="M1422" i="4"/>
  <c r="N1422" i="4"/>
  <c r="O1422" i="4"/>
  <c r="P1422" i="4"/>
  <c r="Q1422" i="4"/>
  <c r="J1422" i="4"/>
  <c r="K1422" i="4"/>
  <c r="L1347" i="4"/>
  <c r="J1347" i="4"/>
  <c r="K1347" i="4"/>
  <c r="M1347" i="4"/>
  <c r="N1347" i="4"/>
  <c r="O1347" i="4"/>
  <c r="Q1347" i="4"/>
  <c r="P1347" i="4"/>
  <c r="M1589" i="4"/>
  <c r="N1589" i="4"/>
  <c r="O1589" i="4"/>
  <c r="P1589" i="4"/>
  <c r="Q1589" i="4"/>
  <c r="J1589" i="4"/>
  <c r="K1589" i="4"/>
  <c r="L1589" i="4"/>
  <c r="J1633" i="4"/>
  <c r="O1633" i="4"/>
  <c r="P1633" i="4"/>
  <c r="Q1633" i="4"/>
  <c r="K1633" i="4"/>
  <c r="L1633" i="4"/>
  <c r="M1633" i="4"/>
  <c r="N1633" i="4"/>
  <c r="J1716" i="4"/>
  <c r="K1716" i="4"/>
  <c r="L1716" i="4"/>
  <c r="M1716" i="4"/>
  <c r="N1716" i="4"/>
  <c r="O1716" i="4"/>
  <c r="P1716" i="4"/>
  <c r="Q1716" i="4"/>
  <c r="K1579" i="4"/>
  <c r="L1579" i="4"/>
  <c r="M1579" i="4"/>
  <c r="N1579" i="4"/>
  <c r="O1579" i="4"/>
  <c r="P1579" i="4"/>
  <c r="J1579" i="4"/>
  <c r="Q1579" i="4"/>
  <c r="J1771" i="4"/>
  <c r="K1771" i="4"/>
  <c r="L1771" i="4"/>
  <c r="M1771" i="4"/>
  <c r="N1771" i="4"/>
  <c r="O1771" i="4"/>
  <c r="P1771" i="4"/>
  <c r="Q1771" i="4"/>
  <c r="K1747" i="4"/>
  <c r="J1747" i="4"/>
  <c r="L1747" i="4"/>
  <c r="M1747" i="4"/>
  <c r="N1747" i="4"/>
  <c r="O1747" i="4"/>
  <c r="P1747" i="4"/>
  <c r="Q1747" i="4"/>
  <c r="J908" i="4"/>
  <c r="K908" i="4"/>
  <c r="L908" i="4"/>
  <c r="M908" i="4"/>
  <c r="N908" i="4"/>
  <c r="O908" i="4"/>
  <c r="P908" i="4"/>
  <c r="Q908" i="4"/>
  <c r="O1795" i="4"/>
  <c r="P1795" i="4"/>
  <c r="Q1795" i="4"/>
  <c r="J1795" i="4"/>
  <c r="K1795" i="4"/>
  <c r="L1795" i="4"/>
  <c r="M1795" i="4"/>
  <c r="N1795" i="4"/>
  <c r="L1318" i="4"/>
  <c r="M1318" i="4"/>
  <c r="N1318" i="4"/>
  <c r="O1318" i="4"/>
  <c r="P1318" i="4"/>
  <c r="Q1318" i="4"/>
  <c r="J1318" i="4"/>
  <c r="K1318" i="4"/>
  <c r="E1479" i="4"/>
  <c r="E1520" i="4"/>
  <c r="E1454" i="4"/>
  <c r="K1604" i="4"/>
  <c r="L1604" i="4"/>
  <c r="M1604" i="4"/>
  <c r="N1604" i="4"/>
  <c r="O1604" i="4"/>
  <c r="P1604" i="4"/>
  <c r="Q1604" i="4"/>
  <c r="J1604" i="4"/>
  <c r="E1522" i="4"/>
  <c r="E1564" i="4"/>
  <c r="Q667" i="4"/>
  <c r="M667" i="4"/>
  <c r="N667" i="4"/>
  <c r="O667" i="4"/>
  <c r="P667" i="4"/>
  <c r="K667" i="4"/>
  <c r="L667" i="4"/>
  <c r="J667" i="4"/>
  <c r="E467" i="4"/>
  <c r="P1612" i="4"/>
  <c r="Q1612" i="4"/>
  <c r="J1612" i="4"/>
  <c r="K1612" i="4"/>
  <c r="L1612" i="4"/>
  <c r="M1612" i="4"/>
  <c r="N1612" i="4"/>
  <c r="O1612" i="4"/>
  <c r="J690" i="4"/>
  <c r="N690" i="4"/>
  <c r="K690" i="4"/>
  <c r="L690" i="4"/>
  <c r="O690" i="4"/>
  <c r="M690" i="4"/>
  <c r="P690" i="4"/>
  <c r="Q690" i="4"/>
  <c r="J633" i="4"/>
  <c r="L633" i="4"/>
  <c r="Q633" i="4"/>
  <c r="K633" i="4"/>
  <c r="M633" i="4"/>
  <c r="N633" i="4"/>
  <c r="O633" i="4"/>
  <c r="P633" i="4"/>
  <c r="O514" i="4"/>
  <c r="P514" i="4"/>
  <c r="J514" i="4"/>
  <c r="K514" i="4"/>
  <c r="L514" i="4"/>
  <c r="M514" i="4"/>
  <c r="N514" i="4"/>
  <c r="Q514" i="4"/>
  <c r="J1638" i="4"/>
  <c r="K1638" i="4"/>
  <c r="L1638" i="4"/>
  <c r="M1638" i="4"/>
  <c r="N1638" i="4"/>
  <c r="O1638" i="4"/>
  <c r="P1638" i="4"/>
  <c r="Q1638" i="4"/>
  <c r="J583" i="4"/>
  <c r="K583" i="4"/>
  <c r="L583" i="4"/>
  <c r="M583" i="4"/>
  <c r="Q583" i="4"/>
  <c r="P583" i="4"/>
  <c r="N583" i="4"/>
  <c r="O583" i="4"/>
  <c r="K522" i="4"/>
  <c r="L522" i="4"/>
  <c r="O522" i="4"/>
  <c r="M522" i="4"/>
  <c r="N522" i="4"/>
  <c r="P522" i="4"/>
  <c r="Q522" i="4"/>
  <c r="J522" i="4"/>
  <c r="K571" i="4"/>
  <c r="L571" i="4"/>
  <c r="M571" i="4"/>
  <c r="N571" i="4"/>
  <c r="O571" i="4"/>
  <c r="P571" i="4"/>
  <c r="Q571" i="4"/>
  <c r="J571" i="4"/>
  <c r="M655" i="4"/>
  <c r="O655" i="4"/>
  <c r="P655" i="4"/>
  <c r="K655" i="4"/>
  <c r="L655" i="4"/>
  <c r="N655" i="4"/>
  <c r="Q655" i="4"/>
  <c r="J655" i="4"/>
  <c r="M661" i="4"/>
  <c r="N661" i="4"/>
  <c r="O661" i="4"/>
  <c r="P661" i="4"/>
  <c r="J661" i="4"/>
  <c r="K661" i="4"/>
  <c r="L661" i="4"/>
  <c r="Q661" i="4"/>
  <c r="J603" i="4"/>
  <c r="K603" i="4"/>
  <c r="L603" i="4"/>
  <c r="N603" i="4"/>
  <c r="P603" i="4"/>
  <c r="Q603" i="4"/>
  <c r="M603" i="4"/>
  <c r="O603" i="4"/>
  <c r="O524" i="4"/>
  <c r="P524" i="4"/>
  <c r="N524" i="4"/>
  <c r="Q524" i="4"/>
  <c r="J524" i="4"/>
  <c r="K524" i="4"/>
  <c r="L524" i="4"/>
  <c r="M524" i="4"/>
  <c r="P629" i="4"/>
  <c r="O629" i="4"/>
  <c r="Q629" i="4"/>
  <c r="J629" i="4"/>
  <c r="N629" i="4"/>
  <c r="K629" i="4"/>
  <c r="L629" i="4"/>
  <c r="M629" i="4"/>
  <c r="O591" i="4"/>
  <c r="P591" i="4"/>
  <c r="Q591" i="4"/>
  <c r="M591" i="4"/>
  <c r="N591" i="4"/>
  <c r="K591" i="4"/>
  <c r="L591" i="4"/>
  <c r="J591" i="4"/>
  <c r="K572" i="4"/>
  <c r="L572" i="4"/>
  <c r="M572" i="4"/>
  <c r="N572" i="4"/>
  <c r="O572" i="4"/>
  <c r="J572" i="4"/>
  <c r="P572" i="4"/>
  <c r="Q572" i="4"/>
  <c r="J675" i="4"/>
  <c r="N675" i="4"/>
  <c r="O675" i="4"/>
  <c r="P675" i="4"/>
  <c r="Q675" i="4"/>
  <c r="K675" i="4"/>
  <c r="L675" i="4"/>
  <c r="M675" i="4"/>
  <c r="J536" i="4"/>
  <c r="K536" i="4"/>
  <c r="L536" i="4"/>
  <c r="M536" i="4"/>
  <c r="N536" i="4"/>
  <c r="O536" i="4"/>
  <c r="P536" i="4"/>
  <c r="Q536" i="4"/>
  <c r="M557" i="4"/>
  <c r="N557" i="4"/>
  <c r="O557" i="4"/>
  <c r="P557" i="4"/>
  <c r="Q557" i="4"/>
  <c r="J557" i="4"/>
  <c r="K557" i="4"/>
  <c r="L557" i="4"/>
  <c r="J639" i="4"/>
  <c r="K639" i="4"/>
  <c r="L639" i="4"/>
  <c r="M639" i="4"/>
  <c r="N639" i="4"/>
  <c r="O639" i="4"/>
  <c r="P639" i="4"/>
  <c r="Q639" i="4"/>
  <c r="J680" i="4"/>
  <c r="K680" i="4"/>
  <c r="L680" i="4"/>
  <c r="N680" i="4"/>
  <c r="M680" i="4"/>
  <c r="O680" i="4"/>
  <c r="P680" i="4"/>
  <c r="Q680" i="4"/>
  <c r="K622" i="4"/>
  <c r="L622" i="4"/>
  <c r="M622" i="4"/>
  <c r="N622" i="4"/>
  <c r="O622" i="4"/>
  <c r="J622" i="4"/>
  <c r="P622" i="4"/>
  <c r="Q622" i="4"/>
  <c r="E567" i="4"/>
  <c r="Q927" i="4"/>
  <c r="J927" i="4"/>
  <c r="K927" i="4"/>
  <c r="L927" i="4"/>
  <c r="M927" i="4"/>
  <c r="O927" i="4"/>
  <c r="N927" i="4"/>
  <c r="P927" i="4"/>
  <c r="J949" i="4"/>
  <c r="K949" i="4"/>
  <c r="L949" i="4"/>
  <c r="M949" i="4"/>
  <c r="N949" i="4"/>
  <c r="O949" i="4"/>
  <c r="P949" i="4"/>
  <c r="Q949" i="4"/>
  <c r="M914" i="4"/>
  <c r="N914" i="4"/>
  <c r="O914" i="4"/>
  <c r="P914" i="4"/>
  <c r="Q914" i="4"/>
  <c r="J914" i="4"/>
  <c r="K914" i="4"/>
  <c r="L914" i="4"/>
  <c r="N976" i="4"/>
  <c r="O976" i="4"/>
  <c r="P976" i="4"/>
  <c r="Q976" i="4"/>
  <c r="L976" i="4"/>
  <c r="M976" i="4"/>
  <c r="J976" i="4"/>
  <c r="K976" i="4"/>
  <c r="J1017" i="4"/>
  <c r="K1017" i="4"/>
  <c r="L1017" i="4"/>
  <c r="O1017" i="4"/>
  <c r="P1017" i="4"/>
  <c r="Q1017" i="4"/>
  <c r="N1017" i="4"/>
  <c r="M1017" i="4"/>
  <c r="M1058" i="4"/>
  <c r="N1058" i="4"/>
  <c r="O1058" i="4"/>
  <c r="P1058" i="4"/>
  <c r="Q1058" i="4"/>
  <c r="J1058" i="4"/>
  <c r="L1058" i="4"/>
  <c r="K1058" i="4"/>
  <c r="J943" i="4"/>
  <c r="K943" i="4"/>
  <c r="L943" i="4"/>
  <c r="M943" i="4"/>
  <c r="N943" i="4"/>
  <c r="Q943" i="4"/>
  <c r="O943" i="4"/>
  <c r="P943" i="4"/>
  <c r="J984" i="4"/>
  <c r="K984" i="4"/>
  <c r="L984" i="4"/>
  <c r="M984" i="4"/>
  <c r="P984" i="4"/>
  <c r="Q984" i="4"/>
  <c r="N984" i="4"/>
  <c r="O984" i="4"/>
  <c r="L1070" i="4"/>
  <c r="Q1070" i="4"/>
  <c r="J1070" i="4"/>
  <c r="K1070" i="4"/>
  <c r="M1070" i="4"/>
  <c r="N1070" i="4"/>
  <c r="O1070" i="4"/>
  <c r="P1070" i="4"/>
  <c r="M910" i="4"/>
  <c r="N910" i="4"/>
  <c r="O910" i="4"/>
  <c r="P910" i="4"/>
  <c r="J910" i="4"/>
  <c r="K910" i="4"/>
  <c r="L910" i="4"/>
  <c r="Q910" i="4"/>
  <c r="N1050" i="4"/>
  <c r="O1050" i="4"/>
  <c r="P1050" i="4"/>
  <c r="Q1050" i="4"/>
  <c r="J1050" i="4"/>
  <c r="L1050" i="4"/>
  <c r="K1050" i="4"/>
  <c r="M1050" i="4"/>
  <c r="J988" i="4"/>
  <c r="K988" i="4"/>
  <c r="L988" i="4"/>
  <c r="M988" i="4"/>
  <c r="P988" i="4"/>
  <c r="Q988" i="4"/>
  <c r="N988" i="4"/>
  <c r="O988" i="4"/>
  <c r="L1353" i="4"/>
  <c r="M1353" i="4"/>
  <c r="N1353" i="4"/>
  <c r="O1353" i="4"/>
  <c r="P1353" i="4"/>
  <c r="Q1353" i="4"/>
  <c r="J1353" i="4"/>
  <c r="K1353" i="4"/>
  <c r="L1394" i="4"/>
  <c r="M1394" i="4"/>
  <c r="N1394" i="4"/>
  <c r="O1394" i="4"/>
  <c r="P1394" i="4"/>
  <c r="Q1394" i="4"/>
  <c r="J1394" i="4"/>
  <c r="K1394" i="4"/>
  <c r="J1236" i="4"/>
  <c r="K1236" i="4"/>
  <c r="M1236" i="4"/>
  <c r="O1236" i="4"/>
  <c r="P1236" i="4"/>
  <c r="Q1236" i="4"/>
  <c r="L1236" i="4"/>
  <c r="N1236" i="4"/>
  <c r="P1437" i="4"/>
  <c r="Q1437" i="4"/>
  <c r="J1437" i="4"/>
  <c r="K1437" i="4"/>
  <c r="L1437" i="4"/>
  <c r="M1437" i="4"/>
  <c r="N1437" i="4"/>
  <c r="O1437" i="4"/>
  <c r="K1299" i="4"/>
  <c r="P1299" i="4"/>
  <c r="Q1299" i="4"/>
  <c r="N1299" i="4"/>
  <c r="O1299" i="4"/>
  <c r="J1299" i="4"/>
  <c r="L1299" i="4"/>
  <c r="M1299" i="4"/>
  <c r="P1360" i="4"/>
  <c r="Q1360" i="4"/>
  <c r="J1360" i="4"/>
  <c r="K1360" i="4"/>
  <c r="L1360" i="4"/>
  <c r="M1360" i="4"/>
  <c r="O1360" i="4"/>
  <c r="N1360" i="4"/>
  <c r="J1401" i="4"/>
  <c r="K1401" i="4"/>
  <c r="L1401" i="4"/>
  <c r="M1401" i="4"/>
  <c r="O1401" i="4"/>
  <c r="N1401" i="4"/>
  <c r="P1401" i="4"/>
  <c r="Q1401" i="4"/>
  <c r="P1442" i="4"/>
  <c r="Q1442" i="4"/>
  <c r="J1442" i="4"/>
  <c r="K1442" i="4"/>
  <c r="L1442" i="4"/>
  <c r="M1442" i="4"/>
  <c r="N1442" i="4"/>
  <c r="O1442" i="4"/>
  <c r="K1367" i="4"/>
  <c r="N1367" i="4"/>
  <c r="O1367" i="4"/>
  <c r="P1367" i="4"/>
  <c r="Q1367" i="4"/>
  <c r="J1367" i="4"/>
  <c r="L1367" i="4"/>
  <c r="M1367" i="4"/>
  <c r="M865" i="4"/>
  <c r="N865" i="4"/>
  <c r="O865" i="4"/>
  <c r="P865" i="4"/>
  <c r="J865" i="4"/>
  <c r="Q865" i="4"/>
  <c r="L865" i="4"/>
  <c r="K865" i="4"/>
  <c r="J1609" i="4"/>
  <c r="K1609" i="4"/>
  <c r="L1609" i="4"/>
  <c r="Q1609" i="4"/>
  <c r="M1609" i="4"/>
  <c r="N1609" i="4"/>
  <c r="O1609" i="4"/>
  <c r="P1609" i="4"/>
  <c r="K1653" i="4"/>
  <c r="L1653" i="4"/>
  <c r="M1653" i="4"/>
  <c r="N1653" i="4"/>
  <c r="O1653" i="4"/>
  <c r="P1653" i="4"/>
  <c r="Q1653" i="4"/>
  <c r="J1653" i="4"/>
  <c r="J1736" i="4"/>
  <c r="K1736" i="4"/>
  <c r="L1736" i="4"/>
  <c r="M1736" i="4"/>
  <c r="N1736" i="4"/>
  <c r="O1736" i="4"/>
  <c r="P1736" i="4"/>
  <c r="Q1736" i="4"/>
  <c r="N1679" i="4"/>
  <c r="O1679" i="4"/>
  <c r="P1679" i="4"/>
  <c r="Q1679" i="4"/>
  <c r="J1679" i="4"/>
  <c r="K1679" i="4"/>
  <c r="L1679" i="4"/>
  <c r="M1679" i="4"/>
  <c r="O1715" i="4"/>
  <c r="P1715" i="4"/>
  <c r="Q1715" i="4"/>
  <c r="J1715" i="4"/>
  <c r="K1715" i="4"/>
  <c r="L1715" i="4"/>
  <c r="M1715" i="4"/>
  <c r="N1715" i="4"/>
  <c r="J1591" i="4"/>
  <c r="K1591" i="4"/>
  <c r="L1591" i="4"/>
  <c r="M1591" i="4"/>
  <c r="N1591" i="4"/>
  <c r="O1591" i="4"/>
  <c r="P1591" i="4"/>
  <c r="Q1591" i="4"/>
  <c r="O1699" i="4"/>
  <c r="J1699" i="4"/>
  <c r="K1699" i="4"/>
  <c r="L1699" i="4"/>
  <c r="M1699" i="4"/>
  <c r="N1699" i="4"/>
  <c r="P1699" i="4"/>
  <c r="Q1699" i="4"/>
  <c r="E1499" i="4"/>
  <c r="E1540" i="4"/>
  <c r="E383" i="4"/>
  <c r="J1624" i="4"/>
  <c r="O1624" i="4"/>
  <c r="P1624" i="4"/>
  <c r="Q1624" i="4"/>
  <c r="K1624" i="4"/>
  <c r="L1624" i="4"/>
  <c r="M1624" i="4"/>
  <c r="N1624" i="4"/>
  <c r="E1542" i="4"/>
  <c r="N505" i="4"/>
  <c r="O505" i="4"/>
  <c r="P505" i="4"/>
  <c r="Q505" i="4"/>
  <c r="L505" i="4"/>
  <c r="M505" i="4"/>
  <c r="J505" i="4"/>
  <c r="K505" i="4"/>
  <c r="J687" i="4"/>
  <c r="N687" i="4"/>
  <c r="O687" i="4"/>
  <c r="P687" i="4"/>
  <c r="Q687" i="4"/>
  <c r="M687" i="4"/>
  <c r="K687" i="4"/>
  <c r="L687" i="4"/>
  <c r="M566" i="4"/>
  <c r="N566" i="4"/>
  <c r="O566" i="4"/>
  <c r="P566" i="4"/>
  <c r="Q566" i="4"/>
  <c r="J566" i="4"/>
  <c r="K566" i="4"/>
  <c r="L566" i="4"/>
  <c r="J528" i="4"/>
  <c r="K528" i="4"/>
  <c r="L528" i="4"/>
  <c r="M528" i="4"/>
  <c r="N528" i="4"/>
  <c r="O528" i="4"/>
  <c r="P528" i="4"/>
  <c r="Q528" i="4"/>
  <c r="J694" i="4"/>
  <c r="K694" i="4"/>
  <c r="L694" i="4"/>
  <c r="N694" i="4"/>
  <c r="M694" i="4"/>
  <c r="O694" i="4"/>
  <c r="P694" i="4"/>
  <c r="Q694" i="4"/>
  <c r="J702" i="4"/>
  <c r="K702" i="4"/>
  <c r="L702" i="4"/>
  <c r="N702" i="4"/>
  <c r="M702" i="4"/>
  <c r="Q702" i="4"/>
  <c r="O702" i="4"/>
  <c r="P702" i="4"/>
  <c r="K512" i="4"/>
  <c r="L512" i="4"/>
  <c r="N512" i="4"/>
  <c r="O512" i="4"/>
  <c r="P512" i="4"/>
  <c r="Q512" i="4"/>
  <c r="J512" i="4"/>
  <c r="M512" i="4"/>
  <c r="K552" i="4"/>
  <c r="J552" i="4"/>
  <c r="M552" i="4"/>
  <c r="Q552" i="4"/>
  <c r="L552" i="4"/>
  <c r="N552" i="4"/>
  <c r="P552" i="4"/>
  <c r="O552" i="4"/>
  <c r="J618" i="4"/>
  <c r="K618" i="4"/>
  <c r="L618" i="4"/>
  <c r="N618" i="4"/>
  <c r="Q618" i="4"/>
  <c r="M618" i="4"/>
  <c r="O618" i="4"/>
  <c r="P618" i="4"/>
  <c r="L712" i="4"/>
  <c r="M712" i="4"/>
  <c r="N712" i="4"/>
  <c r="P712" i="4"/>
  <c r="O712" i="4"/>
  <c r="Q712" i="4"/>
  <c r="J712" i="4"/>
  <c r="K712" i="4"/>
  <c r="Q947" i="4"/>
  <c r="M947" i="4"/>
  <c r="N947" i="4"/>
  <c r="O947" i="4"/>
  <c r="P947" i="4"/>
  <c r="J947" i="4"/>
  <c r="K947" i="4"/>
  <c r="L947" i="4"/>
  <c r="J969" i="4"/>
  <c r="K969" i="4"/>
  <c r="L969" i="4"/>
  <c r="M969" i="4"/>
  <c r="N969" i="4"/>
  <c r="O969" i="4"/>
  <c r="P969" i="4"/>
  <c r="Q969" i="4"/>
  <c r="J873" i="4"/>
  <c r="K873" i="4"/>
  <c r="L873" i="4"/>
  <c r="Q873" i="4"/>
  <c r="M873" i="4"/>
  <c r="N873" i="4"/>
  <c r="O873" i="4"/>
  <c r="P873" i="4"/>
  <c r="Q934" i="4"/>
  <c r="M934" i="4"/>
  <c r="N934" i="4"/>
  <c r="O934" i="4"/>
  <c r="P934" i="4"/>
  <c r="K934" i="4"/>
  <c r="J934" i="4"/>
  <c r="L934" i="4"/>
  <c r="N996" i="4"/>
  <c r="O996" i="4"/>
  <c r="P996" i="4"/>
  <c r="Q996" i="4"/>
  <c r="J996" i="4"/>
  <c r="K996" i="4"/>
  <c r="L996" i="4"/>
  <c r="M996" i="4"/>
  <c r="J1037" i="4"/>
  <c r="K1037" i="4"/>
  <c r="L1037" i="4"/>
  <c r="M1037" i="4"/>
  <c r="N1037" i="4"/>
  <c r="P1037" i="4"/>
  <c r="O1037" i="4"/>
  <c r="Q1037" i="4"/>
  <c r="N1078" i="4"/>
  <c r="O1078" i="4"/>
  <c r="P1078" i="4"/>
  <c r="Q1078" i="4"/>
  <c r="J1078" i="4"/>
  <c r="L1078" i="4"/>
  <c r="K1078" i="4"/>
  <c r="M1078" i="4"/>
  <c r="J963" i="4"/>
  <c r="K963" i="4"/>
  <c r="L963" i="4"/>
  <c r="M963" i="4"/>
  <c r="P963" i="4"/>
  <c r="Q963" i="4"/>
  <c r="N963" i="4"/>
  <c r="O963" i="4"/>
  <c r="J1004" i="4"/>
  <c r="K1004" i="4"/>
  <c r="L1004" i="4"/>
  <c r="M1004" i="4"/>
  <c r="N1004" i="4"/>
  <c r="O1004" i="4"/>
  <c r="P1004" i="4"/>
  <c r="Q1004" i="4"/>
  <c r="N1011" i="4"/>
  <c r="O1011" i="4"/>
  <c r="P1011" i="4"/>
  <c r="Q1011" i="4"/>
  <c r="J1011" i="4"/>
  <c r="K1011" i="4"/>
  <c r="L1011" i="4"/>
  <c r="M1011" i="4"/>
  <c r="M895" i="4"/>
  <c r="N895" i="4"/>
  <c r="O895" i="4"/>
  <c r="P895" i="4"/>
  <c r="Q895" i="4"/>
  <c r="J895" i="4"/>
  <c r="K895" i="4"/>
  <c r="L895" i="4"/>
  <c r="L1373" i="4"/>
  <c r="M1373" i="4"/>
  <c r="N1373" i="4"/>
  <c r="O1373" i="4"/>
  <c r="K1373" i="4"/>
  <c r="J1373" i="4"/>
  <c r="P1373" i="4"/>
  <c r="Q1373" i="4"/>
  <c r="K1414" i="4"/>
  <c r="N1414" i="4"/>
  <c r="O1414" i="4"/>
  <c r="P1414" i="4"/>
  <c r="Q1414" i="4"/>
  <c r="J1414" i="4"/>
  <c r="L1414" i="4"/>
  <c r="M1414" i="4"/>
  <c r="J1256" i="4"/>
  <c r="K1256" i="4"/>
  <c r="L1256" i="4"/>
  <c r="N1256" i="4"/>
  <c r="O1256" i="4"/>
  <c r="P1256" i="4"/>
  <c r="M1256" i="4"/>
  <c r="Q1256" i="4"/>
  <c r="K1238" i="4"/>
  <c r="M1238" i="4"/>
  <c r="J1238" i="4"/>
  <c r="L1238" i="4"/>
  <c r="O1238" i="4"/>
  <c r="P1238" i="4"/>
  <c r="Q1238" i="4"/>
  <c r="N1238" i="4"/>
  <c r="P1319" i="4"/>
  <c r="J1319" i="4"/>
  <c r="K1319" i="4"/>
  <c r="L1319" i="4"/>
  <c r="M1319" i="4"/>
  <c r="N1319" i="4"/>
  <c r="O1319" i="4"/>
  <c r="Q1319" i="4"/>
  <c r="P1380" i="4"/>
  <c r="Q1380" i="4"/>
  <c r="J1380" i="4"/>
  <c r="K1380" i="4"/>
  <c r="L1380" i="4"/>
  <c r="M1380" i="4"/>
  <c r="N1380" i="4"/>
  <c r="O1380" i="4"/>
  <c r="J1421" i="4"/>
  <c r="K1421" i="4"/>
  <c r="L1421" i="4"/>
  <c r="M1421" i="4"/>
  <c r="N1421" i="4"/>
  <c r="O1421" i="4"/>
  <c r="P1421" i="4"/>
  <c r="Q1421" i="4"/>
  <c r="K1226" i="4"/>
  <c r="L1226" i="4"/>
  <c r="M1226" i="4"/>
  <c r="N1226" i="4"/>
  <c r="O1226" i="4"/>
  <c r="Q1226" i="4"/>
  <c r="J1226" i="4"/>
  <c r="P1226" i="4"/>
  <c r="P1387" i="4"/>
  <c r="Q1387" i="4"/>
  <c r="J1387" i="4"/>
  <c r="K1387" i="4"/>
  <c r="L1387" i="4"/>
  <c r="M1387" i="4"/>
  <c r="N1387" i="4"/>
  <c r="O1387" i="4"/>
  <c r="K1629" i="4"/>
  <c r="L1629" i="4"/>
  <c r="M1629" i="4"/>
  <c r="N1629" i="4"/>
  <c r="O1629" i="4"/>
  <c r="P1629" i="4"/>
  <c r="J1629" i="4"/>
  <c r="Q1629" i="4"/>
  <c r="K1673" i="4"/>
  <c r="L1673" i="4"/>
  <c r="M1673" i="4"/>
  <c r="O1673" i="4"/>
  <c r="P1673" i="4"/>
  <c r="J1673" i="4"/>
  <c r="N1673" i="4"/>
  <c r="Q1673" i="4"/>
  <c r="L1756" i="4"/>
  <c r="M1756" i="4"/>
  <c r="N1756" i="4"/>
  <c r="O1756" i="4"/>
  <c r="P1756" i="4"/>
  <c r="Q1756" i="4"/>
  <c r="J1756" i="4"/>
  <c r="K1756" i="4"/>
  <c r="O1779" i="4"/>
  <c r="P1779" i="4"/>
  <c r="Q1779" i="4"/>
  <c r="J1779" i="4"/>
  <c r="K1779" i="4"/>
  <c r="L1779" i="4"/>
  <c r="M1779" i="4"/>
  <c r="N1779" i="4"/>
  <c r="J1667" i="4"/>
  <c r="K1667" i="4"/>
  <c r="L1667" i="4"/>
  <c r="M1667" i="4"/>
  <c r="N1667" i="4"/>
  <c r="O1667" i="4"/>
  <c r="P1667" i="4"/>
  <c r="Q1667" i="4"/>
  <c r="P1577" i="4"/>
  <c r="Q1577" i="4"/>
  <c r="N1577" i="4"/>
  <c r="O1577" i="4"/>
  <c r="K1577" i="4"/>
  <c r="L1577" i="4"/>
  <c r="M1577" i="4"/>
  <c r="J1577" i="4"/>
  <c r="O1650" i="4"/>
  <c r="P1650" i="4"/>
  <c r="Q1650" i="4"/>
  <c r="J1650" i="4"/>
  <c r="K1650" i="4"/>
  <c r="L1650" i="4"/>
  <c r="M1650" i="4"/>
  <c r="N1650" i="4"/>
  <c r="K1668" i="4"/>
  <c r="L1668" i="4"/>
  <c r="M1668" i="4"/>
  <c r="O1668" i="4"/>
  <c r="P1668" i="4"/>
  <c r="J1668" i="4"/>
  <c r="N1668" i="4"/>
  <c r="Q1668" i="4"/>
  <c r="O1719" i="4"/>
  <c r="J1719" i="4"/>
  <c r="K1719" i="4"/>
  <c r="L1719" i="4"/>
  <c r="M1719" i="4"/>
  <c r="N1719" i="4"/>
  <c r="P1719" i="4"/>
  <c r="Q1719" i="4"/>
  <c r="E1519" i="4"/>
  <c r="E403" i="4"/>
  <c r="M1644" i="4"/>
  <c r="N1644" i="4"/>
  <c r="O1644" i="4"/>
  <c r="P1644" i="4"/>
  <c r="Q1644" i="4"/>
  <c r="J1644" i="4"/>
  <c r="K1644" i="4"/>
  <c r="L1644" i="4"/>
  <c r="N525" i="4"/>
  <c r="O525" i="4"/>
  <c r="P525" i="4"/>
  <c r="Q525" i="4"/>
  <c r="J525" i="4"/>
  <c r="K525" i="4"/>
  <c r="L525" i="4"/>
  <c r="M525" i="4"/>
  <c r="L707" i="4"/>
  <c r="M707" i="4"/>
  <c r="N707" i="4"/>
  <c r="P707" i="4"/>
  <c r="Q707" i="4"/>
  <c r="J707" i="4"/>
  <c r="K707" i="4"/>
  <c r="O707" i="4"/>
  <c r="J1581" i="4"/>
  <c r="K1581" i="4"/>
  <c r="L1581" i="4"/>
  <c r="M1581" i="4"/>
  <c r="N1581" i="4"/>
  <c r="O1581" i="4"/>
  <c r="P1581" i="4"/>
  <c r="Q1581" i="4"/>
  <c r="J708" i="4"/>
  <c r="K708" i="4"/>
  <c r="L708" i="4"/>
  <c r="P708" i="4"/>
  <c r="M708" i="4"/>
  <c r="N708" i="4"/>
  <c r="Q708" i="4"/>
  <c r="O708" i="4"/>
  <c r="M650" i="4"/>
  <c r="O650" i="4"/>
  <c r="J650" i="4"/>
  <c r="K650" i="4"/>
  <c r="L650" i="4"/>
  <c r="N650" i="4"/>
  <c r="P650" i="4"/>
  <c r="Q650" i="4"/>
  <c r="J593" i="4"/>
  <c r="K593" i="4"/>
  <c r="L593" i="4"/>
  <c r="M593" i="4"/>
  <c r="N593" i="4"/>
  <c r="O593" i="4"/>
  <c r="P593" i="4"/>
  <c r="Q593" i="4"/>
  <c r="J1598" i="4"/>
  <c r="M1598" i="4"/>
  <c r="N1598" i="4"/>
  <c r="O1598" i="4"/>
  <c r="P1598" i="4"/>
  <c r="Q1598" i="4"/>
  <c r="K1598" i="4"/>
  <c r="L1598" i="4"/>
  <c r="L569" i="4"/>
  <c r="M569" i="4"/>
  <c r="N569" i="4"/>
  <c r="O569" i="4"/>
  <c r="P569" i="4"/>
  <c r="Q569" i="4"/>
  <c r="J569" i="4"/>
  <c r="K569" i="4"/>
  <c r="J578" i="4"/>
  <c r="K578" i="4"/>
  <c r="L578" i="4"/>
  <c r="M578" i="4"/>
  <c r="N578" i="4"/>
  <c r="O578" i="4"/>
  <c r="P578" i="4"/>
  <c r="Q578" i="4"/>
  <c r="J664" i="4"/>
  <c r="K664" i="4"/>
  <c r="L664" i="4"/>
  <c r="M664" i="4"/>
  <c r="N664" i="4"/>
  <c r="O664" i="4"/>
  <c r="P664" i="4"/>
  <c r="Q664" i="4"/>
  <c r="J511" i="4"/>
  <c r="K511" i="4"/>
  <c r="L511" i="4"/>
  <c r="O511" i="4"/>
  <c r="P511" i="4"/>
  <c r="Q511" i="4"/>
  <c r="M511" i="4"/>
  <c r="N511" i="4"/>
  <c r="M681" i="4"/>
  <c r="N681" i="4"/>
  <c r="O681" i="4"/>
  <c r="P681" i="4"/>
  <c r="K681" i="4"/>
  <c r="L681" i="4"/>
  <c r="Q681" i="4"/>
  <c r="J681" i="4"/>
  <c r="K502" i="4"/>
  <c r="L502" i="4"/>
  <c r="J502" i="4"/>
  <c r="M502" i="4"/>
  <c r="N502" i="4"/>
  <c r="O502" i="4"/>
  <c r="P502" i="4"/>
  <c r="Q502" i="4"/>
  <c r="J623" i="4"/>
  <c r="K623" i="4"/>
  <c r="L623" i="4"/>
  <c r="O623" i="4"/>
  <c r="Q623" i="4"/>
  <c r="N623" i="4"/>
  <c r="P623" i="4"/>
  <c r="M623" i="4"/>
  <c r="K704" i="4"/>
  <c r="L704" i="4"/>
  <c r="P704" i="4"/>
  <c r="Q704" i="4"/>
  <c r="M704" i="4"/>
  <c r="N704" i="4"/>
  <c r="O704" i="4"/>
  <c r="J704" i="4"/>
  <c r="J649" i="4"/>
  <c r="K649" i="4"/>
  <c r="L649" i="4"/>
  <c r="M649" i="4"/>
  <c r="P649" i="4"/>
  <c r="Q649" i="4"/>
  <c r="N649" i="4"/>
  <c r="O649" i="4"/>
  <c r="K631" i="4"/>
  <c r="L631" i="4"/>
  <c r="M631" i="4"/>
  <c r="N631" i="4"/>
  <c r="O631" i="4"/>
  <c r="J631" i="4"/>
  <c r="P631" i="4"/>
  <c r="Q631" i="4"/>
  <c r="O592" i="4"/>
  <c r="P592" i="4"/>
  <c r="Q592" i="4"/>
  <c r="J592" i="4"/>
  <c r="K592" i="4"/>
  <c r="L592" i="4"/>
  <c r="M592" i="4"/>
  <c r="N592" i="4"/>
  <c r="J584" i="4"/>
  <c r="K584" i="4"/>
  <c r="L584" i="4"/>
  <c r="M584" i="4"/>
  <c r="N584" i="4"/>
  <c r="P584" i="4"/>
  <c r="O584" i="4"/>
  <c r="Q584" i="4"/>
  <c r="N695" i="4"/>
  <c r="O695" i="4"/>
  <c r="P695" i="4"/>
  <c r="J695" i="4"/>
  <c r="K695" i="4"/>
  <c r="L695" i="4"/>
  <c r="M695" i="4"/>
  <c r="Q695" i="4"/>
  <c r="M556" i="4"/>
  <c r="N556" i="4"/>
  <c r="O556" i="4"/>
  <c r="P556" i="4"/>
  <c r="Q556" i="4"/>
  <c r="K556" i="4"/>
  <c r="L556" i="4"/>
  <c r="J556" i="4"/>
  <c r="Q577" i="4"/>
  <c r="J577" i="4"/>
  <c r="K577" i="4"/>
  <c r="L577" i="4"/>
  <c r="M577" i="4"/>
  <c r="N577" i="4"/>
  <c r="O577" i="4"/>
  <c r="P577" i="4"/>
  <c r="J659" i="4"/>
  <c r="K659" i="4"/>
  <c r="L659" i="4"/>
  <c r="N659" i="4"/>
  <c r="M659" i="4"/>
  <c r="O659" i="4"/>
  <c r="Q659" i="4"/>
  <c r="P659" i="4"/>
  <c r="N500" i="4"/>
  <c r="O500" i="4"/>
  <c r="P500" i="4"/>
  <c r="Q500" i="4"/>
  <c r="J500" i="4"/>
  <c r="K500" i="4"/>
  <c r="L500" i="4"/>
  <c r="M500" i="4"/>
  <c r="O700" i="4"/>
  <c r="P700" i="4"/>
  <c r="Q700" i="4"/>
  <c r="J700" i="4"/>
  <c r="K700" i="4"/>
  <c r="L700" i="4"/>
  <c r="N700" i="4"/>
  <c r="M700" i="4"/>
  <c r="E628" i="4"/>
  <c r="P967" i="4"/>
  <c r="Q967" i="4"/>
  <c r="J967" i="4"/>
  <c r="K967" i="4"/>
  <c r="L967" i="4"/>
  <c r="N967" i="4"/>
  <c r="M967" i="4"/>
  <c r="O967" i="4"/>
  <c r="J989" i="4"/>
  <c r="K989" i="4"/>
  <c r="L989" i="4"/>
  <c r="M989" i="4"/>
  <c r="N989" i="4"/>
  <c r="O989" i="4"/>
  <c r="P989" i="4"/>
  <c r="Q989" i="4"/>
  <c r="J893" i="4"/>
  <c r="K893" i="4"/>
  <c r="L893" i="4"/>
  <c r="M893" i="4"/>
  <c r="O893" i="4"/>
  <c r="P893" i="4"/>
  <c r="Q893" i="4"/>
  <c r="N893" i="4"/>
  <c r="J954" i="4"/>
  <c r="K954" i="4"/>
  <c r="L954" i="4"/>
  <c r="M954" i="4"/>
  <c r="N954" i="4"/>
  <c r="O954" i="4"/>
  <c r="P954" i="4"/>
  <c r="Q954" i="4"/>
  <c r="N1016" i="4"/>
  <c r="O1016" i="4"/>
  <c r="P1016" i="4"/>
  <c r="Q1016" i="4"/>
  <c r="J1016" i="4"/>
  <c r="K1016" i="4"/>
  <c r="L1016" i="4"/>
  <c r="M1016" i="4"/>
  <c r="J1057" i="4"/>
  <c r="K1057" i="4"/>
  <c r="L1057" i="4"/>
  <c r="M1057" i="4"/>
  <c r="P1057" i="4"/>
  <c r="N1057" i="4"/>
  <c r="O1057" i="4"/>
  <c r="Q1057" i="4"/>
  <c r="J983" i="4"/>
  <c r="K983" i="4"/>
  <c r="L983" i="4"/>
  <c r="M983" i="4"/>
  <c r="N983" i="4"/>
  <c r="O983" i="4"/>
  <c r="P983" i="4"/>
  <c r="Q983" i="4"/>
  <c r="J1024" i="4"/>
  <c r="K1024" i="4"/>
  <c r="L1024" i="4"/>
  <c r="M1024" i="4"/>
  <c r="N1024" i="4"/>
  <c r="O1024" i="4"/>
  <c r="P1024" i="4"/>
  <c r="Q1024" i="4"/>
  <c r="J891" i="4"/>
  <c r="M891" i="4"/>
  <c r="N891" i="4"/>
  <c r="O891" i="4"/>
  <c r="P891" i="4"/>
  <c r="Q891" i="4"/>
  <c r="K891" i="4"/>
  <c r="L891" i="4"/>
  <c r="M855" i="4"/>
  <c r="N855" i="4"/>
  <c r="O855" i="4"/>
  <c r="P855" i="4"/>
  <c r="K855" i="4"/>
  <c r="L855" i="4"/>
  <c r="Q855" i="4"/>
  <c r="J855" i="4"/>
  <c r="K881" i="4"/>
  <c r="N881" i="4"/>
  <c r="Q881" i="4"/>
  <c r="J881" i="4"/>
  <c r="L881" i="4"/>
  <c r="M881" i="4"/>
  <c r="O881" i="4"/>
  <c r="P881" i="4"/>
  <c r="O950" i="4"/>
  <c r="M950" i="4"/>
  <c r="N950" i="4"/>
  <c r="P950" i="4"/>
  <c r="Q950" i="4"/>
  <c r="J950" i="4"/>
  <c r="K950" i="4"/>
  <c r="L950" i="4"/>
  <c r="J1232" i="4"/>
  <c r="K1232" i="4"/>
  <c r="L1232" i="4"/>
  <c r="M1232" i="4"/>
  <c r="O1232" i="4"/>
  <c r="P1232" i="4"/>
  <c r="Q1232" i="4"/>
  <c r="N1232" i="4"/>
  <c r="L1393" i="4"/>
  <c r="M1393" i="4"/>
  <c r="N1393" i="4"/>
  <c r="O1393" i="4"/>
  <c r="J1393" i="4"/>
  <c r="K1393" i="4"/>
  <c r="P1393" i="4"/>
  <c r="Q1393" i="4"/>
  <c r="P1434" i="4"/>
  <c r="Q1434" i="4"/>
  <c r="J1434" i="4"/>
  <c r="K1434" i="4"/>
  <c r="L1434" i="4"/>
  <c r="M1434" i="4"/>
  <c r="N1434" i="4"/>
  <c r="O1434" i="4"/>
  <c r="J1276" i="4"/>
  <c r="K1276" i="4"/>
  <c r="L1276" i="4"/>
  <c r="N1276" i="4"/>
  <c r="O1276" i="4"/>
  <c r="Q1276" i="4"/>
  <c r="M1276" i="4"/>
  <c r="P1276" i="4"/>
  <c r="L1258" i="4"/>
  <c r="M1258" i="4"/>
  <c r="N1258" i="4"/>
  <c r="O1258" i="4"/>
  <c r="P1258" i="4"/>
  <c r="J1258" i="4"/>
  <c r="Q1258" i="4"/>
  <c r="K1258" i="4"/>
  <c r="P1339" i="4"/>
  <c r="J1339" i="4"/>
  <c r="K1339" i="4"/>
  <c r="L1339" i="4"/>
  <c r="M1339" i="4"/>
  <c r="N1339" i="4"/>
  <c r="O1339" i="4"/>
  <c r="Q1339" i="4"/>
  <c r="P1400" i="4"/>
  <c r="Q1400" i="4"/>
  <c r="L1400" i="4"/>
  <c r="M1400" i="4"/>
  <c r="N1400" i="4"/>
  <c r="O1400" i="4"/>
  <c r="J1400" i="4"/>
  <c r="K1400" i="4"/>
  <c r="O1441" i="4"/>
  <c r="P1441" i="4"/>
  <c r="Q1441" i="4"/>
  <c r="K1441" i="4"/>
  <c r="L1441" i="4"/>
  <c r="M1441" i="4"/>
  <c r="N1441" i="4"/>
  <c r="J1441" i="4"/>
  <c r="J1246" i="4"/>
  <c r="K1246" i="4"/>
  <c r="L1246" i="4"/>
  <c r="N1246" i="4"/>
  <c r="O1246" i="4"/>
  <c r="P1246" i="4"/>
  <c r="M1246" i="4"/>
  <c r="Q1246" i="4"/>
  <c r="J1407" i="4"/>
  <c r="K1407" i="4"/>
  <c r="L1407" i="4"/>
  <c r="M1407" i="4"/>
  <c r="O1407" i="4"/>
  <c r="N1407" i="4"/>
  <c r="P1407" i="4"/>
  <c r="Q1407" i="4"/>
  <c r="M1649" i="4"/>
  <c r="N1649" i="4"/>
  <c r="O1649" i="4"/>
  <c r="P1649" i="4"/>
  <c r="Q1649" i="4"/>
  <c r="J1649" i="4"/>
  <c r="K1649" i="4"/>
  <c r="L1649" i="4"/>
  <c r="K1693" i="4"/>
  <c r="L1693" i="4"/>
  <c r="M1693" i="4"/>
  <c r="P1693" i="4"/>
  <c r="Q1693" i="4"/>
  <c r="J1693" i="4"/>
  <c r="N1693" i="4"/>
  <c r="O1693" i="4"/>
  <c r="P1776" i="4"/>
  <c r="Q1776" i="4"/>
  <c r="J1776" i="4"/>
  <c r="K1776" i="4"/>
  <c r="L1776" i="4"/>
  <c r="M1776" i="4"/>
  <c r="N1776" i="4"/>
  <c r="O1776" i="4"/>
  <c r="O1760" i="4"/>
  <c r="P1760" i="4"/>
  <c r="Q1760" i="4"/>
  <c r="J1760" i="4"/>
  <c r="K1760" i="4"/>
  <c r="L1760" i="4"/>
  <c r="M1760" i="4"/>
  <c r="N1760" i="4"/>
  <c r="L1610" i="4"/>
  <c r="M1610" i="4"/>
  <c r="N1610" i="4"/>
  <c r="J1610" i="4"/>
  <c r="K1610" i="4"/>
  <c r="O1610" i="4"/>
  <c r="P1610" i="4"/>
  <c r="Q1610" i="4"/>
  <c r="J1631" i="4"/>
  <c r="K1631" i="4"/>
  <c r="L1631" i="4"/>
  <c r="M1631" i="4"/>
  <c r="N1631" i="4"/>
  <c r="O1631" i="4"/>
  <c r="P1631" i="4"/>
  <c r="Q1631" i="4"/>
  <c r="K1708" i="4"/>
  <c r="L1708" i="4"/>
  <c r="M1708" i="4"/>
  <c r="J1708" i="4"/>
  <c r="N1708" i="4"/>
  <c r="O1708" i="4"/>
  <c r="P1708" i="4"/>
  <c r="Q1708" i="4"/>
  <c r="O1739" i="4"/>
  <c r="J1739" i="4"/>
  <c r="K1739" i="4"/>
  <c r="L1739" i="4"/>
  <c r="M1739" i="4"/>
  <c r="N1739" i="4"/>
  <c r="P1739" i="4"/>
  <c r="Q1739" i="4"/>
  <c r="N1586" i="4"/>
  <c r="O1586" i="4"/>
  <c r="P1586" i="4"/>
  <c r="Q1586" i="4"/>
  <c r="J1586" i="4"/>
  <c r="K1586" i="4"/>
  <c r="L1586" i="4"/>
  <c r="M1586" i="4"/>
  <c r="E1514" i="4"/>
  <c r="N1664" i="4"/>
  <c r="O1664" i="4"/>
  <c r="P1664" i="4"/>
  <c r="Q1664" i="4"/>
  <c r="J1664" i="4"/>
  <c r="K1664" i="4"/>
  <c r="L1664" i="4"/>
  <c r="M1664" i="4"/>
  <c r="N545" i="4"/>
  <c r="O545" i="4"/>
  <c r="P545" i="4"/>
  <c r="K545" i="4"/>
  <c r="L545" i="4"/>
  <c r="M545" i="4"/>
  <c r="Q545" i="4"/>
  <c r="J545" i="4"/>
  <c r="E384" i="4"/>
  <c r="L1601" i="4"/>
  <c r="M1601" i="4"/>
  <c r="N1601" i="4"/>
  <c r="O1601" i="4"/>
  <c r="P1601" i="4"/>
  <c r="Q1601" i="4"/>
  <c r="J1601" i="4"/>
  <c r="K1601" i="4"/>
  <c r="O1665" i="4"/>
  <c r="P1665" i="4"/>
  <c r="Q1665" i="4"/>
  <c r="J1665" i="4"/>
  <c r="K1665" i="4"/>
  <c r="L1665" i="4"/>
  <c r="M1665" i="4"/>
  <c r="N1665" i="4"/>
  <c r="P526" i="4"/>
  <c r="Q526" i="4"/>
  <c r="O526" i="4"/>
  <c r="J526" i="4"/>
  <c r="K526" i="4"/>
  <c r="M526" i="4"/>
  <c r="N526" i="4"/>
  <c r="L526" i="4"/>
  <c r="N495" i="4"/>
  <c r="O495" i="4"/>
  <c r="P495" i="4"/>
  <c r="Q495" i="4"/>
  <c r="J495" i="4"/>
  <c r="K495" i="4"/>
  <c r="L495" i="4"/>
  <c r="M495" i="4"/>
  <c r="J669" i="4"/>
  <c r="K669" i="4"/>
  <c r="L669" i="4"/>
  <c r="N669" i="4"/>
  <c r="O669" i="4"/>
  <c r="P669" i="4"/>
  <c r="Q669" i="4"/>
  <c r="M669" i="4"/>
  <c r="O1755" i="4"/>
  <c r="P1755" i="4"/>
  <c r="Q1755" i="4"/>
  <c r="J1755" i="4"/>
  <c r="K1755" i="4"/>
  <c r="L1755" i="4"/>
  <c r="M1755" i="4"/>
  <c r="N1755" i="4"/>
  <c r="J654" i="4"/>
  <c r="K654" i="4"/>
  <c r="L654" i="4"/>
  <c r="M654" i="4"/>
  <c r="N654" i="4"/>
  <c r="O654" i="4"/>
  <c r="P654" i="4"/>
  <c r="Q654" i="4"/>
  <c r="K1778" i="4"/>
  <c r="L1778" i="4"/>
  <c r="M1778" i="4"/>
  <c r="J1778" i="4"/>
  <c r="N1778" i="4"/>
  <c r="O1778" i="4"/>
  <c r="P1778" i="4"/>
  <c r="Q1778" i="4"/>
  <c r="O632" i="4"/>
  <c r="Q632" i="4"/>
  <c r="M632" i="4"/>
  <c r="P632" i="4"/>
  <c r="J632" i="4"/>
  <c r="K632" i="4"/>
  <c r="N632" i="4"/>
  <c r="L632" i="4"/>
  <c r="J987" i="4"/>
  <c r="K987" i="4"/>
  <c r="L987" i="4"/>
  <c r="M987" i="4"/>
  <c r="N987" i="4"/>
  <c r="O987" i="4"/>
  <c r="P987" i="4"/>
  <c r="Q987" i="4"/>
  <c r="J1009" i="4"/>
  <c r="K1009" i="4"/>
  <c r="L1009" i="4"/>
  <c r="M1009" i="4"/>
  <c r="N1009" i="4"/>
  <c r="O1009" i="4"/>
  <c r="P1009" i="4"/>
  <c r="Q1009" i="4"/>
  <c r="J913" i="4"/>
  <c r="K913" i="4"/>
  <c r="L913" i="4"/>
  <c r="M913" i="4"/>
  <c r="N913" i="4"/>
  <c r="O913" i="4"/>
  <c r="P913" i="4"/>
  <c r="Q913" i="4"/>
  <c r="J974" i="4"/>
  <c r="K974" i="4"/>
  <c r="L974" i="4"/>
  <c r="M974" i="4"/>
  <c r="N974" i="4"/>
  <c r="O974" i="4"/>
  <c r="P974" i="4"/>
  <c r="Q974" i="4"/>
  <c r="N1036" i="4"/>
  <c r="O1036" i="4"/>
  <c r="P1036" i="4"/>
  <c r="Q1036" i="4"/>
  <c r="L1036" i="4"/>
  <c r="M1036" i="4"/>
  <c r="J1036" i="4"/>
  <c r="K1036" i="4"/>
  <c r="M1077" i="4"/>
  <c r="N1077" i="4"/>
  <c r="O1077" i="4"/>
  <c r="P1077" i="4"/>
  <c r="Q1077" i="4"/>
  <c r="J1077" i="4"/>
  <c r="K1077" i="4"/>
  <c r="L1077" i="4"/>
  <c r="J1003" i="4"/>
  <c r="K1003" i="4"/>
  <c r="L1003" i="4"/>
  <c r="M1003" i="4"/>
  <c r="N1003" i="4"/>
  <c r="O1003" i="4"/>
  <c r="P1003" i="4"/>
  <c r="Q1003" i="4"/>
  <c r="J1044" i="4"/>
  <c r="K1044" i="4"/>
  <c r="L1044" i="4"/>
  <c r="M1044" i="4"/>
  <c r="N1044" i="4"/>
  <c r="O1044" i="4"/>
  <c r="P1044" i="4"/>
  <c r="Q1044" i="4"/>
  <c r="M945" i="4"/>
  <c r="N945" i="4"/>
  <c r="O945" i="4"/>
  <c r="P945" i="4"/>
  <c r="Q945" i="4"/>
  <c r="J945" i="4"/>
  <c r="K945" i="4"/>
  <c r="L945" i="4"/>
  <c r="K906" i="4"/>
  <c r="N906" i="4"/>
  <c r="Q906" i="4"/>
  <c r="J906" i="4"/>
  <c r="O906" i="4"/>
  <c r="P906" i="4"/>
  <c r="L906" i="4"/>
  <c r="M906" i="4"/>
  <c r="J871" i="4"/>
  <c r="K871" i="4"/>
  <c r="L871" i="4"/>
  <c r="M871" i="4"/>
  <c r="O871" i="4"/>
  <c r="N871" i="4"/>
  <c r="P871" i="4"/>
  <c r="Q871" i="4"/>
  <c r="M930" i="4"/>
  <c r="N930" i="4"/>
  <c r="O930" i="4"/>
  <c r="P930" i="4"/>
  <c r="J930" i="4"/>
  <c r="K930" i="4"/>
  <c r="L930" i="4"/>
  <c r="Q930" i="4"/>
  <c r="M911" i="4"/>
  <c r="N911" i="4"/>
  <c r="O911" i="4"/>
  <c r="P911" i="4"/>
  <c r="Q911" i="4"/>
  <c r="J911" i="4"/>
  <c r="L911" i="4"/>
  <c r="K911" i="4"/>
  <c r="N1051" i="4"/>
  <c r="O1051" i="4"/>
  <c r="P1051" i="4"/>
  <c r="Q1051" i="4"/>
  <c r="L1051" i="4"/>
  <c r="K1051" i="4"/>
  <c r="M1051" i="4"/>
  <c r="J1051" i="4"/>
  <c r="J1252" i="4"/>
  <c r="L1252" i="4"/>
  <c r="M1252" i="4"/>
  <c r="N1252" i="4"/>
  <c r="O1252" i="4"/>
  <c r="P1252" i="4"/>
  <c r="Q1252" i="4"/>
  <c r="K1252" i="4"/>
  <c r="L1413" i="4"/>
  <c r="M1413" i="4"/>
  <c r="N1413" i="4"/>
  <c r="O1413" i="4"/>
  <c r="J1413" i="4"/>
  <c r="K1413" i="4"/>
  <c r="P1413" i="4"/>
  <c r="Q1413" i="4"/>
  <c r="J1296" i="4"/>
  <c r="K1296" i="4"/>
  <c r="O1296" i="4"/>
  <c r="M1296" i="4"/>
  <c r="Q1296" i="4"/>
  <c r="L1296" i="4"/>
  <c r="N1296" i="4"/>
  <c r="P1296" i="4"/>
  <c r="L1278" i="4"/>
  <c r="M1278" i="4"/>
  <c r="N1278" i="4"/>
  <c r="O1278" i="4"/>
  <c r="P1278" i="4"/>
  <c r="J1278" i="4"/>
  <c r="K1278" i="4"/>
  <c r="Q1278" i="4"/>
  <c r="P1359" i="4"/>
  <c r="Q1359" i="4"/>
  <c r="J1359" i="4"/>
  <c r="K1359" i="4"/>
  <c r="L1359" i="4"/>
  <c r="M1359" i="4"/>
  <c r="N1359" i="4"/>
  <c r="O1359" i="4"/>
  <c r="P1420" i="4"/>
  <c r="Q1420" i="4"/>
  <c r="K1420" i="4"/>
  <c r="N1420" i="4"/>
  <c r="O1420" i="4"/>
  <c r="J1420" i="4"/>
  <c r="L1420" i="4"/>
  <c r="M1420" i="4"/>
  <c r="O1225" i="4"/>
  <c r="P1225" i="4"/>
  <c r="Q1225" i="4"/>
  <c r="J1225" i="4"/>
  <c r="K1225" i="4"/>
  <c r="L1225" i="4"/>
  <c r="M1225" i="4"/>
  <c r="N1225" i="4"/>
  <c r="J1266" i="4"/>
  <c r="K1266" i="4"/>
  <c r="L1266" i="4"/>
  <c r="N1266" i="4"/>
  <c r="O1266" i="4"/>
  <c r="P1266" i="4"/>
  <c r="M1266" i="4"/>
  <c r="Q1266" i="4"/>
  <c r="J1427" i="4"/>
  <c r="K1427" i="4"/>
  <c r="L1427" i="4"/>
  <c r="M1427" i="4"/>
  <c r="N1427" i="4"/>
  <c r="O1427" i="4"/>
  <c r="P1427" i="4"/>
  <c r="Q1427" i="4"/>
  <c r="N995" i="4"/>
  <c r="Q995" i="4"/>
  <c r="J995" i="4"/>
  <c r="K995" i="4"/>
  <c r="L995" i="4"/>
  <c r="O995" i="4"/>
  <c r="M995" i="4"/>
  <c r="P995" i="4"/>
  <c r="N1669" i="4"/>
  <c r="O1669" i="4"/>
  <c r="P1669" i="4"/>
  <c r="Q1669" i="4"/>
  <c r="J1669" i="4"/>
  <c r="K1669" i="4"/>
  <c r="L1669" i="4"/>
  <c r="M1669" i="4"/>
  <c r="K1713" i="4"/>
  <c r="L1713" i="4"/>
  <c r="M1713" i="4"/>
  <c r="J1713" i="4"/>
  <c r="N1713" i="4"/>
  <c r="O1713" i="4"/>
  <c r="P1713" i="4"/>
  <c r="Q1713" i="4"/>
  <c r="J1796" i="4"/>
  <c r="K1796" i="4"/>
  <c r="L1796" i="4"/>
  <c r="M1796" i="4"/>
  <c r="N1796" i="4"/>
  <c r="O1796" i="4"/>
  <c r="P1796" i="4"/>
  <c r="Q1796" i="4"/>
  <c r="K1727" i="4"/>
  <c r="J1727" i="4"/>
  <c r="L1727" i="4"/>
  <c r="M1727" i="4"/>
  <c r="N1727" i="4"/>
  <c r="O1727" i="4"/>
  <c r="P1727" i="4"/>
  <c r="Q1727" i="4"/>
  <c r="O1690" i="4"/>
  <c r="P1690" i="4"/>
  <c r="Q1690" i="4"/>
  <c r="J1690" i="4"/>
  <c r="K1690" i="4"/>
  <c r="L1690" i="4"/>
  <c r="M1690" i="4"/>
  <c r="N1690" i="4"/>
  <c r="P1767" i="4"/>
  <c r="Q1767" i="4"/>
  <c r="J1767" i="4"/>
  <c r="K1767" i="4"/>
  <c r="L1767" i="4"/>
  <c r="M1767" i="4"/>
  <c r="N1767" i="4"/>
  <c r="O1767" i="4"/>
  <c r="K1671" i="4"/>
  <c r="L1671" i="4"/>
  <c r="O1671" i="4"/>
  <c r="P1671" i="4"/>
  <c r="Q1671" i="4"/>
  <c r="J1671" i="4"/>
  <c r="M1671" i="4"/>
  <c r="N1671" i="4"/>
  <c r="K1759" i="4"/>
  <c r="L1759" i="4"/>
  <c r="M1759" i="4"/>
  <c r="N1759" i="4"/>
  <c r="O1759" i="4"/>
  <c r="P1759" i="4"/>
  <c r="Q1759" i="4"/>
  <c r="J1759" i="4"/>
  <c r="E1559" i="4"/>
  <c r="J1606" i="4"/>
  <c r="K1606" i="4"/>
  <c r="L1606" i="4"/>
  <c r="M1606" i="4"/>
  <c r="P1606" i="4"/>
  <c r="Q1606" i="4"/>
  <c r="N1606" i="4"/>
  <c r="O1606" i="4"/>
  <c r="E443" i="4"/>
  <c r="E1534" i="4"/>
  <c r="N1684" i="4"/>
  <c r="O1684" i="4"/>
  <c r="P1684" i="4"/>
  <c r="J1684" i="4"/>
  <c r="K1684" i="4"/>
  <c r="L1684" i="4"/>
  <c r="M1684" i="4"/>
  <c r="Q1684" i="4"/>
  <c r="P1607" i="4"/>
  <c r="Q1607" i="4"/>
  <c r="J1607" i="4"/>
  <c r="K1607" i="4"/>
  <c r="L1607" i="4"/>
  <c r="M1607" i="4"/>
  <c r="N1607" i="4"/>
  <c r="O1607" i="4"/>
  <c r="N565" i="4"/>
  <c r="O565" i="4"/>
  <c r="P565" i="4"/>
  <c r="J565" i="4"/>
  <c r="K565" i="4"/>
  <c r="L565" i="4"/>
  <c r="M565" i="4"/>
  <c r="Q565" i="4"/>
  <c r="E404" i="4"/>
  <c r="J1621" i="4"/>
  <c r="K1621" i="4"/>
  <c r="P1621" i="4"/>
  <c r="Q1621" i="4"/>
  <c r="L1621" i="4"/>
  <c r="M1621" i="4"/>
  <c r="N1621" i="4"/>
  <c r="O1621" i="4"/>
  <c r="L706" i="4"/>
  <c r="M706" i="4"/>
  <c r="N706" i="4"/>
  <c r="O706" i="4"/>
  <c r="P706" i="4"/>
  <c r="Q706" i="4"/>
  <c r="K706" i="4"/>
  <c r="J706" i="4"/>
  <c r="Q668" i="4"/>
  <c r="J668" i="4"/>
  <c r="K668" i="4"/>
  <c r="L668" i="4"/>
  <c r="M668" i="4"/>
  <c r="N668" i="4"/>
  <c r="O668" i="4"/>
  <c r="P668" i="4"/>
  <c r="N610" i="4"/>
  <c r="O610" i="4"/>
  <c r="P610" i="4"/>
  <c r="L610" i="4"/>
  <c r="M610" i="4"/>
  <c r="Q610" i="4"/>
  <c r="J610" i="4"/>
  <c r="K610" i="4"/>
  <c r="J553" i="4"/>
  <c r="K553" i="4"/>
  <c r="L553" i="4"/>
  <c r="N553" i="4"/>
  <c r="O553" i="4"/>
  <c r="P553" i="4"/>
  <c r="Q553" i="4"/>
  <c r="M553" i="4"/>
  <c r="J711" i="4"/>
  <c r="K711" i="4"/>
  <c r="L711" i="4"/>
  <c r="P711" i="4"/>
  <c r="N711" i="4"/>
  <c r="O711" i="4"/>
  <c r="Q711" i="4"/>
  <c r="M711" i="4"/>
  <c r="Q638" i="4"/>
  <c r="K638" i="4"/>
  <c r="J638" i="4"/>
  <c r="L638" i="4"/>
  <c r="M638" i="4"/>
  <c r="N638" i="4"/>
  <c r="O638" i="4"/>
  <c r="P638" i="4"/>
  <c r="E564" i="4"/>
  <c r="P501" i="4"/>
  <c r="Q501" i="4"/>
  <c r="J501" i="4"/>
  <c r="K501" i="4"/>
  <c r="L501" i="4"/>
  <c r="M501" i="4"/>
  <c r="N501" i="4"/>
  <c r="O501" i="4"/>
  <c r="M701" i="4"/>
  <c r="N701" i="4"/>
  <c r="O701" i="4"/>
  <c r="P701" i="4"/>
  <c r="J701" i="4"/>
  <c r="Q701" i="4"/>
  <c r="K701" i="4"/>
  <c r="L701" i="4"/>
  <c r="K562" i="4"/>
  <c r="L562" i="4"/>
  <c r="M562" i="4"/>
  <c r="N562" i="4"/>
  <c r="O562" i="4"/>
  <c r="P562" i="4"/>
  <c r="Q562" i="4"/>
  <c r="J562" i="4"/>
  <c r="Q643" i="4"/>
  <c r="K643" i="4"/>
  <c r="P643" i="4"/>
  <c r="J643" i="4"/>
  <c r="L643" i="4"/>
  <c r="M643" i="4"/>
  <c r="N643" i="4"/>
  <c r="O643" i="4"/>
  <c r="P724" i="4"/>
  <c r="Q724" i="4"/>
  <c r="L724" i="4"/>
  <c r="O724" i="4"/>
  <c r="J724" i="4"/>
  <c r="K724" i="4"/>
  <c r="N724" i="4"/>
  <c r="M724" i="4"/>
  <c r="J689" i="4"/>
  <c r="K689" i="4"/>
  <c r="L689" i="4"/>
  <c r="N689" i="4"/>
  <c r="O689" i="4"/>
  <c r="P689" i="4"/>
  <c r="M689" i="4"/>
  <c r="Q689" i="4"/>
  <c r="M651" i="4"/>
  <c r="N651" i="4"/>
  <c r="O651" i="4"/>
  <c r="P651" i="4"/>
  <c r="Q651" i="4"/>
  <c r="L651" i="4"/>
  <c r="J651" i="4"/>
  <c r="K651" i="4"/>
  <c r="J672" i="4"/>
  <c r="K672" i="4"/>
  <c r="L672" i="4"/>
  <c r="M672" i="4"/>
  <c r="N672" i="4"/>
  <c r="O672" i="4"/>
  <c r="P672" i="4"/>
  <c r="Q672" i="4"/>
  <c r="N515" i="4"/>
  <c r="O515" i="4"/>
  <c r="P515" i="4"/>
  <c r="Q515" i="4"/>
  <c r="J515" i="4"/>
  <c r="K515" i="4"/>
  <c r="L515" i="4"/>
  <c r="M515" i="4"/>
  <c r="J715" i="4"/>
  <c r="L715" i="4"/>
  <c r="P715" i="4"/>
  <c r="Q715" i="4"/>
  <c r="K715" i="4"/>
  <c r="M715" i="4"/>
  <c r="N715" i="4"/>
  <c r="O715" i="4"/>
  <c r="Q576" i="4"/>
  <c r="J576" i="4"/>
  <c r="K576" i="4"/>
  <c r="L576" i="4"/>
  <c r="M576" i="4"/>
  <c r="N576" i="4"/>
  <c r="O576" i="4"/>
  <c r="P576" i="4"/>
  <c r="M597" i="4"/>
  <c r="N597" i="4"/>
  <c r="O597" i="4"/>
  <c r="P597" i="4"/>
  <c r="J597" i="4"/>
  <c r="K597" i="4"/>
  <c r="L597" i="4"/>
  <c r="Q597" i="4"/>
  <c r="J679" i="4"/>
  <c r="K679" i="4"/>
  <c r="L679" i="4"/>
  <c r="N679" i="4"/>
  <c r="O679" i="4"/>
  <c r="P679" i="4"/>
  <c r="Q679" i="4"/>
  <c r="M679" i="4"/>
  <c r="N520" i="4"/>
  <c r="O520" i="4"/>
  <c r="P520" i="4"/>
  <c r="Q520" i="4"/>
  <c r="J520" i="4"/>
  <c r="K520" i="4"/>
  <c r="L520" i="4"/>
  <c r="M520" i="4"/>
  <c r="J720" i="4"/>
  <c r="L720" i="4"/>
  <c r="M720" i="4"/>
  <c r="N720" i="4"/>
  <c r="O720" i="4"/>
  <c r="P720" i="4"/>
  <c r="K720" i="4"/>
  <c r="Q720" i="4"/>
  <c r="E648" i="4"/>
  <c r="J1007" i="4"/>
  <c r="K1007" i="4"/>
  <c r="L1007" i="4"/>
  <c r="O1007" i="4"/>
  <c r="P1007" i="4"/>
  <c r="Q1007" i="4"/>
  <c r="M1007" i="4"/>
  <c r="N1007" i="4"/>
  <c r="J1029" i="4"/>
  <c r="K1029" i="4"/>
  <c r="L1029" i="4"/>
  <c r="M1029" i="4"/>
  <c r="N1029" i="4"/>
  <c r="O1029" i="4"/>
  <c r="P1029" i="4"/>
  <c r="Q1029" i="4"/>
  <c r="J933" i="4"/>
  <c r="K933" i="4"/>
  <c r="L933" i="4"/>
  <c r="M933" i="4"/>
  <c r="N933" i="4"/>
  <c r="O933" i="4"/>
  <c r="P933" i="4"/>
  <c r="Q933" i="4"/>
  <c r="J994" i="4"/>
  <c r="K994" i="4"/>
  <c r="L994" i="4"/>
  <c r="M994" i="4"/>
  <c r="N994" i="4"/>
  <c r="O994" i="4"/>
  <c r="P994" i="4"/>
  <c r="Q994" i="4"/>
  <c r="N1056" i="4"/>
  <c r="O1056" i="4"/>
  <c r="P1056" i="4"/>
  <c r="Q1056" i="4"/>
  <c r="J1056" i="4"/>
  <c r="L1056" i="4"/>
  <c r="M1056" i="4"/>
  <c r="K1056" i="4"/>
  <c r="Q862" i="4"/>
  <c r="J862" i="4"/>
  <c r="L862" i="4"/>
  <c r="O862" i="4"/>
  <c r="P862" i="4"/>
  <c r="K862" i="4"/>
  <c r="M862" i="4"/>
  <c r="N862" i="4"/>
  <c r="J1023" i="4"/>
  <c r="K1023" i="4"/>
  <c r="L1023" i="4"/>
  <c r="M1023" i="4"/>
  <c r="P1023" i="4"/>
  <c r="Q1023" i="4"/>
  <c r="N1023" i="4"/>
  <c r="O1023" i="4"/>
  <c r="J1064" i="4"/>
  <c r="K1064" i="4"/>
  <c r="L1064" i="4"/>
  <c r="M1064" i="4"/>
  <c r="Q1064" i="4"/>
  <c r="N1064" i="4"/>
  <c r="O1064" i="4"/>
  <c r="P1064" i="4"/>
  <c r="N991" i="4"/>
  <c r="O991" i="4"/>
  <c r="P991" i="4"/>
  <c r="Q991" i="4"/>
  <c r="J991" i="4"/>
  <c r="K991" i="4"/>
  <c r="L991" i="4"/>
  <c r="M991" i="4"/>
  <c r="J952" i="4"/>
  <c r="K952" i="4"/>
  <c r="L952" i="4"/>
  <c r="M952" i="4"/>
  <c r="N952" i="4"/>
  <c r="O952" i="4"/>
  <c r="P952" i="4"/>
  <c r="Q952" i="4"/>
  <c r="M925" i="4"/>
  <c r="N925" i="4"/>
  <c r="O925" i="4"/>
  <c r="P925" i="4"/>
  <c r="Q925" i="4"/>
  <c r="J925" i="4"/>
  <c r="L925" i="4"/>
  <c r="K925" i="4"/>
  <c r="N981" i="4"/>
  <c r="O981" i="4"/>
  <c r="P981" i="4"/>
  <c r="Q981" i="4"/>
  <c r="J981" i="4"/>
  <c r="K981" i="4"/>
  <c r="L981" i="4"/>
  <c r="M981" i="4"/>
  <c r="O1012" i="4"/>
  <c r="P1012" i="4"/>
  <c r="Q1012" i="4"/>
  <c r="J1012" i="4"/>
  <c r="K1012" i="4"/>
  <c r="M1012" i="4"/>
  <c r="L1012" i="4"/>
  <c r="N1012" i="4"/>
  <c r="J1272" i="4"/>
  <c r="L1272" i="4"/>
  <c r="M1272" i="4"/>
  <c r="N1272" i="4"/>
  <c r="O1272" i="4"/>
  <c r="P1272" i="4"/>
  <c r="Q1272" i="4"/>
  <c r="K1272" i="4"/>
  <c r="L1433" i="4"/>
  <c r="M1433" i="4"/>
  <c r="N1433" i="4"/>
  <c r="O1433" i="4"/>
  <c r="J1433" i="4"/>
  <c r="K1433" i="4"/>
  <c r="P1433" i="4"/>
  <c r="Q1433" i="4"/>
  <c r="J1316" i="4"/>
  <c r="K1316" i="4"/>
  <c r="O1316" i="4"/>
  <c r="P1316" i="4"/>
  <c r="Q1316" i="4"/>
  <c r="L1316" i="4"/>
  <c r="M1316" i="4"/>
  <c r="N1316" i="4"/>
  <c r="L1298" i="4"/>
  <c r="M1298" i="4"/>
  <c r="N1298" i="4"/>
  <c r="O1298" i="4"/>
  <c r="J1298" i="4"/>
  <c r="K1298" i="4"/>
  <c r="P1298" i="4"/>
  <c r="Q1298" i="4"/>
  <c r="J1379" i="4"/>
  <c r="K1379" i="4"/>
  <c r="L1379" i="4"/>
  <c r="M1379" i="4"/>
  <c r="O1379" i="4"/>
  <c r="P1379" i="4"/>
  <c r="Q1379" i="4"/>
  <c r="N1379" i="4"/>
  <c r="L1440" i="4"/>
  <c r="M1440" i="4"/>
  <c r="N1440" i="4"/>
  <c r="O1440" i="4"/>
  <c r="P1440" i="4"/>
  <c r="Q1440" i="4"/>
  <c r="J1440" i="4"/>
  <c r="K1440" i="4"/>
  <c r="O1245" i="4"/>
  <c r="P1245" i="4"/>
  <c r="Q1245" i="4"/>
  <c r="J1245" i="4"/>
  <c r="K1245" i="4"/>
  <c r="L1245" i="4"/>
  <c r="M1245" i="4"/>
  <c r="N1245" i="4"/>
  <c r="J1286" i="4"/>
  <c r="K1286" i="4"/>
  <c r="O1286" i="4"/>
  <c r="L1286" i="4"/>
  <c r="M1286" i="4"/>
  <c r="N1286" i="4"/>
  <c r="P1286" i="4"/>
  <c r="Q1286" i="4"/>
  <c r="N1689" i="4"/>
  <c r="O1689" i="4"/>
  <c r="J1689" i="4"/>
  <c r="K1689" i="4"/>
  <c r="L1689" i="4"/>
  <c r="M1689" i="4"/>
  <c r="P1689" i="4"/>
  <c r="Q1689" i="4"/>
  <c r="K1733" i="4"/>
  <c r="L1733" i="4"/>
  <c r="M1733" i="4"/>
  <c r="J1733" i="4"/>
  <c r="N1733" i="4"/>
  <c r="O1733" i="4"/>
  <c r="P1733" i="4"/>
  <c r="Q1733" i="4"/>
  <c r="N1611" i="4"/>
  <c r="O1611" i="4"/>
  <c r="P1611" i="4"/>
  <c r="Q1611" i="4"/>
  <c r="J1611" i="4"/>
  <c r="K1611" i="4"/>
  <c r="L1611" i="4"/>
  <c r="M1611" i="4"/>
  <c r="K1748" i="4"/>
  <c r="L1748" i="4"/>
  <c r="M1748" i="4"/>
  <c r="J1748" i="4"/>
  <c r="N1748" i="4"/>
  <c r="O1748" i="4"/>
  <c r="P1748" i="4"/>
  <c r="Q1748" i="4"/>
  <c r="L1418" i="4"/>
  <c r="M1418" i="4"/>
  <c r="N1418" i="4"/>
  <c r="O1418" i="4"/>
  <c r="J1418" i="4"/>
  <c r="K1418" i="4"/>
  <c r="P1418" i="4"/>
  <c r="Q1418" i="4"/>
  <c r="J1583" i="4"/>
  <c r="O1583" i="4"/>
  <c r="P1583" i="4"/>
  <c r="Q1583" i="4"/>
  <c r="K1583" i="4"/>
  <c r="L1583" i="4"/>
  <c r="M1583" i="4"/>
  <c r="N1583" i="4"/>
  <c r="L1626" i="4"/>
  <c r="M1626" i="4"/>
  <c r="N1626" i="4"/>
  <c r="O1626" i="4"/>
  <c r="P1626" i="4"/>
  <c r="Q1626" i="4"/>
  <c r="J1626" i="4"/>
  <c r="K1626" i="4"/>
  <c r="E463" i="4"/>
  <c r="E1554" i="4"/>
  <c r="O1704" i="4"/>
  <c r="J1704" i="4"/>
  <c r="K1704" i="4"/>
  <c r="L1704" i="4"/>
  <c r="M1704" i="4"/>
  <c r="N1704" i="4"/>
  <c r="P1704" i="4"/>
  <c r="Q1704" i="4"/>
  <c r="O544" i="4"/>
  <c r="J544" i="4"/>
  <c r="K544" i="4"/>
  <c r="L544" i="4"/>
  <c r="M544" i="4"/>
  <c r="N544" i="4"/>
  <c r="P544" i="4"/>
  <c r="Q544" i="4"/>
  <c r="N585" i="4"/>
  <c r="O585" i="4"/>
  <c r="P585" i="4"/>
  <c r="Q585" i="4"/>
  <c r="K585" i="4"/>
  <c r="L585" i="4"/>
  <c r="M585" i="4"/>
  <c r="J585" i="4"/>
  <c r="E1507" i="4"/>
  <c r="J1641" i="4"/>
  <c r="K1641" i="4"/>
  <c r="L1641" i="4"/>
  <c r="Q1641" i="4"/>
  <c r="M1641" i="4"/>
  <c r="N1641" i="4"/>
  <c r="O1641" i="4"/>
  <c r="P1641" i="4"/>
  <c r="K1712" i="4"/>
  <c r="O1712" i="4"/>
  <c r="P1712" i="4"/>
  <c r="Q1712" i="4"/>
  <c r="J1712" i="4"/>
  <c r="L1712" i="4"/>
  <c r="M1712" i="4"/>
  <c r="N1712" i="4"/>
  <c r="J614" i="4"/>
  <c r="N614" i="4"/>
  <c r="P614" i="4"/>
  <c r="K614" i="4"/>
  <c r="Q614" i="4"/>
  <c r="L614" i="4"/>
  <c r="M614" i="4"/>
  <c r="O614" i="4"/>
  <c r="K1738" i="4"/>
  <c r="L1738" i="4"/>
  <c r="M1738" i="4"/>
  <c r="J1738" i="4"/>
  <c r="N1738" i="4"/>
  <c r="O1738" i="4"/>
  <c r="P1738" i="4"/>
  <c r="Q1738" i="4"/>
  <c r="E585" i="4"/>
  <c r="E624" i="4"/>
  <c r="E685" i="4"/>
  <c r="E527" i="4"/>
  <c r="E707" i="4"/>
  <c r="E625" i="4"/>
  <c r="E547" i="4"/>
  <c r="E1581" i="4"/>
  <c r="E627" i="4"/>
  <c r="E1586" i="4"/>
  <c r="E545" i="4"/>
  <c r="E645" i="4"/>
  <c r="E496" i="4"/>
  <c r="E667" i="4"/>
  <c r="E684" i="4"/>
  <c r="E544" i="4"/>
  <c r="E1587" i="4"/>
  <c r="E525" i="4"/>
  <c r="E605" i="4"/>
  <c r="E505" i="4"/>
  <c r="E1582" i="4"/>
  <c r="E565" i="4"/>
  <c r="E705" i="4"/>
  <c r="E1580" i="4"/>
  <c r="E1480" i="4"/>
  <c r="E1583" i="4"/>
  <c r="E1459" i="4"/>
  <c r="E1543" i="4"/>
  <c r="E1460" i="4"/>
  <c r="E1563" i="4"/>
  <c r="E687" i="4"/>
  <c r="E647" i="4"/>
  <c r="E1500" i="4"/>
  <c r="E1584" i="4"/>
  <c r="E1474" i="4"/>
  <c r="E1506" i="4"/>
  <c r="E665" i="4"/>
  <c r="E1574" i="4"/>
  <c r="E607" i="4"/>
  <c r="E1462" i="4"/>
  <c r="E587" i="4"/>
  <c r="E1450" i="4"/>
  <c r="E1502" i="4"/>
  <c r="E644" i="4"/>
  <c r="E1562" i="4"/>
  <c r="E487" i="4"/>
  <c r="E988" i="4"/>
  <c r="E947" i="4"/>
  <c r="E969" i="4"/>
  <c r="E934" i="4"/>
  <c r="E765" i="4"/>
  <c r="E1011" i="4"/>
  <c r="E895" i="4"/>
  <c r="E1212" i="4"/>
  <c r="E1256" i="4"/>
  <c r="S1256" i="4" s="1"/>
  <c r="E1185" i="4"/>
  <c r="E1573" i="4"/>
  <c r="E851" i="4"/>
  <c r="E967" i="4"/>
  <c r="E989" i="4"/>
  <c r="E954" i="4"/>
  <c r="E891" i="4"/>
  <c r="E855" i="4"/>
  <c r="E823" i="4"/>
  <c r="E743" i="4"/>
  <c r="E1129" i="4"/>
  <c r="E1276" i="4"/>
  <c r="S1276" i="4" s="1"/>
  <c r="E1579" i="4"/>
  <c r="E1493" i="4"/>
  <c r="E1473" i="4"/>
  <c r="E987" i="4"/>
  <c r="E1009" i="4"/>
  <c r="E974" i="4"/>
  <c r="E906" i="4"/>
  <c r="E871" i="4"/>
  <c r="E911" i="4"/>
  <c r="E1051" i="4"/>
  <c r="E1108" i="4"/>
  <c r="E1184" i="4"/>
  <c r="E1266" i="4"/>
  <c r="S1266" i="4" s="1"/>
  <c r="E995" i="4"/>
  <c r="E927" i="4"/>
  <c r="E910" i="4"/>
  <c r="E1165" i="4"/>
  <c r="E1566" i="4"/>
  <c r="E1007" i="4"/>
  <c r="E1029" i="4"/>
  <c r="E994" i="4"/>
  <c r="E991" i="4"/>
  <c r="E925" i="4"/>
  <c r="E1128" i="4"/>
  <c r="E1286" i="4"/>
  <c r="S1286" i="4" s="1"/>
  <c r="E908" i="4"/>
  <c r="E1560" i="4"/>
  <c r="E1027" i="4"/>
  <c r="E1049" i="4"/>
  <c r="E1014" i="4"/>
  <c r="E1045" i="4"/>
  <c r="E1006" i="4"/>
  <c r="E971" i="4"/>
  <c r="E1030" i="4"/>
  <c r="E1015" i="4"/>
  <c r="E951" i="4"/>
  <c r="E1189" i="4"/>
  <c r="E1497" i="4"/>
  <c r="E1478" i="4"/>
  <c r="E914" i="4"/>
  <c r="E745" i="4"/>
  <c r="E1047" i="4"/>
  <c r="E1069" i="4"/>
  <c r="E1034" i="4"/>
  <c r="E1055" i="4"/>
  <c r="E1209" i="4"/>
  <c r="E1230" i="4"/>
  <c r="S1230" i="4" s="1"/>
  <c r="E1448" i="4"/>
  <c r="E1557" i="4"/>
  <c r="E1577" i="4"/>
  <c r="E949" i="4"/>
  <c r="E1488" i="4"/>
  <c r="E1539" i="4"/>
  <c r="E1067" i="4"/>
  <c r="E1054" i="4"/>
  <c r="E1071" i="4"/>
  <c r="E915" i="4"/>
  <c r="E1188" i="4"/>
  <c r="E1229" i="4"/>
  <c r="S1229" i="4" s="1"/>
  <c r="E1271" i="4"/>
  <c r="S1271" i="4" s="1"/>
  <c r="E1346" i="4"/>
  <c r="S1346" i="4" s="1"/>
  <c r="E1513" i="4"/>
  <c r="E1074" i="4"/>
  <c r="E744" i="4"/>
  <c r="E955" i="4"/>
  <c r="E1249" i="4"/>
  <c r="S1249" i="4" s="1"/>
  <c r="E1270" i="4"/>
  <c r="S1270" i="4" s="1"/>
  <c r="E1494" i="4"/>
  <c r="E764" i="4"/>
  <c r="E825" i="4"/>
  <c r="E1228" i="4"/>
  <c r="S1228" i="4" s="1"/>
  <c r="E1269" i="4"/>
  <c r="S1269" i="4" s="1"/>
  <c r="E1235" i="4"/>
  <c r="S1235" i="4" s="1"/>
  <c r="E1495" i="4"/>
  <c r="E1465" i="4"/>
  <c r="E1547" i="4"/>
  <c r="E1548" i="4"/>
  <c r="E931" i="4"/>
  <c r="E926" i="4"/>
  <c r="E856" i="4"/>
  <c r="E1289" i="4"/>
  <c r="S1289" i="4" s="1"/>
  <c r="E1255" i="4"/>
  <c r="S1255" i="4" s="1"/>
  <c r="E1406" i="4"/>
  <c r="S1406" i="4" s="1"/>
  <c r="E1490" i="4"/>
  <c r="E1515" i="4"/>
  <c r="E1545" i="4"/>
  <c r="E1578" i="4"/>
  <c r="E1551" i="4"/>
  <c r="E747" i="4"/>
  <c r="E768" i="4"/>
  <c r="E804" i="4"/>
  <c r="E985" i="4"/>
  <c r="E1035" i="4"/>
  <c r="E1309" i="4"/>
  <c r="S1309" i="4" s="1"/>
  <c r="E1550" i="4"/>
  <c r="E1535" i="4"/>
  <c r="E1565" i="4"/>
  <c r="E767" i="4"/>
  <c r="E857" i="4"/>
  <c r="E824" i="4"/>
  <c r="E1031" i="4"/>
  <c r="E1066" i="4"/>
  <c r="E1288" i="4"/>
  <c r="S1288" i="4" s="1"/>
  <c r="E1329" i="4"/>
  <c r="S1329" i="4" s="1"/>
  <c r="E1570" i="4"/>
  <c r="E1456" i="4"/>
  <c r="E844" i="4"/>
  <c r="E935" i="4"/>
  <c r="E966" i="4"/>
  <c r="E1308" i="4"/>
  <c r="S1308" i="4" s="1"/>
  <c r="E1349" i="4"/>
  <c r="S1349" i="4" s="1"/>
  <c r="E1467" i="4"/>
  <c r="E1453" i="4"/>
  <c r="E1471" i="4"/>
  <c r="E828" i="4"/>
  <c r="E731" i="4"/>
  <c r="E843" i="4"/>
  <c r="E1046" i="4"/>
  <c r="E1068" i="4"/>
  <c r="E1369" i="4"/>
  <c r="S1369" i="4" s="1"/>
  <c r="E1218" i="4"/>
  <c r="S1218" i="4" s="1"/>
  <c r="E1567" i="4"/>
  <c r="E1588" i="4"/>
  <c r="E1568" i="4"/>
  <c r="E827" i="4"/>
  <c r="E848" i="4"/>
  <c r="E875" i="4"/>
  <c r="E866" i="4"/>
  <c r="E1389" i="4"/>
  <c r="S1389" i="4" s="1"/>
  <c r="E1106" i="4"/>
  <c r="E1216" i="4"/>
  <c r="S1216" i="4" s="1"/>
  <c r="E1008" i="4"/>
  <c r="E1458" i="4"/>
  <c r="E1571" i="4"/>
  <c r="E869" i="4"/>
  <c r="E771" i="4"/>
  <c r="E928" i="4"/>
  <c r="E946" i="4"/>
  <c r="E968" i="4"/>
  <c r="E1092" i="4"/>
  <c r="E1126" i="4"/>
  <c r="E1469" i="4"/>
  <c r="E1466" i="4"/>
  <c r="E867" i="4"/>
  <c r="E889" i="4"/>
  <c r="E791" i="4"/>
  <c r="E975" i="4"/>
  <c r="E868" i="4"/>
  <c r="E1429" i="4"/>
  <c r="S1429" i="4" s="1"/>
  <c r="E905" i="4"/>
  <c r="E1132" i="4"/>
  <c r="E1105" i="4"/>
  <c r="E1217" i="4"/>
  <c r="S1217" i="4" s="1"/>
  <c r="E1489" i="4"/>
  <c r="E1486" i="4"/>
  <c r="E1487" i="4"/>
  <c r="E887" i="4"/>
  <c r="E909" i="4"/>
  <c r="E874" i="4"/>
  <c r="E1028" i="4"/>
  <c r="E986" i="4"/>
  <c r="E888" i="4"/>
  <c r="E1152" i="4"/>
  <c r="E1125" i="4"/>
  <c r="E1549" i="4"/>
  <c r="E1526" i="4"/>
  <c r="E1468" i="4"/>
  <c r="E907" i="4"/>
  <c r="E929" i="4"/>
  <c r="E894" i="4"/>
  <c r="E1075" i="4"/>
  <c r="E948" i="4"/>
  <c r="E886" i="4"/>
  <c r="E1104" i="4"/>
  <c r="E1186" i="4"/>
  <c r="E1589" i="4"/>
  <c r="E1546" i="4"/>
  <c r="D1551" i="4"/>
  <c r="D1625" i="4"/>
  <c r="C737" i="4"/>
  <c r="D1663" i="4"/>
  <c r="D1654" i="4"/>
  <c r="C1654" i="4"/>
  <c r="D1674" i="4"/>
  <c r="C1674" i="4"/>
  <c r="D903" i="4"/>
  <c r="C1453" i="4"/>
  <c r="C1600" i="4"/>
  <c r="D1600" i="4"/>
  <c r="C1651" i="4"/>
  <c r="D1651" i="4"/>
  <c r="D727" i="4"/>
  <c r="D879" i="4"/>
  <c r="D923" i="4"/>
  <c r="D950" i="4"/>
  <c r="D933" i="4"/>
  <c r="C1499" i="4"/>
  <c r="D1637" i="4"/>
  <c r="C1637" i="4"/>
  <c r="C1686" i="4"/>
  <c r="D1686" i="4"/>
  <c r="D1627" i="4"/>
  <c r="C1627" i="4"/>
  <c r="C1690" i="4"/>
  <c r="D1690" i="4"/>
  <c r="C1653" i="4"/>
  <c r="D1653" i="4"/>
  <c r="D1636" i="4"/>
  <c r="C1636" i="4"/>
  <c r="D747" i="4"/>
  <c r="D856" i="4"/>
  <c r="D899" i="4"/>
  <c r="D943" i="4"/>
  <c r="D868" i="4"/>
  <c r="D874" i="4"/>
  <c r="D1511" i="4"/>
  <c r="C1675" i="4"/>
  <c r="D1675" i="4"/>
  <c r="C1602" i="4"/>
  <c r="D1602" i="4"/>
  <c r="D746" i="4"/>
  <c r="C1671" i="4"/>
  <c r="D1671" i="4"/>
  <c r="C1612" i="4"/>
  <c r="D1612" i="4"/>
  <c r="D767" i="4"/>
  <c r="D926" i="4"/>
  <c r="C1531" i="4"/>
  <c r="C1454" i="4"/>
  <c r="C1640" i="4"/>
  <c r="D1640" i="4"/>
  <c r="D1604" i="4"/>
  <c r="C1604" i="4"/>
  <c r="D1616" i="4"/>
  <c r="C1616" i="4"/>
  <c r="D1647" i="4"/>
  <c r="C1647" i="4"/>
  <c r="C1673" i="4"/>
  <c r="D1673" i="4"/>
  <c r="D876" i="4"/>
  <c r="D919" i="4"/>
  <c r="D787" i="4"/>
  <c r="D896" i="4"/>
  <c r="D939" i="4"/>
  <c r="D862" i="4"/>
  <c r="D846" i="4"/>
  <c r="D911" i="4"/>
  <c r="D1677" i="4"/>
  <c r="C1677" i="4"/>
  <c r="C1642" i="4"/>
  <c r="D1642" i="4"/>
  <c r="C1684" i="4"/>
  <c r="D1684" i="4"/>
  <c r="C1691" i="4"/>
  <c r="D1691" i="4"/>
  <c r="C1632" i="4"/>
  <c r="D1632" i="4"/>
  <c r="C1635" i="4"/>
  <c r="D1635" i="4"/>
  <c r="D807" i="4"/>
  <c r="D729" i="4"/>
  <c r="D916" i="4"/>
  <c r="D882" i="4"/>
  <c r="D895" i="4"/>
  <c r="D853" i="4"/>
  <c r="C1680" i="4"/>
  <c r="D1680" i="4"/>
  <c r="D1614" i="4"/>
  <c r="C1614" i="4"/>
  <c r="D1667" i="4"/>
  <c r="C1667" i="4"/>
  <c r="C1609" i="4"/>
  <c r="D1609" i="4"/>
  <c r="C1665" i="4"/>
  <c r="D1665" i="4"/>
  <c r="D827" i="4"/>
  <c r="D749" i="4"/>
  <c r="D852" i="4"/>
  <c r="D936" i="4"/>
  <c r="D902" i="4"/>
  <c r="D954" i="4"/>
  <c r="D1644" i="4"/>
  <c r="C1644" i="4"/>
  <c r="C1608" i="4"/>
  <c r="D1608" i="4"/>
  <c r="C1621" i="4"/>
  <c r="D1621" i="4"/>
  <c r="C1652" i="4"/>
  <c r="D1652" i="4"/>
  <c r="D847" i="4"/>
  <c r="D769" i="4"/>
  <c r="D872" i="4"/>
  <c r="D956" i="4"/>
  <c r="D858" i="4"/>
  <c r="D922" i="4"/>
  <c r="D865" i="4"/>
  <c r="D870" i="4"/>
  <c r="D893" i="4"/>
  <c r="C1469" i="4"/>
  <c r="D1455" i="4"/>
  <c r="C1601" i="4"/>
  <c r="D1601" i="4"/>
  <c r="C1682" i="4"/>
  <c r="D1682" i="4"/>
  <c r="C1687" i="4"/>
  <c r="D1687" i="4"/>
  <c r="C1620" i="4"/>
  <c r="D1620" i="4"/>
  <c r="C1658" i="4"/>
  <c r="D1658" i="4"/>
  <c r="C1629" i="4"/>
  <c r="D1629" i="4"/>
  <c r="D789" i="4"/>
  <c r="D892" i="4"/>
  <c r="D878" i="4"/>
  <c r="D885" i="4"/>
  <c r="D928" i="4"/>
  <c r="D854" i="4"/>
  <c r="C1489" i="4"/>
  <c r="C1580" i="4"/>
  <c r="C1638" i="4"/>
  <c r="D1638" i="4"/>
  <c r="D1657" i="4"/>
  <c r="C1657" i="4"/>
  <c r="C1628" i="4"/>
  <c r="D1628" i="4"/>
  <c r="C1672" i="4"/>
  <c r="D1672" i="4"/>
  <c r="D942" i="4"/>
  <c r="D887" i="4"/>
  <c r="D809" i="4"/>
  <c r="D912" i="4"/>
  <c r="D898" i="4"/>
  <c r="D861" i="4"/>
  <c r="D905" i="4"/>
  <c r="D848" i="4"/>
  <c r="D913" i="4"/>
  <c r="D866" i="4"/>
  <c r="D934" i="4"/>
  <c r="C1509" i="4"/>
  <c r="D1676" i="4"/>
  <c r="C1676" i="4"/>
  <c r="C1649" i="4"/>
  <c r="D1649" i="4"/>
  <c r="D910" i="4"/>
  <c r="D907" i="4"/>
  <c r="D829" i="4"/>
  <c r="D932" i="4"/>
  <c r="D918" i="4"/>
  <c r="D881" i="4"/>
  <c r="D925" i="4"/>
  <c r="D906" i="4"/>
  <c r="D886" i="4"/>
  <c r="D737" i="4"/>
  <c r="C1529" i="4"/>
  <c r="C1599" i="4"/>
  <c r="D1599" i="4"/>
  <c r="D1617" i="4"/>
  <c r="C1617" i="4"/>
  <c r="C1648" i="4"/>
  <c r="D1648" i="4"/>
  <c r="C1692" i="4"/>
  <c r="D1692" i="4"/>
  <c r="D927" i="4"/>
  <c r="D849" i="4"/>
  <c r="D952" i="4"/>
  <c r="D938" i="4"/>
  <c r="D901" i="4"/>
  <c r="D945" i="4"/>
  <c r="D930" i="4"/>
  <c r="D955" i="4"/>
  <c r="C1549" i="4"/>
  <c r="C1655" i="4"/>
  <c r="D1655" i="4"/>
  <c r="C1669" i="4"/>
  <c r="D1669" i="4"/>
  <c r="C1622" i="4"/>
  <c r="D1622" i="4"/>
  <c r="D957" i="4"/>
  <c r="D867" i="4"/>
  <c r="D947" i="4"/>
  <c r="D869" i="4"/>
  <c r="D921" i="4"/>
  <c r="C1555" i="4"/>
  <c r="C1619" i="4"/>
  <c r="D1619" i="4"/>
  <c r="C1603" i="4"/>
  <c r="D1603" i="4"/>
  <c r="C1685" i="4"/>
  <c r="D1685" i="4"/>
  <c r="C1668" i="4"/>
  <c r="D1668" i="4"/>
  <c r="C1660" i="4"/>
  <c r="D1660" i="4"/>
  <c r="D889" i="4"/>
  <c r="D941" i="4"/>
  <c r="D864" i="4"/>
  <c r="D873" i="4"/>
  <c r="D855" i="4"/>
  <c r="D915" i="4"/>
  <c r="C1641" i="4"/>
  <c r="D1641" i="4"/>
  <c r="D1606" i="4"/>
  <c r="C1606" i="4"/>
  <c r="C1689" i="4"/>
  <c r="D1689" i="4"/>
  <c r="C1610" i="4"/>
  <c r="D1610" i="4"/>
  <c r="C1623" i="4"/>
  <c r="D1623" i="4"/>
  <c r="D909" i="4"/>
  <c r="D860" i="4"/>
  <c r="D884" i="4"/>
  <c r="D931" i="4"/>
  <c r="D850" i="4"/>
  <c r="D914" i="4"/>
  <c r="C1639" i="4"/>
  <c r="D1639" i="4"/>
  <c r="C1678" i="4"/>
  <c r="D1678" i="4"/>
  <c r="C1688" i="4"/>
  <c r="D1688" i="4"/>
  <c r="C1661" i="4"/>
  <c r="D1661" i="4"/>
  <c r="D929" i="4"/>
  <c r="D857" i="4"/>
  <c r="D880" i="4"/>
  <c r="D904" i="4"/>
  <c r="D908" i="4"/>
  <c r="C1605" i="4"/>
  <c r="D1605" i="4"/>
  <c r="D1626" i="4"/>
  <c r="C1626" i="4"/>
  <c r="C1618" i="4"/>
  <c r="D1618" i="4"/>
  <c r="C1630" i="4"/>
  <c r="D1630" i="4"/>
  <c r="D859" i="4"/>
  <c r="D877" i="4"/>
  <c r="D900" i="4"/>
  <c r="D924" i="4"/>
  <c r="D894" i="4"/>
  <c r="C1659" i="4"/>
  <c r="D1659" i="4"/>
  <c r="C1643" i="4"/>
  <c r="D1643" i="4"/>
  <c r="C1615" i="4"/>
  <c r="D1615" i="4"/>
  <c r="D1656" i="4"/>
  <c r="C1656" i="4"/>
  <c r="C1611" i="4"/>
  <c r="D1611" i="4"/>
  <c r="D1624" i="4"/>
  <c r="C1624" i="4"/>
  <c r="D897" i="4"/>
  <c r="D920" i="4"/>
  <c r="D944" i="4"/>
  <c r="D946" i="4"/>
  <c r="C1449" i="4"/>
  <c r="C1681" i="4"/>
  <c r="D1681" i="4"/>
  <c r="C1645" i="4"/>
  <c r="D1645" i="4"/>
  <c r="D1646" i="4"/>
  <c r="C1646" i="4"/>
  <c r="C1650" i="4"/>
  <c r="D1650" i="4"/>
  <c r="C1662" i="4"/>
  <c r="D1662" i="4"/>
  <c r="C1613" i="4"/>
  <c r="D1613" i="4"/>
  <c r="D1634" i="4"/>
  <c r="C1634" i="4"/>
  <c r="D735" i="4"/>
  <c r="D949" i="4"/>
  <c r="D917" i="4"/>
  <c r="D940" i="4"/>
  <c r="D863" i="4"/>
  <c r="D935" i="4"/>
  <c r="C1679" i="4"/>
  <c r="D1679" i="4"/>
  <c r="C1683" i="4"/>
  <c r="D1683" i="4"/>
  <c r="C1631" i="4"/>
  <c r="D1631" i="4"/>
  <c r="D1664" i="4"/>
  <c r="C1664" i="4"/>
  <c r="D733" i="4"/>
  <c r="D937" i="4"/>
  <c r="D883" i="4"/>
  <c r="D890" i="4"/>
  <c r="D851" i="4"/>
  <c r="D891" i="4"/>
  <c r="D951" i="4"/>
  <c r="D1666" i="4"/>
  <c r="C1666" i="4"/>
  <c r="D1607" i="4"/>
  <c r="C1607" i="4"/>
  <c r="C1670" i="4"/>
  <c r="D1670" i="4"/>
  <c r="C1633" i="4"/>
  <c r="D1633" i="4"/>
  <c r="D775" i="4"/>
  <c r="C1511" i="4"/>
  <c r="D1489" i="4"/>
  <c r="D1531" i="4"/>
  <c r="D1554" i="4"/>
  <c r="E1290" i="4"/>
  <c r="S1290" i="4" s="1"/>
  <c r="E1388" i="4"/>
  <c r="S1388" i="4" s="1"/>
  <c r="E1370" i="4"/>
  <c r="S1370" i="4" s="1"/>
  <c r="E1395" i="4"/>
  <c r="S1395" i="4" s="1"/>
  <c r="E1430" i="4"/>
  <c r="S1430" i="4" s="1"/>
  <c r="E1248" i="4"/>
  <c r="S1248" i="4" s="1"/>
  <c r="E1367" i="4"/>
  <c r="S1367" i="4" s="1"/>
  <c r="E1416" i="4"/>
  <c r="S1416" i="4" s="1"/>
  <c r="E1348" i="4"/>
  <c r="S1348" i="4" s="1"/>
  <c r="E1287" i="4"/>
  <c r="S1287" i="4" s="1"/>
  <c r="E1390" i="4"/>
  <c r="S1390" i="4" s="1"/>
  <c r="E1350" i="4"/>
  <c r="S1350" i="4" s="1"/>
  <c r="E1330" i="4"/>
  <c r="S1330" i="4" s="1"/>
  <c r="E1292" i="4"/>
  <c r="S1292" i="4" s="1"/>
  <c r="E1391" i="4"/>
  <c r="S1391" i="4" s="1"/>
  <c r="E1316" i="4"/>
  <c r="S1316" i="4" s="1"/>
  <c r="E1352" i="4"/>
  <c r="S1352" i="4" s="1"/>
  <c r="E1327" i="4"/>
  <c r="S1327" i="4" s="1"/>
  <c r="E1315" i="4"/>
  <c r="S1315" i="4" s="1"/>
  <c r="E1408" i="4"/>
  <c r="S1408" i="4" s="1"/>
  <c r="E1432" i="4"/>
  <c r="S1432" i="4" s="1"/>
  <c r="E1250" i="4"/>
  <c r="S1250" i="4" s="1"/>
  <c r="E1410" i="4"/>
  <c r="S1410" i="4" s="1"/>
  <c r="E1355" i="4"/>
  <c r="S1355" i="4" s="1"/>
  <c r="E1275" i="4"/>
  <c r="S1275" i="4" s="1"/>
  <c r="E1376" i="4"/>
  <c r="S1376" i="4" s="1"/>
  <c r="E1312" i="4"/>
  <c r="S1312" i="4" s="1"/>
  <c r="E1407" i="4"/>
  <c r="S1407" i="4" s="1"/>
  <c r="E1296" i="4"/>
  <c r="S1296" i="4" s="1"/>
  <c r="E1435" i="4"/>
  <c r="S1435" i="4" s="1"/>
  <c r="E1436" i="4"/>
  <c r="S1436" i="4" s="1"/>
  <c r="E1336" i="4"/>
  <c r="S1336" i="4" s="1"/>
  <c r="E1372" i="4"/>
  <c r="S1372" i="4" s="1"/>
  <c r="E1232" i="4"/>
  <c r="S1232" i="4" s="1"/>
  <c r="E1332" i="4"/>
  <c r="S1332" i="4" s="1"/>
  <c r="E1412" i="4"/>
  <c r="S1412" i="4" s="1"/>
  <c r="E965" i="4"/>
  <c r="E1236" i="4"/>
  <c r="S1236" i="4" s="1"/>
  <c r="E1375" i="4"/>
  <c r="S1375" i="4" s="1"/>
  <c r="E1247" i="4"/>
  <c r="S1247" i="4" s="1"/>
  <c r="E1396" i="4"/>
  <c r="S1396" i="4" s="1"/>
  <c r="E1307" i="4"/>
  <c r="S1307" i="4" s="1"/>
  <c r="E1356" i="4"/>
  <c r="S1356" i="4" s="1"/>
  <c r="E1252" i="4"/>
  <c r="S1252" i="4" s="1"/>
  <c r="E1310" i="4"/>
  <c r="S1310" i="4" s="1"/>
  <c r="E1347" i="4"/>
  <c r="S1347" i="4" s="1"/>
  <c r="E1415" i="4"/>
  <c r="S1415" i="4" s="1"/>
  <c r="E1268" i="4"/>
  <c r="S1268" i="4" s="1"/>
  <c r="E1392" i="4"/>
  <c r="S1392" i="4" s="1"/>
  <c r="E1427" i="4"/>
  <c r="S1427" i="4" s="1"/>
  <c r="E1368" i="4"/>
  <c r="S1368" i="4" s="1"/>
  <c r="E1295" i="4"/>
  <c r="S1295" i="4" s="1"/>
  <c r="E1267" i="4"/>
  <c r="S1267" i="4" s="1"/>
  <c r="E1428" i="4"/>
  <c r="S1428" i="4" s="1"/>
  <c r="E1335" i="4"/>
  <c r="S1335" i="4" s="1"/>
  <c r="E1328" i="4"/>
  <c r="S1328" i="4" s="1"/>
  <c r="E1272" i="4"/>
  <c r="S1272" i="4" s="1"/>
  <c r="C1553" i="4"/>
  <c r="D1580" i="4"/>
  <c r="E1227" i="4"/>
  <c r="S1227" i="4" s="1"/>
  <c r="D1539" i="4"/>
  <c r="D1555" i="4"/>
  <c r="D1453" i="4"/>
  <c r="D1454" i="4"/>
  <c r="D1499" i="4"/>
  <c r="D1540" i="4"/>
  <c r="C1515" i="4"/>
  <c r="D1515" i="4"/>
  <c r="C1591" i="4"/>
  <c r="D1591" i="4"/>
  <c r="C1541" i="4"/>
  <c r="D1541" i="4"/>
  <c r="C1504" i="4"/>
  <c r="D1504" i="4"/>
  <c r="C1467" i="4"/>
  <c r="D1467" i="4"/>
  <c r="C1558" i="4"/>
  <c r="D1558" i="4"/>
  <c r="C1577" i="4"/>
  <c r="D1577" i="4"/>
  <c r="C1452" i="4"/>
  <c r="D1452" i="4"/>
  <c r="C1561" i="4"/>
  <c r="D1561" i="4"/>
  <c r="C1524" i="4"/>
  <c r="D1524" i="4"/>
  <c r="C1487" i="4"/>
  <c r="D1487" i="4"/>
  <c r="C1474" i="4"/>
  <c r="D1474" i="4"/>
  <c r="C1500" i="4"/>
  <c r="D1500" i="4"/>
  <c r="C1571" i="4"/>
  <c r="D1571" i="4"/>
  <c r="C1521" i="4"/>
  <c r="D1521" i="4"/>
  <c r="C1484" i="4"/>
  <c r="D1484" i="4"/>
  <c r="C1472" i="4"/>
  <c r="D1472" i="4"/>
  <c r="C1581" i="4"/>
  <c r="D1581" i="4"/>
  <c r="C1544" i="4"/>
  <c r="D1544" i="4"/>
  <c r="C1507" i="4"/>
  <c r="D1507" i="4"/>
  <c r="C1517" i="4"/>
  <c r="D1517" i="4"/>
  <c r="C1458" i="4"/>
  <c r="D1458" i="4"/>
  <c r="C1535" i="4"/>
  <c r="D1535" i="4"/>
  <c r="C1492" i="4"/>
  <c r="D1492" i="4"/>
  <c r="C1462" i="4"/>
  <c r="D1462" i="4"/>
  <c r="C1564" i="4"/>
  <c r="D1564" i="4"/>
  <c r="C1527" i="4"/>
  <c r="D1527" i="4"/>
  <c r="C1559" i="4"/>
  <c r="D1559" i="4"/>
  <c r="C1459" i="4"/>
  <c r="D1459" i="4"/>
  <c r="C1512" i="4"/>
  <c r="D1512" i="4"/>
  <c r="C1482" i="4"/>
  <c r="D1482" i="4"/>
  <c r="C1584" i="4"/>
  <c r="D1584" i="4"/>
  <c r="C1547" i="4"/>
  <c r="D1547" i="4"/>
  <c r="C1475" i="4"/>
  <c r="D1475" i="4"/>
  <c r="C1572" i="4"/>
  <c r="D1572" i="4"/>
  <c r="C1532" i="4"/>
  <c r="D1532" i="4"/>
  <c r="C1502" i="4"/>
  <c r="D1502" i="4"/>
  <c r="C1465" i="4"/>
  <c r="D1465" i="4"/>
  <c r="C1567" i="4"/>
  <c r="D1567" i="4"/>
  <c r="C1518" i="4"/>
  <c r="D1518" i="4"/>
  <c r="C1552" i="4"/>
  <c r="D1552" i="4"/>
  <c r="C1522" i="4"/>
  <c r="D1522" i="4"/>
  <c r="C1485" i="4"/>
  <c r="D1485" i="4"/>
  <c r="C1587" i="4"/>
  <c r="D1587" i="4"/>
  <c r="C1560" i="4"/>
  <c r="D1560" i="4"/>
  <c r="C1450" i="4"/>
  <c r="D1450" i="4"/>
  <c r="C1575" i="4"/>
  <c r="D1575" i="4"/>
  <c r="C1542" i="4"/>
  <c r="D1542" i="4"/>
  <c r="C1505" i="4"/>
  <c r="D1505" i="4"/>
  <c r="C1477" i="4"/>
  <c r="D1477" i="4"/>
  <c r="C1460" i="4"/>
  <c r="D1460" i="4"/>
  <c r="C1470" i="4"/>
  <c r="D1470" i="4"/>
  <c r="C1595" i="4"/>
  <c r="D1595" i="4"/>
  <c r="C1562" i="4"/>
  <c r="D1562" i="4"/>
  <c r="C1525" i="4"/>
  <c r="D1525" i="4"/>
  <c r="C1494" i="4"/>
  <c r="D1494" i="4"/>
  <c r="C1519" i="4"/>
  <c r="D1519" i="4"/>
  <c r="C1573" i="4"/>
  <c r="D1573" i="4"/>
  <c r="C1490" i="4"/>
  <c r="D1490" i="4"/>
  <c r="C1456" i="4"/>
  <c r="D1456" i="4"/>
  <c r="C1582" i="4"/>
  <c r="D1582" i="4"/>
  <c r="C1545" i="4"/>
  <c r="D1545" i="4"/>
  <c r="C1537" i="4"/>
  <c r="D1537" i="4"/>
  <c r="C1568" i="4"/>
  <c r="D1568" i="4"/>
  <c r="C1468" i="4"/>
  <c r="D1468" i="4"/>
  <c r="C1510" i="4"/>
  <c r="D1510" i="4"/>
  <c r="C1476" i="4"/>
  <c r="D1476" i="4"/>
  <c r="C1565" i="4"/>
  <c r="D1565" i="4"/>
  <c r="C1578" i="4"/>
  <c r="D1578" i="4"/>
  <c r="C1478" i="4"/>
  <c r="D1478" i="4"/>
  <c r="C1479" i="4"/>
  <c r="D1479" i="4"/>
  <c r="C1530" i="4"/>
  <c r="D1530" i="4"/>
  <c r="C1496" i="4"/>
  <c r="D1496" i="4"/>
  <c r="C1463" i="4"/>
  <c r="D1463" i="4"/>
  <c r="C1585" i="4"/>
  <c r="D1585" i="4"/>
  <c r="C1497" i="4"/>
  <c r="D1497" i="4"/>
  <c r="C1520" i="4"/>
  <c r="D1520" i="4"/>
  <c r="C1508" i="4"/>
  <c r="D1508" i="4"/>
  <c r="C1589" i="4"/>
  <c r="D1589" i="4"/>
  <c r="C1550" i="4"/>
  <c r="D1550" i="4"/>
  <c r="C1516" i="4"/>
  <c r="D1516" i="4"/>
  <c r="C1483" i="4"/>
  <c r="D1483" i="4"/>
  <c r="C1466" i="4"/>
  <c r="D1466" i="4"/>
  <c r="C1588" i="4"/>
  <c r="D1588" i="4"/>
  <c r="C1569" i="4"/>
  <c r="D1569" i="4"/>
  <c r="C1513" i="4"/>
  <c r="D1513" i="4"/>
  <c r="C1480" i="4"/>
  <c r="D1480" i="4"/>
  <c r="C1570" i="4"/>
  <c r="D1570" i="4"/>
  <c r="C1536" i="4"/>
  <c r="D1536" i="4"/>
  <c r="C1503" i="4"/>
  <c r="D1503" i="4"/>
  <c r="C1486" i="4"/>
  <c r="D1486" i="4"/>
  <c r="C1457" i="4"/>
  <c r="D1457" i="4"/>
  <c r="C1488" i="4"/>
  <c r="D1488" i="4"/>
  <c r="C1592" i="4"/>
  <c r="D1592" i="4"/>
  <c r="C1590" i="4"/>
  <c r="D1590" i="4"/>
  <c r="C1556" i="4"/>
  <c r="D1556" i="4"/>
  <c r="C1523" i="4"/>
  <c r="D1523" i="4"/>
  <c r="C1506" i="4"/>
  <c r="D1506" i="4"/>
  <c r="C1596" i="4"/>
  <c r="D1596" i="4"/>
  <c r="C1533" i="4"/>
  <c r="D1533" i="4"/>
  <c r="C1495" i="4"/>
  <c r="D1495" i="4"/>
  <c r="C1579" i="4"/>
  <c r="D1579" i="4"/>
  <c r="C1543" i="4"/>
  <c r="D1543" i="4"/>
  <c r="C1526" i="4"/>
  <c r="D1526" i="4"/>
  <c r="C1514" i="4"/>
  <c r="D1514" i="4"/>
  <c r="C1574" i="4"/>
  <c r="D1574" i="4"/>
  <c r="C1528" i="4"/>
  <c r="D1528" i="4"/>
  <c r="C1593" i="4"/>
  <c r="D1593" i="4"/>
  <c r="C1451" i="4"/>
  <c r="D1451" i="4"/>
  <c r="C1461" i="4"/>
  <c r="D1461" i="4"/>
  <c r="C1563" i="4"/>
  <c r="D1563" i="4"/>
  <c r="C1546" i="4"/>
  <c r="D1546" i="4"/>
  <c r="C1557" i="4"/>
  <c r="D1557" i="4"/>
  <c r="C1534" i="4"/>
  <c r="D1534" i="4"/>
  <c r="C1498" i="4"/>
  <c r="D1498" i="4"/>
  <c r="C1471" i="4"/>
  <c r="D1471" i="4"/>
  <c r="C1481" i="4"/>
  <c r="D1481" i="4"/>
  <c r="C1583" i="4"/>
  <c r="D1583" i="4"/>
  <c r="C1566" i="4"/>
  <c r="D1566" i="4"/>
  <c r="C1598" i="4"/>
  <c r="D1598" i="4"/>
  <c r="C1576" i="4"/>
  <c r="D1576" i="4"/>
  <c r="C1538" i="4"/>
  <c r="D1538" i="4"/>
  <c r="C1594" i="4"/>
  <c r="D1594" i="4"/>
  <c r="C1491" i="4"/>
  <c r="D1491" i="4"/>
  <c r="C1501" i="4"/>
  <c r="D1501" i="4"/>
  <c r="C1464" i="4"/>
  <c r="D1464" i="4"/>
  <c r="C1586" i="4"/>
  <c r="D1586" i="4"/>
  <c r="C1473" i="4"/>
  <c r="D1473" i="4"/>
  <c r="C1493" i="4"/>
  <c r="D1493" i="4"/>
  <c r="C1548" i="4"/>
  <c r="D1548" i="4"/>
  <c r="C1597" i="4"/>
  <c r="D1597" i="4"/>
  <c r="C1448" i="4"/>
  <c r="D1448" i="4"/>
  <c r="E1205" i="4"/>
  <c r="E1204" i="4"/>
  <c r="E1048" i="4"/>
  <c r="E1005" i="4"/>
  <c r="E1026" i="4"/>
  <c r="C875" i="4"/>
  <c r="D875" i="4"/>
  <c r="C1009" i="4"/>
  <c r="D1009" i="4"/>
  <c r="C1018" i="4"/>
  <c r="D1018" i="4"/>
  <c r="C1022" i="4"/>
  <c r="D1022" i="4"/>
  <c r="C1035" i="4"/>
  <c r="D1035" i="4"/>
  <c r="C1072" i="4"/>
  <c r="D1072" i="4"/>
  <c r="C998" i="4"/>
  <c r="D998" i="4"/>
  <c r="C1002" i="4"/>
  <c r="D1002" i="4"/>
  <c r="C1008" i="4"/>
  <c r="D1008" i="4"/>
  <c r="C1029" i="4"/>
  <c r="D1029" i="4"/>
  <c r="C1038" i="4"/>
  <c r="D1038" i="4"/>
  <c r="C1042" i="4"/>
  <c r="D1042" i="4"/>
  <c r="C971" i="4"/>
  <c r="D971" i="4"/>
  <c r="C1068" i="4"/>
  <c r="D1068" i="4"/>
  <c r="C1033" i="4"/>
  <c r="D1033" i="4"/>
  <c r="C986" i="4"/>
  <c r="D986" i="4"/>
  <c r="C1049" i="4"/>
  <c r="D1049" i="4"/>
  <c r="C1058" i="4"/>
  <c r="D1058" i="4"/>
  <c r="C961" i="4"/>
  <c r="D961" i="4"/>
  <c r="C1062" i="4"/>
  <c r="D1062" i="4"/>
  <c r="C965" i="4"/>
  <c r="D965" i="4"/>
  <c r="C988" i="4"/>
  <c r="D988" i="4"/>
  <c r="C1030" i="4"/>
  <c r="D1030" i="4"/>
  <c r="C994" i="4"/>
  <c r="D994" i="4"/>
  <c r="C989" i="4"/>
  <c r="D989" i="4"/>
  <c r="C1071" i="4"/>
  <c r="D1071" i="4"/>
  <c r="C1069" i="4"/>
  <c r="D1069" i="4"/>
  <c r="C1078" i="4"/>
  <c r="D1078" i="4"/>
  <c r="C981" i="4"/>
  <c r="D981" i="4"/>
  <c r="C1082" i="4"/>
  <c r="D1082" i="4"/>
  <c r="C985" i="4"/>
  <c r="D985" i="4"/>
  <c r="C1014" i="4"/>
  <c r="D1014" i="4"/>
  <c r="C1054" i="4"/>
  <c r="D1054" i="4"/>
  <c r="C1001" i="4"/>
  <c r="D1001" i="4"/>
  <c r="C1005" i="4"/>
  <c r="D1005" i="4"/>
  <c r="C1073" i="4"/>
  <c r="D1073" i="4"/>
  <c r="C1021" i="4"/>
  <c r="D1021" i="4"/>
  <c r="C1025" i="4"/>
  <c r="D1025" i="4"/>
  <c r="C990" i="4"/>
  <c r="D990" i="4"/>
  <c r="C977" i="4"/>
  <c r="D977" i="4"/>
  <c r="C1041" i="4"/>
  <c r="D1041" i="4"/>
  <c r="C1045" i="4"/>
  <c r="D1045" i="4"/>
  <c r="C1048" i="4"/>
  <c r="D1048" i="4"/>
  <c r="C973" i="4"/>
  <c r="D973" i="4"/>
  <c r="C1011" i="4"/>
  <c r="D1011" i="4"/>
  <c r="C1051" i="4"/>
  <c r="D1051" i="4"/>
  <c r="C997" i="4"/>
  <c r="D997" i="4"/>
  <c r="C960" i="4"/>
  <c r="D960" i="4"/>
  <c r="C1061" i="4"/>
  <c r="D1061" i="4"/>
  <c r="C964" i="4"/>
  <c r="D964" i="4"/>
  <c r="C1065" i="4"/>
  <c r="D1065" i="4"/>
  <c r="C966" i="4"/>
  <c r="D966" i="4"/>
  <c r="C1031" i="4"/>
  <c r="D1031" i="4"/>
  <c r="C1017" i="4"/>
  <c r="D1017" i="4"/>
  <c r="C980" i="4"/>
  <c r="D980" i="4"/>
  <c r="C1081" i="4"/>
  <c r="D1081" i="4"/>
  <c r="C984" i="4"/>
  <c r="D984" i="4"/>
  <c r="C1085" i="4"/>
  <c r="D1085" i="4"/>
  <c r="C1050" i="4"/>
  <c r="D1050" i="4"/>
  <c r="C1015" i="4"/>
  <c r="D1015" i="4"/>
  <c r="C974" i="4"/>
  <c r="D974" i="4"/>
  <c r="C1037" i="4"/>
  <c r="D1037" i="4"/>
  <c r="C1000" i="4"/>
  <c r="D1000" i="4"/>
  <c r="C1004" i="4"/>
  <c r="D1004" i="4"/>
  <c r="C1074" i="4"/>
  <c r="D1074" i="4"/>
  <c r="D888" i="4"/>
  <c r="C1057" i="4"/>
  <c r="D1057" i="4"/>
  <c r="C1020" i="4"/>
  <c r="D1020" i="4"/>
  <c r="C1024" i="4"/>
  <c r="D1024" i="4"/>
  <c r="C1077" i="4"/>
  <c r="D1077" i="4"/>
  <c r="C1040" i="4"/>
  <c r="D1040" i="4"/>
  <c r="C963" i="4"/>
  <c r="D963" i="4"/>
  <c r="C1044" i="4"/>
  <c r="D1044" i="4"/>
  <c r="C1055" i="4"/>
  <c r="D1055" i="4"/>
  <c r="D948" i="4"/>
  <c r="C967" i="4"/>
  <c r="D967" i="4"/>
  <c r="C959" i="4"/>
  <c r="D959" i="4"/>
  <c r="C1060" i="4"/>
  <c r="D1060" i="4"/>
  <c r="C983" i="4"/>
  <c r="D983" i="4"/>
  <c r="C1064" i="4"/>
  <c r="D1064" i="4"/>
  <c r="C968" i="4"/>
  <c r="D968" i="4"/>
  <c r="C1066" i="4"/>
  <c r="D1066" i="4"/>
  <c r="C987" i="4"/>
  <c r="D987" i="4"/>
  <c r="C976" i="4"/>
  <c r="D976" i="4"/>
  <c r="C979" i="4"/>
  <c r="D979" i="4"/>
  <c r="C1080" i="4"/>
  <c r="D1080" i="4"/>
  <c r="C1003" i="4"/>
  <c r="D1003" i="4"/>
  <c r="C1084" i="4"/>
  <c r="D1084" i="4"/>
  <c r="C1010" i="4"/>
  <c r="D1010" i="4"/>
  <c r="C1026" i="4"/>
  <c r="D1026" i="4"/>
  <c r="C948" i="4"/>
  <c r="C1007" i="4"/>
  <c r="D1007" i="4"/>
  <c r="C972" i="4"/>
  <c r="D972" i="4"/>
  <c r="C996" i="4"/>
  <c r="D996" i="4"/>
  <c r="C999" i="4"/>
  <c r="D999" i="4"/>
  <c r="C1023" i="4"/>
  <c r="D1023" i="4"/>
  <c r="C975" i="4"/>
  <c r="D975" i="4"/>
  <c r="C1070" i="4"/>
  <c r="D1070" i="4"/>
  <c r="C1075" i="4"/>
  <c r="D1075" i="4"/>
  <c r="C991" i="4"/>
  <c r="D991" i="4"/>
  <c r="D953" i="4"/>
  <c r="D871" i="4"/>
  <c r="C1027" i="4"/>
  <c r="D1027" i="4"/>
  <c r="C992" i="4"/>
  <c r="D992" i="4"/>
  <c r="C1016" i="4"/>
  <c r="D1016" i="4"/>
  <c r="C1019" i="4"/>
  <c r="D1019" i="4"/>
  <c r="C1043" i="4"/>
  <c r="D1043" i="4"/>
  <c r="C1006" i="4"/>
  <c r="D1006" i="4"/>
  <c r="C1053" i="4"/>
  <c r="D1053" i="4"/>
  <c r="C1047" i="4"/>
  <c r="D1047" i="4"/>
  <c r="C1012" i="4"/>
  <c r="D1012" i="4"/>
  <c r="C1036" i="4"/>
  <c r="D1036" i="4"/>
  <c r="C1039" i="4"/>
  <c r="D1039" i="4"/>
  <c r="C1063" i="4"/>
  <c r="D1063" i="4"/>
  <c r="C993" i="4"/>
  <c r="D993" i="4"/>
  <c r="C1067" i="4"/>
  <c r="D1067" i="4"/>
  <c r="C1032" i="4"/>
  <c r="D1032" i="4"/>
  <c r="C1056" i="4"/>
  <c r="D1056" i="4"/>
  <c r="C958" i="4"/>
  <c r="D958" i="4"/>
  <c r="C1059" i="4"/>
  <c r="D1059" i="4"/>
  <c r="C962" i="4"/>
  <c r="D962" i="4"/>
  <c r="C1083" i="4"/>
  <c r="D1083" i="4"/>
  <c r="C970" i="4"/>
  <c r="D970" i="4"/>
  <c r="C1046" i="4"/>
  <c r="D1046" i="4"/>
  <c r="C1034" i="4"/>
  <c r="D1034" i="4"/>
  <c r="C969" i="4"/>
  <c r="D969" i="4"/>
  <c r="C1052" i="4"/>
  <c r="D1052" i="4"/>
  <c r="C1076" i="4"/>
  <c r="D1076" i="4"/>
  <c r="C978" i="4"/>
  <c r="D978" i="4"/>
  <c r="C1079" i="4"/>
  <c r="D1079" i="4"/>
  <c r="C982" i="4"/>
  <c r="D982" i="4"/>
  <c r="C1013" i="4"/>
  <c r="D1013" i="4"/>
  <c r="C1028" i="4"/>
  <c r="D1028" i="4"/>
  <c r="C995" i="4"/>
  <c r="D995" i="4"/>
  <c r="C871" i="4"/>
  <c r="C888" i="4"/>
  <c r="C951" i="4"/>
  <c r="C953" i="4"/>
  <c r="C922" i="4"/>
  <c r="C910" i="4"/>
  <c r="C727" i="4"/>
  <c r="C942" i="4"/>
  <c r="C868" i="4"/>
  <c r="C950" i="4"/>
  <c r="C747" i="4"/>
  <c r="C861" i="4"/>
  <c r="C926" i="4"/>
  <c r="C787" i="4"/>
  <c r="C857" i="4"/>
  <c r="C901" i="4"/>
  <c r="C865" i="4"/>
  <c r="C846" i="4"/>
  <c r="C767" i="4"/>
  <c r="C807" i="4"/>
  <c r="C877" i="4"/>
  <c r="C921" i="4"/>
  <c r="C885" i="4"/>
  <c r="C895" i="4"/>
  <c r="C853" i="4"/>
  <c r="C874" i="4"/>
  <c r="C827" i="4"/>
  <c r="C733" i="4"/>
  <c r="C897" i="4"/>
  <c r="C941" i="4"/>
  <c r="C905" i="4"/>
  <c r="C870" i="4"/>
  <c r="C954" i="4"/>
  <c r="C894" i="4"/>
  <c r="C881" i="4"/>
  <c r="C847" i="4"/>
  <c r="C917" i="4"/>
  <c r="C860" i="4"/>
  <c r="C864" i="4"/>
  <c r="C925" i="4"/>
  <c r="C928" i="4"/>
  <c r="C934" i="4"/>
  <c r="C867" i="4"/>
  <c r="C729" i="4"/>
  <c r="C937" i="4"/>
  <c r="C880" i="4"/>
  <c r="C884" i="4"/>
  <c r="C945" i="4"/>
  <c r="C854" i="4"/>
  <c r="C891" i="4"/>
  <c r="C946" i="4"/>
  <c r="C938" i="4"/>
  <c r="C915" i="4"/>
  <c r="C887" i="4"/>
  <c r="C749" i="4"/>
  <c r="C957" i="4"/>
  <c r="C900" i="4"/>
  <c r="C904" i="4"/>
  <c r="C848" i="4"/>
  <c r="C913" i="4"/>
  <c r="C907" i="4"/>
  <c r="C769" i="4"/>
  <c r="C920" i="4"/>
  <c r="C924" i="4"/>
  <c r="C930" i="4"/>
  <c r="C906" i="4"/>
  <c r="C927" i="4"/>
  <c r="C789" i="4"/>
  <c r="C856" i="4"/>
  <c r="C859" i="4"/>
  <c r="C940" i="4"/>
  <c r="C863" i="4"/>
  <c r="C944" i="4"/>
  <c r="C955" i="4"/>
  <c r="C866" i="4"/>
  <c r="C947" i="4"/>
  <c r="C809" i="4"/>
  <c r="C852" i="4"/>
  <c r="C876" i="4"/>
  <c r="C879" i="4"/>
  <c r="C883" i="4"/>
  <c r="C873" i="4"/>
  <c r="C933" i="4"/>
  <c r="C829" i="4"/>
  <c r="C872" i="4"/>
  <c r="C896" i="4"/>
  <c r="C899" i="4"/>
  <c r="C903" i="4"/>
  <c r="C931" i="4"/>
  <c r="C855" i="4"/>
  <c r="C849" i="4"/>
  <c r="C892" i="4"/>
  <c r="C916" i="4"/>
  <c r="C919" i="4"/>
  <c r="C923" i="4"/>
  <c r="C850" i="4"/>
  <c r="C914" i="4"/>
  <c r="C911" i="4"/>
  <c r="C869" i="4"/>
  <c r="C912" i="4"/>
  <c r="C936" i="4"/>
  <c r="C939" i="4"/>
  <c r="C943" i="4"/>
  <c r="C908" i="4"/>
  <c r="C889" i="4"/>
  <c r="C932" i="4"/>
  <c r="C956" i="4"/>
  <c r="C858" i="4"/>
  <c r="C909" i="4"/>
  <c r="C952" i="4"/>
  <c r="C878" i="4"/>
  <c r="C862" i="4"/>
  <c r="C886" i="4"/>
  <c r="C893" i="4"/>
  <c r="C929" i="4"/>
  <c r="C898" i="4"/>
  <c r="C882" i="4"/>
  <c r="C935" i="4"/>
  <c r="C949" i="4"/>
  <c r="C918" i="4"/>
  <c r="C902" i="4"/>
  <c r="C890" i="4"/>
  <c r="C851" i="4"/>
  <c r="E604" i="4"/>
  <c r="E488" i="4"/>
  <c r="E542" i="4"/>
  <c r="E468" i="4"/>
  <c r="E611" i="4"/>
  <c r="E485" i="4"/>
  <c r="E612" i="4"/>
  <c r="E712" i="4"/>
  <c r="E504" i="4"/>
  <c r="E622" i="4"/>
  <c r="E718" i="4"/>
  <c r="E719" i="4"/>
  <c r="E529" i="4"/>
  <c r="E556" i="4"/>
  <c r="E393" i="4"/>
  <c r="E538" i="4"/>
  <c r="E375" i="4"/>
  <c r="E539" i="4"/>
  <c r="E376" i="4"/>
  <c r="E367" i="4"/>
  <c r="E601" i="4"/>
  <c r="E438" i="4"/>
  <c r="E702" i="4"/>
  <c r="E523" i="4"/>
  <c r="E420" i="4"/>
  <c r="E411" i="4"/>
  <c r="E569" i="4"/>
  <c r="E531" i="4"/>
  <c r="E428" i="4"/>
  <c r="E429" i="4"/>
  <c r="E431" i="4"/>
  <c r="E615" i="4"/>
  <c r="E414" i="4"/>
  <c r="E537" i="4"/>
  <c r="E374" i="4"/>
  <c r="E540" i="4"/>
  <c r="E377" i="4"/>
  <c r="E682" i="4"/>
  <c r="E486" i="4"/>
  <c r="E595" i="4"/>
  <c r="E717" i="4"/>
  <c r="E532" i="4"/>
  <c r="E576" i="4"/>
  <c r="E413" i="4"/>
  <c r="E558" i="4"/>
  <c r="E395" i="4"/>
  <c r="E559" i="4"/>
  <c r="E396" i="4"/>
  <c r="E387" i="4"/>
  <c r="E418" i="4"/>
  <c r="E492" i="4"/>
  <c r="E621" i="4"/>
  <c r="E458" i="4"/>
  <c r="E722" i="4"/>
  <c r="E543" i="4"/>
  <c r="E440" i="4"/>
  <c r="E663" i="4"/>
  <c r="E589" i="4"/>
  <c r="E551" i="4"/>
  <c r="E448" i="4"/>
  <c r="E449" i="4"/>
  <c r="E451" i="4"/>
  <c r="E635" i="4"/>
  <c r="E557" i="4"/>
  <c r="E394" i="4"/>
  <c r="E560" i="4"/>
  <c r="E397" i="4"/>
  <c r="E460" i="4"/>
  <c r="E493" i="4"/>
  <c r="E373" i="4"/>
  <c r="E720" i="4"/>
  <c r="E412" i="4"/>
  <c r="E596" i="4"/>
  <c r="E433" i="4"/>
  <c r="E578" i="4"/>
  <c r="E415" i="4"/>
  <c r="E579" i="4"/>
  <c r="E416" i="4"/>
  <c r="E427" i="4"/>
  <c r="E536" i="4"/>
  <c r="E581" i="4"/>
  <c r="E503" i="4"/>
  <c r="E441" i="4"/>
  <c r="E408" i="4"/>
  <c r="E391" i="4"/>
  <c r="E517" i="4"/>
  <c r="E520" i="4"/>
  <c r="E641" i="4"/>
  <c r="E478" i="4"/>
  <c r="E379" i="4"/>
  <c r="E583" i="4"/>
  <c r="E522" i="4"/>
  <c r="E664" i="4"/>
  <c r="E609" i="4"/>
  <c r="E571" i="4"/>
  <c r="E452" i="4"/>
  <c r="E469" i="4"/>
  <c r="E471" i="4"/>
  <c r="E655" i="4"/>
  <c r="E577" i="4"/>
  <c r="E434" i="4"/>
  <c r="E580" i="4"/>
  <c r="E417" i="4"/>
  <c r="E480" i="4"/>
  <c r="E402" i="4"/>
  <c r="E400" i="4"/>
  <c r="E409" i="4"/>
  <c r="E652" i="4"/>
  <c r="E423" i="4"/>
  <c r="E703" i="4"/>
  <c r="E616" i="4"/>
  <c r="E453" i="4"/>
  <c r="E598" i="4"/>
  <c r="E435" i="4"/>
  <c r="E599" i="4"/>
  <c r="E436" i="4"/>
  <c r="E447" i="4"/>
  <c r="E661" i="4"/>
  <c r="E385" i="4"/>
  <c r="E399" i="4"/>
  <c r="E603" i="4"/>
  <c r="E524" i="4"/>
  <c r="E629" i="4"/>
  <c r="E591" i="4"/>
  <c r="E572" i="4"/>
  <c r="E489" i="4"/>
  <c r="E491" i="4"/>
  <c r="E675" i="4"/>
  <c r="E597" i="4"/>
  <c r="E454" i="4"/>
  <c r="E600" i="4"/>
  <c r="E437" i="4"/>
  <c r="E422" i="4"/>
  <c r="E481" i="4"/>
  <c r="E512" i="4"/>
  <c r="E552" i="4"/>
  <c r="E636" i="4"/>
  <c r="E473" i="4"/>
  <c r="E618" i="4"/>
  <c r="E455" i="4"/>
  <c r="E619" i="4"/>
  <c r="E456" i="4"/>
  <c r="E511" i="4"/>
  <c r="E681" i="4"/>
  <c r="E502" i="4"/>
  <c r="E419" i="4"/>
  <c r="E623" i="4"/>
  <c r="E704" i="4"/>
  <c r="E405" i="4"/>
  <c r="E649" i="4"/>
  <c r="E631" i="4"/>
  <c r="E592" i="4"/>
  <c r="E584" i="4"/>
  <c r="E465" i="4"/>
  <c r="E695" i="4"/>
  <c r="E617" i="4"/>
  <c r="E474" i="4"/>
  <c r="E620" i="4"/>
  <c r="E457" i="4"/>
  <c r="E442" i="4"/>
  <c r="E642" i="4"/>
  <c r="E632" i="4"/>
  <c r="E390" i="4"/>
  <c r="E711" i="4"/>
  <c r="E656" i="4"/>
  <c r="E726" i="4"/>
  <c r="E638" i="4"/>
  <c r="E475" i="4"/>
  <c r="E639" i="4"/>
  <c r="E476" i="4"/>
  <c r="E518" i="4"/>
  <c r="E701" i="4"/>
  <c r="E562" i="4"/>
  <c r="E643" i="4"/>
  <c r="E724" i="4"/>
  <c r="E425" i="4"/>
  <c r="E689" i="4"/>
  <c r="E651" i="4"/>
  <c r="E672" i="4"/>
  <c r="E515" i="4"/>
  <c r="E715" i="4"/>
  <c r="E637" i="4"/>
  <c r="E640" i="4"/>
  <c r="E477" i="4"/>
  <c r="E439" i="4"/>
  <c r="E450" i="4"/>
  <c r="E484" i="4"/>
  <c r="E676" i="4"/>
  <c r="E658" i="4"/>
  <c r="E659" i="4"/>
  <c r="E424" i="4"/>
  <c r="E519" i="4"/>
  <c r="E521" i="4"/>
  <c r="E721" i="4"/>
  <c r="E582" i="4"/>
  <c r="E459" i="4"/>
  <c r="E683" i="4"/>
  <c r="E381" i="4"/>
  <c r="E445" i="4"/>
  <c r="E366" i="4"/>
  <c r="E671" i="4"/>
  <c r="E692" i="4"/>
  <c r="E535" i="4"/>
  <c r="E372" i="4"/>
  <c r="E657" i="4"/>
  <c r="E660" i="4"/>
  <c r="E501" i="4"/>
  <c r="E470" i="4"/>
  <c r="E696" i="4"/>
  <c r="E678" i="4"/>
  <c r="E679" i="4"/>
  <c r="E444" i="4"/>
  <c r="E541" i="4"/>
  <c r="E378" i="4"/>
  <c r="E602" i="4"/>
  <c r="E479" i="4"/>
  <c r="E723" i="4"/>
  <c r="E401" i="4"/>
  <c r="E432" i="4"/>
  <c r="E426" i="4"/>
  <c r="E691" i="4"/>
  <c r="E369" i="4"/>
  <c r="E555" i="4"/>
  <c r="E392" i="4"/>
  <c r="E677" i="4"/>
  <c r="E680" i="4"/>
  <c r="E563" i="4"/>
  <c r="E709" i="4"/>
  <c r="E516" i="4"/>
  <c r="E716" i="4"/>
  <c r="E498" i="4"/>
  <c r="E698" i="4"/>
  <c r="E499" i="4"/>
  <c r="E699" i="4"/>
  <c r="E461" i="4"/>
  <c r="E561" i="4"/>
  <c r="E398" i="4"/>
  <c r="E662" i="4"/>
  <c r="E388" i="4"/>
  <c r="E380" i="4"/>
  <c r="E421" i="4"/>
  <c r="E509" i="4"/>
  <c r="E446" i="4"/>
  <c r="E368" i="4"/>
  <c r="E389" i="4"/>
  <c r="E371" i="4"/>
  <c r="E575" i="4"/>
  <c r="E472" i="4"/>
  <c r="E497" i="4"/>
  <c r="E697" i="4"/>
  <c r="E500" i="4"/>
  <c r="E700" i="4"/>
  <c r="C726" i="4"/>
  <c r="D726" i="4"/>
  <c r="BP42" i="13"/>
  <c r="CI42" i="13"/>
  <c r="BP17" i="13"/>
  <c r="CI17" i="13"/>
  <c r="BP62" i="13"/>
  <c r="CI62" i="13"/>
  <c r="BP37" i="13"/>
  <c r="CI37" i="13"/>
  <c r="BP44" i="13"/>
  <c r="CI44" i="13"/>
  <c r="BP43" i="13"/>
  <c r="CI43" i="13"/>
  <c r="BP63" i="13"/>
  <c r="CI63" i="13"/>
  <c r="BP51" i="13"/>
  <c r="CI51" i="13"/>
  <c r="BP12" i="13"/>
  <c r="CI12" i="13"/>
  <c r="BP8" i="13"/>
  <c r="CI8" i="13"/>
  <c r="BP19" i="13"/>
  <c r="CI19" i="13"/>
  <c r="BP48" i="13"/>
  <c r="CI48" i="13"/>
  <c r="BP36" i="13"/>
  <c r="CI36" i="13"/>
  <c r="BP7" i="13"/>
  <c r="CI7" i="13"/>
  <c r="BP20" i="13"/>
  <c r="CI20" i="13"/>
  <c r="BP14" i="13"/>
  <c r="CI14" i="13"/>
  <c r="BP38" i="13"/>
  <c r="CI38" i="13"/>
  <c r="BP58" i="13"/>
  <c r="CI58" i="13"/>
  <c r="BP61" i="13"/>
  <c r="CI61" i="13"/>
  <c r="BP15" i="13"/>
  <c r="CI15" i="13"/>
  <c r="BP46" i="13"/>
  <c r="CI46" i="13"/>
  <c r="BP45" i="13"/>
  <c r="CI45" i="13"/>
  <c r="BP57" i="13"/>
  <c r="CI57" i="13"/>
  <c r="BP18" i="13"/>
  <c r="CI18" i="13"/>
  <c r="BP26" i="13"/>
  <c r="CI26" i="13"/>
  <c r="BP30" i="13"/>
  <c r="CI30" i="13"/>
  <c r="BP33" i="13"/>
  <c r="CI33" i="13"/>
  <c r="BP27" i="13"/>
  <c r="CI27" i="13"/>
  <c r="BP64" i="13"/>
  <c r="CI64" i="13"/>
  <c r="BP24" i="13"/>
  <c r="CI24" i="13"/>
  <c r="BP32" i="13"/>
  <c r="CI32" i="13"/>
  <c r="BP52" i="13"/>
  <c r="CI52" i="13"/>
  <c r="BP25" i="13"/>
  <c r="CI25" i="13"/>
  <c r="BP34" i="13"/>
  <c r="CI34" i="13"/>
  <c r="BP28" i="13"/>
  <c r="CI28" i="13"/>
  <c r="BP39" i="13"/>
  <c r="CI39" i="13"/>
  <c r="BP23" i="13"/>
  <c r="CI23" i="13"/>
  <c r="BP40" i="13"/>
  <c r="CI40" i="13"/>
  <c r="BP49" i="13"/>
  <c r="CI49" i="13"/>
  <c r="BP9" i="13"/>
  <c r="CI9" i="13"/>
  <c r="BP21" i="13"/>
  <c r="CI21" i="13"/>
  <c r="BP56" i="13"/>
  <c r="CI56" i="13"/>
  <c r="BP16" i="13"/>
  <c r="CI16" i="13"/>
  <c r="BP50" i="13"/>
  <c r="CI50" i="13"/>
  <c r="BP54" i="13"/>
  <c r="CI54" i="13"/>
  <c r="BP10" i="13"/>
  <c r="CI10" i="13"/>
  <c r="BP31" i="13"/>
  <c r="CI31" i="13"/>
  <c r="BP22" i="13"/>
  <c r="CI22" i="13"/>
  <c r="AD40" i="13"/>
  <c r="AW40" i="13"/>
  <c r="AD31" i="13"/>
  <c r="AW31" i="13"/>
  <c r="AD58" i="13"/>
  <c r="AW58" i="13"/>
  <c r="AD61" i="13"/>
  <c r="AW61" i="13"/>
  <c r="AD15" i="13"/>
  <c r="AW15" i="13"/>
  <c r="AD26" i="13"/>
  <c r="AW26" i="13"/>
  <c r="AD38" i="13"/>
  <c r="AW38" i="13"/>
  <c r="AD27" i="13"/>
  <c r="AW27" i="13"/>
  <c r="AD24" i="13"/>
  <c r="AW24" i="13"/>
  <c r="AD20" i="13"/>
  <c r="AW20" i="13"/>
  <c r="AD30" i="13"/>
  <c r="AW30" i="13"/>
  <c r="AD32" i="13"/>
  <c r="AW32" i="13"/>
  <c r="AD52" i="13"/>
  <c r="AW52" i="13"/>
  <c r="AD25" i="13"/>
  <c r="AW25" i="13"/>
  <c r="AD16" i="13"/>
  <c r="AW16" i="13"/>
  <c r="AD34" i="13"/>
  <c r="AW34" i="13"/>
  <c r="AD64" i="13"/>
  <c r="AW64" i="13"/>
  <c r="AD19" i="13"/>
  <c r="AW19" i="13"/>
  <c r="AD23" i="13"/>
  <c r="AW23" i="13"/>
  <c r="AD46" i="13"/>
  <c r="AW46" i="13"/>
  <c r="AD33" i="13"/>
  <c r="AW33" i="13"/>
  <c r="AD8" i="13"/>
  <c r="AW8" i="13"/>
  <c r="AD28" i="13"/>
  <c r="AW28" i="13"/>
  <c r="AD39" i="13"/>
  <c r="AW39" i="13"/>
  <c r="AD48" i="13"/>
  <c r="AW48" i="13"/>
  <c r="AD50" i="13"/>
  <c r="AW50" i="13"/>
  <c r="AD36" i="13"/>
  <c r="AW36" i="13"/>
  <c r="AD54" i="13"/>
  <c r="AW54" i="13"/>
  <c r="AD10" i="13"/>
  <c r="AW10" i="13"/>
  <c r="AD49" i="13"/>
  <c r="AW49" i="13"/>
  <c r="AD9" i="13"/>
  <c r="AW9" i="13"/>
  <c r="AD21" i="13"/>
  <c r="AW21" i="13"/>
  <c r="AD56" i="13"/>
  <c r="AW56" i="13"/>
  <c r="AD45" i="13"/>
  <c r="AW45" i="13"/>
  <c r="AD17" i="13"/>
  <c r="AW17" i="13"/>
  <c r="AD44" i="13"/>
  <c r="AW44" i="13"/>
  <c r="AD43" i="13"/>
  <c r="AW43" i="13"/>
  <c r="AD37" i="13"/>
  <c r="AW37" i="13"/>
  <c r="AD57" i="13"/>
  <c r="AW57" i="13"/>
  <c r="AD63" i="13"/>
  <c r="AW63" i="13"/>
  <c r="AD51" i="13"/>
  <c r="AW51" i="13"/>
  <c r="AD12" i="13"/>
  <c r="AW12" i="13"/>
  <c r="AD22" i="13"/>
  <c r="AW22" i="13"/>
  <c r="AD42" i="13"/>
  <c r="AW42" i="13"/>
  <c r="AD62" i="13"/>
  <c r="AW62" i="13"/>
  <c r="AD18" i="13"/>
  <c r="AW18" i="13"/>
  <c r="AD7" i="13"/>
  <c r="AW7" i="13"/>
  <c r="AD14" i="13"/>
  <c r="AW14" i="13"/>
  <c r="BA5" i="13"/>
  <c r="BF52" i="13"/>
  <c r="BF64" i="13" s="1"/>
  <c r="CA39" i="13"/>
  <c r="BY50" i="13"/>
  <c r="BY62" i="13" s="1"/>
  <c r="AM65" i="13"/>
  <c r="AM77" i="13" s="1"/>
  <c r="AO77" i="13" s="1"/>
  <c r="AO41" i="13"/>
  <c r="BY63" i="13"/>
  <c r="BY75" i="13" s="1"/>
  <c r="AO51" i="13"/>
  <c r="AO30" i="13"/>
  <c r="AO42" i="13"/>
  <c r="BF42" i="13"/>
  <c r="BF54" i="13" s="1"/>
  <c r="BH58" i="13"/>
  <c r="BY49" i="13"/>
  <c r="CA49" i="13" s="1"/>
  <c r="CA35" i="13"/>
  <c r="AO62" i="13"/>
  <c r="CA47" i="13"/>
  <c r="BY59" i="13"/>
  <c r="AM75" i="13"/>
  <c r="AO63" i="13"/>
  <c r="BF43" i="13"/>
  <c r="BH31" i="13"/>
  <c r="CA54" i="13"/>
  <c r="BY66" i="13"/>
  <c r="BY55" i="13"/>
  <c r="CA43" i="13"/>
  <c r="BY46" i="13"/>
  <c r="CA34" i="13"/>
  <c r="AO48" i="13"/>
  <c r="AM60" i="13"/>
  <c r="AO50" i="13"/>
  <c r="CA40" i="13"/>
  <c r="BY52" i="13"/>
  <c r="AO36" i="13"/>
  <c r="CA33" i="13"/>
  <c r="BY45" i="13"/>
  <c r="BY60" i="13"/>
  <c r="CA48" i="13"/>
  <c r="BH48" i="13"/>
  <c r="AO35" i="13"/>
  <c r="CA41" i="13"/>
  <c r="BY53" i="13"/>
  <c r="BY56" i="13"/>
  <c r="CA44" i="13"/>
  <c r="BF47" i="13"/>
  <c r="BH47" i="13" s="1"/>
  <c r="AM59" i="13"/>
  <c r="AO59" i="13" s="1"/>
  <c r="AM57" i="13"/>
  <c r="AO45" i="13"/>
  <c r="BF57" i="13"/>
  <c r="BH45" i="13"/>
  <c r="AO52" i="13"/>
  <c r="AM64" i="13"/>
  <c r="BH70" i="13"/>
  <c r="BF82" i="13"/>
  <c r="T51" i="13"/>
  <c r="V51" i="13" s="1"/>
  <c r="T47" i="13"/>
  <c r="V47" i="13" s="1"/>
  <c r="BH50" i="13"/>
  <c r="BF62" i="13"/>
  <c r="BF49" i="13"/>
  <c r="BH37" i="13"/>
  <c r="BF77" i="13"/>
  <c r="BH65" i="13"/>
  <c r="BF44" i="13"/>
  <c r="BH32" i="13"/>
  <c r="AO32" i="13"/>
  <c r="BH75" i="13"/>
  <c r="BF87" i="13"/>
  <c r="BH60" i="13"/>
  <c r="BF72" i="13"/>
  <c r="AO40" i="13"/>
  <c r="AM43" i="13"/>
  <c r="AO31" i="13"/>
  <c r="V29" i="13"/>
  <c r="AO74" i="13"/>
  <c r="AM86" i="13"/>
  <c r="T52" i="13"/>
  <c r="V40" i="13"/>
  <c r="V34" i="13"/>
  <c r="T46" i="13"/>
  <c r="AO54" i="13"/>
  <c r="AM66" i="13"/>
  <c r="V30" i="13"/>
  <c r="T42" i="13"/>
  <c r="AM58" i="13"/>
  <c r="AO46" i="13"/>
  <c r="AO49" i="13"/>
  <c r="AM61" i="13"/>
  <c r="AO44" i="13"/>
  <c r="AM56" i="13"/>
  <c r="V37" i="13"/>
  <c r="T49" i="13"/>
  <c r="T44" i="13"/>
  <c r="V32" i="13"/>
  <c r="T57" i="13"/>
  <c r="V45" i="13"/>
  <c r="T53" i="13"/>
  <c r="V41" i="13"/>
  <c r="T43" i="13"/>
  <c r="V31" i="13"/>
  <c r="V50" i="13"/>
  <c r="T62" i="13"/>
  <c r="T48" i="13"/>
  <c r="V36" i="13"/>
  <c r="M118" i="13"/>
  <c r="M38" i="13"/>
  <c r="M112" i="13"/>
  <c r="M87" i="13"/>
  <c r="M115" i="13"/>
  <c r="M131" i="13"/>
  <c r="M104" i="13"/>
  <c r="M52" i="13"/>
  <c r="M72" i="13"/>
  <c r="M94" i="13"/>
  <c r="M132" i="13"/>
  <c r="M56" i="13"/>
  <c r="M111" i="13"/>
  <c r="M25" i="13"/>
  <c r="M84" i="13"/>
  <c r="M65" i="13"/>
  <c r="M63" i="13"/>
  <c r="M77" i="13"/>
  <c r="M96" i="13"/>
  <c r="M124" i="13"/>
  <c r="M89" i="13"/>
  <c r="C38" i="13"/>
  <c r="M103" i="13"/>
  <c r="M59" i="13"/>
  <c r="M119" i="13"/>
  <c r="M106" i="13"/>
  <c r="M21" i="13"/>
  <c r="A50" i="13"/>
  <c r="M102" i="13"/>
  <c r="M44" i="13"/>
  <c r="M80" i="13"/>
  <c r="M5" i="13"/>
  <c r="M82" i="13"/>
  <c r="M98" i="13"/>
  <c r="M108" i="13"/>
  <c r="M101" i="13"/>
  <c r="M48" i="13"/>
  <c r="M109" i="13"/>
  <c r="M120" i="13"/>
  <c r="M110" i="13"/>
  <c r="M57" i="13"/>
  <c r="M71" i="13"/>
  <c r="M92" i="13"/>
  <c r="M76" i="13"/>
  <c r="M35" i="13"/>
  <c r="M45" i="13"/>
  <c r="M18" i="13"/>
  <c r="M95" i="13"/>
  <c r="M129" i="13"/>
  <c r="M37" i="13"/>
  <c r="M8" i="13"/>
  <c r="M60" i="13"/>
  <c r="M105" i="13"/>
  <c r="M70" i="13"/>
  <c r="M29" i="13"/>
  <c r="M62" i="13"/>
  <c r="M97" i="13"/>
  <c r="M51" i="13"/>
  <c r="M75" i="13"/>
  <c r="M31" i="13"/>
  <c r="M50" i="13"/>
  <c r="M20" i="13"/>
  <c r="M54" i="13"/>
  <c r="M28" i="13"/>
  <c r="M36" i="13"/>
  <c r="M86" i="13"/>
  <c r="M85" i="13"/>
  <c r="M91" i="13"/>
  <c r="M64" i="13"/>
  <c r="K19" i="13"/>
  <c r="M42" i="13"/>
  <c r="M10" i="13"/>
  <c r="M128" i="13"/>
  <c r="K39" i="13"/>
  <c r="M116" i="13"/>
  <c r="M68" i="13"/>
  <c r="K48" i="13"/>
  <c r="M113" i="13"/>
  <c r="K54" i="13"/>
  <c r="M47" i="13"/>
  <c r="M19" i="13"/>
  <c r="M61" i="13"/>
  <c r="M26" i="13"/>
  <c r="K46" i="13"/>
  <c r="M11" i="13"/>
  <c r="K30" i="13"/>
  <c r="K27" i="13"/>
  <c r="M125" i="13"/>
  <c r="K50" i="13"/>
  <c r="M69" i="13"/>
  <c r="K40" i="13"/>
  <c r="K10" i="13"/>
  <c r="K49" i="13"/>
  <c r="M67" i="13"/>
  <c r="M126" i="13"/>
  <c r="C40" i="13"/>
  <c r="K33" i="13"/>
  <c r="K52" i="13"/>
  <c r="K36" i="13"/>
  <c r="K9" i="13"/>
  <c r="K21" i="13"/>
  <c r="K56" i="13"/>
  <c r="M123" i="13"/>
  <c r="M27" i="13"/>
  <c r="M43" i="13"/>
  <c r="M41" i="13"/>
  <c r="K8" i="13"/>
  <c r="K62" i="13"/>
  <c r="M30" i="13"/>
  <c r="M130" i="13"/>
  <c r="M7" i="13"/>
  <c r="M100" i="13"/>
  <c r="K42" i="13"/>
  <c r="M23" i="13"/>
  <c r="M81" i="13"/>
  <c r="M13" i="13"/>
  <c r="C30" i="13"/>
  <c r="K17" i="13"/>
  <c r="C36" i="13"/>
  <c r="K37" i="13"/>
  <c r="K44" i="13"/>
  <c r="M83" i="13"/>
  <c r="M66" i="13"/>
  <c r="M114" i="13"/>
  <c r="K23" i="13"/>
  <c r="K22" i="13"/>
  <c r="M122" i="13"/>
  <c r="M49" i="13"/>
  <c r="M79" i="13"/>
  <c r="C39" i="13"/>
  <c r="K24" i="13"/>
  <c r="M22" i="13"/>
  <c r="C37" i="13"/>
  <c r="K32" i="13"/>
  <c r="K34" i="13"/>
  <c r="M32" i="13"/>
  <c r="K28" i="13"/>
  <c r="K31" i="13"/>
  <c r="M6" i="13"/>
  <c r="K45" i="13"/>
  <c r="M46" i="13"/>
  <c r="M14" i="13"/>
  <c r="A49" i="13"/>
  <c r="K57" i="13"/>
  <c r="K43" i="13"/>
  <c r="M78" i="13"/>
  <c r="C29" i="13"/>
  <c r="K63" i="13"/>
  <c r="K51" i="13"/>
  <c r="K12" i="13"/>
  <c r="M93" i="13"/>
  <c r="M53" i="13"/>
  <c r="M88" i="13"/>
  <c r="K16" i="13"/>
  <c r="M55" i="13"/>
  <c r="M34" i="13"/>
  <c r="K64" i="13"/>
  <c r="K25" i="13"/>
  <c r="M90" i="13"/>
  <c r="M9" i="13"/>
  <c r="C31" i="13"/>
  <c r="K18" i="13"/>
  <c r="K7" i="13"/>
  <c r="K14" i="13"/>
  <c r="M40" i="13"/>
  <c r="M74" i="13"/>
  <c r="M73" i="13"/>
  <c r="M33" i="13"/>
  <c r="C33" i="13"/>
  <c r="K38" i="13"/>
  <c r="K20" i="13"/>
  <c r="M39" i="13"/>
  <c r="M107" i="13"/>
  <c r="M117" i="13"/>
  <c r="C34" i="13"/>
  <c r="K58" i="13"/>
  <c r="K61" i="13"/>
  <c r="K15" i="13"/>
  <c r="M16" i="13"/>
  <c r="M99" i="13"/>
  <c r="M121" i="13"/>
  <c r="M17" i="13"/>
  <c r="M58" i="13"/>
  <c r="C35" i="13"/>
  <c r="K26" i="13"/>
  <c r="M127" i="13"/>
  <c r="A44" i="13"/>
  <c r="C32" i="13"/>
  <c r="A45" i="13"/>
  <c r="A47" i="13"/>
  <c r="H41" i="16"/>
  <c r="E87" i="16"/>
  <c r="E102" i="16"/>
  <c r="G102" i="16" s="1"/>
  <c r="E47" i="16"/>
  <c r="H47" i="16" s="1"/>
  <c r="H35" i="16"/>
  <c r="E84" i="16"/>
  <c r="G84" i="16" s="1"/>
  <c r="E104" i="16"/>
  <c r="G104" i="16" s="1"/>
  <c r="G53" i="16"/>
  <c r="H53" i="16"/>
  <c r="E67" i="16"/>
  <c r="H29" i="16"/>
  <c r="G112" i="16"/>
  <c r="G80" i="16"/>
  <c r="G35" i="16"/>
  <c r="G72" i="16"/>
  <c r="G29" i="16"/>
  <c r="E65" i="16"/>
  <c r="G60" i="16"/>
  <c r="G41" i="16"/>
  <c r="G92" i="16"/>
  <c r="E109" i="16"/>
  <c r="G97" i="16"/>
  <c r="G85" i="16"/>
  <c r="E81" i="16"/>
  <c r="G69" i="16"/>
  <c r="G55" i="16"/>
  <c r="G75" i="16"/>
  <c r="G100" i="16"/>
  <c r="G90" i="16"/>
  <c r="A43" i="13"/>
  <c r="A52" i="13"/>
  <c r="A51" i="13"/>
  <c r="A46" i="13"/>
  <c r="A41" i="13"/>
  <c r="A42" i="13"/>
  <c r="A48" i="13"/>
  <c r="AD70" i="13" l="1"/>
  <c r="K76" i="13"/>
  <c r="AW73" i="13"/>
  <c r="K69" i="13"/>
  <c r="BP73" i="13"/>
  <c r="H365" i="4"/>
  <c r="M365" i="4" s="1"/>
  <c r="BP76" i="13"/>
  <c r="CI73" i="13"/>
  <c r="AW76" i="13"/>
  <c r="AD76" i="13"/>
  <c r="AD73" i="13"/>
  <c r="K66" i="13"/>
  <c r="AW70" i="13"/>
  <c r="CI70" i="13"/>
  <c r="K70" i="13"/>
  <c r="CI68" i="13"/>
  <c r="BP68" i="13"/>
  <c r="BP66" i="13"/>
  <c r="CI66" i="13"/>
  <c r="AW69" i="13"/>
  <c r="AD69" i="13"/>
  <c r="CI69" i="13"/>
  <c r="K74" i="13"/>
  <c r="F93" i="16"/>
  <c r="H81" i="16"/>
  <c r="AD81" i="13" s="1"/>
  <c r="F90" i="16"/>
  <c r="H78" i="16"/>
  <c r="K68" i="13"/>
  <c r="F100" i="16"/>
  <c r="H88" i="16"/>
  <c r="BP74" i="13"/>
  <c r="F92" i="16"/>
  <c r="H80" i="16"/>
  <c r="BP80" i="13" s="1"/>
  <c r="AW74" i="13"/>
  <c r="F95" i="16"/>
  <c r="H83" i="16"/>
  <c r="F99" i="16"/>
  <c r="H87" i="16"/>
  <c r="BP87" i="13" s="1"/>
  <c r="AW68" i="13"/>
  <c r="F94" i="16"/>
  <c r="H82" i="16"/>
  <c r="F91" i="16"/>
  <c r="H79" i="16"/>
  <c r="AD74" i="13"/>
  <c r="AW66" i="13"/>
  <c r="F101" i="16"/>
  <c r="H89" i="16"/>
  <c r="F96" i="16"/>
  <c r="H84" i="16"/>
  <c r="F98" i="16"/>
  <c r="H86" i="16"/>
  <c r="F97" i="16"/>
  <c r="H85" i="16"/>
  <c r="BP85" i="13" s="1"/>
  <c r="M56" i="5"/>
  <c r="M60" i="5"/>
  <c r="M51" i="5"/>
  <c r="M81" i="5"/>
  <c r="M50" i="5"/>
  <c r="M49" i="5"/>
  <c r="M62" i="5"/>
  <c r="M48" i="5"/>
  <c r="M78" i="5"/>
  <c r="M47" i="5"/>
  <c r="M53" i="5"/>
  <c r="M58" i="5"/>
  <c r="M59" i="5"/>
  <c r="M61" i="5"/>
  <c r="M63" i="5"/>
  <c r="M52" i="5"/>
  <c r="M46" i="5"/>
  <c r="M57" i="5"/>
  <c r="M55" i="5"/>
  <c r="M45" i="5"/>
  <c r="M54" i="5"/>
  <c r="B138" i="5"/>
  <c r="M138" i="5" s="1"/>
  <c r="M108" i="5"/>
  <c r="M77" i="5"/>
  <c r="M79" i="5"/>
  <c r="B137" i="5"/>
  <c r="M137" i="5" s="1"/>
  <c r="M107" i="5"/>
  <c r="B133" i="5"/>
  <c r="B139" i="5"/>
  <c r="M139" i="5" s="1"/>
  <c r="M109" i="5"/>
  <c r="M86" i="5"/>
  <c r="B136" i="5"/>
  <c r="M136" i="5" s="1"/>
  <c r="M106" i="5"/>
  <c r="B146" i="5"/>
  <c r="M146" i="5" s="1"/>
  <c r="M116" i="5"/>
  <c r="B124" i="5"/>
  <c r="M88" i="5"/>
  <c r="B142" i="5"/>
  <c r="M142" i="5" s="1"/>
  <c r="M112" i="5"/>
  <c r="B148" i="5"/>
  <c r="M148" i="5" s="1"/>
  <c r="M118" i="5"/>
  <c r="M91" i="5"/>
  <c r="B130" i="5"/>
  <c r="B151" i="5"/>
  <c r="M151" i="5" s="1"/>
  <c r="M121" i="5"/>
  <c r="M93" i="5"/>
  <c r="B125" i="5"/>
  <c r="B153" i="5"/>
  <c r="M153" i="5" s="1"/>
  <c r="M123" i="5"/>
  <c r="B131" i="5"/>
  <c r="M83" i="5"/>
  <c r="M90" i="5"/>
  <c r="B132" i="5"/>
  <c r="B143" i="5"/>
  <c r="M143" i="5" s="1"/>
  <c r="M113" i="5"/>
  <c r="B150" i="5"/>
  <c r="M150" i="5" s="1"/>
  <c r="M120" i="5"/>
  <c r="B126" i="5"/>
  <c r="B128" i="5"/>
  <c r="B127" i="5"/>
  <c r="M84" i="5"/>
  <c r="B144" i="5"/>
  <c r="M144" i="5" s="1"/>
  <c r="M114" i="5"/>
  <c r="M80" i="5"/>
  <c r="M87" i="5"/>
  <c r="M85" i="5"/>
  <c r="B140" i="5"/>
  <c r="M140" i="5" s="1"/>
  <c r="M110" i="5"/>
  <c r="B129" i="5"/>
  <c r="B147" i="5"/>
  <c r="M147" i="5" s="1"/>
  <c r="M117" i="5"/>
  <c r="B145" i="5"/>
  <c r="M145" i="5" s="1"/>
  <c r="M115" i="5"/>
  <c r="M75" i="5"/>
  <c r="B135" i="5"/>
  <c r="M135" i="5" s="1"/>
  <c r="M105" i="5"/>
  <c r="M92" i="5"/>
  <c r="M89" i="5"/>
  <c r="B152" i="5"/>
  <c r="M152" i="5" s="1"/>
  <c r="M122" i="5"/>
  <c r="B141" i="5"/>
  <c r="M141" i="5" s="1"/>
  <c r="M111" i="5"/>
  <c r="B149" i="5"/>
  <c r="M149" i="5" s="1"/>
  <c r="M119" i="5"/>
  <c r="M82" i="5"/>
  <c r="M76" i="5"/>
  <c r="S1792" i="4"/>
  <c r="S1780" i="4"/>
  <c r="S1625" i="4"/>
  <c r="S1760" i="4"/>
  <c r="S1592" i="4"/>
  <c r="S1679" i="4"/>
  <c r="S1783" i="4"/>
  <c r="S1756" i="4"/>
  <c r="S1796" i="4"/>
  <c r="S1697" i="4"/>
  <c r="S1711" i="4"/>
  <c r="S1712" i="4"/>
  <c r="S1803" i="4"/>
  <c r="S1735" i="4"/>
  <c r="S1782" i="4"/>
  <c r="S1771" i="4"/>
  <c r="S1717" i="4"/>
  <c r="S1719" i="4"/>
  <c r="S1752" i="4"/>
  <c r="S1699" i="4"/>
  <c r="S1663" i="4"/>
  <c r="S1587" i="4"/>
  <c r="S1681" i="4"/>
  <c r="S1648" i="4"/>
  <c r="S1686" i="4"/>
  <c r="S1746" i="4"/>
  <c r="S1730" i="4"/>
  <c r="S1759" i="4"/>
  <c r="S1720" i="4"/>
  <c r="S1788" i="4"/>
  <c r="S1736" i="4"/>
  <c r="S1807" i="4"/>
  <c r="S1787" i="4"/>
  <c r="S1708" i="4"/>
  <c r="S1789" i="4"/>
  <c r="S1741" i="4"/>
  <c r="S1753" i="4"/>
  <c r="S1700" i="4"/>
  <c r="S1739" i="4"/>
  <c r="S1750" i="4"/>
  <c r="S1805" i="4"/>
  <c r="S1705" i="4"/>
  <c r="S1786" i="4"/>
  <c r="S1790" i="4"/>
  <c r="S1696" i="4"/>
  <c r="S1785" i="4"/>
  <c r="S1779" i="4"/>
  <c r="S1733" i="4"/>
  <c r="S1726" i="4"/>
  <c r="S1706" i="4"/>
  <c r="S1794" i="4"/>
  <c r="S1772" i="4"/>
  <c r="S1757" i="4"/>
  <c r="S1784" i="4"/>
  <c r="S1731" i="4"/>
  <c r="S1797" i="4"/>
  <c r="S1722" i="4"/>
  <c r="S1778" i="4"/>
  <c r="S1694" i="4"/>
  <c r="S1768" i="4"/>
  <c r="S1728" i="4"/>
  <c r="S1704" i="4"/>
  <c r="S1802" i="4"/>
  <c r="S1800" i="4"/>
  <c r="S1721" i="4"/>
  <c r="S1774" i="4"/>
  <c r="S1714" i="4"/>
  <c r="S1795" i="4"/>
  <c r="S1775" i="4"/>
  <c r="S1701" i="4"/>
  <c r="S1749" i="4"/>
  <c r="S1702" i="4"/>
  <c r="S1754" i="4"/>
  <c r="S1715" i="4"/>
  <c r="S1693" i="4"/>
  <c r="S1734" i="4"/>
  <c r="S1737" i="4"/>
  <c r="S1725" i="4"/>
  <c r="S1767" i="4"/>
  <c r="S1747" i="4"/>
  <c r="S1751" i="4"/>
  <c r="S1744" i="4"/>
  <c r="S1770" i="4"/>
  <c r="S1765" i="4"/>
  <c r="S1762" i="4"/>
  <c r="S1709" i="4"/>
  <c r="S1763" i="4"/>
  <c r="S1716" i="4"/>
  <c r="S1758" i="4"/>
  <c r="S1732" i="4"/>
  <c r="S1724" i="4"/>
  <c r="S1742" i="4"/>
  <c r="S1713" i="4"/>
  <c r="S1723" i="4"/>
  <c r="S1764" i="4"/>
  <c r="S1695" i="4"/>
  <c r="S1806" i="4"/>
  <c r="S1801" i="4"/>
  <c r="S1755" i="4"/>
  <c r="S1799" i="4"/>
  <c r="S1743" i="4"/>
  <c r="S1707" i="4"/>
  <c r="S1798" i="4"/>
  <c r="S1761" i="4"/>
  <c r="S1776" i="4"/>
  <c r="S1718" i="4"/>
  <c r="S1740" i="4"/>
  <c r="S1791" i="4"/>
  <c r="S1793" i="4"/>
  <c r="S1698" i="4"/>
  <c r="S1769" i="4"/>
  <c r="S1710" i="4"/>
  <c r="S1804" i="4"/>
  <c r="S1781" i="4"/>
  <c r="S1777" i="4"/>
  <c r="S1729" i="4"/>
  <c r="S1727" i="4"/>
  <c r="S1745" i="4"/>
  <c r="S1588" i="4"/>
  <c r="S1637" i="4"/>
  <c r="S1703" i="4"/>
  <c r="S1766" i="4"/>
  <c r="S1738" i="4"/>
  <c r="S1773" i="4"/>
  <c r="S1748" i="4"/>
  <c r="S1666" i="4"/>
  <c r="S1580" i="4"/>
  <c r="S1623" i="4"/>
  <c r="S1614" i="4"/>
  <c r="S1677" i="4"/>
  <c r="S1636" i="4"/>
  <c r="S1664" i="4"/>
  <c r="S1607" i="4"/>
  <c r="S1599" i="4"/>
  <c r="S1632" i="4"/>
  <c r="S1598" i="4"/>
  <c r="S1643" i="4"/>
  <c r="S1689" i="4"/>
  <c r="S1619" i="4"/>
  <c r="S1644" i="4"/>
  <c r="S1627" i="4"/>
  <c r="S1654" i="4"/>
  <c r="S1594" i="4"/>
  <c r="S1595" i="4"/>
  <c r="S1584" i="4"/>
  <c r="S1616" i="4"/>
  <c r="S1634" i="4"/>
  <c r="S1626" i="4"/>
  <c r="S1660" i="4"/>
  <c r="S1604" i="4"/>
  <c r="S1611" i="4"/>
  <c r="S1668" i="4"/>
  <c r="S1629" i="4"/>
  <c r="S1667" i="4"/>
  <c r="S1656" i="4"/>
  <c r="S1593" i="4"/>
  <c r="S1581" i="4"/>
  <c r="S1615" i="4"/>
  <c r="S1610" i="4"/>
  <c r="S1603" i="4"/>
  <c r="S1672" i="4"/>
  <c r="S1620" i="4"/>
  <c r="S1621" i="4"/>
  <c r="S1680" i="4"/>
  <c r="S1653" i="4"/>
  <c r="S1606" i="4"/>
  <c r="S1657" i="4"/>
  <c r="S1608" i="4"/>
  <c r="S1612" i="4"/>
  <c r="S1690" i="4"/>
  <c r="S1676" i="4"/>
  <c r="S1596" i="4"/>
  <c r="S1589" i="4"/>
  <c r="S1578" i="4"/>
  <c r="S1613" i="4"/>
  <c r="S1605" i="4"/>
  <c r="S1642" i="4"/>
  <c r="S1640" i="4"/>
  <c r="S1651" i="4"/>
  <c r="S1685" i="4"/>
  <c r="S1658" i="4"/>
  <c r="S1583" i="4"/>
  <c r="S1662" i="4"/>
  <c r="S1652" i="4"/>
  <c r="S1600" i="4"/>
  <c r="S1586" i="4"/>
  <c r="S1577" i="4"/>
  <c r="S1650" i="4"/>
  <c r="S1631" i="4"/>
  <c r="S1646" i="4"/>
  <c r="S1628" i="4"/>
  <c r="S1687" i="4"/>
  <c r="S1674" i="4"/>
  <c r="S1659" i="4"/>
  <c r="S1661" i="4"/>
  <c r="S1649" i="4"/>
  <c r="S1682" i="4"/>
  <c r="S1645" i="4"/>
  <c r="S1671" i="4"/>
  <c r="S1590" i="4"/>
  <c r="S1585" i="4"/>
  <c r="S1683" i="4"/>
  <c r="S1692" i="4"/>
  <c r="S1633" i="4"/>
  <c r="S1688" i="4"/>
  <c r="S1641" i="4"/>
  <c r="S1638" i="4"/>
  <c r="S1601" i="4"/>
  <c r="S1670" i="4"/>
  <c r="S1678" i="4"/>
  <c r="S1617" i="4"/>
  <c r="S1602" i="4"/>
  <c r="S1635" i="4"/>
  <c r="S1673" i="4"/>
  <c r="S1639" i="4"/>
  <c r="S1622" i="4"/>
  <c r="S1647" i="4"/>
  <c r="S1675" i="4"/>
  <c r="S1669" i="4"/>
  <c r="S1579" i="4"/>
  <c r="S1597" i="4"/>
  <c r="S1576" i="4"/>
  <c r="S1582" i="4"/>
  <c r="S1624" i="4"/>
  <c r="S1618" i="4"/>
  <c r="S1665" i="4"/>
  <c r="S1691" i="4"/>
  <c r="S1655" i="4"/>
  <c r="S1591" i="4"/>
  <c r="S1630" i="4"/>
  <c r="S1609" i="4"/>
  <c r="S1684" i="4"/>
  <c r="G1448" i="4"/>
  <c r="H1448" i="4"/>
  <c r="M1448" i="4" s="1"/>
  <c r="E865" i="4"/>
  <c r="E1220" i="4"/>
  <c r="S1220" i="4" s="1"/>
  <c r="E1087" i="4"/>
  <c r="E1409" i="4"/>
  <c r="S1409" i="4" s="1"/>
  <c r="E1366" i="4"/>
  <c r="S1366" i="4" s="1"/>
  <c r="E1387" i="4"/>
  <c r="S1387" i="4" s="1"/>
  <c r="BJ6" i="13"/>
  <c r="BI6" i="13" s="1"/>
  <c r="BK6" i="13" s="1"/>
  <c r="H1087" i="4"/>
  <c r="M1087" i="4" s="1"/>
  <c r="E997" i="4"/>
  <c r="E1041" i="4"/>
  <c r="E797" i="4"/>
  <c r="E1059" i="4"/>
  <c r="E993" i="4"/>
  <c r="E864" i="4"/>
  <c r="E1070" i="4"/>
  <c r="E1012" i="4"/>
  <c r="E1065" i="4"/>
  <c r="E1022" i="4"/>
  <c r="E832" i="4"/>
  <c r="E777" i="4"/>
  <c r="E821" i="4"/>
  <c r="E757" i="4"/>
  <c r="E999" i="4"/>
  <c r="E1021" i="4"/>
  <c r="E913" i="4"/>
  <c r="E1061" i="4"/>
  <c r="E880" i="4"/>
  <c r="E885" i="4"/>
  <c r="E976" i="4"/>
  <c r="E861" i="4"/>
  <c r="E782" i="4"/>
  <c r="E859" i="4"/>
  <c r="E1052" i="4"/>
  <c r="E1040" i="4"/>
  <c r="E1032" i="4"/>
  <c r="E785" i="4"/>
  <c r="E1076" i="4"/>
  <c r="E879" i="4"/>
  <c r="E1003" i="4"/>
  <c r="E992" i="4"/>
  <c r="E980" i="4"/>
  <c r="E961" i="4"/>
  <c r="E964" i="4"/>
  <c r="E977" i="4"/>
  <c r="E795" i="4"/>
  <c r="E944" i="4"/>
  <c r="E942" i="4"/>
  <c r="E1081" i="4"/>
  <c r="E810" i="4"/>
  <c r="E853" i="4"/>
  <c r="E1078" i="4"/>
  <c r="E792" i="4"/>
  <c r="E962" i="4"/>
  <c r="E1079" i="4"/>
  <c r="E742" i="4"/>
  <c r="E759" i="4"/>
  <c r="E845" i="4"/>
  <c r="E830" i="4"/>
  <c r="E738" i="4"/>
  <c r="E840" i="4"/>
  <c r="E878" i="4"/>
  <c r="E730" i="4"/>
  <c r="E998" i="4"/>
  <c r="E817" i="4"/>
  <c r="E814" i="4"/>
  <c r="E883" i="4"/>
  <c r="E812" i="4"/>
  <c r="E1080" i="4"/>
  <c r="E728" i="4"/>
  <c r="E833" i="4"/>
  <c r="E921" i="4"/>
  <c r="E1053" i="4"/>
  <c r="E798" i="4"/>
  <c r="E773" i="4"/>
  <c r="E1058" i="4"/>
  <c r="E741" i="4"/>
  <c r="E1077" i="4"/>
  <c r="E787" i="4"/>
  <c r="E1039" i="4"/>
  <c r="E727" i="4"/>
  <c r="E1020" i="4"/>
  <c r="E876" i="4"/>
  <c r="E837" i="4"/>
  <c r="E803" i="4"/>
  <c r="E1010" i="4"/>
  <c r="E816" i="4"/>
  <c r="E815" i="4"/>
  <c r="E760" i="4"/>
  <c r="E1064" i="4"/>
  <c r="E938" i="4"/>
  <c r="E740" i="4"/>
  <c r="E897" i="4"/>
  <c r="E734" i="4"/>
  <c r="E809" i="4"/>
  <c r="E779" i="4"/>
  <c r="E956" i="4"/>
  <c r="E790" i="4"/>
  <c r="E983" i="4"/>
  <c r="E762" i="4"/>
  <c r="E1084" i="4"/>
  <c r="E1050" i="4"/>
  <c r="E808" i="4"/>
  <c r="E940" i="4"/>
  <c r="E920" i="4"/>
  <c r="E901" i="4"/>
  <c r="E805" i="4"/>
  <c r="E982" i="4"/>
  <c r="E836" i="4"/>
  <c r="E936" i="4"/>
  <c r="E835" i="4"/>
  <c r="E930" i="4"/>
  <c r="E801" i="4"/>
  <c r="E953" i="4"/>
  <c r="E799" i="4"/>
  <c r="E858" i="4"/>
  <c r="E749" i="4"/>
  <c r="E877" i="4"/>
  <c r="E793" i="4"/>
  <c r="E1057" i="4"/>
  <c r="E806" i="4"/>
  <c r="E1019" i="4"/>
  <c r="E1033" i="4"/>
  <c r="E1000" i="4"/>
  <c r="E818" i="4"/>
  <c r="E766" i="4"/>
  <c r="E979" i="4"/>
  <c r="E958" i="4"/>
  <c r="E746" i="4"/>
  <c r="E784" i="4"/>
  <c r="E1016" i="4"/>
  <c r="E839" i="4"/>
  <c r="E788" i="4"/>
  <c r="E854" i="4"/>
  <c r="E912" i="4"/>
  <c r="E748" i="4"/>
  <c r="E847" i="4"/>
  <c r="E789" i="4"/>
  <c r="E737" i="4"/>
  <c r="E831" i="4"/>
  <c r="E820" i="4"/>
  <c r="E813" i="4"/>
  <c r="E899" i="4"/>
  <c r="E870" i="4"/>
  <c r="E1062" i="4"/>
  <c r="E941" i="4"/>
  <c r="E893" i="4"/>
  <c r="E1073" i="4"/>
  <c r="E1037" i="4"/>
  <c r="E1013" i="4"/>
  <c r="E950" i="4"/>
  <c r="E900" i="4"/>
  <c r="E973" i="4"/>
  <c r="E772" i="4"/>
  <c r="E846" i="4"/>
  <c r="E892" i="4"/>
  <c r="E1043" i="4"/>
  <c r="E1002" i="4"/>
  <c r="E978" i="4"/>
  <c r="E981" i="4"/>
  <c r="E924" i="4"/>
  <c r="E770" i="4"/>
  <c r="E780" i="4"/>
  <c r="E750" i="4"/>
  <c r="E963" i="4"/>
  <c r="E873" i="4"/>
  <c r="E763" i="4"/>
  <c r="E755" i="4"/>
  <c r="E735" i="4"/>
  <c r="E1060" i="4"/>
  <c r="E753" i="4"/>
  <c r="E739" i="4"/>
  <c r="E733" i="4"/>
  <c r="E1082" i="4"/>
  <c r="E838" i="4"/>
  <c r="E1004" i="4"/>
  <c r="E1072" i="4"/>
  <c r="E826" i="4"/>
  <c r="E1042" i="4"/>
  <c r="E842" i="4"/>
  <c r="E952" i="4"/>
  <c r="E796" i="4"/>
  <c r="E841" i="4"/>
  <c r="E970" i="4"/>
  <c r="E769" i="4"/>
  <c r="E794" i="4"/>
  <c r="E918" i="4"/>
  <c r="E1083" i="4"/>
  <c r="E774" i="4"/>
  <c r="E898" i="4"/>
  <c r="E884" i="4"/>
  <c r="E917" i="4"/>
  <c r="E922" i="4"/>
  <c r="E850" i="4"/>
  <c r="E1018" i="4"/>
  <c r="E1056" i="4"/>
  <c r="E932" i="4"/>
  <c r="E754" i="4"/>
  <c r="E729" i="4"/>
  <c r="E829" i="4"/>
  <c r="E903" i="4"/>
  <c r="E1023" i="4"/>
  <c r="E1036" i="4"/>
  <c r="E1044" i="4"/>
  <c r="E852" i="4"/>
  <c r="E1024" i="4"/>
  <c r="E732" i="4"/>
  <c r="E786" i="4"/>
  <c r="E776" i="4"/>
  <c r="E972" i="4"/>
  <c r="E1038" i="4"/>
  <c r="E800" i="4"/>
  <c r="E863" i="4"/>
  <c r="E960" i="4"/>
  <c r="E939" i="4"/>
  <c r="E919" i="4"/>
  <c r="E807" i="4"/>
  <c r="E860" i="4"/>
  <c r="E916" i="4"/>
  <c r="E902" i="4"/>
  <c r="E896" i="4"/>
  <c r="E882" i="4"/>
  <c r="E1001" i="4"/>
  <c r="E923" i="4"/>
  <c r="E751" i="4"/>
  <c r="E945" i="4"/>
  <c r="E872" i="4"/>
  <c r="E783" i="4"/>
  <c r="E990" i="4"/>
  <c r="E959" i="4"/>
  <c r="E778" i="4"/>
  <c r="E1025" i="4"/>
  <c r="E802" i="4"/>
  <c r="E957" i="4"/>
  <c r="E996" i="4"/>
  <c r="E819" i="4"/>
  <c r="E937" i="4"/>
  <c r="E775" i="4"/>
  <c r="E1063" i="4"/>
  <c r="E890" i="4"/>
  <c r="E834" i="4"/>
  <c r="E862" i="4"/>
  <c r="E984" i="4"/>
  <c r="E881" i="4"/>
  <c r="E758" i="4"/>
  <c r="E736" i="4"/>
  <c r="E811" i="4"/>
  <c r="E761" i="4"/>
  <c r="E756" i="4"/>
  <c r="E1085" i="4"/>
  <c r="E822" i="4"/>
  <c r="E943" i="4"/>
  <c r="E1017" i="4"/>
  <c r="E933" i="4"/>
  <c r="E752" i="4"/>
  <c r="E904" i="4"/>
  <c r="E781" i="4"/>
  <c r="E849" i="4"/>
  <c r="BB5" i="13"/>
  <c r="H726" i="4"/>
  <c r="M726" i="4" s="1"/>
  <c r="X6" i="13"/>
  <c r="A62" i="13"/>
  <c r="A74" i="13" s="1"/>
  <c r="BP53" i="13"/>
  <c r="CI53" i="13"/>
  <c r="BP72" i="13"/>
  <c r="CI72" i="13"/>
  <c r="BP35" i="13"/>
  <c r="CI35" i="13"/>
  <c r="BP47" i="13"/>
  <c r="CI47" i="13"/>
  <c r="BP60" i="13"/>
  <c r="CI60" i="13"/>
  <c r="BP67" i="13"/>
  <c r="CI67" i="13"/>
  <c r="BP75" i="13"/>
  <c r="CI75" i="13"/>
  <c r="BP29" i="13"/>
  <c r="CI29" i="13"/>
  <c r="BP41" i="13"/>
  <c r="CI41" i="13"/>
  <c r="BP55" i="13"/>
  <c r="CI55" i="13"/>
  <c r="BY61" i="13"/>
  <c r="CA61" i="13" s="1"/>
  <c r="BH52" i="13"/>
  <c r="CC6" i="13"/>
  <c r="CB6" i="13" s="1"/>
  <c r="CD6" i="13" s="1"/>
  <c r="AD60" i="13"/>
  <c r="AW60" i="13"/>
  <c r="AO65" i="13"/>
  <c r="CN5" i="13"/>
  <c r="F1448" i="4" s="1"/>
  <c r="P1448" i="4" s="1"/>
  <c r="AD35" i="13"/>
  <c r="AW35" i="13"/>
  <c r="AD47" i="13"/>
  <c r="AW47" i="13"/>
  <c r="CA50" i="13"/>
  <c r="AD75" i="13"/>
  <c r="AW75" i="13"/>
  <c r="AD55" i="13"/>
  <c r="AW55" i="13"/>
  <c r="AD67" i="13"/>
  <c r="AW67" i="13"/>
  <c r="AD53" i="13"/>
  <c r="AW53" i="13"/>
  <c r="AD72" i="13"/>
  <c r="AW72" i="13"/>
  <c r="AD29" i="13"/>
  <c r="AW29" i="13"/>
  <c r="AD41" i="13"/>
  <c r="AW41" i="13"/>
  <c r="AQ6" i="13"/>
  <c r="AP6" i="13" s="1"/>
  <c r="AR6" i="13" s="1"/>
  <c r="AM89" i="13"/>
  <c r="AO89" i="13" s="1"/>
  <c r="CA63" i="13"/>
  <c r="BU5" i="13"/>
  <c r="F1087" i="4" s="1"/>
  <c r="P1087" i="4" s="1"/>
  <c r="BH42" i="13"/>
  <c r="T59" i="13"/>
  <c r="V59" i="13" s="1"/>
  <c r="BF59" i="13"/>
  <c r="BF71" i="13" s="1"/>
  <c r="CA59" i="13"/>
  <c r="BY71" i="13"/>
  <c r="CA46" i="13"/>
  <c r="BY58" i="13"/>
  <c r="BY87" i="13"/>
  <c r="CA75" i="13"/>
  <c r="CA62" i="13"/>
  <c r="BY74" i="13"/>
  <c r="BY64" i="13"/>
  <c r="CA52" i="13"/>
  <c r="AM71" i="13"/>
  <c r="AM83" i="13" s="1"/>
  <c r="BY68" i="13"/>
  <c r="CA56" i="13"/>
  <c r="AO60" i="13"/>
  <c r="AM72" i="13"/>
  <c r="BY78" i="13"/>
  <c r="CA66" i="13"/>
  <c r="CA45" i="13"/>
  <c r="BY57" i="13"/>
  <c r="BH43" i="13"/>
  <c r="BF55" i="13"/>
  <c r="BY67" i="13"/>
  <c r="CA55" i="13"/>
  <c r="BY65" i="13"/>
  <c r="CA53" i="13"/>
  <c r="CA60" i="13"/>
  <c r="BY72" i="13"/>
  <c r="AM87" i="13"/>
  <c r="AO75" i="13"/>
  <c r="AO43" i="13"/>
  <c r="AM55" i="13"/>
  <c r="G365" i="4"/>
  <c r="BF76" i="13"/>
  <c r="BH64" i="13"/>
  <c r="AI5" i="13"/>
  <c r="F365" i="4" s="1"/>
  <c r="P365" i="4" s="1"/>
  <c r="BF84" i="13"/>
  <c r="BH72" i="13"/>
  <c r="BF99" i="13"/>
  <c r="BH87" i="13"/>
  <c r="T63" i="13"/>
  <c r="T75" i="13" s="1"/>
  <c r="AO64" i="13"/>
  <c r="AM76" i="13"/>
  <c r="BF94" i="13"/>
  <c r="BH82" i="13"/>
  <c r="BF56" i="13"/>
  <c r="BH44" i="13"/>
  <c r="BF89" i="13"/>
  <c r="BH77" i="13"/>
  <c r="BF69" i="13"/>
  <c r="BH57" i="13"/>
  <c r="BF61" i="13"/>
  <c r="BH49" i="13"/>
  <c r="BF74" i="13"/>
  <c r="BH62" i="13"/>
  <c r="BH54" i="13"/>
  <c r="BF66" i="13"/>
  <c r="AO57" i="13"/>
  <c r="AM69" i="13"/>
  <c r="AM78" i="13"/>
  <c r="AO66" i="13"/>
  <c r="V46" i="13"/>
  <c r="T58" i="13"/>
  <c r="AM68" i="13"/>
  <c r="AO56" i="13"/>
  <c r="T64" i="13"/>
  <c r="V52" i="13"/>
  <c r="AM98" i="13"/>
  <c r="AO86" i="13"/>
  <c r="T54" i="13"/>
  <c r="V42" i="13"/>
  <c r="AM73" i="13"/>
  <c r="AO61" i="13"/>
  <c r="AM70" i="13"/>
  <c r="AO58" i="13"/>
  <c r="V43" i="13"/>
  <c r="T55" i="13"/>
  <c r="V53" i="13"/>
  <c r="T65" i="13"/>
  <c r="T69" i="13"/>
  <c r="V57" i="13"/>
  <c r="V49" i="13"/>
  <c r="T61" i="13"/>
  <c r="V48" i="13"/>
  <c r="T60" i="13"/>
  <c r="V44" i="13"/>
  <c r="T56" i="13"/>
  <c r="V62" i="13"/>
  <c r="T74" i="13"/>
  <c r="C50" i="13"/>
  <c r="C46" i="13"/>
  <c r="C51" i="13"/>
  <c r="C41" i="13"/>
  <c r="K75" i="13"/>
  <c r="K47" i="13"/>
  <c r="C52" i="13"/>
  <c r="C47" i="13"/>
  <c r="K35" i="13"/>
  <c r="C43" i="13"/>
  <c r="K29" i="13"/>
  <c r="K41" i="13"/>
  <c r="C45" i="13"/>
  <c r="K55" i="13"/>
  <c r="K67" i="13"/>
  <c r="C44" i="13"/>
  <c r="O5" i="13"/>
  <c r="K53" i="13"/>
  <c r="C48" i="13"/>
  <c r="C42" i="13"/>
  <c r="C49" i="13"/>
  <c r="K60" i="13"/>
  <c r="K72" i="13"/>
  <c r="A61" i="13"/>
  <c r="A56" i="13"/>
  <c r="A59" i="13"/>
  <c r="A58" i="13"/>
  <c r="A57" i="13"/>
  <c r="G87" i="16"/>
  <c r="E99" i="16"/>
  <c r="G67" i="16"/>
  <c r="E116" i="16"/>
  <c r="E77" i="16"/>
  <c r="G77" i="16" s="1"/>
  <c r="E96" i="16"/>
  <c r="E79" i="16"/>
  <c r="G47" i="16"/>
  <c r="E59" i="16"/>
  <c r="E114" i="16"/>
  <c r="G65" i="16"/>
  <c r="E93" i="16"/>
  <c r="G81" i="16"/>
  <c r="E121" i="16"/>
  <c r="G109" i="16"/>
  <c r="A64" i="13"/>
  <c r="A55" i="13"/>
  <c r="A63" i="13"/>
  <c r="A53" i="13"/>
  <c r="A60" i="13"/>
  <c r="A54" i="13"/>
  <c r="G1087" i="4" l="1"/>
  <c r="K1087" i="4" s="1"/>
  <c r="G726" i="4"/>
  <c r="Q726" i="4" s="1"/>
  <c r="CI85" i="13"/>
  <c r="H4" i="4"/>
  <c r="M4" i="4" s="1"/>
  <c r="K80" i="13"/>
  <c r="CI81" i="13"/>
  <c r="AW87" i="13"/>
  <c r="AD87" i="13"/>
  <c r="AW81" i="13"/>
  <c r="K81" i="13"/>
  <c r="AD80" i="13"/>
  <c r="BP81" i="13"/>
  <c r="K85" i="13"/>
  <c r="AW85" i="13"/>
  <c r="AW80" i="13"/>
  <c r="AD85" i="13"/>
  <c r="F106" i="16"/>
  <c r="H94" i="16"/>
  <c r="F107" i="16"/>
  <c r="H95" i="16"/>
  <c r="K87" i="13"/>
  <c r="F109" i="16"/>
  <c r="H97" i="16"/>
  <c r="F103" i="16"/>
  <c r="H91" i="16"/>
  <c r="F111" i="16"/>
  <c r="H99" i="16"/>
  <c r="AD99" i="13" s="1"/>
  <c r="F110" i="16"/>
  <c r="H98" i="16"/>
  <c r="F104" i="16"/>
  <c r="H92" i="16"/>
  <c r="CI82" i="13"/>
  <c r="AD82" i="13"/>
  <c r="AW82" i="13"/>
  <c r="K82" i="13"/>
  <c r="BP82" i="13"/>
  <c r="F112" i="16"/>
  <c r="H100" i="16"/>
  <c r="F113" i="16"/>
  <c r="H101" i="16"/>
  <c r="CI78" i="13"/>
  <c r="K78" i="13"/>
  <c r="AD78" i="13"/>
  <c r="AW78" i="13"/>
  <c r="BP78" i="13"/>
  <c r="CI87" i="13"/>
  <c r="CI80" i="13"/>
  <c r="F102" i="16"/>
  <c r="H90" i="16"/>
  <c r="BP86" i="13"/>
  <c r="CI86" i="13"/>
  <c r="K86" i="13"/>
  <c r="AD86" i="13"/>
  <c r="AW86" i="13"/>
  <c r="AD88" i="13"/>
  <c r="AW88" i="13"/>
  <c r="K88" i="13"/>
  <c r="BP88" i="13"/>
  <c r="CI88" i="13"/>
  <c r="F105" i="16"/>
  <c r="H93" i="16"/>
  <c r="BP93" i="13" s="1"/>
  <c r="F108" i="16"/>
  <c r="H96" i="16"/>
  <c r="W6" i="13"/>
  <c r="Y6" i="13" s="1"/>
  <c r="S1448" i="4"/>
  <c r="K1448" i="4"/>
  <c r="Q1448" i="4"/>
  <c r="J1448" i="4"/>
  <c r="Q365" i="4"/>
  <c r="J365" i="4"/>
  <c r="K365" i="4"/>
  <c r="E1221" i="4"/>
  <c r="S1221" i="4" s="1"/>
  <c r="E1215" i="4"/>
  <c r="S1215" i="4" s="1"/>
  <c r="E1225" i="4"/>
  <c r="S1225" i="4" s="1"/>
  <c r="E1222" i="4"/>
  <c r="S1222" i="4" s="1"/>
  <c r="E1223" i="4"/>
  <c r="S1223" i="4" s="1"/>
  <c r="E1400" i="4"/>
  <c r="S1400" i="4" s="1"/>
  <c r="E1261" i="4"/>
  <c r="S1261" i="4" s="1"/>
  <c r="E1360" i="4"/>
  <c r="S1360" i="4" s="1"/>
  <c r="E1402" i="4"/>
  <c r="S1402" i="4" s="1"/>
  <c r="E1246" i="4"/>
  <c r="S1246" i="4" s="1"/>
  <c r="E1378" i="4"/>
  <c r="S1378" i="4" s="1"/>
  <c r="E1258" i="4"/>
  <c r="S1258" i="4" s="1"/>
  <c r="E1442" i="4"/>
  <c r="S1442" i="4" s="1"/>
  <c r="E1397" i="4"/>
  <c r="S1397" i="4" s="1"/>
  <c r="E1439" i="4"/>
  <c r="S1439" i="4" s="1"/>
  <c r="E1361" i="4"/>
  <c r="S1361" i="4" s="1"/>
  <c r="E1411" i="4"/>
  <c r="S1411" i="4" s="1"/>
  <c r="E1383" i="4"/>
  <c r="S1383" i="4" s="1"/>
  <c r="E1444" i="4"/>
  <c r="S1444" i="4" s="1"/>
  <c r="E1240" i="4"/>
  <c r="S1240" i="4" s="1"/>
  <c r="E1359" i="4"/>
  <c r="S1359" i="4" s="1"/>
  <c r="E1233" i="4"/>
  <c r="S1233" i="4" s="1"/>
  <c r="E1314" i="4"/>
  <c r="S1314" i="4" s="1"/>
  <c r="E1298" i="4"/>
  <c r="S1298" i="4" s="1"/>
  <c r="E1279" i="4"/>
  <c r="S1279" i="4" s="1"/>
  <c r="E1280" i="4"/>
  <c r="S1280" i="4" s="1"/>
  <c r="E1446" i="4"/>
  <c r="S1446" i="4" s="1"/>
  <c r="E1274" i="4"/>
  <c r="S1274" i="4" s="1"/>
  <c r="E1394" i="4"/>
  <c r="S1394" i="4" s="1"/>
  <c r="E1418" i="4"/>
  <c r="S1418" i="4" s="1"/>
  <c r="E1413" i="4"/>
  <c r="S1413" i="4" s="1"/>
  <c r="E1299" i="4"/>
  <c r="S1299" i="4" s="1"/>
  <c r="E1334" i="4"/>
  <c r="S1334" i="4" s="1"/>
  <c r="E1253" i="4"/>
  <c r="S1253" i="4" s="1"/>
  <c r="E1440" i="4"/>
  <c r="S1440" i="4" s="1"/>
  <c r="E1423" i="4"/>
  <c r="S1423" i="4" s="1"/>
  <c r="E1325" i="4"/>
  <c r="S1325" i="4" s="1"/>
  <c r="E1426" i="4"/>
  <c r="S1426" i="4" s="1"/>
  <c r="E1353" i="4"/>
  <c r="S1353" i="4" s="1"/>
  <c r="E1231" i="4"/>
  <c r="S1231" i="4" s="1"/>
  <c r="E1254" i="4"/>
  <c r="S1254" i="4" s="1"/>
  <c r="E1243" i="4"/>
  <c r="S1243" i="4" s="1"/>
  <c r="E1326" i="4"/>
  <c r="S1326" i="4" s="1"/>
  <c r="E1433" i="4"/>
  <c r="S1433" i="4" s="1"/>
  <c r="E1321" i="4"/>
  <c r="S1321" i="4" s="1"/>
  <c r="E1273" i="4"/>
  <c r="S1273" i="4" s="1"/>
  <c r="E1380" i="4"/>
  <c r="S1380" i="4" s="1"/>
  <c r="E1241" i="4"/>
  <c r="S1241" i="4" s="1"/>
  <c r="E1421" i="4"/>
  <c r="S1421" i="4" s="1"/>
  <c r="E1354" i="4"/>
  <c r="S1354" i="4" s="1"/>
  <c r="E1357" i="4"/>
  <c r="S1357" i="4" s="1"/>
  <c r="E1331" i="4"/>
  <c r="S1331" i="4" s="1"/>
  <c r="E1265" i="4"/>
  <c r="S1265" i="4" s="1"/>
  <c r="E1339" i="4"/>
  <c r="S1339" i="4" s="1"/>
  <c r="E1401" i="4"/>
  <c r="S1401" i="4" s="1"/>
  <c r="E1237" i="4"/>
  <c r="S1237" i="4" s="1"/>
  <c r="E1425" i="4"/>
  <c r="S1425" i="4" s="1"/>
  <c r="E1443" i="4"/>
  <c r="S1443" i="4" s="1"/>
  <c r="E1337" i="4"/>
  <c r="S1337" i="4" s="1"/>
  <c r="E1291" i="4"/>
  <c r="S1291" i="4" s="1"/>
  <c r="E1373" i="4"/>
  <c r="S1373" i="4" s="1"/>
  <c r="E1320" i="4"/>
  <c r="S1320" i="4" s="1"/>
  <c r="E1424" i="4"/>
  <c r="S1424" i="4" s="1"/>
  <c r="E1399" i="4"/>
  <c r="S1399" i="4" s="1"/>
  <c r="E1297" i="4"/>
  <c r="S1297" i="4" s="1"/>
  <c r="E1345" i="4"/>
  <c r="S1345" i="4" s="1"/>
  <c r="E1219" i="4"/>
  <c r="S1219" i="4" s="1"/>
  <c r="E1364" i="4"/>
  <c r="S1364" i="4" s="1"/>
  <c r="E1342" i="4"/>
  <c r="S1342" i="4" s="1"/>
  <c r="E1365" i="4"/>
  <c r="S1365" i="4" s="1"/>
  <c r="E1420" i="4"/>
  <c r="S1420" i="4" s="1"/>
  <c r="E1351" i="4"/>
  <c r="S1351" i="4" s="1"/>
  <c r="E1293" i="4"/>
  <c r="S1293" i="4" s="1"/>
  <c r="E1239" i="4"/>
  <c r="S1239" i="4" s="1"/>
  <c r="E1414" i="4"/>
  <c r="S1414" i="4" s="1"/>
  <c r="E1441" i="4"/>
  <c r="S1441" i="4" s="1"/>
  <c r="E1284" i="4"/>
  <c r="S1284" i="4" s="1"/>
  <c r="E1306" i="4"/>
  <c r="S1306" i="4" s="1"/>
  <c r="E1313" i="4"/>
  <c r="S1313" i="4" s="1"/>
  <c r="E1300" i="4"/>
  <c r="S1300" i="4" s="1"/>
  <c r="E1333" i="4"/>
  <c r="S1333" i="4" s="1"/>
  <c r="E1305" i="4"/>
  <c r="S1305" i="4" s="1"/>
  <c r="E1381" i="4"/>
  <c r="S1381" i="4" s="1"/>
  <c r="E1371" i="4"/>
  <c r="S1371" i="4" s="1"/>
  <c r="E1382" i="4"/>
  <c r="S1382" i="4" s="1"/>
  <c r="E1362" i="4"/>
  <c r="S1362" i="4" s="1"/>
  <c r="E1403" i="4"/>
  <c r="S1403" i="4" s="1"/>
  <c r="E1343" i="4"/>
  <c r="S1343" i="4" s="1"/>
  <c r="E1294" i="4"/>
  <c r="S1294" i="4" s="1"/>
  <c r="E1431" i="4"/>
  <c r="S1431" i="4" s="1"/>
  <c r="E1311" i="4"/>
  <c r="S1311" i="4" s="1"/>
  <c r="E1251" i="4"/>
  <c r="S1251" i="4" s="1"/>
  <c r="E1263" i="4"/>
  <c r="S1263" i="4" s="1"/>
  <c r="E1278" i="4"/>
  <c r="S1278" i="4" s="1"/>
  <c r="E1304" i="4"/>
  <c r="S1304" i="4" s="1"/>
  <c r="E1234" i="4"/>
  <c r="S1234" i="4" s="1"/>
  <c r="E1260" i="4"/>
  <c r="S1260" i="4" s="1"/>
  <c r="E1301" i="4"/>
  <c r="S1301" i="4" s="1"/>
  <c r="E1377" i="4"/>
  <c r="S1377" i="4" s="1"/>
  <c r="E1341" i="4"/>
  <c r="S1341" i="4" s="1"/>
  <c r="E1323" i="4"/>
  <c r="S1323" i="4" s="1"/>
  <c r="E1434" i="4"/>
  <c r="S1434" i="4" s="1"/>
  <c r="E1226" i="4"/>
  <c r="S1226" i="4" s="1"/>
  <c r="E1437" i="4"/>
  <c r="S1437" i="4" s="1"/>
  <c r="E1404" i="4"/>
  <c r="S1404" i="4" s="1"/>
  <c r="E1422" i="4"/>
  <c r="S1422" i="4" s="1"/>
  <c r="E1257" i="4"/>
  <c r="S1257" i="4" s="1"/>
  <c r="E1283" i="4"/>
  <c r="S1283" i="4" s="1"/>
  <c r="E1419" i="4"/>
  <c r="S1419" i="4" s="1"/>
  <c r="E1318" i="4"/>
  <c r="S1318" i="4" s="1"/>
  <c r="E1244" i="4"/>
  <c r="S1244" i="4" s="1"/>
  <c r="E1277" i="4"/>
  <c r="S1277" i="4" s="1"/>
  <c r="E1245" i="4"/>
  <c r="S1245" i="4" s="1"/>
  <c r="E1379" i="4"/>
  <c r="S1379" i="4" s="1"/>
  <c r="E1262" i="4"/>
  <c r="S1262" i="4" s="1"/>
  <c r="E1445" i="4"/>
  <c r="S1445" i="4" s="1"/>
  <c r="E1242" i="4"/>
  <c r="S1242" i="4" s="1"/>
  <c r="E1319" i="4"/>
  <c r="S1319" i="4" s="1"/>
  <c r="E1344" i="4"/>
  <c r="S1344" i="4" s="1"/>
  <c r="E1338" i="4"/>
  <c r="S1338" i="4" s="1"/>
  <c r="E1281" i="4"/>
  <c r="S1281" i="4" s="1"/>
  <c r="E1238" i="4"/>
  <c r="S1238" i="4" s="1"/>
  <c r="E1405" i="4"/>
  <c r="S1405" i="4" s="1"/>
  <c r="E1363" i="4"/>
  <c r="S1363" i="4" s="1"/>
  <c r="E1303" i="4"/>
  <c r="S1303" i="4" s="1"/>
  <c r="E1374" i="4"/>
  <c r="S1374" i="4" s="1"/>
  <c r="E1438" i="4"/>
  <c r="S1438" i="4" s="1"/>
  <c r="E1398" i="4"/>
  <c r="S1398" i="4" s="1"/>
  <c r="E1264" i="4"/>
  <c r="S1264" i="4" s="1"/>
  <c r="E1385" i="4"/>
  <c r="S1385" i="4" s="1"/>
  <c r="E1393" i="4"/>
  <c r="S1393" i="4" s="1"/>
  <c r="E1384" i="4"/>
  <c r="S1384" i="4" s="1"/>
  <c r="E1224" i="4"/>
  <c r="S1224" i="4" s="1"/>
  <c r="E1386" i="4"/>
  <c r="S1386" i="4" s="1"/>
  <c r="E1302" i="4"/>
  <c r="S1302" i="4" s="1"/>
  <c r="E1259" i="4"/>
  <c r="S1259" i="4" s="1"/>
  <c r="E1324" i="4"/>
  <c r="S1324" i="4" s="1"/>
  <c r="E1417" i="4"/>
  <c r="S1417" i="4" s="1"/>
  <c r="E1282" i="4"/>
  <c r="S1282" i="4" s="1"/>
  <c r="E1285" i="4"/>
  <c r="S1285" i="4" s="1"/>
  <c r="E1358" i="4"/>
  <c r="S1358" i="4" s="1"/>
  <c r="E1340" i="4"/>
  <c r="S1340" i="4" s="1"/>
  <c r="E1317" i="4"/>
  <c r="S1317" i="4" s="1"/>
  <c r="E1322" i="4"/>
  <c r="S1322" i="4" s="1"/>
  <c r="E1153" i="4"/>
  <c r="E1166" i="4"/>
  <c r="E1213" i="4"/>
  <c r="E1206" i="4"/>
  <c r="E1187" i="4"/>
  <c r="E1190" i="4"/>
  <c r="E1210" i="4"/>
  <c r="E1133" i="4"/>
  <c r="E1093" i="4"/>
  <c r="E1109" i="4"/>
  <c r="E1127" i="4"/>
  <c r="E1088" i="4"/>
  <c r="E1130" i="4"/>
  <c r="E1107" i="4"/>
  <c r="E1139" i="4"/>
  <c r="E1144" i="4"/>
  <c r="E1150" i="4"/>
  <c r="E1142" i="4"/>
  <c r="E1172" i="4"/>
  <c r="E1168" i="4"/>
  <c r="E1124" i="4"/>
  <c r="E1208" i="4"/>
  <c r="E1110" i="4"/>
  <c r="E1177" i="4"/>
  <c r="E1102" i="4"/>
  <c r="E1120" i="4"/>
  <c r="E1146" i="4"/>
  <c r="E1114" i="4"/>
  <c r="E1097" i="4"/>
  <c r="E1180" i="4"/>
  <c r="E1155" i="4"/>
  <c r="E1140" i="4"/>
  <c r="E1175" i="4"/>
  <c r="E1103" i="4"/>
  <c r="E1156" i="4"/>
  <c r="E1122" i="4"/>
  <c r="E1115" i="4"/>
  <c r="E1116" i="4"/>
  <c r="E1151" i="4"/>
  <c r="E1176" i="4"/>
  <c r="E1174" i="4"/>
  <c r="E1214" i="4"/>
  <c r="E1136" i="4"/>
  <c r="E1173" i="4"/>
  <c r="E1113" i="4"/>
  <c r="E1119" i="4"/>
  <c r="E1112" i="4"/>
  <c r="E1199" i="4"/>
  <c r="E1207" i="4"/>
  <c r="E1179" i="4"/>
  <c r="E1160" i="4"/>
  <c r="E1170" i="4"/>
  <c r="E1164" i="4"/>
  <c r="E1134" i="4"/>
  <c r="E1178" i="4"/>
  <c r="E1143" i="4"/>
  <c r="E1100" i="4"/>
  <c r="E1111" i="4"/>
  <c r="E1095" i="4"/>
  <c r="E1198" i="4"/>
  <c r="E1159" i="4"/>
  <c r="E1147" i="4"/>
  <c r="E1211" i="4"/>
  <c r="E1163" i="4"/>
  <c r="E1202" i="4"/>
  <c r="E1094" i="4"/>
  <c r="E1141" i="4"/>
  <c r="E1149" i="4"/>
  <c r="E1162" i="4"/>
  <c r="E1169" i="4"/>
  <c r="E1091" i="4"/>
  <c r="E1118" i="4"/>
  <c r="E1158" i="4"/>
  <c r="E1101" i="4"/>
  <c r="E1182" i="4"/>
  <c r="E1195" i="4"/>
  <c r="E1183" i="4"/>
  <c r="E1181" i="4"/>
  <c r="E1167" i="4"/>
  <c r="E1196" i="4"/>
  <c r="E1138" i="4"/>
  <c r="E1203" i="4"/>
  <c r="E1089" i="4"/>
  <c r="E1099" i="4"/>
  <c r="E1171" i="4"/>
  <c r="E1193" i="4"/>
  <c r="E1117" i="4"/>
  <c r="E1137" i="4"/>
  <c r="E1090" i="4"/>
  <c r="E1135" i="4"/>
  <c r="E1096" i="4"/>
  <c r="E1098" i="4"/>
  <c r="E1154" i="4"/>
  <c r="E1197" i="4"/>
  <c r="E1121" i="4"/>
  <c r="E1148" i="4"/>
  <c r="E1191" i="4"/>
  <c r="E1161" i="4"/>
  <c r="E1157" i="4"/>
  <c r="E1131" i="4"/>
  <c r="E1200" i="4"/>
  <c r="E1194" i="4"/>
  <c r="E1201" i="4"/>
  <c r="E1192" i="4"/>
  <c r="E1145" i="4"/>
  <c r="E1123" i="4"/>
  <c r="F726" i="4"/>
  <c r="P726" i="4" s="1"/>
  <c r="C62" i="13"/>
  <c r="BP79" i="13"/>
  <c r="CI79" i="13"/>
  <c r="BP65" i="13"/>
  <c r="CI65" i="13"/>
  <c r="BP84" i="13"/>
  <c r="CI84" i="13"/>
  <c r="BP59" i="13"/>
  <c r="CI59" i="13"/>
  <c r="BY73" i="13"/>
  <c r="CA73" i="13" s="1"/>
  <c r="AD79" i="13"/>
  <c r="AW79" i="13"/>
  <c r="AD65" i="13"/>
  <c r="AW65" i="13"/>
  <c r="AD84" i="13"/>
  <c r="AW84" i="13"/>
  <c r="AM101" i="13"/>
  <c r="AM113" i="13" s="1"/>
  <c r="AD59" i="13"/>
  <c r="AW59" i="13"/>
  <c r="T71" i="13"/>
  <c r="T83" i="13" s="1"/>
  <c r="V83" i="13" s="1"/>
  <c r="BH59" i="13"/>
  <c r="AO71" i="13"/>
  <c r="CA71" i="13"/>
  <c r="BY83" i="13"/>
  <c r="CA78" i="13"/>
  <c r="BY90" i="13"/>
  <c r="AO72" i="13"/>
  <c r="AM84" i="13"/>
  <c r="BY80" i="13"/>
  <c r="CA68" i="13"/>
  <c r="AM99" i="13"/>
  <c r="AO87" i="13"/>
  <c r="CH6" i="13"/>
  <c r="CJ6" i="13"/>
  <c r="BY84" i="13"/>
  <c r="CA72" i="13"/>
  <c r="CA64" i="13"/>
  <c r="BY76" i="13"/>
  <c r="CA65" i="13"/>
  <c r="BY77" i="13"/>
  <c r="V63" i="13"/>
  <c r="CA74" i="13"/>
  <c r="BY86" i="13"/>
  <c r="CA67" i="13"/>
  <c r="BY79" i="13"/>
  <c r="BH55" i="13"/>
  <c r="BF67" i="13"/>
  <c r="CA58" i="13"/>
  <c r="BY70" i="13"/>
  <c r="CA87" i="13"/>
  <c r="BY99" i="13"/>
  <c r="BY69" i="13"/>
  <c r="CA57" i="13"/>
  <c r="AO69" i="13"/>
  <c r="AM81" i="13"/>
  <c r="BH71" i="13"/>
  <c r="BF83" i="13"/>
  <c r="BH84" i="13"/>
  <c r="BF96" i="13"/>
  <c r="BH66" i="13"/>
  <c r="BF78" i="13"/>
  <c r="AO76" i="13"/>
  <c r="AM88" i="13"/>
  <c r="BH94" i="13"/>
  <c r="BF106" i="13"/>
  <c r="BF68" i="13"/>
  <c r="BH56" i="13"/>
  <c r="BQ6" i="13"/>
  <c r="BO6" i="13"/>
  <c r="BH99" i="13"/>
  <c r="BF111" i="13"/>
  <c r="BF73" i="13"/>
  <c r="BH61" i="13"/>
  <c r="BF86" i="13"/>
  <c r="BH74" i="13"/>
  <c r="BH76" i="13"/>
  <c r="BF88" i="13"/>
  <c r="BF81" i="13"/>
  <c r="BH69" i="13"/>
  <c r="AM67" i="13"/>
  <c r="AO55" i="13"/>
  <c r="BH89" i="13"/>
  <c r="BF101" i="13"/>
  <c r="T66" i="13"/>
  <c r="V54" i="13"/>
  <c r="AM110" i="13"/>
  <c r="AO98" i="13"/>
  <c r="V64" i="13"/>
  <c r="T76" i="13"/>
  <c r="AM80" i="13"/>
  <c r="AO68" i="13"/>
  <c r="V58" i="13"/>
  <c r="T70" i="13"/>
  <c r="AX6" i="13"/>
  <c r="AV6" i="13"/>
  <c r="AM95" i="13"/>
  <c r="AO83" i="13"/>
  <c r="AO70" i="13"/>
  <c r="AM82" i="13"/>
  <c r="AO73" i="13"/>
  <c r="AM85" i="13"/>
  <c r="AM90" i="13"/>
  <c r="AO78" i="13"/>
  <c r="V56" i="13"/>
  <c r="T68" i="13"/>
  <c r="V75" i="13"/>
  <c r="T87" i="13"/>
  <c r="T72" i="13"/>
  <c r="V60" i="13"/>
  <c r="T73" i="13"/>
  <c r="V61" i="13"/>
  <c r="V74" i="13"/>
  <c r="T86" i="13"/>
  <c r="V55" i="13"/>
  <c r="T67" i="13"/>
  <c r="V65" i="13"/>
  <c r="T77" i="13"/>
  <c r="V69" i="13"/>
  <c r="T81" i="13"/>
  <c r="P5" i="13"/>
  <c r="G4" i="4"/>
  <c r="A68" i="13"/>
  <c r="A73" i="13"/>
  <c r="C54" i="13"/>
  <c r="C53" i="13"/>
  <c r="C58" i="13"/>
  <c r="C59" i="13"/>
  <c r="C63" i="13"/>
  <c r="C61" i="13"/>
  <c r="C55" i="13"/>
  <c r="C64" i="13"/>
  <c r="K65" i="13"/>
  <c r="K59" i="13"/>
  <c r="E6" i="13"/>
  <c r="D6" i="13" s="1"/>
  <c r="C60" i="13"/>
  <c r="C56" i="13"/>
  <c r="K79" i="13"/>
  <c r="K84" i="13"/>
  <c r="C57" i="13"/>
  <c r="A86" i="13"/>
  <c r="C74" i="13"/>
  <c r="A71" i="13"/>
  <c r="A70" i="13"/>
  <c r="A67" i="13"/>
  <c r="A76" i="13"/>
  <c r="A69" i="13"/>
  <c r="G99" i="16"/>
  <c r="E111" i="16"/>
  <c r="E91" i="16"/>
  <c r="G59" i="16"/>
  <c r="E71" i="16"/>
  <c r="E126" i="16"/>
  <c r="G114" i="16"/>
  <c r="E108" i="16"/>
  <c r="G96" i="16"/>
  <c r="G121" i="16"/>
  <c r="E89" i="16"/>
  <c r="G79" i="16"/>
  <c r="E128" i="16"/>
  <c r="G116" i="16"/>
  <c r="E105" i="16"/>
  <c r="G93" i="16"/>
  <c r="A75" i="13"/>
  <c r="A65" i="13"/>
  <c r="A66" i="13"/>
  <c r="A72" i="13"/>
  <c r="Q1087" i="4" l="1"/>
  <c r="J1087" i="4"/>
  <c r="J726" i="4"/>
  <c r="K726" i="4"/>
  <c r="N726" i="4" s="1"/>
  <c r="K99" i="13"/>
  <c r="CI93" i="13"/>
  <c r="BP99" i="13"/>
  <c r="CI99" i="13"/>
  <c r="AW93" i="13"/>
  <c r="AD93" i="13"/>
  <c r="AW99" i="13"/>
  <c r="K93" i="13"/>
  <c r="K90" i="13"/>
  <c r="AD90" i="13"/>
  <c r="AW90" i="13"/>
  <c r="BP90" i="13"/>
  <c r="CI90" i="13"/>
  <c r="F114" i="16"/>
  <c r="H102" i="16"/>
  <c r="AD98" i="13"/>
  <c r="BP98" i="13"/>
  <c r="AW98" i="13"/>
  <c r="K98" i="13"/>
  <c r="CI98" i="13"/>
  <c r="F122" i="16"/>
  <c r="H110" i="16"/>
  <c r="CI92" i="13"/>
  <c r="AW92" i="13"/>
  <c r="BP92" i="13"/>
  <c r="AD92" i="13"/>
  <c r="K92" i="13"/>
  <c r="F121" i="16"/>
  <c r="H121" i="16" s="1"/>
  <c r="BP121" i="13" s="1"/>
  <c r="H109" i="16"/>
  <c r="F123" i="16"/>
  <c r="H123" i="16" s="1"/>
  <c r="H111" i="16"/>
  <c r="BP111" i="13" s="1"/>
  <c r="F120" i="16"/>
  <c r="H108" i="16"/>
  <c r="AD97" i="13"/>
  <c r="AW97" i="13"/>
  <c r="CI97" i="13"/>
  <c r="BP97" i="13"/>
  <c r="K97" i="13"/>
  <c r="F117" i="16"/>
  <c r="H105" i="16"/>
  <c r="AD105" i="13" s="1"/>
  <c r="F115" i="16"/>
  <c r="H103" i="16"/>
  <c r="F125" i="16"/>
  <c r="H125" i="16" s="1"/>
  <c r="H113" i="16"/>
  <c r="AD100" i="13"/>
  <c r="AW100" i="13"/>
  <c r="BP100" i="13"/>
  <c r="K100" i="13"/>
  <c r="CI100" i="13"/>
  <c r="F119" i="16"/>
  <c r="H107" i="16"/>
  <c r="F124" i="16"/>
  <c r="H112" i="16"/>
  <c r="F116" i="16"/>
  <c r="H104" i="16"/>
  <c r="CI94" i="13"/>
  <c r="AW94" i="13"/>
  <c r="K94" i="13"/>
  <c r="BP94" i="13"/>
  <c r="AD94" i="13"/>
  <c r="F118" i="16"/>
  <c r="H106" i="16"/>
  <c r="AC6" i="13"/>
  <c r="AE6" i="13"/>
  <c r="N1087" i="4"/>
  <c r="L1087" i="4"/>
  <c r="N365" i="4"/>
  <c r="L365" i="4"/>
  <c r="L1448" i="4"/>
  <c r="N1448" i="4"/>
  <c r="F4" i="4"/>
  <c r="P4" i="4" s="1"/>
  <c r="BP71" i="13"/>
  <c r="CI71" i="13"/>
  <c r="BP91" i="13"/>
  <c r="CI91" i="13"/>
  <c r="BP77" i="13"/>
  <c r="CI77" i="13"/>
  <c r="BP96" i="13"/>
  <c r="CI96" i="13"/>
  <c r="BY85" i="13"/>
  <c r="BY97" i="13" s="1"/>
  <c r="AO101" i="13"/>
  <c r="AD77" i="13"/>
  <c r="AW77" i="13"/>
  <c r="AD96" i="13"/>
  <c r="AW96" i="13"/>
  <c r="AD71" i="13"/>
  <c r="AW71" i="13"/>
  <c r="AD91" i="13"/>
  <c r="AW91" i="13"/>
  <c r="T95" i="13"/>
  <c r="T107" i="13" s="1"/>
  <c r="V71" i="13"/>
  <c r="CA83" i="13"/>
  <c r="BY95" i="13"/>
  <c r="CM6" i="13"/>
  <c r="H1449" i="4" s="1"/>
  <c r="M1449" i="4" s="1"/>
  <c r="CA77" i="13"/>
  <c r="BY89" i="13"/>
  <c r="BY88" i="13"/>
  <c r="CA76" i="13"/>
  <c r="AO99" i="13"/>
  <c r="AM111" i="13"/>
  <c r="BH67" i="13"/>
  <c r="BF79" i="13"/>
  <c r="CA69" i="13"/>
  <c r="BY81" i="13"/>
  <c r="CA70" i="13"/>
  <c r="BY82" i="13"/>
  <c r="BT6" i="13"/>
  <c r="CA99" i="13"/>
  <c r="BY111" i="13"/>
  <c r="CA84" i="13"/>
  <c r="BY96" i="13"/>
  <c r="CA79" i="13"/>
  <c r="BY91" i="13"/>
  <c r="BY92" i="13"/>
  <c r="CA80" i="13"/>
  <c r="AO84" i="13"/>
  <c r="AM96" i="13"/>
  <c r="BY98" i="13"/>
  <c r="CA86" i="13"/>
  <c r="CA90" i="13"/>
  <c r="BY102" i="13"/>
  <c r="BH111" i="13"/>
  <c r="BF123" i="13"/>
  <c r="BH68" i="13"/>
  <c r="BF80" i="13"/>
  <c r="BF113" i="13"/>
  <c r="BH101" i="13"/>
  <c r="BF118" i="13"/>
  <c r="BH106" i="13"/>
  <c r="AO88" i="13"/>
  <c r="AM100" i="13"/>
  <c r="BH81" i="13"/>
  <c r="BF93" i="13"/>
  <c r="BF100" i="13"/>
  <c r="BH88" i="13"/>
  <c r="BF98" i="13"/>
  <c r="BH86" i="13"/>
  <c r="AO67" i="13"/>
  <c r="AM79" i="13"/>
  <c r="BF95" i="13"/>
  <c r="BH83" i="13"/>
  <c r="AM93" i="13"/>
  <c r="AO81" i="13"/>
  <c r="BF90" i="13"/>
  <c r="BH78" i="13"/>
  <c r="BF108" i="13"/>
  <c r="BH96" i="13"/>
  <c r="BF85" i="13"/>
  <c r="BH73" i="13"/>
  <c r="AM107" i="13"/>
  <c r="AO95" i="13"/>
  <c r="AO113" i="13"/>
  <c r="AM125" i="13"/>
  <c r="BA6" i="13"/>
  <c r="AO90" i="13"/>
  <c r="AM102" i="13"/>
  <c r="T88" i="13"/>
  <c r="V76" i="13"/>
  <c r="T82" i="13"/>
  <c r="V70" i="13"/>
  <c r="AO80" i="13"/>
  <c r="AM92" i="13"/>
  <c r="AO110" i="13"/>
  <c r="AM122" i="13"/>
  <c r="AM94" i="13"/>
  <c r="AO82" i="13"/>
  <c r="AM97" i="13"/>
  <c r="AO85" i="13"/>
  <c r="V66" i="13"/>
  <c r="T78" i="13"/>
  <c r="V81" i="13"/>
  <c r="T93" i="13"/>
  <c r="V67" i="13"/>
  <c r="T79" i="13"/>
  <c r="T89" i="13"/>
  <c r="V77" i="13"/>
  <c r="V86" i="13"/>
  <c r="T98" i="13"/>
  <c r="T99" i="13"/>
  <c r="V87" i="13"/>
  <c r="V73" i="13"/>
  <c r="T85" i="13"/>
  <c r="V72" i="13"/>
  <c r="T84" i="13"/>
  <c r="V68" i="13"/>
  <c r="T80" i="13"/>
  <c r="A85" i="13"/>
  <c r="A80" i="13"/>
  <c r="C73" i="13"/>
  <c r="C68" i="13"/>
  <c r="A83" i="13"/>
  <c r="C69" i="13"/>
  <c r="C70" i="13"/>
  <c r="C71" i="13"/>
  <c r="C86" i="13"/>
  <c r="C76" i="13"/>
  <c r="K77" i="13"/>
  <c r="C75" i="13"/>
  <c r="K96" i="13"/>
  <c r="C66" i="13"/>
  <c r="C67" i="13"/>
  <c r="C72" i="13"/>
  <c r="K71" i="13"/>
  <c r="C65" i="13"/>
  <c r="K91" i="13"/>
  <c r="A82" i="13"/>
  <c r="A98" i="13"/>
  <c r="A79" i="13"/>
  <c r="A88" i="13"/>
  <c r="A81" i="13"/>
  <c r="G111" i="16"/>
  <c r="E123" i="16"/>
  <c r="G123" i="16" s="1"/>
  <c r="E103" i="16"/>
  <c r="G91" i="16"/>
  <c r="G71" i="16"/>
  <c r="G128" i="16"/>
  <c r="G89" i="16"/>
  <c r="E101" i="16"/>
  <c r="E120" i="16"/>
  <c r="G108" i="16"/>
  <c r="G126" i="16"/>
  <c r="E83" i="16"/>
  <c r="E117" i="16"/>
  <c r="G105" i="16"/>
  <c r="A87" i="13"/>
  <c r="A77" i="13"/>
  <c r="A78" i="13"/>
  <c r="A84" i="13"/>
  <c r="L726" i="4" l="1"/>
  <c r="H727" i="4"/>
  <c r="M727" i="4" s="1"/>
  <c r="AW105" i="13"/>
  <c r="K105" i="13"/>
  <c r="CI105" i="13"/>
  <c r="BP105" i="13"/>
  <c r="K121" i="13"/>
  <c r="AW121" i="13"/>
  <c r="AD121" i="13"/>
  <c r="K111" i="13"/>
  <c r="CI111" i="13"/>
  <c r="AW111" i="13"/>
  <c r="AD111" i="13"/>
  <c r="F127" i="16"/>
  <c r="H127" i="16" s="1"/>
  <c r="H115" i="16"/>
  <c r="K110" i="13"/>
  <c r="BP110" i="13"/>
  <c r="AW110" i="13"/>
  <c r="CI110" i="13"/>
  <c r="AD110" i="13"/>
  <c r="H122" i="16"/>
  <c r="F129" i="16"/>
  <c r="H129" i="16" s="1"/>
  <c r="H117" i="16"/>
  <c r="BP117" i="13" s="1"/>
  <c r="BP102" i="13"/>
  <c r="K102" i="13"/>
  <c r="AW102" i="13"/>
  <c r="AD102" i="13"/>
  <c r="CI102" i="13"/>
  <c r="CI112" i="13"/>
  <c r="K112" i="13"/>
  <c r="AD112" i="13"/>
  <c r="AW112" i="13"/>
  <c r="BP112" i="13"/>
  <c r="H124" i="16"/>
  <c r="F132" i="16"/>
  <c r="H132" i="16" s="1"/>
  <c r="H120" i="16"/>
  <c r="F126" i="16"/>
  <c r="H126" i="16" s="1"/>
  <c r="K126" i="13" s="1"/>
  <c r="H114" i="16"/>
  <c r="CI121" i="13"/>
  <c r="K106" i="13"/>
  <c r="AD106" i="13"/>
  <c r="AW106" i="13"/>
  <c r="BP106" i="13"/>
  <c r="CI106" i="13"/>
  <c r="F131" i="16"/>
  <c r="H131" i="16" s="1"/>
  <c r="H119" i="16"/>
  <c r="K109" i="13"/>
  <c r="AW109" i="13"/>
  <c r="CI109" i="13"/>
  <c r="BP109" i="13"/>
  <c r="AD109" i="13"/>
  <c r="F130" i="16"/>
  <c r="H118" i="16"/>
  <c r="BP104" i="13"/>
  <c r="AW104" i="13"/>
  <c r="CI104" i="13"/>
  <c r="K104" i="13"/>
  <c r="AD104" i="13"/>
  <c r="F128" i="16"/>
  <c r="H128" i="16" s="1"/>
  <c r="AD128" i="13" s="1"/>
  <c r="H116" i="16"/>
  <c r="AH6" i="13"/>
  <c r="Q4" i="4"/>
  <c r="BU6" i="13"/>
  <c r="F1088" i="4" s="1"/>
  <c r="P1088" i="4" s="1"/>
  <c r="H1088" i="4"/>
  <c r="M1088" i="4" s="1"/>
  <c r="BB6" i="13"/>
  <c r="F727" i="4" s="1"/>
  <c r="P727" i="4" s="1"/>
  <c r="BP103" i="13"/>
  <c r="CI103" i="13"/>
  <c r="CA85" i="13"/>
  <c r="BP83" i="13"/>
  <c r="CI83" i="13"/>
  <c r="BP108" i="13"/>
  <c r="CI108" i="13"/>
  <c r="BP89" i="13"/>
  <c r="CI89" i="13"/>
  <c r="AD103" i="13"/>
  <c r="AW103" i="13"/>
  <c r="AD108" i="13"/>
  <c r="AW108" i="13"/>
  <c r="AD83" i="13"/>
  <c r="AW83" i="13"/>
  <c r="AD89" i="13"/>
  <c r="AW89" i="13"/>
  <c r="V95" i="13"/>
  <c r="BY107" i="13"/>
  <c r="CA95" i="13"/>
  <c r="BY123" i="13"/>
  <c r="CA111" i="13"/>
  <c r="CA97" i="13"/>
  <c r="BY109" i="13"/>
  <c r="G1088" i="4"/>
  <c r="BJ7" i="13"/>
  <c r="BI7" i="13" s="1"/>
  <c r="BK7" i="13" s="1"/>
  <c r="CA81" i="13"/>
  <c r="BY93" i="13"/>
  <c r="CC7" i="13"/>
  <c r="G1449" i="4"/>
  <c r="CN6" i="13"/>
  <c r="F1449" i="4" s="1"/>
  <c r="BY94" i="13"/>
  <c r="CA82" i="13"/>
  <c r="CA102" i="13"/>
  <c r="BY114" i="13"/>
  <c r="BH79" i="13"/>
  <c r="BF91" i="13"/>
  <c r="AO111" i="13"/>
  <c r="AM123" i="13"/>
  <c r="BY100" i="13"/>
  <c r="CA88" i="13"/>
  <c r="CA89" i="13"/>
  <c r="BY101" i="13"/>
  <c r="CA98" i="13"/>
  <c r="BY110" i="13"/>
  <c r="AM108" i="13"/>
  <c r="AO96" i="13"/>
  <c r="BY104" i="13"/>
  <c r="CA92" i="13"/>
  <c r="CA91" i="13"/>
  <c r="BY103" i="13"/>
  <c r="BY108" i="13"/>
  <c r="CA96" i="13"/>
  <c r="BH98" i="13"/>
  <c r="BF110" i="13"/>
  <c r="BH100" i="13"/>
  <c r="BF112" i="13"/>
  <c r="AO100" i="13"/>
  <c r="AM112" i="13"/>
  <c r="BF105" i="13"/>
  <c r="BH93" i="13"/>
  <c r="BH85" i="13"/>
  <c r="BF97" i="13"/>
  <c r="BF130" i="13"/>
  <c r="BH118" i="13"/>
  <c r="BH95" i="13"/>
  <c r="BF107" i="13"/>
  <c r="BF120" i="13"/>
  <c r="BH108" i="13"/>
  <c r="AM105" i="13"/>
  <c r="AO93" i="13"/>
  <c r="AO79" i="13"/>
  <c r="AM91" i="13"/>
  <c r="BH90" i="13"/>
  <c r="BF102" i="13"/>
  <c r="BH80" i="13"/>
  <c r="BF92" i="13"/>
  <c r="BH113" i="13"/>
  <c r="BF125" i="13"/>
  <c r="BH123" i="13"/>
  <c r="BF135" i="13"/>
  <c r="BF147" i="13" s="1"/>
  <c r="BF159" i="13" s="1"/>
  <c r="BF171" i="13" s="1"/>
  <c r="BF183" i="13" s="1"/>
  <c r="BF195" i="13" s="1"/>
  <c r="BF207" i="13" s="1"/>
  <c r="BF219" i="13" s="1"/>
  <c r="BF231" i="13" s="1"/>
  <c r="BF243" i="13" s="1"/>
  <c r="BF255" i="13" s="1"/>
  <c r="BF267" i="13" s="1"/>
  <c r="BF279" i="13" s="1"/>
  <c r="BF291" i="13" s="1"/>
  <c r="BF303" i="13" s="1"/>
  <c r="BF315" i="13" s="1"/>
  <c r="BF327" i="13" s="1"/>
  <c r="BF339" i="13" s="1"/>
  <c r="BF351" i="13" s="1"/>
  <c r="BF363" i="13" s="1"/>
  <c r="AO92" i="13"/>
  <c r="AM104" i="13"/>
  <c r="AM134" i="13"/>
  <c r="AM146" i="13" s="1"/>
  <c r="AM158" i="13" s="1"/>
  <c r="AM170" i="13" s="1"/>
  <c r="AM182" i="13" s="1"/>
  <c r="AM194" i="13" s="1"/>
  <c r="AM206" i="13" s="1"/>
  <c r="AM218" i="13" s="1"/>
  <c r="AM230" i="13" s="1"/>
  <c r="AM242" i="13" s="1"/>
  <c r="AM254" i="13" s="1"/>
  <c r="AM266" i="13" s="1"/>
  <c r="AM278" i="13" s="1"/>
  <c r="AM290" i="13" s="1"/>
  <c r="AM302" i="13" s="1"/>
  <c r="AM314" i="13" s="1"/>
  <c r="AM326" i="13" s="1"/>
  <c r="AM338" i="13" s="1"/>
  <c r="AM350" i="13" s="1"/>
  <c r="AM362" i="13" s="1"/>
  <c r="AO122" i="13"/>
  <c r="V82" i="13"/>
  <c r="T94" i="13"/>
  <c r="AM114" i="13"/>
  <c r="AO102" i="13"/>
  <c r="V78" i="13"/>
  <c r="T90" i="13"/>
  <c r="AO125" i="13"/>
  <c r="AM137" i="13"/>
  <c r="AM149" i="13" s="1"/>
  <c r="AM161" i="13" s="1"/>
  <c r="AM173" i="13" s="1"/>
  <c r="AM185" i="13" s="1"/>
  <c r="AM197" i="13" s="1"/>
  <c r="AM209" i="13" s="1"/>
  <c r="AM221" i="13" s="1"/>
  <c r="AM233" i="13" s="1"/>
  <c r="AM245" i="13" s="1"/>
  <c r="AM257" i="13" s="1"/>
  <c r="AM269" i="13" s="1"/>
  <c r="AM281" i="13" s="1"/>
  <c r="AM293" i="13" s="1"/>
  <c r="AM305" i="13" s="1"/>
  <c r="AM317" i="13" s="1"/>
  <c r="AM329" i="13" s="1"/>
  <c r="AM341" i="13" s="1"/>
  <c r="AM353" i="13" s="1"/>
  <c r="AO94" i="13"/>
  <c r="AM106" i="13"/>
  <c r="V88" i="13"/>
  <c r="T100" i="13"/>
  <c r="AO97" i="13"/>
  <c r="AM109" i="13"/>
  <c r="AQ7" i="13"/>
  <c r="G727" i="4"/>
  <c r="AM119" i="13"/>
  <c r="AO107" i="13"/>
  <c r="T119" i="13"/>
  <c r="V107" i="13"/>
  <c r="V99" i="13"/>
  <c r="T111" i="13"/>
  <c r="T97" i="13"/>
  <c r="V85" i="13"/>
  <c r="V98" i="13"/>
  <c r="T110" i="13"/>
  <c r="V89" i="13"/>
  <c r="T101" i="13"/>
  <c r="V80" i="13"/>
  <c r="T92" i="13"/>
  <c r="V79" i="13"/>
  <c r="T91" i="13"/>
  <c r="V84" i="13"/>
  <c r="T96" i="13"/>
  <c r="V93" i="13"/>
  <c r="T105" i="13"/>
  <c r="A92" i="13"/>
  <c r="A97" i="13"/>
  <c r="C85" i="13"/>
  <c r="C80" i="13"/>
  <c r="C83" i="13"/>
  <c r="A95" i="13"/>
  <c r="F6" i="13"/>
  <c r="C98" i="13"/>
  <c r="K108" i="13"/>
  <c r="K89" i="13"/>
  <c r="C82" i="13"/>
  <c r="C84" i="13"/>
  <c r="C77" i="13"/>
  <c r="C79" i="13"/>
  <c r="K103" i="13"/>
  <c r="C78" i="13"/>
  <c r="C87" i="13"/>
  <c r="C81" i="13"/>
  <c r="C88" i="13"/>
  <c r="K83" i="13"/>
  <c r="A94" i="13"/>
  <c r="A110" i="13"/>
  <c r="A91" i="13"/>
  <c r="A93" i="13"/>
  <c r="A100" i="13"/>
  <c r="G103" i="16"/>
  <c r="E115" i="16"/>
  <c r="G83" i="16"/>
  <c r="E95" i="16"/>
  <c r="G120" i="16"/>
  <c r="E132" i="16"/>
  <c r="G101" i="16"/>
  <c r="E113" i="16"/>
  <c r="E129" i="16"/>
  <c r="G117" i="16"/>
  <c r="A99" i="13"/>
  <c r="A89" i="13"/>
  <c r="A96" i="13"/>
  <c r="A90" i="13"/>
  <c r="H366" i="4" l="1"/>
  <c r="M366" i="4" s="1"/>
  <c r="AW117" i="13"/>
  <c r="CI126" i="13"/>
  <c r="AD117" i="13"/>
  <c r="BP126" i="13"/>
  <c r="K117" i="13"/>
  <c r="CI128" i="13"/>
  <c r="BP128" i="13"/>
  <c r="CI116" i="13"/>
  <c r="K116" i="13"/>
  <c r="BP116" i="13"/>
  <c r="AD116" i="13"/>
  <c r="AW116" i="13"/>
  <c r="K122" i="13"/>
  <c r="AD122" i="13"/>
  <c r="CI122" i="13"/>
  <c r="AW122" i="13"/>
  <c r="BP122" i="13"/>
  <c r="K114" i="13"/>
  <c r="BP114" i="13"/>
  <c r="CI114" i="13"/>
  <c r="AD114" i="13"/>
  <c r="AW114" i="13"/>
  <c r="AW126" i="13"/>
  <c r="AD126" i="13"/>
  <c r="AW128" i="13"/>
  <c r="CI117" i="13"/>
  <c r="H130" i="16"/>
  <c r="CI124" i="13"/>
  <c r="AD124" i="13"/>
  <c r="BP124" i="13"/>
  <c r="AW124" i="13"/>
  <c r="K124" i="13"/>
  <c r="CI118" i="13"/>
  <c r="BP118" i="13"/>
  <c r="AD118" i="13"/>
  <c r="K118" i="13"/>
  <c r="AW118" i="13"/>
  <c r="K128" i="13"/>
  <c r="X7" i="13"/>
  <c r="AI6" i="13"/>
  <c r="F366" i="4" s="1"/>
  <c r="P366" i="4" s="1"/>
  <c r="G366" i="4"/>
  <c r="Q366" i="4" s="1"/>
  <c r="P1449" i="4"/>
  <c r="S1449" i="4"/>
  <c r="K727" i="4"/>
  <c r="Q727" i="4"/>
  <c r="J727" i="4"/>
  <c r="K1449" i="4"/>
  <c r="Q1449" i="4"/>
  <c r="J1449" i="4"/>
  <c r="Q1088" i="4"/>
  <c r="K1088" i="4"/>
  <c r="J1088" i="4"/>
  <c r="A109" i="13"/>
  <c r="BP101" i="13"/>
  <c r="CI101" i="13"/>
  <c r="BP95" i="13"/>
  <c r="CI95" i="13"/>
  <c r="BP115" i="13"/>
  <c r="CI115" i="13"/>
  <c r="BP123" i="13"/>
  <c r="CI123" i="13"/>
  <c r="BP120" i="13"/>
  <c r="CI120" i="13"/>
  <c r="AD123" i="13"/>
  <c r="AW123" i="13"/>
  <c r="AD115" i="13"/>
  <c r="AW115" i="13"/>
  <c r="AD120" i="13"/>
  <c r="AW120" i="13"/>
  <c r="AD95" i="13"/>
  <c r="AW95" i="13"/>
  <c r="AD101" i="13"/>
  <c r="AW101" i="13"/>
  <c r="BY119" i="13"/>
  <c r="CA107" i="13"/>
  <c r="BH91" i="13"/>
  <c r="BF103" i="13"/>
  <c r="CA100" i="13"/>
  <c r="BY112" i="13"/>
  <c r="CA108" i="13"/>
  <c r="BY120" i="13"/>
  <c r="AO123" i="13"/>
  <c r="AM135" i="13"/>
  <c r="AM147" i="13" s="1"/>
  <c r="AM159" i="13" s="1"/>
  <c r="AM171" i="13" s="1"/>
  <c r="AM183" i="13" s="1"/>
  <c r="AM195" i="13" s="1"/>
  <c r="AM207" i="13" s="1"/>
  <c r="AM219" i="13" s="1"/>
  <c r="AM231" i="13" s="1"/>
  <c r="AM243" i="13" s="1"/>
  <c r="AM255" i="13" s="1"/>
  <c r="AM267" i="13" s="1"/>
  <c r="AM279" i="13" s="1"/>
  <c r="AM291" i="13" s="1"/>
  <c r="AM303" i="13" s="1"/>
  <c r="AM315" i="13" s="1"/>
  <c r="AM327" i="13" s="1"/>
  <c r="AM339" i="13" s="1"/>
  <c r="AM351" i="13" s="1"/>
  <c r="AM363" i="13" s="1"/>
  <c r="CA103" i="13"/>
  <c r="BY115" i="13"/>
  <c r="CA123" i="13"/>
  <c r="BY135" i="13"/>
  <c r="BY147" i="13" s="1"/>
  <c r="BY159" i="13" s="1"/>
  <c r="BY171" i="13" s="1"/>
  <c r="BY183" i="13" s="1"/>
  <c r="BY195" i="13" s="1"/>
  <c r="BY207" i="13" s="1"/>
  <c r="BY219" i="13" s="1"/>
  <c r="BY231" i="13" s="1"/>
  <c r="BY243" i="13" s="1"/>
  <c r="BY255" i="13" s="1"/>
  <c r="BY267" i="13" s="1"/>
  <c r="BY279" i="13" s="1"/>
  <c r="BY291" i="13" s="1"/>
  <c r="BY303" i="13" s="1"/>
  <c r="BY315" i="13" s="1"/>
  <c r="BY327" i="13" s="1"/>
  <c r="BY339" i="13" s="1"/>
  <c r="BY351" i="13" s="1"/>
  <c r="BY363" i="13" s="1"/>
  <c r="CA114" i="13"/>
  <c r="BY126" i="13"/>
  <c r="CA94" i="13"/>
  <c r="BY106" i="13"/>
  <c r="CA104" i="13"/>
  <c r="BY116" i="13"/>
  <c r="CB7" i="13"/>
  <c r="CD7" i="13" s="1"/>
  <c r="BY122" i="13"/>
  <c r="CA110" i="13"/>
  <c r="BY113" i="13"/>
  <c r="CA101" i="13"/>
  <c r="CA93" i="13"/>
  <c r="BY105" i="13"/>
  <c r="AM120" i="13"/>
  <c r="AO108" i="13"/>
  <c r="CA109" i="13"/>
  <c r="BY121" i="13"/>
  <c r="AM117" i="13"/>
  <c r="AO105" i="13"/>
  <c r="BF132" i="13"/>
  <c r="BH120" i="13"/>
  <c r="BF119" i="13"/>
  <c r="BH107" i="13"/>
  <c r="BQ7" i="13"/>
  <c r="AO112" i="13"/>
  <c r="AM124" i="13"/>
  <c r="BF109" i="13"/>
  <c r="BH97" i="13"/>
  <c r="BF124" i="13"/>
  <c r="BH112" i="13"/>
  <c r="BF114" i="13"/>
  <c r="BH102" i="13"/>
  <c r="BH110" i="13"/>
  <c r="BF122" i="13"/>
  <c r="AM103" i="13"/>
  <c r="AO91" i="13"/>
  <c r="BH130" i="13"/>
  <c r="BF142" i="13"/>
  <c r="BF154" i="13" s="1"/>
  <c r="BF166" i="13" s="1"/>
  <c r="BF178" i="13" s="1"/>
  <c r="BF190" i="13" s="1"/>
  <c r="BF202" i="13" s="1"/>
  <c r="BF214" i="13" s="1"/>
  <c r="BF226" i="13" s="1"/>
  <c r="BF238" i="13" s="1"/>
  <c r="BF250" i="13" s="1"/>
  <c r="BF262" i="13" s="1"/>
  <c r="BF274" i="13" s="1"/>
  <c r="BF286" i="13" s="1"/>
  <c r="BF298" i="13" s="1"/>
  <c r="BF310" i="13" s="1"/>
  <c r="BF322" i="13" s="1"/>
  <c r="BF334" i="13" s="1"/>
  <c r="BF346" i="13" s="1"/>
  <c r="BF358" i="13" s="1"/>
  <c r="BH105" i="13"/>
  <c r="BF117" i="13"/>
  <c r="BF137" i="13"/>
  <c r="BF149" i="13" s="1"/>
  <c r="BF161" i="13" s="1"/>
  <c r="BF173" i="13" s="1"/>
  <c r="BF185" i="13" s="1"/>
  <c r="BF197" i="13" s="1"/>
  <c r="BF209" i="13" s="1"/>
  <c r="BF221" i="13" s="1"/>
  <c r="BF233" i="13" s="1"/>
  <c r="BF245" i="13" s="1"/>
  <c r="BF257" i="13" s="1"/>
  <c r="BF269" i="13" s="1"/>
  <c r="BF281" i="13" s="1"/>
  <c r="BF293" i="13" s="1"/>
  <c r="BF305" i="13" s="1"/>
  <c r="BF317" i="13" s="1"/>
  <c r="BF329" i="13" s="1"/>
  <c r="BF341" i="13" s="1"/>
  <c r="BF353" i="13" s="1"/>
  <c r="BH125" i="13"/>
  <c r="BF104" i="13"/>
  <c r="BH92" i="13"/>
  <c r="V100" i="13"/>
  <c r="T112" i="13"/>
  <c r="AM118" i="13"/>
  <c r="AO106" i="13"/>
  <c r="AO119" i="13"/>
  <c r="AM131" i="13"/>
  <c r="V94" i="13"/>
  <c r="T106" i="13"/>
  <c r="T102" i="13"/>
  <c r="V90" i="13"/>
  <c r="AP7" i="13"/>
  <c r="AR7" i="13" s="1"/>
  <c r="AO114" i="13"/>
  <c r="AM126" i="13"/>
  <c r="AO109" i="13"/>
  <c r="AM121" i="13"/>
  <c r="AO104" i="13"/>
  <c r="AM116" i="13"/>
  <c r="T104" i="13"/>
  <c r="V92" i="13"/>
  <c r="T113" i="13"/>
  <c r="V101" i="13"/>
  <c r="T122" i="13"/>
  <c r="V110" i="13"/>
  <c r="V91" i="13"/>
  <c r="T103" i="13"/>
  <c r="T109" i="13"/>
  <c r="V97" i="13"/>
  <c r="T123" i="13"/>
  <c r="V111" i="13"/>
  <c r="T108" i="13"/>
  <c r="V96" i="13"/>
  <c r="V119" i="13"/>
  <c r="T131" i="13"/>
  <c r="T117" i="13"/>
  <c r="V105" i="13"/>
  <c r="A104" i="13"/>
  <c r="C92" i="13"/>
  <c r="C95" i="13"/>
  <c r="C97" i="13"/>
  <c r="A122" i="13"/>
  <c r="A106" i="13"/>
  <c r="A107" i="13"/>
  <c r="K95" i="13"/>
  <c r="K123" i="13"/>
  <c r="C99" i="13"/>
  <c r="C90" i="13"/>
  <c r="C110" i="13"/>
  <c r="C94" i="13"/>
  <c r="K115" i="13"/>
  <c r="C91" i="13"/>
  <c r="C96" i="13"/>
  <c r="C89" i="13"/>
  <c r="L6" i="13"/>
  <c r="J6" i="13"/>
  <c r="C100" i="13"/>
  <c r="C93" i="13"/>
  <c r="K101" i="13"/>
  <c r="K120" i="13"/>
  <c r="A103" i="13"/>
  <c r="A112" i="13"/>
  <c r="A105" i="13"/>
  <c r="G115" i="16"/>
  <c r="G95" i="16"/>
  <c r="E127" i="16"/>
  <c r="G127" i="16" s="1"/>
  <c r="E107" i="16"/>
  <c r="G129" i="16"/>
  <c r="E125" i="16"/>
  <c r="G113" i="16"/>
  <c r="G132" i="16"/>
  <c r="A111" i="13"/>
  <c r="A101" i="13"/>
  <c r="A108" i="13"/>
  <c r="A102" i="13"/>
  <c r="W7" i="13" l="1"/>
  <c r="Y7" i="13" s="1"/>
  <c r="AE7" i="13" s="1"/>
  <c r="AW130" i="13"/>
  <c r="K130" i="13"/>
  <c r="CI130" i="13"/>
  <c r="BP130" i="13"/>
  <c r="AD130" i="13"/>
  <c r="J366" i="4"/>
  <c r="K366" i="4"/>
  <c r="L366" i="4" s="1"/>
  <c r="L1088" i="4"/>
  <c r="N1088" i="4"/>
  <c r="O1087" i="4"/>
  <c r="L1449" i="4"/>
  <c r="N1449" i="4"/>
  <c r="O1448" i="4"/>
  <c r="L727" i="4"/>
  <c r="N727" i="4"/>
  <c r="O726" i="4"/>
  <c r="C109" i="13"/>
  <c r="A121" i="13"/>
  <c r="BP132" i="13"/>
  <c r="CI132" i="13"/>
  <c r="BP113" i="13"/>
  <c r="CI113" i="13"/>
  <c r="BP107" i="13"/>
  <c r="CI107" i="13"/>
  <c r="BP129" i="13"/>
  <c r="CI129" i="13"/>
  <c r="AD132" i="13"/>
  <c r="AW132" i="13"/>
  <c r="AD113" i="13"/>
  <c r="AW113" i="13"/>
  <c r="AD129" i="13"/>
  <c r="AW129" i="13"/>
  <c r="AD107" i="13"/>
  <c r="AW107" i="13"/>
  <c r="BY131" i="13"/>
  <c r="CA119" i="13"/>
  <c r="BY128" i="13"/>
  <c r="CA116" i="13"/>
  <c r="CJ7" i="13"/>
  <c r="CA121" i="13"/>
  <c r="BY133" i="13"/>
  <c r="BY145" i="13" s="1"/>
  <c r="BY157" i="13" s="1"/>
  <c r="BY169" i="13" s="1"/>
  <c r="BY181" i="13" s="1"/>
  <c r="BY193" i="13" s="1"/>
  <c r="BY205" i="13" s="1"/>
  <c r="BY217" i="13" s="1"/>
  <c r="BY229" i="13" s="1"/>
  <c r="BY241" i="13" s="1"/>
  <c r="BY253" i="13" s="1"/>
  <c r="BY265" i="13" s="1"/>
  <c r="BY277" i="13" s="1"/>
  <c r="BY289" i="13" s="1"/>
  <c r="BY301" i="13" s="1"/>
  <c r="BY313" i="13" s="1"/>
  <c r="BY325" i="13" s="1"/>
  <c r="BY337" i="13" s="1"/>
  <c r="BY349" i="13" s="1"/>
  <c r="BY361" i="13" s="1"/>
  <c r="AM132" i="13"/>
  <c r="AO120" i="13"/>
  <c r="CA112" i="13"/>
  <c r="BY124" i="13"/>
  <c r="CA106" i="13"/>
  <c r="BY118" i="13"/>
  <c r="BY125" i="13"/>
  <c r="CA113" i="13"/>
  <c r="CA126" i="13"/>
  <c r="BY138" i="13"/>
  <c r="BY150" i="13" s="1"/>
  <c r="BY162" i="13" s="1"/>
  <c r="BY174" i="13" s="1"/>
  <c r="BY186" i="13" s="1"/>
  <c r="BY198" i="13" s="1"/>
  <c r="BY210" i="13" s="1"/>
  <c r="BY222" i="13" s="1"/>
  <c r="BY234" i="13" s="1"/>
  <c r="BY246" i="13" s="1"/>
  <c r="BY258" i="13" s="1"/>
  <c r="BY270" i="13" s="1"/>
  <c r="BY282" i="13" s="1"/>
  <c r="BY294" i="13" s="1"/>
  <c r="BY306" i="13" s="1"/>
  <c r="BY318" i="13" s="1"/>
  <c r="BY330" i="13" s="1"/>
  <c r="BY342" i="13" s="1"/>
  <c r="BY354" i="13" s="1"/>
  <c r="CA115" i="13"/>
  <c r="BY127" i="13"/>
  <c r="BY117" i="13"/>
  <c r="CA105" i="13"/>
  <c r="BF115" i="13"/>
  <c r="BH103" i="13"/>
  <c r="BY132" i="13"/>
  <c r="CA120" i="13"/>
  <c r="CA122" i="13"/>
  <c r="BY134" i="13"/>
  <c r="BY146" i="13" s="1"/>
  <c r="BY158" i="13" s="1"/>
  <c r="BY170" i="13" s="1"/>
  <c r="BY182" i="13" s="1"/>
  <c r="BY194" i="13" s="1"/>
  <c r="BY206" i="13" s="1"/>
  <c r="BY218" i="13" s="1"/>
  <c r="BY230" i="13" s="1"/>
  <c r="BY242" i="13" s="1"/>
  <c r="BY254" i="13" s="1"/>
  <c r="BY266" i="13" s="1"/>
  <c r="BY278" i="13" s="1"/>
  <c r="BY290" i="13" s="1"/>
  <c r="BY302" i="13" s="1"/>
  <c r="BY314" i="13" s="1"/>
  <c r="BY326" i="13" s="1"/>
  <c r="BY338" i="13" s="1"/>
  <c r="BY350" i="13" s="1"/>
  <c r="BY362" i="13" s="1"/>
  <c r="BF126" i="13"/>
  <c r="BH114" i="13"/>
  <c r="BF136" i="13"/>
  <c r="BF148" i="13" s="1"/>
  <c r="BF160" i="13" s="1"/>
  <c r="BF172" i="13" s="1"/>
  <c r="BF184" i="13" s="1"/>
  <c r="BF196" i="13" s="1"/>
  <c r="BF208" i="13" s="1"/>
  <c r="BF220" i="13" s="1"/>
  <c r="BF232" i="13" s="1"/>
  <c r="BF244" i="13" s="1"/>
  <c r="BF256" i="13" s="1"/>
  <c r="BF268" i="13" s="1"/>
  <c r="BF280" i="13" s="1"/>
  <c r="BF292" i="13" s="1"/>
  <c r="BF304" i="13" s="1"/>
  <c r="BF316" i="13" s="1"/>
  <c r="BF328" i="13" s="1"/>
  <c r="BF340" i="13" s="1"/>
  <c r="BF352" i="13" s="1"/>
  <c r="BF364" i="13" s="1"/>
  <c r="BH124" i="13"/>
  <c r="BF121" i="13"/>
  <c r="BH109" i="13"/>
  <c r="AM136" i="13"/>
  <c r="AM148" i="13" s="1"/>
  <c r="AM160" i="13" s="1"/>
  <c r="AM172" i="13" s="1"/>
  <c r="AM184" i="13" s="1"/>
  <c r="AM196" i="13" s="1"/>
  <c r="AM208" i="13" s="1"/>
  <c r="AM220" i="13" s="1"/>
  <c r="AM232" i="13" s="1"/>
  <c r="AM244" i="13" s="1"/>
  <c r="AM256" i="13" s="1"/>
  <c r="AM268" i="13" s="1"/>
  <c r="AM280" i="13" s="1"/>
  <c r="AM292" i="13" s="1"/>
  <c r="AM304" i="13" s="1"/>
  <c r="AM316" i="13" s="1"/>
  <c r="AM328" i="13" s="1"/>
  <c r="AM340" i="13" s="1"/>
  <c r="AM352" i="13" s="1"/>
  <c r="AM364" i="13" s="1"/>
  <c r="AO124" i="13"/>
  <c r="BH122" i="13"/>
  <c r="BF134" i="13"/>
  <c r="BF146" i="13" s="1"/>
  <c r="BF158" i="13" s="1"/>
  <c r="BF170" i="13" s="1"/>
  <c r="BF182" i="13" s="1"/>
  <c r="BF194" i="13" s="1"/>
  <c r="BF206" i="13" s="1"/>
  <c r="BF218" i="13" s="1"/>
  <c r="BF230" i="13" s="1"/>
  <c r="BF242" i="13" s="1"/>
  <c r="BF254" i="13" s="1"/>
  <c r="BF266" i="13" s="1"/>
  <c r="BF278" i="13" s="1"/>
  <c r="BF290" i="13" s="1"/>
  <c r="BF302" i="13" s="1"/>
  <c r="BF314" i="13" s="1"/>
  <c r="BF326" i="13" s="1"/>
  <c r="BF338" i="13" s="1"/>
  <c r="BF350" i="13" s="1"/>
  <c r="BF362" i="13" s="1"/>
  <c r="BH104" i="13"/>
  <c r="BF116" i="13"/>
  <c r="BH132" i="13"/>
  <c r="BF144" i="13"/>
  <c r="BF156" i="13" s="1"/>
  <c r="BF168" i="13" s="1"/>
  <c r="BF180" i="13" s="1"/>
  <c r="BF192" i="13" s="1"/>
  <c r="BF204" i="13" s="1"/>
  <c r="BF216" i="13" s="1"/>
  <c r="BF228" i="13" s="1"/>
  <c r="BF240" i="13" s="1"/>
  <c r="BF252" i="13" s="1"/>
  <c r="BF264" i="13" s="1"/>
  <c r="BF276" i="13" s="1"/>
  <c r="BF288" i="13" s="1"/>
  <c r="BF300" i="13" s="1"/>
  <c r="BF312" i="13" s="1"/>
  <c r="BF324" i="13" s="1"/>
  <c r="BF336" i="13" s="1"/>
  <c r="BF348" i="13" s="1"/>
  <c r="BF360" i="13" s="1"/>
  <c r="BF129" i="13"/>
  <c r="BH117" i="13"/>
  <c r="BF131" i="13"/>
  <c r="BH119" i="13"/>
  <c r="AM115" i="13"/>
  <c r="AO103" i="13"/>
  <c r="AM129" i="13"/>
  <c r="AO117" i="13"/>
  <c r="T114" i="13"/>
  <c r="V102" i="13"/>
  <c r="AX7" i="13"/>
  <c r="V106" i="13"/>
  <c r="T118" i="13"/>
  <c r="AO116" i="13"/>
  <c r="AM128" i="13"/>
  <c r="AM143" i="13"/>
  <c r="AM155" i="13" s="1"/>
  <c r="AM167" i="13" s="1"/>
  <c r="AM179" i="13" s="1"/>
  <c r="AM191" i="13" s="1"/>
  <c r="AM203" i="13" s="1"/>
  <c r="AM215" i="13" s="1"/>
  <c r="AM227" i="13" s="1"/>
  <c r="AM239" i="13" s="1"/>
  <c r="AM251" i="13" s="1"/>
  <c r="AM263" i="13" s="1"/>
  <c r="AM275" i="13" s="1"/>
  <c r="AM287" i="13" s="1"/>
  <c r="AM299" i="13" s="1"/>
  <c r="AM311" i="13" s="1"/>
  <c r="AM323" i="13" s="1"/>
  <c r="AM335" i="13" s="1"/>
  <c r="AM347" i="13" s="1"/>
  <c r="AM359" i="13" s="1"/>
  <c r="AO131" i="13"/>
  <c r="AM130" i="13"/>
  <c r="AO118" i="13"/>
  <c r="AM133" i="13"/>
  <c r="AM145" i="13" s="1"/>
  <c r="AM157" i="13" s="1"/>
  <c r="AM169" i="13" s="1"/>
  <c r="AM181" i="13" s="1"/>
  <c r="AM193" i="13" s="1"/>
  <c r="AM205" i="13" s="1"/>
  <c r="AM217" i="13" s="1"/>
  <c r="AM229" i="13" s="1"/>
  <c r="AM241" i="13" s="1"/>
  <c r="AM253" i="13" s="1"/>
  <c r="AM265" i="13" s="1"/>
  <c r="AM277" i="13" s="1"/>
  <c r="AM289" i="13" s="1"/>
  <c r="AM301" i="13" s="1"/>
  <c r="AM313" i="13" s="1"/>
  <c r="AM325" i="13" s="1"/>
  <c r="AM337" i="13" s="1"/>
  <c r="AM349" i="13" s="1"/>
  <c r="AM361" i="13" s="1"/>
  <c r="AO121" i="13"/>
  <c r="V112" i="13"/>
  <c r="T124" i="13"/>
  <c r="AO126" i="13"/>
  <c r="AM138" i="13"/>
  <c r="AM150" i="13" s="1"/>
  <c r="AM162" i="13" s="1"/>
  <c r="AM174" i="13" s="1"/>
  <c r="AM186" i="13" s="1"/>
  <c r="AM198" i="13" s="1"/>
  <c r="AM210" i="13" s="1"/>
  <c r="AM222" i="13" s="1"/>
  <c r="AM234" i="13" s="1"/>
  <c r="AM246" i="13" s="1"/>
  <c r="AM258" i="13" s="1"/>
  <c r="AM270" i="13" s="1"/>
  <c r="AM282" i="13" s="1"/>
  <c r="AM294" i="13" s="1"/>
  <c r="AM306" i="13" s="1"/>
  <c r="AM318" i="13" s="1"/>
  <c r="AM330" i="13" s="1"/>
  <c r="AM342" i="13" s="1"/>
  <c r="AM354" i="13" s="1"/>
  <c r="T143" i="13"/>
  <c r="T155" i="13" s="1"/>
  <c r="T167" i="13" s="1"/>
  <c r="T179" i="13" s="1"/>
  <c r="T191" i="13" s="1"/>
  <c r="T203" i="13" s="1"/>
  <c r="T215" i="13" s="1"/>
  <c r="T227" i="13" s="1"/>
  <c r="T239" i="13" s="1"/>
  <c r="T251" i="13" s="1"/>
  <c r="T263" i="13" s="1"/>
  <c r="T275" i="13" s="1"/>
  <c r="T287" i="13" s="1"/>
  <c r="T299" i="13" s="1"/>
  <c r="T311" i="13" s="1"/>
  <c r="T323" i="13" s="1"/>
  <c r="T335" i="13" s="1"/>
  <c r="T347" i="13" s="1"/>
  <c r="T359" i="13" s="1"/>
  <c r="V131" i="13"/>
  <c r="V109" i="13"/>
  <c r="T121" i="13"/>
  <c r="T135" i="13"/>
  <c r="T147" i="13" s="1"/>
  <c r="T159" i="13" s="1"/>
  <c r="T171" i="13" s="1"/>
  <c r="T183" i="13" s="1"/>
  <c r="T195" i="13" s="1"/>
  <c r="T207" i="13" s="1"/>
  <c r="T219" i="13" s="1"/>
  <c r="T231" i="13" s="1"/>
  <c r="T243" i="13" s="1"/>
  <c r="T255" i="13" s="1"/>
  <c r="T267" i="13" s="1"/>
  <c r="T279" i="13" s="1"/>
  <c r="T291" i="13" s="1"/>
  <c r="T303" i="13" s="1"/>
  <c r="T315" i="13" s="1"/>
  <c r="T327" i="13" s="1"/>
  <c r="T339" i="13" s="1"/>
  <c r="T351" i="13" s="1"/>
  <c r="T363" i="13" s="1"/>
  <c r="V123" i="13"/>
  <c r="V103" i="13"/>
  <c r="T115" i="13"/>
  <c r="V108" i="13"/>
  <c r="T120" i="13"/>
  <c r="T134" i="13"/>
  <c r="T146" i="13" s="1"/>
  <c r="T158" i="13" s="1"/>
  <c r="T170" i="13" s="1"/>
  <c r="T182" i="13" s="1"/>
  <c r="T194" i="13" s="1"/>
  <c r="T206" i="13" s="1"/>
  <c r="T218" i="13" s="1"/>
  <c r="T230" i="13" s="1"/>
  <c r="T242" i="13" s="1"/>
  <c r="T254" i="13" s="1"/>
  <c r="T266" i="13" s="1"/>
  <c r="T278" i="13" s="1"/>
  <c r="T290" i="13" s="1"/>
  <c r="T302" i="13" s="1"/>
  <c r="T314" i="13" s="1"/>
  <c r="T326" i="13" s="1"/>
  <c r="T338" i="13" s="1"/>
  <c r="T350" i="13" s="1"/>
  <c r="T362" i="13" s="1"/>
  <c r="V122" i="13"/>
  <c r="V113" i="13"/>
  <c r="T125" i="13"/>
  <c r="V117" i="13"/>
  <c r="T129" i="13"/>
  <c r="V104" i="13"/>
  <c r="T116" i="13"/>
  <c r="A116" i="13"/>
  <c r="C104" i="13"/>
  <c r="A118" i="13"/>
  <c r="C122" i="13"/>
  <c r="A134" i="13"/>
  <c r="A146" i="13" s="1"/>
  <c r="C106" i="13"/>
  <c r="A119" i="13"/>
  <c r="C107" i="13"/>
  <c r="K107" i="13"/>
  <c r="C112" i="13"/>
  <c r="C105" i="13"/>
  <c r="C108" i="13"/>
  <c r="K113" i="13"/>
  <c r="K129" i="13"/>
  <c r="C101" i="13"/>
  <c r="C111" i="13"/>
  <c r="O6" i="13"/>
  <c r="C102" i="13"/>
  <c r="K132" i="13"/>
  <c r="A115" i="13"/>
  <c r="C103" i="13"/>
  <c r="A117" i="13"/>
  <c r="A124" i="13"/>
  <c r="E119" i="16"/>
  <c r="G107" i="16"/>
  <c r="G125" i="16"/>
  <c r="A123" i="13"/>
  <c r="A113" i="13"/>
  <c r="A120" i="13"/>
  <c r="A114" i="13"/>
  <c r="H5" i="4" l="1"/>
  <c r="M5" i="4" s="1"/>
  <c r="O365" i="4"/>
  <c r="N366" i="4"/>
  <c r="A133" i="13"/>
  <c r="A145" i="13" s="1"/>
  <c r="C121" i="13"/>
  <c r="C119" i="13"/>
  <c r="BP125" i="13"/>
  <c r="CI125" i="13"/>
  <c r="BP127" i="13"/>
  <c r="CI127" i="13"/>
  <c r="BP119" i="13"/>
  <c r="CI119" i="13"/>
  <c r="AD119" i="13"/>
  <c r="AW119" i="13"/>
  <c r="AD125" i="13"/>
  <c r="AW125" i="13"/>
  <c r="AD127" i="13"/>
  <c r="AW127" i="13"/>
  <c r="CA131" i="13"/>
  <c r="BY143" i="13"/>
  <c r="BY155" i="13" s="1"/>
  <c r="BY167" i="13" s="1"/>
  <c r="BY179" i="13" s="1"/>
  <c r="BY191" i="13" s="1"/>
  <c r="BY203" i="13" s="1"/>
  <c r="BY215" i="13" s="1"/>
  <c r="BY227" i="13" s="1"/>
  <c r="BY239" i="13" s="1"/>
  <c r="BY251" i="13" s="1"/>
  <c r="BY263" i="13" s="1"/>
  <c r="BY275" i="13" s="1"/>
  <c r="BY287" i="13" s="1"/>
  <c r="BY299" i="13" s="1"/>
  <c r="BY311" i="13" s="1"/>
  <c r="BY323" i="13" s="1"/>
  <c r="BY335" i="13" s="1"/>
  <c r="BY347" i="13" s="1"/>
  <c r="BY359" i="13" s="1"/>
  <c r="BY140" i="13"/>
  <c r="BY152" i="13" s="1"/>
  <c r="BY164" i="13" s="1"/>
  <c r="BY176" i="13" s="1"/>
  <c r="BY188" i="13" s="1"/>
  <c r="BY200" i="13" s="1"/>
  <c r="BY212" i="13" s="1"/>
  <c r="BY224" i="13" s="1"/>
  <c r="BY236" i="13" s="1"/>
  <c r="BY248" i="13" s="1"/>
  <c r="BY260" i="13" s="1"/>
  <c r="BY272" i="13" s="1"/>
  <c r="BY284" i="13" s="1"/>
  <c r="BY296" i="13" s="1"/>
  <c r="BY308" i="13" s="1"/>
  <c r="BY320" i="13" s="1"/>
  <c r="BY332" i="13" s="1"/>
  <c r="BY344" i="13" s="1"/>
  <c r="BY356" i="13" s="1"/>
  <c r="CA128" i="13"/>
  <c r="BH115" i="13"/>
  <c r="BF127" i="13"/>
  <c r="CA117" i="13"/>
  <c r="BY129" i="13"/>
  <c r="BY139" i="13"/>
  <c r="BY151" i="13" s="1"/>
  <c r="BY163" i="13" s="1"/>
  <c r="BY175" i="13" s="1"/>
  <c r="BY187" i="13" s="1"/>
  <c r="BY199" i="13" s="1"/>
  <c r="BY211" i="13" s="1"/>
  <c r="BY223" i="13" s="1"/>
  <c r="BY235" i="13" s="1"/>
  <c r="BY247" i="13" s="1"/>
  <c r="BY259" i="13" s="1"/>
  <c r="BY271" i="13" s="1"/>
  <c r="BY283" i="13" s="1"/>
  <c r="BY295" i="13" s="1"/>
  <c r="BY307" i="13" s="1"/>
  <c r="BY319" i="13" s="1"/>
  <c r="BY331" i="13" s="1"/>
  <c r="BY343" i="13" s="1"/>
  <c r="BY355" i="13" s="1"/>
  <c r="CA127" i="13"/>
  <c r="CA125" i="13"/>
  <c r="BY137" i="13"/>
  <c r="BY149" i="13" s="1"/>
  <c r="BY161" i="13" s="1"/>
  <c r="BY173" i="13" s="1"/>
  <c r="BY185" i="13" s="1"/>
  <c r="BY197" i="13" s="1"/>
  <c r="BY209" i="13" s="1"/>
  <c r="BY221" i="13" s="1"/>
  <c r="BY233" i="13" s="1"/>
  <c r="BY245" i="13" s="1"/>
  <c r="BY257" i="13" s="1"/>
  <c r="BY269" i="13" s="1"/>
  <c r="BY281" i="13" s="1"/>
  <c r="BY293" i="13" s="1"/>
  <c r="BY305" i="13" s="1"/>
  <c r="BY317" i="13" s="1"/>
  <c r="BY329" i="13" s="1"/>
  <c r="BY341" i="13" s="1"/>
  <c r="BY353" i="13" s="1"/>
  <c r="BY130" i="13"/>
  <c r="CA118" i="13"/>
  <c r="AO132" i="13"/>
  <c r="AM144" i="13"/>
  <c r="AM156" i="13" s="1"/>
  <c r="AM168" i="13" s="1"/>
  <c r="AM180" i="13" s="1"/>
  <c r="AM192" i="13" s="1"/>
  <c r="AM204" i="13" s="1"/>
  <c r="AM216" i="13" s="1"/>
  <c r="AM228" i="13" s="1"/>
  <c r="AM240" i="13" s="1"/>
  <c r="AM252" i="13" s="1"/>
  <c r="AM264" i="13" s="1"/>
  <c r="AM276" i="13" s="1"/>
  <c r="AM288" i="13" s="1"/>
  <c r="AM300" i="13" s="1"/>
  <c r="AM312" i="13" s="1"/>
  <c r="AM324" i="13" s="1"/>
  <c r="AM336" i="13" s="1"/>
  <c r="AM348" i="13" s="1"/>
  <c r="AM360" i="13" s="1"/>
  <c r="BY136" i="13"/>
  <c r="BY148" i="13" s="1"/>
  <c r="BY160" i="13" s="1"/>
  <c r="BY172" i="13" s="1"/>
  <c r="BY184" i="13" s="1"/>
  <c r="BY196" i="13" s="1"/>
  <c r="BY208" i="13" s="1"/>
  <c r="BY220" i="13" s="1"/>
  <c r="BY232" i="13" s="1"/>
  <c r="BY244" i="13" s="1"/>
  <c r="BY256" i="13" s="1"/>
  <c r="BY268" i="13" s="1"/>
  <c r="BY280" i="13" s="1"/>
  <c r="BY292" i="13" s="1"/>
  <c r="BY304" i="13" s="1"/>
  <c r="BY316" i="13" s="1"/>
  <c r="BY328" i="13" s="1"/>
  <c r="BY340" i="13" s="1"/>
  <c r="BY352" i="13" s="1"/>
  <c r="BY364" i="13" s="1"/>
  <c r="CA124" i="13"/>
  <c r="CA132" i="13"/>
  <c r="BY144" i="13"/>
  <c r="BY156" i="13" s="1"/>
  <c r="BY168" i="13" s="1"/>
  <c r="BY180" i="13" s="1"/>
  <c r="BY192" i="13" s="1"/>
  <c r="BY204" i="13" s="1"/>
  <c r="BY216" i="13" s="1"/>
  <c r="BY228" i="13" s="1"/>
  <c r="BY240" i="13" s="1"/>
  <c r="BY252" i="13" s="1"/>
  <c r="BY264" i="13" s="1"/>
  <c r="BY276" i="13" s="1"/>
  <c r="BY288" i="13" s="1"/>
  <c r="BY300" i="13" s="1"/>
  <c r="BY312" i="13" s="1"/>
  <c r="BY324" i="13" s="1"/>
  <c r="BY336" i="13" s="1"/>
  <c r="BY348" i="13" s="1"/>
  <c r="BY360" i="13" s="1"/>
  <c r="BF128" i="13"/>
  <c r="BH116" i="13"/>
  <c r="BH129" i="13"/>
  <c r="BF141" i="13"/>
  <c r="BF153" i="13" s="1"/>
  <c r="BF165" i="13" s="1"/>
  <c r="BF177" i="13" s="1"/>
  <c r="BF189" i="13" s="1"/>
  <c r="BF201" i="13" s="1"/>
  <c r="BF213" i="13" s="1"/>
  <c r="BF225" i="13" s="1"/>
  <c r="BF237" i="13" s="1"/>
  <c r="BF249" i="13" s="1"/>
  <c r="BF261" i="13" s="1"/>
  <c r="BF273" i="13" s="1"/>
  <c r="BF285" i="13" s="1"/>
  <c r="BF297" i="13" s="1"/>
  <c r="BF309" i="13" s="1"/>
  <c r="BF321" i="13" s="1"/>
  <c r="BF333" i="13" s="1"/>
  <c r="BF345" i="13" s="1"/>
  <c r="BF357" i="13" s="1"/>
  <c r="AO129" i="13"/>
  <c r="AM141" i="13"/>
  <c r="AM153" i="13" s="1"/>
  <c r="AM165" i="13" s="1"/>
  <c r="AM177" i="13" s="1"/>
  <c r="AM189" i="13" s="1"/>
  <c r="AM201" i="13" s="1"/>
  <c r="AM213" i="13" s="1"/>
  <c r="AM225" i="13" s="1"/>
  <c r="AM237" i="13" s="1"/>
  <c r="AM249" i="13" s="1"/>
  <c r="AM261" i="13" s="1"/>
  <c r="AM273" i="13" s="1"/>
  <c r="AM285" i="13" s="1"/>
  <c r="AM297" i="13" s="1"/>
  <c r="AM309" i="13" s="1"/>
  <c r="AM321" i="13" s="1"/>
  <c r="AM333" i="13" s="1"/>
  <c r="AM345" i="13" s="1"/>
  <c r="AM357" i="13" s="1"/>
  <c r="AO115" i="13"/>
  <c r="AM127" i="13"/>
  <c r="BF133" i="13"/>
  <c r="BF145" i="13" s="1"/>
  <c r="BF157" i="13" s="1"/>
  <c r="BF169" i="13" s="1"/>
  <c r="BF181" i="13" s="1"/>
  <c r="BF193" i="13" s="1"/>
  <c r="BF205" i="13" s="1"/>
  <c r="BF217" i="13" s="1"/>
  <c r="BF229" i="13" s="1"/>
  <c r="BF241" i="13" s="1"/>
  <c r="BF253" i="13" s="1"/>
  <c r="BF265" i="13" s="1"/>
  <c r="BF277" i="13" s="1"/>
  <c r="BF289" i="13" s="1"/>
  <c r="BF301" i="13" s="1"/>
  <c r="BF313" i="13" s="1"/>
  <c r="BF325" i="13" s="1"/>
  <c r="BF337" i="13" s="1"/>
  <c r="BF349" i="13" s="1"/>
  <c r="BF361" i="13" s="1"/>
  <c r="BH121" i="13"/>
  <c r="BF143" i="13"/>
  <c r="BF155" i="13" s="1"/>
  <c r="BF167" i="13" s="1"/>
  <c r="BF179" i="13" s="1"/>
  <c r="BF191" i="13" s="1"/>
  <c r="BF203" i="13" s="1"/>
  <c r="BF215" i="13" s="1"/>
  <c r="BF227" i="13" s="1"/>
  <c r="BF239" i="13" s="1"/>
  <c r="BF251" i="13" s="1"/>
  <c r="BF263" i="13" s="1"/>
  <c r="BF275" i="13" s="1"/>
  <c r="BF287" i="13" s="1"/>
  <c r="BF299" i="13" s="1"/>
  <c r="BF311" i="13" s="1"/>
  <c r="BF323" i="13" s="1"/>
  <c r="BF335" i="13" s="1"/>
  <c r="BF347" i="13" s="1"/>
  <c r="BF359" i="13" s="1"/>
  <c r="BH131" i="13"/>
  <c r="BH126" i="13"/>
  <c r="BF138" i="13"/>
  <c r="BF150" i="13" s="1"/>
  <c r="BF162" i="13" s="1"/>
  <c r="BF174" i="13" s="1"/>
  <c r="BF186" i="13" s="1"/>
  <c r="BF198" i="13" s="1"/>
  <c r="BF210" i="13" s="1"/>
  <c r="BF222" i="13" s="1"/>
  <c r="BF234" i="13" s="1"/>
  <c r="BF246" i="13" s="1"/>
  <c r="BF258" i="13" s="1"/>
  <c r="BF270" i="13" s="1"/>
  <c r="BF282" i="13" s="1"/>
  <c r="BF294" i="13" s="1"/>
  <c r="BF306" i="13" s="1"/>
  <c r="BF318" i="13" s="1"/>
  <c r="BF330" i="13" s="1"/>
  <c r="BF342" i="13" s="1"/>
  <c r="BF354" i="13" s="1"/>
  <c r="AO130" i="13"/>
  <c r="AM142" i="13"/>
  <c r="AM154" i="13" s="1"/>
  <c r="AM166" i="13" s="1"/>
  <c r="AM178" i="13" s="1"/>
  <c r="AM190" i="13" s="1"/>
  <c r="AM202" i="13" s="1"/>
  <c r="AM214" i="13" s="1"/>
  <c r="AM226" i="13" s="1"/>
  <c r="AM238" i="13" s="1"/>
  <c r="AM250" i="13" s="1"/>
  <c r="AM262" i="13" s="1"/>
  <c r="AM274" i="13" s="1"/>
  <c r="AM286" i="13" s="1"/>
  <c r="AM298" i="13" s="1"/>
  <c r="AM310" i="13" s="1"/>
  <c r="AM322" i="13" s="1"/>
  <c r="AM334" i="13" s="1"/>
  <c r="AM346" i="13" s="1"/>
  <c r="AM358" i="13" s="1"/>
  <c r="V124" i="13"/>
  <c r="T136" i="13"/>
  <c r="T148" i="13" s="1"/>
  <c r="T160" i="13" s="1"/>
  <c r="T172" i="13" s="1"/>
  <c r="T184" i="13" s="1"/>
  <c r="T196" i="13" s="1"/>
  <c r="T208" i="13" s="1"/>
  <c r="T220" i="13" s="1"/>
  <c r="T232" i="13" s="1"/>
  <c r="T244" i="13" s="1"/>
  <c r="T256" i="13" s="1"/>
  <c r="T268" i="13" s="1"/>
  <c r="T280" i="13" s="1"/>
  <c r="T292" i="13" s="1"/>
  <c r="T304" i="13" s="1"/>
  <c r="T316" i="13" s="1"/>
  <c r="T328" i="13" s="1"/>
  <c r="T340" i="13" s="1"/>
  <c r="T352" i="13" s="1"/>
  <c r="T364" i="13" s="1"/>
  <c r="AO128" i="13"/>
  <c r="AM140" i="13"/>
  <c r="AM152" i="13" s="1"/>
  <c r="AM164" i="13" s="1"/>
  <c r="AM176" i="13" s="1"/>
  <c r="AM188" i="13" s="1"/>
  <c r="AM200" i="13" s="1"/>
  <c r="AM212" i="13" s="1"/>
  <c r="AM224" i="13" s="1"/>
  <c r="AM236" i="13" s="1"/>
  <c r="AM248" i="13" s="1"/>
  <c r="AM260" i="13" s="1"/>
  <c r="AM272" i="13" s="1"/>
  <c r="AM284" i="13" s="1"/>
  <c r="AM296" i="13" s="1"/>
  <c r="AM308" i="13" s="1"/>
  <c r="AM320" i="13" s="1"/>
  <c r="AM332" i="13" s="1"/>
  <c r="AM344" i="13" s="1"/>
  <c r="AM356" i="13" s="1"/>
  <c r="V118" i="13"/>
  <c r="T130" i="13"/>
  <c r="V114" i="13"/>
  <c r="T126" i="13"/>
  <c r="T132" i="13"/>
  <c r="V120" i="13"/>
  <c r="V129" i="13"/>
  <c r="T141" i="13"/>
  <c r="T153" i="13" s="1"/>
  <c r="T165" i="13" s="1"/>
  <c r="T177" i="13" s="1"/>
  <c r="T189" i="13" s="1"/>
  <c r="T201" i="13" s="1"/>
  <c r="T213" i="13" s="1"/>
  <c r="T225" i="13" s="1"/>
  <c r="T237" i="13" s="1"/>
  <c r="T249" i="13" s="1"/>
  <c r="T261" i="13" s="1"/>
  <c r="T273" i="13" s="1"/>
  <c r="T285" i="13" s="1"/>
  <c r="T297" i="13" s="1"/>
  <c r="T309" i="13" s="1"/>
  <c r="T321" i="13" s="1"/>
  <c r="T333" i="13" s="1"/>
  <c r="T345" i="13" s="1"/>
  <c r="T357" i="13" s="1"/>
  <c r="T137" i="13"/>
  <c r="T149" i="13" s="1"/>
  <c r="T161" i="13" s="1"/>
  <c r="T173" i="13" s="1"/>
  <c r="T185" i="13" s="1"/>
  <c r="T197" i="13" s="1"/>
  <c r="T209" i="13" s="1"/>
  <c r="T221" i="13" s="1"/>
  <c r="T233" i="13" s="1"/>
  <c r="T245" i="13" s="1"/>
  <c r="T257" i="13" s="1"/>
  <c r="T269" i="13" s="1"/>
  <c r="T281" i="13" s="1"/>
  <c r="T293" i="13" s="1"/>
  <c r="T305" i="13" s="1"/>
  <c r="T317" i="13" s="1"/>
  <c r="T329" i="13" s="1"/>
  <c r="T341" i="13" s="1"/>
  <c r="T353" i="13" s="1"/>
  <c r="V125" i="13"/>
  <c r="T127" i="13"/>
  <c r="V115" i="13"/>
  <c r="T133" i="13"/>
  <c r="T145" i="13" s="1"/>
  <c r="T157" i="13" s="1"/>
  <c r="T169" i="13" s="1"/>
  <c r="T181" i="13" s="1"/>
  <c r="T193" i="13" s="1"/>
  <c r="T205" i="13" s="1"/>
  <c r="T217" i="13" s="1"/>
  <c r="T229" i="13" s="1"/>
  <c r="T241" i="13" s="1"/>
  <c r="T253" i="13" s="1"/>
  <c r="T265" i="13" s="1"/>
  <c r="T277" i="13" s="1"/>
  <c r="T289" i="13" s="1"/>
  <c r="T301" i="13" s="1"/>
  <c r="T313" i="13" s="1"/>
  <c r="T325" i="13" s="1"/>
  <c r="T337" i="13" s="1"/>
  <c r="T349" i="13" s="1"/>
  <c r="T361" i="13" s="1"/>
  <c r="V121" i="13"/>
  <c r="T128" i="13"/>
  <c r="V116" i="13"/>
  <c r="C116" i="13"/>
  <c r="A128" i="13"/>
  <c r="C128" i="13" s="1"/>
  <c r="C118" i="13"/>
  <c r="A130" i="13"/>
  <c r="A131" i="13"/>
  <c r="K119" i="13"/>
  <c r="C115" i="13"/>
  <c r="K127" i="13"/>
  <c r="K125" i="13"/>
  <c r="C120" i="13"/>
  <c r="C117" i="13"/>
  <c r="E7" i="13"/>
  <c r="P6" i="13"/>
  <c r="A127" i="13"/>
  <c r="C113" i="13"/>
  <c r="C124" i="13"/>
  <c r="C114" i="13"/>
  <c r="C123" i="13"/>
  <c r="A129" i="13"/>
  <c r="A136" i="13"/>
  <c r="A148" i="13" s="1"/>
  <c r="A160" i="13" s="1"/>
  <c r="A158" i="13"/>
  <c r="E131" i="16"/>
  <c r="G131" i="16" s="1"/>
  <c r="G119" i="16"/>
  <c r="A135" i="13"/>
  <c r="A125" i="13"/>
  <c r="A132" i="13"/>
  <c r="A126" i="13"/>
  <c r="G5" i="4" l="1"/>
  <c r="F5" i="4"/>
  <c r="CA130" i="13"/>
  <c r="BY142" i="13"/>
  <c r="BY154" i="13" s="1"/>
  <c r="BY166" i="13" s="1"/>
  <c r="BY178" i="13" s="1"/>
  <c r="BY190" i="13" s="1"/>
  <c r="BY202" i="13" s="1"/>
  <c r="BY214" i="13" s="1"/>
  <c r="BY226" i="13" s="1"/>
  <c r="BY238" i="13" s="1"/>
  <c r="BY250" i="13" s="1"/>
  <c r="BY262" i="13" s="1"/>
  <c r="BY274" i="13" s="1"/>
  <c r="BY286" i="13" s="1"/>
  <c r="BY298" i="13" s="1"/>
  <c r="BY310" i="13" s="1"/>
  <c r="BY322" i="13" s="1"/>
  <c r="BY334" i="13" s="1"/>
  <c r="BY346" i="13" s="1"/>
  <c r="BY358" i="13" s="1"/>
  <c r="BY141" i="13"/>
  <c r="BY153" i="13" s="1"/>
  <c r="BY165" i="13" s="1"/>
  <c r="BY177" i="13" s="1"/>
  <c r="BY189" i="13" s="1"/>
  <c r="BY201" i="13" s="1"/>
  <c r="BY213" i="13" s="1"/>
  <c r="BY225" i="13" s="1"/>
  <c r="BY237" i="13" s="1"/>
  <c r="BY249" i="13" s="1"/>
  <c r="BY261" i="13" s="1"/>
  <c r="BY273" i="13" s="1"/>
  <c r="BY285" i="13" s="1"/>
  <c r="BY297" i="13" s="1"/>
  <c r="BY309" i="13" s="1"/>
  <c r="BY321" i="13" s="1"/>
  <c r="BY333" i="13" s="1"/>
  <c r="BY345" i="13" s="1"/>
  <c r="BY357" i="13" s="1"/>
  <c r="CA129" i="13"/>
  <c r="BH127" i="13"/>
  <c r="BF139" i="13"/>
  <c r="BF151" i="13" s="1"/>
  <c r="BF163" i="13" s="1"/>
  <c r="BF175" i="13" s="1"/>
  <c r="BF187" i="13" s="1"/>
  <c r="BF199" i="13" s="1"/>
  <c r="BF211" i="13" s="1"/>
  <c r="BF223" i="13" s="1"/>
  <c r="BF235" i="13" s="1"/>
  <c r="BF247" i="13" s="1"/>
  <c r="BF259" i="13" s="1"/>
  <c r="BF271" i="13" s="1"/>
  <c r="BF283" i="13" s="1"/>
  <c r="BF295" i="13" s="1"/>
  <c r="BF307" i="13" s="1"/>
  <c r="BF319" i="13" s="1"/>
  <c r="BF331" i="13" s="1"/>
  <c r="BF343" i="13" s="1"/>
  <c r="BF355" i="13" s="1"/>
  <c r="AO127" i="13"/>
  <c r="AM139" i="13"/>
  <c r="AM151" i="13" s="1"/>
  <c r="AM163" i="13" s="1"/>
  <c r="AM175" i="13" s="1"/>
  <c r="AM187" i="13" s="1"/>
  <c r="AM199" i="13" s="1"/>
  <c r="AM211" i="13" s="1"/>
  <c r="AM223" i="13" s="1"/>
  <c r="AM235" i="13" s="1"/>
  <c r="AM247" i="13" s="1"/>
  <c r="AM259" i="13" s="1"/>
  <c r="AM271" i="13" s="1"/>
  <c r="AM283" i="13" s="1"/>
  <c r="AM295" i="13" s="1"/>
  <c r="AM307" i="13" s="1"/>
  <c r="AM319" i="13" s="1"/>
  <c r="AM331" i="13" s="1"/>
  <c r="AM343" i="13" s="1"/>
  <c r="AM355" i="13" s="1"/>
  <c r="BH128" i="13"/>
  <c r="BF140" i="13"/>
  <c r="BF152" i="13" s="1"/>
  <c r="BF164" i="13" s="1"/>
  <c r="BF176" i="13" s="1"/>
  <c r="BF188" i="13" s="1"/>
  <c r="BF200" i="13" s="1"/>
  <c r="BF212" i="13" s="1"/>
  <c r="BF224" i="13" s="1"/>
  <c r="BF236" i="13" s="1"/>
  <c r="BF248" i="13" s="1"/>
  <c r="BF260" i="13" s="1"/>
  <c r="BF272" i="13" s="1"/>
  <c r="BF284" i="13" s="1"/>
  <c r="BF296" i="13" s="1"/>
  <c r="BF308" i="13" s="1"/>
  <c r="BF320" i="13" s="1"/>
  <c r="BF332" i="13" s="1"/>
  <c r="BF344" i="13" s="1"/>
  <c r="BF356" i="13" s="1"/>
  <c r="V126" i="13"/>
  <c r="T138" i="13"/>
  <c r="T150" i="13" s="1"/>
  <c r="T162" i="13" s="1"/>
  <c r="T174" i="13" s="1"/>
  <c r="T186" i="13" s="1"/>
  <c r="T198" i="13" s="1"/>
  <c r="T210" i="13" s="1"/>
  <c r="T222" i="13" s="1"/>
  <c r="T234" i="13" s="1"/>
  <c r="T246" i="13" s="1"/>
  <c r="T258" i="13" s="1"/>
  <c r="T270" i="13" s="1"/>
  <c r="T282" i="13" s="1"/>
  <c r="T294" i="13" s="1"/>
  <c r="T306" i="13" s="1"/>
  <c r="T318" i="13" s="1"/>
  <c r="T330" i="13" s="1"/>
  <c r="T342" i="13" s="1"/>
  <c r="T354" i="13" s="1"/>
  <c r="T142" i="13"/>
  <c r="T154" i="13" s="1"/>
  <c r="T166" i="13" s="1"/>
  <c r="T178" i="13" s="1"/>
  <c r="T190" i="13" s="1"/>
  <c r="T202" i="13" s="1"/>
  <c r="T214" i="13" s="1"/>
  <c r="T226" i="13" s="1"/>
  <c r="T238" i="13" s="1"/>
  <c r="T250" i="13" s="1"/>
  <c r="T262" i="13" s="1"/>
  <c r="T274" i="13" s="1"/>
  <c r="T286" i="13" s="1"/>
  <c r="T298" i="13" s="1"/>
  <c r="T310" i="13" s="1"/>
  <c r="T322" i="13" s="1"/>
  <c r="T334" i="13" s="1"/>
  <c r="T346" i="13" s="1"/>
  <c r="T358" i="13" s="1"/>
  <c r="V130" i="13"/>
  <c r="A142" i="13"/>
  <c r="A154" i="13" s="1"/>
  <c r="V128" i="13"/>
  <c r="T140" i="13"/>
  <c r="T152" i="13" s="1"/>
  <c r="T164" i="13" s="1"/>
  <c r="T176" i="13" s="1"/>
  <c r="T188" i="13" s="1"/>
  <c r="T200" i="13" s="1"/>
  <c r="T212" i="13" s="1"/>
  <c r="T224" i="13" s="1"/>
  <c r="T236" i="13" s="1"/>
  <c r="T248" i="13" s="1"/>
  <c r="T260" i="13" s="1"/>
  <c r="T272" i="13" s="1"/>
  <c r="T284" i="13" s="1"/>
  <c r="T296" i="13" s="1"/>
  <c r="T308" i="13" s="1"/>
  <c r="T320" i="13" s="1"/>
  <c r="T332" i="13" s="1"/>
  <c r="T344" i="13" s="1"/>
  <c r="T356" i="13" s="1"/>
  <c r="A140" i="13"/>
  <c r="A152" i="13" s="1"/>
  <c r="T139" i="13"/>
  <c r="T151" i="13" s="1"/>
  <c r="T163" i="13" s="1"/>
  <c r="T175" i="13" s="1"/>
  <c r="T187" i="13" s="1"/>
  <c r="T199" i="13" s="1"/>
  <c r="T211" i="13" s="1"/>
  <c r="T223" i="13" s="1"/>
  <c r="T235" i="13" s="1"/>
  <c r="T247" i="13" s="1"/>
  <c r="T259" i="13" s="1"/>
  <c r="T271" i="13" s="1"/>
  <c r="T283" i="13" s="1"/>
  <c r="T295" i="13" s="1"/>
  <c r="T307" i="13" s="1"/>
  <c r="T319" i="13" s="1"/>
  <c r="T331" i="13" s="1"/>
  <c r="T343" i="13" s="1"/>
  <c r="T355" i="13" s="1"/>
  <c r="V127" i="13"/>
  <c r="T144" i="13"/>
  <c r="T156" i="13" s="1"/>
  <c r="T168" i="13" s="1"/>
  <c r="T180" i="13" s="1"/>
  <c r="T192" i="13" s="1"/>
  <c r="T204" i="13" s="1"/>
  <c r="T216" i="13" s="1"/>
  <c r="T228" i="13" s="1"/>
  <c r="T240" i="13" s="1"/>
  <c r="T252" i="13" s="1"/>
  <c r="T264" i="13" s="1"/>
  <c r="T276" i="13" s="1"/>
  <c r="T288" i="13" s="1"/>
  <c r="T300" i="13" s="1"/>
  <c r="T312" i="13" s="1"/>
  <c r="T324" i="13" s="1"/>
  <c r="T336" i="13" s="1"/>
  <c r="T348" i="13" s="1"/>
  <c r="T360" i="13" s="1"/>
  <c r="V132" i="13"/>
  <c r="C130" i="13"/>
  <c r="A139" i="13"/>
  <c r="A151" i="13" s="1"/>
  <c r="A143" i="13"/>
  <c r="A155" i="13" s="1"/>
  <c r="A167" i="13" s="1"/>
  <c r="C131" i="13"/>
  <c r="D7" i="13"/>
  <c r="C129" i="13"/>
  <c r="C127" i="13"/>
  <c r="C132" i="13"/>
  <c r="C125" i="13"/>
  <c r="C126" i="13"/>
  <c r="A141" i="13"/>
  <c r="A153" i="13" s="1"/>
  <c r="A165" i="13" s="1"/>
  <c r="A147" i="13"/>
  <c r="A172" i="13"/>
  <c r="A157" i="13"/>
  <c r="A170" i="13"/>
  <c r="A144" i="13"/>
  <c r="A137" i="13"/>
  <c r="A138" i="13"/>
  <c r="P5" i="4" l="1"/>
  <c r="S5" i="4"/>
  <c r="Q5" i="4"/>
  <c r="K5" i="4"/>
  <c r="J5" i="4"/>
  <c r="BP131" i="13"/>
  <c r="CI131" i="13"/>
  <c r="AD131" i="13"/>
  <c r="AW131" i="13"/>
  <c r="K131" i="13"/>
  <c r="F7" i="13"/>
  <c r="A182" i="13"/>
  <c r="A166" i="13"/>
  <c r="A179" i="13"/>
  <c r="A169" i="13"/>
  <c r="A177" i="13"/>
  <c r="A150" i="13"/>
  <c r="A149" i="13"/>
  <c r="A184" i="13"/>
  <c r="A156" i="13"/>
  <c r="A159" i="13"/>
  <c r="A164" i="13"/>
  <c r="A163" i="13"/>
  <c r="N5" i="4" l="1"/>
  <c r="L5" i="4"/>
  <c r="L7" i="13"/>
  <c r="A196" i="13"/>
  <c r="A161" i="13"/>
  <c r="A162" i="13"/>
  <c r="A168" i="13"/>
  <c r="A189" i="13"/>
  <c r="A181" i="13"/>
  <c r="A175" i="13"/>
  <c r="A191" i="13"/>
  <c r="A176" i="13"/>
  <c r="A178" i="13"/>
  <c r="A171" i="13"/>
  <c r="A194" i="13"/>
  <c r="A188" i="13" l="1"/>
  <c r="A203" i="13"/>
  <c r="A187" i="13"/>
  <c r="A193" i="13"/>
  <c r="A201" i="13"/>
  <c r="A180" i="13"/>
  <c r="A183" i="13"/>
  <c r="A173" i="13"/>
  <c r="A206" i="13"/>
  <c r="A174" i="13"/>
  <c r="A190" i="13"/>
  <c r="A208" i="13"/>
  <c r="A195" i="13" l="1"/>
  <c r="A192" i="13"/>
  <c r="A220" i="13"/>
  <c r="A213" i="13"/>
  <c r="A202" i="13"/>
  <c r="A205" i="13"/>
  <c r="A185" i="13"/>
  <c r="A199" i="13"/>
  <c r="A186" i="13"/>
  <c r="A215" i="13"/>
  <c r="A218" i="13"/>
  <c r="A200" i="13"/>
  <c r="A197" i="13" l="1"/>
  <c r="A217" i="13"/>
  <c r="A214" i="13"/>
  <c r="A212" i="13"/>
  <c r="A225" i="13"/>
  <c r="A230" i="13"/>
  <c r="A232" i="13"/>
  <c r="A227" i="13"/>
  <c r="A204" i="13"/>
  <c r="A211" i="13"/>
  <c r="A198" i="13"/>
  <c r="A207" i="13"/>
  <c r="BN27" i="13" l="1"/>
  <c r="CG27" i="13"/>
  <c r="BN47" i="13"/>
  <c r="CG47" i="13"/>
  <c r="BN89" i="13"/>
  <c r="CG89" i="13"/>
  <c r="BN14" i="13"/>
  <c r="CG14" i="13"/>
  <c r="BN107" i="13"/>
  <c r="CG107" i="13"/>
  <c r="BN86" i="13"/>
  <c r="CG86" i="13"/>
  <c r="BN88" i="13"/>
  <c r="CG88" i="13"/>
  <c r="BN46" i="13"/>
  <c r="CG46" i="13"/>
  <c r="BN111" i="13"/>
  <c r="CG111" i="13"/>
  <c r="BN91" i="13"/>
  <c r="CG91" i="13"/>
  <c r="BN78" i="13"/>
  <c r="CG78" i="13"/>
  <c r="BN103" i="13"/>
  <c r="CG103" i="13"/>
  <c r="BN48" i="13"/>
  <c r="CG48" i="13"/>
  <c r="BN98" i="13"/>
  <c r="CG98" i="13"/>
  <c r="BN76" i="13"/>
  <c r="CG76" i="13"/>
  <c r="BN72" i="13"/>
  <c r="CG72" i="13"/>
  <c r="BN56" i="13"/>
  <c r="CG56" i="13"/>
  <c r="BN18" i="13"/>
  <c r="CG18" i="13"/>
  <c r="BN69" i="13"/>
  <c r="CG69" i="13"/>
  <c r="BN93" i="13"/>
  <c r="CG93" i="13"/>
  <c r="BN25" i="13"/>
  <c r="CG25" i="13"/>
  <c r="BN55" i="13"/>
  <c r="CG55" i="13"/>
  <c r="BN24" i="13"/>
  <c r="CG24" i="13"/>
  <c r="BN21" i="13"/>
  <c r="CG21" i="13"/>
  <c r="BN101" i="13"/>
  <c r="CG101" i="13"/>
  <c r="BN58" i="13"/>
  <c r="CG58" i="13"/>
  <c r="BN38" i="13"/>
  <c r="CG38" i="13"/>
  <c r="BN28" i="13"/>
  <c r="CG28" i="13"/>
  <c r="BN20" i="13"/>
  <c r="CG20" i="13"/>
  <c r="BN36" i="13"/>
  <c r="CG36" i="13"/>
  <c r="BN81" i="13"/>
  <c r="CG81" i="13"/>
  <c r="BN16" i="13"/>
  <c r="CG16" i="13"/>
  <c r="BN109" i="13"/>
  <c r="CG109" i="13"/>
  <c r="BN94" i="13"/>
  <c r="CG94" i="13"/>
  <c r="BN40" i="13"/>
  <c r="CG40" i="13"/>
  <c r="BN85" i="13"/>
  <c r="CG85" i="13"/>
  <c r="BN35" i="13"/>
  <c r="CG35" i="13"/>
  <c r="BN102" i="13"/>
  <c r="CG102" i="13"/>
  <c r="BN53" i="13"/>
  <c r="CG53" i="13"/>
  <c r="BN31" i="13"/>
  <c r="CG31" i="13"/>
  <c r="BN90" i="13"/>
  <c r="CG90" i="13"/>
  <c r="BN33" i="13"/>
  <c r="CG33" i="13"/>
  <c r="BN64" i="13"/>
  <c r="CG64" i="13"/>
  <c r="BN92" i="13"/>
  <c r="CG92" i="13"/>
  <c r="BN37" i="13"/>
  <c r="CG37" i="13"/>
  <c r="BN104" i="13"/>
  <c r="CG104" i="13"/>
  <c r="BN79" i="13"/>
  <c r="CG79" i="13"/>
  <c r="BN62" i="13"/>
  <c r="CG62" i="13"/>
  <c r="BN115" i="13"/>
  <c r="CG115" i="13"/>
  <c r="BN110" i="13"/>
  <c r="CG110" i="13"/>
  <c r="BN30" i="13"/>
  <c r="CG30" i="13"/>
  <c r="BN63" i="13"/>
  <c r="CG63" i="13"/>
  <c r="BN100" i="13"/>
  <c r="CG100" i="13"/>
  <c r="BN29" i="13"/>
  <c r="CG29" i="13"/>
  <c r="BN71" i="13"/>
  <c r="CG71" i="13"/>
  <c r="BN80" i="13"/>
  <c r="CG80" i="13"/>
  <c r="BN51" i="13"/>
  <c r="CG51" i="13"/>
  <c r="BN75" i="13"/>
  <c r="CG75" i="13"/>
  <c r="BN60" i="13"/>
  <c r="CG60" i="13"/>
  <c r="BN49" i="13"/>
  <c r="CG49" i="13"/>
  <c r="BN113" i="13"/>
  <c r="CG113" i="13"/>
  <c r="BN17" i="13"/>
  <c r="CG17" i="13"/>
  <c r="BN65" i="13"/>
  <c r="CG65" i="13"/>
  <c r="BN23" i="13"/>
  <c r="CG23" i="13"/>
  <c r="BN54" i="13"/>
  <c r="CG54" i="13"/>
  <c r="BN73" i="13"/>
  <c r="CG73" i="13"/>
  <c r="BN45" i="13"/>
  <c r="CG45" i="13"/>
  <c r="BN97" i="13"/>
  <c r="CG97" i="13"/>
  <c r="BN106" i="13"/>
  <c r="CG106" i="13"/>
  <c r="BN84" i="13"/>
  <c r="CG84" i="13"/>
  <c r="BN112" i="13"/>
  <c r="CG112" i="13"/>
  <c r="BN57" i="13"/>
  <c r="CG57" i="13"/>
  <c r="BN108" i="13"/>
  <c r="CG108" i="13"/>
  <c r="BN82" i="13"/>
  <c r="CG82" i="13"/>
  <c r="BN42" i="13"/>
  <c r="CG42" i="13"/>
  <c r="BN70" i="13"/>
  <c r="CG70" i="13"/>
  <c r="BN26" i="13"/>
  <c r="CG26" i="13"/>
  <c r="BN83" i="13"/>
  <c r="CG83" i="13"/>
  <c r="BN22" i="13"/>
  <c r="CG22" i="13"/>
  <c r="BN19" i="13"/>
  <c r="CG19" i="13"/>
  <c r="BN66" i="13"/>
  <c r="CG66" i="13"/>
  <c r="BN114" i="13"/>
  <c r="CG114" i="13"/>
  <c r="BN99" i="13"/>
  <c r="CG99" i="13"/>
  <c r="BN52" i="13"/>
  <c r="CG52" i="13"/>
  <c r="BN32" i="13"/>
  <c r="CG32" i="13"/>
  <c r="BN61" i="13"/>
  <c r="CG61" i="13"/>
  <c r="BN41" i="13"/>
  <c r="CG41" i="13"/>
  <c r="BN7" i="13"/>
  <c r="BO7" i="13" s="1"/>
  <c r="BT7" i="13" s="1"/>
  <c r="CG7" i="13"/>
  <c r="CH7" i="13" s="1"/>
  <c r="CM7" i="13" s="1"/>
  <c r="H1450" i="4" s="1"/>
  <c r="M1450" i="4" s="1"/>
  <c r="BN74" i="13"/>
  <c r="CG74" i="13"/>
  <c r="BN105" i="13"/>
  <c r="CG105" i="13"/>
  <c r="BN77" i="13"/>
  <c r="CG77" i="13"/>
  <c r="BN34" i="13"/>
  <c r="CG34" i="13"/>
  <c r="BN95" i="13"/>
  <c r="CG95" i="13"/>
  <c r="BN44" i="13"/>
  <c r="CG44" i="13"/>
  <c r="BN15" i="13"/>
  <c r="CG15" i="13"/>
  <c r="BN87" i="13"/>
  <c r="CG87" i="13"/>
  <c r="BN59" i="13"/>
  <c r="CG59" i="13"/>
  <c r="BN96" i="13"/>
  <c r="CG96" i="13"/>
  <c r="BN67" i="13"/>
  <c r="CG67" i="13"/>
  <c r="BN39" i="13"/>
  <c r="CG39" i="13"/>
  <c r="BN13" i="13"/>
  <c r="CG13" i="13"/>
  <c r="BN43" i="13"/>
  <c r="CG43" i="13"/>
  <c r="BN50" i="13"/>
  <c r="CG50" i="13"/>
  <c r="AB81" i="13"/>
  <c r="AU81" i="13"/>
  <c r="AB29" i="13"/>
  <c r="AU29" i="13"/>
  <c r="AB28" i="13"/>
  <c r="AU28" i="13"/>
  <c r="AB51" i="13"/>
  <c r="AU51" i="13"/>
  <c r="AB76" i="13"/>
  <c r="AU76" i="13"/>
  <c r="AB20" i="13"/>
  <c r="AU20" i="13"/>
  <c r="AB52" i="13"/>
  <c r="AU52" i="13"/>
  <c r="AB71" i="13"/>
  <c r="AU71" i="13"/>
  <c r="AB61" i="13"/>
  <c r="AU61" i="13"/>
  <c r="AB55" i="13"/>
  <c r="AU55" i="13"/>
  <c r="AB98" i="13"/>
  <c r="AU98" i="13"/>
  <c r="AB114" i="13"/>
  <c r="AU114" i="13"/>
  <c r="AB99" i="13"/>
  <c r="AU99" i="13"/>
  <c r="AB93" i="13"/>
  <c r="AU93" i="13"/>
  <c r="AB80" i="13"/>
  <c r="AU80" i="13"/>
  <c r="AB75" i="13"/>
  <c r="AU75" i="13"/>
  <c r="AB60" i="13"/>
  <c r="AU60" i="13"/>
  <c r="AB109" i="13"/>
  <c r="AU109" i="13"/>
  <c r="AB40" i="13"/>
  <c r="AU40" i="13"/>
  <c r="AB85" i="13"/>
  <c r="AU85" i="13"/>
  <c r="AB49" i="13"/>
  <c r="AU49" i="13"/>
  <c r="AB35" i="13"/>
  <c r="AU35" i="13"/>
  <c r="AB23" i="13"/>
  <c r="AU23" i="13"/>
  <c r="AB16" i="13"/>
  <c r="AU16" i="13"/>
  <c r="AB41" i="13"/>
  <c r="AU41" i="13"/>
  <c r="AB25" i="13"/>
  <c r="AU25" i="13"/>
  <c r="AB94" i="13"/>
  <c r="AU94" i="13"/>
  <c r="AB113" i="13"/>
  <c r="AU113" i="13"/>
  <c r="AB17" i="13"/>
  <c r="AU17" i="13"/>
  <c r="AB65" i="13"/>
  <c r="AU65" i="13"/>
  <c r="AB102" i="13"/>
  <c r="AU102" i="13"/>
  <c r="AB54" i="13"/>
  <c r="AU54" i="13"/>
  <c r="AB73" i="13"/>
  <c r="AU73" i="13"/>
  <c r="AB45" i="13"/>
  <c r="AU45" i="13"/>
  <c r="AB97" i="13"/>
  <c r="AU97" i="13"/>
  <c r="AB106" i="13"/>
  <c r="AU106" i="13"/>
  <c r="AB66" i="13"/>
  <c r="AU66" i="13"/>
  <c r="AB46" i="13"/>
  <c r="AU46" i="13"/>
  <c r="AB69" i="13"/>
  <c r="AU69" i="13"/>
  <c r="AB32" i="13"/>
  <c r="AU32" i="13"/>
  <c r="AB31" i="13"/>
  <c r="AU31" i="13"/>
  <c r="AB33" i="13"/>
  <c r="AU33" i="13"/>
  <c r="AB44" i="13"/>
  <c r="AU44" i="13"/>
  <c r="AB108" i="13"/>
  <c r="AU108" i="13"/>
  <c r="AB79" i="13"/>
  <c r="AU79" i="13"/>
  <c r="AB110" i="13"/>
  <c r="AU110" i="13"/>
  <c r="AB39" i="13"/>
  <c r="AU39" i="13"/>
  <c r="AB43" i="13"/>
  <c r="AU43" i="13"/>
  <c r="AB47" i="13"/>
  <c r="AU47" i="13"/>
  <c r="AB27" i="13"/>
  <c r="AU27" i="13"/>
  <c r="AB21" i="13"/>
  <c r="AU21" i="13"/>
  <c r="AB91" i="13"/>
  <c r="AU91" i="13"/>
  <c r="AB14" i="13"/>
  <c r="AU14" i="13"/>
  <c r="AB83" i="13"/>
  <c r="AU83" i="13"/>
  <c r="AB48" i="13"/>
  <c r="AU48" i="13"/>
  <c r="AB56" i="13"/>
  <c r="AU56" i="13"/>
  <c r="AB18" i="13"/>
  <c r="AU18" i="13"/>
  <c r="AB88" i="13"/>
  <c r="AU88" i="13"/>
  <c r="AB53" i="13"/>
  <c r="AU53" i="13"/>
  <c r="AB84" i="13"/>
  <c r="AU84" i="13"/>
  <c r="AB90" i="13"/>
  <c r="AU90" i="13"/>
  <c r="AB105" i="13"/>
  <c r="AU105" i="13"/>
  <c r="AB64" i="13"/>
  <c r="AU64" i="13"/>
  <c r="AB77" i="13"/>
  <c r="AU77" i="13"/>
  <c r="AB34" i="13"/>
  <c r="AU34" i="13"/>
  <c r="AB95" i="13"/>
  <c r="AU95" i="13"/>
  <c r="AB57" i="13"/>
  <c r="AU57" i="13"/>
  <c r="AB92" i="13"/>
  <c r="AU92" i="13"/>
  <c r="AB15" i="13"/>
  <c r="AU15" i="13"/>
  <c r="AB87" i="13"/>
  <c r="AU87" i="13"/>
  <c r="AB59" i="13"/>
  <c r="AU59" i="13"/>
  <c r="AB42" i="13"/>
  <c r="AU42" i="13"/>
  <c r="AB70" i="13"/>
  <c r="AU70" i="13"/>
  <c r="AB67" i="13"/>
  <c r="AU67" i="13"/>
  <c r="AB13" i="13"/>
  <c r="AU13" i="13"/>
  <c r="AB50" i="13"/>
  <c r="AU50" i="13"/>
  <c r="AB26" i="13"/>
  <c r="AU26" i="13"/>
  <c r="AB30" i="13"/>
  <c r="AU30" i="13"/>
  <c r="AB22" i="13"/>
  <c r="AU22" i="13"/>
  <c r="AB107" i="13"/>
  <c r="AU107" i="13"/>
  <c r="AB78" i="13"/>
  <c r="AU78" i="13"/>
  <c r="AB101" i="13"/>
  <c r="AU101" i="13"/>
  <c r="AB63" i="13"/>
  <c r="AU63" i="13"/>
  <c r="AB38" i="13"/>
  <c r="AU38" i="13"/>
  <c r="AB72" i="13"/>
  <c r="AU72" i="13"/>
  <c r="AB36" i="13"/>
  <c r="AU36" i="13"/>
  <c r="AB7" i="13"/>
  <c r="AC7" i="13" s="1"/>
  <c r="AH7" i="13" s="1"/>
  <c r="AU7" i="13"/>
  <c r="AV7" i="13" s="1"/>
  <c r="BA7" i="13" s="1"/>
  <c r="H728" i="4" s="1"/>
  <c r="M728" i="4" s="1"/>
  <c r="AB74" i="13"/>
  <c r="AU74" i="13"/>
  <c r="AB112" i="13"/>
  <c r="AU112" i="13"/>
  <c r="AB82" i="13"/>
  <c r="AU82" i="13"/>
  <c r="AB37" i="13"/>
  <c r="AU37" i="13"/>
  <c r="AB104" i="13"/>
  <c r="AU104" i="13"/>
  <c r="AB62" i="13"/>
  <c r="AU62" i="13"/>
  <c r="AB115" i="13"/>
  <c r="AU115" i="13"/>
  <c r="AB96" i="13"/>
  <c r="AU96" i="13"/>
  <c r="AB111" i="13"/>
  <c r="AU111" i="13"/>
  <c r="AB24" i="13"/>
  <c r="AU24" i="13"/>
  <c r="AB100" i="13"/>
  <c r="AU100" i="13"/>
  <c r="AB86" i="13"/>
  <c r="AU86" i="13"/>
  <c r="AB103" i="13"/>
  <c r="AU103" i="13"/>
  <c r="AB58" i="13"/>
  <c r="AU58" i="13"/>
  <c r="AB89" i="13"/>
  <c r="AU89" i="13"/>
  <c r="AB19" i="13"/>
  <c r="AU19" i="13"/>
  <c r="I17" i="13"/>
  <c r="I85" i="13"/>
  <c r="I92" i="13"/>
  <c r="I94" i="13"/>
  <c r="I49" i="13"/>
  <c r="I113" i="13"/>
  <c r="I102" i="13"/>
  <c r="I106" i="13"/>
  <c r="I84" i="13"/>
  <c r="I70" i="13"/>
  <c r="I110" i="13"/>
  <c r="I112" i="13"/>
  <c r="I57" i="13"/>
  <c r="I37" i="13"/>
  <c r="I79" i="13"/>
  <c r="I87" i="13"/>
  <c r="I39" i="13"/>
  <c r="I50" i="13"/>
  <c r="I24" i="13"/>
  <c r="I27" i="13"/>
  <c r="I83" i="13"/>
  <c r="I107" i="13"/>
  <c r="I78" i="13"/>
  <c r="I100" i="13"/>
  <c r="I19" i="13"/>
  <c r="I38" i="13"/>
  <c r="I46" i="13"/>
  <c r="I72" i="13"/>
  <c r="I20" i="13"/>
  <c r="I56" i="13"/>
  <c r="I114" i="13"/>
  <c r="I82" i="13"/>
  <c r="I115" i="13"/>
  <c r="I59" i="13"/>
  <c r="I96" i="13"/>
  <c r="I13" i="13"/>
  <c r="I47" i="13"/>
  <c r="I21" i="13"/>
  <c r="I14" i="13"/>
  <c r="I22" i="13"/>
  <c r="I63" i="13"/>
  <c r="I89" i="13"/>
  <c r="I98" i="13"/>
  <c r="I29" i="13"/>
  <c r="I28" i="13"/>
  <c r="I18" i="13"/>
  <c r="I99" i="13"/>
  <c r="I36" i="13"/>
  <c r="I93" i="13"/>
  <c r="I32" i="13"/>
  <c r="I71" i="13"/>
  <c r="I88" i="13"/>
  <c r="I40" i="13"/>
  <c r="I35" i="13"/>
  <c r="I23" i="13"/>
  <c r="I54" i="13"/>
  <c r="I45" i="13"/>
  <c r="I7" i="13"/>
  <c r="I31" i="13"/>
  <c r="I74" i="13"/>
  <c r="I64" i="13"/>
  <c r="I95" i="13"/>
  <c r="I62" i="13"/>
  <c r="I67" i="13"/>
  <c r="I26" i="13"/>
  <c r="I30" i="13"/>
  <c r="I91" i="13"/>
  <c r="I103" i="13"/>
  <c r="I66" i="13"/>
  <c r="I69" i="13"/>
  <c r="I61" i="13"/>
  <c r="I80" i="13"/>
  <c r="I16" i="13"/>
  <c r="I51" i="13"/>
  <c r="I75" i="13"/>
  <c r="I65" i="13"/>
  <c r="I73" i="13"/>
  <c r="I97" i="13"/>
  <c r="I53" i="13"/>
  <c r="I90" i="13"/>
  <c r="I33" i="13"/>
  <c r="I105" i="13"/>
  <c r="I77" i="13"/>
  <c r="I34" i="13"/>
  <c r="I44" i="13"/>
  <c r="I108" i="13"/>
  <c r="I15" i="13"/>
  <c r="I104" i="13"/>
  <c r="I42" i="13"/>
  <c r="I43" i="13"/>
  <c r="I111" i="13"/>
  <c r="I101" i="13"/>
  <c r="I86" i="13"/>
  <c r="I58" i="13"/>
  <c r="I48" i="13"/>
  <c r="I76" i="13"/>
  <c r="I52" i="13"/>
  <c r="I81" i="13"/>
  <c r="I41" i="13"/>
  <c r="I60" i="13"/>
  <c r="I109" i="13"/>
  <c r="I25" i="13"/>
  <c r="I55" i="13"/>
  <c r="A244" i="13"/>
  <c r="A242" i="13"/>
  <c r="A237" i="13"/>
  <c r="A219" i="13"/>
  <c r="A224" i="13"/>
  <c r="A210" i="13"/>
  <c r="A226" i="13"/>
  <c r="A223" i="13"/>
  <c r="A229" i="13"/>
  <c r="A216" i="13"/>
  <c r="A209" i="13"/>
  <c r="A239" i="13"/>
  <c r="H367" i="4" l="1"/>
  <c r="M367" i="4" s="1"/>
  <c r="BU7" i="13"/>
  <c r="F1089" i="4" s="1"/>
  <c r="P1089" i="4" s="1"/>
  <c r="H1089" i="4"/>
  <c r="M1089" i="4" s="1"/>
  <c r="BB7" i="13"/>
  <c r="F728" i="4" s="1"/>
  <c r="P728" i="4" s="1"/>
  <c r="G367" i="4"/>
  <c r="G1089" i="4"/>
  <c r="BJ8" i="13"/>
  <c r="BI8" i="13" s="1"/>
  <c r="BK8" i="13" s="1"/>
  <c r="BO8" i="13" s="1"/>
  <c r="CN7" i="13"/>
  <c r="F1450" i="4" s="1"/>
  <c r="G1450" i="4"/>
  <c r="CC8" i="13"/>
  <c r="G728" i="4"/>
  <c r="AQ8" i="13"/>
  <c r="AP8" i="13" s="1"/>
  <c r="AR8" i="13" s="1"/>
  <c r="X8" i="13"/>
  <c r="AI7" i="13"/>
  <c r="F367" i="4" s="1"/>
  <c r="P367" i="4" s="1"/>
  <c r="J7" i="13"/>
  <c r="A235" i="13"/>
  <c r="A238" i="13"/>
  <c r="A222" i="13"/>
  <c r="A236" i="13"/>
  <c r="A251" i="13"/>
  <c r="A231" i="13"/>
  <c r="A221" i="13"/>
  <c r="A249" i="13"/>
  <c r="A228" i="13"/>
  <c r="A254" i="13"/>
  <c r="A241" i="13"/>
  <c r="A256" i="13"/>
  <c r="W8" i="13" l="1"/>
  <c r="Y8" i="13" s="1"/>
  <c r="AE8" i="13" s="1"/>
  <c r="P1450" i="4"/>
  <c r="S1450" i="4"/>
  <c r="Q367" i="4"/>
  <c r="K367" i="4"/>
  <c r="J367" i="4"/>
  <c r="Q728" i="4"/>
  <c r="K728" i="4"/>
  <c r="J728" i="4"/>
  <c r="K1450" i="4"/>
  <c r="Q1450" i="4"/>
  <c r="J1450" i="4"/>
  <c r="K1089" i="4"/>
  <c r="Q1089" i="4"/>
  <c r="J1089" i="4"/>
  <c r="BQ8" i="13"/>
  <c r="BT8" i="13" s="1"/>
  <c r="H1090" i="4" s="1"/>
  <c r="M1090" i="4" s="1"/>
  <c r="CB8" i="13"/>
  <c r="CD8" i="13" s="1"/>
  <c r="AX8" i="13"/>
  <c r="AV8" i="13"/>
  <c r="O7" i="13"/>
  <c r="A240" i="13"/>
  <c r="A261" i="13"/>
  <c r="A233" i="13"/>
  <c r="A243" i="13"/>
  <c r="A263" i="13"/>
  <c r="A268" i="13"/>
  <c r="A248" i="13"/>
  <c r="A234" i="13"/>
  <c r="A250" i="13"/>
  <c r="A253" i="13"/>
  <c r="A266" i="13"/>
  <c r="A247" i="13"/>
  <c r="AC8" i="13" l="1"/>
  <c r="AH8" i="13" s="1"/>
  <c r="X9" i="13" s="1"/>
  <c r="G368" i="4"/>
  <c r="H6" i="4"/>
  <c r="M6" i="4" s="1"/>
  <c r="L1450" i="4"/>
  <c r="N1450" i="4"/>
  <c r="O1449" i="4"/>
  <c r="N728" i="4"/>
  <c r="L728" i="4"/>
  <c r="O727" i="4"/>
  <c r="L367" i="4"/>
  <c r="N367" i="4"/>
  <c r="O366" i="4"/>
  <c r="L1089" i="4"/>
  <c r="N1089" i="4"/>
  <c r="O1088" i="4"/>
  <c r="CH8" i="13"/>
  <c r="CJ8" i="13"/>
  <c r="BA8" i="13"/>
  <c r="BJ9" i="13"/>
  <c r="BU8" i="13"/>
  <c r="F1090" i="4" s="1"/>
  <c r="P1090" i="4" s="1"/>
  <c r="G1090" i="4"/>
  <c r="E8" i="13"/>
  <c r="P7" i="13"/>
  <c r="A246" i="13"/>
  <c r="A260" i="13"/>
  <c r="A280" i="13"/>
  <c r="A259" i="13"/>
  <c r="A275" i="13"/>
  <c r="A278" i="13"/>
  <c r="A255" i="13"/>
  <c r="A265" i="13"/>
  <c r="A245" i="13"/>
  <c r="A262" i="13"/>
  <c r="A273" i="13"/>
  <c r="A252" i="13"/>
  <c r="AI8" i="13" l="1"/>
  <c r="F368" i="4" s="1"/>
  <c r="P368" i="4" s="1"/>
  <c r="H368" i="4"/>
  <c r="M368" i="4" s="1"/>
  <c r="W9" i="13"/>
  <c r="Y9" i="13" s="1"/>
  <c r="AC9" i="13" s="1"/>
  <c r="K368" i="4"/>
  <c r="Q368" i="4"/>
  <c r="J368" i="4"/>
  <c r="Q1090" i="4"/>
  <c r="K1090" i="4"/>
  <c r="J1090" i="4"/>
  <c r="G729" i="4"/>
  <c r="H729" i="4"/>
  <c r="M729" i="4" s="1"/>
  <c r="AQ9" i="13"/>
  <c r="AP9" i="13" s="1"/>
  <c r="AR9" i="13" s="1"/>
  <c r="BB8" i="13"/>
  <c r="F729" i="4" s="1"/>
  <c r="P729" i="4" s="1"/>
  <c r="G6" i="4"/>
  <c r="F6" i="4"/>
  <c r="CM8" i="13"/>
  <c r="H1451" i="4" s="1"/>
  <c r="M1451" i="4" s="1"/>
  <c r="BI9" i="13"/>
  <c r="BK9" i="13" s="1"/>
  <c r="D8" i="13"/>
  <c r="A257" i="13"/>
  <c r="A277" i="13"/>
  <c r="A267" i="13"/>
  <c r="A290" i="13"/>
  <c r="A287" i="13"/>
  <c r="A264" i="13"/>
  <c r="A271" i="13"/>
  <c r="A292" i="13"/>
  <c r="A285" i="13"/>
  <c r="A272" i="13"/>
  <c r="A274" i="13"/>
  <c r="A258" i="13"/>
  <c r="AE9" i="13" l="1"/>
  <c r="AH9" i="13" s="1"/>
  <c r="AI9" i="13" s="1"/>
  <c r="F369" i="4" s="1"/>
  <c r="P369" i="4" s="1"/>
  <c r="P6" i="4"/>
  <c r="S6" i="4"/>
  <c r="Q729" i="4"/>
  <c r="K729" i="4"/>
  <c r="J729" i="4"/>
  <c r="L1090" i="4"/>
  <c r="N1090" i="4"/>
  <c r="O1089" i="4"/>
  <c r="L368" i="4"/>
  <c r="N368" i="4"/>
  <c r="O367" i="4"/>
  <c r="K6" i="4"/>
  <c r="Q6" i="4"/>
  <c r="J6" i="4"/>
  <c r="CC9" i="13"/>
  <c r="G1451" i="4"/>
  <c r="CN8" i="13"/>
  <c r="F1451" i="4" s="1"/>
  <c r="BO9" i="13"/>
  <c r="BQ9" i="13"/>
  <c r="AX9" i="13"/>
  <c r="AV9" i="13"/>
  <c r="G369" i="4"/>
  <c r="F8" i="13"/>
  <c r="A304" i="13"/>
  <c r="A283" i="13"/>
  <c r="A276" i="13"/>
  <c r="A299" i="13"/>
  <c r="A270" i="13"/>
  <c r="A302" i="13"/>
  <c r="A286" i="13"/>
  <c r="A279" i="13"/>
  <c r="A284" i="13"/>
  <c r="A289" i="13"/>
  <c r="A297" i="13"/>
  <c r="A269" i="13"/>
  <c r="H369" i="4" l="1"/>
  <c r="M369" i="4" s="1"/>
  <c r="X10" i="13"/>
  <c r="W10" i="13" s="1"/>
  <c r="Y10" i="13" s="1"/>
  <c r="P1451" i="4"/>
  <c r="S1451" i="4"/>
  <c r="Q1451" i="4"/>
  <c r="J1451" i="4"/>
  <c r="K1451" i="4"/>
  <c r="K369" i="4"/>
  <c r="Q369" i="4"/>
  <c r="J369" i="4"/>
  <c r="L729" i="4"/>
  <c r="N729" i="4"/>
  <c r="O728" i="4"/>
  <c r="L6" i="4"/>
  <c r="N6" i="4"/>
  <c r="O5" i="4"/>
  <c r="CB9" i="13"/>
  <c r="CD9" i="13" s="1"/>
  <c r="BT9" i="13"/>
  <c r="H1091" i="4" s="1"/>
  <c r="M1091" i="4" s="1"/>
  <c r="BA9" i="13"/>
  <c r="H730" i="4" s="1"/>
  <c r="M730" i="4" s="1"/>
  <c r="L8" i="13"/>
  <c r="J8" i="13"/>
  <c r="A291" i="13"/>
  <c r="A298" i="13"/>
  <c r="A314" i="13"/>
  <c r="A282" i="13"/>
  <c r="A281" i="13"/>
  <c r="A311" i="13"/>
  <c r="A309" i="13"/>
  <c r="A288" i="13"/>
  <c r="A295" i="13"/>
  <c r="A301" i="13"/>
  <c r="A296" i="13"/>
  <c r="A316" i="13"/>
  <c r="L369" i="4" l="1"/>
  <c r="N369" i="4"/>
  <c r="O368" i="4"/>
  <c r="L1451" i="4"/>
  <c r="N1451" i="4"/>
  <c r="O1450" i="4"/>
  <c r="CH9" i="13"/>
  <c r="CJ9" i="13"/>
  <c r="BJ10" i="13"/>
  <c r="G1091" i="4"/>
  <c r="BU9" i="13"/>
  <c r="F1091" i="4" s="1"/>
  <c r="P1091" i="4" s="1"/>
  <c r="AQ10" i="13"/>
  <c r="AP10" i="13" s="1"/>
  <c r="AR10" i="13" s="1"/>
  <c r="BB9" i="13"/>
  <c r="F730" i="4" s="1"/>
  <c r="P730" i="4" s="1"/>
  <c r="G730" i="4"/>
  <c r="AE10" i="13"/>
  <c r="AC10" i="13"/>
  <c r="O8" i="13"/>
  <c r="A300" i="13"/>
  <c r="A321" i="13"/>
  <c r="A323" i="13"/>
  <c r="A293" i="13"/>
  <c r="A328" i="13"/>
  <c r="A294" i="13"/>
  <c r="A308" i="13"/>
  <c r="A326" i="13"/>
  <c r="A313" i="13"/>
  <c r="A310" i="13"/>
  <c r="A307" i="13"/>
  <c r="A303" i="13"/>
  <c r="H7" i="4" l="1"/>
  <c r="M7" i="4" s="1"/>
  <c r="K730" i="4"/>
  <c r="Q730" i="4"/>
  <c r="J730" i="4"/>
  <c r="K1091" i="4"/>
  <c r="Q1091" i="4"/>
  <c r="J1091" i="4"/>
  <c r="CM9" i="13"/>
  <c r="H1452" i="4" s="1"/>
  <c r="M1452" i="4" s="1"/>
  <c r="BI10" i="13"/>
  <c r="BK10" i="13" s="1"/>
  <c r="AH10" i="13"/>
  <c r="AX10" i="13"/>
  <c r="AV10" i="13"/>
  <c r="E9" i="13"/>
  <c r="P8" i="13"/>
  <c r="A338" i="13"/>
  <c r="A320" i="13"/>
  <c r="A306" i="13"/>
  <c r="A340" i="13"/>
  <c r="A319" i="13"/>
  <c r="A305" i="13"/>
  <c r="A315" i="13"/>
  <c r="A335" i="13"/>
  <c r="A325" i="13"/>
  <c r="A333" i="13"/>
  <c r="A322" i="13"/>
  <c r="A312" i="13"/>
  <c r="H370" i="4" l="1"/>
  <c r="M370" i="4" s="1"/>
  <c r="G370" i="4"/>
  <c r="N1091" i="4"/>
  <c r="L1091" i="4"/>
  <c r="O1090" i="4"/>
  <c r="L730" i="4"/>
  <c r="N730" i="4"/>
  <c r="O729" i="4"/>
  <c r="AI10" i="13"/>
  <c r="F370" i="4" s="1"/>
  <c r="P370" i="4" s="1"/>
  <c r="F7" i="4"/>
  <c r="G7" i="4"/>
  <c r="X11" i="13"/>
  <c r="BA10" i="13"/>
  <c r="H731" i="4" s="1"/>
  <c r="M731" i="4" s="1"/>
  <c r="G1452" i="4"/>
  <c r="CC10" i="13"/>
  <c r="CN9" i="13"/>
  <c r="F1452" i="4" s="1"/>
  <c r="BQ10" i="13"/>
  <c r="BO10" i="13"/>
  <c r="D9" i="13"/>
  <c r="A347" i="13"/>
  <c r="A327" i="13"/>
  <c r="A317" i="13"/>
  <c r="A331" i="13"/>
  <c r="A324" i="13"/>
  <c r="A345" i="13"/>
  <c r="A332" i="13"/>
  <c r="A352" i="13"/>
  <c r="A318" i="13"/>
  <c r="A334" i="13"/>
  <c r="A337" i="13"/>
  <c r="A350" i="13"/>
  <c r="W11" i="13" l="1"/>
  <c r="Y11" i="13" s="1"/>
  <c r="AE11" i="13" s="1"/>
  <c r="P1452" i="4"/>
  <c r="S1452" i="4"/>
  <c r="P7" i="4"/>
  <c r="S7" i="4"/>
  <c r="Q370" i="4"/>
  <c r="K370" i="4"/>
  <c r="J370" i="4"/>
  <c r="K1452" i="4"/>
  <c r="Q1452" i="4"/>
  <c r="J1452" i="4"/>
  <c r="Q7" i="4"/>
  <c r="K7" i="4"/>
  <c r="J7" i="4"/>
  <c r="BB10" i="13"/>
  <c r="F731" i="4" s="1"/>
  <c r="P731" i="4" s="1"/>
  <c r="AQ11" i="13"/>
  <c r="AP11" i="13" s="1"/>
  <c r="AR11" i="13" s="1"/>
  <c r="G731" i="4"/>
  <c r="CB10" i="13"/>
  <c r="CD10" i="13" s="1"/>
  <c r="BT10" i="13"/>
  <c r="F9" i="13"/>
  <c r="A364" i="13"/>
  <c r="A344" i="13"/>
  <c r="A357" i="13"/>
  <c r="A336" i="13"/>
  <c r="A329" i="13"/>
  <c r="A343" i="13"/>
  <c r="A349" i="13"/>
  <c r="A330" i="13"/>
  <c r="A362" i="13"/>
  <c r="A359" i="13"/>
  <c r="A346" i="13"/>
  <c r="A339" i="13"/>
  <c r="AC11" i="13" l="1"/>
  <c r="AH11" i="13" s="1"/>
  <c r="AJ11" i="13" s="1"/>
  <c r="K731" i="4"/>
  <c r="Q731" i="4"/>
  <c r="J731" i="4"/>
  <c r="L370" i="4"/>
  <c r="N370" i="4"/>
  <c r="O369" i="4"/>
  <c r="L1452" i="4"/>
  <c r="N1452" i="4"/>
  <c r="O1451" i="4"/>
  <c r="L7" i="4"/>
  <c r="N7" i="4"/>
  <c r="O6" i="4"/>
  <c r="BU10" i="13"/>
  <c r="F1092" i="4" s="1"/>
  <c r="P1092" i="4" s="1"/>
  <c r="H1092" i="4"/>
  <c r="M1092" i="4" s="1"/>
  <c r="CJ10" i="13"/>
  <c r="CH10" i="13"/>
  <c r="BJ11" i="13"/>
  <c r="BI11" i="13" s="1"/>
  <c r="BK11" i="13" s="1"/>
  <c r="G1092" i="4"/>
  <c r="AV11" i="13"/>
  <c r="AX11" i="13"/>
  <c r="J9" i="13"/>
  <c r="L9" i="13"/>
  <c r="A342" i="13"/>
  <c r="A341" i="13"/>
  <c r="A358" i="13"/>
  <c r="A348" i="13"/>
  <c r="A361" i="13"/>
  <c r="A351" i="13"/>
  <c r="A355" i="13"/>
  <c r="A356" i="13"/>
  <c r="H371" i="4" l="1"/>
  <c r="M371" i="4" s="1"/>
  <c r="K1092" i="4"/>
  <c r="Q1092" i="4"/>
  <c r="J1092" i="4"/>
  <c r="L731" i="4"/>
  <c r="N731" i="4"/>
  <c r="O730" i="4"/>
  <c r="CM10" i="13"/>
  <c r="BQ11" i="13"/>
  <c r="BO11" i="13"/>
  <c r="BA11" i="13"/>
  <c r="G371" i="4"/>
  <c r="X12" i="13"/>
  <c r="AI11" i="13"/>
  <c r="F371" i="4" s="1"/>
  <c r="P371" i="4" s="1"/>
  <c r="O9" i="13"/>
  <c r="A363" i="13"/>
  <c r="A360" i="13"/>
  <c r="A353" i="13"/>
  <c r="A354" i="13"/>
  <c r="H732" i="4" l="1"/>
  <c r="M732" i="4" s="1"/>
  <c r="BC11" i="13"/>
  <c r="G732" i="4" s="1"/>
  <c r="W12" i="13"/>
  <c r="Y12" i="13" s="1"/>
  <c r="AE12" i="13" s="1"/>
  <c r="H8" i="4"/>
  <c r="M8" i="4" s="1"/>
  <c r="Q371" i="4"/>
  <c r="K371" i="4"/>
  <c r="J371" i="4"/>
  <c r="N1092" i="4"/>
  <c r="L1092" i="4"/>
  <c r="O1091" i="4"/>
  <c r="G1453" i="4"/>
  <c r="H1453" i="4"/>
  <c r="M1453" i="4" s="1"/>
  <c r="BB11" i="13"/>
  <c r="F732" i="4" s="1"/>
  <c r="P732" i="4" s="1"/>
  <c r="CC11" i="13"/>
  <c r="CB11" i="13" s="1"/>
  <c r="CD11" i="13" s="1"/>
  <c r="CN10" i="13"/>
  <c r="F1453" i="4" s="1"/>
  <c r="BT11" i="13"/>
  <c r="BV11" i="13" s="1"/>
  <c r="AQ12" i="13"/>
  <c r="AP12" i="13" s="1"/>
  <c r="AR12" i="13" s="1"/>
  <c r="E10" i="13"/>
  <c r="P9" i="13"/>
  <c r="AC12" i="13" l="1"/>
  <c r="AH12" i="13" s="1"/>
  <c r="AJ12" i="13" s="1"/>
  <c r="P1453" i="4"/>
  <c r="S1453" i="4"/>
  <c r="Q732" i="4"/>
  <c r="K732" i="4"/>
  <c r="J732" i="4"/>
  <c r="L371" i="4"/>
  <c r="N371" i="4"/>
  <c r="O370" i="4"/>
  <c r="K1453" i="4"/>
  <c r="Q1453" i="4"/>
  <c r="J1453" i="4"/>
  <c r="G1093" i="4"/>
  <c r="H1093" i="4"/>
  <c r="M1093" i="4" s="1"/>
  <c r="G8" i="4"/>
  <c r="F8" i="4"/>
  <c r="BJ12" i="13"/>
  <c r="BI12" i="13" s="1"/>
  <c r="BK12" i="13" s="1"/>
  <c r="BU11" i="13"/>
  <c r="F1093" i="4" s="1"/>
  <c r="P1093" i="4" s="1"/>
  <c r="CH11" i="13"/>
  <c r="CJ11" i="13"/>
  <c r="AX12" i="13"/>
  <c r="AV12" i="13"/>
  <c r="D10" i="13"/>
  <c r="H372" i="4" l="1"/>
  <c r="M372" i="4" s="1"/>
  <c r="G372" i="4"/>
  <c r="P8" i="4"/>
  <c r="S8" i="4"/>
  <c r="Q1093" i="4"/>
  <c r="K1093" i="4"/>
  <c r="J1093" i="4"/>
  <c r="N732" i="4"/>
  <c r="L732" i="4"/>
  <c r="O731" i="4"/>
  <c r="N1453" i="4"/>
  <c r="L1453" i="4"/>
  <c r="O1452" i="4"/>
  <c r="K8" i="4"/>
  <c r="Q8" i="4"/>
  <c r="J8" i="4"/>
  <c r="BA12" i="13"/>
  <c r="CM11" i="13"/>
  <c r="BQ12" i="13"/>
  <c r="BO12" i="13"/>
  <c r="X13" i="13"/>
  <c r="AI12" i="13"/>
  <c r="F372" i="4" s="1"/>
  <c r="P372" i="4" s="1"/>
  <c r="F10" i="13"/>
  <c r="H1454" i="4" l="1"/>
  <c r="M1454" i="4" s="1"/>
  <c r="CO11" i="13"/>
  <c r="G1454" i="4" s="1"/>
  <c r="H733" i="4"/>
  <c r="M733" i="4" s="1"/>
  <c r="BC12" i="13"/>
  <c r="G733" i="4" s="1"/>
  <c r="Q372" i="4"/>
  <c r="K372" i="4"/>
  <c r="J372" i="4"/>
  <c r="N1093" i="4"/>
  <c r="L1093" i="4"/>
  <c r="O1092" i="4"/>
  <c r="N8" i="4"/>
  <c r="L8" i="4"/>
  <c r="O7" i="4"/>
  <c r="BB12" i="13"/>
  <c r="F733" i="4" s="1"/>
  <c r="P733" i="4" s="1"/>
  <c r="AQ13" i="13"/>
  <c r="AP13" i="13" s="1"/>
  <c r="AR13" i="13" s="1"/>
  <c r="AV13" i="13" s="1"/>
  <c r="CC12" i="13"/>
  <c r="CN11" i="13"/>
  <c r="F1454" i="4" s="1"/>
  <c r="BT12" i="13"/>
  <c r="BV12" i="13" s="1"/>
  <c r="W13" i="13"/>
  <c r="Y13" i="13" s="1"/>
  <c r="L10" i="13"/>
  <c r="J10" i="13"/>
  <c r="P1454" i="4" l="1"/>
  <c r="S1454" i="4"/>
  <c r="K1454" i="4"/>
  <c r="Q1454" i="4"/>
  <c r="J1454" i="4"/>
  <c r="L372" i="4"/>
  <c r="N372" i="4"/>
  <c r="O371" i="4"/>
  <c r="K733" i="4"/>
  <c r="Q733" i="4"/>
  <c r="J733" i="4"/>
  <c r="G1094" i="4"/>
  <c r="H1094" i="4"/>
  <c r="M1094" i="4" s="1"/>
  <c r="AX13" i="13"/>
  <c r="BA13" i="13" s="1"/>
  <c r="CB12" i="13"/>
  <c r="CD12" i="13" s="1"/>
  <c r="BJ13" i="13"/>
  <c r="BI13" i="13" s="1"/>
  <c r="BK13" i="13" s="1"/>
  <c r="BO13" i="13" s="1"/>
  <c r="BU12" i="13"/>
  <c r="F1094" i="4" s="1"/>
  <c r="P1094" i="4" s="1"/>
  <c r="AE13" i="13"/>
  <c r="AC13" i="13"/>
  <c r="O10" i="13"/>
  <c r="H734" i="4" l="1"/>
  <c r="M734" i="4" s="1"/>
  <c r="BC13" i="13"/>
  <c r="G734" i="4" s="1"/>
  <c r="H9" i="4"/>
  <c r="M9" i="4" s="1"/>
  <c r="K1094" i="4"/>
  <c r="Q1094" i="4"/>
  <c r="J1094" i="4"/>
  <c r="L733" i="4"/>
  <c r="N733" i="4"/>
  <c r="O732" i="4"/>
  <c r="L1454" i="4"/>
  <c r="N1454" i="4"/>
  <c r="O1453" i="4"/>
  <c r="BB13" i="13"/>
  <c r="F734" i="4" s="1"/>
  <c r="P734" i="4" s="1"/>
  <c r="AH13" i="13"/>
  <c r="AJ13" i="13" s="1"/>
  <c r="BQ13" i="13"/>
  <c r="BT13" i="13" s="1"/>
  <c r="BV13" i="13" s="1"/>
  <c r="CJ12" i="13"/>
  <c r="CH12" i="13"/>
  <c r="AQ14" i="13"/>
  <c r="P10" i="13"/>
  <c r="E11" i="13"/>
  <c r="H1095" i="4" l="1"/>
  <c r="M1095" i="4" s="1"/>
  <c r="G1095" i="4"/>
  <c r="H373" i="4"/>
  <c r="M373" i="4" s="1"/>
  <c r="G373" i="4"/>
  <c r="Q734" i="4"/>
  <c r="K734" i="4"/>
  <c r="J734" i="4"/>
  <c r="L1094" i="4"/>
  <c r="N1094" i="4"/>
  <c r="O1093" i="4"/>
  <c r="G9" i="4"/>
  <c r="F9" i="4"/>
  <c r="AI13" i="13"/>
  <c r="F373" i="4" s="1"/>
  <c r="P373" i="4" s="1"/>
  <c r="X14" i="13"/>
  <c r="CM12" i="13"/>
  <c r="CO12" i="13" s="1"/>
  <c r="BU13" i="13"/>
  <c r="F1095" i="4" s="1"/>
  <c r="P1095" i="4" s="1"/>
  <c r="BJ14" i="13"/>
  <c r="AP14" i="13"/>
  <c r="AR14" i="13" s="1"/>
  <c r="D11" i="13"/>
  <c r="W14" i="13" l="1"/>
  <c r="Y14" i="13" s="1"/>
  <c r="AE14" i="13" s="1"/>
  <c r="P9" i="4"/>
  <c r="S9" i="4"/>
  <c r="Q1095" i="4"/>
  <c r="K1095" i="4"/>
  <c r="J1095" i="4"/>
  <c r="K373" i="4"/>
  <c r="Q373" i="4"/>
  <c r="J373" i="4"/>
  <c r="L734" i="4"/>
  <c r="N734" i="4"/>
  <c r="O733" i="4"/>
  <c r="Q9" i="4"/>
  <c r="K9" i="4"/>
  <c r="J9" i="4"/>
  <c r="CN12" i="13"/>
  <c r="F1455" i="4" s="1"/>
  <c r="H1455" i="4"/>
  <c r="M1455" i="4" s="1"/>
  <c r="G1455" i="4"/>
  <c r="CC13" i="13"/>
  <c r="CB13" i="13" s="1"/>
  <c r="CD13" i="13" s="1"/>
  <c r="CJ13" i="13" s="1"/>
  <c r="BI14" i="13"/>
  <c r="BK14" i="13" s="1"/>
  <c r="AV14" i="13"/>
  <c r="AX14" i="13"/>
  <c r="F11" i="13"/>
  <c r="AC14" i="13" l="1"/>
  <c r="AH14" i="13" s="1"/>
  <c r="AJ14" i="13" s="1"/>
  <c r="P1455" i="4"/>
  <c r="S1455" i="4"/>
  <c r="L373" i="4"/>
  <c r="N373" i="4"/>
  <c r="O372" i="4"/>
  <c r="N1095" i="4"/>
  <c r="L1095" i="4"/>
  <c r="O1094" i="4"/>
  <c r="Q1455" i="4"/>
  <c r="K1455" i="4"/>
  <c r="J1455" i="4"/>
  <c r="L9" i="4"/>
  <c r="N9" i="4"/>
  <c r="O8" i="4"/>
  <c r="CH13" i="13"/>
  <c r="CM13" i="13" s="1"/>
  <c r="CO13" i="13" s="1"/>
  <c r="BO14" i="13"/>
  <c r="BQ14" i="13"/>
  <c r="BA14" i="13"/>
  <c r="J11" i="13"/>
  <c r="L11" i="13"/>
  <c r="H735" i="4" l="1"/>
  <c r="M735" i="4" s="1"/>
  <c r="BC14" i="13"/>
  <c r="G735" i="4" s="1"/>
  <c r="H374" i="4"/>
  <c r="M374" i="4" s="1"/>
  <c r="G374" i="4"/>
  <c r="L1455" i="4"/>
  <c r="N1455" i="4"/>
  <c r="O1454" i="4"/>
  <c r="CN13" i="13"/>
  <c r="F1456" i="4" s="1"/>
  <c r="H1456" i="4"/>
  <c r="M1456" i="4" s="1"/>
  <c r="BB14" i="13"/>
  <c r="F735" i="4" s="1"/>
  <c r="P735" i="4" s="1"/>
  <c r="CC14" i="13"/>
  <c r="CB14" i="13" s="1"/>
  <c r="CD14" i="13" s="1"/>
  <c r="CJ14" i="13" s="1"/>
  <c r="G1456" i="4"/>
  <c r="BT14" i="13"/>
  <c r="BV14" i="13" s="1"/>
  <c r="AQ15" i="13"/>
  <c r="AP15" i="13" s="1"/>
  <c r="AR15" i="13" s="1"/>
  <c r="X15" i="13"/>
  <c r="AI14" i="13"/>
  <c r="F374" i="4" s="1"/>
  <c r="P374" i="4" s="1"/>
  <c r="O11" i="13"/>
  <c r="Q11" i="13" s="1"/>
  <c r="H1096" i="4" l="1"/>
  <c r="M1096" i="4" s="1"/>
  <c r="G1096" i="4"/>
  <c r="W15" i="13"/>
  <c r="Y15" i="13" s="1"/>
  <c r="AC15" i="13" s="1"/>
  <c r="H10" i="4"/>
  <c r="M10" i="4" s="1"/>
  <c r="P1456" i="4"/>
  <c r="S1456" i="4"/>
  <c r="Q374" i="4"/>
  <c r="K374" i="4"/>
  <c r="J374" i="4"/>
  <c r="Q735" i="4"/>
  <c r="K735" i="4"/>
  <c r="J735" i="4"/>
  <c r="K1456" i="4"/>
  <c r="Q1456" i="4"/>
  <c r="J1456" i="4"/>
  <c r="CH14" i="13"/>
  <c r="CM14" i="13" s="1"/>
  <c r="CO14" i="13" s="1"/>
  <c r="BJ15" i="13"/>
  <c r="BU14" i="13"/>
  <c r="F1096" i="4" s="1"/>
  <c r="P1096" i="4" s="1"/>
  <c r="AX15" i="13"/>
  <c r="AV15" i="13"/>
  <c r="P11" i="13"/>
  <c r="E12" i="13"/>
  <c r="AE15" i="13" l="1"/>
  <c r="AH15" i="13" s="1"/>
  <c r="AJ15" i="13" s="1"/>
  <c r="K1096" i="4"/>
  <c r="Q1096" i="4"/>
  <c r="J1096" i="4"/>
  <c r="N735" i="4"/>
  <c r="L735" i="4"/>
  <c r="O734" i="4"/>
  <c r="N374" i="4"/>
  <c r="L374" i="4"/>
  <c r="O373" i="4"/>
  <c r="N1456" i="4"/>
  <c r="L1456" i="4"/>
  <c r="O1455" i="4"/>
  <c r="CN14" i="13"/>
  <c r="F1457" i="4" s="1"/>
  <c r="H1457" i="4"/>
  <c r="M1457" i="4" s="1"/>
  <c r="BA15" i="13"/>
  <c r="G10" i="4"/>
  <c r="F10" i="4"/>
  <c r="CC15" i="13"/>
  <c r="CB15" i="13" s="1"/>
  <c r="CD15" i="13" s="1"/>
  <c r="G1457" i="4"/>
  <c r="BI15" i="13"/>
  <c r="BK15" i="13" s="1"/>
  <c r="D12" i="13"/>
  <c r="AQ16" i="13" l="1"/>
  <c r="AP16" i="13" s="1"/>
  <c r="AR16" i="13" s="1"/>
  <c r="AX16" i="13" s="1"/>
  <c r="BC15" i="13"/>
  <c r="G736" i="4" s="1"/>
  <c r="H375" i="4"/>
  <c r="M375" i="4" s="1"/>
  <c r="G375" i="4"/>
  <c r="P1457" i="4"/>
  <c r="S1457" i="4"/>
  <c r="P10" i="4"/>
  <c r="S10" i="4"/>
  <c r="Q1457" i="4"/>
  <c r="K1457" i="4"/>
  <c r="J1457" i="4"/>
  <c r="N1096" i="4"/>
  <c r="L1096" i="4"/>
  <c r="O1095" i="4"/>
  <c r="J10" i="4"/>
  <c r="K10" i="4"/>
  <c r="Q10" i="4"/>
  <c r="H736" i="4"/>
  <c r="M736" i="4" s="1"/>
  <c r="BB15" i="13"/>
  <c r="F736" i="4" s="1"/>
  <c r="P736" i="4" s="1"/>
  <c r="CH15" i="13"/>
  <c r="CJ15" i="13"/>
  <c r="BO15" i="13"/>
  <c r="BQ15" i="13"/>
  <c r="X16" i="13"/>
  <c r="AI15" i="13"/>
  <c r="F375" i="4" s="1"/>
  <c r="P375" i="4" s="1"/>
  <c r="F12" i="13"/>
  <c r="AV16" i="13" l="1"/>
  <c r="BA16" i="13" s="1"/>
  <c r="K375" i="4"/>
  <c r="Q375" i="4"/>
  <c r="J375" i="4"/>
  <c r="L1457" i="4"/>
  <c r="N1457" i="4"/>
  <c r="O1456" i="4"/>
  <c r="K736" i="4"/>
  <c r="Q736" i="4"/>
  <c r="J736" i="4"/>
  <c r="N10" i="4"/>
  <c r="L10" i="4"/>
  <c r="O9" i="4"/>
  <c r="CM15" i="13"/>
  <c r="BT15" i="13"/>
  <c r="BV15" i="13" s="1"/>
  <c r="W16" i="13"/>
  <c r="Y16" i="13" s="1"/>
  <c r="L12" i="13"/>
  <c r="J12" i="13"/>
  <c r="H1458" i="4" l="1"/>
  <c r="M1458" i="4" s="1"/>
  <c r="CO15" i="13"/>
  <c r="G1458" i="4" s="1"/>
  <c r="H1097" i="4"/>
  <c r="M1097" i="4" s="1"/>
  <c r="G1097" i="4"/>
  <c r="H737" i="4"/>
  <c r="M737" i="4" s="1"/>
  <c r="BC16" i="13"/>
  <c r="G737" i="4" s="1"/>
  <c r="N736" i="4"/>
  <c r="L736" i="4"/>
  <c r="O735" i="4"/>
  <c r="L375" i="4"/>
  <c r="N375" i="4"/>
  <c r="O374" i="4"/>
  <c r="BB16" i="13"/>
  <c r="F737" i="4" s="1"/>
  <c r="P737" i="4" s="1"/>
  <c r="AQ17" i="13"/>
  <c r="AP17" i="13" s="1"/>
  <c r="AR17" i="13" s="1"/>
  <c r="AV17" i="13" s="1"/>
  <c r="CC16" i="13"/>
  <c r="CN15" i="13"/>
  <c r="F1458" i="4" s="1"/>
  <c r="BU15" i="13"/>
  <c r="F1097" i="4" s="1"/>
  <c r="P1097" i="4" s="1"/>
  <c r="BJ16" i="13"/>
  <c r="AE16" i="13"/>
  <c r="AC16" i="13"/>
  <c r="O12" i="13"/>
  <c r="Q12" i="13" s="1"/>
  <c r="H11" i="4" l="1"/>
  <c r="M11" i="4" s="1"/>
  <c r="P1458" i="4"/>
  <c r="S1458" i="4"/>
  <c r="K737" i="4"/>
  <c r="Q737" i="4"/>
  <c r="J737" i="4"/>
  <c r="K1097" i="4"/>
  <c r="Q1097" i="4"/>
  <c r="J1097" i="4"/>
  <c r="K1458" i="4"/>
  <c r="Q1458" i="4"/>
  <c r="J1458" i="4"/>
  <c r="AX17" i="13"/>
  <c r="BA17" i="13" s="1"/>
  <c r="AH16" i="13"/>
  <c r="AJ16" i="13" s="1"/>
  <c r="CB16" i="13"/>
  <c r="CD16" i="13" s="1"/>
  <c r="BI16" i="13"/>
  <c r="BK16" i="13" s="1"/>
  <c r="E13" i="13"/>
  <c r="P12" i="13"/>
  <c r="H738" i="4" l="1"/>
  <c r="M738" i="4" s="1"/>
  <c r="BC17" i="13"/>
  <c r="G738" i="4" s="1"/>
  <c r="H376" i="4"/>
  <c r="M376" i="4" s="1"/>
  <c r="G376" i="4"/>
  <c r="L1097" i="4"/>
  <c r="N1097" i="4"/>
  <c r="O1096" i="4"/>
  <c r="N1458" i="4"/>
  <c r="L1458" i="4"/>
  <c r="O1457" i="4"/>
  <c r="L737" i="4"/>
  <c r="N737" i="4"/>
  <c r="O736" i="4"/>
  <c r="BB17" i="13"/>
  <c r="F738" i="4" s="1"/>
  <c r="P738" i="4" s="1"/>
  <c r="X17" i="13"/>
  <c r="F11" i="4"/>
  <c r="G11" i="4"/>
  <c r="AI16" i="13"/>
  <c r="F376" i="4" s="1"/>
  <c r="P376" i="4" s="1"/>
  <c r="CJ16" i="13"/>
  <c r="CH16" i="13"/>
  <c r="BQ16" i="13"/>
  <c r="BO16" i="13"/>
  <c r="AQ18" i="13"/>
  <c r="AP18" i="13" s="1"/>
  <c r="AR18" i="13" s="1"/>
  <c r="AV18" i="13" s="1"/>
  <c r="D13" i="13"/>
  <c r="W17" i="13" l="1"/>
  <c r="Y17" i="13" s="1"/>
  <c r="AC17" i="13" s="1"/>
  <c r="P11" i="4"/>
  <c r="S11" i="4"/>
  <c r="Q738" i="4"/>
  <c r="K738" i="4"/>
  <c r="J738" i="4"/>
  <c r="K376" i="4"/>
  <c r="Q376" i="4"/>
  <c r="J376" i="4"/>
  <c r="Q11" i="4"/>
  <c r="K11" i="4"/>
  <c r="J11" i="4"/>
  <c r="CM16" i="13"/>
  <c r="CO16" i="13" s="1"/>
  <c r="BT16" i="13"/>
  <c r="BV16" i="13" s="1"/>
  <c r="AX18" i="13"/>
  <c r="BA18" i="13" s="1"/>
  <c r="H739" i="4" s="1"/>
  <c r="M739" i="4" s="1"/>
  <c r="F13" i="13"/>
  <c r="AE17" i="13" l="1"/>
  <c r="AH17" i="13" s="1"/>
  <c r="AJ17" i="13" s="1"/>
  <c r="L376" i="4"/>
  <c r="N376" i="4"/>
  <c r="O375" i="4"/>
  <c r="L738" i="4"/>
  <c r="N738" i="4"/>
  <c r="O737" i="4"/>
  <c r="L11" i="4"/>
  <c r="N11" i="4"/>
  <c r="O10" i="4"/>
  <c r="G1459" i="4"/>
  <c r="H1459" i="4"/>
  <c r="M1459" i="4" s="1"/>
  <c r="BU16" i="13"/>
  <c r="F1098" i="4" s="1"/>
  <c r="P1098" i="4" s="1"/>
  <c r="H1098" i="4"/>
  <c r="M1098" i="4" s="1"/>
  <c r="BB18" i="13"/>
  <c r="F739" i="4" s="1"/>
  <c r="P739" i="4" s="1"/>
  <c r="CC17" i="13"/>
  <c r="CB17" i="13" s="1"/>
  <c r="CD17" i="13" s="1"/>
  <c r="CN16" i="13"/>
  <c r="F1459" i="4" s="1"/>
  <c r="BJ17" i="13"/>
  <c r="BI17" i="13" s="1"/>
  <c r="BK17" i="13" s="1"/>
  <c r="G1098" i="4"/>
  <c r="G739" i="4"/>
  <c r="AQ19" i="13"/>
  <c r="L13" i="13"/>
  <c r="J13" i="13"/>
  <c r="H377" i="4" l="1"/>
  <c r="M377" i="4" s="1"/>
  <c r="G377" i="4"/>
  <c r="P1459" i="4"/>
  <c r="S1459" i="4"/>
  <c r="Q1098" i="4"/>
  <c r="K1098" i="4"/>
  <c r="J1098" i="4"/>
  <c r="K739" i="4"/>
  <c r="Q739" i="4"/>
  <c r="J739" i="4"/>
  <c r="K1459" i="4"/>
  <c r="Q1459" i="4"/>
  <c r="J1459" i="4"/>
  <c r="CH17" i="13"/>
  <c r="CJ17" i="13"/>
  <c r="BO17" i="13"/>
  <c r="BQ17" i="13"/>
  <c r="X18" i="13"/>
  <c r="AI17" i="13"/>
  <c r="F377" i="4" s="1"/>
  <c r="P377" i="4" s="1"/>
  <c r="AP19" i="13"/>
  <c r="AR19" i="13" s="1"/>
  <c r="O13" i="13"/>
  <c r="Q13" i="13" s="1"/>
  <c r="W18" i="13" l="1"/>
  <c r="Y18" i="13" s="1"/>
  <c r="AE18" i="13" s="1"/>
  <c r="H12" i="4"/>
  <c r="M12" i="4" s="1"/>
  <c r="L1459" i="4"/>
  <c r="N1459" i="4"/>
  <c r="O1458" i="4"/>
  <c r="N1098" i="4"/>
  <c r="L1098" i="4"/>
  <c r="O1097" i="4"/>
  <c r="Q377" i="4"/>
  <c r="K377" i="4"/>
  <c r="J377" i="4"/>
  <c r="N739" i="4"/>
  <c r="L739" i="4"/>
  <c r="O738" i="4"/>
  <c r="CM17" i="13"/>
  <c r="BT17" i="13"/>
  <c r="BV17" i="13" s="1"/>
  <c r="AX19" i="13"/>
  <c r="AV19" i="13"/>
  <c r="E14" i="13"/>
  <c r="P13" i="13"/>
  <c r="H1460" i="4" l="1"/>
  <c r="M1460" i="4" s="1"/>
  <c r="CO17" i="13"/>
  <c r="G1460" i="4" s="1"/>
  <c r="H1099" i="4"/>
  <c r="M1099" i="4" s="1"/>
  <c r="G1099" i="4"/>
  <c r="AC18" i="13"/>
  <c r="AH18" i="13" s="1"/>
  <c r="N377" i="4"/>
  <c r="L377" i="4"/>
  <c r="O376" i="4"/>
  <c r="G12" i="4"/>
  <c r="F12" i="4"/>
  <c r="CN17" i="13"/>
  <c r="F1460" i="4" s="1"/>
  <c r="CC18" i="13"/>
  <c r="CB18" i="13" s="1"/>
  <c r="CD18" i="13" s="1"/>
  <c r="BJ18" i="13"/>
  <c r="BU17" i="13"/>
  <c r="F1099" i="4" s="1"/>
  <c r="P1099" i="4" s="1"/>
  <c r="BA19" i="13"/>
  <c r="H740" i="4" s="1"/>
  <c r="M740" i="4" s="1"/>
  <c r="D14" i="13"/>
  <c r="H378" i="4" l="1"/>
  <c r="M378" i="4" s="1"/>
  <c r="G378" i="4"/>
  <c r="P1460" i="4"/>
  <c r="S1460" i="4"/>
  <c r="P12" i="4"/>
  <c r="S12" i="4"/>
  <c r="Q1099" i="4"/>
  <c r="K1099" i="4"/>
  <c r="J1099" i="4"/>
  <c r="Q1460" i="4"/>
  <c r="K1460" i="4"/>
  <c r="J1460" i="4"/>
  <c r="Q12" i="4"/>
  <c r="K12" i="4"/>
  <c r="J12" i="4"/>
  <c r="BB19" i="13"/>
  <c r="F740" i="4" s="1"/>
  <c r="P740" i="4" s="1"/>
  <c r="X19" i="13"/>
  <c r="AI18" i="13"/>
  <c r="F378" i="4" s="1"/>
  <c r="P378" i="4" s="1"/>
  <c r="G740" i="4"/>
  <c r="AQ20" i="13"/>
  <c r="AP20" i="13" s="1"/>
  <c r="AR20" i="13" s="1"/>
  <c r="CJ18" i="13"/>
  <c r="CH18" i="13"/>
  <c r="BI18" i="13"/>
  <c r="BK18" i="13" s="1"/>
  <c r="F14" i="13"/>
  <c r="W19" i="13" l="1"/>
  <c r="Y19" i="13" s="1"/>
  <c r="AC19" i="13" s="1"/>
  <c r="K378" i="4"/>
  <c r="Q378" i="4"/>
  <c r="J378" i="4"/>
  <c r="Q740" i="4"/>
  <c r="K740" i="4"/>
  <c r="J740" i="4"/>
  <c r="L1460" i="4"/>
  <c r="N1460" i="4"/>
  <c r="O1459" i="4"/>
  <c r="N1099" i="4"/>
  <c r="L1099" i="4"/>
  <c r="O1098" i="4"/>
  <c r="L12" i="4"/>
  <c r="N12" i="4"/>
  <c r="O11" i="4"/>
  <c r="CM18" i="13"/>
  <c r="BQ18" i="13"/>
  <c r="BO18" i="13"/>
  <c r="AX20" i="13"/>
  <c r="AV20" i="13"/>
  <c r="L14" i="13"/>
  <c r="J14" i="13"/>
  <c r="AE19" i="13" l="1"/>
  <c r="AH19" i="13" s="1"/>
  <c r="G379" i="4" s="1"/>
  <c r="L740" i="4"/>
  <c r="N740" i="4"/>
  <c r="O739" i="4"/>
  <c r="L378" i="4"/>
  <c r="N378" i="4"/>
  <c r="O377" i="4"/>
  <c r="G1461" i="4"/>
  <c r="H1461" i="4"/>
  <c r="M1461" i="4" s="1"/>
  <c r="CN18" i="13"/>
  <c r="F1461" i="4" s="1"/>
  <c r="CC19" i="13"/>
  <c r="CB19" i="13" s="1"/>
  <c r="CD19" i="13" s="1"/>
  <c r="BT18" i="13"/>
  <c r="BA20" i="13"/>
  <c r="H741" i="4" s="1"/>
  <c r="M741" i="4" s="1"/>
  <c r="O14" i="13"/>
  <c r="Q14" i="13" s="1"/>
  <c r="X20" i="13" l="1"/>
  <c r="W20" i="13" s="1"/>
  <c r="Y20" i="13" s="1"/>
  <c r="AE20" i="13" s="1"/>
  <c r="H379" i="4"/>
  <c r="M379" i="4" s="1"/>
  <c r="AI19" i="13"/>
  <c r="F379" i="4" s="1"/>
  <c r="P379" i="4" s="1"/>
  <c r="H13" i="4"/>
  <c r="M13" i="4" s="1"/>
  <c r="P1461" i="4"/>
  <c r="S1461" i="4"/>
  <c r="Q379" i="4"/>
  <c r="K379" i="4"/>
  <c r="J379" i="4"/>
  <c r="Q1461" i="4"/>
  <c r="J1461" i="4"/>
  <c r="K1461" i="4"/>
  <c r="BJ19" i="13"/>
  <c r="BI19" i="13" s="1"/>
  <c r="BK19" i="13" s="1"/>
  <c r="BO19" i="13" s="1"/>
  <c r="H1100" i="4"/>
  <c r="M1100" i="4" s="1"/>
  <c r="BB20" i="13"/>
  <c r="F741" i="4" s="1"/>
  <c r="P741" i="4" s="1"/>
  <c r="AQ21" i="13"/>
  <c r="AP21" i="13" s="1"/>
  <c r="AR21" i="13" s="1"/>
  <c r="G741" i="4"/>
  <c r="BU18" i="13"/>
  <c r="F1100" i="4" s="1"/>
  <c r="P1100" i="4" s="1"/>
  <c r="G1100" i="4"/>
  <c r="CH19" i="13"/>
  <c r="CJ19" i="13"/>
  <c r="E15" i="13"/>
  <c r="P14" i="13"/>
  <c r="AC20" i="13" l="1"/>
  <c r="AH20" i="13" s="1"/>
  <c r="N1461" i="4"/>
  <c r="L1461" i="4"/>
  <c r="O1460" i="4"/>
  <c r="K1100" i="4"/>
  <c r="Q1100" i="4"/>
  <c r="J1100" i="4"/>
  <c r="Q741" i="4"/>
  <c r="K741" i="4"/>
  <c r="J741" i="4"/>
  <c r="L379" i="4"/>
  <c r="N379" i="4"/>
  <c r="O378" i="4"/>
  <c r="BQ19" i="13"/>
  <c r="BT19" i="13" s="1"/>
  <c r="H1101" i="4" s="1"/>
  <c r="M1101" i="4" s="1"/>
  <c r="F13" i="4"/>
  <c r="G13" i="4"/>
  <c r="CM19" i="13"/>
  <c r="H1462" i="4" s="1"/>
  <c r="M1462" i="4" s="1"/>
  <c r="AX21" i="13"/>
  <c r="AV21" i="13"/>
  <c r="D15" i="13"/>
  <c r="H380" i="4" l="1"/>
  <c r="M380" i="4" s="1"/>
  <c r="P13" i="4"/>
  <c r="S13" i="4"/>
  <c r="L741" i="4"/>
  <c r="N741" i="4"/>
  <c r="O740" i="4"/>
  <c r="L1100" i="4"/>
  <c r="N1100" i="4"/>
  <c r="O1099" i="4"/>
  <c r="K13" i="4"/>
  <c r="Q13" i="4"/>
  <c r="J13" i="4"/>
  <c r="X21" i="13"/>
  <c r="G380" i="4"/>
  <c r="AI20" i="13"/>
  <c r="F380" i="4" s="1"/>
  <c r="P380" i="4" s="1"/>
  <c r="BA21" i="13"/>
  <c r="H742" i="4" s="1"/>
  <c r="M742" i="4" s="1"/>
  <c r="CC20" i="13"/>
  <c r="CN19" i="13"/>
  <c r="F1462" i="4" s="1"/>
  <c r="G1462" i="4"/>
  <c r="G1101" i="4"/>
  <c r="BJ20" i="13"/>
  <c r="BI20" i="13" s="1"/>
  <c r="BK20" i="13" s="1"/>
  <c r="BU19" i="13"/>
  <c r="F1101" i="4" s="1"/>
  <c r="P1101" i="4" s="1"/>
  <c r="F15" i="13"/>
  <c r="W21" i="13" l="1"/>
  <c r="Y21" i="13" s="1"/>
  <c r="AE21" i="13" s="1"/>
  <c r="P1462" i="4"/>
  <c r="S1462" i="4"/>
  <c r="Q1101" i="4"/>
  <c r="K1101" i="4"/>
  <c r="J1101" i="4"/>
  <c r="Q380" i="4"/>
  <c r="K380" i="4"/>
  <c r="J380" i="4"/>
  <c r="Q1462" i="4"/>
  <c r="K1462" i="4"/>
  <c r="J1462" i="4"/>
  <c r="N13" i="4"/>
  <c r="L13" i="4"/>
  <c r="O12" i="4"/>
  <c r="BB21" i="13"/>
  <c r="F742" i="4" s="1"/>
  <c r="P742" i="4" s="1"/>
  <c r="AQ22" i="13"/>
  <c r="AP22" i="13" s="1"/>
  <c r="AR22" i="13" s="1"/>
  <c r="G742" i="4"/>
  <c r="CB20" i="13"/>
  <c r="CD20" i="13" s="1"/>
  <c r="BQ20" i="13"/>
  <c r="BO20" i="13"/>
  <c r="J15" i="13"/>
  <c r="L15" i="13"/>
  <c r="AC21" i="13" l="1"/>
  <c r="AH21" i="13" s="1"/>
  <c r="G381" i="4" s="1"/>
  <c r="L380" i="4"/>
  <c r="N380" i="4"/>
  <c r="O379" i="4"/>
  <c r="Q742" i="4"/>
  <c r="K742" i="4"/>
  <c r="J742" i="4"/>
  <c r="L1101" i="4"/>
  <c r="N1101" i="4"/>
  <c r="O1100" i="4"/>
  <c r="L1462" i="4"/>
  <c r="N1462" i="4"/>
  <c r="O1461" i="4"/>
  <c r="BT20" i="13"/>
  <c r="CJ20" i="13"/>
  <c r="CH20" i="13"/>
  <c r="AX22" i="13"/>
  <c r="AV22" i="13"/>
  <c r="O15" i="13"/>
  <c r="Q15" i="13" s="1"/>
  <c r="X22" i="13" l="1"/>
  <c r="W22" i="13" s="1"/>
  <c r="Y22" i="13" s="1"/>
  <c r="AE22" i="13" s="1"/>
  <c r="AI21" i="13"/>
  <c r="F381" i="4" s="1"/>
  <c r="P381" i="4" s="1"/>
  <c r="H381" i="4"/>
  <c r="M381" i="4" s="1"/>
  <c r="H14" i="4"/>
  <c r="M14" i="4" s="1"/>
  <c r="K381" i="4"/>
  <c r="Q381" i="4"/>
  <c r="J381" i="4"/>
  <c r="N742" i="4"/>
  <c r="L742" i="4"/>
  <c r="O741" i="4"/>
  <c r="G1102" i="4"/>
  <c r="H1102" i="4"/>
  <c r="M1102" i="4" s="1"/>
  <c r="BU20" i="13"/>
  <c r="F1102" i="4" s="1"/>
  <c r="P1102" i="4" s="1"/>
  <c r="BJ21" i="13"/>
  <c r="BI21" i="13" s="1"/>
  <c r="BK21" i="13" s="1"/>
  <c r="BA22" i="13"/>
  <c r="H743" i="4" s="1"/>
  <c r="M743" i="4" s="1"/>
  <c r="CM20" i="13"/>
  <c r="P15" i="13"/>
  <c r="E16" i="13"/>
  <c r="AC22" i="13" l="1"/>
  <c r="AH22" i="13" s="1"/>
  <c r="G382" i="4" s="1"/>
  <c r="Q1102" i="4"/>
  <c r="K1102" i="4"/>
  <c r="J1102" i="4"/>
  <c r="N381" i="4"/>
  <c r="L381" i="4"/>
  <c r="O380" i="4"/>
  <c r="CC21" i="13"/>
  <c r="CB21" i="13" s="1"/>
  <c r="CD21" i="13" s="1"/>
  <c r="CJ21" i="13" s="1"/>
  <c r="H1463" i="4"/>
  <c r="M1463" i="4" s="1"/>
  <c r="BB22" i="13"/>
  <c r="F743" i="4" s="1"/>
  <c r="P743" i="4" s="1"/>
  <c r="G14" i="4"/>
  <c r="F14" i="4"/>
  <c r="G743" i="4"/>
  <c r="AQ23" i="13"/>
  <c r="AP23" i="13" s="1"/>
  <c r="AR23" i="13" s="1"/>
  <c r="G1463" i="4"/>
  <c r="CN20" i="13"/>
  <c r="F1463" i="4" s="1"/>
  <c r="BO21" i="13"/>
  <c r="BQ21" i="13"/>
  <c r="D16" i="13"/>
  <c r="H382" i="4" l="1"/>
  <c r="M382" i="4" s="1"/>
  <c r="AI22" i="13"/>
  <c r="F382" i="4" s="1"/>
  <c r="P382" i="4" s="1"/>
  <c r="X23" i="13"/>
  <c r="W23" i="13" s="1"/>
  <c r="Y23" i="13" s="1"/>
  <c r="CH21" i="13"/>
  <c r="CM21" i="13" s="1"/>
  <c r="H1464" i="4" s="1"/>
  <c r="M1464" i="4" s="1"/>
  <c r="P1463" i="4"/>
  <c r="S1463" i="4"/>
  <c r="P14" i="4"/>
  <c r="S14" i="4"/>
  <c r="Q743" i="4"/>
  <c r="K743" i="4"/>
  <c r="J743" i="4"/>
  <c r="K382" i="4"/>
  <c r="Q382" i="4"/>
  <c r="J382" i="4"/>
  <c r="L1102" i="4"/>
  <c r="N1102" i="4"/>
  <c r="O1101" i="4"/>
  <c r="K1463" i="4"/>
  <c r="Q1463" i="4"/>
  <c r="J1463" i="4"/>
  <c r="Q14" i="4"/>
  <c r="K14" i="4"/>
  <c r="J14" i="4"/>
  <c r="BT21" i="13"/>
  <c r="H1103" i="4" s="1"/>
  <c r="M1103" i="4" s="1"/>
  <c r="AV23" i="13"/>
  <c r="AX23" i="13"/>
  <c r="F16" i="13"/>
  <c r="N743" i="4" l="1"/>
  <c r="L743" i="4"/>
  <c r="O742" i="4"/>
  <c r="L1463" i="4"/>
  <c r="N1463" i="4"/>
  <c r="O1462" i="4"/>
  <c r="L382" i="4"/>
  <c r="N382" i="4"/>
  <c r="O381" i="4"/>
  <c r="N14" i="4"/>
  <c r="L14" i="4"/>
  <c r="O13" i="4"/>
  <c r="CC22" i="13"/>
  <c r="CB22" i="13" s="1"/>
  <c r="CD22" i="13" s="1"/>
  <c r="CH22" i="13" s="1"/>
  <c r="G1464" i="4"/>
  <c r="CN21" i="13"/>
  <c r="F1464" i="4" s="1"/>
  <c r="BJ22" i="13"/>
  <c r="BU21" i="13"/>
  <c r="F1103" i="4" s="1"/>
  <c r="P1103" i="4" s="1"/>
  <c r="G1103" i="4"/>
  <c r="BA23" i="13"/>
  <c r="AC23" i="13"/>
  <c r="AE23" i="13"/>
  <c r="L16" i="13"/>
  <c r="J16" i="13"/>
  <c r="H744" i="4" l="1"/>
  <c r="M744" i="4" s="1"/>
  <c r="BC23" i="13"/>
  <c r="G744" i="4" s="1"/>
  <c r="P1464" i="4"/>
  <c r="S1464" i="4"/>
  <c r="Q1464" i="4"/>
  <c r="K1464" i="4"/>
  <c r="J1464" i="4"/>
  <c r="K1103" i="4"/>
  <c r="Q1103" i="4"/>
  <c r="J1103" i="4"/>
  <c r="BB23" i="13"/>
  <c r="F744" i="4" s="1"/>
  <c r="P744" i="4" s="1"/>
  <c r="CJ22" i="13"/>
  <c r="CM22" i="13" s="1"/>
  <c r="H1465" i="4" s="1"/>
  <c r="M1465" i="4" s="1"/>
  <c r="BI22" i="13"/>
  <c r="BK22" i="13" s="1"/>
  <c r="AH23" i="13"/>
  <c r="AJ23" i="13" s="1"/>
  <c r="AQ24" i="13"/>
  <c r="O16" i="13"/>
  <c r="Q16" i="13" s="1"/>
  <c r="H383" i="4" l="1"/>
  <c r="M383" i="4" s="1"/>
  <c r="G383" i="4"/>
  <c r="H15" i="4"/>
  <c r="M15" i="4" s="1"/>
  <c r="Q744" i="4"/>
  <c r="K744" i="4"/>
  <c r="J744" i="4"/>
  <c r="L1103" i="4"/>
  <c r="N1103" i="4"/>
  <c r="O1102" i="4"/>
  <c r="L1464" i="4"/>
  <c r="N1464" i="4"/>
  <c r="O1463" i="4"/>
  <c r="AI23" i="13"/>
  <c r="F383" i="4" s="1"/>
  <c r="P383" i="4" s="1"/>
  <c r="X24" i="13"/>
  <c r="BQ22" i="13"/>
  <c r="BO22" i="13"/>
  <c r="CN22" i="13"/>
  <c r="F1465" i="4" s="1"/>
  <c r="CC23" i="13"/>
  <c r="G1465" i="4"/>
  <c r="AP24" i="13"/>
  <c r="AR24" i="13" s="1"/>
  <c r="P16" i="13"/>
  <c r="E17" i="13"/>
  <c r="W24" i="13" l="1"/>
  <c r="Y24" i="13" s="1"/>
  <c r="AE24" i="13" s="1"/>
  <c r="P1465" i="4"/>
  <c r="S1465" i="4"/>
  <c r="L744" i="4"/>
  <c r="N744" i="4"/>
  <c r="O743" i="4"/>
  <c r="Q1465" i="4"/>
  <c r="K1465" i="4"/>
  <c r="J1465" i="4"/>
  <c r="K383" i="4"/>
  <c r="Q383" i="4"/>
  <c r="J383" i="4"/>
  <c r="G15" i="4"/>
  <c r="F15" i="4"/>
  <c r="BT22" i="13"/>
  <c r="CB23" i="13"/>
  <c r="CD23" i="13" s="1"/>
  <c r="AX24" i="13"/>
  <c r="AV24" i="13"/>
  <c r="D17" i="13"/>
  <c r="AC24" i="13" l="1"/>
  <c r="AH24" i="13" s="1"/>
  <c r="AJ24" i="13" s="1"/>
  <c r="P15" i="4"/>
  <c r="S15" i="4"/>
  <c r="L383" i="4"/>
  <c r="N383" i="4"/>
  <c r="O382" i="4"/>
  <c r="L1465" i="4"/>
  <c r="N1465" i="4"/>
  <c r="O1464" i="4"/>
  <c r="Q15" i="4"/>
  <c r="K15" i="4"/>
  <c r="J15" i="4"/>
  <c r="BJ23" i="13"/>
  <c r="BI23" i="13" s="1"/>
  <c r="BK23" i="13" s="1"/>
  <c r="H1104" i="4"/>
  <c r="M1104" i="4" s="1"/>
  <c r="G1104" i="4"/>
  <c r="BU22" i="13"/>
  <c r="F1104" i="4" s="1"/>
  <c r="P1104" i="4" s="1"/>
  <c r="BA24" i="13"/>
  <c r="CJ23" i="13"/>
  <c r="CH23" i="13"/>
  <c r="F17" i="13"/>
  <c r="H745" i="4" l="1"/>
  <c r="M745" i="4" s="1"/>
  <c r="BC24" i="13"/>
  <c r="G745" i="4" s="1"/>
  <c r="H384" i="4"/>
  <c r="M384" i="4" s="1"/>
  <c r="K1104" i="4"/>
  <c r="Q1104" i="4"/>
  <c r="J1104" i="4"/>
  <c r="N15" i="4"/>
  <c r="L15" i="4"/>
  <c r="O14" i="4"/>
  <c r="AQ25" i="13"/>
  <c r="AP25" i="13" s="1"/>
  <c r="AR25" i="13" s="1"/>
  <c r="BB24" i="13"/>
  <c r="F745" i="4" s="1"/>
  <c r="P745" i="4" s="1"/>
  <c r="G384" i="4"/>
  <c r="X25" i="13"/>
  <c r="AI24" i="13"/>
  <c r="F384" i="4" s="1"/>
  <c r="P384" i="4" s="1"/>
  <c r="CM23" i="13"/>
  <c r="CO23" i="13" s="1"/>
  <c r="BO23" i="13"/>
  <c r="BQ23" i="13"/>
  <c r="J17" i="13"/>
  <c r="L17" i="13"/>
  <c r="W25" i="13" l="1"/>
  <c r="Y25" i="13" s="1"/>
  <c r="AE25" i="13" s="1"/>
  <c r="Q384" i="4"/>
  <c r="J384" i="4"/>
  <c r="K384" i="4"/>
  <c r="Q745" i="4"/>
  <c r="K745" i="4"/>
  <c r="J745" i="4"/>
  <c r="L1104" i="4"/>
  <c r="N1104" i="4"/>
  <c r="O1103" i="4"/>
  <c r="CN23" i="13"/>
  <c r="F1466" i="4" s="1"/>
  <c r="H1466" i="4"/>
  <c r="M1466" i="4" s="1"/>
  <c r="G1466" i="4"/>
  <c r="CC24" i="13"/>
  <c r="CB24" i="13" s="1"/>
  <c r="CD24" i="13" s="1"/>
  <c r="BT23" i="13"/>
  <c r="BV23" i="13" s="1"/>
  <c r="AX25" i="13"/>
  <c r="AV25" i="13"/>
  <c r="O17" i="13"/>
  <c r="Q17" i="13" s="1"/>
  <c r="AC25" i="13" l="1"/>
  <c r="AH25" i="13" s="1"/>
  <c r="AJ25" i="13" s="1"/>
  <c r="H16" i="4"/>
  <c r="M16" i="4" s="1"/>
  <c r="P1466" i="4"/>
  <c r="S1466" i="4"/>
  <c r="Q1466" i="4"/>
  <c r="K1466" i="4"/>
  <c r="J1466" i="4"/>
  <c r="L745" i="4"/>
  <c r="N745" i="4"/>
  <c r="O744" i="4"/>
  <c r="L384" i="4"/>
  <c r="N384" i="4"/>
  <c r="O383" i="4"/>
  <c r="G1105" i="4"/>
  <c r="H1105" i="4"/>
  <c r="M1105" i="4" s="1"/>
  <c r="BA25" i="13"/>
  <c r="BJ24" i="13"/>
  <c r="BI24" i="13" s="1"/>
  <c r="BK24" i="13" s="1"/>
  <c r="BQ24" i="13" s="1"/>
  <c r="BU23" i="13"/>
  <c r="F1105" i="4" s="1"/>
  <c r="P1105" i="4" s="1"/>
  <c r="CH24" i="13"/>
  <c r="CJ24" i="13"/>
  <c r="P17" i="13"/>
  <c r="E18" i="13"/>
  <c r="H746" i="4" l="1"/>
  <c r="M746" i="4" s="1"/>
  <c r="BC25" i="13"/>
  <c r="G746" i="4" s="1"/>
  <c r="H385" i="4"/>
  <c r="M385" i="4" s="1"/>
  <c r="G385" i="4"/>
  <c r="Q1105" i="4"/>
  <c r="K1105" i="4"/>
  <c r="J1105" i="4"/>
  <c r="L1466" i="4"/>
  <c r="N1466" i="4"/>
  <c r="O1465" i="4"/>
  <c r="BB25" i="13"/>
  <c r="F746" i="4" s="1"/>
  <c r="P746" i="4" s="1"/>
  <c r="X26" i="13"/>
  <c r="G16" i="4"/>
  <c r="F16" i="4"/>
  <c r="AI25" i="13"/>
  <c r="F385" i="4" s="1"/>
  <c r="P385" i="4" s="1"/>
  <c r="AQ26" i="13"/>
  <c r="AP26" i="13" s="1"/>
  <c r="AR26" i="13" s="1"/>
  <c r="BO24" i="13"/>
  <c r="BT24" i="13" s="1"/>
  <c r="BV24" i="13" s="1"/>
  <c r="CM24" i="13"/>
  <c r="D18" i="13"/>
  <c r="H1467" i="4" l="1"/>
  <c r="M1467" i="4" s="1"/>
  <c r="CO24" i="13"/>
  <c r="G1467" i="4" s="1"/>
  <c r="W26" i="13"/>
  <c r="Y26" i="13" s="1"/>
  <c r="AC26" i="13" s="1"/>
  <c r="P16" i="4"/>
  <c r="S16" i="4"/>
  <c r="Q746" i="4"/>
  <c r="K746" i="4"/>
  <c r="J746" i="4"/>
  <c r="L1105" i="4"/>
  <c r="N1105" i="4"/>
  <c r="O1104" i="4"/>
  <c r="Q385" i="4"/>
  <c r="K385" i="4"/>
  <c r="J385" i="4"/>
  <c r="K16" i="4"/>
  <c r="Q16" i="4"/>
  <c r="J16" i="4"/>
  <c r="BU24" i="13"/>
  <c r="F1106" i="4" s="1"/>
  <c r="P1106" i="4" s="1"/>
  <c r="H1106" i="4"/>
  <c r="M1106" i="4" s="1"/>
  <c r="G1106" i="4"/>
  <c r="BJ25" i="13"/>
  <c r="BI25" i="13" s="1"/>
  <c r="BK25" i="13" s="1"/>
  <c r="BQ25" i="13" s="1"/>
  <c r="CC25" i="13"/>
  <c r="CN24" i="13"/>
  <c r="F1467" i="4" s="1"/>
  <c r="AX26" i="13"/>
  <c r="AV26" i="13"/>
  <c r="F18" i="13"/>
  <c r="AE26" i="13" l="1"/>
  <c r="AH26" i="13" s="1"/>
  <c r="AJ26" i="13" s="1"/>
  <c r="P1467" i="4"/>
  <c r="S1467" i="4"/>
  <c r="Q1467" i="4"/>
  <c r="K1467" i="4"/>
  <c r="J1467" i="4"/>
  <c r="Q1106" i="4"/>
  <c r="K1106" i="4"/>
  <c r="J1106" i="4"/>
  <c r="N746" i="4"/>
  <c r="L746" i="4"/>
  <c r="O745" i="4"/>
  <c r="L385" i="4"/>
  <c r="N385" i="4"/>
  <c r="O384" i="4"/>
  <c r="L16" i="4"/>
  <c r="N16" i="4"/>
  <c r="O15" i="4"/>
  <c r="BO25" i="13"/>
  <c r="BT25" i="13" s="1"/>
  <c r="BV25" i="13" s="1"/>
  <c r="BA26" i="13"/>
  <c r="CB25" i="13"/>
  <c r="CD25" i="13" s="1"/>
  <c r="L18" i="13"/>
  <c r="J18" i="13"/>
  <c r="H747" i="4" l="1"/>
  <c r="M747" i="4" s="1"/>
  <c r="BC26" i="13"/>
  <c r="G747" i="4" s="1"/>
  <c r="H386" i="4"/>
  <c r="M386" i="4" s="1"/>
  <c r="L1467" i="4"/>
  <c r="N1467" i="4"/>
  <c r="O1466" i="4"/>
  <c r="L1106" i="4"/>
  <c r="N1106" i="4"/>
  <c r="O1105" i="4"/>
  <c r="AI26" i="13"/>
  <c r="F386" i="4" s="1"/>
  <c r="P386" i="4" s="1"/>
  <c r="BJ26" i="13"/>
  <c r="BI26" i="13" s="1"/>
  <c r="BK26" i="13" s="1"/>
  <c r="BO26" i="13" s="1"/>
  <c r="H1107" i="4"/>
  <c r="M1107" i="4" s="1"/>
  <c r="G386" i="4"/>
  <c r="BB26" i="13"/>
  <c r="F747" i="4" s="1"/>
  <c r="P747" i="4" s="1"/>
  <c r="X27" i="13"/>
  <c r="G1107" i="4"/>
  <c r="BU25" i="13"/>
  <c r="F1107" i="4" s="1"/>
  <c r="P1107" i="4" s="1"/>
  <c r="AQ27" i="13"/>
  <c r="AP27" i="13" s="1"/>
  <c r="AR27" i="13" s="1"/>
  <c r="CJ25" i="13"/>
  <c r="CH25" i="13"/>
  <c r="O18" i="13"/>
  <c r="W27" i="13" l="1"/>
  <c r="Y27" i="13" s="1"/>
  <c r="AE27" i="13" s="1"/>
  <c r="H17" i="4"/>
  <c r="M17" i="4" s="1"/>
  <c r="K1107" i="4"/>
  <c r="Q1107" i="4"/>
  <c r="J1107" i="4"/>
  <c r="Q747" i="4"/>
  <c r="K747" i="4"/>
  <c r="J747" i="4"/>
  <c r="K386" i="4"/>
  <c r="Q386" i="4"/>
  <c r="J386" i="4"/>
  <c r="BQ26" i="13"/>
  <c r="BT26" i="13" s="1"/>
  <c r="BV26" i="13" s="1"/>
  <c r="CM25" i="13"/>
  <c r="CO25" i="13" s="1"/>
  <c r="AX27" i="13"/>
  <c r="AV27" i="13"/>
  <c r="P18" i="13"/>
  <c r="E19" i="13"/>
  <c r="AC27" i="13" l="1"/>
  <c r="AH27" i="13" s="1"/>
  <c r="AJ27" i="13" s="1"/>
  <c r="L386" i="4"/>
  <c r="N386" i="4"/>
  <c r="O385" i="4"/>
  <c r="L747" i="4"/>
  <c r="N747" i="4"/>
  <c r="O746" i="4"/>
  <c r="L1107" i="4"/>
  <c r="N1107" i="4"/>
  <c r="O1106" i="4"/>
  <c r="G1468" i="4"/>
  <c r="H1468" i="4"/>
  <c r="M1468" i="4" s="1"/>
  <c r="H1108" i="4"/>
  <c r="M1108" i="4" s="1"/>
  <c r="G1108" i="4"/>
  <c r="BU26" i="13"/>
  <c r="F1108" i="4" s="1"/>
  <c r="P1108" i="4" s="1"/>
  <c r="BJ27" i="13"/>
  <c r="BI27" i="13" s="1"/>
  <c r="BK27" i="13" s="1"/>
  <c r="G17" i="4"/>
  <c r="F17" i="4"/>
  <c r="CC26" i="13"/>
  <c r="CB26" i="13" s="1"/>
  <c r="CD26" i="13" s="1"/>
  <c r="CN25" i="13"/>
  <c r="F1468" i="4" s="1"/>
  <c r="BA27" i="13"/>
  <c r="D19" i="13"/>
  <c r="H748" i="4" l="1"/>
  <c r="M748" i="4" s="1"/>
  <c r="BC27" i="13"/>
  <c r="G748" i="4" s="1"/>
  <c r="H387" i="4"/>
  <c r="M387" i="4" s="1"/>
  <c r="P1468" i="4"/>
  <c r="S1468" i="4"/>
  <c r="P17" i="4"/>
  <c r="S17" i="4"/>
  <c r="Q1468" i="4"/>
  <c r="K1468" i="4"/>
  <c r="J1468" i="4"/>
  <c r="Q1108" i="4"/>
  <c r="K1108" i="4"/>
  <c r="J1108" i="4"/>
  <c r="Q17" i="4"/>
  <c r="K17" i="4"/>
  <c r="J17" i="4"/>
  <c r="BB27" i="13"/>
  <c r="F748" i="4" s="1"/>
  <c r="P748" i="4" s="1"/>
  <c r="AQ28" i="13"/>
  <c r="AP28" i="13" s="1"/>
  <c r="AR28" i="13" s="1"/>
  <c r="CH26" i="13"/>
  <c r="CJ26" i="13"/>
  <c r="BO27" i="13"/>
  <c r="BQ27" i="13"/>
  <c r="X28" i="13"/>
  <c r="G387" i="4"/>
  <c r="AI27" i="13"/>
  <c r="F387" i="4" s="1"/>
  <c r="P387" i="4" s="1"/>
  <c r="F19" i="13"/>
  <c r="Q387" i="4" l="1"/>
  <c r="K387" i="4"/>
  <c r="J387" i="4"/>
  <c r="Q748" i="4"/>
  <c r="K748" i="4"/>
  <c r="J748" i="4"/>
  <c r="L1108" i="4"/>
  <c r="N1108" i="4"/>
  <c r="O1107" i="4"/>
  <c r="L1468" i="4"/>
  <c r="N1468" i="4"/>
  <c r="O1467" i="4"/>
  <c r="L17" i="4"/>
  <c r="N17" i="4"/>
  <c r="O16" i="4"/>
  <c r="CM26" i="13"/>
  <c r="CO26" i="13" s="1"/>
  <c r="BT27" i="13"/>
  <c r="BV27" i="13" s="1"/>
  <c r="AX28" i="13"/>
  <c r="AV28" i="13"/>
  <c r="W28" i="13"/>
  <c r="Y28" i="13" s="1"/>
  <c r="J19" i="13"/>
  <c r="L19" i="13"/>
  <c r="N748" i="4" l="1"/>
  <c r="L748" i="4"/>
  <c r="O747" i="4"/>
  <c r="N387" i="4"/>
  <c r="L387" i="4"/>
  <c r="O386" i="4"/>
  <c r="CC27" i="13"/>
  <c r="CB27" i="13" s="1"/>
  <c r="CD27" i="13" s="1"/>
  <c r="H1469" i="4"/>
  <c r="M1469" i="4" s="1"/>
  <c r="BJ28" i="13"/>
  <c r="BI28" i="13" s="1"/>
  <c r="BK28" i="13" s="1"/>
  <c r="H1109" i="4"/>
  <c r="M1109" i="4" s="1"/>
  <c r="BU27" i="13"/>
  <c r="F1109" i="4" s="1"/>
  <c r="P1109" i="4" s="1"/>
  <c r="CN26" i="13"/>
  <c r="F1469" i="4" s="1"/>
  <c r="G1469" i="4"/>
  <c r="BA28" i="13"/>
  <c r="G1109" i="4"/>
  <c r="AC28" i="13"/>
  <c r="AE28" i="13"/>
  <c r="O19" i="13"/>
  <c r="H749" i="4" l="1"/>
  <c r="M749" i="4" s="1"/>
  <c r="BC28" i="13"/>
  <c r="G749" i="4" s="1"/>
  <c r="H18" i="4"/>
  <c r="M18" i="4" s="1"/>
  <c r="P1469" i="4"/>
  <c r="S1469" i="4"/>
  <c r="K1109" i="4"/>
  <c r="Q1109" i="4"/>
  <c r="J1109" i="4"/>
  <c r="K1469" i="4"/>
  <c r="Q1469" i="4"/>
  <c r="J1469" i="4"/>
  <c r="BB28" i="13"/>
  <c r="F749" i="4" s="1"/>
  <c r="P749" i="4" s="1"/>
  <c r="AQ29" i="13"/>
  <c r="AP29" i="13" s="1"/>
  <c r="AR29" i="13" s="1"/>
  <c r="CJ27" i="13"/>
  <c r="CH27" i="13"/>
  <c r="BO28" i="13"/>
  <c r="BQ28" i="13"/>
  <c r="AH28" i="13"/>
  <c r="AJ28" i="13" s="1"/>
  <c r="E20" i="13"/>
  <c r="P19" i="13"/>
  <c r="H388" i="4" l="1"/>
  <c r="M388" i="4" s="1"/>
  <c r="G388" i="4"/>
  <c r="Q749" i="4"/>
  <c r="K749" i="4"/>
  <c r="J749" i="4"/>
  <c r="L1469" i="4"/>
  <c r="N1469" i="4"/>
  <c r="O1468" i="4"/>
  <c r="N1109" i="4"/>
  <c r="L1109" i="4"/>
  <c r="O1108" i="4"/>
  <c r="F18" i="4"/>
  <c r="G18" i="4"/>
  <c r="CM27" i="13"/>
  <c r="CO27" i="13" s="1"/>
  <c r="BT28" i="13"/>
  <c r="BV28" i="13" s="1"/>
  <c r="AV29" i="13"/>
  <c r="AX29" i="13"/>
  <c r="AI28" i="13"/>
  <c r="F388" i="4" s="1"/>
  <c r="P388" i="4" s="1"/>
  <c r="X29" i="13"/>
  <c r="D20" i="13"/>
  <c r="H1110" i="4" l="1"/>
  <c r="M1110" i="4" s="1"/>
  <c r="P18" i="4"/>
  <c r="S18" i="4"/>
  <c r="K388" i="4"/>
  <c r="Q388" i="4"/>
  <c r="J388" i="4"/>
  <c r="N749" i="4"/>
  <c r="L749" i="4"/>
  <c r="O748" i="4"/>
  <c r="K18" i="4"/>
  <c r="Q18" i="4"/>
  <c r="J18" i="4"/>
  <c r="CN27" i="13"/>
  <c r="F1470" i="4" s="1"/>
  <c r="H1470" i="4"/>
  <c r="M1470" i="4" s="1"/>
  <c r="G1470" i="4"/>
  <c r="CC28" i="13"/>
  <c r="CB28" i="13" s="1"/>
  <c r="CD28" i="13" s="1"/>
  <c r="G1110" i="4"/>
  <c r="BU28" i="13"/>
  <c r="F1110" i="4" s="1"/>
  <c r="P1110" i="4" s="1"/>
  <c r="BJ29" i="13"/>
  <c r="BA29" i="13"/>
  <c r="W29" i="13"/>
  <c r="Y29" i="13" s="1"/>
  <c r="F20" i="13"/>
  <c r="H750" i="4" l="1"/>
  <c r="M750" i="4" s="1"/>
  <c r="BC29" i="13"/>
  <c r="G750" i="4" s="1"/>
  <c r="P1470" i="4"/>
  <c r="S1470" i="4"/>
  <c r="K1110" i="4"/>
  <c r="Q1110" i="4"/>
  <c r="J1110" i="4"/>
  <c r="K1470" i="4"/>
  <c r="J1470" i="4"/>
  <c r="Q1470" i="4"/>
  <c r="L388" i="4"/>
  <c r="N388" i="4"/>
  <c r="O387" i="4"/>
  <c r="L18" i="4"/>
  <c r="N18" i="4"/>
  <c r="O17" i="4"/>
  <c r="BB29" i="13"/>
  <c r="F750" i="4" s="1"/>
  <c r="P750" i="4" s="1"/>
  <c r="CJ28" i="13"/>
  <c r="CH28" i="13"/>
  <c r="BI29" i="13"/>
  <c r="BK29" i="13" s="1"/>
  <c r="AQ30" i="13"/>
  <c r="AE29" i="13"/>
  <c r="AC29" i="13"/>
  <c r="J20" i="13"/>
  <c r="L20" i="13"/>
  <c r="Q750" i="4" l="1"/>
  <c r="K750" i="4"/>
  <c r="J750" i="4"/>
  <c r="N1470" i="4"/>
  <c r="L1470" i="4"/>
  <c r="O1469" i="4"/>
  <c r="N1110" i="4"/>
  <c r="L1110" i="4"/>
  <c r="O1109" i="4"/>
  <c r="CM28" i="13"/>
  <c r="CO28" i="13" s="1"/>
  <c r="BQ29" i="13"/>
  <c r="BO29" i="13"/>
  <c r="AH29" i="13"/>
  <c r="AJ29" i="13" s="1"/>
  <c r="AP30" i="13"/>
  <c r="AR30" i="13" s="1"/>
  <c r="O20" i="13"/>
  <c r="H389" i="4" l="1"/>
  <c r="M389" i="4" s="1"/>
  <c r="H19" i="4"/>
  <c r="M19" i="4" s="1"/>
  <c r="L750" i="4"/>
  <c r="N750" i="4"/>
  <c r="O749" i="4"/>
  <c r="CN28" i="13"/>
  <c r="F1471" i="4" s="1"/>
  <c r="H1471" i="4"/>
  <c r="M1471" i="4" s="1"/>
  <c r="X30" i="13"/>
  <c r="G389" i="4"/>
  <c r="G1471" i="4"/>
  <c r="CC29" i="13"/>
  <c r="CB29" i="13" s="1"/>
  <c r="CD29" i="13" s="1"/>
  <c r="AI29" i="13"/>
  <c r="F389" i="4" s="1"/>
  <c r="P389" i="4" s="1"/>
  <c r="BT29" i="13"/>
  <c r="BV29" i="13" s="1"/>
  <c r="AV30" i="13"/>
  <c r="AX30" i="13"/>
  <c r="E21" i="13"/>
  <c r="P20" i="13"/>
  <c r="W30" i="13" l="1"/>
  <c r="Y30" i="13" s="1"/>
  <c r="AE30" i="13" s="1"/>
  <c r="P1471" i="4"/>
  <c r="S1471" i="4"/>
  <c r="K389" i="4"/>
  <c r="Q389" i="4"/>
  <c r="J389" i="4"/>
  <c r="Q1471" i="4"/>
  <c r="K1471" i="4"/>
  <c r="J1471" i="4"/>
  <c r="BJ30" i="13"/>
  <c r="BI30" i="13" s="1"/>
  <c r="BK30" i="13" s="1"/>
  <c r="H1111" i="4"/>
  <c r="M1111" i="4" s="1"/>
  <c r="G19" i="4"/>
  <c r="F19" i="4"/>
  <c r="BU29" i="13"/>
  <c r="F1111" i="4" s="1"/>
  <c r="P1111" i="4" s="1"/>
  <c r="G1111" i="4"/>
  <c r="CH29" i="13"/>
  <c r="CJ29" i="13"/>
  <c r="BA30" i="13"/>
  <c r="H751" i="4" s="1"/>
  <c r="M751" i="4" s="1"/>
  <c r="D21" i="13"/>
  <c r="AC30" i="13" l="1"/>
  <c r="AH30" i="13" s="1"/>
  <c r="P19" i="4"/>
  <c r="S19" i="4"/>
  <c r="K1111" i="4"/>
  <c r="Q1111" i="4"/>
  <c r="J1111" i="4"/>
  <c r="L1471" i="4"/>
  <c r="N1471" i="4"/>
  <c r="O1470" i="4"/>
  <c r="N389" i="4"/>
  <c r="L389" i="4"/>
  <c r="O388" i="4"/>
  <c r="Q19" i="4"/>
  <c r="K19" i="4"/>
  <c r="J19" i="4"/>
  <c r="BB30" i="13"/>
  <c r="F751" i="4" s="1"/>
  <c r="P751" i="4" s="1"/>
  <c r="CM29" i="13"/>
  <c r="BQ30" i="13"/>
  <c r="BO30" i="13"/>
  <c r="AQ31" i="13"/>
  <c r="G751" i="4"/>
  <c r="F21" i="13"/>
  <c r="H1472" i="4" l="1"/>
  <c r="M1472" i="4" s="1"/>
  <c r="CO29" i="13"/>
  <c r="G1472" i="4" s="1"/>
  <c r="H390" i="4"/>
  <c r="M390" i="4" s="1"/>
  <c r="G390" i="4"/>
  <c r="AI30" i="13"/>
  <c r="F390" i="4" s="1"/>
  <c r="P390" i="4" s="1"/>
  <c r="K751" i="4"/>
  <c r="Q751" i="4"/>
  <c r="J751" i="4"/>
  <c r="N1111" i="4"/>
  <c r="L1111" i="4"/>
  <c r="O1110" i="4"/>
  <c r="N19" i="4"/>
  <c r="L19" i="4"/>
  <c r="O18" i="4"/>
  <c r="X31" i="13"/>
  <c r="BT30" i="13"/>
  <c r="CC30" i="13"/>
  <c r="CN29" i="13"/>
  <c r="F1472" i="4" s="1"/>
  <c r="AP31" i="13"/>
  <c r="AR31" i="13" s="1"/>
  <c r="L21" i="13"/>
  <c r="J21" i="13"/>
  <c r="W31" i="13" l="1"/>
  <c r="Y31" i="13" s="1"/>
  <c r="AC31" i="13" s="1"/>
  <c r="P1472" i="4"/>
  <c r="S1472" i="4"/>
  <c r="Q390" i="4"/>
  <c r="K390" i="4"/>
  <c r="J390" i="4"/>
  <c r="L751" i="4"/>
  <c r="N751" i="4"/>
  <c r="O750" i="4"/>
  <c r="Q1472" i="4"/>
  <c r="K1472" i="4"/>
  <c r="J1472" i="4"/>
  <c r="BJ31" i="13"/>
  <c r="BI31" i="13" s="1"/>
  <c r="BK31" i="13" s="1"/>
  <c r="H1112" i="4"/>
  <c r="M1112" i="4" s="1"/>
  <c r="BU30" i="13"/>
  <c r="F1112" i="4" s="1"/>
  <c r="P1112" i="4" s="1"/>
  <c r="G1112" i="4"/>
  <c r="CB30" i="13"/>
  <c r="CD30" i="13" s="1"/>
  <c r="AX31" i="13"/>
  <c r="AV31" i="13"/>
  <c r="O21" i="13"/>
  <c r="AE31" i="13" l="1"/>
  <c r="AH31" i="13" s="1"/>
  <c r="H20" i="4"/>
  <c r="M20" i="4" s="1"/>
  <c r="K1112" i="4"/>
  <c r="Q1112" i="4"/>
  <c r="J1112" i="4"/>
  <c r="N390" i="4"/>
  <c r="L390" i="4"/>
  <c r="O389" i="4"/>
  <c r="L1472" i="4"/>
  <c r="N1472" i="4"/>
  <c r="O1471" i="4"/>
  <c r="BA31" i="13"/>
  <c r="H752" i="4" s="1"/>
  <c r="M752" i="4" s="1"/>
  <c r="CJ30" i="13"/>
  <c r="CH30" i="13"/>
  <c r="BO31" i="13"/>
  <c r="BQ31" i="13"/>
  <c r="E22" i="13"/>
  <c r="P21" i="13"/>
  <c r="L1112" i="4" l="1"/>
  <c r="N1112" i="4"/>
  <c r="O1111" i="4"/>
  <c r="BB31" i="13"/>
  <c r="F752" i="4" s="1"/>
  <c r="P752" i="4" s="1"/>
  <c r="G391" i="4"/>
  <c r="H391" i="4"/>
  <c r="M391" i="4" s="1"/>
  <c r="AI31" i="13"/>
  <c r="F391" i="4" s="1"/>
  <c r="P391" i="4" s="1"/>
  <c r="X32" i="13"/>
  <c r="AQ32" i="13"/>
  <c r="AP32" i="13" s="1"/>
  <c r="AR32" i="13" s="1"/>
  <c r="G752" i="4"/>
  <c r="G20" i="4"/>
  <c r="F20" i="4"/>
  <c r="CM30" i="13"/>
  <c r="BT31" i="13"/>
  <c r="H1113" i="4" s="1"/>
  <c r="M1113" i="4" s="1"/>
  <c r="D22" i="13"/>
  <c r="W32" i="13" l="1"/>
  <c r="Y32" i="13" s="1"/>
  <c r="AC32" i="13" s="1"/>
  <c r="P20" i="4"/>
  <c r="S20" i="4"/>
  <c r="K752" i="4"/>
  <c r="Q752" i="4"/>
  <c r="J752" i="4"/>
  <c r="Q391" i="4"/>
  <c r="K391" i="4"/>
  <c r="J391" i="4"/>
  <c r="Q20" i="4"/>
  <c r="K20" i="4"/>
  <c r="J20" i="4"/>
  <c r="G1473" i="4"/>
  <c r="H1473" i="4"/>
  <c r="M1473" i="4" s="1"/>
  <c r="CC31" i="13"/>
  <c r="CB31" i="13" s="1"/>
  <c r="CD31" i="13" s="1"/>
  <c r="CN30" i="13"/>
  <c r="F1473" i="4" s="1"/>
  <c r="BJ32" i="13"/>
  <c r="G1113" i="4"/>
  <c r="BU31" i="13"/>
  <c r="F1113" i="4" s="1"/>
  <c r="P1113" i="4" s="1"/>
  <c r="AV32" i="13"/>
  <c r="AX32" i="13"/>
  <c r="F22" i="13"/>
  <c r="AE32" i="13" l="1"/>
  <c r="AH32" i="13" s="1"/>
  <c r="P1473" i="4"/>
  <c r="S1473" i="4"/>
  <c r="Q1473" i="4"/>
  <c r="K1473" i="4"/>
  <c r="J1473" i="4"/>
  <c r="K1113" i="4"/>
  <c r="Q1113" i="4"/>
  <c r="J1113" i="4"/>
  <c r="L391" i="4"/>
  <c r="N391" i="4"/>
  <c r="O390" i="4"/>
  <c r="L752" i="4"/>
  <c r="N752" i="4"/>
  <c r="O751" i="4"/>
  <c r="N20" i="4"/>
  <c r="L20" i="4"/>
  <c r="O19" i="4"/>
  <c r="CH31" i="13"/>
  <c r="CJ31" i="13"/>
  <c r="BI32" i="13"/>
  <c r="BK32" i="13" s="1"/>
  <c r="BA32" i="13"/>
  <c r="H753" i="4" s="1"/>
  <c r="M753" i="4" s="1"/>
  <c r="L22" i="13"/>
  <c r="J22" i="13"/>
  <c r="H392" i="4" l="1"/>
  <c r="M392" i="4" s="1"/>
  <c r="L1113" i="4"/>
  <c r="N1113" i="4"/>
  <c r="O1112" i="4"/>
  <c r="L1473" i="4"/>
  <c r="N1473" i="4"/>
  <c r="O1472" i="4"/>
  <c r="BB32" i="13"/>
  <c r="F753" i="4" s="1"/>
  <c r="P753" i="4" s="1"/>
  <c r="CM31" i="13"/>
  <c r="H1474" i="4" s="1"/>
  <c r="M1474" i="4" s="1"/>
  <c r="BO32" i="13"/>
  <c r="BQ32" i="13"/>
  <c r="AQ33" i="13"/>
  <c r="G753" i="4"/>
  <c r="AI32" i="13"/>
  <c r="F392" i="4" s="1"/>
  <c r="P392" i="4" s="1"/>
  <c r="X33" i="13"/>
  <c r="G392" i="4"/>
  <c r="O22" i="13"/>
  <c r="H21" i="4" l="1"/>
  <c r="M21" i="4" s="1"/>
  <c r="K392" i="4"/>
  <c r="Q392" i="4"/>
  <c r="J392" i="4"/>
  <c r="K753" i="4"/>
  <c r="Q753" i="4"/>
  <c r="J753" i="4"/>
  <c r="CC32" i="13"/>
  <c r="G1474" i="4"/>
  <c r="CN31" i="13"/>
  <c r="F1474" i="4" s="1"/>
  <c r="BT32" i="13"/>
  <c r="H1114" i="4" s="1"/>
  <c r="M1114" i="4" s="1"/>
  <c r="AP33" i="13"/>
  <c r="AR33" i="13" s="1"/>
  <c r="W33" i="13"/>
  <c r="Y33" i="13" s="1"/>
  <c r="E23" i="13"/>
  <c r="P22" i="13"/>
  <c r="P1474" i="4" l="1"/>
  <c r="S1474" i="4"/>
  <c r="K1474" i="4"/>
  <c r="Q1474" i="4"/>
  <c r="J1474" i="4"/>
  <c r="L753" i="4"/>
  <c r="N753" i="4"/>
  <c r="O752" i="4"/>
  <c r="N392" i="4"/>
  <c r="L392" i="4"/>
  <c r="O391" i="4"/>
  <c r="F21" i="4"/>
  <c r="G21" i="4"/>
  <c r="CB32" i="13"/>
  <c r="CD32" i="13" s="1"/>
  <c r="BJ33" i="13"/>
  <c r="G1114" i="4"/>
  <c r="BU32" i="13"/>
  <c r="F1114" i="4" s="1"/>
  <c r="P1114" i="4" s="1"/>
  <c r="AX33" i="13"/>
  <c r="AV33" i="13"/>
  <c r="AC33" i="13"/>
  <c r="AE33" i="13"/>
  <c r="D23" i="13"/>
  <c r="P21" i="4" l="1"/>
  <c r="S21" i="4"/>
  <c r="Q1114" i="4"/>
  <c r="K1114" i="4"/>
  <c r="J1114" i="4"/>
  <c r="L1474" i="4"/>
  <c r="N1474" i="4"/>
  <c r="O1473" i="4"/>
  <c r="K21" i="4"/>
  <c r="Q21" i="4"/>
  <c r="J21" i="4"/>
  <c r="BA33" i="13"/>
  <c r="H754" i="4" s="1"/>
  <c r="M754" i="4" s="1"/>
  <c r="CH32" i="13"/>
  <c r="CJ32" i="13"/>
  <c r="BI33" i="13"/>
  <c r="BK33" i="13" s="1"/>
  <c r="AH33" i="13"/>
  <c r="F23" i="13"/>
  <c r="H393" i="4" l="1"/>
  <c r="M393" i="4" s="1"/>
  <c r="N1114" i="4"/>
  <c r="L1114" i="4"/>
  <c r="O1113" i="4"/>
  <c r="L21" i="4"/>
  <c r="N21" i="4"/>
  <c r="O20" i="4"/>
  <c r="BB33" i="13"/>
  <c r="F754" i="4" s="1"/>
  <c r="P754" i="4" s="1"/>
  <c r="G754" i="4"/>
  <c r="AQ34" i="13"/>
  <c r="AP34" i="13" s="1"/>
  <c r="AR34" i="13" s="1"/>
  <c r="CM32" i="13"/>
  <c r="H1475" i="4" s="1"/>
  <c r="M1475" i="4" s="1"/>
  <c r="BO33" i="13"/>
  <c r="BQ33" i="13"/>
  <c r="AI33" i="13"/>
  <c r="F393" i="4" s="1"/>
  <c r="P393" i="4" s="1"/>
  <c r="X34" i="13"/>
  <c r="G393" i="4"/>
  <c r="J23" i="13"/>
  <c r="L23" i="13"/>
  <c r="Q393" i="4" l="1"/>
  <c r="K393" i="4"/>
  <c r="J393" i="4"/>
  <c r="Q754" i="4"/>
  <c r="K754" i="4"/>
  <c r="J754" i="4"/>
  <c r="CN32" i="13"/>
  <c r="F1475" i="4" s="1"/>
  <c r="CC33" i="13"/>
  <c r="G1475" i="4"/>
  <c r="BT33" i="13"/>
  <c r="H1115" i="4" s="1"/>
  <c r="M1115" i="4" s="1"/>
  <c r="AX34" i="13"/>
  <c r="AV34" i="13"/>
  <c r="W34" i="13"/>
  <c r="Y34" i="13" s="1"/>
  <c r="O23" i="13"/>
  <c r="Q23" i="13" s="1"/>
  <c r="H22" i="4" l="1"/>
  <c r="M22" i="4" s="1"/>
  <c r="P1475" i="4"/>
  <c r="S1475" i="4"/>
  <c r="K1475" i="4"/>
  <c r="Q1475" i="4"/>
  <c r="J1475" i="4"/>
  <c r="L393" i="4"/>
  <c r="N393" i="4"/>
  <c r="O392" i="4"/>
  <c r="N754" i="4"/>
  <c r="L754" i="4"/>
  <c r="O753" i="4"/>
  <c r="BA34" i="13"/>
  <c r="H755" i="4" s="1"/>
  <c r="M755" i="4" s="1"/>
  <c r="CB33" i="13"/>
  <c r="CD33" i="13" s="1"/>
  <c r="G1115" i="4"/>
  <c r="BU33" i="13"/>
  <c r="F1115" i="4" s="1"/>
  <c r="P1115" i="4" s="1"/>
  <c r="BJ34" i="13"/>
  <c r="AE34" i="13"/>
  <c r="AC34" i="13"/>
  <c r="E24" i="13"/>
  <c r="P23" i="13"/>
  <c r="Q1115" i="4" l="1"/>
  <c r="K1115" i="4"/>
  <c r="J1115" i="4"/>
  <c r="N1475" i="4"/>
  <c r="L1475" i="4"/>
  <c r="O1474" i="4"/>
  <c r="BB34" i="13"/>
  <c r="F755" i="4" s="1"/>
  <c r="P755" i="4" s="1"/>
  <c r="G22" i="4"/>
  <c r="F22" i="4"/>
  <c r="G755" i="4"/>
  <c r="AQ35" i="13"/>
  <c r="AP35" i="13" s="1"/>
  <c r="AR35" i="13" s="1"/>
  <c r="AH34" i="13"/>
  <c r="CH33" i="13"/>
  <c r="CJ33" i="13"/>
  <c r="BI34" i="13"/>
  <c r="BK34" i="13" s="1"/>
  <c r="D24" i="13"/>
  <c r="H394" i="4" l="1"/>
  <c r="M394" i="4" s="1"/>
  <c r="P22" i="4"/>
  <c r="S22" i="4"/>
  <c r="L1115" i="4"/>
  <c r="N1115" i="4"/>
  <c r="O1114" i="4"/>
  <c r="Q755" i="4"/>
  <c r="K755" i="4"/>
  <c r="J755" i="4"/>
  <c r="Q22" i="4"/>
  <c r="K22" i="4"/>
  <c r="J22" i="4"/>
  <c r="G394" i="4"/>
  <c r="X35" i="13"/>
  <c r="AI34" i="13"/>
  <c r="F394" i="4" s="1"/>
  <c r="P394" i="4" s="1"/>
  <c r="CM33" i="13"/>
  <c r="H1476" i="4" s="1"/>
  <c r="M1476" i="4" s="1"/>
  <c r="BQ34" i="13"/>
  <c r="BO34" i="13"/>
  <c r="AX35" i="13"/>
  <c r="AV35" i="13"/>
  <c r="F24" i="13"/>
  <c r="W35" i="13" l="1"/>
  <c r="Y35" i="13" s="1"/>
  <c r="AC35" i="13" s="1"/>
  <c r="Q394" i="4"/>
  <c r="K394" i="4"/>
  <c r="J394" i="4"/>
  <c r="L755" i="4"/>
  <c r="N755" i="4"/>
  <c r="O754" i="4"/>
  <c r="L22" i="4"/>
  <c r="N22" i="4"/>
  <c r="O21" i="4"/>
  <c r="BT34" i="13"/>
  <c r="H1116" i="4" s="1"/>
  <c r="M1116" i="4" s="1"/>
  <c r="BA35" i="13"/>
  <c r="CN33" i="13"/>
  <c r="F1476" i="4" s="1"/>
  <c r="CC34" i="13"/>
  <c r="G1476" i="4"/>
  <c r="J24" i="13"/>
  <c r="L24" i="13"/>
  <c r="H756" i="4" l="1"/>
  <c r="M756" i="4" s="1"/>
  <c r="BC35" i="13"/>
  <c r="G756" i="4" s="1"/>
  <c r="AE35" i="13"/>
  <c r="AH35" i="13" s="1"/>
  <c r="AJ35" i="13" s="1"/>
  <c r="P1476" i="4"/>
  <c r="S1476" i="4"/>
  <c r="BU34" i="13"/>
  <c r="F1116" i="4" s="1"/>
  <c r="P1116" i="4" s="1"/>
  <c r="BJ35" i="13"/>
  <c r="BI35" i="13" s="1"/>
  <c r="BK35" i="13" s="1"/>
  <c r="G1116" i="4"/>
  <c r="Q1116" i="4" s="1"/>
  <c r="Q1476" i="4"/>
  <c r="J1476" i="4"/>
  <c r="K1476" i="4"/>
  <c r="N394" i="4"/>
  <c r="L394" i="4"/>
  <c r="O393" i="4"/>
  <c r="AQ36" i="13"/>
  <c r="AP36" i="13" s="1"/>
  <c r="AR36" i="13" s="1"/>
  <c r="BB35" i="13"/>
  <c r="F756" i="4" s="1"/>
  <c r="P756" i="4" s="1"/>
  <c r="CB34" i="13"/>
  <c r="CD34" i="13" s="1"/>
  <c r="O24" i="13"/>
  <c r="Q24" i="13" s="1"/>
  <c r="H395" i="4" l="1"/>
  <c r="M395" i="4" s="1"/>
  <c r="G395" i="4"/>
  <c r="H23" i="4"/>
  <c r="M23" i="4" s="1"/>
  <c r="J1116" i="4"/>
  <c r="K1116" i="4"/>
  <c r="N1116" i="4" s="1"/>
  <c r="K756" i="4"/>
  <c r="Q756" i="4"/>
  <c r="J756" i="4"/>
  <c r="L1476" i="4"/>
  <c r="N1476" i="4"/>
  <c r="O1475" i="4"/>
  <c r="X36" i="13"/>
  <c r="AI35" i="13"/>
  <c r="F395" i="4" s="1"/>
  <c r="P395" i="4" s="1"/>
  <c r="CH34" i="13"/>
  <c r="CJ34" i="13"/>
  <c r="BQ35" i="13"/>
  <c r="BO35" i="13"/>
  <c r="AX36" i="13"/>
  <c r="AV36" i="13"/>
  <c r="E25" i="13"/>
  <c r="P24" i="13"/>
  <c r="W36" i="13" l="1"/>
  <c r="Y36" i="13" s="1"/>
  <c r="AE36" i="13" s="1"/>
  <c r="O1115" i="4"/>
  <c r="L1116" i="4"/>
  <c r="L756" i="4"/>
  <c r="N756" i="4"/>
  <c r="O755" i="4"/>
  <c r="Q395" i="4"/>
  <c r="K395" i="4"/>
  <c r="J395" i="4"/>
  <c r="G23" i="4"/>
  <c r="F23" i="4"/>
  <c r="BT35" i="13"/>
  <c r="BV35" i="13" s="1"/>
  <c r="BA36" i="13"/>
  <c r="CM34" i="13"/>
  <c r="H1477" i="4" s="1"/>
  <c r="M1477" i="4" s="1"/>
  <c r="D25" i="13"/>
  <c r="H757" i="4" l="1"/>
  <c r="M757" i="4" s="1"/>
  <c r="BC36" i="13"/>
  <c r="G757" i="4" s="1"/>
  <c r="AC36" i="13"/>
  <c r="AH36" i="13" s="1"/>
  <c r="AJ36" i="13" s="1"/>
  <c r="P23" i="4"/>
  <c r="S23" i="4"/>
  <c r="L395" i="4"/>
  <c r="N395" i="4"/>
  <c r="O394" i="4"/>
  <c r="Q23" i="4"/>
  <c r="K23" i="4"/>
  <c r="J23" i="4"/>
  <c r="BJ36" i="13"/>
  <c r="BI36" i="13" s="1"/>
  <c r="BK36" i="13" s="1"/>
  <c r="H1117" i="4"/>
  <c r="M1117" i="4" s="1"/>
  <c r="BB36" i="13"/>
  <c r="F757" i="4" s="1"/>
  <c r="P757" i="4" s="1"/>
  <c r="AQ37" i="13"/>
  <c r="AP37" i="13" s="1"/>
  <c r="AR37" i="13" s="1"/>
  <c r="G1117" i="4"/>
  <c r="BU35" i="13"/>
  <c r="F1117" i="4" s="1"/>
  <c r="P1117" i="4" s="1"/>
  <c r="CN34" i="13"/>
  <c r="F1477" i="4" s="1"/>
  <c r="CC35" i="13"/>
  <c r="G1477" i="4"/>
  <c r="F25" i="13"/>
  <c r="H396" i="4" l="1"/>
  <c r="M396" i="4" s="1"/>
  <c r="G396" i="4"/>
  <c r="P1477" i="4"/>
  <c r="S1477" i="4"/>
  <c r="Q1477" i="4"/>
  <c r="J1477" i="4"/>
  <c r="K1477" i="4"/>
  <c r="Q1117" i="4"/>
  <c r="K1117" i="4"/>
  <c r="J1117" i="4"/>
  <c r="K757" i="4"/>
  <c r="Q757" i="4"/>
  <c r="J757" i="4"/>
  <c r="L23" i="4"/>
  <c r="N23" i="4"/>
  <c r="O22" i="4"/>
  <c r="X37" i="13"/>
  <c r="AI36" i="13"/>
  <c r="F396" i="4" s="1"/>
  <c r="P396" i="4" s="1"/>
  <c r="CB35" i="13"/>
  <c r="CD35" i="13" s="1"/>
  <c r="BQ36" i="13"/>
  <c r="BO36" i="13"/>
  <c r="AV37" i="13"/>
  <c r="AX37" i="13"/>
  <c r="J25" i="13"/>
  <c r="L25" i="13"/>
  <c r="W37" i="13" l="1"/>
  <c r="Y37" i="13" s="1"/>
  <c r="AC37" i="13" s="1"/>
  <c r="Q396" i="4"/>
  <c r="K396" i="4"/>
  <c r="J396" i="4"/>
  <c r="L757" i="4"/>
  <c r="N757" i="4"/>
  <c r="O756" i="4"/>
  <c r="L1117" i="4"/>
  <c r="N1117" i="4"/>
  <c r="O1116" i="4"/>
  <c r="L1477" i="4"/>
  <c r="N1477" i="4"/>
  <c r="O1476" i="4"/>
  <c r="BT36" i="13"/>
  <c r="BV36" i="13" s="1"/>
  <c r="CJ35" i="13"/>
  <c r="CH35" i="13"/>
  <c r="BA37" i="13"/>
  <c r="O25" i="13"/>
  <c r="Q25" i="13" s="1"/>
  <c r="H758" i="4" l="1"/>
  <c r="M758" i="4" s="1"/>
  <c r="BC37" i="13"/>
  <c r="G758" i="4" s="1"/>
  <c r="AE37" i="13"/>
  <c r="AH37" i="13" s="1"/>
  <c r="AJ37" i="13" s="1"/>
  <c r="H24" i="4"/>
  <c r="M24" i="4" s="1"/>
  <c r="L396" i="4"/>
  <c r="N396" i="4"/>
  <c r="O395" i="4"/>
  <c r="BJ37" i="13"/>
  <c r="BI37" i="13" s="1"/>
  <c r="BK37" i="13" s="1"/>
  <c r="H1118" i="4"/>
  <c r="M1118" i="4" s="1"/>
  <c r="BB37" i="13"/>
  <c r="F758" i="4" s="1"/>
  <c r="P758" i="4" s="1"/>
  <c r="BU36" i="13"/>
  <c r="F1118" i="4" s="1"/>
  <c r="P1118" i="4" s="1"/>
  <c r="G1118" i="4"/>
  <c r="CM35" i="13"/>
  <c r="CO35" i="13" s="1"/>
  <c r="AQ38" i="13"/>
  <c r="E26" i="13"/>
  <c r="P25" i="13"/>
  <c r="H397" i="4" l="1"/>
  <c r="M397" i="4" s="1"/>
  <c r="G397" i="4"/>
  <c r="K1118" i="4"/>
  <c r="Q1118" i="4"/>
  <c r="J1118" i="4"/>
  <c r="K758" i="4"/>
  <c r="Q758" i="4"/>
  <c r="J758" i="4"/>
  <c r="G1478" i="4"/>
  <c r="H1478" i="4"/>
  <c r="M1478" i="4" s="1"/>
  <c r="G24" i="4"/>
  <c r="F24" i="4"/>
  <c r="CC36" i="13"/>
  <c r="CB36" i="13" s="1"/>
  <c r="CD36" i="13" s="1"/>
  <c r="CN35" i="13"/>
  <c r="F1478" i="4" s="1"/>
  <c r="BO37" i="13"/>
  <c r="BQ37" i="13"/>
  <c r="AP38" i="13"/>
  <c r="AR38" i="13" s="1"/>
  <c r="X38" i="13"/>
  <c r="AI37" i="13"/>
  <c r="F397" i="4" s="1"/>
  <c r="P397" i="4" s="1"/>
  <c r="D26" i="13"/>
  <c r="P1478" i="4" l="1"/>
  <c r="S1478" i="4"/>
  <c r="P24" i="4"/>
  <c r="S24" i="4"/>
  <c r="K397" i="4"/>
  <c r="Q397" i="4"/>
  <c r="J397" i="4"/>
  <c r="Q1478" i="4"/>
  <c r="K1478" i="4"/>
  <c r="J1478" i="4"/>
  <c r="L758" i="4"/>
  <c r="N758" i="4"/>
  <c r="O757" i="4"/>
  <c r="L1118" i="4"/>
  <c r="N1118" i="4"/>
  <c r="O1117" i="4"/>
  <c r="Q24" i="4"/>
  <c r="K24" i="4"/>
  <c r="J24" i="4"/>
  <c r="CJ36" i="13"/>
  <c r="CH36" i="13"/>
  <c r="BT37" i="13"/>
  <c r="BV37" i="13" s="1"/>
  <c r="AX38" i="13"/>
  <c r="AV38" i="13"/>
  <c r="W38" i="13"/>
  <c r="Y38" i="13" s="1"/>
  <c r="F26" i="13"/>
  <c r="H1119" i="4" l="1"/>
  <c r="M1119" i="4" s="1"/>
  <c r="G1119" i="4"/>
  <c r="L1478" i="4"/>
  <c r="N1478" i="4"/>
  <c r="O1477" i="4"/>
  <c r="L397" i="4"/>
  <c r="N397" i="4"/>
  <c r="O396" i="4"/>
  <c r="N24" i="4"/>
  <c r="L24" i="4"/>
  <c r="O23" i="4"/>
  <c r="BA38" i="13"/>
  <c r="CM36" i="13"/>
  <c r="CO36" i="13" s="1"/>
  <c r="BJ38" i="13"/>
  <c r="BU37" i="13"/>
  <c r="F1119" i="4" s="1"/>
  <c r="P1119" i="4" s="1"/>
  <c r="AC38" i="13"/>
  <c r="AE38" i="13"/>
  <c r="L26" i="13"/>
  <c r="J26" i="13"/>
  <c r="H759" i="4" l="1"/>
  <c r="M759" i="4" s="1"/>
  <c r="BC38" i="13"/>
  <c r="G759" i="4" s="1"/>
  <c r="Q759" i="4" s="1"/>
  <c r="AQ39" i="13"/>
  <c r="AP39" i="13" s="1"/>
  <c r="AR39" i="13" s="1"/>
  <c r="K1119" i="4"/>
  <c r="Q1119" i="4"/>
  <c r="J1119" i="4"/>
  <c r="CC37" i="13"/>
  <c r="CB37" i="13" s="1"/>
  <c r="CD37" i="13" s="1"/>
  <c r="H1479" i="4"/>
  <c r="M1479" i="4" s="1"/>
  <c r="BB38" i="13"/>
  <c r="F759" i="4" s="1"/>
  <c r="P759" i="4" s="1"/>
  <c r="G1479" i="4"/>
  <c r="CN36" i="13"/>
  <c r="F1479" i="4" s="1"/>
  <c r="BI38" i="13"/>
  <c r="BK38" i="13" s="1"/>
  <c r="AH38" i="13"/>
  <c r="AJ38" i="13" s="1"/>
  <c r="O26" i="13"/>
  <c r="Q26" i="13" s="1"/>
  <c r="H398" i="4" l="1"/>
  <c r="M398" i="4" s="1"/>
  <c r="H25" i="4"/>
  <c r="M25" i="4" s="1"/>
  <c r="K759" i="4"/>
  <c r="L759" i="4" s="1"/>
  <c r="J759" i="4"/>
  <c r="P1479" i="4"/>
  <c r="S1479" i="4"/>
  <c r="Q1479" i="4"/>
  <c r="K1479" i="4"/>
  <c r="J1479" i="4"/>
  <c r="L1119" i="4"/>
  <c r="N1119" i="4"/>
  <c r="O1118" i="4"/>
  <c r="CJ37" i="13"/>
  <c r="CH37" i="13"/>
  <c r="BO38" i="13"/>
  <c r="BQ38" i="13"/>
  <c r="AX39" i="13"/>
  <c r="AV39" i="13"/>
  <c r="AI38" i="13"/>
  <c r="F398" i="4" s="1"/>
  <c r="P398" i="4" s="1"/>
  <c r="X39" i="13"/>
  <c r="G398" i="4"/>
  <c r="E27" i="13"/>
  <c r="P26" i="13"/>
  <c r="O758" i="4" l="1"/>
  <c r="N759" i="4"/>
  <c r="Q398" i="4"/>
  <c r="K398" i="4"/>
  <c r="J398" i="4"/>
  <c r="L1479" i="4"/>
  <c r="N1479" i="4"/>
  <c r="O1478" i="4"/>
  <c r="F25" i="4"/>
  <c r="G25" i="4"/>
  <c r="BA39" i="13"/>
  <c r="CM37" i="13"/>
  <c r="CO37" i="13" s="1"/>
  <c r="BT38" i="13"/>
  <c r="BV38" i="13" s="1"/>
  <c r="W39" i="13"/>
  <c r="Y39" i="13" s="1"/>
  <c r="D27" i="13"/>
  <c r="H1120" i="4" l="1"/>
  <c r="M1120" i="4" s="1"/>
  <c r="G1120" i="4"/>
  <c r="H760" i="4"/>
  <c r="M760" i="4" s="1"/>
  <c r="BC39" i="13"/>
  <c r="G760" i="4" s="1"/>
  <c r="P25" i="4"/>
  <c r="S25" i="4"/>
  <c r="N398" i="4"/>
  <c r="L398" i="4"/>
  <c r="O397" i="4"/>
  <c r="Q25" i="4"/>
  <c r="K25" i="4"/>
  <c r="J25" i="4"/>
  <c r="CN37" i="13"/>
  <c r="F1480" i="4" s="1"/>
  <c r="H1480" i="4"/>
  <c r="M1480" i="4" s="1"/>
  <c r="BB39" i="13"/>
  <c r="F760" i="4" s="1"/>
  <c r="P760" i="4" s="1"/>
  <c r="AQ40" i="13"/>
  <c r="AP40" i="13" s="1"/>
  <c r="AR40" i="13" s="1"/>
  <c r="G1480" i="4"/>
  <c r="CC38" i="13"/>
  <c r="CB38" i="13" s="1"/>
  <c r="CD38" i="13" s="1"/>
  <c r="BU38" i="13"/>
  <c r="F1120" i="4" s="1"/>
  <c r="P1120" i="4" s="1"/>
  <c r="BJ39" i="13"/>
  <c r="AE39" i="13"/>
  <c r="AC39" i="13"/>
  <c r="F27" i="13"/>
  <c r="P1480" i="4" l="1"/>
  <c r="S1480" i="4"/>
  <c r="K1120" i="4"/>
  <c r="Q1120" i="4"/>
  <c r="J1120" i="4"/>
  <c r="Q1480" i="4"/>
  <c r="K1480" i="4"/>
  <c r="J1480" i="4"/>
  <c r="Q760" i="4"/>
  <c r="K760" i="4"/>
  <c r="J760" i="4"/>
  <c r="N25" i="4"/>
  <c r="L25" i="4"/>
  <c r="O24" i="4"/>
  <c r="AH39" i="13"/>
  <c r="AJ39" i="13" s="1"/>
  <c r="CH38" i="13"/>
  <c r="CJ38" i="13"/>
  <c r="BI39" i="13"/>
  <c r="BK39" i="13" s="1"/>
  <c r="AX40" i="13"/>
  <c r="AV40" i="13"/>
  <c r="L27" i="13"/>
  <c r="J27" i="13"/>
  <c r="H399" i="4" l="1"/>
  <c r="M399" i="4" s="1"/>
  <c r="N1480" i="4"/>
  <c r="L1480" i="4"/>
  <c r="O1479" i="4"/>
  <c r="L760" i="4"/>
  <c r="N760" i="4"/>
  <c r="O759" i="4"/>
  <c r="L1120" i="4"/>
  <c r="N1120" i="4"/>
  <c r="O1119" i="4"/>
  <c r="X40" i="13"/>
  <c r="BA40" i="13"/>
  <c r="AI39" i="13"/>
  <c r="F399" i="4" s="1"/>
  <c r="P399" i="4" s="1"/>
  <c r="G399" i="4"/>
  <c r="CM38" i="13"/>
  <c r="BQ39" i="13"/>
  <c r="BO39" i="13"/>
  <c r="O27" i="13"/>
  <c r="Q27" i="13" s="1"/>
  <c r="H1481" i="4" l="1"/>
  <c r="M1481" i="4" s="1"/>
  <c r="CO38" i="13"/>
  <c r="G1481" i="4" s="1"/>
  <c r="H761" i="4"/>
  <c r="M761" i="4" s="1"/>
  <c r="BC40" i="13"/>
  <c r="G761" i="4" s="1"/>
  <c r="W40" i="13"/>
  <c r="Y40" i="13" s="1"/>
  <c r="AE40" i="13" s="1"/>
  <c r="H26" i="4"/>
  <c r="M26" i="4" s="1"/>
  <c r="AQ41" i="13"/>
  <c r="AP41" i="13" s="1"/>
  <c r="AR41" i="13" s="1"/>
  <c r="Q399" i="4"/>
  <c r="K399" i="4"/>
  <c r="J399" i="4"/>
  <c r="BB40" i="13"/>
  <c r="F761" i="4" s="1"/>
  <c r="P761" i="4" s="1"/>
  <c r="BT39" i="13"/>
  <c r="BV39" i="13" s="1"/>
  <c r="CN38" i="13"/>
  <c r="F1481" i="4" s="1"/>
  <c r="CC39" i="13"/>
  <c r="E28" i="13"/>
  <c r="P27" i="13"/>
  <c r="AC40" i="13" l="1"/>
  <c r="AH40" i="13" s="1"/>
  <c r="AJ40" i="13" s="1"/>
  <c r="P1481" i="4"/>
  <c r="S1481" i="4"/>
  <c r="Q1481" i="4"/>
  <c r="K1481" i="4"/>
  <c r="J1481" i="4"/>
  <c r="Q761" i="4"/>
  <c r="K761" i="4"/>
  <c r="J761" i="4"/>
  <c r="N399" i="4"/>
  <c r="L399" i="4"/>
  <c r="O398" i="4"/>
  <c r="G1121" i="4"/>
  <c r="H1121" i="4"/>
  <c r="M1121" i="4" s="1"/>
  <c r="G26" i="4"/>
  <c r="F26" i="4"/>
  <c r="BU39" i="13"/>
  <c r="F1121" i="4" s="1"/>
  <c r="P1121" i="4" s="1"/>
  <c r="BJ40" i="13"/>
  <c r="BI40" i="13" s="1"/>
  <c r="BK40" i="13" s="1"/>
  <c r="CB39" i="13"/>
  <c r="CD39" i="13" s="1"/>
  <c r="AX41" i="13"/>
  <c r="AV41" i="13"/>
  <c r="D28" i="13"/>
  <c r="H400" i="4" l="1"/>
  <c r="M400" i="4" s="1"/>
  <c r="P26" i="4"/>
  <c r="S26" i="4"/>
  <c r="K1121" i="4"/>
  <c r="Q1121" i="4"/>
  <c r="J1121" i="4"/>
  <c r="L1481" i="4"/>
  <c r="N1481" i="4"/>
  <c r="O1480" i="4"/>
  <c r="N761" i="4"/>
  <c r="L761" i="4"/>
  <c r="O760" i="4"/>
  <c r="K26" i="4"/>
  <c r="Q26" i="4"/>
  <c r="J26" i="4"/>
  <c r="AI40" i="13"/>
  <c r="F400" i="4" s="1"/>
  <c r="P400" i="4" s="1"/>
  <c r="G400" i="4"/>
  <c r="X41" i="13"/>
  <c r="BA41" i="13"/>
  <c r="CH39" i="13"/>
  <c r="CJ39" i="13"/>
  <c r="BQ40" i="13"/>
  <c r="BO40" i="13"/>
  <c r="F28" i="13"/>
  <c r="H762" i="4" l="1"/>
  <c r="M762" i="4" s="1"/>
  <c r="BC41" i="13"/>
  <c r="G762" i="4" s="1"/>
  <c r="W41" i="13"/>
  <c r="Y41" i="13" s="1"/>
  <c r="AE41" i="13" s="1"/>
  <c r="K400" i="4"/>
  <c r="Q400" i="4"/>
  <c r="J400" i="4"/>
  <c r="L1121" i="4"/>
  <c r="N1121" i="4"/>
  <c r="O1120" i="4"/>
  <c r="L26" i="4"/>
  <c r="N26" i="4"/>
  <c r="O25" i="4"/>
  <c r="BB41" i="13"/>
  <c r="F762" i="4" s="1"/>
  <c r="P762" i="4" s="1"/>
  <c r="AQ42" i="13"/>
  <c r="AP42" i="13" s="1"/>
  <c r="AR42" i="13" s="1"/>
  <c r="CM39" i="13"/>
  <c r="BT40" i="13"/>
  <c r="BV40" i="13" s="1"/>
  <c r="L28" i="13"/>
  <c r="J28" i="13"/>
  <c r="H1482" i="4" l="1"/>
  <c r="M1482" i="4" s="1"/>
  <c r="CO39" i="13"/>
  <c r="G1482" i="4" s="1"/>
  <c r="H1122" i="4"/>
  <c r="M1122" i="4" s="1"/>
  <c r="G1122" i="4"/>
  <c r="AC41" i="13"/>
  <c r="AH41" i="13" s="1"/>
  <c r="AJ41" i="13" s="1"/>
  <c r="Q762" i="4"/>
  <c r="K762" i="4"/>
  <c r="J762" i="4"/>
  <c r="N400" i="4"/>
  <c r="L400" i="4"/>
  <c r="O399" i="4"/>
  <c r="CC40" i="13"/>
  <c r="CN39" i="13"/>
  <c r="F1482" i="4" s="1"/>
  <c r="BJ41" i="13"/>
  <c r="BU40" i="13"/>
  <c r="F1122" i="4" s="1"/>
  <c r="P1122" i="4" s="1"/>
  <c r="AX42" i="13"/>
  <c r="AV42" i="13"/>
  <c r="O28" i="13"/>
  <c r="Q28" i="13" s="1"/>
  <c r="H401" i="4" l="1"/>
  <c r="M401" i="4" s="1"/>
  <c r="H27" i="4"/>
  <c r="M27" i="4" s="1"/>
  <c r="P1482" i="4"/>
  <c r="S1482" i="4"/>
  <c r="K1122" i="4"/>
  <c r="Q1122" i="4"/>
  <c r="J1122" i="4"/>
  <c r="J1482" i="4"/>
  <c r="K1482" i="4"/>
  <c r="Q1482" i="4"/>
  <c r="L762" i="4"/>
  <c r="N762" i="4"/>
  <c r="O761" i="4"/>
  <c r="G401" i="4"/>
  <c r="X42" i="13"/>
  <c r="AI41" i="13"/>
  <c r="F401" i="4" s="1"/>
  <c r="P401" i="4" s="1"/>
  <c r="BA42" i="13"/>
  <c r="H763" i="4" s="1"/>
  <c r="M763" i="4" s="1"/>
  <c r="CB40" i="13"/>
  <c r="CD40" i="13" s="1"/>
  <c r="BI41" i="13"/>
  <c r="BK41" i="13" s="1"/>
  <c r="P28" i="13"/>
  <c r="E29" i="13"/>
  <c r="W42" i="13" l="1"/>
  <c r="Y42" i="13" s="1"/>
  <c r="AE42" i="13" s="1"/>
  <c r="K401" i="4"/>
  <c r="Q401" i="4"/>
  <c r="J401" i="4"/>
  <c r="L1482" i="4"/>
  <c r="N1482" i="4"/>
  <c r="O1481" i="4"/>
  <c r="L1122" i="4"/>
  <c r="N1122" i="4"/>
  <c r="O1121" i="4"/>
  <c r="BB42" i="13"/>
  <c r="F763" i="4" s="1"/>
  <c r="P763" i="4" s="1"/>
  <c r="G763" i="4"/>
  <c r="G27" i="4"/>
  <c r="F27" i="4"/>
  <c r="AQ43" i="13"/>
  <c r="AP43" i="13" s="1"/>
  <c r="AR43" i="13" s="1"/>
  <c r="CJ40" i="13"/>
  <c r="CH40" i="13"/>
  <c r="BQ41" i="13"/>
  <c r="BO41" i="13"/>
  <c r="D29" i="13"/>
  <c r="AC42" i="13" l="1"/>
  <c r="AH42" i="13" s="1"/>
  <c r="P27" i="4"/>
  <c r="S27" i="4"/>
  <c r="K763" i="4"/>
  <c r="Q763" i="4"/>
  <c r="J763" i="4"/>
  <c r="L401" i="4"/>
  <c r="N401" i="4"/>
  <c r="O400" i="4"/>
  <c r="J27" i="4"/>
  <c r="Q27" i="4"/>
  <c r="K27" i="4"/>
  <c r="CM40" i="13"/>
  <c r="CO40" i="13" s="1"/>
  <c r="BT41" i="13"/>
  <c r="BV41" i="13" s="1"/>
  <c r="AX43" i="13"/>
  <c r="AV43" i="13"/>
  <c r="F29" i="13"/>
  <c r="H402" i="4" l="1"/>
  <c r="M402" i="4" s="1"/>
  <c r="L763" i="4"/>
  <c r="N763" i="4"/>
  <c r="O762" i="4"/>
  <c r="L27" i="4"/>
  <c r="N27" i="4"/>
  <c r="O26" i="4"/>
  <c r="G1483" i="4"/>
  <c r="H1483" i="4"/>
  <c r="M1483" i="4" s="1"/>
  <c r="BJ42" i="13"/>
  <c r="BI42" i="13" s="1"/>
  <c r="BK42" i="13" s="1"/>
  <c r="H1123" i="4"/>
  <c r="M1123" i="4" s="1"/>
  <c r="BU41" i="13"/>
  <c r="F1123" i="4" s="1"/>
  <c r="P1123" i="4" s="1"/>
  <c r="G1123" i="4"/>
  <c r="CN40" i="13"/>
  <c r="F1483" i="4" s="1"/>
  <c r="CC41" i="13"/>
  <c r="CB41" i="13" s="1"/>
  <c r="CD41" i="13" s="1"/>
  <c r="BA43" i="13"/>
  <c r="H764" i="4" s="1"/>
  <c r="M764" i="4" s="1"/>
  <c r="X43" i="13"/>
  <c r="G402" i="4"/>
  <c r="AI42" i="13"/>
  <c r="F402" i="4" s="1"/>
  <c r="P402" i="4" s="1"/>
  <c r="L29" i="13"/>
  <c r="J29" i="13"/>
  <c r="P1483" i="4" l="1"/>
  <c r="S1483" i="4"/>
  <c r="K1123" i="4"/>
  <c r="Q1123" i="4"/>
  <c r="J1123" i="4"/>
  <c r="Q402" i="4"/>
  <c r="K402" i="4"/>
  <c r="J402" i="4"/>
  <c r="K1483" i="4"/>
  <c r="Q1483" i="4"/>
  <c r="J1483" i="4"/>
  <c r="BB43" i="13"/>
  <c r="F764" i="4" s="1"/>
  <c r="P764" i="4" s="1"/>
  <c r="AQ44" i="13"/>
  <c r="AP44" i="13" s="1"/>
  <c r="AR44" i="13" s="1"/>
  <c r="G764" i="4"/>
  <c r="CJ41" i="13"/>
  <c r="CH41" i="13"/>
  <c r="BO42" i="13"/>
  <c r="BQ42" i="13"/>
  <c r="W43" i="13"/>
  <c r="Y43" i="13" s="1"/>
  <c r="O29" i="13"/>
  <c r="Q29" i="13" s="1"/>
  <c r="H28" i="4" l="1"/>
  <c r="M28" i="4" s="1"/>
  <c r="Q764" i="4"/>
  <c r="K764" i="4"/>
  <c r="J764" i="4"/>
  <c r="N1483" i="4"/>
  <c r="L1483" i="4"/>
  <c r="O1482" i="4"/>
  <c r="L402" i="4"/>
  <c r="N402" i="4"/>
  <c r="O401" i="4"/>
  <c r="L1123" i="4"/>
  <c r="N1123" i="4"/>
  <c r="O1122" i="4"/>
  <c r="CM41" i="13"/>
  <c r="CO41" i="13" s="1"/>
  <c r="BT42" i="13"/>
  <c r="H1124" i="4" s="1"/>
  <c r="M1124" i="4" s="1"/>
  <c r="AV44" i="13"/>
  <c r="AX44" i="13"/>
  <c r="AE43" i="13"/>
  <c r="AC43" i="13"/>
  <c r="P29" i="13"/>
  <c r="E30" i="13"/>
  <c r="N764" i="4" l="1"/>
  <c r="L764" i="4"/>
  <c r="O763" i="4"/>
  <c r="CC42" i="13"/>
  <c r="CB42" i="13" s="1"/>
  <c r="CD42" i="13" s="1"/>
  <c r="H1484" i="4"/>
  <c r="M1484" i="4" s="1"/>
  <c r="G28" i="4"/>
  <c r="F28" i="4"/>
  <c r="AH43" i="13"/>
  <c r="CN41" i="13"/>
  <c r="F1484" i="4" s="1"/>
  <c r="G1484" i="4"/>
  <c r="BJ43" i="13"/>
  <c r="G1124" i="4"/>
  <c r="BU42" i="13"/>
  <c r="F1124" i="4" s="1"/>
  <c r="P1124" i="4" s="1"/>
  <c r="BA44" i="13"/>
  <c r="H765" i="4" s="1"/>
  <c r="M765" i="4" s="1"/>
  <c r="D30" i="13"/>
  <c r="H403" i="4" l="1"/>
  <c r="M403" i="4" s="1"/>
  <c r="P1484" i="4"/>
  <c r="S1484" i="4"/>
  <c r="P28" i="4"/>
  <c r="S28" i="4"/>
  <c r="Q1124" i="4"/>
  <c r="K1124" i="4"/>
  <c r="J1124" i="4"/>
  <c r="K1484" i="4"/>
  <c r="J1484" i="4"/>
  <c r="Q1484" i="4"/>
  <c r="Q28" i="4"/>
  <c r="K28" i="4"/>
  <c r="J28" i="4"/>
  <c r="BB44" i="13"/>
  <c r="F765" i="4" s="1"/>
  <c r="P765" i="4" s="1"/>
  <c r="G403" i="4"/>
  <c r="X44" i="13"/>
  <c r="AI43" i="13"/>
  <c r="F403" i="4" s="1"/>
  <c r="P403" i="4" s="1"/>
  <c r="CJ42" i="13"/>
  <c r="CH42" i="13"/>
  <c r="BI43" i="13"/>
  <c r="BK43" i="13" s="1"/>
  <c r="AQ45" i="13"/>
  <c r="G765" i="4"/>
  <c r="F30" i="13"/>
  <c r="W44" i="13" l="1"/>
  <c r="Y44" i="13" s="1"/>
  <c r="AC44" i="13" s="1"/>
  <c r="K765" i="4"/>
  <c r="Q765" i="4"/>
  <c r="J765" i="4"/>
  <c r="Q403" i="4"/>
  <c r="K403" i="4"/>
  <c r="J403" i="4"/>
  <c r="L1484" i="4"/>
  <c r="N1484" i="4"/>
  <c r="O1483" i="4"/>
  <c r="L1124" i="4"/>
  <c r="N1124" i="4"/>
  <c r="O1123" i="4"/>
  <c r="L28" i="4"/>
  <c r="N28" i="4"/>
  <c r="O27" i="4"/>
  <c r="CM42" i="13"/>
  <c r="BO43" i="13"/>
  <c r="BQ43" i="13"/>
  <c r="AP45" i="13"/>
  <c r="AR45" i="13" s="1"/>
  <c r="L30" i="13"/>
  <c r="J30" i="13"/>
  <c r="AE44" i="13" l="1"/>
  <c r="AH44" i="13" s="1"/>
  <c r="N403" i="4"/>
  <c r="L403" i="4"/>
  <c r="O402" i="4"/>
  <c r="L765" i="4"/>
  <c r="N765" i="4"/>
  <c r="O764" i="4"/>
  <c r="CC43" i="13"/>
  <c r="CB43" i="13" s="1"/>
  <c r="CD43" i="13" s="1"/>
  <c r="H1485" i="4"/>
  <c r="M1485" i="4" s="1"/>
  <c r="G1485" i="4"/>
  <c r="CN42" i="13"/>
  <c r="F1485" i="4" s="1"/>
  <c r="BT43" i="13"/>
  <c r="AX45" i="13"/>
  <c r="AV45" i="13"/>
  <c r="O30" i="13"/>
  <c r="H404" i="4" l="1"/>
  <c r="M404" i="4" s="1"/>
  <c r="G404" i="4"/>
  <c r="H29" i="4"/>
  <c r="M29" i="4" s="1"/>
  <c r="P1485" i="4"/>
  <c r="S1485" i="4"/>
  <c r="Q1485" i="4"/>
  <c r="K1485" i="4"/>
  <c r="J1485" i="4"/>
  <c r="G1125" i="4"/>
  <c r="H1125" i="4"/>
  <c r="M1125" i="4" s="1"/>
  <c r="BJ44" i="13"/>
  <c r="BI44" i="13" s="1"/>
  <c r="BK44" i="13" s="1"/>
  <c r="BU43" i="13"/>
  <c r="F1125" i="4" s="1"/>
  <c r="P1125" i="4" s="1"/>
  <c r="BA45" i="13"/>
  <c r="H766" i="4" s="1"/>
  <c r="M766" i="4" s="1"/>
  <c r="CH43" i="13"/>
  <c r="CJ43" i="13"/>
  <c r="X45" i="13"/>
  <c r="AI44" i="13"/>
  <c r="F404" i="4" s="1"/>
  <c r="P404" i="4" s="1"/>
  <c r="E31" i="13"/>
  <c r="P30" i="13"/>
  <c r="J404" i="4" l="1"/>
  <c r="K404" i="4"/>
  <c r="Q404" i="4"/>
  <c r="Q1125" i="4"/>
  <c r="K1125" i="4"/>
  <c r="J1125" i="4"/>
  <c r="L1485" i="4"/>
  <c r="N1485" i="4"/>
  <c r="O1484" i="4"/>
  <c r="BB45" i="13"/>
  <c r="F766" i="4" s="1"/>
  <c r="P766" i="4" s="1"/>
  <c r="G29" i="4"/>
  <c r="F29" i="4"/>
  <c r="AQ46" i="13"/>
  <c r="AP46" i="13" s="1"/>
  <c r="AR46" i="13" s="1"/>
  <c r="G766" i="4"/>
  <c r="CM43" i="13"/>
  <c r="H1486" i="4" s="1"/>
  <c r="M1486" i="4" s="1"/>
  <c r="BQ44" i="13"/>
  <c r="BO44" i="13"/>
  <c r="W45" i="13"/>
  <c r="Y45" i="13" s="1"/>
  <c r="D31" i="13"/>
  <c r="P29" i="4" l="1"/>
  <c r="S29" i="4"/>
  <c r="Q766" i="4"/>
  <c r="K766" i="4"/>
  <c r="J766" i="4"/>
  <c r="N404" i="4"/>
  <c r="L404" i="4"/>
  <c r="O403" i="4"/>
  <c r="N1125" i="4"/>
  <c r="L1125" i="4"/>
  <c r="O1124" i="4"/>
  <c r="Q29" i="4"/>
  <c r="K29" i="4"/>
  <c r="J29" i="4"/>
  <c r="BT44" i="13"/>
  <c r="CN43" i="13"/>
  <c r="F1486" i="4" s="1"/>
  <c r="CC44" i="13"/>
  <c r="G1486" i="4"/>
  <c r="AX46" i="13"/>
  <c r="AV46" i="13"/>
  <c r="AE45" i="13"/>
  <c r="AC45" i="13"/>
  <c r="F31" i="13"/>
  <c r="P1486" i="4" l="1"/>
  <c r="S1486" i="4"/>
  <c r="L766" i="4"/>
  <c r="N766" i="4"/>
  <c r="O765" i="4"/>
  <c r="Q1486" i="4"/>
  <c r="K1486" i="4"/>
  <c r="J1486" i="4"/>
  <c r="N29" i="4"/>
  <c r="L29" i="4"/>
  <c r="O28" i="4"/>
  <c r="BJ45" i="13"/>
  <c r="BI45" i="13" s="1"/>
  <c r="BK45" i="13" s="1"/>
  <c r="H1126" i="4"/>
  <c r="M1126" i="4" s="1"/>
  <c r="G1126" i="4"/>
  <c r="BU44" i="13"/>
  <c r="F1126" i="4" s="1"/>
  <c r="P1126" i="4" s="1"/>
  <c r="AH45" i="13"/>
  <c r="CB44" i="13"/>
  <c r="CD44" i="13" s="1"/>
  <c r="BA46" i="13"/>
  <c r="H767" i="4" s="1"/>
  <c r="M767" i="4" s="1"/>
  <c r="L31" i="13"/>
  <c r="J31" i="13"/>
  <c r="H405" i="4" l="1"/>
  <c r="M405" i="4" s="1"/>
  <c r="G405" i="4"/>
  <c r="K1126" i="4"/>
  <c r="Q1126" i="4"/>
  <c r="J1126" i="4"/>
  <c r="N1486" i="4"/>
  <c r="L1486" i="4"/>
  <c r="O1485" i="4"/>
  <c r="X46" i="13"/>
  <c r="AI45" i="13"/>
  <c r="F405" i="4" s="1"/>
  <c r="P405" i="4" s="1"/>
  <c r="BB46" i="13"/>
  <c r="F767" i="4" s="1"/>
  <c r="P767" i="4" s="1"/>
  <c r="AQ47" i="13"/>
  <c r="AP47" i="13" s="1"/>
  <c r="AR47" i="13" s="1"/>
  <c r="G767" i="4"/>
  <c r="CJ44" i="13"/>
  <c r="CH44" i="13"/>
  <c r="BQ45" i="13"/>
  <c r="BO45" i="13"/>
  <c r="O31" i="13"/>
  <c r="W46" i="13" l="1"/>
  <c r="Y46" i="13" s="1"/>
  <c r="AE46" i="13" s="1"/>
  <c r="H30" i="4"/>
  <c r="M30" i="4" s="1"/>
  <c r="Q405" i="4"/>
  <c r="K405" i="4"/>
  <c r="J405" i="4"/>
  <c r="Q767" i="4"/>
  <c r="K767" i="4"/>
  <c r="J767" i="4"/>
  <c r="N1126" i="4"/>
  <c r="L1126" i="4"/>
  <c r="O1125" i="4"/>
  <c r="BT45" i="13"/>
  <c r="CM44" i="13"/>
  <c r="H1487" i="4" s="1"/>
  <c r="M1487" i="4" s="1"/>
  <c r="AV47" i="13"/>
  <c r="AX47" i="13"/>
  <c r="E32" i="13"/>
  <c r="P31" i="13"/>
  <c r="AC46" i="13" l="1"/>
  <c r="AH46" i="13" s="1"/>
  <c r="N405" i="4"/>
  <c r="L405" i="4"/>
  <c r="O404" i="4"/>
  <c r="L767" i="4"/>
  <c r="N767" i="4"/>
  <c r="O766" i="4"/>
  <c r="BJ46" i="13"/>
  <c r="BI46" i="13" s="1"/>
  <c r="BK46" i="13" s="1"/>
  <c r="H1127" i="4"/>
  <c r="M1127" i="4" s="1"/>
  <c r="F30" i="4"/>
  <c r="G30" i="4"/>
  <c r="BU45" i="13"/>
  <c r="F1127" i="4" s="1"/>
  <c r="P1127" i="4" s="1"/>
  <c r="G1127" i="4"/>
  <c r="CC45" i="13"/>
  <c r="G1487" i="4"/>
  <c r="CN44" i="13"/>
  <c r="F1487" i="4" s="1"/>
  <c r="BA47" i="13"/>
  <c r="D32" i="13"/>
  <c r="H768" i="4" l="1"/>
  <c r="M768" i="4" s="1"/>
  <c r="BC47" i="13"/>
  <c r="G768" i="4" s="1"/>
  <c r="AI46" i="13"/>
  <c r="F406" i="4" s="1"/>
  <c r="P406" i="4" s="1"/>
  <c r="G406" i="4"/>
  <c r="P1487" i="4"/>
  <c r="S1487" i="4"/>
  <c r="P30" i="4"/>
  <c r="S30" i="4"/>
  <c r="K1127" i="4"/>
  <c r="Q1127" i="4"/>
  <c r="J1127" i="4"/>
  <c r="K1487" i="4"/>
  <c r="Q1487" i="4"/>
  <c r="J1487" i="4"/>
  <c r="Q30" i="4"/>
  <c r="K30" i="4"/>
  <c r="J30" i="4"/>
  <c r="BB47" i="13"/>
  <c r="F768" i="4" s="1"/>
  <c r="P768" i="4" s="1"/>
  <c r="X47" i="13"/>
  <c r="H406" i="4"/>
  <c r="M406" i="4" s="1"/>
  <c r="AQ48" i="13"/>
  <c r="AP48" i="13" s="1"/>
  <c r="AR48" i="13" s="1"/>
  <c r="CB45" i="13"/>
  <c r="CD45" i="13" s="1"/>
  <c r="BO46" i="13"/>
  <c r="BQ46" i="13"/>
  <c r="F32" i="13"/>
  <c r="W47" i="13" l="1"/>
  <c r="Y47" i="13" s="1"/>
  <c r="AE47" i="13" s="1"/>
  <c r="K406" i="4"/>
  <c r="Q406" i="4"/>
  <c r="J406" i="4"/>
  <c r="Q768" i="4"/>
  <c r="K768" i="4"/>
  <c r="J768" i="4"/>
  <c r="L1487" i="4"/>
  <c r="N1487" i="4"/>
  <c r="O1486" i="4"/>
  <c r="N1127" i="4"/>
  <c r="L1127" i="4"/>
  <c r="O1126" i="4"/>
  <c r="N30" i="4"/>
  <c r="L30" i="4"/>
  <c r="O29" i="4"/>
  <c r="CJ45" i="13"/>
  <c r="CH45" i="13"/>
  <c r="BT46" i="13"/>
  <c r="H1128" i="4" s="1"/>
  <c r="M1128" i="4" s="1"/>
  <c r="AV48" i="13"/>
  <c r="AX48" i="13"/>
  <c r="L32" i="13"/>
  <c r="J32" i="13"/>
  <c r="AC47" i="13" l="1"/>
  <c r="AH47" i="13" s="1"/>
  <c r="AJ47" i="13" s="1"/>
  <c r="N768" i="4"/>
  <c r="L768" i="4"/>
  <c r="O767" i="4"/>
  <c r="N406" i="4"/>
  <c r="L406" i="4"/>
  <c r="O405" i="4"/>
  <c r="CM45" i="13"/>
  <c r="BJ47" i="13"/>
  <c r="G1128" i="4"/>
  <c r="BU46" i="13"/>
  <c r="F1128" i="4" s="1"/>
  <c r="P1128" i="4" s="1"/>
  <c r="BA48" i="13"/>
  <c r="O32" i="13"/>
  <c r="H769" i="4" l="1"/>
  <c r="M769" i="4" s="1"/>
  <c r="BC48" i="13"/>
  <c r="G769" i="4" s="1"/>
  <c r="H407" i="4"/>
  <c r="M407" i="4" s="1"/>
  <c r="H31" i="4"/>
  <c r="M31" i="4" s="1"/>
  <c r="K1128" i="4"/>
  <c r="Q1128" i="4"/>
  <c r="J1128" i="4"/>
  <c r="G1488" i="4"/>
  <c r="H1488" i="4"/>
  <c r="M1488" i="4" s="1"/>
  <c r="BB48" i="13"/>
  <c r="F769" i="4" s="1"/>
  <c r="P769" i="4" s="1"/>
  <c r="CN45" i="13"/>
  <c r="F1488" i="4" s="1"/>
  <c r="CC46" i="13"/>
  <c r="CB46" i="13" s="1"/>
  <c r="CD46" i="13" s="1"/>
  <c r="BI47" i="13"/>
  <c r="BK47" i="13" s="1"/>
  <c r="AQ49" i="13"/>
  <c r="X48" i="13"/>
  <c r="G407" i="4"/>
  <c r="AI47" i="13"/>
  <c r="F407" i="4" s="1"/>
  <c r="P407" i="4" s="1"/>
  <c r="P32" i="13"/>
  <c r="E33" i="13"/>
  <c r="P1488" i="4" l="1"/>
  <c r="S1488" i="4"/>
  <c r="Q769" i="4"/>
  <c r="K769" i="4"/>
  <c r="J769" i="4"/>
  <c r="K407" i="4"/>
  <c r="Q407" i="4"/>
  <c r="J407" i="4"/>
  <c r="Q1488" i="4"/>
  <c r="K1488" i="4"/>
  <c r="J1488" i="4"/>
  <c r="L1128" i="4"/>
  <c r="N1128" i="4"/>
  <c r="O1127" i="4"/>
  <c r="F31" i="4"/>
  <c r="G31" i="4"/>
  <c r="CJ46" i="13"/>
  <c r="CH46" i="13"/>
  <c r="BO47" i="13"/>
  <c r="BQ47" i="13"/>
  <c r="AP49" i="13"/>
  <c r="AR49" i="13" s="1"/>
  <c r="W48" i="13"/>
  <c r="Y48" i="13" s="1"/>
  <c r="D33" i="13"/>
  <c r="P31" i="4" l="1"/>
  <c r="S31" i="4"/>
  <c r="L769" i="4"/>
  <c r="N769" i="4"/>
  <c r="O768" i="4"/>
  <c r="L1488" i="4"/>
  <c r="N1488" i="4"/>
  <c r="O1487" i="4"/>
  <c r="L407" i="4"/>
  <c r="N407" i="4"/>
  <c r="O406" i="4"/>
  <c r="K31" i="4"/>
  <c r="Q31" i="4"/>
  <c r="J31" i="4"/>
  <c r="CM46" i="13"/>
  <c r="BT47" i="13"/>
  <c r="BV47" i="13" s="1"/>
  <c r="AV49" i="13"/>
  <c r="AX49" i="13"/>
  <c r="AE48" i="13"/>
  <c r="AC48" i="13"/>
  <c r="F33" i="13"/>
  <c r="H1129" i="4" l="1"/>
  <c r="M1129" i="4" s="1"/>
  <c r="G1129" i="4"/>
  <c r="L31" i="4"/>
  <c r="N31" i="4"/>
  <c r="O30" i="4"/>
  <c r="CC47" i="13"/>
  <c r="CB47" i="13" s="1"/>
  <c r="CD47" i="13" s="1"/>
  <c r="H1489" i="4"/>
  <c r="M1489" i="4" s="1"/>
  <c r="CN46" i="13"/>
  <c r="F1489" i="4" s="1"/>
  <c r="G1489" i="4"/>
  <c r="AH48" i="13"/>
  <c r="AJ48" i="13" s="1"/>
  <c r="BJ48" i="13"/>
  <c r="BU47" i="13"/>
  <c r="F1129" i="4" s="1"/>
  <c r="P1129" i="4" s="1"/>
  <c r="BA49" i="13"/>
  <c r="L33" i="13"/>
  <c r="J33" i="13"/>
  <c r="H770" i="4" l="1"/>
  <c r="M770" i="4" s="1"/>
  <c r="BC49" i="13"/>
  <c r="G770" i="4" s="1"/>
  <c r="H408" i="4"/>
  <c r="M408" i="4" s="1"/>
  <c r="G408" i="4"/>
  <c r="K408" i="4" s="1"/>
  <c r="AI48" i="13"/>
  <c r="F408" i="4" s="1"/>
  <c r="P408" i="4" s="1"/>
  <c r="P1489" i="4"/>
  <c r="S1489" i="4"/>
  <c r="J1129" i="4"/>
  <c r="Q1129" i="4"/>
  <c r="K1129" i="4"/>
  <c r="Q1489" i="4"/>
  <c r="K1489" i="4"/>
  <c r="J1489" i="4"/>
  <c r="X49" i="13"/>
  <c r="BB49" i="13"/>
  <c r="F770" i="4" s="1"/>
  <c r="P770" i="4" s="1"/>
  <c r="CJ47" i="13"/>
  <c r="CH47" i="13"/>
  <c r="BI48" i="13"/>
  <c r="BK48" i="13" s="1"/>
  <c r="AQ50" i="13"/>
  <c r="O33" i="13"/>
  <c r="W49" i="13" l="1"/>
  <c r="Y49" i="13" s="1"/>
  <c r="AE49" i="13" s="1"/>
  <c r="H32" i="4"/>
  <c r="M32" i="4" s="1"/>
  <c r="Q408" i="4"/>
  <c r="J408" i="4"/>
  <c r="Q770" i="4"/>
  <c r="K770" i="4"/>
  <c r="J770" i="4"/>
  <c r="N1489" i="4"/>
  <c r="L1489" i="4"/>
  <c r="O1488" i="4"/>
  <c r="L1129" i="4"/>
  <c r="N1129" i="4"/>
  <c r="O1128" i="4"/>
  <c r="N408" i="4"/>
  <c r="L408" i="4"/>
  <c r="O407" i="4"/>
  <c r="CM47" i="13"/>
  <c r="CO47" i="13" s="1"/>
  <c r="BO48" i="13"/>
  <c r="BQ48" i="13"/>
  <c r="AP50" i="13"/>
  <c r="AR50" i="13" s="1"/>
  <c r="E34" i="13"/>
  <c r="P33" i="13"/>
  <c r="AC49" i="13" l="1"/>
  <c r="AH49" i="13" s="1"/>
  <c r="AJ49" i="13" s="1"/>
  <c r="L770" i="4"/>
  <c r="N770" i="4"/>
  <c r="O769" i="4"/>
  <c r="CN47" i="13"/>
  <c r="F1490" i="4" s="1"/>
  <c r="H1490" i="4"/>
  <c r="M1490" i="4" s="1"/>
  <c r="G1490" i="4"/>
  <c r="CC48" i="13"/>
  <c r="CB48" i="13" s="1"/>
  <c r="CD48" i="13" s="1"/>
  <c r="F32" i="4"/>
  <c r="G32" i="4"/>
  <c r="BT48" i="13"/>
  <c r="BV48" i="13" s="1"/>
  <c r="AX50" i="13"/>
  <c r="AV50" i="13"/>
  <c r="D34" i="13"/>
  <c r="H1130" i="4" l="1"/>
  <c r="M1130" i="4" s="1"/>
  <c r="G1130" i="4"/>
  <c r="H409" i="4"/>
  <c r="M409" i="4" s="1"/>
  <c r="G409" i="4"/>
  <c r="P1490" i="4"/>
  <c r="S1490" i="4"/>
  <c r="P32" i="4"/>
  <c r="S32" i="4"/>
  <c r="K1490" i="4"/>
  <c r="Q1490" i="4"/>
  <c r="J1490" i="4"/>
  <c r="Q32" i="4"/>
  <c r="K32" i="4"/>
  <c r="J32" i="4"/>
  <c r="AI49" i="13"/>
  <c r="F409" i="4" s="1"/>
  <c r="P409" i="4" s="1"/>
  <c r="X50" i="13"/>
  <c r="BA50" i="13"/>
  <c r="BC50" i="13" s="1"/>
  <c r="CH48" i="13"/>
  <c r="CJ48" i="13"/>
  <c r="BU48" i="13"/>
  <c r="F1130" i="4" s="1"/>
  <c r="P1130" i="4" s="1"/>
  <c r="BJ49" i="13"/>
  <c r="F34" i="13"/>
  <c r="W50" i="13" l="1"/>
  <c r="Y50" i="13" s="1"/>
  <c r="AC50" i="13" s="1"/>
  <c r="K409" i="4"/>
  <c r="Q409" i="4"/>
  <c r="J409" i="4"/>
  <c r="Q1130" i="4"/>
  <c r="K1130" i="4"/>
  <c r="J1130" i="4"/>
  <c r="L1490" i="4"/>
  <c r="N1490" i="4"/>
  <c r="O1489" i="4"/>
  <c r="L32" i="4"/>
  <c r="N32" i="4"/>
  <c r="O31" i="4"/>
  <c r="G771" i="4"/>
  <c r="H771" i="4"/>
  <c r="M771" i="4" s="1"/>
  <c r="BB50" i="13"/>
  <c r="F771" i="4" s="1"/>
  <c r="P771" i="4" s="1"/>
  <c r="AQ51" i="13"/>
  <c r="AP51" i="13" s="1"/>
  <c r="AR51" i="13" s="1"/>
  <c r="CM48" i="13"/>
  <c r="BI49" i="13"/>
  <c r="BK49" i="13" s="1"/>
  <c r="L34" i="13"/>
  <c r="J34" i="13"/>
  <c r="H1491" i="4" l="1"/>
  <c r="M1491" i="4" s="1"/>
  <c r="CO48" i="13"/>
  <c r="G1491" i="4" s="1"/>
  <c r="AE50" i="13"/>
  <c r="AH50" i="13" s="1"/>
  <c r="AJ50" i="13" s="1"/>
  <c r="Q771" i="4"/>
  <c r="K771" i="4"/>
  <c r="J771" i="4"/>
  <c r="L1130" i="4"/>
  <c r="N1130" i="4"/>
  <c r="O1129" i="4"/>
  <c r="N409" i="4"/>
  <c r="L409" i="4"/>
  <c r="O408" i="4"/>
  <c r="CN48" i="13"/>
  <c r="F1491" i="4" s="1"/>
  <c r="CC49" i="13"/>
  <c r="BQ49" i="13"/>
  <c r="BO49" i="13"/>
  <c r="AX51" i="13"/>
  <c r="AV51" i="13"/>
  <c r="O34" i="13"/>
  <c r="H33" i="4" l="1"/>
  <c r="M33" i="4" s="1"/>
  <c r="P1491" i="4"/>
  <c r="S1491" i="4"/>
  <c r="Q1491" i="4"/>
  <c r="K1491" i="4"/>
  <c r="J1491" i="4"/>
  <c r="L771" i="4"/>
  <c r="N771" i="4"/>
  <c r="O770" i="4"/>
  <c r="G410" i="4"/>
  <c r="H410" i="4"/>
  <c r="M410" i="4" s="1"/>
  <c r="AI50" i="13"/>
  <c r="F410" i="4" s="1"/>
  <c r="P410" i="4" s="1"/>
  <c r="X51" i="13"/>
  <c r="BA51" i="13"/>
  <c r="BC51" i="13" s="1"/>
  <c r="BT49" i="13"/>
  <c r="BV49" i="13" s="1"/>
  <c r="CB49" i="13"/>
  <c r="CD49" i="13" s="1"/>
  <c r="E35" i="13"/>
  <c r="P34" i="13"/>
  <c r="W51" i="13" l="1"/>
  <c r="Y51" i="13" s="1"/>
  <c r="AC51" i="13" s="1"/>
  <c r="L1491" i="4"/>
  <c r="N1491" i="4"/>
  <c r="O1490" i="4"/>
  <c r="K410" i="4"/>
  <c r="Q410" i="4"/>
  <c r="J410" i="4"/>
  <c r="BJ50" i="13"/>
  <c r="BI50" i="13" s="1"/>
  <c r="BK50" i="13" s="1"/>
  <c r="H1131" i="4"/>
  <c r="M1131" i="4" s="1"/>
  <c r="AQ52" i="13"/>
  <c r="AP52" i="13" s="1"/>
  <c r="AR52" i="13" s="1"/>
  <c r="H772" i="4"/>
  <c r="M772" i="4" s="1"/>
  <c r="BB51" i="13"/>
  <c r="F772" i="4" s="1"/>
  <c r="P772" i="4" s="1"/>
  <c r="G772" i="4"/>
  <c r="F33" i="4"/>
  <c r="G33" i="4"/>
  <c r="BU49" i="13"/>
  <c r="F1131" i="4" s="1"/>
  <c r="P1131" i="4" s="1"/>
  <c r="G1131" i="4"/>
  <c r="CH49" i="13"/>
  <c r="CJ49" i="13"/>
  <c r="D35" i="13"/>
  <c r="AE51" i="13" l="1"/>
  <c r="AH51" i="13" s="1"/>
  <c r="AJ51" i="13" s="1"/>
  <c r="P33" i="4"/>
  <c r="S33" i="4"/>
  <c r="K1131" i="4"/>
  <c r="Q1131" i="4"/>
  <c r="J1131" i="4"/>
  <c r="N410" i="4"/>
  <c r="L410" i="4"/>
  <c r="O409" i="4"/>
  <c r="Q772" i="4"/>
  <c r="K772" i="4"/>
  <c r="J772" i="4"/>
  <c r="Q33" i="4"/>
  <c r="K33" i="4"/>
  <c r="J33" i="4"/>
  <c r="CM49" i="13"/>
  <c r="BQ50" i="13"/>
  <c r="BO50" i="13"/>
  <c r="AV52" i="13"/>
  <c r="AX52" i="13"/>
  <c r="F35" i="13"/>
  <c r="H1492" i="4" l="1"/>
  <c r="M1492" i="4" s="1"/>
  <c r="CO49" i="13"/>
  <c r="H411" i="4"/>
  <c r="M411" i="4" s="1"/>
  <c r="AI51" i="13"/>
  <c r="F411" i="4" s="1"/>
  <c r="P411" i="4" s="1"/>
  <c r="L772" i="4"/>
  <c r="N772" i="4"/>
  <c r="O771" i="4"/>
  <c r="X52" i="13"/>
  <c r="N1131" i="4"/>
  <c r="L1131" i="4"/>
  <c r="O1130" i="4"/>
  <c r="L33" i="4"/>
  <c r="N33" i="4"/>
  <c r="O32" i="4"/>
  <c r="G411" i="4"/>
  <c r="BT50" i="13"/>
  <c r="BV50" i="13" s="1"/>
  <c r="CC50" i="13"/>
  <c r="G1492" i="4"/>
  <c r="CN49" i="13"/>
  <c r="F1492" i="4" s="1"/>
  <c r="BA52" i="13"/>
  <c r="L35" i="13"/>
  <c r="J35" i="13"/>
  <c r="H773" i="4" l="1"/>
  <c r="M773" i="4" s="1"/>
  <c r="BC52" i="13"/>
  <c r="W52" i="13"/>
  <c r="Y52" i="13" s="1"/>
  <c r="AC52" i="13" s="1"/>
  <c r="P1492" i="4"/>
  <c r="S1492" i="4"/>
  <c r="Q1492" i="4"/>
  <c r="K1492" i="4"/>
  <c r="J1492" i="4"/>
  <c r="Q411" i="4"/>
  <c r="K411" i="4"/>
  <c r="J411" i="4"/>
  <c r="BJ51" i="13"/>
  <c r="BI51" i="13" s="1"/>
  <c r="BK51" i="13" s="1"/>
  <c r="H1132" i="4"/>
  <c r="M1132" i="4" s="1"/>
  <c r="G1132" i="4"/>
  <c r="BU50" i="13"/>
  <c r="F1132" i="4" s="1"/>
  <c r="P1132" i="4" s="1"/>
  <c r="BB52" i="13"/>
  <c r="F773" i="4" s="1"/>
  <c r="P773" i="4" s="1"/>
  <c r="CB50" i="13"/>
  <c r="CD50" i="13" s="1"/>
  <c r="AQ53" i="13"/>
  <c r="G773" i="4"/>
  <c r="O35" i="13"/>
  <c r="Q35" i="13" s="1"/>
  <c r="AE52" i="13" l="1"/>
  <c r="AH52" i="13" s="1"/>
  <c r="AJ52" i="13" s="1"/>
  <c r="H34" i="4"/>
  <c r="M34" i="4" s="1"/>
  <c r="K773" i="4"/>
  <c r="Q773" i="4"/>
  <c r="J773" i="4"/>
  <c r="Q1132" i="4"/>
  <c r="K1132" i="4"/>
  <c r="J1132" i="4"/>
  <c r="L411" i="4"/>
  <c r="N411" i="4"/>
  <c r="O410" i="4"/>
  <c r="L1492" i="4"/>
  <c r="N1492" i="4"/>
  <c r="O1491" i="4"/>
  <c r="CJ50" i="13"/>
  <c r="CH50" i="13"/>
  <c r="BO51" i="13"/>
  <c r="BQ51" i="13"/>
  <c r="AP53" i="13"/>
  <c r="AR53" i="13" s="1"/>
  <c r="E36" i="13"/>
  <c r="P35" i="13"/>
  <c r="H412" i="4" l="1"/>
  <c r="M412" i="4" s="1"/>
  <c r="L1132" i="4"/>
  <c r="N1132" i="4"/>
  <c r="O1131" i="4"/>
  <c r="L773" i="4"/>
  <c r="N773" i="4"/>
  <c r="O772" i="4"/>
  <c r="X53" i="13"/>
  <c r="F34" i="4"/>
  <c r="G34" i="4"/>
  <c r="AI52" i="13"/>
  <c r="F412" i="4" s="1"/>
  <c r="P412" i="4" s="1"/>
  <c r="G412" i="4"/>
  <c r="CM50" i="13"/>
  <c r="CO50" i="13" s="1"/>
  <c r="BT51" i="13"/>
  <c r="BV51" i="13" s="1"/>
  <c r="AX53" i="13"/>
  <c r="AV53" i="13"/>
  <c r="D36" i="13"/>
  <c r="H1133" i="4" l="1"/>
  <c r="M1133" i="4" s="1"/>
  <c r="G1133" i="4"/>
  <c r="W53" i="13"/>
  <c r="Y53" i="13" s="1"/>
  <c r="AC53" i="13" s="1"/>
  <c r="P34" i="4"/>
  <c r="S34" i="4"/>
  <c r="K412" i="4"/>
  <c r="Q412" i="4"/>
  <c r="J412" i="4"/>
  <c r="Q34" i="4"/>
  <c r="K34" i="4"/>
  <c r="J34" i="4"/>
  <c r="G1493" i="4"/>
  <c r="H1493" i="4"/>
  <c r="M1493" i="4" s="1"/>
  <c r="CC51" i="13"/>
  <c r="CB51" i="13" s="1"/>
  <c r="CD51" i="13" s="1"/>
  <c r="CN50" i="13"/>
  <c r="F1493" i="4" s="1"/>
  <c r="BA53" i="13"/>
  <c r="BJ52" i="13"/>
  <c r="BU51" i="13"/>
  <c r="F1133" i="4" s="1"/>
  <c r="P1133" i="4" s="1"/>
  <c r="F36" i="13"/>
  <c r="H774" i="4" l="1"/>
  <c r="M774" i="4" s="1"/>
  <c r="BC53" i="13"/>
  <c r="G774" i="4" s="1"/>
  <c r="AE53" i="13"/>
  <c r="AH53" i="13" s="1"/>
  <c r="AJ53" i="13" s="1"/>
  <c r="P1493" i="4"/>
  <c r="S1493" i="4"/>
  <c r="K1133" i="4"/>
  <c r="Q1133" i="4"/>
  <c r="J1133" i="4"/>
  <c r="Q1493" i="4"/>
  <c r="K1493" i="4"/>
  <c r="J1493" i="4"/>
  <c r="L412" i="4"/>
  <c r="N412" i="4"/>
  <c r="O411" i="4"/>
  <c r="N34" i="4"/>
  <c r="L34" i="4"/>
  <c r="O33" i="4"/>
  <c r="BB53" i="13"/>
  <c r="F774" i="4" s="1"/>
  <c r="P774" i="4" s="1"/>
  <c r="AQ54" i="13"/>
  <c r="AP54" i="13" s="1"/>
  <c r="AR54" i="13" s="1"/>
  <c r="CH51" i="13"/>
  <c r="CJ51" i="13"/>
  <c r="BI52" i="13"/>
  <c r="BK52" i="13" s="1"/>
  <c r="L36" i="13"/>
  <c r="J36" i="13"/>
  <c r="H413" i="4" l="1"/>
  <c r="M413" i="4" s="1"/>
  <c r="K774" i="4"/>
  <c r="Q774" i="4"/>
  <c r="J774" i="4"/>
  <c r="L1493" i="4"/>
  <c r="N1493" i="4"/>
  <c r="O1492" i="4"/>
  <c r="L1133" i="4"/>
  <c r="N1133" i="4"/>
  <c r="O1132" i="4"/>
  <c r="CM51" i="13"/>
  <c r="BO52" i="13"/>
  <c r="BQ52" i="13"/>
  <c r="AV54" i="13"/>
  <c r="AX54" i="13"/>
  <c r="X54" i="13"/>
  <c r="G413" i="4"/>
  <c r="AI53" i="13"/>
  <c r="F413" i="4" s="1"/>
  <c r="P413" i="4" s="1"/>
  <c r="O36" i="13"/>
  <c r="Q36" i="13" s="1"/>
  <c r="H1494" i="4" l="1"/>
  <c r="M1494" i="4" s="1"/>
  <c r="CO51" i="13"/>
  <c r="G1494" i="4" s="1"/>
  <c r="H35" i="4"/>
  <c r="M35" i="4" s="1"/>
  <c r="K413" i="4"/>
  <c r="Q413" i="4"/>
  <c r="J413" i="4"/>
  <c r="L774" i="4"/>
  <c r="N774" i="4"/>
  <c r="O773" i="4"/>
  <c r="CC52" i="13"/>
  <c r="CN51" i="13"/>
  <c r="F1494" i="4" s="1"/>
  <c r="BT52" i="13"/>
  <c r="BV52" i="13" s="1"/>
  <c r="BA54" i="13"/>
  <c r="H775" i="4" s="1"/>
  <c r="M775" i="4" s="1"/>
  <c r="W54" i="13"/>
  <c r="Y54" i="13" s="1"/>
  <c r="P36" i="13"/>
  <c r="E37" i="13"/>
  <c r="H1134" i="4" l="1"/>
  <c r="M1134" i="4" s="1"/>
  <c r="G1134" i="4"/>
  <c r="P1494" i="4"/>
  <c r="S1494" i="4"/>
  <c r="K1494" i="4"/>
  <c r="Q1494" i="4"/>
  <c r="J1494" i="4"/>
  <c r="L413" i="4"/>
  <c r="N413" i="4"/>
  <c r="O412" i="4"/>
  <c r="BB54" i="13"/>
  <c r="F775" i="4" s="1"/>
  <c r="P775" i="4" s="1"/>
  <c r="F35" i="4"/>
  <c r="G35" i="4"/>
  <c r="CB52" i="13"/>
  <c r="CD52" i="13" s="1"/>
  <c r="BJ53" i="13"/>
  <c r="BU52" i="13"/>
  <c r="F1134" i="4" s="1"/>
  <c r="P1134" i="4" s="1"/>
  <c r="G775" i="4"/>
  <c r="AQ55" i="13"/>
  <c r="AC54" i="13"/>
  <c r="AE54" i="13"/>
  <c r="D37" i="13"/>
  <c r="P35" i="4" l="1"/>
  <c r="S35" i="4"/>
  <c r="K775" i="4"/>
  <c r="Q775" i="4"/>
  <c r="J775" i="4"/>
  <c r="K1134" i="4"/>
  <c r="Q1134" i="4"/>
  <c r="J1134" i="4"/>
  <c r="L1494" i="4"/>
  <c r="N1494" i="4"/>
  <c r="O1493" i="4"/>
  <c r="Q35" i="4"/>
  <c r="K35" i="4"/>
  <c r="J35" i="4"/>
  <c r="CJ52" i="13"/>
  <c r="CH52" i="13"/>
  <c r="BI53" i="13"/>
  <c r="BK53" i="13" s="1"/>
  <c r="AP55" i="13"/>
  <c r="AR55" i="13" s="1"/>
  <c r="AH54" i="13"/>
  <c r="F37" i="13"/>
  <c r="H414" i="4" l="1"/>
  <c r="M414" i="4" s="1"/>
  <c r="L775" i="4"/>
  <c r="N775" i="4"/>
  <c r="O774" i="4"/>
  <c r="L1134" i="4"/>
  <c r="N1134" i="4"/>
  <c r="O1133" i="4"/>
  <c r="N35" i="4"/>
  <c r="L35" i="4"/>
  <c r="O34" i="4"/>
  <c r="CM52" i="13"/>
  <c r="CO52" i="13" s="1"/>
  <c r="BO53" i="13"/>
  <c r="BQ53" i="13"/>
  <c r="AX55" i="13"/>
  <c r="AV55" i="13"/>
  <c r="G414" i="4"/>
  <c r="AI54" i="13"/>
  <c r="F414" i="4" s="1"/>
  <c r="P414" i="4" s="1"/>
  <c r="X55" i="13"/>
  <c r="L37" i="13"/>
  <c r="J37" i="13"/>
  <c r="Q414" i="4" l="1"/>
  <c r="K414" i="4"/>
  <c r="J414" i="4"/>
  <c r="G1495" i="4"/>
  <c r="H1495" i="4"/>
  <c r="M1495" i="4" s="1"/>
  <c r="CC53" i="13"/>
  <c r="CB53" i="13" s="1"/>
  <c r="CD53" i="13" s="1"/>
  <c r="CN52" i="13"/>
  <c r="F1495" i="4" s="1"/>
  <c r="BA55" i="13"/>
  <c r="H776" i="4" s="1"/>
  <c r="M776" i="4" s="1"/>
  <c r="BT53" i="13"/>
  <c r="BV53" i="13" s="1"/>
  <c r="W55" i="13"/>
  <c r="Y55" i="13" s="1"/>
  <c r="O37" i="13"/>
  <c r="Q37" i="13" s="1"/>
  <c r="H1135" i="4" l="1"/>
  <c r="M1135" i="4" s="1"/>
  <c r="H36" i="4"/>
  <c r="M36" i="4" s="1"/>
  <c r="P1495" i="4"/>
  <c r="S1495" i="4"/>
  <c r="N414" i="4"/>
  <c r="L414" i="4"/>
  <c r="O413" i="4"/>
  <c r="K1495" i="4"/>
  <c r="Q1495" i="4"/>
  <c r="J1495" i="4"/>
  <c r="BB55" i="13"/>
  <c r="F776" i="4" s="1"/>
  <c r="P776" i="4" s="1"/>
  <c r="G776" i="4"/>
  <c r="AQ56" i="13"/>
  <c r="AP56" i="13" s="1"/>
  <c r="AR56" i="13" s="1"/>
  <c r="CH53" i="13"/>
  <c r="CJ53" i="13"/>
  <c r="G1135" i="4"/>
  <c r="BU53" i="13"/>
  <c r="F1135" i="4" s="1"/>
  <c r="P1135" i="4" s="1"/>
  <c r="BJ54" i="13"/>
  <c r="AE55" i="13"/>
  <c r="AC55" i="13"/>
  <c r="E38" i="13"/>
  <c r="P37" i="13"/>
  <c r="L1495" i="4" l="1"/>
  <c r="N1495" i="4"/>
  <c r="O1494" i="4"/>
  <c r="Q1135" i="4"/>
  <c r="K1135" i="4"/>
  <c r="J1135" i="4"/>
  <c r="Q776" i="4"/>
  <c r="K776" i="4"/>
  <c r="J776" i="4"/>
  <c r="F36" i="4"/>
  <c r="G36" i="4"/>
  <c r="AH55" i="13"/>
  <c r="CM53" i="13"/>
  <c r="BI54" i="13"/>
  <c r="BK54" i="13" s="1"/>
  <c r="AV56" i="13"/>
  <c r="AX56" i="13"/>
  <c r="D38" i="13"/>
  <c r="H1496" i="4" l="1"/>
  <c r="M1496" i="4" s="1"/>
  <c r="CO53" i="13"/>
  <c r="G1496" i="4" s="1"/>
  <c r="H415" i="4"/>
  <c r="M415" i="4" s="1"/>
  <c r="P36" i="4"/>
  <c r="S36" i="4"/>
  <c r="G415" i="4"/>
  <c r="K415" i="4" s="1"/>
  <c r="AI55" i="13"/>
  <c r="F415" i="4" s="1"/>
  <c r="P415" i="4" s="1"/>
  <c r="N776" i="4"/>
  <c r="L776" i="4"/>
  <c r="O775" i="4"/>
  <c r="L1135" i="4"/>
  <c r="N1135" i="4"/>
  <c r="O1134" i="4"/>
  <c r="K36" i="4"/>
  <c r="Q36" i="4"/>
  <c r="J36" i="4"/>
  <c r="X56" i="13"/>
  <c r="CC54" i="13"/>
  <c r="CN53" i="13"/>
  <c r="F1496" i="4" s="1"/>
  <c r="BQ54" i="13"/>
  <c r="BO54" i="13"/>
  <c r="BA56" i="13"/>
  <c r="H777" i="4" s="1"/>
  <c r="M777" i="4" s="1"/>
  <c r="F38" i="13"/>
  <c r="W56" i="13" l="1"/>
  <c r="Y56" i="13" s="1"/>
  <c r="AE56" i="13" s="1"/>
  <c r="J415" i="4"/>
  <c r="Q415" i="4"/>
  <c r="P1496" i="4"/>
  <c r="S1496" i="4"/>
  <c r="Q1496" i="4"/>
  <c r="J1496" i="4"/>
  <c r="K1496" i="4"/>
  <c r="N415" i="4"/>
  <c r="L415" i="4"/>
  <c r="O414" i="4"/>
  <c r="N36" i="4"/>
  <c r="L36" i="4"/>
  <c r="O35" i="4"/>
  <c r="BB56" i="13"/>
  <c r="F777" i="4" s="1"/>
  <c r="P777" i="4" s="1"/>
  <c r="BT54" i="13"/>
  <c r="CB54" i="13"/>
  <c r="CD54" i="13" s="1"/>
  <c r="G777" i="4"/>
  <c r="AQ57" i="13"/>
  <c r="J38" i="13"/>
  <c r="L38" i="13"/>
  <c r="AC56" i="13" l="1"/>
  <c r="AH56" i="13" s="1"/>
  <c r="Q777" i="4"/>
  <c r="K777" i="4"/>
  <c r="J777" i="4"/>
  <c r="N1496" i="4"/>
  <c r="L1496" i="4"/>
  <c r="O1495" i="4"/>
  <c r="BJ55" i="13"/>
  <c r="BI55" i="13" s="1"/>
  <c r="BK55" i="13" s="1"/>
  <c r="H1136" i="4"/>
  <c r="M1136" i="4" s="1"/>
  <c r="BU54" i="13"/>
  <c r="F1136" i="4" s="1"/>
  <c r="P1136" i="4" s="1"/>
  <c r="G1136" i="4"/>
  <c r="CJ54" i="13"/>
  <c r="CH54" i="13"/>
  <c r="AP57" i="13"/>
  <c r="AR57" i="13" s="1"/>
  <c r="O38" i="13"/>
  <c r="Q38" i="13" s="1"/>
  <c r="H416" i="4" l="1"/>
  <c r="M416" i="4" s="1"/>
  <c r="H37" i="4"/>
  <c r="M37" i="4" s="1"/>
  <c r="K1136" i="4"/>
  <c r="Q1136" i="4"/>
  <c r="J1136" i="4"/>
  <c r="L777" i="4"/>
  <c r="N777" i="4"/>
  <c r="O776" i="4"/>
  <c r="AI56" i="13"/>
  <c r="F416" i="4" s="1"/>
  <c r="P416" i="4" s="1"/>
  <c r="X57" i="13"/>
  <c r="G416" i="4"/>
  <c r="CM54" i="13"/>
  <c r="BO55" i="13"/>
  <c r="BQ55" i="13"/>
  <c r="AV57" i="13"/>
  <c r="AX57" i="13"/>
  <c r="P38" i="13"/>
  <c r="E39" i="13"/>
  <c r="W57" i="13" l="1"/>
  <c r="Y57" i="13" s="1"/>
  <c r="AE57" i="13" s="1"/>
  <c r="Q416" i="4"/>
  <c r="K416" i="4"/>
  <c r="J416" i="4"/>
  <c r="L1136" i="4"/>
  <c r="N1136" i="4"/>
  <c r="O1135" i="4"/>
  <c r="G1497" i="4"/>
  <c r="H1497" i="4"/>
  <c r="M1497" i="4" s="1"/>
  <c r="G37" i="4"/>
  <c r="F37" i="4"/>
  <c r="CC55" i="13"/>
  <c r="CB55" i="13" s="1"/>
  <c r="CD55" i="13" s="1"/>
  <c r="CN54" i="13"/>
  <c r="F1497" i="4" s="1"/>
  <c r="BT55" i="13"/>
  <c r="H1137" i="4" s="1"/>
  <c r="M1137" i="4" s="1"/>
  <c r="BA57" i="13"/>
  <c r="H778" i="4" s="1"/>
  <c r="M778" i="4" s="1"/>
  <c r="D39" i="13"/>
  <c r="AC57" i="13" l="1"/>
  <c r="AH57" i="13" s="1"/>
  <c r="P1497" i="4"/>
  <c r="S1497" i="4"/>
  <c r="P37" i="4"/>
  <c r="S37" i="4"/>
  <c r="N416" i="4"/>
  <c r="L416" i="4"/>
  <c r="O415" i="4"/>
  <c r="Q1497" i="4"/>
  <c r="K1497" i="4"/>
  <c r="J1497" i="4"/>
  <c r="Q37" i="4"/>
  <c r="K37" i="4"/>
  <c r="J37" i="4"/>
  <c r="BB57" i="13"/>
  <c r="F778" i="4" s="1"/>
  <c r="P778" i="4" s="1"/>
  <c r="CH55" i="13"/>
  <c r="CJ55" i="13"/>
  <c r="BJ56" i="13"/>
  <c r="G1137" i="4"/>
  <c r="BU55" i="13"/>
  <c r="F1137" i="4" s="1"/>
  <c r="P1137" i="4" s="1"/>
  <c r="G778" i="4"/>
  <c r="AQ58" i="13"/>
  <c r="F39" i="13"/>
  <c r="H417" i="4" l="1"/>
  <c r="M417" i="4" s="1"/>
  <c r="X58" i="13"/>
  <c r="Q778" i="4"/>
  <c r="K778" i="4"/>
  <c r="J778" i="4"/>
  <c r="K1137" i="4"/>
  <c r="Q1137" i="4"/>
  <c r="J1137" i="4"/>
  <c r="L1497" i="4"/>
  <c r="N1497" i="4"/>
  <c r="O1496" i="4"/>
  <c r="G417" i="4"/>
  <c r="AI57" i="13"/>
  <c r="F417" i="4" s="1"/>
  <c r="P417" i="4" s="1"/>
  <c r="L37" i="4"/>
  <c r="N37" i="4"/>
  <c r="O36" i="4"/>
  <c r="CM55" i="13"/>
  <c r="H1498" i="4" s="1"/>
  <c r="M1498" i="4" s="1"/>
  <c r="BI56" i="13"/>
  <c r="BK56" i="13" s="1"/>
  <c r="AP58" i="13"/>
  <c r="AR58" i="13" s="1"/>
  <c r="L39" i="13"/>
  <c r="J39" i="13"/>
  <c r="W58" i="13" l="1"/>
  <c r="Y58" i="13" s="1"/>
  <c r="AC58" i="13" s="1"/>
  <c r="K417" i="4"/>
  <c r="Q417" i="4"/>
  <c r="J417" i="4"/>
  <c r="L1137" i="4"/>
  <c r="N1137" i="4"/>
  <c r="O1136" i="4"/>
  <c r="L778" i="4"/>
  <c r="N778" i="4"/>
  <c r="O777" i="4"/>
  <c r="CC56" i="13"/>
  <c r="G1498" i="4"/>
  <c r="CN55" i="13"/>
  <c r="F1498" i="4" s="1"/>
  <c r="BO56" i="13"/>
  <c r="BQ56" i="13"/>
  <c r="AX58" i="13"/>
  <c r="AV58" i="13"/>
  <c r="O39" i="13"/>
  <c r="Q39" i="13" s="1"/>
  <c r="AE58" i="13" l="1"/>
  <c r="AH58" i="13" s="1"/>
  <c r="H38" i="4"/>
  <c r="M38" i="4" s="1"/>
  <c r="P1498" i="4"/>
  <c r="S1498" i="4"/>
  <c r="K1498" i="4"/>
  <c r="Q1498" i="4"/>
  <c r="J1498" i="4"/>
  <c r="L417" i="4"/>
  <c r="N417" i="4"/>
  <c r="O416" i="4"/>
  <c r="BA58" i="13"/>
  <c r="H779" i="4" s="1"/>
  <c r="M779" i="4" s="1"/>
  <c r="CB56" i="13"/>
  <c r="CD56" i="13" s="1"/>
  <c r="BT56" i="13"/>
  <c r="H1138" i="4" s="1"/>
  <c r="M1138" i="4" s="1"/>
  <c r="E40" i="13"/>
  <c r="P39" i="13"/>
  <c r="H418" i="4" l="1"/>
  <c r="M418" i="4" s="1"/>
  <c r="L1498" i="4"/>
  <c r="N1498" i="4"/>
  <c r="O1497" i="4"/>
  <c r="F38" i="4"/>
  <c r="G38" i="4"/>
  <c r="AQ59" i="13"/>
  <c r="AP59" i="13" s="1"/>
  <c r="AR59" i="13" s="1"/>
  <c r="BB58" i="13"/>
  <c r="F779" i="4" s="1"/>
  <c r="P779" i="4" s="1"/>
  <c r="G779" i="4"/>
  <c r="CJ56" i="13"/>
  <c r="CH56" i="13"/>
  <c r="G1138" i="4"/>
  <c r="BU56" i="13"/>
  <c r="F1138" i="4" s="1"/>
  <c r="P1138" i="4" s="1"/>
  <c r="BJ57" i="13"/>
  <c r="G418" i="4"/>
  <c r="AI58" i="13"/>
  <c r="F418" i="4" s="1"/>
  <c r="P418" i="4" s="1"/>
  <c r="X59" i="13"/>
  <c r="D40" i="13"/>
  <c r="P38" i="4" l="1"/>
  <c r="S38" i="4"/>
  <c r="Q418" i="4"/>
  <c r="K418" i="4"/>
  <c r="J418" i="4"/>
  <c r="Q779" i="4"/>
  <c r="K779" i="4"/>
  <c r="J779" i="4"/>
  <c r="Q1138" i="4"/>
  <c r="K1138" i="4"/>
  <c r="J1138" i="4"/>
  <c r="K38" i="4"/>
  <c r="Q38" i="4"/>
  <c r="J38" i="4"/>
  <c r="CM56" i="13"/>
  <c r="BI57" i="13"/>
  <c r="BK57" i="13" s="1"/>
  <c r="AV59" i="13"/>
  <c r="AX59" i="13"/>
  <c r="W59" i="13"/>
  <c r="Y59" i="13" s="1"/>
  <c r="F40" i="13"/>
  <c r="L1138" i="4" l="1"/>
  <c r="N1138" i="4"/>
  <c r="O1137" i="4"/>
  <c r="L779" i="4"/>
  <c r="N779" i="4"/>
  <c r="O778" i="4"/>
  <c r="N418" i="4"/>
  <c r="L418" i="4"/>
  <c r="O417" i="4"/>
  <c r="L38" i="4"/>
  <c r="N38" i="4"/>
  <c r="O37" i="4"/>
  <c r="CN56" i="13"/>
  <c r="F1499" i="4" s="1"/>
  <c r="H1499" i="4"/>
  <c r="M1499" i="4" s="1"/>
  <c r="G1499" i="4"/>
  <c r="CC57" i="13"/>
  <c r="CB57" i="13" s="1"/>
  <c r="CD57" i="13" s="1"/>
  <c r="BO57" i="13"/>
  <c r="BQ57" i="13"/>
  <c r="BA59" i="13"/>
  <c r="AC59" i="13"/>
  <c r="AE59" i="13"/>
  <c r="J40" i="13"/>
  <c r="L40" i="13"/>
  <c r="H780" i="4" l="1"/>
  <c r="M780" i="4" s="1"/>
  <c r="BC59" i="13"/>
  <c r="G780" i="4" s="1"/>
  <c r="P1499" i="4"/>
  <c r="S1499" i="4"/>
  <c r="K1499" i="4"/>
  <c r="J1499" i="4"/>
  <c r="Q1499" i="4"/>
  <c r="BB59" i="13"/>
  <c r="F780" i="4" s="1"/>
  <c r="P780" i="4" s="1"/>
  <c r="CH57" i="13"/>
  <c r="CJ57" i="13"/>
  <c r="BT57" i="13"/>
  <c r="H1139" i="4" s="1"/>
  <c r="M1139" i="4" s="1"/>
  <c r="AQ60" i="13"/>
  <c r="AH59" i="13"/>
  <c r="AJ59" i="13" s="1"/>
  <c r="O40" i="13"/>
  <c r="Q40" i="13" s="1"/>
  <c r="H419" i="4" l="1"/>
  <c r="M419" i="4" s="1"/>
  <c r="H39" i="4"/>
  <c r="M39" i="4" s="1"/>
  <c r="Q780" i="4"/>
  <c r="K780" i="4"/>
  <c r="J780" i="4"/>
  <c r="N1499" i="4"/>
  <c r="L1499" i="4"/>
  <c r="O1498" i="4"/>
  <c r="CM57" i="13"/>
  <c r="H1500" i="4" s="1"/>
  <c r="M1500" i="4" s="1"/>
  <c r="G1139" i="4"/>
  <c r="BU57" i="13"/>
  <c r="F1139" i="4" s="1"/>
  <c r="P1139" i="4" s="1"/>
  <c r="BJ58" i="13"/>
  <c r="AP60" i="13"/>
  <c r="AR60" i="13" s="1"/>
  <c r="G419" i="4"/>
  <c r="AI59" i="13"/>
  <c r="F419" i="4" s="1"/>
  <c r="P419" i="4" s="1"/>
  <c r="X60" i="13"/>
  <c r="E41" i="13"/>
  <c r="P40" i="13"/>
  <c r="J419" i="4" l="1"/>
  <c r="K419" i="4"/>
  <c r="Q419" i="4"/>
  <c r="Q1139" i="4"/>
  <c r="K1139" i="4"/>
  <c r="J1139" i="4"/>
  <c r="L780" i="4"/>
  <c r="N780" i="4"/>
  <c r="O779" i="4"/>
  <c r="F39" i="4"/>
  <c r="G39" i="4"/>
  <c r="G1500" i="4"/>
  <c r="CN57" i="13"/>
  <c r="F1500" i="4" s="1"/>
  <c r="CC58" i="13"/>
  <c r="BI58" i="13"/>
  <c r="BK58" i="13" s="1"/>
  <c r="AX60" i="13"/>
  <c r="AV60" i="13"/>
  <c r="W60" i="13"/>
  <c r="Y60" i="13" s="1"/>
  <c r="D41" i="13"/>
  <c r="P1500" i="4" l="1"/>
  <c r="S1500" i="4"/>
  <c r="P39" i="4"/>
  <c r="S39" i="4"/>
  <c r="K1500" i="4"/>
  <c r="Q1500" i="4"/>
  <c r="J1500" i="4"/>
  <c r="N419" i="4"/>
  <c r="L419" i="4"/>
  <c r="O418" i="4"/>
  <c r="L1139" i="4"/>
  <c r="N1139" i="4"/>
  <c r="O1138" i="4"/>
  <c r="Q39" i="4"/>
  <c r="K39" i="4"/>
  <c r="J39" i="4"/>
  <c r="BA60" i="13"/>
  <c r="CB58" i="13"/>
  <c r="CD58" i="13" s="1"/>
  <c r="BQ58" i="13"/>
  <c r="BO58" i="13"/>
  <c r="AE60" i="13"/>
  <c r="AC60" i="13"/>
  <c r="F41" i="13"/>
  <c r="H781" i="4" l="1"/>
  <c r="M781" i="4" s="1"/>
  <c r="BC60" i="13"/>
  <c r="G781" i="4" s="1"/>
  <c r="L1500" i="4"/>
  <c r="N1500" i="4"/>
  <c r="O1499" i="4"/>
  <c r="L39" i="4"/>
  <c r="N39" i="4"/>
  <c r="O38" i="4"/>
  <c r="BB60" i="13"/>
  <c r="F781" i="4" s="1"/>
  <c r="P781" i="4" s="1"/>
  <c r="AQ61" i="13"/>
  <c r="AP61" i="13" s="1"/>
  <c r="AR61" i="13" s="1"/>
  <c r="BT58" i="13"/>
  <c r="AH60" i="13"/>
  <c r="AJ60" i="13" s="1"/>
  <c r="CH58" i="13"/>
  <c r="CJ58" i="13"/>
  <c r="L41" i="13"/>
  <c r="J41" i="13"/>
  <c r="H420" i="4" l="1"/>
  <c r="M420" i="4" s="1"/>
  <c r="Q781" i="4"/>
  <c r="K781" i="4"/>
  <c r="J781" i="4"/>
  <c r="BU58" i="13"/>
  <c r="F1140" i="4" s="1"/>
  <c r="P1140" i="4" s="1"/>
  <c r="H1140" i="4"/>
  <c r="M1140" i="4" s="1"/>
  <c r="G1140" i="4"/>
  <c r="AI60" i="13"/>
  <c r="F420" i="4" s="1"/>
  <c r="P420" i="4" s="1"/>
  <c r="G420" i="4"/>
  <c r="BJ59" i="13"/>
  <c r="BI59" i="13" s="1"/>
  <c r="BK59" i="13" s="1"/>
  <c r="X61" i="13"/>
  <c r="CM58" i="13"/>
  <c r="H1501" i="4" s="1"/>
  <c r="M1501" i="4" s="1"/>
  <c r="AX61" i="13"/>
  <c r="AV61" i="13"/>
  <c r="O41" i="13"/>
  <c r="Q41" i="13" s="1"/>
  <c r="W61" i="13" l="1"/>
  <c r="Y61" i="13" s="1"/>
  <c r="AE61" i="13" s="1"/>
  <c r="H40" i="4"/>
  <c r="M40" i="4" s="1"/>
  <c r="K1140" i="4"/>
  <c r="Q1140" i="4"/>
  <c r="J1140" i="4"/>
  <c r="K420" i="4"/>
  <c r="Q420" i="4"/>
  <c r="J420" i="4"/>
  <c r="N781" i="4"/>
  <c r="L781" i="4"/>
  <c r="O780" i="4"/>
  <c r="BA61" i="13"/>
  <c r="CC59" i="13"/>
  <c r="CN58" i="13"/>
  <c r="F1501" i="4" s="1"/>
  <c r="G1501" i="4"/>
  <c r="BO59" i="13"/>
  <c r="BQ59" i="13"/>
  <c r="E42" i="13"/>
  <c r="P41" i="13"/>
  <c r="H782" i="4" l="1"/>
  <c r="M782" i="4" s="1"/>
  <c r="BC61" i="13"/>
  <c r="G782" i="4" s="1"/>
  <c r="AC61" i="13"/>
  <c r="AH61" i="13" s="1"/>
  <c r="AJ61" i="13" s="1"/>
  <c r="P1501" i="4"/>
  <c r="S1501" i="4"/>
  <c r="L420" i="4"/>
  <c r="N420" i="4"/>
  <c r="O419" i="4"/>
  <c r="Q1501" i="4"/>
  <c r="J1501" i="4"/>
  <c r="K1501" i="4"/>
  <c r="N1140" i="4"/>
  <c r="L1140" i="4"/>
  <c r="O1139" i="4"/>
  <c r="AQ62" i="13"/>
  <c r="AP62" i="13" s="1"/>
  <c r="AR62" i="13" s="1"/>
  <c r="BB61" i="13"/>
  <c r="F782" i="4" s="1"/>
  <c r="P782" i="4" s="1"/>
  <c r="F40" i="4"/>
  <c r="G40" i="4"/>
  <c r="CB59" i="13"/>
  <c r="CD59" i="13" s="1"/>
  <c r="BT59" i="13"/>
  <c r="BV59" i="13" s="1"/>
  <c r="D42" i="13"/>
  <c r="H1141" i="4" l="1"/>
  <c r="M1141" i="4" s="1"/>
  <c r="G1141" i="4"/>
  <c r="H421" i="4"/>
  <c r="M421" i="4" s="1"/>
  <c r="G421" i="4"/>
  <c r="P40" i="4"/>
  <c r="S40" i="4"/>
  <c r="K782" i="4"/>
  <c r="Q782" i="4"/>
  <c r="J782" i="4"/>
  <c r="N1501" i="4"/>
  <c r="L1501" i="4"/>
  <c r="O1500" i="4"/>
  <c r="Q40" i="4"/>
  <c r="K40" i="4"/>
  <c r="J40" i="4"/>
  <c r="CH59" i="13"/>
  <c r="CJ59" i="13"/>
  <c r="BU59" i="13"/>
  <c r="F1141" i="4" s="1"/>
  <c r="P1141" i="4" s="1"/>
  <c r="BJ60" i="13"/>
  <c r="AV62" i="13"/>
  <c r="AX62" i="13"/>
  <c r="AI61" i="13"/>
  <c r="F421" i="4" s="1"/>
  <c r="P421" i="4" s="1"/>
  <c r="X62" i="13"/>
  <c r="F42" i="13"/>
  <c r="Q1141" i="4" l="1"/>
  <c r="K1141" i="4"/>
  <c r="J1141" i="4"/>
  <c r="Q421" i="4"/>
  <c r="K421" i="4"/>
  <c r="J421" i="4"/>
  <c r="N782" i="4"/>
  <c r="L782" i="4"/>
  <c r="O781" i="4"/>
  <c r="N40" i="4"/>
  <c r="L40" i="4"/>
  <c r="O39" i="4"/>
  <c r="CM59" i="13"/>
  <c r="BI60" i="13"/>
  <c r="BK60" i="13" s="1"/>
  <c r="BA62" i="13"/>
  <c r="W62" i="13"/>
  <c r="Y62" i="13" s="1"/>
  <c r="L42" i="13"/>
  <c r="J42" i="13"/>
  <c r="H1502" i="4" l="1"/>
  <c r="M1502" i="4" s="1"/>
  <c r="CO59" i="13"/>
  <c r="G1502" i="4" s="1"/>
  <c r="H783" i="4"/>
  <c r="M783" i="4" s="1"/>
  <c r="BC62" i="13"/>
  <c r="G783" i="4" s="1"/>
  <c r="L421" i="4"/>
  <c r="N421" i="4"/>
  <c r="O420" i="4"/>
  <c r="L1141" i="4"/>
  <c r="N1141" i="4"/>
  <c r="O1140" i="4"/>
  <c r="BB62" i="13"/>
  <c r="F783" i="4" s="1"/>
  <c r="P783" i="4" s="1"/>
  <c r="CC60" i="13"/>
  <c r="CN59" i="13"/>
  <c r="F1502" i="4" s="1"/>
  <c r="BQ60" i="13"/>
  <c r="BO60" i="13"/>
  <c r="AQ63" i="13"/>
  <c r="AC62" i="13"/>
  <c r="AE62" i="13"/>
  <c r="O42" i="13"/>
  <c r="H41" i="4" l="1"/>
  <c r="M41" i="4" s="1"/>
  <c r="P1502" i="4"/>
  <c r="S1502" i="4"/>
  <c r="K783" i="4"/>
  <c r="Q783" i="4"/>
  <c r="J783" i="4"/>
  <c r="Q1502" i="4"/>
  <c r="K1502" i="4"/>
  <c r="J1502" i="4"/>
  <c r="BT60" i="13"/>
  <c r="BV60" i="13" s="1"/>
  <c r="CB60" i="13"/>
  <c r="CD60" i="13" s="1"/>
  <c r="AH62" i="13"/>
  <c r="AJ62" i="13" s="1"/>
  <c r="AP63" i="13"/>
  <c r="AR63" i="13" s="1"/>
  <c r="P42" i="13"/>
  <c r="E43" i="13"/>
  <c r="H422" i="4" l="1"/>
  <c r="M422" i="4" s="1"/>
  <c r="G422" i="4"/>
  <c r="N1502" i="4"/>
  <c r="L1502" i="4"/>
  <c r="O1501" i="4"/>
  <c r="N783" i="4"/>
  <c r="L783" i="4"/>
  <c r="O782" i="4"/>
  <c r="BJ61" i="13"/>
  <c r="BI61" i="13" s="1"/>
  <c r="BK61" i="13" s="1"/>
  <c r="H1142" i="4"/>
  <c r="M1142" i="4" s="1"/>
  <c r="X63" i="13"/>
  <c r="F41" i="4"/>
  <c r="G41" i="4"/>
  <c r="BU60" i="13"/>
  <c r="F1142" i="4" s="1"/>
  <c r="P1142" i="4" s="1"/>
  <c r="AI62" i="13"/>
  <c r="F422" i="4" s="1"/>
  <c r="P422" i="4" s="1"/>
  <c r="G1142" i="4"/>
  <c r="CH60" i="13"/>
  <c r="CJ60" i="13"/>
  <c r="AV63" i="13"/>
  <c r="AX63" i="13"/>
  <c r="D43" i="13"/>
  <c r="W63" i="13" l="1"/>
  <c r="Y63" i="13" s="1"/>
  <c r="AC63" i="13" s="1"/>
  <c r="P41" i="4"/>
  <c r="S41" i="4"/>
  <c r="Q422" i="4"/>
  <c r="K422" i="4"/>
  <c r="J422" i="4"/>
  <c r="K1142" i="4"/>
  <c r="Q1142" i="4"/>
  <c r="J1142" i="4"/>
  <c r="K41" i="4"/>
  <c r="Q41" i="4"/>
  <c r="J41" i="4"/>
  <c r="CM60" i="13"/>
  <c r="BO61" i="13"/>
  <c r="BQ61" i="13"/>
  <c r="BA63" i="13"/>
  <c r="F43" i="13"/>
  <c r="H1503" i="4" l="1"/>
  <c r="M1503" i="4" s="1"/>
  <c r="CO60" i="13"/>
  <c r="G1503" i="4" s="1"/>
  <c r="H784" i="4"/>
  <c r="M784" i="4" s="1"/>
  <c r="BC63" i="13"/>
  <c r="G784" i="4" s="1"/>
  <c r="AE63" i="13"/>
  <c r="AH63" i="13" s="1"/>
  <c r="AJ63" i="13" s="1"/>
  <c r="L422" i="4"/>
  <c r="N422" i="4"/>
  <c r="O421" i="4"/>
  <c r="N1142" i="4"/>
  <c r="L1142" i="4"/>
  <c r="O1141" i="4"/>
  <c r="L41" i="4"/>
  <c r="N41" i="4"/>
  <c r="O40" i="4"/>
  <c r="AQ64" i="13"/>
  <c r="AP64" i="13" s="1"/>
  <c r="AR64" i="13" s="1"/>
  <c r="BB63" i="13"/>
  <c r="F784" i="4" s="1"/>
  <c r="P784" i="4" s="1"/>
  <c r="CC61" i="13"/>
  <c r="CN60" i="13"/>
  <c r="F1503" i="4" s="1"/>
  <c r="BT61" i="13"/>
  <c r="BV61" i="13" s="1"/>
  <c r="L43" i="13"/>
  <c r="J43" i="13"/>
  <c r="H1143" i="4" l="1"/>
  <c r="M1143" i="4" s="1"/>
  <c r="H423" i="4"/>
  <c r="M423" i="4" s="1"/>
  <c r="P1503" i="4"/>
  <c r="S1503" i="4"/>
  <c r="Q784" i="4"/>
  <c r="K784" i="4"/>
  <c r="J784" i="4"/>
  <c r="K1503" i="4"/>
  <c r="Q1503" i="4"/>
  <c r="J1503" i="4"/>
  <c r="CB61" i="13"/>
  <c r="CD61" i="13" s="1"/>
  <c r="BJ62" i="13"/>
  <c r="G1143" i="4"/>
  <c r="BU61" i="13"/>
  <c r="F1143" i="4" s="1"/>
  <c r="P1143" i="4" s="1"/>
  <c r="AV64" i="13"/>
  <c r="AX64" i="13"/>
  <c r="X64" i="13"/>
  <c r="G423" i="4"/>
  <c r="AI63" i="13"/>
  <c r="F423" i="4" s="1"/>
  <c r="P423" i="4" s="1"/>
  <c r="O43" i="13"/>
  <c r="H42" i="4" l="1"/>
  <c r="M42" i="4" s="1"/>
  <c r="K423" i="4"/>
  <c r="Q423" i="4"/>
  <c r="J423" i="4"/>
  <c r="K1143" i="4"/>
  <c r="Q1143" i="4"/>
  <c r="J1143" i="4"/>
  <c r="N1503" i="4"/>
  <c r="L1503" i="4"/>
  <c r="O1502" i="4"/>
  <c r="L784" i="4"/>
  <c r="N784" i="4"/>
  <c r="O783" i="4"/>
  <c r="CJ61" i="13"/>
  <c r="CH61" i="13"/>
  <c r="BI62" i="13"/>
  <c r="BK62" i="13" s="1"/>
  <c r="BA64" i="13"/>
  <c r="W64" i="13"/>
  <c r="Y64" i="13" s="1"/>
  <c r="E44" i="13"/>
  <c r="P43" i="13"/>
  <c r="H785" i="4" l="1"/>
  <c r="M785" i="4" s="1"/>
  <c r="BC64" i="13"/>
  <c r="G785" i="4" s="1"/>
  <c r="L1143" i="4"/>
  <c r="N1143" i="4"/>
  <c r="O1142" i="4"/>
  <c r="L423" i="4"/>
  <c r="N423" i="4"/>
  <c r="O422" i="4"/>
  <c r="BB64" i="13"/>
  <c r="F785" i="4" s="1"/>
  <c r="P785" i="4" s="1"/>
  <c r="F42" i="4"/>
  <c r="G42" i="4"/>
  <c r="CM61" i="13"/>
  <c r="CO61" i="13" s="1"/>
  <c r="BO62" i="13"/>
  <c r="BQ62" i="13"/>
  <c r="AQ65" i="13"/>
  <c r="AC64" i="13"/>
  <c r="AE64" i="13"/>
  <c r="D44" i="13"/>
  <c r="P42" i="4" l="1"/>
  <c r="S42" i="4"/>
  <c r="K785" i="4"/>
  <c r="Q785" i="4"/>
  <c r="J785" i="4"/>
  <c r="K42" i="4"/>
  <c r="Q42" i="4"/>
  <c r="J42" i="4"/>
  <c r="CC62" i="13"/>
  <c r="CB62" i="13" s="1"/>
  <c r="CD62" i="13" s="1"/>
  <c r="H1504" i="4"/>
  <c r="M1504" i="4" s="1"/>
  <c r="CN61" i="13"/>
  <c r="F1504" i="4" s="1"/>
  <c r="G1504" i="4"/>
  <c r="BT62" i="13"/>
  <c r="BV62" i="13" s="1"/>
  <c r="AP65" i="13"/>
  <c r="AR65" i="13" s="1"/>
  <c r="AH64" i="13"/>
  <c r="AJ64" i="13" s="1"/>
  <c r="F44" i="13"/>
  <c r="H1144" i="4" l="1"/>
  <c r="M1144" i="4" s="1"/>
  <c r="G1144" i="4"/>
  <c r="H424" i="4"/>
  <c r="M424" i="4" s="1"/>
  <c r="G424" i="4"/>
  <c r="P1504" i="4"/>
  <c r="S1504" i="4"/>
  <c r="J1504" i="4"/>
  <c r="K1504" i="4"/>
  <c r="Q1504" i="4"/>
  <c r="N785" i="4"/>
  <c r="L785" i="4"/>
  <c r="O784" i="4"/>
  <c r="L42" i="4"/>
  <c r="N42" i="4"/>
  <c r="O41" i="4"/>
  <c r="CH62" i="13"/>
  <c r="CJ62" i="13"/>
  <c r="BU62" i="13"/>
  <c r="F1144" i="4" s="1"/>
  <c r="P1144" i="4" s="1"/>
  <c r="BJ63" i="13"/>
  <c r="AX65" i="13"/>
  <c r="AV65" i="13"/>
  <c r="AI64" i="13"/>
  <c r="F424" i="4" s="1"/>
  <c r="P424" i="4" s="1"/>
  <c r="X65" i="13"/>
  <c r="L44" i="13"/>
  <c r="J44" i="13"/>
  <c r="K424" i="4" l="1"/>
  <c r="Q424" i="4"/>
  <c r="J424" i="4"/>
  <c r="L1504" i="4"/>
  <c r="N1504" i="4"/>
  <c r="O1503" i="4"/>
  <c r="Q1144" i="4"/>
  <c r="K1144" i="4"/>
  <c r="J1144" i="4"/>
  <c r="BA65" i="13"/>
  <c r="CM62" i="13"/>
  <c r="BI63" i="13"/>
  <c r="BK63" i="13" s="1"/>
  <c r="W65" i="13"/>
  <c r="Y65" i="13" s="1"/>
  <c r="O44" i="13"/>
  <c r="H1505" i="4" l="1"/>
  <c r="M1505" i="4" s="1"/>
  <c r="CO62" i="13"/>
  <c r="G1505" i="4" s="1"/>
  <c r="H786" i="4"/>
  <c r="M786" i="4" s="1"/>
  <c r="BC65" i="13"/>
  <c r="G786" i="4" s="1"/>
  <c r="H43" i="4"/>
  <c r="M43" i="4" s="1"/>
  <c r="N1144" i="4"/>
  <c r="L1144" i="4"/>
  <c r="O1143" i="4"/>
  <c r="N424" i="4"/>
  <c r="L424" i="4"/>
  <c r="O423" i="4"/>
  <c r="BB65" i="13"/>
  <c r="F786" i="4" s="1"/>
  <c r="P786" i="4" s="1"/>
  <c r="AQ66" i="13"/>
  <c r="AP66" i="13" s="1"/>
  <c r="AR66" i="13" s="1"/>
  <c r="CN62" i="13"/>
  <c r="F1505" i="4" s="1"/>
  <c r="CC63" i="13"/>
  <c r="BQ63" i="13"/>
  <c r="BO63" i="13"/>
  <c r="AE65" i="13"/>
  <c r="AC65" i="13"/>
  <c r="P44" i="13"/>
  <c r="E45" i="13"/>
  <c r="P1505" i="4" l="1"/>
  <c r="S1505" i="4"/>
  <c r="J1505" i="4"/>
  <c r="K1505" i="4"/>
  <c r="Q1505" i="4"/>
  <c r="K786" i="4"/>
  <c r="Q786" i="4"/>
  <c r="J786" i="4"/>
  <c r="F43" i="4"/>
  <c r="G43" i="4"/>
  <c r="AH65" i="13"/>
  <c r="AJ65" i="13" s="1"/>
  <c r="BT63" i="13"/>
  <c r="BV63" i="13" s="1"/>
  <c r="CB63" i="13"/>
  <c r="CD63" i="13" s="1"/>
  <c r="AX66" i="13"/>
  <c r="AV66" i="13"/>
  <c r="D45" i="13"/>
  <c r="H425" i="4" l="1"/>
  <c r="M425" i="4" s="1"/>
  <c r="AI65" i="13"/>
  <c r="F425" i="4" s="1"/>
  <c r="P425" i="4" s="1"/>
  <c r="P43" i="4"/>
  <c r="S43" i="4"/>
  <c r="L786" i="4"/>
  <c r="N786" i="4"/>
  <c r="O785" i="4"/>
  <c r="L1505" i="4"/>
  <c r="N1505" i="4"/>
  <c r="O1504" i="4"/>
  <c r="Q43" i="4"/>
  <c r="K43" i="4"/>
  <c r="J43" i="4"/>
  <c r="G425" i="4"/>
  <c r="BJ64" i="13"/>
  <c r="BI64" i="13" s="1"/>
  <c r="BK64" i="13" s="1"/>
  <c r="H1145" i="4"/>
  <c r="M1145" i="4" s="1"/>
  <c r="X66" i="13"/>
  <c r="G1145" i="4"/>
  <c r="BU63" i="13"/>
  <c r="F1145" i="4" s="1"/>
  <c r="P1145" i="4" s="1"/>
  <c r="BA66" i="13"/>
  <c r="H787" i="4" s="1"/>
  <c r="M787" i="4" s="1"/>
  <c r="CJ63" i="13"/>
  <c r="CH63" i="13"/>
  <c r="F45" i="13"/>
  <c r="W66" i="13" l="1"/>
  <c r="Y66" i="13" s="1"/>
  <c r="AE66" i="13" s="1"/>
  <c r="K425" i="4"/>
  <c r="Q425" i="4"/>
  <c r="J425" i="4"/>
  <c r="Q1145" i="4"/>
  <c r="K1145" i="4"/>
  <c r="J1145" i="4"/>
  <c r="L43" i="4"/>
  <c r="N43" i="4"/>
  <c r="O42" i="4"/>
  <c r="BB66" i="13"/>
  <c r="F787" i="4" s="1"/>
  <c r="P787" i="4" s="1"/>
  <c r="G787" i="4"/>
  <c r="AQ67" i="13"/>
  <c r="AP67" i="13" s="1"/>
  <c r="AR67" i="13" s="1"/>
  <c r="CM63" i="13"/>
  <c r="CO63" i="13" s="1"/>
  <c r="BO64" i="13"/>
  <c r="BQ64" i="13"/>
  <c r="L45" i="13"/>
  <c r="J45" i="13"/>
  <c r="AC66" i="13" l="1"/>
  <c r="AH66" i="13" s="1"/>
  <c r="Q787" i="4"/>
  <c r="K787" i="4"/>
  <c r="J787" i="4"/>
  <c r="N1145" i="4"/>
  <c r="L1145" i="4"/>
  <c r="O1144" i="4"/>
  <c r="N425" i="4"/>
  <c r="L425" i="4"/>
  <c r="O424" i="4"/>
  <c r="CC64" i="13"/>
  <c r="CB64" i="13" s="1"/>
  <c r="CD64" i="13" s="1"/>
  <c r="H1506" i="4"/>
  <c r="M1506" i="4" s="1"/>
  <c r="G1506" i="4"/>
  <c r="CN63" i="13"/>
  <c r="F1506" i="4" s="1"/>
  <c r="BT64" i="13"/>
  <c r="BV64" i="13" s="1"/>
  <c r="AV67" i="13"/>
  <c r="AX67" i="13"/>
  <c r="O45" i="13"/>
  <c r="H1146" i="4" l="1"/>
  <c r="M1146" i="4" s="1"/>
  <c r="G1146" i="4"/>
  <c r="H426" i="4"/>
  <c r="M426" i="4" s="1"/>
  <c r="H44" i="4"/>
  <c r="M44" i="4" s="1"/>
  <c r="P1506" i="4"/>
  <c r="S1506" i="4"/>
  <c r="Q1506" i="4"/>
  <c r="J1506" i="4"/>
  <c r="K1506" i="4"/>
  <c r="L787" i="4"/>
  <c r="N787" i="4"/>
  <c r="O786" i="4"/>
  <c r="G426" i="4"/>
  <c r="AI66" i="13"/>
  <c r="F426" i="4" s="1"/>
  <c r="P426" i="4" s="1"/>
  <c r="X67" i="13"/>
  <c r="CH64" i="13"/>
  <c r="CJ64" i="13"/>
  <c r="BJ65" i="13"/>
  <c r="BU64" i="13"/>
  <c r="F1146" i="4" s="1"/>
  <c r="P1146" i="4" s="1"/>
  <c r="BA67" i="13"/>
  <c r="H788" i="4" s="1"/>
  <c r="M788" i="4" s="1"/>
  <c r="P45" i="13"/>
  <c r="E46" i="13"/>
  <c r="W67" i="13" l="1"/>
  <c r="Y67" i="13" s="1"/>
  <c r="AE67" i="13" s="1"/>
  <c r="Q1146" i="4"/>
  <c r="K1146" i="4"/>
  <c r="J1146" i="4"/>
  <c r="Q426" i="4"/>
  <c r="K426" i="4"/>
  <c r="J426" i="4"/>
  <c r="L1506" i="4"/>
  <c r="N1506" i="4"/>
  <c r="O1505" i="4"/>
  <c r="BB67" i="13"/>
  <c r="F788" i="4" s="1"/>
  <c r="P788" i="4" s="1"/>
  <c r="F44" i="4"/>
  <c r="G44" i="4"/>
  <c r="CM64" i="13"/>
  <c r="BI65" i="13"/>
  <c r="BK65" i="13" s="1"/>
  <c r="G788" i="4"/>
  <c r="AQ68" i="13"/>
  <c r="D46" i="13"/>
  <c r="H1507" i="4" l="1"/>
  <c r="M1507" i="4" s="1"/>
  <c r="CO64" i="13"/>
  <c r="G1507" i="4" s="1"/>
  <c r="AC67" i="13"/>
  <c r="AH67" i="13" s="1"/>
  <c r="P44" i="4"/>
  <c r="S44" i="4"/>
  <c r="Q788" i="4"/>
  <c r="K788" i="4"/>
  <c r="J788" i="4"/>
  <c r="L1146" i="4"/>
  <c r="N1146" i="4"/>
  <c r="O1145" i="4"/>
  <c r="L426" i="4"/>
  <c r="N426" i="4"/>
  <c r="O425" i="4"/>
  <c r="Q44" i="4"/>
  <c r="K44" i="4"/>
  <c r="J44" i="4"/>
  <c r="CN64" i="13"/>
  <c r="F1507" i="4" s="1"/>
  <c r="CC65" i="13"/>
  <c r="BO65" i="13"/>
  <c r="BQ65" i="13"/>
  <c r="AP68" i="13"/>
  <c r="AR68" i="13" s="1"/>
  <c r="F46" i="13"/>
  <c r="H427" i="4" l="1"/>
  <c r="M427" i="4" s="1"/>
  <c r="P1507" i="4"/>
  <c r="S1507" i="4"/>
  <c r="K1507" i="4"/>
  <c r="Q1507" i="4"/>
  <c r="J1507" i="4"/>
  <c r="N788" i="4"/>
  <c r="L788" i="4"/>
  <c r="O787" i="4"/>
  <c r="L44" i="4"/>
  <c r="N44" i="4"/>
  <c r="O43" i="4"/>
  <c r="X68" i="13"/>
  <c r="G427" i="4"/>
  <c r="AI67" i="13"/>
  <c r="F427" i="4" s="1"/>
  <c r="P427" i="4" s="1"/>
  <c r="CB65" i="13"/>
  <c r="CD65" i="13" s="1"/>
  <c r="BT65" i="13"/>
  <c r="BV65" i="13" s="1"/>
  <c r="AX68" i="13"/>
  <c r="AV68" i="13"/>
  <c r="L46" i="13"/>
  <c r="J46" i="13"/>
  <c r="H1147" i="4" l="1"/>
  <c r="M1147" i="4" s="1"/>
  <c r="G1147" i="4"/>
  <c r="W68" i="13"/>
  <c r="Y68" i="13" s="1"/>
  <c r="AC68" i="13" s="1"/>
  <c r="K427" i="4"/>
  <c r="Q427" i="4"/>
  <c r="J427" i="4"/>
  <c r="L1507" i="4"/>
  <c r="N1507" i="4"/>
  <c r="O1506" i="4"/>
  <c r="BA68" i="13"/>
  <c r="H789" i="4" s="1"/>
  <c r="M789" i="4" s="1"/>
  <c r="CJ65" i="13"/>
  <c r="CH65" i="13"/>
  <c r="BJ66" i="13"/>
  <c r="BU65" i="13"/>
  <c r="F1147" i="4" s="1"/>
  <c r="P1147" i="4" s="1"/>
  <c r="O46" i="13"/>
  <c r="AE68" i="13" l="1"/>
  <c r="AH68" i="13" s="1"/>
  <c r="H45" i="4"/>
  <c r="M45" i="4" s="1"/>
  <c r="Q1147" i="4"/>
  <c r="K1147" i="4"/>
  <c r="J1147" i="4"/>
  <c r="L427" i="4"/>
  <c r="N427" i="4"/>
  <c r="O426" i="4"/>
  <c r="BB68" i="13"/>
  <c r="F789" i="4" s="1"/>
  <c r="P789" i="4" s="1"/>
  <c r="AQ69" i="13"/>
  <c r="AP69" i="13" s="1"/>
  <c r="AR69" i="13" s="1"/>
  <c r="G789" i="4"/>
  <c r="CM65" i="13"/>
  <c r="CO65" i="13" s="1"/>
  <c r="BI66" i="13"/>
  <c r="BK66" i="13" s="1"/>
  <c r="P46" i="13"/>
  <c r="E47" i="13"/>
  <c r="H428" i="4" l="1"/>
  <c r="M428" i="4" s="1"/>
  <c r="Q789" i="4"/>
  <c r="K789" i="4"/>
  <c r="J789" i="4"/>
  <c r="L1147" i="4"/>
  <c r="N1147" i="4"/>
  <c r="O1146" i="4"/>
  <c r="CC66" i="13"/>
  <c r="CB66" i="13" s="1"/>
  <c r="CD66" i="13" s="1"/>
  <c r="H1508" i="4"/>
  <c r="M1508" i="4" s="1"/>
  <c r="F45" i="4"/>
  <c r="G45" i="4"/>
  <c r="CN65" i="13"/>
  <c r="F1508" i="4" s="1"/>
  <c r="G1508" i="4"/>
  <c r="BO66" i="13"/>
  <c r="BQ66" i="13"/>
  <c r="AV69" i="13"/>
  <c r="AX69" i="13"/>
  <c r="G428" i="4"/>
  <c r="AI68" i="13"/>
  <c r="F428" i="4" s="1"/>
  <c r="P428" i="4" s="1"/>
  <c r="X69" i="13"/>
  <c r="D47" i="13"/>
  <c r="P1508" i="4" l="1"/>
  <c r="S1508" i="4"/>
  <c r="P45" i="4"/>
  <c r="S45" i="4"/>
  <c r="K1508" i="4"/>
  <c r="Q1508" i="4"/>
  <c r="J1508" i="4"/>
  <c r="Q428" i="4"/>
  <c r="K428" i="4"/>
  <c r="J428" i="4"/>
  <c r="L789" i="4"/>
  <c r="N789" i="4"/>
  <c r="O788" i="4"/>
  <c r="Q45" i="4"/>
  <c r="K45" i="4"/>
  <c r="J45" i="4"/>
  <c r="CJ66" i="13"/>
  <c r="CH66" i="13"/>
  <c r="BT66" i="13"/>
  <c r="H1148" i="4" s="1"/>
  <c r="M1148" i="4" s="1"/>
  <c r="BA69" i="13"/>
  <c r="H790" i="4" s="1"/>
  <c r="M790" i="4" s="1"/>
  <c r="W69" i="13"/>
  <c r="Y69" i="13" s="1"/>
  <c r="F47" i="13"/>
  <c r="N428" i="4" l="1"/>
  <c r="L428" i="4"/>
  <c r="O427" i="4"/>
  <c r="L1508" i="4"/>
  <c r="N1508" i="4"/>
  <c r="O1507" i="4"/>
  <c r="N45" i="4"/>
  <c r="L45" i="4"/>
  <c r="O44" i="4"/>
  <c r="BB69" i="13"/>
  <c r="F790" i="4" s="1"/>
  <c r="P790" i="4" s="1"/>
  <c r="CM66" i="13"/>
  <c r="BJ67" i="13"/>
  <c r="G1148" i="4"/>
  <c r="BU66" i="13"/>
  <c r="F1148" i="4" s="1"/>
  <c r="P1148" i="4" s="1"/>
  <c r="G790" i="4"/>
  <c r="AQ70" i="13"/>
  <c r="AE69" i="13"/>
  <c r="AC69" i="13"/>
  <c r="L47" i="13"/>
  <c r="J47" i="13"/>
  <c r="K790" i="4" l="1"/>
  <c r="Q790" i="4"/>
  <c r="J790" i="4"/>
  <c r="Q1148" i="4"/>
  <c r="K1148" i="4"/>
  <c r="J1148" i="4"/>
  <c r="CC67" i="13"/>
  <c r="CB67" i="13" s="1"/>
  <c r="CD67" i="13" s="1"/>
  <c r="H1509" i="4"/>
  <c r="M1509" i="4" s="1"/>
  <c r="CN66" i="13"/>
  <c r="F1509" i="4" s="1"/>
  <c r="G1509" i="4"/>
  <c r="AH69" i="13"/>
  <c r="BI67" i="13"/>
  <c r="BK67" i="13" s="1"/>
  <c r="AP70" i="13"/>
  <c r="AR70" i="13" s="1"/>
  <c r="O47" i="13"/>
  <c r="Q47" i="13" s="1"/>
  <c r="H429" i="4" l="1"/>
  <c r="M429" i="4" s="1"/>
  <c r="H46" i="4"/>
  <c r="M46" i="4" s="1"/>
  <c r="P1509" i="4"/>
  <c r="S1509" i="4"/>
  <c r="K1509" i="4"/>
  <c r="Q1509" i="4"/>
  <c r="J1509" i="4"/>
  <c r="L1148" i="4"/>
  <c r="N1148" i="4"/>
  <c r="O1147" i="4"/>
  <c r="N790" i="4"/>
  <c r="L790" i="4"/>
  <c r="O789" i="4"/>
  <c r="AI69" i="13"/>
  <c r="F429" i="4" s="1"/>
  <c r="P429" i="4" s="1"/>
  <c r="X70" i="13"/>
  <c r="G429" i="4"/>
  <c r="CH67" i="13"/>
  <c r="CJ67" i="13"/>
  <c r="BO67" i="13"/>
  <c r="BQ67" i="13"/>
  <c r="AX70" i="13"/>
  <c r="AV70" i="13"/>
  <c r="E48" i="13"/>
  <c r="P47" i="13"/>
  <c r="W70" i="13" l="1"/>
  <c r="Y70" i="13" s="1"/>
  <c r="AE70" i="13" s="1"/>
  <c r="K429" i="4"/>
  <c r="Q429" i="4"/>
  <c r="J429" i="4"/>
  <c r="L1509" i="4"/>
  <c r="N1509" i="4"/>
  <c r="O1508" i="4"/>
  <c r="F46" i="4"/>
  <c r="G46" i="4"/>
  <c r="BA70" i="13"/>
  <c r="H791" i="4" s="1"/>
  <c r="M791" i="4" s="1"/>
  <c r="CM67" i="13"/>
  <c r="H1510" i="4" s="1"/>
  <c r="M1510" i="4" s="1"/>
  <c r="BT67" i="13"/>
  <c r="H1149" i="4" s="1"/>
  <c r="M1149" i="4" s="1"/>
  <c r="D48" i="13"/>
  <c r="AC70" i="13" l="1"/>
  <c r="AH70" i="13" s="1"/>
  <c r="P46" i="4"/>
  <c r="S46" i="4"/>
  <c r="N429" i="4"/>
  <c r="L429" i="4"/>
  <c r="O428" i="4"/>
  <c r="K46" i="4"/>
  <c r="Q46" i="4"/>
  <c r="J46" i="4"/>
  <c r="BB70" i="13"/>
  <c r="F791" i="4" s="1"/>
  <c r="P791" i="4" s="1"/>
  <c r="G791" i="4"/>
  <c r="AQ71" i="13"/>
  <c r="AP71" i="13" s="1"/>
  <c r="AR71" i="13" s="1"/>
  <c r="G1510" i="4"/>
  <c r="CN67" i="13"/>
  <c r="F1510" i="4" s="1"/>
  <c r="CC68" i="13"/>
  <c r="G1149" i="4"/>
  <c r="BU67" i="13"/>
  <c r="F1149" i="4" s="1"/>
  <c r="P1149" i="4" s="1"/>
  <c r="BJ68" i="13"/>
  <c r="F48" i="13"/>
  <c r="H430" i="4" l="1"/>
  <c r="M430" i="4" s="1"/>
  <c r="G430" i="4"/>
  <c r="AI70" i="13"/>
  <c r="F430" i="4" s="1"/>
  <c r="P430" i="4" s="1"/>
  <c r="P1510" i="4"/>
  <c r="S1510" i="4"/>
  <c r="Q1149" i="4"/>
  <c r="K1149" i="4"/>
  <c r="J1149" i="4"/>
  <c r="Q1510" i="4"/>
  <c r="J1510" i="4"/>
  <c r="K1510" i="4"/>
  <c r="K791" i="4"/>
  <c r="Q791" i="4"/>
  <c r="J791" i="4"/>
  <c r="L46" i="4"/>
  <c r="N46" i="4"/>
  <c r="O45" i="4"/>
  <c r="X71" i="13"/>
  <c r="CB68" i="13"/>
  <c r="CD68" i="13" s="1"/>
  <c r="BI68" i="13"/>
  <c r="BK68" i="13" s="1"/>
  <c r="AX71" i="13"/>
  <c r="AV71" i="13"/>
  <c r="L48" i="13"/>
  <c r="J48" i="13"/>
  <c r="W71" i="13" l="1"/>
  <c r="Y71" i="13" s="1"/>
  <c r="AE71" i="13" s="1"/>
  <c r="K430" i="4"/>
  <c r="L430" i="4" s="1"/>
  <c r="Q430" i="4"/>
  <c r="J430" i="4"/>
  <c r="L791" i="4"/>
  <c r="N791" i="4"/>
  <c r="O790" i="4"/>
  <c r="N1149" i="4"/>
  <c r="L1149" i="4"/>
  <c r="O1148" i="4"/>
  <c r="N1510" i="4"/>
  <c r="L1510" i="4"/>
  <c r="O1509" i="4"/>
  <c r="BA71" i="13"/>
  <c r="CJ68" i="13"/>
  <c r="CH68" i="13"/>
  <c r="BO68" i="13"/>
  <c r="BQ68" i="13"/>
  <c r="O48" i="13"/>
  <c r="Q48" i="13" s="1"/>
  <c r="H792" i="4" l="1"/>
  <c r="M792" i="4" s="1"/>
  <c r="BC71" i="13"/>
  <c r="G792" i="4" s="1"/>
  <c r="AC71" i="13"/>
  <c r="AH71" i="13" s="1"/>
  <c r="AJ71" i="13" s="1"/>
  <c r="N430" i="4"/>
  <c r="O429" i="4"/>
  <c r="H47" i="4"/>
  <c r="M47" i="4" s="1"/>
  <c r="BB71" i="13"/>
  <c r="F792" i="4" s="1"/>
  <c r="P792" i="4" s="1"/>
  <c r="AQ72" i="13"/>
  <c r="AP72" i="13" s="1"/>
  <c r="AR72" i="13" s="1"/>
  <c r="CM68" i="13"/>
  <c r="BT68" i="13"/>
  <c r="H1150" i="4" s="1"/>
  <c r="M1150" i="4" s="1"/>
  <c r="P48" i="13"/>
  <c r="E49" i="13"/>
  <c r="H431" i="4" l="1"/>
  <c r="M431" i="4" s="1"/>
  <c r="K792" i="4"/>
  <c r="Q792" i="4"/>
  <c r="J792" i="4"/>
  <c r="CC69" i="13"/>
  <c r="CB69" i="13" s="1"/>
  <c r="CD69" i="13" s="1"/>
  <c r="H1511" i="4"/>
  <c r="M1511" i="4" s="1"/>
  <c r="G431" i="4"/>
  <c r="X72" i="13"/>
  <c r="F47" i="4"/>
  <c r="G47" i="4"/>
  <c r="AI71" i="13"/>
  <c r="F431" i="4" s="1"/>
  <c r="P431" i="4" s="1"/>
  <c r="G1511" i="4"/>
  <c r="CN68" i="13"/>
  <c r="F1511" i="4" s="1"/>
  <c r="BJ69" i="13"/>
  <c r="BU68" i="13"/>
  <c r="F1150" i="4" s="1"/>
  <c r="P1150" i="4" s="1"/>
  <c r="G1150" i="4"/>
  <c r="AV72" i="13"/>
  <c r="AX72" i="13"/>
  <c r="D49" i="13"/>
  <c r="W72" i="13" l="1"/>
  <c r="Y72" i="13" s="1"/>
  <c r="AC72" i="13" s="1"/>
  <c r="P1511" i="4"/>
  <c r="S1511" i="4"/>
  <c r="P47" i="4"/>
  <c r="S47" i="4"/>
  <c r="Q1150" i="4"/>
  <c r="K1150" i="4"/>
  <c r="J1150" i="4"/>
  <c r="Q431" i="4"/>
  <c r="K431" i="4"/>
  <c r="J431" i="4"/>
  <c r="K1511" i="4"/>
  <c r="Q1511" i="4"/>
  <c r="J1511" i="4"/>
  <c r="L792" i="4"/>
  <c r="N792" i="4"/>
  <c r="O791" i="4"/>
  <c r="K47" i="4"/>
  <c r="Q47" i="4"/>
  <c r="J47" i="4"/>
  <c r="CJ69" i="13"/>
  <c r="CH69" i="13"/>
  <c r="BI69" i="13"/>
  <c r="BK69" i="13" s="1"/>
  <c r="BA72" i="13"/>
  <c r="F49" i="13"/>
  <c r="H793" i="4" l="1"/>
  <c r="M793" i="4" s="1"/>
  <c r="BC72" i="13"/>
  <c r="G793" i="4" s="1"/>
  <c r="AE72" i="13"/>
  <c r="AH72" i="13" s="1"/>
  <c r="AJ72" i="13" s="1"/>
  <c r="N1511" i="4"/>
  <c r="L1511" i="4"/>
  <c r="O1510" i="4"/>
  <c r="L1150" i="4"/>
  <c r="N1150" i="4"/>
  <c r="O1149" i="4"/>
  <c r="L431" i="4"/>
  <c r="N431" i="4"/>
  <c r="O430" i="4"/>
  <c r="L47" i="4"/>
  <c r="N47" i="4"/>
  <c r="O46" i="4"/>
  <c r="BB72" i="13"/>
  <c r="F793" i="4" s="1"/>
  <c r="P793" i="4" s="1"/>
  <c r="CM69" i="13"/>
  <c r="BQ69" i="13"/>
  <c r="BO69" i="13"/>
  <c r="AQ73" i="13"/>
  <c r="J49" i="13"/>
  <c r="L49" i="13"/>
  <c r="H432" i="4" l="1"/>
  <c r="M432" i="4" s="1"/>
  <c r="Q793" i="4"/>
  <c r="K793" i="4"/>
  <c r="J793" i="4"/>
  <c r="G1512" i="4"/>
  <c r="H1512" i="4"/>
  <c r="M1512" i="4" s="1"/>
  <c r="CN69" i="13"/>
  <c r="F1512" i="4" s="1"/>
  <c r="CC70" i="13"/>
  <c r="CB70" i="13" s="1"/>
  <c r="CD70" i="13" s="1"/>
  <c r="BT69" i="13"/>
  <c r="AP73" i="13"/>
  <c r="AR73" i="13" s="1"/>
  <c r="X73" i="13"/>
  <c r="AI72" i="13"/>
  <c r="F432" i="4" s="1"/>
  <c r="P432" i="4" s="1"/>
  <c r="G432" i="4"/>
  <c r="O49" i="13"/>
  <c r="Q49" i="13" s="1"/>
  <c r="H48" i="4" l="1"/>
  <c r="M48" i="4" s="1"/>
  <c r="P1512" i="4"/>
  <c r="S1512" i="4"/>
  <c r="Q432" i="4"/>
  <c r="K432" i="4"/>
  <c r="J432" i="4"/>
  <c r="Q1512" i="4"/>
  <c r="K1512" i="4"/>
  <c r="J1512" i="4"/>
  <c r="L793" i="4"/>
  <c r="N793" i="4"/>
  <c r="O792" i="4"/>
  <c r="G1151" i="4"/>
  <c r="H1151" i="4"/>
  <c r="M1151" i="4" s="1"/>
  <c r="BU69" i="13"/>
  <c r="F1151" i="4" s="1"/>
  <c r="P1151" i="4" s="1"/>
  <c r="BJ70" i="13"/>
  <c r="BI70" i="13" s="1"/>
  <c r="BK70" i="13" s="1"/>
  <c r="CH70" i="13"/>
  <c r="CJ70" i="13"/>
  <c r="AX73" i="13"/>
  <c r="AV73" i="13"/>
  <c r="W73" i="13"/>
  <c r="Y73" i="13" s="1"/>
  <c r="P49" i="13"/>
  <c r="E50" i="13"/>
  <c r="K1151" i="4" l="1"/>
  <c r="Q1151" i="4"/>
  <c r="J1151" i="4"/>
  <c r="N1512" i="4"/>
  <c r="L1512" i="4"/>
  <c r="O1511" i="4"/>
  <c r="N432" i="4"/>
  <c r="L432" i="4"/>
  <c r="O431" i="4"/>
  <c r="F48" i="4"/>
  <c r="G48" i="4"/>
  <c r="BA73" i="13"/>
  <c r="CM70" i="13"/>
  <c r="H1513" i="4" s="1"/>
  <c r="M1513" i="4" s="1"/>
  <c r="BQ70" i="13"/>
  <c r="BO70" i="13"/>
  <c r="AE73" i="13"/>
  <c r="AC73" i="13"/>
  <c r="D50" i="13"/>
  <c r="H794" i="4" l="1"/>
  <c r="M794" i="4" s="1"/>
  <c r="BC73" i="13"/>
  <c r="G794" i="4" s="1"/>
  <c r="P48" i="4"/>
  <c r="S48" i="4"/>
  <c r="L1151" i="4"/>
  <c r="N1151" i="4"/>
  <c r="O1150" i="4"/>
  <c r="K48" i="4"/>
  <c r="Q48" i="4"/>
  <c r="J48" i="4"/>
  <c r="BB73" i="13"/>
  <c r="F794" i="4" s="1"/>
  <c r="P794" i="4" s="1"/>
  <c r="AQ74" i="13"/>
  <c r="AP74" i="13" s="1"/>
  <c r="AR74" i="13" s="1"/>
  <c r="AH73" i="13"/>
  <c r="AJ73" i="13" s="1"/>
  <c r="BT70" i="13"/>
  <c r="CC71" i="13"/>
  <c r="G1513" i="4"/>
  <c r="CN70" i="13"/>
  <c r="F1513" i="4" s="1"/>
  <c r="F50" i="13"/>
  <c r="H433" i="4" l="1"/>
  <c r="M433" i="4" s="1"/>
  <c r="P1513" i="4"/>
  <c r="S1513" i="4"/>
  <c r="K794" i="4"/>
  <c r="Q794" i="4"/>
  <c r="J794" i="4"/>
  <c r="J1513" i="4"/>
  <c r="K1513" i="4"/>
  <c r="Q1513" i="4"/>
  <c r="L48" i="4"/>
  <c r="N48" i="4"/>
  <c r="O47" i="4"/>
  <c r="G1152" i="4"/>
  <c r="H1152" i="4"/>
  <c r="M1152" i="4" s="1"/>
  <c r="AI73" i="13"/>
  <c r="F433" i="4" s="1"/>
  <c r="P433" i="4" s="1"/>
  <c r="G433" i="4"/>
  <c r="X74" i="13"/>
  <c r="BU70" i="13"/>
  <c r="F1152" i="4" s="1"/>
  <c r="P1152" i="4" s="1"/>
  <c r="BJ71" i="13"/>
  <c r="BI71" i="13" s="1"/>
  <c r="BK71" i="13" s="1"/>
  <c r="CB71" i="13"/>
  <c r="CD71" i="13" s="1"/>
  <c r="AX74" i="13"/>
  <c r="AV74" i="13"/>
  <c r="J50" i="13"/>
  <c r="L50" i="13"/>
  <c r="W74" i="13" l="1"/>
  <c r="Y74" i="13" s="1"/>
  <c r="AE74" i="13" s="1"/>
  <c r="K1152" i="4"/>
  <c r="Q1152" i="4"/>
  <c r="J1152" i="4"/>
  <c r="K433" i="4"/>
  <c r="Q433" i="4"/>
  <c r="J433" i="4"/>
  <c r="L1513" i="4"/>
  <c r="N1513" i="4"/>
  <c r="O1512" i="4"/>
  <c r="N794" i="4"/>
  <c r="L794" i="4"/>
  <c r="O793" i="4"/>
  <c r="BA74" i="13"/>
  <c r="CJ71" i="13"/>
  <c r="CH71" i="13"/>
  <c r="BQ71" i="13"/>
  <c r="BO71" i="13"/>
  <c r="O50" i="13"/>
  <c r="Q50" i="13" s="1"/>
  <c r="H795" i="4" l="1"/>
  <c r="M795" i="4" s="1"/>
  <c r="BC74" i="13"/>
  <c r="G795" i="4" s="1"/>
  <c r="AC74" i="13"/>
  <c r="AH74" i="13" s="1"/>
  <c r="AJ74" i="13" s="1"/>
  <c r="H49" i="4"/>
  <c r="M49" i="4" s="1"/>
  <c r="L433" i="4"/>
  <c r="N433" i="4"/>
  <c r="O432" i="4"/>
  <c r="L1152" i="4"/>
  <c r="N1152" i="4"/>
  <c r="O1151" i="4"/>
  <c r="BB74" i="13"/>
  <c r="F795" i="4" s="1"/>
  <c r="P795" i="4" s="1"/>
  <c r="AQ75" i="13"/>
  <c r="AP75" i="13" s="1"/>
  <c r="AR75" i="13" s="1"/>
  <c r="BT71" i="13"/>
  <c r="BV71" i="13" s="1"/>
  <c r="CM71" i="13"/>
  <c r="CO71" i="13" s="1"/>
  <c r="P50" i="13"/>
  <c r="E51" i="13"/>
  <c r="H434" i="4" l="1"/>
  <c r="M434" i="4" s="1"/>
  <c r="K795" i="4"/>
  <c r="Q795" i="4"/>
  <c r="J795" i="4"/>
  <c r="CC72" i="13"/>
  <c r="CB72" i="13" s="1"/>
  <c r="CD72" i="13" s="1"/>
  <c r="H1514" i="4"/>
  <c r="M1514" i="4" s="1"/>
  <c r="BJ72" i="13"/>
  <c r="BI72" i="13" s="1"/>
  <c r="BK72" i="13" s="1"/>
  <c r="H1153" i="4"/>
  <c r="M1153" i="4" s="1"/>
  <c r="BU71" i="13"/>
  <c r="F1153" i="4" s="1"/>
  <c r="P1153" i="4" s="1"/>
  <c r="G434" i="4"/>
  <c r="F49" i="4"/>
  <c r="G49" i="4"/>
  <c r="G1153" i="4"/>
  <c r="AI74" i="13"/>
  <c r="F434" i="4" s="1"/>
  <c r="P434" i="4" s="1"/>
  <c r="X75" i="13"/>
  <c r="G1514" i="4"/>
  <c r="CN71" i="13"/>
  <c r="F1514" i="4" s="1"/>
  <c r="AX75" i="13"/>
  <c r="AV75" i="13"/>
  <c r="D51" i="13"/>
  <c r="W75" i="13" l="1"/>
  <c r="Y75" i="13" s="1"/>
  <c r="AE75" i="13" s="1"/>
  <c r="P1514" i="4"/>
  <c r="S1514" i="4"/>
  <c r="P49" i="4"/>
  <c r="S49" i="4"/>
  <c r="K1514" i="4"/>
  <c r="Q1514" i="4"/>
  <c r="J1514" i="4"/>
  <c r="K434" i="4"/>
  <c r="Q434" i="4"/>
  <c r="J434" i="4"/>
  <c r="Q1153" i="4"/>
  <c r="K1153" i="4"/>
  <c r="J1153" i="4"/>
  <c r="L795" i="4"/>
  <c r="N795" i="4"/>
  <c r="O794" i="4"/>
  <c r="Q49" i="4"/>
  <c r="K49" i="4"/>
  <c r="J49" i="4"/>
  <c r="BA75" i="13"/>
  <c r="CH72" i="13"/>
  <c r="CJ72" i="13"/>
  <c r="BO72" i="13"/>
  <c r="BQ72" i="13"/>
  <c r="F51" i="13"/>
  <c r="H796" i="4" l="1"/>
  <c r="M796" i="4" s="1"/>
  <c r="BC75" i="13"/>
  <c r="G796" i="4" s="1"/>
  <c r="AC75" i="13"/>
  <c r="AH75" i="13" s="1"/>
  <c r="AJ75" i="13" s="1"/>
  <c r="L1153" i="4"/>
  <c r="N1153" i="4"/>
  <c r="O1152" i="4"/>
  <c r="N434" i="4"/>
  <c r="L434" i="4"/>
  <c r="O433" i="4"/>
  <c r="L1514" i="4"/>
  <c r="N1514" i="4"/>
  <c r="O1513" i="4"/>
  <c r="L49" i="4"/>
  <c r="N49" i="4"/>
  <c r="O48" i="4"/>
  <c r="AQ76" i="13"/>
  <c r="AP76" i="13" s="1"/>
  <c r="AR76" i="13" s="1"/>
  <c r="BB75" i="13"/>
  <c r="F796" i="4" s="1"/>
  <c r="P796" i="4" s="1"/>
  <c r="CM72" i="13"/>
  <c r="BT72" i="13"/>
  <c r="BV72" i="13" s="1"/>
  <c r="J51" i="13"/>
  <c r="L51" i="13"/>
  <c r="H1515" i="4" l="1"/>
  <c r="M1515" i="4" s="1"/>
  <c r="CO72" i="13"/>
  <c r="G1515" i="4" s="1"/>
  <c r="H1154" i="4"/>
  <c r="M1154" i="4" s="1"/>
  <c r="G1154" i="4"/>
  <c r="H435" i="4"/>
  <c r="M435" i="4" s="1"/>
  <c r="Q796" i="4"/>
  <c r="K796" i="4"/>
  <c r="J796" i="4"/>
  <c r="G435" i="4"/>
  <c r="AI75" i="13"/>
  <c r="F435" i="4" s="1"/>
  <c r="P435" i="4" s="1"/>
  <c r="X76" i="13"/>
  <c r="CN72" i="13"/>
  <c r="F1515" i="4" s="1"/>
  <c r="CC73" i="13"/>
  <c r="BU72" i="13"/>
  <c r="F1154" i="4" s="1"/>
  <c r="P1154" i="4" s="1"/>
  <c r="BJ73" i="13"/>
  <c r="AX76" i="13"/>
  <c r="AV76" i="13"/>
  <c r="O51" i="13"/>
  <c r="Q51" i="13" s="1"/>
  <c r="W76" i="13" l="1"/>
  <c r="Y76" i="13" s="1"/>
  <c r="AC76" i="13" s="1"/>
  <c r="H50" i="4"/>
  <c r="M50" i="4" s="1"/>
  <c r="P1515" i="4"/>
  <c r="S1515" i="4"/>
  <c r="Q1154" i="4"/>
  <c r="K1154" i="4"/>
  <c r="J1154" i="4"/>
  <c r="L796" i="4"/>
  <c r="N796" i="4"/>
  <c r="O795" i="4"/>
  <c r="K1515" i="4"/>
  <c r="Q1515" i="4"/>
  <c r="J1515" i="4"/>
  <c r="Q435" i="4"/>
  <c r="K435" i="4"/>
  <c r="J435" i="4"/>
  <c r="BA76" i="13"/>
  <c r="CB73" i="13"/>
  <c r="CD73" i="13" s="1"/>
  <c r="BI73" i="13"/>
  <c r="BK73" i="13" s="1"/>
  <c r="E52" i="13"/>
  <c r="P51" i="13"/>
  <c r="H797" i="4" l="1"/>
  <c r="M797" i="4" s="1"/>
  <c r="BC76" i="13"/>
  <c r="G797" i="4" s="1"/>
  <c r="AE76" i="13"/>
  <c r="AH76" i="13" s="1"/>
  <c r="AJ76" i="13" s="1"/>
  <c r="L1515" i="4"/>
  <c r="N1515" i="4"/>
  <c r="O1514" i="4"/>
  <c r="L1154" i="4"/>
  <c r="N1154" i="4"/>
  <c r="O1153" i="4"/>
  <c r="N435" i="4"/>
  <c r="L435" i="4"/>
  <c r="O434" i="4"/>
  <c r="BB76" i="13"/>
  <c r="F797" i="4" s="1"/>
  <c r="P797" i="4" s="1"/>
  <c r="F50" i="4"/>
  <c r="G50" i="4"/>
  <c r="AQ77" i="13"/>
  <c r="AP77" i="13" s="1"/>
  <c r="AR77" i="13" s="1"/>
  <c r="CH73" i="13"/>
  <c r="CJ73" i="13"/>
  <c r="BQ73" i="13"/>
  <c r="BO73" i="13"/>
  <c r="D52" i="13"/>
  <c r="H436" i="4" l="1"/>
  <c r="M436" i="4" s="1"/>
  <c r="P50" i="4"/>
  <c r="S50" i="4"/>
  <c r="Q797" i="4"/>
  <c r="K797" i="4"/>
  <c r="J797" i="4"/>
  <c r="K50" i="4"/>
  <c r="Q50" i="4"/>
  <c r="J50" i="4"/>
  <c r="G436" i="4"/>
  <c r="BT73" i="13"/>
  <c r="BV73" i="13" s="1"/>
  <c r="X77" i="13"/>
  <c r="AI76" i="13"/>
  <c r="F436" i="4" s="1"/>
  <c r="P436" i="4" s="1"/>
  <c r="CM73" i="13"/>
  <c r="AV77" i="13"/>
  <c r="AX77" i="13"/>
  <c r="F52" i="13"/>
  <c r="H1516" i="4" l="1"/>
  <c r="M1516" i="4" s="1"/>
  <c r="CO73" i="13"/>
  <c r="G1516" i="4" s="1"/>
  <c r="G1155" i="4"/>
  <c r="W77" i="13"/>
  <c r="Y77" i="13" s="1"/>
  <c r="AE77" i="13" s="1"/>
  <c r="K436" i="4"/>
  <c r="Q436" i="4"/>
  <c r="J436" i="4"/>
  <c r="L797" i="4"/>
  <c r="N797" i="4"/>
  <c r="O796" i="4"/>
  <c r="L50" i="4"/>
  <c r="N50" i="4"/>
  <c r="O49" i="4"/>
  <c r="BU73" i="13"/>
  <c r="F1155" i="4" s="1"/>
  <c r="P1155" i="4" s="1"/>
  <c r="BJ74" i="13"/>
  <c r="BI74" i="13" s="1"/>
  <c r="BK74" i="13" s="1"/>
  <c r="H1155" i="4"/>
  <c r="M1155" i="4" s="1"/>
  <c r="CC74" i="13"/>
  <c r="CN73" i="13"/>
  <c r="F1516" i="4" s="1"/>
  <c r="BA77" i="13"/>
  <c r="L52" i="13"/>
  <c r="J52" i="13"/>
  <c r="Q1155" i="4" l="1"/>
  <c r="K1155" i="4"/>
  <c r="L1155" i="4" s="1"/>
  <c r="J1155" i="4"/>
  <c r="H798" i="4"/>
  <c r="M798" i="4" s="1"/>
  <c r="BC77" i="13"/>
  <c r="G798" i="4" s="1"/>
  <c r="AC77" i="13"/>
  <c r="AH77" i="13" s="1"/>
  <c r="AJ77" i="13" s="1"/>
  <c r="P1516" i="4"/>
  <c r="S1516" i="4"/>
  <c r="Q1516" i="4"/>
  <c r="K1516" i="4"/>
  <c r="J1516" i="4"/>
  <c r="L436" i="4"/>
  <c r="N436" i="4"/>
  <c r="O435" i="4"/>
  <c r="BB77" i="13"/>
  <c r="F798" i="4" s="1"/>
  <c r="P798" i="4" s="1"/>
  <c r="CB74" i="13"/>
  <c r="CD74" i="13" s="1"/>
  <c r="BQ74" i="13"/>
  <c r="BO74" i="13"/>
  <c r="AQ78" i="13"/>
  <c r="O52" i="13"/>
  <c r="Q52" i="13" s="1"/>
  <c r="O1154" i="4" l="1"/>
  <c r="N1155" i="4"/>
  <c r="H437" i="4"/>
  <c r="M437" i="4" s="1"/>
  <c r="H51" i="4"/>
  <c r="M51" i="4" s="1"/>
  <c r="K798" i="4"/>
  <c r="Q798" i="4"/>
  <c r="J798" i="4"/>
  <c r="L1516" i="4"/>
  <c r="N1516" i="4"/>
  <c r="O1515" i="4"/>
  <c r="BT74" i="13"/>
  <c r="BV74" i="13" s="1"/>
  <c r="CJ74" i="13"/>
  <c r="CH74" i="13"/>
  <c r="AP78" i="13"/>
  <c r="AR78" i="13" s="1"/>
  <c r="X78" i="13"/>
  <c r="AI77" i="13"/>
  <c r="F437" i="4" s="1"/>
  <c r="P437" i="4" s="1"/>
  <c r="G437" i="4"/>
  <c r="E53" i="13"/>
  <c r="P52" i="13"/>
  <c r="Q437" i="4" l="1"/>
  <c r="K437" i="4"/>
  <c r="J437" i="4"/>
  <c r="L798" i="4"/>
  <c r="N798" i="4"/>
  <c r="O797" i="4"/>
  <c r="G1156" i="4"/>
  <c r="H1156" i="4"/>
  <c r="M1156" i="4" s="1"/>
  <c r="G51" i="4"/>
  <c r="F51" i="4"/>
  <c r="BU74" i="13"/>
  <c r="F1156" i="4" s="1"/>
  <c r="P1156" i="4" s="1"/>
  <c r="BJ75" i="13"/>
  <c r="BI75" i="13" s="1"/>
  <c r="BK75" i="13" s="1"/>
  <c r="CM74" i="13"/>
  <c r="CO74" i="13" s="1"/>
  <c r="AX78" i="13"/>
  <c r="AV78" i="13"/>
  <c r="W78" i="13"/>
  <c r="Y78" i="13" s="1"/>
  <c r="D53" i="13"/>
  <c r="P51" i="4" l="1"/>
  <c r="S51" i="4"/>
  <c r="K1156" i="4"/>
  <c r="Q1156" i="4"/>
  <c r="J1156" i="4"/>
  <c r="L437" i="4"/>
  <c r="N437" i="4"/>
  <c r="O436" i="4"/>
  <c r="K51" i="4"/>
  <c r="Q51" i="4"/>
  <c r="J51" i="4"/>
  <c r="G1517" i="4"/>
  <c r="H1517" i="4"/>
  <c r="M1517" i="4" s="1"/>
  <c r="CC75" i="13"/>
  <c r="CB75" i="13" s="1"/>
  <c r="CD75" i="13" s="1"/>
  <c r="CN74" i="13"/>
  <c r="F1517" i="4" s="1"/>
  <c r="BA78" i="13"/>
  <c r="H799" i="4" s="1"/>
  <c r="M799" i="4" s="1"/>
  <c r="BQ75" i="13"/>
  <c r="BO75" i="13"/>
  <c r="AE78" i="13"/>
  <c r="AC78" i="13"/>
  <c r="F53" i="13"/>
  <c r="P1517" i="4" l="1"/>
  <c r="S1517" i="4"/>
  <c r="Q1517" i="4"/>
  <c r="K1517" i="4"/>
  <c r="J1517" i="4"/>
  <c r="L1156" i="4"/>
  <c r="N1156" i="4"/>
  <c r="O1155" i="4"/>
  <c r="N51" i="4"/>
  <c r="L51" i="4"/>
  <c r="O50" i="4"/>
  <c r="BB78" i="13"/>
  <c r="F799" i="4" s="1"/>
  <c r="P799" i="4" s="1"/>
  <c r="G799" i="4"/>
  <c r="AQ79" i="13"/>
  <c r="AP79" i="13" s="1"/>
  <c r="AR79" i="13" s="1"/>
  <c r="AH78" i="13"/>
  <c r="BT75" i="13"/>
  <c r="BV75" i="13" s="1"/>
  <c r="CH75" i="13"/>
  <c r="CJ75" i="13"/>
  <c r="L53" i="13"/>
  <c r="J53" i="13"/>
  <c r="H438" i="4" l="1"/>
  <c r="M438" i="4" s="1"/>
  <c r="K799" i="4"/>
  <c r="Q799" i="4"/>
  <c r="J799" i="4"/>
  <c r="L1517" i="4"/>
  <c r="N1517" i="4"/>
  <c r="O1516" i="4"/>
  <c r="BJ76" i="13"/>
  <c r="BI76" i="13" s="1"/>
  <c r="BK76" i="13" s="1"/>
  <c r="H1157" i="4"/>
  <c r="M1157" i="4" s="1"/>
  <c r="AI78" i="13"/>
  <c r="F438" i="4" s="1"/>
  <c r="P438" i="4" s="1"/>
  <c r="BU75" i="13"/>
  <c r="F1157" i="4" s="1"/>
  <c r="P1157" i="4" s="1"/>
  <c r="G1157" i="4"/>
  <c r="X79" i="13"/>
  <c r="G438" i="4"/>
  <c r="CM75" i="13"/>
  <c r="AX79" i="13"/>
  <c r="AV79" i="13"/>
  <c r="O53" i="13"/>
  <c r="Q53" i="13" s="1"/>
  <c r="H1518" i="4" l="1"/>
  <c r="M1518" i="4" s="1"/>
  <c r="CO75" i="13"/>
  <c r="G1518" i="4" s="1"/>
  <c r="W79" i="13"/>
  <c r="Y79" i="13" s="1"/>
  <c r="AE79" i="13" s="1"/>
  <c r="H52" i="4"/>
  <c r="M52" i="4" s="1"/>
  <c r="K438" i="4"/>
  <c r="Q438" i="4"/>
  <c r="J438" i="4"/>
  <c r="Q1157" i="4"/>
  <c r="K1157" i="4"/>
  <c r="J1157" i="4"/>
  <c r="L799" i="4"/>
  <c r="N799" i="4"/>
  <c r="O798" i="4"/>
  <c r="CC76" i="13"/>
  <c r="CN75" i="13"/>
  <c r="F1518" i="4" s="1"/>
  <c r="BO76" i="13"/>
  <c r="BQ76" i="13"/>
  <c r="BA79" i="13"/>
  <c r="H800" i="4" s="1"/>
  <c r="M800" i="4" s="1"/>
  <c r="P53" i="13"/>
  <c r="E54" i="13"/>
  <c r="AC79" i="13" l="1"/>
  <c r="AH79" i="13" s="1"/>
  <c r="P1518" i="4"/>
  <c r="S1518" i="4"/>
  <c r="Q1518" i="4"/>
  <c r="K1518" i="4"/>
  <c r="J1518" i="4"/>
  <c r="N1157" i="4"/>
  <c r="L1157" i="4"/>
  <c r="O1156" i="4"/>
  <c r="L438" i="4"/>
  <c r="N438" i="4"/>
  <c r="O437" i="4"/>
  <c r="BB79" i="13"/>
  <c r="F800" i="4" s="1"/>
  <c r="P800" i="4" s="1"/>
  <c r="G52" i="4"/>
  <c r="F52" i="4"/>
  <c r="CB76" i="13"/>
  <c r="CD76" i="13" s="1"/>
  <c r="BT76" i="13"/>
  <c r="BV76" i="13" s="1"/>
  <c r="G800" i="4"/>
  <c r="AQ80" i="13"/>
  <c r="D54" i="13"/>
  <c r="H1158" i="4" l="1"/>
  <c r="M1158" i="4" s="1"/>
  <c r="G1158" i="4"/>
  <c r="H439" i="4"/>
  <c r="M439" i="4" s="1"/>
  <c r="P52" i="4"/>
  <c r="S52" i="4"/>
  <c r="Q800" i="4"/>
  <c r="K800" i="4"/>
  <c r="J800" i="4"/>
  <c r="N1518" i="4"/>
  <c r="L1518" i="4"/>
  <c r="O1517" i="4"/>
  <c r="K52" i="4"/>
  <c r="Q52" i="4"/>
  <c r="J52" i="4"/>
  <c r="CJ76" i="13"/>
  <c r="CH76" i="13"/>
  <c r="BJ77" i="13"/>
  <c r="BU76" i="13"/>
  <c r="F1158" i="4" s="1"/>
  <c r="P1158" i="4" s="1"/>
  <c r="AP80" i="13"/>
  <c r="AR80" i="13" s="1"/>
  <c r="G439" i="4"/>
  <c r="AI79" i="13"/>
  <c r="F439" i="4" s="1"/>
  <c r="P439" i="4" s="1"/>
  <c r="X80" i="13"/>
  <c r="F54" i="13"/>
  <c r="J439" i="4" l="1"/>
  <c r="K439" i="4"/>
  <c r="Q439" i="4"/>
  <c r="K1158" i="4"/>
  <c r="Q1158" i="4"/>
  <c r="J1158" i="4"/>
  <c r="L800" i="4"/>
  <c r="N800" i="4"/>
  <c r="O799" i="4"/>
  <c r="L52" i="4"/>
  <c r="N52" i="4"/>
  <c r="O51" i="4"/>
  <c r="CM76" i="13"/>
  <c r="CO76" i="13" s="1"/>
  <c r="BI77" i="13"/>
  <c r="BK77" i="13" s="1"/>
  <c r="AX80" i="13"/>
  <c r="AV80" i="13"/>
  <c r="W80" i="13"/>
  <c r="Y80" i="13" s="1"/>
  <c r="L54" i="13"/>
  <c r="J54" i="13"/>
  <c r="L1158" i="4" l="1"/>
  <c r="N1158" i="4"/>
  <c r="O1157" i="4"/>
  <c r="L439" i="4"/>
  <c r="N439" i="4"/>
  <c r="O438" i="4"/>
  <c r="CN76" i="13"/>
  <c r="F1519" i="4" s="1"/>
  <c r="H1519" i="4"/>
  <c r="M1519" i="4" s="1"/>
  <c r="G1519" i="4"/>
  <c r="CC77" i="13"/>
  <c r="CB77" i="13" s="1"/>
  <c r="CD77" i="13" s="1"/>
  <c r="BA80" i="13"/>
  <c r="H801" i="4" s="1"/>
  <c r="M801" i="4" s="1"/>
  <c r="BO77" i="13"/>
  <c r="BQ77" i="13"/>
  <c r="AE80" i="13"/>
  <c r="AC80" i="13"/>
  <c r="O54" i="13"/>
  <c r="H53" i="4" l="1"/>
  <c r="M53" i="4" s="1"/>
  <c r="P1519" i="4"/>
  <c r="S1519" i="4"/>
  <c r="K1519" i="4"/>
  <c r="Q1519" i="4"/>
  <c r="J1519" i="4"/>
  <c r="BB80" i="13"/>
  <c r="F801" i="4" s="1"/>
  <c r="P801" i="4" s="1"/>
  <c r="AH80" i="13"/>
  <c r="G801" i="4"/>
  <c r="AQ81" i="13"/>
  <c r="AP81" i="13" s="1"/>
  <c r="AR81" i="13" s="1"/>
  <c r="CH77" i="13"/>
  <c r="CJ77" i="13"/>
  <c r="BT77" i="13"/>
  <c r="BV77" i="13" s="1"/>
  <c r="P54" i="13"/>
  <c r="E55" i="13"/>
  <c r="H1159" i="4" l="1"/>
  <c r="M1159" i="4" s="1"/>
  <c r="G1159" i="4"/>
  <c r="H440" i="4"/>
  <c r="M440" i="4" s="1"/>
  <c r="K801" i="4"/>
  <c r="Q801" i="4"/>
  <c r="J801" i="4"/>
  <c r="L1519" i="4"/>
  <c r="N1519" i="4"/>
  <c r="O1518" i="4"/>
  <c r="G440" i="4"/>
  <c r="G53" i="4"/>
  <c r="F53" i="4"/>
  <c r="AI80" i="13"/>
  <c r="F440" i="4" s="1"/>
  <c r="P440" i="4" s="1"/>
  <c r="X81" i="13"/>
  <c r="CM77" i="13"/>
  <c r="BU77" i="13"/>
  <c r="F1159" i="4" s="1"/>
  <c r="P1159" i="4" s="1"/>
  <c r="BJ78" i="13"/>
  <c r="AX81" i="13"/>
  <c r="AV81" i="13"/>
  <c r="D55" i="13"/>
  <c r="H1520" i="4" l="1"/>
  <c r="M1520" i="4" s="1"/>
  <c r="CO77" i="13"/>
  <c r="G1520" i="4" s="1"/>
  <c r="W81" i="13"/>
  <c r="Y81" i="13" s="1"/>
  <c r="AE81" i="13" s="1"/>
  <c r="S1159" i="4"/>
  <c r="P53" i="4"/>
  <c r="S53" i="4"/>
  <c r="K440" i="4"/>
  <c r="Q440" i="4"/>
  <c r="J440" i="4"/>
  <c r="Q1159" i="4"/>
  <c r="K1159" i="4"/>
  <c r="J1159" i="4"/>
  <c r="L801" i="4"/>
  <c r="N801" i="4"/>
  <c r="O800" i="4"/>
  <c r="K53" i="4"/>
  <c r="Q53" i="4"/>
  <c r="J53" i="4"/>
  <c r="BA81" i="13"/>
  <c r="H802" i="4" s="1"/>
  <c r="M802" i="4" s="1"/>
  <c r="CN77" i="13"/>
  <c r="F1520" i="4" s="1"/>
  <c r="CC78" i="13"/>
  <c r="BI78" i="13"/>
  <c r="BK78" i="13" s="1"/>
  <c r="F55" i="13"/>
  <c r="AC81" i="13" l="1"/>
  <c r="AH81" i="13" s="1"/>
  <c r="P1520" i="4"/>
  <c r="S1520" i="4"/>
  <c r="Q1520" i="4"/>
  <c r="J1520" i="4"/>
  <c r="K1520" i="4"/>
  <c r="N1159" i="4"/>
  <c r="L1159" i="4"/>
  <c r="O1158" i="4"/>
  <c r="L440" i="4"/>
  <c r="N440" i="4"/>
  <c r="O439" i="4"/>
  <c r="L53" i="4"/>
  <c r="N53" i="4"/>
  <c r="O52" i="4"/>
  <c r="G802" i="4"/>
  <c r="BB81" i="13"/>
  <c r="F802" i="4" s="1"/>
  <c r="P802" i="4" s="1"/>
  <c r="AQ82" i="13"/>
  <c r="AP82" i="13" s="1"/>
  <c r="AR82" i="13" s="1"/>
  <c r="CB78" i="13"/>
  <c r="CD78" i="13" s="1"/>
  <c r="BQ78" i="13"/>
  <c r="BO78" i="13"/>
  <c r="L55" i="13"/>
  <c r="J55" i="13"/>
  <c r="H441" i="4" l="1"/>
  <c r="M441" i="4" s="1"/>
  <c r="Q802" i="4"/>
  <c r="K802" i="4"/>
  <c r="J802" i="4"/>
  <c r="L1520" i="4"/>
  <c r="N1520" i="4"/>
  <c r="O1519" i="4"/>
  <c r="G441" i="4"/>
  <c r="X82" i="13"/>
  <c r="AI81" i="13"/>
  <c r="F441" i="4" s="1"/>
  <c r="P441" i="4" s="1"/>
  <c r="BT78" i="13"/>
  <c r="CJ78" i="13"/>
  <c r="CH78" i="13"/>
  <c r="AV82" i="13"/>
  <c r="AX82" i="13"/>
  <c r="O55" i="13"/>
  <c r="W82" i="13" l="1"/>
  <c r="Y82" i="13" s="1"/>
  <c r="AE82" i="13" s="1"/>
  <c r="H54" i="4"/>
  <c r="M54" i="4" s="1"/>
  <c r="Q441" i="4"/>
  <c r="K441" i="4"/>
  <c r="J441" i="4"/>
  <c r="N802" i="4"/>
  <c r="L802" i="4"/>
  <c r="O801" i="4"/>
  <c r="BJ79" i="13"/>
  <c r="BI79" i="13" s="1"/>
  <c r="BK79" i="13" s="1"/>
  <c r="H1160" i="4"/>
  <c r="BU78" i="13"/>
  <c r="F1160" i="4" s="1"/>
  <c r="P1160" i="4" s="1"/>
  <c r="G1160" i="4"/>
  <c r="CM78" i="13"/>
  <c r="BA82" i="13"/>
  <c r="H803" i="4" s="1"/>
  <c r="M803" i="4" s="1"/>
  <c r="P55" i="13"/>
  <c r="E56" i="13"/>
  <c r="AC82" i="13" l="1"/>
  <c r="AH82" i="13" s="1"/>
  <c r="M1160" i="4"/>
  <c r="S1160" i="4"/>
  <c r="K1160" i="4"/>
  <c r="Q1160" i="4"/>
  <c r="J1160" i="4"/>
  <c r="L441" i="4"/>
  <c r="N441" i="4"/>
  <c r="O440" i="4"/>
  <c r="CC79" i="13"/>
  <c r="CB79" i="13" s="1"/>
  <c r="CD79" i="13" s="1"/>
  <c r="H1521" i="4"/>
  <c r="M1521" i="4" s="1"/>
  <c r="BB82" i="13"/>
  <c r="F803" i="4" s="1"/>
  <c r="P803" i="4" s="1"/>
  <c r="F54" i="4"/>
  <c r="G54" i="4"/>
  <c r="G1521" i="4"/>
  <c r="CN78" i="13"/>
  <c r="F1521" i="4" s="1"/>
  <c r="BQ79" i="13"/>
  <c r="BO79" i="13"/>
  <c r="G803" i="4"/>
  <c r="AQ83" i="13"/>
  <c r="D56" i="13"/>
  <c r="H442" i="4" l="1"/>
  <c r="M442" i="4" s="1"/>
  <c r="P1521" i="4"/>
  <c r="S1521" i="4"/>
  <c r="P54" i="4"/>
  <c r="S54" i="4"/>
  <c r="G442" i="4"/>
  <c r="K803" i="4"/>
  <c r="Q803" i="4"/>
  <c r="J803" i="4"/>
  <c r="K1521" i="4"/>
  <c r="Q1521" i="4"/>
  <c r="J1521" i="4"/>
  <c r="AI82" i="13"/>
  <c r="F442" i="4" s="1"/>
  <c r="P442" i="4" s="1"/>
  <c r="L1160" i="4"/>
  <c r="N1160" i="4"/>
  <c r="O1159" i="4"/>
  <c r="Q54" i="4"/>
  <c r="K54" i="4"/>
  <c r="J54" i="4"/>
  <c r="X83" i="13"/>
  <c r="BT79" i="13"/>
  <c r="CH79" i="13"/>
  <c r="CJ79" i="13"/>
  <c r="AP83" i="13"/>
  <c r="AR83" i="13" s="1"/>
  <c r="F56" i="13"/>
  <c r="W83" i="13" l="1"/>
  <c r="Y83" i="13" s="1"/>
  <c r="AE83" i="13" s="1"/>
  <c r="L1521" i="4"/>
  <c r="N1521" i="4"/>
  <c r="O1520" i="4"/>
  <c r="L803" i="4"/>
  <c r="N803" i="4"/>
  <c r="O802" i="4"/>
  <c r="K442" i="4"/>
  <c r="Q442" i="4"/>
  <c r="J442" i="4"/>
  <c r="L54" i="4"/>
  <c r="N54" i="4"/>
  <c r="O53" i="4"/>
  <c r="G1161" i="4"/>
  <c r="H1161" i="4"/>
  <c r="BU79" i="13"/>
  <c r="F1161" i="4" s="1"/>
  <c r="P1161" i="4" s="1"/>
  <c r="BJ80" i="13"/>
  <c r="BI80" i="13" s="1"/>
  <c r="BK80" i="13" s="1"/>
  <c r="CM79" i="13"/>
  <c r="H1522" i="4" s="1"/>
  <c r="M1522" i="4" s="1"/>
  <c r="AV83" i="13"/>
  <c r="AX83" i="13"/>
  <c r="L56" i="13"/>
  <c r="J56" i="13"/>
  <c r="AC83" i="13" l="1"/>
  <c r="AH83" i="13" s="1"/>
  <c r="AJ83" i="13" s="1"/>
  <c r="M1161" i="4"/>
  <c r="S1161" i="4"/>
  <c r="L442" i="4"/>
  <c r="N442" i="4"/>
  <c r="O441" i="4"/>
  <c r="K1161" i="4"/>
  <c r="Q1161" i="4"/>
  <c r="J1161" i="4"/>
  <c r="G1522" i="4"/>
  <c r="CN79" i="13"/>
  <c r="F1522" i="4" s="1"/>
  <c r="CC80" i="13"/>
  <c r="BO80" i="13"/>
  <c r="BQ80" i="13"/>
  <c r="BA83" i="13"/>
  <c r="O56" i="13"/>
  <c r="H804" i="4" l="1"/>
  <c r="M804" i="4" s="1"/>
  <c r="BC83" i="13"/>
  <c r="G804" i="4" s="1"/>
  <c r="H443" i="4"/>
  <c r="M443" i="4" s="1"/>
  <c r="H55" i="4"/>
  <c r="M55" i="4" s="1"/>
  <c r="P1522" i="4"/>
  <c r="S1522" i="4"/>
  <c r="L1161" i="4"/>
  <c r="N1161" i="4"/>
  <c r="O1160" i="4"/>
  <c r="K1522" i="4"/>
  <c r="Q1522" i="4"/>
  <c r="J1522" i="4"/>
  <c r="BB83" i="13"/>
  <c r="F804" i="4" s="1"/>
  <c r="P804" i="4" s="1"/>
  <c r="BT80" i="13"/>
  <c r="CB80" i="13"/>
  <c r="CD80" i="13" s="1"/>
  <c r="AQ84" i="13"/>
  <c r="X84" i="13"/>
  <c r="G443" i="4"/>
  <c r="AI83" i="13"/>
  <c r="F443" i="4" s="1"/>
  <c r="P443" i="4" s="1"/>
  <c r="E57" i="13"/>
  <c r="P56" i="13"/>
  <c r="J443" i="4" l="1"/>
  <c r="K443" i="4"/>
  <c r="Q443" i="4"/>
  <c r="L1522" i="4"/>
  <c r="N1522" i="4"/>
  <c r="O1521" i="4"/>
  <c r="K804" i="4"/>
  <c r="Q804" i="4"/>
  <c r="J804" i="4"/>
  <c r="BJ81" i="13"/>
  <c r="BI81" i="13" s="1"/>
  <c r="BK81" i="13" s="1"/>
  <c r="H1162" i="4"/>
  <c r="F55" i="4"/>
  <c r="G55" i="4"/>
  <c r="BU80" i="13"/>
  <c r="F1162" i="4" s="1"/>
  <c r="P1162" i="4" s="1"/>
  <c r="G1162" i="4"/>
  <c r="CH80" i="13"/>
  <c r="CJ80" i="13"/>
  <c r="AP84" i="13"/>
  <c r="AR84" i="13" s="1"/>
  <c r="W84" i="13"/>
  <c r="Y84" i="13" s="1"/>
  <c r="D57" i="13"/>
  <c r="M1162" i="4" l="1"/>
  <c r="S1162" i="4"/>
  <c r="P55" i="4"/>
  <c r="S55" i="4"/>
  <c r="L804" i="4"/>
  <c r="N804" i="4"/>
  <c r="O803" i="4"/>
  <c r="L443" i="4"/>
  <c r="N443" i="4"/>
  <c r="O442" i="4"/>
  <c r="Q1162" i="4"/>
  <c r="K1162" i="4"/>
  <c r="J1162" i="4"/>
  <c r="Q55" i="4"/>
  <c r="K55" i="4"/>
  <c r="J55" i="4"/>
  <c r="CM80" i="13"/>
  <c r="H1523" i="4" s="1"/>
  <c r="M1523" i="4" s="1"/>
  <c r="BO81" i="13"/>
  <c r="BQ81" i="13"/>
  <c r="AV84" i="13"/>
  <c r="AX84" i="13"/>
  <c r="AC84" i="13"/>
  <c r="AE84" i="13"/>
  <c r="F57" i="13"/>
  <c r="N1162" i="4" l="1"/>
  <c r="L1162" i="4"/>
  <c r="O1161" i="4"/>
  <c r="N55" i="4"/>
  <c r="L55" i="4"/>
  <c r="O54" i="4"/>
  <c r="CC81" i="13"/>
  <c r="G1523" i="4"/>
  <c r="CN80" i="13"/>
  <c r="F1523" i="4" s="1"/>
  <c r="BT81" i="13"/>
  <c r="H1163" i="4" s="1"/>
  <c r="M1163" i="4" s="1"/>
  <c r="BA84" i="13"/>
  <c r="AH84" i="13"/>
  <c r="AJ84" i="13" s="1"/>
  <c r="L57" i="13"/>
  <c r="J57" i="13"/>
  <c r="H805" i="4" l="1"/>
  <c r="M805" i="4" s="1"/>
  <c r="BC84" i="13"/>
  <c r="G805" i="4" s="1"/>
  <c r="H444" i="4"/>
  <c r="M444" i="4" s="1"/>
  <c r="P1523" i="4"/>
  <c r="S1523" i="4"/>
  <c r="Q1523" i="4"/>
  <c r="K1523" i="4"/>
  <c r="J1523" i="4"/>
  <c r="BB84" i="13"/>
  <c r="F805" i="4" s="1"/>
  <c r="P805" i="4" s="1"/>
  <c r="CB81" i="13"/>
  <c r="CD81" i="13" s="1"/>
  <c r="G1163" i="4"/>
  <c r="BU81" i="13"/>
  <c r="F1163" i="4" s="1"/>
  <c r="BJ82" i="13"/>
  <c r="AQ85" i="13"/>
  <c r="G444" i="4"/>
  <c r="AI84" i="13"/>
  <c r="F444" i="4" s="1"/>
  <c r="P444" i="4" s="1"/>
  <c r="X85" i="13"/>
  <c r="O57" i="13"/>
  <c r="H56" i="4" l="1"/>
  <c r="M56" i="4" s="1"/>
  <c r="P1163" i="4"/>
  <c r="S1163" i="4"/>
  <c r="Q1163" i="4"/>
  <c r="K1163" i="4"/>
  <c r="J1163" i="4"/>
  <c r="Q444" i="4"/>
  <c r="K444" i="4"/>
  <c r="J444" i="4"/>
  <c r="K805" i="4"/>
  <c r="Q805" i="4"/>
  <c r="J805" i="4"/>
  <c r="N1523" i="4"/>
  <c r="L1523" i="4"/>
  <c r="O1522" i="4"/>
  <c r="CJ81" i="13"/>
  <c r="CH81" i="13"/>
  <c r="BI82" i="13"/>
  <c r="BK82" i="13" s="1"/>
  <c r="AP85" i="13"/>
  <c r="AR85" i="13" s="1"/>
  <c r="W85" i="13"/>
  <c r="Y85" i="13" s="1"/>
  <c r="E58" i="13"/>
  <c r="P57" i="13"/>
  <c r="L805" i="4" l="1"/>
  <c r="N805" i="4"/>
  <c r="O804" i="4"/>
  <c r="N1163" i="4"/>
  <c r="L1163" i="4"/>
  <c r="O1162" i="4"/>
  <c r="N444" i="4"/>
  <c r="L444" i="4"/>
  <c r="O443" i="4"/>
  <c r="G56" i="4"/>
  <c r="F56" i="4"/>
  <c r="CM81" i="13"/>
  <c r="BO82" i="13"/>
  <c r="BQ82" i="13"/>
  <c r="AX85" i="13"/>
  <c r="AV85" i="13"/>
  <c r="AE85" i="13"/>
  <c r="AC85" i="13"/>
  <c r="D58" i="13"/>
  <c r="P56" i="4" l="1"/>
  <c r="S56" i="4"/>
  <c r="K56" i="4"/>
  <c r="Q56" i="4"/>
  <c r="J56" i="4"/>
  <c r="G1524" i="4"/>
  <c r="H1524" i="4"/>
  <c r="M1524" i="4" s="1"/>
  <c r="CN81" i="13"/>
  <c r="F1524" i="4" s="1"/>
  <c r="CC82" i="13"/>
  <c r="CB82" i="13" s="1"/>
  <c r="CD82" i="13" s="1"/>
  <c r="BA85" i="13"/>
  <c r="AH85" i="13"/>
  <c r="AJ85" i="13" s="1"/>
  <c r="BT82" i="13"/>
  <c r="H1164" i="4" s="1"/>
  <c r="M1164" i="4" s="1"/>
  <c r="F58" i="13"/>
  <c r="H806" i="4" l="1"/>
  <c r="M806" i="4" s="1"/>
  <c r="BC85" i="13"/>
  <c r="G806" i="4" s="1"/>
  <c r="H445" i="4"/>
  <c r="M445" i="4" s="1"/>
  <c r="P1524" i="4"/>
  <c r="S1524" i="4"/>
  <c r="K1524" i="4"/>
  <c r="J1524" i="4"/>
  <c r="Q1524" i="4"/>
  <c r="N56" i="4"/>
  <c r="L56" i="4"/>
  <c r="O55" i="4"/>
  <c r="BB85" i="13"/>
  <c r="F806" i="4" s="1"/>
  <c r="P806" i="4" s="1"/>
  <c r="X86" i="13"/>
  <c r="G445" i="4"/>
  <c r="AI85" i="13"/>
  <c r="F445" i="4" s="1"/>
  <c r="P445" i="4" s="1"/>
  <c r="AQ86" i="13"/>
  <c r="AP86" i="13" s="1"/>
  <c r="AR86" i="13" s="1"/>
  <c r="CH82" i="13"/>
  <c r="CJ82" i="13"/>
  <c r="G1164" i="4"/>
  <c r="BU82" i="13"/>
  <c r="F1164" i="4" s="1"/>
  <c r="BJ83" i="13"/>
  <c r="L58" i="13"/>
  <c r="J58" i="13"/>
  <c r="W86" i="13" l="1"/>
  <c r="Y86" i="13" s="1"/>
  <c r="AE86" i="13" s="1"/>
  <c r="P1164" i="4"/>
  <c r="S1164" i="4"/>
  <c r="Q1164" i="4"/>
  <c r="K1164" i="4"/>
  <c r="J1164" i="4"/>
  <c r="K445" i="4"/>
  <c r="Q445" i="4"/>
  <c r="J445" i="4"/>
  <c r="Q806" i="4"/>
  <c r="K806" i="4"/>
  <c r="J806" i="4"/>
  <c r="N1524" i="4"/>
  <c r="L1524" i="4"/>
  <c r="O1523" i="4"/>
  <c r="CM82" i="13"/>
  <c r="H1525" i="4" s="1"/>
  <c r="M1525" i="4" s="1"/>
  <c r="BI83" i="13"/>
  <c r="BK83" i="13" s="1"/>
  <c r="AX86" i="13"/>
  <c r="AV86" i="13"/>
  <c r="O58" i="13"/>
  <c r="AC86" i="13" l="1"/>
  <c r="AH86" i="13" s="1"/>
  <c r="AJ86" i="13" s="1"/>
  <c r="H57" i="4"/>
  <c r="M57" i="4" s="1"/>
  <c r="L806" i="4"/>
  <c r="N806" i="4"/>
  <c r="O805" i="4"/>
  <c r="L1164" i="4"/>
  <c r="N1164" i="4"/>
  <c r="O1163" i="4"/>
  <c r="N445" i="4"/>
  <c r="L445" i="4"/>
  <c r="O444" i="4"/>
  <c r="BA86" i="13"/>
  <c r="G1525" i="4"/>
  <c r="CN82" i="13"/>
  <c r="F1525" i="4" s="1"/>
  <c r="CC83" i="13"/>
  <c r="BO83" i="13"/>
  <c r="BQ83" i="13"/>
  <c r="P58" i="13"/>
  <c r="E59" i="13"/>
  <c r="H807" i="4" l="1"/>
  <c r="M807" i="4" s="1"/>
  <c r="BC86" i="13"/>
  <c r="G807" i="4" s="1"/>
  <c r="H446" i="4"/>
  <c r="M446" i="4" s="1"/>
  <c r="G446" i="4"/>
  <c r="K446" i="4" s="1"/>
  <c r="P1525" i="4"/>
  <c r="S1525" i="4"/>
  <c r="K1525" i="4"/>
  <c r="Q1525" i="4"/>
  <c r="J1525" i="4"/>
  <c r="AI86" i="13"/>
  <c r="F446" i="4" s="1"/>
  <c r="P446" i="4" s="1"/>
  <c r="X87" i="13"/>
  <c r="BB86" i="13"/>
  <c r="F807" i="4" s="1"/>
  <c r="P807" i="4" s="1"/>
  <c r="F57" i="4"/>
  <c r="G57" i="4"/>
  <c r="AQ87" i="13"/>
  <c r="AP87" i="13" s="1"/>
  <c r="AR87" i="13" s="1"/>
  <c r="CB83" i="13"/>
  <c r="CD83" i="13" s="1"/>
  <c r="BT83" i="13"/>
  <c r="BV83" i="13" s="1"/>
  <c r="D59" i="13"/>
  <c r="H1165" i="4" l="1"/>
  <c r="M1165" i="4" s="1"/>
  <c r="W87" i="13"/>
  <c r="Y87" i="13" s="1"/>
  <c r="AC87" i="13" s="1"/>
  <c r="J446" i="4"/>
  <c r="Q446" i="4"/>
  <c r="P57" i="4"/>
  <c r="S57" i="4"/>
  <c r="N1525" i="4"/>
  <c r="L1525" i="4"/>
  <c r="O1524" i="4"/>
  <c r="Q807" i="4"/>
  <c r="K807" i="4"/>
  <c r="J807" i="4"/>
  <c r="L446" i="4"/>
  <c r="N446" i="4"/>
  <c r="O445" i="4"/>
  <c r="Q57" i="4"/>
  <c r="K57" i="4"/>
  <c r="J57" i="4"/>
  <c r="CH83" i="13"/>
  <c r="CJ83" i="13"/>
  <c r="BJ84" i="13"/>
  <c r="BU83" i="13"/>
  <c r="F1165" i="4" s="1"/>
  <c r="P1165" i="4" s="1"/>
  <c r="G1165" i="4"/>
  <c r="AV87" i="13"/>
  <c r="AX87" i="13"/>
  <c r="F59" i="13"/>
  <c r="AE87" i="13" l="1"/>
  <c r="AH87" i="13" s="1"/>
  <c r="AJ87" i="13" s="1"/>
  <c r="S1165" i="4"/>
  <c r="L807" i="4"/>
  <c r="N807" i="4"/>
  <c r="O806" i="4"/>
  <c r="K1165" i="4"/>
  <c r="Q1165" i="4"/>
  <c r="J1165" i="4"/>
  <c r="L57" i="4"/>
  <c r="N57" i="4"/>
  <c r="O56" i="4"/>
  <c r="CM83" i="13"/>
  <c r="BI84" i="13"/>
  <c r="BK84" i="13" s="1"/>
  <c r="BA87" i="13"/>
  <c r="L59" i="13"/>
  <c r="J59" i="13"/>
  <c r="H1526" i="4" l="1"/>
  <c r="M1526" i="4" s="1"/>
  <c r="CO83" i="13"/>
  <c r="G1526" i="4" s="1"/>
  <c r="H808" i="4"/>
  <c r="M808" i="4" s="1"/>
  <c r="BC87" i="13"/>
  <c r="G808" i="4" s="1"/>
  <c r="H447" i="4"/>
  <c r="M447" i="4" s="1"/>
  <c r="G447" i="4"/>
  <c r="N1165" i="4"/>
  <c r="L1165" i="4"/>
  <c r="O1164" i="4"/>
  <c r="BB87" i="13"/>
  <c r="F808" i="4" s="1"/>
  <c r="P808" i="4" s="1"/>
  <c r="CC84" i="13"/>
  <c r="CN83" i="13"/>
  <c r="F1526" i="4" s="1"/>
  <c r="BQ84" i="13"/>
  <c r="BO84" i="13"/>
  <c r="AQ88" i="13"/>
  <c r="X88" i="13"/>
  <c r="AI87" i="13"/>
  <c r="F447" i="4" s="1"/>
  <c r="P447" i="4" s="1"/>
  <c r="O59" i="13"/>
  <c r="Q59" i="13" s="1"/>
  <c r="H58" i="4" l="1"/>
  <c r="M58" i="4" s="1"/>
  <c r="P1526" i="4"/>
  <c r="S1526" i="4"/>
  <c r="K447" i="4"/>
  <c r="Q447" i="4"/>
  <c r="J447" i="4"/>
  <c r="K808" i="4"/>
  <c r="Q808" i="4"/>
  <c r="J808" i="4"/>
  <c r="Q1526" i="4"/>
  <c r="K1526" i="4"/>
  <c r="J1526" i="4"/>
  <c r="BT84" i="13"/>
  <c r="BV84" i="13" s="1"/>
  <c r="CB84" i="13"/>
  <c r="CD84" i="13" s="1"/>
  <c r="AP88" i="13"/>
  <c r="AR88" i="13" s="1"/>
  <c r="W88" i="13"/>
  <c r="Y88" i="13" s="1"/>
  <c r="P59" i="13"/>
  <c r="E60" i="13"/>
  <c r="L808" i="4" l="1"/>
  <c r="N808" i="4"/>
  <c r="O807" i="4"/>
  <c r="N1526" i="4"/>
  <c r="L1526" i="4"/>
  <c r="O1525" i="4"/>
  <c r="N447" i="4"/>
  <c r="L447" i="4"/>
  <c r="O446" i="4"/>
  <c r="G1166" i="4"/>
  <c r="H1166" i="4"/>
  <c r="M1166" i="4" s="1"/>
  <c r="G58" i="4"/>
  <c r="F58" i="4"/>
  <c r="BU84" i="13"/>
  <c r="F1166" i="4" s="1"/>
  <c r="BJ85" i="13"/>
  <c r="BI85" i="13" s="1"/>
  <c r="BK85" i="13" s="1"/>
  <c r="CJ84" i="13"/>
  <c r="CH84" i="13"/>
  <c r="AX88" i="13"/>
  <c r="AV88" i="13"/>
  <c r="AE88" i="13"/>
  <c r="AC88" i="13"/>
  <c r="D60" i="13"/>
  <c r="C153" i="5"/>
  <c r="P153" i="5" s="1"/>
  <c r="C152" i="5"/>
  <c r="C151" i="5"/>
  <c r="P151" i="5" s="1"/>
  <c r="C150" i="5"/>
  <c r="P150" i="5" s="1"/>
  <c r="C149" i="5"/>
  <c r="P149" i="5" s="1"/>
  <c r="C148" i="5"/>
  <c r="C147" i="5"/>
  <c r="P147" i="5" s="1"/>
  <c r="C146" i="5"/>
  <c r="P146" i="5" s="1"/>
  <c r="C145" i="5"/>
  <c r="P145" i="5" s="1"/>
  <c r="C144" i="5"/>
  <c r="P144" i="5" s="1"/>
  <c r="C143" i="5"/>
  <c r="P143" i="5" s="1"/>
  <c r="C142" i="5"/>
  <c r="P142" i="5" s="1"/>
  <c r="C141" i="5"/>
  <c r="P141" i="5" s="1"/>
  <c r="C140" i="5"/>
  <c r="P140" i="5" s="1"/>
  <c r="C139" i="5"/>
  <c r="P139" i="5" s="1"/>
  <c r="C138" i="5"/>
  <c r="P138" i="5" s="1"/>
  <c r="C137" i="5"/>
  <c r="P137" i="5" s="1"/>
  <c r="C136" i="5"/>
  <c r="P136" i="5" s="1"/>
  <c r="C135" i="5"/>
  <c r="P135" i="5" s="1"/>
  <c r="C134" i="5"/>
  <c r="P134" i="5" s="1"/>
  <c r="C133" i="5"/>
  <c r="C132" i="5"/>
  <c r="C131" i="5"/>
  <c r="C130" i="5"/>
  <c r="C129" i="5"/>
  <c r="P129" i="5" s="1"/>
  <c r="C128" i="5"/>
  <c r="P128" i="5" s="1"/>
  <c r="C127" i="5"/>
  <c r="P127" i="5" s="1"/>
  <c r="C126" i="5"/>
  <c r="P126" i="5" s="1"/>
  <c r="C125" i="5"/>
  <c r="P125" i="5" s="1"/>
  <c r="C124" i="5"/>
  <c r="C123" i="5"/>
  <c r="P123" i="5" s="1"/>
  <c r="C122" i="5"/>
  <c r="P122" i="5" s="1"/>
  <c r="C121" i="5"/>
  <c r="P121" i="5" s="1"/>
  <c r="C120" i="5"/>
  <c r="P120" i="5" s="1"/>
  <c r="C119" i="5"/>
  <c r="P119" i="5" s="1"/>
  <c r="C118" i="5"/>
  <c r="P118" i="5" s="1"/>
  <c r="C117" i="5"/>
  <c r="P117" i="5" s="1"/>
  <c r="C116" i="5"/>
  <c r="P116" i="5" s="1"/>
  <c r="C115" i="5"/>
  <c r="P115" i="5" s="1"/>
  <c r="C114" i="5"/>
  <c r="P114" i="5" s="1"/>
  <c r="C113" i="5"/>
  <c r="P113" i="5" s="1"/>
  <c r="C112" i="5"/>
  <c r="C111" i="5"/>
  <c r="P111" i="5" s="1"/>
  <c r="C110" i="5"/>
  <c r="P110" i="5" s="1"/>
  <c r="C109" i="5"/>
  <c r="P109" i="5" s="1"/>
  <c r="C108" i="5"/>
  <c r="C107" i="5"/>
  <c r="P107" i="5" s="1"/>
  <c r="C106" i="5"/>
  <c r="P106" i="5" s="1"/>
  <c r="C105" i="5"/>
  <c r="P105" i="5" s="1"/>
  <c r="C104" i="5"/>
  <c r="P104" i="5" s="1"/>
  <c r="C103" i="5"/>
  <c r="C102" i="5"/>
  <c r="C101" i="5"/>
  <c r="C100" i="5"/>
  <c r="C99" i="5"/>
  <c r="P99" i="5" s="1"/>
  <c r="C98" i="5"/>
  <c r="P98" i="5" s="1"/>
  <c r="C97" i="5"/>
  <c r="P97" i="5" s="1"/>
  <c r="C96" i="5"/>
  <c r="C95" i="5"/>
  <c r="P95" i="5" s="1"/>
  <c r="C94" i="5"/>
  <c r="C93" i="5"/>
  <c r="P93" i="5" s="1"/>
  <c r="C92" i="5"/>
  <c r="C91" i="5"/>
  <c r="P91" i="5" s="1"/>
  <c r="C90" i="5"/>
  <c r="C89" i="5"/>
  <c r="P89" i="5" s="1"/>
  <c r="C88" i="5"/>
  <c r="C87" i="5"/>
  <c r="P87" i="5" s="1"/>
  <c r="C86" i="5"/>
  <c r="C85" i="5"/>
  <c r="C84" i="5"/>
  <c r="P84" i="5" s="1"/>
  <c r="C83" i="5"/>
  <c r="C82" i="5"/>
  <c r="C81" i="5"/>
  <c r="P81" i="5" s="1"/>
  <c r="C80" i="5"/>
  <c r="C79" i="5"/>
  <c r="P79" i="5" s="1"/>
  <c r="C78" i="5"/>
  <c r="P78" i="5" s="1"/>
  <c r="C77" i="5"/>
  <c r="P77" i="5" s="1"/>
  <c r="C76" i="5"/>
  <c r="P76" i="5" s="1"/>
  <c r="C75" i="5"/>
  <c r="P75" i="5" s="1"/>
  <c r="C74" i="5"/>
  <c r="P74" i="5" s="1"/>
  <c r="C73" i="5"/>
  <c r="C72" i="5"/>
  <c r="C71" i="5"/>
  <c r="C70" i="5"/>
  <c r="C69" i="5"/>
  <c r="P69" i="5" s="1"/>
  <c r="C68" i="5"/>
  <c r="P68" i="5" s="1"/>
  <c r="C67" i="5"/>
  <c r="P67" i="5" s="1"/>
  <c r="C66" i="5"/>
  <c r="P66" i="5" s="1"/>
  <c r="C65" i="5"/>
  <c r="P65" i="5" s="1"/>
  <c r="C64" i="5"/>
  <c r="C63" i="5"/>
  <c r="P63" i="5" s="1"/>
  <c r="C62" i="5"/>
  <c r="P62" i="5" s="1"/>
  <c r="C61" i="5"/>
  <c r="P61" i="5" s="1"/>
  <c r="C60" i="5"/>
  <c r="P60" i="5" s="1"/>
  <c r="C59" i="5"/>
  <c r="C58" i="5"/>
  <c r="C57" i="5"/>
  <c r="C56" i="5"/>
  <c r="P56" i="5" s="1"/>
  <c r="C55" i="5"/>
  <c r="P55" i="5" s="1"/>
  <c r="C54" i="5"/>
  <c r="C53" i="5"/>
  <c r="P53" i="5" s="1"/>
  <c r="C52" i="5"/>
  <c r="C51" i="5"/>
  <c r="P51" i="5" s="1"/>
  <c r="C50" i="5"/>
  <c r="P50" i="5" s="1"/>
  <c r="C49" i="5"/>
  <c r="P49" i="5" s="1"/>
  <c r="C48" i="5"/>
  <c r="P48" i="5" s="1"/>
  <c r="C47" i="5"/>
  <c r="C46" i="5"/>
  <c r="P46" i="5" s="1"/>
  <c r="C45" i="5"/>
  <c r="P45" i="5" s="1"/>
  <c r="C44" i="5"/>
  <c r="P44" i="5" s="1"/>
  <c r="C43" i="5"/>
  <c r="C42" i="5"/>
  <c r="C41" i="5"/>
  <c r="C40" i="5"/>
  <c r="C39" i="5"/>
  <c r="P39" i="5" s="1"/>
  <c r="C38" i="5"/>
  <c r="C37" i="5"/>
  <c r="P37" i="5" s="1"/>
  <c r="C36" i="5"/>
  <c r="P36" i="5" s="1"/>
  <c r="C35" i="5"/>
  <c r="P35" i="5" s="1"/>
  <c r="C34" i="5"/>
  <c r="C33" i="5"/>
  <c r="C32" i="5"/>
  <c r="P32" i="5" s="1"/>
  <c r="C31" i="5"/>
  <c r="C30" i="5"/>
  <c r="P30" i="5" s="1"/>
  <c r="C29" i="5"/>
  <c r="C28" i="5"/>
  <c r="P28" i="5" s="1"/>
  <c r="C27" i="5"/>
  <c r="P27" i="5" s="1"/>
  <c r="C26" i="5"/>
  <c r="P26" i="5" s="1"/>
  <c r="C25" i="5"/>
  <c r="C24" i="5"/>
  <c r="P24" i="5" s="1"/>
  <c r="C23" i="5"/>
  <c r="C22" i="5"/>
  <c r="P22" i="5" s="1"/>
  <c r="C21" i="5"/>
  <c r="P21" i="5" s="1"/>
  <c r="C20" i="5"/>
  <c r="P20" i="5" s="1"/>
  <c r="C19" i="5"/>
  <c r="P19" i="5" s="1"/>
  <c r="C18" i="5"/>
  <c r="P18" i="5" s="1"/>
  <c r="C17" i="5"/>
  <c r="P17" i="5" s="1"/>
  <c r="C16" i="5"/>
  <c r="P16" i="5" s="1"/>
  <c r="C15" i="5"/>
  <c r="C13" i="5"/>
  <c r="C12" i="5"/>
  <c r="C11" i="5"/>
  <c r="C10" i="5"/>
  <c r="C9" i="5"/>
  <c r="C8" i="5"/>
  <c r="C7" i="5"/>
  <c r="P7" i="5" s="1"/>
  <c r="C6" i="5"/>
  <c r="P6" i="5" s="1"/>
  <c r="C5" i="5"/>
  <c r="P5" i="5" s="1"/>
  <c r="C4" i="5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861" i="4"/>
  <c r="S860" i="4"/>
  <c r="S859" i="4"/>
  <c r="S858" i="4"/>
  <c r="S857" i="4"/>
  <c r="S856" i="4"/>
  <c r="S855" i="4"/>
  <c r="S854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B4" i="6" l="1"/>
  <c r="B6" i="6"/>
  <c r="P124" i="5"/>
  <c r="B8" i="6"/>
  <c r="P34" i="5"/>
  <c r="B5" i="6"/>
  <c r="B7" i="6"/>
  <c r="O33" i="5"/>
  <c r="P33" i="5"/>
  <c r="O54" i="5"/>
  <c r="P54" i="5"/>
  <c r="O15" i="5"/>
  <c r="P15" i="5"/>
  <c r="O96" i="5"/>
  <c r="P96" i="5"/>
  <c r="O57" i="5"/>
  <c r="P57" i="5"/>
  <c r="O94" i="5"/>
  <c r="P94" i="5"/>
  <c r="O38" i="5"/>
  <c r="P38" i="5"/>
  <c r="O58" i="5"/>
  <c r="P58" i="5"/>
  <c r="O59" i="5"/>
  <c r="P59" i="5"/>
  <c r="O80" i="5"/>
  <c r="P80" i="5"/>
  <c r="O82" i="5"/>
  <c r="P82" i="5"/>
  <c r="O23" i="5"/>
  <c r="P23" i="5"/>
  <c r="O83" i="5"/>
  <c r="P83" i="5"/>
  <c r="O64" i="5"/>
  <c r="P64" i="5"/>
  <c r="O25" i="5"/>
  <c r="P25" i="5"/>
  <c r="O85" i="5"/>
  <c r="P85" i="5"/>
  <c r="O86" i="5"/>
  <c r="P86" i="5"/>
  <c r="O47" i="5"/>
  <c r="P47" i="5"/>
  <c r="O88" i="5"/>
  <c r="P88" i="5"/>
  <c r="O108" i="5"/>
  <c r="P108" i="5"/>
  <c r="O148" i="5"/>
  <c r="P148" i="5"/>
  <c r="O29" i="5"/>
  <c r="P29" i="5"/>
  <c r="O90" i="5"/>
  <c r="P90" i="5"/>
  <c r="O31" i="5"/>
  <c r="P31" i="5"/>
  <c r="O52" i="5"/>
  <c r="P52" i="5"/>
  <c r="O92" i="5"/>
  <c r="P92" i="5"/>
  <c r="O112" i="5"/>
  <c r="P112" i="5"/>
  <c r="O152" i="5"/>
  <c r="P152" i="5"/>
  <c r="G53" i="5"/>
  <c r="O53" i="5"/>
  <c r="F34" i="5"/>
  <c r="O34" i="5"/>
  <c r="D134" i="5"/>
  <c r="D35" i="5"/>
  <c r="O35" i="5"/>
  <c r="D55" i="5"/>
  <c r="J55" i="5" s="1"/>
  <c r="O55" i="5"/>
  <c r="D75" i="5"/>
  <c r="J75" i="5" s="1"/>
  <c r="O75" i="5"/>
  <c r="F95" i="5"/>
  <c r="O95" i="5"/>
  <c r="D115" i="5"/>
  <c r="J115" i="5" s="1"/>
  <c r="O115" i="5"/>
  <c r="F135" i="5"/>
  <c r="O135" i="5"/>
  <c r="D16" i="5"/>
  <c r="J16" i="5" s="1"/>
  <c r="O16" i="5"/>
  <c r="D36" i="5"/>
  <c r="O36" i="5"/>
  <c r="D56" i="5"/>
  <c r="J56" i="5" s="1"/>
  <c r="O56" i="5"/>
  <c r="O76" i="5"/>
  <c r="O116" i="5"/>
  <c r="G136" i="5"/>
  <c r="O136" i="5"/>
  <c r="O93" i="5"/>
  <c r="E17" i="5"/>
  <c r="O17" i="5"/>
  <c r="D37" i="5"/>
  <c r="O37" i="5"/>
  <c r="O77" i="5"/>
  <c r="O97" i="5"/>
  <c r="D117" i="5"/>
  <c r="J117" i="5" s="1"/>
  <c r="O117" i="5"/>
  <c r="O137" i="5"/>
  <c r="O113" i="5"/>
  <c r="D18" i="5"/>
  <c r="J18" i="5" s="1"/>
  <c r="O18" i="5"/>
  <c r="O78" i="5"/>
  <c r="D98" i="5"/>
  <c r="O98" i="5"/>
  <c r="G118" i="5"/>
  <c r="O118" i="5"/>
  <c r="D138" i="5"/>
  <c r="J138" i="5" s="1"/>
  <c r="O138" i="5"/>
  <c r="G114" i="5"/>
  <c r="O114" i="5"/>
  <c r="D19" i="5"/>
  <c r="J19" i="5" s="1"/>
  <c r="O19" i="5"/>
  <c r="O39" i="5"/>
  <c r="E79" i="5"/>
  <c r="O79" i="5"/>
  <c r="O99" i="5"/>
  <c r="F119" i="5"/>
  <c r="O119" i="5"/>
  <c r="F139" i="5"/>
  <c r="O139" i="5"/>
  <c r="O153" i="5"/>
  <c r="D20" i="5"/>
  <c r="J20" i="5" s="1"/>
  <c r="O20" i="5"/>
  <c r="H60" i="5"/>
  <c r="K60" i="5" s="1"/>
  <c r="O60" i="5"/>
  <c r="O120" i="5"/>
  <c r="D140" i="5"/>
  <c r="J140" i="5" s="1"/>
  <c r="O140" i="5"/>
  <c r="H21" i="5"/>
  <c r="L21" i="5" s="1"/>
  <c r="O21" i="5"/>
  <c r="D61" i="5"/>
  <c r="J61" i="5" s="1"/>
  <c r="O61" i="5"/>
  <c r="O81" i="5"/>
  <c r="F121" i="5"/>
  <c r="O121" i="5"/>
  <c r="D141" i="5"/>
  <c r="J141" i="5" s="1"/>
  <c r="O141" i="5"/>
  <c r="G22" i="5"/>
  <c r="O22" i="5"/>
  <c r="D42" i="5"/>
  <c r="G62" i="5"/>
  <c r="O62" i="5"/>
  <c r="G122" i="5"/>
  <c r="O122" i="5"/>
  <c r="D142" i="5"/>
  <c r="J142" i="5" s="1"/>
  <c r="O142" i="5"/>
  <c r="D43" i="5"/>
  <c r="F63" i="5"/>
  <c r="O63" i="5"/>
  <c r="F123" i="5"/>
  <c r="O123" i="5"/>
  <c r="F143" i="5"/>
  <c r="O143" i="5"/>
  <c r="D24" i="5"/>
  <c r="J24" i="5" s="1"/>
  <c r="O24" i="5"/>
  <c r="D84" i="5"/>
  <c r="J84" i="5" s="1"/>
  <c r="O84" i="5"/>
  <c r="G124" i="5"/>
  <c r="O124" i="5"/>
  <c r="D144" i="5"/>
  <c r="J144" i="5" s="1"/>
  <c r="O144" i="5"/>
  <c r="E45" i="5"/>
  <c r="O45" i="5"/>
  <c r="D65" i="5"/>
  <c r="O65" i="5"/>
  <c r="O105" i="5"/>
  <c r="D125" i="5"/>
  <c r="O125" i="5"/>
  <c r="D145" i="5"/>
  <c r="J145" i="5" s="1"/>
  <c r="O145" i="5"/>
  <c r="D5" i="5"/>
  <c r="O5" i="5"/>
  <c r="G26" i="5"/>
  <c r="O26" i="5"/>
  <c r="D46" i="5"/>
  <c r="J46" i="5" s="1"/>
  <c r="O46" i="5"/>
  <c r="F66" i="5"/>
  <c r="O66" i="5"/>
  <c r="D106" i="5"/>
  <c r="J106" i="5" s="1"/>
  <c r="O106" i="5"/>
  <c r="O126" i="5"/>
  <c r="D146" i="5"/>
  <c r="J146" i="5" s="1"/>
  <c r="O146" i="5"/>
  <c r="D6" i="5"/>
  <c r="O6" i="5"/>
  <c r="F27" i="5"/>
  <c r="O27" i="5"/>
  <c r="D67" i="5"/>
  <c r="O67" i="5"/>
  <c r="F87" i="5"/>
  <c r="O87" i="5"/>
  <c r="F107" i="5"/>
  <c r="O107" i="5"/>
  <c r="F127" i="5"/>
  <c r="O127" i="5"/>
  <c r="F147" i="5"/>
  <c r="O147" i="5"/>
  <c r="E28" i="5"/>
  <c r="O28" i="5"/>
  <c r="E48" i="5"/>
  <c r="O48" i="5"/>
  <c r="O68" i="5"/>
  <c r="D128" i="5"/>
  <c r="O128" i="5"/>
  <c r="E49" i="5"/>
  <c r="O49" i="5"/>
  <c r="F69" i="5"/>
  <c r="O69" i="5"/>
  <c r="E89" i="5"/>
  <c r="O89" i="5"/>
  <c r="O109" i="5"/>
  <c r="O129" i="5"/>
  <c r="O149" i="5"/>
  <c r="D11" i="5"/>
  <c r="E30" i="5"/>
  <c r="O30" i="5"/>
  <c r="F50" i="5"/>
  <c r="O50" i="5"/>
  <c r="D110" i="5"/>
  <c r="J110" i="5" s="1"/>
  <c r="O110" i="5"/>
  <c r="D150" i="5"/>
  <c r="J150" i="5" s="1"/>
  <c r="O150" i="5"/>
  <c r="D7" i="5"/>
  <c r="O7" i="5"/>
  <c r="D10" i="5"/>
  <c r="D51" i="5"/>
  <c r="J51" i="5" s="1"/>
  <c r="O51" i="5"/>
  <c r="D91" i="5"/>
  <c r="J91" i="5" s="1"/>
  <c r="O91" i="5"/>
  <c r="F111" i="5"/>
  <c r="O111" i="5"/>
  <c r="D131" i="5"/>
  <c r="D151" i="5"/>
  <c r="J151" i="5" s="1"/>
  <c r="O151" i="5"/>
  <c r="H32" i="5"/>
  <c r="L32" i="5" s="1"/>
  <c r="O32" i="5"/>
  <c r="D4" i="5"/>
  <c r="P1166" i="4"/>
  <c r="S1166" i="4"/>
  <c r="P58" i="4"/>
  <c r="S58" i="4"/>
  <c r="K1166" i="4"/>
  <c r="Q1166" i="4"/>
  <c r="J1166" i="4"/>
  <c r="K58" i="4"/>
  <c r="Q58" i="4"/>
  <c r="J58" i="4"/>
  <c r="D13" i="5"/>
  <c r="O4" i="5"/>
  <c r="BA88" i="13"/>
  <c r="CM84" i="13"/>
  <c r="CO84" i="13" s="1"/>
  <c r="AH88" i="13"/>
  <c r="AJ88" i="13" s="1"/>
  <c r="BO85" i="13"/>
  <c r="BQ85" i="13"/>
  <c r="F60" i="13"/>
  <c r="P4" i="5"/>
  <c r="E124" i="5"/>
  <c r="E153" i="5"/>
  <c r="E152" i="5"/>
  <c r="E151" i="5"/>
  <c r="E150" i="5"/>
  <c r="E149" i="5"/>
  <c r="E148" i="5"/>
  <c r="E147" i="5"/>
  <c r="E144" i="5"/>
  <c r="E84" i="5"/>
  <c r="E24" i="5"/>
  <c r="E143" i="5"/>
  <c r="E123" i="5"/>
  <c r="E83" i="5"/>
  <c r="E63" i="5"/>
  <c r="E23" i="5"/>
  <c r="E142" i="5"/>
  <c r="E122" i="5"/>
  <c r="E82" i="5"/>
  <c r="E62" i="5"/>
  <c r="E22" i="5"/>
  <c r="E141" i="5"/>
  <c r="E121" i="5"/>
  <c r="E81" i="5"/>
  <c r="E61" i="5"/>
  <c r="E21" i="5"/>
  <c r="E140" i="5"/>
  <c r="E120" i="5"/>
  <c r="E80" i="5"/>
  <c r="E60" i="5"/>
  <c r="E20" i="5"/>
  <c r="E139" i="5"/>
  <c r="E119" i="5"/>
  <c r="E99" i="5"/>
  <c r="E59" i="5"/>
  <c r="E19" i="5"/>
  <c r="E138" i="5"/>
  <c r="E118" i="5"/>
  <c r="E98" i="5"/>
  <c r="E78" i="5"/>
  <c r="E58" i="5"/>
  <c r="E18" i="5"/>
  <c r="E137" i="5"/>
  <c r="E117" i="5"/>
  <c r="E97" i="5"/>
  <c r="E77" i="5"/>
  <c r="E57" i="5"/>
  <c r="E37" i="5"/>
  <c r="E136" i="5"/>
  <c r="E116" i="5"/>
  <c r="E96" i="5"/>
  <c r="E76" i="5"/>
  <c r="E56" i="5"/>
  <c r="E36" i="5"/>
  <c r="E16" i="5"/>
  <c r="E135" i="5"/>
  <c r="E115" i="5"/>
  <c r="E95" i="5"/>
  <c r="E75" i="5"/>
  <c r="E55" i="5"/>
  <c r="E35" i="5"/>
  <c r="E15" i="5"/>
  <c r="E114" i="5"/>
  <c r="E94" i="5"/>
  <c r="E54" i="5"/>
  <c r="E34" i="5"/>
  <c r="E113" i="5"/>
  <c r="E93" i="5"/>
  <c r="E53" i="5"/>
  <c r="E33" i="5"/>
  <c r="E112" i="5"/>
  <c r="E92" i="5"/>
  <c r="E52" i="5"/>
  <c r="E32" i="5"/>
  <c r="E111" i="5"/>
  <c r="E91" i="5"/>
  <c r="E51" i="5"/>
  <c r="E31" i="5"/>
  <c r="E110" i="5"/>
  <c r="E90" i="5"/>
  <c r="E50" i="5"/>
  <c r="E129" i="5"/>
  <c r="E109" i="5"/>
  <c r="E69" i="5"/>
  <c r="E29" i="5"/>
  <c r="E128" i="5"/>
  <c r="E108" i="5"/>
  <c r="E88" i="5"/>
  <c r="E68" i="5"/>
  <c r="E127" i="5"/>
  <c r="E107" i="5"/>
  <c r="E87" i="5"/>
  <c r="E67" i="5"/>
  <c r="E47" i="5"/>
  <c r="E27" i="5"/>
  <c r="E7" i="5"/>
  <c r="E146" i="5"/>
  <c r="E126" i="5"/>
  <c r="E106" i="5"/>
  <c r="E86" i="5"/>
  <c r="E66" i="5"/>
  <c r="E46" i="5"/>
  <c r="E26" i="5"/>
  <c r="E6" i="5"/>
  <c r="E145" i="5"/>
  <c r="E125" i="5"/>
  <c r="E105" i="5"/>
  <c r="E85" i="5"/>
  <c r="E65" i="5"/>
  <c r="E25" i="5"/>
  <c r="E5" i="5"/>
  <c r="E4" i="5"/>
  <c r="D153" i="5"/>
  <c r="J153" i="5" s="1"/>
  <c r="D152" i="5"/>
  <c r="J152" i="5" s="1"/>
  <c r="D149" i="5"/>
  <c r="J149" i="5" s="1"/>
  <c r="D133" i="5"/>
  <c r="D130" i="5"/>
  <c r="D129" i="5"/>
  <c r="D124" i="5"/>
  <c r="D104" i="5"/>
  <c r="D64" i="5"/>
  <c r="D44" i="5"/>
  <c r="D143" i="5"/>
  <c r="J143" i="5" s="1"/>
  <c r="D123" i="5"/>
  <c r="J123" i="5" s="1"/>
  <c r="D103" i="5"/>
  <c r="D83" i="5"/>
  <c r="J83" i="5" s="1"/>
  <c r="D63" i="5"/>
  <c r="J63" i="5" s="1"/>
  <c r="D23" i="5"/>
  <c r="J23" i="5" s="1"/>
  <c r="D122" i="5"/>
  <c r="J122" i="5" s="1"/>
  <c r="D102" i="5"/>
  <c r="D82" i="5"/>
  <c r="J82" i="5" s="1"/>
  <c r="D62" i="5"/>
  <c r="J62" i="5" s="1"/>
  <c r="D22" i="5"/>
  <c r="J22" i="5" s="1"/>
  <c r="D121" i="5"/>
  <c r="J121" i="5" s="1"/>
  <c r="D101" i="5"/>
  <c r="D81" i="5"/>
  <c r="J81" i="5" s="1"/>
  <c r="D41" i="5"/>
  <c r="D21" i="5"/>
  <c r="J21" i="5" s="1"/>
  <c r="D120" i="5"/>
  <c r="J120" i="5" s="1"/>
  <c r="D100" i="5"/>
  <c r="D80" i="5"/>
  <c r="J80" i="5" s="1"/>
  <c r="D60" i="5"/>
  <c r="J60" i="5" s="1"/>
  <c r="D40" i="5"/>
  <c r="D139" i="5"/>
  <c r="J139" i="5" s="1"/>
  <c r="D119" i="5"/>
  <c r="J119" i="5" s="1"/>
  <c r="D99" i="5"/>
  <c r="D79" i="5"/>
  <c r="J79" i="5" s="1"/>
  <c r="D59" i="5"/>
  <c r="J59" i="5" s="1"/>
  <c r="D39" i="5"/>
  <c r="D118" i="5"/>
  <c r="J118" i="5" s="1"/>
  <c r="D78" i="5"/>
  <c r="J78" i="5" s="1"/>
  <c r="D58" i="5"/>
  <c r="J58" i="5" s="1"/>
  <c r="D38" i="5"/>
  <c r="D137" i="5"/>
  <c r="J137" i="5" s="1"/>
  <c r="D97" i="5"/>
  <c r="D77" i="5"/>
  <c r="J77" i="5" s="1"/>
  <c r="D57" i="5"/>
  <c r="J57" i="5" s="1"/>
  <c r="D17" i="5"/>
  <c r="J17" i="5" s="1"/>
  <c r="D136" i="5"/>
  <c r="J136" i="5" s="1"/>
  <c r="D116" i="5"/>
  <c r="J116" i="5" s="1"/>
  <c r="D96" i="5"/>
  <c r="D76" i="5"/>
  <c r="J76" i="5" s="1"/>
  <c r="D135" i="5"/>
  <c r="J135" i="5" s="1"/>
  <c r="D95" i="5"/>
  <c r="D15" i="5"/>
  <c r="J15" i="5" s="1"/>
  <c r="D114" i="5"/>
  <c r="J114" i="5" s="1"/>
  <c r="D94" i="5"/>
  <c r="D74" i="5"/>
  <c r="D54" i="5"/>
  <c r="J54" i="5" s="1"/>
  <c r="D34" i="5"/>
  <c r="D14" i="5"/>
  <c r="D113" i="5"/>
  <c r="J113" i="5" s="1"/>
  <c r="D93" i="5"/>
  <c r="J93" i="5" s="1"/>
  <c r="D73" i="5"/>
  <c r="D53" i="5"/>
  <c r="J53" i="5" s="1"/>
  <c r="D33" i="5"/>
  <c r="J33" i="5" s="1"/>
  <c r="D132" i="5"/>
  <c r="D112" i="5"/>
  <c r="J112" i="5" s="1"/>
  <c r="D92" i="5"/>
  <c r="J92" i="5" s="1"/>
  <c r="D72" i="5"/>
  <c r="D52" i="5"/>
  <c r="J52" i="5" s="1"/>
  <c r="D32" i="5"/>
  <c r="J32" i="5" s="1"/>
  <c r="D12" i="5"/>
  <c r="D111" i="5"/>
  <c r="J111" i="5" s="1"/>
  <c r="D71" i="5"/>
  <c r="D31" i="5"/>
  <c r="J31" i="5" s="1"/>
  <c r="D90" i="5"/>
  <c r="J90" i="5" s="1"/>
  <c r="D70" i="5"/>
  <c r="D50" i="5"/>
  <c r="J50" i="5" s="1"/>
  <c r="D30" i="5"/>
  <c r="J30" i="5" s="1"/>
  <c r="D109" i="5"/>
  <c r="J109" i="5" s="1"/>
  <c r="D89" i="5"/>
  <c r="J89" i="5" s="1"/>
  <c r="D69" i="5"/>
  <c r="D49" i="5"/>
  <c r="J49" i="5" s="1"/>
  <c r="D29" i="5"/>
  <c r="J29" i="5" s="1"/>
  <c r="D9" i="5"/>
  <c r="D148" i="5"/>
  <c r="J148" i="5" s="1"/>
  <c r="D108" i="5"/>
  <c r="J108" i="5" s="1"/>
  <c r="D88" i="5"/>
  <c r="J88" i="5" s="1"/>
  <c r="D68" i="5"/>
  <c r="D48" i="5"/>
  <c r="J48" i="5" s="1"/>
  <c r="D28" i="5"/>
  <c r="J28" i="5" s="1"/>
  <c r="D8" i="5"/>
  <c r="D147" i="5"/>
  <c r="J147" i="5" s="1"/>
  <c r="D127" i="5"/>
  <c r="D107" i="5"/>
  <c r="J107" i="5" s="1"/>
  <c r="D87" i="5"/>
  <c r="J87" i="5" s="1"/>
  <c r="D47" i="5"/>
  <c r="J47" i="5" s="1"/>
  <c r="D27" i="5"/>
  <c r="J27" i="5" s="1"/>
  <c r="D126" i="5"/>
  <c r="D86" i="5"/>
  <c r="J86" i="5" s="1"/>
  <c r="D66" i="5"/>
  <c r="D26" i="5"/>
  <c r="J26" i="5" s="1"/>
  <c r="D105" i="5"/>
  <c r="J105" i="5" s="1"/>
  <c r="D85" i="5"/>
  <c r="J85" i="5" s="1"/>
  <c r="D45" i="5"/>
  <c r="J45" i="5" s="1"/>
  <c r="D25" i="5"/>
  <c r="J25" i="5" s="1"/>
  <c r="H146" i="5"/>
  <c r="L146" i="5" s="1"/>
  <c r="H145" i="5"/>
  <c r="L145" i="5" s="1"/>
  <c r="F93" i="5"/>
  <c r="G108" i="5"/>
  <c r="H108" i="5"/>
  <c r="Q108" i="5" s="1"/>
  <c r="H87" i="5"/>
  <c r="L87" i="5" s="1"/>
  <c r="F88" i="5"/>
  <c r="F5" i="5"/>
  <c r="G93" i="5"/>
  <c r="H93" i="5"/>
  <c r="L93" i="5" s="1"/>
  <c r="H48" i="5"/>
  <c r="H27" i="5"/>
  <c r="H63" i="5"/>
  <c r="H118" i="5"/>
  <c r="H111" i="5"/>
  <c r="L111" i="5" s="1"/>
  <c r="F112" i="5"/>
  <c r="G95" i="5"/>
  <c r="H122" i="5"/>
  <c r="L122" i="5" s="1"/>
  <c r="H136" i="5"/>
  <c r="L136" i="5" s="1"/>
  <c r="H30" i="5"/>
  <c r="Q30" i="5" s="1"/>
  <c r="F58" i="5"/>
  <c r="F98" i="5"/>
  <c r="H58" i="5"/>
  <c r="G7" i="5"/>
  <c r="G45" i="5"/>
  <c r="H114" i="5"/>
  <c r="L114" i="5" s="1"/>
  <c r="H81" i="5"/>
  <c r="L81" i="5" s="1"/>
  <c r="G63" i="5"/>
  <c r="G48" i="5"/>
  <c r="H112" i="5"/>
  <c r="G15" i="5"/>
  <c r="G49" i="5"/>
  <c r="H142" i="5"/>
  <c r="L142" i="5" s="1"/>
  <c r="G17" i="5"/>
  <c r="H33" i="5"/>
  <c r="L33" i="5" s="1"/>
  <c r="H17" i="5"/>
  <c r="F54" i="5"/>
  <c r="F45" i="5"/>
  <c r="G81" i="5"/>
  <c r="G143" i="5"/>
  <c r="F23" i="5"/>
  <c r="F60" i="5"/>
  <c r="H143" i="5"/>
  <c r="L143" i="5" s="1"/>
  <c r="H45" i="5"/>
  <c r="F86" i="5"/>
  <c r="G94" i="5"/>
  <c r="H116" i="5"/>
  <c r="L116" i="5" s="1"/>
  <c r="F7" i="5"/>
  <c r="G29" i="5"/>
  <c r="H50" i="5"/>
  <c r="L50" i="5" s="1"/>
  <c r="F15" i="5"/>
  <c r="F77" i="5"/>
  <c r="G87" i="5"/>
  <c r="G92" i="5"/>
  <c r="H15" i="5"/>
  <c r="L15" i="5" s="1"/>
  <c r="F96" i="5"/>
  <c r="F118" i="5"/>
  <c r="F109" i="5"/>
  <c r="F105" i="5"/>
  <c r="G109" i="5"/>
  <c r="H135" i="5"/>
  <c r="L135" i="5" s="1"/>
  <c r="H31" i="5"/>
  <c r="H78" i="5"/>
  <c r="L78" i="5" s="1"/>
  <c r="G97" i="5"/>
  <c r="H105" i="5"/>
  <c r="L105" i="5" s="1"/>
  <c r="H109" i="5"/>
  <c r="L109" i="5" s="1"/>
  <c r="G27" i="5"/>
  <c r="F48" i="5"/>
  <c r="F136" i="5"/>
  <c r="F125" i="5"/>
  <c r="G65" i="5"/>
  <c r="G75" i="5"/>
  <c r="F115" i="5"/>
  <c r="H115" i="5"/>
  <c r="L115" i="5" s="1"/>
  <c r="H19" i="5"/>
  <c r="L19" i="5" s="1"/>
  <c r="G19" i="5"/>
  <c r="F19" i="5"/>
  <c r="H55" i="5"/>
  <c r="L55" i="5" s="1"/>
  <c r="G55" i="5"/>
  <c r="G46" i="5"/>
  <c r="F46" i="5"/>
  <c r="H62" i="5"/>
  <c r="L62" i="5" s="1"/>
  <c r="F144" i="5"/>
  <c r="F152" i="5"/>
  <c r="G144" i="5"/>
  <c r="G152" i="5"/>
  <c r="G25" i="5"/>
  <c r="G107" i="5"/>
  <c r="H144" i="5"/>
  <c r="H152" i="5"/>
  <c r="L152" i="5" s="1"/>
  <c r="H25" i="5"/>
  <c r="H52" i="5"/>
  <c r="H107" i="5"/>
  <c r="L107" i="5" s="1"/>
  <c r="F142" i="5"/>
  <c r="F148" i="5"/>
  <c r="F94" i="5"/>
  <c r="H137" i="5"/>
  <c r="L137" i="5" s="1"/>
  <c r="G142" i="5"/>
  <c r="G4" i="5"/>
  <c r="F82" i="5"/>
  <c r="G86" i="5"/>
  <c r="G88" i="5"/>
  <c r="F128" i="5"/>
  <c r="H86" i="5"/>
  <c r="L86" i="5" s="1"/>
  <c r="H88" i="5"/>
  <c r="F116" i="5"/>
  <c r="G119" i="5"/>
  <c r="G128" i="5"/>
  <c r="F149" i="5"/>
  <c r="F32" i="5"/>
  <c r="H113" i="5"/>
  <c r="L113" i="5" s="1"/>
  <c r="G116" i="5"/>
  <c r="G135" i="5"/>
  <c r="F145" i="5"/>
  <c r="G149" i="5"/>
  <c r="H149" i="5"/>
  <c r="L149" i="5" s="1"/>
  <c r="G23" i="5"/>
  <c r="H29" i="5"/>
  <c r="F57" i="5"/>
  <c r="F80" i="5"/>
  <c r="H123" i="5"/>
  <c r="L123" i="5" s="1"/>
  <c r="F129" i="5"/>
  <c r="H23" i="5"/>
  <c r="L23" i="5" s="1"/>
  <c r="F47" i="5"/>
  <c r="H57" i="5"/>
  <c r="L57" i="5" s="1"/>
  <c r="H47" i="5"/>
  <c r="L47" i="5" s="1"/>
  <c r="F146" i="5"/>
  <c r="F114" i="5"/>
  <c r="F150" i="5"/>
  <c r="G21" i="5"/>
  <c r="G77" i="5"/>
  <c r="F33" i="5"/>
  <c r="H77" i="5"/>
  <c r="L77" i="5" s="1"/>
  <c r="F81" i="5"/>
  <c r="H120" i="5"/>
  <c r="H7" i="5"/>
  <c r="H94" i="5"/>
  <c r="H95" i="5"/>
  <c r="L95" i="5" s="1"/>
  <c r="H97" i="5"/>
  <c r="L97" i="5" s="1"/>
  <c r="H128" i="5"/>
  <c r="L128" i="5" s="1"/>
  <c r="H125" i="5"/>
  <c r="L125" i="5" s="1"/>
  <c r="H4" i="5"/>
  <c r="H34" i="5"/>
  <c r="H129" i="5"/>
  <c r="L129" i="5" s="1"/>
  <c r="H16" i="5"/>
  <c r="F16" i="5"/>
  <c r="G16" i="5"/>
  <c r="F6" i="5"/>
  <c r="H6" i="5"/>
  <c r="F36" i="5"/>
  <c r="H36" i="5"/>
  <c r="G36" i="5"/>
  <c r="G6" i="5"/>
  <c r="F67" i="5"/>
  <c r="H67" i="5"/>
  <c r="L67" i="5" s="1"/>
  <c r="G67" i="5"/>
  <c r="F18" i="5"/>
  <c r="G18" i="5"/>
  <c r="H18" i="5"/>
  <c r="H84" i="5"/>
  <c r="L84" i="5" s="1"/>
  <c r="G84" i="5"/>
  <c r="F84" i="5"/>
  <c r="G106" i="5"/>
  <c r="F106" i="5"/>
  <c r="H106" i="5"/>
  <c r="L106" i="5" s="1"/>
  <c r="F22" i="5"/>
  <c r="F26" i="5"/>
  <c r="G30" i="5"/>
  <c r="F30" i="5"/>
  <c r="G34" i="5"/>
  <c r="H53" i="5"/>
  <c r="L53" i="5" s="1"/>
  <c r="F53" i="5"/>
  <c r="F79" i="5"/>
  <c r="H79" i="5"/>
  <c r="L79" i="5" s="1"/>
  <c r="G79" i="5"/>
  <c r="H20" i="5"/>
  <c r="F20" i="5"/>
  <c r="H24" i="5"/>
  <c r="F24" i="5"/>
  <c r="H28" i="5"/>
  <c r="F28" i="5"/>
  <c r="H37" i="5"/>
  <c r="G37" i="5"/>
  <c r="F37" i="5"/>
  <c r="H121" i="5"/>
  <c r="L121" i="5" s="1"/>
  <c r="H61" i="5"/>
  <c r="L61" i="5" s="1"/>
  <c r="G61" i="5"/>
  <c r="F61" i="5"/>
  <c r="G5" i="5"/>
  <c r="G20" i="5"/>
  <c r="H22" i="5"/>
  <c r="G24" i="5"/>
  <c r="H26" i="5"/>
  <c r="G28" i="5"/>
  <c r="G121" i="5"/>
  <c r="H5" i="5"/>
  <c r="F51" i="5"/>
  <c r="G56" i="5"/>
  <c r="F56" i="5"/>
  <c r="H35" i="5"/>
  <c r="G35" i="5"/>
  <c r="F35" i="5"/>
  <c r="H56" i="5"/>
  <c r="L56" i="5" s="1"/>
  <c r="H110" i="5"/>
  <c r="L110" i="5" s="1"/>
  <c r="G110" i="5"/>
  <c r="F110" i="5"/>
  <c r="G51" i="5"/>
  <c r="F59" i="5"/>
  <c r="H59" i="5"/>
  <c r="L59" i="5" s="1"/>
  <c r="F4" i="5"/>
  <c r="F31" i="5"/>
  <c r="H51" i="5"/>
  <c r="L51" i="5" s="1"/>
  <c r="F91" i="5"/>
  <c r="G91" i="5"/>
  <c r="H91" i="5"/>
  <c r="L91" i="5" s="1"/>
  <c r="F17" i="5"/>
  <c r="F21" i="5"/>
  <c r="F25" i="5"/>
  <c r="F29" i="5"/>
  <c r="G31" i="5"/>
  <c r="H49" i="5"/>
  <c r="L49" i="5" s="1"/>
  <c r="F49" i="5"/>
  <c r="G59" i="5"/>
  <c r="H89" i="5"/>
  <c r="L89" i="5" s="1"/>
  <c r="G89" i="5"/>
  <c r="H96" i="5"/>
  <c r="L96" i="5" s="1"/>
  <c r="G96" i="5"/>
  <c r="G98" i="5"/>
  <c r="H66" i="5"/>
  <c r="L66" i="5" s="1"/>
  <c r="G69" i="5"/>
  <c r="F89" i="5"/>
  <c r="H69" i="5"/>
  <c r="L69" i="5" s="1"/>
  <c r="H98" i="5"/>
  <c r="L98" i="5" s="1"/>
  <c r="H124" i="5"/>
  <c r="F124" i="5"/>
  <c r="G138" i="5"/>
  <c r="H141" i="5"/>
  <c r="L141" i="5" s="1"/>
  <c r="G141" i="5"/>
  <c r="F141" i="5"/>
  <c r="H117" i="5"/>
  <c r="L117" i="5" s="1"/>
  <c r="F117" i="5"/>
  <c r="G33" i="5"/>
  <c r="G47" i="5"/>
  <c r="G50" i="5"/>
  <c r="G66" i="5"/>
  <c r="H68" i="5"/>
  <c r="L68" i="5" s="1"/>
  <c r="G68" i="5"/>
  <c r="F76" i="5"/>
  <c r="F83" i="5"/>
  <c r="F138" i="5"/>
  <c r="F55" i="5"/>
  <c r="G58" i="5"/>
  <c r="G76" i="5"/>
  <c r="G117" i="5"/>
  <c r="H138" i="5"/>
  <c r="L138" i="5" s="1"/>
  <c r="H76" i="5"/>
  <c r="L76" i="5" s="1"/>
  <c r="F78" i="5"/>
  <c r="G83" i="5"/>
  <c r="F90" i="5"/>
  <c r="F68" i="5"/>
  <c r="G78" i="5"/>
  <c r="H83" i="5"/>
  <c r="L83" i="5" s="1"/>
  <c r="H80" i="5"/>
  <c r="L80" i="5" s="1"/>
  <c r="F85" i="5"/>
  <c r="F99" i="5"/>
  <c r="G99" i="5"/>
  <c r="F151" i="5"/>
  <c r="H151" i="5"/>
  <c r="L151" i="5" s="1"/>
  <c r="G151" i="5"/>
  <c r="G32" i="5"/>
  <c r="H46" i="5"/>
  <c r="L46" i="5" s="1"/>
  <c r="F52" i="5"/>
  <c r="G60" i="5"/>
  <c r="G85" i="5"/>
  <c r="G90" i="5"/>
  <c r="H99" i="5"/>
  <c r="L99" i="5" s="1"/>
  <c r="G52" i="5"/>
  <c r="F65" i="5"/>
  <c r="F75" i="5"/>
  <c r="H75" i="5"/>
  <c r="L75" i="5" s="1"/>
  <c r="H85" i="5"/>
  <c r="L85" i="5" s="1"/>
  <c r="H90" i="5"/>
  <c r="L90" i="5" s="1"/>
  <c r="F92" i="5"/>
  <c r="G145" i="5"/>
  <c r="H54" i="5"/>
  <c r="L54" i="5" s="1"/>
  <c r="G54" i="5"/>
  <c r="G57" i="5"/>
  <c r="F62" i="5"/>
  <c r="H65" i="5"/>
  <c r="L65" i="5" s="1"/>
  <c r="G80" i="5"/>
  <c r="H82" i="5"/>
  <c r="L82" i="5" s="1"/>
  <c r="G82" i="5"/>
  <c r="H92" i="5"/>
  <c r="L92" i="5" s="1"/>
  <c r="G148" i="5"/>
  <c r="F113" i="5"/>
  <c r="F120" i="5"/>
  <c r="G127" i="5"/>
  <c r="H148" i="5"/>
  <c r="L148" i="5" s="1"/>
  <c r="G113" i="5"/>
  <c r="G120" i="5"/>
  <c r="H127" i="5"/>
  <c r="L127" i="5" s="1"/>
  <c r="F137" i="5"/>
  <c r="G123" i="5"/>
  <c r="G137" i="5"/>
  <c r="F126" i="5"/>
  <c r="F140" i="5"/>
  <c r="G147" i="5"/>
  <c r="G150" i="5"/>
  <c r="F153" i="5"/>
  <c r="G126" i="5"/>
  <c r="G140" i="5"/>
  <c r="H147" i="5"/>
  <c r="L147" i="5" s="1"/>
  <c r="H150" i="5"/>
  <c r="L150" i="5" s="1"/>
  <c r="G153" i="5"/>
  <c r="G105" i="5"/>
  <c r="G112" i="5"/>
  <c r="H119" i="5"/>
  <c r="L119" i="5" s="1"/>
  <c r="H126" i="5"/>
  <c r="L126" i="5" s="1"/>
  <c r="H140" i="5"/>
  <c r="L140" i="5" s="1"/>
  <c r="H153" i="5"/>
  <c r="L153" i="5" s="1"/>
  <c r="F122" i="5"/>
  <c r="F108" i="5"/>
  <c r="G115" i="5"/>
  <c r="G129" i="5"/>
  <c r="G139" i="5"/>
  <c r="G146" i="5"/>
  <c r="F97" i="5"/>
  <c r="G111" i="5"/>
  <c r="G125" i="5"/>
  <c r="H139" i="5"/>
  <c r="L139" i="5" s="1"/>
  <c r="H809" i="4" l="1"/>
  <c r="M809" i="4" s="1"/>
  <c r="BC88" i="13"/>
  <c r="G809" i="4" s="1"/>
  <c r="H448" i="4"/>
  <c r="M448" i="4" s="1"/>
  <c r="B5" i="10"/>
  <c r="N111" i="5"/>
  <c r="N145" i="5"/>
  <c r="J35" i="5"/>
  <c r="N123" i="5"/>
  <c r="E5" i="10"/>
  <c r="J37" i="5"/>
  <c r="Q21" i="5"/>
  <c r="K21" i="5"/>
  <c r="N143" i="5"/>
  <c r="N95" i="5"/>
  <c r="J67" i="5"/>
  <c r="N136" i="5"/>
  <c r="N26" i="5"/>
  <c r="N63" i="5"/>
  <c r="N69" i="5"/>
  <c r="N27" i="5"/>
  <c r="J125" i="5"/>
  <c r="N107" i="5"/>
  <c r="C6" i="6"/>
  <c r="N121" i="5"/>
  <c r="Q47" i="5"/>
  <c r="L94" i="5"/>
  <c r="L124" i="5"/>
  <c r="N60" i="5"/>
  <c r="Q4" i="5"/>
  <c r="C5" i="6"/>
  <c r="N58" i="5"/>
  <c r="N124" i="5"/>
  <c r="C8" i="6"/>
  <c r="G10" i="19" s="1"/>
  <c r="N22" i="5"/>
  <c r="C7" i="6"/>
  <c r="G9" i="19" s="1"/>
  <c r="N82" i="5"/>
  <c r="C4" i="6"/>
  <c r="G7" i="19" s="1"/>
  <c r="N105" i="5"/>
  <c r="Q32" i="5"/>
  <c r="Q146" i="5"/>
  <c r="N127" i="5"/>
  <c r="N98" i="5"/>
  <c r="N135" i="5"/>
  <c r="N66" i="5"/>
  <c r="N96" i="5"/>
  <c r="N54" i="5"/>
  <c r="N50" i="5"/>
  <c r="N147" i="5"/>
  <c r="N119" i="5"/>
  <c r="N139" i="5"/>
  <c r="N62" i="5"/>
  <c r="J36" i="5"/>
  <c r="N129" i="5"/>
  <c r="N5" i="5"/>
  <c r="J5" i="5"/>
  <c r="N148" i="5"/>
  <c r="N23" i="5"/>
  <c r="N57" i="5"/>
  <c r="N33" i="5"/>
  <c r="J98" i="5"/>
  <c r="J7" i="5"/>
  <c r="N122" i="5"/>
  <c r="N88" i="5"/>
  <c r="N47" i="5"/>
  <c r="I21" i="5"/>
  <c r="I60" i="5"/>
  <c r="Q60" i="5"/>
  <c r="L60" i="5"/>
  <c r="N34" i="5"/>
  <c r="J65" i="5"/>
  <c r="N146" i="5"/>
  <c r="N53" i="5"/>
  <c r="N112" i="5"/>
  <c r="N32" i="5"/>
  <c r="N118" i="5"/>
  <c r="N79" i="5"/>
  <c r="N99" i="5"/>
  <c r="N77" i="5"/>
  <c r="N109" i="5"/>
  <c r="N36" i="5"/>
  <c r="N68" i="5"/>
  <c r="K32" i="5"/>
  <c r="N80" i="5"/>
  <c r="J128" i="5"/>
  <c r="J6" i="5"/>
  <c r="N24" i="5"/>
  <c r="N115" i="5"/>
  <c r="I32" i="5"/>
  <c r="N37" i="5"/>
  <c r="N114" i="5"/>
  <c r="N149" i="5"/>
  <c r="N56" i="5"/>
  <c r="N30" i="5"/>
  <c r="N141" i="5"/>
  <c r="N87" i="5"/>
  <c r="N93" i="5"/>
  <c r="N151" i="5"/>
  <c r="N153" i="5"/>
  <c r="N150" i="5"/>
  <c r="N106" i="5"/>
  <c r="N86" i="5"/>
  <c r="N144" i="5"/>
  <c r="N125" i="5"/>
  <c r="N91" i="5"/>
  <c r="N51" i="5"/>
  <c r="N31" i="5"/>
  <c r="N52" i="5"/>
  <c r="N78" i="5"/>
  <c r="N19" i="5"/>
  <c r="N7" i="5"/>
  <c r="N90" i="5"/>
  <c r="N83" i="5"/>
  <c r="N117" i="5"/>
  <c r="N113" i="5"/>
  <c r="N46" i="5"/>
  <c r="N84" i="5"/>
  <c r="N17" i="5"/>
  <c r="N61" i="5"/>
  <c r="N6" i="5"/>
  <c r="N142" i="5"/>
  <c r="N75" i="5"/>
  <c r="N94" i="5"/>
  <c r="N89" i="5"/>
  <c r="N116" i="5"/>
  <c r="N49" i="5"/>
  <c r="N35" i="5"/>
  <c r="N65" i="5"/>
  <c r="N15" i="5"/>
  <c r="N108" i="5"/>
  <c r="N140" i="5"/>
  <c r="N120" i="5"/>
  <c r="N126" i="5"/>
  <c r="N138" i="5"/>
  <c r="N76" i="5"/>
  <c r="N59" i="5"/>
  <c r="N48" i="5"/>
  <c r="N128" i="5"/>
  <c r="N92" i="5"/>
  <c r="N16" i="5"/>
  <c r="N55" i="5"/>
  <c r="N81" i="5"/>
  <c r="N45" i="5"/>
  <c r="N18" i="5"/>
  <c r="N21" i="5"/>
  <c r="N110" i="5"/>
  <c r="N28" i="5"/>
  <c r="N137" i="5"/>
  <c r="N97" i="5"/>
  <c r="N29" i="5"/>
  <c r="N67" i="5"/>
  <c r="N25" i="5"/>
  <c r="N85" i="5"/>
  <c r="N20" i="5"/>
  <c r="N152" i="5"/>
  <c r="Q77" i="5"/>
  <c r="K88" i="5"/>
  <c r="L88" i="5"/>
  <c r="K28" i="5"/>
  <c r="L28" i="5"/>
  <c r="K16" i="5"/>
  <c r="L16" i="5"/>
  <c r="K144" i="5"/>
  <c r="L144" i="5"/>
  <c r="K52" i="5"/>
  <c r="L52" i="5"/>
  <c r="K48" i="5"/>
  <c r="L48" i="5"/>
  <c r="K25" i="5"/>
  <c r="L25" i="5"/>
  <c r="K27" i="5"/>
  <c r="L27" i="5"/>
  <c r="K26" i="5"/>
  <c r="L26" i="5"/>
  <c r="K29" i="5"/>
  <c r="L29" i="5"/>
  <c r="K18" i="5"/>
  <c r="L18" i="5"/>
  <c r="K34" i="5"/>
  <c r="L34" i="5"/>
  <c r="Q5" i="5"/>
  <c r="L5" i="5"/>
  <c r="K22" i="5"/>
  <c r="L22" i="5"/>
  <c r="K24" i="5"/>
  <c r="L24" i="5"/>
  <c r="K31" i="5"/>
  <c r="L31" i="5"/>
  <c r="K17" i="5"/>
  <c r="L17" i="5"/>
  <c r="K58" i="5"/>
  <c r="L58" i="5"/>
  <c r="K63" i="5"/>
  <c r="L63" i="5"/>
  <c r="K20" i="5"/>
  <c r="L20" i="5"/>
  <c r="K30" i="5"/>
  <c r="L30" i="5"/>
  <c r="K108" i="5"/>
  <c r="L108" i="5"/>
  <c r="I7" i="5"/>
  <c r="L7" i="5"/>
  <c r="Q52" i="5"/>
  <c r="K36" i="5"/>
  <c r="L36" i="5"/>
  <c r="K45" i="5"/>
  <c r="L45" i="5"/>
  <c r="K112" i="5"/>
  <c r="L112" i="5"/>
  <c r="K120" i="5"/>
  <c r="L120" i="5"/>
  <c r="K35" i="5"/>
  <c r="L35" i="5"/>
  <c r="Q114" i="5"/>
  <c r="Q6" i="5"/>
  <c r="L6" i="5"/>
  <c r="K37" i="5"/>
  <c r="L37" i="5"/>
  <c r="K118" i="5"/>
  <c r="L118" i="5"/>
  <c r="I75" i="5"/>
  <c r="K75" i="5"/>
  <c r="I124" i="5"/>
  <c r="K124" i="5"/>
  <c r="Q53" i="5"/>
  <c r="K53" i="5"/>
  <c r="I15" i="5"/>
  <c r="K15" i="5"/>
  <c r="K143" i="5"/>
  <c r="K145" i="5"/>
  <c r="I59" i="5"/>
  <c r="K59" i="5"/>
  <c r="I57" i="5"/>
  <c r="K57" i="5"/>
  <c r="K146" i="5"/>
  <c r="I92" i="5"/>
  <c r="K92" i="5"/>
  <c r="I80" i="5"/>
  <c r="K80" i="5"/>
  <c r="Q98" i="5"/>
  <c r="K98" i="5"/>
  <c r="Q49" i="5"/>
  <c r="K49" i="5"/>
  <c r="K77" i="5"/>
  <c r="K111" i="5"/>
  <c r="I83" i="5"/>
  <c r="K83" i="5"/>
  <c r="Q69" i="5"/>
  <c r="K69" i="5"/>
  <c r="Q84" i="5"/>
  <c r="K84" i="5"/>
  <c r="K81" i="5"/>
  <c r="I139" i="5"/>
  <c r="K139" i="5"/>
  <c r="Q23" i="5"/>
  <c r="K23" i="5"/>
  <c r="K107" i="5"/>
  <c r="I153" i="5"/>
  <c r="K153" i="5"/>
  <c r="I140" i="5"/>
  <c r="K140" i="5"/>
  <c r="Q82" i="5"/>
  <c r="K82" i="5"/>
  <c r="I126" i="5"/>
  <c r="K126" i="5"/>
  <c r="I68" i="5"/>
  <c r="K68" i="5"/>
  <c r="K55" i="5"/>
  <c r="K122" i="5"/>
  <c r="Q119" i="5"/>
  <c r="K119" i="5"/>
  <c r="I65" i="5"/>
  <c r="K65" i="5"/>
  <c r="I99" i="5"/>
  <c r="K99" i="5"/>
  <c r="K114" i="5"/>
  <c r="I110" i="5"/>
  <c r="K110" i="5"/>
  <c r="K123" i="5"/>
  <c r="K86" i="5"/>
  <c r="K152" i="5"/>
  <c r="I109" i="5"/>
  <c r="K109" i="5"/>
  <c r="Q66" i="5"/>
  <c r="K66" i="5"/>
  <c r="Q91" i="5"/>
  <c r="K91" i="5"/>
  <c r="Q56" i="5"/>
  <c r="K56" i="5"/>
  <c r="K105" i="5"/>
  <c r="K50" i="5"/>
  <c r="Q150" i="5"/>
  <c r="K150" i="5"/>
  <c r="I129" i="5"/>
  <c r="K129" i="5"/>
  <c r="I19" i="5"/>
  <c r="K19" i="5"/>
  <c r="K93" i="5"/>
  <c r="Q54" i="5"/>
  <c r="K54" i="5"/>
  <c r="I76" i="5"/>
  <c r="K76" i="5"/>
  <c r="Q117" i="5"/>
  <c r="K117" i="5"/>
  <c r="K78" i="5"/>
  <c r="Q46" i="5"/>
  <c r="K46" i="5"/>
  <c r="Q147" i="5"/>
  <c r="K147" i="5"/>
  <c r="I127" i="5"/>
  <c r="K127" i="5"/>
  <c r="I96" i="5"/>
  <c r="K96" i="5"/>
  <c r="Q67" i="5"/>
  <c r="K67" i="5"/>
  <c r="Q125" i="5"/>
  <c r="K125" i="5"/>
  <c r="K149" i="5"/>
  <c r="K115" i="5"/>
  <c r="I135" i="5"/>
  <c r="K135" i="5"/>
  <c r="I151" i="5"/>
  <c r="K151" i="5"/>
  <c r="I51" i="5"/>
  <c r="K51" i="5"/>
  <c r="Q106" i="5"/>
  <c r="K106" i="5"/>
  <c r="I128" i="5"/>
  <c r="K128" i="5"/>
  <c r="Q33" i="5"/>
  <c r="K33" i="5"/>
  <c r="Q138" i="5"/>
  <c r="K138" i="5"/>
  <c r="I141" i="5"/>
  <c r="K141" i="5"/>
  <c r="I89" i="5"/>
  <c r="K89" i="5"/>
  <c r="I61" i="5"/>
  <c r="K61" i="5"/>
  <c r="I97" i="5"/>
  <c r="K97" i="5"/>
  <c r="K116" i="5"/>
  <c r="I79" i="5"/>
  <c r="K79" i="5"/>
  <c r="I95" i="5"/>
  <c r="K95" i="5"/>
  <c r="K47" i="5"/>
  <c r="Q142" i="5"/>
  <c r="K142" i="5"/>
  <c r="K87" i="5"/>
  <c r="Q85" i="5"/>
  <c r="K85" i="5"/>
  <c r="Q121" i="5"/>
  <c r="K121" i="5"/>
  <c r="Q94" i="5"/>
  <c r="K94" i="5"/>
  <c r="K137" i="5"/>
  <c r="I62" i="5"/>
  <c r="K62" i="5"/>
  <c r="Q148" i="5"/>
  <c r="K148" i="5"/>
  <c r="Q90" i="5"/>
  <c r="K90" i="5"/>
  <c r="K113" i="5"/>
  <c r="K136" i="5"/>
  <c r="Q50" i="5"/>
  <c r="Q122" i="5"/>
  <c r="Q112" i="5"/>
  <c r="Q57" i="5"/>
  <c r="Q145" i="5"/>
  <c r="I4" i="5"/>
  <c r="Q87" i="5"/>
  <c r="Q110" i="5"/>
  <c r="Q107" i="5"/>
  <c r="I146" i="5"/>
  <c r="I147" i="5"/>
  <c r="I144" i="5"/>
  <c r="Q136" i="5"/>
  <c r="I148" i="5"/>
  <c r="I149" i="5"/>
  <c r="I150" i="5"/>
  <c r="I152" i="5"/>
  <c r="I136" i="5"/>
  <c r="Q111" i="5"/>
  <c r="I142" i="5"/>
  <c r="I143" i="5"/>
  <c r="Q105" i="5"/>
  <c r="I137" i="5"/>
  <c r="I145" i="5"/>
  <c r="I138" i="5"/>
  <c r="I106" i="5"/>
  <c r="Q109" i="5"/>
  <c r="I117" i="5"/>
  <c r="I107" i="5"/>
  <c r="I118" i="5"/>
  <c r="I119" i="5"/>
  <c r="I120" i="5"/>
  <c r="I121" i="5"/>
  <c r="I111" i="5"/>
  <c r="I122" i="5"/>
  <c r="I123" i="5"/>
  <c r="I113" i="5"/>
  <c r="Q113" i="5"/>
  <c r="I114" i="5"/>
  <c r="Q89" i="5"/>
  <c r="I115" i="5"/>
  <c r="I105" i="5"/>
  <c r="I112" i="5"/>
  <c r="I116" i="5"/>
  <c r="I108" i="5"/>
  <c r="Q51" i="5"/>
  <c r="Q48" i="5"/>
  <c r="Q61" i="5"/>
  <c r="Q75" i="5"/>
  <c r="I81" i="5"/>
  <c r="Q80" i="5"/>
  <c r="I87" i="5"/>
  <c r="Q76" i="5"/>
  <c r="Q93" i="5"/>
  <c r="I82" i="5"/>
  <c r="Q92" i="5"/>
  <c r="Q79" i="5"/>
  <c r="I88" i="5"/>
  <c r="I84" i="5"/>
  <c r="I90" i="5"/>
  <c r="I77" i="5"/>
  <c r="Q83" i="5"/>
  <c r="Q81" i="5"/>
  <c r="Q78" i="5"/>
  <c r="I78" i="5"/>
  <c r="I91" i="5"/>
  <c r="Q88" i="5"/>
  <c r="Q86" i="5"/>
  <c r="I85" i="5"/>
  <c r="I86" i="5"/>
  <c r="I93" i="5"/>
  <c r="I45" i="5"/>
  <c r="Q62" i="5"/>
  <c r="Q59" i="5"/>
  <c r="I56" i="5"/>
  <c r="I46" i="5"/>
  <c r="I63" i="5"/>
  <c r="Q63" i="5"/>
  <c r="I52" i="5"/>
  <c r="I58" i="5"/>
  <c r="I53" i="5"/>
  <c r="Q55" i="5"/>
  <c r="I48" i="5"/>
  <c r="I49" i="5"/>
  <c r="I54" i="5"/>
  <c r="I55" i="5"/>
  <c r="Q45" i="5"/>
  <c r="I50" i="5"/>
  <c r="Q58" i="5"/>
  <c r="I47" i="5"/>
  <c r="Q24" i="5"/>
  <c r="Q20" i="5"/>
  <c r="Q16" i="5"/>
  <c r="Q27" i="5"/>
  <c r="I33" i="5"/>
  <c r="I29" i="5"/>
  <c r="Q19" i="5"/>
  <c r="Q18" i="5"/>
  <c r="Q28" i="5"/>
  <c r="I25" i="5"/>
  <c r="I18" i="5"/>
  <c r="I23" i="5"/>
  <c r="I30" i="5"/>
  <c r="Q15" i="5"/>
  <c r="I26" i="5"/>
  <c r="I24" i="5"/>
  <c r="Q17" i="5"/>
  <c r="I31" i="5"/>
  <c r="I20" i="5"/>
  <c r="Q26" i="5"/>
  <c r="I27" i="5"/>
  <c r="I16" i="5"/>
  <c r="Q29" i="5"/>
  <c r="Q31" i="5"/>
  <c r="I28" i="5"/>
  <c r="Q25" i="5"/>
  <c r="Q22" i="5"/>
  <c r="I17" i="5"/>
  <c r="I22" i="5"/>
  <c r="L1166" i="4"/>
  <c r="N1166" i="4"/>
  <c r="O1165" i="4"/>
  <c r="L58" i="4"/>
  <c r="N58" i="4"/>
  <c r="O57" i="4"/>
  <c r="G1527" i="4"/>
  <c r="H1527" i="4"/>
  <c r="BB88" i="13"/>
  <c r="F809" i="4" s="1"/>
  <c r="P809" i="4" s="1"/>
  <c r="G448" i="4"/>
  <c r="CN84" i="13"/>
  <c r="F1527" i="4" s="1"/>
  <c r="CC85" i="13"/>
  <c r="CB85" i="13" s="1"/>
  <c r="CD85" i="13" s="1"/>
  <c r="AQ89" i="13"/>
  <c r="AP89" i="13" s="1"/>
  <c r="AR89" i="13" s="1"/>
  <c r="X89" i="13"/>
  <c r="AI88" i="13"/>
  <c r="F448" i="4" s="1"/>
  <c r="P448" i="4" s="1"/>
  <c r="BT85" i="13"/>
  <c r="BV85" i="13" s="1"/>
  <c r="L60" i="13"/>
  <c r="J60" i="13"/>
  <c r="J126" i="5"/>
  <c r="J95" i="5"/>
  <c r="J99" i="5"/>
  <c r="J96" i="5"/>
  <c r="J69" i="5"/>
  <c r="J68" i="5"/>
  <c r="K4" i="5"/>
  <c r="J34" i="5"/>
  <c r="J94" i="5"/>
  <c r="J124" i="5"/>
  <c r="J4" i="5"/>
  <c r="J129" i="5"/>
  <c r="J97" i="5"/>
  <c r="J66" i="5"/>
  <c r="J127" i="5"/>
  <c r="I35" i="5"/>
  <c r="I67" i="5"/>
  <c r="I98" i="5"/>
  <c r="I5" i="5"/>
  <c r="I36" i="5"/>
  <c r="I125" i="5"/>
  <c r="I6" i="5"/>
  <c r="I34" i="5"/>
  <c r="I37" i="5"/>
  <c r="I66" i="5"/>
  <c r="I94" i="5"/>
  <c r="I69" i="5"/>
  <c r="Q36" i="5"/>
  <c r="Q152" i="5"/>
  <c r="Q137" i="5"/>
  <c r="Q151" i="5"/>
  <c r="Q149" i="5"/>
  <c r="Q153" i="5"/>
  <c r="Q144" i="5"/>
  <c r="Q115" i="5"/>
  <c r="Q141" i="5"/>
  <c r="Q143" i="5"/>
  <c r="Q139" i="5"/>
  <c r="Q140" i="5"/>
  <c r="Q135" i="5"/>
  <c r="Q118" i="5"/>
  <c r="Q116" i="5"/>
  <c r="Q123" i="5"/>
  <c r="Q120" i="5"/>
  <c r="L4" i="5"/>
  <c r="N4" i="5"/>
  <c r="Q37" i="5"/>
  <c r="Q96" i="5"/>
  <c r="M4" i="5"/>
  <c r="Q129" i="5"/>
  <c r="Q34" i="5"/>
  <c r="Q124" i="5"/>
  <c r="Q35" i="5"/>
  <c r="Q127" i="5"/>
  <c r="Q68" i="5"/>
  <c r="Q126" i="5"/>
  <c r="Q65" i="5"/>
  <c r="K5" i="5"/>
  <c r="K6" i="5"/>
  <c r="Q95" i="5"/>
  <c r="Q97" i="5"/>
  <c r="Q99" i="5"/>
  <c r="Q128" i="5"/>
  <c r="K7" i="5"/>
  <c r="Q7" i="5"/>
  <c r="G8" i="19" l="1"/>
  <c r="G14" i="19" s="1"/>
  <c r="H1167" i="4"/>
  <c r="M1167" i="4" s="1"/>
  <c r="G1167" i="4"/>
  <c r="W89" i="13"/>
  <c r="Y89" i="13" s="1"/>
  <c r="AE89" i="13" s="1"/>
  <c r="M1527" i="4"/>
  <c r="P1527" i="4"/>
  <c r="S1527" i="4"/>
  <c r="Q809" i="4"/>
  <c r="K809" i="4"/>
  <c r="J809" i="4"/>
  <c r="K448" i="4"/>
  <c r="Q448" i="4"/>
  <c r="J448" i="4"/>
  <c r="Q1527" i="4"/>
  <c r="J1527" i="4"/>
  <c r="K1527" i="4"/>
  <c r="S809" i="4"/>
  <c r="CJ85" i="13"/>
  <c r="CH85" i="13"/>
  <c r="BJ86" i="13"/>
  <c r="BU85" i="13"/>
  <c r="F1167" i="4" s="1"/>
  <c r="P1167" i="4" s="1"/>
  <c r="AX89" i="13"/>
  <c r="AV89" i="13"/>
  <c r="O60" i="13"/>
  <c r="Q60" i="13" s="1"/>
  <c r="G12" i="19" l="1"/>
  <c r="G13" i="19"/>
  <c r="AC89" i="13"/>
  <c r="AH89" i="13" s="1"/>
  <c r="AJ89" i="13" s="1"/>
  <c r="H59" i="4"/>
  <c r="M59" i="4" s="1"/>
  <c r="S1167" i="4"/>
  <c r="L448" i="4"/>
  <c r="N448" i="4"/>
  <c r="O447" i="4"/>
  <c r="L1527" i="4"/>
  <c r="N1527" i="4"/>
  <c r="O1526" i="4"/>
  <c r="Q1167" i="4"/>
  <c r="K1167" i="4"/>
  <c r="J1167" i="4"/>
  <c r="N809" i="4"/>
  <c r="L809" i="4"/>
  <c r="O808" i="4"/>
  <c r="BA89" i="13"/>
  <c r="CM85" i="13"/>
  <c r="CO85" i="13" s="1"/>
  <c r="BI86" i="13"/>
  <c r="BK86" i="13" s="1"/>
  <c r="P60" i="13"/>
  <c r="E61" i="13"/>
  <c r="H810" i="4" l="1"/>
  <c r="M810" i="4" s="1"/>
  <c r="BC89" i="13"/>
  <c r="G810" i="4" s="1"/>
  <c r="H449" i="4"/>
  <c r="M449" i="4" s="1"/>
  <c r="G449" i="4"/>
  <c r="L1167" i="4"/>
  <c r="N1167" i="4"/>
  <c r="O1166" i="4"/>
  <c r="CC86" i="13"/>
  <c r="CB86" i="13" s="1"/>
  <c r="CD86" i="13" s="1"/>
  <c r="H1528" i="4"/>
  <c r="BB89" i="13"/>
  <c r="F810" i="4" s="1"/>
  <c r="P810" i="4" s="1"/>
  <c r="G59" i="4"/>
  <c r="F59" i="4"/>
  <c r="AQ90" i="13"/>
  <c r="AP90" i="13" s="1"/>
  <c r="AR90" i="13" s="1"/>
  <c r="G1528" i="4"/>
  <c r="CN85" i="13"/>
  <c r="F1528" i="4" s="1"/>
  <c r="BQ86" i="13"/>
  <c r="BO86" i="13"/>
  <c r="AI89" i="13"/>
  <c r="F449" i="4" s="1"/>
  <c r="P449" i="4" s="1"/>
  <c r="X90" i="13"/>
  <c r="D61" i="13"/>
  <c r="M1528" i="4" l="1"/>
  <c r="P1528" i="4"/>
  <c r="S1528" i="4"/>
  <c r="P59" i="4"/>
  <c r="S59" i="4"/>
  <c r="K449" i="4"/>
  <c r="Q449" i="4"/>
  <c r="J449" i="4"/>
  <c r="J1528" i="4"/>
  <c r="K1528" i="4"/>
  <c r="Q1528" i="4"/>
  <c r="K810" i="4"/>
  <c r="Q810" i="4"/>
  <c r="J810" i="4"/>
  <c r="Q59" i="4"/>
  <c r="J59" i="4"/>
  <c r="K59" i="4"/>
  <c r="S810" i="4"/>
  <c r="S420" i="4"/>
  <c r="BT86" i="13"/>
  <c r="BV86" i="13" s="1"/>
  <c r="CJ86" i="13"/>
  <c r="CH86" i="13"/>
  <c r="AX90" i="13"/>
  <c r="AV90" i="13"/>
  <c r="W90" i="13"/>
  <c r="Y90" i="13" s="1"/>
  <c r="F61" i="13"/>
  <c r="N1528" i="4" l="1"/>
  <c r="L1528" i="4"/>
  <c r="O1527" i="4"/>
  <c r="N810" i="4"/>
  <c r="L810" i="4"/>
  <c r="O809" i="4"/>
  <c r="L449" i="4"/>
  <c r="N449" i="4"/>
  <c r="O448" i="4"/>
  <c r="L59" i="4"/>
  <c r="N59" i="4"/>
  <c r="O58" i="4"/>
  <c r="BJ87" i="13"/>
  <c r="BI87" i="13" s="1"/>
  <c r="BK87" i="13" s="1"/>
  <c r="H1168" i="4"/>
  <c r="BA90" i="13"/>
  <c r="H811" i="4" s="1"/>
  <c r="G1168" i="4"/>
  <c r="BU86" i="13"/>
  <c r="F1168" i="4" s="1"/>
  <c r="CM86" i="13"/>
  <c r="CO86" i="13" s="1"/>
  <c r="AE90" i="13"/>
  <c r="AC90" i="13"/>
  <c r="L61" i="13"/>
  <c r="J61" i="13"/>
  <c r="M811" i="4" l="1"/>
  <c r="M1168" i="4"/>
  <c r="P1168" i="4"/>
  <c r="S1168" i="4"/>
  <c r="K1168" i="4"/>
  <c r="Q1168" i="4"/>
  <c r="J1168" i="4"/>
  <c r="CC87" i="13"/>
  <c r="CB87" i="13" s="1"/>
  <c r="CD87" i="13" s="1"/>
  <c r="H1529" i="4"/>
  <c r="BB90" i="13"/>
  <c r="F811" i="4" s="1"/>
  <c r="P811" i="4" s="1"/>
  <c r="G811" i="4"/>
  <c r="AQ91" i="13"/>
  <c r="AP91" i="13" s="1"/>
  <c r="AR91" i="13" s="1"/>
  <c r="AH90" i="13"/>
  <c r="CN86" i="13"/>
  <c r="F1529" i="4" s="1"/>
  <c r="G1529" i="4"/>
  <c r="BO87" i="13"/>
  <c r="BQ87" i="13"/>
  <c r="O61" i="13"/>
  <c r="Q61" i="13" s="1"/>
  <c r="H450" i="4" l="1"/>
  <c r="M450" i="4" s="1"/>
  <c r="G450" i="4"/>
  <c r="H60" i="4"/>
  <c r="M60" i="4" s="1"/>
  <c r="M1529" i="4"/>
  <c r="P1529" i="4"/>
  <c r="S1529" i="4"/>
  <c r="K1529" i="4"/>
  <c r="Q1529" i="4"/>
  <c r="J1529" i="4"/>
  <c r="Q811" i="4"/>
  <c r="K811" i="4"/>
  <c r="J811" i="4"/>
  <c r="L1168" i="4"/>
  <c r="N1168" i="4"/>
  <c r="O1167" i="4"/>
  <c r="S811" i="4"/>
  <c r="X91" i="13"/>
  <c r="AI90" i="13"/>
  <c r="F450" i="4" s="1"/>
  <c r="P450" i="4" s="1"/>
  <c r="CH87" i="13"/>
  <c r="CJ87" i="13"/>
  <c r="BT87" i="13"/>
  <c r="BV87" i="13" s="1"/>
  <c r="AX91" i="13"/>
  <c r="AV91" i="13"/>
  <c r="E62" i="13"/>
  <c r="P61" i="13"/>
  <c r="H1169" i="4" l="1"/>
  <c r="M1169" i="4" s="1"/>
  <c r="W91" i="13"/>
  <c r="Y91" i="13" s="1"/>
  <c r="AC91" i="13" s="1"/>
  <c r="K450" i="4"/>
  <c r="Q450" i="4"/>
  <c r="J450" i="4"/>
  <c r="N811" i="4"/>
  <c r="L811" i="4"/>
  <c r="O810" i="4"/>
  <c r="L1529" i="4"/>
  <c r="N1529" i="4"/>
  <c r="O1528" i="4"/>
  <c r="F60" i="4"/>
  <c r="G60" i="4"/>
  <c r="BA91" i="13"/>
  <c r="H812" i="4" s="1"/>
  <c r="CM87" i="13"/>
  <c r="G1169" i="4"/>
  <c r="BU87" i="13"/>
  <c r="F1169" i="4" s="1"/>
  <c r="BJ88" i="13"/>
  <c r="D62" i="13"/>
  <c r="H1530" i="4" l="1"/>
  <c r="M1530" i="4" s="1"/>
  <c r="CO87" i="13"/>
  <c r="G1530" i="4" s="1"/>
  <c r="AE91" i="13"/>
  <c r="AH91" i="13" s="1"/>
  <c r="M812" i="4"/>
  <c r="P70" i="5"/>
  <c r="P1169" i="4"/>
  <c r="S1169" i="4"/>
  <c r="P60" i="4"/>
  <c r="S60" i="4"/>
  <c r="K1169" i="4"/>
  <c r="Q1169" i="4"/>
  <c r="J1169" i="4"/>
  <c r="N450" i="4"/>
  <c r="L450" i="4"/>
  <c r="O449" i="4"/>
  <c r="Q60" i="4"/>
  <c r="K60" i="4"/>
  <c r="J60" i="4"/>
  <c r="BB91" i="13"/>
  <c r="F812" i="4" s="1"/>
  <c r="P812" i="4" s="1"/>
  <c r="S421" i="4"/>
  <c r="G812" i="4"/>
  <c r="AQ92" i="13"/>
  <c r="AP92" i="13" s="1"/>
  <c r="AR92" i="13" s="1"/>
  <c r="CN87" i="13"/>
  <c r="F1530" i="4" s="1"/>
  <c r="CC88" i="13"/>
  <c r="BI88" i="13"/>
  <c r="BK88" i="13" s="1"/>
  <c r="F62" i="13"/>
  <c r="H451" i="4" l="1"/>
  <c r="M451" i="4" s="1"/>
  <c r="G451" i="4"/>
  <c r="P40" i="5"/>
  <c r="P1530" i="4"/>
  <c r="S1530" i="4"/>
  <c r="Q1530" i="4"/>
  <c r="J1530" i="4"/>
  <c r="K1530" i="4"/>
  <c r="K812" i="4"/>
  <c r="Q812" i="4"/>
  <c r="J812" i="4"/>
  <c r="L1169" i="4"/>
  <c r="N1169" i="4"/>
  <c r="O1168" i="4"/>
  <c r="N60" i="4"/>
  <c r="L60" i="4"/>
  <c r="O59" i="4"/>
  <c r="S812" i="4"/>
  <c r="AI91" i="13"/>
  <c r="F451" i="4" s="1"/>
  <c r="P451" i="4" s="1"/>
  <c r="X92" i="13"/>
  <c r="CB88" i="13"/>
  <c r="CD88" i="13" s="1"/>
  <c r="BO88" i="13"/>
  <c r="BQ88" i="13"/>
  <c r="AV92" i="13"/>
  <c r="AX92" i="13"/>
  <c r="J62" i="13"/>
  <c r="L62" i="13"/>
  <c r="W92" i="13" l="1"/>
  <c r="Y92" i="13" s="1"/>
  <c r="AC92" i="13" s="1"/>
  <c r="Q451" i="4"/>
  <c r="K451" i="4"/>
  <c r="J451" i="4"/>
  <c r="L812" i="4"/>
  <c r="N812" i="4"/>
  <c r="O811" i="4"/>
  <c r="L1530" i="4"/>
  <c r="N1530" i="4"/>
  <c r="O1529" i="4"/>
  <c r="CJ88" i="13"/>
  <c r="CH88" i="13"/>
  <c r="BT88" i="13"/>
  <c r="BV88" i="13" s="1"/>
  <c r="BA92" i="13"/>
  <c r="H813" i="4" s="1"/>
  <c r="O62" i="13"/>
  <c r="Q62" i="13" s="1"/>
  <c r="H1170" i="4" l="1"/>
  <c r="M1170" i="4" s="1"/>
  <c r="G1170" i="4"/>
  <c r="AE92" i="13"/>
  <c r="AH92" i="13" s="1"/>
  <c r="H61" i="4"/>
  <c r="M61" i="4" s="1"/>
  <c r="M813" i="4"/>
  <c r="L451" i="4"/>
  <c r="N451" i="4"/>
  <c r="O450" i="4"/>
  <c r="BB92" i="13"/>
  <c r="F813" i="4" s="1"/>
  <c r="P813" i="4" s="1"/>
  <c r="CM88" i="13"/>
  <c r="CO88" i="13" s="1"/>
  <c r="BJ89" i="13"/>
  <c r="BU88" i="13"/>
  <c r="F1170" i="4" s="1"/>
  <c r="P1170" i="4" s="1"/>
  <c r="G813" i="4"/>
  <c r="AQ93" i="13"/>
  <c r="E63" i="13"/>
  <c r="P62" i="13"/>
  <c r="H452" i="4" l="1"/>
  <c r="M452" i="4" s="1"/>
  <c r="G452" i="4"/>
  <c r="S1170" i="4"/>
  <c r="K813" i="4"/>
  <c r="Q813" i="4"/>
  <c r="J813" i="4"/>
  <c r="Q1170" i="4"/>
  <c r="K1170" i="4"/>
  <c r="J1170" i="4"/>
  <c r="CC89" i="13"/>
  <c r="CB89" i="13" s="1"/>
  <c r="CD89" i="13" s="1"/>
  <c r="H1531" i="4"/>
  <c r="M1531" i="4" s="1"/>
  <c r="S813" i="4"/>
  <c r="F61" i="4"/>
  <c r="G61" i="4"/>
  <c r="G1531" i="4"/>
  <c r="CN88" i="13"/>
  <c r="F1531" i="4" s="1"/>
  <c r="BI89" i="13"/>
  <c r="BK89" i="13" s="1"/>
  <c r="AP93" i="13"/>
  <c r="AR93" i="13" s="1"/>
  <c r="X93" i="13"/>
  <c r="AI92" i="13"/>
  <c r="F452" i="4" s="1"/>
  <c r="P452" i="4" s="1"/>
  <c r="D63" i="13"/>
  <c r="P1531" i="4" l="1"/>
  <c r="S1531" i="4"/>
  <c r="P61" i="4"/>
  <c r="S61" i="4"/>
  <c r="Q452" i="4"/>
  <c r="K452" i="4"/>
  <c r="J452" i="4"/>
  <c r="Q1531" i="4"/>
  <c r="K1531" i="4"/>
  <c r="J1531" i="4"/>
  <c r="N1170" i="4"/>
  <c r="L1170" i="4"/>
  <c r="O1169" i="4"/>
  <c r="L813" i="4"/>
  <c r="N813" i="4"/>
  <c r="O812" i="4"/>
  <c r="K61" i="4"/>
  <c r="Q61" i="4"/>
  <c r="J61" i="4"/>
  <c r="S422" i="4"/>
  <c r="CJ89" i="13"/>
  <c r="CH89" i="13"/>
  <c r="BQ89" i="13"/>
  <c r="BO89" i="13"/>
  <c r="AV93" i="13"/>
  <c r="AX93" i="13"/>
  <c r="W93" i="13"/>
  <c r="Y93" i="13" s="1"/>
  <c r="F63" i="13"/>
  <c r="N1531" i="4" l="1"/>
  <c r="L1531" i="4"/>
  <c r="O1530" i="4"/>
  <c r="N452" i="4"/>
  <c r="L452" i="4"/>
  <c r="O451" i="4"/>
  <c r="N61" i="4"/>
  <c r="L61" i="4"/>
  <c r="O60" i="4"/>
  <c r="CM89" i="13"/>
  <c r="CO89" i="13" s="1"/>
  <c r="BT89" i="13"/>
  <c r="BV89" i="13" s="1"/>
  <c r="BA93" i="13"/>
  <c r="H814" i="4" s="1"/>
  <c r="AC93" i="13"/>
  <c r="AE93" i="13"/>
  <c r="L63" i="13"/>
  <c r="J63" i="13"/>
  <c r="M814" i="4" l="1"/>
  <c r="G1532" i="4"/>
  <c r="H1532" i="4"/>
  <c r="M1532" i="4" s="1"/>
  <c r="G1171" i="4"/>
  <c r="H1171" i="4"/>
  <c r="BB93" i="13"/>
  <c r="F814" i="4" s="1"/>
  <c r="P814" i="4" s="1"/>
  <c r="BU89" i="13"/>
  <c r="F1171" i="4" s="1"/>
  <c r="P1171" i="4" s="1"/>
  <c r="BJ90" i="13"/>
  <c r="BI90" i="13" s="1"/>
  <c r="BK90" i="13" s="1"/>
  <c r="CN89" i="13"/>
  <c r="F1532" i="4" s="1"/>
  <c r="CC90" i="13"/>
  <c r="CB90" i="13" s="1"/>
  <c r="CD90" i="13" s="1"/>
  <c r="AQ94" i="13"/>
  <c r="G814" i="4"/>
  <c r="AH93" i="13"/>
  <c r="O63" i="13"/>
  <c r="Q63" i="13" s="1"/>
  <c r="H453" i="4" l="1"/>
  <c r="M453" i="4" s="1"/>
  <c r="H62" i="4"/>
  <c r="M62" i="4" s="1"/>
  <c r="P1532" i="4"/>
  <c r="S1532" i="4"/>
  <c r="M1171" i="4"/>
  <c r="S1171" i="4"/>
  <c r="K814" i="4"/>
  <c r="Q814" i="4"/>
  <c r="J814" i="4"/>
  <c r="K1171" i="4"/>
  <c r="Q1171" i="4"/>
  <c r="J1171" i="4"/>
  <c r="Q1532" i="4"/>
  <c r="K1532" i="4"/>
  <c r="J1532" i="4"/>
  <c r="S814" i="4"/>
  <c r="CH90" i="13"/>
  <c r="CJ90" i="13"/>
  <c r="BO90" i="13"/>
  <c r="BQ90" i="13"/>
  <c r="AP94" i="13"/>
  <c r="AR94" i="13" s="1"/>
  <c r="X94" i="13"/>
  <c r="G453" i="4"/>
  <c r="AI93" i="13"/>
  <c r="F453" i="4" s="1"/>
  <c r="P453" i="4" s="1"/>
  <c r="E64" i="13"/>
  <c r="P63" i="13"/>
  <c r="K453" i="4" l="1"/>
  <c r="Q453" i="4"/>
  <c r="J453" i="4"/>
  <c r="L1532" i="4"/>
  <c r="N1532" i="4"/>
  <c r="O1531" i="4"/>
  <c r="L1171" i="4"/>
  <c r="N1171" i="4"/>
  <c r="O1170" i="4"/>
  <c r="L814" i="4"/>
  <c r="N814" i="4"/>
  <c r="O813" i="4"/>
  <c r="F62" i="4"/>
  <c r="G62" i="4"/>
  <c r="CM90" i="13"/>
  <c r="H1533" i="4" s="1"/>
  <c r="M1533" i="4" s="1"/>
  <c r="BT90" i="13"/>
  <c r="H1172" i="4" s="1"/>
  <c r="AX94" i="13"/>
  <c r="AV94" i="13"/>
  <c r="W94" i="13"/>
  <c r="Y94" i="13" s="1"/>
  <c r="D64" i="13"/>
  <c r="M1172" i="4" l="1"/>
  <c r="P62" i="4"/>
  <c r="S62" i="4"/>
  <c r="L453" i="4"/>
  <c r="N453" i="4"/>
  <c r="O452" i="4"/>
  <c r="Q62" i="4"/>
  <c r="K62" i="4"/>
  <c r="J62" i="4"/>
  <c r="S423" i="4"/>
  <c r="BA94" i="13"/>
  <c r="H815" i="4" s="1"/>
  <c r="CC91" i="13"/>
  <c r="G1533" i="4"/>
  <c r="CN90" i="13"/>
  <c r="F1533" i="4" s="1"/>
  <c r="BJ91" i="13"/>
  <c r="G1172" i="4"/>
  <c r="BU90" i="13"/>
  <c r="F1172" i="4" s="1"/>
  <c r="P1172" i="4" s="1"/>
  <c r="AC94" i="13"/>
  <c r="AE94" i="13"/>
  <c r="F64" i="13"/>
  <c r="M815" i="4" l="1"/>
  <c r="P1533" i="4"/>
  <c r="S1533" i="4"/>
  <c r="S1172" i="4"/>
  <c r="J1533" i="4"/>
  <c r="Q1533" i="4"/>
  <c r="K1533" i="4"/>
  <c r="Q1172" i="4"/>
  <c r="K1172" i="4"/>
  <c r="J1172" i="4"/>
  <c r="N62" i="4"/>
  <c r="L62" i="4"/>
  <c r="O61" i="4"/>
  <c r="BB94" i="13"/>
  <c r="F815" i="4" s="1"/>
  <c r="P815" i="4" s="1"/>
  <c r="G815" i="4"/>
  <c r="AQ95" i="13"/>
  <c r="AP95" i="13" s="1"/>
  <c r="AR95" i="13" s="1"/>
  <c r="CB91" i="13"/>
  <c r="CD91" i="13" s="1"/>
  <c r="BI91" i="13"/>
  <c r="BK91" i="13" s="1"/>
  <c r="AH94" i="13"/>
  <c r="L64" i="13"/>
  <c r="J64" i="13"/>
  <c r="K815" i="4" l="1"/>
  <c r="Q815" i="4"/>
  <c r="J815" i="4"/>
  <c r="L1172" i="4"/>
  <c r="N1172" i="4"/>
  <c r="O1171" i="4"/>
  <c r="N1533" i="4"/>
  <c r="L1533" i="4"/>
  <c r="O1532" i="4"/>
  <c r="S815" i="4"/>
  <c r="H454" i="4"/>
  <c r="CJ91" i="13"/>
  <c r="CH91" i="13"/>
  <c r="BO91" i="13"/>
  <c r="BQ91" i="13"/>
  <c r="AV95" i="13"/>
  <c r="AX95" i="13"/>
  <c r="G454" i="4"/>
  <c r="AI94" i="13"/>
  <c r="F454" i="4" s="1"/>
  <c r="P454" i="4" s="1"/>
  <c r="X95" i="13"/>
  <c r="O64" i="13"/>
  <c r="Q64" i="13" s="1"/>
  <c r="H63" i="4" l="1"/>
  <c r="M63" i="4" s="1"/>
  <c r="M454" i="4"/>
  <c r="Q454" i="4"/>
  <c r="J454" i="4"/>
  <c r="K454" i="4"/>
  <c r="L815" i="4"/>
  <c r="N815" i="4"/>
  <c r="O814" i="4"/>
  <c r="CM91" i="13"/>
  <c r="BT91" i="13"/>
  <c r="H1173" i="4" s="1"/>
  <c r="BA95" i="13"/>
  <c r="W95" i="13"/>
  <c r="Y95" i="13" s="1"/>
  <c r="P64" i="13"/>
  <c r="E65" i="13"/>
  <c r="H816" i="4" l="1"/>
  <c r="M816" i="4" s="1"/>
  <c r="BC95" i="13"/>
  <c r="G816" i="4" s="1"/>
  <c r="M1173" i="4"/>
  <c r="P100" i="5"/>
  <c r="L454" i="4"/>
  <c r="N454" i="4"/>
  <c r="O453" i="4"/>
  <c r="CC92" i="13"/>
  <c r="CB92" i="13" s="1"/>
  <c r="CD92" i="13" s="1"/>
  <c r="H1534" i="4"/>
  <c r="BB95" i="13"/>
  <c r="F816" i="4" s="1"/>
  <c r="P816" i="4" s="1"/>
  <c r="F63" i="4"/>
  <c r="G63" i="4"/>
  <c r="G1534" i="4"/>
  <c r="CN91" i="13"/>
  <c r="F1534" i="4" s="1"/>
  <c r="BJ92" i="13"/>
  <c r="G1173" i="4"/>
  <c r="BU91" i="13"/>
  <c r="F1173" i="4" s="1"/>
  <c r="AQ96" i="13"/>
  <c r="AE95" i="13"/>
  <c r="AC95" i="13"/>
  <c r="D65" i="13"/>
  <c r="M1534" i="4" l="1"/>
  <c r="P130" i="5"/>
  <c r="P1173" i="4"/>
  <c r="S1173" i="4"/>
  <c r="P1534" i="4"/>
  <c r="S1534" i="4"/>
  <c r="P63" i="4"/>
  <c r="S63" i="4"/>
  <c r="K816" i="4"/>
  <c r="Q816" i="4"/>
  <c r="J816" i="4"/>
  <c r="Q1173" i="4"/>
  <c r="K1173" i="4"/>
  <c r="J1173" i="4"/>
  <c r="K1534" i="4"/>
  <c r="Q1534" i="4"/>
  <c r="J1534" i="4"/>
  <c r="Q63" i="4"/>
  <c r="K63" i="4"/>
  <c r="J63" i="4"/>
  <c r="S816" i="4"/>
  <c r="S424" i="4"/>
  <c r="G38" i="5"/>
  <c r="F38" i="5"/>
  <c r="AH95" i="13"/>
  <c r="AJ95" i="13" s="1"/>
  <c r="CH92" i="13"/>
  <c r="CJ92" i="13"/>
  <c r="BI92" i="13"/>
  <c r="BK92" i="13" s="1"/>
  <c r="AP96" i="13"/>
  <c r="AR96" i="13" s="1"/>
  <c r="F65" i="13"/>
  <c r="H455" i="4" l="1"/>
  <c r="M455" i="4" s="1"/>
  <c r="N38" i="5"/>
  <c r="L1534" i="4"/>
  <c r="N1534" i="4"/>
  <c r="O1533" i="4"/>
  <c r="N1173" i="4"/>
  <c r="L1173" i="4"/>
  <c r="O1172" i="4"/>
  <c r="N816" i="4"/>
  <c r="L816" i="4"/>
  <c r="O815" i="4"/>
  <c r="L63" i="4"/>
  <c r="N63" i="4"/>
  <c r="O62" i="4"/>
  <c r="X96" i="13"/>
  <c r="G455" i="4"/>
  <c r="AI95" i="13"/>
  <c r="F455" i="4" s="1"/>
  <c r="P455" i="4" s="1"/>
  <c r="CM92" i="13"/>
  <c r="BO92" i="13"/>
  <c r="BQ92" i="13"/>
  <c r="AX96" i="13"/>
  <c r="AV96" i="13"/>
  <c r="L65" i="13"/>
  <c r="J65" i="13"/>
  <c r="W96" i="13" l="1"/>
  <c r="Y96" i="13" s="1"/>
  <c r="AE96" i="13" s="1"/>
  <c r="J455" i="4"/>
  <c r="K455" i="4"/>
  <c r="Q455" i="4"/>
  <c r="G1535" i="4"/>
  <c r="H1535" i="4"/>
  <c r="CC93" i="13"/>
  <c r="CB93" i="13" s="1"/>
  <c r="CD93" i="13" s="1"/>
  <c r="CN92" i="13"/>
  <c r="F1535" i="4" s="1"/>
  <c r="BA96" i="13"/>
  <c r="BT92" i="13"/>
  <c r="H1174" i="4" s="1"/>
  <c r="O65" i="13"/>
  <c r="Q65" i="13" s="1"/>
  <c r="H817" i="4" l="1"/>
  <c r="M817" i="4" s="1"/>
  <c r="BC96" i="13"/>
  <c r="G817" i="4" s="1"/>
  <c r="AC96" i="13"/>
  <c r="AH96" i="13" s="1"/>
  <c r="AJ96" i="13" s="1"/>
  <c r="H64" i="4"/>
  <c r="M64" i="4" s="1"/>
  <c r="M1174" i="4"/>
  <c r="M1535" i="4"/>
  <c r="P1535" i="4"/>
  <c r="S1535" i="4"/>
  <c r="N455" i="4"/>
  <c r="L455" i="4"/>
  <c r="O454" i="4"/>
  <c r="K1535" i="4"/>
  <c r="Q1535" i="4"/>
  <c r="J1535" i="4"/>
  <c r="BB96" i="13"/>
  <c r="F817" i="4" s="1"/>
  <c r="P817" i="4" s="1"/>
  <c r="AQ97" i="13"/>
  <c r="AP97" i="13" s="1"/>
  <c r="AR97" i="13" s="1"/>
  <c r="CH93" i="13"/>
  <c r="CJ93" i="13"/>
  <c r="G1174" i="4"/>
  <c r="BU92" i="13"/>
  <c r="F1174" i="4" s="1"/>
  <c r="BJ93" i="13"/>
  <c r="E66" i="13"/>
  <c r="P65" i="13"/>
  <c r="H456" i="4" l="1"/>
  <c r="M456" i="4" s="1"/>
  <c r="G456" i="4"/>
  <c r="P1174" i="4"/>
  <c r="S1174" i="4"/>
  <c r="Q817" i="4"/>
  <c r="K817" i="4"/>
  <c r="J817" i="4"/>
  <c r="Q1174" i="4"/>
  <c r="K1174" i="4"/>
  <c r="J1174" i="4"/>
  <c r="L1535" i="4"/>
  <c r="N1535" i="4"/>
  <c r="O1534" i="4"/>
  <c r="S817" i="4"/>
  <c r="X97" i="13"/>
  <c r="G64" i="4"/>
  <c r="F64" i="4"/>
  <c r="AI96" i="13"/>
  <c r="F456" i="4" s="1"/>
  <c r="P456" i="4" s="1"/>
  <c r="CM93" i="13"/>
  <c r="BI93" i="13"/>
  <c r="BK93" i="13" s="1"/>
  <c r="AV97" i="13"/>
  <c r="AX97" i="13"/>
  <c r="D66" i="13"/>
  <c r="W97" i="13" l="1"/>
  <c r="Y97" i="13" s="1"/>
  <c r="AC97" i="13" s="1"/>
  <c r="P64" i="4"/>
  <c r="S64" i="4"/>
  <c r="L1174" i="4"/>
  <c r="N1174" i="4"/>
  <c r="O1173" i="4"/>
  <c r="L817" i="4"/>
  <c r="N817" i="4"/>
  <c r="O816" i="4"/>
  <c r="Q456" i="4"/>
  <c r="K456" i="4"/>
  <c r="J456" i="4"/>
  <c r="Q64" i="4"/>
  <c r="K64" i="4"/>
  <c r="J64" i="4"/>
  <c r="CC94" i="13"/>
  <c r="CB94" i="13" s="1"/>
  <c r="CD94" i="13" s="1"/>
  <c r="H1536" i="4"/>
  <c r="S425" i="4"/>
  <c r="G1536" i="4"/>
  <c r="CN93" i="13"/>
  <c r="F1536" i="4" s="1"/>
  <c r="BO93" i="13"/>
  <c r="BQ93" i="13"/>
  <c r="BA97" i="13"/>
  <c r="F66" i="13"/>
  <c r="H818" i="4" l="1"/>
  <c r="M818" i="4" s="1"/>
  <c r="BC97" i="13"/>
  <c r="G818" i="4" s="1"/>
  <c r="AE97" i="13"/>
  <c r="AH97" i="13" s="1"/>
  <c r="AJ97" i="13" s="1"/>
  <c r="M1536" i="4"/>
  <c r="P1536" i="4"/>
  <c r="S1536" i="4"/>
  <c r="Q1536" i="4"/>
  <c r="K1536" i="4"/>
  <c r="J1536" i="4"/>
  <c r="N456" i="4"/>
  <c r="L456" i="4"/>
  <c r="O455" i="4"/>
  <c r="N64" i="4"/>
  <c r="L64" i="4"/>
  <c r="O63" i="4"/>
  <c r="BB97" i="13"/>
  <c r="F818" i="4" s="1"/>
  <c r="P818" i="4" s="1"/>
  <c r="CJ94" i="13"/>
  <c r="CH94" i="13"/>
  <c r="BT93" i="13"/>
  <c r="H1175" i="4" s="1"/>
  <c r="AQ98" i="13"/>
  <c r="L66" i="13"/>
  <c r="J66" i="13"/>
  <c r="M1175" i="4" l="1"/>
  <c r="Q818" i="4"/>
  <c r="K818" i="4"/>
  <c r="J818" i="4"/>
  <c r="L1536" i="4"/>
  <c r="N1536" i="4"/>
  <c r="O1535" i="4"/>
  <c r="S818" i="4"/>
  <c r="H457" i="4"/>
  <c r="M457" i="4" s="1"/>
  <c r="CM94" i="13"/>
  <c r="BJ94" i="13"/>
  <c r="BU93" i="13"/>
  <c r="F1175" i="4" s="1"/>
  <c r="G1175" i="4"/>
  <c r="AP98" i="13"/>
  <c r="AR98" i="13" s="1"/>
  <c r="X98" i="13"/>
  <c r="AI97" i="13"/>
  <c r="F457" i="4" s="1"/>
  <c r="P457" i="4" s="1"/>
  <c r="G457" i="4"/>
  <c r="O66" i="13"/>
  <c r="H65" i="4" l="1"/>
  <c r="M65" i="4" s="1"/>
  <c r="P1175" i="4"/>
  <c r="S1175" i="4"/>
  <c r="Q457" i="4"/>
  <c r="K457" i="4"/>
  <c r="J457" i="4"/>
  <c r="Q1175" i="4"/>
  <c r="K1175" i="4"/>
  <c r="J1175" i="4"/>
  <c r="N818" i="4"/>
  <c r="L818" i="4"/>
  <c r="O817" i="4"/>
  <c r="G1537" i="4"/>
  <c r="H1537" i="4"/>
  <c r="CC95" i="13"/>
  <c r="CB95" i="13" s="1"/>
  <c r="CD95" i="13" s="1"/>
  <c r="CN94" i="13"/>
  <c r="F1537" i="4" s="1"/>
  <c r="BI94" i="13"/>
  <c r="BK94" i="13" s="1"/>
  <c r="AX98" i="13"/>
  <c r="AV98" i="13"/>
  <c r="W98" i="13"/>
  <c r="Y98" i="13" s="1"/>
  <c r="P66" i="13"/>
  <c r="E67" i="13"/>
  <c r="M1537" i="4" l="1"/>
  <c r="P1537" i="4"/>
  <c r="S1537" i="4"/>
  <c r="Q1537" i="4"/>
  <c r="K1537" i="4"/>
  <c r="J1537" i="4"/>
  <c r="N1175" i="4"/>
  <c r="L1175" i="4"/>
  <c r="O1174" i="4"/>
  <c r="L457" i="4"/>
  <c r="N457" i="4"/>
  <c r="O456" i="4"/>
  <c r="F65" i="4"/>
  <c r="G65" i="4"/>
  <c r="BA98" i="13"/>
  <c r="CH95" i="13"/>
  <c r="CJ95" i="13"/>
  <c r="BO94" i="13"/>
  <c r="BQ94" i="13"/>
  <c r="AC98" i="13"/>
  <c r="AE98" i="13"/>
  <c r="D67" i="13"/>
  <c r="H819" i="4" l="1"/>
  <c r="M819" i="4" s="1"/>
  <c r="BC98" i="13"/>
  <c r="G819" i="4" s="1"/>
  <c r="P65" i="4"/>
  <c r="S65" i="4"/>
  <c r="L1537" i="4"/>
  <c r="N1537" i="4"/>
  <c r="O1536" i="4"/>
  <c r="Q65" i="4"/>
  <c r="K65" i="4"/>
  <c r="J65" i="4"/>
  <c r="BB98" i="13"/>
  <c r="F819" i="4" s="1"/>
  <c r="P819" i="4" s="1"/>
  <c r="S426" i="4"/>
  <c r="AQ99" i="13"/>
  <c r="AP99" i="13" s="1"/>
  <c r="AR99" i="13" s="1"/>
  <c r="CM95" i="13"/>
  <c r="BT94" i="13"/>
  <c r="H1176" i="4" s="1"/>
  <c r="AH98" i="13"/>
  <c r="AJ98" i="13" s="1"/>
  <c r="F67" i="13"/>
  <c r="H1538" i="4" l="1"/>
  <c r="M1538" i="4" s="1"/>
  <c r="CO95" i="13"/>
  <c r="G1538" i="4" s="1"/>
  <c r="M1176" i="4"/>
  <c r="K819" i="4"/>
  <c r="Q819" i="4"/>
  <c r="J819" i="4"/>
  <c r="N65" i="4"/>
  <c r="L65" i="4"/>
  <c r="O64" i="4"/>
  <c r="S819" i="4"/>
  <c r="H458" i="4"/>
  <c r="M458" i="4" s="1"/>
  <c r="CC96" i="13"/>
  <c r="CN95" i="13"/>
  <c r="F1538" i="4" s="1"/>
  <c r="G1176" i="4"/>
  <c r="BJ95" i="13"/>
  <c r="BU94" i="13"/>
  <c r="F1176" i="4" s="1"/>
  <c r="P1176" i="4" s="1"/>
  <c r="AX99" i="13"/>
  <c r="AV99" i="13"/>
  <c r="X99" i="13"/>
  <c r="G458" i="4"/>
  <c r="AI98" i="13"/>
  <c r="F458" i="4" s="1"/>
  <c r="P458" i="4" s="1"/>
  <c r="L67" i="13"/>
  <c r="J67" i="13"/>
  <c r="P1538" i="4" l="1"/>
  <c r="S1538" i="4"/>
  <c r="S1176" i="4"/>
  <c r="K1176" i="4"/>
  <c r="Q1176" i="4"/>
  <c r="J1176" i="4"/>
  <c r="Q458" i="4"/>
  <c r="K458" i="4"/>
  <c r="J458" i="4"/>
  <c r="K1538" i="4"/>
  <c r="Q1538" i="4"/>
  <c r="J1538" i="4"/>
  <c r="L819" i="4"/>
  <c r="N819" i="4"/>
  <c r="O818" i="4"/>
  <c r="BA99" i="13"/>
  <c r="CB96" i="13"/>
  <c r="CD96" i="13" s="1"/>
  <c r="BI95" i="13"/>
  <c r="BK95" i="13" s="1"/>
  <c r="W99" i="13"/>
  <c r="Y99" i="13" s="1"/>
  <c r="O67" i="13"/>
  <c r="H820" i="4" l="1"/>
  <c r="M820" i="4" s="1"/>
  <c r="BC99" i="13"/>
  <c r="G820" i="4" s="1"/>
  <c r="H66" i="4"/>
  <c r="M66" i="4" s="1"/>
  <c r="P8" i="5"/>
  <c r="L1538" i="4"/>
  <c r="N1538" i="4"/>
  <c r="O1537" i="4"/>
  <c r="L458" i="4"/>
  <c r="N458" i="4"/>
  <c r="O457" i="4"/>
  <c r="L1176" i="4"/>
  <c r="N1176" i="4"/>
  <c r="O1175" i="4"/>
  <c r="BB99" i="13"/>
  <c r="F820" i="4" s="1"/>
  <c r="P820" i="4" s="1"/>
  <c r="AQ100" i="13"/>
  <c r="AP100" i="13" s="1"/>
  <c r="AR100" i="13" s="1"/>
  <c r="CJ96" i="13"/>
  <c r="CH96" i="13"/>
  <c r="BQ95" i="13"/>
  <c r="BO95" i="13"/>
  <c r="AC99" i="13"/>
  <c r="AE99" i="13"/>
  <c r="E68" i="13"/>
  <c r="P67" i="13"/>
  <c r="AH99" i="13" l="1"/>
  <c r="K820" i="4"/>
  <c r="Q820" i="4"/>
  <c r="J820" i="4"/>
  <c r="S820" i="4"/>
  <c r="F66" i="4"/>
  <c r="G66" i="4"/>
  <c r="BT95" i="13"/>
  <c r="BV95" i="13" s="1"/>
  <c r="CM96" i="13"/>
  <c r="AV100" i="13"/>
  <c r="AX100" i="13"/>
  <c r="D68" i="13"/>
  <c r="H1539" i="4" l="1"/>
  <c r="M1539" i="4" s="1"/>
  <c r="CO96" i="13"/>
  <c r="G1539" i="4" s="1"/>
  <c r="AJ99" i="13"/>
  <c r="G459" i="4" s="1"/>
  <c r="AI99" i="13"/>
  <c r="F459" i="4" s="1"/>
  <c r="P459" i="4" s="1"/>
  <c r="P66" i="4"/>
  <c r="S66" i="4"/>
  <c r="N820" i="4"/>
  <c r="L820" i="4"/>
  <c r="O819" i="4"/>
  <c r="K66" i="4"/>
  <c r="Q66" i="4"/>
  <c r="J66" i="4"/>
  <c r="BJ96" i="13"/>
  <c r="BI96" i="13" s="1"/>
  <c r="BK96" i="13" s="1"/>
  <c r="H1177" i="4"/>
  <c r="H459" i="4"/>
  <c r="M459" i="4" s="1"/>
  <c r="H38" i="5"/>
  <c r="S427" i="4"/>
  <c r="G1177" i="4"/>
  <c r="BU95" i="13"/>
  <c r="F1177" i="4" s="1"/>
  <c r="P1177" i="4" s="1"/>
  <c r="CN96" i="13"/>
  <c r="F1539" i="4" s="1"/>
  <c r="CC97" i="13"/>
  <c r="BA100" i="13"/>
  <c r="X100" i="13"/>
  <c r="F68" i="13"/>
  <c r="H821" i="4" l="1"/>
  <c r="M821" i="4" s="1"/>
  <c r="BC100" i="13"/>
  <c r="G821" i="4" s="1"/>
  <c r="K38" i="5"/>
  <c r="L38" i="5"/>
  <c r="P1539" i="4"/>
  <c r="S1539" i="4"/>
  <c r="M1177" i="4"/>
  <c r="S1177" i="4"/>
  <c r="K1539" i="4"/>
  <c r="Q1539" i="4"/>
  <c r="J1539" i="4"/>
  <c r="K1177" i="4"/>
  <c r="Q1177" i="4"/>
  <c r="J1177" i="4"/>
  <c r="Q459" i="4"/>
  <c r="K459" i="4"/>
  <c r="J459" i="4"/>
  <c r="N66" i="4"/>
  <c r="L66" i="4"/>
  <c r="O65" i="4"/>
  <c r="BB100" i="13"/>
  <c r="F821" i="4" s="1"/>
  <c r="P821" i="4" s="1"/>
  <c r="Q38" i="5"/>
  <c r="I38" i="5"/>
  <c r="CB97" i="13"/>
  <c r="CD97" i="13" s="1"/>
  <c r="BO96" i="13"/>
  <c r="BQ96" i="13"/>
  <c r="AQ101" i="13"/>
  <c r="W100" i="13"/>
  <c r="Y100" i="13" s="1"/>
  <c r="J68" i="13"/>
  <c r="L68" i="13"/>
  <c r="K821" i="4" l="1"/>
  <c r="Q821" i="4"/>
  <c r="J821" i="4"/>
  <c r="L459" i="4"/>
  <c r="N459" i="4"/>
  <c r="O458" i="4"/>
  <c r="N1177" i="4"/>
  <c r="L1177" i="4"/>
  <c r="O1176" i="4"/>
  <c r="L1539" i="4"/>
  <c r="N1539" i="4"/>
  <c r="O1538" i="4"/>
  <c r="S821" i="4"/>
  <c r="CH97" i="13"/>
  <c r="CJ97" i="13"/>
  <c r="BT96" i="13"/>
  <c r="BV96" i="13" s="1"/>
  <c r="AP101" i="13"/>
  <c r="AR101" i="13" s="1"/>
  <c r="AE100" i="13"/>
  <c r="AC100" i="13"/>
  <c r="O68" i="13"/>
  <c r="H1178" i="4" l="1"/>
  <c r="M1178" i="4" s="1"/>
  <c r="G1178" i="4"/>
  <c r="H67" i="4"/>
  <c r="M67" i="4" s="1"/>
  <c r="L821" i="4"/>
  <c r="N821" i="4"/>
  <c r="O820" i="4"/>
  <c r="CM97" i="13"/>
  <c r="AH100" i="13"/>
  <c r="BJ97" i="13"/>
  <c r="BU96" i="13"/>
  <c r="F1178" i="4" s="1"/>
  <c r="P1178" i="4" s="1"/>
  <c r="AX101" i="13"/>
  <c r="AV101" i="13"/>
  <c r="P68" i="13"/>
  <c r="E69" i="13"/>
  <c r="H1540" i="4" l="1"/>
  <c r="M1540" i="4" s="1"/>
  <c r="CO97" i="13"/>
  <c r="G1540" i="4" s="1"/>
  <c r="AJ100" i="13"/>
  <c r="G460" i="4" s="1"/>
  <c r="H460" i="4"/>
  <c r="M460" i="4" s="1"/>
  <c r="S1178" i="4"/>
  <c r="Q1178" i="4"/>
  <c r="K1178" i="4"/>
  <c r="J1178" i="4"/>
  <c r="X101" i="13"/>
  <c r="AI100" i="13"/>
  <c r="F460" i="4" s="1"/>
  <c r="P460" i="4" s="1"/>
  <c r="G67" i="4"/>
  <c r="F67" i="4"/>
  <c r="BA101" i="13"/>
  <c r="CN97" i="13"/>
  <c r="F1540" i="4" s="1"/>
  <c r="CC98" i="13"/>
  <c r="BI97" i="13"/>
  <c r="BK97" i="13" s="1"/>
  <c r="D69" i="13"/>
  <c r="H822" i="4" l="1"/>
  <c r="M822" i="4" s="1"/>
  <c r="BC101" i="13"/>
  <c r="G822" i="4" s="1"/>
  <c r="W101" i="13"/>
  <c r="Y101" i="13" s="1"/>
  <c r="AC101" i="13" s="1"/>
  <c r="P1540" i="4"/>
  <c r="S1540" i="4"/>
  <c r="P67" i="4"/>
  <c r="S67" i="4"/>
  <c r="Q460" i="4"/>
  <c r="K460" i="4"/>
  <c r="J460" i="4"/>
  <c r="Q1540" i="4"/>
  <c r="K1540" i="4"/>
  <c r="J1540" i="4"/>
  <c r="N1178" i="4"/>
  <c r="L1178" i="4"/>
  <c r="O1177" i="4"/>
  <c r="K67" i="4"/>
  <c r="Q67" i="4"/>
  <c r="J67" i="4"/>
  <c r="BB101" i="13"/>
  <c r="F822" i="4" s="1"/>
  <c r="P822" i="4" s="1"/>
  <c r="AQ102" i="13"/>
  <c r="AP102" i="13" s="1"/>
  <c r="AR102" i="13" s="1"/>
  <c r="S428" i="4"/>
  <c r="CB98" i="13"/>
  <c r="CD98" i="13" s="1"/>
  <c r="BO97" i="13"/>
  <c r="BQ97" i="13"/>
  <c r="F69" i="13"/>
  <c r="AE101" i="13" l="1"/>
  <c r="AH101" i="13" s="1"/>
  <c r="Q822" i="4"/>
  <c r="K822" i="4"/>
  <c r="J822" i="4"/>
  <c r="L1540" i="4"/>
  <c r="N1540" i="4"/>
  <c r="O1539" i="4"/>
  <c r="N460" i="4"/>
  <c r="L460" i="4"/>
  <c r="O459" i="4"/>
  <c r="L67" i="4"/>
  <c r="N67" i="4"/>
  <c r="O66" i="4"/>
  <c r="S822" i="4"/>
  <c r="CH98" i="13"/>
  <c r="CJ98" i="13"/>
  <c r="BT97" i="13"/>
  <c r="BV97" i="13" s="1"/>
  <c r="AV102" i="13"/>
  <c r="AX102" i="13"/>
  <c r="L69" i="13"/>
  <c r="J69" i="13"/>
  <c r="H1179" i="4" l="1"/>
  <c r="M1179" i="4" s="1"/>
  <c r="G1179" i="4"/>
  <c r="AJ101" i="13"/>
  <c r="G461" i="4" s="1"/>
  <c r="H461" i="4"/>
  <c r="M461" i="4" s="1"/>
  <c r="L822" i="4"/>
  <c r="N822" i="4"/>
  <c r="O821" i="4"/>
  <c r="X102" i="13"/>
  <c r="AI101" i="13"/>
  <c r="F461" i="4" s="1"/>
  <c r="P461" i="4" s="1"/>
  <c r="CM98" i="13"/>
  <c r="BU97" i="13"/>
  <c r="F1179" i="4" s="1"/>
  <c r="P1179" i="4" s="1"/>
  <c r="BJ98" i="13"/>
  <c r="BA102" i="13"/>
  <c r="H823" i="4" s="1"/>
  <c r="M823" i="4" s="1"/>
  <c r="O69" i="13"/>
  <c r="H1541" i="4" l="1"/>
  <c r="M1541" i="4" s="1"/>
  <c r="CO98" i="13"/>
  <c r="G1541" i="4" s="1"/>
  <c r="W102" i="13"/>
  <c r="Y102" i="13" s="1"/>
  <c r="AC102" i="13" s="1"/>
  <c r="H68" i="4"/>
  <c r="M68" i="4" s="1"/>
  <c r="S1179" i="4"/>
  <c r="K461" i="4"/>
  <c r="Q461" i="4"/>
  <c r="J461" i="4"/>
  <c r="K1179" i="4"/>
  <c r="Q1179" i="4"/>
  <c r="J1179" i="4"/>
  <c r="BB102" i="13"/>
  <c r="F823" i="4" s="1"/>
  <c r="P823" i="4" s="1"/>
  <c r="CC99" i="13"/>
  <c r="CN98" i="13"/>
  <c r="F1541" i="4" s="1"/>
  <c r="BI98" i="13"/>
  <c r="BK98" i="13" s="1"/>
  <c r="G823" i="4"/>
  <c r="AQ103" i="13"/>
  <c r="E70" i="13"/>
  <c r="P69" i="13"/>
  <c r="AE102" i="13" l="1"/>
  <c r="AH102" i="13" s="1"/>
  <c r="P1541" i="4"/>
  <c r="S1541" i="4"/>
  <c r="K1541" i="4"/>
  <c r="Q1541" i="4"/>
  <c r="J1541" i="4"/>
  <c r="L1179" i="4"/>
  <c r="N1179" i="4"/>
  <c r="O1178" i="4"/>
  <c r="Q823" i="4"/>
  <c r="K823" i="4"/>
  <c r="J823" i="4"/>
  <c r="N461" i="4"/>
  <c r="L461" i="4"/>
  <c r="O460" i="4"/>
  <c r="S823" i="4"/>
  <c r="F68" i="4"/>
  <c r="G68" i="4"/>
  <c r="CB99" i="13"/>
  <c r="CD99" i="13" s="1"/>
  <c r="BQ98" i="13"/>
  <c r="BO98" i="13"/>
  <c r="AP103" i="13"/>
  <c r="AR103" i="13" s="1"/>
  <c r="D70" i="13"/>
  <c r="H462" i="4" l="1"/>
  <c r="M462" i="4" s="1"/>
  <c r="G462" i="4"/>
  <c r="P68" i="4"/>
  <c r="S68" i="4"/>
  <c r="L823" i="4"/>
  <c r="N823" i="4"/>
  <c r="O822" i="4"/>
  <c r="N1541" i="4"/>
  <c r="L1541" i="4"/>
  <c r="O1540" i="4"/>
  <c r="Q68" i="4"/>
  <c r="K68" i="4"/>
  <c r="J68" i="4"/>
  <c r="S429" i="4"/>
  <c r="BT98" i="13"/>
  <c r="BV98" i="13" s="1"/>
  <c r="CH99" i="13"/>
  <c r="CJ99" i="13"/>
  <c r="AV103" i="13"/>
  <c r="AX103" i="13"/>
  <c r="X103" i="13"/>
  <c r="AI102" i="13"/>
  <c r="F462" i="4" s="1"/>
  <c r="P462" i="4" s="1"/>
  <c r="F70" i="13"/>
  <c r="K462" i="4" l="1"/>
  <c r="Q462" i="4"/>
  <c r="J462" i="4"/>
  <c r="L68" i="4"/>
  <c r="N68" i="4"/>
  <c r="O67" i="4"/>
  <c r="BJ99" i="13"/>
  <c r="BI99" i="13" s="1"/>
  <c r="BK99" i="13" s="1"/>
  <c r="H1180" i="4"/>
  <c r="G1180" i="4"/>
  <c r="BU98" i="13"/>
  <c r="F1180" i="4" s="1"/>
  <c r="P1180" i="4" s="1"/>
  <c r="CM99" i="13"/>
  <c r="BA103" i="13"/>
  <c r="H824" i="4" s="1"/>
  <c r="W103" i="13"/>
  <c r="Y103" i="13" s="1"/>
  <c r="L70" i="13"/>
  <c r="J70" i="13"/>
  <c r="H1542" i="4" l="1"/>
  <c r="M1542" i="4" s="1"/>
  <c r="CO99" i="13"/>
  <c r="G1542" i="4" s="1"/>
  <c r="M824" i="4"/>
  <c r="P71" i="5"/>
  <c r="M1180" i="4"/>
  <c r="S1180" i="4"/>
  <c r="Q1180" i="4"/>
  <c r="K1180" i="4"/>
  <c r="J1180" i="4"/>
  <c r="L462" i="4"/>
  <c r="N462" i="4"/>
  <c r="O461" i="4"/>
  <c r="BB103" i="13"/>
  <c r="F824" i="4" s="1"/>
  <c r="P824" i="4" s="1"/>
  <c r="CC100" i="13"/>
  <c r="CN99" i="13"/>
  <c r="F1542" i="4" s="1"/>
  <c r="BQ99" i="13"/>
  <c r="BO99" i="13"/>
  <c r="AQ104" i="13"/>
  <c r="G824" i="4"/>
  <c r="AC103" i="13"/>
  <c r="AE103" i="13"/>
  <c r="O70" i="13"/>
  <c r="H69" i="4" l="1"/>
  <c r="M69" i="4" s="1"/>
  <c r="P1542" i="4"/>
  <c r="S1542" i="4"/>
  <c r="Q824" i="4"/>
  <c r="K824" i="4"/>
  <c r="J824" i="4"/>
  <c r="L1180" i="4"/>
  <c r="N1180" i="4"/>
  <c r="O1179" i="4"/>
  <c r="Q1542" i="4"/>
  <c r="J1542" i="4"/>
  <c r="K1542" i="4"/>
  <c r="S824" i="4"/>
  <c r="BT99" i="13"/>
  <c r="BV99" i="13" s="1"/>
  <c r="CB100" i="13"/>
  <c r="CD100" i="13" s="1"/>
  <c r="AP104" i="13"/>
  <c r="AR104" i="13" s="1"/>
  <c r="AH103" i="13"/>
  <c r="P70" i="13"/>
  <c r="E71" i="13"/>
  <c r="H463" i="4" l="1"/>
  <c r="P41" i="5" s="1"/>
  <c r="L1542" i="4"/>
  <c r="N1542" i="4"/>
  <c r="O1541" i="4"/>
  <c r="L824" i="4"/>
  <c r="N824" i="4"/>
  <c r="O823" i="4"/>
  <c r="G1181" i="4"/>
  <c r="H1181" i="4"/>
  <c r="F69" i="4"/>
  <c r="G69" i="4"/>
  <c r="BU99" i="13"/>
  <c r="F1181" i="4" s="1"/>
  <c r="P1181" i="4" s="1"/>
  <c r="BJ100" i="13"/>
  <c r="BI100" i="13" s="1"/>
  <c r="BK100" i="13" s="1"/>
  <c r="CH100" i="13"/>
  <c r="CJ100" i="13"/>
  <c r="AV104" i="13"/>
  <c r="AX104" i="13"/>
  <c r="X104" i="13"/>
  <c r="G463" i="4"/>
  <c r="AI103" i="13"/>
  <c r="F463" i="4" s="1"/>
  <c r="P463" i="4" s="1"/>
  <c r="D71" i="13"/>
  <c r="M463" i="4" l="1"/>
  <c r="M1181" i="4"/>
  <c r="S1181" i="4"/>
  <c r="P69" i="4"/>
  <c r="S69" i="4"/>
  <c r="Q1181" i="4"/>
  <c r="K1181" i="4"/>
  <c r="J1181" i="4"/>
  <c r="Q463" i="4"/>
  <c r="J463" i="4"/>
  <c r="K463" i="4"/>
  <c r="Q69" i="4"/>
  <c r="J69" i="4"/>
  <c r="K69" i="4"/>
  <c r="S430" i="4"/>
  <c r="CM100" i="13"/>
  <c r="BO100" i="13"/>
  <c r="BQ100" i="13"/>
  <c r="BA104" i="13"/>
  <c r="H825" i="4" s="1"/>
  <c r="W104" i="13"/>
  <c r="Y104" i="13" s="1"/>
  <c r="F71" i="13"/>
  <c r="H1543" i="4" l="1"/>
  <c r="M1543" i="4" s="1"/>
  <c r="CO100" i="13"/>
  <c r="G1543" i="4" s="1"/>
  <c r="M825" i="4"/>
  <c r="L463" i="4"/>
  <c r="N463" i="4"/>
  <c r="O462" i="4"/>
  <c r="L1181" i="4"/>
  <c r="N1181" i="4"/>
  <c r="O1180" i="4"/>
  <c r="N69" i="4"/>
  <c r="L69" i="4"/>
  <c r="O68" i="4"/>
  <c r="BB104" i="13"/>
  <c r="F825" i="4" s="1"/>
  <c r="P825" i="4" s="1"/>
  <c r="CC101" i="13"/>
  <c r="CN100" i="13"/>
  <c r="F1543" i="4" s="1"/>
  <c r="BT100" i="13"/>
  <c r="BV100" i="13" s="1"/>
  <c r="G825" i="4"/>
  <c r="AQ105" i="13"/>
  <c r="AC104" i="13"/>
  <c r="AE104" i="13"/>
  <c r="L71" i="13"/>
  <c r="J71" i="13"/>
  <c r="H1182" i="4" l="1"/>
  <c r="M1182" i="4" s="1"/>
  <c r="G1182" i="4"/>
  <c r="P1543" i="4"/>
  <c r="S1543" i="4"/>
  <c r="K825" i="4"/>
  <c r="Q825" i="4"/>
  <c r="J825" i="4"/>
  <c r="Q1543" i="4"/>
  <c r="K1543" i="4"/>
  <c r="J1543" i="4"/>
  <c r="S825" i="4"/>
  <c r="CB101" i="13"/>
  <c r="CD101" i="13" s="1"/>
  <c r="BJ101" i="13"/>
  <c r="BU100" i="13"/>
  <c r="F1182" i="4" s="1"/>
  <c r="P1182" i="4" s="1"/>
  <c r="AP105" i="13"/>
  <c r="AR105" i="13" s="1"/>
  <c r="AH104" i="13"/>
  <c r="O71" i="13"/>
  <c r="Q71" i="13" s="1"/>
  <c r="H464" i="4" l="1"/>
  <c r="M464" i="4" s="1"/>
  <c r="H70" i="4"/>
  <c r="M70" i="4" s="1"/>
  <c r="S1182" i="4"/>
  <c r="K1182" i="4"/>
  <c r="Q1182" i="4"/>
  <c r="J1182" i="4"/>
  <c r="L1543" i="4"/>
  <c r="N1543" i="4"/>
  <c r="O1542" i="4"/>
  <c r="N825" i="4"/>
  <c r="L825" i="4"/>
  <c r="O824" i="4"/>
  <c r="CJ101" i="13"/>
  <c r="CH101" i="13"/>
  <c r="BI101" i="13"/>
  <c r="BK101" i="13" s="1"/>
  <c r="AX105" i="13"/>
  <c r="AV105" i="13"/>
  <c r="G464" i="4"/>
  <c r="AI104" i="13"/>
  <c r="F464" i="4" s="1"/>
  <c r="P464" i="4" s="1"/>
  <c r="X105" i="13"/>
  <c r="E72" i="13"/>
  <c r="P71" i="13"/>
  <c r="K464" i="4" l="1"/>
  <c r="Q464" i="4"/>
  <c r="J464" i="4"/>
  <c r="L1182" i="4"/>
  <c r="N1182" i="4"/>
  <c r="O1181" i="4"/>
  <c r="F70" i="4"/>
  <c r="G70" i="4"/>
  <c r="CM101" i="13"/>
  <c r="CO101" i="13" s="1"/>
  <c r="BA105" i="13"/>
  <c r="H826" i="4" s="1"/>
  <c r="BQ101" i="13"/>
  <c r="BO101" i="13"/>
  <c r="W105" i="13"/>
  <c r="Y105" i="13" s="1"/>
  <c r="D72" i="13"/>
  <c r="M826" i="4" l="1"/>
  <c r="P70" i="4"/>
  <c r="S70" i="4"/>
  <c r="N464" i="4"/>
  <c r="L464" i="4"/>
  <c r="O463" i="4"/>
  <c r="Q70" i="4"/>
  <c r="K70" i="4"/>
  <c r="J70" i="4"/>
  <c r="CC102" i="13"/>
  <c r="CB102" i="13" s="1"/>
  <c r="CD102" i="13" s="1"/>
  <c r="H1544" i="4"/>
  <c r="M1544" i="4" s="1"/>
  <c r="CN101" i="13"/>
  <c r="F1544" i="4" s="1"/>
  <c r="G1544" i="4"/>
  <c r="BB105" i="13"/>
  <c r="F826" i="4" s="1"/>
  <c r="P826" i="4" s="1"/>
  <c r="S431" i="4"/>
  <c r="G826" i="4"/>
  <c r="AQ106" i="13"/>
  <c r="AP106" i="13" s="1"/>
  <c r="AR106" i="13" s="1"/>
  <c r="BT101" i="13"/>
  <c r="BV101" i="13" s="1"/>
  <c r="AE105" i="13"/>
  <c r="AC105" i="13"/>
  <c r="F72" i="13"/>
  <c r="P1544" i="4" l="1"/>
  <c r="S1544" i="4"/>
  <c r="Q826" i="4"/>
  <c r="K826" i="4"/>
  <c r="J826" i="4"/>
  <c r="Q1544" i="4"/>
  <c r="K1544" i="4"/>
  <c r="J1544" i="4"/>
  <c r="L70" i="4"/>
  <c r="N70" i="4"/>
  <c r="O69" i="4"/>
  <c r="BU101" i="13"/>
  <c r="F1183" i="4" s="1"/>
  <c r="H1183" i="4"/>
  <c r="M1183" i="4" s="1"/>
  <c r="S826" i="4"/>
  <c r="AH105" i="13"/>
  <c r="G1183" i="4"/>
  <c r="BJ102" i="13"/>
  <c r="BI102" i="13" s="1"/>
  <c r="BK102" i="13" s="1"/>
  <c r="CH102" i="13"/>
  <c r="CJ102" i="13"/>
  <c r="AX106" i="13"/>
  <c r="AV106" i="13"/>
  <c r="L72" i="13"/>
  <c r="J72" i="13"/>
  <c r="G465" i="4" l="1"/>
  <c r="P1183" i="4"/>
  <c r="S1183" i="4"/>
  <c r="L1544" i="4"/>
  <c r="N1544" i="4"/>
  <c r="O1543" i="4"/>
  <c r="Q1183" i="4"/>
  <c r="K1183" i="4"/>
  <c r="J1183" i="4"/>
  <c r="N826" i="4"/>
  <c r="L826" i="4"/>
  <c r="O825" i="4"/>
  <c r="X106" i="13"/>
  <c r="AI105" i="13"/>
  <c r="F465" i="4" s="1"/>
  <c r="P465" i="4" s="1"/>
  <c r="H465" i="4"/>
  <c r="BA106" i="13"/>
  <c r="CM102" i="13"/>
  <c r="H1545" i="4" s="1"/>
  <c r="M1545" i="4" s="1"/>
  <c r="BO102" i="13"/>
  <c r="BQ102" i="13"/>
  <c r="O72" i="13"/>
  <c r="Q72" i="13" s="1"/>
  <c r="W106" i="13" l="1"/>
  <c r="Y106" i="13" s="1"/>
  <c r="AC106" i="13" s="1"/>
  <c r="Q465" i="4"/>
  <c r="J465" i="4"/>
  <c r="K465" i="4"/>
  <c r="N465" i="4" s="1"/>
  <c r="H71" i="4"/>
  <c r="M71" i="4" s="1"/>
  <c r="M465" i="4"/>
  <c r="L1183" i="4"/>
  <c r="N1183" i="4"/>
  <c r="O1182" i="4"/>
  <c r="AQ107" i="13"/>
  <c r="AP107" i="13" s="1"/>
  <c r="AR107" i="13" s="1"/>
  <c r="H827" i="4"/>
  <c r="BB106" i="13"/>
  <c r="F827" i="4" s="1"/>
  <c r="P827" i="4" s="1"/>
  <c r="G827" i="4"/>
  <c r="G1545" i="4"/>
  <c r="CN102" i="13"/>
  <c r="F1545" i="4" s="1"/>
  <c r="CC103" i="13"/>
  <c r="BT102" i="13"/>
  <c r="H1184" i="4" s="1"/>
  <c r="M1184" i="4" s="1"/>
  <c r="P72" i="13"/>
  <c r="E73" i="13"/>
  <c r="AE106" i="13" l="1"/>
  <c r="AH106" i="13" s="1"/>
  <c r="O464" i="4"/>
  <c r="L465" i="4"/>
  <c r="M827" i="4"/>
  <c r="P1545" i="4"/>
  <c r="S1545" i="4"/>
  <c r="K1545" i="4"/>
  <c r="Q1545" i="4"/>
  <c r="J1545" i="4"/>
  <c r="Q827" i="4"/>
  <c r="K827" i="4"/>
  <c r="J827" i="4"/>
  <c r="S827" i="4"/>
  <c r="G71" i="4"/>
  <c r="F71" i="4"/>
  <c r="CB103" i="13"/>
  <c r="CD103" i="13" s="1"/>
  <c r="G1184" i="4"/>
  <c r="BU102" i="13"/>
  <c r="F1184" i="4" s="1"/>
  <c r="BJ103" i="13"/>
  <c r="AV107" i="13"/>
  <c r="AX107" i="13"/>
  <c r="D73" i="13"/>
  <c r="G466" i="4" l="1"/>
  <c r="P1184" i="4"/>
  <c r="S1184" i="4"/>
  <c r="P71" i="4"/>
  <c r="S71" i="4"/>
  <c r="L827" i="4"/>
  <c r="N827" i="4"/>
  <c r="O826" i="4"/>
  <c r="Q1184" i="4"/>
  <c r="K1184" i="4"/>
  <c r="J1184" i="4"/>
  <c r="L1545" i="4"/>
  <c r="N1545" i="4"/>
  <c r="O1544" i="4"/>
  <c r="Q71" i="4"/>
  <c r="K71" i="4"/>
  <c r="J71" i="4"/>
  <c r="X107" i="13"/>
  <c r="AI106" i="13"/>
  <c r="F466" i="4" s="1"/>
  <c r="P466" i="4" s="1"/>
  <c r="H466" i="4"/>
  <c r="S432" i="4"/>
  <c r="CJ103" i="13"/>
  <c r="CH103" i="13"/>
  <c r="BI103" i="13"/>
  <c r="BK103" i="13" s="1"/>
  <c r="BA107" i="13"/>
  <c r="F73" i="13"/>
  <c r="H828" i="4" l="1"/>
  <c r="M828" i="4" s="1"/>
  <c r="BC107" i="13"/>
  <c r="G828" i="4" s="1"/>
  <c r="W107" i="13"/>
  <c r="Y107" i="13" s="1"/>
  <c r="AC107" i="13" s="1"/>
  <c r="Q466" i="4"/>
  <c r="K466" i="4"/>
  <c r="L466" i="4" s="1"/>
  <c r="J466" i="4"/>
  <c r="M466" i="4"/>
  <c r="L1184" i="4"/>
  <c r="N1184" i="4"/>
  <c r="O1183" i="4"/>
  <c r="L71" i="4"/>
  <c r="N71" i="4"/>
  <c r="O70" i="4"/>
  <c r="BB107" i="13"/>
  <c r="F828" i="4" s="1"/>
  <c r="P828" i="4" s="1"/>
  <c r="CM103" i="13"/>
  <c r="BO103" i="13"/>
  <c r="BQ103" i="13"/>
  <c r="AQ108" i="13"/>
  <c r="J73" i="13"/>
  <c r="L73" i="13"/>
  <c r="AE107" i="13" l="1"/>
  <c r="AH107" i="13" s="1"/>
  <c r="AJ107" i="13" s="1"/>
  <c r="O465" i="4"/>
  <c r="N466" i="4"/>
  <c r="K828" i="4"/>
  <c r="Q828" i="4"/>
  <c r="J828" i="4"/>
  <c r="CC104" i="13"/>
  <c r="CB104" i="13" s="1"/>
  <c r="CD104" i="13" s="1"/>
  <c r="H1546" i="4"/>
  <c r="S828" i="4"/>
  <c r="CN103" i="13"/>
  <c r="F1546" i="4" s="1"/>
  <c r="G1546" i="4"/>
  <c r="BT103" i="13"/>
  <c r="H1185" i="4" s="1"/>
  <c r="P101" i="5" s="1"/>
  <c r="AP108" i="13"/>
  <c r="AR108" i="13" s="1"/>
  <c r="O73" i="13"/>
  <c r="Q73" i="13" s="1"/>
  <c r="H72" i="4" l="1"/>
  <c r="M72" i="4" s="1"/>
  <c r="M1546" i="4"/>
  <c r="P131" i="5"/>
  <c r="M1185" i="4"/>
  <c r="P1546" i="4"/>
  <c r="S1546" i="4"/>
  <c r="Q1546" i="4"/>
  <c r="K1546" i="4"/>
  <c r="J1546" i="4"/>
  <c r="L828" i="4"/>
  <c r="N828" i="4"/>
  <c r="O827" i="4"/>
  <c r="H467" i="4"/>
  <c r="CJ104" i="13"/>
  <c r="CH104" i="13"/>
  <c r="BJ104" i="13"/>
  <c r="BU103" i="13"/>
  <c r="F1185" i="4" s="1"/>
  <c r="P1185" i="4" s="1"/>
  <c r="G1185" i="4"/>
  <c r="AX108" i="13"/>
  <c r="AV108" i="13"/>
  <c r="X108" i="13"/>
  <c r="AI107" i="13"/>
  <c r="F467" i="4" s="1"/>
  <c r="P467" i="4" s="1"/>
  <c r="G467" i="4"/>
  <c r="E74" i="13"/>
  <c r="P73" i="13"/>
  <c r="M467" i="4" l="1"/>
  <c r="S1185" i="4"/>
  <c r="Q1185" i="4"/>
  <c r="J1185" i="4"/>
  <c r="K1185" i="4"/>
  <c r="L1546" i="4"/>
  <c r="N1546" i="4"/>
  <c r="O1545" i="4"/>
  <c r="K467" i="4"/>
  <c r="Q467" i="4"/>
  <c r="J467" i="4"/>
  <c r="F72" i="4"/>
  <c r="G72" i="4"/>
  <c r="CM104" i="13"/>
  <c r="BA108" i="13"/>
  <c r="BI104" i="13"/>
  <c r="BK104" i="13" s="1"/>
  <c r="W108" i="13"/>
  <c r="Y108" i="13" s="1"/>
  <c r="D74" i="13"/>
  <c r="H829" i="4" l="1"/>
  <c r="M829" i="4" s="1"/>
  <c r="BC108" i="13"/>
  <c r="G829" i="4" s="1"/>
  <c r="P72" i="4"/>
  <c r="S72" i="4"/>
  <c r="L467" i="4"/>
  <c r="N467" i="4"/>
  <c r="O466" i="4"/>
  <c r="L1185" i="4"/>
  <c r="N1185" i="4"/>
  <c r="O1184" i="4"/>
  <c r="K72" i="4"/>
  <c r="Q72" i="4"/>
  <c r="J72" i="4"/>
  <c r="G1547" i="4"/>
  <c r="H1547" i="4"/>
  <c r="BB108" i="13"/>
  <c r="F829" i="4" s="1"/>
  <c r="P829" i="4" s="1"/>
  <c r="S433" i="4"/>
  <c r="AQ109" i="13"/>
  <c r="AP109" i="13" s="1"/>
  <c r="AR109" i="13" s="1"/>
  <c r="CN104" i="13"/>
  <c r="F1547" i="4" s="1"/>
  <c r="CC105" i="13"/>
  <c r="CB105" i="13" s="1"/>
  <c r="CD105" i="13" s="1"/>
  <c r="BQ104" i="13"/>
  <c r="BO104" i="13"/>
  <c r="AC108" i="13"/>
  <c r="AE108" i="13"/>
  <c r="F74" i="13"/>
  <c r="M1547" i="4" l="1"/>
  <c r="P1547" i="4"/>
  <c r="S1547" i="4"/>
  <c r="K829" i="4"/>
  <c r="Q829" i="4"/>
  <c r="J829" i="4"/>
  <c r="Q1547" i="4"/>
  <c r="K1547" i="4"/>
  <c r="J1547" i="4"/>
  <c r="L72" i="4"/>
  <c r="N72" i="4"/>
  <c r="O71" i="4"/>
  <c r="S829" i="4"/>
  <c r="BT104" i="13"/>
  <c r="CJ105" i="13"/>
  <c r="CH105" i="13"/>
  <c r="AX109" i="13"/>
  <c r="AV109" i="13"/>
  <c r="AH108" i="13"/>
  <c r="AJ108" i="13" s="1"/>
  <c r="L74" i="13"/>
  <c r="J74" i="13"/>
  <c r="N1547" i="4" l="1"/>
  <c r="L1547" i="4"/>
  <c r="O1546" i="4"/>
  <c r="L829" i="4"/>
  <c r="N829" i="4"/>
  <c r="O828" i="4"/>
  <c r="G1186" i="4"/>
  <c r="H1186" i="4"/>
  <c r="H468" i="4"/>
  <c r="M468" i="4" s="1"/>
  <c r="CM105" i="13"/>
  <c r="BJ105" i="13"/>
  <c r="BI105" i="13" s="1"/>
  <c r="BK105" i="13" s="1"/>
  <c r="BU104" i="13"/>
  <c r="F1186" i="4" s="1"/>
  <c r="BA109" i="13"/>
  <c r="BC109" i="13" s="1"/>
  <c r="X109" i="13"/>
  <c r="G468" i="4"/>
  <c r="AI108" i="13"/>
  <c r="F468" i="4" s="1"/>
  <c r="P468" i="4" s="1"/>
  <c r="O74" i="13"/>
  <c r="Q74" i="13" s="1"/>
  <c r="H73" i="4" l="1"/>
  <c r="M73" i="4" s="1"/>
  <c r="M1186" i="4"/>
  <c r="P1186" i="4"/>
  <c r="S1186" i="4"/>
  <c r="K468" i="4"/>
  <c r="Q468" i="4"/>
  <c r="J468" i="4"/>
  <c r="K1186" i="4"/>
  <c r="Q1186" i="4"/>
  <c r="J1186" i="4"/>
  <c r="CC106" i="13"/>
  <c r="CB106" i="13" s="1"/>
  <c r="CD106" i="13" s="1"/>
  <c r="H1548" i="4"/>
  <c r="H830" i="4"/>
  <c r="M830" i="4" s="1"/>
  <c r="CN105" i="13"/>
  <c r="F1548" i="4" s="1"/>
  <c r="G1548" i="4"/>
  <c r="G830" i="4"/>
  <c r="BB109" i="13"/>
  <c r="F830" i="4" s="1"/>
  <c r="P830" i="4" s="1"/>
  <c r="AQ110" i="13"/>
  <c r="AP110" i="13" s="1"/>
  <c r="AR110" i="13" s="1"/>
  <c r="BO105" i="13"/>
  <c r="BQ105" i="13"/>
  <c r="W109" i="13"/>
  <c r="Y109" i="13" s="1"/>
  <c r="P74" i="13"/>
  <c r="E75" i="13"/>
  <c r="M1548" i="4" l="1"/>
  <c r="P1548" i="4"/>
  <c r="S1548" i="4"/>
  <c r="Q830" i="4"/>
  <c r="K830" i="4"/>
  <c r="J830" i="4"/>
  <c r="Q1548" i="4"/>
  <c r="K1548" i="4"/>
  <c r="J1548" i="4"/>
  <c r="N1186" i="4"/>
  <c r="L1186" i="4"/>
  <c r="O1185" i="4"/>
  <c r="L468" i="4"/>
  <c r="N468" i="4"/>
  <c r="O467" i="4"/>
  <c r="S830" i="4"/>
  <c r="G73" i="4"/>
  <c r="F73" i="4"/>
  <c r="CJ106" i="13"/>
  <c r="CH106" i="13"/>
  <c r="BT105" i="13"/>
  <c r="H1187" i="4" s="1"/>
  <c r="AX110" i="13"/>
  <c r="AV110" i="13"/>
  <c r="AC109" i="13"/>
  <c r="AE109" i="13"/>
  <c r="D75" i="13"/>
  <c r="M1187" i="4" l="1"/>
  <c r="P73" i="4"/>
  <c r="S73" i="4"/>
  <c r="N1548" i="4"/>
  <c r="L1548" i="4"/>
  <c r="O1547" i="4"/>
  <c r="L830" i="4"/>
  <c r="N830" i="4"/>
  <c r="O829" i="4"/>
  <c r="Q73" i="4"/>
  <c r="K73" i="4"/>
  <c r="J73" i="4"/>
  <c r="S434" i="4"/>
  <c r="CM106" i="13"/>
  <c r="BA110" i="13"/>
  <c r="BJ106" i="13"/>
  <c r="G1187" i="4"/>
  <c r="BU105" i="13"/>
  <c r="F1187" i="4" s="1"/>
  <c r="P1187" i="4" s="1"/>
  <c r="AH109" i="13"/>
  <c r="AJ109" i="13" s="1"/>
  <c r="F75" i="13"/>
  <c r="H831" i="4" l="1"/>
  <c r="M831" i="4" s="1"/>
  <c r="BC110" i="13"/>
  <c r="G831" i="4" s="1"/>
  <c r="S1187" i="4"/>
  <c r="Q1187" i="4"/>
  <c r="K1187" i="4"/>
  <c r="J1187" i="4"/>
  <c r="L73" i="4"/>
  <c r="N73" i="4"/>
  <c r="O72" i="4"/>
  <c r="CC107" i="13"/>
  <c r="CB107" i="13" s="1"/>
  <c r="CD107" i="13" s="1"/>
  <c r="H1549" i="4"/>
  <c r="BB110" i="13"/>
  <c r="F831" i="4" s="1"/>
  <c r="P831" i="4" s="1"/>
  <c r="H469" i="4"/>
  <c r="M469" i="4" s="1"/>
  <c r="CN106" i="13"/>
  <c r="F1549" i="4" s="1"/>
  <c r="G1549" i="4"/>
  <c r="AQ111" i="13"/>
  <c r="AP111" i="13" s="1"/>
  <c r="AR111" i="13" s="1"/>
  <c r="BI106" i="13"/>
  <c r="BK106" i="13" s="1"/>
  <c r="G469" i="4"/>
  <c r="AI109" i="13"/>
  <c r="F469" i="4" s="1"/>
  <c r="P469" i="4" s="1"/>
  <c r="X110" i="13"/>
  <c r="L75" i="13"/>
  <c r="J75" i="13"/>
  <c r="M1549" i="4" l="1"/>
  <c r="P1549" i="4"/>
  <c r="S1549" i="4"/>
  <c r="Q469" i="4"/>
  <c r="K469" i="4"/>
  <c r="J469" i="4"/>
  <c r="Q1549" i="4"/>
  <c r="K1549" i="4"/>
  <c r="J1549" i="4"/>
  <c r="L1187" i="4"/>
  <c r="N1187" i="4"/>
  <c r="O1186" i="4"/>
  <c r="K831" i="4"/>
  <c r="Q831" i="4"/>
  <c r="J831" i="4"/>
  <c r="S831" i="4"/>
  <c r="CH107" i="13"/>
  <c r="CJ107" i="13"/>
  <c r="BO106" i="13"/>
  <c r="BQ106" i="13"/>
  <c r="AX111" i="13"/>
  <c r="AV111" i="13"/>
  <c r="W110" i="13"/>
  <c r="Y110" i="13" s="1"/>
  <c r="O75" i="13"/>
  <c r="Q75" i="13" s="1"/>
  <c r="H74" i="4" l="1"/>
  <c r="M74" i="4" s="1"/>
  <c r="N469" i="4"/>
  <c r="L469" i="4"/>
  <c r="O468" i="4"/>
  <c r="L831" i="4"/>
  <c r="N831" i="4"/>
  <c r="O830" i="4"/>
  <c r="L1549" i="4"/>
  <c r="N1549" i="4"/>
  <c r="O1548" i="4"/>
  <c r="BA111" i="13"/>
  <c r="CM107" i="13"/>
  <c r="BT106" i="13"/>
  <c r="H1188" i="4" s="1"/>
  <c r="M1188" i="4" s="1"/>
  <c r="AE110" i="13"/>
  <c r="AC110" i="13"/>
  <c r="P75" i="13"/>
  <c r="E76" i="13"/>
  <c r="H1550" i="4" l="1"/>
  <c r="M1550" i="4" s="1"/>
  <c r="CO107" i="13"/>
  <c r="G1550" i="4" s="1"/>
  <c r="H832" i="4"/>
  <c r="M832" i="4" s="1"/>
  <c r="BC111" i="13"/>
  <c r="G832" i="4" s="1"/>
  <c r="BB111" i="13"/>
  <c r="F832" i="4" s="1"/>
  <c r="P832" i="4" s="1"/>
  <c r="F74" i="4"/>
  <c r="G74" i="4"/>
  <c r="AQ112" i="13"/>
  <c r="AP112" i="13" s="1"/>
  <c r="AR112" i="13" s="1"/>
  <c r="AH110" i="13"/>
  <c r="AJ110" i="13" s="1"/>
  <c r="CN107" i="13"/>
  <c r="F1550" i="4" s="1"/>
  <c r="CC108" i="13"/>
  <c r="BJ107" i="13"/>
  <c r="G1188" i="4"/>
  <c r="BU106" i="13"/>
  <c r="F1188" i="4" s="1"/>
  <c r="D76" i="13"/>
  <c r="P1188" i="4" l="1"/>
  <c r="S1188" i="4"/>
  <c r="P1550" i="4"/>
  <c r="S1550" i="4"/>
  <c r="P74" i="4"/>
  <c r="S74" i="4"/>
  <c r="Q1188" i="4"/>
  <c r="K1188" i="4"/>
  <c r="J1188" i="4"/>
  <c r="Q1550" i="4"/>
  <c r="K1550" i="4"/>
  <c r="J1550" i="4"/>
  <c r="Q832" i="4"/>
  <c r="K832" i="4"/>
  <c r="J832" i="4"/>
  <c r="Q74" i="4"/>
  <c r="K74" i="4"/>
  <c r="J74" i="4"/>
  <c r="S832" i="4"/>
  <c r="G470" i="4"/>
  <c r="H470" i="4"/>
  <c r="M470" i="4" s="1"/>
  <c r="AI110" i="13"/>
  <c r="F470" i="4" s="1"/>
  <c r="P470" i="4" s="1"/>
  <c r="X111" i="13"/>
  <c r="S435" i="4"/>
  <c r="CB108" i="13"/>
  <c r="CD108" i="13" s="1"/>
  <c r="BI107" i="13"/>
  <c r="BK107" i="13" s="1"/>
  <c r="AV112" i="13"/>
  <c r="AX112" i="13"/>
  <c r="F76" i="13"/>
  <c r="W111" i="13" l="1"/>
  <c r="Y111" i="13" s="1"/>
  <c r="AE111" i="13" s="1"/>
  <c r="L1550" i="4"/>
  <c r="N1550" i="4"/>
  <c r="O1549" i="4"/>
  <c r="L1188" i="4"/>
  <c r="N1188" i="4"/>
  <c r="O1187" i="4"/>
  <c r="K470" i="4"/>
  <c r="Q470" i="4"/>
  <c r="J470" i="4"/>
  <c r="L832" i="4"/>
  <c r="N832" i="4"/>
  <c r="O831" i="4"/>
  <c r="N74" i="4"/>
  <c r="L74" i="4"/>
  <c r="O73" i="4"/>
  <c r="CJ108" i="13"/>
  <c r="CH108" i="13"/>
  <c r="BO107" i="13"/>
  <c r="BQ107" i="13"/>
  <c r="BA112" i="13"/>
  <c r="L76" i="13"/>
  <c r="J76" i="13"/>
  <c r="H833" i="4" l="1"/>
  <c r="M833" i="4" s="1"/>
  <c r="BC112" i="13"/>
  <c r="G833" i="4" s="1"/>
  <c r="AC111" i="13"/>
  <c r="AH111" i="13" s="1"/>
  <c r="AJ111" i="13" s="1"/>
  <c r="N470" i="4"/>
  <c r="L470" i="4"/>
  <c r="O469" i="4"/>
  <c r="BB112" i="13"/>
  <c r="F833" i="4" s="1"/>
  <c r="P833" i="4" s="1"/>
  <c r="CM108" i="13"/>
  <c r="CO108" i="13" s="1"/>
  <c r="BT107" i="13"/>
  <c r="BV107" i="13" s="1"/>
  <c r="AQ113" i="13"/>
  <c r="O76" i="13"/>
  <c r="Q76" i="13" s="1"/>
  <c r="H1189" i="4" l="1"/>
  <c r="M1189" i="4" s="1"/>
  <c r="G1189" i="4"/>
  <c r="H471" i="4"/>
  <c r="M471" i="4" s="1"/>
  <c r="G471" i="4"/>
  <c r="H75" i="4"/>
  <c r="M75" i="4" s="1"/>
  <c r="K833" i="4"/>
  <c r="Q833" i="4"/>
  <c r="J833" i="4"/>
  <c r="CC109" i="13"/>
  <c r="CB109" i="13" s="1"/>
  <c r="CD109" i="13" s="1"/>
  <c r="H1551" i="4"/>
  <c r="M1551" i="4" s="1"/>
  <c r="S833" i="4"/>
  <c r="X112" i="13"/>
  <c r="AI111" i="13"/>
  <c r="F471" i="4" s="1"/>
  <c r="P471" i="4" s="1"/>
  <c r="G1551" i="4"/>
  <c r="CN108" i="13"/>
  <c r="F1551" i="4" s="1"/>
  <c r="BU107" i="13"/>
  <c r="F1189" i="4" s="1"/>
  <c r="BJ108" i="13"/>
  <c r="AP113" i="13"/>
  <c r="AR113" i="13" s="1"/>
  <c r="E77" i="13"/>
  <c r="P76" i="13"/>
  <c r="W112" i="13" l="1"/>
  <c r="Y112" i="13" s="1"/>
  <c r="AC112" i="13" s="1"/>
  <c r="P1189" i="4"/>
  <c r="S1189" i="4"/>
  <c r="P1551" i="4"/>
  <c r="S1551" i="4"/>
  <c r="Q1189" i="4"/>
  <c r="K1189" i="4"/>
  <c r="J1189" i="4"/>
  <c r="K471" i="4"/>
  <c r="Q471" i="4"/>
  <c r="J471" i="4"/>
  <c r="Q1551" i="4"/>
  <c r="K1551" i="4"/>
  <c r="J1551" i="4"/>
  <c r="L833" i="4"/>
  <c r="N833" i="4"/>
  <c r="O832" i="4"/>
  <c r="F75" i="4"/>
  <c r="G75" i="4"/>
  <c r="CJ109" i="13"/>
  <c r="CH109" i="13"/>
  <c r="BI108" i="13"/>
  <c r="BK108" i="13" s="1"/>
  <c r="AV113" i="13"/>
  <c r="AX113" i="13"/>
  <c r="D77" i="13"/>
  <c r="AE112" i="13" l="1"/>
  <c r="AH112" i="13" s="1"/>
  <c r="AJ112" i="13" s="1"/>
  <c r="P75" i="4"/>
  <c r="S75" i="4"/>
  <c r="N471" i="4"/>
  <c r="L471" i="4"/>
  <c r="O470" i="4"/>
  <c r="L1551" i="4"/>
  <c r="N1551" i="4"/>
  <c r="O1550" i="4"/>
  <c r="L1189" i="4"/>
  <c r="N1189" i="4"/>
  <c r="O1188" i="4"/>
  <c r="Q75" i="4"/>
  <c r="K75" i="4"/>
  <c r="J75" i="4"/>
  <c r="S436" i="4"/>
  <c r="CM109" i="13"/>
  <c r="CO109" i="13" s="1"/>
  <c r="BO108" i="13"/>
  <c r="BQ108" i="13"/>
  <c r="BA113" i="13"/>
  <c r="F77" i="13"/>
  <c r="H834" i="4" l="1"/>
  <c r="M834" i="4" s="1"/>
  <c r="BC113" i="13"/>
  <c r="G834" i="4" s="1"/>
  <c r="H472" i="4"/>
  <c r="M472" i="4" s="1"/>
  <c r="N75" i="4"/>
  <c r="L75" i="4"/>
  <c r="O74" i="4"/>
  <c r="G1552" i="4"/>
  <c r="H1552" i="4"/>
  <c r="M1552" i="4" s="1"/>
  <c r="BB113" i="13"/>
  <c r="F834" i="4" s="1"/>
  <c r="P834" i="4" s="1"/>
  <c r="CN109" i="13"/>
  <c r="F1552" i="4" s="1"/>
  <c r="CC110" i="13"/>
  <c r="CB110" i="13" s="1"/>
  <c r="CD110" i="13" s="1"/>
  <c r="BT108" i="13"/>
  <c r="BV108" i="13" s="1"/>
  <c r="AQ114" i="13"/>
  <c r="X113" i="13"/>
  <c r="AI112" i="13"/>
  <c r="F472" i="4" s="1"/>
  <c r="P472" i="4" s="1"/>
  <c r="G472" i="4"/>
  <c r="L77" i="13"/>
  <c r="J77" i="13"/>
  <c r="H1190" i="4" l="1"/>
  <c r="M1190" i="4" s="1"/>
  <c r="G1190" i="4"/>
  <c r="P1552" i="4"/>
  <c r="S1552" i="4"/>
  <c r="K472" i="4"/>
  <c r="Q472" i="4"/>
  <c r="J472" i="4"/>
  <c r="K834" i="4"/>
  <c r="Q834" i="4"/>
  <c r="J834" i="4"/>
  <c r="Q1552" i="4"/>
  <c r="K1552" i="4"/>
  <c r="J1552" i="4"/>
  <c r="S834" i="4"/>
  <c r="CH110" i="13"/>
  <c r="CJ110" i="13"/>
  <c r="BJ109" i="13"/>
  <c r="BU108" i="13"/>
  <c r="F1190" i="4" s="1"/>
  <c r="P1190" i="4" s="1"/>
  <c r="AP114" i="13"/>
  <c r="AR114" i="13" s="1"/>
  <c r="W113" i="13"/>
  <c r="Y113" i="13" s="1"/>
  <c r="O77" i="13"/>
  <c r="Q77" i="13" s="1"/>
  <c r="H76" i="4" l="1"/>
  <c r="M76" i="4" s="1"/>
  <c r="S1190" i="4"/>
  <c r="Q1190" i="4"/>
  <c r="K1190" i="4"/>
  <c r="J1190" i="4"/>
  <c r="N1552" i="4"/>
  <c r="L1552" i="4"/>
  <c r="O1551" i="4"/>
  <c r="N834" i="4"/>
  <c r="L834" i="4"/>
  <c r="O833" i="4"/>
  <c r="L472" i="4"/>
  <c r="N472" i="4"/>
  <c r="O471" i="4"/>
  <c r="CM110" i="13"/>
  <c r="BI109" i="13"/>
  <c r="BK109" i="13" s="1"/>
  <c r="AX114" i="13"/>
  <c r="AV114" i="13"/>
  <c r="AC113" i="13"/>
  <c r="AE113" i="13"/>
  <c r="E78" i="13"/>
  <c r="P77" i="13"/>
  <c r="H1553" i="4" l="1"/>
  <c r="M1553" i="4" s="1"/>
  <c r="CO110" i="13"/>
  <c r="G1553" i="4" s="1"/>
  <c r="N1190" i="4"/>
  <c r="L1190" i="4"/>
  <c r="O1189" i="4"/>
  <c r="F76" i="4"/>
  <c r="G76" i="4"/>
  <c r="BA114" i="13"/>
  <c r="H835" i="4" s="1"/>
  <c r="M835" i="4" s="1"/>
  <c r="CC111" i="13"/>
  <c r="CN110" i="13"/>
  <c r="F1553" i="4" s="1"/>
  <c r="BO109" i="13"/>
  <c r="BQ109" i="13"/>
  <c r="AH113" i="13"/>
  <c r="AJ113" i="13" s="1"/>
  <c r="D78" i="13"/>
  <c r="H473" i="4" l="1"/>
  <c r="M473" i="4" s="1"/>
  <c r="P1553" i="4"/>
  <c r="S1553" i="4"/>
  <c r="P76" i="4"/>
  <c r="S76" i="4"/>
  <c r="Q1553" i="4"/>
  <c r="K1553" i="4"/>
  <c r="J1553" i="4"/>
  <c r="K76" i="4"/>
  <c r="Q76" i="4"/>
  <c r="J76" i="4"/>
  <c r="G835" i="4"/>
  <c r="AQ115" i="13"/>
  <c r="AP115" i="13" s="1"/>
  <c r="AR115" i="13" s="1"/>
  <c r="BB114" i="13"/>
  <c r="F835" i="4" s="1"/>
  <c r="P835" i="4" s="1"/>
  <c r="S437" i="4"/>
  <c r="CB111" i="13"/>
  <c r="CD111" i="13" s="1"/>
  <c r="BT109" i="13"/>
  <c r="BV109" i="13" s="1"/>
  <c r="X114" i="13"/>
  <c r="G473" i="4"/>
  <c r="AI113" i="13"/>
  <c r="F473" i="4" s="1"/>
  <c r="P473" i="4" s="1"/>
  <c r="F78" i="13"/>
  <c r="H1191" i="4" l="1"/>
  <c r="M1191" i="4" s="1"/>
  <c r="G1191" i="4"/>
  <c r="K835" i="4"/>
  <c r="Q835" i="4"/>
  <c r="J835" i="4"/>
  <c r="K473" i="4"/>
  <c r="Q473" i="4"/>
  <c r="J473" i="4"/>
  <c r="L1553" i="4"/>
  <c r="N1553" i="4"/>
  <c r="O1552" i="4"/>
  <c r="L76" i="4"/>
  <c r="N76" i="4"/>
  <c r="O75" i="4"/>
  <c r="S835" i="4"/>
  <c r="CJ111" i="13"/>
  <c r="CH111" i="13"/>
  <c r="BJ110" i="13"/>
  <c r="BU109" i="13"/>
  <c r="F1191" i="4" s="1"/>
  <c r="P1191" i="4" s="1"/>
  <c r="AX115" i="13"/>
  <c r="AV115" i="13"/>
  <c r="W114" i="13"/>
  <c r="Y114" i="13" s="1"/>
  <c r="L78" i="13"/>
  <c r="J78" i="13"/>
  <c r="S1191" i="4" l="1"/>
  <c r="K1191" i="4"/>
  <c r="Q1191" i="4"/>
  <c r="J1191" i="4"/>
  <c r="L473" i="4"/>
  <c r="N473" i="4"/>
  <c r="O472" i="4"/>
  <c r="N835" i="4"/>
  <c r="L835" i="4"/>
  <c r="O834" i="4"/>
  <c r="BA115" i="13"/>
  <c r="H836" i="4" s="1"/>
  <c r="CM111" i="13"/>
  <c r="BI110" i="13"/>
  <c r="BK110" i="13" s="1"/>
  <c r="AC114" i="13"/>
  <c r="AE114" i="13"/>
  <c r="O78" i="13"/>
  <c r="H1554" i="4" l="1"/>
  <c r="M1554" i="4" s="1"/>
  <c r="CO111" i="13"/>
  <c r="G1554" i="4" s="1"/>
  <c r="H77" i="4"/>
  <c r="M77" i="4" s="1"/>
  <c r="M836" i="4"/>
  <c r="P72" i="5"/>
  <c r="L1191" i="4"/>
  <c r="N1191" i="4"/>
  <c r="O1190" i="4"/>
  <c r="G836" i="4"/>
  <c r="BB115" i="13"/>
  <c r="F836" i="4" s="1"/>
  <c r="P836" i="4" s="1"/>
  <c r="AQ116" i="13"/>
  <c r="AP116" i="13" s="1"/>
  <c r="AR116" i="13" s="1"/>
  <c r="CN111" i="13"/>
  <c r="F1554" i="4" s="1"/>
  <c r="CC112" i="13"/>
  <c r="BO110" i="13"/>
  <c r="BQ110" i="13"/>
  <c r="AH114" i="13"/>
  <c r="E79" i="13"/>
  <c r="P78" i="13"/>
  <c r="H474" i="4" l="1"/>
  <c r="M474" i="4" s="1"/>
  <c r="P1554" i="4"/>
  <c r="S1554" i="4"/>
  <c r="K1554" i="4"/>
  <c r="Q1554" i="4"/>
  <c r="J1554" i="4"/>
  <c r="Q836" i="4"/>
  <c r="K836" i="4"/>
  <c r="J836" i="4"/>
  <c r="S836" i="4"/>
  <c r="F77" i="4"/>
  <c r="G77" i="4"/>
  <c r="CB112" i="13"/>
  <c r="CD112" i="13" s="1"/>
  <c r="BT110" i="13"/>
  <c r="BV110" i="13" s="1"/>
  <c r="AX116" i="13"/>
  <c r="AV116" i="13"/>
  <c r="G474" i="4"/>
  <c r="AI114" i="13"/>
  <c r="F474" i="4" s="1"/>
  <c r="P474" i="4" s="1"/>
  <c r="X115" i="13"/>
  <c r="D79" i="13"/>
  <c r="H1192" i="4" l="1"/>
  <c r="M1192" i="4" s="1"/>
  <c r="P77" i="4"/>
  <c r="S77" i="4"/>
  <c r="Q474" i="4"/>
  <c r="K474" i="4"/>
  <c r="J474" i="4"/>
  <c r="L836" i="4"/>
  <c r="N836" i="4"/>
  <c r="O835" i="4"/>
  <c r="L1554" i="4"/>
  <c r="N1554" i="4"/>
  <c r="O1553" i="4"/>
  <c r="Q77" i="4"/>
  <c r="K77" i="4"/>
  <c r="J77" i="4"/>
  <c r="S438" i="4"/>
  <c r="BA116" i="13"/>
  <c r="H837" i="4" s="1"/>
  <c r="CH112" i="13"/>
  <c r="CJ112" i="13"/>
  <c r="BJ111" i="13"/>
  <c r="G1192" i="4"/>
  <c r="BU110" i="13"/>
  <c r="F1192" i="4" s="1"/>
  <c r="P1192" i="4" s="1"/>
  <c r="W115" i="13"/>
  <c r="Y115" i="13" s="1"/>
  <c r="F79" i="13"/>
  <c r="M837" i="4" l="1"/>
  <c r="S1192" i="4"/>
  <c r="N474" i="4"/>
  <c r="L474" i="4"/>
  <c r="O473" i="4"/>
  <c r="Q1192" i="4"/>
  <c r="K1192" i="4"/>
  <c r="J1192" i="4"/>
  <c r="L77" i="4"/>
  <c r="N77" i="4"/>
  <c r="O76" i="4"/>
  <c r="BB116" i="13"/>
  <c r="F837" i="4" s="1"/>
  <c r="P837" i="4" s="1"/>
  <c r="AQ117" i="13"/>
  <c r="AP117" i="13" s="1"/>
  <c r="AR117" i="13" s="1"/>
  <c r="G837" i="4"/>
  <c r="CM112" i="13"/>
  <c r="BI111" i="13"/>
  <c r="BK111" i="13" s="1"/>
  <c r="AE115" i="13"/>
  <c r="AC115" i="13"/>
  <c r="L79" i="13"/>
  <c r="J79" i="13"/>
  <c r="H1555" i="4" l="1"/>
  <c r="M1555" i="4" s="1"/>
  <c r="CO112" i="13"/>
  <c r="Q837" i="4"/>
  <c r="K837" i="4"/>
  <c r="J837" i="4"/>
  <c r="N1192" i="4"/>
  <c r="L1192" i="4"/>
  <c r="O1191" i="4"/>
  <c r="S837" i="4"/>
  <c r="AH115" i="13"/>
  <c r="G1555" i="4"/>
  <c r="CN112" i="13"/>
  <c r="F1555" i="4" s="1"/>
  <c r="CC113" i="13"/>
  <c r="BO111" i="13"/>
  <c r="BQ111" i="13"/>
  <c r="AV117" i="13"/>
  <c r="AX117" i="13"/>
  <c r="O79" i="13"/>
  <c r="H475" i="4" l="1"/>
  <c r="P42" i="5" s="1"/>
  <c r="G475" i="4"/>
  <c r="H78" i="4"/>
  <c r="M78" i="4" s="1"/>
  <c r="P9" i="5"/>
  <c r="P1555" i="4"/>
  <c r="S1555" i="4"/>
  <c r="L837" i="4"/>
  <c r="N837" i="4"/>
  <c r="O836" i="4"/>
  <c r="Q1555" i="4"/>
  <c r="K1555" i="4"/>
  <c r="J1555" i="4"/>
  <c r="X116" i="13"/>
  <c r="AI115" i="13"/>
  <c r="F475" i="4" s="1"/>
  <c r="P475" i="4" s="1"/>
  <c r="CB113" i="13"/>
  <c r="CD113" i="13" s="1"/>
  <c r="BT111" i="13"/>
  <c r="BV111" i="13" s="1"/>
  <c r="BA117" i="13"/>
  <c r="H838" i="4" s="1"/>
  <c r="E80" i="13"/>
  <c r="P79" i="13"/>
  <c r="H1193" i="4" l="1"/>
  <c r="M1193" i="4" s="1"/>
  <c r="M475" i="4"/>
  <c r="W116" i="13"/>
  <c r="Y116" i="13" s="1"/>
  <c r="AC116" i="13" s="1"/>
  <c r="M838" i="4"/>
  <c r="Q475" i="4"/>
  <c r="K475" i="4"/>
  <c r="J475" i="4"/>
  <c r="L1555" i="4"/>
  <c r="N1555" i="4"/>
  <c r="O1554" i="4"/>
  <c r="BB117" i="13"/>
  <c r="F838" i="4" s="1"/>
  <c r="P838" i="4" s="1"/>
  <c r="F78" i="4"/>
  <c r="G78" i="4"/>
  <c r="CH113" i="13"/>
  <c r="CJ113" i="13"/>
  <c r="BJ112" i="13"/>
  <c r="G1193" i="4"/>
  <c r="BU111" i="13"/>
  <c r="F1193" i="4" s="1"/>
  <c r="G838" i="4"/>
  <c r="AQ118" i="13"/>
  <c r="D80" i="13"/>
  <c r="AE116" i="13" l="1"/>
  <c r="P1193" i="4"/>
  <c r="S1193" i="4"/>
  <c r="P78" i="4"/>
  <c r="S78" i="4"/>
  <c r="Q838" i="4"/>
  <c r="K838" i="4"/>
  <c r="J838" i="4"/>
  <c r="Q1193" i="4"/>
  <c r="K1193" i="4"/>
  <c r="J1193" i="4"/>
  <c r="N475" i="4"/>
  <c r="L475" i="4"/>
  <c r="O474" i="4"/>
  <c r="K78" i="4"/>
  <c r="Q78" i="4"/>
  <c r="J78" i="4"/>
  <c r="S838" i="4"/>
  <c r="S439" i="4"/>
  <c r="AH116" i="13"/>
  <c r="CM113" i="13"/>
  <c r="BI112" i="13"/>
  <c r="BK112" i="13" s="1"/>
  <c r="AP118" i="13"/>
  <c r="AR118" i="13" s="1"/>
  <c r="F80" i="13"/>
  <c r="H1556" i="4" l="1"/>
  <c r="M1556" i="4" s="1"/>
  <c r="CO113" i="13"/>
  <c r="G1556" i="4" s="1"/>
  <c r="H476" i="4"/>
  <c r="M476" i="4" s="1"/>
  <c r="N1193" i="4"/>
  <c r="L1193" i="4"/>
  <c r="O1192" i="4"/>
  <c r="L838" i="4"/>
  <c r="N838" i="4"/>
  <c r="O837" i="4"/>
  <c r="L78" i="4"/>
  <c r="N78" i="4"/>
  <c r="O77" i="4"/>
  <c r="G476" i="4"/>
  <c r="X117" i="13"/>
  <c r="AI116" i="13"/>
  <c r="F476" i="4" s="1"/>
  <c r="P476" i="4" s="1"/>
  <c r="CC114" i="13"/>
  <c r="CN113" i="13"/>
  <c r="F1556" i="4" s="1"/>
  <c r="BO112" i="13"/>
  <c r="BQ112" i="13"/>
  <c r="AX118" i="13"/>
  <c r="AV118" i="13"/>
  <c r="L80" i="13"/>
  <c r="J80" i="13"/>
  <c r="W117" i="13" l="1"/>
  <c r="Y117" i="13" s="1"/>
  <c r="AE117" i="13" s="1"/>
  <c r="P1556" i="4"/>
  <c r="S1556" i="4"/>
  <c r="K1556" i="4"/>
  <c r="Q1556" i="4"/>
  <c r="J1556" i="4"/>
  <c r="K476" i="4"/>
  <c r="Q476" i="4"/>
  <c r="J476" i="4"/>
  <c r="BA118" i="13"/>
  <c r="H839" i="4" s="1"/>
  <c r="CB114" i="13"/>
  <c r="CD114" i="13" s="1"/>
  <c r="BT112" i="13"/>
  <c r="BV112" i="13" s="1"/>
  <c r="O80" i="13"/>
  <c r="H1194" i="4" l="1"/>
  <c r="M1194" i="4" s="1"/>
  <c r="G1194" i="4"/>
  <c r="AC117" i="13"/>
  <c r="AH117" i="13" s="1"/>
  <c r="H79" i="4"/>
  <c r="M79" i="4" s="1"/>
  <c r="M839" i="4"/>
  <c r="L476" i="4"/>
  <c r="N476" i="4"/>
  <c r="O475" i="4"/>
  <c r="L1556" i="4"/>
  <c r="N1556" i="4"/>
  <c r="O1555" i="4"/>
  <c r="BB118" i="13"/>
  <c r="F839" i="4" s="1"/>
  <c r="P839" i="4" s="1"/>
  <c r="G839" i="4"/>
  <c r="AQ119" i="13"/>
  <c r="AP119" i="13" s="1"/>
  <c r="AR119" i="13" s="1"/>
  <c r="CJ114" i="13"/>
  <c r="CH114" i="13"/>
  <c r="BU112" i="13"/>
  <c r="F1194" i="4" s="1"/>
  <c r="BJ113" i="13"/>
  <c r="P80" i="13"/>
  <c r="E81" i="13"/>
  <c r="H477" i="4" l="1"/>
  <c r="M477" i="4" s="1"/>
  <c r="G477" i="4"/>
  <c r="P1194" i="4"/>
  <c r="S1194" i="4"/>
  <c r="K1194" i="4"/>
  <c r="Q1194" i="4"/>
  <c r="J1194" i="4"/>
  <c r="Q839" i="4"/>
  <c r="K839" i="4"/>
  <c r="J839" i="4"/>
  <c r="S839" i="4"/>
  <c r="F79" i="4"/>
  <c r="G79" i="4"/>
  <c r="CM114" i="13"/>
  <c r="BI113" i="13"/>
  <c r="BK113" i="13" s="1"/>
  <c r="AV119" i="13"/>
  <c r="AX119" i="13"/>
  <c r="X118" i="13"/>
  <c r="AI117" i="13"/>
  <c r="F477" i="4" s="1"/>
  <c r="P477" i="4" s="1"/>
  <c r="D81" i="13"/>
  <c r="P79" i="4" l="1"/>
  <c r="S79" i="4"/>
  <c r="K477" i="4"/>
  <c r="Q477" i="4"/>
  <c r="J477" i="4"/>
  <c r="N839" i="4"/>
  <c r="L839" i="4"/>
  <c r="O838" i="4"/>
  <c r="L1194" i="4"/>
  <c r="N1194" i="4"/>
  <c r="O1193" i="4"/>
  <c r="Q79" i="4"/>
  <c r="K79" i="4"/>
  <c r="J79" i="4"/>
  <c r="G1557" i="4"/>
  <c r="H1557" i="4"/>
  <c r="M1557" i="4" s="1"/>
  <c r="S440" i="4"/>
  <c r="CC115" i="13"/>
  <c r="CB115" i="13" s="1"/>
  <c r="CD115" i="13" s="1"/>
  <c r="CN114" i="13"/>
  <c r="F1557" i="4" s="1"/>
  <c r="BQ113" i="13"/>
  <c r="BO113" i="13"/>
  <c r="BA119" i="13"/>
  <c r="W118" i="13"/>
  <c r="Y118" i="13" s="1"/>
  <c r="F81" i="13"/>
  <c r="H840" i="4" l="1"/>
  <c r="M840" i="4" s="1"/>
  <c r="BC119" i="13"/>
  <c r="G840" i="4" s="1"/>
  <c r="P1557" i="4"/>
  <c r="S1557" i="4"/>
  <c r="Q1557" i="4"/>
  <c r="K1557" i="4"/>
  <c r="J1557" i="4"/>
  <c r="L477" i="4"/>
  <c r="N477" i="4"/>
  <c r="O476" i="4"/>
  <c r="N79" i="4"/>
  <c r="L79" i="4"/>
  <c r="O78" i="4"/>
  <c r="BB119" i="13"/>
  <c r="F840" i="4" s="1"/>
  <c r="P840" i="4" s="1"/>
  <c r="BT113" i="13"/>
  <c r="BV113" i="13" s="1"/>
  <c r="CH115" i="13"/>
  <c r="CJ115" i="13"/>
  <c r="AQ120" i="13"/>
  <c r="AC118" i="13"/>
  <c r="AE118" i="13"/>
  <c r="L81" i="13"/>
  <c r="J81" i="13"/>
  <c r="K840" i="4" l="1"/>
  <c r="Q840" i="4"/>
  <c r="J840" i="4"/>
  <c r="L1557" i="4"/>
  <c r="N1557" i="4"/>
  <c r="O1556" i="4"/>
  <c r="G1195" i="4"/>
  <c r="H1195" i="4"/>
  <c r="M1195" i="4" s="1"/>
  <c r="BU113" i="13"/>
  <c r="F1195" i="4" s="1"/>
  <c r="S840" i="4"/>
  <c r="BJ114" i="13"/>
  <c r="BI114" i="13" s="1"/>
  <c r="BK114" i="13" s="1"/>
  <c r="CM115" i="13"/>
  <c r="H1558" i="4" s="1"/>
  <c r="AP120" i="13"/>
  <c r="AR120" i="13" s="1"/>
  <c r="AH118" i="13"/>
  <c r="O81" i="13"/>
  <c r="H80" i="4" l="1"/>
  <c r="M80" i="4" s="1"/>
  <c r="M1558" i="4"/>
  <c r="P132" i="5"/>
  <c r="P1195" i="4"/>
  <c r="S1195" i="4"/>
  <c r="Q1195" i="4"/>
  <c r="K1195" i="4"/>
  <c r="J1195" i="4"/>
  <c r="N840" i="4"/>
  <c r="L840" i="4"/>
  <c r="O839" i="4"/>
  <c r="H478" i="4"/>
  <c r="CC116" i="13"/>
  <c r="G1558" i="4"/>
  <c r="CN115" i="13"/>
  <c r="F1558" i="4" s="1"/>
  <c r="BO114" i="13"/>
  <c r="BQ114" i="13"/>
  <c r="AV120" i="13"/>
  <c r="AX120" i="13"/>
  <c r="X119" i="13"/>
  <c r="G478" i="4"/>
  <c r="AI118" i="13"/>
  <c r="F478" i="4" s="1"/>
  <c r="P478" i="4" s="1"/>
  <c r="P81" i="13"/>
  <c r="E82" i="13"/>
  <c r="M478" i="4" l="1"/>
  <c r="P1558" i="4"/>
  <c r="S1558" i="4"/>
  <c r="Q478" i="4"/>
  <c r="J478" i="4"/>
  <c r="K478" i="4"/>
  <c r="J1558" i="4"/>
  <c r="Q1558" i="4"/>
  <c r="K1558" i="4"/>
  <c r="N1195" i="4"/>
  <c r="L1195" i="4"/>
  <c r="O1194" i="4"/>
  <c r="G80" i="4"/>
  <c r="F80" i="4"/>
  <c r="CB116" i="13"/>
  <c r="CD116" i="13" s="1"/>
  <c r="BT114" i="13"/>
  <c r="H1196" i="4" s="1"/>
  <c r="BA120" i="13"/>
  <c r="W119" i="13"/>
  <c r="Y119" i="13" s="1"/>
  <c r="D82" i="13"/>
  <c r="H841" i="4" l="1"/>
  <c r="M841" i="4" s="1"/>
  <c r="BC120" i="13"/>
  <c r="G841" i="4" s="1"/>
  <c r="M1196" i="4"/>
  <c r="P80" i="4"/>
  <c r="S80" i="4"/>
  <c r="N1558" i="4"/>
  <c r="L1558" i="4"/>
  <c r="O1557" i="4"/>
  <c r="N478" i="4"/>
  <c r="L478" i="4"/>
  <c r="O477" i="4"/>
  <c r="Q80" i="4"/>
  <c r="K80" i="4"/>
  <c r="J80" i="4"/>
  <c r="BB120" i="13"/>
  <c r="F841" i="4" s="1"/>
  <c r="P841" i="4" s="1"/>
  <c r="S441" i="4"/>
  <c r="CJ116" i="13"/>
  <c r="CH116" i="13"/>
  <c r="G1196" i="4"/>
  <c r="BJ115" i="13"/>
  <c r="BU114" i="13"/>
  <c r="F1196" i="4" s="1"/>
  <c r="P1196" i="4" s="1"/>
  <c r="AQ121" i="13"/>
  <c r="AC119" i="13"/>
  <c r="AE119" i="13"/>
  <c r="F82" i="13"/>
  <c r="S1196" i="4" l="1"/>
  <c r="Q1196" i="4"/>
  <c r="K1196" i="4"/>
  <c r="J1196" i="4"/>
  <c r="Q841" i="4"/>
  <c r="K841" i="4"/>
  <c r="J841" i="4"/>
  <c r="N80" i="4"/>
  <c r="L80" i="4"/>
  <c r="O79" i="4"/>
  <c r="S841" i="4"/>
  <c r="CM116" i="13"/>
  <c r="BI115" i="13"/>
  <c r="BK115" i="13" s="1"/>
  <c r="AP121" i="13"/>
  <c r="AR121" i="13" s="1"/>
  <c r="AH119" i="13"/>
  <c r="AJ119" i="13" s="1"/>
  <c r="L82" i="13"/>
  <c r="J82" i="13"/>
  <c r="L1196" i="4" l="1"/>
  <c r="N1196" i="4"/>
  <c r="O1195" i="4"/>
  <c r="L841" i="4"/>
  <c r="N841" i="4"/>
  <c r="O840" i="4"/>
  <c r="G1559" i="4"/>
  <c r="H1559" i="4"/>
  <c r="H479" i="4"/>
  <c r="CC117" i="13"/>
  <c r="CB117" i="13" s="1"/>
  <c r="CD117" i="13" s="1"/>
  <c r="CN116" i="13"/>
  <c r="F1559" i="4" s="1"/>
  <c r="BO115" i="13"/>
  <c r="BQ115" i="13"/>
  <c r="AX121" i="13"/>
  <c r="AV121" i="13"/>
  <c r="G479" i="4"/>
  <c r="AI119" i="13"/>
  <c r="F479" i="4" s="1"/>
  <c r="P479" i="4" s="1"/>
  <c r="X120" i="13"/>
  <c r="O82" i="13"/>
  <c r="H81" i="4" l="1"/>
  <c r="M81" i="4" s="1"/>
  <c r="M1559" i="4"/>
  <c r="M479" i="4"/>
  <c r="P1559" i="4"/>
  <c r="S1559" i="4"/>
  <c r="K479" i="4"/>
  <c r="Q479" i="4"/>
  <c r="J479" i="4"/>
  <c r="K1559" i="4"/>
  <c r="Q1559" i="4"/>
  <c r="J1559" i="4"/>
  <c r="BA121" i="13"/>
  <c r="CH117" i="13"/>
  <c r="CJ117" i="13"/>
  <c r="BT115" i="13"/>
  <c r="H1197" i="4" s="1"/>
  <c r="P102" i="5" s="1"/>
  <c r="W120" i="13"/>
  <c r="Y120" i="13" s="1"/>
  <c r="P82" i="13"/>
  <c r="E83" i="13"/>
  <c r="H842" i="4" l="1"/>
  <c r="M842" i="4" s="1"/>
  <c r="BC121" i="13"/>
  <c r="G842" i="4" s="1"/>
  <c r="M1197" i="4"/>
  <c r="L1559" i="4"/>
  <c r="N1559" i="4"/>
  <c r="O1558" i="4"/>
  <c r="L479" i="4"/>
  <c r="N479" i="4"/>
  <c r="O478" i="4"/>
  <c r="BB121" i="13"/>
  <c r="F842" i="4" s="1"/>
  <c r="P842" i="4" s="1"/>
  <c r="F81" i="4"/>
  <c r="G81" i="4"/>
  <c r="AQ122" i="13"/>
  <c r="AP122" i="13" s="1"/>
  <c r="AR122" i="13" s="1"/>
  <c r="CM117" i="13"/>
  <c r="H1560" i="4" s="1"/>
  <c r="BJ116" i="13"/>
  <c r="G1197" i="4"/>
  <c r="BU115" i="13"/>
  <c r="F1197" i="4" s="1"/>
  <c r="P1197" i="4" s="1"/>
  <c r="AE120" i="13"/>
  <c r="AC120" i="13"/>
  <c r="D83" i="13"/>
  <c r="M1560" i="4" l="1"/>
  <c r="S1197" i="4"/>
  <c r="P81" i="4"/>
  <c r="S81" i="4"/>
  <c r="Q842" i="4"/>
  <c r="K842" i="4"/>
  <c r="J842" i="4"/>
  <c r="K1197" i="4"/>
  <c r="Q1197" i="4"/>
  <c r="J1197" i="4"/>
  <c r="K81" i="4"/>
  <c r="Q81" i="4"/>
  <c r="J81" i="4"/>
  <c r="S842" i="4"/>
  <c r="S442" i="4"/>
  <c r="AH120" i="13"/>
  <c r="AJ120" i="13" s="1"/>
  <c r="G1560" i="4"/>
  <c r="CN117" i="13"/>
  <c r="F1560" i="4" s="1"/>
  <c r="CC118" i="13"/>
  <c r="BI116" i="13"/>
  <c r="BK116" i="13" s="1"/>
  <c r="AV122" i="13"/>
  <c r="AX122" i="13"/>
  <c r="F83" i="13"/>
  <c r="H480" i="4" l="1"/>
  <c r="M480" i="4" s="1"/>
  <c r="G480" i="4"/>
  <c r="P1560" i="4"/>
  <c r="S1560" i="4"/>
  <c r="K1560" i="4"/>
  <c r="Q1560" i="4"/>
  <c r="J1560" i="4"/>
  <c r="N1197" i="4"/>
  <c r="L1197" i="4"/>
  <c r="O1196" i="4"/>
  <c r="L842" i="4"/>
  <c r="N842" i="4"/>
  <c r="O841" i="4"/>
  <c r="L81" i="4"/>
  <c r="N81" i="4"/>
  <c r="O80" i="4"/>
  <c r="X121" i="13"/>
  <c r="AI120" i="13"/>
  <c r="F480" i="4" s="1"/>
  <c r="P480" i="4" s="1"/>
  <c r="CB118" i="13"/>
  <c r="CD118" i="13" s="1"/>
  <c r="BO116" i="13"/>
  <c r="BQ116" i="13"/>
  <c r="BA122" i="13"/>
  <c r="L83" i="13"/>
  <c r="J83" i="13"/>
  <c r="H843" i="4" l="1"/>
  <c r="M843" i="4" s="1"/>
  <c r="BC122" i="13"/>
  <c r="G843" i="4" s="1"/>
  <c r="W121" i="13"/>
  <c r="Y121" i="13" s="1"/>
  <c r="AE121" i="13" s="1"/>
  <c r="Q480" i="4"/>
  <c r="K480" i="4"/>
  <c r="J480" i="4"/>
  <c r="L1560" i="4"/>
  <c r="N1560" i="4"/>
  <c r="O1559" i="4"/>
  <c r="BB122" i="13"/>
  <c r="F843" i="4" s="1"/>
  <c r="P843" i="4" s="1"/>
  <c r="BT116" i="13"/>
  <c r="CH118" i="13"/>
  <c r="CJ118" i="13"/>
  <c r="AQ123" i="13"/>
  <c r="O83" i="13"/>
  <c r="Q83" i="13" s="1"/>
  <c r="AC121" i="13" l="1"/>
  <c r="AH121" i="13" s="1"/>
  <c r="AJ121" i="13" s="1"/>
  <c r="H82" i="4"/>
  <c r="M82" i="4" s="1"/>
  <c r="K843" i="4"/>
  <c r="Q843" i="4"/>
  <c r="J843" i="4"/>
  <c r="N480" i="4"/>
  <c r="L480" i="4"/>
  <c r="O479" i="4"/>
  <c r="BJ117" i="13"/>
  <c r="BI117" i="13" s="1"/>
  <c r="BK117" i="13" s="1"/>
  <c r="H1198" i="4"/>
  <c r="S843" i="4"/>
  <c r="BU116" i="13"/>
  <c r="F1198" i="4" s="1"/>
  <c r="P1198" i="4" s="1"/>
  <c r="G1198" i="4"/>
  <c r="CM118" i="13"/>
  <c r="H1561" i="4" s="1"/>
  <c r="AP123" i="13"/>
  <c r="AR123" i="13" s="1"/>
  <c r="E84" i="13"/>
  <c r="P83" i="13"/>
  <c r="H481" i="4" l="1"/>
  <c r="M481" i="4" s="1"/>
  <c r="G481" i="4"/>
  <c r="M1561" i="4"/>
  <c r="M1198" i="4"/>
  <c r="S1198" i="4"/>
  <c r="Q1198" i="4"/>
  <c r="K1198" i="4"/>
  <c r="J1198" i="4"/>
  <c r="L843" i="4"/>
  <c r="N843" i="4"/>
  <c r="O842" i="4"/>
  <c r="F82" i="4"/>
  <c r="G82" i="4"/>
  <c r="X122" i="13"/>
  <c r="AI121" i="13"/>
  <c r="F481" i="4" s="1"/>
  <c r="P481" i="4" s="1"/>
  <c r="CC119" i="13"/>
  <c r="CN118" i="13"/>
  <c r="F1561" i="4" s="1"/>
  <c r="G1561" i="4"/>
  <c r="BO117" i="13"/>
  <c r="BQ117" i="13"/>
  <c r="AX123" i="13"/>
  <c r="AV123" i="13"/>
  <c r="D84" i="13"/>
  <c r="W122" i="13" l="1"/>
  <c r="Y122" i="13" s="1"/>
  <c r="AC122" i="13" s="1"/>
  <c r="P1561" i="4"/>
  <c r="S1561" i="4"/>
  <c r="P82" i="4"/>
  <c r="S82" i="4"/>
  <c r="K481" i="4"/>
  <c r="Q481" i="4"/>
  <c r="J481" i="4"/>
  <c r="N1198" i="4"/>
  <c r="L1198" i="4"/>
  <c r="O1197" i="4"/>
  <c r="J1561" i="4"/>
  <c r="K1561" i="4"/>
  <c r="Q1561" i="4"/>
  <c r="K82" i="4"/>
  <c r="Q82" i="4"/>
  <c r="J82" i="4"/>
  <c r="S443" i="4"/>
  <c r="BA123" i="13"/>
  <c r="CB119" i="13"/>
  <c r="CD119" i="13" s="1"/>
  <c r="BT117" i="13"/>
  <c r="H1199" i="4" s="1"/>
  <c r="F84" i="13"/>
  <c r="H844" i="4" l="1"/>
  <c r="M844" i="4" s="1"/>
  <c r="BC123" i="13"/>
  <c r="G844" i="4" s="1"/>
  <c r="AE122" i="13"/>
  <c r="AH122" i="13" s="1"/>
  <c r="AJ122" i="13" s="1"/>
  <c r="M1199" i="4"/>
  <c r="L1561" i="4"/>
  <c r="N1561" i="4"/>
  <c r="O1560" i="4"/>
  <c r="L481" i="4"/>
  <c r="N481" i="4"/>
  <c r="O480" i="4"/>
  <c r="N82" i="4"/>
  <c r="L82" i="4"/>
  <c r="O81" i="4"/>
  <c r="BB123" i="13"/>
  <c r="F844" i="4" s="1"/>
  <c r="P844" i="4" s="1"/>
  <c r="AQ124" i="13"/>
  <c r="AP124" i="13" s="1"/>
  <c r="AR124" i="13" s="1"/>
  <c r="CJ119" i="13"/>
  <c r="CH119" i="13"/>
  <c r="G1199" i="4"/>
  <c r="BU117" i="13"/>
  <c r="F1199" i="4" s="1"/>
  <c r="P1199" i="4" s="1"/>
  <c r="BJ118" i="13"/>
  <c r="L84" i="13"/>
  <c r="J84" i="13"/>
  <c r="S1199" i="4" l="1"/>
  <c r="K844" i="4"/>
  <c r="Q844" i="4"/>
  <c r="J844" i="4"/>
  <c r="Q1199" i="4"/>
  <c r="K1199" i="4"/>
  <c r="J1199" i="4"/>
  <c r="S844" i="4"/>
  <c r="H482" i="4"/>
  <c r="M482" i="4" s="1"/>
  <c r="CM119" i="13"/>
  <c r="CO119" i="13" s="1"/>
  <c r="BI118" i="13"/>
  <c r="BK118" i="13" s="1"/>
  <c r="AV124" i="13"/>
  <c r="AX124" i="13"/>
  <c r="X123" i="13"/>
  <c r="AI122" i="13"/>
  <c r="F482" i="4" s="1"/>
  <c r="P482" i="4" s="1"/>
  <c r="G482" i="4"/>
  <c r="O84" i="13"/>
  <c r="Q84" i="13" s="1"/>
  <c r="H83" i="4" l="1"/>
  <c r="M83" i="4" s="1"/>
  <c r="N1199" i="4"/>
  <c r="L1199" i="4"/>
  <c r="O1198" i="4"/>
  <c r="K482" i="4"/>
  <c r="Q482" i="4"/>
  <c r="J482" i="4"/>
  <c r="L844" i="4"/>
  <c r="N844" i="4"/>
  <c r="O843" i="4"/>
  <c r="G1562" i="4"/>
  <c r="H1562" i="4"/>
  <c r="M1562" i="4" s="1"/>
  <c r="CC120" i="13"/>
  <c r="CB120" i="13" s="1"/>
  <c r="CD120" i="13" s="1"/>
  <c r="CN119" i="13"/>
  <c r="F1562" i="4" s="1"/>
  <c r="BO118" i="13"/>
  <c r="BQ118" i="13"/>
  <c r="BA124" i="13"/>
  <c r="W123" i="13"/>
  <c r="Y123" i="13" s="1"/>
  <c r="E85" i="13"/>
  <c r="P84" i="13"/>
  <c r="H845" i="4" l="1"/>
  <c r="M845" i="4" s="1"/>
  <c r="BC124" i="13"/>
  <c r="G845" i="4" s="1"/>
  <c r="P1562" i="4"/>
  <c r="S1562" i="4"/>
  <c r="Q1562" i="4"/>
  <c r="K1562" i="4"/>
  <c r="J1562" i="4"/>
  <c r="L482" i="4"/>
  <c r="N482" i="4"/>
  <c r="O481" i="4"/>
  <c r="BB124" i="13"/>
  <c r="F845" i="4" s="1"/>
  <c r="P845" i="4" s="1"/>
  <c r="G83" i="4"/>
  <c r="F83" i="4"/>
  <c r="CH120" i="13"/>
  <c r="CJ120" i="13"/>
  <c r="BT118" i="13"/>
  <c r="H1200" i="4" s="1"/>
  <c r="AQ125" i="13"/>
  <c r="AC123" i="13"/>
  <c r="AE123" i="13"/>
  <c r="D85" i="13"/>
  <c r="M1200" i="4" l="1"/>
  <c r="P83" i="4"/>
  <c r="S83" i="4"/>
  <c r="L1562" i="4"/>
  <c r="N1562" i="4"/>
  <c r="O1561" i="4"/>
  <c r="Q845" i="4"/>
  <c r="K845" i="4"/>
  <c r="J845" i="4"/>
  <c r="Q83" i="4"/>
  <c r="K83" i="4"/>
  <c r="J83" i="4"/>
  <c r="S845" i="4"/>
  <c r="S444" i="4"/>
  <c r="CM120" i="13"/>
  <c r="BJ119" i="13"/>
  <c r="BU118" i="13"/>
  <c r="F1200" i="4" s="1"/>
  <c r="P1200" i="4" s="1"/>
  <c r="G1200" i="4"/>
  <c r="AP125" i="13"/>
  <c r="AR125" i="13" s="1"/>
  <c r="AH123" i="13"/>
  <c r="AJ123" i="13" s="1"/>
  <c r="F85" i="13"/>
  <c r="H1563" i="4" l="1"/>
  <c r="M1563" i="4" s="1"/>
  <c r="CO120" i="13"/>
  <c r="G1563" i="4" s="1"/>
  <c r="S1200" i="4"/>
  <c r="K1200" i="4"/>
  <c r="Q1200" i="4"/>
  <c r="J1200" i="4"/>
  <c r="N845" i="4"/>
  <c r="L845" i="4"/>
  <c r="O844" i="4"/>
  <c r="L83" i="4"/>
  <c r="N83" i="4"/>
  <c r="O82" i="4"/>
  <c r="H483" i="4"/>
  <c r="M483" i="4" s="1"/>
  <c r="CC121" i="13"/>
  <c r="CN120" i="13"/>
  <c r="F1563" i="4" s="1"/>
  <c r="BI119" i="13"/>
  <c r="BK119" i="13" s="1"/>
  <c r="AV125" i="13"/>
  <c r="AX125" i="13"/>
  <c r="X124" i="13"/>
  <c r="G483" i="4"/>
  <c r="AI123" i="13"/>
  <c r="F483" i="4" s="1"/>
  <c r="P483" i="4" s="1"/>
  <c r="L85" i="13"/>
  <c r="J85" i="13"/>
  <c r="P1563" i="4" l="1"/>
  <c r="S1563" i="4"/>
  <c r="J483" i="4"/>
  <c r="K483" i="4"/>
  <c r="Q483" i="4"/>
  <c r="K1563" i="4"/>
  <c r="Q1563" i="4"/>
  <c r="J1563" i="4"/>
  <c r="L1200" i="4"/>
  <c r="N1200" i="4"/>
  <c r="O1199" i="4"/>
  <c r="CB121" i="13"/>
  <c r="CD121" i="13" s="1"/>
  <c r="BQ119" i="13"/>
  <c r="BO119" i="13"/>
  <c r="BA125" i="13"/>
  <c r="W124" i="13"/>
  <c r="Y124" i="13" s="1"/>
  <c r="O85" i="13"/>
  <c r="Q85" i="13" s="1"/>
  <c r="H846" i="4" l="1"/>
  <c r="M846" i="4" s="1"/>
  <c r="BC125" i="13"/>
  <c r="G846" i="4" s="1"/>
  <c r="H84" i="4"/>
  <c r="M84" i="4" s="1"/>
  <c r="L483" i="4"/>
  <c r="N483" i="4"/>
  <c r="O482" i="4"/>
  <c r="N1563" i="4"/>
  <c r="L1563" i="4"/>
  <c r="O1562" i="4"/>
  <c r="BB125" i="13"/>
  <c r="F846" i="4" s="1"/>
  <c r="P846" i="4" s="1"/>
  <c r="BT119" i="13"/>
  <c r="BV119" i="13" s="1"/>
  <c r="CJ121" i="13"/>
  <c r="CH121" i="13"/>
  <c r="AQ126" i="13"/>
  <c r="AC124" i="13"/>
  <c r="AE124" i="13"/>
  <c r="E86" i="13"/>
  <c r="P85" i="13"/>
  <c r="Q846" i="4" l="1"/>
  <c r="K846" i="4"/>
  <c r="J846" i="4"/>
  <c r="G1201" i="4"/>
  <c r="H1201" i="4"/>
  <c r="S846" i="4"/>
  <c r="F84" i="4"/>
  <c r="G84" i="4"/>
  <c r="BJ120" i="13"/>
  <c r="BI120" i="13" s="1"/>
  <c r="BK120" i="13" s="1"/>
  <c r="BU119" i="13"/>
  <c r="F1201" i="4" s="1"/>
  <c r="P1201" i="4" s="1"/>
  <c r="CM121" i="13"/>
  <c r="CO121" i="13" s="1"/>
  <c r="AP126" i="13"/>
  <c r="AR126" i="13" s="1"/>
  <c r="AH124" i="13"/>
  <c r="AJ124" i="13" s="1"/>
  <c r="D86" i="13"/>
  <c r="H484" i="4" l="1"/>
  <c r="M484" i="4" s="1"/>
  <c r="M1201" i="4"/>
  <c r="S1201" i="4"/>
  <c r="P84" i="4"/>
  <c r="S84" i="4"/>
  <c r="L846" i="4"/>
  <c r="N846" i="4"/>
  <c r="O845" i="4"/>
  <c r="K1201" i="4"/>
  <c r="Q1201" i="4"/>
  <c r="J1201" i="4"/>
  <c r="Q84" i="4"/>
  <c r="K84" i="4"/>
  <c r="J84" i="4"/>
  <c r="G1564" i="4"/>
  <c r="H1564" i="4"/>
  <c r="M1564" i="4" s="1"/>
  <c r="S445" i="4"/>
  <c r="CC122" i="13"/>
  <c r="CB122" i="13" s="1"/>
  <c r="CD122" i="13" s="1"/>
  <c r="CN121" i="13"/>
  <c r="F1564" i="4" s="1"/>
  <c r="BQ120" i="13"/>
  <c r="BO120" i="13"/>
  <c r="AV126" i="13"/>
  <c r="AX126" i="13"/>
  <c r="G484" i="4"/>
  <c r="AI124" i="13"/>
  <c r="F484" i="4" s="1"/>
  <c r="P484" i="4" s="1"/>
  <c r="X125" i="13"/>
  <c r="F86" i="13"/>
  <c r="P1564" i="4" l="1"/>
  <c r="S1564" i="4"/>
  <c r="Q1564" i="4"/>
  <c r="K1564" i="4"/>
  <c r="J1564" i="4"/>
  <c r="N1201" i="4"/>
  <c r="L1201" i="4"/>
  <c r="O1200" i="4"/>
  <c r="Q484" i="4"/>
  <c r="K484" i="4"/>
  <c r="J484" i="4"/>
  <c r="N84" i="4"/>
  <c r="L84" i="4"/>
  <c r="O83" i="4"/>
  <c r="BT120" i="13"/>
  <c r="BV120" i="13" s="1"/>
  <c r="CH122" i="13"/>
  <c r="CJ122" i="13"/>
  <c r="BA126" i="13"/>
  <c r="H847" i="4" s="1"/>
  <c r="M847" i="4" s="1"/>
  <c r="W125" i="13"/>
  <c r="Y125" i="13" s="1"/>
  <c r="J86" i="13"/>
  <c r="L86" i="13"/>
  <c r="N1564" i="4" l="1"/>
  <c r="L1564" i="4"/>
  <c r="O1563" i="4"/>
  <c r="L484" i="4"/>
  <c r="N484" i="4"/>
  <c r="O483" i="4"/>
  <c r="BJ121" i="13"/>
  <c r="BI121" i="13" s="1"/>
  <c r="BK121" i="13" s="1"/>
  <c r="H1202" i="4"/>
  <c r="BB126" i="13"/>
  <c r="F847" i="4" s="1"/>
  <c r="P847" i="4" s="1"/>
  <c r="G1202" i="4"/>
  <c r="BU120" i="13"/>
  <c r="F1202" i="4" s="1"/>
  <c r="P1202" i="4" s="1"/>
  <c r="CM122" i="13"/>
  <c r="G847" i="4"/>
  <c r="AQ127" i="13"/>
  <c r="AC125" i="13"/>
  <c r="AE125" i="13"/>
  <c r="O86" i="13"/>
  <c r="Q86" i="13" s="1"/>
  <c r="H1565" i="4" l="1"/>
  <c r="M1565" i="4" s="1"/>
  <c r="CO122" i="13"/>
  <c r="G1565" i="4" s="1"/>
  <c r="H85" i="4"/>
  <c r="M85" i="4" s="1"/>
  <c r="M1202" i="4"/>
  <c r="S1202" i="4"/>
  <c r="Q847" i="4"/>
  <c r="K847" i="4"/>
  <c r="J847" i="4"/>
  <c r="Q1202" i="4"/>
  <c r="K1202" i="4"/>
  <c r="J1202" i="4"/>
  <c r="S847" i="4"/>
  <c r="CN122" i="13"/>
  <c r="F1565" i="4" s="1"/>
  <c r="CC123" i="13"/>
  <c r="BO121" i="13"/>
  <c r="BQ121" i="13"/>
  <c r="AP127" i="13"/>
  <c r="AR127" i="13" s="1"/>
  <c r="AH125" i="13"/>
  <c r="AJ125" i="13" s="1"/>
  <c r="P86" i="13"/>
  <c r="E87" i="13"/>
  <c r="H485" i="4" l="1"/>
  <c r="M485" i="4" s="1"/>
  <c r="G485" i="4"/>
  <c r="P1565" i="4"/>
  <c r="S1565" i="4"/>
  <c r="Q1565" i="4"/>
  <c r="K1565" i="4"/>
  <c r="J1565" i="4"/>
  <c r="N1202" i="4"/>
  <c r="L1202" i="4"/>
  <c r="O1201" i="4"/>
  <c r="L847" i="4"/>
  <c r="N847" i="4"/>
  <c r="O846" i="4"/>
  <c r="F85" i="4"/>
  <c r="G85" i="4"/>
  <c r="CB123" i="13"/>
  <c r="CD123" i="13" s="1"/>
  <c r="BT121" i="13"/>
  <c r="BV121" i="13" s="1"/>
  <c r="AV127" i="13"/>
  <c r="AX127" i="13"/>
  <c r="X126" i="13"/>
  <c r="AI125" i="13"/>
  <c r="F485" i="4" s="1"/>
  <c r="P485" i="4" s="1"/>
  <c r="D87" i="13"/>
  <c r="H1203" i="4" l="1"/>
  <c r="M1203" i="4" s="1"/>
  <c r="G1203" i="4"/>
  <c r="P85" i="4"/>
  <c r="S85" i="4"/>
  <c r="Q485" i="4"/>
  <c r="K485" i="4"/>
  <c r="J485" i="4"/>
  <c r="N1565" i="4"/>
  <c r="L1565" i="4"/>
  <c r="O1564" i="4"/>
  <c r="Q85" i="4"/>
  <c r="K85" i="4"/>
  <c r="J85" i="4"/>
  <c r="S446" i="4"/>
  <c r="CH123" i="13"/>
  <c r="CJ123" i="13"/>
  <c r="BJ122" i="13"/>
  <c r="BU121" i="13"/>
  <c r="F1203" i="4" s="1"/>
  <c r="BA127" i="13"/>
  <c r="H848" i="4" s="1"/>
  <c r="W126" i="13"/>
  <c r="Y126" i="13" s="1"/>
  <c r="F87" i="13"/>
  <c r="M848" i="4" l="1"/>
  <c r="P73" i="5"/>
  <c r="P1203" i="4"/>
  <c r="S1203" i="4"/>
  <c r="K1203" i="4"/>
  <c r="Q1203" i="4"/>
  <c r="J1203" i="4"/>
  <c r="N485" i="4"/>
  <c r="L485" i="4"/>
  <c r="O484" i="4"/>
  <c r="N85" i="4"/>
  <c r="L85" i="4"/>
  <c r="O84" i="4"/>
  <c r="BB127" i="13"/>
  <c r="F848" i="4" s="1"/>
  <c r="P848" i="4" s="1"/>
  <c r="CM123" i="13"/>
  <c r="BI122" i="13"/>
  <c r="BK122" i="13" s="1"/>
  <c r="AQ128" i="13"/>
  <c r="G848" i="4"/>
  <c r="AC126" i="13"/>
  <c r="AE126" i="13"/>
  <c r="L87" i="13"/>
  <c r="J87" i="13"/>
  <c r="H1566" i="4" l="1"/>
  <c r="M1566" i="4" s="1"/>
  <c r="CO123" i="13"/>
  <c r="G1566" i="4" s="1"/>
  <c r="Q848" i="4"/>
  <c r="K848" i="4"/>
  <c r="J848" i="4"/>
  <c r="L1203" i="4"/>
  <c r="N1203" i="4"/>
  <c r="O1202" i="4"/>
  <c r="S848" i="4"/>
  <c r="CC124" i="13"/>
  <c r="CN123" i="13"/>
  <c r="F1566" i="4" s="1"/>
  <c r="BO122" i="13"/>
  <c r="BQ122" i="13"/>
  <c r="AH126" i="13"/>
  <c r="AP128" i="13"/>
  <c r="AR128" i="13" s="1"/>
  <c r="O87" i="13"/>
  <c r="Q87" i="13" s="1"/>
  <c r="H486" i="4" l="1"/>
  <c r="M486" i="4" s="1"/>
  <c r="H86" i="4"/>
  <c r="M86" i="4" s="1"/>
  <c r="P1566" i="4"/>
  <c r="S1566" i="4"/>
  <c r="K1566" i="4"/>
  <c r="Q1566" i="4"/>
  <c r="J1566" i="4"/>
  <c r="L848" i="4"/>
  <c r="N848" i="4"/>
  <c r="O847" i="4"/>
  <c r="X127" i="13"/>
  <c r="AI126" i="13"/>
  <c r="F486" i="4" s="1"/>
  <c r="P486" i="4" s="1"/>
  <c r="G486" i="4"/>
  <c r="CB124" i="13"/>
  <c r="CD124" i="13" s="1"/>
  <c r="BT122" i="13"/>
  <c r="BV122" i="13" s="1"/>
  <c r="AV128" i="13"/>
  <c r="AX128" i="13"/>
  <c r="E88" i="13"/>
  <c r="P87" i="13"/>
  <c r="H1204" i="4" l="1"/>
  <c r="M1204" i="4" s="1"/>
  <c r="G1204" i="4"/>
  <c r="W127" i="13"/>
  <c r="Y127" i="13" s="1"/>
  <c r="AE127" i="13" s="1"/>
  <c r="Q486" i="4"/>
  <c r="K486" i="4"/>
  <c r="J486" i="4"/>
  <c r="L1566" i="4"/>
  <c r="N1566" i="4"/>
  <c r="O1565" i="4"/>
  <c r="F86" i="4"/>
  <c r="G86" i="4"/>
  <c r="CH124" i="13"/>
  <c r="CJ124" i="13"/>
  <c r="BU122" i="13"/>
  <c r="F1204" i="4" s="1"/>
  <c r="BJ123" i="13"/>
  <c r="BA128" i="13"/>
  <c r="H849" i="4" s="1"/>
  <c r="D88" i="13"/>
  <c r="AC127" i="13" l="1"/>
  <c r="AH127" i="13" s="1"/>
  <c r="M849" i="4"/>
  <c r="P1204" i="4"/>
  <c r="S1204" i="4"/>
  <c r="P86" i="4"/>
  <c r="S86" i="4"/>
  <c r="J1204" i="4"/>
  <c r="Q1204" i="4"/>
  <c r="K1204" i="4"/>
  <c r="N486" i="4"/>
  <c r="L486" i="4"/>
  <c r="O485" i="4"/>
  <c r="K86" i="4"/>
  <c r="Q86" i="4"/>
  <c r="J86" i="4"/>
  <c r="BB128" i="13"/>
  <c r="F849" i="4" s="1"/>
  <c r="S447" i="4"/>
  <c r="CM124" i="13"/>
  <c r="BI123" i="13"/>
  <c r="BK123" i="13" s="1"/>
  <c r="G849" i="4"/>
  <c r="AQ129" i="13"/>
  <c r="F88" i="13"/>
  <c r="H1567" i="4" l="1"/>
  <c r="M1567" i="4" s="1"/>
  <c r="CO124" i="13"/>
  <c r="G1567" i="4" s="1"/>
  <c r="H487" i="4"/>
  <c r="M487" i="4" s="1"/>
  <c r="G487" i="4"/>
  <c r="P43" i="5"/>
  <c r="P849" i="4"/>
  <c r="Q849" i="4"/>
  <c r="K849" i="4"/>
  <c r="J849" i="4"/>
  <c r="L1204" i="4"/>
  <c r="N1204" i="4"/>
  <c r="O1203" i="4"/>
  <c r="L86" i="4"/>
  <c r="N86" i="4"/>
  <c r="O85" i="4"/>
  <c r="S849" i="4"/>
  <c r="CN124" i="13"/>
  <c r="F1567" i="4" s="1"/>
  <c r="CC125" i="13"/>
  <c r="BO123" i="13"/>
  <c r="BQ123" i="13"/>
  <c r="AP129" i="13"/>
  <c r="AR129" i="13" s="1"/>
  <c r="AI127" i="13"/>
  <c r="F487" i="4" s="1"/>
  <c r="P487" i="4" s="1"/>
  <c r="X128" i="13"/>
  <c r="L88" i="13"/>
  <c r="J88" i="13"/>
  <c r="P1567" i="4" l="1"/>
  <c r="S1567" i="4"/>
  <c r="K487" i="4"/>
  <c r="Q487" i="4"/>
  <c r="J487" i="4"/>
  <c r="Q1567" i="4"/>
  <c r="K1567" i="4"/>
  <c r="J1567" i="4"/>
  <c r="L849" i="4"/>
  <c r="N849" i="4"/>
  <c r="O848" i="4"/>
  <c r="CB125" i="13"/>
  <c r="CD125" i="13" s="1"/>
  <c r="BT123" i="13"/>
  <c r="BV123" i="13" s="1"/>
  <c r="AV129" i="13"/>
  <c r="AX129" i="13"/>
  <c r="W128" i="13"/>
  <c r="Y128" i="13" s="1"/>
  <c r="O88" i="13"/>
  <c r="Q88" i="13" s="1"/>
  <c r="H1205" i="4" l="1"/>
  <c r="M1205" i="4" s="1"/>
  <c r="H87" i="4"/>
  <c r="M87" i="4" s="1"/>
  <c r="L1567" i="4"/>
  <c r="N1567" i="4"/>
  <c r="O1566" i="4"/>
  <c r="L487" i="4"/>
  <c r="N487" i="4"/>
  <c r="O486" i="4"/>
  <c r="CJ125" i="13"/>
  <c r="CH125" i="13"/>
  <c r="BJ124" i="13"/>
  <c r="BU123" i="13"/>
  <c r="F1205" i="4" s="1"/>
  <c r="P1205" i="4" s="1"/>
  <c r="G1205" i="4"/>
  <c r="BA129" i="13"/>
  <c r="H850" i="4" s="1"/>
  <c r="AC128" i="13"/>
  <c r="AE128" i="13"/>
  <c r="P88" i="13"/>
  <c r="E89" i="13"/>
  <c r="M850" i="4" l="1"/>
  <c r="S1205" i="4"/>
  <c r="Q1205" i="4"/>
  <c r="K1205" i="4"/>
  <c r="J1205" i="4"/>
  <c r="BB129" i="13"/>
  <c r="F850" i="4" s="1"/>
  <c r="F87" i="4"/>
  <c r="G87" i="4"/>
  <c r="CM125" i="13"/>
  <c r="CO125" i="13" s="1"/>
  <c r="BI124" i="13"/>
  <c r="BK124" i="13" s="1"/>
  <c r="G850" i="4"/>
  <c r="AQ130" i="13"/>
  <c r="AH128" i="13"/>
  <c r="D89" i="13"/>
  <c r="H488" i="4" l="1"/>
  <c r="M488" i="4" s="1"/>
  <c r="P850" i="4"/>
  <c r="P87" i="4"/>
  <c r="S87" i="4"/>
  <c r="K850" i="4"/>
  <c r="Q850" i="4"/>
  <c r="J850" i="4"/>
  <c r="L1205" i="4"/>
  <c r="N1205" i="4"/>
  <c r="O1204" i="4"/>
  <c r="K87" i="4"/>
  <c r="Q87" i="4"/>
  <c r="J87" i="4"/>
  <c r="CC126" i="13"/>
  <c r="CB126" i="13" s="1"/>
  <c r="CD126" i="13" s="1"/>
  <c r="H1568" i="4"/>
  <c r="M1568" i="4" s="1"/>
  <c r="S850" i="4"/>
  <c r="S448" i="4"/>
  <c r="G1568" i="4"/>
  <c r="CN125" i="13"/>
  <c r="F1568" i="4" s="1"/>
  <c r="BQ124" i="13"/>
  <c r="BO124" i="13"/>
  <c r="AP130" i="13"/>
  <c r="AR130" i="13" s="1"/>
  <c r="AI128" i="13"/>
  <c r="F488" i="4" s="1"/>
  <c r="G488" i="4"/>
  <c r="X129" i="13"/>
  <c r="F89" i="13"/>
  <c r="P488" i="4" l="1"/>
  <c r="P1568" i="4"/>
  <c r="S1568" i="4"/>
  <c r="K1568" i="4"/>
  <c r="Q1568" i="4"/>
  <c r="J1568" i="4"/>
  <c r="Q488" i="4"/>
  <c r="K488" i="4"/>
  <c r="J488" i="4"/>
  <c r="L850" i="4"/>
  <c r="N850" i="4"/>
  <c r="O849" i="4"/>
  <c r="L87" i="4"/>
  <c r="N87" i="4"/>
  <c r="O86" i="4"/>
  <c r="BT124" i="13"/>
  <c r="BV124" i="13" s="1"/>
  <c r="CH126" i="13"/>
  <c r="CJ126" i="13"/>
  <c r="AV130" i="13"/>
  <c r="AX130" i="13"/>
  <c r="W129" i="13"/>
  <c r="Y129" i="13" s="1"/>
  <c r="L89" i="13"/>
  <c r="J89" i="13"/>
  <c r="L488" i="4" l="1"/>
  <c r="N488" i="4"/>
  <c r="O487" i="4"/>
  <c r="L1568" i="4"/>
  <c r="N1568" i="4"/>
  <c r="O1567" i="4"/>
  <c r="BJ125" i="13"/>
  <c r="BI125" i="13" s="1"/>
  <c r="BK125" i="13" s="1"/>
  <c r="H1206" i="4"/>
  <c r="M1206" i="4" s="1"/>
  <c r="BU124" i="13"/>
  <c r="F1206" i="4" s="1"/>
  <c r="G1206" i="4"/>
  <c r="CM126" i="13"/>
  <c r="H1569" i="4" s="1"/>
  <c r="M1569" i="4" s="1"/>
  <c r="BA130" i="13"/>
  <c r="H851" i="4" s="1"/>
  <c r="AC129" i="13"/>
  <c r="AE129" i="13"/>
  <c r="O89" i="13"/>
  <c r="Q89" i="13" s="1"/>
  <c r="H88" i="4" l="1"/>
  <c r="M88" i="4" s="1"/>
  <c r="M851" i="4"/>
  <c r="P1206" i="4"/>
  <c r="S1206" i="4"/>
  <c r="K1206" i="4"/>
  <c r="Q1206" i="4"/>
  <c r="J1206" i="4"/>
  <c r="BB130" i="13"/>
  <c r="F851" i="4" s="1"/>
  <c r="CC127" i="13"/>
  <c r="G1569" i="4"/>
  <c r="CN126" i="13"/>
  <c r="F1569" i="4" s="1"/>
  <c r="BQ125" i="13"/>
  <c r="BO125" i="13"/>
  <c r="AQ131" i="13"/>
  <c r="G851" i="4"/>
  <c r="AH129" i="13"/>
  <c r="E90" i="13"/>
  <c r="P89" i="13"/>
  <c r="H489" i="4" l="1"/>
  <c r="M489" i="4" s="1"/>
  <c r="P851" i="4"/>
  <c r="P1569" i="4"/>
  <c r="S1569" i="4"/>
  <c r="Q1569" i="4"/>
  <c r="K1569" i="4"/>
  <c r="J1569" i="4"/>
  <c r="Q851" i="4"/>
  <c r="K851" i="4"/>
  <c r="J851" i="4"/>
  <c r="N1206" i="4"/>
  <c r="L1206" i="4"/>
  <c r="O1205" i="4"/>
  <c r="S851" i="4"/>
  <c r="F88" i="4"/>
  <c r="G88" i="4"/>
  <c r="BT125" i="13"/>
  <c r="BV125" i="13" s="1"/>
  <c r="CB127" i="13"/>
  <c r="CD127" i="13" s="1"/>
  <c r="AP131" i="13"/>
  <c r="AR131" i="13" s="1"/>
  <c r="X130" i="13"/>
  <c r="G489" i="4"/>
  <c r="AI129" i="13"/>
  <c r="F489" i="4" s="1"/>
  <c r="D90" i="13"/>
  <c r="P489" i="4" l="1"/>
  <c r="P88" i="4"/>
  <c r="S88" i="4"/>
  <c r="L851" i="4"/>
  <c r="N851" i="4"/>
  <c r="O850" i="4"/>
  <c r="Q489" i="4"/>
  <c r="K489" i="4"/>
  <c r="J489" i="4"/>
  <c r="N1569" i="4"/>
  <c r="L1569" i="4"/>
  <c r="O1568" i="4"/>
  <c r="Q88" i="4"/>
  <c r="K88" i="4"/>
  <c r="J88" i="4"/>
  <c r="BJ126" i="13"/>
  <c r="BI126" i="13" s="1"/>
  <c r="BK126" i="13" s="1"/>
  <c r="H1207" i="4"/>
  <c r="S449" i="4"/>
  <c r="G1207" i="4"/>
  <c r="BU125" i="13"/>
  <c r="F1207" i="4" s="1"/>
  <c r="P1207" i="4" s="1"/>
  <c r="CH127" i="13"/>
  <c r="CJ127" i="13"/>
  <c r="AV131" i="13"/>
  <c r="AX131" i="13"/>
  <c r="W130" i="13"/>
  <c r="Y130" i="13" s="1"/>
  <c r="F90" i="13"/>
  <c r="M1207" i="4" l="1"/>
  <c r="S1207" i="4"/>
  <c r="K1207" i="4"/>
  <c r="Q1207" i="4"/>
  <c r="J1207" i="4"/>
  <c r="N489" i="4"/>
  <c r="L489" i="4"/>
  <c r="O488" i="4"/>
  <c r="N88" i="4"/>
  <c r="L88" i="4"/>
  <c r="O87" i="4"/>
  <c r="CM127" i="13"/>
  <c r="H1570" i="4" s="1"/>
  <c r="BQ126" i="13"/>
  <c r="BO126" i="13"/>
  <c r="BA131" i="13"/>
  <c r="AC130" i="13"/>
  <c r="AE130" i="13"/>
  <c r="L90" i="13"/>
  <c r="J90" i="13"/>
  <c r="H852" i="4" l="1"/>
  <c r="M852" i="4" s="1"/>
  <c r="BC131" i="13"/>
  <c r="G852" i="4" s="1"/>
  <c r="M1570" i="4"/>
  <c r="P133" i="5"/>
  <c r="L1207" i="4"/>
  <c r="N1207" i="4"/>
  <c r="O1206" i="4"/>
  <c r="BB131" i="13"/>
  <c r="F852" i="4" s="1"/>
  <c r="BT126" i="13"/>
  <c r="G1208" i="4" s="1"/>
  <c r="CC128" i="13"/>
  <c r="G1570" i="4"/>
  <c r="CN127" i="13"/>
  <c r="F1570" i="4" s="1"/>
  <c r="AQ132" i="13"/>
  <c r="AH130" i="13"/>
  <c r="O90" i="13"/>
  <c r="H490" i="4" l="1"/>
  <c r="M490" i="4" s="1"/>
  <c r="H89" i="4"/>
  <c r="M89" i="4" s="1"/>
  <c r="P852" i="4"/>
  <c r="P1570" i="4"/>
  <c r="S1570" i="4"/>
  <c r="K1208" i="4"/>
  <c r="Q1208" i="4"/>
  <c r="J1208" i="4"/>
  <c r="Q852" i="4"/>
  <c r="K852" i="4"/>
  <c r="J852" i="4"/>
  <c r="K1570" i="4"/>
  <c r="Q1570" i="4"/>
  <c r="J1570" i="4"/>
  <c r="BU126" i="13"/>
  <c r="F1208" i="4" s="1"/>
  <c r="BJ127" i="13"/>
  <c r="BI127" i="13" s="1"/>
  <c r="BK127" i="13" s="1"/>
  <c r="H1208" i="4"/>
  <c r="M1208" i="4" s="1"/>
  <c r="S852" i="4"/>
  <c r="CB128" i="13"/>
  <c r="CD128" i="13" s="1"/>
  <c r="AP132" i="13"/>
  <c r="AR132" i="13" s="1"/>
  <c r="X131" i="13"/>
  <c r="G490" i="4"/>
  <c r="AI130" i="13"/>
  <c r="F490" i="4" s="1"/>
  <c r="P90" i="13"/>
  <c r="E91" i="13"/>
  <c r="P490" i="4" l="1"/>
  <c r="P1208" i="4"/>
  <c r="S1208" i="4"/>
  <c r="Q490" i="4"/>
  <c r="K490" i="4"/>
  <c r="J490" i="4"/>
  <c r="L852" i="4"/>
  <c r="N852" i="4"/>
  <c r="O851" i="4"/>
  <c r="L1570" i="4"/>
  <c r="N1570" i="4"/>
  <c r="O1569" i="4"/>
  <c r="L1208" i="4"/>
  <c r="N1208" i="4"/>
  <c r="O1207" i="4"/>
  <c r="F89" i="4"/>
  <c r="G89" i="4"/>
  <c r="CH128" i="13"/>
  <c r="CJ128" i="13"/>
  <c r="BO127" i="13"/>
  <c r="BQ127" i="13"/>
  <c r="AV132" i="13"/>
  <c r="AX132" i="13"/>
  <c r="W131" i="13"/>
  <c r="Y131" i="13" s="1"/>
  <c r="D91" i="13"/>
  <c r="P89" i="4" l="1"/>
  <c r="S89" i="4"/>
  <c r="L490" i="4"/>
  <c r="N490" i="4"/>
  <c r="O489" i="4"/>
  <c r="Q89" i="4"/>
  <c r="K89" i="4"/>
  <c r="J89" i="4"/>
  <c r="S450" i="4"/>
  <c r="CM128" i="13"/>
  <c r="H1571" i="4" s="1"/>
  <c r="BT127" i="13"/>
  <c r="H1209" i="4" s="1"/>
  <c r="P103" i="5" s="1"/>
  <c r="BA132" i="13"/>
  <c r="AE131" i="13"/>
  <c r="AC131" i="13"/>
  <c r="F91" i="13"/>
  <c r="H853" i="4" l="1"/>
  <c r="M853" i="4" s="1"/>
  <c r="BC132" i="13"/>
  <c r="G853" i="4" s="1"/>
  <c r="M1571" i="4"/>
  <c r="M1209" i="4"/>
  <c r="L89" i="4"/>
  <c r="N89" i="4"/>
  <c r="O88" i="4"/>
  <c r="BB132" i="13"/>
  <c r="F853" i="4" s="1"/>
  <c r="AH131" i="13"/>
  <c r="AJ131" i="13" s="1"/>
  <c r="G1571" i="4"/>
  <c r="CN128" i="13"/>
  <c r="F1571" i="4" s="1"/>
  <c r="CC129" i="13"/>
  <c r="BJ128" i="13"/>
  <c r="G1209" i="4"/>
  <c r="BU127" i="13"/>
  <c r="F1209" i="4" s="1"/>
  <c r="AQ133" i="13"/>
  <c r="AP133" i="13" s="1"/>
  <c r="L91" i="13"/>
  <c r="J91" i="13"/>
  <c r="H491" i="4" l="1"/>
  <c r="M491" i="4" s="1"/>
  <c r="X132" i="13"/>
  <c r="P853" i="4"/>
  <c r="G74" i="5"/>
  <c r="P1209" i="4"/>
  <c r="S1209" i="4"/>
  <c r="P1571" i="4"/>
  <c r="S1571" i="4"/>
  <c r="Q853" i="4"/>
  <c r="K853" i="4"/>
  <c r="J853" i="4"/>
  <c r="Q1209" i="4"/>
  <c r="K1209" i="4"/>
  <c r="J1209" i="4"/>
  <c r="K1571" i="4"/>
  <c r="Q1571" i="4"/>
  <c r="J1571" i="4"/>
  <c r="G491" i="4"/>
  <c r="AI131" i="13"/>
  <c r="F491" i="4" s="1"/>
  <c r="F70" i="5"/>
  <c r="F71" i="5"/>
  <c r="F72" i="5"/>
  <c r="F73" i="5"/>
  <c r="G70" i="5"/>
  <c r="G71" i="5"/>
  <c r="G72" i="5"/>
  <c r="G73" i="5"/>
  <c r="S853" i="4"/>
  <c r="CB129" i="13"/>
  <c r="CD129" i="13" s="1"/>
  <c r="BI128" i="13"/>
  <c r="BK128" i="13" s="1"/>
  <c r="O91" i="13"/>
  <c r="W132" i="13" l="1"/>
  <c r="Y132" i="13" s="1"/>
  <c r="AE132" i="13" s="1"/>
  <c r="N73" i="5"/>
  <c r="H90" i="4"/>
  <c r="M90" i="4" s="1"/>
  <c r="N72" i="5"/>
  <c r="P10" i="5"/>
  <c r="N71" i="5"/>
  <c r="N70" i="5"/>
  <c r="P491" i="4"/>
  <c r="Q491" i="4"/>
  <c r="K491" i="4"/>
  <c r="J491" i="4"/>
  <c r="L1571" i="4"/>
  <c r="N1571" i="4"/>
  <c r="O1570" i="4"/>
  <c r="N1209" i="4"/>
  <c r="L1209" i="4"/>
  <c r="O1208" i="4"/>
  <c r="N853" i="4"/>
  <c r="L853" i="4"/>
  <c r="O853" i="4"/>
  <c r="O852" i="4"/>
  <c r="H70" i="5"/>
  <c r="H71" i="5"/>
  <c r="H72" i="5"/>
  <c r="E70" i="5"/>
  <c r="J70" i="5" s="1"/>
  <c r="E71" i="5"/>
  <c r="J71" i="5" s="1"/>
  <c r="E72" i="5"/>
  <c r="J72" i="5" s="1"/>
  <c r="CH129" i="13"/>
  <c r="CJ129" i="13"/>
  <c r="BO128" i="13"/>
  <c r="BQ128" i="13"/>
  <c r="E92" i="13"/>
  <c r="P91" i="13"/>
  <c r="AC132" i="13" l="1"/>
  <c r="AH132" i="13" s="1"/>
  <c r="AJ132" i="13" s="1"/>
  <c r="K70" i="5"/>
  <c r="L70" i="5"/>
  <c r="K71" i="5"/>
  <c r="L71" i="5"/>
  <c r="K72" i="5"/>
  <c r="L72" i="5"/>
  <c r="N491" i="4"/>
  <c r="L491" i="4"/>
  <c r="O490" i="4"/>
  <c r="I72" i="5"/>
  <c r="Q72" i="5"/>
  <c r="I71" i="5"/>
  <c r="Q71" i="5"/>
  <c r="Q70" i="5"/>
  <c r="I70" i="5"/>
  <c r="F90" i="4"/>
  <c r="G90" i="4"/>
  <c r="CM129" i="13"/>
  <c r="H1572" i="4" s="1"/>
  <c r="BT128" i="13"/>
  <c r="H1210" i="4" s="1"/>
  <c r="D92" i="13"/>
  <c r="H492" i="4" l="1"/>
  <c r="M492" i="4" s="1"/>
  <c r="M1572" i="4"/>
  <c r="M1210" i="4"/>
  <c r="P90" i="4"/>
  <c r="S90" i="4"/>
  <c r="K90" i="4"/>
  <c r="Q90" i="4"/>
  <c r="J90" i="4"/>
  <c r="X133" i="13"/>
  <c r="W133" i="13" s="1"/>
  <c r="S451" i="4"/>
  <c r="G492" i="4"/>
  <c r="AI132" i="13"/>
  <c r="F492" i="4" s="1"/>
  <c r="G1572" i="4"/>
  <c r="CN129" i="13"/>
  <c r="F1572" i="4" s="1"/>
  <c r="CC130" i="13"/>
  <c r="G1210" i="4"/>
  <c r="BU128" i="13"/>
  <c r="F1210" i="4" s="1"/>
  <c r="BJ129" i="13"/>
  <c r="F92" i="13"/>
  <c r="P1210" i="4" l="1"/>
  <c r="P492" i="4"/>
  <c r="G44" i="5"/>
  <c r="P1572" i="4"/>
  <c r="S1572" i="4"/>
  <c r="S1210" i="4"/>
  <c r="Q1572" i="4"/>
  <c r="K1572" i="4"/>
  <c r="J1572" i="4"/>
  <c r="Q1210" i="4"/>
  <c r="K1210" i="4"/>
  <c r="J1210" i="4"/>
  <c r="K492" i="4"/>
  <c r="Q492" i="4"/>
  <c r="J492" i="4"/>
  <c r="N90" i="4"/>
  <c r="L90" i="4"/>
  <c r="O89" i="4"/>
  <c r="CB130" i="13"/>
  <c r="CD130" i="13" s="1"/>
  <c r="BI129" i="13"/>
  <c r="BK129" i="13" s="1"/>
  <c r="L92" i="13"/>
  <c r="J92" i="13"/>
  <c r="L492" i="4" l="1"/>
  <c r="N492" i="4"/>
  <c r="O492" i="4"/>
  <c r="O491" i="4"/>
  <c r="L1210" i="4"/>
  <c r="N1210" i="4"/>
  <c r="O1209" i="4"/>
  <c r="L1572" i="4"/>
  <c r="N1572" i="4"/>
  <c r="O1571" i="4"/>
  <c r="CH130" i="13"/>
  <c r="CJ130" i="13"/>
  <c r="BQ129" i="13"/>
  <c r="BO129" i="13"/>
  <c r="O92" i="13"/>
  <c r="H91" i="4" l="1"/>
  <c r="M91" i="4" s="1"/>
  <c r="BT129" i="13"/>
  <c r="CM130" i="13"/>
  <c r="H1573" i="4" s="1"/>
  <c r="E93" i="13"/>
  <c r="P92" i="13"/>
  <c r="M1573" i="4" l="1"/>
  <c r="G1211" i="4"/>
  <c r="H1211" i="4"/>
  <c r="F91" i="4"/>
  <c r="G91" i="4"/>
  <c r="BU129" i="13"/>
  <c r="F1211" i="4" s="1"/>
  <c r="BJ130" i="13"/>
  <c r="BI130" i="13" s="1"/>
  <c r="BK130" i="13" s="1"/>
  <c r="CC131" i="13"/>
  <c r="G1573" i="4"/>
  <c r="CN130" i="13"/>
  <c r="F1573" i="4" s="1"/>
  <c r="D93" i="13"/>
  <c r="P1211" i="4" l="1"/>
  <c r="P1573" i="4"/>
  <c r="S1573" i="4"/>
  <c r="M1211" i="4"/>
  <c r="S1211" i="4"/>
  <c r="P91" i="4"/>
  <c r="S91" i="4"/>
  <c r="Q1573" i="4"/>
  <c r="K1573" i="4"/>
  <c r="J1573" i="4"/>
  <c r="Q1211" i="4"/>
  <c r="K1211" i="4"/>
  <c r="J1211" i="4"/>
  <c r="J91" i="4"/>
  <c r="Q91" i="4"/>
  <c r="K91" i="4"/>
  <c r="S452" i="4"/>
  <c r="CB131" i="13"/>
  <c r="CD131" i="13" s="1"/>
  <c r="BQ130" i="13"/>
  <c r="BO130" i="13"/>
  <c r="F93" i="13"/>
  <c r="N1211" i="4" l="1"/>
  <c r="L1211" i="4"/>
  <c r="O1210" i="4"/>
  <c r="N1573" i="4"/>
  <c r="L1573" i="4"/>
  <c r="O1572" i="4"/>
  <c r="L91" i="4"/>
  <c r="N91" i="4"/>
  <c r="O90" i="4"/>
  <c r="BT130" i="13"/>
  <c r="CJ131" i="13"/>
  <c r="CH131" i="13"/>
  <c r="L93" i="13"/>
  <c r="J93" i="13"/>
  <c r="BJ131" i="13" l="1"/>
  <c r="BI131" i="13" s="1"/>
  <c r="BK131" i="13" s="1"/>
  <c r="H1212" i="4"/>
  <c r="CM131" i="13"/>
  <c r="CO131" i="13" s="1"/>
  <c r="BU130" i="13"/>
  <c r="F1212" i="4" s="1"/>
  <c r="G1212" i="4"/>
  <c r="O93" i="13"/>
  <c r="H92" i="4" l="1"/>
  <c r="M92" i="4" s="1"/>
  <c r="P1212" i="4"/>
  <c r="M1212" i="4"/>
  <c r="S1212" i="4"/>
  <c r="Q1212" i="4"/>
  <c r="K1212" i="4"/>
  <c r="J1212" i="4"/>
  <c r="G1574" i="4"/>
  <c r="H1574" i="4"/>
  <c r="CN131" i="13"/>
  <c r="F1574" i="4" s="1"/>
  <c r="CC132" i="13"/>
  <c r="CB132" i="13" s="1"/>
  <c r="CD132" i="13" s="1"/>
  <c r="BO131" i="13"/>
  <c r="BQ131" i="13"/>
  <c r="E94" i="13"/>
  <c r="P93" i="13"/>
  <c r="M1574" i="4" l="1"/>
  <c r="P1574" i="4"/>
  <c r="S1574" i="4"/>
  <c r="Q1574" i="4"/>
  <c r="K1574" i="4"/>
  <c r="J1574" i="4"/>
  <c r="N1212" i="4"/>
  <c r="L1212" i="4"/>
  <c r="O1211" i="4"/>
  <c r="E130" i="5"/>
  <c r="E131" i="5"/>
  <c r="J131" i="5" s="1"/>
  <c r="G92" i="4"/>
  <c r="F92" i="4"/>
  <c r="CH132" i="13"/>
  <c r="CJ132" i="13"/>
  <c r="BT131" i="13"/>
  <c r="BV131" i="13" s="1"/>
  <c r="D94" i="13"/>
  <c r="H1213" i="4" l="1"/>
  <c r="M1213" i="4" s="1"/>
  <c r="G1213" i="4"/>
  <c r="J130" i="5"/>
  <c r="P92" i="4"/>
  <c r="S92" i="4"/>
  <c r="L1574" i="4"/>
  <c r="N1574" i="4"/>
  <c r="O1573" i="4"/>
  <c r="K92" i="4"/>
  <c r="Q92" i="4"/>
  <c r="J92" i="4"/>
  <c r="S453" i="4"/>
  <c r="CM132" i="13"/>
  <c r="BU131" i="13"/>
  <c r="F1213" i="4" s="1"/>
  <c r="BJ132" i="13"/>
  <c r="F94" i="13"/>
  <c r="H1575" i="4" l="1"/>
  <c r="CO132" i="13"/>
  <c r="O70" i="5"/>
  <c r="O100" i="5"/>
  <c r="O130" i="5"/>
  <c r="O40" i="5"/>
  <c r="O8" i="5"/>
  <c r="O71" i="5"/>
  <c r="O41" i="5"/>
  <c r="O101" i="5"/>
  <c r="O131" i="5"/>
  <c r="O9" i="5"/>
  <c r="O72" i="5"/>
  <c r="O42" i="5"/>
  <c r="O102" i="5"/>
  <c r="O132" i="5"/>
  <c r="O73" i="5"/>
  <c r="O43" i="5"/>
  <c r="O10" i="5"/>
  <c r="O133" i="5"/>
  <c r="O103" i="5"/>
  <c r="O74" i="5"/>
  <c r="O44" i="5"/>
  <c r="O134" i="5"/>
  <c r="M1575" i="4"/>
  <c r="P1213" i="4"/>
  <c r="S1213" i="4"/>
  <c r="K1213" i="4"/>
  <c r="Q1213" i="4"/>
  <c r="J1213" i="4"/>
  <c r="L92" i="4"/>
  <c r="N92" i="4"/>
  <c r="O91" i="4"/>
  <c r="CN132" i="13"/>
  <c r="F1575" i="4" s="1"/>
  <c r="G134" i="5" s="1"/>
  <c r="CC133" i="13"/>
  <c r="CB133" i="13" s="1"/>
  <c r="BI132" i="13"/>
  <c r="BK132" i="13" s="1"/>
  <c r="L94" i="13"/>
  <c r="J94" i="13"/>
  <c r="O5" i="6" l="1"/>
  <c r="I8" i="19" s="1"/>
  <c r="O8" i="6"/>
  <c r="I10" i="19" s="1"/>
  <c r="O7" i="6"/>
  <c r="I9" i="19" s="1"/>
  <c r="O6" i="6"/>
  <c r="P1575" i="4"/>
  <c r="L1213" i="4"/>
  <c r="N1213" i="4"/>
  <c r="O1212" i="4"/>
  <c r="G1575" i="4"/>
  <c r="F134" i="5" s="1"/>
  <c r="F130" i="5"/>
  <c r="F131" i="5"/>
  <c r="G130" i="5"/>
  <c r="G131" i="5"/>
  <c r="BQ132" i="13"/>
  <c r="BO132" i="13"/>
  <c r="O94" i="13"/>
  <c r="H93" i="4" l="1"/>
  <c r="M93" i="4" s="1"/>
  <c r="N134" i="5"/>
  <c r="N131" i="5"/>
  <c r="N130" i="5"/>
  <c r="F74" i="5"/>
  <c r="N74" i="5" s="1"/>
  <c r="S1575" i="4"/>
  <c r="F44" i="5"/>
  <c r="N44" i="5" s="1"/>
  <c r="K1575" i="4"/>
  <c r="Q1575" i="4"/>
  <c r="J1575" i="4"/>
  <c r="E134" i="5" s="1"/>
  <c r="H130" i="5"/>
  <c r="H131" i="5"/>
  <c r="BT132" i="13"/>
  <c r="BV132" i="13" s="1"/>
  <c r="P94" i="13"/>
  <c r="E95" i="13"/>
  <c r="J134" i="5" l="1"/>
  <c r="K131" i="5"/>
  <c r="L131" i="5"/>
  <c r="K130" i="5"/>
  <c r="L130" i="5"/>
  <c r="H134" i="5"/>
  <c r="H41" i="5"/>
  <c r="E44" i="5"/>
  <c r="J44" i="5" s="1"/>
  <c r="E74" i="5"/>
  <c r="J74" i="5" s="1"/>
  <c r="H44" i="5"/>
  <c r="H74" i="5"/>
  <c r="L1575" i="4"/>
  <c r="N1575" i="4"/>
  <c r="O1575" i="4"/>
  <c r="O1574" i="4"/>
  <c r="I131" i="5"/>
  <c r="Q131" i="5"/>
  <c r="I130" i="5"/>
  <c r="Q130" i="5"/>
  <c r="BJ133" i="13"/>
  <c r="BI133" i="13" s="1"/>
  <c r="H1214" i="4"/>
  <c r="O104" i="5" s="1"/>
  <c r="F93" i="4"/>
  <c r="G93" i="4"/>
  <c r="BU132" i="13"/>
  <c r="F1214" i="4" s="1"/>
  <c r="G104" i="5" s="1"/>
  <c r="G1214" i="4"/>
  <c r="F104" i="5" s="1"/>
  <c r="D95" i="13"/>
  <c r="L5" i="6" l="1"/>
  <c r="F8" i="19" s="1"/>
  <c r="M5" i="5"/>
  <c r="L134" i="5"/>
  <c r="L8" i="6"/>
  <c r="F10" i="19" s="1"/>
  <c r="N104" i="5"/>
  <c r="M34" i="5"/>
  <c r="M64" i="5"/>
  <c r="M94" i="5"/>
  <c r="M124" i="5"/>
  <c r="M35" i="5"/>
  <c r="M65" i="5"/>
  <c r="M125" i="5"/>
  <c r="M95" i="5"/>
  <c r="M66" i="5"/>
  <c r="M36" i="5"/>
  <c r="M96" i="5"/>
  <c r="M126" i="5"/>
  <c r="M67" i="5"/>
  <c r="M37" i="5"/>
  <c r="M97" i="5"/>
  <c r="M127" i="5"/>
  <c r="M6" i="5"/>
  <c r="M68" i="5"/>
  <c r="M38" i="5"/>
  <c r="M98" i="5"/>
  <c r="M128" i="5"/>
  <c r="M7" i="5"/>
  <c r="M69" i="5"/>
  <c r="M39" i="5"/>
  <c r="M129" i="5"/>
  <c r="M99" i="5"/>
  <c r="M70" i="5"/>
  <c r="M40" i="5"/>
  <c r="M100" i="5"/>
  <c r="M8" i="5"/>
  <c r="M130" i="5"/>
  <c r="M71" i="5"/>
  <c r="M41" i="5"/>
  <c r="M131" i="5"/>
  <c r="M101" i="5"/>
  <c r="M9" i="5"/>
  <c r="M72" i="5"/>
  <c r="M42" i="5"/>
  <c r="M132" i="5"/>
  <c r="M102" i="5"/>
  <c r="M73" i="5"/>
  <c r="M43" i="5"/>
  <c r="M10" i="5"/>
  <c r="M133" i="5"/>
  <c r="M103" i="5"/>
  <c r="M74" i="5"/>
  <c r="M44" i="5"/>
  <c r="M134" i="5"/>
  <c r="K74" i="5"/>
  <c r="L74" i="5"/>
  <c r="K44" i="5"/>
  <c r="L44" i="5"/>
  <c r="K41" i="5"/>
  <c r="L41" i="5" s="1"/>
  <c r="Q134" i="5"/>
  <c r="K134" i="5"/>
  <c r="I134" i="5"/>
  <c r="Q44" i="5"/>
  <c r="I44" i="5"/>
  <c r="I74" i="5"/>
  <c r="Q74" i="5"/>
  <c r="P1214" i="4"/>
  <c r="S1214" i="4"/>
  <c r="P93" i="4"/>
  <c r="S93" i="4"/>
  <c r="K1214" i="4"/>
  <c r="H104" i="5" s="1"/>
  <c r="Q1214" i="4"/>
  <c r="J1214" i="4"/>
  <c r="E104" i="5" s="1"/>
  <c r="J104" i="5" s="1"/>
  <c r="M1214" i="4"/>
  <c r="K93" i="4"/>
  <c r="Q93" i="4"/>
  <c r="J93" i="4"/>
  <c r="F102" i="5"/>
  <c r="F103" i="5"/>
  <c r="G102" i="5"/>
  <c r="G103" i="5"/>
  <c r="E103" i="5"/>
  <c r="J103" i="5" s="1"/>
  <c r="F100" i="5"/>
  <c r="F101" i="5"/>
  <c r="F132" i="5"/>
  <c r="F133" i="5"/>
  <c r="G100" i="5"/>
  <c r="G101" i="5"/>
  <c r="G132" i="5"/>
  <c r="G133" i="5"/>
  <c r="S454" i="4"/>
  <c r="F95" i="13"/>
  <c r="E8" i="6" l="1"/>
  <c r="H10" i="19" s="1"/>
  <c r="F8" i="6"/>
  <c r="N132" i="5"/>
  <c r="E7" i="6"/>
  <c r="H9" i="19" s="1"/>
  <c r="F7" i="6"/>
  <c r="N101" i="5"/>
  <c r="N100" i="5"/>
  <c r="M7" i="6" s="1"/>
  <c r="N103" i="5"/>
  <c r="N102" i="5"/>
  <c r="N133" i="5"/>
  <c r="M8" i="6" s="1"/>
  <c r="K104" i="5"/>
  <c r="L104" i="5"/>
  <c r="Q104" i="5"/>
  <c r="I104" i="5"/>
  <c r="L1214" i="4"/>
  <c r="N1214" i="4"/>
  <c r="M104" i="5" s="1"/>
  <c r="O1214" i="4"/>
  <c r="O1213" i="4"/>
  <c r="N93" i="4"/>
  <c r="L93" i="4"/>
  <c r="O92" i="4"/>
  <c r="H102" i="5"/>
  <c r="H103" i="5"/>
  <c r="H100" i="5"/>
  <c r="H101" i="5"/>
  <c r="H132" i="5"/>
  <c r="H133" i="5"/>
  <c r="E100" i="5"/>
  <c r="E101" i="5"/>
  <c r="J101" i="5" s="1"/>
  <c r="E102" i="5"/>
  <c r="J102" i="5" s="1"/>
  <c r="E132" i="5"/>
  <c r="E133" i="5"/>
  <c r="J133" i="5" s="1"/>
  <c r="L95" i="13"/>
  <c r="J95" i="13"/>
  <c r="N8" i="6" l="1"/>
  <c r="N7" i="6"/>
  <c r="G8" i="6"/>
  <c r="G7" i="6"/>
  <c r="K7" i="6" s="1"/>
  <c r="E9" i="19" s="1"/>
  <c r="J132" i="5"/>
  <c r="D8" i="6"/>
  <c r="I8" i="6" s="1"/>
  <c r="J100" i="5"/>
  <c r="D7" i="6"/>
  <c r="I7" i="6" s="1"/>
  <c r="K100" i="5"/>
  <c r="L100" i="5"/>
  <c r="K103" i="5"/>
  <c r="L103" i="5"/>
  <c r="K102" i="5"/>
  <c r="L102" i="5"/>
  <c r="K101" i="5"/>
  <c r="L101" i="5"/>
  <c r="K133" i="5"/>
  <c r="L133" i="5"/>
  <c r="K132" i="5"/>
  <c r="L132" i="5"/>
  <c r="L7" i="6"/>
  <c r="I103" i="5"/>
  <c r="Q103" i="5"/>
  <c r="I102" i="5"/>
  <c r="Q102" i="5"/>
  <c r="I133" i="5"/>
  <c r="Q133" i="5"/>
  <c r="Q101" i="5"/>
  <c r="I101" i="5"/>
  <c r="I100" i="5"/>
  <c r="Q100" i="5"/>
  <c r="Q132" i="5"/>
  <c r="I132" i="5"/>
  <c r="O95" i="13"/>
  <c r="Q95" i="13" s="1"/>
  <c r="C10" i="19" l="1"/>
  <c r="C9" i="19"/>
  <c r="F9" i="19"/>
  <c r="H94" i="4"/>
  <c r="M94" i="4" s="1"/>
  <c r="K8" i="6"/>
  <c r="H8" i="6"/>
  <c r="J8" i="6"/>
  <c r="D10" i="19" s="1"/>
  <c r="P8" i="6"/>
  <c r="P7" i="6"/>
  <c r="J7" i="6"/>
  <c r="D9" i="19" s="1"/>
  <c r="H7" i="6"/>
  <c r="E96" i="13"/>
  <c r="P95" i="13"/>
  <c r="E10" i="19" l="1"/>
  <c r="B10" i="19"/>
  <c r="B9" i="19"/>
  <c r="G94" i="4"/>
  <c r="F94" i="4"/>
  <c r="D96" i="13"/>
  <c r="P94" i="4" l="1"/>
  <c r="S94" i="4"/>
  <c r="Q94" i="4"/>
  <c r="K94" i="4"/>
  <c r="J94" i="4"/>
  <c r="S455" i="4"/>
  <c r="F96" i="13"/>
  <c r="L94" i="4" l="1"/>
  <c r="N94" i="4"/>
  <c r="O93" i="4"/>
  <c r="L96" i="13"/>
  <c r="J96" i="13"/>
  <c r="O96" i="13" l="1"/>
  <c r="Q96" i="13" s="1"/>
  <c r="H95" i="4" l="1"/>
  <c r="M95" i="4" s="1"/>
  <c r="P96" i="13"/>
  <c r="E97" i="13"/>
  <c r="G95" i="4" l="1"/>
  <c r="F95" i="4"/>
  <c r="D97" i="13"/>
  <c r="P95" i="4" l="1"/>
  <c r="S95" i="4"/>
  <c r="Q95" i="4"/>
  <c r="K95" i="4"/>
  <c r="J95" i="4"/>
  <c r="S456" i="4"/>
  <c r="F97" i="13"/>
  <c r="N95" i="4" l="1"/>
  <c r="L95" i="4"/>
  <c r="O94" i="4"/>
  <c r="L97" i="13"/>
  <c r="J97" i="13"/>
  <c r="O97" i="13" l="1"/>
  <c r="Q97" i="13" s="1"/>
  <c r="H96" i="4" l="1"/>
  <c r="M96" i="4" s="1"/>
  <c r="E98" i="13"/>
  <c r="P97" i="13"/>
  <c r="F96" i="4" l="1"/>
  <c r="G96" i="4"/>
  <c r="D98" i="13"/>
  <c r="P96" i="4" l="1"/>
  <c r="S96" i="4"/>
  <c r="K96" i="4"/>
  <c r="Q96" i="4"/>
  <c r="J96" i="4"/>
  <c r="S457" i="4"/>
  <c r="F98" i="13"/>
  <c r="N96" i="4" l="1"/>
  <c r="L96" i="4"/>
  <c r="O95" i="4"/>
  <c r="L98" i="13"/>
  <c r="J98" i="13"/>
  <c r="O98" i="13" l="1"/>
  <c r="Q98" i="13" s="1"/>
  <c r="H97" i="4" l="1"/>
  <c r="M97" i="4" s="1"/>
  <c r="P98" i="13"/>
  <c r="E99" i="13"/>
  <c r="F97" i="4" l="1"/>
  <c r="G97" i="4"/>
  <c r="D99" i="13"/>
  <c r="P97" i="4" l="1"/>
  <c r="S97" i="4"/>
  <c r="Q97" i="4"/>
  <c r="K97" i="4"/>
  <c r="J97" i="4"/>
  <c r="S458" i="4"/>
  <c r="F99" i="13"/>
  <c r="L97" i="4" l="1"/>
  <c r="N97" i="4"/>
  <c r="O96" i="4"/>
  <c r="L99" i="13"/>
  <c r="J99" i="13"/>
  <c r="O99" i="13" l="1"/>
  <c r="Q99" i="13" s="1"/>
  <c r="H98" i="4" l="1"/>
  <c r="M98" i="4" s="1"/>
  <c r="E100" i="13"/>
  <c r="P99" i="13"/>
  <c r="F98" i="4" l="1"/>
  <c r="G98" i="4"/>
  <c r="D100" i="13"/>
  <c r="P98" i="4" l="1"/>
  <c r="S98" i="4"/>
  <c r="K98" i="4"/>
  <c r="Q98" i="4"/>
  <c r="J98" i="4"/>
  <c r="S459" i="4"/>
  <c r="F100" i="13"/>
  <c r="L98" i="4" l="1"/>
  <c r="N98" i="4"/>
  <c r="O97" i="4"/>
  <c r="L100" i="13"/>
  <c r="J100" i="13"/>
  <c r="O100" i="13" l="1"/>
  <c r="Q100" i="13" s="1"/>
  <c r="H99" i="4" l="1"/>
  <c r="M99" i="4" s="1"/>
  <c r="P100" i="13"/>
  <c r="E101" i="13"/>
  <c r="F99" i="4" l="1"/>
  <c r="G99" i="4"/>
  <c r="D101" i="13"/>
  <c r="P99" i="4" l="1"/>
  <c r="S99" i="4"/>
  <c r="Q99" i="4"/>
  <c r="K99" i="4"/>
  <c r="J99" i="4"/>
  <c r="S460" i="4"/>
  <c r="F101" i="13"/>
  <c r="L99" i="4" l="1"/>
  <c r="N99" i="4"/>
  <c r="O98" i="4"/>
  <c r="L101" i="13"/>
  <c r="J101" i="13"/>
  <c r="O101" i="13" l="1"/>
  <c r="Q101" i="13" s="1"/>
  <c r="H100" i="4" l="1"/>
  <c r="M100" i="4" s="1"/>
  <c r="P101" i="13"/>
  <c r="E102" i="13"/>
  <c r="F100" i="4" l="1"/>
  <c r="G100" i="4"/>
  <c r="D102" i="13"/>
  <c r="P100" i="4" l="1"/>
  <c r="S100" i="4"/>
  <c r="Q100" i="4"/>
  <c r="K100" i="4"/>
  <c r="J100" i="4"/>
  <c r="S461" i="4"/>
  <c r="F102" i="13"/>
  <c r="N100" i="4" l="1"/>
  <c r="L100" i="4"/>
  <c r="O99" i="4"/>
  <c r="L102" i="13"/>
  <c r="J102" i="13"/>
  <c r="O102" i="13" l="1"/>
  <c r="H101" i="4" l="1"/>
  <c r="M101" i="4" s="1"/>
  <c r="P102" i="13"/>
  <c r="E103" i="13"/>
  <c r="F101" i="4" l="1"/>
  <c r="G101" i="4"/>
  <c r="D103" i="13"/>
  <c r="P101" i="4" l="1"/>
  <c r="S101" i="4"/>
  <c r="K101" i="4"/>
  <c r="Q101" i="4"/>
  <c r="J101" i="4"/>
  <c r="S462" i="4"/>
  <c r="F103" i="13"/>
  <c r="L101" i="4" l="1"/>
  <c r="N101" i="4"/>
  <c r="O100" i="4"/>
  <c r="J103" i="13"/>
  <c r="L103" i="13"/>
  <c r="O103" i="13" l="1"/>
  <c r="H102" i="4" l="1"/>
  <c r="M102" i="4" s="1"/>
  <c r="P11" i="5"/>
  <c r="E104" i="13"/>
  <c r="P103" i="13"/>
  <c r="F102" i="4" l="1"/>
  <c r="G102" i="4"/>
  <c r="D104" i="13"/>
  <c r="P102" i="4" l="1"/>
  <c r="S102" i="4"/>
  <c r="Q102" i="4"/>
  <c r="K102" i="4"/>
  <c r="J102" i="4"/>
  <c r="S463" i="4"/>
  <c r="F104" i="13"/>
  <c r="N102" i="4" l="1"/>
  <c r="L102" i="4"/>
  <c r="O101" i="4"/>
  <c r="L104" i="13"/>
  <c r="J104" i="13"/>
  <c r="O104" i="13" l="1"/>
  <c r="H103" i="4" l="1"/>
  <c r="M103" i="4" s="1"/>
  <c r="P104" i="13"/>
  <c r="E105" i="13"/>
  <c r="G103" i="4" l="1"/>
  <c r="F103" i="4"/>
  <c r="D105" i="13"/>
  <c r="P103" i="4" l="1"/>
  <c r="S103" i="4"/>
  <c r="K103" i="4"/>
  <c r="Q103" i="4"/>
  <c r="J103" i="4"/>
  <c r="S464" i="4"/>
  <c r="F105" i="13"/>
  <c r="N103" i="4" l="1"/>
  <c r="L103" i="4"/>
  <c r="O102" i="4"/>
  <c r="L105" i="13"/>
  <c r="J105" i="13"/>
  <c r="O105" i="13" l="1"/>
  <c r="H104" i="4" l="1"/>
  <c r="M104" i="4" s="1"/>
  <c r="E106" i="13"/>
  <c r="P105" i="13"/>
  <c r="F104" i="4" l="1"/>
  <c r="G104" i="4"/>
  <c r="D106" i="13"/>
  <c r="P104" i="4" l="1"/>
  <c r="S104" i="4"/>
  <c r="Q104" i="4"/>
  <c r="K104" i="4"/>
  <c r="J104" i="4"/>
  <c r="S465" i="4"/>
  <c r="F106" i="13"/>
  <c r="L104" i="4" l="1"/>
  <c r="N104" i="4"/>
  <c r="O103" i="4"/>
  <c r="J106" i="13"/>
  <c r="L106" i="13"/>
  <c r="O106" i="13" l="1"/>
  <c r="H105" i="4" l="1"/>
  <c r="M105" i="4" s="1"/>
  <c r="P106" i="13"/>
  <c r="E107" i="13"/>
  <c r="F105" i="4" l="1"/>
  <c r="G105" i="4"/>
  <c r="D107" i="13"/>
  <c r="P105" i="4" l="1"/>
  <c r="S105" i="4"/>
  <c r="Q105" i="4"/>
  <c r="K105" i="4"/>
  <c r="J105" i="4"/>
  <c r="S466" i="4"/>
  <c r="F107" i="13"/>
  <c r="N105" i="4" l="1"/>
  <c r="L105" i="4"/>
  <c r="O104" i="4"/>
  <c r="L107" i="13"/>
  <c r="J107" i="13"/>
  <c r="O107" i="13" l="1"/>
  <c r="Q107" i="13" s="1"/>
  <c r="H106" i="4" l="1"/>
  <c r="M106" i="4" s="1"/>
  <c r="E108" i="13"/>
  <c r="P107" i="13"/>
  <c r="G106" i="4" l="1"/>
  <c r="F106" i="4"/>
  <c r="D108" i="13"/>
  <c r="P106" i="4" l="1"/>
  <c r="S106" i="4"/>
  <c r="K106" i="4"/>
  <c r="Q106" i="4"/>
  <c r="J106" i="4"/>
  <c r="S467" i="4"/>
  <c r="F108" i="13"/>
  <c r="L106" i="4" l="1"/>
  <c r="N106" i="4"/>
  <c r="O105" i="4"/>
  <c r="J108" i="13"/>
  <c r="L108" i="13"/>
  <c r="O108" i="13" l="1"/>
  <c r="Q108" i="13" s="1"/>
  <c r="H107" i="4" l="1"/>
  <c r="M107" i="4" s="1"/>
  <c r="P108" i="13"/>
  <c r="E109" i="13"/>
  <c r="F107" i="4" l="1"/>
  <c r="G107" i="4"/>
  <c r="D109" i="13"/>
  <c r="P107" i="4" l="1"/>
  <c r="S107" i="4"/>
  <c r="Q107" i="4"/>
  <c r="J107" i="4"/>
  <c r="K107" i="4"/>
  <c r="S468" i="4"/>
  <c r="F109" i="13"/>
  <c r="L107" i="4" l="1"/>
  <c r="N107" i="4"/>
  <c r="O106" i="4"/>
  <c r="L109" i="13"/>
  <c r="J109" i="13"/>
  <c r="O109" i="13" l="1"/>
  <c r="Q109" i="13" s="1"/>
  <c r="H108" i="4" l="1"/>
  <c r="M108" i="4" s="1"/>
  <c r="E110" i="13"/>
  <c r="P109" i="13"/>
  <c r="F108" i="4" l="1"/>
  <c r="G108" i="4"/>
  <c r="D110" i="13"/>
  <c r="P108" i="4" l="1"/>
  <c r="S108" i="4"/>
  <c r="K108" i="4"/>
  <c r="Q108" i="4"/>
  <c r="J108" i="4"/>
  <c r="S469" i="4"/>
  <c r="F110" i="13"/>
  <c r="N108" i="4" l="1"/>
  <c r="L108" i="4"/>
  <c r="O107" i="4"/>
  <c r="L110" i="13"/>
  <c r="J110" i="13"/>
  <c r="O110" i="13" l="1"/>
  <c r="Q110" i="13" s="1"/>
  <c r="H109" i="4" l="1"/>
  <c r="M109" i="4" s="1"/>
  <c r="P110" i="13"/>
  <c r="E111" i="13"/>
  <c r="F109" i="4" l="1"/>
  <c r="G109" i="4"/>
  <c r="D111" i="13"/>
  <c r="P109" i="4" l="1"/>
  <c r="S109" i="4"/>
  <c r="Q109" i="4"/>
  <c r="K109" i="4"/>
  <c r="J109" i="4"/>
  <c r="S470" i="4"/>
  <c r="F111" i="13"/>
  <c r="L109" i="4" l="1"/>
  <c r="N109" i="4"/>
  <c r="O108" i="4"/>
  <c r="J111" i="13"/>
  <c r="L111" i="13"/>
  <c r="O111" i="13" l="1"/>
  <c r="Q111" i="13" s="1"/>
  <c r="H110" i="4" l="1"/>
  <c r="M110" i="4" s="1"/>
  <c r="E112" i="13"/>
  <c r="P111" i="13"/>
  <c r="F110" i="4" l="1"/>
  <c r="G110" i="4"/>
  <c r="D112" i="13"/>
  <c r="P110" i="4" l="1"/>
  <c r="S110" i="4"/>
  <c r="K110" i="4"/>
  <c r="Q110" i="4"/>
  <c r="J110" i="4"/>
  <c r="S471" i="4"/>
  <c r="F112" i="13"/>
  <c r="L110" i="4" l="1"/>
  <c r="N110" i="4"/>
  <c r="O109" i="4"/>
  <c r="L112" i="13"/>
  <c r="J112" i="13"/>
  <c r="O112" i="13" l="1"/>
  <c r="Q112" i="13" s="1"/>
  <c r="H111" i="4" l="1"/>
  <c r="M111" i="4" s="1"/>
  <c r="P112" i="13"/>
  <c r="E113" i="13"/>
  <c r="F111" i="4" l="1"/>
  <c r="G111" i="4"/>
  <c r="D113" i="13"/>
  <c r="P111" i="4" l="1"/>
  <c r="S111" i="4"/>
  <c r="K111" i="4"/>
  <c r="Q111" i="4"/>
  <c r="J111" i="4"/>
  <c r="S472" i="4"/>
  <c r="F113" i="13"/>
  <c r="L111" i="4" l="1"/>
  <c r="N111" i="4"/>
  <c r="O110" i="4"/>
  <c r="L113" i="13"/>
  <c r="J113" i="13"/>
  <c r="O113" i="13" l="1"/>
  <c r="Q113" i="13" s="1"/>
  <c r="H112" i="4" l="1"/>
  <c r="M112" i="4" s="1"/>
  <c r="E114" i="13"/>
  <c r="P113" i="13"/>
  <c r="F112" i="4" l="1"/>
  <c r="G112" i="4"/>
  <c r="D114" i="13"/>
  <c r="P112" i="4" l="1"/>
  <c r="S112" i="4"/>
  <c r="Q112" i="4"/>
  <c r="K112" i="4"/>
  <c r="J112" i="4"/>
  <c r="S473" i="4"/>
  <c r="F114" i="13"/>
  <c r="L112" i="4" l="1"/>
  <c r="N112" i="4"/>
  <c r="O111" i="4"/>
  <c r="L114" i="13"/>
  <c r="J114" i="13"/>
  <c r="O114" i="13" l="1"/>
  <c r="H113" i="4" l="1"/>
  <c r="M113" i="4" s="1"/>
  <c r="P114" i="13"/>
  <c r="E115" i="13"/>
  <c r="G113" i="4" l="1"/>
  <c r="F113" i="4"/>
  <c r="D115" i="13"/>
  <c r="P113" i="4" l="1"/>
  <c r="S113" i="4"/>
  <c r="K113" i="4"/>
  <c r="J113" i="4"/>
  <c r="Q113" i="4"/>
  <c r="S474" i="4"/>
  <c r="F115" i="13"/>
  <c r="N113" i="4" l="1"/>
  <c r="L113" i="4"/>
  <c r="O112" i="4"/>
  <c r="L115" i="13"/>
  <c r="J115" i="13"/>
  <c r="O115" i="13" l="1"/>
  <c r="H114" i="4" l="1"/>
  <c r="M114" i="4" s="1"/>
  <c r="P12" i="5"/>
  <c r="E116" i="13"/>
  <c r="P115" i="13"/>
  <c r="G114" i="4" l="1"/>
  <c r="F114" i="4"/>
  <c r="D116" i="13"/>
  <c r="P114" i="4" l="1"/>
  <c r="S114" i="4"/>
  <c r="Q114" i="4"/>
  <c r="K114" i="4"/>
  <c r="J114" i="4"/>
  <c r="S475" i="4"/>
  <c r="F116" i="13"/>
  <c r="N114" i="4" l="1"/>
  <c r="L114" i="4"/>
  <c r="O113" i="4"/>
  <c r="J116" i="13"/>
  <c r="L116" i="13"/>
  <c r="O116" i="13" l="1"/>
  <c r="H115" i="4" l="1"/>
  <c r="M115" i="4" s="1"/>
  <c r="E117" i="13"/>
  <c r="P116" i="13"/>
  <c r="G115" i="4" l="1"/>
  <c r="F115" i="4"/>
  <c r="D117" i="13"/>
  <c r="P115" i="4" l="1"/>
  <c r="S115" i="4"/>
  <c r="Q115" i="4"/>
  <c r="K115" i="4"/>
  <c r="J115" i="4"/>
  <c r="S476" i="4"/>
  <c r="F117" i="13"/>
  <c r="N115" i="4" l="1"/>
  <c r="L115" i="4"/>
  <c r="O114" i="4"/>
  <c r="J117" i="13"/>
  <c r="L117" i="13"/>
  <c r="O117" i="13" l="1"/>
  <c r="H116" i="4" l="1"/>
  <c r="M116" i="4" s="1"/>
  <c r="E118" i="13"/>
  <c r="P117" i="13"/>
  <c r="F116" i="4" l="1"/>
  <c r="G116" i="4"/>
  <c r="D118" i="13"/>
  <c r="P116" i="4" l="1"/>
  <c r="S116" i="4"/>
  <c r="K116" i="4"/>
  <c r="Q116" i="4"/>
  <c r="J116" i="4"/>
  <c r="S477" i="4"/>
  <c r="F118" i="13"/>
  <c r="N116" i="4" l="1"/>
  <c r="L116" i="4"/>
  <c r="O115" i="4"/>
  <c r="J118" i="13"/>
  <c r="L118" i="13"/>
  <c r="O118" i="13" l="1"/>
  <c r="H117" i="4" l="1"/>
  <c r="M117" i="4" s="1"/>
  <c r="P118" i="13"/>
  <c r="E119" i="13"/>
  <c r="F117" i="4" l="1"/>
  <c r="G117" i="4"/>
  <c r="D119" i="13"/>
  <c r="P117" i="4" l="1"/>
  <c r="S117" i="4"/>
  <c r="Q117" i="4"/>
  <c r="K117" i="4"/>
  <c r="J117" i="4"/>
  <c r="S478" i="4"/>
  <c r="F119" i="13"/>
  <c r="L117" i="4" l="1"/>
  <c r="N117" i="4"/>
  <c r="O116" i="4"/>
  <c r="J119" i="13"/>
  <c r="L119" i="13"/>
  <c r="O119" i="13" l="1"/>
  <c r="Q119" i="13" s="1"/>
  <c r="H118" i="4" l="1"/>
  <c r="M118" i="4" s="1"/>
  <c r="E120" i="13"/>
  <c r="P119" i="13"/>
  <c r="G118" i="4" l="1"/>
  <c r="F118" i="4"/>
  <c r="D120" i="13"/>
  <c r="P118" i="4" l="1"/>
  <c r="S118" i="4"/>
  <c r="K118" i="4"/>
  <c r="Q118" i="4"/>
  <c r="J118" i="4"/>
  <c r="S479" i="4"/>
  <c r="F120" i="13"/>
  <c r="L118" i="4" l="1"/>
  <c r="N118" i="4"/>
  <c r="O117" i="4"/>
  <c r="L120" i="13"/>
  <c r="J120" i="13"/>
  <c r="O120" i="13" l="1"/>
  <c r="Q120" i="13" s="1"/>
  <c r="H119" i="4" l="1"/>
  <c r="M119" i="4" s="1"/>
  <c r="E121" i="13"/>
  <c r="P120" i="13"/>
  <c r="F119" i="4" l="1"/>
  <c r="G119" i="4"/>
  <c r="D121" i="13"/>
  <c r="P119" i="4" l="1"/>
  <c r="S119" i="4"/>
  <c r="Q119" i="4"/>
  <c r="K119" i="4"/>
  <c r="J119" i="4"/>
  <c r="S480" i="4"/>
  <c r="F121" i="13"/>
  <c r="N119" i="4" l="1"/>
  <c r="L119" i="4"/>
  <c r="O118" i="4"/>
  <c r="J121" i="13"/>
  <c r="L121" i="13"/>
  <c r="O121" i="13" l="1"/>
  <c r="Q121" i="13" s="1"/>
  <c r="H120" i="4" l="1"/>
  <c r="M120" i="4" s="1"/>
  <c r="E122" i="13"/>
  <c r="P121" i="13"/>
  <c r="G120" i="4" l="1"/>
  <c r="F120" i="4"/>
  <c r="D122" i="13"/>
  <c r="P120" i="4" l="1"/>
  <c r="S120" i="4"/>
  <c r="Q120" i="4"/>
  <c r="K120" i="4"/>
  <c r="J120" i="4"/>
  <c r="S481" i="4"/>
  <c r="F122" i="13"/>
  <c r="N120" i="4" l="1"/>
  <c r="L120" i="4"/>
  <c r="O119" i="4"/>
  <c r="J122" i="13"/>
  <c r="L122" i="13"/>
  <c r="O122" i="13" l="1"/>
  <c r="Q122" i="13" s="1"/>
  <c r="H121" i="4" l="1"/>
  <c r="M121" i="4" s="1"/>
  <c r="E123" i="13"/>
  <c r="P122" i="13"/>
  <c r="F121" i="4" l="1"/>
  <c r="G121" i="4"/>
  <c r="D123" i="13"/>
  <c r="P121" i="4" l="1"/>
  <c r="S121" i="4"/>
  <c r="K121" i="4"/>
  <c r="Q121" i="4"/>
  <c r="J121" i="4"/>
  <c r="S482" i="4"/>
  <c r="F123" i="13"/>
  <c r="L121" i="4" l="1"/>
  <c r="N121" i="4"/>
  <c r="O120" i="4"/>
  <c r="J123" i="13"/>
  <c r="L123" i="13"/>
  <c r="O123" i="13" l="1"/>
  <c r="Q123" i="13" s="1"/>
  <c r="H122" i="4" l="1"/>
  <c r="M122" i="4" s="1"/>
  <c r="P123" i="13"/>
  <c r="E124" i="13"/>
  <c r="G122" i="4" l="1"/>
  <c r="F122" i="4"/>
  <c r="D124" i="13"/>
  <c r="P122" i="4" l="1"/>
  <c r="S122" i="4"/>
  <c r="Q122" i="4"/>
  <c r="K122" i="4"/>
  <c r="J122" i="4"/>
  <c r="S483" i="4"/>
  <c r="F124" i="13"/>
  <c r="N122" i="4" l="1"/>
  <c r="L122" i="4"/>
  <c r="O121" i="4"/>
  <c r="J124" i="13"/>
  <c r="L124" i="13"/>
  <c r="O124" i="13" l="1"/>
  <c r="Q124" i="13" s="1"/>
  <c r="H123" i="4" l="1"/>
  <c r="M123" i="4" s="1"/>
  <c r="P124" i="13"/>
  <c r="E125" i="13"/>
  <c r="F123" i="4" l="1"/>
  <c r="G123" i="4"/>
  <c r="F8" i="5"/>
  <c r="F9" i="5"/>
  <c r="F10" i="5"/>
  <c r="F11" i="5"/>
  <c r="F12" i="5"/>
  <c r="G8" i="5"/>
  <c r="G9" i="5"/>
  <c r="G10" i="5"/>
  <c r="G11" i="5"/>
  <c r="G12" i="5"/>
  <c r="D125" i="13"/>
  <c r="N10" i="5" l="1"/>
  <c r="N9" i="5"/>
  <c r="N8" i="5"/>
  <c r="N11" i="5"/>
  <c r="N12" i="5"/>
  <c r="P123" i="4"/>
  <c r="S123" i="4"/>
  <c r="K123" i="4"/>
  <c r="Q123" i="4"/>
  <c r="J123" i="4"/>
  <c r="S484" i="4"/>
  <c r="H8" i="5"/>
  <c r="H9" i="5"/>
  <c r="L9" i="5" s="1"/>
  <c r="H10" i="5"/>
  <c r="L10" i="5" s="1"/>
  <c r="H11" i="5"/>
  <c r="L11" i="5" s="1"/>
  <c r="H12" i="5"/>
  <c r="E8" i="5"/>
  <c r="E9" i="5"/>
  <c r="J9" i="5" s="1"/>
  <c r="E10" i="5"/>
  <c r="J10" i="5" s="1"/>
  <c r="E11" i="5"/>
  <c r="J11" i="5" s="1"/>
  <c r="E12" i="5"/>
  <c r="J12" i="5" s="1"/>
  <c r="F125" i="13"/>
  <c r="L8" i="5" l="1"/>
  <c r="J8" i="5"/>
  <c r="K12" i="5"/>
  <c r="L12" i="5"/>
  <c r="L123" i="4"/>
  <c r="N123" i="4"/>
  <c r="O122" i="4"/>
  <c r="I12" i="5"/>
  <c r="Q12" i="5"/>
  <c r="I10" i="5"/>
  <c r="K10" i="5"/>
  <c r="Q10" i="5"/>
  <c r="I9" i="5"/>
  <c r="K9" i="5"/>
  <c r="Q9" i="5"/>
  <c r="I11" i="5"/>
  <c r="K11" i="5"/>
  <c r="Q11" i="5"/>
  <c r="I8" i="5"/>
  <c r="K8" i="5"/>
  <c r="Q8" i="5"/>
  <c r="J125" i="13"/>
  <c r="L125" i="13"/>
  <c r="O125" i="13" l="1"/>
  <c r="Q125" i="13" s="1"/>
  <c r="H124" i="4" l="1"/>
  <c r="M124" i="4" s="1"/>
  <c r="E126" i="13"/>
  <c r="P125" i="13"/>
  <c r="G124" i="4" l="1"/>
  <c r="F124" i="4"/>
  <c r="D126" i="13"/>
  <c r="F126" i="13" s="1"/>
  <c r="P124" i="4" l="1"/>
  <c r="S124" i="4"/>
  <c r="Q124" i="4"/>
  <c r="K124" i="4"/>
  <c r="J124" i="4"/>
  <c r="S726" i="4"/>
  <c r="J126" i="13"/>
  <c r="L126" i="13"/>
  <c r="N124" i="4" l="1"/>
  <c r="L124" i="4"/>
  <c r="O123" i="4"/>
  <c r="O126" i="13"/>
  <c r="E127" i="13" l="1"/>
  <c r="H125" i="4"/>
  <c r="M125" i="4" s="1"/>
  <c r="P126" i="13"/>
  <c r="F125" i="4" l="1"/>
  <c r="G125" i="4"/>
  <c r="D127" i="13"/>
  <c r="F127" i="13" s="1"/>
  <c r="P125" i="4" l="1"/>
  <c r="S125" i="4"/>
  <c r="Q125" i="4"/>
  <c r="K125" i="4"/>
  <c r="J125" i="4"/>
  <c r="S727" i="4"/>
  <c r="J127" i="13"/>
  <c r="L127" i="13"/>
  <c r="N125" i="4" l="1"/>
  <c r="L125" i="4"/>
  <c r="O124" i="4"/>
  <c r="O127" i="13"/>
  <c r="E128" i="13" l="1"/>
  <c r="D128" i="13" s="1"/>
  <c r="F128" i="13" s="1"/>
  <c r="H126" i="4"/>
  <c r="P127" i="13"/>
  <c r="M126" i="4" l="1"/>
  <c r="P13" i="5"/>
  <c r="F126" i="4"/>
  <c r="G126" i="4"/>
  <c r="F13" i="5"/>
  <c r="E4" i="6" s="1"/>
  <c r="J128" i="13"/>
  <c r="L128" i="13"/>
  <c r="H7" i="19" l="1"/>
  <c r="P126" i="4"/>
  <c r="S126" i="4"/>
  <c r="K126" i="4"/>
  <c r="Q126" i="4"/>
  <c r="J126" i="4"/>
  <c r="E13" i="5"/>
  <c r="G13" i="5"/>
  <c r="F4" i="6" s="1"/>
  <c r="H73" i="5"/>
  <c r="E73" i="5"/>
  <c r="J73" i="5" s="1"/>
  <c r="S728" i="4"/>
  <c r="O128" i="13"/>
  <c r="N13" i="5" l="1"/>
  <c r="M4" i="6" s="1"/>
  <c r="J13" i="5"/>
  <c r="D4" i="6"/>
  <c r="I4" i="6" s="1"/>
  <c r="C7" i="19" s="1"/>
  <c r="K73" i="5"/>
  <c r="L73" i="5"/>
  <c r="L126" i="4"/>
  <c r="N126" i="4"/>
  <c r="O125" i="4"/>
  <c r="H13" i="5"/>
  <c r="G4" i="6" s="1"/>
  <c r="K4" i="6" s="1"/>
  <c r="E7" i="19" s="1"/>
  <c r="I73" i="5"/>
  <c r="Q73" i="5"/>
  <c r="E129" i="13"/>
  <c r="D129" i="13" s="1"/>
  <c r="F129" i="13" s="1"/>
  <c r="H127" i="4"/>
  <c r="P128" i="13"/>
  <c r="J4" i="6" l="1"/>
  <c r="D7" i="19" s="1"/>
  <c r="N4" i="6"/>
  <c r="H4" i="6"/>
  <c r="B7" i="19" s="1"/>
  <c r="P4" i="6"/>
  <c r="M127" i="4"/>
  <c r="K13" i="5"/>
  <c r="L13" i="5"/>
  <c r="I13" i="5"/>
  <c r="Q13" i="5"/>
  <c r="G127" i="4"/>
  <c r="F127" i="4"/>
  <c r="J129" i="13"/>
  <c r="L129" i="13"/>
  <c r="P127" i="4" l="1"/>
  <c r="S127" i="4"/>
  <c r="J127" i="4"/>
  <c r="Q127" i="4"/>
  <c r="K127" i="4"/>
  <c r="S729" i="4"/>
  <c r="O129" i="13"/>
  <c r="L127" i="4" l="1"/>
  <c r="N127" i="4"/>
  <c r="O126" i="4"/>
  <c r="E130" i="13"/>
  <c r="D130" i="13" s="1"/>
  <c r="F130" i="13" s="1"/>
  <c r="H128" i="4"/>
  <c r="P129" i="13"/>
  <c r="M128" i="4" l="1"/>
  <c r="G128" i="4"/>
  <c r="F128" i="4"/>
  <c r="L130" i="13"/>
  <c r="J130" i="13"/>
  <c r="P128" i="4" l="1"/>
  <c r="S128" i="4"/>
  <c r="Q128" i="4"/>
  <c r="K128" i="4"/>
  <c r="J128" i="4"/>
  <c r="S730" i="4"/>
  <c r="O130" i="13"/>
  <c r="H129" i="4" l="1"/>
  <c r="M129" i="4" s="1"/>
  <c r="L128" i="4"/>
  <c r="N128" i="4"/>
  <c r="O127" i="4"/>
  <c r="E131" i="13"/>
  <c r="D131" i="13" s="1"/>
  <c r="F131" i="13" s="1"/>
  <c r="P130" i="13"/>
  <c r="G129" i="4" l="1"/>
  <c r="F129" i="4"/>
  <c r="J131" i="13"/>
  <c r="L131" i="13"/>
  <c r="P129" i="4" l="1"/>
  <c r="S129" i="4"/>
  <c r="Q129" i="4"/>
  <c r="K129" i="4"/>
  <c r="J129" i="4"/>
  <c r="S731" i="4"/>
  <c r="O131" i="13"/>
  <c r="Q131" i="13" s="1"/>
  <c r="N129" i="4" l="1"/>
  <c r="L129" i="4"/>
  <c r="O128" i="4"/>
  <c r="E132" i="13"/>
  <c r="D132" i="13" s="1"/>
  <c r="F132" i="13" s="1"/>
  <c r="H130" i="4"/>
  <c r="M130" i="4" s="1"/>
  <c r="P131" i="13"/>
  <c r="G130" i="4" l="1"/>
  <c r="F130" i="4"/>
  <c r="J132" i="13"/>
  <c r="L132" i="13"/>
  <c r="P130" i="4" l="1"/>
  <c r="S130" i="4"/>
  <c r="Q130" i="4"/>
  <c r="K130" i="4"/>
  <c r="J130" i="4"/>
  <c r="S732" i="4"/>
  <c r="O132" i="13"/>
  <c r="Q132" i="13" s="1"/>
  <c r="N130" i="4" l="1"/>
  <c r="L130" i="4"/>
  <c r="O129" i="4"/>
  <c r="E133" i="13"/>
  <c r="D133" i="13" s="1"/>
  <c r="H131" i="4"/>
  <c r="P132" i="13"/>
  <c r="M131" i="4" l="1"/>
  <c r="O11" i="5"/>
  <c r="O12" i="5"/>
  <c r="O13" i="5"/>
  <c r="O14" i="5"/>
  <c r="G131" i="4"/>
  <c r="F14" i="5" s="1"/>
  <c r="F131" i="4"/>
  <c r="G14" i="5" s="1"/>
  <c r="O4" i="6" l="1"/>
  <c r="I7" i="19" s="1"/>
  <c r="N14" i="5"/>
  <c r="P131" i="4"/>
  <c r="S131" i="4"/>
  <c r="K131" i="4"/>
  <c r="H14" i="5" s="1"/>
  <c r="Q131" i="4"/>
  <c r="J131" i="4"/>
  <c r="E14" i="5" s="1"/>
  <c r="J14" i="5" s="1"/>
  <c r="F39" i="5"/>
  <c r="F40" i="5"/>
  <c r="F41" i="5"/>
  <c r="F42" i="5"/>
  <c r="F43" i="5"/>
  <c r="F64" i="5"/>
  <c r="E6" i="6" s="1"/>
  <c r="S733" i="4"/>
  <c r="G39" i="5"/>
  <c r="G40" i="5"/>
  <c r="G41" i="5"/>
  <c r="G42" i="5"/>
  <c r="G43" i="5"/>
  <c r="G64" i="5"/>
  <c r="F6" i="6" s="1"/>
  <c r="F5" i="6" l="1"/>
  <c r="N39" i="5"/>
  <c r="E5" i="6"/>
  <c r="N40" i="5"/>
  <c r="N42" i="5"/>
  <c r="N43" i="5"/>
  <c r="N41" i="5"/>
  <c r="N64" i="5"/>
  <c r="M6" i="6" s="1"/>
  <c r="K14" i="5"/>
  <c r="L14" i="5"/>
  <c r="Q14" i="5"/>
  <c r="I14" i="5"/>
  <c r="N131" i="4"/>
  <c r="O131" i="4"/>
  <c r="L131" i="4"/>
  <c r="O130" i="4"/>
  <c r="E38" i="5"/>
  <c r="E39" i="5"/>
  <c r="J39" i="5" s="1"/>
  <c r="E40" i="5"/>
  <c r="J40" i="5" s="1"/>
  <c r="E41" i="5"/>
  <c r="J41" i="5" s="1"/>
  <c r="E42" i="5"/>
  <c r="J42" i="5" s="1"/>
  <c r="E43" i="5"/>
  <c r="J43" i="5" s="1"/>
  <c r="E64" i="5"/>
  <c r="H39" i="5"/>
  <c r="H40" i="5"/>
  <c r="H42" i="5"/>
  <c r="H43" i="5"/>
  <c r="H64" i="5"/>
  <c r="G6" i="6" s="1"/>
  <c r="K6" i="6" s="1"/>
  <c r="I14" i="19" l="1"/>
  <c r="I13" i="19"/>
  <c r="I12" i="19"/>
  <c r="H8" i="19"/>
  <c r="M5" i="6"/>
  <c r="N6" i="6"/>
  <c r="P6" i="6"/>
  <c r="J6" i="6"/>
  <c r="H6" i="6"/>
  <c r="G5" i="6"/>
  <c r="J64" i="5"/>
  <c r="D6" i="6"/>
  <c r="I6" i="6" s="1"/>
  <c r="J38" i="5"/>
  <c r="D5" i="6"/>
  <c r="I5" i="6" s="1"/>
  <c r="C8" i="19" s="1"/>
  <c r="M11" i="5"/>
  <c r="M12" i="5"/>
  <c r="M13" i="5"/>
  <c r="M14" i="5"/>
  <c r="K64" i="5"/>
  <c r="L64" i="5"/>
  <c r="K42" i="5"/>
  <c r="L42" i="5"/>
  <c r="K40" i="5"/>
  <c r="L40" i="5"/>
  <c r="K43" i="5"/>
  <c r="L43" i="5"/>
  <c r="K39" i="5"/>
  <c r="L39" i="5"/>
  <c r="I64" i="5"/>
  <c r="Q64" i="5"/>
  <c r="I41" i="5"/>
  <c r="Q41" i="5"/>
  <c r="Q39" i="5"/>
  <c r="I39" i="5"/>
  <c r="I40" i="5"/>
  <c r="Q40" i="5"/>
  <c r="I43" i="5"/>
  <c r="Q43" i="5"/>
  <c r="L6" i="6"/>
  <c r="Q42" i="5"/>
  <c r="I42" i="5"/>
  <c r="H14" i="19" l="1"/>
  <c r="H13" i="19"/>
  <c r="H12" i="19"/>
  <c r="C12" i="19"/>
  <c r="C20" i="19" s="1"/>
  <c r="C13" i="19"/>
  <c r="C14" i="19"/>
  <c r="N5" i="6"/>
  <c r="J5" i="6"/>
  <c r="P5" i="6"/>
  <c r="H5" i="6"/>
  <c r="B8" i="19" s="1"/>
  <c r="K5" i="6" l="1"/>
  <c r="E8" i="19" s="1"/>
  <c r="D8" i="19"/>
  <c r="D12" i="19" s="1"/>
  <c r="B12" i="19"/>
  <c r="C19" i="19" s="1"/>
  <c r="B14" i="19"/>
  <c r="B13" i="19"/>
  <c r="E4" i="4"/>
  <c r="D13" i="19" l="1"/>
  <c r="C21" i="19"/>
  <c r="D14" i="19"/>
  <c r="E12" i="19"/>
  <c r="C22" i="19" s="1"/>
  <c r="E14" i="19"/>
  <c r="E13" i="19"/>
  <c r="B8" i="10" a="1"/>
  <c r="B8" i="10" s="1"/>
  <c r="E8" i="10" a="1"/>
  <c r="E8" i="10" s="1"/>
  <c r="B7" i="10" a="1"/>
  <c r="B7" i="10" s="1"/>
  <c r="E7" i="10" a="1"/>
  <c r="E7" i="10" s="1"/>
  <c r="B6" i="10"/>
  <c r="K4" i="4"/>
  <c r="O4" i="4" s="1"/>
  <c r="S4" i="4"/>
  <c r="E4" i="10" s="1"/>
  <c r="J4" i="4"/>
  <c r="E6" i="10"/>
  <c r="N4" i="4" l="1"/>
  <c r="L4" i="6" s="1"/>
  <c r="F7" i="19" s="1"/>
  <c r="L4" i="4"/>
  <c r="B4" i="10"/>
  <c r="F12" i="19" l="1"/>
  <c r="C23" i="19" s="1"/>
  <c r="F14" i="19"/>
  <c r="F13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<sst xmlns="http://schemas.openxmlformats.org/spreadsheetml/2006/main" count="2406" uniqueCount="290">
  <si>
    <t>Subsystem B — Reservoir and service performance calculation tool</t>
  </si>
  <si>
    <t>Purpose</t>
  </si>
  <si>
    <t>Calculate Subsystem B indicators directly from monthly reservoir simulation outputs.</t>
  </si>
  <si>
    <t>Populated period</t>
  </si>
  <si>
    <t>2016–2025.</t>
  </si>
  <si>
    <t>Future extension</t>
  </si>
  <si>
    <t>The layout and formula ranges are prepared for 30-year horizons; paste additional monthly simulations and copy formulas down if needed.</t>
  </si>
  <si>
    <t>Scenario handling</t>
  </si>
  <si>
    <t>All reservoir simulation scenarios are retained. The dashboard highlights the ensemble-mean scenario and reports scenario ranges.</t>
  </si>
  <si>
    <t>Calendar-year handling</t>
  </si>
  <si>
    <t>Calendar years were derived from the chronological month sequence to avoid blank/intermittent year labels in the source sheets.</t>
  </si>
  <si>
    <t>Colour code</t>
  </si>
  <si>
    <t>Yellow = input/simulation data; grey = calculations; blue = outputs; purple = dashboard score; green/orange/red = quality checks.</t>
  </si>
  <si>
    <t>Control panel</t>
  </si>
  <si>
    <t>Parameter</t>
  </si>
  <si>
    <t>Value</t>
  </si>
  <si>
    <t>Unit/option</t>
  </si>
  <si>
    <t>Notes</t>
  </si>
  <si>
    <t>Case study</t>
  </si>
  <si>
    <t>Minutos Collective Irrigation System</t>
  </si>
  <si>
    <t>Subsystem</t>
  </si>
  <si>
    <t>B — Reservoir and service performance</t>
  </si>
  <si>
    <t>Assessment start year</t>
  </si>
  <si>
    <t>year</t>
  </si>
  <si>
    <t>Editable</t>
  </si>
  <si>
    <t>Assessment end year</t>
  </si>
  <si>
    <t>Maximum prepared period</t>
  </si>
  <si>
    <t>years</t>
  </si>
  <si>
    <t>The tool is structured for 30-year horizons.</t>
  </si>
  <si>
    <t>Main scenario for reporting</t>
  </si>
  <si>
    <t>Ensemble mean</t>
  </si>
  <si>
    <t>Dashboard highlights this scenario.</t>
  </si>
  <si>
    <t>Net reservoir capacity</t>
  </si>
  <si>
    <t>m³</t>
  </si>
  <si>
    <t>Used for storage ratio.</t>
  </si>
  <si>
    <t>Minimum operating level storage</t>
  </si>
  <si>
    <t>Diagnostic only.</t>
  </si>
  <si>
    <t>Environmental flow setting</t>
  </si>
  <si>
    <t>fraction of inflow</t>
  </si>
  <si>
    <t>Current simulations include 7% environmental flow.</t>
  </si>
  <si>
    <t>Use scenario mean in dashboard</t>
  </si>
  <si>
    <t>Yes</t>
  </si>
  <si>
    <t>Scenario uncertainty is retained separately.</t>
  </si>
  <si>
    <t>Subsystem B methodology</t>
  </si>
  <si>
    <t>ID</t>
  </si>
  <si>
    <t>Indicator</t>
  </si>
  <si>
    <t>Equation implemented in the workbook</t>
  </si>
  <si>
    <t>Unit</t>
  </si>
  <si>
    <t>Orientation</t>
  </si>
  <si>
    <t>Interpretation</t>
  </si>
  <si>
    <t>References</t>
  </si>
  <si>
    <t>B1</t>
  </si>
  <si>
    <t>Time-based supply reliability</t>
  </si>
  <si>
    <t>1 - (number of failure months / number of assessed months)</t>
  </si>
  <si>
    <t>-</t>
  </si>
  <si>
    <t>Positive</t>
  </si>
  <si>
    <t>Frequency with which demand at the source is fully satisfied.</t>
  </si>
  <si>
    <t>Hashimoto et al. (1982); Palop-Donat et al. (2020)</t>
  </si>
  <si>
    <t>B2</t>
  </si>
  <si>
    <t>Volumetric supply reliability</t>
  </si>
  <si>
    <t>Σ supplied volume / Σ demand at source</t>
  </si>
  <si>
    <t>Proportion of total irrigation demand effectively supplied.</t>
  </si>
  <si>
    <t>B3</t>
  </si>
  <si>
    <t>Mean relative deficit performance</t>
  </si>
  <si>
    <t>1 - mean(service deficit / demand) during failure months</t>
  </si>
  <si>
    <t>Severity-adjusted service performance during failure months.</t>
  </si>
  <si>
    <t>Granados et al. (2021)</t>
  </si>
  <si>
    <t>B4</t>
  </si>
  <si>
    <t>Recovery after failure</t>
  </si>
  <si>
    <t>Transitions from failure to satisfactory service / failure months with a following month</t>
  </si>
  <si>
    <t>Capacity to return to satisfactory service after failure.</t>
  </si>
  <si>
    <t>McMahon et al. (2006); Palop-Donat et al. (2020)</t>
  </si>
  <si>
    <t>B5</t>
  </si>
  <si>
    <t>Spill–shortage coexistence</t>
  </si>
  <si>
    <t>1 if annual spill &gt; 0 and annual service deficit &gt; 0; 0 otherwise</t>
  </si>
  <si>
    <t>Negative</t>
  </si>
  <si>
    <t>Identifies years in which spill and irrigation shortage occur in the same year.</t>
  </si>
  <si>
    <t>Di Baldassarre et al. (2018); McMahon et al. (2007)</t>
  </si>
  <si>
    <t>Monthly reservoir simulation input and derived monthly service metrics</t>
  </si>
  <si>
    <t>Scenario</t>
  </si>
  <si>
    <t>Date</t>
  </si>
  <si>
    <t>Year</t>
  </si>
  <si>
    <t>Month</t>
  </si>
  <si>
    <t>Demand at source (m³)</t>
  </si>
  <si>
    <t>Spill (m³)</t>
  </si>
  <si>
    <t>Service deficit source (m³)</t>
  </si>
  <si>
    <t>Final storage (m³)</t>
  </si>
  <si>
    <t>Supplied volume (m³)</t>
  </si>
  <si>
    <t>Failure state</t>
  </si>
  <si>
    <t>Relative deficit</t>
  </si>
  <si>
    <t>Storage ratio</t>
  </si>
  <si>
    <t>Recovery denominator</t>
  </si>
  <si>
    <t>Recovery transition</t>
  </si>
  <si>
    <t>SSC spill flag</t>
  </si>
  <si>
    <t>SSC shortage flag</t>
  </si>
  <si>
    <t>Quality flag</t>
  </si>
  <si>
    <t>50% ISW + high efficiency</t>
  </si>
  <si>
    <t>50% ISW + low efficiency</t>
  </si>
  <si>
    <t>90% ISW + high efficiency</t>
  </si>
  <si>
    <t>90% ISW + low efficiency</t>
  </si>
  <si>
    <t>Annual calculation of reservoir and service performance indicators</t>
  </si>
  <si>
    <t>Months</t>
  </si>
  <si>
    <t>Service deficit (m³)</t>
  </si>
  <si>
    <t>Failure months</t>
  </si>
  <si>
    <t>B1 Rt</t>
  </si>
  <si>
    <t>B2 Rv</t>
  </si>
  <si>
    <t>Mean relative deficit</t>
  </si>
  <si>
    <t>B3 deficit performance</t>
  </si>
  <si>
    <t>B4 recovery</t>
  </si>
  <si>
    <t>B5 SSC flag</t>
  </si>
  <si>
    <t>Minimum final storage (m³)</t>
  </si>
  <si>
    <t>End-of-year storage (m³)</t>
  </si>
  <si>
    <t>Comments</t>
  </si>
  <si>
    <t>Period-level reservoir and service performance indicators by scenario</t>
  </si>
  <si>
    <t>B5 SSC frequency</t>
  </si>
  <si>
    <t>B5 non-coexistence performance</t>
  </si>
  <si>
    <t>Source</t>
  </si>
  <si>
    <t>One minus mean relative deficit during failure months</t>
  </si>
  <si>
    <t>Demand at source (hm³)</t>
  </si>
  <si>
    <t>Minimum storage (hm³)</t>
  </si>
  <si>
    <t>Quality checks</t>
  </si>
  <si>
    <t>Check</t>
  </si>
  <si>
    <t>Status</t>
  </si>
  <si>
    <t>Action</t>
  </si>
  <si>
    <t>Formula</t>
  </si>
  <si>
    <t>All populated input rows have key fields</t>
  </si>
  <si>
    <t>Scenario, year and month must be present.</t>
  </si>
  <si>
    <t>Review B_INPUT_RESERVOIR column AD.</t>
  </si>
  <si>
    <t>Expected 120 months per scenario for 2016–2025</t>
  </si>
  <si>
    <t>Each present scenario should have 120 monthly records.</t>
  </si>
  <si>
    <t>Check missing monthly records.</t>
  </si>
  <si>
    <t>Demand is non-negative</t>
  </si>
  <si>
    <t>Demand at source should not be negative.</t>
  </si>
  <si>
    <t>Review demand values.</t>
  </si>
  <si>
    <t>Deficit does not exceed demand where demand exists</t>
  </si>
  <si>
    <t>Deficit should not exceed demand.</t>
  </si>
  <si>
    <t>Review service deficit values.</t>
  </si>
  <si>
    <t>B indicators are within 0–1</t>
  </si>
  <si>
    <t>Dashboard scores must be bounded.</t>
  </si>
  <si>
    <t>Review calculation formulas.</t>
  </si>
  <si>
    <t>Data dictionary</t>
  </si>
  <si>
    <t>Sheet</t>
  </si>
  <si>
    <t>Variable</t>
  </si>
  <si>
    <t>Description</t>
  </si>
  <si>
    <t>B_INPUT_RESERVOIR</t>
  </si>
  <si>
    <t>Demand at source</t>
  </si>
  <si>
    <t>Monthly irrigation demand at source/reservoir control point</t>
  </si>
  <si>
    <t>SB_CAL_IND.xlsx BE sheets</t>
  </si>
  <si>
    <t>Used as D_t.</t>
  </si>
  <si>
    <t>Service deficit source</t>
  </si>
  <si>
    <t>Unmet irrigation demand from reservoir simulation</t>
  </si>
  <si>
    <t>Used as SD_t.</t>
  </si>
  <si>
    <t>Supplied volume</t>
  </si>
  <si>
    <t>Demand at source minus service deficit</t>
  </si>
  <si>
    <t>Calculated</t>
  </si>
  <si>
    <t>Used as Sup_t.</t>
  </si>
  <si>
    <t>1 if service deficit &gt; 0; otherwise 0</t>
  </si>
  <si>
    <t>Used for B1 and B4.</t>
  </si>
  <si>
    <t>Spill</t>
  </si>
  <si>
    <t>Monthly spilled/discharged volume</t>
  </si>
  <si>
    <t>Used for B5.</t>
  </si>
  <si>
    <t>B_CALC_ANNUAL</t>
  </si>
  <si>
    <t>Annual time-based supply reliability</t>
  </si>
  <si>
    <t>Higher is better.</t>
  </si>
  <si>
    <t>Annual volumetric supply reliability</t>
  </si>
  <si>
    <t>Annual spill–shortage coexistence</t>
  </si>
  <si>
    <t>Lower is better.</t>
  </si>
  <si>
    <t>m</t>
  </si>
  <si>
    <t>Hydrological Year</t>
  </si>
  <si>
    <t>Day</t>
  </si>
  <si>
    <t>Initial level  (m)</t>
  </si>
  <si>
    <t>Observed monthly runoff (mm)</t>
  </si>
  <si>
    <t>Monthly precipitation  (mm)</t>
  </si>
  <si>
    <t>Monthly Evaporation  (mm)</t>
  </si>
  <si>
    <t>Basin area</t>
  </si>
  <si>
    <t>Minimum operating level</t>
  </si>
  <si>
    <t>Full storage capcity</t>
  </si>
  <si>
    <t>P</t>
  </si>
  <si>
    <t>ETo</t>
  </si>
  <si>
    <t>Ke</t>
  </si>
  <si>
    <t>Er</t>
  </si>
  <si>
    <t>Kpan</t>
  </si>
  <si>
    <t>ED</t>
  </si>
  <si>
    <t>Inflow (mm)</t>
  </si>
  <si>
    <r>
      <t>Initial volume   v</t>
    </r>
    <r>
      <rPr>
        <vertAlign val="subscript"/>
        <sz val="11"/>
        <color theme="0"/>
        <rFont val="Calibri"/>
        <family val="2"/>
        <scheme val="minor"/>
      </rPr>
      <t xml:space="preserve">t </t>
    </r>
    <r>
      <rPr>
        <sz val="11"/>
        <color theme="0"/>
        <rFont val="Calibri"/>
        <family val="2"/>
        <scheme val="minor"/>
      </rPr>
      <t>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</si>
  <si>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Area   (m</t>
    </r>
    <r>
      <rPr>
        <vertAlign val="superscript"/>
        <sz val="11"/>
        <color theme="0"/>
        <rFont val="Calibri"/>
        <family val="2"/>
        <scheme val="minor"/>
      </rPr>
      <t>2</t>
    </r>
    <r>
      <rPr>
        <sz val="11"/>
        <color theme="0"/>
        <rFont val="Calibri"/>
        <family val="2"/>
        <scheme val="minor"/>
      </rPr>
      <t>)</t>
    </r>
  </si>
  <si>
    <r>
      <t>Monthly runoff volume   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</si>
  <si>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Rainfall Volume 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</si>
  <si>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Evaporation volume 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</si>
  <si>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Ecological flow volume 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</si>
  <si>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Irrigation
 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</si>
  <si>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t>Final volume (V</t>
    </r>
    <r>
      <rPr>
        <vertAlign val="subscript"/>
        <sz val="11"/>
        <color theme="0"/>
        <rFont val="Calibri"/>
        <family val="2"/>
        <scheme val="minor"/>
      </rPr>
      <t>t+1</t>
    </r>
    <r>
      <rPr>
        <sz val="11"/>
        <color theme="0"/>
        <rFont val="Calibri"/>
        <family val="2"/>
        <scheme val="minor"/>
      </rPr>
      <t xml:space="preserve"> (m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</si>
  <si>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r>
      <t>Spill
(m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</si>
  <si>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t>GIR50%ISW_EF_H</t>
  </si>
  <si>
    <t>GIR50%ISW_EF_L</t>
  </si>
  <si>
    <t>EnsMean_Source_m3</t>
  </si>
  <si>
    <t>GIR90%ISW_EF_H</t>
  </si>
  <si>
    <t>GIR90%ISW_EF_L</t>
  </si>
  <si>
    <t>Irrigation ensemble</t>
  </si>
  <si>
    <t>Monthly reservoir simulation input data</t>
  </si>
  <si>
    <t>Monthly reservoir Balance</t>
  </si>
  <si>
    <t>Initial volume   vt (m3)</t>
  </si>
  <si>
    <t>Area   (m2)</t>
  </si>
  <si>
    <t>Monthly runoff volume   (m3)</t>
  </si>
  <si>
    <t>Rainfall Volume (m3)</t>
  </si>
  <si>
    <t>Evaporation volume (m3)</t>
  </si>
  <si>
    <t>Ecological flow volume (m3)</t>
  </si>
  <si>
    <t>Irrigation
 (m3)</t>
  </si>
  <si>
    <t>Final volume (Vt+1 (m3)</t>
  </si>
  <si>
    <t>Spill
(m3)</t>
  </si>
  <si>
    <t>Data flag</t>
  </si>
  <si>
    <t>RI_SB_reservoir_service_tool_v1.xlsx</t>
  </si>
  <si>
    <t>Paste period/scenario results</t>
  </si>
  <si>
    <t>Sheet EXPORT_CIS, yellow cells B6:I12.</t>
  </si>
  <si>
    <t>Paste annual results</t>
  </si>
  <si>
    <t>Sheet ANNUAL_DATA, yellow cells A4:Q203.</t>
  </si>
  <si>
    <t>Do not paste formulas</t>
  </si>
  <si>
    <t>Paste values only, unless you intentionally want to retain formulas from the original workbook.</t>
  </si>
  <si>
    <t>Four GIR variants</t>
  </si>
  <si>
    <t>Keep the four complete GIR variants as separate rows. Do not combine minima and maxima from different variants.</t>
  </si>
  <si>
    <t>Central estimate</t>
  </si>
  <si>
    <t>The ensemble mean is calculated automatically from the four GIR variants.</t>
  </si>
  <si>
    <t>Transition year</t>
  </si>
  <si>
    <t>2021 should remain identifiable and excluded later from pre-/post-expansion means.</t>
  </si>
  <si>
    <t>Colour convention</t>
  </si>
  <si>
    <t>Dark blue = headings; yellow = editable/paste cells; grey = formulas or reference cells; white = outputs.</t>
  </si>
  <si>
    <t>EXPORT_CIS — Subsystem B</t>
  </si>
  <si>
    <t>Source workbook</t>
  </si>
  <si>
    <t>Source sheet</t>
  </si>
  <si>
    <t>B_EXPORT_TABLE</t>
  </si>
  <si>
    <t>Assessment period</t>
  </si>
  <si>
    <t>2016–2025</t>
  </si>
  <si>
    <t>B1 Time-based supply reliability</t>
  </si>
  <si>
    <t>B2 Volumetric supply reliability</t>
  </si>
  <si>
    <t>B3 Mean supply performance during failure</t>
  </si>
  <si>
    <t>B4 Recovery after failure</t>
  </si>
  <si>
    <t>B5 Spill–shortage coexistence frequency</t>
  </si>
  <si>
    <t>Total deficit (hm³)</t>
  </si>
  <si>
    <t>Interpretation / notes</t>
  </si>
  <si>
    <t>Arithmetic mean of the four complete GIR variants</t>
  </si>
  <si>
    <t>Ensemble minimum</t>
  </si>
  <si>
    <t>Minimum across the four complete GIR variants</t>
  </si>
  <si>
    <t>Ensemble maximum</t>
  </si>
  <si>
    <t>Maximum across the four complete GIR variants</t>
  </si>
  <si>
    <t>Values to transfer to the integrated CIS tool</t>
  </si>
  <si>
    <t>Code</t>
  </si>
  <si>
    <t>Raw value</t>
  </si>
  <si>
    <t>Temporal basis</t>
  </si>
  <si>
    <t>Ensemble mean, 2016–2025</t>
  </si>
  <si>
    <t>EXPORT_CIS!B12</t>
  </si>
  <si>
    <t>EXPORT_CIS!C12</t>
  </si>
  <si>
    <t>Mean supply performance during failure</t>
  </si>
  <si>
    <t>EXPORT_CIS!D12</t>
  </si>
  <si>
    <t>EXPORT_CIS!E12</t>
  </si>
  <si>
    <t>Spill–shortage coexistence frequency</t>
  </si>
  <si>
    <t>EXPORT_CIS!F12</t>
  </si>
  <si>
    <t>Source register</t>
  </si>
  <si>
    <t>Field</t>
  </si>
  <si>
    <t>Information</t>
  </si>
  <si>
    <t>Original sheet</t>
  </si>
  <si>
    <t>Original range</t>
  </si>
  <si>
    <t>Period/scenario results</t>
  </si>
  <si>
    <t>Paste manually</t>
  </si>
  <si>
    <t>A3:J8</t>
  </si>
  <si>
    <t>Annual results</t>
  </si>
  <si>
    <t>Paste manually in ANNUAL_DATA</t>
  </si>
  <si>
    <t>A3:Q153</t>
  </si>
  <si>
    <t>Period calculations</t>
  </si>
  <si>
    <t>Retained in original workbook</t>
  </si>
  <si>
    <t>B_CALC_PERIOD</t>
  </si>
  <si>
    <t>A3:P8</t>
  </si>
  <si>
    <t>Reservoir calculations</t>
  </si>
  <si>
    <t>A4:O1807</t>
  </si>
  <si>
    <t>System ID</t>
  </si>
  <si>
    <t>MINUTOS_CIS</t>
  </si>
  <si>
    <t>System name</t>
  </si>
  <si>
    <t>Subsystem ID</t>
  </si>
  <si>
    <t>B</t>
  </si>
  <si>
    <t>Subsystem name</t>
  </si>
  <si>
    <t>Reservoir and service performance</t>
  </si>
  <si>
    <t>Case-study location</t>
  </si>
  <si>
    <t>Alentejo, Portugal</t>
  </si>
  <si>
    <t>Import method</t>
  </si>
  <si>
    <t>Manual paste of values</t>
  </si>
  <si>
    <t>Tool version</t>
  </si>
  <si>
    <t>v1.1-public</t>
  </si>
  <si>
    <t>Editable area</t>
  </si>
  <si>
    <t>Yellow cells</t>
  </si>
  <si>
    <t>External links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</si>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</sst>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"/>
    <numFmt numFmtId="165" formatCode="0.000"/>
    <numFmt numFmtId="166" formatCode="0.0"/>
    <numFmt numFmtId="167" formatCode="0.0000"/>
    <numFmt numFmtId="168" formatCode="0.0000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rlito"/>
      <family val="2"/>
    </font>
    <font>
      <b/>
      <sz val="11"/>
      <color rgb="FF1F1F1F"/>
      <name val="Carlito"/>
      <family val="2"/>
    </font>
    <font>
      <sz val="11"/>
      <color rgb="FF1F1F1F"/>
      <name val="Carlito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ck">
        <color auto="1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16" fillId="0" borderId="0"/>
  </cellStyleXfs>
  <cellXfs count="68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1" fontId="0" fillId="0" borderId="0" xfId="0" applyNumberFormat="1"/>
    <xf numFmtId="2" fontId="0" fillId="0" borderId="0" xfId="0" applyNumberFormat="1"/>
    <xf numFmtId="0" fontId="0" fillId="0" borderId="2" xfId="0" applyBorder="1" applyAlignment="1">
      <alignment horizontal="center"/>
    </xf>
    <xf numFmtId="165" fontId="4" fillId="4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2" xfId="0" applyBorder="1"/>
    <xf numFmtId="166" fontId="11" fillId="4" borderId="1" xfId="0" applyNumberFormat="1" applyFont="1" applyFill="1" applyBorder="1" applyAlignment="1">
      <alignment vertical="center"/>
    </xf>
    <xf numFmtId="1" fontId="11" fillId="4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64" fontId="12" fillId="4" borderId="1" xfId="0" applyNumberFormat="1" applyFont="1" applyFill="1" applyBorder="1" applyAlignment="1">
      <alignment vertical="center"/>
    </xf>
    <xf numFmtId="0" fontId="13" fillId="0" borderId="0" xfId="0" applyFont="1"/>
    <xf numFmtId="0" fontId="13" fillId="4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1" fontId="12" fillId="5" borderId="1" xfId="0" applyNumberFormat="1" applyFont="1" applyFill="1" applyBorder="1" applyAlignment="1">
      <alignment vertical="center"/>
    </xf>
    <xf numFmtId="165" fontId="12" fillId="5" borderId="1" xfId="0" applyNumberFormat="1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167" fontId="11" fillId="4" borderId="1" xfId="0" applyNumberFormat="1" applyFont="1" applyFill="1" applyBorder="1" applyAlignment="1">
      <alignment vertical="center"/>
    </xf>
    <xf numFmtId="168" fontId="11" fillId="4" borderId="1" xfId="0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vertical="center"/>
    </xf>
    <xf numFmtId="2" fontId="2" fillId="0" borderId="0" xfId="0" applyNumberFormat="1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65" fontId="14" fillId="5" borderId="1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" fillId="0" borderId="0" xfId="0" applyFont="1"/>
    <xf numFmtId="0" fontId="16" fillId="0" borderId="0" xfId="1"/>
    <xf numFmtId="0" fontId="17" fillId="8" borderId="0" xfId="1" applyFont="1" applyFill="1" applyAlignment="1">
      <alignment wrapText="1"/>
    </xf>
    <xf numFmtId="0" fontId="18" fillId="9" borderId="0" xfId="1" applyFont="1" applyFill="1" applyAlignment="1">
      <alignment wrapText="1"/>
    </xf>
    <xf numFmtId="167" fontId="16" fillId="0" borderId="0" xfId="1" applyNumberFormat="1"/>
    <xf numFmtId="165" fontId="16" fillId="0" borderId="0" xfId="1" applyNumberFormat="1"/>
    <xf numFmtId="167" fontId="17" fillId="8" borderId="0" xfId="1" applyNumberFormat="1" applyFont="1" applyFill="1" applyAlignment="1">
      <alignment wrapText="1"/>
    </xf>
    <xf numFmtId="165" fontId="17" fillId="8" borderId="0" xfId="1" applyNumberFormat="1" applyFont="1" applyFill="1" applyAlignment="1">
      <alignment wrapText="1"/>
    </xf>
    <xf numFmtId="0" fontId="18" fillId="8" borderId="0" xfId="1" applyFont="1" applyFill="1" applyAlignment="1">
      <alignment wrapText="1"/>
    </xf>
    <xf numFmtId="167" fontId="18" fillId="8" borderId="0" xfId="1" applyNumberFormat="1" applyFont="1" applyFill="1" applyAlignment="1">
      <alignment wrapText="1"/>
    </xf>
    <xf numFmtId="0" fontId="20" fillId="2" borderId="1" xfId="0" applyFont="1" applyFill="1" applyBorder="1" applyAlignment="1">
      <alignment vertical="center"/>
    </xf>
    <xf numFmtId="0" fontId="8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ACD1D1A7-8A02-41B9-85A0-F4B57B5149C7}"/>
  </cellStyles>
  <dxfs count="16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numFmt numFmtId="165" formatCode="0.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nputReservoir" displayName="BInputReservoir" ref="A3:S1807">
  <autoFilter ref="A3:S1807" xr:uid="{00000000-0009-0000-0100-000001000000}"/>
  <tableColumns count="19">
    <tableColumn id="1" xr3:uid="{00000000-0010-0000-0000-000001000000}" name="Scenario" dataDxfId="15"/>
    <tableColumn id="2" xr3:uid="{00000000-0010-0000-0000-000002000000}" name="Date" dataDxfId="14"/>
    <tableColumn id="3" xr3:uid="{00000000-0010-0000-0000-000003000000}" name="Year" dataDxfId="13"/>
    <tableColumn id="4" xr3:uid="{00000000-0010-0000-0000-000004000000}" name="Month" dataDxfId="12"/>
    <tableColumn id="14" xr3:uid="{00000000-0010-0000-0000-00000E000000}" name="Demand at source (m³)" dataDxfId="11"/>
    <tableColumn id="15" xr3:uid="{00000000-0010-0000-0000-00000F000000}" name="Spill (m³)" dataDxfId="10"/>
    <tableColumn id="16" xr3:uid="{00000000-0010-0000-0000-000010000000}" name="Service deficit source (m³)" dataDxfId="9"/>
    <tableColumn id="17" xr3:uid="{00000000-0010-0000-0000-000011000000}" name="Final storage (m³)" dataDxfId="8"/>
    <tableColumn id="5" xr3:uid="{C72620F4-C93E-40CB-8D73-991745DC1E47}" name="Data flag" dataDxfId="7"/>
    <tableColumn id="18" xr3:uid="{00000000-0010-0000-0000-000012000000}" name="Supplied volume (m³)" dataDxfId="6">
      <calculatedColumnFormula>IF(I4&lt;&gt;1,"",IF(E4="","",MAX(0,E4-G4)))</calculatedColumnFormula>
    </tableColumn>
    <tableColumn id="19" xr3:uid="{00000000-0010-0000-0000-000013000000}" name="Failure state">
      <calculatedColumnFormula>IF(I4&lt;&gt;1,"",IF(OR(G4="",E4=""),"",IF(G4&gt;0,1,0)))</calculatedColumnFormula>
    </tableColumn>
    <tableColumn id="20" xr3:uid="{00000000-0010-0000-0000-000014000000}" name="Relative deficit">
      <calculatedColumnFormula>IF(I4&lt;&gt;1,"",IF(AND(K4=1,E4&gt;0),G4/E4,0))</calculatedColumnFormula>
    </tableColumn>
    <tableColumn id="21" xr3:uid="{00000000-0010-0000-0000-000015000000}" name="Storage ratio">
      <calculatedColumnFormula>IF(I4&lt;&gt;1,"",IF(H4="","",H4/CONTROL_PANEL!$B$11))</calculatedColumnFormula>
    </tableColumn>
    <tableColumn id="22" xr3:uid="{00000000-0010-0000-0000-000016000000}" name="Recovery denominator">
      <calculatedColumnFormula>IF(I4&lt;&gt;1,"",IF(AND(K4=1,A5=A4),1,0))</calculatedColumnFormula>
    </tableColumn>
    <tableColumn id="23" xr3:uid="{00000000-0010-0000-0000-000017000000}" name="Recovery transition">
      <calculatedColumnFormula>IF(I4&lt;&gt;1,"",IF(AND(K4=1,A5=A4,K5=0),1,0))</calculatedColumnFormula>
    </tableColumn>
    <tableColumn id="24" xr3:uid="{00000000-0010-0000-0000-000018000000}" name="SSC spill flag">
      <calculatedColumnFormula>IF(I4&lt;&gt;1,"",IF(F4&gt;0,1,0))</calculatedColumnFormula>
    </tableColumn>
    <tableColumn id="25" xr3:uid="{00000000-0010-0000-0000-000019000000}" name="SSC shortage flag">
      <calculatedColumnFormula>IF(I4&lt;&gt;1,"",IF(G4&gt;0,1,0))</calculatedColumnFormula>
    </tableColumn>
    <tableColumn id="29" xr3:uid="{00000000-0010-0000-0000-00001D000000}" name="Notes"/>
    <tableColumn id="30" xr3:uid="{00000000-0010-0000-0000-00001E000000}" name="Quality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nnualCalc" displayName="BAnnualCalc" ref="A3:Q153">
  <autoFilter ref="A3:Q153" xr:uid="{00000000-0009-0000-0100-000002000000}"/>
  <tableColumns count="17">
    <tableColumn id="1" xr3:uid="{00000000-0010-0000-0100-000001000000}" name="Scenario"/>
    <tableColumn id="2" xr3:uid="{00000000-0010-0000-0100-000002000000}" name="Year"/>
    <tableColumn id="3" xr3:uid="{00000000-0010-0000-0100-000003000000}" name="Months"/>
    <tableColumn id="4" xr3:uid="{00000000-0010-0000-0100-000004000000}" name="Demand at source (m³)">
      <calculatedColumnFormula>IF(C4=0,0,SUMIFS(B_INPUT_RESERVOIR!$E$4:$E$1807,B_INPUT_RESERVOIR!$A$4:$A$1807,A4,B_INPUT_RESERVOIR!$C$4:$C$1807,B4))</calculatedColumnFormula>
    </tableColumn>
    <tableColumn id="5" xr3:uid="{00000000-0010-0000-0100-000005000000}" name="Supplied volume (m³)">
      <calculatedColumnFormula>IF(C4=0,0,SUMIFS(B_INPUT_RESERVOIR!$J$4:$J$1807,B_INPUT_RESERVOIR!$A$4:$A$1807,A4,B_INPUT_RESERVOIR!$C$4:$C$1807,B4))</calculatedColumnFormula>
    </tableColumn>
    <tableColumn id="6" xr3:uid="{00000000-0010-0000-0100-000006000000}" name="Service deficit (m³)"/>
    <tableColumn id="7" xr3:uid="{00000000-0010-0000-0100-000007000000}" name="Spill (m³)"/>
    <tableColumn id="8" xr3:uid="{00000000-0010-0000-0100-000008000000}" name="Failure months"/>
    <tableColumn id="9" xr3:uid="{00000000-0010-0000-0100-000009000000}" name="B1 Rt">
      <calculatedColumnFormula>IF(C4=0,"",1-H4/C4)</calculatedColumnFormula>
    </tableColumn>
    <tableColumn id="10" xr3:uid="{00000000-0010-0000-0100-00000A000000}" name="B2 Rv" dataDxfId="5">
      <calculatedColumnFormula>IF(D4=0,"",E4/D4)</calculatedColumnFormula>
    </tableColumn>
    <tableColumn id="11" xr3:uid="{00000000-0010-0000-0100-00000B000000}" name="Mean relative deficit"/>
    <tableColumn id="12" xr3:uid="{00000000-0010-0000-0100-00000C000000}" name="B3 deficit performance">
      <calculatedColumnFormula>IF(H4=0,1,1-K4)</calculatedColumnFormula>
    </tableColumn>
    <tableColumn id="13" xr3:uid="{00000000-0010-0000-0100-00000D000000}" name="B4 recovery">
      <calculatedColumnFormula>IF(SUMIFS(B_INPUT_RESERVOIR!$N$4:$N$1807,B_INPUT_RESERVOIR!$A$4:$A$1807,A4,B_INPUT_RESERVOIR!$C$4:$C$1807,B4)=0,1,SUMIFS(B_INPUT_RESERVOIR!$O$4:$O$1807,B_INPUT_RESERVOIR!$A$4:$A$1807,A4,B_INPUT_RESERVOIR!$C$4:$C$1807,B4)/SUMIFS(B_INPUT_RESERVOIR!$N$4:$N$1807,B_INPUT_RESERVOIR!$A$4:$A$1807,A4,B_INPUT_RESERVOIR!$C$4:$C$1807,B4))</calculatedColumnFormula>
    </tableColumn>
    <tableColumn id="14" xr3:uid="{00000000-0010-0000-0100-00000E000000}" name="B5 SSC flag">
      <calculatedColumnFormula>IF(AND(G4&gt;0,F4&gt;0),1,0)</calculatedColumnFormula>
    </tableColumn>
    <tableColumn id="15" xr3:uid="{00000000-0010-0000-0100-00000F000000}" name="Minimum final storage (m³)">
      <calculatedColumnFormula>_xlfn.SINGLE(IF(C4=0,"",_xlfn.MINIFS(B_INPUT_RESERVOIR!$H$4:$H$1807,B_INPUT_RESERVOIR!$A$4:$A$1807,A4,B_INPUT_RESERVOIR!$C$4:$C$1807,B4)))</calculatedColumnFormula>
    </tableColumn>
    <tableColumn id="16" xr3:uid="{00000000-0010-0000-0100-000010000000}" name="End-of-year storage (m³)">
      <calculatedColumnFormula>IF(C4=0,"",SUMIFS(B_INPUT_RESERVOIR!$H$4:$H$1807,B_INPUT_RESERVOIR!$A$4:$A$1807,A4,B_INPUT_RESERVOIR!$C$4:$C$1807,B4,B_INPUT_RESERVOIR!$D$4:$D$1807,12))</calculatedColumnFormula>
    </tableColumn>
    <tableColumn id="17" xr3:uid="{00000000-0010-0000-0100-000011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B15"/>
  <sheetViews>
    <sheetView showGridLines="0" tabSelected="1" zoomScale="140" zoomScaleNormal="14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30.7109375" customWidth="1"/>
    <col min="2" max="2" width="159.42578125" customWidth="1"/>
  </cols>
  <sheetData>
    <row r="1" spans="1:2" ht="18.75" x14ac:dyDescent="0.25">
      <c r="A1" s="64" t="s">
        <v>0</v>
      </c>
      <c r="B1" s="64"/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ht="15.75" customHeight="1" x14ac:dyDescent="0.25">
      <c r="A9" s="3" t="s">
        <v>212</v>
      </c>
      <c r="B9" s="4" t="s">
        <v>213</v>
      </c>
    </row>
    <row r="10" spans="1:2" x14ac:dyDescent="0.25">
      <c r="A10" s="3" t="s">
        <v>214</v>
      </c>
      <c r="B10" s="4" t="s">
        <v>215</v>
      </c>
    </row>
    <row r="11" spans="1:2" x14ac:dyDescent="0.25">
      <c r="A11" s="3" t="s">
        <v>216</v>
      </c>
      <c r="B11" s="4" t="s">
        <v>217</v>
      </c>
    </row>
    <row r="12" spans="1:2" x14ac:dyDescent="0.25">
      <c r="A12" s="3" t="s">
        <v>218</v>
      </c>
      <c r="B12" s="4" t="s">
        <v>219</v>
      </c>
    </row>
    <row r="13" spans="1:2" x14ac:dyDescent="0.25">
      <c r="A13" s="3" t="s">
        <v>220</v>
      </c>
      <c r="B13" s="4" t="s">
        <v>221</v>
      </c>
    </row>
    <row r="14" spans="1:2" x14ac:dyDescent="0.25">
      <c r="A14" s="3" t="s">
        <v>222</v>
      </c>
      <c r="B14" s="4" t="s">
        <v>223</v>
      </c>
    </row>
    <row r="15" spans="1:2" x14ac:dyDescent="0.25">
      <c r="A15" s="3" t="s">
        <v>224</v>
      </c>
      <c r="B15" s="4" t="s">
        <v>225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F15"/>
  <sheetViews>
    <sheetView workbookViewId="0">
      <pane ySplit="2" topLeftCell="A3" activePane="bottomLeft" state="frozen"/>
      <selection pane="bottomLeft" sqref="A1:F2"/>
    </sheetView>
  </sheetViews>
  <sheetFormatPr defaultRowHeight="15" x14ac:dyDescent="0.25"/>
  <cols>
    <col min="1" max="1" width="34" customWidth="1"/>
    <col min="2" max="2" width="40" customWidth="1"/>
    <col min="3" max="3" width="18" customWidth="1"/>
    <col min="4" max="4" width="64" customWidth="1"/>
  </cols>
  <sheetData>
    <row r="1" spans="1:6" x14ac:dyDescent="0.25">
      <c r="A1" s="65" t="s">
        <v>13</v>
      </c>
      <c r="B1" s="65"/>
      <c r="C1" s="65"/>
      <c r="D1" s="65"/>
      <c r="E1" s="65"/>
      <c r="F1" s="65"/>
    </row>
    <row r="2" spans="1:6" x14ac:dyDescent="0.25">
      <c r="A2" s="59" t="s">
        <v>14</v>
      </c>
      <c r="B2" s="59" t="s">
        <v>15</v>
      </c>
      <c r="C2" s="59" t="s">
        <v>16</v>
      </c>
      <c r="D2" s="59" t="s">
        <v>17</v>
      </c>
      <c r="E2" s="60"/>
      <c r="F2" s="60"/>
    </row>
    <row r="3" spans="1:6" x14ac:dyDescent="0.25">
      <c r="A3" s="3" t="s">
        <v>18</v>
      </c>
      <c r="B3" s="4" t="s">
        <v>19</v>
      </c>
      <c r="C3" s="5"/>
      <c r="D3" s="5"/>
    </row>
    <row r="4" spans="1:6" x14ac:dyDescent="0.25">
      <c r="A4" s="3" t="s">
        <v>20</v>
      </c>
      <c r="B4" s="4" t="s">
        <v>21</v>
      </c>
      <c r="C4" s="5"/>
      <c r="D4" s="5"/>
    </row>
    <row r="5" spans="1:6" x14ac:dyDescent="0.25">
      <c r="A5" s="3" t="s">
        <v>174</v>
      </c>
      <c r="B5" s="4">
        <v>94900</v>
      </c>
      <c r="C5" s="5"/>
      <c r="D5" s="5"/>
    </row>
    <row r="6" spans="1:6" x14ac:dyDescent="0.25">
      <c r="A6" s="3" t="s">
        <v>22</v>
      </c>
      <c r="B6" s="4">
        <v>2016</v>
      </c>
      <c r="C6" s="5" t="s">
        <v>23</v>
      </c>
      <c r="D6" s="5" t="s">
        <v>24</v>
      </c>
    </row>
    <row r="7" spans="1:6" x14ac:dyDescent="0.25">
      <c r="A7" s="3" t="s">
        <v>25</v>
      </c>
      <c r="B7" s="4">
        <v>2025</v>
      </c>
      <c r="C7" s="5" t="s">
        <v>23</v>
      </c>
      <c r="D7" s="5" t="s">
        <v>24</v>
      </c>
    </row>
    <row r="8" spans="1:6" x14ac:dyDescent="0.25">
      <c r="A8" s="3" t="s">
        <v>26</v>
      </c>
      <c r="B8" s="4">
        <v>30</v>
      </c>
      <c r="C8" s="5" t="s">
        <v>27</v>
      </c>
      <c r="D8" s="5" t="s">
        <v>28</v>
      </c>
    </row>
    <row r="9" spans="1:6" x14ac:dyDescent="0.25">
      <c r="A9" s="3" t="s">
        <v>29</v>
      </c>
      <c r="B9" s="4" t="s">
        <v>30</v>
      </c>
      <c r="C9" s="5"/>
      <c r="D9" s="5" t="s">
        <v>31</v>
      </c>
    </row>
    <row r="10" spans="1:6" x14ac:dyDescent="0.25">
      <c r="A10" s="3" t="s">
        <v>176</v>
      </c>
      <c r="B10" s="4">
        <v>264</v>
      </c>
      <c r="C10" s="5" t="s">
        <v>167</v>
      </c>
      <c r="D10" s="5"/>
    </row>
    <row r="11" spans="1:6" x14ac:dyDescent="0.25">
      <c r="A11" s="3" t="s">
        <v>32</v>
      </c>
      <c r="B11" s="6">
        <v>50000000</v>
      </c>
      <c r="C11" s="5" t="s">
        <v>33</v>
      </c>
      <c r="D11" s="5" t="s">
        <v>34</v>
      </c>
    </row>
    <row r="12" spans="1:6" x14ac:dyDescent="0.25">
      <c r="A12" s="3" t="s">
        <v>175</v>
      </c>
      <c r="B12" s="6">
        <v>235</v>
      </c>
      <c r="C12" s="5" t="s">
        <v>167</v>
      </c>
      <c r="D12" s="5"/>
    </row>
    <row r="13" spans="1:6" x14ac:dyDescent="0.25">
      <c r="A13" s="3" t="s">
        <v>35</v>
      </c>
      <c r="B13" s="6">
        <v>2100000</v>
      </c>
      <c r="C13" s="5" t="s">
        <v>33</v>
      </c>
      <c r="D13" s="5" t="s">
        <v>36</v>
      </c>
    </row>
    <row r="14" spans="1:6" x14ac:dyDescent="0.25">
      <c r="A14" s="3" t="s">
        <v>37</v>
      </c>
      <c r="B14" s="7">
        <v>7.0000000000000007E-2</v>
      </c>
      <c r="C14" s="5" t="s">
        <v>38</v>
      </c>
      <c r="D14" s="5" t="s">
        <v>39</v>
      </c>
    </row>
    <row r="15" spans="1:6" x14ac:dyDescent="0.25">
      <c r="A15" s="3" t="s">
        <v>40</v>
      </c>
      <c r="B15" s="4" t="s">
        <v>41</v>
      </c>
      <c r="C15" s="5"/>
      <c r="D15" s="5" t="s">
        <v>42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G8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8" customWidth="1"/>
    <col min="2" max="2" width="34" customWidth="1"/>
    <col min="3" max="3" width="62" customWidth="1"/>
    <col min="4" max="4" width="10" customWidth="1"/>
    <col min="5" max="5" width="14" customWidth="1"/>
    <col min="6" max="6" width="55" customWidth="1"/>
    <col min="7" max="7" width="40" customWidth="1"/>
  </cols>
  <sheetData>
    <row r="1" spans="1:7" ht="18.75" x14ac:dyDescent="0.25">
      <c r="A1" s="64" t="s">
        <v>43</v>
      </c>
      <c r="B1" s="64"/>
      <c r="C1" s="64"/>
      <c r="D1" s="64"/>
      <c r="E1" s="64"/>
      <c r="F1" s="64"/>
      <c r="G1" s="64"/>
    </row>
    <row r="3" spans="1:7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47" t="s">
        <v>51</v>
      </c>
      <c r="B4" s="47" t="s">
        <v>52</v>
      </c>
      <c r="C4" s="47" t="s">
        <v>53</v>
      </c>
      <c r="D4" s="47" t="s">
        <v>54</v>
      </c>
      <c r="E4" s="47" t="s">
        <v>55</v>
      </c>
      <c r="F4" s="47" t="s">
        <v>56</v>
      </c>
      <c r="G4" s="47" t="s">
        <v>57</v>
      </c>
    </row>
    <row r="5" spans="1:7" x14ac:dyDescent="0.25">
      <c r="A5" s="47" t="s">
        <v>58</v>
      </c>
      <c r="B5" s="47" t="s">
        <v>59</v>
      </c>
      <c r="C5" s="47" t="s">
        <v>60</v>
      </c>
      <c r="D5" s="47" t="s">
        <v>54</v>
      </c>
      <c r="E5" s="47" t="s">
        <v>55</v>
      </c>
      <c r="F5" s="47" t="s">
        <v>61</v>
      </c>
      <c r="G5" s="47"/>
    </row>
    <row r="6" spans="1:7" x14ac:dyDescent="0.25">
      <c r="A6" s="47" t="s">
        <v>62</v>
      </c>
      <c r="B6" s="47" t="s">
        <v>63</v>
      </c>
      <c r="C6" s="47" t="s">
        <v>64</v>
      </c>
      <c r="D6" s="47" t="s">
        <v>54</v>
      </c>
      <c r="E6" s="47" t="s">
        <v>55</v>
      </c>
      <c r="F6" s="47" t="s">
        <v>65</v>
      </c>
      <c r="G6" s="47" t="s">
        <v>66</v>
      </c>
    </row>
    <row r="7" spans="1:7" x14ac:dyDescent="0.25">
      <c r="A7" s="47" t="s">
        <v>67</v>
      </c>
      <c r="B7" s="47" t="s">
        <v>68</v>
      </c>
      <c r="C7" s="47" t="s">
        <v>69</v>
      </c>
      <c r="D7" s="47" t="s">
        <v>54</v>
      </c>
      <c r="E7" s="47" t="s">
        <v>55</v>
      </c>
      <c r="F7" s="47" t="s">
        <v>70</v>
      </c>
      <c r="G7" s="47" t="s">
        <v>71</v>
      </c>
    </row>
    <row r="8" spans="1:7" x14ac:dyDescent="0.25">
      <c r="A8" s="47" t="s">
        <v>72</v>
      </c>
      <c r="B8" s="47" t="s">
        <v>73</v>
      </c>
      <c r="C8" s="47" t="s">
        <v>74</v>
      </c>
      <c r="D8" s="47" t="s">
        <v>54</v>
      </c>
      <c r="E8" s="47" t="s">
        <v>75</v>
      </c>
      <c r="F8" s="47" t="s">
        <v>76</v>
      </c>
      <c r="G8" s="47" t="s">
        <v>77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F13"/>
  <sheetViews>
    <sheetView workbookViewId="0">
      <selection activeCell="C44" sqref="C44"/>
    </sheetView>
  </sheetViews>
  <sheetFormatPr defaultRowHeight="15" x14ac:dyDescent="0.25"/>
  <cols>
    <col min="1" max="1" width="22" customWidth="1"/>
    <col min="2" max="2" width="28" customWidth="1"/>
    <col min="3" max="3" width="58" customWidth="1"/>
    <col min="4" max="4" width="12" customWidth="1"/>
    <col min="5" max="5" width="32" customWidth="1"/>
    <col min="6" max="6" width="46" customWidth="1"/>
  </cols>
  <sheetData>
    <row r="1" spans="1:6" ht="18.75" x14ac:dyDescent="0.25">
      <c r="A1" s="64" t="s">
        <v>140</v>
      </c>
      <c r="B1" s="64"/>
      <c r="C1" s="64"/>
      <c r="D1" s="64"/>
      <c r="E1" s="64"/>
      <c r="F1" s="64"/>
    </row>
    <row r="3" spans="1:6" x14ac:dyDescent="0.25">
      <c r="A3" s="2" t="s">
        <v>141</v>
      </c>
      <c r="B3" s="2" t="s">
        <v>142</v>
      </c>
      <c r="C3" s="2" t="s">
        <v>143</v>
      </c>
      <c r="D3" s="2" t="s">
        <v>47</v>
      </c>
      <c r="E3" s="2" t="s">
        <v>116</v>
      </c>
      <c r="F3" s="2" t="s">
        <v>17</v>
      </c>
    </row>
    <row r="4" spans="1:6" x14ac:dyDescent="0.25">
      <c r="A4" s="47" t="s">
        <v>144</v>
      </c>
      <c r="B4" s="47" t="s">
        <v>145</v>
      </c>
      <c r="C4" s="47" t="s">
        <v>146</v>
      </c>
      <c r="D4" s="47" t="s">
        <v>33</v>
      </c>
      <c r="E4" s="47" t="s">
        <v>147</v>
      </c>
      <c r="F4" s="47" t="s">
        <v>148</v>
      </c>
    </row>
    <row r="5" spans="1:6" x14ac:dyDescent="0.25">
      <c r="A5" s="47" t="s">
        <v>144</v>
      </c>
      <c r="B5" s="47" t="s">
        <v>149</v>
      </c>
      <c r="C5" s="47" t="s">
        <v>150</v>
      </c>
      <c r="D5" s="47" t="s">
        <v>33</v>
      </c>
      <c r="E5" s="47" t="s">
        <v>147</v>
      </c>
      <c r="F5" s="47" t="s">
        <v>151</v>
      </c>
    </row>
    <row r="6" spans="1:6" x14ac:dyDescent="0.25">
      <c r="A6" s="47" t="s">
        <v>144</v>
      </c>
      <c r="B6" s="47" t="s">
        <v>152</v>
      </c>
      <c r="C6" s="47" t="s">
        <v>153</v>
      </c>
      <c r="D6" s="47" t="s">
        <v>33</v>
      </c>
      <c r="E6" s="47" t="s">
        <v>154</v>
      </c>
      <c r="F6" s="47" t="s">
        <v>155</v>
      </c>
    </row>
    <row r="7" spans="1:6" x14ac:dyDescent="0.25">
      <c r="A7" s="47" t="s">
        <v>144</v>
      </c>
      <c r="B7" s="47" t="s">
        <v>88</v>
      </c>
      <c r="C7" s="47" t="s">
        <v>156</v>
      </c>
      <c r="D7" s="47" t="s">
        <v>54</v>
      </c>
      <c r="E7" s="47" t="s">
        <v>154</v>
      </c>
      <c r="F7" s="47" t="s">
        <v>157</v>
      </c>
    </row>
    <row r="8" spans="1:6" x14ac:dyDescent="0.25">
      <c r="A8" s="47" t="s">
        <v>144</v>
      </c>
      <c r="B8" s="47" t="s">
        <v>158</v>
      </c>
      <c r="C8" s="47" t="s">
        <v>159</v>
      </c>
      <c r="D8" s="47" t="s">
        <v>33</v>
      </c>
      <c r="E8" s="47" t="s">
        <v>147</v>
      </c>
      <c r="F8" s="47" t="s">
        <v>160</v>
      </c>
    </row>
    <row r="9" spans="1:6" x14ac:dyDescent="0.25">
      <c r="A9" s="47" t="s">
        <v>161</v>
      </c>
      <c r="B9" s="47" t="s">
        <v>104</v>
      </c>
      <c r="C9" s="47" t="s">
        <v>162</v>
      </c>
      <c r="D9" s="47" t="s">
        <v>54</v>
      </c>
      <c r="E9" s="47" t="s">
        <v>154</v>
      </c>
      <c r="F9" s="47" t="s">
        <v>163</v>
      </c>
    </row>
    <row r="10" spans="1:6" x14ac:dyDescent="0.25">
      <c r="A10" s="47" t="s">
        <v>161</v>
      </c>
      <c r="B10" s="47" t="s">
        <v>105</v>
      </c>
      <c r="C10" s="47" t="s">
        <v>164</v>
      </c>
      <c r="D10" s="47" t="s">
        <v>54</v>
      </c>
      <c r="E10" s="47" t="s">
        <v>154</v>
      </c>
      <c r="F10" s="47" t="s">
        <v>163</v>
      </c>
    </row>
    <row r="11" spans="1:6" x14ac:dyDescent="0.25">
      <c r="A11" s="47" t="s">
        <v>161</v>
      </c>
      <c r="B11" s="47" t="s">
        <v>62</v>
      </c>
      <c r="C11" s="47" t="s">
        <v>117</v>
      </c>
      <c r="D11" s="47" t="s">
        <v>54</v>
      </c>
      <c r="E11" s="47" t="s">
        <v>154</v>
      </c>
      <c r="F11" s="47" t="s">
        <v>163</v>
      </c>
    </row>
    <row r="12" spans="1:6" x14ac:dyDescent="0.25">
      <c r="A12" s="47" t="s">
        <v>161</v>
      </c>
      <c r="B12" s="47" t="s">
        <v>67</v>
      </c>
      <c r="C12" s="47" t="s">
        <v>68</v>
      </c>
      <c r="D12" s="47" t="s">
        <v>54</v>
      </c>
      <c r="E12" s="47" t="s">
        <v>154</v>
      </c>
      <c r="F12" s="47" t="s">
        <v>163</v>
      </c>
    </row>
    <row r="13" spans="1:6" x14ac:dyDescent="0.25">
      <c r="A13" s="47" t="s">
        <v>161</v>
      </c>
      <c r="B13" s="47" t="s">
        <v>109</v>
      </c>
      <c r="C13" s="47" t="s">
        <v>165</v>
      </c>
      <c r="D13" s="47" t="s">
        <v>54</v>
      </c>
      <c r="E13" s="47" t="s">
        <v>154</v>
      </c>
      <c r="F13" s="47" t="s">
        <v>166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FF13-3C77-4731-B2A2-87DD8A387A35}">
  <sheetPr>
    <tabColor theme="3" tint="0.39997558519241921"/>
  </sheetPr>
  <dimension ref="A1:X367"/>
  <sheetViews>
    <sheetView topLeftCell="A3" zoomScaleNormal="100" workbookViewId="0">
      <selection activeCell="H6" sqref="H6"/>
    </sheetView>
  </sheetViews>
  <sheetFormatPr defaultRowHeight="15" x14ac:dyDescent="0.2"/>
  <cols>
    <col min="1" max="2" width="9.28515625" style="14" bestFit="1" customWidth="1"/>
    <col min="3" max="4" width="9.28515625" style="14" customWidth="1"/>
    <col min="5" max="5" width="9.28515625" style="44" customWidth="1"/>
    <col min="6" max="7" width="9.28515625" style="14" customWidth="1"/>
    <col min="8" max="8" width="9.28515625" style="49" customWidth="1"/>
    <col min="9" max="9" width="9.28515625" style="14" customWidth="1"/>
    <col min="10" max="10" width="9.140625" style="14"/>
    <col min="11" max="15" width="11.5703125" style="14" bestFit="1" customWidth="1"/>
    <col min="16" max="16384" width="9.140625" style="14"/>
  </cols>
  <sheetData>
    <row r="1" spans="1:24" customFormat="1" ht="18.75" x14ac:dyDescent="0.25">
      <c r="A1" s="66" t="s">
        <v>199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T1" s="14"/>
      <c r="U1" s="14"/>
      <c r="V1" s="14"/>
      <c r="W1" s="14"/>
      <c r="X1" s="14"/>
    </row>
    <row r="2" spans="1:24" customFormat="1" ht="18.75" x14ac:dyDescent="0.25">
      <c r="A2" s="24"/>
      <c r="B2" s="24"/>
      <c r="C2" s="24"/>
      <c r="D2" s="24"/>
      <c r="E2" s="40"/>
      <c r="F2" s="24"/>
      <c r="G2" s="24"/>
      <c r="H2" s="45"/>
      <c r="I2" s="24"/>
      <c r="J2" s="24"/>
      <c r="K2" s="24"/>
      <c r="L2" s="24"/>
      <c r="M2" s="24"/>
      <c r="N2" s="24"/>
      <c r="O2" s="24"/>
      <c r="P2" s="24"/>
      <c r="Q2" s="24"/>
      <c r="T2" s="14"/>
      <c r="U2" s="14"/>
      <c r="V2" s="14"/>
      <c r="W2" s="14"/>
      <c r="X2" s="14"/>
    </row>
    <row r="3" spans="1:24" customFormat="1" ht="18.75" x14ac:dyDescent="0.25">
      <c r="A3" s="15"/>
      <c r="B3" s="15"/>
      <c r="C3" s="15"/>
      <c r="D3" s="15"/>
      <c r="E3" s="41"/>
      <c r="F3" s="15"/>
      <c r="G3" s="15"/>
      <c r="H3" s="46"/>
      <c r="I3" s="15"/>
      <c r="J3" s="15"/>
      <c r="K3" s="66" t="s">
        <v>198</v>
      </c>
      <c r="L3" s="66"/>
      <c r="M3" s="66"/>
      <c r="N3" s="66"/>
      <c r="O3" s="66"/>
      <c r="P3" s="15"/>
      <c r="Q3" s="15"/>
    </row>
    <row r="4" spans="1:24" ht="30" customHeight="1" x14ac:dyDescent="0.2">
      <c r="A4" s="2" t="s">
        <v>168</v>
      </c>
      <c r="B4" s="2" t="s">
        <v>82</v>
      </c>
      <c r="C4" s="2" t="s">
        <v>177</v>
      </c>
      <c r="D4" s="2" t="s">
        <v>178</v>
      </c>
      <c r="E4" s="42" t="s">
        <v>179</v>
      </c>
      <c r="F4" s="2" t="s">
        <v>181</v>
      </c>
      <c r="G4" s="2" t="s">
        <v>180</v>
      </c>
      <c r="H4" s="2" t="s">
        <v>182</v>
      </c>
      <c r="I4" s="2" t="s">
        <v>183</v>
      </c>
      <c r="K4" s="2" t="s">
        <v>193</v>
      </c>
      <c r="L4" s="2" t="s">
        <v>194</v>
      </c>
      <c r="M4" s="2" t="s">
        <v>195</v>
      </c>
      <c r="N4" s="2" t="s">
        <v>196</v>
      </c>
      <c r="O4" s="2" t="s">
        <v>197</v>
      </c>
    </row>
    <row r="5" spans="1:24" x14ac:dyDescent="0.2">
      <c r="A5" s="4">
        <v>2015</v>
      </c>
      <c r="B5" s="4">
        <v>10</v>
      </c>
      <c r="C5" s="23">
        <v>69</v>
      </c>
      <c r="D5" s="23">
        <v>69.845625047178217</v>
      </c>
      <c r="E5" s="43">
        <v>1.1629438804126599</v>
      </c>
      <c r="F5" s="23">
        <v>0.7</v>
      </c>
      <c r="G5" s="10">
        <f>D5*E5</f>
        <v>81.226542222213112</v>
      </c>
      <c r="H5" s="47">
        <f>F5*D5*E5</f>
        <v>56.858579555549177</v>
      </c>
      <c r="I5" s="10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</row>
    <row r="6" spans="1:24" x14ac:dyDescent="0.2">
      <c r="A6" s="4">
        <v>2015</v>
      </c>
      <c r="B6" s="4">
        <v>11</v>
      </c>
      <c r="C6" s="23">
        <v>17</v>
      </c>
      <c r="D6" s="23">
        <v>49.990749753946403</v>
      </c>
      <c r="E6" s="43">
        <v>1.0906946974740284</v>
      </c>
      <c r="F6" s="23">
        <v>0.7</v>
      </c>
      <c r="G6" s="10">
        <f>D6*E6</f>
        <v>54.524645679380427</v>
      </c>
      <c r="H6" s="47">
        <f t="shared" ref="H6:H36" si="0">F6*D6*E6</f>
        <v>38.167251975566295</v>
      </c>
      <c r="I6" s="10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24" x14ac:dyDescent="0.2">
      <c r="A7" s="4">
        <v>2015</v>
      </c>
      <c r="B7" s="4">
        <v>12</v>
      </c>
      <c r="C7" s="23">
        <v>31.405768686182665</v>
      </c>
      <c r="D7" s="23">
        <v>37.998625299758757</v>
      </c>
      <c r="E7" s="43">
        <v>0.92428785476978015</v>
      </c>
      <c r="F7" s="23">
        <v>0.6</v>
      </c>
      <c r="G7" s="10">
        <f t="shared" ref="G7:G69" si="1">D7*E7</f>
        <v>35.121667862514713</v>
      </c>
      <c r="H7" s="47">
        <f t="shared" si="0"/>
        <v>21.07300071750883</v>
      </c>
      <c r="I7" s="10">
        <v>0.6881469796203572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</row>
    <row r="8" spans="1:24" x14ac:dyDescent="0.2">
      <c r="A8" s="4">
        <v>2016</v>
      </c>
      <c r="B8" s="4">
        <v>1</v>
      </c>
      <c r="C8" s="23">
        <v>103</v>
      </c>
      <c r="D8" s="23">
        <v>35.454218350582586</v>
      </c>
      <c r="E8" s="43">
        <v>0.82346132939607375</v>
      </c>
      <c r="F8" s="23">
        <v>0.6</v>
      </c>
      <c r="G8" s="10">
        <f t="shared" si="1"/>
        <v>29.195177775669411</v>
      </c>
      <c r="H8" s="47">
        <f t="shared" si="0"/>
        <v>17.517106665401645</v>
      </c>
      <c r="I8" s="10">
        <v>1.6752077832881664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24" x14ac:dyDescent="0.2">
      <c r="A9" s="4">
        <v>2016</v>
      </c>
      <c r="B9" s="4">
        <v>2</v>
      </c>
      <c r="C9" s="23">
        <v>72</v>
      </c>
      <c r="D9" s="23">
        <v>45.375886294117727</v>
      </c>
      <c r="E9" s="43">
        <v>0.83040997893189905</v>
      </c>
      <c r="F9" s="23">
        <v>0.6</v>
      </c>
      <c r="G9" s="10">
        <f t="shared" si="1"/>
        <v>37.680588781514551</v>
      </c>
      <c r="H9" s="47">
        <f t="shared" si="0"/>
        <v>22.608353268908729</v>
      </c>
      <c r="I9" s="10">
        <v>0.78460201834161114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</row>
    <row r="10" spans="1:24" x14ac:dyDescent="0.2">
      <c r="A10" s="4">
        <v>2016</v>
      </c>
      <c r="B10" s="4">
        <v>3</v>
      </c>
      <c r="C10" s="23">
        <v>29</v>
      </c>
      <c r="D10" s="23">
        <v>74.441097579890311</v>
      </c>
      <c r="E10" s="43">
        <v>0.86832081118977578</v>
      </c>
      <c r="F10" s="23">
        <v>0.6</v>
      </c>
      <c r="G10" s="10">
        <f t="shared" si="1"/>
        <v>64.638754236427616</v>
      </c>
      <c r="H10" s="47">
        <f t="shared" si="0"/>
        <v>38.783252541856569</v>
      </c>
      <c r="I10" s="10">
        <v>5.8924163098599971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</row>
    <row r="11" spans="1:24" x14ac:dyDescent="0.2">
      <c r="A11" s="4">
        <v>2016</v>
      </c>
      <c r="B11" s="4">
        <v>4</v>
      </c>
      <c r="C11" s="23">
        <v>110</v>
      </c>
      <c r="D11" s="23">
        <v>100.07133581920866</v>
      </c>
      <c r="E11" s="43">
        <v>0.97263527398172478</v>
      </c>
      <c r="F11" s="23">
        <v>0.7</v>
      </c>
      <c r="G11" s="10">
        <f t="shared" si="1"/>
        <v>97.332911132233207</v>
      </c>
      <c r="H11" s="47">
        <f t="shared" si="0"/>
        <v>68.133037792563229</v>
      </c>
      <c r="I11" s="10">
        <v>8.0845783308630423</v>
      </c>
      <c r="K11" s="23">
        <v>25674.230715770605</v>
      </c>
      <c r="L11" s="23">
        <v>32339.153170441212</v>
      </c>
      <c r="M11" s="23">
        <v>21896.076011455199</v>
      </c>
      <c r="N11" s="23">
        <v>13785.315064983226</v>
      </c>
      <c r="O11" s="23">
        <v>15785.605094625756</v>
      </c>
    </row>
    <row r="12" spans="1:24" x14ac:dyDescent="0.2">
      <c r="A12" s="4">
        <v>2016</v>
      </c>
      <c r="B12" s="4">
        <v>5</v>
      </c>
      <c r="C12" s="23">
        <v>110</v>
      </c>
      <c r="D12" s="23">
        <v>124.57491248680124</v>
      </c>
      <c r="E12" s="43">
        <v>0.95871845840911951</v>
      </c>
      <c r="F12" s="23">
        <v>0.7</v>
      </c>
      <c r="G12" s="10">
        <f t="shared" si="1"/>
        <v>119.43226805579705</v>
      </c>
      <c r="H12" s="47">
        <f t="shared" si="0"/>
        <v>83.602587639057944</v>
      </c>
      <c r="I12" s="10">
        <v>2.7629511708896874</v>
      </c>
      <c r="K12" s="23">
        <v>90918.576134805277</v>
      </c>
      <c r="L12" s="23">
        <v>115730.35647755317</v>
      </c>
      <c r="M12" s="23">
        <v>66127.398579352695</v>
      </c>
      <c r="N12" s="23">
        <v>27068.122694745278</v>
      </c>
      <c r="O12" s="23">
        <v>30792.539010307046</v>
      </c>
    </row>
    <row r="13" spans="1:24" x14ac:dyDescent="0.2">
      <c r="A13" s="4">
        <v>2016</v>
      </c>
      <c r="B13" s="4">
        <v>6</v>
      </c>
      <c r="C13" s="23">
        <v>0.22064000000000003</v>
      </c>
      <c r="D13" s="23">
        <v>171.37315208882964</v>
      </c>
      <c r="E13" s="43">
        <v>1.2091047012251979</v>
      </c>
      <c r="F13" s="23">
        <v>0.8</v>
      </c>
      <c r="G13" s="10">
        <f t="shared" si="1"/>
        <v>207.20808385438477</v>
      </c>
      <c r="H13" s="47">
        <f t="shared" si="0"/>
        <v>165.76646708350779</v>
      </c>
      <c r="I13" s="10">
        <v>0.41207546571756137</v>
      </c>
      <c r="K13" s="23">
        <v>883210.25548892631</v>
      </c>
      <c r="L13" s="23">
        <v>1124425.4317282184</v>
      </c>
      <c r="M13" s="23">
        <v>909970.21647610457</v>
      </c>
      <c r="N13" s="23">
        <v>759905.42630010855</v>
      </c>
      <c r="O13" s="23">
        <v>872339.75238716521</v>
      </c>
    </row>
    <row r="14" spans="1:24" x14ac:dyDescent="0.2">
      <c r="A14" s="4">
        <v>2016</v>
      </c>
      <c r="B14" s="4">
        <v>7</v>
      </c>
      <c r="C14" s="23">
        <v>6.2333333333333343</v>
      </c>
      <c r="D14" s="23">
        <v>197.24617152807429</v>
      </c>
      <c r="E14" s="43">
        <v>1.3003333988885137</v>
      </c>
      <c r="F14" s="23">
        <v>0.8</v>
      </c>
      <c r="G14" s="10">
        <f>D14*E14</f>
        <v>256.48578464084761</v>
      </c>
      <c r="H14" s="47">
        <f t="shared" si="0"/>
        <v>205.18862771267811</v>
      </c>
      <c r="I14" s="10">
        <v>5.7050425712270744E-2</v>
      </c>
      <c r="K14" s="23">
        <v>1549942.7825193105</v>
      </c>
      <c r="L14" s="23">
        <v>1973736.0303489363</v>
      </c>
      <c r="M14" s="23">
        <v>1708167.7898383331</v>
      </c>
      <c r="N14" s="23">
        <v>1539770.3938771738</v>
      </c>
      <c r="O14" s="23">
        <v>1769221.9526079115</v>
      </c>
    </row>
    <row r="15" spans="1:24" x14ac:dyDescent="0.2">
      <c r="A15" s="4">
        <v>2016</v>
      </c>
      <c r="B15" s="4">
        <v>8</v>
      </c>
      <c r="C15" s="23">
        <v>0</v>
      </c>
      <c r="D15" s="23">
        <v>185.08810311173099</v>
      </c>
      <c r="E15" s="43">
        <v>1.3823064148719719</v>
      </c>
      <c r="F15" s="23">
        <v>0.8</v>
      </c>
      <c r="G15" s="10">
        <f t="shared" si="1"/>
        <v>255.84847224783073</v>
      </c>
      <c r="H15" s="47">
        <f t="shared" si="0"/>
        <v>204.6787777982646</v>
      </c>
      <c r="I15" s="10">
        <v>7.8148416105657172E-3</v>
      </c>
      <c r="K15" s="23">
        <v>1861619.5498922402</v>
      </c>
      <c r="L15" s="23">
        <v>2372617.4151894273</v>
      </c>
      <c r="M15" s="23">
        <v>2090837.8020631503</v>
      </c>
      <c r="N15" s="23">
        <v>1920375.460382811</v>
      </c>
      <c r="O15" s="23">
        <v>2208738.7827881225</v>
      </c>
    </row>
    <row r="16" spans="1:24" x14ac:dyDescent="0.2">
      <c r="A16" s="4">
        <v>2016</v>
      </c>
      <c r="B16" s="4">
        <v>9</v>
      </c>
      <c r="C16" s="23">
        <v>13.359716666666666</v>
      </c>
      <c r="D16" s="23">
        <v>132.45920159328404</v>
      </c>
      <c r="E16" s="43">
        <v>1.3453601010877918</v>
      </c>
      <c r="F16" s="23">
        <v>0.8</v>
      </c>
      <c r="G16" s="10">
        <f t="shared" si="1"/>
        <v>178.2053248455488</v>
      </c>
      <c r="H16" s="47">
        <f t="shared" si="0"/>
        <v>142.56425987643905</v>
      </c>
      <c r="I16" s="10">
        <v>1.1655307303696891E-3</v>
      </c>
      <c r="K16" s="23">
        <v>758226.85742398759</v>
      </c>
      <c r="L16" s="23">
        <v>966543.28850312147</v>
      </c>
      <c r="M16" s="23">
        <v>847085.6188665427</v>
      </c>
      <c r="N16" s="23">
        <v>773626.64851287368</v>
      </c>
      <c r="O16" s="23">
        <v>889945.68102618831</v>
      </c>
    </row>
    <row r="17" spans="1:15" x14ac:dyDescent="0.2">
      <c r="A17" s="4">
        <v>2016</v>
      </c>
      <c r="B17" s="4">
        <v>10</v>
      </c>
      <c r="C17" s="23">
        <v>54.578554019325331</v>
      </c>
      <c r="D17" s="23">
        <v>80.354556050548752</v>
      </c>
      <c r="E17" s="43">
        <f>E5</f>
        <v>1.1629438804126599</v>
      </c>
      <c r="F17" s="23">
        <f>F5</f>
        <v>0.7</v>
      </c>
      <c r="G17" s="10">
        <f>D17*E17</f>
        <v>93.447839222261749</v>
      </c>
      <c r="H17" s="47">
        <f t="shared" si="0"/>
        <v>65.413487455583223</v>
      </c>
      <c r="I17" s="10">
        <v>1.5965591731118321E-4</v>
      </c>
      <c r="K17" s="23">
        <v>245121.50066028442</v>
      </c>
      <c r="L17" s="23">
        <v>312876.66118542751</v>
      </c>
      <c r="M17" s="23">
        <v>278313.40556146292</v>
      </c>
      <c r="N17" s="23">
        <v>258022.63227398359</v>
      </c>
      <c r="O17" s="23">
        <v>297232.82812615612</v>
      </c>
    </row>
    <row r="18" spans="1:15" x14ac:dyDescent="0.2">
      <c r="A18" s="4">
        <v>2016</v>
      </c>
      <c r="B18" s="4">
        <v>11</v>
      </c>
      <c r="C18" s="23">
        <v>83.318394052750662</v>
      </c>
      <c r="D18" s="23">
        <v>42.190475498181669</v>
      </c>
      <c r="E18" s="43">
        <f t="shared" ref="E18:E81" si="2">E6</f>
        <v>1.0906946974740284</v>
      </c>
      <c r="F18" s="23">
        <f t="shared" ref="F18:F81" si="3">F6</f>
        <v>0.7</v>
      </c>
      <c r="G18" s="10">
        <f t="shared" si="1"/>
        <v>46.016927909774665</v>
      </c>
      <c r="H18" s="47">
        <f t="shared" si="0"/>
        <v>32.211849536842259</v>
      </c>
      <c r="I18" s="10">
        <v>2.3811599413602886E-5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</row>
    <row r="19" spans="1:15" x14ac:dyDescent="0.2">
      <c r="A19" s="4">
        <v>2016</v>
      </c>
      <c r="B19" s="4">
        <v>12</v>
      </c>
      <c r="C19" s="23">
        <v>64.097920032982003</v>
      </c>
      <c r="D19" s="23">
        <v>37.081211533571434</v>
      </c>
      <c r="E19" s="43">
        <f t="shared" si="2"/>
        <v>0.92428785476978015</v>
      </c>
      <c r="F19" s="23">
        <f t="shared" si="3"/>
        <v>0.6</v>
      </c>
      <c r="G19" s="10">
        <f t="shared" si="1"/>
        <v>34.273713460629168</v>
      </c>
      <c r="H19" s="47">
        <f t="shared" si="0"/>
        <v>20.564228076377503</v>
      </c>
      <c r="I19" s="10">
        <v>3.2966337393335565E-6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</row>
    <row r="20" spans="1:15" x14ac:dyDescent="0.2">
      <c r="A20" s="4">
        <v>2017</v>
      </c>
      <c r="B20" s="4">
        <v>1</v>
      </c>
      <c r="C20" s="23">
        <v>45.218339361574003</v>
      </c>
      <c r="D20" s="23">
        <v>37.93014585151225</v>
      </c>
      <c r="E20" s="43">
        <f t="shared" si="2"/>
        <v>0.82346132939607375</v>
      </c>
      <c r="F20" s="23">
        <f t="shared" si="3"/>
        <v>0.6</v>
      </c>
      <c r="G20" s="10">
        <f t="shared" si="1"/>
        <v>31.234008327073248</v>
      </c>
      <c r="H20" s="47">
        <f t="shared" si="0"/>
        <v>18.740404996243949</v>
      </c>
      <c r="I20" s="10">
        <v>8.6231951303979232E-2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</row>
    <row r="21" spans="1:15" ht="19.5" customHeight="1" x14ac:dyDescent="0.2">
      <c r="A21" s="4">
        <v>2017</v>
      </c>
      <c r="B21" s="4">
        <v>2</v>
      </c>
      <c r="C21" s="23">
        <v>57.644633092363996</v>
      </c>
      <c r="D21" s="23">
        <v>48.392920858420425</v>
      </c>
      <c r="E21" s="43">
        <f t="shared" si="2"/>
        <v>0.83040997893189905</v>
      </c>
      <c r="F21" s="23">
        <f t="shared" si="3"/>
        <v>0.6</v>
      </c>
      <c r="G21" s="10">
        <f t="shared" si="1"/>
        <v>40.185964390493965</v>
      </c>
      <c r="H21" s="47">
        <f t="shared" si="0"/>
        <v>24.111578634296375</v>
      </c>
      <c r="I21" s="10">
        <v>3.71725265251892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</row>
    <row r="22" spans="1:15" ht="16.5" customHeight="1" x14ac:dyDescent="0.2">
      <c r="A22" s="4">
        <v>2017</v>
      </c>
      <c r="B22" s="4">
        <v>3</v>
      </c>
      <c r="C22" s="23">
        <v>78.925722735435329</v>
      </c>
      <c r="D22" s="23">
        <v>83.353615914643143</v>
      </c>
      <c r="E22" s="43">
        <f t="shared" si="2"/>
        <v>0.86832081118977578</v>
      </c>
      <c r="F22" s="23">
        <f t="shared" si="3"/>
        <v>0.6</v>
      </c>
      <c r="G22" s="10">
        <f t="shared" si="1"/>
        <v>72.377679386603944</v>
      </c>
      <c r="H22" s="47">
        <f t="shared" si="0"/>
        <v>43.426607631962362</v>
      </c>
      <c r="I22" s="10">
        <v>1.7023755685226245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3" spans="1:15" x14ac:dyDescent="0.2">
      <c r="A23" s="4">
        <v>2017</v>
      </c>
      <c r="B23" s="4">
        <v>4</v>
      </c>
      <c r="C23" s="23">
        <v>1.9115986686493331</v>
      </c>
      <c r="D23" s="23">
        <v>130.6047820973711</v>
      </c>
      <c r="E23" s="43">
        <f t="shared" si="2"/>
        <v>0.97263527398172478</v>
      </c>
      <c r="F23" s="23">
        <f t="shared" si="3"/>
        <v>0.7</v>
      </c>
      <c r="G23" s="10">
        <f t="shared" si="1"/>
        <v>127.0308180186</v>
      </c>
      <c r="H23" s="47">
        <f t="shared" si="0"/>
        <v>88.92157261301999</v>
      </c>
      <c r="I23" s="10">
        <v>0.25389779327850703</v>
      </c>
      <c r="K23" s="23">
        <v>375420.43608436408</v>
      </c>
      <c r="L23" s="23">
        <v>479261.33898832981</v>
      </c>
      <c r="M23" s="23">
        <v>241751.84947104924</v>
      </c>
      <c r="N23" s="23">
        <v>52312.996631708076</v>
      </c>
      <c r="O23" s="23">
        <v>60012.626179794999</v>
      </c>
    </row>
    <row r="24" spans="1:15" x14ac:dyDescent="0.2">
      <c r="A24" s="4">
        <v>2017</v>
      </c>
      <c r="B24" s="4">
        <v>5</v>
      </c>
      <c r="C24" s="23">
        <v>49.441998057264669</v>
      </c>
      <c r="D24" s="23">
        <v>163.2874400343585</v>
      </c>
      <c r="E24" s="43">
        <f t="shared" si="2"/>
        <v>0.95871845840911951</v>
      </c>
      <c r="F24" s="23">
        <f t="shared" si="3"/>
        <v>0.7</v>
      </c>
      <c r="G24" s="10">
        <f t="shared" si="1"/>
        <v>156.54668278731171</v>
      </c>
      <c r="H24" s="47">
        <f t="shared" si="0"/>
        <v>109.5826779511182</v>
      </c>
      <c r="I24" s="10">
        <v>3.4779250373182087E-2</v>
      </c>
      <c r="K24" s="23">
        <v>217709.02161891002</v>
      </c>
      <c r="L24" s="23">
        <v>276912.65820814337</v>
      </c>
      <c r="M24" s="23">
        <v>211465.59301805965</v>
      </c>
      <c r="N24" s="23">
        <v>163660.57225137088</v>
      </c>
      <c r="O24" s="23">
        <v>187580.11999381441</v>
      </c>
    </row>
    <row r="25" spans="1:15" x14ac:dyDescent="0.2">
      <c r="A25" s="4">
        <v>2017</v>
      </c>
      <c r="B25" s="4">
        <v>6</v>
      </c>
      <c r="C25" s="23">
        <v>9.4666666666666668</v>
      </c>
      <c r="D25" s="23">
        <v>193.06562402109626</v>
      </c>
      <c r="E25" s="43">
        <f t="shared" si="2"/>
        <v>1.2091047012251979</v>
      </c>
      <c r="F25" s="23">
        <f t="shared" si="3"/>
        <v>0.8</v>
      </c>
      <c r="G25" s="10">
        <f t="shared" si="1"/>
        <v>233.43655364888397</v>
      </c>
      <c r="H25" s="47">
        <f t="shared" si="0"/>
        <v>186.74924291910719</v>
      </c>
      <c r="I25" s="10">
        <v>5.1870897849496883E-3</v>
      </c>
      <c r="K25" s="23">
        <v>1084457.3766402253</v>
      </c>
      <c r="L25" s="23">
        <v>1381067.4971373866</v>
      </c>
      <c r="M25" s="23">
        <v>1165726.0794845573</v>
      </c>
      <c r="N25" s="23">
        <v>1022433.9457245953</v>
      </c>
      <c r="O25" s="23">
        <v>1174945.4984360221</v>
      </c>
    </row>
    <row r="26" spans="1:15" x14ac:dyDescent="0.2">
      <c r="A26" s="4">
        <v>2017</v>
      </c>
      <c r="B26" s="4">
        <v>7</v>
      </c>
      <c r="C26" s="23">
        <v>0</v>
      </c>
      <c r="D26" s="23">
        <v>199.55806416477441</v>
      </c>
      <c r="E26" s="43">
        <f t="shared" si="2"/>
        <v>1.3003333988885137</v>
      </c>
      <c r="F26" s="23">
        <f t="shared" si="3"/>
        <v>0.8</v>
      </c>
      <c r="G26" s="10">
        <f t="shared" si="1"/>
        <v>259.4920158509932</v>
      </c>
      <c r="H26" s="47">
        <f t="shared" si="0"/>
        <v>207.59361268079459</v>
      </c>
      <c r="I26" s="10">
        <v>7.1813467449183103E-4</v>
      </c>
      <c r="K26" s="23">
        <v>1908588.9318682961</v>
      </c>
      <c r="L26" s="23">
        <v>2431776.8962272569</v>
      </c>
      <c r="M26" s="23">
        <v>2136483.9421410291</v>
      </c>
      <c r="N26" s="23">
        <v>1956240.9523803997</v>
      </c>
      <c r="O26" s="23">
        <v>2249328.9880881626</v>
      </c>
    </row>
    <row r="27" spans="1:15" x14ac:dyDescent="0.2">
      <c r="A27" s="4">
        <v>2017</v>
      </c>
      <c r="B27" s="4">
        <v>8</v>
      </c>
      <c r="C27" s="23">
        <v>14.699363333333336</v>
      </c>
      <c r="D27" s="23">
        <v>181.81742912526738</v>
      </c>
      <c r="E27" s="43">
        <f t="shared" si="2"/>
        <v>1.3823064148719719</v>
      </c>
      <c r="F27" s="23">
        <f t="shared" si="3"/>
        <v>0.8</v>
      </c>
      <c r="G27" s="10">
        <f t="shared" si="1"/>
        <v>251.32739861538721</v>
      </c>
      <c r="H27" s="47">
        <f t="shared" si="0"/>
        <v>201.06191889230979</v>
      </c>
      <c r="I27" s="10">
        <v>9.8371022935272182E-5</v>
      </c>
      <c r="K27" s="23">
        <v>1247883.4075799088</v>
      </c>
      <c r="L27" s="23">
        <v>1588730.703421592</v>
      </c>
      <c r="M27" s="23">
        <v>1403083.8758215883</v>
      </c>
      <c r="N27" s="23">
        <v>1291677.9202742937</v>
      </c>
      <c r="O27" s="23">
        <v>1484043.4720105585</v>
      </c>
    </row>
    <row r="28" spans="1:15" x14ac:dyDescent="0.2">
      <c r="A28" s="4">
        <v>2017</v>
      </c>
      <c r="B28" s="4">
        <v>9</v>
      </c>
      <c r="C28" s="23">
        <v>0</v>
      </c>
      <c r="D28" s="23">
        <v>129.46044287159077</v>
      </c>
      <c r="E28" s="43">
        <f t="shared" si="2"/>
        <v>1.3453601010877918</v>
      </c>
      <c r="F28" s="23">
        <f t="shared" si="3"/>
        <v>0.8</v>
      </c>
      <c r="G28" s="10">
        <f t="shared" si="1"/>
        <v>174.17091450859365</v>
      </c>
      <c r="H28" s="47">
        <f t="shared" si="0"/>
        <v>139.33673160687493</v>
      </c>
      <c r="I28" s="10">
        <v>1.4671372232797102E-5</v>
      </c>
      <c r="K28" s="23">
        <v>742727.29543785588</v>
      </c>
      <c r="L28" s="23">
        <v>946943.89607429807</v>
      </c>
      <c r="M28" s="23">
        <v>833774.45707630285</v>
      </c>
      <c r="N28" s="23">
        <v>765103.95346427592</v>
      </c>
      <c r="O28" s="23">
        <v>880322.68332878163</v>
      </c>
    </row>
    <row r="29" spans="1:15" x14ac:dyDescent="0.2">
      <c r="A29" s="4">
        <v>2017</v>
      </c>
      <c r="B29" s="4">
        <v>10</v>
      </c>
      <c r="C29" s="23">
        <v>24.208982691269998</v>
      </c>
      <c r="D29" s="23">
        <v>97.988743652078767</v>
      </c>
      <c r="E29" s="43">
        <f t="shared" si="2"/>
        <v>1.1629438804126599</v>
      </c>
      <c r="F29" s="23">
        <f t="shared" si="3"/>
        <v>0.7</v>
      </c>
      <c r="G29" s="10">
        <f t="shared" si="1"/>
        <v>113.95540977950988</v>
      </c>
      <c r="H29" s="47">
        <f t="shared" si="0"/>
        <v>79.768786845656905</v>
      </c>
      <c r="I29" s="10">
        <v>2.0097036749070338E-6</v>
      </c>
      <c r="K29" s="23">
        <v>315397.27412237343</v>
      </c>
      <c r="L29" s="23">
        <v>402329.62934352393</v>
      </c>
      <c r="M29" s="23">
        <v>356110.41609638475</v>
      </c>
      <c r="N29" s="23">
        <v>328516.62496472523</v>
      </c>
      <c r="O29" s="23">
        <v>378198.13595491659</v>
      </c>
    </row>
    <row r="30" spans="1:15" x14ac:dyDescent="0.2">
      <c r="A30" s="4">
        <v>2017</v>
      </c>
      <c r="B30" s="4">
        <v>11</v>
      </c>
      <c r="C30" s="23">
        <v>50.520301385728679</v>
      </c>
      <c r="D30" s="23">
        <v>49.553937777075667</v>
      </c>
      <c r="E30" s="43">
        <f t="shared" si="2"/>
        <v>1.0906946974740284</v>
      </c>
      <c r="F30" s="23">
        <f t="shared" si="3"/>
        <v>0.7</v>
      </c>
      <c r="G30" s="10">
        <f t="shared" si="1"/>
        <v>54.048217172414368</v>
      </c>
      <c r="H30" s="47">
        <f t="shared" si="0"/>
        <v>37.833752020690056</v>
      </c>
      <c r="I30" s="10">
        <v>2.9973370015255871E-7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</row>
    <row r="31" spans="1:15" x14ac:dyDescent="0.2">
      <c r="A31" s="4">
        <v>2017</v>
      </c>
      <c r="B31" s="4">
        <v>12</v>
      </c>
      <c r="C31" s="23">
        <v>51.645837745100671</v>
      </c>
      <c r="D31" s="23">
        <v>34.562863722784947</v>
      </c>
      <c r="E31" s="43">
        <f t="shared" si="2"/>
        <v>0.92428785476978015</v>
      </c>
      <c r="F31" s="23">
        <f t="shared" si="3"/>
        <v>0.6</v>
      </c>
      <c r="G31" s="10">
        <f t="shared" si="1"/>
        <v>31.946035165033155</v>
      </c>
      <c r="H31" s="47">
        <f t="shared" si="0"/>
        <v>19.167621099019893</v>
      </c>
      <c r="I31" s="10">
        <v>4.1497096082245194E-8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</row>
    <row r="32" spans="1:15" x14ac:dyDescent="0.2">
      <c r="A32" s="4">
        <v>2018</v>
      </c>
      <c r="B32" s="4">
        <v>1</v>
      </c>
      <c r="C32" s="23">
        <v>51.812788055561988</v>
      </c>
      <c r="D32" s="23">
        <v>36.243536929637827</v>
      </c>
      <c r="E32" s="43">
        <f t="shared" si="2"/>
        <v>0.82346132939607375</v>
      </c>
      <c r="F32" s="23">
        <f t="shared" si="3"/>
        <v>0.6</v>
      </c>
      <c r="G32" s="10">
        <f t="shared" si="1"/>
        <v>29.845151102095258</v>
      </c>
      <c r="H32" s="47">
        <f t="shared" si="0"/>
        <v>17.907090661257154</v>
      </c>
      <c r="I32" s="10">
        <v>5.55044191225505E-9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</row>
    <row r="33" spans="1:15" x14ac:dyDescent="0.2">
      <c r="A33" s="4">
        <v>2018</v>
      </c>
      <c r="B33" s="4">
        <v>2</v>
      </c>
      <c r="C33" s="23">
        <v>53.450514001674001</v>
      </c>
      <c r="D33" s="23">
        <v>47.930797317517751</v>
      </c>
      <c r="E33" s="43">
        <f t="shared" si="2"/>
        <v>0.83040997893189905</v>
      </c>
      <c r="F33" s="23">
        <f t="shared" si="3"/>
        <v>0.6</v>
      </c>
      <c r="G33" s="10">
        <f t="shared" si="1"/>
        <v>39.802212390629037</v>
      </c>
      <c r="H33" s="47">
        <f t="shared" si="0"/>
        <v>23.881327434377422</v>
      </c>
      <c r="I33" s="10">
        <v>63.671487470852874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</row>
    <row r="34" spans="1:15" x14ac:dyDescent="0.2">
      <c r="A34" s="4">
        <v>2018</v>
      </c>
      <c r="B34" s="4">
        <v>3</v>
      </c>
      <c r="C34" s="23">
        <v>223.01283957847667</v>
      </c>
      <c r="D34" s="23">
        <v>65.377326731579814</v>
      </c>
      <c r="E34" s="43">
        <f t="shared" si="2"/>
        <v>0.86832081118977578</v>
      </c>
      <c r="F34" s="23">
        <f t="shared" si="3"/>
        <v>0.6</v>
      </c>
      <c r="G34" s="10">
        <f t="shared" si="1"/>
        <v>56.768493380984395</v>
      </c>
      <c r="H34" s="47">
        <f t="shared" si="0"/>
        <v>34.06109602859064</v>
      </c>
      <c r="I34" s="10">
        <v>28.023676751011692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5" x14ac:dyDescent="0.2">
      <c r="A35" s="4">
        <v>2018</v>
      </c>
      <c r="B35" s="4">
        <v>4</v>
      </c>
      <c r="C35" s="23">
        <v>94.990549329836654</v>
      </c>
      <c r="D35" s="23">
        <v>99.129101963833634</v>
      </c>
      <c r="E35" s="43">
        <f t="shared" si="2"/>
        <v>0.97263527398172478</v>
      </c>
      <c r="F35" s="23">
        <f t="shared" si="3"/>
        <v>0.7</v>
      </c>
      <c r="G35" s="10">
        <f t="shared" si="1"/>
        <v>96.416461248155656</v>
      </c>
      <c r="H35" s="47">
        <f t="shared" si="0"/>
        <v>67.491522873708959</v>
      </c>
      <c r="I35" s="10">
        <v>7.7320017389241915</v>
      </c>
      <c r="K35" s="23">
        <v>10980.330344841714</v>
      </c>
      <c r="L35" s="23">
        <v>13729.92999548964</v>
      </c>
      <c r="M35" s="23">
        <v>6265.5620179152693</v>
      </c>
      <c r="N35" s="23">
        <v>163.78211928538141</v>
      </c>
      <c r="O35" s="23">
        <v>188.20561204433957</v>
      </c>
    </row>
    <row r="36" spans="1:15" x14ac:dyDescent="0.2">
      <c r="A36" s="4">
        <v>2018</v>
      </c>
      <c r="B36" s="4">
        <v>5</v>
      </c>
      <c r="C36" s="23">
        <v>47.499732675028007</v>
      </c>
      <c r="D36" s="23">
        <v>139.29656174246691</v>
      </c>
      <c r="E36" s="43">
        <f t="shared" si="2"/>
        <v>0.95871845840911951</v>
      </c>
      <c r="F36" s="23">
        <f t="shared" si="3"/>
        <v>0.7</v>
      </c>
      <c r="G36" s="10">
        <f t="shared" si="1"/>
        <v>133.54618493542861</v>
      </c>
      <c r="H36" s="47">
        <f t="shared" si="0"/>
        <v>93.482329454800023</v>
      </c>
      <c r="I36" s="10">
        <v>1.066162131481835</v>
      </c>
      <c r="K36" s="23">
        <v>68747.215254328839</v>
      </c>
      <c r="L36" s="23">
        <v>87117.337390809203</v>
      </c>
      <c r="M36" s="23">
        <v>70019.953312207857</v>
      </c>
      <c r="N36" s="23">
        <v>57935.181848105363</v>
      </c>
      <c r="O36" s="23">
        <v>66280.07875558798</v>
      </c>
    </row>
    <row r="37" spans="1:15" x14ac:dyDescent="0.2">
      <c r="A37" s="4">
        <v>2018</v>
      </c>
      <c r="B37" s="4">
        <v>6</v>
      </c>
      <c r="C37" s="23">
        <v>19.45688868786333</v>
      </c>
      <c r="D37" s="23">
        <v>160.14638198557356</v>
      </c>
      <c r="E37" s="43">
        <f t="shared" si="2"/>
        <v>1.2091047012251979</v>
      </c>
      <c r="F37" s="23">
        <f t="shared" si="3"/>
        <v>0.8</v>
      </c>
      <c r="G37" s="10">
        <f t="shared" si="1"/>
        <v>193.63374334296333</v>
      </c>
      <c r="H37" s="47">
        <f t="shared" ref="H37:H53" si="4">F37*D37*E37</f>
        <v>154.90699467437068</v>
      </c>
      <c r="I37" s="10">
        <v>0.15901086544332058</v>
      </c>
      <c r="K37" s="23">
        <v>402332.86955427483</v>
      </c>
      <c r="L37" s="23">
        <v>510910.9819837847</v>
      </c>
      <c r="M37" s="23">
        <v>373266.60690039385</v>
      </c>
      <c r="N37" s="23">
        <v>270567.52796752221</v>
      </c>
      <c r="O37" s="23">
        <v>309255.04809599358</v>
      </c>
    </row>
    <row r="38" spans="1:15" x14ac:dyDescent="0.2">
      <c r="A38" s="4">
        <v>2018</v>
      </c>
      <c r="B38" s="4">
        <v>7</v>
      </c>
      <c r="C38" s="23">
        <v>0.56666666666666654</v>
      </c>
      <c r="D38" s="23">
        <v>172.40552761038819</v>
      </c>
      <c r="E38" s="43">
        <f t="shared" si="2"/>
        <v>1.3003333988885137</v>
      </c>
      <c r="F38" s="23">
        <f t="shared" si="3"/>
        <v>0.8</v>
      </c>
      <c r="G38" s="10">
        <f t="shared" si="1"/>
        <v>224.18466570478358</v>
      </c>
      <c r="H38" s="47">
        <f t="shared" si="4"/>
        <v>179.34773256382687</v>
      </c>
      <c r="I38" s="10">
        <v>2.2014505402842364E-2</v>
      </c>
      <c r="K38" s="23">
        <v>1283117.6462223083</v>
      </c>
      <c r="L38" s="23">
        <v>1632719.5900386907</v>
      </c>
      <c r="M38" s="23">
        <v>1390147.200296748</v>
      </c>
      <c r="N38" s="23">
        <v>1231256.9064105626</v>
      </c>
      <c r="O38" s="23">
        <v>1413494.6585154303</v>
      </c>
    </row>
    <row r="39" spans="1:15" x14ac:dyDescent="0.2">
      <c r="A39" s="4">
        <v>2018</v>
      </c>
      <c r="B39" s="4">
        <v>8</v>
      </c>
      <c r="C39" s="23">
        <v>6.6666666666666666E-2</v>
      </c>
      <c r="D39" s="23">
        <v>194.5671513755041</v>
      </c>
      <c r="E39" s="43">
        <f t="shared" si="2"/>
        <v>1.3823064148719719</v>
      </c>
      <c r="F39" s="23">
        <f t="shared" si="3"/>
        <v>0.8</v>
      </c>
      <c r="G39" s="10">
        <f t="shared" si="1"/>
        <v>268.95142146972535</v>
      </c>
      <c r="H39" s="47">
        <f t="shared" si="4"/>
        <v>215.16113717578028</v>
      </c>
      <c r="I39" s="10">
        <v>3.0155756194673398E-3</v>
      </c>
      <c r="K39" s="23">
        <v>1887307.4802341885</v>
      </c>
      <c r="L39" s="23">
        <v>2405438.7955809552</v>
      </c>
      <c r="M39" s="23">
        <v>2103295.9718435216</v>
      </c>
      <c r="N39" s="23">
        <v>1916343.1764135235</v>
      </c>
      <c r="O39" s="23">
        <v>2204094.4351454186</v>
      </c>
    </row>
    <row r="40" spans="1:15" x14ac:dyDescent="0.2">
      <c r="A40" s="4">
        <v>2018</v>
      </c>
      <c r="B40" s="4">
        <v>9</v>
      </c>
      <c r="C40" s="23">
        <v>5.6565399999999997</v>
      </c>
      <c r="D40" s="23">
        <v>143.20887147575533</v>
      </c>
      <c r="E40" s="43">
        <f t="shared" si="2"/>
        <v>1.3453601010877918</v>
      </c>
      <c r="F40" s="23">
        <f t="shared" si="3"/>
        <v>0.8</v>
      </c>
      <c r="G40" s="10">
        <f t="shared" si="1"/>
        <v>192.66750180529078</v>
      </c>
      <c r="H40" s="47">
        <f t="shared" si="4"/>
        <v>154.13400144423261</v>
      </c>
      <c r="I40" s="10">
        <v>4.4975269229907829E-4</v>
      </c>
      <c r="K40" s="23">
        <v>1014223.7619464051</v>
      </c>
      <c r="L40" s="23">
        <v>1292989.9683508116</v>
      </c>
      <c r="M40" s="23">
        <v>1138162.6816428634</v>
      </c>
      <c r="N40" s="23">
        <v>1044147.4819137212</v>
      </c>
      <c r="O40" s="23">
        <v>1201289.5143605154</v>
      </c>
    </row>
    <row r="41" spans="1:15" x14ac:dyDescent="0.2">
      <c r="A41" s="4">
        <v>2018</v>
      </c>
      <c r="B41" s="4">
        <v>10</v>
      </c>
      <c r="C41" s="23">
        <v>59.645351672580667</v>
      </c>
      <c r="D41" s="23">
        <v>82.313306928947313</v>
      </c>
      <c r="E41" s="43">
        <f t="shared" si="2"/>
        <v>1.1629438804126599</v>
      </c>
      <c r="F41" s="23">
        <f t="shared" si="3"/>
        <v>0.7</v>
      </c>
      <c r="G41" s="10">
        <f t="shared" si="1"/>
        <v>95.725756569548281</v>
      </c>
      <c r="H41" s="47">
        <f t="shared" si="4"/>
        <v>67.008029598683791</v>
      </c>
      <c r="I41" s="10">
        <v>5.2675600819090196</v>
      </c>
      <c r="K41" s="23">
        <v>318171.49089406827</v>
      </c>
      <c r="L41" s="23">
        <v>406185.82887233066</v>
      </c>
      <c r="M41" s="23">
        <v>357376.0179921923</v>
      </c>
      <c r="N41" s="23">
        <v>327651.68663450563</v>
      </c>
      <c r="O41" s="23">
        <v>377495.06556786457</v>
      </c>
    </row>
    <row r="42" spans="1:15" x14ac:dyDescent="0.2">
      <c r="A42" s="4">
        <v>2018</v>
      </c>
      <c r="B42" s="4">
        <v>11</v>
      </c>
      <c r="C42" s="23">
        <v>129.62322307230269</v>
      </c>
      <c r="D42" s="23">
        <v>40.690888677090186</v>
      </c>
      <c r="E42" s="43">
        <f t="shared" si="2"/>
        <v>1.0906946974740284</v>
      </c>
      <c r="F42" s="23">
        <f t="shared" si="3"/>
        <v>0.7</v>
      </c>
      <c r="G42" s="10">
        <f t="shared" si="1"/>
        <v>44.381336515608247</v>
      </c>
      <c r="H42" s="47">
        <f t="shared" si="4"/>
        <v>31.066935560925771</v>
      </c>
      <c r="I42" s="10">
        <v>2.4924215279307198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5" x14ac:dyDescent="0.2">
      <c r="A43" s="4">
        <v>2018</v>
      </c>
      <c r="B43" s="4">
        <v>12</v>
      </c>
      <c r="C43" s="23">
        <v>23.544108673150671</v>
      </c>
      <c r="D43" s="23">
        <v>37.172973117797603</v>
      </c>
      <c r="E43" s="43">
        <f t="shared" si="2"/>
        <v>0.92428785476978015</v>
      </c>
      <c r="F43" s="23">
        <f t="shared" si="3"/>
        <v>0.6</v>
      </c>
      <c r="G43" s="10">
        <f t="shared" si="1"/>
        <v>34.35852757846385</v>
      </c>
      <c r="H43" s="47">
        <f t="shared" si="4"/>
        <v>20.615116547078312</v>
      </c>
      <c r="I43" s="10">
        <v>0.34506715651044395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5" x14ac:dyDescent="0.2">
      <c r="A44" s="4">
        <v>2019</v>
      </c>
      <c r="B44" s="4">
        <v>1</v>
      </c>
      <c r="C44" s="23">
        <v>27.720870803917336</v>
      </c>
      <c r="D44" s="23">
        <v>39.446409828131834</v>
      </c>
      <c r="E44" s="43">
        <f t="shared" si="2"/>
        <v>0.82346132939607375</v>
      </c>
      <c r="F44" s="23">
        <f t="shared" si="3"/>
        <v>0.6</v>
      </c>
      <c r="G44" s="10">
        <f t="shared" si="1"/>
        <v>32.482593076975789</v>
      </c>
      <c r="H44" s="47">
        <f t="shared" si="4"/>
        <v>19.489555846185475</v>
      </c>
      <c r="I44" s="10">
        <v>4.6154439439382945E-2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5" x14ac:dyDescent="0.2">
      <c r="A45" s="4">
        <v>2019</v>
      </c>
      <c r="B45" s="4">
        <v>2</v>
      </c>
      <c r="C45" s="23">
        <v>39.791687661313333</v>
      </c>
      <c r="D45" s="23">
        <v>54.303125195712717</v>
      </c>
      <c r="E45" s="43">
        <f t="shared" si="2"/>
        <v>0.83040997893189905</v>
      </c>
      <c r="F45" s="23">
        <f t="shared" si="3"/>
        <v>0.6</v>
      </c>
      <c r="G45" s="10">
        <f t="shared" si="1"/>
        <v>45.09385704970807</v>
      </c>
      <c r="H45" s="47">
        <f t="shared" si="4"/>
        <v>27.056314229824842</v>
      </c>
      <c r="I45" s="10">
        <v>8.0088399927136025E-3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 x14ac:dyDescent="0.2">
      <c r="A46" s="4">
        <v>2019</v>
      </c>
      <c r="B46" s="4">
        <v>3</v>
      </c>
      <c r="C46" s="23">
        <v>20.983603436144666</v>
      </c>
      <c r="D46" s="23">
        <v>91.741895260595086</v>
      </c>
      <c r="E46" s="43">
        <f t="shared" si="2"/>
        <v>0.86832081118977578</v>
      </c>
      <c r="F46" s="23">
        <f t="shared" si="3"/>
        <v>0.6</v>
      </c>
      <c r="G46" s="10">
        <f t="shared" si="1"/>
        <v>79.661396912767373</v>
      </c>
      <c r="H46" s="47">
        <f t="shared" si="4"/>
        <v>47.796838147660424</v>
      </c>
      <c r="I46" s="10">
        <v>1.0970613320762535E-3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</row>
    <row r="47" spans="1:15" x14ac:dyDescent="0.2">
      <c r="A47" s="4">
        <v>2019</v>
      </c>
      <c r="B47" s="4">
        <v>4</v>
      </c>
      <c r="C47" s="23">
        <v>82.381875561499328</v>
      </c>
      <c r="D47" s="23">
        <v>103.77648829507235</v>
      </c>
      <c r="E47" s="43">
        <f t="shared" si="2"/>
        <v>0.97263527398172478</v>
      </c>
      <c r="F47" s="23">
        <f t="shared" si="3"/>
        <v>0.7</v>
      </c>
      <c r="G47" s="10">
        <f t="shared" si="1"/>
        <v>100.93667312573895</v>
      </c>
      <c r="H47" s="47">
        <f t="shared" si="4"/>
        <v>70.655671188017266</v>
      </c>
      <c r="I47" s="10">
        <v>1.6361927206642613E-4</v>
      </c>
      <c r="K47" s="23">
        <v>118466.2003974909</v>
      </c>
      <c r="L47" s="23">
        <v>150915.72009696288</v>
      </c>
      <c r="M47" s="23">
        <v>77731.588766859146</v>
      </c>
      <c r="N47" s="23">
        <v>19296.886401929216</v>
      </c>
      <c r="O47" s="23">
        <v>22247.548171053666</v>
      </c>
    </row>
    <row r="48" spans="1:15" x14ac:dyDescent="0.2">
      <c r="A48" s="4">
        <v>2019</v>
      </c>
      <c r="B48" s="4">
        <v>5</v>
      </c>
      <c r="C48" s="23">
        <v>10.020579333333332</v>
      </c>
      <c r="D48" s="23">
        <v>168.42154948802164</v>
      </c>
      <c r="E48" s="43">
        <f t="shared" si="2"/>
        <v>0.95871845840911951</v>
      </c>
      <c r="F48" s="23">
        <f t="shared" si="3"/>
        <v>0.7</v>
      </c>
      <c r="G48" s="10">
        <f t="shared" si="1"/>
        <v>161.46884828803132</v>
      </c>
      <c r="H48" s="47">
        <f t="shared" si="4"/>
        <v>113.02819380162192</v>
      </c>
      <c r="I48" s="10">
        <v>2.2412780968261179E-5</v>
      </c>
      <c r="K48" s="23">
        <v>573946.64297074487</v>
      </c>
      <c r="L48" s="23">
        <v>729376.00064045633</v>
      </c>
      <c r="M48" s="23">
        <v>539862.58008280885</v>
      </c>
      <c r="N48" s="23">
        <v>398891.38989698351</v>
      </c>
      <c r="O48" s="23">
        <v>457236.28682305058</v>
      </c>
    </row>
    <row r="49" spans="1:15" x14ac:dyDescent="0.2">
      <c r="A49" s="4">
        <v>2019</v>
      </c>
      <c r="B49" s="4">
        <v>6</v>
      </c>
      <c r="C49" s="23">
        <v>4.6495206679915997</v>
      </c>
      <c r="D49" s="23">
        <v>168.85865105226731</v>
      </c>
      <c r="E49" s="43">
        <f t="shared" si="2"/>
        <v>1.2091047012251979</v>
      </c>
      <c r="F49" s="23">
        <f t="shared" si="3"/>
        <v>0.8</v>
      </c>
      <c r="G49" s="10">
        <f t="shared" si="1"/>
        <v>204.16778882984161</v>
      </c>
      <c r="H49" s="47">
        <f t="shared" si="4"/>
        <v>163.33423106387329</v>
      </c>
      <c r="I49" s="10">
        <v>3.3427145773799358E-6</v>
      </c>
      <c r="K49" s="23">
        <v>1029250.1224948455</v>
      </c>
      <c r="L49" s="23">
        <v>1307831.1256657976</v>
      </c>
      <c r="M49" s="23">
        <v>1114183.3422600939</v>
      </c>
      <c r="N49" s="23">
        <v>987474.86597101425</v>
      </c>
      <c r="O49" s="23">
        <v>1132177.2549087179</v>
      </c>
    </row>
    <row r="50" spans="1:15" x14ac:dyDescent="0.2">
      <c r="A50" s="4">
        <v>2019</v>
      </c>
      <c r="B50" s="4">
        <v>7</v>
      </c>
      <c r="C50" s="23">
        <v>0.83333333333333337</v>
      </c>
      <c r="D50" s="23">
        <v>187.42362616047456</v>
      </c>
      <c r="E50" s="43">
        <f t="shared" si="2"/>
        <v>1.3003333988885137</v>
      </c>
      <c r="F50" s="23">
        <f t="shared" si="3"/>
        <v>0.8</v>
      </c>
      <c r="G50" s="10">
        <f t="shared" si="1"/>
        <v>243.71320083726005</v>
      </c>
      <c r="H50" s="47">
        <f t="shared" si="4"/>
        <v>194.97056066980801</v>
      </c>
      <c r="I50" s="10">
        <v>4.6278729392942676E-7</v>
      </c>
      <c r="K50" s="23">
        <v>1842961.0013105709</v>
      </c>
      <c r="L50" s="23">
        <v>2346161.2610757784</v>
      </c>
      <c r="M50" s="23">
        <v>2053199.8158680289</v>
      </c>
      <c r="N50" s="23">
        <v>1872520.6087913911</v>
      </c>
      <c r="O50" s="23">
        <v>2151156.3922943757</v>
      </c>
    </row>
    <row r="51" spans="1:15" x14ac:dyDescent="0.2">
      <c r="A51" s="4">
        <v>2019</v>
      </c>
      <c r="B51" s="4">
        <v>8</v>
      </c>
      <c r="C51" s="23">
        <v>8.4875246666666673</v>
      </c>
      <c r="D51" s="23">
        <v>175.11360223397202</v>
      </c>
      <c r="E51" s="43">
        <f t="shared" si="2"/>
        <v>1.3823064148719719</v>
      </c>
      <c r="F51" s="23">
        <f t="shared" si="3"/>
        <v>0.8</v>
      </c>
      <c r="G51" s="10">
        <f t="shared" si="1"/>
        <v>242.06065569935839</v>
      </c>
      <c r="H51" s="47">
        <f t="shared" si="4"/>
        <v>193.6485245594867</v>
      </c>
      <c r="I51" s="10">
        <v>6.3393206208151197E-8</v>
      </c>
      <c r="K51" s="23">
        <v>1437244.4634768332</v>
      </c>
      <c r="L51" s="23">
        <v>1831864.2621802636</v>
      </c>
      <c r="M51" s="23">
        <v>1614864.3773006566</v>
      </c>
      <c r="N51" s="23">
        <v>1483695.7122082715</v>
      </c>
      <c r="O51" s="23">
        <v>1706653.0713372577</v>
      </c>
    </row>
    <row r="52" spans="1:15" x14ac:dyDescent="0.2">
      <c r="A52" s="4">
        <v>2019</v>
      </c>
      <c r="B52" s="4">
        <v>9</v>
      </c>
      <c r="C52" s="23">
        <v>9.8794187035686658</v>
      </c>
      <c r="D52" s="23">
        <v>130.68479375701139</v>
      </c>
      <c r="E52" s="43">
        <f t="shared" si="2"/>
        <v>1.3453601010877918</v>
      </c>
      <c r="F52" s="23">
        <f t="shared" si="3"/>
        <v>0.8</v>
      </c>
      <c r="G52" s="10">
        <f t="shared" si="1"/>
        <v>175.81810733957008</v>
      </c>
      <c r="H52" s="47">
        <f t="shared" si="4"/>
        <v>140.65448587165605</v>
      </c>
      <c r="I52" s="10">
        <v>9.4546676201815071E-9</v>
      </c>
      <c r="K52" s="23">
        <v>676485.9049861778</v>
      </c>
      <c r="L52" s="23">
        <v>861532.52774287085</v>
      </c>
      <c r="M52" s="23">
        <v>762431.79704389221</v>
      </c>
      <c r="N52" s="23">
        <v>703362.76347025612</v>
      </c>
      <c r="O52" s="23">
        <v>808345.99197626393</v>
      </c>
    </row>
    <row r="53" spans="1:15" x14ac:dyDescent="0.2">
      <c r="A53" s="4">
        <v>2019</v>
      </c>
      <c r="B53" s="4">
        <v>10</v>
      </c>
      <c r="C53" s="23">
        <v>32.989571650702665</v>
      </c>
      <c r="D53" s="23">
        <v>80.607549528262211</v>
      </c>
      <c r="E53" s="43">
        <f t="shared" si="2"/>
        <v>1.1629438804126599</v>
      </c>
      <c r="F53" s="23">
        <f t="shared" si="3"/>
        <v>0.7</v>
      </c>
      <c r="G53" s="10">
        <f t="shared" si="1"/>
        <v>93.742056438952929</v>
      </c>
      <c r="H53" s="47">
        <f t="shared" si="4"/>
        <v>65.619439507267046</v>
      </c>
      <c r="I53" s="10">
        <v>1.4462547084057944</v>
      </c>
      <c r="K53" s="23">
        <v>94180.209758936122</v>
      </c>
      <c r="L53" s="23">
        <v>119869.58679024622</v>
      </c>
      <c r="M53" s="23">
        <v>106681.13133177678</v>
      </c>
      <c r="N53" s="23">
        <v>98978.03015139034</v>
      </c>
      <c r="O53" s="23">
        <v>113696.69862653445</v>
      </c>
    </row>
    <row r="54" spans="1:15" x14ac:dyDescent="0.2">
      <c r="A54" s="4">
        <v>2019</v>
      </c>
      <c r="B54" s="4">
        <v>11</v>
      </c>
      <c r="C54" s="23">
        <v>111.27084839744545</v>
      </c>
      <c r="D54" s="23">
        <v>37.197868369849402</v>
      </c>
      <c r="E54" s="43">
        <f t="shared" si="2"/>
        <v>1.0906946974740284</v>
      </c>
      <c r="F54" s="23">
        <f t="shared" si="3"/>
        <v>0.7</v>
      </c>
      <c r="G54" s="10">
        <f t="shared" si="1"/>
        <v>40.571517788331626</v>
      </c>
      <c r="H54" s="47">
        <f>F54*D54</f>
        <v>26.03850785889458</v>
      </c>
      <c r="I54" s="10">
        <v>17.431581444951679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</row>
    <row r="55" spans="1:15" x14ac:dyDescent="0.2">
      <c r="A55" s="4">
        <v>2019</v>
      </c>
      <c r="B55" s="4">
        <v>12</v>
      </c>
      <c r="C55" s="23">
        <v>113.75734860427731</v>
      </c>
      <c r="D55" s="23">
        <v>32.633331640816024</v>
      </c>
      <c r="E55" s="43">
        <f t="shared" si="2"/>
        <v>0.92428785476978015</v>
      </c>
      <c r="F55" s="23">
        <f t="shared" si="3"/>
        <v>0.6</v>
      </c>
      <c r="G55" s="10">
        <f t="shared" si="1"/>
        <v>30.162592096280633</v>
      </c>
      <c r="H55" s="47">
        <f t="shared" ref="H55:H118" si="5">F55*D55</f>
        <v>19.579998984489613</v>
      </c>
      <c r="I55" s="10">
        <v>13.102924790967226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</row>
    <row r="56" spans="1:15" x14ac:dyDescent="0.2">
      <c r="A56" s="4">
        <v>2020</v>
      </c>
      <c r="B56" s="4">
        <v>1</v>
      </c>
      <c r="C56" s="23">
        <v>56.391435444084003</v>
      </c>
      <c r="D56" s="23">
        <v>36.664913781984829</v>
      </c>
      <c r="E56" s="43">
        <f t="shared" si="2"/>
        <v>0.82346132939607375</v>
      </c>
      <c r="F56" s="23">
        <f t="shared" si="3"/>
        <v>0.6</v>
      </c>
      <c r="G56" s="10">
        <f t="shared" si="1"/>
        <v>30.192138645105654</v>
      </c>
      <c r="H56" s="47">
        <f t="shared" si="5"/>
        <v>21.998948269190898</v>
      </c>
      <c r="I56" s="10">
        <v>3.777724733626747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 x14ac:dyDescent="0.2">
      <c r="A57" s="4">
        <v>2020</v>
      </c>
      <c r="B57" s="4">
        <v>2</v>
      </c>
      <c r="C57" s="23">
        <v>2.8041326666666664</v>
      </c>
      <c r="D57" s="23">
        <v>57.800346441924013</v>
      </c>
      <c r="E57" s="43">
        <f t="shared" si="2"/>
        <v>0.83040997893189905</v>
      </c>
      <c r="F57" s="23">
        <f t="shared" si="3"/>
        <v>0.6</v>
      </c>
      <c r="G57" s="10">
        <f t="shared" si="1"/>
        <v>47.997984471094583</v>
      </c>
      <c r="H57" s="47">
        <f t="shared" si="5"/>
        <v>34.680207865154408</v>
      </c>
      <c r="I57" s="10">
        <v>0.62649628795844969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</row>
    <row r="58" spans="1:15" x14ac:dyDescent="0.2">
      <c r="A58" s="4">
        <v>2020</v>
      </c>
      <c r="B58" s="4">
        <v>3</v>
      </c>
      <c r="C58" s="23">
        <v>51.564639388963997</v>
      </c>
      <c r="D58" s="23">
        <v>80.051129079632886</v>
      </c>
      <c r="E58" s="43">
        <f t="shared" si="2"/>
        <v>0.86832081118977578</v>
      </c>
      <c r="F58" s="23">
        <f t="shared" si="3"/>
        <v>0.6</v>
      </c>
      <c r="G58" s="10">
        <f t="shared" si="1"/>
        <v>69.510061339084274</v>
      </c>
      <c r="H58" s="47">
        <f t="shared" si="5"/>
        <v>48.03067744777973</v>
      </c>
      <c r="I58" s="10">
        <v>5.6344813909641598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</row>
    <row r="59" spans="1:15" x14ac:dyDescent="0.2">
      <c r="A59" s="4">
        <v>2020</v>
      </c>
      <c r="B59" s="4">
        <v>4</v>
      </c>
      <c r="C59" s="23">
        <v>105.49800545047465</v>
      </c>
      <c r="D59" s="23">
        <v>96.231876626541833</v>
      </c>
      <c r="E59" s="43">
        <f t="shared" si="2"/>
        <v>0.97263527398172478</v>
      </c>
      <c r="F59" s="23">
        <f t="shared" si="3"/>
        <v>0.7</v>
      </c>
      <c r="G59" s="10">
        <f t="shared" si="1"/>
        <v>93.598517688432054</v>
      </c>
      <c r="H59" s="47">
        <f t="shared" si="5"/>
        <v>67.36231363857928</v>
      </c>
      <c r="I59" s="10">
        <v>2.6204537745477401</v>
      </c>
      <c r="K59" s="23">
        <v>9084.7423802437588</v>
      </c>
      <c r="L59" s="23">
        <v>11358.388773563018</v>
      </c>
      <c r="M59" s="23">
        <v>5150.1881963221404</v>
      </c>
      <c r="N59" s="23">
        <v>73.190807321559319</v>
      </c>
      <c r="O59" s="23">
        <v>84.43082416022736</v>
      </c>
    </row>
    <row r="60" spans="1:15" x14ac:dyDescent="0.2">
      <c r="A60" s="4">
        <v>2020</v>
      </c>
      <c r="B60" s="4">
        <v>5</v>
      </c>
      <c r="C60" s="23">
        <v>55.473411723469333</v>
      </c>
      <c r="D60" s="23">
        <v>158.10995067585347</v>
      </c>
      <c r="E60" s="43">
        <f t="shared" si="2"/>
        <v>0.95871845840911951</v>
      </c>
      <c r="F60" s="23">
        <f t="shared" si="3"/>
        <v>0.7</v>
      </c>
      <c r="G60" s="10">
        <f t="shared" si="1"/>
        <v>151.58292817109617</v>
      </c>
      <c r="H60" s="47">
        <f t="shared" si="5"/>
        <v>110.67696547309743</v>
      </c>
      <c r="I60" s="10">
        <v>0.35895317064207377</v>
      </c>
      <c r="K60" s="23">
        <v>178950.36320360258</v>
      </c>
      <c r="L60" s="23">
        <v>227506.91785011944</v>
      </c>
      <c r="M60" s="23">
        <v>174307.6243528536</v>
      </c>
      <c r="N60" s="23">
        <v>135376.31212295874</v>
      </c>
      <c r="O60" s="23">
        <v>155396.90423473367</v>
      </c>
    </row>
    <row r="61" spans="1:15" x14ac:dyDescent="0.2">
      <c r="A61" s="4">
        <v>2020</v>
      </c>
      <c r="B61" s="4">
        <v>6</v>
      </c>
      <c r="C61" s="23">
        <v>2.4507000007673336</v>
      </c>
      <c r="D61" s="23">
        <v>170.28421512300548</v>
      </c>
      <c r="E61" s="43">
        <f t="shared" si="2"/>
        <v>1.2091047012251979</v>
      </c>
      <c r="F61" s="23">
        <f t="shared" si="3"/>
        <v>0.8</v>
      </c>
      <c r="G61" s="10">
        <f t="shared" si="1"/>
        <v>205.89144504966887</v>
      </c>
      <c r="H61" s="47">
        <f t="shared" si="5"/>
        <v>136.2273720984044</v>
      </c>
      <c r="I61" s="10">
        <v>5.3535435776629385E-2</v>
      </c>
      <c r="K61" s="23">
        <v>891368.20792563888</v>
      </c>
      <c r="L61" s="23">
        <v>1133831.4449962273</v>
      </c>
      <c r="M61" s="23">
        <v>926945.69386532623</v>
      </c>
      <c r="N61" s="23">
        <v>783599.49467885017</v>
      </c>
      <c r="O61" s="23">
        <v>898983.62786058837</v>
      </c>
    </row>
    <row r="62" spans="1:15" x14ac:dyDescent="0.2">
      <c r="A62" s="4">
        <v>2020</v>
      </c>
      <c r="B62" s="4">
        <v>7</v>
      </c>
      <c r="C62" s="23">
        <v>9.2666666666666675</v>
      </c>
      <c r="D62" s="23">
        <v>223.76910239643581</v>
      </c>
      <c r="E62" s="43">
        <f t="shared" si="2"/>
        <v>1.3003333988885137</v>
      </c>
      <c r="F62" s="23">
        <f t="shared" si="3"/>
        <v>0.8</v>
      </c>
      <c r="G62" s="10">
        <f t="shared" si="1"/>
        <v>290.97443748538922</v>
      </c>
      <c r="H62" s="47">
        <f t="shared" si="5"/>
        <v>179.01528191714866</v>
      </c>
      <c r="I62" s="10">
        <v>7.4117962748163554E-3</v>
      </c>
      <c r="K62" s="23">
        <v>1875412.3425748148</v>
      </c>
      <c r="L62" s="23">
        <v>2386045.8366903556</v>
      </c>
      <c r="M62" s="23">
        <v>2077029.1753423307</v>
      </c>
      <c r="N62" s="23">
        <v>1883820.7083746097</v>
      </c>
      <c r="O62" s="23">
        <v>2162837.8137295437</v>
      </c>
    </row>
    <row r="63" spans="1:15" x14ac:dyDescent="0.2">
      <c r="A63" s="4">
        <v>2020</v>
      </c>
      <c r="B63" s="4">
        <v>8</v>
      </c>
      <c r="C63" s="23">
        <v>0.51595467084866664</v>
      </c>
      <c r="D63" s="23">
        <v>173.33281466142617</v>
      </c>
      <c r="E63" s="43">
        <f t="shared" si="2"/>
        <v>1.3823064148719719</v>
      </c>
      <c r="F63" s="23">
        <f t="shared" si="3"/>
        <v>0.8</v>
      </c>
      <c r="G63" s="10">
        <f t="shared" si="1"/>
        <v>239.59906161430399</v>
      </c>
      <c r="H63" s="47">
        <f t="shared" si="5"/>
        <v>138.66625172914095</v>
      </c>
      <c r="I63" s="10">
        <v>1.0152775060714861E-3</v>
      </c>
      <c r="K63" s="23">
        <v>1613405.2937264829</v>
      </c>
      <c r="L63" s="23">
        <v>2053334.8467610986</v>
      </c>
      <c r="M63" s="23">
        <v>1807668.3661664217</v>
      </c>
      <c r="N63" s="23">
        <v>1658736.5865074801</v>
      </c>
      <c r="O63" s="23">
        <v>1905196.7376706242</v>
      </c>
    </row>
    <row r="64" spans="1:15" x14ac:dyDescent="0.2">
      <c r="A64" s="4">
        <v>2020</v>
      </c>
      <c r="B64" s="4">
        <v>9</v>
      </c>
      <c r="C64" s="23">
        <v>43.032965632926675</v>
      </c>
      <c r="D64" s="23">
        <v>125.37145052941429</v>
      </c>
      <c r="E64" s="43">
        <f t="shared" si="2"/>
        <v>1.3453601010877918</v>
      </c>
      <c r="F64" s="23">
        <f t="shared" si="3"/>
        <v>0.8</v>
      </c>
      <c r="G64" s="10">
        <f t="shared" si="1"/>
        <v>168.66974735777589</v>
      </c>
      <c r="H64" s="47">
        <f t="shared" si="5"/>
        <v>100.29716042353144</v>
      </c>
      <c r="I64" s="10">
        <v>1.625818101113107</v>
      </c>
      <c r="K64" s="23">
        <v>564560.21296826703</v>
      </c>
      <c r="L64" s="23">
        <v>717593.01585752575</v>
      </c>
      <c r="M64" s="23">
        <v>633411.39303879358</v>
      </c>
      <c r="N64" s="23">
        <v>582898.05770375661</v>
      </c>
      <c r="O64" s="23">
        <v>668594.28562562494</v>
      </c>
    </row>
    <row r="65" spans="1:15" x14ac:dyDescent="0.2">
      <c r="A65" s="4">
        <v>2020</v>
      </c>
      <c r="B65" s="4">
        <v>10</v>
      </c>
      <c r="C65" s="23">
        <v>114.86222803427866</v>
      </c>
      <c r="D65" s="23">
        <v>76.453898934435969</v>
      </c>
      <c r="E65" s="43">
        <f t="shared" si="2"/>
        <v>1.1629438804126599</v>
      </c>
      <c r="F65" s="23">
        <f t="shared" si="3"/>
        <v>0.7</v>
      </c>
      <c r="G65" s="10">
        <f t="shared" si="1"/>
        <v>88.911593899490299</v>
      </c>
      <c r="H65" s="47">
        <f t="shared" si="5"/>
        <v>53.517729254105177</v>
      </c>
      <c r="I65" s="10">
        <v>6.527290915114369</v>
      </c>
      <c r="K65" s="23">
        <v>95822.921764101658</v>
      </c>
      <c r="L65" s="23">
        <v>122477.0570586689</v>
      </c>
      <c r="M65" s="23">
        <v>107973.51392474869</v>
      </c>
      <c r="N65" s="23">
        <v>99182.815501710458</v>
      </c>
      <c r="O65" s="23">
        <v>114411.26137451374</v>
      </c>
    </row>
    <row r="66" spans="1:15" x14ac:dyDescent="0.2">
      <c r="A66" s="4">
        <v>2020</v>
      </c>
      <c r="B66" s="4">
        <v>11</v>
      </c>
      <c r="C66" s="23">
        <v>110.75939811107997</v>
      </c>
      <c r="D66" s="23">
        <v>44.2188445383077</v>
      </c>
      <c r="E66" s="43">
        <f t="shared" si="2"/>
        <v>1.0906946974740284</v>
      </c>
      <c r="F66" s="23">
        <f t="shared" si="3"/>
        <v>0.7</v>
      </c>
      <c r="G66" s="10">
        <f t="shared" si="1"/>
        <v>48.229259266360607</v>
      </c>
      <c r="H66" s="47">
        <f t="shared" si="5"/>
        <v>30.953191176815388</v>
      </c>
      <c r="I66" s="10">
        <v>7.1495673492349248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</row>
    <row r="67" spans="1:15" x14ac:dyDescent="0.2">
      <c r="A67" s="4">
        <v>2020</v>
      </c>
      <c r="B67" s="4">
        <v>12</v>
      </c>
      <c r="C67" s="23">
        <v>70.088383817164001</v>
      </c>
      <c r="D67" s="23">
        <v>33.341081861616395</v>
      </c>
      <c r="E67" s="43">
        <f t="shared" si="2"/>
        <v>0.92428785476978015</v>
      </c>
      <c r="F67" s="23">
        <f t="shared" si="3"/>
        <v>0.6</v>
      </c>
      <c r="G67" s="10">
        <f t="shared" si="1"/>
        <v>30.816757029577047</v>
      </c>
      <c r="H67" s="47">
        <f t="shared" si="5"/>
        <v>20.004649116969837</v>
      </c>
      <c r="I67" s="10">
        <v>16.626877579921334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</row>
    <row r="68" spans="1:15" x14ac:dyDescent="0.2">
      <c r="A68" s="4">
        <v>2021</v>
      </c>
      <c r="B68" s="4">
        <v>1</v>
      </c>
      <c r="C68" s="23">
        <v>75.5</v>
      </c>
      <c r="D68" s="23">
        <v>34.024202913292264</v>
      </c>
      <c r="E68" s="43">
        <f t="shared" si="2"/>
        <v>0.82346132939607375</v>
      </c>
      <c r="F68" s="23">
        <f t="shared" si="3"/>
        <v>0.6</v>
      </c>
      <c r="G68" s="10">
        <f t="shared" si="1"/>
        <v>28.017615362621413</v>
      </c>
      <c r="H68" s="47">
        <f t="shared" si="5"/>
        <v>20.414521747975357</v>
      </c>
      <c r="I68" s="10">
        <v>62.735587828273431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 x14ac:dyDescent="0.2">
      <c r="A69" s="4">
        <v>2021</v>
      </c>
      <c r="B69" s="4">
        <v>2</v>
      </c>
      <c r="C69" s="23">
        <v>131.587935017516</v>
      </c>
      <c r="D69" s="23">
        <v>44.307980296895131</v>
      </c>
      <c r="E69" s="43">
        <f t="shared" si="2"/>
        <v>0.83040997893189905</v>
      </c>
      <c r="F69" s="23">
        <f t="shared" si="3"/>
        <v>0.6</v>
      </c>
      <c r="G69" s="10">
        <f t="shared" si="1"/>
        <v>36.793788984859681</v>
      </c>
      <c r="H69" s="47">
        <f t="shared" si="5"/>
        <v>26.584788178137078</v>
      </c>
      <c r="I69" s="10">
        <v>16.160320088758017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</row>
    <row r="70" spans="1:15" x14ac:dyDescent="0.2">
      <c r="A70" s="4">
        <v>2021</v>
      </c>
      <c r="B70" s="4">
        <v>3</v>
      </c>
      <c r="C70" s="23">
        <v>17.895121337515334</v>
      </c>
      <c r="D70" s="23">
        <v>86.881675844674675</v>
      </c>
      <c r="E70" s="43">
        <f t="shared" si="2"/>
        <v>0.86832081118977578</v>
      </c>
      <c r="F70" s="23">
        <f t="shared" si="3"/>
        <v>0.6</v>
      </c>
      <c r="G70" s="10">
        <f t="shared" ref="G70:G132" si="6">D70*E70</f>
        <v>75.441167246975056</v>
      </c>
      <c r="H70" s="47">
        <f t="shared" si="5"/>
        <v>52.129005506804802</v>
      </c>
      <c r="I70" s="10">
        <v>3.2444512327132999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</row>
    <row r="71" spans="1:15" x14ac:dyDescent="0.2">
      <c r="A71" s="4">
        <v>2021</v>
      </c>
      <c r="B71" s="4">
        <v>4</v>
      </c>
      <c r="C71" s="23">
        <v>62.978448339484665</v>
      </c>
      <c r="D71" s="23">
        <v>107.13764176218288</v>
      </c>
      <c r="E71" s="43">
        <f t="shared" si="2"/>
        <v>0.97263527398172478</v>
      </c>
      <c r="F71" s="23">
        <f t="shared" si="3"/>
        <v>0.7</v>
      </c>
      <c r="G71" s="10">
        <f t="shared" si="6"/>
        <v>104.20584954911662</v>
      </c>
      <c r="H71" s="47">
        <f t="shared" si="5"/>
        <v>74.996349233528008</v>
      </c>
      <c r="I71" s="10">
        <v>0.83070506419037959</v>
      </c>
      <c r="K71" s="23">
        <v>190892.15805974739</v>
      </c>
      <c r="L71" s="23">
        <v>243891.5863046404</v>
      </c>
      <c r="M71" s="23">
        <v>124615.51209456357</v>
      </c>
      <c r="N71" s="23">
        <v>29571.792365216857</v>
      </c>
      <c r="O71" s="23">
        <v>34106.511648649597</v>
      </c>
    </row>
    <row r="72" spans="1:15" x14ac:dyDescent="0.2">
      <c r="A72" s="4">
        <v>2021</v>
      </c>
      <c r="B72" s="4">
        <v>5</v>
      </c>
      <c r="C72" s="23">
        <v>16.177210973933331</v>
      </c>
      <c r="D72" s="23">
        <v>154.77501873515416</v>
      </c>
      <c r="E72" s="43">
        <f t="shared" si="2"/>
        <v>0.95871845840911951</v>
      </c>
      <c r="F72" s="23">
        <f t="shared" si="3"/>
        <v>0.7</v>
      </c>
      <c r="G72" s="10">
        <f t="shared" si="6"/>
        <v>148.3856673620096</v>
      </c>
      <c r="H72" s="47">
        <f t="shared" si="5"/>
        <v>108.34251311460791</v>
      </c>
      <c r="I72" s="10">
        <v>0.11379106151606405</v>
      </c>
      <c r="K72" s="23">
        <v>377993.31364794727</v>
      </c>
      <c r="L72" s="23">
        <v>480084.78030669794</v>
      </c>
      <c r="M72" s="23">
        <v>351611.40853753244</v>
      </c>
      <c r="N72" s="23">
        <v>255564.97701368784</v>
      </c>
      <c r="O72" s="23">
        <v>292802.56318179664</v>
      </c>
    </row>
    <row r="73" spans="1:15" x14ac:dyDescent="0.2">
      <c r="A73" s="4">
        <v>2021</v>
      </c>
      <c r="B73" s="4">
        <v>6</v>
      </c>
      <c r="C73" s="23">
        <v>7.599960688434666</v>
      </c>
      <c r="D73" s="23">
        <v>180.01234983436862</v>
      </c>
      <c r="E73" s="43">
        <f t="shared" si="2"/>
        <v>1.2091047012251979</v>
      </c>
      <c r="F73" s="23">
        <f t="shared" si="3"/>
        <v>0.8</v>
      </c>
      <c r="G73" s="10">
        <f t="shared" si="6"/>
        <v>217.65377846333007</v>
      </c>
      <c r="H73" s="47">
        <f t="shared" si="5"/>
        <v>144.0098798674949</v>
      </c>
      <c r="I73" s="10">
        <v>1.6971166614438843E-2</v>
      </c>
      <c r="K73" s="23">
        <v>936484.09994898271</v>
      </c>
      <c r="L73" s="23">
        <v>1189742.9484990726</v>
      </c>
      <c r="M73" s="23">
        <v>983253.73985149432</v>
      </c>
      <c r="N73" s="23">
        <v>841811.57185215352</v>
      </c>
      <c r="O73" s="23">
        <v>964976.33910576883</v>
      </c>
    </row>
    <row r="74" spans="1:15" x14ac:dyDescent="0.2">
      <c r="A74" s="4">
        <v>2021</v>
      </c>
      <c r="B74" s="4">
        <v>7</v>
      </c>
      <c r="C74" s="23">
        <v>4.6627146927600007</v>
      </c>
      <c r="D74" s="23">
        <v>195.22074271736997</v>
      </c>
      <c r="E74" s="43">
        <f t="shared" si="2"/>
        <v>1.3003333988885137</v>
      </c>
      <c r="F74" s="23">
        <f t="shared" si="3"/>
        <v>0.8</v>
      </c>
      <c r="G74" s="10">
        <f t="shared" si="6"/>
        <v>253.85205191121776</v>
      </c>
      <c r="H74" s="47">
        <f t="shared" si="5"/>
        <v>156.17659417389598</v>
      </c>
      <c r="I74" s="10">
        <v>2.3495994319914942E-3</v>
      </c>
      <c r="K74" s="23">
        <v>1788244.7327200931</v>
      </c>
      <c r="L74" s="23">
        <v>2275178.8802364869</v>
      </c>
      <c r="M74" s="23">
        <v>1978403.2296648785</v>
      </c>
      <c r="N74" s="23">
        <v>1792302.2437231301</v>
      </c>
      <c r="O74" s="23">
        <v>2057887.0619798042</v>
      </c>
    </row>
    <row r="75" spans="1:15" x14ac:dyDescent="0.2">
      <c r="A75" s="4">
        <v>2021</v>
      </c>
      <c r="B75" s="4">
        <v>8</v>
      </c>
      <c r="C75" s="23">
        <v>0.23333333333333331</v>
      </c>
      <c r="D75" s="23">
        <v>180.90968220658061</v>
      </c>
      <c r="E75" s="43">
        <f t="shared" si="2"/>
        <v>1.3823064148719719</v>
      </c>
      <c r="F75" s="23">
        <f t="shared" si="3"/>
        <v>0.8</v>
      </c>
      <c r="G75" s="10">
        <f t="shared" si="6"/>
        <v>250.07261422660622</v>
      </c>
      <c r="H75" s="47">
        <f t="shared" si="5"/>
        <v>144.7277457652645</v>
      </c>
      <c r="I75" s="10">
        <v>3.2185119006639324E-4</v>
      </c>
      <c r="K75" s="23">
        <v>1948934.2533351767</v>
      </c>
      <c r="L75" s="23">
        <v>2481227.5039037415</v>
      </c>
      <c r="M75" s="23">
        <v>2185721.5430419957</v>
      </c>
      <c r="N75" s="23">
        <v>2006876.6277713878</v>
      </c>
      <c r="O75" s="23">
        <v>2305847.7871576771</v>
      </c>
    </row>
    <row r="76" spans="1:15" x14ac:dyDescent="0.2">
      <c r="A76" s="4">
        <v>2021</v>
      </c>
      <c r="B76" s="4">
        <v>9</v>
      </c>
      <c r="C76" s="23">
        <v>59.995743343988003</v>
      </c>
      <c r="D76" s="23">
        <v>117.8493273368274</v>
      </c>
      <c r="E76" s="43">
        <f t="shared" si="2"/>
        <v>1.3453601010877918</v>
      </c>
      <c r="F76" s="23">
        <f t="shared" si="3"/>
        <v>0.8</v>
      </c>
      <c r="G76" s="10">
        <f t="shared" si="6"/>
        <v>158.54978293900237</v>
      </c>
      <c r="H76" s="47">
        <f t="shared" si="5"/>
        <v>94.279461869461926</v>
      </c>
      <c r="I76" s="10">
        <v>4.8001926503700627E-5</v>
      </c>
      <c r="K76" s="23">
        <v>451561.76028994092</v>
      </c>
      <c r="L76" s="23">
        <v>574509.46222416277</v>
      </c>
      <c r="M76" s="23">
        <v>502181.50479655864</v>
      </c>
      <c r="N76" s="23">
        <v>457472.79831320862</v>
      </c>
      <c r="O76" s="23">
        <v>525181.99835892243</v>
      </c>
    </row>
    <row r="77" spans="1:15" x14ac:dyDescent="0.2">
      <c r="A77" s="4">
        <v>2021</v>
      </c>
      <c r="B77" s="4">
        <v>10</v>
      </c>
      <c r="C77" s="23">
        <v>77.644153299113341</v>
      </c>
      <c r="D77" s="23">
        <v>87.606876513778687</v>
      </c>
      <c r="E77" s="43">
        <f t="shared" si="2"/>
        <v>1.1629438804126599</v>
      </c>
      <c r="F77" s="23">
        <f t="shared" si="3"/>
        <v>0.7</v>
      </c>
      <c r="G77" s="10">
        <f t="shared" si="6"/>
        <v>101.8818809237665</v>
      </c>
      <c r="H77" s="47">
        <f t="shared" si="5"/>
        <v>61.324813559645079</v>
      </c>
      <c r="I77" s="10">
        <v>6.5753664051581713E-6</v>
      </c>
      <c r="K77" s="23">
        <v>177204.504631166</v>
      </c>
      <c r="L77" s="23">
        <v>226449.33711914186</v>
      </c>
      <c r="M77" s="23">
        <v>201327.94237999577</v>
      </c>
      <c r="N77" s="23">
        <v>186531.0575064905</v>
      </c>
      <c r="O77" s="23">
        <v>215126.87026318477</v>
      </c>
    </row>
    <row r="78" spans="1:15" x14ac:dyDescent="0.2">
      <c r="A78" s="4">
        <v>2021</v>
      </c>
      <c r="B78" s="4">
        <v>11</v>
      </c>
      <c r="C78" s="23">
        <v>19.915817338730932</v>
      </c>
      <c r="D78" s="23">
        <v>44.909568163072883</v>
      </c>
      <c r="E78" s="43">
        <f t="shared" si="2"/>
        <v>1.0906946974740284</v>
      </c>
      <c r="F78" s="23">
        <f t="shared" si="3"/>
        <v>0.7</v>
      </c>
      <c r="G78" s="10">
        <f t="shared" si="6"/>
        <v>48.982627861312032</v>
      </c>
      <c r="H78" s="47">
        <f t="shared" si="5"/>
        <v>31.436697714151016</v>
      </c>
      <c r="I78" s="10">
        <v>9.8067139304407968E-7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</row>
    <row r="79" spans="1:15" x14ac:dyDescent="0.2">
      <c r="A79" s="4">
        <v>2021</v>
      </c>
      <c r="B79" s="4">
        <v>12</v>
      </c>
      <c r="C79" s="23">
        <v>72.319447891825988</v>
      </c>
      <c r="D79" s="23">
        <v>36.017892248371886</v>
      </c>
      <c r="E79" s="43">
        <f t="shared" si="2"/>
        <v>0.92428785476978015</v>
      </c>
      <c r="F79" s="23">
        <f t="shared" si="3"/>
        <v>0.6</v>
      </c>
      <c r="G79" s="10">
        <f t="shared" si="6"/>
        <v>33.290900359576746</v>
      </c>
      <c r="H79" s="47">
        <f t="shared" si="5"/>
        <v>21.61073534902313</v>
      </c>
      <c r="I79" s="10">
        <v>1.3577056901358252E-7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</row>
    <row r="80" spans="1:15" x14ac:dyDescent="0.2">
      <c r="A80" s="4">
        <v>2022</v>
      </c>
      <c r="B80" s="4">
        <v>1</v>
      </c>
      <c r="C80" s="23">
        <v>5.049750002311332</v>
      </c>
      <c r="D80" s="23">
        <v>43.06107340006038</v>
      </c>
      <c r="E80" s="43">
        <f t="shared" si="2"/>
        <v>0.82346132939607375</v>
      </c>
      <c r="F80" s="23">
        <f t="shared" si="3"/>
        <v>0.6</v>
      </c>
      <c r="G80" s="10">
        <f t="shared" si="6"/>
        <v>35.459128747235631</v>
      </c>
      <c r="H80" s="47">
        <f t="shared" si="5"/>
        <v>25.836644040036226</v>
      </c>
      <c r="I80" s="10">
        <v>1.8159985344760839E-8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</row>
    <row r="81" spans="1:15" x14ac:dyDescent="0.2">
      <c r="A81" s="4">
        <v>2022</v>
      </c>
      <c r="B81" s="4">
        <v>2</v>
      </c>
      <c r="C81" s="23">
        <v>7.364953333819467</v>
      </c>
      <c r="D81" s="23">
        <v>57.678585465312203</v>
      </c>
      <c r="E81" s="43">
        <f t="shared" si="2"/>
        <v>0.83040997893189905</v>
      </c>
      <c r="F81" s="23">
        <f t="shared" si="3"/>
        <v>0.6</v>
      </c>
      <c r="G81" s="10">
        <f t="shared" si="6"/>
        <v>47.896872941071642</v>
      </c>
      <c r="H81" s="47">
        <f t="shared" si="5"/>
        <v>34.60715127918732</v>
      </c>
      <c r="I81" s="10">
        <v>2.5413695407325037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</row>
    <row r="82" spans="1:15" x14ac:dyDescent="0.2">
      <c r="A82" s="4">
        <v>2022</v>
      </c>
      <c r="B82" s="4">
        <v>3</v>
      </c>
      <c r="C82" s="23">
        <v>120.42722564605226</v>
      </c>
      <c r="D82" s="23">
        <v>74.460312941646364</v>
      </c>
      <c r="E82" s="43">
        <f t="shared" ref="E82:E132" si="7">E70</f>
        <v>0.86832081118977578</v>
      </c>
      <c r="F82" s="23">
        <f t="shared" ref="F82:F132" si="8">F70</f>
        <v>0.6</v>
      </c>
      <c r="G82" s="10">
        <f t="shared" si="6"/>
        <v>64.655439334934925</v>
      </c>
      <c r="H82" s="47">
        <f t="shared" si="5"/>
        <v>44.676187764987816</v>
      </c>
      <c r="I82" s="10">
        <v>1.2058893603369683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</row>
    <row r="83" spans="1:15" x14ac:dyDescent="0.2">
      <c r="A83" s="4">
        <v>2022</v>
      </c>
      <c r="B83" s="4">
        <v>4</v>
      </c>
      <c r="C83" s="23">
        <v>45.03102204677333</v>
      </c>
      <c r="D83" s="23">
        <v>105.64544428273851</v>
      </c>
      <c r="E83" s="43">
        <f t="shared" si="7"/>
        <v>0.97263527398172478</v>
      </c>
      <c r="F83" s="23">
        <f t="shared" si="8"/>
        <v>0.7</v>
      </c>
      <c r="G83" s="10">
        <f t="shared" si="6"/>
        <v>102.75448564486241</v>
      </c>
      <c r="H83" s="47">
        <f t="shared" si="5"/>
        <v>73.951810997916951</v>
      </c>
      <c r="I83" s="10">
        <v>0.17985023586381294</v>
      </c>
      <c r="K83" s="23">
        <v>106844.33390758678</v>
      </c>
      <c r="L83" s="23">
        <v>136092.67871269336</v>
      </c>
      <c r="M83" s="23">
        <v>77814.257822142041</v>
      </c>
      <c r="N83" s="23">
        <v>31765.816303155403</v>
      </c>
      <c r="O83" s="23">
        <v>36554.202365132602</v>
      </c>
    </row>
    <row r="84" spans="1:15" x14ac:dyDescent="0.2">
      <c r="A84" s="4">
        <v>2022</v>
      </c>
      <c r="B84" s="4">
        <v>5</v>
      </c>
      <c r="C84" s="23">
        <v>2.6121253333333336</v>
      </c>
      <c r="D84" s="23">
        <v>173.17684390231432</v>
      </c>
      <c r="E84" s="43">
        <f t="shared" si="7"/>
        <v>0.95871845840911951</v>
      </c>
      <c r="F84" s="23">
        <f t="shared" si="8"/>
        <v>0.7</v>
      </c>
      <c r="G84" s="10">
        <f t="shared" si="6"/>
        <v>166.02783681818352</v>
      </c>
      <c r="H84" s="47">
        <f t="shared" si="5"/>
        <v>121.22379073162001</v>
      </c>
      <c r="I84" s="10">
        <v>2.4636119526734404E-2</v>
      </c>
      <c r="K84" s="23">
        <v>799034.40804812929</v>
      </c>
      <c r="L84" s="23">
        <v>1013095.7873587573</v>
      </c>
      <c r="M84" s="23">
        <v>822735.25749588059</v>
      </c>
      <c r="N84" s="23">
        <v>689848.2496797702</v>
      </c>
      <c r="O84" s="23">
        <v>788962.58489686518</v>
      </c>
    </row>
    <row r="85" spans="1:15" x14ac:dyDescent="0.2">
      <c r="A85" s="4">
        <v>2022</v>
      </c>
      <c r="B85" s="4">
        <v>6</v>
      </c>
      <c r="C85" s="23">
        <v>9.6744393645080002</v>
      </c>
      <c r="D85" s="23">
        <v>174.32658849625955</v>
      </c>
      <c r="E85" s="43">
        <f t="shared" si="7"/>
        <v>1.2091047012251979</v>
      </c>
      <c r="F85" s="23">
        <f t="shared" si="8"/>
        <v>0.8</v>
      </c>
      <c r="G85" s="10">
        <f t="shared" si="6"/>
        <v>210.7790976993779</v>
      </c>
      <c r="H85" s="47">
        <f t="shared" si="5"/>
        <v>139.46127079700764</v>
      </c>
      <c r="I85" s="10">
        <v>3.6743104743988658E-3</v>
      </c>
      <c r="K85" s="23">
        <v>1032226.7973317667</v>
      </c>
      <c r="L85" s="23">
        <v>1306926.2734411221</v>
      </c>
      <c r="M85" s="23">
        <v>1110568.7063283334</v>
      </c>
      <c r="N85" s="23">
        <v>981754.08564433979</v>
      </c>
      <c r="O85" s="23">
        <v>1121367.6688961051</v>
      </c>
    </row>
    <row r="86" spans="1:15" x14ac:dyDescent="0.2">
      <c r="A86" s="4">
        <v>2022</v>
      </c>
      <c r="B86" s="4">
        <v>7</v>
      </c>
      <c r="C86" s="23">
        <v>0</v>
      </c>
      <c r="D86" s="23">
        <v>220.69017304304526</v>
      </c>
      <c r="E86" s="43">
        <f t="shared" si="7"/>
        <v>1.3003333988885137</v>
      </c>
      <c r="F86" s="23">
        <f t="shared" si="8"/>
        <v>0.8</v>
      </c>
      <c r="G86" s="10">
        <f t="shared" si="6"/>
        <v>286.97080281435728</v>
      </c>
      <c r="H86" s="47">
        <f t="shared" si="5"/>
        <v>176.55213843443622</v>
      </c>
      <c r="I86" s="10">
        <v>5.0869560117705733E-4</v>
      </c>
      <c r="K86" s="23">
        <v>2330216.2671388164</v>
      </c>
      <c r="L86" s="23">
        <v>2957077.0183678321</v>
      </c>
      <c r="M86" s="23">
        <v>2595628.7413146882</v>
      </c>
      <c r="N86" s="23">
        <v>2375117.8511538594</v>
      </c>
      <c r="O86" s="23">
        <v>2720103.8285982446</v>
      </c>
    </row>
    <row r="87" spans="1:15" x14ac:dyDescent="0.2">
      <c r="A87" s="4">
        <v>2022</v>
      </c>
      <c r="B87" s="4">
        <v>8</v>
      </c>
      <c r="C87" s="23">
        <v>0.10000000000000002</v>
      </c>
      <c r="D87" s="23">
        <v>179.81954227921463</v>
      </c>
      <c r="E87" s="43">
        <f t="shared" si="7"/>
        <v>1.3823064148719719</v>
      </c>
      <c r="F87" s="23">
        <f t="shared" si="8"/>
        <v>0.8</v>
      </c>
      <c r="G87" s="10">
        <f t="shared" si="6"/>
        <v>248.56570681190016</v>
      </c>
      <c r="H87" s="47">
        <f t="shared" si="5"/>
        <v>143.8556338233717</v>
      </c>
      <c r="I87" s="10">
        <v>6.9681785921102461E-5</v>
      </c>
      <c r="K87" s="23">
        <v>1924504.0854197452</v>
      </c>
      <c r="L87" s="23">
        <v>2442034.7326615029</v>
      </c>
      <c r="M87" s="23">
        <v>2156834.4145764126</v>
      </c>
      <c r="N87" s="23">
        <v>1986219.1225213783</v>
      </c>
      <c r="O87" s="23">
        <v>2274579.7177030235</v>
      </c>
    </row>
    <row r="88" spans="1:15" x14ac:dyDescent="0.2">
      <c r="A88" s="4">
        <v>2022</v>
      </c>
      <c r="B88" s="4">
        <v>9</v>
      </c>
      <c r="C88" s="23">
        <v>62.190371071278669</v>
      </c>
      <c r="D88" s="23">
        <v>115.27803829138391</v>
      </c>
      <c r="E88" s="43">
        <f t="shared" si="7"/>
        <v>1.3453601010877918</v>
      </c>
      <c r="F88" s="23">
        <f t="shared" si="8"/>
        <v>0.8</v>
      </c>
      <c r="G88" s="10">
        <f t="shared" si="6"/>
        <v>155.09047324889858</v>
      </c>
      <c r="H88" s="47">
        <f t="shared" si="5"/>
        <v>92.222430633107138</v>
      </c>
      <c r="I88" s="10">
        <v>1.0392566719238681E-5</v>
      </c>
      <c r="K88" s="23">
        <v>432576.76892668096</v>
      </c>
      <c r="L88" s="23">
        <v>548246.60076018632</v>
      </c>
      <c r="M88" s="23">
        <v>485752.15023372794</v>
      </c>
      <c r="N88" s="23">
        <v>448846.69360348623</v>
      </c>
      <c r="O88" s="23">
        <v>513338.53764455818</v>
      </c>
    </row>
    <row r="89" spans="1:15" x14ac:dyDescent="0.2">
      <c r="A89" s="4">
        <v>2022</v>
      </c>
      <c r="B89" s="4">
        <v>10</v>
      </c>
      <c r="C89" s="23">
        <v>61.444497453130673</v>
      </c>
      <c r="D89" s="23">
        <v>82.559382308746777</v>
      </c>
      <c r="E89" s="43">
        <f t="shared" si="7"/>
        <v>1.1629438804126599</v>
      </c>
      <c r="F89" s="23">
        <f t="shared" si="8"/>
        <v>0.7</v>
      </c>
      <c r="G89" s="10">
        <f t="shared" si="6"/>
        <v>96.011928426606289</v>
      </c>
      <c r="H89" s="47">
        <f t="shared" si="5"/>
        <v>57.791567616122741</v>
      </c>
      <c r="I89" s="10">
        <v>1.4235873233916711E-6</v>
      </c>
      <c r="K89" s="23">
        <v>173153.55434042486</v>
      </c>
      <c r="L89" s="23">
        <v>220726.2520518192</v>
      </c>
      <c r="M89" s="23">
        <v>195079.43259778508</v>
      </c>
      <c r="N89" s="23">
        <v>179704.21915365092</v>
      </c>
      <c r="O89" s="23">
        <v>206733.70484524535</v>
      </c>
    </row>
    <row r="90" spans="1:15" x14ac:dyDescent="0.2">
      <c r="A90" s="4">
        <v>2022</v>
      </c>
      <c r="B90" s="4">
        <v>11</v>
      </c>
      <c r="C90" s="23">
        <v>61.764987693908004</v>
      </c>
      <c r="D90" s="23">
        <v>45.087017951454577</v>
      </c>
      <c r="E90" s="43">
        <f t="shared" si="7"/>
        <v>1.0906946974740284</v>
      </c>
      <c r="F90" s="23">
        <f t="shared" si="8"/>
        <v>0.7</v>
      </c>
      <c r="G90" s="10">
        <f t="shared" si="6"/>
        <v>49.176171404567839</v>
      </c>
      <c r="H90" s="47">
        <f t="shared" si="5"/>
        <v>31.560912566018203</v>
      </c>
      <c r="I90" s="10">
        <v>45.411332396230158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</row>
    <row r="91" spans="1:15" x14ac:dyDescent="0.2">
      <c r="A91" s="4">
        <v>2022</v>
      </c>
      <c r="B91" s="4">
        <v>12</v>
      </c>
      <c r="C91" s="23">
        <v>200.29324821886266</v>
      </c>
      <c r="D91" s="23">
        <v>33.856982389511828</v>
      </c>
      <c r="E91" s="43">
        <f t="shared" si="7"/>
        <v>0.92428785476978015</v>
      </c>
      <c r="F91" s="23">
        <f t="shared" si="8"/>
        <v>0.6</v>
      </c>
      <c r="G91" s="10">
        <f t="shared" si="6"/>
        <v>31.293597621780112</v>
      </c>
      <c r="H91" s="47">
        <f t="shared" si="5"/>
        <v>20.314189433707096</v>
      </c>
      <c r="I91" s="10">
        <v>15.838884177845683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</row>
    <row r="92" spans="1:15" x14ac:dyDescent="0.2">
      <c r="A92" s="4">
        <v>2023</v>
      </c>
      <c r="B92" s="4">
        <v>1</v>
      </c>
      <c r="C92" s="23">
        <v>51.731528695053335</v>
      </c>
      <c r="D92" s="23">
        <v>38.45962840096837</v>
      </c>
      <c r="E92" s="43">
        <f t="shared" si="7"/>
        <v>0.82346132939607375</v>
      </c>
      <c r="F92" s="23">
        <f t="shared" si="8"/>
        <v>0.6</v>
      </c>
      <c r="G92" s="10">
        <f t="shared" si="6"/>
        <v>31.670016731140407</v>
      </c>
      <c r="H92" s="47">
        <f t="shared" si="5"/>
        <v>23.07577704058102</v>
      </c>
      <c r="I92" s="10">
        <v>3.3864269159573164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</row>
    <row r="93" spans="1:15" x14ac:dyDescent="0.2">
      <c r="A93" s="4">
        <v>2023</v>
      </c>
      <c r="B93" s="4">
        <v>2</v>
      </c>
      <c r="C93" s="23">
        <v>5.2229454225233329</v>
      </c>
      <c r="D93" s="23">
        <v>52.682250516087763</v>
      </c>
      <c r="E93" s="43">
        <f t="shared" si="7"/>
        <v>0.83040997893189905</v>
      </c>
      <c r="F93" s="23">
        <f t="shared" si="8"/>
        <v>0.6</v>
      </c>
      <c r="G93" s="10">
        <f t="shared" si="6"/>
        <v>43.74786654114947</v>
      </c>
      <c r="H93" s="47">
        <f t="shared" si="5"/>
        <v>31.609350309652655</v>
      </c>
      <c r="I93" s="10">
        <v>0.58762172493808851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</row>
    <row r="94" spans="1:15" x14ac:dyDescent="0.2">
      <c r="A94" s="4">
        <v>2023</v>
      </c>
      <c r="B94" s="4">
        <v>3</v>
      </c>
      <c r="C94" s="23">
        <v>21.739774672484668</v>
      </c>
      <c r="D94" s="23">
        <v>91.715572170714481</v>
      </c>
      <c r="E94" s="43">
        <f t="shared" si="7"/>
        <v>0.86832081118977578</v>
      </c>
      <c r="F94" s="23">
        <f t="shared" si="8"/>
        <v>0.6</v>
      </c>
      <c r="G94" s="10">
        <f t="shared" si="6"/>
        <v>79.638540026009224</v>
      </c>
      <c r="H94" s="47">
        <f t="shared" si="5"/>
        <v>55.029343302428686</v>
      </c>
      <c r="I94" s="10">
        <v>8.0493189139005217E-2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</row>
    <row r="95" spans="1:15" x14ac:dyDescent="0.2">
      <c r="A95" s="4">
        <v>2023</v>
      </c>
      <c r="B95" s="4">
        <v>4</v>
      </c>
      <c r="C95" s="23">
        <v>4.9362186806066672</v>
      </c>
      <c r="D95" s="23">
        <v>140.84501929672086</v>
      </c>
      <c r="E95" s="43">
        <f t="shared" si="7"/>
        <v>0.97263527398172478</v>
      </c>
      <c r="F95" s="23">
        <f t="shared" si="8"/>
        <v>0.7</v>
      </c>
      <c r="G95" s="10">
        <f t="shared" si="6"/>
        <v>136.99083393262742</v>
      </c>
      <c r="H95" s="47">
        <f t="shared" si="5"/>
        <v>98.591513507704605</v>
      </c>
      <c r="I95" s="10">
        <v>1.2005014330697209E-2</v>
      </c>
      <c r="K95" s="23">
        <v>761980.85393836233</v>
      </c>
      <c r="L95" s="23">
        <v>967598.6347982994</v>
      </c>
      <c r="M95" s="23">
        <v>584686.55204935255</v>
      </c>
      <c r="N95" s="23">
        <v>285422.7991710928</v>
      </c>
      <c r="O95" s="23">
        <v>323743.92028965586</v>
      </c>
    </row>
    <row r="96" spans="1:15" x14ac:dyDescent="0.2">
      <c r="A96" s="4">
        <v>2023</v>
      </c>
      <c r="B96" s="4">
        <v>5</v>
      </c>
      <c r="C96" s="23">
        <v>19.955303470542667</v>
      </c>
      <c r="D96" s="23">
        <v>151.93790542451674</v>
      </c>
      <c r="E96" s="43">
        <f t="shared" si="7"/>
        <v>0.95871845840911951</v>
      </c>
      <c r="F96" s="23">
        <f t="shared" si="8"/>
        <v>0.7</v>
      </c>
      <c r="G96" s="10">
        <f t="shared" si="6"/>
        <v>145.66567446250329</v>
      </c>
      <c r="H96" s="47">
        <f t="shared" si="5"/>
        <v>106.35653379716172</v>
      </c>
      <c r="I96" s="10">
        <v>1.6444624970921385E-3</v>
      </c>
      <c r="K96" s="23">
        <v>641520.73999949964</v>
      </c>
      <c r="L96" s="23">
        <v>811805.14638988848</v>
      </c>
      <c r="M96" s="23">
        <v>645870.98623054626</v>
      </c>
      <c r="N96" s="23">
        <v>527949.22727414186</v>
      </c>
      <c r="O96" s="23">
        <v>602208.83125865506</v>
      </c>
    </row>
    <row r="97" spans="1:15" x14ac:dyDescent="0.2">
      <c r="A97" s="4">
        <v>2023</v>
      </c>
      <c r="B97" s="4">
        <v>6</v>
      </c>
      <c r="C97" s="23">
        <v>24.085366775602001</v>
      </c>
      <c r="D97" s="23">
        <v>178.05781306200336</v>
      </c>
      <c r="E97" s="43">
        <f t="shared" si="7"/>
        <v>1.2091047012251979</v>
      </c>
      <c r="F97" s="23">
        <f t="shared" si="8"/>
        <v>0.8</v>
      </c>
      <c r="G97" s="10">
        <f t="shared" si="6"/>
        <v>215.29053886314571</v>
      </c>
      <c r="H97" s="47">
        <f t="shared" si="5"/>
        <v>142.4462504496027</v>
      </c>
      <c r="I97" s="10">
        <v>2.4526045066735713E-4</v>
      </c>
      <c r="K97" s="23">
        <v>1077763.0200883495</v>
      </c>
      <c r="L97" s="23">
        <v>1362779.4415955136</v>
      </c>
      <c r="M97" s="23">
        <v>1144091.3262196097</v>
      </c>
      <c r="N97" s="23">
        <v>997886.21387891972</v>
      </c>
      <c r="O97" s="23">
        <v>1137936.6293156561</v>
      </c>
    </row>
    <row r="98" spans="1:15" x14ac:dyDescent="0.2">
      <c r="A98" s="4">
        <v>2023</v>
      </c>
      <c r="B98" s="4">
        <v>7</v>
      </c>
      <c r="C98" s="23">
        <v>0.1</v>
      </c>
      <c r="D98" s="23">
        <v>191.16612268213208</v>
      </c>
      <c r="E98" s="43">
        <f t="shared" si="7"/>
        <v>1.3003333988885137</v>
      </c>
      <c r="F98" s="23">
        <f t="shared" si="8"/>
        <v>0.8</v>
      </c>
      <c r="G98" s="10">
        <f t="shared" si="6"/>
        <v>248.57969405959543</v>
      </c>
      <c r="H98" s="47">
        <f t="shared" si="5"/>
        <v>152.93289814570568</v>
      </c>
      <c r="I98" s="10">
        <v>3.3955462736882363E-5</v>
      </c>
      <c r="K98" s="23">
        <v>2314360.4930263762</v>
      </c>
      <c r="L98" s="23">
        <v>2935609.6578204338</v>
      </c>
      <c r="M98" s="23">
        <v>2569276.4901011186</v>
      </c>
      <c r="N98" s="23">
        <v>2344005.3621077058</v>
      </c>
      <c r="O98" s="23">
        <v>2683130.447449958</v>
      </c>
    </row>
    <row r="99" spans="1:15" x14ac:dyDescent="0.2">
      <c r="A99" s="4">
        <v>2023</v>
      </c>
      <c r="B99" s="4">
        <v>8</v>
      </c>
      <c r="C99" s="23">
        <v>0</v>
      </c>
      <c r="D99" s="23">
        <v>180.899019022803</v>
      </c>
      <c r="E99" s="43">
        <f t="shared" si="7"/>
        <v>1.3823064148719719</v>
      </c>
      <c r="F99" s="23">
        <f t="shared" si="8"/>
        <v>0.8</v>
      </c>
      <c r="G99" s="10">
        <f t="shared" si="6"/>
        <v>250.05787443926747</v>
      </c>
      <c r="H99" s="47">
        <f t="shared" si="5"/>
        <v>144.7192152182424</v>
      </c>
      <c r="I99" s="10">
        <v>4.6512635057362503E-6</v>
      </c>
      <c r="K99" s="23">
        <v>2149203.1384588913</v>
      </c>
      <c r="L99" s="23">
        <v>2728334.8116342248</v>
      </c>
      <c r="M99" s="23">
        <v>2410926.5223117154</v>
      </c>
      <c r="N99" s="23">
        <v>2221401.1263390533</v>
      </c>
      <c r="O99" s="23">
        <v>2544767.0128146904</v>
      </c>
    </row>
    <row r="100" spans="1:15" x14ac:dyDescent="0.2">
      <c r="A100" s="4">
        <v>2023</v>
      </c>
      <c r="B100" s="4">
        <v>9</v>
      </c>
      <c r="C100" s="23">
        <v>36.461627070570003</v>
      </c>
      <c r="D100" s="23">
        <v>116.1887104227675</v>
      </c>
      <c r="E100" s="43">
        <f t="shared" si="7"/>
        <v>1.3453601010877918</v>
      </c>
      <c r="F100" s="23">
        <f t="shared" si="8"/>
        <v>0.8</v>
      </c>
      <c r="G100" s="10">
        <f t="shared" si="6"/>
        <v>156.31565519963465</v>
      </c>
      <c r="H100" s="47">
        <f t="shared" si="5"/>
        <v>92.950968338214011</v>
      </c>
      <c r="I100" s="10">
        <v>12.699858988331068</v>
      </c>
      <c r="K100" s="23">
        <v>587497.73223438207</v>
      </c>
      <c r="L100" s="23">
        <v>746449.77405308385</v>
      </c>
      <c r="M100" s="23">
        <v>664419.49077645806</v>
      </c>
      <c r="N100" s="23">
        <v>616658.11762604851</v>
      </c>
      <c r="O100" s="23">
        <v>707072.33919231757</v>
      </c>
    </row>
    <row r="101" spans="1:15" x14ac:dyDescent="0.2">
      <c r="A101" s="4">
        <v>2023</v>
      </c>
      <c r="B101" s="4">
        <v>10</v>
      </c>
      <c r="C101" s="23">
        <v>156.60348669293799</v>
      </c>
      <c r="D101" s="23">
        <v>68.753541282667925</v>
      </c>
      <c r="E101" s="43">
        <f t="shared" si="7"/>
        <v>1.1629438804126599</v>
      </c>
      <c r="F101" s="23">
        <f t="shared" si="8"/>
        <v>0.7</v>
      </c>
      <c r="G101" s="10">
        <f t="shared" si="6"/>
        <v>79.956510091377851</v>
      </c>
      <c r="H101" s="47">
        <f t="shared" si="5"/>
        <v>48.127478897867547</v>
      </c>
      <c r="I101" s="10">
        <v>5.9772046417459075</v>
      </c>
      <c r="K101" s="23">
        <v>117042.55764813126</v>
      </c>
      <c r="L101" s="23">
        <v>147660.359109162</v>
      </c>
      <c r="M101" s="23">
        <v>133833.19917642546</v>
      </c>
      <c r="N101" s="23">
        <v>126526.9121943061</v>
      </c>
      <c r="O101" s="23">
        <v>144102.96775410243</v>
      </c>
    </row>
    <row r="102" spans="1:15" x14ac:dyDescent="0.2">
      <c r="A102" s="4">
        <v>2023</v>
      </c>
      <c r="B102" s="4">
        <v>11</v>
      </c>
      <c r="C102" s="23">
        <v>69.810665543181997</v>
      </c>
      <c r="D102" s="23">
        <v>33.052640373340168</v>
      </c>
      <c r="E102" s="43">
        <f t="shared" si="7"/>
        <v>1.0906946974740284</v>
      </c>
      <c r="F102" s="23">
        <f t="shared" si="8"/>
        <v>0.7</v>
      </c>
      <c r="G102" s="10">
        <f t="shared" si="6"/>
        <v>36.05033959271811</v>
      </c>
      <c r="H102" s="47">
        <f t="shared" si="5"/>
        <v>23.136848261338116</v>
      </c>
      <c r="I102" s="10">
        <v>14.590276494426309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</row>
    <row r="103" spans="1:15" x14ac:dyDescent="0.2">
      <c r="A103" s="4">
        <v>2023</v>
      </c>
      <c r="B103" s="4">
        <v>12</v>
      </c>
      <c r="C103" s="23">
        <v>85.963587012546</v>
      </c>
      <c r="D103" s="23">
        <v>33.498488119615125</v>
      </c>
      <c r="E103" s="43">
        <f t="shared" si="7"/>
        <v>0.92428785476978015</v>
      </c>
      <c r="F103" s="23">
        <f t="shared" si="8"/>
        <v>0.6</v>
      </c>
      <c r="G103" s="10">
        <f t="shared" si="6"/>
        <v>30.96224572211003</v>
      </c>
      <c r="H103" s="47">
        <f t="shared" si="5"/>
        <v>20.099092871769074</v>
      </c>
      <c r="I103" s="10">
        <v>38.972299934114538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</row>
    <row r="104" spans="1:15" x14ac:dyDescent="0.2">
      <c r="A104" s="4">
        <v>2024</v>
      </c>
      <c r="B104" s="4">
        <v>1</v>
      </c>
      <c r="C104" s="23">
        <v>97.9</v>
      </c>
      <c r="D104" s="23">
        <v>34.097259598394274</v>
      </c>
      <c r="E104" s="43">
        <f t="shared" si="7"/>
        <v>0.82346132939607375</v>
      </c>
      <c r="F104" s="23">
        <f t="shared" si="8"/>
        <v>0.6</v>
      </c>
      <c r="G104" s="10">
        <f t="shared" si="6"/>
        <v>28.077774717656784</v>
      </c>
      <c r="H104" s="47">
        <f t="shared" si="5"/>
        <v>20.458355759036564</v>
      </c>
      <c r="I104" s="10">
        <v>21.274103343429417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</row>
    <row r="105" spans="1:15" x14ac:dyDescent="0.2">
      <c r="A105" s="4">
        <v>2024</v>
      </c>
      <c r="B105" s="4">
        <v>2</v>
      </c>
      <c r="C105" s="23">
        <v>51.400000000000006</v>
      </c>
      <c r="D105" s="23">
        <v>46.267954838263577</v>
      </c>
      <c r="E105" s="43">
        <f t="shared" si="7"/>
        <v>0.83040997893189905</v>
      </c>
      <c r="F105" s="23">
        <f t="shared" si="8"/>
        <v>0.6</v>
      </c>
      <c r="G105" s="10">
        <f t="shared" si="6"/>
        <v>38.421371402464516</v>
      </c>
      <c r="H105" s="47">
        <f t="shared" si="5"/>
        <v>27.760772902958145</v>
      </c>
      <c r="I105" s="10">
        <v>44.272942336606455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</row>
    <row r="106" spans="1:15" x14ac:dyDescent="0.2">
      <c r="A106" s="4">
        <v>2024</v>
      </c>
      <c r="B106" s="4">
        <v>3</v>
      </c>
      <c r="C106" s="23">
        <v>111.2</v>
      </c>
      <c r="D106" s="23">
        <v>65.791236469845828</v>
      </c>
      <c r="E106" s="43">
        <f t="shared" si="7"/>
        <v>0.86832081118977578</v>
      </c>
      <c r="F106" s="23">
        <f t="shared" si="8"/>
        <v>0.6</v>
      </c>
      <c r="G106" s="10">
        <f t="shared" si="6"/>
        <v>57.127899820674891</v>
      </c>
      <c r="H106" s="47">
        <f t="shared" si="5"/>
        <v>39.474741881907498</v>
      </c>
      <c r="I106" s="10">
        <v>12.352511393405766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</row>
    <row r="107" spans="1:15" x14ac:dyDescent="0.2">
      <c r="A107" s="4">
        <v>2024</v>
      </c>
      <c r="B107" s="4">
        <v>4</v>
      </c>
      <c r="C107" s="23">
        <v>34.300000000000011</v>
      </c>
      <c r="D107" s="23">
        <v>101.64884623238862</v>
      </c>
      <c r="E107" s="43">
        <f t="shared" si="7"/>
        <v>0.97263527398172478</v>
      </c>
      <c r="F107" s="23">
        <f t="shared" si="8"/>
        <v>0.7</v>
      </c>
      <c r="G107" s="10">
        <f t="shared" si="6"/>
        <v>98.867253405165513</v>
      </c>
      <c r="H107" s="47">
        <f t="shared" si="5"/>
        <v>71.154192362672035</v>
      </c>
      <c r="I107" s="10">
        <v>2.2027588794457835</v>
      </c>
      <c r="K107" s="23">
        <v>22143.870035354801</v>
      </c>
      <c r="L107" s="23">
        <v>28096.69940884165</v>
      </c>
      <c r="M107" s="23">
        <v>14167.973627275278</v>
      </c>
      <c r="N107" s="23">
        <v>2988.6854299432398</v>
      </c>
      <c r="O107" s="23">
        <v>3442.6396349614197</v>
      </c>
    </row>
    <row r="108" spans="1:15" x14ac:dyDescent="0.2">
      <c r="A108" s="4">
        <v>2024</v>
      </c>
      <c r="B108" s="4">
        <v>5</v>
      </c>
      <c r="C108" s="23">
        <v>5.4999999999999973</v>
      </c>
      <c r="D108" s="23">
        <v>137.66600593562171</v>
      </c>
      <c r="E108" s="43">
        <f t="shared" si="7"/>
        <v>0.95871845840911951</v>
      </c>
      <c r="F108" s="23">
        <f t="shared" si="8"/>
        <v>0.7</v>
      </c>
      <c r="G108" s="10">
        <f t="shared" si="6"/>
        <v>131.98294098593993</v>
      </c>
      <c r="H108" s="47">
        <f t="shared" si="5"/>
        <v>96.36620415493519</v>
      </c>
      <c r="I108" s="10">
        <v>0.30173677994892656</v>
      </c>
      <c r="K108" s="23">
        <v>443924.02967220853</v>
      </c>
      <c r="L108" s="23">
        <v>559436.00396629819</v>
      </c>
      <c r="M108" s="23">
        <v>460206.28001947922</v>
      </c>
      <c r="N108" s="23">
        <v>391902.72085975297</v>
      </c>
      <c r="O108" s="23">
        <v>445562.36557965731</v>
      </c>
    </row>
    <row r="109" spans="1:15" x14ac:dyDescent="0.2">
      <c r="A109" s="4">
        <v>2024</v>
      </c>
      <c r="B109" s="4">
        <v>6</v>
      </c>
      <c r="C109" s="23">
        <v>27.900000000000002</v>
      </c>
      <c r="D109" s="23">
        <v>147.34260557682407</v>
      </c>
      <c r="E109" s="43">
        <f t="shared" si="7"/>
        <v>1.2091047012251979</v>
      </c>
      <c r="F109" s="23">
        <f t="shared" si="8"/>
        <v>0.8</v>
      </c>
      <c r="G109" s="10">
        <f t="shared" si="6"/>
        <v>178.15263709370805</v>
      </c>
      <c r="H109" s="47">
        <f t="shared" si="5"/>
        <v>117.87408446145926</v>
      </c>
      <c r="I109" s="10">
        <v>4.5001998381872792E-2</v>
      </c>
      <c r="K109" s="23">
        <v>566612.29215865058</v>
      </c>
      <c r="L109" s="23">
        <v>713665.08546549268</v>
      </c>
      <c r="M109" s="23">
        <v>573541.815985227</v>
      </c>
      <c r="N109" s="23">
        <v>475125.18836301373</v>
      </c>
      <c r="O109" s="23">
        <v>538764.69795375061</v>
      </c>
    </row>
    <row r="110" spans="1:15" x14ac:dyDescent="0.2">
      <c r="A110" s="4">
        <v>2024</v>
      </c>
      <c r="B110" s="4">
        <v>7</v>
      </c>
      <c r="C110" s="23">
        <v>5.8000000000000007</v>
      </c>
      <c r="D110" s="23">
        <v>183.89099050964882</v>
      </c>
      <c r="E110" s="43">
        <f t="shared" si="7"/>
        <v>1.3003333988885137</v>
      </c>
      <c r="F110" s="23">
        <f t="shared" si="8"/>
        <v>0.8</v>
      </c>
      <c r="G110" s="10">
        <f t="shared" si="6"/>
        <v>239.11959671438706</v>
      </c>
      <c r="H110" s="47">
        <f t="shared" si="5"/>
        <v>147.11279240771907</v>
      </c>
      <c r="I110" s="10">
        <v>6.2303713255970911E-3</v>
      </c>
      <c r="K110" s="23">
        <v>1753206.373116272</v>
      </c>
      <c r="L110" s="23">
        <v>2219916.7028240757</v>
      </c>
      <c r="M110" s="23">
        <v>1919184.3747405119</v>
      </c>
      <c r="N110" s="23">
        <v>1728713.1454048639</v>
      </c>
      <c r="O110" s="23">
        <v>1974901.2776168364</v>
      </c>
    </row>
    <row r="111" spans="1:15" x14ac:dyDescent="0.2">
      <c r="A111" s="4">
        <v>2024</v>
      </c>
      <c r="B111" s="4">
        <v>8</v>
      </c>
      <c r="C111" s="23">
        <v>0.9</v>
      </c>
      <c r="D111" s="23">
        <v>169.08484435412331</v>
      </c>
      <c r="E111" s="43">
        <f t="shared" si="7"/>
        <v>1.3823064148719719</v>
      </c>
      <c r="F111" s="23">
        <f t="shared" si="8"/>
        <v>0.8</v>
      </c>
      <c r="G111" s="10">
        <f t="shared" si="6"/>
        <v>233.72706500833357</v>
      </c>
      <c r="H111" s="47">
        <f t="shared" si="5"/>
        <v>135.26787548329864</v>
      </c>
      <c r="I111" s="10">
        <v>8.5344437796332218E-4</v>
      </c>
      <c r="K111" s="23">
        <v>2083911.7740986603</v>
      </c>
      <c r="L111" s="23">
        <v>2642621.7655101959</v>
      </c>
      <c r="M111" s="23">
        <v>2322729.6823111353</v>
      </c>
      <c r="N111" s="23">
        <v>2128539.1516571431</v>
      </c>
      <c r="O111" s="23">
        <v>2435846.0379785411</v>
      </c>
    </row>
    <row r="112" spans="1:15" x14ac:dyDescent="0.2">
      <c r="A112" s="4">
        <v>2024</v>
      </c>
      <c r="B112" s="4">
        <v>9</v>
      </c>
      <c r="C112" s="23">
        <v>6.7</v>
      </c>
      <c r="D112" s="23">
        <v>108.48361692416776</v>
      </c>
      <c r="E112" s="43">
        <f t="shared" si="7"/>
        <v>1.3453601010877918</v>
      </c>
      <c r="F112" s="23">
        <f t="shared" si="8"/>
        <v>0.8</v>
      </c>
      <c r="G112" s="10">
        <f t="shared" si="6"/>
        <v>145.94952983146763</v>
      </c>
      <c r="H112" s="47">
        <f t="shared" si="5"/>
        <v>86.786893539334216</v>
      </c>
      <c r="I112" s="10">
        <v>7.6338050574010392</v>
      </c>
      <c r="K112" s="23">
        <v>998783.37613451632</v>
      </c>
      <c r="L112" s="23">
        <v>1265892.6639501308</v>
      </c>
      <c r="M112" s="23">
        <v>1115909.0834556026</v>
      </c>
      <c r="N112" s="23">
        <v>1025784.515034139</v>
      </c>
      <c r="O112" s="23">
        <v>1173175.7787036244</v>
      </c>
    </row>
    <row r="113" spans="1:15" x14ac:dyDescent="0.2">
      <c r="A113" s="4">
        <v>2024</v>
      </c>
      <c r="B113" s="4">
        <v>10</v>
      </c>
      <c r="C113" s="23">
        <v>140</v>
      </c>
      <c r="D113" s="23">
        <v>59.144621985496812</v>
      </c>
      <c r="E113" s="43">
        <f t="shared" si="7"/>
        <v>1.1629438804126599</v>
      </c>
      <c r="F113" s="23">
        <f t="shared" si="8"/>
        <v>0.7</v>
      </c>
      <c r="G113" s="10">
        <f t="shared" si="6"/>
        <v>68.781876197353583</v>
      </c>
      <c r="H113" s="47">
        <f t="shared" si="5"/>
        <v>41.401235389847763</v>
      </c>
      <c r="I113" s="10">
        <v>3.8011111707730474</v>
      </c>
      <c r="K113" s="23">
        <v>127029.48514939565</v>
      </c>
      <c r="L113" s="23">
        <v>161873.89302809499</v>
      </c>
      <c r="M113" s="23">
        <v>144517.01740132243</v>
      </c>
      <c r="N113" s="23">
        <v>134490.35324229684</v>
      </c>
      <c r="O113" s="23">
        <v>154674.33818550219</v>
      </c>
    </row>
    <row r="114" spans="1:15" x14ac:dyDescent="0.2">
      <c r="A114" s="4">
        <v>2024</v>
      </c>
      <c r="B114" s="4">
        <v>11</v>
      </c>
      <c r="C114" s="23">
        <v>66.399999999999991</v>
      </c>
      <c r="D114" s="23">
        <v>38.826506797692367</v>
      </c>
      <c r="E114" s="43">
        <f t="shared" si="7"/>
        <v>1.0906946974740284</v>
      </c>
      <c r="F114" s="23">
        <f t="shared" si="8"/>
        <v>0.7</v>
      </c>
      <c r="G114" s="10">
        <f t="shared" si="6"/>
        <v>42.347865085682379</v>
      </c>
      <c r="H114" s="47">
        <f t="shared" si="5"/>
        <v>27.178554758384657</v>
      </c>
      <c r="I114" s="10">
        <v>0.77682395058289888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</row>
    <row r="115" spans="1:15" x14ac:dyDescent="0.2">
      <c r="A115" s="4">
        <v>2024</v>
      </c>
      <c r="B115" s="4">
        <v>12</v>
      </c>
      <c r="C115" s="23">
        <v>5.6</v>
      </c>
      <c r="D115" s="23">
        <v>34.188930523431729</v>
      </c>
      <c r="E115" s="43">
        <f t="shared" si="7"/>
        <v>0.92428785476978015</v>
      </c>
      <c r="F115" s="23">
        <f t="shared" si="8"/>
        <v>0.6</v>
      </c>
      <c r="G115" s="10">
        <f t="shared" si="6"/>
        <v>31.60041325037577</v>
      </c>
      <c r="H115" s="47">
        <f t="shared" si="5"/>
        <v>20.513358314059037</v>
      </c>
      <c r="I115" s="10">
        <v>26.213689285846506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</row>
    <row r="116" spans="1:15" x14ac:dyDescent="0.2">
      <c r="A116" s="4">
        <v>2025</v>
      </c>
      <c r="B116" s="4">
        <v>1</v>
      </c>
      <c r="C116" s="23">
        <v>135.5</v>
      </c>
      <c r="D116" s="23">
        <v>37.287400590564765</v>
      </c>
      <c r="E116" s="43">
        <f t="shared" si="7"/>
        <v>0.82346132939607375</v>
      </c>
      <c r="F116" s="23">
        <f t="shared" si="8"/>
        <v>0.6</v>
      </c>
      <c r="G116" s="10">
        <f t="shared" si="6"/>
        <v>30.704732460030407</v>
      </c>
      <c r="H116" s="47">
        <f t="shared" si="5"/>
        <v>22.37244035433886</v>
      </c>
      <c r="I116" s="10">
        <v>17.180697731075412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</row>
    <row r="117" spans="1:15" x14ac:dyDescent="0.2">
      <c r="A117" s="4">
        <v>2025</v>
      </c>
      <c r="B117" s="4">
        <v>2</v>
      </c>
      <c r="C117" s="23">
        <v>65.100000000000009</v>
      </c>
      <c r="D117" s="23">
        <v>49.386503270537538</v>
      </c>
      <c r="E117" s="43">
        <f t="shared" si="7"/>
        <v>0.83040997893189905</v>
      </c>
      <c r="F117" s="23">
        <f t="shared" si="8"/>
        <v>0.6</v>
      </c>
      <c r="G117" s="10">
        <f t="shared" si="6"/>
        <v>41.011045140407241</v>
      </c>
      <c r="H117" s="47">
        <f t="shared" si="5"/>
        <v>29.631901962322523</v>
      </c>
      <c r="I117" s="10">
        <v>100.14945909547502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</row>
    <row r="118" spans="1:15" x14ac:dyDescent="0.2">
      <c r="A118" s="4">
        <v>2025</v>
      </c>
      <c r="B118" s="4">
        <v>3</v>
      </c>
      <c r="C118" s="23">
        <v>199.60000000000002</v>
      </c>
      <c r="D118" s="23">
        <v>71.633350111222001</v>
      </c>
      <c r="E118" s="43">
        <f t="shared" si="7"/>
        <v>0.86832081118977578</v>
      </c>
      <c r="F118" s="23">
        <f t="shared" si="8"/>
        <v>0.6</v>
      </c>
      <c r="G118" s="10">
        <f t="shared" si="6"/>
        <v>62.200728676817505</v>
      </c>
      <c r="H118" s="47">
        <f t="shared" si="5"/>
        <v>42.9800100667332</v>
      </c>
      <c r="I118" s="10">
        <v>38.738204307542787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</row>
    <row r="119" spans="1:15" x14ac:dyDescent="0.2">
      <c r="A119" s="4">
        <v>2025</v>
      </c>
      <c r="B119" s="4">
        <v>4</v>
      </c>
      <c r="C119" s="23">
        <v>93.199999999999989</v>
      </c>
      <c r="D119" s="23">
        <v>100.30595450129471</v>
      </c>
      <c r="E119" s="43">
        <f t="shared" si="7"/>
        <v>0.97263527398172478</v>
      </c>
      <c r="F119" s="23">
        <f t="shared" si="8"/>
        <v>0.7</v>
      </c>
      <c r="G119" s="10">
        <f t="shared" si="6"/>
        <v>97.561109538365201</v>
      </c>
      <c r="H119" s="47">
        <f t="shared" ref="H119:H132" si="9">F119*D119</f>
        <v>70.214168150906289</v>
      </c>
      <c r="I119" s="10">
        <v>10.22160430971388</v>
      </c>
      <c r="K119" s="23">
        <v>6454.052840286623</v>
      </c>
      <c r="L119" s="23">
        <v>8070.0461892539333</v>
      </c>
      <c r="M119" s="23">
        <v>3851.0733599544646</v>
      </c>
      <c r="N119" s="23">
        <v>412.49375780390233</v>
      </c>
      <c r="O119" s="23">
        <v>467.70065247339869</v>
      </c>
    </row>
    <row r="120" spans="1:15" x14ac:dyDescent="0.2">
      <c r="A120" s="4">
        <v>2025</v>
      </c>
      <c r="B120" s="4">
        <v>5</v>
      </c>
      <c r="C120" s="23">
        <v>26.000000000000007</v>
      </c>
      <c r="D120" s="23">
        <v>145.41242890941183</v>
      </c>
      <c r="E120" s="43">
        <f t="shared" si="7"/>
        <v>0.95871845840911951</v>
      </c>
      <c r="F120" s="23">
        <f t="shared" si="8"/>
        <v>0.7</v>
      </c>
      <c r="G120" s="10">
        <f t="shared" si="6"/>
        <v>139.40957967755699</v>
      </c>
      <c r="H120" s="47">
        <f t="shared" si="9"/>
        <v>101.78870023658827</v>
      </c>
      <c r="I120" s="10">
        <v>1.4001686698914286</v>
      </c>
      <c r="K120" s="23">
        <v>321056.75209649204</v>
      </c>
      <c r="L120" s="23">
        <v>405531.53059089987</v>
      </c>
      <c r="M120" s="23">
        <v>316923.52847483393</v>
      </c>
      <c r="N120" s="23">
        <v>253079.95020304402</v>
      </c>
      <c r="O120" s="23">
        <v>288025.8810089</v>
      </c>
    </row>
    <row r="121" spans="1:15" x14ac:dyDescent="0.2">
      <c r="A121" s="4">
        <v>2025</v>
      </c>
      <c r="B121" s="4">
        <v>6</v>
      </c>
      <c r="C121" s="23">
        <v>53.3</v>
      </c>
      <c r="D121" s="23">
        <v>190.28051692960022</v>
      </c>
      <c r="E121" s="43">
        <f t="shared" si="7"/>
        <v>1.2091047012251979</v>
      </c>
      <c r="F121" s="23">
        <f t="shared" si="8"/>
        <v>0.8</v>
      </c>
      <c r="G121" s="10">
        <f t="shared" si="6"/>
        <v>230.06906757114049</v>
      </c>
      <c r="H121" s="47">
        <f t="shared" si="9"/>
        <v>152.22441354368019</v>
      </c>
      <c r="I121" s="10">
        <v>0.20882567987723771</v>
      </c>
      <c r="K121" s="23">
        <v>1186080.9397020265</v>
      </c>
      <c r="L121" s="23">
        <v>1500439.8429118483</v>
      </c>
      <c r="M121" s="23">
        <v>1267787.3923672521</v>
      </c>
      <c r="N121" s="23">
        <v>1113980.0240993481</v>
      </c>
      <c r="O121" s="23">
        <v>1270648.7627557861</v>
      </c>
    </row>
    <row r="122" spans="1:15" x14ac:dyDescent="0.2">
      <c r="A122" s="4">
        <v>2025</v>
      </c>
      <c r="B122" s="4">
        <v>7</v>
      </c>
      <c r="C122" s="23">
        <v>2.1</v>
      </c>
      <c r="D122" s="23">
        <v>197.80566861443248</v>
      </c>
      <c r="E122" s="43">
        <f t="shared" si="7"/>
        <v>1.3003333988885137</v>
      </c>
      <c r="F122" s="23">
        <f t="shared" si="8"/>
        <v>0.8</v>
      </c>
      <c r="G122" s="10">
        <f t="shared" si="6"/>
        <v>257.21331738881997</v>
      </c>
      <c r="H122" s="47">
        <f t="shared" si="9"/>
        <v>158.24453489154598</v>
      </c>
      <c r="I122" s="10">
        <v>2.8911194496632368E-2</v>
      </c>
      <c r="K122" s="23">
        <v>1756788.791461505</v>
      </c>
      <c r="L122" s="23">
        <v>2226213.4477965455</v>
      </c>
      <c r="M122" s="23">
        <v>1936252.6931529779</v>
      </c>
      <c r="N122" s="23">
        <v>1755226.6794698585</v>
      </c>
      <c r="O122" s="23">
        <v>2006781.853884002</v>
      </c>
    </row>
    <row r="123" spans="1:15" x14ac:dyDescent="0.2">
      <c r="A123" s="4">
        <v>2025</v>
      </c>
      <c r="B123" s="4">
        <v>8</v>
      </c>
      <c r="C123" s="23">
        <v>0.7</v>
      </c>
      <c r="D123" s="23">
        <v>183.90366231531513</v>
      </c>
      <c r="E123" s="43">
        <f t="shared" si="7"/>
        <v>1.3823064148719719</v>
      </c>
      <c r="F123" s="23">
        <f t="shared" si="8"/>
        <v>0.8</v>
      </c>
      <c r="G123" s="10">
        <f t="shared" si="6"/>
        <v>254.21121213690904</v>
      </c>
      <c r="H123" s="47">
        <f t="shared" si="9"/>
        <v>147.1229298522521</v>
      </c>
      <c r="I123" s="10">
        <v>3.9602930730601969E-3</v>
      </c>
      <c r="K123" s="23">
        <v>2143227.5237673512</v>
      </c>
      <c r="L123" s="23">
        <v>2721358.3760772571</v>
      </c>
      <c r="M123" s="23">
        <v>2393627.4691222832</v>
      </c>
      <c r="N123" s="23">
        <v>2194932.6857454083</v>
      </c>
      <c r="O123" s="23">
        <v>2514991.2908991165</v>
      </c>
    </row>
    <row r="124" spans="1:15" x14ac:dyDescent="0.2">
      <c r="A124" s="4">
        <v>2025</v>
      </c>
      <c r="B124" s="4">
        <v>9</v>
      </c>
      <c r="C124" s="23">
        <v>13.6</v>
      </c>
      <c r="D124" s="23">
        <v>123.01592754902808</v>
      </c>
      <c r="E124" s="43">
        <f t="shared" si="7"/>
        <v>1.3453601010877918</v>
      </c>
      <c r="F124" s="23">
        <f t="shared" si="8"/>
        <v>0.8</v>
      </c>
      <c r="G124" s="10">
        <f t="shared" si="6"/>
        <v>165.50072072276888</v>
      </c>
      <c r="H124" s="47">
        <f t="shared" si="9"/>
        <v>98.412742039222465</v>
      </c>
      <c r="I124" s="10">
        <v>5.9065090605051052E-4</v>
      </c>
      <c r="K124" s="23">
        <v>864793.42322262237</v>
      </c>
      <c r="L124" s="23">
        <v>1098114.9771094767</v>
      </c>
      <c r="M124" s="23">
        <v>968154.12744636612</v>
      </c>
      <c r="N124" s="23">
        <v>889967.2011036484</v>
      </c>
      <c r="O124" s="23">
        <v>1019740.9083497172</v>
      </c>
    </row>
    <row r="125" spans="1:15" x14ac:dyDescent="0.2">
      <c r="A125" s="4">
        <v>2025</v>
      </c>
      <c r="B125" s="4">
        <v>10</v>
      </c>
      <c r="C125" s="23">
        <v>31.1</v>
      </c>
      <c r="D125" s="23">
        <v>83.336778022966243</v>
      </c>
      <c r="E125" s="43">
        <f t="shared" si="7"/>
        <v>1.1629438804126599</v>
      </c>
      <c r="F125" s="23">
        <f t="shared" si="8"/>
        <v>0.7</v>
      </c>
      <c r="G125" s="10">
        <f t="shared" si="6"/>
        <v>96.915996015116846</v>
      </c>
      <c r="H125" s="47">
        <f t="shared" si="9"/>
        <v>58.335744616076369</v>
      </c>
      <c r="I125" s="10">
        <v>1.4710660402282309E-2</v>
      </c>
      <c r="K125" s="23">
        <v>287875.77714133158</v>
      </c>
      <c r="L125" s="23">
        <v>366227.0508126507</v>
      </c>
      <c r="M125" s="23">
        <v>327862.67062796571</v>
      </c>
      <c r="N125" s="23">
        <v>306001.27361209656</v>
      </c>
      <c r="O125" s="23">
        <v>351346.58094578399</v>
      </c>
    </row>
    <row r="126" spans="1:15" x14ac:dyDescent="0.2">
      <c r="A126" s="4">
        <v>2025</v>
      </c>
      <c r="B126" s="4">
        <v>11</v>
      </c>
      <c r="C126" s="23">
        <v>94.999999999999986</v>
      </c>
      <c r="D126" s="23">
        <v>41.985492615574195</v>
      </c>
      <c r="E126" s="43">
        <f t="shared" si="7"/>
        <v>1.0906946974740284</v>
      </c>
      <c r="F126" s="23">
        <f t="shared" si="8"/>
        <v>0.7</v>
      </c>
      <c r="G126" s="10">
        <f t="shared" si="6"/>
        <v>45.793354166641748</v>
      </c>
      <c r="H126" s="47">
        <f t="shared" si="9"/>
        <v>29.389844830901936</v>
      </c>
      <c r="I126" s="10">
        <v>24.410978801306662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</row>
    <row r="127" spans="1:15" x14ac:dyDescent="0.2">
      <c r="A127" s="4">
        <v>2025</v>
      </c>
      <c r="B127" s="4">
        <v>12</v>
      </c>
      <c r="C127" s="23">
        <v>140.39999999999998</v>
      </c>
      <c r="D127" s="23">
        <v>31.512566886300206</v>
      </c>
      <c r="E127" s="43">
        <f t="shared" si="7"/>
        <v>0.92428785476978015</v>
      </c>
      <c r="F127" s="23">
        <f t="shared" si="8"/>
        <v>0.6</v>
      </c>
      <c r="G127" s="10">
        <f t="shared" si="6"/>
        <v>29.126682845627627</v>
      </c>
      <c r="H127" s="47">
        <f t="shared" si="9"/>
        <v>18.907540131780124</v>
      </c>
      <c r="I127" s="10">
        <v>100.21606450428607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</row>
    <row r="128" spans="1:15" x14ac:dyDescent="0.2">
      <c r="A128" s="4">
        <v>2026</v>
      </c>
      <c r="B128" s="4">
        <v>1</v>
      </c>
      <c r="C128" s="23">
        <v>179.9</v>
      </c>
      <c r="D128" s="23">
        <v>34.097259598394274</v>
      </c>
      <c r="E128" s="43">
        <f t="shared" si="7"/>
        <v>0.82346132939607375</v>
      </c>
      <c r="F128" s="23">
        <f t="shared" si="8"/>
        <v>0.6</v>
      </c>
      <c r="G128" s="10">
        <f t="shared" si="6"/>
        <v>28.077774717656784</v>
      </c>
      <c r="H128" s="47">
        <f t="shared" si="9"/>
        <v>20.458355759036564</v>
      </c>
      <c r="I128" s="10">
        <v>165.03043625280884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</row>
    <row r="129" spans="1:15" x14ac:dyDescent="0.2">
      <c r="A129" s="4">
        <v>2026</v>
      </c>
      <c r="B129" s="4">
        <v>2</v>
      </c>
      <c r="C129" s="23">
        <v>224.84999999999997</v>
      </c>
      <c r="D129" s="23">
        <v>46.267954838263577</v>
      </c>
      <c r="E129" s="43">
        <f t="shared" si="7"/>
        <v>0.83040997893189905</v>
      </c>
      <c r="F129" s="23">
        <f t="shared" si="8"/>
        <v>0.6</v>
      </c>
      <c r="G129" s="10">
        <f t="shared" si="6"/>
        <v>38.421371402464516</v>
      </c>
      <c r="H129" s="47">
        <f t="shared" si="9"/>
        <v>27.760772902958145</v>
      </c>
      <c r="I129" s="10">
        <v>32.635261862718785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</row>
    <row r="130" spans="1:15" x14ac:dyDescent="0.2">
      <c r="A130" s="4">
        <v>2026</v>
      </c>
      <c r="B130" s="4">
        <v>3</v>
      </c>
      <c r="C130" s="23">
        <v>40.35</v>
      </c>
      <c r="D130" s="23">
        <v>65.791236469845828</v>
      </c>
      <c r="E130" s="43">
        <f t="shared" si="7"/>
        <v>0.86832081118977578</v>
      </c>
      <c r="F130" s="23">
        <f t="shared" si="8"/>
        <v>0.6</v>
      </c>
      <c r="G130" s="10">
        <f t="shared" si="6"/>
        <v>57.127899820674891</v>
      </c>
      <c r="H130" s="47">
        <f t="shared" si="9"/>
        <v>39.474741881907498</v>
      </c>
      <c r="I130" s="10">
        <v>6.6705782052691678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</row>
    <row r="131" spans="1:15" x14ac:dyDescent="0.2">
      <c r="A131" s="4">
        <v>2026</v>
      </c>
      <c r="B131" s="4">
        <v>4</v>
      </c>
      <c r="C131" s="23">
        <v>8.7999999999999989</v>
      </c>
      <c r="D131" s="23">
        <v>101.64884623238862</v>
      </c>
      <c r="E131" s="43">
        <f t="shared" si="7"/>
        <v>0.97263527398172478</v>
      </c>
      <c r="F131" s="23">
        <f t="shared" si="8"/>
        <v>0.7</v>
      </c>
      <c r="G131" s="10">
        <f t="shared" si="6"/>
        <v>98.867253405165513</v>
      </c>
      <c r="H131" s="47">
        <f t="shared" si="9"/>
        <v>71.154192362672035</v>
      </c>
      <c r="I131" s="10">
        <v>0.99487158857627667</v>
      </c>
      <c r="K131" s="23">
        <v>6454.052840286623</v>
      </c>
      <c r="L131" s="23">
        <v>8070.0461892539333</v>
      </c>
      <c r="M131" s="23">
        <v>3851.0733599544646</v>
      </c>
      <c r="N131" s="23">
        <v>412.49375780390233</v>
      </c>
      <c r="O131" s="23">
        <v>467.70065247339869</v>
      </c>
    </row>
    <row r="132" spans="1:15" x14ac:dyDescent="0.2">
      <c r="A132" s="4">
        <v>2026</v>
      </c>
      <c r="B132" s="4">
        <v>5</v>
      </c>
      <c r="C132" s="23">
        <v>5.6999999999999993</v>
      </c>
      <c r="D132" s="23">
        <v>137.66600593562171</v>
      </c>
      <c r="E132" s="43">
        <f t="shared" si="7"/>
        <v>0.95871845840911951</v>
      </c>
      <c r="F132" s="23">
        <f t="shared" si="8"/>
        <v>0.7</v>
      </c>
      <c r="G132" s="10">
        <f t="shared" si="6"/>
        <v>131.98294098593993</v>
      </c>
      <c r="H132" s="47">
        <f t="shared" si="9"/>
        <v>96.36620415493519</v>
      </c>
      <c r="I132" s="10">
        <v>0</v>
      </c>
      <c r="K132" s="23">
        <v>321056.75209649204</v>
      </c>
      <c r="L132" s="23">
        <v>405531.53059089987</v>
      </c>
      <c r="M132" s="23">
        <v>316923.52847483393</v>
      </c>
      <c r="N132" s="23">
        <v>253079.95020304402</v>
      </c>
      <c r="O132" s="23">
        <v>288025.8810089</v>
      </c>
    </row>
    <row r="133" spans="1:15" x14ac:dyDescent="0.2">
      <c r="A133" s="4">
        <v>2026</v>
      </c>
      <c r="B133" s="4">
        <v>6</v>
      </c>
      <c r="C133" s="4"/>
      <c r="D133" s="4"/>
      <c r="E133" s="43"/>
      <c r="F133" s="4"/>
      <c r="G133" s="8"/>
      <c r="H133" s="48"/>
      <c r="I133" s="8"/>
      <c r="K133" s="23"/>
      <c r="L133" s="23"/>
      <c r="M133" s="23"/>
      <c r="N133" s="23"/>
      <c r="O133" s="23"/>
    </row>
    <row r="134" spans="1:15" x14ac:dyDescent="0.2">
      <c r="A134" s="4">
        <v>2026</v>
      </c>
      <c r="B134" s="4">
        <v>7</v>
      </c>
      <c r="C134" s="4"/>
      <c r="D134" s="4"/>
      <c r="E134" s="43"/>
      <c r="F134" s="4"/>
      <c r="G134" s="8"/>
      <c r="H134" s="48"/>
      <c r="I134" s="8"/>
      <c r="K134" s="23"/>
      <c r="L134" s="23"/>
      <c r="M134" s="23"/>
      <c r="N134" s="23"/>
      <c r="O134" s="23"/>
    </row>
    <row r="135" spans="1:15" x14ac:dyDescent="0.2">
      <c r="A135" s="4">
        <v>2026</v>
      </c>
      <c r="B135" s="4">
        <v>8</v>
      </c>
      <c r="C135" s="4"/>
      <c r="D135" s="4"/>
      <c r="E135" s="43"/>
      <c r="F135" s="4"/>
      <c r="G135" s="8"/>
      <c r="H135" s="48"/>
      <c r="I135" s="8"/>
      <c r="K135" s="23"/>
      <c r="L135" s="23"/>
      <c r="M135" s="23"/>
      <c r="N135" s="23"/>
      <c r="O135" s="23"/>
    </row>
    <row r="136" spans="1:15" x14ac:dyDescent="0.2">
      <c r="A136" s="4">
        <v>2026</v>
      </c>
      <c r="B136" s="4">
        <v>9</v>
      </c>
      <c r="C136" s="4"/>
      <c r="D136" s="4"/>
      <c r="E136" s="43"/>
      <c r="F136" s="4"/>
      <c r="G136" s="8"/>
      <c r="H136" s="48"/>
      <c r="I136" s="8"/>
      <c r="K136" s="23"/>
      <c r="L136" s="23"/>
      <c r="M136" s="23"/>
      <c r="N136" s="23"/>
      <c r="O136" s="23"/>
    </row>
    <row r="137" spans="1:15" x14ac:dyDescent="0.2">
      <c r="A137" s="4">
        <v>2026</v>
      </c>
      <c r="B137" s="4">
        <v>10</v>
      </c>
      <c r="C137" s="4"/>
      <c r="D137" s="4"/>
      <c r="E137" s="43"/>
      <c r="F137" s="4"/>
      <c r="G137" s="8"/>
      <c r="H137" s="48"/>
      <c r="I137" s="8"/>
      <c r="K137" s="23"/>
      <c r="L137" s="23"/>
      <c r="M137" s="23"/>
      <c r="N137" s="23"/>
      <c r="O137" s="23"/>
    </row>
    <row r="138" spans="1:15" x14ac:dyDescent="0.2">
      <c r="A138" s="4">
        <v>2026</v>
      </c>
      <c r="B138" s="4">
        <v>11</v>
      </c>
      <c r="C138" s="4"/>
      <c r="D138" s="4"/>
      <c r="E138" s="43"/>
      <c r="F138" s="4"/>
      <c r="G138" s="8"/>
      <c r="H138" s="48"/>
      <c r="I138" s="8"/>
      <c r="K138" s="23"/>
      <c r="L138" s="23"/>
      <c r="M138" s="23"/>
      <c r="N138" s="23"/>
      <c r="O138" s="23"/>
    </row>
    <row r="139" spans="1:15" x14ac:dyDescent="0.2">
      <c r="A139" s="4">
        <v>2026</v>
      </c>
      <c r="B139" s="4">
        <v>12</v>
      </c>
      <c r="C139" s="4"/>
      <c r="D139" s="4"/>
      <c r="E139" s="43"/>
      <c r="F139" s="4"/>
      <c r="G139" s="8"/>
      <c r="H139" s="48"/>
      <c r="I139" s="8"/>
      <c r="K139" s="23"/>
      <c r="L139" s="23"/>
      <c r="M139" s="23"/>
      <c r="N139" s="23"/>
      <c r="O139" s="23"/>
    </row>
    <row r="140" spans="1:15" x14ac:dyDescent="0.2">
      <c r="A140" s="4">
        <v>2027</v>
      </c>
      <c r="B140" s="4">
        <v>1</v>
      </c>
      <c r="C140" s="4"/>
      <c r="D140" s="4"/>
      <c r="E140" s="43"/>
      <c r="F140" s="4"/>
      <c r="G140" s="8"/>
      <c r="H140" s="48"/>
      <c r="I140" s="8"/>
      <c r="K140" s="23"/>
      <c r="L140" s="23"/>
      <c r="M140" s="23"/>
      <c r="N140" s="23"/>
      <c r="O140" s="23"/>
    </row>
    <row r="141" spans="1:15" x14ac:dyDescent="0.2">
      <c r="A141" s="4">
        <v>2027</v>
      </c>
      <c r="B141" s="4">
        <v>2</v>
      </c>
      <c r="C141" s="4"/>
      <c r="D141" s="4"/>
      <c r="E141" s="43"/>
      <c r="F141" s="4"/>
      <c r="G141" s="8"/>
      <c r="H141" s="48"/>
      <c r="I141" s="8"/>
      <c r="K141" s="23"/>
      <c r="L141" s="23"/>
      <c r="M141" s="23"/>
      <c r="N141" s="23"/>
      <c r="O141" s="23"/>
    </row>
    <row r="142" spans="1:15" x14ac:dyDescent="0.2">
      <c r="A142" s="4">
        <v>2027</v>
      </c>
      <c r="B142" s="4">
        <v>3</v>
      </c>
      <c r="C142" s="4"/>
      <c r="D142" s="4"/>
      <c r="E142" s="43"/>
      <c r="F142" s="4"/>
      <c r="G142" s="8"/>
      <c r="H142" s="48"/>
      <c r="I142" s="8"/>
      <c r="K142" s="23"/>
      <c r="L142" s="23"/>
      <c r="M142" s="23"/>
      <c r="N142" s="23"/>
      <c r="O142" s="23"/>
    </row>
    <row r="143" spans="1:15" x14ac:dyDescent="0.2">
      <c r="A143" s="4">
        <v>2027</v>
      </c>
      <c r="B143" s="4">
        <v>4</v>
      </c>
      <c r="C143" s="4"/>
      <c r="D143" s="4"/>
      <c r="E143" s="43"/>
      <c r="F143" s="4"/>
      <c r="G143" s="8"/>
      <c r="H143" s="48"/>
      <c r="I143" s="8"/>
      <c r="K143" s="23"/>
      <c r="L143" s="23"/>
      <c r="M143" s="23"/>
      <c r="N143" s="23"/>
      <c r="O143" s="23"/>
    </row>
    <row r="144" spans="1:15" x14ac:dyDescent="0.2">
      <c r="A144" s="4">
        <v>2027</v>
      </c>
      <c r="B144" s="4">
        <v>5</v>
      </c>
      <c r="C144" s="4"/>
      <c r="D144" s="4"/>
      <c r="E144" s="43"/>
      <c r="F144" s="4"/>
      <c r="G144" s="8"/>
      <c r="H144" s="48"/>
      <c r="I144" s="8"/>
      <c r="K144" s="23"/>
      <c r="L144" s="23"/>
      <c r="M144" s="23"/>
      <c r="N144" s="23"/>
      <c r="O144" s="23"/>
    </row>
    <row r="145" spans="1:15" x14ac:dyDescent="0.2">
      <c r="A145" s="4">
        <v>2027</v>
      </c>
      <c r="B145" s="4">
        <v>6</v>
      </c>
      <c r="C145" s="4"/>
      <c r="D145" s="4"/>
      <c r="E145" s="43"/>
      <c r="F145" s="4"/>
      <c r="G145" s="8"/>
      <c r="H145" s="48"/>
      <c r="I145" s="8"/>
      <c r="K145" s="23"/>
      <c r="L145" s="23"/>
      <c r="M145" s="23"/>
      <c r="N145" s="23"/>
      <c r="O145" s="23"/>
    </row>
    <row r="146" spans="1:15" x14ac:dyDescent="0.2">
      <c r="A146" s="4">
        <v>2027</v>
      </c>
      <c r="B146" s="4">
        <v>7</v>
      </c>
      <c r="C146" s="4"/>
      <c r="D146" s="4"/>
      <c r="E146" s="43"/>
      <c r="F146" s="4"/>
      <c r="G146" s="8"/>
      <c r="H146" s="48"/>
      <c r="I146" s="8"/>
      <c r="K146" s="23"/>
      <c r="L146" s="23"/>
      <c r="M146" s="23"/>
      <c r="N146" s="23"/>
      <c r="O146" s="23"/>
    </row>
    <row r="147" spans="1:15" x14ac:dyDescent="0.2">
      <c r="A147" s="4">
        <v>2027</v>
      </c>
      <c r="B147" s="4">
        <v>8</v>
      </c>
      <c r="C147" s="4"/>
      <c r="D147" s="4"/>
      <c r="E147" s="43"/>
      <c r="F147" s="4"/>
      <c r="G147" s="8"/>
      <c r="H147" s="48"/>
      <c r="I147" s="8"/>
      <c r="K147" s="23"/>
      <c r="L147" s="23"/>
      <c r="M147" s="23"/>
      <c r="N147" s="23"/>
      <c r="O147" s="23"/>
    </row>
    <row r="148" spans="1:15" x14ac:dyDescent="0.2">
      <c r="A148" s="4">
        <v>2027</v>
      </c>
      <c r="B148" s="4">
        <v>9</v>
      </c>
      <c r="C148" s="4"/>
      <c r="D148" s="4"/>
      <c r="E148" s="43"/>
      <c r="F148" s="4"/>
      <c r="G148" s="8"/>
      <c r="H148" s="48"/>
      <c r="I148" s="8"/>
      <c r="K148" s="23"/>
      <c r="L148" s="23"/>
      <c r="M148" s="23"/>
      <c r="N148" s="23"/>
      <c r="O148" s="23"/>
    </row>
    <row r="149" spans="1:15" x14ac:dyDescent="0.2">
      <c r="A149" s="4">
        <v>2027</v>
      </c>
      <c r="B149" s="4">
        <v>10</v>
      </c>
      <c r="C149" s="4"/>
      <c r="D149" s="4"/>
      <c r="E149" s="43"/>
      <c r="F149" s="4"/>
      <c r="G149" s="8"/>
      <c r="H149" s="48"/>
      <c r="I149" s="8"/>
      <c r="K149" s="23"/>
      <c r="L149" s="23"/>
      <c r="M149" s="23"/>
      <c r="N149" s="23"/>
      <c r="O149" s="23"/>
    </row>
    <row r="150" spans="1:15" x14ac:dyDescent="0.2">
      <c r="A150" s="4">
        <v>2027</v>
      </c>
      <c r="B150" s="4">
        <v>11</v>
      </c>
      <c r="C150" s="4"/>
      <c r="D150" s="4"/>
      <c r="E150" s="43"/>
      <c r="F150" s="4"/>
      <c r="G150" s="8"/>
      <c r="H150" s="48"/>
      <c r="I150" s="8"/>
      <c r="K150" s="23"/>
      <c r="L150" s="23"/>
      <c r="M150" s="23"/>
      <c r="N150" s="23"/>
      <c r="O150" s="23"/>
    </row>
    <row r="151" spans="1:15" x14ac:dyDescent="0.2">
      <c r="A151" s="4">
        <v>2027</v>
      </c>
      <c r="B151" s="4">
        <v>12</v>
      </c>
      <c r="C151" s="4"/>
      <c r="D151" s="4"/>
      <c r="E151" s="43"/>
      <c r="F151" s="4"/>
      <c r="G151" s="8"/>
      <c r="H151" s="48"/>
      <c r="I151" s="8"/>
      <c r="K151" s="23"/>
      <c r="L151" s="23"/>
      <c r="M151" s="23"/>
      <c r="N151" s="23"/>
      <c r="O151" s="23"/>
    </row>
    <row r="152" spans="1:15" x14ac:dyDescent="0.2">
      <c r="A152" s="4">
        <v>2028</v>
      </c>
      <c r="B152" s="4">
        <v>1</v>
      </c>
      <c r="C152" s="4"/>
      <c r="D152" s="4"/>
      <c r="E152" s="43"/>
      <c r="F152" s="4"/>
      <c r="G152" s="8"/>
      <c r="H152" s="48"/>
      <c r="I152" s="8"/>
      <c r="K152" s="23"/>
      <c r="L152" s="23"/>
      <c r="M152" s="23"/>
      <c r="N152" s="23"/>
      <c r="O152" s="23"/>
    </row>
    <row r="153" spans="1:15" x14ac:dyDescent="0.2">
      <c r="A153" s="4">
        <v>2028</v>
      </c>
      <c r="B153" s="4">
        <v>2</v>
      </c>
      <c r="C153" s="4"/>
      <c r="D153" s="4"/>
      <c r="E153" s="43"/>
      <c r="F153" s="4"/>
      <c r="G153" s="8"/>
      <c r="H153" s="48"/>
      <c r="I153" s="8"/>
      <c r="K153" s="23"/>
      <c r="L153" s="23"/>
      <c r="M153" s="23"/>
      <c r="N153" s="23"/>
      <c r="O153" s="23"/>
    </row>
    <row r="154" spans="1:15" x14ac:dyDescent="0.2">
      <c r="A154" s="4">
        <v>2028</v>
      </c>
      <c r="B154" s="4">
        <v>3</v>
      </c>
      <c r="C154" s="4"/>
      <c r="D154" s="4"/>
      <c r="E154" s="43"/>
      <c r="F154" s="4"/>
      <c r="G154" s="8"/>
      <c r="H154" s="48"/>
      <c r="I154" s="8"/>
      <c r="K154" s="23"/>
      <c r="L154" s="23"/>
      <c r="M154" s="23"/>
      <c r="N154" s="23"/>
      <c r="O154" s="23"/>
    </row>
    <row r="155" spans="1:15" x14ac:dyDescent="0.2">
      <c r="A155" s="4">
        <v>2028</v>
      </c>
      <c r="B155" s="4">
        <v>4</v>
      </c>
      <c r="C155" s="4"/>
      <c r="D155" s="4"/>
      <c r="E155" s="43"/>
      <c r="F155" s="4"/>
      <c r="G155" s="8"/>
      <c r="H155" s="48"/>
      <c r="I155" s="8"/>
      <c r="K155" s="23"/>
      <c r="L155" s="23"/>
      <c r="M155" s="23"/>
      <c r="N155" s="23"/>
      <c r="O155" s="23"/>
    </row>
    <row r="156" spans="1:15" x14ac:dyDescent="0.2">
      <c r="A156" s="4">
        <v>2028</v>
      </c>
      <c r="B156" s="4">
        <v>5</v>
      </c>
      <c r="C156" s="4"/>
      <c r="D156" s="4"/>
      <c r="E156" s="43"/>
      <c r="F156" s="4"/>
      <c r="G156" s="8"/>
      <c r="H156" s="48"/>
      <c r="I156" s="8"/>
      <c r="K156" s="23"/>
      <c r="L156" s="23"/>
      <c r="M156" s="23"/>
      <c r="N156" s="23"/>
      <c r="O156" s="23"/>
    </row>
    <row r="157" spans="1:15" x14ac:dyDescent="0.2">
      <c r="A157" s="4">
        <v>2028</v>
      </c>
      <c r="B157" s="4">
        <v>6</v>
      </c>
      <c r="C157" s="4"/>
      <c r="D157" s="4"/>
      <c r="E157" s="43"/>
      <c r="F157" s="4"/>
      <c r="G157" s="8"/>
      <c r="H157" s="48"/>
      <c r="I157" s="8"/>
      <c r="K157" s="23"/>
      <c r="L157" s="23"/>
      <c r="M157" s="23"/>
      <c r="N157" s="23"/>
      <c r="O157" s="23"/>
    </row>
    <row r="158" spans="1:15" x14ac:dyDescent="0.2">
      <c r="A158" s="4">
        <v>2028</v>
      </c>
      <c r="B158" s="4">
        <v>7</v>
      </c>
      <c r="C158" s="4"/>
      <c r="D158" s="4"/>
      <c r="E158" s="43"/>
      <c r="F158" s="4"/>
      <c r="G158" s="8"/>
      <c r="H158" s="48"/>
      <c r="I158" s="8"/>
      <c r="K158" s="23"/>
      <c r="L158" s="23"/>
      <c r="M158" s="23"/>
      <c r="N158" s="23"/>
      <c r="O158" s="23"/>
    </row>
    <row r="159" spans="1:15" x14ac:dyDescent="0.2">
      <c r="A159" s="4">
        <v>2028</v>
      </c>
      <c r="B159" s="4">
        <v>8</v>
      </c>
      <c r="C159" s="4"/>
      <c r="D159" s="4"/>
      <c r="E159" s="43"/>
      <c r="F159" s="4"/>
      <c r="G159" s="8"/>
      <c r="H159" s="48"/>
      <c r="I159" s="8"/>
      <c r="K159" s="23"/>
      <c r="L159" s="23"/>
      <c r="M159" s="23"/>
      <c r="N159" s="23"/>
      <c r="O159" s="23"/>
    </row>
    <row r="160" spans="1:15" x14ac:dyDescent="0.2">
      <c r="A160" s="4">
        <v>2028</v>
      </c>
      <c r="B160" s="4">
        <v>9</v>
      </c>
      <c r="C160" s="4"/>
      <c r="D160" s="4"/>
      <c r="E160" s="43"/>
      <c r="F160" s="4"/>
      <c r="G160" s="8"/>
      <c r="H160" s="48"/>
      <c r="I160" s="8"/>
      <c r="K160" s="23"/>
      <c r="L160" s="23"/>
      <c r="M160" s="23"/>
      <c r="N160" s="23"/>
      <c r="O160" s="23"/>
    </row>
    <row r="161" spans="1:15" x14ac:dyDescent="0.2">
      <c r="A161" s="4">
        <v>2028</v>
      </c>
      <c r="B161" s="4">
        <v>10</v>
      </c>
      <c r="C161" s="4"/>
      <c r="D161" s="4"/>
      <c r="E161" s="43"/>
      <c r="F161" s="4"/>
      <c r="G161" s="8"/>
      <c r="H161" s="48"/>
      <c r="I161" s="8"/>
      <c r="K161" s="23"/>
      <c r="L161" s="23"/>
      <c r="M161" s="23"/>
      <c r="N161" s="23"/>
      <c r="O161" s="23"/>
    </row>
    <row r="162" spans="1:15" x14ac:dyDescent="0.2">
      <c r="A162" s="4">
        <v>2028</v>
      </c>
      <c r="B162" s="4">
        <v>11</v>
      </c>
      <c r="C162" s="4"/>
      <c r="D162" s="4"/>
      <c r="E162" s="43"/>
      <c r="F162" s="4"/>
      <c r="G162" s="8"/>
      <c r="H162" s="48"/>
      <c r="I162" s="8"/>
      <c r="K162" s="23"/>
      <c r="L162" s="23"/>
      <c r="M162" s="23"/>
      <c r="N162" s="23"/>
      <c r="O162" s="23"/>
    </row>
    <row r="163" spans="1:15" x14ac:dyDescent="0.2">
      <c r="A163" s="4">
        <v>2028</v>
      </c>
      <c r="B163" s="4">
        <v>12</v>
      </c>
      <c r="C163" s="4"/>
      <c r="D163" s="4"/>
      <c r="E163" s="43"/>
      <c r="F163" s="4"/>
      <c r="G163" s="8"/>
      <c r="H163" s="48"/>
      <c r="I163" s="8"/>
      <c r="K163" s="23"/>
      <c r="L163" s="23"/>
      <c r="M163" s="23"/>
      <c r="N163" s="23"/>
      <c r="O163" s="23"/>
    </row>
    <row r="164" spans="1:15" x14ac:dyDescent="0.2">
      <c r="A164" s="4">
        <v>2029</v>
      </c>
      <c r="B164" s="4">
        <v>1</v>
      </c>
      <c r="C164" s="4"/>
      <c r="D164" s="4"/>
      <c r="E164" s="43"/>
      <c r="F164" s="4"/>
      <c r="G164" s="8"/>
      <c r="H164" s="48"/>
      <c r="I164" s="8"/>
      <c r="K164" s="23"/>
      <c r="L164" s="23"/>
      <c r="M164" s="23"/>
      <c r="N164" s="23"/>
      <c r="O164" s="23"/>
    </row>
    <row r="165" spans="1:15" x14ac:dyDescent="0.2">
      <c r="A165" s="4">
        <v>2029</v>
      </c>
      <c r="B165" s="4">
        <v>2</v>
      </c>
      <c r="C165" s="4"/>
      <c r="D165" s="4"/>
      <c r="E165" s="43"/>
      <c r="F165" s="4"/>
      <c r="G165" s="8"/>
      <c r="H165" s="48"/>
      <c r="I165" s="8"/>
      <c r="K165" s="23"/>
      <c r="L165" s="23"/>
      <c r="M165" s="23"/>
      <c r="N165" s="23"/>
      <c r="O165" s="23"/>
    </row>
    <row r="166" spans="1:15" x14ac:dyDescent="0.2">
      <c r="A166" s="4">
        <v>2029</v>
      </c>
      <c r="B166" s="4">
        <v>3</v>
      </c>
      <c r="C166" s="4"/>
      <c r="D166" s="4"/>
      <c r="E166" s="43"/>
      <c r="F166" s="4"/>
      <c r="G166" s="8"/>
      <c r="H166" s="48"/>
      <c r="I166" s="8"/>
      <c r="K166" s="23"/>
      <c r="L166" s="23"/>
      <c r="M166" s="23"/>
      <c r="N166" s="23"/>
      <c r="O166" s="23"/>
    </row>
    <row r="167" spans="1:15" x14ac:dyDescent="0.2">
      <c r="A167" s="4">
        <v>2029</v>
      </c>
      <c r="B167" s="4">
        <v>4</v>
      </c>
      <c r="C167" s="4"/>
      <c r="D167" s="4"/>
      <c r="E167" s="43"/>
      <c r="F167" s="4"/>
      <c r="G167" s="8"/>
      <c r="H167" s="48"/>
      <c r="I167" s="8"/>
      <c r="K167" s="23"/>
      <c r="L167" s="23"/>
      <c r="M167" s="23"/>
      <c r="N167" s="23"/>
      <c r="O167" s="23"/>
    </row>
    <row r="168" spans="1:15" x14ac:dyDescent="0.2">
      <c r="A168" s="4">
        <v>2029</v>
      </c>
      <c r="B168" s="4">
        <v>5</v>
      </c>
      <c r="C168" s="4"/>
      <c r="D168" s="4"/>
      <c r="E168" s="43"/>
      <c r="F168" s="4"/>
      <c r="G168" s="8"/>
      <c r="H168" s="48"/>
      <c r="I168" s="8"/>
      <c r="K168" s="23"/>
      <c r="L168" s="23"/>
      <c r="M168" s="23"/>
      <c r="N168" s="23"/>
      <c r="O168" s="23"/>
    </row>
    <row r="169" spans="1:15" x14ac:dyDescent="0.2">
      <c r="A169" s="4">
        <v>2029</v>
      </c>
      <c r="B169" s="4">
        <v>6</v>
      </c>
      <c r="C169" s="4"/>
      <c r="D169" s="4"/>
      <c r="E169" s="43"/>
      <c r="F169" s="4"/>
      <c r="G169" s="8"/>
      <c r="H169" s="48"/>
      <c r="I169" s="8"/>
      <c r="K169" s="23"/>
      <c r="L169" s="23"/>
      <c r="M169" s="23"/>
      <c r="N169" s="23"/>
      <c r="O169" s="23"/>
    </row>
    <row r="170" spans="1:15" x14ac:dyDescent="0.2">
      <c r="A170" s="4">
        <v>2029</v>
      </c>
      <c r="B170" s="4">
        <v>7</v>
      </c>
      <c r="C170" s="4"/>
      <c r="D170" s="4"/>
      <c r="E170" s="43"/>
      <c r="F170" s="4"/>
      <c r="G170" s="8"/>
      <c r="H170" s="48"/>
      <c r="I170" s="8"/>
      <c r="K170" s="23"/>
      <c r="L170" s="23"/>
      <c r="M170" s="23"/>
      <c r="N170" s="23"/>
      <c r="O170" s="23"/>
    </row>
    <row r="171" spans="1:15" x14ac:dyDescent="0.2">
      <c r="A171" s="4">
        <v>2029</v>
      </c>
      <c r="B171" s="4">
        <v>8</v>
      </c>
      <c r="C171" s="4"/>
      <c r="D171" s="4"/>
      <c r="E171" s="43"/>
      <c r="F171" s="4"/>
      <c r="G171" s="8"/>
      <c r="H171" s="48"/>
      <c r="I171" s="8"/>
      <c r="K171" s="23"/>
      <c r="L171" s="23"/>
      <c r="M171" s="23"/>
      <c r="N171" s="23"/>
      <c r="O171" s="23"/>
    </row>
    <row r="172" spans="1:15" x14ac:dyDescent="0.2">
      <c r="A172" s="4">
        <v>2029</v>
      </c>
      <c r="B172" s="4">
        <v>9</v>
      </c>
      <c r="C172" s="4"/>
      <c r="D172" s="4"/>
      <c r="E172" s="43"/>
      <c r="F172" s="4"/>
      <c r="G172" s="8"/>
      <c r="H172" s="48"/>
      <c r="I172" s="8"/>
      <c r="K172" s="23"/>
      <c r="L172" s="23"/>
      <c r="M172" s="23"/>
      <c r="N172" s="23"/>
      <c r="O172" s="23"/>
    </row>
    <row r="173" spans="1:15" x14ac:dyDescent="0.2">
      <c r="A173" s="4">
        <v>2029</v>
      </c>
      <c r="B173" s="4">
        <v>10</v>
      </c>
      <c r="C173" s="4"/>
      <c r="D173" s="4"/>
      <c r="E173" s="43"/>
      <c r="F173" s="4"/>
      <c r="G173" s="8"/>
      <c r="H173" s="48"/>
      <c r="I173" s="8"/>
      <c r="K173" s="23"/>
      <c r="L173" s="23"/>
      <c r="M173" s="23"/>
      <c r="N173" s="23"/>
      <c r="O173" s="23"/>
    </row>
    <row r="174" spans="1:15" x14ac:dyDescent="0.2">
      <c r="A174" s="4">
        <v>2029</v>
      </c>
      <c r="B174" s="4">
        <v>11</v>
      </c>
      <c r="C174" s="4"/>
      <c r="D174" s="4"/>
      <c r="E174" s="43"/>
      <c r="F174" s="4"/>
      <c r="G174" s="8"/>
      <c r="H174" s="48"/>
      <c r="I174" s="8"/>
      <c r="K174" s="23"/>
      <c r="L174" s="23"/>
      <c r="M174" s="23"/>
      <c r="N174" s="23"/>
      <c r="O174" s="23"/>
    </row>
    <row r="175" spans="1:15" x14ac:dyDescent="0.2">
      <c r="A175" s="4">
        <v>2029</v>
      </c>
      <c r="B175" s="4">
        <v>12</v>
      </c>
      <c r="C175" s="4"/>
      <c r="D175" s="4"/>
      <c r="E175" s="43"/>
      <c r="F175" s="4"/>
      <c r="G175" s="8"/>
      <c r="H175" s="48"/>
      <c r="I175" s="8"/>
      <c r="K175" s="23"/>
      <c r="L175" s="23"/>
      <c r="M175" s="23"/>
      <c r="N175" s="23"/>
      <c r="O175" s="23"/>
    </row>
    <row r="176" spans="1:15" x14ac:dyDescent="0.2">
      <c r="A176" s="4">
        <v>2030</v>
      </c>
      <c r="B176" s="4">
        <v>1</v>
      </c>
      <c r="C176" s="4"/>
      <c r="D176" s="4"/>
      <c r="E176" s="43"/>
      <c r="F176" s="4"/>
      <c r="G176" s="8"/>
      <c r="H176" s="48"/>
      <c r="I176" s="8"/>
      <c r="K176" s="23"/>
      <c r="L176" s="23"/>
      <c r="M176" s="23"/>
      <c r="N176" s="23"/>
      <c r="O176" s="23"/>
    </row>
    <row r="177" spans="1:15" x14ac:dyDescent="0.2">
      <c r="A177" s="4">
        <v>2030</v>
      </c>
      <c r="B177" s="4">
        <v>2</v>
      </c>
      <c r="C177" s="4"/>
      <c r="D177" s="4"/>
      <c r="E177" s="43"/>
      <c r="F177" s="4"/>
      <c r="G177" s="8"/>
      <c r="H177" s="48"/>
      <c r="I177" s="8"/>
      <c r="K177" s="23"/>
      <c r="L177" s="23"/>
      <c r="M177" s="23"/>
      <c r="N177" s="23"/>
      <c r="O177" s="23"/>
    </row>
    <row r="178" spans="1:15" x14ac:dyDescent="0.2">
      <c r="A178" s="4">
        <v>2030</v>
      </c>
      <c r="B178" s="4">
        <v>3</v>
      </c>
      <c r="C178" s="4"/>
      <c r="D178" s="4"/>
      <c r="E178" s="43"/>
      <c r="F178" s="4"/>
      <c r="G178" s="8"/>
      <c r="H178" s="48"/>
      <c r="I178" s="8"/>
      <c r="K178" s="23"/>
      <c r="L178" s="23"/>
      <c r="M178" s="23"/>
      <c r="N178" s="23"/>
      <c r="O178" s="23"/>
    </row>
    <row r="179" spans="1:15" x14ac:dyDescent="0.2">
      <c r="A179" s="4">
        <v>2030</v>
      </c>
      <c r="B179" s="4">
        <v>4</v>
      </c>
      <c r="C179" s="4"/>
      <c r="D179" s="4"/>
      <c r="E179" s="43"/>
      <c r="F179" s="4"/>
      <c r="G179" s="8"/>
      <c r="H179" s="48"/>
      <c r="I179" s="8"/>
      <c r="K179" s="23"/>
      <c r="L179" s="23"/>
      <c r="M179" s="23"/>
      <c r="N179" s="23"/>
      <c r="O179" s="23"/>
    </row>
    <row r="180" spans="1:15" x14ac:dyDescent="0.2">
      <c r="A180" s="4">
        <v>2030</v>
      </c>
      <c r="B180" s="4">
        <v>5</v>
      </c>
      <c r="C180" s="4"/>
      <c r="D180" s="4"/>
      <c r="E180" s="43"/>
      <c r="F180" s="4"/>
      <c r="G180" s="8"/>
      <c r="H180" s="48"/>
      <c r="I180" s="8"/>
      <c r="K180" s="23"/>
      <c r="L180" s="23"/>
      <c r="M180" s="23"/>
      <c r="N180" s="23"/>
      <c r="O180" s="23"/>
    </row>
    <row r="181" spans="1:15" x14ac:dyDescent="0.2">
      <c r="A181" s="4">
        <v>2030</v>
      </c>
      <c r="B181" s="4">
        <v>6</v>
      </c>
      <c r="C181" s="4"/>
      <c r="D181" s="4"/>
      <c r="E181" s="43"/>
      <c r="F181" s="4"/>
      <c r="G181" s="8"/>
      <c r="H181" s="48"/>
      <c r="I181" s="8"/>
      <c r="K181" s="23"/>
      <c r="L181" s="23"/>
      <c r="M181" s="23"/>
      <c r="N181" s="23"/>
      <c r="O181" s="23"/>
    </row>
    <row r="182" spans="1:15" x14ac:dyDescent="0.2">
      <c r="A182" s="4">
        <v>2030</v>
      </c>
      <c r="B182" s="4">
        <v>7</v>
      </c>
      <c r="C182" s="4"/>
      <c r="D182" s="4"/>
      <c r="E182" s="43"/>
      <c r="F182" s="4"/>
      <c r="G182" s="8"/>
      <c r="H182" s="48"/>
      <c r="I182" s="8"/>
      <c r="K182" s="23"/>
      <c r="L182" s="23"/>
      <c r="M182" s="23"/>
      <c r="N182" s="23"/>
      <c r="O182" s="23"/>
    </row>
    <row r="183" spans="1:15" x14ac:dyDescent="0.2">
      <c r="A183" s="4">
        <v>2030</v>
      </c>
      <c r="B183" s="4">
        <v>8</v>
      </c>
      <c r="C183" s="4"/>
      <c r="D183" s="4"/>
      <c r="E183" s="43"/>
      <c r="F183" s="4"/>
      <c r="G183" s="8"/>
      <c r="H183" s="48"/>
      <c r="I183" s="8"/>
      <c r="K183" s="23"/>
      <c r="L183" s="23"/>
      <c r="M183" s="23"/>
      <c r="N183" s="23"/>
      <c r="O183" s="23"/>
    </row>
    <row r="184" spans="1:15" x14ac:dyDescent="0.2">
      <c r="A184" s="4">
        <v>2030</v>
      </c>
      <c r="B184" s="4">
        <v>9</v>
      </c>
      <c r="C184" s="4"/>
      <c r="D184" s="4"/>
      <c r="E184" s="43"/>
      <c r="F184" s="4"/>
      <c r="G184" s="8"/>
      <c r="H184" s="48"/>
      <c r="I184" s="8"/>
      <c r="K184" s="23"/>
      <c r="L184" s="23"/>
      <c r="M184" s="23"/>
      <c r="N184" s="23"/>
      <c r="O184" s="23"/>
    </row>
    <row r="185" spans="1:15" x14ac:dyDescent="0.2">
      <c r="A185" s="4">
        <v>2030</v>
      </c>
      <c r="B185" s="4">
        <v>10</v>
      </c>
      <c r="C185" s="4"/>
      <c r="D185" s="4"/>
      <c r="E185" s="43"/>
      <c r="F185" s="4"/>
      <c r="G185" s="8"/>
      <c r="H185" s="48"/>
      <c r="I185" s="8"/>
      <c r="K185" s="23"/>
      <c r="L185" s="23"/>
      <c r="M185" s="23"/>
      <c r="N185" s="23"/>
      <c r="O185" s="23"/>
    </row>
    <row r="186" spans="1:15" x14ac:dyDescent="0.2">
      <c r="A186" s="4">
        <v>2030</v>
      </c>
      <c r="B186" s="4">
        <v>11</v>
      </c>
      <c r="C186" s="4"/>
      <c r="D186" s="4"/>
      <c r="E186" s="43"/>
      <c r="F186" s="4"/>
      <c r="G186" s="8"/>
      <c r="H186" s="48"/>
      <c r="I186" s="8"/>
      <c r="K186" s="23"/>
      <c r="L186" s="23"/>
      <c r="M186" s="23"/>
      <c r="N186" s="23"/>
      <c r="O186" s="23"/>
    </row>
    <row r="187" spans="1:15" x14ac:dyDescent="0.2">
      <c r="A187" s="4">
        <v>2030</v>
      </c>
      <c r="B187" s="4">
        <v>12</v>
      </c>
      <c r="C187" s="4"/>
      <c r="D187" s="4"/>
      <c r="E187" s="43"/>
      <c r="F187" s="4"/>
      <c r="G187" s="8"/>
      <c r="H187" s="48"/>
      <c r="I187" s="8"/>
      <c r="K187" s="23"/>
      <c r="L187" s="23"/>
      <c r="M187" s="23"/>
      <c r="N187" s="23"/>
      <c r="O187" s="23"/>
    </row>
    <row r="188" spans="1:15" x14ac:dyDescent="0.2">
      <c r="A188" s="4">
        <v>2031</v>
      </c>
      <c r="B188" s="4">
        <v>1</v>
      </c>
      <c r="C188" s="4"/>
      <c r="D188" s="4"/>
      <c r="E188" s="43"/>
      <c r="F188" s="4"/>
      <c r="G188" s="8"/>
      <c r="H188" s="48"/>
      <c r="I188" s="8"/>
      <c r="K188" s="23"/>
      <c r="L188" s="23"/>
      <c r="M188" s="23"/>
      <c r="N188" s="23"/>
      <c r="O188" s="23"/>
    </row>
    <row r="189" spans="1:15" x14ac:dyDescent="0.2">
      <c r="A189" s="4">
        <v>2031</v>
      </c>
      <c r="B189" s="4">
        <v>2</v>
      </c>
      <c r="C189" s="4"/>
      <c r="D189" s="4"/>
      <c r="E189" s="43"/>
      <c r="F189" s="4"/>
      <c r="G189" s="8"/>
      <c r="H189" s="48"/>
      <c r="I189" s="8"/>
      <c r="K189" s="23"/>
      <c r="L189" s="23"/>
      <c r="M189" s="23"/>
      <c r="N189" s="23"/>
      <c r="O189" s="23"/>
    </row>
    <row r="190" spans="1:15" x14ac:dyDescent="0.2">
      <c r="A190" s="4">
        <v>2031</v>
      </c>
      <c r="B190" s="4">
        <v>3</v>
      </c>
      <c r="C190" s="4"/>
      <c r="D190" s="4"/>
      <c r="E190" s="43"/>
      <c r="F190" s="4"/>
      <c r="G190" s="8"/>
      <c r="H190" s="48"/>
      <c r="I190" s="8"/>
      <c r="K190" s="23"/>
      <c r="L190" s="23"/>
      <c r="M190" s="23"/>
      <c r="N190" s="23"/>
      <c r="O190" s="23"/>
    </row>
    <row r="191" spans="1:15" x14ac:dyDescent="0.2">
      <c r="A191" s="4">
        <v>2031</v>
      </c>
      <c r="B191" s="4">
        <v>4</v>
      </c>
      <c r="C191" s="4"/>
      <c r="D191" s="4"/>
      <c r="E191" s="43"/>
      <c r="F191" s="4"/>
      <c r="G191" s="8"/>
      <c r="H191" s="48"/>
      <c r="I191" s="8"/>
      <c r="K191" s="23"/>
      <c r="L191" s="23"/>
      <c r="M191" s="23"/>
      <c r="N191" s="23"/>
      <c r="O191" s="23"/>
    </row>
    <row r="192" spans="1:15" x14ac:dyDescent="0.2">
      <c r="A192" s="4">
        <v>2031</v>
      </c>
      <c r="B192" s="4">
        <v>5</v>
      </c>
      <c r="C192" s="4"/>
      <c r="D192" s="4"/>
      <c r="E192" s="43"/>
      <c r="F192" s="4"/>
      <c r="G192" s="8"/>
      <c r="H192" s="48"/>
      <c r="I192" s="8"/>
      <c r="K192" s="23"/>
      <c r="L192" s="23"/>
      <c r="M192" s="23"/>
      <c r="N192" s="23"/>
      <c r="O192" s="23"/>
    </row>
    <row r="193" spans="1:15" x14ac:dyDescent="0.2">
      <c r="A193" s="4">
        <v>2031</v>
      </c>
      <c r="B193" s="4">
        <v>6</v>
      </c>
      <c r="C193" s="4"/>
      <c r="D193" s="4"/>
      <c r="E193" s="43"/>
      <c r="F193" s="4"/>
      <c r="G193" s="8"/>
      <c r="H193" s="48"/>
      <c r="I193" s="8"/>
      <c r="K193" s="23"/>
      <c r="L193" s="23"/>
      <c r="M193" s="23"/>
      <c r="N193" s="23"/>
      <c r="O193" s="23"/>
    </row>
    <row r="194" spans="1:15" x14ac:dyDescent="0.2">
      <c r="A194" s="4">
        <v>2031</v>
      </c>
      <c r="B194" s="4">
        <v>7</v>
      </c>
      <c r="C194" s="4"/>
      <c r="D194" s="4"/>
      <c r="E194" s="43"/>
      <c r="F194" s="4"/>
      <c r="G194" s="8"/>
      <c r="H194" s="48"/>
      <c r="I194" s="8"/>
      <c r="K194" s="23"/>
      <c r="L194" s="23"/>
      <c r="M194" s="23"/>
      <c r="N194" s="23"/>
      <c r="O194" s="23"/>
    </row>
    <row r="195" spans="1:15" x14ac:dyDescent="0.2">
      <c r="A195" s="4">
        <v>2031</v>
      </c>
      <c r="B195" s="4">
        <v>8</v>
      </c>
      <c r="C195" s="4"/>
      <c r="D195" s="4"/>
      <c r="E195" s="43"/>
      <c r="F195" s="4"/>
      <c r="G195" s="8"/>
      <c r="H195" s="48"/>
      <c r="I195" s="8"/>
      <c r="K195" s="23"/>
      <c r="L195" s="23"/>
      <c r="M195" s="23"/>
      <c r="N195" s="23"/>
      <c r="O195" s="23"/>
    </row>
    <row r="196" spans="1:15" x14ac:dyDescent="0.2">
      <c r="A196" s="4">
        <v>2031</v>
      </c>
      <c r="B196" s="4">
        <v>9</v>
      </c>
      <c r="C196" s="4"/>
      <c r="D196" s="4"/>
      <c r="E196" s="43"/>
      <c r="F196" s="4"/>
      <c r="G196" s="8"/>
      <c r="H196" s="48"/>
      <c r="I196" s="8"/>
      <c r="K196" s="23"/>
      <c r="L196" s="23"/>
      <c r="M196" s="23"/>
      <c r="N196" s="23"/>
      <c r="O196" s="23"/>
    </row>
    <row r="197" spans="1:15" x14ac:dyDescent="0.2">
      <c r="A197" s="4">
        <v>2031</v>
      </c>
      <c r="B197" s="4">
        <v>10</v>
      </c>
      <c r="C197" s="4"/>
      <c r="D197" s="4"/>
      <c r="E197" s="43"/>
      <c r="F197" s="4"/>
      <c r="G197" s="8"/>
      <c r="H197" s="48"/>
      <c r="I197" s="8"/>
      <c r="K197" s="23"/>
      <c r="L197" s="23"/>
      <c r="M197" s="23"/>
      <c r="N197" s="23"/>
      <c r="O197" s="23"/>
    </row>
    <row r="198" spans="1:15" x14ac:dyDescent="0.2">
      <c r="A198" s="4">
        <v>2031</v>
      </c>
      <c r="B198" s="4">
        <v>11</v>
      </c>
      <c r="C198" s="4"/>
      <c r="D198" s="4"/>
      <c r="E198" s="43"/>
      <c r="F198" s="4"/>
      <c r="G198" s="8"/>
      <c r="H198" s="48"/>
      <c r="I198" s="8"/>
      <c r="K198" s="23"/>
      <c r="L198" s="23"/>
      <c r="M198" s="23"/>
      <c r="N198" s="23"/>
      <c r="O198" s="23"/>
    </row>
    <row r="199" spans="1:15" x14ac:dyDescent="0.2">
      <c r="A199" s="4">
        <v>2031</v>
      </c>
      <c r="B199" s="4">
        <v>12</v>
      </c>
      <c r="C199" s="4"/>
      <c r="D199" s="4"/>
      <c r="E199" s="43"/>
      <c r="F199" s="4"/>
      <c r="G199" s="8"/>
      <c r="H199" s="48"/>
      <c r="I199" s="8"/>
      <c r="K199" s="23"/>
      <c r="L199" s="23"/>
      <c r="M199" s="23"/>
      <c r="N199" s="23"/>
      <c r="O199" s="23"/>
    </row>
    <row r="200" spans="1:15" x14ac:dyDescent="0.2">
      <c r="A200" s="4">
        <v>2032</v>
      </c>
      <c r="B200" s="4">
        <v>1</v>
      </c>
      <c r="C200" s="4"/>
      <c r="D200" s="4"/>
      <c r="E200" s="43"/>
      <c r="F200" s="4"/>
      <c r="G200" s="8"/>
      <c r="H200" s="48"/>
      <c r="I200" s="8"/>
      <c r="K200" s="23"/>
      <c r="L200" s="23"/>
      <c r="M200" s="23"/>
      <c r="N200" s="23"/>
      <c r="O200" s="23"/>
    </row>
    <row r="201" spans="1:15" x14ac:dyDescent="0.2">
      <c r="A201" s="4">
        <v>2032</v>
      </c>
      <c r="B201" s="4">
        <v>2</v>
      </c>
      <c r="C201" s="4"/>
      <c r="D201" s="4"/>
      <c r="E201" s="43"/>
      <c r="F201" s="4"/>
      <c r="G201" s="8"/>
      <c r="H201" s="48"/>
      <c r="I201" s="8"/>
      <c r="K201" s="23"/>
      <c r="L201" s="23"/>
      <c r="M201" s="23"/>
      <c r="N201" s="23"/>
      <c r="O201" s="23"/>
    </row>
    <row r="202" spans="1:15" x14ac:dyDescent="0.2">
      <c r="A202" s="4">
        <v>2032</v>
      </c>
      <c r="B202" s="4">
        <v>3</v>
      </c>
      <c r="C202" s="4"/>
      <c r="D202" s="4"/>
      <c r="E202" s="43"/>
      <c r="F202" s="4"/>
      <c r="G202" s="8"/>
      <c r="H202" s="48"/>
      <c r="I202" s="8"/>
      <c r="K202" s="23"/>
      <c r="L202" s="23"/>
      <c r="M202" s="23"/>
      <c r="N202" s="23"/>
      <c r="O202" s="23"/>
    </row>
    <row r="203" spans="1:15" x14ac:dyDescent="0.2">
      <c r="A203" s="4">
        <v>2032</v>
      </c>
      <c r="B203" s="4">
        <v>4</v>
      </c>
      <c r="C203" s="4"/>
      <c r="D203" s="4"/>
      <c r="E203" s="43"/>
      <c r="F203" s="4"/>
      <c r="G203" s="8"/>
      <c r="H203" s="48"/>
      <c r="I203" s="8"/>
      <c r="K203" s="23"/>
      <c r="L203" s="23"/>
      <c r="M203" s="23"/>
      <c r="N203" s="23"/>
      <c r="O203" s="23"/>
    </row>
    <row r="204" spans="1:15" x14ac:dyDescent="0.2">
      <c r="A204" s="4">
        <v>2032</v>
      </c>
      <c r="B204" s="4">
        <v>5</v>
      </c>
      <c r="C204" s="4"/>
      <c r="D204" s="4"/>
      <c r="E204" s="43"/>
      <c r="F204" s="4"/>
      <c r="G204" s="8"/>
      <c r="H204" s="48"/>
      <c r="I204" s="8"/>
      <c r="K204" s="23"/>
      <c r="L204" s="23"/>
      <c r="M204" s="23"/>
      <c r="N204" s="23"/>
      <c r="O204" s="23"/>
    </row>
    <row r="205" spans="1:15" x14ac:dyDescent="0.2">
      <c r="A205" s="4">
        <v>2032</v>
      </c>
      <c r="B205" s="4">
        <v>6</v>
      </c>
      <c r="C205" s="4"/>
      <c r="D205" s="4"/>
      <c r="E205" s="43"/>
      <c r="F205" s="4"/>
      <c r="G205" s="8"/>
      <c r="H205" s="48"/>
      <c r="I205" s="8"/>
      <c r="K205" s="23"/>
      <c r="L205" s="23"/>
      <c r="M205" s="23"/>
      <c r="N205" s="23"/>
      <c r="O205" s="23"/>
    </row>
    <row r="206" spans="1:15" x14ac:dyDescent="0.2">
      <c r="A206" s="4">
        <v>2032</v>
      </c>
      <c r="B206" s="4">
        <v>7</v>
      </c>
      <c r="C206" s="4"/>
      <c r="D206" s="4"/>
      <c r="E206" s="43"/>
      <c r="F206" s="4"/>
      <c r="G206" s="8"/>
      <c r="H206" s="48"/>
      <c r="I206" s="8"/>
      <c r="K206" s="23"/>
      <c r="L206" s="23"/>
      <c r="M206" s="23"/>
      <c r="N206" s="23"/>
      <c r="O206" s="23"/>
    </row>
    <row r="207" spans="1:15" x14ac:dyDescent="0.2">
      <c r="A207" s="4">
        <v>2032</v>
      </c>
      <c r="B207" s="4">
        <v>8</v>
      </c>
      <c r="C207" s="4"/>
      <c r="D207" s="4"/>
      <c r="E207" s="43"/>
      <c r="F207" s="4"/>
      <c r="G207" s="8"/>
      <c r="H207" s="48"/>
      <c r="I207" s="8"/>
      <c r="K207" s="23"/>
      <c r="L207" s="23"/>
      <c r="M207" s="23"/>
      <c r="N207" s="23"/>
      <c r="O207" s="23"/>
    </row>
    <row r="208" spans="1:15" x14ac:dyDescent="0.2">
      <c r="A208" s="4">
        <v>2032</v>
      </c>
      <c r="B208" s="4">
        <v>9</v>
      </c>
      <c r="C208" s="4"/>
      <c r="D208" s="4"/>
      <c r="E208" s="43"/>
      <c r="F208" s="4"/>
      <c r="G208" s="8"/>
      <c r="H208" s="48"/>
      <c r="I208" s="8"/>
      <c r="K208" s="23"/>
      <c r="L208" s="23"/>
      <c r="M208" s="23"/>
      <c r="N208" s="23"/>
      <c r="O208" s="23"/>
    </row>
    <row r="209" spans="1:15" x14ac:dyDescent="0.2">
      <c r="A209" s="4">
        <v>2032</v>
      </c>
      <c r="B209" s="4">
        <v>10</v>
      </c>
      <c r="C209" s="4"/>
      <c r="D209" s="4"/>
      <c r="E209" s="43"/>
      <c r="F209" s="4"/>
      <c r="G209" s="8"/>
      <c r="H209" s="48"/>
      <c r="I209" s="8"/>
      <c r="K209" s="23"/>
      <c r="L209" s="23"/>
      <c r="M209" s="23"/>
      <c r="N209" s="23"/>
      <c r="O209" s="23"/>
    </row>
    <row r="210" spans="1:15" x14ac:dyDescent="0.2">
      <c r="A210" s="4">
        <v>2032</v>
      </c>
      <c r="B210" s="4">
        <v>11</v>
      </c>
      <c r="C210" s="4"/>
      <c r="D210" s="4"/>
      <c r="E210" s="43"/>
      <c r="F210" s="4"/>
      <c r="G210" s="8"/>
      <c r="H210" s="48"/>
      <c r="I210" s="8"/>
      <c r="K210" s="23"/>
      <c r="L210" s="23"/>
      <c r="M210" s="23"/>
      <c r="N210" s="23"/>
      <c r="O210" s="23"/>
    </row>
    <row r="211" spans="1:15" x14ac:dyDescent="0.2">
      <c r="A211" s="4">
        <v>2032</v>
      </c>
      <c r="B211" s="4">
        <v>12</v>
      </c>
      <c r="C211" s="4"/>
      <c r="D211" s="4"/>
      <c r="E211" s="43"/>
      <c r="F211" s="4"/>
      <c r="G211" s="8"/>
      <c r="H211" s="48"/>
      <c r="I211" s="8"/>
      <c r="K211" s="23"/>
      <c r="L211" s="23"/>
      <c r="M211" s="23"/>
      <c r="N211" s="23"/>
      <c r="O211" s="23"/>
    </row>
    <row r="212" spans="1:15" x14ac:dyDescent="0.2">
      <c r="A212" s="4">
        <v>2033</v>
      </c>
      <c r="B212" s="4">
        <v>1</v>
      </c>
      <c r="C212" s="4"/>
      <c r="D212" s="4"/>
      <c r="E212" s="43"/>
      <c r="F212" s="4"/>
      <c r="G212" s="8"/>
      <c r="H212" s="48"/>
      <c r="I212" s="8"/>
      <c r="K212" s="23"/>
      <c r="L212" s="23"/>
      <c r="M212" s="23"/>
      <c r="N212" s="23"/>
      <c r="O212" s="23"/>
    </row>
    <row r="213" spans="1:15" x14ac:dyDescent="0.2">
      <c r="A213" s="4">
        <v>2033</v>
      </c>
      <c r="B213" s="4">
        <v>2</v>
      </c>
      <c r="C213" s="4"/>
      <c r="D213" s="4"/>
      <c r="E213" s="43"/>
      <c r="F213" s="4"/>
      <c r="G213" s="8"/>
      <c r="H213" s="48"/>
      <c r="I213" s="8"/>
      <c r="K213" s="23"/>
      <c r="L213" s="23"/>
      <c r="M213" s="23"/>
      <c r="N213" s="23"/>
      <c r="O213" s="23"/>
    </row>
    <row r="214" spans="1:15" x14ac:dyDescent="0.2">
      <c r="A214" s="4">
        <v>2033</v>
      </c>
      <c r="B214" s="4">
        <v>3</v>
      </c>
      <c r="C214" s="4"/>
      <c r="D214" s="4"/>
      <c r="E214" s="43"/>
      <c r="F214" s="4"/>
      <c r="G214" s="8"/>
      <c r="H214" s="48"/>
      <c r="I214" s="8"/>
      <c r="K214" s="23"/>
      <c r="L214" s="23"/>
      <c r="M214" s="23"/>
      <c r="N214" s="23"/>
      <c r="O214" s="23"/>
    </row>
    <row r="215" spans="1:15" x14ac:dyDescent="0.2">
      <c r="A215" s="4">
        <v>2033</v>
      </c>
      <c r="B215" s="4">
        <v>4</v>
      </c>
      <c r="C215" s="4"/>
      <c r="D215" s="4"/>
      <c r="E215" s="43"/>
      <c r="F215" s="4"/>
      <c r="G215" s="8"/>
      <c r="H215" s="48"/>
      <c r="I215" s="8"/>
      <c r="K215" s="23"/>
      <c r="L215" s="23"/>
      <c r="M215" s="23"/>
      <c r="N215" s="23"/>
      <c r="O215" s="23"/>
    </row>
    <row r="216" spans="1:15" x14ac:dyDescent="0.2">
      <c r="A216" s="4">
        <v>2033</v>
      </c>
      <c r="B216" s="4">
        <v>5</v>
      </c>
      <c r="C216" s="4"/>
      <c r="D216" s="4"/>
      <c r="E216" s="43"/>
      <c r="F216" s="4"/>
      <c r="G216" s="8"/>
      <c r="H216" s="48"/>
      <c r="I216" s="8"/>
      <c r="K216" s="23"/>
      <c r="L216" s="23"/>
      <c r="M216" s="23"/>
      <c r="N216" s="23"/>
      <c r="O216" s="23"/>
    </row>
    <row r="217" spans="1:15" x14ac:dyDescent="0.2">
      <c r="A217" s="4">
        <v>2033</v>
      </c>
      <c r="B217" s="4">
        <v>6</v>
      </c>
      <c r="C217" s="4"/>
      <c r="D217" s="4"/>
      <c r="E217" s="43"/>
      <c r="F217" s="4"/>
      <c r="G217" s="8"/>
      <c r="H217" s="48"/>
      <c r="I217" s="8"/>
      <c r="K217" s="23"/>
      <c r="L217" s="23"/>
      <c r="M217" s="23"/>
      <c r="N217" s="23"/>
      <c r="O217" s="23"/>
    </row>
    <row r="218" spans="1:15" x14ac:dyDescent="0.2">
      <c r="A218" s="4">
        <v>2033</v>
      </c>
      <c r="B218" s="4">
        <v>7</v>
      </c>
      <c r="C218" s="4"/>
      <c r="D218" s="4"/>
      <c r="E218" s="43"/>
      <c r="F218" s="4"/>
      <c r="G218" s="8"/>
      <c r="H218" s="48"/>
      <c r="I218" s="8"/>
      <c r="K218" s="23"/>
      <c r="L218" s="23"/>
      <c r="M218" s="23"/>
      <c r="N218" s="23"/>
      <c r="O218" s="23"/>
    </row>
    <row r="219" spans="1:15" x14ac:dyDescent="0.2">
      <c r="A219" s="4">
        <v>2033</v>
      </c>
      <c r="B219" s="4">
        <v>8</v>
      </c>
      <c r="C219" s="4"/>
      <c r="D219" s="4"/>
      <c r="E219" s="43"/>
      <c r="F219" s="4"/>
      <c r="G219" s="8"/>
      <c r="H219" s="48"/>
      <c r="I219" s="8"/>
      <c r="K219" s="23"/>
      <c r="L219" s="23"/>
      <c r="M219" s="23"/>
      <c r="N219" s="23"/>
      <c r="O219" s="23"/>
    </row>
    <row r="220" spans="1:15" x14ac:dyDescent="0.2">
      <c r="A220" s="4">
        <v>2033</v>
      </c>
      <c r="B220" s="4">
        <v>9</v>
      </c>
      <c r="C220" s="4"/>
      <c r="D220" s="4"/>
      <c r="E220" s="43"/>
      <c r="F220" s="4"/>
      <c r="G220" s="8"/>
      <c r="H220" s="48"/>
      <c r="I220" s="8"/>
      <c r="K220" s="23"/>
      <c r="L220" s="23"/>
      <c r="M220" s="23"/>
      <c r="N220" s="23"/>
      <c r="O220" s="23"/>
    </row>
    <row r="221" spans="1:15" x14ac:dyDescent="0.2">
      <c r="A221" s="4">
        <v>2033</v>
      </c>
      <c r="B221" s="4">
        <v>10</v>
      </c>
      <c r="C221" s="4"/>
      <c r="D221" s="4"/>
      <c r="E221" s="43"/>
      <c r="F221" s="4"/>
      <c r="G221" s="8"/>
      <c r="H221" s="48"/>
      <c r="I221" s="8"/>
      <c r="K221" s="23"/>
      <c r="L221" s="23"/>
      <c r="M221" s="23"/>
      <c r="N221" s="23"/>
      <c r="O221" s="23"/>
    </row>
    <row r="222" spans="1:15" x14ac:dyDescent="0.2">
      <c r="A222" s="4">
        <v>2033</v>
      </c>
      <c r="B222" s="4">
        <v>11</v>
      </c>
      <c r="C222" s="4"/>
      <c r="D222" s="4"/>
      <c r="E222" s="43"/>
      <c r="F222" s="4"/>
      <c r="G222" s="8"/>
      <c r="H222" s="48"/>
      <c r="I222" s="8"/>
      <c r="K222" s="23"/>
      <c r="L222" s="23"/>
      <c r="M222" s="23"/>
      <c r="N222" s="23"/>
      <c r="O222" s="23"/>
    </row>
    <row r="223" spans="1:15" x14ac:dyDescent="0.2">
      <c r="A223" s="4">
        <v>2033</v>
      </c>
      <c r="B223" s="4">
        <v>12</v>
      </c>
      <c r="C223" s="4"/>
      <c r="D223" s="4"/>
      <c r="E223" s="43"/>
      <c r="F223" s="4"/>
      <c r="G223" s="8"/>
      <c r="H223" s="48"/>
      <c r="I223" s="8"/>
      <c r="K223" s="23"/>
      <c r="L223" s="23"/>
      <c r="M223" s="23"/>
      <c r="N223" s="23"/>
      <c r="O223" s="23"/>
    </row>
    <row r="224" spans="1:15" x14ac:dyDescent="0.2">
      <c r="A224" s="4">
        <v>2034</v>
      </c>
      <c r="B224" s="4">
        <v>1</v>
      </c>
      <c r="C224" s="4"/>
      <c r="D224" s="4"/>
      <c r="E224" s="43"/>
      <c r="F224" s="4"/>
      <c r="G224" s="8"/>
      <c r="H224" s="48"/>
      <c r="I224" s="8"/>
      <c r="K224" s="23"/>
      <c r="L224" s="23"/>
      <c r="M224" s="23"/>
      <c r="N224" s="23"/>
      <c r="O224" s="23"/>
    </row>
    <row r="225" spans="1:15" x14ac:dyDescent="0.2">
      <c r="A225" s="4">
        <v>2034</v>
      </c>
      <c r="B225" s="4">
        <v>2</v>
      </c>
      <c r="C225" s="4"/>
      <c r="D225" s="4"/>
      <c r="E225" s="43"/>
      <c r="F225" s="4"/>
      <c r="G225" s="8"/>
      <c r="H225" s="48"/>
      <c r="I225" s="8"/>
      <c r="K225" s="23"/>
      <c r="L225" s="23"/>
      <c r="M225" s="23"/>
      <c r="N225" s="23"/>
      <c r="O225" s="23"/>
    </row>
    <row r="226" spans="1:15" x14ac:dyDescent="0.2">
      <c r="A226" s="4">
        <v>2034</v>
      </c>
      <c r="B226" s="4">
        <v>3</v>
      </c>
      <c r="C226" s="4"/>
      <c r="D226" s="4"/>
      <c r="E226" s="43"/>
      <c r="F226" s="4"/>
      <c r="G226" s="8"/>
      <c r="H226" s="48"/>
      <c r="I226" s="8"/>
      <c r="K226" s="23"/>
      <c r="L226" s="23"/>
      <c r="M226" s="23"/>
      <c r="N226" s="23"/>
      <c r="O226" s="23"/>
    </row>
    <row r="227" spans="1:15" x14ac:dyDescent="0.2">
      <c r="A227" s="4">
        <v>2034</v>
      </c>
      <c r="B227" s="4">
        <v>4</v>
      </c>
      <c r="C227" s="4"/>
      <c r="D227" s="4"/>
      <c r="E227" s="43"/>
      <c r="F227" s="4"/>
      <c r="G227" s="8"/>
      <c r="H227" s="48"/>
      <c r="I227" s="8"/>
      <c r="K227" s="23"/>
      <c r="L227" s="23"/>
      <c r="M227" s="23"/>
      <c r="N227" s="23"/>
      <c r="O227" s="23"/>
    </row>
    <row r="228" spans="1:15" x14ac:dyDescent="0.2">
      <c r="A228" s="4">
        <v>2034</v>
      </c>
      <c r="B228" s="4">
        <v>5</v>
      </c>
      <c r="C228" s="4"/>
      <c r="D228" s="4"/>
      <c r="E228" s="43"/>
      <c r="F228" s="4"/>
      <c r="G228" s="8"/>
      <c r="H228" s="48"/>
      <c r="I228" s="8"/>
      <c r="K228" s="23"/>
      <c r="L228" s="23"/>
      <c r="M228" s="23"/>
      <c r="N228" s="23"/>
      <c r="O228" s="23"/>
    </row>
    <row r="229" spans="1:15" x14ac:dyDescent="0.2">
      <c r="A229" s="4">
        <v>2034</v>
      </c>
      <c r="B229" s="4">
        <v>6</v>
      </c>
      <c r="C229" s="4"/>
      <c r="D229" s="4"/>
      <c r="E229" s="43"/>
      <c r="F229" s="4"/>
      <c r="G229" s="8"/>
      <c r="H229" s="48"/>
      <c r="I229" s="8"/>
      <c r="K229" s="23"/>
      <c r="L229" s="23"/>
      <c r="M229" s="23"/>
      <c r="N229" s="23"/>
      <c r="O229" s="23"/>
    </row>
    <row r="230" spans="1:15" x14ac:dyDescent="0.2">
      <c r="A230" s="4">
        <v>2034</v>
      </c>
      <c r="B230" s="4">
        <v>7</v>
      </c>
      <c r="C230" s="4"/>
      <c r="D230" s="4"/>
      <c r="E230" s="43"/>
      <c r="F230" s="4"/>
      <c r="G230" s="8"/>
      <c r="H230" s="48"/>
      <c r="I230" s="8"/>
      <c r="K230" s="23"/>
      <c r="L230" s="23"/>
      <c r="M230" s="23"/>
      <c r="N230" s="23"/>
      <c r="O230" s="23"/>
    </row>
    <row r="231" spans="1:15" x14ac:dyDescent="0.2">
      <c r="A231" s="4">
        <v>2034</v>
      </c>
      <c r="B231" s="4">
        <v>8</v>
      </c>
      <c r="C231" s="4"/>
      <c r="D231" s="4"/>
      <c r="E231" s="43"/>
      <c r="F231" s="4"/>
      <c r="G231" s="8"/>
      <c r="H231" s="48"/>
      <c r="I231" s="8"/>
      <c r="K231" s="23"/>
      <c r="L231" s="23"/>
      <c r="M231" s="23"/>
      <c r="N231" s="23"/>
      <c r="O231" s="23"/>
    </row>
    <row r="232" spans="1:15" x14ac:dyDescent="0.2">
      <c r="A232" s="4">
        <v>2034</v>
      </c>
      <c r="B232" s="4">
        <v>9</v>
      </c>
      <c r="C232" s="4"/>
      <c r="D232" s="4"/>
      <c r="E232" s="43"/>
      <c r="F232" s="4"/>
      <c r="G232" s="8"/>
      <c r="H232" s="48"/>
      <c r="I232" s="8"/>
      <c r="K232" s="23"/>
      <c r="L232" s="23"/>
      <c r="M232" s="23"/>
      <c r="N232" s="23"/>
      <c r="O232" s="23"/>
    </row>
    <row r="233" spans="1:15" x14ac:dyDescent="0.2">
      <c r="A233" s="4">
        <v>2034</v>
      </c>
      <c r="B233" s="4">
        <v>10</v>
      </c>
      <c r="C233" s="4"/>
      <c r="D233" s="4"/>
      <c r="E233" s="43"/>
      <c r="F233" s="4"/>
      <c r="G233" s="8"/>
      <c r="H233" s="48"/>
      <c r="I233" s="8"/>
      <c r="K233" s="23"/>
      <c r="L233" s="23"/>
      <c r="M233" s="23"/>
      <c r="N233" s="23"/>
      <c r="O233" s="23"/>
    </row>
    <row r="234" spans="1:15" x14ac:dyDescent="0.2">
      <c r="A234" s="4">
        <v>2034</v>
      </c>
      <c r="B234" s="4">
        <v>11</v>
      </c>
      <c r="C234" s="4"/>
      <c r="D234" s="4"/>
      <c r="E234" s="43"/>
      <c r="F234" s="4"/>
      <c r="G234" s="8"/>
      <c r="H234" s="48"/>
      <c r="I234" s="8"/>
      <c r="K234" s="23"/>
      <c r="L234" s="23"/>
      <c r="M234" s="23"/>
      <c r="N234" s="23"/>
      <c r="O234" s="23"/>
    </row>
    <row r="235" spans="1:15" x14ac:dyDescent="0.2">
      <c r="A235" s="4">
        <v>2034</v>
      </c>
      <c r="B235" s="4">
        <v>12</v>
      </c>
      <c r="C235" s="4"/>
      <c r="D235" s="4"/>
      <c r="E235" s="43"/>
      <c r="F235" s="4"/>
      <c r="G235" s="8"/>
      <c r="H235" s="48"/>
      <c r="I235" s="8"/>
      <c r="K235" s="23"/>
      <c r="L235" s="23"/>
      <c r="M235" s="23"/>
      <c r="N235" s="23"/>
      <c r="O235" s="23"/>
    </row>
    <row r="236" spans="1:15" x14ac:dyDescent="0.2">
      <c r="A236" s="4">
        <v>2035</v>
      </c>
      <c r="B236" s="4">
        <v>1</v>
      </c>
      <c r="C236" s="4"/>
      <c r="D236" s="4"/>
      <c r="E236" s="43"/>
      <c r="F236" s="4"/>
      <c r="G236" s="8"/>
      <c r="H236" s="48"/>
      <c r="I236" s="8"/>
      <c r="K236" s="23"/>
      <c r="L236" s="23"/>
      <c r="M236" s="23"/>
      <c r="N236" s="23"/>
      <c r="O236" s="23"/>
    </row>
    <row r="237" spans="1:15" x14ac:dyDescent="0.2">
      <c r="A237" s="4">
        <v>2035</v>
      </c>
      <c r="B237" s="4">
        <v>2</v>
      </c>
      <c r="C237" s="4"/>
      <c r="D237" s="4"/>
      <c r="E237" s="43"/>
      <c r="F237" s="4"/>
      <c r="G237" s="8"/>
      <c r="H237" s="48"/>
      <c r="I237" s="8"/>
      <c r="K237" s="23"/>
      <c r="L237" s="23"/>
      <c r="M237" s="23"/>
      <c r="N237" s="23"/>
      <c r="O237" s="23"/>
    </row>
    <row r="238" spans="1:15" x14ac:dyDescent="0.2">
      <c r="A238" s="4">
        <v>2035</v>
      </c>
      <c r="B238" s="4">
        <v>3</v>
      </c>
      <c r="C238" s="4"/>
      <c r="D238" s="4"/>
      <c r="E238" s="43"/>
      <c r="F238" s="4"/>
      <c r="G238" s="8"/>
      <c r="H238" s="48"/>
      <c r="I238" s="8"/>
      <c r="K238" s="23"/>
      <c r="L238" s="23"/>
      <c r="M238" s="23"/>
      <c r="N238" s="23"/>
      <c r="O238" s="23"/>
    </row>
    <row r="239" spans="1:15" x14ac:dyDescent="0.2">
      <c r="A239" s="4">
        <v>2035</v>
      </c>
      <c r="B239" s="4">
        <v>4</v>
      </c>
      <c r="C239" s="4"/>
      <c r="D239" s="4"/>
      <c r="E239" s="43"/>
      <c r="F239" s="4"/>
      <c r="G239" s="8"/>
      <c r="H239" s="48"/>
      <c r="I239" s="8"/>
      <c r="K239" s="23"/>
      <c r="L239" s="23"/>
      <c r="M239" s="23"/>
      <c r="N239" s="23"/>
      <c r="O239" s="23"/>
    </row>
    <row r="240" spans="1:15" x14ac:dyDescent="0.2">
      <c r="A240" s="4">
        <v>2035</v>
      </c>
      <c r="B240" s="4">
        <v>5</v>
      </c>
      <c r="C240" s="4"/>
      <c r="D240" s="4"/>
      <c r="E240" s="43"/>
      <c r="F240" s="4"/>
      <c r="G240" s="8"/>
      <c r="H240" s="48"/>
      <c r="I240" s="8"/>
      <c r="K240" s="23"/>
      <c r="L240" s="23"/>
      <c r="M240" s="23"/>
      <c r="N240" s="23"/>
      <c r="O240" s="23"/>
    </row>
    <row r="241" spans="1:15" x14ac:dyDescent="0.2">
      <c r="A241" s="4">
        <v>2035</v>
      </c>
      <c r="B241" s="4">
        <v>6</v>
      </c>
      <c r="C241" s="4"/>
      <c r="D241" s="4"/>
      <c r="E241" s="43"/>
      <c r="F241" s="4"/>
      <c r="G241" s="8"/>
      <c r="H241" s="48"/>
      <c r="I241" s="8"/>
      <c r="K241" s="23"/>
      <c r="L241" s="23"/>
      <c r="M241" s="23"/>
      <c r="N241" s="23"/>
      <c r="O241" s="23"/>
    </row>
    <row r="242" spans="1:15" x14ac:dyDescent="0.2">
      <c r="A242" s="4">
        <v>2035</v>
      </c>
      <c r="B242" s="4">
        <v>7</v>
      </c>
      <c r="C242" s="4"/>
      <c r="D242" s="4"/>
      <c r="E242" s="43"/>
      <c r="F242" s="4"/>
      <c r="G242" s="8"/>
      <c r="H242" s="48"/>
      <c r="I242" s="8"/>
      <c r="K242" s="23"/>
      <c r="L242" s="23"/>
      <c r="M242" s="23"/>
      <c r="N242" s="23"/>
      <c r="O242" s="23"/>
    </row>
    <row r="243" spans="1:15" x14ac:dyDescent="0.2">
      <c r="A243" s="4">
        <v>2035</v>
      </c>
      <c r="B243" s="4">
        <v>8</v>
      </c>
      <c r="C243" s="4"/>
      <c r="D243" s="4"/>
      <c r="E243" s="43"/>
      <c r="F243" s="4"/>
      <c r="G243" s="8"/>
      <c r="H243" s="48"/>
      <c r="I243" s="8"/>
      <c r="K243" s="23"/>
      <c r="L243" s="23"/>
      <c r="M243" s="23"/>
      <c r="N243" s="23"/>
      <c r="O243" s="23"/>
    </row>
    <row r="244" spans="1:15" x14ac:dyDescent="0.2">
      <c r="A244" s="4">
        <v>2035</v>
      </c>
      <c r="B244" s="4">
        <v>9</v>
      </c>
      <c r="C244" s="4"/>
      <c r="D244" s="4"/>
      <c r="E244" s="43"/>
      <c r="F244" s="4"/>
      <c r="G244" s="8"/>
      <c r="H244" s="48"/>
      <c r="I244" s="8"/>
      <c r="K244" s="23"/>
      <c r="L244" s="23"/>
      <c r="M244" s="23"/>
      <c r="N244" s="23"/>
      <c r="O244" s="23"/>
    </row>
    <row r="245" spans="1:15" x14ac:dyDescent="0.2">
      <c r="A245" s="4">
        <v>2035</v>
      </c>
      <c r="B245" s="4">
        <v>10</v>
      </c>
      <c r="C245" s="4"/>
      <c r="D245" s="4"/>
      <c r="E245" s="43"/>
      <c r="F245" s="4"/>
      <c r="G245" s="8"/>
      <c r="H245" s="48"/>
      <c r="I245" s="8"/>
      <c r="K245" s="23"/>
      <c r="L245" s="23"/>
      <c r="M245" s="23"/>
      <c r="N245" s="23"/>
      <c r="O245" s="23"/>
    </row>
    <row r="246" spans="1:15" x14ac:dyDescent="0.2">
      <c r="A246" s="4">
        <v>2035</v>
      </c>
      <c r="B246" s="4">
        <v>11</v>
      </c>
      <c r="C246" s="4"/>
      <c r="D246" s="4"/>
      <c r="E246" s="43"/>
      <c r="F246" s="4"/>
      <c r="G246" s="8"/>
      <c r="H246" s="48"/>
      <c r="I246" s="8"/>
      <c r="K246" s="23"/>
      <c r="L246" s="23"/>
      <c r="M246" s="23"/>
      <c r="N246" s="23"/>
      <c r="O246" s="23"/>
    </row>
    <row r="247" spans="1:15" x14ac:dyDescent="0.2">
      <c r="A247" s="4">
        <v>2035</v>
      </c>
      <c r="B247" s="4">
        <v>12</v>
      </c>
      <c r="C247" s="4"/>
      <c r="D247" s="4"/>
      <c r="E247" s="43"/>
      <c r="F247" s="4"/>
      <c r="G247" s="8"/>
      <c r="H247" s="48"/>
      <c r="I247" s="8"/>
      <c r="K247" s="23"/>
      <c r="L247" s="23"/>
      <c r="M247" s="23"/>
      <c r="N247" s="23"/>
      <c r="O247" s="23"/>
    </row>
    <row r="248" spans="1:15" x14ac:dyDescent="0.2">
      <c r="A248" s="4">
        <v>2036</v>
      </c>
      <c r="B248" s="4">
        <v>1</v>
      </c>
      <c r="C248" s="4"/>
      <c r="D248" s="4"/>
      <c r="E248" s="43"/>
      <c r="F248" s="4"/>
      <c r="G248" s="8"/>
      <c r="H248" s="48"/>
      <c r="I248" s="8"/>
      <c r="K248" s="23"/>
      <c r="L248" s="23"/>
      <c r="M248" s="23"/>
      <c r="N248" s="23"/>
      <c r="O248" s="23"/>
    </row>
    <row r="249" spans="1:15" x14ac:dyDescent="0.2">
      <c r="A249" s="4">
        <v>2036</v>
      </c>
      <c r="B249" s="4">
        <v>2</v>
      </c>
      <c r="C249" s="4"/>
      <c r="D249" s="4"/>
      <c r="E249" s="43"/>
      <c r="F249" s="4"/>
      <c r="G249" s="8"/>
      <c r="H249" s="48"/>
      <c r="I249" s="8"/>
      <c r="K249" s="23"/>
      <c r="L249" s="23"/>
      <c r="M249" s="23"/>
      <c r="N249" s="23"/>
      <c r="O249" s="23"/>
    </row>
    <row r="250" spans="1:15" x14ac:dyDescent="0.2">
      <c r="A250" s="4">
        <v>2036</v>
      </c>
      <c r="B250" s="4">
        <v>3</v>
      </c>
      <c r="C250" s="4"/>
      <c r="D250" s="4"/>
      <c r="E250" s="43"/>
      <c r="F250" s="4"/>
      <c r="G250" s="8"/>
      <c r="H250" s="48"/>
      <c r="I250" s="8"/>
      <c r="K250" s="23"/>
      <c r="L250" s="23"/>
      <c r="M250" s="23"/>
      <c r="N250" s="23"/>
      <c r="O250" s="23"/>
    </row>
    <row r="251" spans="1:15" x14ac:dyDescent="0.2">
      <c r="A251" s="4">
        <v>2036</v>
      </c>
      <c r="B251" s="4">
        <v>4</v>
      </c>
      <c r="C251" s="4"/>
      <c r="D251" s="4"/>
      <c r="E251" s="43"/>
      <c r="F251" s="4"/>
      <c r="G251" s="8"/>
      <c r="H251" s="48"/>
      <c r="I251" s="8"/>
      <c r="K251" s="23"/>
      <c r="L251" s="23"/>
      <c r="M251" s="23"/>
      <c r="N251" s="23"/>
      <c r="O251" s="23"/>
    </row>
    <row r="252" spans="1:15" x14ac:dyDescent="0.2">
      <c r="A252" s="4">
        <v>2036</v>
      </c>
      <c r="B252" s="4">
        <v>5</v>
      </c>
      <c r="C252" s="4"/>
      <c r="D252" s="4"/>
      <c r="E252" s="43"/>
      <c r="F252" s="4"/>
      <c r="G252" s="8"/>
      <c r="H252" s="48"/>
      <c r="I252" s="8"/>
      <c r="K252" s="23"/>
      <c r="L252" s="23"/>
      <c r="M252" s="23"/>
      <c r="N252" s="23"/>
      <c r="O252" s="23"/>
    </row>
    <row r="253" spans="1:15" x14ac:dyDescent="0.2">
      <c r="A253" s="4">
        <v>2036</v>
      </c>
      <c r="B253" s="4">
        <v>6</v>
      </c>
      <c r="C253" s="4"/>
      <c r="D253" s="4"/>
      <c r="E253" s="43"/>
      <c r="F253" s="4"/>
      <c r="G253" s="8"/>
      <c r="H253" s="48"/>
      <c r="I253" s="8"/>
      <c r="K253" s="23"/>
      <c r="L253" s="23"/>
      <c r="M253" s="23"/>
      <c r="N253" s="23"/>
      <c r="O253" s="23"/>
    </row>
    <row r="254" spans="1:15" x14ac:dyDescent="0.2">
      <c r="A254" s="4">
        <v>2036</v>
      </c>
      <c r="B254" s="4">
        <v>7</v>
      </c>
      <c r="C254" s="4"/>
      <c r="D254" s="4"/>
      <c r="E254" s="43"/>
      <c r="F254" s="4"/>
      <c r="G254" s="8"/>
      <c r="H254" s="48"/>
      <c r="I254" s="8"/>
      <c r="K254" s="23"/>
      <c r="L254" s="23"/>
      <c r="M254" s="23"/>
      <c r="N254" s="23"/>
      <c r="O254" s="23"/>
    </row>
    <row r="255" spans="1:15" x14ac:dyDescent="0.2">
      <c r="A255" s="4">
        <v>2036</v>
      </c>
      <c r="B255" s="4">
        <v>8</v>
      </c>
      <c r="C255" s="4"/>
      <c r="D255" s="4"/>
      <c r="E255" s="43"/>
      <c r="F255" s="4"/>
      <c r="G255" s="8"/>
      <c r="H255" s="48"/>
      <c r="I255" s="8"/>
      <c r="K255" s="23"/>
      <c r="L255" s="23"/>
      <c r="M255" s="23"/>
      <c r="N255" s="23"/>
      <c r="O255" s="23"/>
    </row>
    <row r="256" spans="1:15" x14ac:dyDescent="0.2">
      <c r="A256" s="4">
        <v>2036</v>
      </c>
      <c r="B256" s="4">
        <v>9</v>
      </c>
      <c r="C256" s="4"/>
      <c r="D256" s="4"/>
      <c r="E256" s="43"/>
      <c r="F256" s="4"/>
      <c r="G256" s="8"/>
      <c r="H256" s="48"/>
      <c r="I256" s="8"/>
      <c r="K256" s="23"/>
      <c r="L256" s="23"/>
      <c r="M256" s="23"/>
      <c r="N256" s="23"/>
      <c r="O256" s="23"/>
    </row>
    <row r="257" spans="1:15" x14ac:dyDescent="0.2">
      <c r="A257" s="4">
        <v>2036</v>
      </c>
      <c r="B257" s="4">
        <v>10</v>
      </c>
      <c r="C257" s="4"/>
      <c r="D257" s="4"/>
      <c r="E257" s="43"/>
      <c r="F257" s="4"/>
      <c r="G257" s="8"/>
      <c r="H257" s="48"/>
      <c r="I257" s="8"/>
      <c r="K257" s="23"/>
      <c r="L257" s="23"/>
      <c r="M257" s="23"/>
      <c r="N257" s="23"/>
      <c r="O257" s="23"/>
    </row>
    <row r="258" spans="1:15" x14ac:dyDescent="0.2">
      <c r="A258" s="4">
        <v>2036</v>
      </c>
      <c r="B258" s="4">
        <v>11</v>
      </c>
      <c r="C258" s="4"/>
      <c r="D258" s="4"/>
      <c r="E258" s="43"/>
      <c r="F258" s="4"/>
      <c r="G258" s="8"/>
      <c r="H258" s="48"/>
      <c r="I258" s="8"/>
      <c r="K258" s="23"/>
      <c r="L258" s="23"/>
      <c r="M258" s="23"/>
      <c r="N258" s="23"/>
      <c r="O258" s="23"/>
    </row>
    <row r="259" spans="1:15" x14ac:dyDescent="0.2">
      <c r="A259" s="4">
        <v>2036</v>
      </c>
      <c r="B259" s="4">
        <v>12</v>
      </c>
      <c r="C259" s="4"/>
      <c r="D259" s="4"/>
      <c r="E259" s="43"/>
      <c r="F259" s="4"/>
      <c r="G259" s="8"/>
      <c r="H259" s="48"/>
      <c r="I259" s="8"/>
      <c r="K259" s="23"/>
      <c r="L259" s="23"/>
      <c r="M259" s="23"/>
      <c r="N259" s="23"/>
      <c r="O259" s="23"/>
    </row>
    <row r="260" spans="1:15" x14ac:dyDescent="0.2">
      <c r="A260" s="4">
        <v>2037</v>
      </c>
      <c r="B260" s="4">
        <v>1</v>
      </c>
      <c r="C260" s="4"/>
      <c r="D260" s="4"/>
      <c r="E260" s="43"/>
      <c r="F260" s="4"/>
      <c r="G260" s="8"/>
      <c r="H260" s="48"/>
      <c r="I260" s="8"/>
      <c r="K260" s="23"/>
      <c r="L260" s="23"/>
      <c r="M260" s="23"/>
      <c r="N260" s="23"/>
      <c r="O260" s="23"/>
    </row>
    <row r="261" spans="1:15" x14ac:dyDescent="0.2">
      <c r="A261" s="4">
        <v>2037</v>
      </c>
      <c r="B261" s="4">
        <v>2</v>
      </c>
      <c r="C261" s="4"/>
      <c r="D261" s="4"/>
      <c r="E261" s="43"/>
      <c r="F261" s="4"/>
      <c r="G261" s="8"/>
      <c r="H261" s="48"/>
      <c r="I261" s="8"/>
      <c r="K261" s="23"/>
      <c r="L261" s="23"/>
      <c r="M261" s="23"/>
      <c r="N261" s="23"/>
      <c r="O261" s="23"/>
    </row>
    <row r="262" spans="1:15" x14ac:dyDescent="0.2">
      <c r="A262" s="4">
        <v>2037</v>
      </c>
      <c r="B262" s="4">
        <v>3</v>
      </c>
      <c r="C262" s="4"/>
      <c r="D262" s="4"/>
      <c r="E262" s="43"/>
      <c r="F262" s="4"/>
      <c r="G262" s="8"/>
      <c r="H262" s="48"/>
      <c r="I262" s="8"/>
      <c r="K262" s="23"/>
      <c r="L262" s="23"/>
      <c r="M262" s="23"/>
      <c r="N262" s="23"/>
      <c r="O262" s="23"/>
    </row>
    <row r="263" spans="1:15" x14ac:dyDescent="0.2">
      <c r="A263" s="4">
        <v>2037</v>
      </c>
      <c r="B263" s="4">
        <v>4</v>
      </c>
      <c r="C263" s="4"/>
      <c r="D263" s="4"/>
      <c r="E263" s="43"/>
      <c r="F263" s="4"/>
      <c r="G263" s="8"/>
      <c r="H263" s="48"/>
      <c r="I263" s="8"/>
      <c r="K263" s="23"/>
      <c r="L263" s="23"/>
      <c r="M263" s="23"/>
      <c r="N263" s="23"/>
      <c r="O263" s="23"/>
    </row>
    <row r="264" spans="1:15" x14ac:dyDescent="0.2">
      <c r="A264" s="4">
        <v>2037</v>
      </c>
      <c r="B264" s="4">
        <v>5</v>
      </c>
      <c r="C264" s="4"/>
      <c r="D264" s="4"/>
      <c r="E264" s="43"/>
      <c r="F264" s="4"/>
      <c r="G264" s="8"/>
      <c r="H264" s="48"/>
      <c r="I264" s="8"/>
      <c r="K264" s="23"/>
      <c r="L264" s="23"/>
      <c r="M264" s="23"/>
      <c r="N264" s="23"/>
      <c r="O264" s="23"/>
    </row>
    <row r="265" spans="1:15" x14ac:dyDescent="0.2">
      <c r="A265" s="4">
        <v>2037</v>
      </c>
      <c r="B265" s="4">
        <v>6</v>
      </c>
      <c r="C265" s="4"/>
      <c r="D265" s="4"/>
      <c r="E265" s="43"/>
      <c r="F265" s="4"/>
      <c r="G265" s="8"/>
      <c r="H265" s="48"/>
      <c r="I265" s="8"/>
      <c r="K265" s="23"/>
      <c r="L265" s="23"/>
      <c r="M265" s="23"/>
      <c r="N265" s="23"/>
      <c r="O265" s="23"/>
    </row>
    <row r="266" spans="1:15" x14ac:dyDescent="0.2">
      <c r="A266" s="4">
        <v>2037</v>
      </c>
      <c r="B266" s="4">
        <v>7</v>
      </c>
      <c r="C266" s="4"/>
      <c r="D266" s="4"/>
      <c r="E266" s="43"/>
      <c r="F266" s="4"/>
      <c r="G266" s="8"/>
      <c r="H266" s="48"/>
      <c r="I266" s="8"/>
      <c r="K266" s="23"/>
      <c r="L266" s="23"/>
      <c r="M266" s="23"/>
      <c r="N266" s="23"/>
      <c r="O266" s="23"/>
    </row>
    <row r="267" spans="1:15" x14ac:dyDescent="0.2">
      <c r="A267" s="4">
        <v>2037</v>
      </c>
      <c r="B267" s="4">
        <v>8</v>
      </c>
      <c r="C267" s="4"/>
      <c r="D267" s="4"/>
      <c r="E267" s="43"/>
      <c r="F267" s="4"/>
      <c r="G267" s="8"/>
      <c r="H267" s="48"/>
      <c r="I267" s="8"/>
      <c r="K267" s="23"/>
      <c r="L267" s="23"/>
      <c r="M267" s="23"/>
      <c r="N267" s="23"/>
      <c r="O267" s="23"/>
    </row>
    <row r="268" spans="1:15" x14ac:dyDescent="0.2">
      <c r="A268" s="4">
        <v>2037</v>
      </c>
      <c r="B268" s="4">
        <v>9</v>
      </c>
      <c r="C268" s="4"/>
      <c r="D268" s="4"/>
      <c r="E268" s="43"/>
      <c r="F268" s="4"/>
      <c r="G268" s="8"/>
      <c r="H268" s="48"/>
      <c r="I268" s="8"/>
      <c r="K268" s="23"/>
      <c r="L268" s="23"/>
      <c r="M268" s="23"/>
      <c r="N268" s="23"/>
      <c r="O268" s="23"/>
    </row>
    <row r="269" spans="1:15" x14ac:dyDescent="0.2">
      <c r="A269" s="4">
        <v>2037</v>
      </c>
      <c r="B269" s="4">
        <v>10</v>
      </c>
      <c r="C269" s="4"/>
      <c r="D269" s="4"/>
      <c r="E269" s="43"/>
      <c r="F269" s="4"/>
      <c r="G269" s="8"/>
      <c r="H269" s="48"/>
      <c r="I269" s="8"/>
      <c r="K269" s="23"/>
      <c r="L269" s="23"/>
      <c r="M269" s="23"/>
      <c r="N269" s="23"/>
      <c r="O269" s="23"/>
    </row>
    <row r="270" spans="1:15" x14ac:dyDescent="0.2">
      <c r="A270" s="4">
        <v>2037</v>
      </c>
      <c r="B270" s="4">
        <v>11</v>
      </c>
      <c r="C270" s="4"/>
      <c r="D270" s="4"/>
      <c r="E270" s="43"/>
      <c r="F270" s="4"/>
      <c r="G270" s="8"/>
      <c r="H270" s="48"/>
      <c r="I270" s="8"/>
      <c r="K270" s="23"/>
      <c r="L270" s="23"/>
      <c r="M270" s="23"/>
      <c r="N270" s="23"/>
      <c r="O270" s="23"/>
    </row>
    <row r="271" spans="1:15" x14ac:dyDescent="0.2">
      <c r="A271" s="4">
        <v>2037</v>
      </c>
      <c r="B271" s="4">
        <v>12</v>
      </c>
      <c r="C271" s="4"/>
      <c r="D271" s="4"/>
      <c r="E271" s="43"/>
      <c r="F271" s="4"/>
      <c r="G271" s="8"/>
      <c r="H271" s="48"/>
      <c r="I271" s="8"/>
      <c r="K271" s="23"/>
      <c r="L271" s="23"/>
      <c r="M271" s="23"/>
      <c r="N271" s="23"/>
      <c r="O271" s="23"/>
    </row>
    <row r="272" spans="1:15" x14ac:dyDescent="0.2">
      <c r="A272" s="4">
        <v>2038</v>
      </c>
      <c r="B272" s="4">
        <v>1</v>
      </c>
      <c r="C272" s="4"/>
      <c r="D272" s="4"/>
      <c r="E272" s="43"/>
      <c r="F272" s="4"/>
      <c r="G272" s="8"/>
      <c r="H272" s="48"/>
      <c r="I272" s="8"/>
      <c r="K272" s="23"/>
      <c r="L272" s="23"/>
      <c r="M272" s="23"/>
      <c r="N272" s="23"/>
      <c r="O272" s="23"/>
    </row>
    <row r="273" spans="1:15" x14ac:dyDescent="0.2">
      <c r="A273" s="4">
        <v>2038</v>
      </c>
      <c r="B273" s="4">
        <v>2</v>
      </c>
      <c r="C273" s="4"/>
      <c r="D273" s="4"/>
      <c r="E273" s="43"/>
      <c r="F273" s="4"/>
      <c r="G273" s="8"/>
      <c r="H273" s="48"/>
      <c r="I273" s="8"/>
      <c r="K273" s="23"/>
      <c r="L273" s="23"/>
      <c r="M273" s="23"/>
      <c r="N273" s="23"/>
      <c r="O273" s="23"/>
    </row>
    <row r="274" spans="1:15" x14ac:dyDescent="0.2">
      <c r="A274" s="4">
        <v>2038</v>
      </c>
      <c r="B274" s="4">
        <v>3</v>
      </c>
      <c r="C274" s="4"/>
      <c r="D274" s="4"/>
      <c r="E274" s="43"/>
      <c r="F274" s="4"/>
      <c r="G274" s="8"/>
      <c r="H274" s="48"/>
      <c r="I274" s="8"/>
      <c r="K274" s="23"/>
      <c r="L274" s="23"/>
      <c r="M274" s="23"/>
      <c r="N274" s="23"/>
      <c r="O274" s="23"/>
    </row>
    <row r="275" spans="1:15" x14ac:dyDescent="0.2">
      <c r="A275" s="4">
        <v>2038</v>
      </c>
      <c r="B275" s="4">
        <v>4</v>
      </c>
      <c r="C275" s="4"/>
      <c r="D275" s="4"/>
      <c r="E275" s="43"/>
      <c r="F275" s="4"/>
      <c r="G275" s="8"/>
      <c r="H275" s="48"/>
      <c r="I275" s="8"/>
      <c r="K275" s="23"/>
      <c r="L275" s="23"/>
      <c r="M275" s="23"/>
      <c r="N275" s="23"/>
      <c r="O275" s="23"/>
    </row>
    <row r="276" spans="1:15" x14ac:dyDescent="0.2">
      <c r="A276" s="4">
        <v>2038</v>
      </c>
      <c r="B276" s="4">
        <v>5</v>
      </c>
      <c r="C276" s="4"/>
      <c r="D276" s="4"/>
      <c r="E276" s="43"/>
      <c r="F276" s="4"/>
      <c r="G276" s="8"/>
      <c r="H276" s="48"/>
      <c r="I276" s="8"/>
      <c r="K276" s="23"/>
      <c r="L276" s="23"/>
      <c r="M276" s="23"/>
      <c r="N276" s="23"/>
      <c r="O276" s="23"/>
    </row>
    <row r="277" spans="1:15" x14ac:dyDescent="0.2">
      <c r="A277" s="4">
        <v>2038</v>
      </c>
      <c r="B277" s="4">
        <v>6</v>
      </c>
      <c r="C277" s="4"/>
      <c r="D277" s="4"/>
      <c r="E277" s="43"/>
      <c r="F277" s="4"/>
      <c r="G277" s="8"/>
      <c r="H277" s="48"/>
      <c r="I277" s="8"/>
      <c r="K277" s="23"/>
      <c r="L277" s="23"/>
      <c r="M277" s="23"/>
      <c r="N277" s="23"/>
      <c r="O277" s="23"/>
    </row>
    <row r="278" spans="1:15" x14ac:dyDescent="0.2">
      <c r="A278" s="4">
        <v>2038</v>
      </c>
      <c r="B278" s="4">
        <v>7</v>
      </c>
      <c r="C278" s="4"/>
      <c r="D278" s="4"/>
      <c r="E278" s="43"/>
      <c r="F278" s="4"/>
      <c r="G278" s="8"/>
      <c r="H278" s="48"/>
      <c r="I278" s="8"/>
      <c r="K278" s="23"/>
      <c r="L278" s="23"/>
      <c r="M278" s="23"/>
      <c r="N278" s="23"/>
      <c r="O278" s="23"/>
    </row>
    <row r="279" spans="1:15" x14ac:dyDescent="0.2">
      <c r="A279" s="4">
        <v>2038</v>
      </c>
      <c r="B279" s="4">
        <v>8</v>
      </c>
      <c r="C279" s="4"/>
      <c r="D279" s="4"/>
      <c r="E279" s="43"/>
      <c r="F279" s="4"/>
      <c r="G279" s="8"/>
      <c r="H279" s="48"/>
      <c r="I279" s="8"/>
      <c r="K279" s="23"/>
      <c r="L279" s="23"/>
      <c r="M279" s="23"/>
      <c r="N279" s="23"/>
      <c r="O279" s="23"/>
    </row>
    <row r="280" spans="1:15" x14ac:dyDescent="0.2">
      <c r="A280" s="4">
        <v>2038</v>
      </c>
      <c r="B280" s="4">
        <v>9</v>
      </c>
      <c r="C280" s="4"/>
      <c r="D280" s="4"/>
      <c r="E280" s="43"/>
      <c r="F280" s="4"/>
      <c r="G280" s="8"/>
      <c r="H280" s="48"/>
      <c r="I280" s="8"/>
      <c r="K280" s="23"/>
      <c r="L280" s="23"/>
      <c r="M280" s="23"/>
      <c r="N280" s="23"/>
      <c r="O280" s="23"/>
    </row>
    <row r="281" spans="1:15" x14ac:dyDescent="0.2">
      <c r="A281" s="4">
        <v>2038</v>
      </c>
      <c r="B281" s="4">
        <v>10</v>
      </c>
      <c r="C281" s="4"/>
      <c r="D281" s="4"/>
      <c r="E281" s="43"/>
      <c r="F281" s="4"/>
      <c r="G281" s="8"/>
      <c r="H281" s="48"/>
      <c r="I281" s="8"/>
      <c r="K281" s="23"/>
      <c r="L281" s="23"/>
      <c r="M281" s="23"/>
      <c r="N281" s="23"/>
      <c r="O281" s="23"/>
    </row>
    <row r="282" spans="1:15" x14ac:dyDescent="0.2">
      <c r="A282" s="4">
        <v>2038</v>
      </c>
      <c r="B282" s="4">
        <v>11</v>
      </c>
      <c r="C282" s="4"/>
      <c r="D282" s="4"/>
      <c r="E282" s="43"/>
      <c r="F282" s="4"/>
      <c r="G282" s="8"/>
      <c r="H282" s="48"/>
      <c r="I282" s="8"/>
      <c r="K282" s="23"/>
      <c r="L282" s="23"/>
      <c r="M282" s="23"/>
      <c r="N282" s="23"/>
      <c r="O282" s="23"/>
    </row>
    <row r="283" spans="1:15" x14ac:dyDescent="0.2">
      <c r="A283" s="4">
        <v>2038</v>
      </c>
      <c r="B283" s="4">
        <v>12</v>
      </c>
      <c r="C283" s="4"/>
      <c r="D283" s="4"/>
      <c r="E283" s="43"/>
      <c r="F283" s="4"/>
      <c r="G283" s="8"/>
      <c r="H283" s="48"/>
      <c r="I283" s="8"/>
      <c r="K283" s="23"/>
      <c r="L283" s="23"/>
      <c r="M283" s="23"/>
      <c r="N283" s="23"/>
      <c r="O283" s="23"/>
    </row>
    <row r="284" spans="1:15" x14ac:dyDescent="0.2">
      <c r="A284" s="4">
        <v>2039</v>
      </c>
      <c r="B284" s="4">
        <v>1</v>
      </c>
      <c r="C284" s="4"/>
      <c r="D284" s="4"/>
      <c r="E284" s="43"/>
      <c r="F284" s="4"/>
      <c r="G284" s="8"/>
      <c r="H284" s="48"/>
      <c r="I284" s="8"/>
      <c r="K284" s="23"/>
      <c r="L284" s="23"/>
      <c r="M284" s="23"/>
      <c r="N284" s="23"/>
      <c r="O284" s="23"/>
    </row>
    <row r="285" spans="1:15" x14ac:dyDescent="0.2">
      <c r="A285" s="4">
        <v>2039</v>
      </c>
      <c r="B285" s="4">
        <v>2</v>
      </c>
      <c r="C285" s="4"/>
      <c r="D285" s="4"/>
      <c r="E285" s="43"/>
      <c r="F285" s="4"/>
      <c r="G285" s="8"/>
      <c r="H285" s="48"/>
      <c r="I285" s="8"/>
      <c r="K285" s="23"/>
      <c r="L285" s="23"/>
      <c r="M285" s="23"/>
      <c r="N285" s="23"/>
      <c r="O285" s="23"/>
    </row>
    <row r="286" spans="1:15" x14ac:dyDescent="0.2">
      <c r="A286" s="4">
        <v>2039</v>
      </c>
      <c r="B286" s="4">
        <v>3</v>
      </c>
      <c r="C286" s="4"/>
      <c r="D286" s="4"/>
      <c r="E286" s="43"/>
      <c r="F286" s="4"/>
      <c r="G286" s="8"/>
      <c r="H286" s="48"/>
      <c r="I286" s="8"/>
      <c r="K286" s="23"/>
      <c r="L286" s="23"/>
      <c r="M286" s="23"/>
      <c r="N286" s="23"/>
      <c r="O286" s="23"/>
    </row>
    <row r="287" spans="1:15" x14ac:dyDescent="0.2">
      <c r="A287" s="4">
        <v>2039</v>
      </c>
      <c r="B287" s="4">
        <v>4</v>
      </c>
      <c r="C287" s="4"/>
      <c r="D287" s="4"/>
      <c r="E287" s="43"/>
      <c r="F287" s="4"/>
      <c r="G287" s="8"/>
      <c r="H287" s="48"/>
      <c r="I287" s="8"/>
      <c r="K287" s="23"/>
      <c r="L287" s="23"/>
      <c r="M287" s="23"/>
      <c r="N287" s="23"/>
      <c r="O287" s="23"/>
    </row>
    <row r="288" spans="1:15" x14ac:dyDescent="0.2">
      <c r="A288" s="4">
        <v>2039</v>
      </c>
      <c r="B288" s="4">
        <v>5</v>
      </c>
      <c r="C288" s="4"/>
      <c r="D288" s="4"/>
      <c r="E288" s="43"/>
      <c r="F288" s="4"/>
      <c r="G288" s="8"/>
      <c r="H288" s="48"/>
      <c r="I288" s="8"/>
      <c r="K288" s="23"/>
      <c r="L288" s="23"/>
      <c r="M288" s="23"/>
      <c r="N288" s="23"/>
      <c r="O288" s="23"/>
    </row>
    <row r="289" spans="1:15" x14ac:dyDescent="0.2">
      <c r="A289" s="4">
        <v>2039</v>
      </c>
      <c r="B289" s="4">
        <v>6</v>
      </c>
      <c r="C289" s="4"/>
      <c r="D289" s="4"/>
      <c r="E289" s="43"/>
      <c r="F289" s="4"/>
      <c r="G289" s="8"/>
      <c r="H289" s="48"/>
      <c r="I289" s="8"/>
      <c r="K289" s="23"/>
      <c r="L289" s="23"/>
      <c r="M289" s="23"/>
      <c r="N289" s="23"/>
      <c r="O289" s="23"/>
    </row>
    <row r="290" spans="1:15" x14ac:dyDescent="0.2">
      <c r="A290" s="4">
        <v>2039</v>
      </c>
      <c r="B290" s="4">
        <v>7</v>
      </c>
      <c r="C290" s="4"/>
      <c r="D290" s="4"/>
      <c r="E290" s="43"/>
      <c r="F290" s="4"/>
      <c r="G290" s="8"/>
      <c r="H290" s="48"/>
      <c r="I290" s="8"/>
      <c r="K290" s="23"/>
      <c r="L290" s="23"/>
      <c r="M290" s="23"/>
      <c r="N290" s="23"/>
      <c r="O290" s="23"/>
    </row>
    <row r="291" spans="1:15" x14ac:dyDescent="0.2">
      <c r="A291" s="4">
        <v>2039</v>
      </c>
      <c r="B291" s="4">
        <v>8</v>
      </c>
      <c r="C291" s="4"/>
      <c r="D291" s="4"/>
      <c r="E291" s="43"/>
      <c r="F291" s="4"/>
      <c r="G291" s="8"/>
      <c r="H291" s="48"/>
      <c r="I291" s="8"/>
      <c r="K291" s="23"/>
      <c r="L291" s="23"/>
      <c r="M291" s="23"/>
      <c r="N291" s="23"/>
      <c r="O291" s="23"/>
    </row>
    <row r="292" spans="1:15" x14ac:dyDescent="0.2">
      <c r="A292" s="4">
        <v>2039</v>
      </c>
      <c r="B292" s="4">
        <v>9</v>
      </c>
      <c r="C292" s="4"/>
      <c r="D292" s="4"/>
      <c r="E292" s="43"/>
      <c r="F292" s="4"/>
      <c r="G292" s="8"/>
      <c r="H292" s="48"/>
      <c r="I292" s="8"/>
      <c r="K292" s="23"/>
      <c r="L292" s="23"/>
      <c r="M292" s="23"/>
      <c r="N292" s="23"/>
      <c r="O292" s="23"/>
    </row>
    <row r="293" spans="1:15" x14ac:dyDescent="0.2">
      <c r="A293" s="4">
        <v>2039</v>
      </c>
      <c r="B293" s="4">
        <v>10</v>
      </c>
      <c r="C293" s="4"/>
      <c r="D293" s="4"/>
      <c r="E293" s="43"/>
      <c r="F293" s="4"/>
      <c r="G293" s="8"/>
      <c r="H293" s="48"/>
      <c r="I293" s="8"/>
      <c r="K293" s="23"/>
      <c r="L293" s="23"/>
      <c r="M293" s="23"/>
      <c r="N293" s="23"/>
      <c r="O293" s="23"/>
    </row>
    <row r="294" spans="1:15" x14ac:dyDescent="0.2">
      <c r="A294" s="4">
        <v>2039</v>
      </c>
      <c r="B294" s="4">
        <v>11</v>
      </c>
      <c r="C294" s="4"/>
      <c r="D294" s="4"/>
      <c r="E294" s="43"/>
      <c r="F294" s="4"/>
      <c r="G294" s="8"/>
      <c r="H294" s="48"/>
      <c r="I294" s="8"/>
      <c r="K294" s="23"/>
      <c r="L294" s="23"/>
      <c r="M294" s="23"/>
      <c r="N294" s="23"/>
      <c r="O294" s="23"/>
    </row>
    <row r="295" spans="1:15" x14ac:dyDescent="0.2">
      <c r="A295" s="4">
        <v>2039</v>
      </c>
      <c r="B295" s="4">
        <v>12</v>
      </c>
      <c r="C295" s="4"/>
      <c r="D295" s="4"/>
      <c r="E295" s="43"/>
      <c r="F295" s="4"/>
      <c r="G295" s="8"/>
      <c r="H295" s="48"/>
      <c r="I295" s="8"/>
      <c r="K295" s="23"/>
      <c r="L295" s="23"/>
      <c r="M295" s="23"/>
      <c r="N295" s="23"/>
      <c r="O295" s="23"/>
    </row>
    <row r="296" spans="1:15" x14ac:dyDescent="0.2">
      <c r="A296" s="4">
        <v>2040</v>
      </c>
      <c r="B296" s="4">
        <v>1</v>
      </c>
      <c r="C296" s="4"/>
      <c r="D296" s="4"/>
      <c r="E296" s="43"/>
      <c r="F296" s="4"/>
      <c r="G296" s="8"/>
      <c r="H296" s="48"/>
      <c r="I296" s="8"/>
      <c r="K296" s="23"/>
      <c r="L296" s="23"/>
      <c r="M296" s="23"/>
      <c r="N296" s="23"/>
      <c r="O296" s="23"/>
    </row>
    <row r="297" spans="1:15" x14ac:dyDescent="0.2">
      <c r="A297" s="4">
        <v>2040</v>
      </c>
      <c r="B297" s="4">
        <v>2</v>
      </c>
      <c r="C297" s="4"/>
      <c r="D297" s="4"/>
      <c r="E297" s="43"/>
      <c r="F297" s="4"/>
      <c r="G297" s="8"/>
      <c r="H297" s="48"/>
      <c r="I297" s="8"/>
      <c r="K297" s="23"/>
      <c r="L297" s="23"/>
      <c r="M297" s="23"/>
      <c r="N297" s="23"/>
      <c r="O297" s="23"/>
    </row>
    <row r="298" spans="1:15" x14ac:dyDescent="0.2">
      <c r="A298" s="4">
        <v>2040</v>
      </c>
      <c r="B298" s="4">
        <v>3</v>
      </c>
      <c r="C298" s="4"/>
      <c r="D298" s="4"/>
      <c r="E298" s="43"/>
      <c r="F298" s="4"/>
      <c r="G298" s="8"/>
      <c r="H298" s="48"/>
      <c r="I298" s="8"/>
      <c r="K298" s="23"/>
      <c r="L298" s="23"/>
      <c r="M298" s="23"/>
      <c r="N298" s="23"/>
      <c r="O298" s="23"/>
    </row>
    <row r="299" spans="1:15" x14ac:dyDescent="0.2">
      <c r="A299" s="4">
        <v>2040</v>
      </c>
      <c r="B299" s="4">
        <v>4</v>
      </c>
      <c r="C299" s="4"/>
      <c r="D299" s="4"/>
      <c r="E299" s="43"/>
      <c r="F299" s="4"/>
      <c r="G299" s="8"/>
      <c r="H299" s="48"/>
      <c r="I299" s="8"/>
      <c r="K299" s="23"/>
      <c r="L299" s="23"/>
      <c r="M299" s="23"/>
      <c r="N299" s="23"/>
      <c r="O299" s="23"/>
    </row>
    <row r="300" spans="1:15" x14ac:dyDescent="0.2">
      <c r="A300" s="4">
        <v>2040</v>
      </c>
      <c r="B300" s="4">
        <v>5</v>
      </c>
      <c r="C300" s="4"/>
      <c r="D300" s="4"/>
      <c r="E300" s="43"/>
      <c r="F300" s="4"/>
      <c r="G300" s="8"/>
      <c r="H300" s="48"/>
      <c r="I300" s="8"/>
      <c r="K300" s="23"/>
      <c r="L300" s="23"/>
      <c r="M300" s="23"/>
      <c r="N300" s="23"/>
      <c r="O300" s="23"/>
    </row>
    <row r="301" spans="1:15" x14ac:dyDescent="0.2">
      <c r="A301" s="4">
        <v>2040</v>
      </c>
      <c r="B301" s="4">
        <v>6</v>
      </c>
      <c r="C301" s="4"/>
      <c r="D301" s="4"/>
      <c r="E301" s="43"/>
      <c r="F301" s="4"/>
      <c r="G301" s="8"/>
      <c r="H301" s="48"/>
      <c r="I301" s="8"/>
      <c r="K301" s="23"/>
      <c r="L301" s="23"/>
      <c r="M301" s="23"/>
      <c r="N301" s="23"/>
      <c r="O301" s="23"/>
    </row>
    <row r="302" spans="1:15" x14ac:dyDescent="0.2">
      <c r="A302" s="4">
        <v>2040</v>
      </c>
      <c r="B302" s="4">
        <v>7</v>
      </c>
      <c r="C302" s="4"/>
      <c r="D302" s="4"/>
      <c r="E302" s="43"/>
      <c r="F302" s="4"/>
      <c r="G302" s="8"/>
      <c r="H302" s="48"/>
      <c r="I302" s="8"/>
      <c r="K302" s="23"/>
      <c r="L302" s="23"/>
      <c r="M302" s="23"/>
      <c r="N302" s="23"/>
      <c r="O302" s="23"/>
    </row>
    <row r="303" spans="1:15" x14ac:dyDescent="0.2">
      <c r="A303" s="4">
        <v>2040</v>
      </c>
      <c r="B303" s="4">
        <v>8</v>
      </c>
      <c r="C303" s="4"/>
      <c r="D303" s="4"/>
      <c r="E303" s="43"/>
      <c r="F303" s="4"/>
      <c r="G303" s="8"/>
      <c r="H303" s="48"/>
      <c r="I303" s="8"/>
      <c r="K303" s="23"/>
      <c r="L303" s="23"/>
      <c r="M303" s="23"/>
      <c r="N303" s="23"/>
      <c r="O303" s="23"/>
    </row>
    <row r="304" spans="1:15" x14ac:dyDescent="0.2">
      <c r="A304" s="4">
        <v>2040</v>
      </c>
      <c r="B304" s="4">
        <v>9</v>
      </c>
      <c r="C304" s="4"/>
      <c r="D304" s="4"/>
      <c r="E304" s="43"/>
      <c r="F304" s="4"/>
      <c r="G304" s="8"/>
      <c r="H304" s="48"/>
      <c r="I304" s="8"/>
      <c r="K304" s="23"/>
      <c r="L304" s="23"/>
      <c r="M304" s="23"/>
      <c r="N304" s="23"/>
      <c r="O304" s="23"/>
    </row>
    <row r="305" spans="1:15" x14ac:dyDescent="0.2">
      <c r="A305" s="4">
        <v>2040</v>
      </c>
      <c r="B305" s="4">
        <v>10</v>
      </c>
      <c r="C305" s="4"/>
      <c r="D305" s="4"/>
      <c r="E305" s="43"/>
      <c r="F305" s="4"/>
      <c r="G305" s="8"/>
      <c r="H305" s="48"/>
      <c r="I305" s="8"/>
      <c r="K305" s="23"/>
      <c r="L305" s="23"/>
      <c r="M305" s="23"/>
      <c r="N305" s="23"/>
      <c r="O305" s="23"/>
    </row>
    <row r="306" spans="1:15" x14ac:dyDescent="0.2">
      <c r="A306" s="4">
        <v>2040</v>
      </c>
      <c r="B306" s="4">
        <v>11</v>
      </c>
      <c r="C306" s="4"/>
      <c r="D306" s="4"/>
      <c r="E306" s="43"/>
      <c r="F306" s="4"/>
      <c r="G306" s="8"/>
      <c r="H306" s="48"/>
      <c r="I306" s="8"/>
      <c r="K306" s="23"/>
      <c r="L306" s="23"/>
      <c r="M306" s="23"/>
      <c r="N306" s="23"/>
      <c r="O306" s="23"/>
    </row>
    <row r="307" spans="1:15" x14ac:dyDescent="0.2">
      <c r="A307" s="4">
        <v>2040</v>
      </c>
      <c r="B307" s="4">
        <v>12</v>
      </c>
      <c r="C307" s="4"/>
      <c r="D307" s="4"/>
      <c r="E307" s="43"/>
      <c r="F307" s="4"/>
      <c r="G307" s="8"/>
      <c r="H307" s="48"/>
      <c r="I307" s="8"/>
      <c r="K307" s="23"/>
      <c r="L307" s="23"/>
      <c r="M307" s="23"/>
      <c r="N307" s="23"/>
      <c r="O307" s="23"/>
    </row>
    <row r="308" spans="1:15" x14ac:dyDescent="0.2">
      <c r="A308" s="4">
        <v>2041</v>
      </c>
      <c r="B308" s="4">
        <v>1</v>
      </c>
      <c r="C308" s="4"/>
      <c r="D308" s="4"/>
      <c r="E308" s="43"/>
      <c r="F308" s="4"/>
      <c r="G308" s="8"/>
      <c r="H308" s="48"/>
      <c r="I308" s="8"/>
      <c r="K308" s="23"/>
      <c r="L308" s="23"/>
      <c r="M308" s="23"/>
      <c r="N308" s="23"/>
      <c r="O308" s="23"/>
    </row>
    <row r="309" spans="1:15" x14ac:dyDescent="0.2">
      <c r="A309" s="4">
        <v>2041</v>
      </c>
      <c r="B309" s="4">
        <v>2</v>
      </c>
      <c r="C309" s="4"/>
      <c r="D309" s="4"/>
      <c r="E309" s="43"/>
      <c r="F309" s="4"/>
      <c r="G309" s="8"/>
      <c r="H309" s="48"/>
      <c r="I309" s="8"/>
      <c r="K309" s="23"/>
      <c r="L309" s="23"/>
      <c r="M309" s="23"/>
      <c r="N309" s="23"/>
      <c r="O309" s="23"/>
    </row>
    <row r="310" spans="1:15" x14ac:dyDescent="0.2">
      <c r="A310" s="4">
        <v>2041</v>
      </c>
      <c r="B310" s="4">
        <v>3</v>
      </c>
      <c r="C310" s="4"/>
      <c r="D310" s="4"/>
      <c r="E310" s="43"/>
      <c r="F310" s="4"/>
      <c r="G310" s="8"/>
      <c r="H310" s="48"/>
      <c r="I310" s="8"/>
      <c r="K310" s="23"/>
      <c r="L310" s="23"/>
      <c r="M310" s="23"/>
      <c r="N310" s="23"/>
      <c r="O310" s="23"/>
    </row>
    <row r="311" spans="1:15" x14ac:dyDescent="0.2">
      <c r="A311" s="4">
        <v>2041</v>
      </c>
      <c r="B311" s="4">
        <v>4</v>
      </c>
      <c r="C311" s="4"/>
      <c r="D311" s="4"/>
      <c r="E311" s="43"/>
      <c r="F311" s="4"/>
      <c r="G311" s="8"/>
      <c r="H311" s="48"/>
      <c r="I311" s="8"/>
      <c r="K311" s="23"/>
      <c r="L311" s="23"/>
      <c r="M311" s="23"/>
      <c r="N311" s="23"/>
      <c r="O311" s="23"/>
    </row>
    <row r="312" spans="1:15" x14ac:dyDescent="0.2">
      <c r="A312" s="4">
        <v>2041</v>
      </c>
      <c r="B312" s="4">
        <v>5</v>
      </c>
      <c r="C312" s="4"/>
      <c r="D312" s="4"/>
      <c r="E312" s="43"/>
      <c r="F312" s="4"/>
      <c r="G312" s="8"/>
      <c r="H312" s="48"/>
      <c r="I312" s="8"/>
      <c r="K312" s="23"/>
      <c r="L312" s="23"/>
      <c r="M312" s="23"/>
      <c r="N312" s="23"/>
      <c r="O312" s="23"/>
    </row>
    <row r="313" spans="1:15" x14ac:dyDescent="0.2">
      <c r="A313" s="4">
        <v>2041</v>
      </c>
      <c r="B313" s="4">
        <v>6</v>
      </c>
      <c r="C313" s="4"/>
      <c r="D313" s="4"/>
      <c r="E313" s="43"/>
      <c r="F313" s="4"/>
      <c r="G313" s="8"/>
      <c r="H313" s="48"/>
      <c r="I313" s="8"/>
      <c r="K313" s="23"/>
      <c r="L313" s="23"/>
      <c r="M313" s="23"/>
      <c r="N313" s="23"/>
      <c r="O313" s="23"/>
    </row>
    <row r="314" spans="1:15" x14ac:dyDescent="0.2">
      <c r="A314" s="4">
        <v>2041</v>
      </c>
      <c r="B314" s="4">
        <v>7</v>
      </c>
      <c r="C314" s="4"/>
      <c r="D314" s="4"/>
      <c r="E314" s="43"/>
      <c r="F314" s="4"/>
      <c r="G314" s="8"/>
      <c r="H314" s="48"/>
      <c r="I314" s="8"/>
      <c r="K314" s="23"/>
      <c r="L314" s="23"/>
      <c r="M314" s="23"/>
      <c r="N314" s="23"/>
      <c r="O314" s="23"/>
    </row>
    <row r="315" spans="1:15" x14ac:dyDescent="0.2">
      <c r="A315" s="4">
        <v>2041</v>
      </c>
      <c r="B315" s="4">
        <v>8</v>
      </c>
      <c r="C315" s="4"/>
      <c r="D315" s="4"/>
      <c r="E315" s="43"/>
      <c r="F315" s="4"/>
      <c r="G315" s="8"/>
      <c r="H315" s="48"/>
      <c r="I315" s="8"/>
      <c r="K315" s="23"/>
      <c r="L315" s="23"/>
      <c r="M315" s="23"/>
      <c r="N315" s="23"/>
      <c r="O315" s="23"/>
    </row>
    <row r="316" spans="1:15" x14ac:dyDescent="0.2">
      <c r="A316" s="4">
        <v>2041</v>
      </c>
      <c r="B316" s="4">
        <v>9</v>
      </c>
      <c r="C316" s="4"/>
      <c r="D316" s="4"/>
      <c r="E316" s="43"/>
      <c r="F316" s="4"/>
      <c r="G316" s="8"/>
      <c r="H316" s="48"/>
      <c r="I316" s="8"/>
      <c r="K316" s="23"/>
      <c r="L316" s="23"/>
      <c r="M316" s="23"/>
      <c r="N316" s="23"/>
      <c r="O316" s="23"/>
    </row>
    <row r="317" spans="1:15" x14ac:dyDescent="0.2">
      <c r="A317" s="4">
        <v>2041</v>
      </c>
      <c r="B317" s="4">
        <v>10</v>
      </c>
      <c r="C317" s="4"/>
      <c r="D317" s="4"/>
      <c r="E317" s="43"/>
      <c r="F317" s="4"/>
      <c r="G317" s="8"/>
      <c r="H317" s="48"/>
      <c r="I317" s="8"/>
      <c r="K317" s="23"/>
      <c r="L317" s="23"/>
      <c r="M317" s="23"/>
      <c r="N317" s="23"/>
      <c r="O317" s="23"/>
    </row>
    <row r="318" spans="1:15" x14ac:dyDescent="0.2">
      <c r="A318" s="4">
        <v>2041</v>
      </c>
      <c r="B318" s="4">
        <v>11</v>
      </c>
      <c r="C318" s="4"/>
      <c r="D318" s="4"/>
      <c r="E318" s="43"/>
      <c r="F318" s="4"/>
      <c r="G318" s="8"/>
      <c r="H318" s="48"/>
      <c r="I318" s="8"/>
      <c r="K318" s="23"/>
      <c r="L318" s="23"/>
      <c r="M318" s="23"/>
      <c r="N318" s="23"/>
      <c r="O318" s="23"/>
    </row>
    <row r="319" spans="1:15" x14ac:dyDescent="0.2">
      <c r="A319" s="4">
        <v>2041</v>
      </c>
      <c r="B319" s="4">
        <v>12</v>
      </c>
      <c r="C319" s="4"/>
      <c r="D319" s="4"/>
      <c r="E319" s="43"/>
      <c r="F319" s="4"/>
      <c r="G319" s="8"/>
      <c r="H319" s="48"/>
      <c r="I319" s="8"/>
      <c r="K319" s="23"/>
      <c r="L319" s="23"/>
      <c r="M319" s="23"/>
      <c r="N319" s="23"/>
      <c r="O319" s="23"/>
    </row>
    <row r="320" spans="1:15" x14ac:dyDescent="0.2">
      <c r="A320" s="4">
        <v>2042</v>
      </c>
      <c r="B320" s="4">
        <v>1</v>
      </c>
      <c r="C320" s="4"/>
      <c r="D320" s="4"/>
      <c r="E320" s="43"/>
      <c r="F320" s="4"/>
      <c r="G320" s="8"/>
      <c r="H320" s="48"/>
      <c r="I320" s="8"/>
      <c r="K320" s="23"/>
      <c r="L320" s="23"/>
      <c r="M320" s="23"/>
      <c r="N320" s="23"/>
      <c r="O320" s="23"/>
    </row>
    <row r="321" spans="1:15" x14ac:dyDescent="0.2">
      <c r="A321" s="4">
        <v>2042</v>
      </c>
      <c r="B321" s="4">
        <v>2</v>
      </c>
      <c r="C321" s="4"/>
      <c r="D321" s="4"/>
      <c r="E321" s="43"/>
      <c r="F321" s="4"/>
      <c r="G321" s="8"/>
      <c r="H321" s="48"/>
      <c r="I321" s="8"/>
      <c r="K321" s="23"/>
      <c r="L321" s="23"/>
      <c r="M321" s="23"/>
      <c r="N321" s="23"/>
      <c r="O321" s="23"/>
    </row>
    <row r="322" spans="1:15" x14ac:dyDescent="0.2">
      <c r="A322" s="4">
        <v>2042</v>
      </c>
      <c r="B322" s="4">
        <v>3</v>
      </c>
      <c r="C322" s="4"/>
      <c r="D322" s="4"/>
      <c r="E322" s="43"/>
      <c r="F322" s="4"/>
      <c r="G322" s="8"/>
      <c r="H322" s="48"/>
      <c r="I322" s="8"/>
      <c r="K322" s="23"/>
      <c r="L322" s="23"/>
      <c r="M322" s="23"/>
      <c r="N322" s="23"/>
      <c r="O322" s="23"/>
    </row>
    <row r="323" spans="1:15" x14ac:dyDescent="0.2">
      <c r="A323" s="4">
        <v>2042</v>
      </c>
      <c r="B323" s="4">
        <v>4</v>
      </c>
      <c r="C323" s="4"/>
      <c r="D323" s="4"/>
      <c r="E323" s="43"/>
      <c r="F323" s="4"/>
      <c r="G323" s="8"/>
      <c r="H323" s="48"/>
      <c r="I323" s="8"/>
      <c r="K323" s="23"/>
      <c r="L323" s="23"/>
      <c r="M323" s="23"/>
      <c r="N323" s="23"/>
      <c r="O323" s="23"/>
    </row>
    <row r="324" spans="1:15" x14ac:dyDescent="0.2">
      <c r="A324" s="4">
        <v>2042</v>
      </c>
      <c r="B324" s="4">
        <v>5</v>
      </c>
      <c r="C324" s="4"/>
      <c r="D324" s="4"/>
      <c r="E324" s="43"/>
      <c r="F324" s="4"/>
      <c r="G324" s="8"/>
      <c r="H324" s="48"/>
      <c r="I324" s="8"/>
      <c r="K324" s="23"/>
      <c r="L324" s="23"/>
      <c r="M324" s="23"/>
      <c r="N324" s="23"/>
      <c r="O324" s="23"/>
    </row>
    <row r="325" spans="1:15" x14ac:dyDescent="0.2">
      <c r="A325" s="4">
        <v>2042</v>
      </c>
      <c r="B325" s="4">
        <v>6</v>
      </c>
      <c r="C325" s="4"/>
      <c r="D325" s="4"/>
      <c r="E325" s="43"/>
      <c r="F325" s="4"/>
      <c r="G325" s="8"/>
      <c r="H325" s="48"/>
      <c r="I325" s="8"/>
      <c r="K325" s="23"/>
      <c r="L325" s="23"/>
      <c r="M325" s="23"/>
      <c r="N325" s="23"/>
      <c r="O325" s="23"/>
    </row>
    <row r="326" spans="1:15" x14ac:dyDescent="0.2">
      <c r="A326" s="4">
        <v>2042</v>
      </c>
      <c r="B326" s="4">
        <v>7</v>
      </c>
      <c r="C326" s="4"/>
      <c r="D326" s="4"/>
      <c r="E326" s="43"/>
      <c r="F326" s="4"/>
      <c r="G326" s="8"/>
      <c r="H326" s="48"/>
      <c r="I326" s="8"/>
      <c r="K326" s="23"/>
      <c r="L326" s="23"/>
      <c r="M326" s="23"/>
      <c r="N326" s="23"/>
      <c r="O326" s="23"/>
    </row>
    <row r="327" spans="1:15" x14ac:dyDescent="0.2">
      <c r="A327" s="4">
        <v>2042</v>
      </c>
      <c r="B327" s="4">
        <v>8</v>
      </c>
      <c r="C327" s="4"/>
      <c r="D327" s="4"/>
      <c r="E327" s="43"/>
      <c r="F327" s="4"/>
      <c r="G327" s="8"/>
      <c r="H327" s="48"/>
      <c r="I327" s="8"/>
      <c r="K327" s="23"/>
      <c r="L327" s="23"/>
      <c r="M327" s="23"/>
      <c r="N327" s="23"/>
      <c r="O327" s="23"/>
    </row>
    <row r="328" spans="1:15" x14ac:dyDescent="0.2">
      <c r="A328" s="4">
        <v>2042</v>
      </c>
      <c r="B328" s="4">
        <v>9</v>
      </c>
      <c r="C328" s="4"/>
      <c r="D328" s="4"/>
      <c r="E328" s="43"/>
      <c r="F328" s="4"/>
      <c r="G328" s="8"/>
      <c r="H328" s="48"/>
      <c r="I328" s="8"/>
      <c r="K328" s="23"/>
      <c r="L328" s="23"/>
      <c r="M328" s="23"/>
      <c r="N328" s="23"/>
      <c r="O328" s="23"/>
    </row>
    <row r="329" spans="1:15" x14ac:dyDescent="0.2">
      <c r="A329" s="4">
        <v>2042</v>
      </c>
      <c r="B329" s="4">
        <v>10</v>
      </c>
      <c r="C329" s="4"/>
      <c r="D329" s="4"/>
      <c r="E329" s="43"/>
      <c r="F329" s="4"/>
      <c r="G329" s="8"/>
      <c r="H329" s="48"/>
      <c r="I329" s="8"/>
      <c r="K329" s="23"/>
      <c r="L329" s="23"/>
      <c r="M329" s="23"/>
      <c r="N329" s="23"/>
      <c r="O329" s="23"/>
    </row>
    <row r="330" spans="1:15" x14ac:dyDescent="0.2">
      <c r="A330" s="4">
        <v>2042</v>
      </c>
      <c r="B330" s="4">
        <v>11</v>
      </c>
      <c r="C330" s="4"/>
      <c r="D330" s="4"/>
      <c r="E330" s="43"/>
      <c r="F330" s="4"/>
      <c r="G330" s="8"/>
      <c r="H330" s="48"/>
      <c r="I330" s="8"/>
      <c r="K330" s="23"/>
      <c r="L330" s="23"/>
      <c r="M330" s="23"/>
      <c r="N330" s="23"/>
      <c r="O330" s="23"/>
    </row>
    <row r="331" spans="1:15" x14ac:dyDescent="0.2">
      <c r="A331" s="4">
        <v>2042</v>
      </c>
      <c r="B331" s="4">
        <v>12</v>
      </c>
      <c r="C331" s="4"/>
      <c r="D331" s="4"/>
      <c r="E331" s="43"/>
      <c r="F331" s="4"/>
      <c r="G331" s="8"/>
      <c r="H331" s="48"/>
      <c r="I331" s="8"/>
      <c r="K331" s="23"/>
      <c r="L331" s="23"/>
      <c r="M331" s="23"/>
      <c r="N331" s="23"/>
      <c r="O331" s="23"/>
    </row>
    <row r="332" spans="1:15" x14ac:dyDescent="0.2">
      <c r="A332" s="4">
        <v>2043</v>
      </c>
      <c r="B332" s="4">
        <v>1</v>
      </c>
      <c r="C332" s="4"/>
      <c r="D332" s="4"/>
      <c r="E332" s="43"/>
      <c r="F332" s="4"/>
      <c r="G332" s="8"/>
      <c r="H332" s="48"/>
      <c r="I332" s="8"/>
      <c r="K332" s="23"/>
      <c r="L332" s="23"/>
      <c r="M332" s="23"/>
      <c r="N332" s="23"/>
      <c r="O332" s="23"/>
    </row>
    <row r="333" spans="1:15" x14ac:dyDescent="0.2">
      <c r="A333" s="4">
        <v>2043</v>
      </c>
      <c r="B333" s="4">
        <v>2</v>
      </c>
      <c r="C333" s="4"/>
      <c r="D333" s="4"/>
      <c r="E333" s="43"/>
      <c r="F333" s="4"/>
      <c r="G333" s="8"/>
      <c r="H333" s="48"/>
      <c r="I333" s="8"/>
      <c r="K333" s="23"/>
      <c r="L333" s="23"/>
      <c r="M333" s="23"/>
      <c r="N333" s="23"/>
      <c r="O333" s="23"/>
    </row>
    <row r="334" spans="1:15" x14ac:dyDescent="0.2">
      <c r="A334" s="4">
        <v>2043</v>
      </c>
      <c r="B334" s="4">
        <v>3</v>
      </c>
      <c r="C334" s="4"/>
      <c r="D334" s="4"/>
      <c r="E334" s="43"/>
      <c r="F334" s="4"/>
      <c r="G334" s="8"/>
      <c r="H334" s="48"/>
      <c r="I334" s="8"/>
      <c r="K334" s="23"/>
      <c r="L334" s="23"/>
      <c r="M334" s="23"/>
      <c r="N334" s="23"/>
      <c r="O334" s="23"/>
    </row>
    <row r="335" spans="1:15" x14ac:dyDescent="0.2">
      <c r="A335" s="4">
        <v>2043</v>
      </c>
      <c r="B335" s="4">
        <v>4</v>
      </c>
      <c r="C335" s="4"/>
      <c r="D335" s="4"/>
      <c r="E335" s="43"/>
      <c r="F335" s="4"/>
      <c r="G335" s="8"/>
      <c r="H335" s="48"/>
      <c r="I335" s="8"/>
      <c r="K335" s="23"/>
      <c r="L335" s="23"/>
      <c r="M335" s="23"/>
      <c r="N335" s="23"/>
      <c r="O335" s="23"/>
    </row>
    <row r="336" spans="1:15" x14ac:dyDescent="0.2">
      <c r="A336" s="4">
        <v>2043</v>
      </c>
      <c r="B336" s="4">
        <v>5</v>
      </c>
      <c r="C336" s="4"/>
      <c r="D336" s="4"/>
      <c r="E336" s="43"/>
      <c r="F336" s="4"/>
      <c r="G336" s="8"/>
      <c r="H336" s="48"/>
      <c r="I336" s="8"/>
      <c r="K336" s="23"/>
      <c r="L336" s="23"/>
      <c r="M336" s="23"/>
      <c r="N336" s="23"/>
      <c r="O336" s="23"/>
    </row>
    <row r="337" spans="1:15" x14ac:dyDescent="0.2">
      <c r="A337" s="4">
        <v>2043</v>
      </c>
      <c r="B337" s="4">
        <v>6</v>
      </c>
      <c r="C337" s="4"/>
      <c r="D337" s="4"/>
      <c r="E337" s="43"/>
      <c r="F337" s="4"/>
      <c r="G337" s="8"/>
      <c r="H337" s="48"/>
      <c r="I337" s="8"/>
      <c r="K337" s="23"/>
      <c r="L337" s="23"/>
      <c r="M337" s="23"/>
      <c r="N337" s="23"/>
      <c r="O337" s="23"/>
    </row>
    <row r="338" spans="1:15" x14ac:dyDescent="0.2">
      <c r="A338" s="4">
        <v>2043</v>
      </c>
      <c r="B338" s="4">
        <v>7</v>
      </c>
      <c r="C338" s="4"/>
      <c r="D338" s="4"/>
      <c r="E338" s="43"/>
      <c r="F338" s="4"/>
      <c r="G338" s="8"/>
      <c r="H338" s="48"/>
      <c r="I338" s="8"/>
      <c r="K338" s="23"/>
      <c r="L338" s="23"/>
      <c r="M338" s="23"/>
      <c r="N338" s="23"/>
      <c r="O338" s="23"/>
    </row>
    <row r="339" spans="1:15" x14ac:dyDescent="0.2">
      <c r="A339" s="4">
        <v>2043</v>
      </c>
      <c r="B339" s="4">
        <v>8</v>
      </c>
      <c r="C339" s="4"/>
      <c r="D339" s="4"/>
      <c r="E339" s="43"/>
      <c r="F339" s="4"/>
      <c r="G339" s="8"/>
      <c r="H339" s="48"/>
      <c r="I339" s="8"/>
      <c r="K339" s="23"/>
      <c r="L339" s="23"/>
      <c r="M339" s="23"/>
      <c r="N339" s="23"/>
      <c r="O339" s="23"/>
    </row>
    <row r="340" spans="1:15" x14ac:dyDescent="0.2">
      <c r="A340" s="4">
        <v>2043</v>
      </c>
      <c r="B340" s="4">
        <v>9</v>
      </c>
      <c r="C340" s="4"/>
      <c r="D340" s="4"/>
      <c r="E340" s="43"/>
      <c r="F340" s="4"/>
      <c r="G340" s="8"/>
      <c r="H340" s="48"/>
      <c r="I340" s="8"/>
      <c r="K340" s="23"/>
      <c r="L340" s="23"/>
      <c r="M340" s="23"/>
      <c r="N340" s="23"/>
      <c r="O340" s="23"/>
    </row>
    <row r="341" spans="1:15" x14ac:dyDescent="0.2">
      <c r="A341" s="4">
        <v>2043</v>
      </c>
      <c r="B341" s="4">
        <v>10</v>
      </c>
      <c r="C341" s="4"/>
      <c r="D341" s="4"/>
      <c r="E341" s="43"/>
      <c r="F341" s="4"/>
      <c r="G341" s="8"/>
      <c r="H341" s="48"/>
      <c r="I341" s="8"/>
      <c r="K341" s="23"/>
      <c r="L341" s="23"/>
      <c r="M341" s="23"/>
      <c r="N341" s="23"/>
      <c r="O341" s="23"/>
    </row>
    <row r="342" spans="1:15" x14ac:dyDescent="0.2">
      <c r="A342" s="4">
        <v>2043</v>
      </c>
      <c r="B342" s="4">
        <v>11</v>
      </c>
      <c r="C342" s="4"/>
      <c r="D342" s="4"/>
      <c r="E342" s="43"/>
      <c r="F342" s="4"/>
      <c r="G342" s="8"/>
      <c r="H342" s="48"/>
      <c r="I342" s="8"/>
      <c r="K342" s="23"/>
      <c r="L342" s="23"/>
      <c r="M342" s="23"/>
      <c r="N342" s="23"/>
      <c r="O342" s="23"/>
    </row>
    <row r="343" spans="1:15" x14ac:dyDescent="0.2">
      <c r="A343" s="4">
        <v>2043</v>
      </c>
      <c r="B343" s="4">
        <v>12</v>
      </c>
      <c r="C343" s="4"/>
      <c r="D343" s="4"/>
      <c r="E343" s="43"/>
      <c r="F343" s="4"/>
      <c r="G343" s="8"/>
      <c r="H343" s="48"/>
      <c r="I343" s="8"/>
      <c r="K343" s="23"/>
      <c r="L343" s="23"/>
      <c r="M343" s="23"/>
      <c r="N343" s="23"/>
      <c r="O343" s="23"/>
    </row>
    <row r="344" spans="1:15" x14ac:dyDescent="0.2">
      <c r="A344" s="4">
        <v>2044</v>
      </c>
      <c r="B344" s="4">
        <v>1</v>
      </c>
      <c r="C344" s="4"/>
      <c r="D344" s="4"/>
      <c r="E344" s="43"/>
      <c r="F344" s="4"/>
      <c r="G344" s="8"/>
      <c r="H344" s="48"/>
      <c r="I344" s="8"/>
      <c r="K344" s="23"/>
      <c r="L344" s="23"/>
      <c r="M344" s="23"/>
      <c r="N344" s="23"/>
      <c r="O344" s="23"/>
    </row>
    <row r="345" spans="1:15" x14ac:dyDescent="0.2">
      <c r="A345" s="4">
        <v>2044</v>
      </c>
      <c r="B345" s="4">
        <v>2</v>
      </c>
      <c r="C345" s="4"/>
      <c r="D345" s="4"/>
      <c r="E345" s="43"/>
      <c r="F345" s="4"/>
      <c r="G345" s="8"/>
      <c r="H345" s="48"/>
      <c r="I345" s="8"/>
      <c r="K345" s="23"/>
      <c r="L345" s="23"/>
      <c r="M345" s="23"/>
      <c r="N345" s="23"/>
      <c r="O345" s="23"/>
    </row>
    <row r="346" spans="1:15" x14ac:dyDescent="0.2">
      <c r="A346" s="4">
        <v>2044</v>
      </c>
      <c r="B346" s="4">
        <v>3</v>
      </c>
      <c r="C346" s="4"/>
      <c r="D346" s="4"/>
      <c r="E346" s="43"/>
      <c r="F346" s="4"/>
      <c r="G346" s="8"/>
      <c r="H346" s="48"/>
      <c r="I346" s="8"/>
      <c r="K346" s="23"/>
      <c r="L346" s="23"/>
      <c r="M346" s="23"/>
      <c r="N346" s="23"/>
      <c r="O346" s="23"/>
    </row>
    <row r="347" spans="1:15" x14ac:dyDescent="0.2">
      <c r="A347" s="4">
        <v>2044</v>
      </c>
      <c r="B347" s="4">
        <v>4</v>
      </c>
      <c r="C347" s="4"/>
      <c r="D347" s="4"/>
      <c r="E347" s="43"/>
      <c r="F347" s="4"/>
      <c r="G347" s="8"/>
      <c r="H347" s="48"/>
      <c r="I347" s="8"/>
      <c r="K347" s="23"/>
      <c r="L347" s="23"/>
      <c r="M347" s="23"/>
      <c r="N347" s="23"/>
      <c r="O347" s="23"/>
    </row>
    <row r="348" spans="1:15" x14ac:dyDescent="0.2">
      <c r="A348" s="4">
        <v>2044</v>
      </c>
      <c r="B348" s="4">
        <v>5</v>
      </c>
      <c r="C348" s="4"/>
      <c r="D348" s="4"/>
      <c r="E348" s="43"/>
      <c r="F348" s="4"/>
      <c r="G348" s="8"/>
      <c r="H348" s="48"/>
      <c r="I348" s="8"/>
      <c r="K348" s="23"/>
      <c r="L348" s="23"/>
      <c r="M348" s="23"/>
      <c r="N348" s="23"/>
      <c r="O348" s="23"/>
    </row>
    <row r="349" spans="1:15" x14ac:dyDescent="0.2">
      <c r="A349" s="4">
        <v>2044</v>
      </c>
      <c r="B349" s="4">
        <v>6</v>
      </c>
      <c r="C349" s="4"/>
      <c r="D349" s="4"/>
      <c r="E349" s="43"/>
      <c r="F349" s="4"/>
      <c r="G349" s="8"/>
      <c r="H349" s="48"/>
      <c r="I349" s="8"/>
      <c r="K349" s="23"/>
      <c r="L349" s="23"/>
      <c r="M349" s="23"/>
      <c r="N349" s="23"/>
      <c r="O349" s="23"/>
    </row>
    <row r="350" spans="1:15" x14ac:dyDescent="0.2">
      <c r="A350" s="4">
        <v>2044</v>
      </c>
      <c r="B350" s="4">
        <v>7</v>
      </c>
      <c r="C350" s="4"/>
      <c r="D350" s="4"/>
      <c r="E350" s="43"/>
      <c r="F350" s="4"/>
      <c r="G350" s="8"/>
      <c r="H350" s="48"/>
      <c r="I350" s="8"/>
      <c r="K350" s="23"/>
      <c r="L350" s="23"/>
      <c r="M350" s="23"/>
      <c r="N350" s="23"/>
      <c r="O350" s="23"/>
    </row>
    <row r="351" spans="1:15" x14ac:dyDescent="0.2">
      <c r="A351" s="4">
        <v>2044</v>
      </c>
      <c r="B351" s="4">
        <v>8</v>
      </c>
      <c r="C351" s="4"/>
      <c r="D351" s="4"/>
      <c r="E351" s="43"/>
      <c r="F351" s="4"/>
      <c r="G351" s="8"/>
      <c r="H351" s="48"/>
      <c r="I351" s="8"/>
      <c r="K351" s="23"/>
      <c r="L351" s="23"/>
      <c r="M351" s="23"/>
      <c r="N351" s="23"/>
      <c r="O351" s="23"/>
    </row>
    <row r="352" spans="1:15" x14ac:dyDescent="0.2">
      <c r="A352" s="4">
        <v>2044</v>
      </c>
      <c r="B352" s="4">
        <v>9</v>
      </c>
      <c r="C352" s="4"/>
      <c r="D352" s="4"/>
      <c r="E352" s="43"/>
      <c r="F352" s="4"/>
      <c r="G352" s="8"/>
      <c r="H352" s="48"/>
      <c r="I352" s="8"/>
      <c r="K352" s="23"/>
      <c r="L352" s="23"/>
      <c r="M352" s="23"/>
      <c r="N352" s="23"/>
      <c r="O352" s="23"/>
    </row>
    <row r="353" spans="1:15" x14ac:dyDescent="0.2">
      <c r="A353" s="4">
        <v>2044</v>
      </c>
      <c r="B353" s="4">
        <v>10</v>
      </c>
      <c r="C353" s="4"/>
      <c r="D353" s="4"/>
      <c r="E353" s="43"/>
      <c r="F353" s="4"/>
      <c r="G353" s="8"/>
      <c r="H353" s="48"/>
      <c r="I353" s="8"/>
      <c r="K353" s="23"/>
      <c r="L353" s="23"/>
      <c r="M353" s="23"/>
      <c r="N353" s="23"/>
      <c r="O353" s="23"/>
    </row>
    <row r="354" spans="1:15" x14ac:dyDescent="0.2">
      <c r="A354" s="4">
        <v>2044</v>
      </c>
      <c r="B354" s="4">
        <v>11</v>
      </c>
      <c r="C354" s="4"/>
      <c r="D354" s="4"/>
      <c r="E354" s="43"/>
      <c r="F354" s="4"/>
      <c r="G354" s="8"/>
      <c r="H354" s="48"/>
      <c r="I354" s="8"/>
      <c r="K354" s="23"/>
      <c r="L354" s="23"/>
      <c r="M354" s="23"/>
      <c r="N354" s="23"/>
      <c r="O354" s="23"/>
    </row>
    <row r="355" spans="1:15" x14ac:dyDescent="0.2">
      <c r="A355" s="4">
        <v>2044</v>
      </c>
      <c r="B355" s="4">
        <v>12</v>
      </c>
      <c r="C355" s="4"/>
      <c r="D355" s="4"/>
      <c r="E355" s="43"/>
      <c r="F355" s="4"/>
      <c r="G355" s="8"/>
      <c r="H355" s="48"/>
      <c r="I355" s="8"/>
      <c r="K355" s="23"/>
      <c r="L355" s="23"/>
      <c r="M355" s="23"/>
      <c r="N355" s="23"/>
      <c r="O355" s="23"/>
    </row>
    <row r="356" spans="1:15" x14ac:dyDescent="0.2">
      <c r="A356" s="4">
        <v>2045</v>
      </c>
      <c r="B356" s="4">
        <v>1</v>
      </c>
      <c r="C356" s="4"/>
      <c r="D356" s="4"/>
      <c r="E356" s="43"/>
      <c r="F356" s="4"/>
      <c r="G356" s="8"/>
      <c r="H356" s="48"/>
      <c r="I356" s="8"/>
      <c r="K356" s="23"/>
      <c r="L356" s="23"/>
      <c r="M356" s="23"/>
      <c r="N356" s="23"/>
      <c r="O356" s="23"/>
    </row>
    <row r="357" spans="1:15" x14ac:dyDescent="0.2">
      <c r="A357" s="4">
        <v>2045</v>
      </c>
      <c r="B357" s="4">
        <v>2</v>
      </c>
      <c r="C357" s="4"/>
      <c r="D357" s="4"/>
      <c r="E357" s="43"/>
      <c r="F357" s="4"/>
      <c r="G357" s="8"/>
      <c r="H357" s="48"/>
      <c r="I357" s="8"/>
      <c r="K357" s="23"/>
      <c r="L357" s="23"/>
      <c r="M357" s="23"/>
      <c r="N357" s="23"/>
      <c r="O357" s="23"/>
    </row>
    <row r="358" spans="1:15" x14ac:dyDescent="0.2">
      <c r="A358" s="4">
        <v>2045</v>
      </c>
      <c r="B358" s="4">
        <v>3</v>
      </c>
      <c r="C358" s="4"/>
      <c r="D358" s="4"/>
      <c r="E358" s="43"/>
      <c r="F358" s="4"/>
      <c r="G358" s="8"/>
      <c r="H358" s="48"/>
      <c r="I358" s="8"/>
      <c r="K358" s="23"/>
      <c r="L358" s="23"/>
      <c r="M358" s="23"/>
      <c r="N358" s="23"/>
      <c r="O358" s="23"/>
    </row>
    <row r="359" spans="1:15" x14ac:dyDescent="0.2">
      <c r="A359" s="4">
        <v>2045</v>
      </c>
      <c r="B359" s="4">
        <v>4</v>
      </c>
      <c r="C359" s="4"/>
      <c r="D359" s="4"/>
      <c r="E359" s="43"/>
      <c r="F359" s="4"/>
      <c r="G359" s="8"/>
      <c r="H359" s="48"/>
      <c r="I359" s="8"/>
      <c r="K359" s="23"/>
      <c r="L359" s="23"/>
      <c r="M359" s="23"/>
      <c r="N359" s="23"/>
      <c r="O359" s="23"/>
    </row>
    <row r="360" spans="1:15" x14ac:dyDescent="0.2">
      <c r="A360" s="4">
        <v>2045</v>
      </c>
      <c r="B360" s="4">
        <v>5</v>
      </c>
      <c r="C360" s="4"/>
      <c r="D360" s="4"/>
      <c r="E360" s="43"/>
      <c r="F360" s="4"/>
      <c r="G360" s="8"/>
      <c r="H360" s="48"/>
      <c r="I360" s="8"/>
      <c r="K360" s="23"/>
      <c r="L360" s="23"/>
      <c r="M360" s="23"/>
      <c r="N360" s="23"/>
      <c r="O360" s="23"/>
    </row>
    <row r="361" spans="1:15" x14ac:dyDescent="0.2">
      <c r="A361" s="4">
        <v>2045</v>
      </c>
      <c r="B361" s="4">
        <v>6</v>
      </c>
      <c r="C361" s="4"/>
      <c r="D361" s="4"/>
      <c r="E361" s="43"/>
      <c r="F361" s="4"/>
      <c r="G361" s="8"/>
      <c r="H361" s="48"/>
      <c r="I361" s="8"/>
      <c r="K361" s="23"/>
      <c r="L361" s="23"/>
      <c r="M361" s="23"/>
      <c r="N361" s="23"/>
      <c r="O361" s="23"/>
    </row>
    <row r="362" spans="1:15" x14ac:dyDescent="0.2">
      <c r="A362" s="4">
        <v>2045</v>
      </c>
      <c r="B362" s="4">
        <v>7</v>
      </c>
      <c r="C362" s="4"/>
      <c r="D362" s="4"/>
      <c r="E362" s="43"/>
      <c r="F362" s="4"/>
      <c r="G362" s="8"/>
      <c r="H362" s="48"/>
      <c r="I362" s="8"/>
      <c r="K362" s="23"/>
      <c r="L362" s="23"/>
      <c r="M362" s="23"/>
      <c r="N362" s="23"/>
      <c r="O362" s="23"/>
    </row>
    <row r="363" spans="1:15" x14ac:dyDescent="0.2">
      <c r="A363" s="4">
        <v>2045</v>
      </c>
      <c r="B363" s="4">
        <v>8</v>
      </c>
      <c r="C363" s="4"/>
      <c r="D363" s="4"/>
      <c r="E363" s="43"/>
      <c r="F363" s="4"/>
      <c r="G363" s="8"/>
      <c r="H363" s="48"/>
      <c r="I363" s="8"/>
      <c r="K363" s="23"/>
      <c r="L363" s="23"/>
      <c r="M363" s="23"/>
      <c r="N363" s="23"/>
      <c r="O363" s="23"/>
    </row>
    <row r="364" spans="1:15" x14ac:dyDescent="0.2">
      <c r="A364" s="4">
        <v>2045</v>
      </c>
      <c r="B364" s="4">
        <v>9</v>
      </c>
      <c r="C364" s="4"/>
      <c r="D364" s="4"/>
      <c r="E364" s="43"/>
      <c r="F364" s="4"/>
      <c r="G364" s="8"/>
      <c r="H364" s="48"/>
      <c r="I364" s="8"/>
      <c r="K364" s="23"/>
      <c r="L364" s="23"/>
      <c r="M364" s="23"/>
      <c r="N364" s="23"/>
      <c r="O364" s="23"/>
    </row>
    <row r="365" spans="1:15" x14ac:dyDescent="0.2">
      <c r="A365" s="4">
        <v>2045</v>
      </c>
      <c r="B365" s="4">
        <v>10</v>
      </c>
      <c r="C365" s="4"/>
      <c r="D365" s="4"/>
      <c r="E365" s="43"/>
      <c r="F365" s="4"/>
      <c r="G365" s="8"/>
      <c r="H365" s="48"/>
      <c r="I365" s="8"/>
      <c r="K365" s="23"/>
      <c r="L365" s="23"/>
      <c r="M365" s="23"/>
      <c r="N365" s="23"/>
      <c r="O365" s="23"/>
    </row>
    <row r="366" spans="1:15" x14ac:dyDescent="0.2">
      <c r="A366" s="4">
        <v>2045</v>
      </c>
      <c r="B366" s="4">
        <v>11</v>
      </c>
      <c r="C366" s="4"/>
      <c r="D366" s="4"/>
      <c r="E366" s="43"/>
      <c r="F366" s="4"/>
      <c r="G366" s="8"/>
      <c r="H366" s="48"/>
      <c r="I366" s="8"/>
      <c r="K366" s="23"/>
      <c r="L366" s="23"/>
      <c r="M366" s="23"/>
      <c r="N366" s="23"/>
      <c r="O366" s="23"/>
    </row>
    <row r="367" spans="1:15" x14ac:dyDescent="0.2">
      <c r="A367" s="4">
        <v>2045</v>
      </c>
      <c r="B367" s="4">
        <v>12</v>
      </c>
      <c r="C367" s="4"/>
      <c r="D367" s="4"/>
      <c r="E367" s="43"/>
      <c r="F367" s="4"/>
      <c r="G367" s="8"/>
      <c r="H367" s="48"/>
      <c r="I367" s="8"/>
      <c r="K367" s="23"/>
      <c r="L367" s="23"/>
      <c r="M367" s="23"/>
      <c r="N367" s="23"/>
      <c r="O367" s="23"/>
    </row>
  </sheetData>
  <mergeCells count="2">
    <mergeCell ref="A1:Q1"/>
    <mergeCell ref="K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19E5-4605-48D0-A3EF-781570199FF4}">
  <sheetPr>
    <tabColor theme="3" tint="0.39997558519241921"/>
  </sheetPr>
  <dimension ref="A1:CP375"/>
  <sheetViews>
    <sheetView showGridLines="0" zoomScale="76" zoomScaleNormal="76" workbookViewId="0">
      <selection activeCell="G3" sqref="G3"/>
    </sheetView>
  </sheetViews>
  <sheetFormatPr defaultRowHeight="15" x14ac:dyDescent="0.25"/>
  <cols>
    <col min="1" max="2" width="16.7109375" customWidth="1"/>
    <col min="3" max="3" width="11" bestFit="1" customWidth="1"/>
    <col min="4" max="4" width="15.5703125" customWidth="1"/>
    <col min="5" max="5" width="22.28515625" customWidth="1"/>
    <col min="6" max="6" width="23.5703125" customWidth="1"/>
    <col min="7" max="7" width="15.5703125" customWidth="1"/>
    <col min="8" max="8" width="17.28515625" customWidth="1"/>
    <col min="9" max="9" width="15.42578125" customWidth="1"/>
    <col min="10" max="10" width="19.42578125" style="20" customWidth="1"/>
    <col min="11" max="11" width="15.7109375" customWidth="1"/>
    <col min="12" max="12" width="27.85546875" style="21" customWidth="1"/>
    <col min="13" max="13" width="17.85546875" customWidth="1"/>
    <col min="14" max="14" width="15.85546875" customWidth="1"/>
    <col min="15" max="15" width="20.140625" customWidth="1"/>
    <col min="16" max="16" width="20" bestFit="1" customWidth="1"/>
    <col min="17" max="18" width="17.140625" customWidth="1"/>
    <col min="20" max="21" width="16.7109375" customWidth="1"/>
    <col min="22" max="22" width="11" bestFit="1" customWidth="1"/>
    <col min="23" max="23" width="15.5703125" customWidth="1"/>
    <col min="24" max="24" width="22.28515625" customWidth="1"/>
    <col min="25" max="25" width="21.140625" customWidth="1"/>
    <col min="26" max="26" width="15.5703125" customWidth="1"/>
    <col min="27" max="27" width="17.28515625" customWidth="1"/>
    <col min="28" max="28" width="15.42578125" customWidth="1"/>
    <col min="29" max="29" width="19.42578125" style="20" customWidth="1"/>
    <col min="30" max="30" width="15.7109375" customWidth="1"/>
    <col min="31" max="31" width="18.42578125" style="21" customWidth="1"/>
    <col min="32" max="32" width="14.85546875" customWidth="1"/>
    <col min="33" max="33" width="13.5703125" customWidth="1"/>
    <col min="34" max="34" width="20.140625" customWidth="1"/>
    <col min="35" max="35" width="20" bestFit="1" customWidth="1"/>
    <col min="36" max="37" width="17.140625" customWidth="1"/>
    <col min="39" max="40" width="16.7109375" customWidth="1"/>
    <col min="41" max="41" width="11" bestFit="1" customWidth="1"/>
    <col min="42" max="42" width="15.5703125" customWidth="1"/>
    <col min="43" max="43" width="22.28515625" customWidth="1"/>
    <col min="44" max="44" width="23.5703125" customWidth="1"/>
    <col min="45" max="45" width="15.5703125" customWidth="1"/>
    <col min="46" max="46" width="17.28515625" customWidth="1"/>
    <col min="47" max="47" width="15.42578125" customWidth="1"/>
    <col min="48" max="48" width="19.42578125" style="20" customWidth="1"/>
    <col min="49" max="49" width="12.7109375" style="21" customWidth="1"/>
    <col min="50" max="50" width="15.7109375" customWidth="1"/>
    <col min="51" max="51" width="27.85546875" style="21" customWidth="1"/>
    <col min="52" max="52" width="13.42578125" customWidth="1"/>
    <col min="53" max="53" width="14.85546875" customWidth="1"/>
    <col min="54" max="54" width="13.5703125" customWidth="1"/>
    <col min="55" max="55" width="20.140625" customWidth="1"/>
    <col min="56" max="56" width="20" bestFit="1" customWidth="1"/>
    <col min="58" max="59" width="16.7109375" customWidth="1"/>
    <col min="60" max="60" width="11" bestFit="1" customWidth="1"/>
    <col min="61" max="61" width="15.5703125" customWidth="1"/>
    <col min="62" max="62" width="22.28515625" customWidth="1"/>
    <col min="63" max="63" width="23.5703125" customWidth="1"/>
    <col min="64" max="64" width="15.5703125" customWidth="1"/>
    <col min="65" max="65" width="17.28515625" customWidth="1"/>
    <col min="66" max="66" width="15.42578125" customWidth="1"/>
    <col min="67" max="67" width="19.42578125" style="20" customWidth="1"/>
    <col min="68" max="68" width="12.7109375" style="21" customWidth="1"/>
    <col min="69" max="69" width="15.7109375" customWidth="1"/>
    <col min="70" max="70" width="27.85546875" style="21" customWidth="1"/>
    <col min="71" max="71" width="13.42578125" customWidth="1"/>
    <col min="72" max="72" width="14.85546875" customWidth="1"/>
    <col min="73" max="73" width="13.5703125" customWidth="1"/>
    <col min="74" max="74" width="20.140625" customWidth="1"/>
    <col min="75" max="75" width="20" bestFit="1" customWidth="1"/>
    <col min="77" max="78" width="16.7109375" customWidth="1"/>
    <col min="79" max="79" width="11" bestFit="1" customWidth="1"/>
    <col min="80" max="80" width="15.5703125" customWidth="1"/>
    <col min="81" max="81" width="22.28515625" customWidth="1"/>
    <col min="82" max="82" width="23.5703125" customWidth="1"/>
    <col min="83" max="83" width="15.5703125" customWidth="1"/>
    <col min="84" max="84" width="17.28515625" customWidth="1"/>
    <col min="85" max="85" width="15.42578125" customWidth="1"/>
    <col min="86" max="86" width="19.42578125" style="20" customWidth="1"/>
    <col min="87" max="87" width="12.7109375" style="21" customWidth="1"/>
    <col min="88" max="88" width="15.7109375" customWidth="1"/>
    <col min="89" max="89" width="27.85546875" style="21" customWidth="1"/>
    <col min="90" max="90" width="13.42578125" customWidth="1"/>
    <col min="91" max="91" width="14.85546875" customWidth="1"/>
    <col min="92" max="92" width="13.5703125" customWidth="1"/>
    <col min="93" max="93" width="20.140625" customWidth="1"/>
    <col min="94" max="94" width="20" bestFit="1" customWidth="1"/>
  </cols>
  <sheetData>
    <row r="1" spans="1:94" ht="18.75" x14ac:dyDescent="0.25">
      <c r="A1" s="67" t="s">
        <v>200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</row>
    <row r="2" spans="1:94" ht="18.7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</row>
    <row r="3" spans="1:94" ht="30.75" thickBot="1" x14ac:dyDescent="0.3">
      <c r="B3" s="20"/>
      <c r="J3"/>
      <c r="L3"/>
      <c r="M3" s="22"/>
      <c r="N3" s="17" t="str">
        <f>DATA_INPUT!K4</f>
        <v>GIR50%ISW_EF_H</v>
      </c>
      <c r="U3" s="20"/>
      <c r="AC3"/>
      <c r="AE3"/>
      <c r="AF3" s="22"/>
      <c r="AG3" s="17" t="str">
        <f>DATA_INPUT!L4</f>
        <v>GIR50%ISW_EF_L</v>
      </c>
      <c r="AN3" s="20"/>
      <c r="AV3"/>
      <c r="AW3"/>
      <c r="AY3"/>
      <c r="AZ3" s="17" t="str">
        <f>DATA_INPUT!M4</f>
        <v>EnsMean_Source_m3</v>
      </c>
      <c r="BA3" s="26"/>
      <c r="BG3" s="20"/>
      <c r="BO3"/>
      <c r="BP3"/>
      <c r="BR3"/>
      <c r="BS3" s="17" t="str">
        <f>DATA_INPUT!N4</f>
        <v>GIR90%ISW_EF_H</v>
      </c>
      <c r="BT3" s="26"/>
      <c r="BZ3" s="20"/>
      <c r="CH3"/>
      <c r="CI3"/>
      <c r="CK3"/>
      <c r="CL3" s="17" t="str">
        <f>DATA_INPUT!O4</f>
        <v>GIR90%ISW_EF_L</v>
      </c>
      <c r="CM3" s="26"/>
    </row>
    <row r="4" spans="1:94" s="16" customFormat="1" ht="45.75" thickTop="1" x14ac:dyDescent="0.25">
      <c r="A4" s="17" t="s">
        <v>168</v>
      </c>
      <c r="B4" s="17" t="s">
        <v>82</v>
      </c>
      <c r="C4" s="17" t="s">
        <v>169</v>
      </c>
      <c r="D4" s="17" t="s">
        <v>170</v>
      </c>
      <c r="E4" s="17" t="s">
        <v>184</v>
      </c>
      <c r="F4" s="17" t="s">
        <v>185</v>
      </c>
      <c r="G4" s="17" t="s">
        <v>171</v>
      </c>
      <c r="H4" s="17" t="s">
        <v>186</v>
      </c>
      <c r="I4" s="17" t="s">
        <v>172</v>
      </c>
      <c r="J4" s="17" t="s">
        <v>187</v>
      </c>
      <c r="K4" s="17" t="s">
        <v>173</v>
      </c>
      <c r="L4" s="17" t="s">
        <v>188</v>
      </c>
      <c r="M4" s="17" t="s">
        <v>189</v>
      </c>
      <c r="N4" s="17" t="s">
        <v>190</v>
      </c>
      <c r="O4" s="17" t="s">
        <v>191</v>
      </c>
      <c r="P4" s="17" t="s">
        <v>192</v>
      </c>
      <c r="Q4" s="17" t="s">
        <v>85</v>
      </c>
      <c r="R4" s="25" t="s">
        <v>210</v>
      </c>
      <c r="T4" s="17" t="s">
        <v>168</v>
      </c>
      <c r="U4" s="17" t="s">
        <v>82</v>
      </c>
      <c r="V4" s="17" t="s">
        <v>169</v>
      </c>
      <c r="W4" s="17" t="s">
        <v>170</v>
      </c>
      <c r="X4" s="17" t="s">
        <v>201</v>
      </c>
      <c r="Y4" s="17" t="s">
        <v>202</v>
      </c>
      <c r="Z4" s="17" t="s">
        <v>171</v>
      </c>
      <c r="AA4" s="17" t="s">
        <v>203</v>
      </c>
      <c r="AB4" s="17" t="s">
        <v>172</v>
      </c>
      <c r="AC4" s="17" t="s">
        <v>204</v>
      </c>
      <c r="AD4" s="17" t="s">
        <v>173</v>
      </c>
      <c r="AE4" s="17" t="s">
        <v>205</v>
      </c>
      <c r="AF4" s="17" t="s">
        <v>206</v>
      </c>
      <c r="AG4" s="17" t="s">
        <v>207</v>
      </c>
      <c r="AH4" s="17" t="s">
        <v>208</v>
      </c>
      <c r="AI4" s="17" t="s">
        <v>209</v>
      </c>
      <c r="AJ4" s="17" t="s">
        <v>85</v>
      </c>
      <c r="AK4" s="25" t="s">
        <v>210</v>
      </c>
      <c r="AM4" s="17" t="s">
        <v>168</v>
      </c>
      <c r="AN4" s="17" t="s">
        <v>82</v>
      </c>
      <c r="AO4" s="17" t="s">
        <v>169</v>
      </c>
      <c r="AP4" s="17" t="s">
        <v>170</v>
      </c>
      <c r="AQ4" s="17" t="s">
        <v>201</v>
      </c>
      <c r="AR4" s="17" t="s">
        <v>202</v>
      </c>
      <c r="AS4" s="17" t="s">
        <v>171</v>
      </c>
      <c r="AT4" s="17" t="s">
        <v>203</v>
      </c>
      <c r="AU4" s="17" t="s">
        <v>172</v>
      </c>
      <c r="AV4" s="17" t="s">
        <v>204</v>
      </c>
      <c r="AW4" s="17" t="s">
        <v>173</v>
      </c>
      <c r="AX4" s="17" t="s">
        <v>205</v>
      </c>
      <c r="AY4" s="17" t="s">
        <v>206</v>
      </c>
      <c r="AZ4" s="17" t="s">
        <v>207</v>
      </c>
      <c r="BA4" s="17" t="s">
        <v>208</v>
      </c>
      <c r="BB4" s="17" t="s">
        <v>209</v>
      </c>
      <c r="BC4" s="17" t="s">
        <v>85</v>
      </c>
      <c r="BD4" s="25" t="s">
        <v>210</v>
      </c>
      <c r="BF4" s="17" t="s">
        <v>168</v>
      </c>
      <c r="BG4" s="17" t="s">
        <v>82</v>
      </c>
      <c r="BH4" s="17" t="s">
        <v>169</v>
      </c>
      <c r="BI4" s="17" t="s">
        <v>170</v>
      </c>
      <c r="BJ4" s="17" t="s">
        <v>201</v>
      </c>
      <c r="BK4" s="17" t="s">
        <v>202</v>
      </c>
      <c r="BL4" s="17" t="s">
        <v>171</v>
      </c>
      <c r="BM4" s="17" t="s">
        <v>203</v>
      </c>
      <c r="BN4" s="17" t="s">
        <v>172</v>
      </c>
      <c r="BO4" s="17" t="s">
        <v>204</v>
      </c>
      <c r="BP4" s="17" t="s">
        <v>173</v>
      </c>
      <c r="BQ4" s="17" t="s">
        <v>205</v>
      </c>
      <c r="BR4" s="17" t="s">
        <v>206</v>
      </c>
      <c r="BS4" s="17" t="s">
        <v>207</v>
      </c>
      <c r="BT4" s="17" t="s">
        <v>208</v>
      </c>
      <c r="BU4" s="17" t="s">
        <v>209</v>
      </c>
      <c r="BV4" s="17" t="s">
        <v>85</v>
      </c>
      <c r="BW4" s="25" t="s">
        <v>210</v>
      </c>
      <c r="BY4" s="17" t="s">
        <v>168</v>
      </c>
      <c r="BZ4" s="17" t="s">
        <v>82</v>
      </c>
      <c r="CA4" s="17" t="s">
        <v>169</v>
      </c>
      <c r="CB4" s="17" t="s">
        <v>170</v>
      </c>
      <c r="CC4" s="17" t="s">
        <v>201</v>
      </c>
      <c r="CD4" s="17" t="s">
        <v>202</v>
      </c>
      <c r="CE4" s="17" t="s">
        <v>171</v>
      </c>
      <c r="CF4" s="17" t="s">
        <v>203</v>
      </c>
      <c r="CG4" s="17" t="s">
        <v>172</v>
      </c>
      <c r="CH4" s="17" t="s">
        <v>204</v>
      </c>
      <c r="CI4" s="17" t="s">
        <v>173</v>
      </c>
      <c r="CJ4" s="17" t="s">
        <v>205</v>
      </c>
      <c r="CK4" s="17" t="s">
        <v>206</v>
      </c>
      <c r="CL4" s="17" t="s">
        <v>207</v>
      </c>
      <c r="CM4" s="17" t="s">
        <v>208</v>
      </c>
      <c r="CN4" s="17" t="s">
        <v>209</v>
      </c>
      <c r="CO4" s="17" t="s">
        <v>85</v>
      </c>
      <c r="CP4" s="25" t="s">
        <v>210</v>
      </c>
    </row>
    <row r="5" spans="1:94" x14ac:dyDescent="0.25">
      <c r="A5" s="19">
        <v>2015</v>
      </c>
      <c r="B5" s="19">
        <v>10</v>
      </c>
      <c r="C5" s="18">
        <f t="shared" ref="C5:C68" si="0">IF(R5&lt;&gt;1,"",DAY(DATE(A5,B5+1,)))</f>
        <v>31</v>
      </c>
      <c r="D5" s="18">
        <v>261.35000000000002</v>
      </c>
      <c r="E5" s="18">
        <f>0.2*(D5-CONTROL_PANEL!$B$12)^3.02*10000</f>
        <v>39064967.442889594</v>
      </c>
      <c r="F5" s="18">
        <f t="shared" ref="F5:F36" si="1">IF(R5&lt;&gt;1,"",0.6*(D5-235)^2.02*10000)</f>
        <v>4447624.3767995713</v>
      </c>
      <c r="G5" s="18">
        <f>IF(R5&lt;&gt;1,"",DATA_INPUT!$I5)</f>
        <v>0</v>
      </c>
      <c r="H5" s="18">
        <f>IF(R5&lt;&gt;1,"",G5*CONTROL_PANEL!$B$5)</f>
        <v>0</v>
      </c>
      <c r="I5" s="18">
        <f>IF(R5&lt;&gt;1,"",DATA_INPUT!$C5)</f>
        <v>69</v>
      </c>
      <c r="J5" s="18">
        <f t="shared" ref="J5:J68" si="2">IF(R5&lt;&gt;1,"",(I5*F5)/1000)</f>
        <v>306886.08199917042</v>
      </c>
      <c r="K5" s="18">
        <f>IF(R5&lt;&gt;1,"",DATA_INPUT!$H5)</f>
        <v>56.858579555549177</v>
      </c>
      <c r="L5" s="18">
        <f>IF(R5&lt;&gt;1,"",((K5*F5)/1000))</f>
        <v>252885.60446145828</v>
      </c>
      <c r="M5" s="18">
        <f>IF(R5&lt;&gt;1,"",H5*CONTROL_PANEL!$B$14)</f>
        <v>0</v>
      </c>
      <c r="N5" s="18">
        <f>IF(R5&lt;&gt;1,"",DATA_INPUT!$K5)</f>
        <v>0</v>
      </c>
      <c r="O5" s="18">
        <f t="shared" ref="O5:O68" si="3">IF(R5&lt;&gt;1,"",(E5+H5+J5)-(L5+N5+M5))</f>
        <v>39118967.9204273</v>
      </c>
      <c r="P5" s="18">
        <f>IF(R5&lt;&gt;1,"",IF(O5-CONTROL_PANEL!$B$11&lt;0,0,O5-CONTROL_PANEL!$B$11))</f>
        <v>0</v>
      </c>
      <c r="Q5" s="18">
        <f>IF(R5&lt;&gt;1,"",IF(N5&lt;=0,0,MIN(N5,MAX(0,CONTROL_PANEL!$B$13-O5))))</f>
        <v>0</v>
      </c>
      <c r="R5" s="18">
        <v>1</v>
      </c>
      <c r="T5" s="19">
        <v>2015</v>
      </c>
      <c r="U5" s="19">
        <v>10</v>
      </c>
      <c r="V5" s="18">
        <f t="shared" ref="V5:V68" si="4">IF(AK5&lt;&gt;1,"",DAY(DATE(T5,U5+1,)))</f>
        <v>31</v>
      </c>
      <c r="W5" s="18">
        <v>261.35000000000002</v>
      </c>
      <c r="X5" s="18">
        <f>0.2*(W5-CONTROL_PANEL!$B$12)^3.02*10000</f>
        <v>39064967.442889594</v>
      </c>
      <c r="Y5" s="18">
        <f t="shared" ref="Y5:Y36" si="5">IF(AK5&lt;&gt;1,"",0.6*(W5-235)^2.02*10000)</f>
        <v>4447624.3767995713</v>
      </c>
      <c r="Z5" s="18">
        <f>IF(AK5&lt;&gt;1,"",DATA_INPUT!I5)</f>
        <v>0</v>
      </c>
      <c r="AA5" s="18">
        <f>IF(AK5&lt;&gt;1,"",Z5*CONTROL_PANEL!$B$5)</f>
        <v>0</v>
      </c>
      <c r="AB5" s="18">
        <f>IF(AK5&lt;&gt;1,"",DATA_INPUT!$C5)</f>
        <v>69</v>
      </c>
      <c r="AC5" s="18">
        <f t="shared" ref="AC5:AC68" si="6">IF(AK5&lt;&gt;1,"",(AB5*Y5)/1000)</f>
        <v>306886.08199917042</v>
      </c>
      <c r="AD5" s="18">
        <f>IF(AK5&lt;&gt;1,"",DATA_INPUT!$H5)</f>
        <v>56.858579555549177</v>
      </c>
      <c r="AE5" s="18">
        <f t="shared" ref="AE5:AE68" si="7">IF(AK5&lt;&gt;1,"",((AD5*Y5)/1000))</f>
        <v>252885.60446145828</v>
      </c>
      <c r="AF5" s="18">
        <f>IF(AK5&lt;&gt;1,"",AA5*CONTROL_PANEL!$B$14)</f>
        <v>0</v>
      </c>
      <c r="AG5" s="18">
        <f>IF(AK5&lt;&gt;1,"",DATA_INPUT!$L5)</f>
        <v>0</v>
      </c>
      <c r="AH5" s="18">
        <f t="shared" ref="AH5:AH68" si="8">IF(AK5&lt;&gt;1,"",(X5+AA5+AC5)-(AE5+AG5+AF5))</f>
        <v>39118967.9204273</v>
      </c>
      <c r="AI5" s="18">
        <f>IF(AK5&lt;&gt;1,"",IF(AH5-CONTROL_PANEL!$B$11&lt;0,0,AH5-CONTROL_PANEL!$B$11))</f>
        <v>0</v>
      </c>
      <c r="AJ5" s="18">
        <f>IF(AK5&lt;&gt;1,"",IF(AG5&lt;=0,0,MIN(AG5,MAX(0,CONTROL_PANEL!$B$13-AH5))))</f>
        <v>0</v>
      </c>
      <c r="AK5" s="18">
        <v>1</v>
      </c>
      <c r="AM5" s="19">
        <v>2015</v>
      </c>
      <c r="AN5" s="19">
        <v>10</v>
      </c>
      <c r="AO5" s="18">
        <f t="shared" ref="AO5:AO68" si="9">IF(BD5&lt;&gt;1,"",DAY(DATE(AM5,AN5+1,)))</f>
        <v>31</v>
      </c>
      <c r="AP5" s="18">
        <v>261.35000000000002</v>
      </c>
      <c r="AQ5" s="18">
        <f>0.2*(AP5-CONTROL_PANEL!$B$12)^3.02*10000</f>
        <v>39064967.442889594</v>
      </c>
      <c r="AR5" s="18">
        <f t="shared" ref="AR5:AR36" si="10">IF(BD5&lt;&gt;1,"",0.6*(AP5-235)^2.02*10000)</f>
        <v>4447624.3767995713</v>
      </c>
      <c r="AS5" s="18">
        <f>IF(BD5&lt;&gt;1,"",DATA_INPUT!$I5)</f>
        <v>0</v>
      </c>
      <c r="AT5" s="18">
        <f>IF(BD5&lt;&gt;1,"",AS5*CONTROL_PANEL!$B$5)</f>
        <v>0</v>
      </c>
      <c r="AU5" s="18">
        <f>IF(BD5&lt;&gt;1,"",DATA_INPUT!$C5)</f>
        <v>69</v>
      </c>
      <c r="AV5" s="18">
        <f t="shared" ref="AV5:AV68" si="11">IF(BD5&lt;&gt;1,"",(AU5*AR5)/1000)</f>
        <v>306886.08199917042</v>
      </c>
      <c r="AW5" s="18">
        <f>IF(BD5&lt;&gt;1,"",DATA_INPUT!$H5)</f>
        <v>56.858579555549177</v>
      </c>
      <c r="AX5" s="18">
        <f t="shared" ref="AX5:AX68" si="12">IF(BD5&lt;&gt;1,"",((AW5*AR5)/1000))</f>
        <v>252885.60446145828</v>
      </c>
      <c r="AY5" s="18">
        <f>IF(BD5&lt;&gt;1,"",AT5*CONTROL_PANEL!$B$14)</f>
        <v>0</v>
      </c>
      <c r="AZ5" s="18">
        <f>IF(BD5&lt;&gt;1,"",DATA_INPUT!$M5)</f>
        <v>0</v>
      </c>
      <c r="BA5" s="18">
        <f t="shared" ref="BA5:BA68" si="13">IF(BD5&lt;&gt;1,"",(AQ5+AT5+AV5)-(AX5+AZ5+AY5))</f>
        <v>39118967.9204273</v>
      </c>
      <c r="BB5" s="18">
        <f>IF(BD5&lt;&gt;1,"",IF(BA5-CONTROL_PANEL!$B$11&lt;0,0,BA5-CONTROL_PANEL!$B$11))</f>
        <v>0</v>
      </c>
      <c r="BC5" s="18">
        <f>IF(BD5&lt;&gt;1,"",IF(AZ5&lt;=0,0,MIN(AZ5,MAX(0,CONTROL_PANEL!$B$13-BA5))))</f>
        <v>0</v>
      </c>
      <c r="BD5" s="18">
        <v>1</v>
      </c>
      <c r="BF5" s="19">
        <v>2015</v>
      </c>
      <c r="BG5" s="19">
        <v>10</v>
      </c>
      <c r="BH5" s="18">
        <f t="shared" ref="BH5:BH68" si="14">IF(BW5&lt;&gt;1,"",DAY(DATE(BF5,BG5+1,)))</f>
        <v>31</v>
      </c>
      <c r="BI5" s="18">
        <v>261.35000000000002</v>
      </c>
      <c r="BJ5" s="18">
        <f>0.2*(BI5-CONTROL_PANEL!$B$12)^3.02*10000</f>
        <v>39064967.442889594</v>
      </c>
      <c r="BK5" s="18">
        <f t="shared" ref="BK5:BK36" si="15">IF(BW5&lt;&gt;1,"",0.6*(BI5-235)^2.02*10000)</f>
        <v>4447624.3767995713</v>
      </c>
      <c r="BL5" s="18">
        <f>IF(BW5&lt;&gt;1,"",DATA_INPUT!$I5)</f>
        <v>0</v>
      </c>
      <c r="BM5" s="18">
        <f>IF(BW5&lt;&gt;1,"",BL5*CONTROL_PANEL!$B$5)</f>
        <v>0</v>
      </c>
      <c r="BN5" s="18">
        <f>IF(BW5&lt;&gt;1,"",DATA_INPUT!$C5)</f>
        <v>69</v>
      </c>
      <c r="BO5" s="18">
        <f t="shared" ref="BO5:BO68" si="16">IF(BW5&lt;&gt;1,"",(BN5*BK5)/1000)</f>
        <v>306886.08199917042</v>
      </c>
      <c r="BP5" s="18">
        <f>IF(BW5&lt;&gt;1,"",DATA_INPUT!$H5)</f>
        <v>56.858579555549177</v>
      </c>
      <c r="BQ5" s="18">
        <f t="shared" ref="BQ5:BQ68" si="17">IF(BW5&lt;&gt;1,"",((BP5*BK5)/1000))</f>
        <v>252885.60446145828</v>
      </c>
      <c r="BR5" s="18">
        <f>IF(BW5&lt;&gt;1,"",BM5*CONTROL_PANEL!$B$14)</f>
        <v>0</v>
      </c>
      <c r="BS5" s="18">
        <f>IF(BW5&lt;&gt;1,"",DATA_INPUT!$N5)</f>
        <v>0</v>
      </c>
      <c r="BT5" s="18">
        <f t="shared" ref="BT5:BT68" si="18">IF(BW5&lt;&gt;1,"",(BJ5+BM5+BO5)-(BQ5+BS5+BR5))</f>
        <v>39118967.9204273</v>
      </c>
      <c r="BU5" s="18">
        <f>IF(BW5&lt;&gt;1,"",IF(BT5-CONTROL_PANEL!$B$11&lt;0,0,BT5-CONTROL_PANEL!$B$11))</f>
        <v>0</v>
      </c>
      <c r="BV5" s="18">
        <f>IF(BW5&lt;&gt;1,"",IF(BS5&lt;=0,0,MIN(BS5,MAX(0,CONTROL_PANEL!$B$13-BT5))))</f>
        <v>0</v>
      </c>
      <c r="BW5" s="18">
        <v>1</v>
      </c>
      <c r="BY5" s="19">
        <v>2015</v>
      </c>
      <c r="BZ5" s="19">
        <v>10</v>
      </c>
      <c r="CA5" s="18">
        <f t="shared" ref="CA5:CA68" si="19">IF(CP5&lt;&gt;1,"",DAY(DATE(BY5,BZ5+1,)))</f>
        <v>31</v>
      </c>
      <c r="CB5" s="18">
        <v>261.35000000000002</v>
      </c>
      <c r="CC5" s="18">
        <f>0.2*(CB5-CONTROL_PANEL!$B$12)^3.02*10000</f>
        <v>39064967.442889594</v>
      </c>
      <c r="CD5" s="18">
        <f t="shared" ref="CD5:CD36" si="20">IF(CP5&lt;&gt;1,"",0.6*(CB5-235)^2.02*10000)</f>
        <v>4447624.3767995713</v>
      </c>
      <c r="CE5" s="18">
        <f>IF(CP5&lt;&gt;1,"",DATA_INPUT!$I5)</f>
        <v>0</v>
      </c>
      <c r="CF5" s="18">
        <f>IF(CP5&lt;&gt;1,"",CE5*CONTROL_PANEL!$B$5)</f>
        <v>0</v>
      </c>
      <c r="CG5" s="18">
        <f>IF(CP5&lt;&gt;1,"",DATA_INPUT!$C5)</f>
        <v>69</v>
      </c>
      <c r="CH5" s="18">
        <f t="shared" ref="CH5:CH68" si="21">IF(CP5&lt;&gt;1,"",(CG5*CD5)/1000)</f>
        <v>306886.08199917042</v>
      </c>
      <c r="CI5" s="18">
        <f>IF(CP5&lt;&gt;1,"",DATA_INPUT!$H5)</f>
        <v>56.858579555549177</v>
      </c>
      <c r="CJ5" s="18">
        <f t="shared" ref="CJ5:CJ68" si="22">IF(CP5&lt;&gt;1,"",((CI5*CD5)/1000))</f>
        <v>252885.60446145828</v>
      </c>
      <c r="CK5" s="18">
        <f>IF(CP5&lt;&gt;1,"",CF5*CONTROL_PANEL!$B$14)</f>
        <v>0</v>
      </c>
      <c r="CL5" s="18">
        <f>IF(CP5&lt;&gt;1,"",DATA_INPUT!$O5)</f>
        <v>0</v>
      </c>
      <c r="CM5" s="18">
        <f t="shared" ref="CM5:CM68" si="23">IF(CP5&lt;&gt;1,"",(CC5+CF5+CH5)-(CJ5+CL5+CK5))</f>
        <v>39118967.9204273</v>
      </c>
      <c r="CN5" s="18">
        <f>IF(CP5&lt;&gt;1,"",IF(CM5-CONTROL_PANEL!$B$11&lt;0,0,CM5-CONTROL_PANEL!$B$11))</f>
        <v>0</v>
      </c>
      <c r="CO5" s="18">
        <f>IF(CP5&lt;&gt;1,"",IF(CL5&lt;=0,0,MIN(CL5,MAX(0,CONTROL_PANEL!$B$13-CM5))))</f>
        <v>0</v>
      </c>
      <c r="CP5" s="18">
        <v>1</v>
      </c>
    </row>
    <row r="6" spans="1:94" x14ac:dyDescent="0.25">
      <c r="A6" s="19">
        <v>2015</v>
      </c>
      <c r="B6" s="19">
        <v>11</v>
      </c>
      <c r="C6" s="18">
        <f t="shared" si="0"/>
        <v>30</v>
      </c>
      <c r="D6" s="18">
        <f t="shared" ref="D6:D37" si="24">IF(R5&lt;&gt;1,"",235+((E6/1000/2)^(1/3.02)))</f>
        <v>261.36205544215505</v>
      </c>
      <c r="E6" s="18">
        <f>IF(R5&lt;&gt;1,"",IF(O5&gt;0,IF(O5&gt;CONTROL_PANEL!$B$11,CONTROL_PANEL!$B$11,O5),0))</f>
        <v>39118967.9204273</v>
      </c>
      <c r="F6" s="18">
        <f t="shared" si="1"/>
        <v>4451735.7160860468</v>
      </c>
      <c r="G6" s="18">
        <f>IF(R6&lt;&gt;1,"",DATA_INPUT!I6)</f>
        <v>0</v>
      </c>
      <c r="H6" s="18">
        <f>IF(R6&lt;&gt;1,"",G6*CONTROL_PANEL!$B$5)</f>
        <v>0</v>
      </c>
      <c r="I6" s="18">
        <f>IF(R6&lt;&gt;1,"",DATA_INPUT!C6)</f>
        <v>17</v>
      </c>
      <c r="J6" s="18">
        <f t="shared" si="2"/>
        <v>75679.5071734628</v>
      </c>
      <c r="K6" s="18">
        <f>IF(R6&lt;&gt;1,"",DATA_INPUT!H6)</f>
        <v>38.167251975566295</v>
      </c>
      <c r="L6" s="18">
        <f t="shared" ref="L6:L68" si="25">IF(R6&lt;&gt;1,"",((K6*F6)/1000))</f>
        <v>169910.51880448419</v>
      </c>
      <c r="M6" s="18">
        <f>IF(R6&lt;&gt;1,"",H6*CONTROL_PANEL!$B$14)</f>
        <v>0</v>
      </c>
      <c r="N6" s="18">
        <f>IF(R6&lt;&gt;1,"",DATA_INPUT!K6)</f>
        <v>0</v>
      </c>
      <c r="O6" s="18">
        <f t="shared" si="3"/>
        <v>39024736.908796281</v>
      </c>
      <c r="P6" s="18">
        <f>IF(R6&lt;&gt;1,"",IF(O6-CONTROL_PANEL!$B$11&lt;0,0,O6-CONTROL_PANEL!$B$11))</f>
        <v>0</v>
      </c>
      <c r="Q6" s="18">
        <f>IF(R6&lt;&gt;1,"",IF(N6&lt;=0,0,MIN(N6,MAX(0,CONTROL_PANEL!$B$13-O6))))</f>
        <v>0</v>
      </c>
      <c r="R6" s="18">
        <v>1</v>
      </c>
      <c r="T6" s="19">
        <v>2015</v>
      </c>
      <c r="U6" s="19">
        <v>11</v>
      </c>
      <c r="V6" s="18">
        <f t="shared" si="4"/>
        <v>30</v>
      </c>
      <c r="W6" s="18">
        <f t="shared" ref="W6:W37" si="26">IF(AK5&lt;&gt;1,"",235+((X6/1000/2)^(1/3.02)))</f>
        <v>261.36205544215505</v>
      </c>
      <c r="X6" s="18">
        <f>IF(AK5&lt;&gt;1,"",IF(AH5&gt;0,IF(AH5&gt;CONTROL_PANEL!$B$11,CONTROL_PANEL!$B$11,AH5),0))</f>
        <v>39118967.9204273</v>
      </c>
      <c r="Y6" s="18">
        <f t="shared" si="5"/>
        <v>4451735.7160860468</v>
      </c>
      <c r="Z6" s="18">
        <f>IF(AK6&lt;&gt;1,"",DATA_INPUT!I6)</f>
        <v>0</v>
      </c>
      <c r="AA6" s="18">
        <f>IF(AK6&lt;&gt;1,"",Z6*CONTROL_PANEL!$B$5)</f>
        <v>0</v>
      </c>
      <c r="AB6" s="18">
        <f>IF(AK6&lt;&gt;1,"",DATA_INPUT!$C6)</f>
        <v>17</v>
      </c>
      <c r="AC6" s="18">
        <f t="shared" si="6"/>
        <v>75679.5071734628</v>
      </c>
      <c r="AD6" s="18">
        <f>IF(AK6&lt;&gt;1,"",DATA_INPUT!$H6)</f>
        <v>38.167251975566295</v>
      </c>
      <c r="AE6" s="18">
        <f t="shared" si="7"/>
        <v>169910.51880448419</v>
      </c>
      <c r="AF6" s="18">
        <f>IF(AK6&lt;&gt;1,"",AA6*CONTROL_PANEL!$B$14)</f>
        <v>0</v>
      </c>
      <c r="AG6" s="18">
        <f>IF(AK6&lt;&gt;1,"",DATA_INPUT!$L6)</f>
        <v>0</v>
      </c>
      <c r="AH6" s="18">
        <f t="shared" si="8"/>
        <v>39024736.908796281</v>
      </c>
      <c r="AI6" s="18">
        <f>IF(AK6&lt;&gt;1,"",IF(AH6-CONTROL_PANEL!$B$11&lt;0,0,AH6-CONTROL_PANEL!$B$11))</f>
        <v>0</v>
      </c>
      <c r="AJ6" s="18">
        <f>IF(AK6&lt;&gt;1,"",IF(AG6&lt;=0,0,MIN(AG6,MAX(0,CONTROL_PANEL!$B$13-AH6))))</f>
        <v>0</v>
      </c>
      <c r="AK6" s="18">
        <v>1</v>
      </c>
      <c r="AM6" s="19">
        <v>2015</v>
      </c>
      <c r="AN6" s="19">
        <v>11</v>
      </c>
      <c r="AO6" s="18">
        <f t="shared" si="9"/>
        <v>30</v>
      </c>
      <c r="AP6" s="18">
        <f t="shared" ref="AP6:AP37" si="27">IF(BD5&lt;&gt;1,"",235+((AQ6/1000/2)^(1/3.02)))</f>
        <v>261.36205544215505</v>
      </c>
      <c r="AQ6" s="18">
        <f>IF(BD5&lt;&gt;1,"",IF(BA5&gt;0,IF(BA5&gt;CONTROL_PANEL!$B$11,CONTROL_PANEL!$B$11,BA5),0))</f>
        <v>39118967.9204273</v>
      </c>
      <c r="AR6" s="18">
        <f t="shared" si="10"/>
        <v>4451735.7160860468</v>
      </c>
      <c r="AS6" s="18">
        <f>IF(BD6&lt;&gt;1,"",DATA_INPUT!$I6)</f>
        <v>0</v>
      </c>
      <c r="AT6" s="18">
        <f>IF(BD6&lt;&gt;1,"",AS6*CONTROL_PANEL!$B$5)</f>
        <v>0</v>
      </c>
      <c r="AU6" s="18">
        <f>IF(BD6&lt;&gt;1,"",DATA_INPUT!$C6)</f>
        <v>17</v>
      </c>
      <c r="AV6" s="18">
        <f t="shared" si="11"/>
        <v>75679.5071734628</v>
      </c>
      <c r="AW6" s="18">
        <f>IF(BD6&lt;&gt;1,"",DATA_INPUT!$H6)</f>
        <v>38.167251975566295</v>
      </c>
      <c r="AX6" s="18">
        <f t="shared" si="12"/>
        <v>169910.51880448419</v>
      </c>
      <c r="AY6" s="18">
        <f>IF(BD6&lt;&gt;1,"",AT6*CONTROL_PANEL!$B$14)</f>
        <v>0</v>
      </c>
      <c r="AZ6" s="18">
        <f>IF(BD6&lt;&gt;1,"",DATA_INPUT!$M6)</f>
        <v>0</v>
      </c>
      <c r="BA6" s="18">
        <f t="shared" si="13"/>
        <v>39024736.908796281</v>
      </c>
      <c r="BB6" s="18">
        <f>IF(BD6&lt;&gt;1,"",IF(BA6-CONTROL_PANEL!$B$11&lt;0,0,BA6-CONTROL_PANEL!$B$11))</f>
        <v>0</v>
      </c>
      <c r="BC6" s="18">
        <f>IF(BD6&lt;&gt;1,"",IF(AZ6&lt;=0,0,MIN(AZ6,MAX(0,CONTROL_PANEL!$B$13-BA6))))</f>
        <v>0</v>
      </c>
      <c r="BD6" s="18">
        <v>1</v>
      </c>
      <c r="BF6" s="19">
        <v>2015</v>
      </c>
      <c r="BG6" s="19">
        <v>11</v>
      </c>
      <c r="BH6" s="18">
        <f t="shared" si="14"/>
        <v>30</v>
      </c>
      <c r="BI6" s="18">
        <f t="shared" ref="BI6:BI37" si="28">IF(BW5&lt;&gt;1,"",235+((BJ6/1000/2)^(1/3.02)))</f>
        <v>261.36205544215505</v>
      </c>
      <c r="BJ6" s="18">
        <f>IF(BW5&lt;&gt;1,"",IF(BT5&gt;0,IF(BT5&gt;CONTROL_PANEL!$B$11,CONTROL_PANEL!$B$11,BT5),0))</f>
        <v>39118967.9204273</v>
      </c>
      <c r="BK6" s="18">
        <f t="shared" si="15"/>
        <v>4451735.7160860468</v>
      </c>
      <c r="BL6" s="18">
        <f>IF(BW6&lt;&gt;1,"",DATA_INPUT!$I6)</f>
        <v>0</v>
      </c>
      <c r="BM6" s="18">
        <f>IF(BW6&lt;&gt;1,"",BL6*CONTROL_PANEL!$B$5)</f>
        <v>0</v>
      </c>
      <c r="BN6" s="18">
        <f>IF(BW6&lt;&gt;1,"",DATA_INPUT!$C6)</f>
        <v>17</v>
      </c>
      <c r="BO6" s="18">
        <f t="shared" si="16"/>
        <v>75679.5071734628</v>
      </c>
      <c r="BP6" s="18">
        <f>IF(BW6&lt;&gt;1,"",DATA_INPUT!$H6)</f>
        <v>38.167251975566295</v>
      </c>
      <c r="BQ6" s="18">
        <f t="shared" si="17"/>
        <v>169910.51880448419</v>
      </c>
      <c r="BR6" s="18">
        <f>IF(BW6&lt;&gt;1,"",BM6*CONTROL_PANEL!$B$14)</f>
        <v>0</v>
      </c>
      <c r="BS6" s="18">
        <f>IF(BW6&lt;&gt;1,"",DATA_INPUT!$N6)</f>
        <v>0</v>
      </c>
      <c r="BT6" s="18">
        <f t="shared" si="18"/>
        <v>39024736.908796281</v>
      </c>
      <c r="BU6" s="18">
        <f>IF(BW6&lt;&gt;1,"",IF(BT6-CONTROL_PANEL!$B$11&lt;0,0,BT6-CONTROL_PANEL!$B$11))</f>
        <v>0</v>
      </c>
      <c r="BV6" s="18">
        <f>IF(BW6&lt;&gt;1,"",IF(BS6&lt;=0,0,MIN(BS6,MAX(0,CONTROL_PANEL!$B$13-BT6))))</f>
        <v>0</v>
      </c>
      <c r="BW6" s="18">
        <v>1</v>
      </c>
      <c r="BY6" s="19">
        <v>2015</v>
      </c>
      <c r="BZ6" s="19">
        <v>11</v>
      </c>
      <c r="CA6" s="18">
        <f t="shared" si="19"/>
        <v>30</v>
      </c>
      <c r="CB6" s="18">
        <f t="shared" ref="CB6:CB37" si="29">IF(CP5&lt;&gt;1,"",235+((CC6/1000/2)^(1/3.02)))</f>
        <v>261.36205544215505</v>
      </c>
      <c r="CC6" s="18">
        <f>IF(CP5&lt;&gt;1,"",IF(CM5&gt;0,IF(CM5&gt;CONTROL_PANEL!$B$11,CONTROL_PANEL!$B$11,CM5),0))</f>
        <v>39118967.9204273</v>
      </c>
      <c r="CD6" s="18">
        <f t="shared" si="20"/>
        <v>4451735.7160860468</v>
      </c>
      <c r="CE6" s="18">
        <f>IF(CP6&lt;&gt;1,"",DATA_INPUT!$I6)</f>
        <v>0</v>
      </c>
      <c r="CF6" s="18">
        <f>IF(CP6&lt;&gt;1,"",CE6*CONTROL_PANEL!$B$5)</f>
        <v>0</v>
      </c>
      <c r="CG6" s="18">
        <f>IF(CP6&lt;&gt;1,"",DATA_INPUT!$C6)</f>
        <v>17</v>
      </c>
      <c r="CH6" s="18">
        <f t="shared" si="21"/>
        <v>75679.5071734628</v>
      </c>
      <c r="CI6" s="18">
        <f>IF(CP6&lt;&gt;1,"",DATA_INPUT!$H6)</f>
        <v>38.167251975566295</v>
      </c>
      <c r="CJ6" s="18">
        <f t="shared" si="22"/>
        <v>169910.51880448419</v>
      </c>
      <c r="CK6" s="18">
        <f>IF(CP6&lt;&gt;1,"",CF6*CONTROL_PANEL!$B$14)</f>
        <v>0</v>
      </c>
      <c r="CL6" s="18">
        <f>IF(CP6&lt;&gt;1,"",DATA_INPUT!$O6)</f>
        <v>0</v>
      </c>
      <c r="CM6" s="18">
        <f t="shared" si="23"/>
        <v>39024736.908796281</v>
      </c>
      <c r="CN6" s="18">
        <f>IF(CP6&lt;&gt;1,"",IF(CM6-CONTROL_PANEL!$B$11&lt;0,0,CM6-CONTROL_PANEL!$B$11))</f>
        <v>0</v>
      </c>
      <c r="CO6" s="18">
        <f>IF(CP6&lt;&gt;1,"",IF(CL6&lt;=0,0,MIN(CL6,MAX(0,CONTROL_PANEL!$B$13-CM6))))</f>
        <v>0</v>
      </c>
      <c r="CP6" s="18">
        <v>1</v>
      </c>
    </row>
    <row r="7" spans="1:94" x14ac:dyDescent="0.25">
      <c r="A7" s="19">
        <v>2015</v>
      </c>
      <c r="B7" s="19">
        <v>12</v>
      </c>
      <c r="C7" s="18">
        <f t="shared" si="0"/>
        <v>31</v>
      </c>
      <c r="D7" s="18">
        <f t="shared" si="24"/>
        <v>261.34101140845559</v>
      </c>
      <c r="E7" s="18">
        <f>IF(R6&lt;&gt;1,"",IF(O6&gt;0,IF(O6&gt;CONTROL_PANEL!$B$11,CONTROL_PANEL!$B$11,O6),0))</f>
        <v>39024736.908796281</v>
      </c>
      <c r="F7" s="18">
        <f t="shared" si="1"/>
        <v>4444560.1921271561</v>
      </c>
      <c r="G7" s="18">
        <f>IF(R7&lt;&gt;1,"",DATA_INPUT!I7)</f>
        <v>0.6881469796203572</v>
      </c>
      <c r="H7" s="18">
        <f>IF(R7&lt;&gt;1,"",G7*CONTROL_PANEL!$B$5)</f>
        <v>65305.148365971902</v>
      </c>
      <c r="I7" s="18">
        <f>IF(R7&lt;&gt;1,"",DATA_INPUT!C7)</f>
        <v>31.405768686182665</v>
      </c>
      <c r="J7" s="18">
        <f t="shared" si="2"/>
        <v>139584.82930576103</v>
      </c>
      <c r="K7" s="18">
        <f>IF(R7&lt;&gt;1,"",DATA_INPUT!H7)</f>
        <v>21.07300071750883</v>
      </c>
      <c r="L7" s="18">
        <f t="shared" si="25"/>
        <v>93660.220117706747</v>
      </c>
      <c r="M7" s="18">
        <f>IF(R7&lt;&gt;1,"",H7*CONTROL_PANEL!$B$14)</f>
        <v>4571.3603856180334</v>
      </c>
      <c r="N7" s="18">
        <f>IF(R7&lt;&gt;1,"",DATA_INPUT!K7)</f>
        <v>0</v>
      </c>
      <c r="O7" s="18">
        <f t="shared" si="3"/>
        <v>39131395.305964693</v>
      </c>
      <c r="P7" s="18">
        <f>IF(R7&lt;&gt;1,"",IF(O7-CONTROL_PANEL!$B$11&lt;0,0,O7-CONTROL_PANEL!$B$11))</f>
        <v>0</v>
      </c>
      <c r="Q7" s="18">
        <f>IF(R7&lt;&gt;1,"",IF(N7&lt;=0,0,MIN(N7,MAX(0,CONTROL_PANEL!$B$13-O7))))</f>
        <v>0</v>
      </c>
      <c r="R7" s="18">
        <v>1</v>
      </c>
      <c r="T7" s="19">
        <v>2015</v>
      </c>
      <c r="U7" s="19">
        <v>12</v>
      </c>
      <c r="V7" s="18">
        <f t="shared" si="4"/>
        <v>31</v>
      </c>
      <c r="W7" s="18">
        <f t="shared" si="26"/>
        <v>261.34101140845559</v>
      </c>
      <c r="X7" s="18">
        <f>IF(AK6&lt;&gt;1,"",IF(AH6&gt;0,IF(AH6&gt;CONTROL_PANEL!$B$11,CONTROL_PANEL!$B$11,AH6),0))</f>
        <v>39024736.908796281</v>
      </c>
      <c r="Y7" s="18">
        <f t="shared" si="5"/>
        <v>4444560.1921271561</v>
      </c>
      <c r="Z7" s="18">
        <f>IF(AK7&lt;&gt;1,"",DATA_INPUT!I7)</f>
        <v>0.6881469796203572</v>
      </c>
      <c r="AA7" s="18">
        <f>IF(AK7&lt;&gt;1,"",Z7*CONTROL_PANEL!$B$5)</f>
        <v>65305.148365971902</v>
      </c>
      <c r="AB7" s="18">
        <f>IF(AK7&lt;&gt;1,"",DATA_INPUT!$C7)</f>
        <v>31.405768686182665</v>
      </c>
      <c r="AC7" s="18">
        <f t="shared" si="6"/>
        <v>139584.82930576103</v>
      </c>
      <c r="AD7" s="18">
        <f>IF(AK7&lt;&gt;1,"",DATA_INPUT!$H7)</f>
        <v>21.07300071750883</v>
      </c>
      <c r="AE7" s="18">
        <f t="shared" si="7"/>
        <v>93660.220117706747</v>
      </c>
      <c r="AF7" s="18">
        <f>IF(AK7&lt;&gt;1,"",AA7*CONTROL_PANEL!$B$14)</f>
        <v>4571.3603856180334</v>
      </c>
      <c r="AG7" s="18">
        <f>IF(AK7&lt;&gt;1,"",DATA_INPUT!$L7)</f>
        <v>0</v>
      </c>
      <c r="AH7" s="18">
        <f t="shared" si="8"/>
        <v>39131395.305964693</v>
      </c>
      <c r="AI7" s="18">
        <f>IF(AK7&lt;&gt;1,"",IF(AH7-CONTROL_PANEL!$B$11&lt;0,0,AH7-CONTROL_PANEL!$B$11))</f>
        <v>0</v>
      </c>
      <c r="AJ7" s="18">
        <f>IF(AK7&lt;&gt;1,"",IF(AG7&lt;=0,0,MIN(AG7,MAX(0,CONTROL_PANEL!$B$13-AH7))))</f>
        <v>0</v>
      </c>
      <c r="AK7" s="18">
        <v>1</v>
      </c>
      <c r="AM7" s="19">
        <v>2015</v>
      </c>
      <c r="AN7" s="19">
        <v>12</v>
      </c>
      <c r="AO7" s="18">
        <f t="shared" si="9"/>
        <v>31</v>
      </c>
      <c r="AP7" s="18">
        <f t="shared" si="27"/>
        <v>261.34101140845559</v>
      </c>
      <c r="AQ7" s="18">
        <f>IF(BD6&lt;&gt;1,"",IF(BA6&gt;0,IF(BA6&gt;CONTROL_PANEL!$B$11,CONTROL_PANEL!$B$11,BA6),0))</f>
        <v>39024736.908796281</v>
      </c>
      <c r="AR7" s="18">
        <f t="shared" si="10"/>
        <v>4444560.1921271561</v>
      </c>
      <c r="AS7" s="18">
        <f>IF(BD7&lt;&gt;1,"",DATA_INPUT!$I7)</f>
        <v>0.6881469796203572</v>
      </c>
      <c r="AT7" s="18">
        <f>IF(BD7&lt;&gt;1,"",AS7*CONTROL_PANEL!$B$5)</f>
        <v>65305.148365971902</v>
      </c>
      <c r="AU7" s="18">
        <f>IF(BD7&lt;&gt;1,"",DATA_INPUT!$C7)</f>
        <v>31.405768686182665</v>
      </c>
      <c r="AV7" s="18">
        <f t="shared" si="11"/>
        <v>139584.82930576103</v>
      </c>
      <c r="AW7" s="18">
        <f>IF(BD7&lt;&gt;1,"",DATA_INPUT!$H7)</f>
        <v>21.07300071750883</v>
      </c>
      <c r="AX7" s="18">
        <f t="shared" si="12"/>
        <v>93660.220117706747</v>
      </c>
      <c r="AY7" s="18">
        <f>IF(BD7&lt;&gt;1,"",AT7*CONTROL_PANEL!$B$14)</f>
        <v>4571.3603856180334</v>
      </c>
      <c r="AZ7" s="18">
        <f>IF(BD7&lt;&gt;1,"",DATA_INPUT!$M7)</f>
        <v>0</v>
      </c>
      <c r="BA7" s="18">
        <f t="shared" si="13"/>
        <v>39131395.305964693</v>
      </c>
      <c r="BB7" s="18">
        <f>IF(BD7&lt;&gt;1,"",IF(BA7-CONTROL_PANEL!$B$11&lt;0,0,BA7-CONTROL_PANEL!$B$11))</f>
        <v>0</v>
      </c>
      <c r="BC7" s="18">
        <f>IF(BD7&lt;&gt;1,"",IF(AZ7&lt;=0,0,MIN(AZ7,MAX(0,CONTROL_PANEL!$B$13-BA7))))</f>
        <v>0</v>
      </c>
      <c r="BD7" s="18">
        <v>1</v>
      </c>
      <c r="BF7" s="19">
        <v>2015</v>
      </c>
      <c r="BG7" s="19">
        <v>12</v>
      </c>
      <c r="BH7" s="18">
        <f t="shared" si="14"/>
        <v>31</v>
      </c>
      <c r="BI7" s="18">
        <f t="shared" si="28"/>
        <v>261.34101140845559</v>
      </c>
      <c r="BJ7" s="18">
        <f>IF(BW6&lt;&gt;1,"",IF(BT6&gt;0,IF(BT6&gt;CONTROL_PANEL!$B$11,CONTROL_PANEL!$B$11,BT6),0))</f>
        <v>39024736.908796281</v>
      </c>
      <c r="BK7" s="18">
        <f t="shared" si="15"/>
        <v>4444560.1921271561</v>
      </c>
      <c r="BL7" s="18">
        <f>IF(BW7&lt;&gt;1,"",DATA_INPUT!$I7)</f>
        <v>0.6881469796203572</v>
      </c>
      <c r="BM7" s="18">
        <f>IF(BW7&lt;&gt;1,"",BL7*CONTROL_PANEL!$B$5)</f>
        <v>65305.148365971902</v>
      </c>
      <c r="BN7" s="18">
        <f>IF(BW7&lt;&gt;1,"",DATA_INPUT!$C7)</f>
        <v>31.405768686182665</v>
      </c>
      <c r="BO7" s="18">
        <f t="shared" si="16"/>
        <v>139584.82930576103</v>
      </c>
      <c r="BP7" s="18">
        <f>IF(BW7&lt;&gt;1,"",DATA_INPUT!$H7)</f>
        <v>21.07300071750883</v>
      </c>
      <c r="BQ7" s="18">
        <f t="shared" si="17"/>
        <v>93660.220117706747</v>
      </c>
      <c r="BR7" s="18">
        <f>IF(BW7&lt;&gt;1,"",BM7*CONTROL_PANEL!$B$14)</f>
        <v>4571.3603856180334</v>
      </c>
      <c r="BS7" s="18">
        <f>IF(BW7&lt;&gt;1,"",DATA_INPUT!$N7)</f>
        <v>0</v>
      </c>
      <c r="BT7" s="18">
        <f t="shared" si="18"/>
        <v>39131395.305964693</v>
      </c>
      <c r="BU7" s="18">
        <f>IF(BW7&lt;&gt;1,"",IF(BT7-CONTROL_PANEL!$B$11&lt;0,0,BT7-CONTROL_PANEL!$B$11))</f>
        <v>0</v>
      </c>
      <c r="BV7" s="18">
        <f>IF(BW7&lt;&gt;1,"",IF(BS7&lt;=0,0,MIN(BS7,MAX(0,CONTROL_PANEL!$B$13-BT7))))</f>
        <v>0</v>
      </c>
      <c r="BW7" s="18">
        <v>1</v>
      </c>
      <c r="BY7" s="19">
        <v>2015</v>
      </c>
      <c r="BZ7" s="19">
        <v>12</v>
      </c>
      <c r="CA7" s="18">
        <f t="shared" si="19"/>
        <v>31</v>
      </c>
      <c r="CB7" s="18">
        <f t="shared" si="29"/>
        <v>261.34101140845559</v>
      </c>
      <c r="CC7" s="18">
        <f>IF(CP6&lt;&gt;1,"",IF(CM6&gt;0,IF(CM6&gt;CONTROL_PANEL!$B$11,CONTROL_PANEL!$B$11,CM6),0))</f>
        <v>39024736.908796281</v>
      </c>
      <c r="CD7" s="18">
        <f t="shared" si="20"/>
        <v>4444560.1921271561</v>
      </c>
      <c r="CE7" s="18">
        <f>IF(CP7&lt;&gt;1,"",DATA_INPUT!$I7)</f>
        <v>0.6881469796203572</v>
      </c>
      <c r="CF7" s="18">
        <f>IF(CP7&lt;&gt;1,"",CE7*CONTROL_PANEL!$B$5)</f>
        <v>65305.148365971902</v>
      </c>
      <c r="CG7" s="18">
        <f>IF(CP7&lt;&gt;1,"",DATA_INPUT!$C7)</f>
        <v>31.405768686182665</v>
      </c>
      <c r="CH7" s="18">
        <f t="shared" si="21"/>
        <v>139584.82930576103</v>
      </c>
      <c r="CI7" s="18">
        <f>IF(CP7&lt;&gt;1,"",DATA_INPUT!$H7)</f>
        <v>21.07300071750883</v>
      </c>
      <c r="CJ7" s="18">
        <f t="shared" si="22"/>
        <v>93660.220117706747</v>
      </c>
      <c r="CK7" s="18">
        <f>IF(CP7&lt;&gt;1,"",CF7*CONTROL_PANEL!$B$14)</f>
        <v>4571.3603856180334</v>
      </c>
      <c r="CL7" s="18">
        <f>IF(CP7&lt;&gt;1,"",DATA_INPUT!$O7)</f>
        <v>0</v>
      </c>
      <c r="CM7" s="18">
        <f t="shared" si="23"/>
        <v>39131395.305964693</v>
      </c>
      <c r="CN7" s="18">
        <f>IF(CP7&lt;&gt;1,"",IF(CM7-CONTROL_PANEL!$B$11&lt;0,0,CM7-CONTROL_PANEL!$B$11))</f>
        <v>0</v>
      </c>
      <c r="CO7" s="18">
        <f>IF(CP7&lt;&gt;1,"",IF(CL7&lt;=0,0,MIN(CL7,MAX(0,CONTROL_PANEL!$B$13-CM7))))</f>
        <v>0</v>
      </c>
      <c r="CP7" s="18">
        <v>1</v>
      </c>
    </row>
    <row r="8" spans="1:94" x14ac:dyDescent="0.25">
      <c r="A8" s="19">
        <v>2016</v>
      </c>
      <c r="B8" s="19">
        <v>1</v>
      </c>
      <c r="C8" s="18">
        <f t="shared" si="0"/>
        <v>31</v>
      </c>
      <c r="D8" s="18">
        <f t="shared" si="24"/>
        <v>261.36482824233713</v>
      </c>
      <c r="E8" s="18">
        <f>IF(R7&lt;&gt;1,"",IF(O7&gt;0,IF(O7&gt;CONTROL_PANEL!$B$11,CONTROL_PANEL!$B$11,O7),0))</f>
        <v>39131395.305964693</v>
      </c>
      <c r="F8" s="18">
        <f t="shared" si="1"/>
        <v>4452681.6119886711</v>
      </c>
      <c r="G8" s="18">
        <f>IF(R8&lt;&gt;1,"",DATA_INPUT!I8)</f>
        <v>1.6752077832881664</v>
      </c>
      <c r="H8" s="18">
        <f>IF(R8&lt;&gt;1,"",G8*CONTROL_PANEL!$B$5)</f>
        <v>158977.21863404699</v>
      </c>
      <c r="I8" s="18">
        <f>IF(R8&lt;&gt;1,"",DATA_INPUT!C8)</f>
        <v>103</v>
      </c>
      <c r="J8" s="18">
        <f t="shared" si="2"/>
        <v>458626.20603483316</v>
      </c>
      <c r="K8" s="18">
        <f>IF(R8&lt;&gt;1,"",DATA_INPUT!H8)</f>
        <v>17.517106665401645</v>
      </c>
      <c r="L8" s="18">
        <f t="shared" si="25"/>
        <v>77998.09874427809</v>
      </c>
      <c r="M8" s="18">
        <f>IF(R8&lt;&gt;1,"",H8*CONTROL_PANEL!$B$14)</f>
        <v>11128.40530438329</v>
      </c>
      <c r="N8" s="18">
        <f>IF(R8&lt;&gt;1,"",DATA_INPUT!K8)</f>
        <v>0</v>
      </c>
      <c r="O8" s="18">
        <f t="shared" si="3"/>
        <v>39659872.226584911</v>
      </c>
      <c r="P8" s="18">
        <f>IF(R8&lt;&gt;1,"",IF(O8-CONTROL_PANEL!$B$11&lt;0,0,O8-CONTROL_PANEL!$B$11))</f>
        <v>0</v>
      </c>
      <c r="Q8" s="18">
        <f>IF(R8&lt;&gt;1,"",IF(N8&lt;=0,0,MIN(N8,MAX(0,CONTROL_PANEL!$B$13-O8))))</f>
        <v>0</v>
      </c>
      <c r="R8" s="18">
        <v>1</v>
      </c>
      <c r="T8" s="19">
        <v>2016</v>
      </c>
      <c r="U8" s="19">
        <v>1</v>
      </c>
      <c r="V8" s="18">
        <f t="shared" si="4"/>
        <v>31</v>
      </c>
      <c r="W8" s="18">
        <f t="shared" si="26"/>
        <v>261.36482824233713</v>
      </c>
      <c r="X8" s="18">
        <f>IF(AK7&lt;&gt;1,"",IF(AH7&gt;0,IF(AH7&gt;CONTROL_PANEL!$B$11,CONTROL_PANEL!$B$11,AH7),0))</f>
        <v>39131395.305964693</v>
      </c>
      <c r="Y8" s="18">
        <f t="shared" si="5"/>
        <v>4452681.6119886711</v>
      </c>
      <c r="Z8" s="18">
        <f>IF(AK8&lt;&gt;1,"",DATA_INPUT!I8)</f>
        <v>1.6752077832881664</v>
      </c>
      <c r="AA8" s="18">
        <f>IF(AK8&lt;&gt;1,"",Z8*CONTROL_PANEL!$B$5)</f>
        <v>158977.21863404699</v>
      </c>
      <c r="AB8" s="18">
        <f>IF(AK8&lt;&gt;1,"",DATA_INPUT!$C8)</f>
        <v>103</v>
      </c>
      <c r="AC8" s="18">
        <f t="shared" si="6"/>
        <v>458626.20603483316</v>
      </c>
      <c r="AD8" s="18">
        <f>IF(AK8&lt;&gt;1,"",DATA_INPUT!$H8)</f>
        <v>17.517106665401645</v>
      </c>
      <c r="AE8" s="18">
        <f t="shared" si="7"/>
        <v>77998.09874427809</v>
      </c>
      <c r="AF8" s="18">
        <f>IF(AK8&lt;&gt;1,"",AA8*CONTROL_PANEL!$B$14)</f>
        <v>11128.40530438329</v>
      </c>
      <c r="AG8" s="18">
        <f>IF(AK8&lt;&gt;1,"",DATA_INPUT!$L8)</f>
        <v>0</v>
      </c>
      <c r="AH8" s="18">
        <f t="shared" si="8"/>
        <v>39659872.226584911</v>
      </c>
      <c r="AI8" s="18">
        <f>IF(AK8&lt;&gt;1,"",IF(AH8-CONTROL_PANEL!$B$11&lt;0,0,AH8-CONTROL_PANEL!$B$11))</f>
        <v>0</v>
      </c>
      <c r="AJ8" s="18">
        <f>IF(AK8&lt;&gt;1,"",IF(AG8&lt;=0,0,MIN(AG8,MAX(0,CONTROL_PANEL!$B$13-AH8))))</f>
        <v>0</v>
      </c>
      <c r="AK8" s="18">
        <v>1</v>
      </c>
      <c r="AM8" s="19">
        <v>2016</v>
      </c>
      <c r="AN8" s="19">
        <v>1</v>
      </c>
      <c r="AO8" s="18">
        <f t="shared" si="9"/>
        <v>31</v>
      </c>
      <c r="AP8" s="18">
        <f t="shared" si="27"/>
        <v>261.36482824233713</v>
      </c>
      <c r="AQ8" s="18">
        <f>IF(BD7&lt;&gt;1,"",IF(BA7&gt;0,IF(BA7&gt;CONTROL_PANEL!$B$11,CONTROL_PANEL!$B$11,BA7),0))</f>
        <v>39131395.305964693</v>
      </c>
      <c r="AR8" s="18">
        <f t="shared" si="10"/>
        <v>4452681.6119886711</v>
      </c>
      <c r="AS8" s="18">
        <f>IF(BD8&lt;&gt;1,"",DATA_INPUT!$I8)</f>
        <v>1.6752077832881664</v>
      </c>
      <c r="AT8" s="18">
        <f>IF(BD8&lt;&gt;1,"",AS8*CONTROL_PANEL!$B$5)</f>
        <v>158977.21863404699</v>
      </c>
      <c r="AU8" s="18">
        <f>IF(BD8&lt;&gt;1,"",DATA_INPUT!$C8)</f>
        <v>103</v>
      </c>
      <c r="AV8" s="18">
        <f t="shared" si="11"/>
        <v>458626.20603483316</v>
      </c>
      <c r="AW8" s="18">
        <f>IF(BD8&lt;&gt;1,"",DATA_INPUT!$H8)</f>
        <v>17.517106665401645</v>
      </c>
      <c r="AX8" s="18">
        <f t="shared" si="12"/>
        <v>77998.09874427809</v>
      </c>
      <c r="AY8" s="18">
        <f>IF(BD8&lt;&gt;1,"",AT8*CONTROL_PANEL!$B$14)</f>
        <v>11128.40530438329</v>
      </c>
      <c r="AZ8" s="18">
        <f>IF(BD8&lt;&gt;1,"",DATA_INPUT!$M8)</f>
        <v>0</v>
      </c>
      <c r="BA8" s="18">
        <f t="shared" si="13"/>
        <v>39659872.226584911</v>
      </c>
      <c r="BB8" s="18">
        <f>IF(BD8&lt;&gt;1,"",IF(BA8-CONTROL_PANEL!$B$11&lt;0,0,BA8-CONTROL_PANEL!$B$11))</f>
        <v>0</v>
      </c>
      <c r="BC8" s="18">
        <f>IF(BD8&lt;&gt;1,"",IF(AZ8&lt;=0,0,MIN(AZ8,MAX(0,CONTROL_PANEL!$B$13-BA8))))</f>
        <v>0</v>
      </c>
      <c r="BD8" s="18">
        <v>1</v>
      </c>
      <c r="BF8" s="19">
        <v>2016</v>
      </c>
      <c r="BG8" s="19">
        <v>1</v>
      </c>
      <c r="BH8" s="18">
        <f t="shared" si="14"/>
        <v>31</v>
      </c>
      <c r="BI8" s="18">
        <f t="shared" si="28"/>
        <v>261.36482824233713</v>
      </c>
      <c r="BJ8" s="18">
        <f>IF(BW7&lt;&gt;1,"",IF(BT7&gt;0,IF(BT7&gt;CONTROL_PANEL!$B$11,CONTROL_PANEL!$B$11,BT7),0))</f>
        <v>39131395.305964693</v>
      </c>
      <c r="BK8" s="18">
        <f t="shared" si="15"/>
        <v>4452681.6119886711</v>
      </c>
      <c r="BL8" s="18">
        <f>IF(BW8&lt;&gt;1,"",DATA_INPUT!$I8)</f>
        <v>1.6752077832881664</v>
      </c>
      <c r="BM8" s="18">
        <f>IF(BW8&lt;&gt;1,"",BL8*CONTROL_PANEL!$B$5)</f>
        <v>158977.21863404699</v>
      </c>
      <c r="BN8" s="18">
        <f>IF(BW8&lt;&gt;1,"",DATA_INPUT!$C8)</f>
        <v>103</v>
      </c>
      <c r="BO8" s="18">
        <f t="shared" si="16"/>
        <v>458626.20603483316</v>
      </c>
      <c r="BP8" s="18">
        <f>IF(BW8&lt;&gt;1,"",DATA_INPUT!$H8)</f>
        <v>17.517106665401645</v>
      </c>
      <c r="BQ8" s="18">
        <f t="shared" si="17"/>
        <v>77998.09874427809</v>
      </c>
      <c r="BR8" s="18">
        <f>IF(BW8&lt;&gt;1,"",BM8*CONTROL_PANEL!$B$14)</f>
        <v>11128.40530438329</v>
      </c>
      <c r="BS8" s="18">
        <f>IF(BW8&lt;&gt;1,"",DATA_INPUT!$N8)</f>
        <v>0</v>
      </c>
      <c r="BT8" s="18">
        <f t="shared" si="18"/>
        <v>39659872.226584911</v>
      </c>
      <c r="BU8" s="18">
        <f>IF(BW8&lt;&gt;1,"",IF(BT8-CONTROL_PANEL!$B$11&lt;0,0,BT8-CONTROL_PANEL!$B$11))</f>
        <v>0</v>
      </c>
      <c r="BV8" s="18">
        <f>IF(BW8&lt;&gt;1,"",IF(BS8&lt;=0,0,MIN(BS8,MAX(0,CONTROL_PANEL!$B$13-BT8))))</f>
        <v>0</v>
      </c>
      <c r="BW8" s="18">
        <v>1</v>
      </c>
      <c r="BY8" s="19">
        <v>2016</v>
      </c>
      <c r="BZ8" s="19">
        <v>1</v>
      </c>
      <c r="CA8" s="18">
        <f t="shared" si="19"/>
        <v>31</v>
      </c>
      <c r="CB8" s="18">
        <f t="shared" si="29"/>
        <v>261.36482824233713</v>
      </c>
      <c r="CC8" s="18">
        <f>IF(CP7&lt;&gt;1,"",IF(CM7&gt;0,IF(CM7&gt;CONTROL_PANEL!$B$11,CONTROL_PANEL!$B$11,CM7),0))</f>
        <v>39131395.305964693</v>
      </c>
      <c r="CD8" s="18">
        <f t="shared" si="20"/>
        <v>4452681.6119886711</v>
      </c>
      <c r="CE8" s="18">
        <f>IF(CP8&lt;&gt;1,"",DATA_INPUT!$I8)</f>
        <v>1.6752077832881664</v>
      </c>
      <c r="CF8" s="18">
        <f>IF(CP8&lt;&gt;1,"",CE8*CONTROL_PANEL!$B$5)</f>
        <v>158977.21863404699</v>
      </c>
      <c r="CG8" s="18">
        <f>IF(CP8&lt;&gt;1,"",DATA_INPUT!$C8)</f>
        <v>103</v>
      </c>
      <c r="CH8" s="18">
        <f t="shared" si="21"/>
        <v>458626.20603483316</v>
      </c>
      <c r="CI8" s="18">
        <f>IF(CP8&lt;&gt;1,"",DATA_INPUT!$H8)</f>
        <v>17.517106665401645</v>
      </c>
      <c r="CJ8" s="18">
        <f t="shared" si="22"/>
        <v>77998.09874427809</v>
      </c>
      <c r="CK8" s="18">
        <f>IF(CP8&lt;&gt;1,"",CF8*CONTROL_PANEL!$B$14)</f>
        <v>11128.40530438329</v>
      </c>
      <c r="CL8" s="18">
        <f>IF(CP8&lt;&gt;1,"",DATA_INPUT!$O8)</f>
        <v>0</v>
      </c>
      <c r="CM8" s="18">
        <f t="shared" si="23"/>
        <v>39659872.226584911</v>
      </c>
      <c r="CN8" s="18">
        <f>IF(CP8&lt;&gt;1,"",IF(CM8-CONTROL_PANEL!$B$11&lt;0,0,CM8-CONTROL_PANEL!$B$11))</f>
        <v>0</v>
      </c>
      <c r="CO8" s="18">
        <f>IF(CP8&lt;&gt;1,"",IF(CL8&lt;=0,0,MIN(CL8,MAX(0,CONTROL_PANEL!$B$13-CM8))))</f>
        <v>0</v>
      </c>
      <c r="CP8" s="18">
        <v>1</v>
      </c>
    </row>
    <row r="9" spans="1:94" x14ac:dyDescent="0.25">
      <c r="A9" s="19">
        <v>2016</v>
      </c>
      <c r="B9" s="19">
        <v>2</v>
      </c>
      <c r="C9" s="18">
        <f t="shared" si="0"/>
        <v>29</v>
      </c>
      <c r="D9" s="18">
        <f t="shared" si="24"/>
        <v>261.48220101753662</v>
      </c>
      <c r="E9" s="18">
        <f>IF(R8&lt;&gt;1,"",IF(O8&gt;0,IF(O8&gt;CONTROL_PANEL!$B$11,CONTROL_PANEL!$B$11,O8),0))</f>
        <v>39659872.226584911</v>
      </c>
      <c r="F9" s="18">
        <f t="shared" si="1"/>
        <v>4492814.49834802</v>
      </c>
      <c r="G9" s="18">
        <f>IF(R9&lt;&gt;1,"",DATA_INPUT!I9)</f>
        <v>0.78460201834161114</v>
      </c>
      <c r="H9" s="18">
        <f>IF(R9&lt;&gt;1,"",G9*CONTROL_PANEL!$B$5)</f>
        <v>74458.731540618901</v>
      </c>
      <c r="I9" s="18">
        <f>IF(R9&lt;&gt;1,"",DATA_INPUT!C9)</f>
        <v>72</v>
      </c>
      <c r="J9" s="18">
        <f t="shared" si="2"/>
        <v>323482.64388105745</v>
      </c>
      <c r="K9" s="18">
        <f>IF(R9&lt;&gt;1,"",DATA_INPUT!H9)</f>
        <v>22.608353268908729</v>
      </c>
      <c r="L9" s="18">
        <f t="shared" si="25"/>
        <v>101575.13735032699</v>
      </c>
      <c r="M9" s="18">
        <f>IF(R9&lt;&gt;1,"",H9*CONTROL_PANEL!$B$14)</f>
        <v>5212.1112078433234</v>
      </c>
      <c r="N9" s="18">
        <f>IF(R9&lt;&gt;1,"",DATA_INPUT!K9)</f>
        <v>0</v>
      </c>
      <c r="O9" s="18">
        <f t="shared" si="3"/>
        <v>39951026.353448421</v>
      </c>
      <c r="P9" s="18">
        <f>IF(R9&lt;&gt;1,"",IF(O9-CONTROL_PANEL!$B$11&lt;0,0,O9-CONTROL_PANEL!$B$11))</f>
        <v>0</v>
      </c>
      <c r="Q9" s="18">
        <f>IF(R9&lt;&gt;1,"",IF(N9&lt;=0,0,MIN(N9,MAX(0,CONTROL_PANEL!$B$13-O9))))</f>
        <v>0</v>
      </c>
      <c r="R9" s="18">
        <v>1</v>
      </c>
      <c r="T9" s="19">
        <v>2016</v>
      </c>
      <c r="U9" s="19">
        <v>2</v>
      </c>
      <c r="V9" s="18">
        <f t="shared" si="4"/>
        <v>29</v>
      </c>
      <c r="W9" s="18">
        <f t="shared" si="26"/>
        <v>261.48220101753662</v>
      </c>
      <c r="X9" s="18">
        <f>IF(AK8&lt;&gt;1,"",IF(AH8&gt;0,IF(AH8&gt;CONTROL_PANEL!$B$11,CONTROL_PANEL!$B$11,AH8),0))</f>
        <v>39659872.226584911</v>
      </c>
      <c r="Y9" s="18">
        <f t="shared" si="5"/>
        <v>4492814.49834802</v>
      </c>
      <c r="Z9" s="18">
        <f>IF(AK9&lt;&gt;1,"",DATA_INPUT!I9)</f>
        <v>0.78460201834161114</v>
      </c>
      <c r="AA9" s="18">
        <f>IF(AK9&lt;&gt;1,"",Z9*CONTROL_PANEL!$B$5)</f>
        <v>74458.731540618901</v>
      </c>
      <c r="AB9" s="18">
        <f>IF(AK9&lt;&gt;1,"",DATA_INPUT!$C9)</f>
        <v>72</v>
      </c>
      <c r="AC9" s="18">
        <f t="shared" si="6"/>
        <v>323482.64388105745</v>
      </c>
      <c r="AD9" s="18">
        <f>IF(AK9&lt;&gt;1,"",DATA_INPUT!$H9)</f>
        <v>22.608353268908729</v>
      </c>
      <c r="AE9" s="18">
        <f t="shared" si="7"/>
        <v>101575.13735032699</v>
      </c>
      <c r="AF9" s="18">
        <f>IF(AK9&lt;&gt;1,"",AA9*CONTROL_PANEL!$B$14)</f>
        <v>5212.1112078433234</v>
      </c>
      <c r="AG9" s="18">
        <f>IF(AK9&lt;&gt;1,"",DATA_INPUT!$L9)</f>
        <v>0</v>
      </c>
      <c r="AH9" s="18">
        <f t="shared" si="8"/>
        <v>39951026.353448421</v>
      </c>
      <c r="AI9" s="18">
        <f>IF(AK9&lt;&gt;1,"",IF(AH9-CONTROL_PANEL!$B$11&lt;0,0,AH9-CONTROL_PANEL!$B$11))</f>
        <v>0</v>
      </c>
      <c r="AJ9" s="18">
        <f>IF(AK9&lt;&gt;1,"",IF(AG9&lt;=0,0,MIN(AG9,MAX(0,CONTROL_PANEL!$B$13-AH9))))</f>
        <v>0</v>
      </c>
      <c r="AK9" s="18">
        <v>1</v>
      </c>
      <c r="AM9" s="19">
        <v>2016</v>
      </c>
      <c r="AN9" s="19">
        <v>2</v>
      </c>
      <c r="AO9" s="18">
        <f t="shared" si="9"/>
        <v>29</v>
      </c>
      <c r="AP9" s="18">
        <f t="shared" si="27"/>
        <v>261.48220101753662</v>
      </c>
      <c r="AQ9" s="18">
        <f>IF(BD8&lt;&gt;1,"",IF(BA8&gt;0,IF(BA8&gt;CONTROL_PANEL!$B$11,CONTROL_PANEL!$B$11,BA8),0))</f>
        <v>39659872.226584911</v>
      </c>
      <c r="AR9" s="18">
        <f t="shared" si="10"/>
        <v>4492814.49834802</v>
      </c>
      <c r="AS9" s="18">
        <f>IF(BD9&lt;&gt;1,"",DATA_INPUT!$I9)</f>
        <v>0.78460201834161114</v>
      </c>
      <c r="AT9" s="18">
        <f>IF(BD9&lt;&gt;1,"",AS9*CONTROL_PANEL!$B$5)</f>
        <v>74458.731540618901</v>
      </c>
      <c r="AU9" s="18">
        <f>IF(BD9&lt;&gt;1,"",DATA_INPUT!$C9)</f>
        <v>72</v>
      </c>
      <c r="AV9" s="18">
        <f t="shared" si="11"/>
        <v>323482.64388105745</v>
      </c>
      <c r="AW9" s="18">
        <f>IF(BD9&lt;&gt;1,"",DATA_INPUT!$H9)</f>
        <v>22.608353268908729</v>
      </c>
      <c r="AX9" s="18">
        <f t="shared" si="12"/>
        <v>101575.13735032699</v>
      </c>
      <c r="AY9" s="18">
        <f>IF(BD9&lt;&gt;1,"",AT9*CONTROL_PANEL!$B$14)</f>
        <v>5212.1112078433234</v>
      </c>
      <c r="AZ9" s="18">
        <f>IF(BD9&lt;&gt;1,"",DATA_INPUT!$M9)</f>
        <v>0</v>
      </c>
      <c r="BA9" s="18">
        <f t="shared" si="13"/>
        <v>39951026.353448421</v>
      </c>
      <c r="BB9" s="18">
        <f>IF(BD9&lt;&gt;1,"",IF(BA9-CONTROL_PANEL!$B$11&lt;0,0,BA9-CONTROL_PANEL!$B$11))</f>
        <v>0</v>
      </c>
      <c r="BC9" s="18">
        <f>IF(BD9&lt;&gt;1,"",IF(AZ9&lt;=0,0,MIN(AZ9,MAX(0,CONTROL_PANEL!$B$13-BA9))))</f>
        <v>0</v>
      </c>
      <c r="BD9" s="18">
        <v>1</v>
      </c>
      <c r="BF9" s="19">
        <v>2016</v>
      </c>
      <c r="BG9" s="19">
        <v>2</v>
      </c>
      <c r="BH9" s="18">
        <f t="shared" si="14"/>
        <v>29</v>
      </c>
      <c r="BI9" s="18">
        <f t="shared" si="28"/>
        <v>261.48220101753662</v>
      </c>
      <c r="BJ9" s="18">
        <f>IF(BW8&lt;&gt;1,"",IF(BT8&gt;0,IF(BT8&gt;CONTROL_PANEL!$B$11,CONTROL_PANEL!$B$11,BT8),0))</f>
        <v>39659872.226584911</v>
      </c>
      <c r="BK9" s="18">
        <f t="shared" si="15"/>
        <v>4492814.49834802</v>
      </c>
      <c r="BL9" s="18">
        <f>IF(BW9&lt;&gt;1,"",DATA_INPUT!$I9)</f>
        <v>0.78460201834161114</v>
      </c>
      <c r="BM9" s="18">
        <f>IF(BW9&lt;&gt;1,"",BL9*CONTROL_PANEL!$B$5)</f>
        <v>74458.731540618901</v>
      </c>
      <c r="BN9" s="18">
        <f>IF(BW9&lt;&gt;1,"",DATA_INPUT!$C9)</f>
        <v>72</v>
      </c>
      <c r="BO9" s="18">
        <f t="shared" si="16"/>
        <v>323482.64388105745</v>
      </c>
      <c r="BP9" s="18">
        <f>IF(BW9&lt;&gt;1,"",DATA_INPUT!$H9)</f>
        <v>22.608353268908729</v>
      </c>
      <c r="BQ9" s="18">
        <f t="shared" si="17"/>
        <v>101575.13735032699</v>
      </c>
      <c r="BR9" s="18">
        <f>IF(BW9&lt;&gt;1,"",BM9*CONTROL_PANEL!$B$14)</f>
        <v>5212.1112078433234</v>
      </c>
      <c r="BS9" s="18">
        <f>IF(BW9&lt;&gt;1,"",DATA_INPUT!$N9)</f>
        <v>0</v>
      </c>
      <c r="BT9" s="18">
        <f t="shared" si="18"/>
        <v>39951026.353448421</v>
      </c>
      <c r="BU9" s="18">
        <f>IF(BW9&lt;&gt;1,"",IF(BT9-CONTROL_PANEL!$B$11&lt;0,0,BT9-CONTROL_PANEL!$B$11))</f>
        <v>0</v>
      </c>
      <c r="BV9" s="18">
        <f>IF(BW9&lt;&gt;1,"",IF(BS9&lt;=0,0,MIN(BS9,MAX(0,CONTROL_PANEL!$B$13-BT9))))</f>
        <v>0</v>
      </c>
      <c r="BW9" s="18">
        <v>1</v>
      </c>
      <c r="BY9" s="19">
        <v>2016</v>
      </c>
      <c r="BZ9" s="19">
        <v>2</v>
      </c>
      <c r="CA9" s="18">
        <f t="shared" si="19"/>
        <v>29</v>
      </c>
      <c r="CB9" s="18">
        <f t="shared" si="29"/>
        <v>261.48220101753662</v>
      </c>
      <c r="CC9" s="18">
        <f>IF(CP8&lt;&gt;1,"",IF(CM8&gt;0,IF(CM8&gt;CONTROL_PANEL!$B$11,CONTROL_PANEL!$B$11,CM8),0))</f>
        <v>39659872.226584911</v>
      </c>
      <c r="CD9" s="18">
        <f t="shared" si="20"/>
        <v>4492814.49834802</v>
      </c>
      <c r="CE9" s="18">
        <f>IF(CP9&lt;&gt;1,"",DATA_INPUT!$I9)</f>
        <v>0.78460201834161114</v>
      </c>
      <c r="CF9" s="18">
        <f>IF(CP9&lt;&gt;1,"",CE9*CONTROL_PANEL!$B$5)</f>
        <v>74458.731540618901</v>
      </c>
      <c r="CG9" s="18">
        <f>IF(CP9&lt;&gt;1,"",DATA_INPUT!$C9)</f>
        <v>72</v>
      </c>
      <c r="CH9" s="18">
        <f t="shared" si="21"/>
        <v>323482.64388105745</v>
      </c>
      <c r="CI9" s="18">
        <f>IF(CP9&lt;&gt;1,"",DATA_INPUT!$H9)</f>
        <v>22.608353268908729</v>
      </c>
      <c r="CJ9" s="18">
        <f t="shared" si="22"/>
        <v>101575.13735032699</v>
      </c>
      <c r="CK9" s="18">
        <f>IF(CP9&lt;&gt;1,"",CF9*CONTROL_PANEL!$B$14)</f>
        <v>5212.1112078433234</v>
      </c>
      <c r="CL9" s="18">
        <f>IF(CP9&lt;&gt;1,"",DATA_INPUT!$O9)</f>
        <v>0</v>
      </c>
      <c r="CM9" s="18">
        <f t="shared" si="23"/>
        <v>39951026.353448421</v>
      </c>
      <c r="CN9" s="18">
        <f>IF(CP9&lt;&gt;1,"",IF(CM9-CONTROL_PANEL!$B$11&lt;0,0,CM9-CONTROL_PANEL!$B$11))</f>
        <v>0</v>
      </c>
      <c r="CO9" s="18">
        <f>IF(CP9&lt;&gt;1,"",IF(CL9&lt;=0,0,MIN(CL9,MAX(0,CONTROL_PANEL!$B$13-CM9))))</f>
        <v>0</v>
      </c>
      <c r="CP9" s="18">
        <v>1</v>
      </c>
    </row>
    <row r="10" spans="1:94" x14ac:dyDescent="0.25">
      <c r="A10" s="19">
        <v>2016</v>
      </c>
      <c r="B10" s="19">
        <v>3</v>
      </c>
      <c r="C10" s="18">
        <f t="shared" si="0"/>
        <v>31</v>
      </c>
      <c r="D10" s="18">
        <f t="shared" si="24"/>
        <v>261.54641883324325</v>
      </c>
      <c r="E10" s="18">
        <f>IF(R9&lt;&gt;1,"",IF(O9&gt;0,IF(O9&gt;CONTROL_PANEL!$B$11,CONTROL_PANEL!$B$11,O9),0))</f>
        <v>39951026.353448421</v>
      </c>
      <c r="F10" s="18">
        <f t="shared" si="1"/>
        <v>4514849.2462665914</v>
      </c>
      <c r="G10" s="18">
        <f>IF(R10&lt;&gt;1,"",DATA_INPUT!I10)</f>
        <v>5.8924163098599971</v>
      </c>
      <c r="H10" s="18">
        <f>IF(R10&lt;&gt;1,"",G10*CONTROL_PANEL!$B$5)</f>
        <v>559190.30780571373</v>
      </c>
      <c r="I10" s="18">
        <f>IF(R10&lt;&gt;1,"",DATA_INPUT!C10)</f>
        <v>29</v>
      </c>
      <c r="J10" s="18">
        <f t="shared" si="2"/>
        <v>130930.62814173114</v>
      </c>
      <c r="K10" s="18">
        <f>IF(R10&lt;&gt;1,"",DATA_INPUT!H10)</f>
        <v>38.783252541856569</v>
      </c>
      <c r="L10" s="18">
        <f t="shared" si="25"/>
        <v>175100.53850636797</v>
      </c>
      <c r="M10" s="18">
        <f>IF(R10&lt;&gt;1,"",H10*CONTROL_PANEL!$B$14)</f>
        <v>39143.321546399966</v>
      </c>
      <c r="N10" s="18">
        <f>IF(R10&lt;&gt;1,"",DATA_INPUT!K10)</f>
        <v>0</v>
      </c>
      <c r="O10" s="18">
        <f t="shared" si="3"/>
        <v>40426903.429343104</v>
      </c>
      <c r="P10" s="18">
        <f>IF(R10&lt;&gt;1,"",IF(O10-CONTROL_PANEL!$B$11&lt;0,0,O10-CONTROL_PANEL!$B$11))</f>
        <v>0</v>
      </c>
      <c r="Q10" s="18">
        <f>IF(R10&lt;&gt;1,"",IF(N10&lt;=0,0,MIN(N10,MAX(0,CONTROL_PANEL!$B$13-O10))))</f>
        <v>0</v>
      </c>
      <c r="R10" s="18">
        <v>1</v>
      </c>
      <c r="T10" s="19">
        <v>2016</v>
      </c>
      <c r="U10" s="19">
        <v>3</v>
      </c>
      <c r="V10" s="18">
        <f t="shared" si="4"/>
        <v>31</v>
      </c>
      <c r="W10" s="18">
        <f t="shared" si="26"/>
        <v>261.54641883324325</v>
      </c>
      <c r="X10" s="18">
        <f>IF(AK9&lt;&gt;1,"",IF(AH9&gt;0,IF(AH9&gt;CONTROL_PANEL!$B$11,CONTROL_PANEL!$B$11,AH9),0))</f>
        <v>39951026.353448421</v>
      </c>
      <c r="Y10" s="18">
        <f t="shared" si="5"/>
        <v>4514849.2462665914</v>
      </c>
      <c r="Z10" s="18">
        <f>IF(AK10&lt;&gt;1,"",DATA_INPUT!I10)</f>
        <v>5.8924163098599971</v>
      </c>
      <c r="AA10" s="18">
        <f>IF(AK10&lt;&gt;1,"",Z10*CONTROL_PANEL!$B$5)</f>
        <v>559190.30780571373</v>
      </c>
      <c r="AB10" s="18">
        <f>IF(AK10&lt;&gt;1,"",DATA_INPUT!$C10)</f>
        <v>29</v>
      </c>
      <c r="AC10" s="18">
        <f t="shared" si="6"/>
        <v>130930.62814173114</v>
      </c>
      <c r="AD10" s="18">
        <f>IF(AK10&lt;&gt;1,"",DATA_INPUT!$H10)</f>
        <v>38.783252541856569</v>
      </c>
      <c r="AE10" s="18">
        <f t="shared" si="7"/>
        <v>175100.53850636797</v>
      </c>
      <c r="AF10" s="18">
        <f>IF(AK10&lt;&gt;1,"",AA10*CONTROL_PANEL!$B$14)</f>
        <v>39143.321546399966</v>
      </c>
      <c r="AG10" s="18">
        <f>IF(AK10&lt;&gt;1,"",DATA_INPUT!$L10)</f>
        <v>0</v>
      </c>
      <c r="AH10" s="18">
        <f t="shared" si="8"/>
        <v>40426903.429343104</v>
      </c>
      <c r="AI10" s="18">
        <f>IF(AK10&lt;&gt;1,"",IF(AH10-CONTROL_PANEL!$B$11&lt;0,0,AH10-CONTROL_PANEL!$B$11))</f>
        <v>0</v>
      </c>
      <c r="AJ10" s="18">
        <f>IF(AK10&lt;&gt;1,"",IF(AG10&lt;=0,0,MIN(AG10,MAX(0,CONTROL_PANEL!$B$13-AH10))))</f>
        <v>0</v>
      </c>
      <c r="AK10" s="18">
        <v>1</v>
      </c>
      <c r="AM10" s="19">
        <v>2016</v>
      </c>
      <c r="AN10" s="19">
        <v>3</v>
      </c>
      <c r="AO10" s="18">
        <f t="shared" si="9"/>
        <v>31</v>
      </c>
      <c r="AP10" s="18">
        <f t="shared" si="27"/>
        <v>261.54641883324325</v>
      </c>
      <c r="AQ10" s="18">
        <f>IF(BD9&lt;&gt;1,"",IF(BA9&gt;0,IF(BA9&gt;CONTROL_PANEL!$B$11,CONTROL_PANEL!$B$11,BA9),0))</f>
        <v>39951026.353448421</v>
      </c>
      <c r="AR10" s="18">
        <f t="shared" si="10"/>
        <v>4514849.2462665914</v>
      </c>
      <c r="AS10" s="18">
        <f>IF(BD10&lt;&gt;1,"",DATA_INPUT!$I10)</f>
        <v>5.8924163098599971</v>
      </c>
      <c r="AT10" s="18">
        <f>IF(BD10&lt;&gt;1,"",AS10*CONTROL_PANEL!$B$5)</f>
        <v>559190.30780571373</v>
      </c>
      <c r="AU10" s="18">
        <f>IF(BD10&lt;&gt;1,"",DATA_INPUT!$C10)</f>
        <v>29</v>
      </c>
      <c r="AV10" s="18">
        <f t="shared" si="11"/>
        <v>130930.62814173114</v>
      </c>
      <c r="AW10" s="18">
        <f>IF(BD10&lt;&gt;1,"",DATA_INPUT!$H10)</f>
        <v>38.783252541856569</v>
      </c>
      <c r="AX10" s="18">
        <f t="shared" si="12"/>
        <v>175100.53850636797</v>
      </c>
      <c r="AY10" s="18">
        <f>IF(BD10&lt;&gt;1,"",AT10*CONTROL_PANEL!$B$14)</f>
        <v>39143.321546399966</v>
      </c>
      <c r="AZ10" s="18">
        <f>IF(BD10&lt;&gt;1,"",DATA_INPUT!$M10)</f>
        <v>0</v>
      </c>
      <c r="BA10" s="18">
        <f t="shared" si="13"/>
        <v>40426903.429343104</v>
      </c>
      <c r="BB10" s="18">
        <f>IF(BD10&lt;&gt;1,"",IF(BA10-CONTROL_PANEL!$B$11&lt;0,0,BA10-CONTROL_PANEL!$B$11))</f>
        <v>0</v>
      </c>
      <c r="BC10" s="18">
        <f>IF(BD10&lt;&gt;1,"",IF(AZ10&lt;=0,0,MIN(AZ10,MAX(0,CONTROL_PANEL!$B$13-BA10))))</f>
        <v>0</v>
      </c>
      <c r="BD10" s="18">
        <v>1</v>
      </c>
      <c r="BF10" s="19">
        <v>2016</v>
      </c>
      <c r="BG10" s="19">
        <v>3</v>
      </c>
      <c r="BH10" s="18">
        <f t="shared" si="14"/>
        <v>31</v>
      </c>
      <c r="BI10" s="18">
        <f t="shared" si="28"/>
        <v>261.54641883324325</v>
      </c>
      <c r="BJ10" s="18">
        <f>IF(BW9&lt;&gt;1,"",IF(BT9&gt;0,IF(BT9&gt;CONTROL_PANEL!$B$11,CONTROL_PANEL!$B$11,BT9),0))</f>
        <v>39951026.353448421</v>
      </c>
      <c r="BK10" s="18">
        <f t="shared" si="15"/>
        <v>4514849.2462665914</v>
      </c>
      <c r="BL10" s="18">
        <f>IF(BW10&lt;&gt;1,"",DATA_INPUT!$I10)</f>
        <v>5.8924163098599971</v>
      </c>
      <c r="BM10" s="18">
        <f>IF(BW10&lt;&gt;1,"",BL10*CONTROL_PANEL!$B$5)</f>
        <v>559190.30780571373</v>
      </c>
      <c r="BN10" s="18">
        <f>IF(BW10&lt;&gt;1,"",DATA_INPUT!$C10)</f>
        <v>29</v>
      </c>
      <c r="BO10" s="18">
        <f t="shared" si="16"/>
        <v>130930.62814173114</v>
      </c>
      <c r="BP10" s="18">
        <f>IF(BW10&lt;&gt;1,"",DATA_INPUT!$H10)</f>
        <v>38.783252541856569</v>
      </c>
      <c r="BQ10" s="18">
        <f t="shared" si="17"/>
        <v>175100.53850636797</v>
      </c>
      <c r="BR10" s="18">
        <f>IF(BW10&lt;&gt;1,"",BM10*CONTROL_PANEL!$B$14)</f>
        <v>39143.321546399966</v>
      </c>
      <c r="BS10" s="18">
        <f>IF(BW10&lt;&gt;1,"",DATA_INPUT!$N10)</f>
        <v>0</v>
      </c>
      <c r="BT10" s="18">
        <f t="shared" si="18"/>
        <v>40426903.429343104</v>
      </c>
      <c r="BU10" s="18">
        <f>IF(BW10&lt;&gt;1,"",IF(BT10-CONTROL_PANEL!$B$11&lt;0,0,BT10-CONTROL_PANEL!$B$11))</f>
        <v>0</v>
      </c>
      <c r="BV10" s="18">
        <f>IF(BW10&lt;&gt;1,"",IF(BS10&lt;=0,0,MIN(BS10,MAX(0,CONTROL_PANEL!$B$13-BT10))))</f>
        <v>0</v>
      </c>
      <c r="BW10" s="18">
        <v>1</v>
      </c>
      <c r="BY10" s="19">
        <v>2016</v>
      </c>
      <c r="BZ10" s="19">
        <v>3</v>
      </c>
      <c r="CA10" s="18">
        <f t="shared" si="19"/>
        <v>31</v>
      </c>
      <c r="CB10" s="18">
        <f t="shared" si="29"/>
        <v>261.54641883324325</v>
      </c>
      <c r="CC10" s="18">
        <f>IF(CP9&lt;&gt;1,"",IF(CM9&gt;0,IF(CM9&gt;CONTROL_PANEL!$B$11,CONTROL_PANEL!$B$11,CM9),0))</f>
        <v>39951026.353448421</v>
      </c>
      <c r="CD10" s="18">
        <f t="shared" si="20"/>
        <v>4514849.2462665914</v>
      </c>
      <c r="CE10" s="18">
        <f>IF(CP10&lt;&gt;1,"",DATA_INPUT!$I10)</f>
        <v>5.8924163098599971</v>
      </c>
      <c r="CF10" s="18">
        <f>IF(CP10&lt;&gt;1,"",CE10*CONTROL_PANEL!$B$5)</f>
        <v>559190.30780571373</v>
      </c>
      <c r="CG10" s="18">
        <f>IF(CP10&lt;&gt;1,"",DATA_INPUT!$C10)</f>
        <v>29</v>
      </c>
      <c r="CH10" s="18">
        <f t="shared" si="21"/>
        <v>130930.62814173114</v>
      </c>
      <c r="CI10" s="18">
        <f>IF(CP10&lt;&gt;1,"",DATA_INPUT!$H10)</f>
        <v>38.783252541856569</v>
      </c>
      <c r="CJ10" s="18">
        <f t="shared" si="22"/>
        <v>175100.53850636797</v>
      </c>
      <c r="CK10" s="18">
        <f>IF(CP10&lt;&gt;1,"",CF10*CONTROL_PANEL!$B$14)</f>
        <v>39143.321546399966</v>
      </c>
      <c r="CL10" s="18">
        <f>IF(CP10&lt;&gt;1,"",DATA_INPUT!$O10)</f>
        <v>0</v>
      </c>
      <c r="CM10" s="18">
        <f t="shared" si="23"/>
        <v>40426903.429343104</v>
      </c>
      <c r="CN10" s="18">
        <f>IF(CP10&lt;&gt;1,"",IF(CM10-CONTROL_PANEL!$B$11&lt;0,0,CM10-CONTROL_PANEL!$B$11))</f>
        <v>0</v>
      </c>
      <c r="CO10" s="18">
        <f>IF(CP10&lt;&gt;1,"",IF(CL10&lt;=0,0,MIN(CL10,MAX(0,CONTROL_PANEL!$B$13-CM10))))</f>
        <v>0</v>
      </c>
      <c r="CP10" s="18">
        <v>1</v>
      </c>
    </row>
    <row r="11" spans="1:94" x14ac:dyDescent="0.25">
      <c r="A11" s="19">
        <v>2016</v>
      </c>
      <c r="B11" s="19">
        <v>4</v>
      </c>
      <c r="C11" s="18">
        <f t="shared" si="0"/>
        <v>30</v>
      </c>
      <c r="D11" s="18">
        <f t="shared" si="24"/>
        <v>261.65070908809895</v>
      </c>
      <c r="E11" s="18">
        <f>IF(R10&lt;&gt;1,"",IF(O10&gt;0,IF(O10&gt;CONTROL_PANEL!$B$11,CONTROL_PANEL!$B$11,O10),0))</f>
        <v>40426903.429343104</v>
      </c>
      <c r="F11" s="18">
        <f t="shared" si="1"/>
        <v>4550749.8463591654</v>
      </c>
      <c r="G11" s="18">
        <f>IF(R11&lt;&gt;1,"",DATA_INPUT!I11)</f>
        <v>8.0845783308630423</v>
      </c>
      <c r="H11" s="18">
        <f>IF(R11&lt;&gt;1,"",G11*CONTROL_PANEL!$B$5)</f>
        <v>767226.48359890271</v>
      </c>
      <c r="I11" s="18">
        <f>IF(R11&lt;&gt;1,"",DATA_INPUT!C11)</f>
        <v>110</v>
      </c>
      <c r="J11" s="18">
        <f t="shared" si="2"/>
        <v>500582.48309950816</v>
      </c>
      <c r="K11" s="18">
        <f>IF(R11&lt;&gt;1,"",DATA_INPUT!H11)</f>
        <v>68.133037792563229</v>
      </c>
      <c r="L11" s="18">
        <f t="shared" si="25"/>
        <v>310056.41126649035</v>
      </c>
      <c r="M11" s="18">
        <f>IF(R11&lt;&gt;1,"",H11*CONTROL_PANEL!$B$14)</f>
        <v>53705.853851923195</v>
      </c>
      <c r="N11" s="18">
        <f>IF(R11&lt;&gt;1,"",DATA_INPUT!K11)</f>
        <v>25674.230715770605</v>
      </c>
      <c r="O11" s="18">
        <f t="shared" si="3"/>
        <v>41305275.900207326</v>
      </c>
      <c r="P11" s="18">
        <f>IF(R11&lt;&gt;1,"",IF(O11-CONTROL_PANEL!$B$11&lt;0,0,O11-CONTROL_PANEL!$B$11))</f>
        <v>0</v>
      </c>
      <c r="Q11" s="18">
        <f>IF(R11&lt;&gt;1,"",IF(N11&lt;=0,0,MIN(N11,MAX(0,CONTROL_PANEL!$B$13-O11))))</f>
        <v>0</v>
      </c>
      <c r="R11" s="18">
        <v>1</v>
      </c>
      <c r="T11" s="19">
        <v>2016</v>
      </c>
      <c r="U11" s="19">
        <v>4</v>
      </c>
      <c r="V11" s="18">
        <f t="shared" si="4"/>
        <v>30</v>
      </c>
      <c r="W11" s="18">
        <f t="shared" si="26"/>
        <v>261.65070908809895</v>
      </c>
      <c r="X11" s="18">
        <f>IF(AK10&lt;&gt;1,"",IF(AH10&gt;0,IF(AH10&gt;CONTROL_PANEL!$B$11,CONTROL_PANEL!$B$11,AH10),0))</f>
        <v>40426903.429343104</v>
      </c>
      <c r="Y11" s="18">
        <f t="shared" si="5"/>
        <v>4550749.8463591654</v>
      </c>
      <c r="Z11" s="18">
        <f>IF(AK11&lt;&gt;1,"",DATA_INPUT!I11)</f>
        <v>8.0845783308630423</v>
      </c>
      <c r="AA11" s="18">
        <f>IF(AK11&lt;&gt;1,"",Z11*CONTROL_PANEL!$B$5)</f>
        <v>767226.48359890271</v>
      </c>
      <c r="AB11" s="18">
        <f>IF(AK11&lt;&gt;1,"",DATA_INPUT!$C11)</f>
        <v>110</v>
      </c>
      <c r="AC11" s="18">
        <f t="shared" si="6"/>
        <v>500582.48309950816</v>
      </c>
      <c r="AD11" s="18">
        <f>IF(AK11&lt;&gt;1,"",DATA_INPUT!$H11)</f>
        <v>68.133037792563229</v>
      </c>
      <c r="AE11" s="18">
        <f t="shared" si="7"/>
        <v>310056.41126649035</v>
      </c>
      <c r="AF11" s="18">
        <f>IF(AK11&lt;&gt;1,"",AA11*CONTROL_PANEL!$B$14)</f>
        <v>53705.853851923195</v>
      </c>
      <c r="AG11" s="18">
        <f>IF(AK11&lt;&gt;1,"",DATA_INPUT!$L11)</f>
        <v>32339.153170441212</v>
      </c>
      <c r="AH11" s="18">
        <f t="shared" si="8"/>
        <v>41298610.977752656</v>
      </c>
      <c r="AI11" s="18">
        <f>IF(AK11&lt;&gt;1,"",IF(AH11-CONTROL_PANEL!$B$11&lt;0,0,AH11-CONTROL_PANEL!$B$11))</f>
        <v>0</v>
      </c>
      <c r="AJ11" s="18">
        <f>IF(AK11&lt;&gt;1,"",IF(AG11&lt;=0,0,MIN(AG11,MAX(0,CONTROL_PANEL!$B$13-AH11))))</f>
        <v>0</v>
      </c>
      <c r="AK11" s="18">
        <v>1</v>
      </c>
      <c r="AM11" s="19">
        <v>2016</v>
      </c>
      <c r="AN11" s="19">
        <v>4</v>
      </c>
      <c r="AO11" s="18">
        <f t="shared" si="9"/>
        <v>30</v>
      </c>
      <c r="AP11" s="18">
        <f t="shared" si="27"/>
        <v>261.65070908809895</v>
      </c>
      <c r="AQ11" s="18">
        <f>IF(BD10&lt;&gt;1,"",IF(BA10&gt;0,IF(BA10&gt;CONTROL_PANEL!$B$11,CONTROL_PANEL!$B$11,BA10),0))</f>
        <v>40426903.429343104</v>
      </c>
      <c r="AR11" s="18">
        <f t="shared" si="10"/>
        <v>4550749.8463591654</v>
      </c>
      <c r="AS11" s="18">
        <f>IF(BD11&lt;&gt;1,"",DATA_INPUT!$I11)</f>
        <v>8.0845783308630423</v>
      </c>
      <c r="AT11" s="18">
        <f>IF(BD11&lt;&gt;1,"",AS11*CONTROL_PANEL!$B$5)</f>
        <v>767226.48359890271</v>
      </c>
      <c r="AU11" s="18">
        <f>IF(BD11&lt;&gt;1,"",DATA_INPUT!$C11)</f>
        <v>110</v>
      </c>
      <c r="AV11" s="18">
        <f t="shared" si="11"/>
        <v>500582.48309950816</v>
      </c>
      <c r="AW11" s="18">
        <f>IF(BD11&lt;&gt;1,"",DATA_INPUT!$H11)</f>
        <v>68.133037792563229</v>
      </c>
      <c r="AX11" s="18">
        <f t="shared" si="12"/>
        <v>310056.41126649035</v>
      </c>
      <c r="AY11" s="18">
        <f>IF(BD11&lt;&gt;1,"",AT11*CONTROL_PANEL!$B$14)</f>
        <v>53705.853851923195</v>
      </c>
      <c r="AZ11" s="18">
        <f>IF(BD11&lt;&gt;1,"",DATA_INPUT!$M11)</f>
        <v>21896.076011455199</v>
      </c>
      <c r="BA11" s="18">
        <f t="shared" si="13"/>
        <v>41309054.054911643</v>
      </c>
      <c r="BB11" s="18">
        <f>IF(BD11&lt;&gt;1,"",IF(BA11-CONTROL_PANEL!$B$11&lt;0,0,BA11-CONTROL_PANEL!$B$11))</f>
        <v>0</v>
      </c>
      <c r="BC11" s="18">
        <f>IF(BD11&lt;&gt;1,"",IF(AZ11&lt;=0,0,MIN(AZ11,MAX(0,CONTROL_PANEL!$B$13-BA11))))</f>
        <v>0</v>
      </c>
      <c r="BD11" s="18">
        <v>1</v>
      </c>
      <c r="BF11" s="19">
        <v>2016</v>
      </c>
      <c r="BG11" s="19">
        <v>4</v>
      </c>
      <c r="BH11" s="18">
        <f t="shared" si="14"/>
        <v>30</v>
      </c>
      <c r="BI11" s="18">
        <f t="shared" si="28"/>
        <v>261.65070908809895</v>
      </c>
      <c r="BJ11" s="18">
        <f>IF(BW10&lt;&gt;1,"",IF(BT10&gt;0,IF(BT10&gt;CONTROL_PANEL!$B$11,CONTROL_PANEL!$B$11,BT10),0))</f>
        <v>40426903.429343104</v>
      </c>
      <c r="BK11" s="18">
        <f t="shared" si="15"/>
        <v>4550749.8463591654</v>
      </c>
      <c r="BL11" s="18">
        <f>IF(BW11&lt;&gt;1,"",DATA_INPUT!$I11)</f>
        <v>8.0845783308630423</v>
      </c>
      <c r="BM11" s="18">
        <f>IF(BW11&lt;&gt;1,"",BL11*CONTROL_PANEL!$B$5)</f>
        <v>767226.48359890271</v>
      </c>
      <c r="BN11" s="18">
        <f>IF(BW11&lt;&gt;1,"",DATA_INPUT!$C11)</f>
        <v>110</v>
      </c>
      <c r="BO11" s="18">
        <f t="shared" si="16"/>
        <v>500582.48309950816</v>
      </c>
      <c r="BP11" s="18">
        <f>IF(BW11&lt;&gt;1,"",DATA_INPUT!$H11)</f>
        <v>68.133037792563229</v>
      </c>
      <c r="BQ11" s="18">
        <f t="shared" si="17"/>
        <v>310056.41126649035</v>
      </c>
      <c r="BR11" s="18">
        <f>IF(BW11&lt;&gt;1,"",BM11*CONTROL_PANEL!$B$14)</f>
        <v>53705.853851923195</v>
      </c>
      <c r="BS11" s="18">
        <f>IF(BW11&lt;&gt;1,"",DATA_INPUT!$N11)</f>
        <v>13785.315064983226</v>
      </c>
      <c r="BT11" s="18">
        <f t="shared" si="18"/>
        <v>41317164.815858118</v>
      </c>
      <c r="BU11" s="18">
        <f>IF(BW11&lt;&gt;1,"",IF(BT11-CONTROL_PANEL!$B$11&lt;0,0,BT11-CONTROL_PANEL!$B$11))</f>
        <v>0</v>
      </c>
      <c r="BV11" s="18">
        <f>IF(BW11&lt;&gt;1,"",IF(BS11&lt;=0,0,MIN(BS11,MAX(0,CONTROL_PANEL!$B$13-BT11))))</f>
        <v>0</v>
      </c>
      <c r="BW11" s="18">
        <v>1</v>
      </c>
      <c r="BY11" s="19">
        <v>2016</v>
      </c>
      <c r="BZ11" s="19">
        <v>4</v>
      </c>
      <c r="CA11" s="18">
        <f t="shared" si="19"/>
        <v>30</v>
      </c>
      <c r="CB11" s="18">
        <f t="shared" si="29"/>
        <v>261.65070908809895</v>
      </c>
      <c r="CC11" s="18">
        <f>IF(CP10&lt;&gt;1,"",IF(CM10&gt;0,IF(CM10&gt;CONTROL_PANEL!$B$11,CONTROL_PANEL!$B$11,CM10),0))</f>
        <v>40426903.429343104</v>
      </c>
      <c r="CD11" s="18">
        <f t="shared" si="20"/>
        <v>4550749.8463591654</v>
      </c>
      <c r="CE11" s="18">
        <f>IF(CP11&lt;&gt;1,"",DATA_INPUT!$I11)</f>
        <v>8.0845783308630423</v>
      </c>
      <c r="CF11" s="18">
        <f>IF(CP11&lt;&gt;1,"",CE11*CONTROL_PANEL!$B$5)</f>
        <v>767226.48359890271</v>
      </c>
      <c r="CG11" s="18">
        <f>IF(CP11&lt;&gt;1,"",DATA_INPUT!$C11)</f>
        <v>110</v>
      </c>
      <c r="CH11" s="18">
        <f t="shared" si="21"/>
        <v>500582.48309950816</v>
      </c>
      <c r="CI11" s="18">
        <f>IF(CP11&lt;&gt;1,"",DATA_INPUT!$H11)</f>
        <v>68.133037792563229</v>
      </c>
      <c r="CJ11" s="18">
        <f t="shared" si="22"/>
        <v>310056.41126649035</v>
      </c>
      <c r="CK11" s="18">
        <f>IF(CP11&lt;&gt;1,"",CF11*CONTROL_PANEL!$B$14)</f>
        <v>53705.853851923195</v>
      </c>
      <c r="CL11" s="18">
        <f>IF(CP11&lt;&gt;1,"",DATA_INPUT!$O11)</f>
        <v>15785.605094625756</v>
      </c>
      <c r="CM11" s="18">
        <f t="shared" si="23"/>
        <v>41315164.525828473</v>
      </c>
      <c r="CN11" s="18">
        <f>IF(CP11&lt;&gt;1,"",IF(CM11-CONTROL_PANEL!$B$11&lt;0,0,CM11-CONTROL_PANEL!$B$11))</f>
        <v>0</v>
      </c>
      <c r="CO11" s="18">
        <f>IF(CP11&lt;&gt;1,"",IF(CL11&lt;=0,0,MIN(CL11,MAX(0,CONTROL_PANEL!$B$13-CM11))))</f>
        <v>0</v>
      </c>
      <c r="CP11" s="18">
        <v>1</v>
      </c>
    </row>
    <row r="12" spans="1:94" x14ac:dyDescent="0.25">
      <c r="A12" s="19">
        <v>2016</v>
      </c>
      <c r="B12" s="19">
        <v>5</v>
      </c>
      <c r="C12" s="18">
        <f t="shared" si="0"/>
        <v>31</v>
      </c>
      <c r="D12" s="18">
        <f t="shared" si="24"/>
        <v>261.84107125239751</v>
      </c>
      <c r="E12" s="18">
        <f>IF(R11&lt;&gt;1,"",IF(O11&gt;0,IF(O11&gt;CONTROL_PANEL!$B$11,CONTROL_PANEL!$B$11,O11),0))</f>
        <v>41305275.900207326</v>
      </c>
      <c r="F12" s="18">
        <f t="shared" si="1"/>
        <v>4616649.8548210468</v>
      </c>
      <c r="G12" s="18">
        <f>IF(R12&lt;&gt;1,"",DATA_INPUT!I12)</f>
        <v>2.7629511708896874</v>
      </c>
      <c r="H12" s="18">
        <f>IF(R12&lt;&gt;1,"",G12*CONTROL_PANEL!$B$5)</f>
        <v>262204.06611743133</v>
      </c>
      <c r="I12" s="18">
        <f>IF(R12&lt;&gt;1,"",DATA_INPUT!C12)</f>
        <v>110</v>
      </c>
      <c r="J12" s="18">
        <f t="shared" si="2"/>
        <v>507831.48403031519</v>
      </c>
      <c r="K12" s="18">
        <f>IF(R12&lt;&gt;1,"",DATA_INPUT!H12)</f>
        <v>83.602587639057944</v>
      </c>
      <c r="L12" s="18">
        <f t="shared" si="25"/>
        <v>385963.87408652069</v>
      </c>
      <c r="M12" s="18">
        <f>IF(R12&lt;&gt;1,"",H12*CONTROL_PANEL!$B$14)</f>
        <v>18354.284628220194</v>
      </c>
      <c r="N12" s="18">
        <f>IF(R12&lt;&gt;1,"",DATA_INPUT!K12)</f>
        <v>90918.576134805277</v>
      </c>
      <c r="O12" s="18">
        <f t="shared" si="3"/>
        <v>41580074.715505518</v>
      </c>
      <c r="P12" s="18">
        <f>IF(R12&lt;&gt;1,"",IF(O12-CONTROL_PANEL!$B$11&lt;0,0,O12-CONTROL_PANEL!$B$11))</f>
        <v>0</v>
      </c>
      <c r="Q12" s="18">
        <f>IF(R12&lt;&gt;1,"",IF(N12&lt;=0,0,MIN(N12,MAX(0,CONTROL_PANEL!$B$13-O12))))</f>
        <v>0</v>
      </c>
      <c r="R12" s="18">
        <v>1</v>
      </c>
      <c r="T12" s="19">
        <v>2016</v>
      </c>
      <c r="U12" s="19">
        <v>5</v>
      </c>
      <c r="V12" s="18">
        <f t="shared" si="4"/>
        <v>31</v>
      </c>
      <c r="W12" s="18">
        <f t="shared" si="26"/>
        <v>261.83963706496297</v>
      </c>
      <c r="X12" s="18">
        <f>IF(AK11&lt;&gt;1,"",IF(AH11&gt;0,IF(AH11&gt;CONTROL_PANEL!$B$11,CONTROL_PANEL!$B$11,AH11),0))</f>
        <v>41298610.977752656</v>
      </c>
      <c r="Y12" s="18">
        <f t="shared" si="5"/>
        <v>4616151.5758718718</v>
      </c>
      <c r="Z12" s="18">
        <f>IF(AK12&lt;&gt;1,"",DATA_INPUT!I12)</f>
        <v>2.7629511708896874</v>
      </c>
      <c r="AA12" s="18">
        <f>IF(AK12&lt;&gt;1,"",Z12*CONTROL_PANEL!$B$5)</f>
        <v>262204.06611743133</v>
      </c>
      <c r="AB12" s="18">
        <f>IF(AK12&lt;&gt;1,"",DATA_INPUT!$C12)</f>
        <v>110</v>
      </c>
      <c r="AC12" s="18">
        <f t="shared" si="6"/>
        <v>507776.6733459059</v>
      </c>
      <c r="AD12" s="18">
        <f>IF(AK12&lt;&gt;1,"",DATA_INPUT!$H12)</f>
        <v>83.602587639057944</v>
      </c>
      <c r="AE12" s="18">
        <f t="shared" si="7"/>
        <v>385922.2166770036</v>
      </c>
      <c r="AF12" s="18">
        <f>IF(AK12&lt;&gt;1,"",AA12*CONTROL_PANEL!$B$14)</f>
        <v>18354.284628220194</v>
      </c>
      <c r="AG12" s="18">
        <f>IF(AK12&lt;&gt;1,"",DATA_INPUT!$L12)</f>
        <v>115730.35647755317</v>
      </c>
      <c r="AH12" s="18">
        <f t="shared" si="8"/>
        <v>41548584.859433219</v>
      </c>
      <c r="AI12" s="18">
        <f>IF(AK12&lt;&gt;1,"",IF(AH12-CONTROL_PANEL!$B$11&lt;0,0,AH12-CONTROL_PANEL!$B$11))</f>
        <v>0</v>
      </c>
      <c r="AJ12" s="18">
        <f>IF(AK12&lt;&gt;1,"",IF(AG12&lt;=0,0,MIN(AG12,MAX(0,CONTROL_PANEL!$B$13-AH12))))</f>
        <v>0</v>
      </c>
      <c r="AK12" s="18">
        <v>1</v>
      </c>
      <c r="AM12" s="19">
        <v>2016</v>
      </c>
      <c r="AN12" s="19">
        <v>5</v>
      </c>
      <c r="AO12" s="18">
        <f t="shared" si="9"/>
        <v>31</v>
      </c>
      <c r="AP12" s="18">
        <f t="shared" si="27"/>
        <v>261.84188418366267</v>
      </c>
      <c r="AQ12" s="18">
        <f>IF(BD11&lt;&gt;1,"",IF(BA11&gt;0,IF(BA11&gt;CONTROL_PANEL!$B$11,CONTROL_PANEL!$B$11,BA11),0))</f>
        <v>41309054.054911643</v>
      </c>
      <c r="AR12" s="18">
        <f t="shared" si="10"/>
        <v>4616932.3031415045</v>
      </c>
      <c r="AS12" s="18">
        <f>IF(BD12&lt;&gt;1,"",DATA_INPUT!$I12)</f>
        <v>2.7629511708896874</v>
      </c>
      <c r="AT12" s="18">
        <f>IF(BD12&lt;&gt;1,"",AS12*CONTROL_PANEL!$B$5)</f>
        <v>262204.06611743133</v>
      </c>
      <c r="AU12" s="18">
        <f>IF(BD12&lt;&gt;1,"",DATA_INPUT!$C12)</f>
        <v>110</v>
      </c>
      <c r="AV12" s="18">
        <f t="shared" si="11"/>
        <v>507862.55334556551</v>
      </c>
      <c r="AW12" s="18">
        <f>IF(BD12&lt;&gt;1,"",DATA_INPUT!$H12)</f>
        <v>83.602587639057944</v>
      </c>
      <c r="AX12" s="18">
        <f t="shared" si="12"/>
        <v>385987.48749698524</v>
      </c>
      <c r="AY12" s="18">
        <f>IF(BD12&lt;&gt;1,"",AT12*CONTROL_PANEL!$B$14)</f>
        <v>18354.284628220194</v>
      </c>
      <c r="AZ12" s="18">
        <f>IF(BD12&lt;&gt;1,"",DATA_INPUT!$M12)</f>
        <v>66127.398579352695</v>
      </c>
      <c r="BA12" s="18">
        <f t="shared" si="13"/>
        <v>41608651.503670081</v>
      </c>
      <c r="BB12" s="18">
        <f>IF(BD12&lt;&gt;1,"",IF(BA12-CONTROL_PANEL!$B$11&lt;0,0,BA12-CONTROL_PANEL!$B$11))</f>
        <v>0</v>
      </c>
      <c r="BC12" s="18">
        <f>IF(BD12&lt;&gt;1,"",IF(AZ12&lt;=0,0,MIN(AZ12,MAX(0,CONTROL_PANEL!$B$13-BA12))))</f>
        <v>0</v>
      </c>
      <c r="BD12" s="18">
        <v>1</v>
      </c>
      <c r="BF12" s="19">
        <v>2016</v>
      </c>
      <c r="BG12" s="19">
        <v>5</v>
      </c>
      <c r="BH12" s="18">
        <f t="shared" si="14"/>
        <v>31</v>
      </c>
      <c r="BI12" s="18">
        <f t="shared" si="28"/>
        <v>261.84362917747336</v>
      </c>
      <c r="BJ12" s="18">
        <f>IF(BW11&lt;&gt;1,"",IF(BT11&gt;0,IF(BT11&gt;CONTROL_PANEL!$B$11,CONTROL_PANEL!$B$11,BT11),0))</f>
        <v>41317164.815858118</v>
      </c>
      <c r="BK12" s="18">
        <f t="shared" si="15"/>
        <v>4617538.6207313603</v>
      </c>
      <c r="BL12" s="18">
        <f>IF(BW12&lt;&gt;1,"",DATA_INPUT!$I12)</f>
        <v>2.7629511708896874</v>
      </c>
      <c r="BM12" s="18">
        <f>IF(BW12&lt;&gt;1,"",BL12*CONTROL_PANEL!$B$5)</f>
        <v>262204.06611743133</v>
      </c>
      <c r="BN12" s="18">
        <f>IF(BW12&lt;&gt;1,"",DATA_INPUT!$C12)</f>
        <v>110</v>
      </c>
      <c r="BO12" s="18">
        <f t="shared" si="16"/>
        <v>507929.24828044965</v>
      </c>
      <c r="BP12" s="18">
        <f>IF(BW12&lt;&gt;1,"",DATA_INPUT!$H12)</f>
        <v>83.602587639057944</v>
      </c>
      <c r="BQ12" s="18">
        <f t="shared" si="17"/>
        <v>386038.17721642827</v>
      </c>
      <c r="BR12" s="18">
        <f>IF(BW12&lt;&gt;1,"",BM12*CONTROL_PANEL!$B$14)</f>
        <v>18354.284628220194</v>
      </c>
      <c r="BS12" s="18">
        <f>IF(BW12&lt;&gt;1,"",DATA_INPUT!$N12)</f>
        <v>27068.122694745278</v>
      </c>
      <c r="BT12" s="18">
        <f t="shared" si="18"/>
        <v>41655837.545716606</v>
      </c>
      <c r="BU12" s="18">
        <f>IF(BW12&lt;&gt;1,"",IF(BT12-CONTROL_PANEL!$B$11&lt;0,0,BT12-CONTROL_PANEL!$B$11))</f>
        <v>0</v>
      </c>
      <c r="BV12" s="18">
        <f>IF(BW12&lt;&gt;1,"",IF(BS12&lt;=0,0,MIN(BS12,MAX(0,CONTROL_PANEL!$B$13-BT12))))</f>
        <v>0</v>
      </c>
      <c r="BW12" s="18">
        <v>1</v>
      </c>
      <c r="BY12" s="19">
        <v>2016</v>
      </c>
      <c r="BZ12" s="19">
        <v>5</v>
      </c>
      <c r="CA12" s="18">
        <f t="shared" si="19"/>
        <v>31</v>
      </c>
      <c r="CB12" s="18">
        <f t="shared" si="29"/>
        <v>261.8431988453392</v>
      </c>
      <c r="CC12" s="18">
        <f>IF(CP11&lt;&gt;1,"",IF(CM11&gt;0,IF(CM11&gt;CONTROL_PANEL!$B$11,CONTROL_PANEL!$B$11,CM11),0))</f>
        <v>41315164.525828473</v>
      </c>
      <c r="CD12" s="18">
        <f t="shared" si="20"/>
        <v>4617389.0932900468</v>
      </c>
      <c r="CE12" s="18">
        <f>IF(CP12&lt;&gt;1,"",DATA_INPUT!$I12)</f>
        <v>2.7629511708896874</v>
      </c>
      <c r="CF12" s="18">
        <f>IF(CP12&lt;&gt;1,"",CE12*CONTROL_PANEL!$B$5)</f>
        <v>262204.06611743133</v>
      </c>
      <c r="CG12" s="18">
        <f>IF(CP12&lt;&gt;1,"",DATA_INPUT!$C12)</f>
        <v>110</v>
      </c>
      <c r="CH12" s="18">
        <f t="shared" si="21"/>
        <v>507912.80026190513</v>
      </c>
      <c r="CI12" s="18">
        <f>IF(CP12&lt;&gt;1,"",DATA_INPUT!$H12)</f>
        <v>83.602587639057944</v>
      </c>
      <c r="CJ12" s="18">
        <f t="shared" si="22"/>
        <v>386025.67633541144</v>
      </c>
      <c r="CK12" s="18">
        <f>IF(CP12&lt;&gt;1,"",CF12*CONTROL_PANEL!$B$14)</f>
        <v>18354.284628220194</v>
      </c>
      <c r="CL12" s="18">
        <f>IF(CP12&lt;&gt;1,"",DATA_INPUT!$O12)</f>
        <v>30792.539010307046</v>
      </c>
      <c r="CM12" s="18">
        <f t="shared" si="23"/>
        <v>41650108.892233871</v>
      </c>
      <c r="CN12" s="18">
        <f>IF(CP12&lt;&gt;1,"",IF(CM12-CONTROL_PANEL!$B$11&lt;0,0,CM12-CONTROL_PANEL!$B$11))</f>
        <v>0</v>
      </c>
      <c r="CO12" s="18">
        <f>IF(CP12&lt;&gt;1,"",IF(CL12&lt;=0,0,MIN(CL12,MAX(0,CONTROL_PANEL!$B$13-CM12))))</f>
        <v>0</v>
      </c>
      <c r="CP12" s="18">
        <v>1</v>
      </c>
    </row>
    <row r="13" spans="1:94" x14ac:dyDescent="0.25">
      <c r="A13" s="19">
        <v>2016</v>
      </c>
      <c r="B13" s="19">
        <v>6</v>
      </c>
      <c r="C13" s="18">
        <f t="shared" si="0"/>
        <v>30</v>
      </c>
      <c r="D13" s="18">
        <f t="shared" si="24"/>
        <v>261.90006940747503</v>
      </c>
      <c r="E13" s="18">
        <f>IF(R12&lt;&gt;1,"",IF(O12&gt;0,IF(O12&gt;CONTROL_PANEL!$B$11,CONTROL_PANEL!$B$11,O12),0))</f>
        <v>41580074.715505518</v>
      </c>
      <c r="F13" s="18">
        <f t="shared" si="1"/>
        <v>4637171.0889286399</v>
      </c>
      <c r="G13" s="18">
        <f>IF(R13&lt;&gt;1,"",DATA_INPUT!I13)</f>
        <v>0.41207546571756137</v>
      </c>
      <c r="H13" s="18">
        <f>IF(R13&lt;&gt;1,"",G13*CONTROL_PANEL!$B$5)</f>
        <v>39105.961696596576</v>
      </c>
      <c r="I13" s="18">
        <f>IF(R13&lt;&gt;1,"",DATA_INPUT!C13)</f>
        <v>0.22064000000000003</v>
      </c>
      <c r="J13" s="18">
        <f t="shared" si="2"/>
        <v>1023.1454290612153</v>
      </c>
      <c r="K13" s="18">
        <f>IF(R13&lt;&gt;1,"",DATA_INPUT!H13)</f>
        <v>165.76646708350779</v>
      </c>
      <c r="L13" s="18">
        <f t="shared" si="25"/>
        <v>768687.46867348335</v>
      </c>
      <c r="M13" s="18">
        <f>IF(R13&lt;&gt;1,"",H13*CONTROL_PANEL!$B$14)</f>
        <v>2737.4173187617607</v>
      </c>
      <c r="N13" s="18">
        <f>IF(R13&lt;&gt;1,"",DATA_INPUT!K13)</f>
        <v>883210.25548892631</v>
      </c>
      <c r="O13" s="18">
        <f t="shared" si="3"/>
        <v>39965568.681150004</v>
      </c>
      <c r="P13" s="18">
        <f>IF(R13&lt;&gt;1,"",IF(O13-CONTROL_PANEL!$B$11&lt;0,0,O13-CONTROL_PANEL!$B$11))</f>
        <v>0</v>
      </c>
      <c r="Q13" s="18">
        <f>IF(R13&lt;&gt;1,"",IF(N13&lt;=0,0,MIN(N13,MAX(0,CONTROL_PANEL!$B$13-O13))))</f>
        <v>0</v>
      </c>
      <c r="R13" s="18">
        <v>1</v>
      </c>
      <c r="T13" s="19">
        <v>2016</v>
      </c>
      <c r="U13" s="19">
        <v>6</v>
      </c>
      <c r="V13" s="18">
        <f t="shared" si="4"/>
        <v>30</v>
      </c>
      <c r="W13" s="18">
        <f t="shared" si="26"/>
        <v>261.89332192293529</v>
      </c>
      <c r="X13" s="18">
        <f>IF(AK12&lt;&gt;1,"",IF(AH12&gt;0,IF(AH12&gt;CONTROL_PANEL!$B$11,CONTROL_PANEL!$B$11,AH12),0))</f>
        <v>41548584.859433219</v>
      </c>
      <c r="Y13" s="18">
        <f t="shared" si="5"/>
        <v>4634821.7946254872</v>
      </c>
      <c r="Z13" s="18">
        <f>IF(AK13&lt;&gt;1,"",DATA_INPUT!I13)</f>
        <v>0.41207546571756137</v>
      </c>
      <c r="AA13" s="18">
        <f>IF(AK13&lt;&gt;1,"",Z13*CONTROL_PANEL!$B$5)</f>
        <v>39105.961696596576</v>
      </c>
      <c r="AB13" s="18">
        <f>IF(AK13&lt;&gt;1,"",DATA_INPUT!$C13)</f>
        <v>0.22064000000000003</v>
      </c>
      <c r="AC13" s="18">
        <f t="shared" si="6"/>
        <v>1022.6270807661676</v>
      </c>
      <c r="AD13" s="18">
        <f>IF(AK13&lt;&gt;1,"",DATA_INPUT!$H13)</f>
        <v>165.76646708350779</v>
      </c>
      <c r="AE13" s="18">
        <f t="shared" si="7"/>
        <v>768298.03445671033</v>
      </c>
      <c r="AF13" s="18">
        <f>IF(AK13&lt;&gt;1,"",AA13*CONTROL_PANEL!$B$14)</f>
        <v>2737.4173187617607</v>
      </c>
      <c r="AG13" s="18">
        <f>IF(AK13&lt;&gt;1,"",DATA_INPUT!$L13)</f>
        <v>1124425.4317282184</v>
      </c>
      <c r="AH13" s="18">
        <f t="shared" si="8"/>
        <v>39693252.564706892</v>
      </c>
      <c r="AI13" s="18">
        <f>IF(AK13&lt;&gt;1,"",IF(AH13-CONTROL_PANEL!$B$11&lt;0,0,AH13-CONTROL_PANEL!$B$11))</f>
        <v>0</v>
      </c>
      <c r="AJ13" s="18">
        <f>IF(AK13&lt;&gt;1,"",IF(AG13&lt;=0,0,MIN(AG13,MAX(0,CONTROL_PANEL!$B$13-AH13))))</f>
        <v>0</v>
      </c>
      <c r="AK13" s="18">
        <v>1</v>
      </c>
      <c r="AM13" s="19">
        <v>2016</v>
      </c>
      <c r="AN13" s="19">
        <v>6</v>
      </c>
      <c r="AO13" s="18">
        <f t="shared" si="9"/>
        <v>30</v>
      </c>
      <c r="AP13" s="18">
        <f t="shared" si="27"/>
        <v>261.90618973709286</v>
      </c>
      <c r="AQ13" s="18">
        <f>IF(BD12&lt;&gt;1,"",IF(BA12&gt;0,IF(BA12&gt;CONTROL_PANEL!$B$11,CONTROL_PANEL!$B$11,BA12),0))</f>
        <v>41608651.503670081</v>
      </c>
      <c r="AR13" s="18">
        <f t="shared" si="10"/>
        <v>4639302.5445340294</v>
      </c>
      <c r="AS13" s="18">
        <f>IF(BD13&lt;&gt;1,"",DATA_INPUT!$I13)</f>
        <v>0.41207546571756137</v>
      </c>
      <c r="AT13" s="18">
        <f>IF(BD13&lt;&gt;1,"",AS13*CONTROL_PANEL!$B$5)</f>
        <v>39105.961696596576</v>
      </c>
      <c r="AU13" s="18">
        <f>IF(BD13&lt;&gt;1,"",DATA_INPUT!$C13)</f>
        <v>0.22064000000000003</v>
      </c>
      <c r="AV13" s="18">
        <f t="shared" si="11"/>
        <v>1023.6157134259885</v>
      </c>
      <c r="AW13" s="18">
        <f>IF(BD13&lt;&gt;1,"",DATA_INPUT!$H13)</f>
        <v>165.76646708350779</v>
      </c>
      <c r="AX13" s="18">
        <f t="shared" si="12"/>
        <v>769040.79253893415</v>
      </c>
      <c r="AY13" s="18">
        <f>IF(BD13&lt;&gt;1,"",AT13*CONTROL_PANEL!$B$14)</f>
        <v>2737.4173187617607</v>
      </c>
      <c r="AZ13" s="18">
        <f>IF(BD13&lt;&gt;1,"",DATA_INPUT!$M13)</f>
        <v>909970.21647610457</v>
      </c>
      <c r="BA13" s="18">
        <f t="shared" si="13"/>
        <v>39967032.654746301</v>
      </c>
      <c r="BB13" s="18">
        <f>IF(BD13&lt;&gt;1,"",IF(BA13-CONTROL_PANEL!$B$11&lt;0,0,BA13-CONTROL_PANEL!$B$11))</f>
        <v>0</v>
      </c>
      <c r="BC13" s="18">
        <f>IF(BD13&lt;&gt;1,"",IF(AZ13&lt;=0,0,MIN(AZ13,MAX(0,CONTROL_PANEL!$B$13-BA13))))</f>
        <v>0</v>
      </c>
      <c r="BD13" s="18">
        <v>1</v>
      </c>
      <c r="BF13" s="19">
        <v>2016</v>
      </c>
      <c r="BG13" s="19">
        <v>6</v>
      </c>
      <c r="BH13" s="18">
        <f t="shared" si="14"/>
        <v>30</v>
      </c>
      <c r="BI13" s="18">
        <f t="shared" si="28"/>
        <v>261.91628948482361</v>
      </c>
      <c r="BJ13" s="18">
        <f>IF(BW12&lt;&gt;1,"",IF(BT12&gt;0,IF(BT12&gt;CONTROL_PANEL!$B$11,CONTROL_PANEL!$B$11,BT12),0))</f>
        <v>41655837.545716606</v>
      </c>
      <c r="BK13" s="18">
        <f t="shared" si="15"/>
        <v>4642820.9470555354</v>
      </c>
      <c r="BL13" s="18">
        <f>IF(BW13&lt;&gt;1,"",DATA_INPUT!$I13)</f>
        <v>0.41207546571756137</v>
      </c>
      <c r="BM13" s="18">
        <f>IF(BW13&lt;&gt;1,"",BL13*CONTROL_PANEL!$B$5)</f>
        <v>39105.961696596576</v>
      </c>
      <c r="BN13" s="18">
        <f>IF(BW13&lt;&gt;1,"",DATA_INPUT!$C13)</f>
        <v>0.22064000000000003</v>
      </c>
      <c r="BO13" s="18">
        <f t="shared" si="16"/>
        <v>1024.3920137583334</v>
      </c>
      <c r="BP13" s="18">
        <f>IF(BW13&lt;&gt;1,"",DATA_INPUT!$H13)</f>
        <v>165.76646708350779</v>
      </c>
      <c r="BQ13" s="18">
        <f t="shared" si="17"/>
        <v>769624.02569470194</v>
      </c>
      <c r="BR13" s="18">
        <f>IF(BW13&lt;&gt;1,"",BM13*CONTROL_PANEL!$B$14)</f>
        <v>2737.4173187617607</v>
      </c>
      <c r="BS13" s="18">
        <f>IF(BW13&lt;&gt;1,"",DATA_INPUT!$N13)</f>
        <v>759905.42630010855</v>
      </c>
      <c r="BT13" s="18">
        <f t="shared" si="18"/>
        <v>40163701.030113384</v>
      </c>
      <c r="BU13" s="18">
        <f>IF(BW13&lt;&gt;1,"",IF(BT13-CONTROL_PANEL!$B$11&lt;0,0,BT13-CONTROL_PANEL!$B$11))</f>
        <v>0</v>
      </c>
      <c r="BV13" s="18">
        <f>IF(BW13&lt;&gt;1,"",IF(BS13&lt;=0,0,MIN(BS13,MAX(0,CONTROL_PANEL!$B$13-BT13))))</f>
        <v>0</v>
      </c>
      <c r="BW13" s="18">
        <v>1</v>
      </c>
      <c r="BY13" s="19">
        <v>2016</v>
      </c>
      <c r="BZ13" s="19">
        <v>6</v>
      </c>
      <c r="CA13" s="18">
        <f t="shared" si="19"/>
        <v>30</v>
      </c>
      <c r="CB13" s="18">
        <f t="shared" si="29"/>
        <v>261.91506372634666</v>
      </c>
      <c r="CC13" s="18">
        <f>IF(CP12&lt;&gt;1,"",IF(CM12&gt;0,IF(CM12&gt;CONTROL_PANEL!$B$11,CONTROL_PANEL!$B$11,CM12),0))</f>
        <v>41650108.892233871</v>
      </c>
      <c r="CD13" s="18">
        <f t="shared" si="20"/>
        <v>4642393.8634182075</v>
      </c>
      <c r="CE13" s="18">
        <f>IF(CP13&lt;&gt;1,"",DATA_INPUT!$I13)</f>
        <v>0.41207546571756137</v>
      </c>
      <c r="CF13" s="18">
        <f>IF(CP13&lt;&gt;1,"",CE13*CONTROL_PANEL!$B$5)</f>
        <v>39105.961696596576</v>
      </c>
      <c r="CG13" s="18">
        <f>IF(CP13&lt;&gt;1,"",DATA_INPUT!$C13)</f>
        <v>0.22064000000000003</v>
      </c>
      <c r="CH13" s="18">
        <f t="shared" si="21"/>
        <v>1024.2977820245935</v>
      </c>
      <c r="CI13" s="18">
        <f>IF(CP13&lt;&gt;1,"",DATA_INPUT!$H13)</f>
        <v>165.76646708350779</v>
      </c>
      <c r="CJ13" s="18">
        <f t="shared" si="22"/>
        <v>769553.22954899282</v>
      </c>
      <c r="CK13" s="18">
        <f>IF(CP13&lt;&gt;1,"",CF13*CONTROL_PANEL!$B$14)</f>
        <v>2737.4173187617607</v>
      </c>
      <c r="CL13" s="18">
        <f>IF(CP13&lt;&gt;1,"",DATA_INPUT!$O13)</f>
        <v>872339.75238716521</v>
      </c>
      <c r="CM13" s="18">
        <f t="shared" si="23"/>
        <v>40045608.752457574</v>
      </c>
      <c r="CN13" s="18">
        <f>IF(CP13&lt;&gt;1,"",IF(CM13-CONTROL_PANEL!$B$11&lt;0,0,CM13-CONTROL_PANEL!$B$11))</f>
        <v>0</v>
      </c>
      <c r="CO13" s="18">
        <f>IF(CP13&lt;&gt;1,"",IF(CL13&lt;=0,0,MIN(CL13,MAX(0,CONTROL_PANEL!$B$13-CM13))))</f>
        <v>0</v>
      </c>
      <c r="CP13" s="18">
        <v>1</v>
      </c>
    </row>
    <row r="14" spans="1:94" x14ac:dyDescent="0.25">
      <c r="A14" s="19">
        <v>2016</v>
      </c>
      <c r="B14" s="19">
        <v>7</v>
      </c>
      <c r="C14" s="18">
        <f t="shared" si="0"/>
        <v>31</v>
      </c>
      <c r="D14" s="18">
        <f t="shared" si="24"/>
        <v>261.54961811230157</v>
      </c>
      <c r="E14" s="18">
        <f>IF(R13&lt;&gt;1,"",IF(O13&gt;0,IF(O13&gt;CONTROL_PANEL!$B$11,CONTROL_PANEL!$B$11,O13),0))</f>
        <v>39965568.681150004</v>
      </c>
      <c r="F14" s="18">
        <f t="shared" si="1"/>
        <v>4515948.4229227658</v>
      </c>
      <c r="G14" s="18">
        <f>IF(R14&lt;&gt;1,"",DATA_INPUT!I14)</f>
        <v>5.7050425712270744E-2</v>
      </c>
      <c r="H14" s="18">
        <f>IF(R14&lt;&gt;1,"",G14*CONTROL_PANEL!$B$5)</f>
        <v>5414.0854000944937</v>
      </c>
      <c r="I14" s="18">
        <f>IF(R14&lt;&gt;1,"",DATA_INPUT!C14)</f>
        <v>6.2333333333333343</v>
      </c>
      <c r="J14" s="18">
        <f t="shared" si="2"/>
        <v>28149.411836218576</v>
      </c>
      <c r="K14" s="18">
        <f>IF(R14&lt;&gt;1,"",DATA_INPUT!H14)</f>
        <v>205.18862771267811</v>
      </c>
      <c r="L14" s="18">
        <f t="shared" si="25"/>
        <v>926621.25972075528</v>
      </c>
      <c r="M14" s="18">
        <f>IF(R14&lt;&gt;1,"",H14*CONTROL_PANEL!$B$14)</f>
        <v>378.98597800661457</v>
      </c>
      <c r="N14" s="18">
        <f>IF(R14&lt;&gt;1,"",DATA_INPUT!K14)</f>
        <v>1549942.7825193105</v>
      </c>
      <c r="O14" s="18">
        <f t="shared" si="3"/>
        <v>37522189.150168255</v>
      </c>
      <c r="P14" s="18">
        <f>IF(R14&lt;&gt;1,"",IF(O14-CONTROL_PANEL!$B$11&lt;0,0,O14-CONTROL_PANEL!$B$11))</f>
        <v>0</v>
      </c>
      <c r="Q14" s="18">
        <f>IF(R14&lt;&gt;1,"",IF(N14&lt;=0,0,MIN(N14,MAX(0,CONTROL_PANEL!$B$13-O14))))</f>
        <v>0</v>
      </c>
      <c r="R14" s="18">
        <v>1</v>
      </c>
      <c r="T14" s="19">
        <v>2016</v>
      </c>
      <c r="U14" s="19">
        <v>7</v>
      </c>
      <c r="V14" s="18">
        <f t="shared" si="4"/>
        <v>31</v>
      </c>
      <c r="W14" s="18">
        <f t="shared" si="26"/>
        <v>261.48957945411604</v>
      </c>
      <c r="X14" s="18">
        <f>IF(AK13&lt;&gt;1,"",IF(AH13&gt;0,IF(AH13&gt;CONTROL_PANEL!$B$11,CONTROL_PANEL!$B$11,AH13),0))</f>
        <v>39693252.564706892</v>
      </c>
      <c r="Y14" s="18">
        <f t="shared" si="5"/>
        <v>4495343.4576183148</v>
      </c>
      <c r="Z14" s="18">
        <f>IF(AK14&lt;&gt;1,"",DATA_INPUT!I14)</f>
        <v>5.7050425712270744E-2</v>
      </c>
      <c r="AA14" s="18">
        <f>IF(AK14&lt;&gt;1,"",Z14*CONTROL_PANEL!$B$5)</f>
        <v>5414.0854000944937</v>
      </c>
      <c r="AB14" s="18">
        <f>IF(AK14&lt;&gt;1,"",DATA_INPUT!$C14)</f>
        <v>6.2333333333333343</v>
      </c>
      <c r="AC14" s="18">
        <f t="shared" si="6"/>
        <v>28020.974219154166</v>
      </c>
      <c r="AD14" s="18">
        <f>IF(AK14&lt;&gt;1,"",DATA_INPUT!$H14)</f>
        <v>205.18862771267811</v>
      </c>
      <c r="AE14" s="18">
        <f t="shared" si="7"/>
        <v>922393.3551658676</v>
      </c>
      <c r="AF14" s="18">
        <f>IF(AK14&lt;&gt;1,"",AA14*CONTROL_PANEL!$B$14)</f>
        <v>378.98597800661457</v>
      </c>
      <c r="AG14" s="18">
        <f>IF(AK14&lt;&gt;1,"",DATA_INPUT!$L14)</f>
        <v>1973736.0303489363</v>
      </c>
      <c r="AH14" s="18">
        <f t="shared" si="8"/>
        <v>36830179.252833329</v>
      </c>
      <c r="AI14" s="18">
        <f>IF(AK14&lt;&gt;1,"",IF(AH14-CONTROL_PANEL!$B$11&lt;0,0,AH14-CONTROL_PANEL!$B$11))</f>
        <v>0</v>
      </c>
      <c r="AJ14" s="18">
        <f>IF(AK14&lt;&gt;1,"",IF(AG14&lt;=0,0,MIN(AG14,MAX(0,CONTROL_PANEL!$B$13-AH14))))</f>
        <v>0</v>
      </c>
      <c r="AK14" s="18">
        <v>1</v>
      </c>
      <c r="AM14" s="19">
        <v>2016</v>
      </c>
      <c r="AN14" s="19">
        <v>7</v>
      </c>
      <c r="AO14" s="18">
        <f t="shared" si="9"/>
        <v>31</v>
      </c>
      <c r="AP14" s="18">
        <f t="shared" si="27"/>
        <v>261.54994014002534</v>
      </c>
      <c r="AQ14" s="18">
        <f>IF(BD13&lt;&gt;1,"",IF(BA13&gt;0,IF(BA13&gt;CONTROL_PANEL!$B$11,CONTROL_PANEL!$B$11,BA13),0))</f>
        <v>39967032.654746301</v>
      </c>
      <c r="AR14" s="18">
        <f t="shared" si="10"/>
        <v>4516059.0695073521</v>
      </c>
      <c r="AS14" s="18">
        <f>IF(BD14&lt;&gt;1,"",DATA_INPUT!$I14)</f>
        <v>5.7050425712270744E-2</v>
      </c>
      <c r="AT14" s="18">
        <f>IF(BD14&lt;&gt;1,"",AS14*CONTROL_PANEL!$B$5)</f>
        <v>5414.0854000944937</v>
      </c>
      <c r="AU14" s="18">
        <f>IF(BD14&lt;&gt;1,"",DATA_INPUT!$C14)</f>
        <v>6.2333333333333343</v>
      </c>
      <c r="AV14" s="18">
        <f t="shared" si="11"/>
        <v>28150.101533262499</v>
      </c>
      <c r="AW14" s="18">
        <f>IF(BD14&lt;&gt;1,"",DATA_INPUT!$H14)</f>
        <v>205.18862771267811</v>
      </c>
      <c r="AX14" s="18">
        <f t="shared" si="12"/>
        <v>926643.96314160759</v>
      </c>
      <c r="AY14" s="18">
        <f>IF(BD14&lt;&gt;1,"",AT14*CONTROL_PANEL!$B$14)</f>
        <v>378.98597800661457</v>
      </c>
      <c r="AZ14" s="18">
        <f>IF(BD14&lt;&gt;1,"",DATA_INPUT!$M14)</f>
        <v>1708167.7898383331</v>
      </c>
      <c r="BA14" s="18">
        <f t="shared" si="13"/>
        <v>37365406.102721713</v>
      </c>
      <c r="BB14" s="18">
        <f>IF(BD14&lt;&gt;1,"",IF(BA14-CONTROL_PANEL!$B$11&lt;0,0,BA14-CONTROL_PANEL!$B$11))</f>
        <v>0</v>
      </c>
      <c r="BC14" s="18">
        <f>IF(BD14&lt;&gt;1,"",IF(AZ14&lt;=0,0,MIN(AZ14,MAX(0,CONTROL_PANEL!$B$13-BA14))))</f>
        <v>0</v>
      </c>
      <c r="BD14" s="18">
        <v>1</v>
      </c>
      <c r="BF14" s="19">
        <v>2016</v>
      </c>
      <c r="BG14" s="19">
        <v>7</v>
      </c>
      <c r="BH14" s="18">
        <f t="shared" si="14"/>
        <v>31</v>
      </c>
      <c r="BI14" s="18">
        <f t="shared" si="28"/>
        <v>261.5931294116815</v>
      </c>
      <c r="BJ14" s="18">
        <f>IF(BW13&lt;&gt;1,"",IF(BT13&gt;0,IF(BT13&gt;CONTROL_PANEL!$B$11,CONTROL_PANEL!$B$11,BT13),0))</f>
        <v>40163701.030113384</v>
      </c>
      <c r="BK14" s="18">
        <f t="shared" si="15"/>
        <v>4530911.0193481892</v>
      </c>
      <c r="BL14" s="18">
        <f>IF(BW14&lt;&gt;1,"",DATA_INPUT!$I14)</f>
        <v>5.7050425712270744E-2</v>
      </c>
      <c r="BM14" s="18">
        <f>IF(BW14&lt;&gt;1,"",BL14*CONTROL_PANEL!$B$5)</f>
        <v>5414.0854000944937</v>
      </c>
      <c r="BN14" s="18">
        <f>IF(BW14&lt;&gt;1,"",DATA_INPUT!$C14)</f>
        <v>6.2333333333333343</v>
      </c>
      <c r="BO14" s="18">
        <f t="shared" si="16"/>
        <v>28242.678687270385</v>
      </c>
      <c r="BP14" s="18">
        <f>IF(BW14&lt;&gt;1,"",DATA_INPUT!$H14)</f>
        <v>205.18862771267811</v>
      </c>
      <c r="BQ14" s="18">
        <f t="shared" si="17"/>
        <v>929691.41434830648</v>
      </c>
      <c r="BR14" s="18">
        <f>IF(BW14&lt;&gt;1,"",BM14*CONTROL_PANEL!$B$14)</f>
        <v>378.98597800661457</v>
      </c>
      <c r="BS14" s="18">
        <f>IF(BW14&lt;&gt;1,"",DATA_INPUT!$N14)</f>
        <v>1539770.3938771738</v>
      </c>
      <c r="BT14" s="18">
        <f t="shared" si="18"/>
        <v>37727516.999997258</v>
      </c>
      <c r="BU14" s="18">
        <f>IF(BW14&lt;&gt;1,"",IF(BT14-CONTROL_PANEL!$B$11&lt;0,0,BT14-CONTROL_PANEL!$B$11))</f>
        <v>0</v>
      </c>
      <c r="BV14" s="18">
        <f>IF(BW14&lt;&gt;1,"",IF(BS14&lt;=0,0,MIN(BS14,MAX(0,CONTROL_PANEL!$B$13-BT14))))</f>
        <v>0</v>
      </c>
      <c r="BW14" s="18">
        <v>1</v>
      </c>
      <c r="BY14" s="19">
        <v>2016</v>
      </c>
      <c r="BZ14" s="19">
        <v>7</v>
      </c>
      <c r="CA14" s="18">
        <f t="shared" si="19"/>
        <v>31</v>
      </c>
      <c r="CB14" s="18">
        <f t="shared" si="29"/>
        <v>261.56721282370063</v>
      </c>
      <c r="CC14" s="18">
        <f>IF(CP13&lt;&gt;1,"",IF(CM13&gt;0,IF(CM13&gt;CONTROL_PANEL!$B$11,CONTROL_PANEL!$B$11,CM13),0))</f>
        <v>40045608.752457574</v>
      </c>
      <c r="CD14" s="18">
        <f t="shared" si="20"/>
        <v>4521995.8546121428</v>
      </c>
      <c r="CE14" s="18">
        <f>IF(CP14&lt;&gt;1,"",DATA_INPUT!$I14)</f>
        <v>5.7050425712270744E-2</v>
      </c>
      <c r="CF14" s="18">
        <f>IF(CP14&lt;&gt;1,"",CE14*CONTROL_PANEL!$B$5)</f>
        <v>5414.0854000944937</v>
      </c>
      <c r="CG14" s="18">
        <f>IF(CP14&lt;&gt;1,"",DATA_INPUT!$C14)</f>
        <v>6.2333333333333343</v>
      </c>
      <c r="CH14" s="18">
        <f t="shared" si="21"/>
        <v>28187.107493749027</v>
      </c>
      <c r="CI14" s="18">
        <f>IF(CP14&lt;&gt;1,"",DATA_INPUT!$H14)</f>
        <v>205.18862771267811</v>
      </c>
      <c r="CJ14" s="18">
        <f t="shared" si="22"/>
        <v>927862.12393028464</v>
      </c>
      <c r="CK14" s="18">
        <f>IF(CP14&lt;&gt;1,"",CF14*CONTROL_PANEL!$B$14)</f>
        <v>378.98597800661457</v>
      </c>
      <c r="CL14" s="18">
        <f>IF(CP14&lt;&gt;1,"",DATA_INPUT!$O14)</f>
        <v>1769221.9526079115</v>
      </c>
      <c r="CM14" s="18">
        <f t="shared" si="23"/>
        <v>37381746.882835217</v>
      </c>
      <c r="CN14" s="18">
        <f>IF(CP14&lt;&gt;1,"",IF(CM14-CONTROL_PANEL!$B$11&lt;0,0,CM14-CONTROL_PANEL!$B$11))</f>
        <v>0</v>
      </c>
      <c r="CO14" s="18">
        <f>IF(CP14&lt;&gt;1,"",IF(CL14&lt;=0,0,MIN(CL14,MAX(0,CONTROL_PANEL!$B$13-CM14))))</f>
        <v>0</v>
      </c>
      <c r="CP14" s="18">
        <v>1</v>
      </c>
    </row>
    <row r="15" spans="1:94" x14ac:dyDescent="0.25">
      <c r="A15" s="19">
        <v>2016</v>
      </c>
      <c r="B15" s="19">
        <v>8</v>
      </c>
      <c r="C15" s="18">
        <f t="shared" si="0"/>
        <v>31</v>
      </c>
      <c r="D15" s="18">
        <f t="shared" si="24"/>
        <v>261.0007664280447</v>
      </c>
      <c r="E15" s="18">
        <f>IF(R14&lt;&gt;1,"",IF(O14&gt;0,IF(O14&gt;CONTROL_PANEL!$B$11,CONTROL_PANEL!$B$11,O14),0))</f>
        <v>37522189.150168255</v>
      </c>
      <c r="F15" s="18">
        <f t="shared" si="1"/>
        <v>4329355.742724915</v>
      </c>
      <c r="G15" s="18">
        <f>IF(R15&lt;&gt;1,"",DATA_INPUT!I15)</f>
        <v>7.8148416105657172E-3</v>
      </c>
      <c r="H15" s="18">
        <f>IF(R15&lt;&gt;1,"",G15*CONTROL_PANEL!$B$5)</f>
        <v>741.62846884268652</v>
      </c>
      <c r="I15" s="18">
        <f>IF(R15&lt;&gt;1,"",DATA_INPUT!C15)</f>
        <v>0</v>
      </c>
      <c r="J15" s="18">
        <f t="shared" si="2"/>
        <v>0</v>
      </c>
      <c r="K15" s="18">
        <f>IF(R15&lt;&gt;1,"",DATA_INPUT!H15)</f>
        <v>204.6787777982646</v>
      </c>
      <c r="L15" s="18">
        <f t="shared" si="25"/>
        <v>886127.24207483372</v>
      </c>
      <c r="M15" s="18">
        <f>IF(R15&lt;&gt;1,"",H15*CONTROL_PANEL!$B$14)</f>
        <v>51.913992818988064</v>
      </c>
      <c r="N15" s="18">
        <f>IF(R15&lt;&gt;1,"",DATA_INPUT!K15)</f>
        <v>1861619.5498922402</v>
      </c>
      <c r="O15" s="18">
        <f t="shared" si="3"/>
        <v>34775132.072677203</v>
      </c>
      <c r="P15" s="18">
        <f>IF(R15&lt;&gt;1,"",IF(O15-CONTROL_PANEL!$B$11&lt;0,0,O15-CONTROL_PANEL!$B$11))</f>
        <v>0</v>
      </c>
      <c r="Q15" s="18">
        <f>IF(R15&lt;&gt;1,"",IF(N15&lt;=0,0,MIN(N15,MAX(0,CONTROL_PANEL!$B$13-O15))))</f>
        <v>0</v>
      </c>
      <c r="R15" s="18">
        <v>1</v>
      </c>
      <c r="T15" s="19">
        <v>2016</v>
      </c>
      <c r="U15" s="19">
        <v>8</v>
      </c>
      <c r="V15" s="18">
        <f t="shared" si="4"/>
        <v>31</v>
      </c>
      <c r="W15" s="18">
        <f t="shared" si="26"/>
        <v>260.84099413679286</v>
      </c>
      <c r="X15" s="18">
        <f>IF(AK14&lt;&gt;1,"",IF(AH14&gt;0,IF(AH14&gt;CONTROL_PANEL!$B$11,CONTROL_PANEL!$B$11,AH14),0))</f>
        <v>36830179.252833329</v>
      </c>
      <c r="Y15" s="18">
        <f t="shared" si="5"/>
        <v>4275785.1022914788</v>
      </c>
      <c r="Z15" s="18">
        <f>IF(AK15&lt;&gt;1,"",DATA_INPUT!I15)</f>
        <v>7.8148416105657172E-3</v>
      </c>
      <c r="AA15" s="18">
        <f>IF(AK15&lt;&gt;1,"",Z15*CONTROL_PANEL!$B$5)</f>
        <v>741.62846884268652</v>
      </c>
      <c r="AB15" s="18">
        <f>IF(AK15&lt;&gt;1,"",DATA_INPUT!$C15)</f>
        <v>0</v>
      </c>
      <c r="AC15" s="18">
        <f t="shared" si="6"/>
        <v>0</v>
      </c>
      <c r="AD15" s="18">
        <f>IF(AK15&lt;&gt;1,"",DATA_INPUT!$H15)</f>
        <v>204.6787777982646</v>
      </c>
      <c r="AE15" s="18">
        <f t="shared" si="7"/>
        <v>875162.46886504767</v>
      </c>
      <c r="AF15" s="18">
        <f>IF(AK15&lt;&gt;1,"",AA15*CONTROL_PANEL!$B$14)</f>
        <v>51.913992818988064</v>
      </c>
      <c r="AG15" s="18">
        <f>IF(AK15&lt;&gt;1,"",DATA_INPUT!$L15)</f>
        <v>2372617.4151894273</v>
      </c>
      <c r="AH15" s="18">
        <f t="shared" si="8"/>
        <v>33583089.083254874</v>
      </c>
      <c r="AI15" s="18">
        <f>IF(AK15&lt;&gt;1,"",IF(AH15-CONTROL_PANEL!$B$11&lt;0,0,AH15-CONTROL_PANEL!$B$11))</f>
        <v>0</v>
      </c>
      <c r="AJ15" s="18">
        <f>IF(AK15&lt;&gt;1,"",IF(AG15&lt;=0,0,MIN(AG15,MAX(0,CONTROL_PANEL!$B$13-AH15))))</f>
        <v>0</v>
      </c>
      <c r="AK15" s="18">
        <v>1</v>
      </c>
      <c r="AM15" s="19">
        <v>2016</v>
      </c>
      <c r="AN15" s="19">
        <v>8</v>
      </c>
      <c r="AO15" s="18">
        <f t="shared" si="9"/>
        <v>31</v>
      </c>
      <c r="AP15" s="18">
        <f t="shared" si="27"/>
        <v>260.96474192331067</v>
      </c>
      <c r="AQ15" s="18">
        <f>IF(BD14&lt;&gt;1,"",IF(BA14&gt;0,IF(BA14&gt;CONTROL_PANEL!$B$11,CONTROL_PANEL!$B$11,BA14),0))</f>
        <v>37365406.102721713</v>
      </c>
      <c r="AR15" s="18">
        <f t="shared" si="10"/>
        <v>4317247.5443527391</v>
      </c>
      <c r="AS15" s="18">
        <f>IF(BD15&lt;&gt;1,"",DATA_INPUT!$I15)</f>
        <v>7.8148416105657172E-3</v>
      </c>
      <c r="AT15" s="18">
        <f>IF(BD15&lt;&gt;1,"",AS15*CONTROL_PANEL!$B$5)</f>
        <v>741.62846884268652</v>
      </c>
      <c r="AU15" s="18">
        <f>IF(BD15&lt;&gt;1,"",DATA_INPUT!$C15)</f>
        <v>0</v>
      </c>
      <c r="AV15" s="18">
        <f t="shared" si="11"/>
        <v>0</v>
      </c>
      <c r="AW15" s="18">
        <f>IF(BD15&lt;&gt;1,"",DATA_INPUT!$H15)</f>
        <v>204.6787777982646</v>
      </c>
      <c r="AX15" s="18">
        <f t="shared" si="12"/>
        <v>883648.95083067776</v>
      </c>
      <c r="AY15" s="18">
        <f>IF(BD15&lt;&gt;1,"",AT15*CONTROL_PANEL!$B$14)</f>
        <v>51.913992818988064</v>
      </c>
      <c r="AZ15" s="18">
        <f>IF(BD15&lt;&gt;1,"",DATA_INPUT!$M15)</f>
        <v>2090837.8020631503</v>
      </c>
      <c r="BA15" s="18">
        <f t="shared" si="13"/>
        <v>34391609.064303905</v>
      </c>
      <c r="BB15" s="18">
        <f>IF(BD15&lt;&gt;1,"",IF(BA15-CONTROL_PANEL!$B$11&lt;0,0,BA15-CONTROL_PANEL!$B$11))</f>
        <v>0</v>
      </c>
      <c r="BC15" s="18">
        <f>IF(BD15&lt;&gt;1,"",IF(AZ15&lt;=0,0,MIN(AZ15,MAX(0,CONTROL_PANEL!$B$13-BA15))))</f>
        <v>0</v>
      </c>
      <c r="BD15" s="18">
        <v>1</v>
      </c>
      <c r="BF15" s="19">
        <v>2016</v>
      </c>
      <c r="BG15" s="19">
        <v>8</v>
      </c>
      <c r="BH15" s="18">
        <f t="shared" si="14"/>
        <v>31</v>
      </c>
      <c r="BI15" s="18">
        <f t="shared" si="28"/>
        <v>261.04779326660315</v>
      </c>
      <c r="BJ15" s="18">
        <f>IF(BW14&lt;&gt;1,"",IF(BT14&gt;0,IF(BT14&gt;CONTROL_PANEL!$B$11,CONTROL_PANEL!$B$11,BT14),0))</f>
        <v>37727516.999997258</v>
      </c>
      <c r="BK15" s="18">
        <f t="shared" si="15"/>
        <v>4345187.7032941319</v>
      </c>
      <c r="BL15" s="18">
        <f>IF(BW15&lt;&gt;1,"",DATA_INPUT!$I15)</f>
        <v>7.8148416105657172E-3</v>
      </c>
      <c r="BM15" s="18">
        <f>IF(BW15&lt;&gt;1,"",BL15*CONTROL_PANEL!$B$5)</f>
        <v>741.62846884268652</v>
      </c>
      <c r="BN15" s="18">
        <f>IF(BW15&lt;&gt;1,"",DATA_INPUT!$C15)</f>
        <v>0</v>
      </c>
      <c r="BO15" s="18">
        <f t="shared" si="16"/>
        <v>0</v>
      </c>
      <c r="BP15" s="18">
        <f>IF(BW15&lt;&gt;1,"",DATA_INPUT!$H15)</f>
        <v>204.6787777982646</v>
      </c>
      <c r="BQ15" s="18">
        <f t="shared" si="17"/>
        <v>889367.70841429138</v>
      </c>
      <c r="BR15" s="18">
        <f>IF(BW15&lt;&gt;1,"",BM15*CONTROL_PANEL!$B$14)</f>
        <v>51.913992818988064</v>
      </c>
      <c r="BS15" s="18">
        <f>IF(BW15&lt;&gt;1,"",DATA_INPUT!$N15)</f>
        <v>1920375.460382811</v>
      </c>
      <c r="BT15" s="18">
        <f t="shared" si="18"/>
        <v>34918463.545676179</v>
      </c>
      <c r="BU15" s="18">
        <f>IF(BW15&lt;&gt;1,"",IF(BT15-CONTROL_PANEL!$B$11&lt;0,0,BT15-CONTROL_PANEL!$B$11))</f>
        <v>0</v>
      </c>
      <c r="BV15" s="18">
        <f>IF(BW15&lt;&gt;1,"",IF(BS15&lt;=0,0,MIN(BS15,MAX(0,CONTROL_PANEL!$B$13-BT15))))</f>
        <v>0</v>
      </c>
      <c r="BW15" s="18">
        <v>1</v>
      </c>
      <c r="BY15" s="19">
        <v>2016</v>
      </c>
      <c r="BZ15" s="19">
        <v>8</v>
      </c>
      <c r="CA15" s="18">
        <f t="shared" si="19"/>
        <v>31</v>
      </c>
      <c r="CB15" s="18">
        <f t="shared" si="29"/>
        <v>260.96850130687778</v>
      </c>
      <c r="CC15" s="18">
        <f>IF(CP14&lt;&gt;1,"",IF(CM14&gt;0,IF(CM14&gt;CONTROL_PANEL!$B$11,CONTROL_PANEL!$B$11,CM14),0))</f>
        <v>37381746.882835217</v>
      </c>
      <c r="CD15" s="18">
        <f t="shared" si="20"/>
        <v>4318510.3107511336</v>
      </c>
      <c r="CE15" s="18">
        <f>IF(CP15&lt;&gt;1,"",DATA_INPUT!$I15)</f>
        <v>7.8148416105657172E-3</v>
      </c>
      <c r="CF15" s="18">
        <f>IF(CP15&lt;&gt;1,"",CE15*CONTROL_PANEL!$B$5)</f>
        <v>741.62846884268652</v>
      </c>
      <c r="CG15" s="18">
        <f>IF(CP15&lt;&gt;1,"",DATA_INPUT!$C15)</f>
        <v>0</v>
      </c>
      <c r="CH15" s="18">
        <f t="shared" si="21"/>
        <v>0</v>
      </c>
      <c r="CI15" s="18">
        <f>IF(CP15&lt;&gt;1,"",DATA_INPUT!$H15)</f>
        <v>204.6787777982646</v>
      </c>
      <c r="CJ15" s="18">
        <f t="shared" si="22"/>
        <v>883907.41231374582</v>
      </c>
      <c r="CK15" s="18">
        <f>IF(CP15&lt;&gt;1,"",CF15*CONTROL_PANEL!$B$14)</f>
        <v>51.913992818988064</v>
      </c>
      <c r="CL15" s="18">
        <f>IF(CP15&lt;&gt;1,"",DATA_INPUT!$O15)</f>
        <v>2208738.7827881225</v>
      </c>
      <c r="CM15" s="18">
        <f t="shared" si="23"/>
        <v>34289790.402209371</v>
      </c>
      <c r="CN15" s="18">
        <f>IF(CP15&lt;&gt;1,"",IF(CM15-CONTROL_PANEL!$B$11&lt;0,0,CM15-CONTROL_PANEL!$B$11))</f>
        <v>0</v>
      </c>
      <c r="CO15" s="18">
        <f>IF(CP15&lt;&gt;1,"",IF(CL15&lt;=0,0,MIN(CL15,MAX(0,CONTROL_PANEL!$B$13-CM15))))</f>
        <v>0</v>
      </c>
      <c r="CP15" s="18">
        <v>1</v>
      </c>
    </row>
    <row r="16" spans="1:94" x14ac:dyDescent="0.25">
      <c r="A16" s="19">
        <v>2016</v>
      </c>
      <c r="B16" s="19">
        <v>9</v>
      </c>
      <c r="C16" s="18">
        <f t="shared" si="0"/>
        <v>30</v>
      </c>
      <c r="D16" s="18">
        <f t="shared" si="24"/>
        <v>260.35435578480849</v>
      </c>
      <c r="E16" s="18">
        <f>IF(R15&lt;&gt;1,"",IF(O15&gt;0,IF(O15&gt;CONTROL_PANEL!$B$11,CONTROL_PANEL!$B$11,O15),0))</f>
        <v>34775132.072677203</v>
      </c>
      <c r="F16" s="18">
        <f t="shared" si="1"/>
        <v>4114693.2347040898</v>
      </c>
      <c r="G16" s="18">
        <f>IF(R16&lt;&gt;1,"",DATA_INPUT!I16)</f>
        <v>1.1655307303696891E-3</v>
      </c>
      <c r="H16" s="18">
        <f>IF(R16&lt;&gt;1,"",G16*CONTROL_PANEL!$B$5)</f>
        <v>110.60886631208349</v>
      </c>
      <c r="I16" s="18">
        <f>IF(R16&lt;&gt;1,"",DATA_INPUT!C16)</f>
        <v>13.359716666666666</v>
      </c>
      <c r="J16" s="18">
        <f t="shared" si="2"/>
        <v>54971.135785896804</v>
      </c>
      <c r="K16" s="18">
        <f>IF(R16&lt;&gt;1,"",DATA_INPUT!H16)</f>
        <v>142.56425987643905</v>
      </c>
      <c r="L16" s="18">
        <f t="shared" si="25"/>
        <v>586608.19562417944</v>
      </c>
      <c r="M16" s="18">
        <f>IF(R16&lt;&gt;1,"",H16*CONTROL_PANEL!$B$14)</f>
        <v>7.7426206418458454</v>
      </c>
      <c r="N16" s="18">
        <f>IF(R16&lt;&gt;1,"",DATA_INPUT!K16)</f>
        <v>758226.85742398759</v>
      </c>
      <c r="O16" s="18">
        <f t="shared" si="3"/>
        <v>33485371.021660604</v>
      </c>
      <c r="P16" s="18">
        <f>IF(R16&lt;&gt;1,"",IF(O16-CONTROL_PANEL!$B$11&lt;0,0,O16-CONTROL_PANEL!$B$11))</f>
        <v>0</v>
      </c>
      <c r="Q16" s="18">
        <f>IF(R16&lt;&gt;1,"",IF(N16&lt;=0,0,MIN(N16,MAX(0,CONTROL_PANEL!$B$13-O16))))</f>
        <v>0</v>
      </c>
      <c r="R16" s="18">
        <v>1</v>
      </c>
      <c r="T16" s="19">
        <v>2016</v>
      </c>
      <c r="U16" s="19">
        <v>9</v>
      </c>
      <c r="V16" s="18">
        <f t="shared" si="4"/>
        <v>30</v>
      </c>
      <c r="W16" s="18">
        <f t="shared" si="26"/>
        <v>260.06320680813104</v>
      </c>
      <c r="X16" s="18">
        <f>IF(AK15&lt;&gt;1,"",IF(AH15&gt;0,IF(AH15&gt;CONTROL_PANEL!$B$11,CONTROL_PANEL!$B$11,AH15),0))</f>
        <v>33583089.083254874</v>
      </c>
      <c r="Y16" s="18">
        <f t="shared" si="5"/>
        <v>4019807.5218802253</v>
      </c>
      <c r="Z16" s="18">
        <f>IF(AK16&lt;&gt;1,"",DATA_INPUT!I16)</f>
        <v>1.1655307303696891E-3</v>
      </c>
      <c r="AA16" s="18">
        <f>IF(AK16&lt;&gt;1,"",Z16*CONTROL_PANEL!$B$5)</f>
        <v>110.60886631208349</v>
      </c>
      <c r="AB16" s="18">
        <f>IF(AK16&lt;&gt;1,"",DATA_INPUT!$C16)</f>
        <v>13.359716666666666</v>
      </c>
      <c r="AC16" s="18">
        <f t="shared" si="6"/>
        <v>53703.489546855271</v>
      </c>
      <c r="AD16" s="18">
        <f>IF(AK16&lt;&gt;1,"",DATA_INPUT!$H16)</f>
        <v>142.56425987643905</v>
      </c>
      <c r="AE16" s="18">
        <f t="shared" si="7"/>
        <v>573080.88420259685</v>
      </c>
      <c r="AF16" s="18">
        <f>IF(AK16&lt;&gt;1,"",AA16*CONTROL_PANEL!$B$14)</f>
        <v>7.7426206418458454</v>
      </c>
      <c r="AG16" s="18">
        <f>IF(AK16&lt;&gt;1,"",DATA_INPUT!$L16)</f>
        <v>966543.28850312147</v>
      </c>
      <c r="AH16" s="18">
        <f t="shared" si="8"/>
        <v>32097271.266341683</v>
      </c>
      <c r="AI16" s="18">
        <f>IF(AK16&lt;&gt;1,"",IF(AH16-CONTROL_PANEL!$B$11&lt;0,0,AH16-CONTROL_PANEL!$B$11))</f>
        <v>0</v>
      </c>
      <c r="AJ16" s="18">
        <f>IF(AK16&lt;&gt;1,"",IF(AG16&lt;=0,0,MIN(AG16,MAX(0,CONTROL_PANEL!$B$13-AH16))))</f>
        <v>0</v>
      </c>
      <c r="AK16" s="18">
        <v>1</v>
      </c>
      <c r="AM16" s="19">
        <v>2016</v>
      </c>
      <c r="AN16" s="19">
        <v>9</v>
      </c>
      <c r="AO16" s="18">
        <f t="shared" si="9"/>
        <v>30</v>
      </c>
      <c r="AP16" s="18">
        <f t="shared" si="27"/>
        <v>260.26142126956643</v>
      </c>
      <c r="AQ16" s="18">
        <f>IF(BD15&lt;&gt;1,"",IF(BA15&gt;0,IF(BA15&gt;CONTROL_PANEL!$B$11,CONTROL_PANEL!$B$11,BA15),0))</f>
        <v>34391609.064303905</v>
      </c>
      <c r="AR16" s="18">
        <f t="shared" si="10"/>
        <v>4084284.3358624233</v>
      </c>
      <c r="AS16" s="18">
        <f>IF(BD16&lt;&gt;1,"",DATA_INPUT!$I16)</f>
        <v>1.1655307303696891E-3</v>
      </c>
      <c r="AT16" s="18">
        <f>IF(BD16&lt;&gt;1,"",AS16*CONTROL_PANEL!$B$5)</f>
        <v>110.60886631208349</v>
      </c>
      <c r="AU16" s="18">
        <f>IF(BD16&lt;&gt;1,"",DATA_INPUT!$C16)</f>
        <v>13.359716666666666</v>
      </c>
      <c r="AV16" s="18">
        <f t="shared" si="11"/>
        <v>54564.881513226806</v>
      </c>
      <c r="AW16" s="18">
        <f>IF(BD16&lt;&gt;1,"",DATA_INPUT!$H16)</f>
        <v>142.56425987643905</v>
      </c>
      <c r="AX16" s="18">
        <f t="shared" si="12"/>
        <v>582272.97346715978</v>
      </c>
      <c r="AY16" s="18">
        <f>IF(BD16&lt;&gt;1,"",AT16*CONTROL_PANEL!$B$14)</f>
        <v>7.7426206418458454</v>
      </c>
      <c r="AZ16" s="18">
        <f>IF(BD16&lt;&gt;1,"",DATA_INPUT!$M16)</f>
        <v>847085.6188665427</v>
      </c>
      <c r="BA16" s="18">
        <f t="shared" si="13"/>
        <v>33016918.219729103</v>
      </c>
      <c r="BB16" s="18">
        <f>IF(BD16&lt;&gt;1,"",IF(BA16-CONTROL_PANEL!$B$11&lt;0,0,BA16-CONTROL_PANEL!$B$11))</f>
        <v>0</v>
      </c>
      <c r="BC16" s="18">
        <f>IF(BD16&lt;&gt;1,"",IF(AZ16&lt;=0,0,MIN(AZ16,MAX(0,CONTROL_PANEL!$B$13-BA16))))</f>
        <v>0</v>
      </c>
      <c r="BD16" s="18">
        <v>1</v>
      </c>
      <c r="BF16" s="19">
        <v>2016</v>
      </c>
      <c r="BG16" s="19">
        <v>9</v>
      </c>
      <c r="BH16" s="18">
        <f t="shared" si="14"/>
        <v>30</v>
      </c>
      <c r="BI16" s="18">
        <f t="shared" si="28"/>
        <v>260.38891156661441</v>
      </c>
      <c r="BJ16" s="18">
        <f>IF(BW15&lt;&gt;1,"",IF(BT15&gt;0,IF(BT15&gt;CONTROL_PANEL!$B$11,CONTROL_PANEL!$B$11,BT15),0))</f>
        <v>34918463.545676179</v>
      </c>
      <c r="BK16" s="18">
        <f t="shared" si="15"/>
        <v>4126029.2061822168</v>
      </c>
      <c r="BL16" s="18">
        <f>IF(BW16&lt;&gt;1,"",DATA_INPUT!$I16)</f>
        <v>1.1655307303696891E-3</v>
      </c>
      <c r="BM16" s="18">
        <f>IF(BW16&lt;&gt;1,"",BL16*CONTROL_PANEL!$B$5)</f>
        <v>110.60886631208349</v>
      </c>
      <c r="BN16" s="18">
        <f>IF(BW16&lt;&gt;1,"",DATA_INPUT!$C16)</f>
        <v>13.359716666666666</v>
      </c>
      <c r="BO16" s="18">
        <f t="shared" si="16"/>
        <v>55122.581152985993</v>
      </c>
      <c r="BP16" s="18">
        <f>IF(BW16&lt;&gt;1,"",DATA_INPUT!$H16)</f>
        <v>142.56425987643905</v>
      </c>
      <c r="BQ16" s="18">
        <f t="shared" si="17"/>
        <v>588224.30000793911</v>
      </c>
      <c r="BR16" s="18">
        <f>IF(BW16&lt;&gt;1,"",BM16*CONTROL_PANEL!$B$14)</f>
        <v>7.7426206418458454</v>
      </c>
      <c r="BS16" s="18">
        <f>IF(BW16&lt;&gt;1,"",DATA_INPUT!$N16)</f>
        <v>773626.64851287368</v>
      </c>
      <c r="BT16" s="18">
        <f t="shared" si="18"/>
        <v>33611838.044554017</v>
      </c>
      <c r="BU16" s="18">
        <f>IF(BW16&lt;&gt;1,"",IF(BT16-CONTROL_PANEL!$B$11&lt;0,0,BT16-CONTROL_PANEL!$B$11))</f>
        <v>0</v>
      </c>
      <c r="BV16" s="18">
        <f>IF(BW16&lt;&gt;1,"",IF(BS16&lt;=0,0,MIN(BS16,MAX(0,CONTROL_PANEL!$B$13-BT16))))</f>
        <v>0</v>
      </c>
      <c r="BW16" s="18">
        <v>1</v>
      </c>
      <c r="BY16" s="19">
        <v>2016</v>
      </c>
      <c r="BZ16" s="19">
        <v>9</v>
      </c>
      <c r="CA16" s="18">
        <f t="shared" si="19"/>
        <v>30</v>
      </c>
      <c r="CB16" s="18">
        <f t="shared" si="29"/>
        <v>260.23663242808124</v>
      </c>
      <c r="CC16" s="18">
        <f>IF(CP15&lt;&gt;1,"",IF(CM15&gt;0,IF(CM15&gt;CONTROL_PANEL!$B$11,CONTROL_PANEL!$B$11,CM15),0))</f>
        <v>34289790.402209371</v>
      </c>
      <c r="CD16" s="18">
        <f t="shared" si="20"/>
        <v>4076192.4753543353</v>
      </c>
      <c r="CE16" s="18">
        <f>IF(CP16&lt;&gt;1,"",DATA_INPUT!$I16)</f>
        <v>1.1655307303696891E-3</v>
      </c>
      <c r="CF16" s="18">
        <f>IF(CP16&lt;&gt;1,"",CE16*CONTROL_PANEL!$B$5)</f>
        <v>110.60886631208349</v>
      </c>
      <c r="CG16" s="18">
        <f>IF(CP16&lt;&gt;1,"",DATA_INPUT!$C16)</f>
        <v>13.359716666666666</v>
      </c>
      <c r="CH16" s="18">
        <f t="shared" si="21"/>
        <v>54456.776549532566</v>
      </c>
      <c r="CI16" s="18">
        <f>IF(CP16&lt;&gt;1,"",DATA_INPUT!$H16)</f>
        <v>142.56425987643905</v>
      </c>
      <c r="CJ16" s="18">
        <f t="shared" si="22"/>
        <v>581119.3633628008</v>
      </c>
      <c r="CK16" s="18">
        <f>IF(CP16&lt;&gt;1,"",CF16*CONTROL_PANEL!$B$14)</f>
        <v>7.7426206418458454</v>
      </c>
      <c r="CL16" s="18">
        <f>IF(CP16&lt;&gt;1,"",DATA_INPUT!$O16)</f>
        <v>889945.68102618831</v>
      </c>
      <c r="CM16" s="18">
        <f t="shared" si="23"/>
        <v>32873285.000615586</v>
      </c>
      <c r="CN16" s="18">
        <f>IF(CP16&lt;&gt;1,"",IF(CM16-CONTROL_PANEL!$B$11&lt;0,0,CM16-CONTROL_PANEL!$B$11))</f>
        <v>0</v>
      </c>
      <c r="CO16" s="18">
        <f>IF(CP16&lt;&gt;1,"",IF(CL16&lt;=0,0,MIN(CL16,MAX(0,CONTROL_PANEL!$B$13-CM16))))</f>
        <v>0</v>
      </c>
      <c r="CP16" s="18">
        <v>1</v>
      </c>
    </row>
    <row r="17" spans="1:94" x14ac:dyDescent="0.25">
      <c r="A17" s="19">
        <f>A5+1</f>
        <v>2016</v>
      </c>
      <c r="B17" s="19">
        <v>10</v>
      </c>
      <c r="C17" s="18">
        <f t="shared" si="0"/>
        <v>31</v>
      </c>
      <c r="D17" s="18">
        <f t="shared" si="24"/>
        <v>260.0390351190822</v>
      </c>
      <c r="E17" s="18">
        <f>IF(R16&lt;&gt;1,"",IF(O16&gt;0,IF(O16&gt;CONTROL_PANEL!$B$11,CONTROL_PANEL!$B$11,O16),0))</f>
        <v>33485371.021660604</v>
      </c>
      <c r="F17" s="18">
        <f t="shared" si="1"/>
        <v>4011980.1976085212</v>
      </c>
      <c r="G17" s="18">
        <f>IF(R17&lt;&gt;1,"",DATA_INPUT!I17)</f>
        <v>1.5965591731118321E-4</v>
      </c>
      <c r="H17" s="18">
        <f>IF(R17&lt;&gt;1,"",G17*CONTROL_PANEL!$B$5)</f>
        <v>15.151346552831287</v>
      </c>
      <c r="I17" s="18">
        <f>IF(R17&lt;&gt;1,"",DATA_INPUT!C17)</f>
        <v>54.578554019325331</v>
      </c>
      <c r="J17" s="18">
        <f t="shared" si="2"/>
        <v>218968.07793964021</v>
      </c>
      <c r="K17" s="18">
        <f>IF(R17&lt;&gt;1,"",DATA_INPUT!H17)</f>
        <v>65.413487455583223</v>
      </c>
      <c r="L17" s="18">
        <f t="shared" si="25"/>
        <v>262437.61632831331</v>
      </c>
      <c r="M17" s="18">
        <f>IF(R17&lt;&gt;1,"",H17*CONTROL_PANEL!$B$14)</f>
        <v>1.0605942586981902</v>
      </c>
      <c r="N17" s="18">
        <f>IF(R17&lt;&gt;1,"",DATA_INPUT!K17)</f>
        <v>245121.50066028442</v>
      </c>
      <c r="O17" s="18">
        <f t="shared" si="3"/>
        <v>33196794.073363941</v>
      </c>
      <c r="P17" s="18">
        <f>IF(R17&lt;&gt;1,"",IF(O17-CONTROL_PANEL!$B$11&lt;0,0,O17-CONTROL_PANEL!$B$11))</f>
        <v>0</v>
      </c>
      <c r="Q17" s="18">
        <f>IF(R17&lt;&gt;1,"",IF(N17&lt;=0,0,MIN(N17,MAX(0,CONTROL_PANEL!$B$13-O17))))</f>
        <v>0</v>
      </c>
      <c r="R17" s="18">
        <v>1</v>
      </c>
      <c r="T17" s="19">
        <f>T5+1</f>
        <v>2016</v>
      </c>
      <c r="U17" s="19">
        <v>10</v>
      </c>
      <c r="V17" s="18">
        <f t="shared" si="4"/>
        <v>31</v>
      </c>
      <c r="W17" s="18">
        <f t="shared" si="26"/>
        <v>259.69045980670217</v>
      </c>
      <c r="X17" s="18">
        <f>IF(AK16&lt;&gt;1,"",IF(AH16&gt;0,IF(AH16&gt;CONTROL_PANEL!$B$11,CONTROL_PANEL!$B$11,AH16),0))</f>
        <v>32097271.266341683</v>
      </c>
      <c r="Y17" s="18">
        <f t="shared" si="5"/>
        <v>3899960.3309488366</v>
      </c>
      <c r="Z17" s="18">
        <f>IF(AK17&lt;&gt;1,"",DATA_INPUT!I17)</f>
        <v>1.5965591731118321E-4</v>
      </c>
      <c r="AA17" s="18">
        <f>IF(AK17&lt;&gt;1,"",Z17*CONTROL_PANEL!$B$5)</f>
        <v>15.151346552831287</v>
      </c>
      <c r="AB17" s="18">
        <f>IF(AK17&lt;&gt;1,"",DATA_INPUT!$C17)</f>
        <v>54.578554019325331</v>
      </c>
      <c r="AC17" s="18">
        <f t="shared" si="6"/>
        <v>212854.195595917</v>
      </c>
      <c r="AD17" s="18">
        <f>IF(AK17&lt;&gt;1,"",DATA_INPUT!$H17)</f>
        <v>65.413487455583223</v>
      </c>
      <c r="AE17" s="18">
        <f t="shared" si="7"/>
        <v>255110.0061857939</v>
      </c>
      <c r="AF17" s="18">
        <f>IF(AK17&lt;&gt;1,"",AA17*CONTROL_PANEL!$B$14)</f>
        <v>1.0605942586981902</v>
      </c>
      <c r="AG17" s="18">
        <f>IF(AK17&lt;&gt;1,"",DATA_INPUT!$L17)</f>
        <v>312876.66118542751</v>
      </c>
      <c r="AH17" s="18">
        <f t="shared" si="8"/>
        <v>31742152.88531867</v>
      </c>
      <c r="AI17" s="18">
        <f>IF(AK17&lt;&gt;1,"",IF(AH17-CONTROL_PANEL!$B$11&lt;0,0,AH17-CONTROL_PANEL!$B$11))</f>
        <v>0</v>
      </c>
      <c r="AJ17" s="18">
        <f>IF(AK17&lt;&gt;1,"",IF(AG17&lt;=0,0,MIN(AG17,MAX(0,CONTROL_PANEL!$B$13-AH17))))</f>
        <v>0</v>
      </c>
      <c r="AK17" s="18">
        <v>1</v>
      </c>
      <c r="AM17" s="19">
        <f>AM5+1</f>
        <v>2016</v>
      </c>
      <c r="AN17" s="19">
        <v>10</v>
      </c>
      <c r="AO17" s="18">
        <f t="shared" si="9"/>
        <v>31</v>
      </c>
      <c r="AP17" s="18">
        <f t="shared" si="27"/>
        <v>259.92249795255287</v>
      </c>
      <c r="AQ17" s="18">
        <f>IF(BD16&lt;&gt;1,"",IF(BA16&gt;0,IF(BA16&gt;CONTROL_PANEL!$B$11,CONTROL_PANEL!$B$11,BA16),0))</f>
        <v>33016918.219729103</v>
      </c>
      <c r="AR17" s="18">
        <f t="shared" si="10"/>
        <v>3974350.9999583005</v>
      </c>
      <c r="AS17" s="18">
        <f>IF(BD17&lt;&gt;1,"",DATA_INPUT!$I17)</f>
        <v>1.5965591731118321E-4</v>
      </c>
      <c r="AT17" s="18">
        <f>IF(BD17&lt;&gt;1,"",AS17*CONTROL_PANEL!$B$5)</f>
        <v>15.151346552831287</v>
      </c>
      <c r="AU17" s="18">
        <f>IF(BD17&lt;&gt;1,"",DATA_INPUT!$C17)</f>
        <v>54.578554019325331</v>
      </c>
      <c r="AV17" s="18">
        <f t="shared" si="11"/>
        <v>216914.33074298376</v>
      </c>
      <c r="AW17" s="18">
        <f>IF(BD17&lt;&gt;1,"",DATA_INPUT!$H17)</f>
        <v>65.413487455583223</v>
      </c>
      <c r="AX17" s="18">
        <f t="shared" si="12"/>
        <v>259976.15927985692</v>
      </c>
      <c r="AY17" s="18">
        <f>IF(BD17&lt;&gt;1,"",AT17*CONTROL_PANEL!$B$14)</f>
        <v>1.0605942586981902</v>
      </c>
      <c r="AZ17" s="18">
        <f>IF(BD17&lt;&gt;1,"",DATA_INPUT!$M17)</f>
        <v>278313.40556146292</v>
      </c>
      <c r="BA17" s="18">
        <f t="shared" si="13"/>
        <v>32695557.076383062</v>
      </c>
      <c r="BB17" s="18">
        <f>IF(BD17&lt;&gt;1,"",IF(BA17-CONTROL_PANEL!$B$11&lt;0,0,BA17-CONTROL_PANEL!$B$11))</f>
        <v>0</v>
      </c>
      <c r="BC17" s="18">
        <f>IF(BD17&lt;&gt;1,"",IF(AZ17&lt;=0,0,MIN(AZ17,MAX(0,CONTROL_PANEL!$B$13-BA17))))</f>
        <v>0</v>
      </c>
      <c r="BD17" s="18">
        <v>1</v>
      </c>
      <c r="BF17" s="19">
        <f>BF5+1</f>
        <v>2016</v>
      </c>
      <c r="BG17" s="19">
        <v>10</v>
      </c>
      <c r="BH17" s="18">
        <f t="shared" si="14"/>
        <v>31</v>
      </c>
      <c r="BI17" s="18">
        <f t="shared" si="28"/>
        <v>260.07030923737568</v>
      </c>
      <c r="BJ17" s="18">
        <f>IF(BW16&lt;&gt;1,"",IF(BT16&gt;0,IF(BT16&gt;CONTROL_PANEL!$B$11,CONTROL_PANEL!$B$11,BT16),0))</f>
        <v>33611838.044554017</v>
      </c>
      <c r="BK17" s="18">
        <f t="shared" si="15"/>
        <v>4022108.9089452955</v>
      </c>
      <c r="BL17" s="18">
        <f>IF(BW17&lt;&gt;1,"",DATA_INPUT!$I17)</f>
        <v>1.5965591731118321E-4</v>
      </c>
      <c r="BM17" s="18">
        <f>IF(BW17&lt;&gt;1,"",BL17*CONTROL_PANEL!$B$5)</f>
        <v>15.151346552831287</v>
      </c>
      <c r="BN17" s="18">
        <f>IF(BW17&lt;&gt;1,"",DATA_INPUT!$C17)</f>
        <v>54.578554019325331</v>
      </c>
      <c r="BO17" s="18">
        <f t="shared" si="16"/>
        <v>219520.88835848047</v>
      </c>
      <c r="BP17" s="18">
        <f>IF(BW17&lt;&gt;1,"",DATA_INPUT!$H17)</f>
        <v>65.413487455583223</v>
      </c>
      <c r="BQ17" s="18">
        <f t="shared" si="17"/>
        <v>263100.1706602826</v>
      </c>
      <c r="BR17" s="18">
        <f>IF(BW17&lt;&gt;1,"",BM17*CONTROL_PANEL!$B$14)</f>
        <v>1.0605942586981902</v>
      </c>
      <c r="BS17" s="18">
        <f>IF(BW17&lt;&gt;1,"",DATA_INPUT!$N17)</f>
        <v>258022.63227398359</v>
      </c>
      <c r="BT17" s="18">
        <f t="shared" si="18"/>
        <v>33310250.220730525</v>
      </c>
      <c r="BU17" s="18">
        <f>IF(BW17&lt;&gt;1,"",IF(BT17-CONTROL_PANEL!$B$11&lt;0,0,BT17-CONTROL_PANEL!$B$11))</f>
        <v>0</v>
      </c>
      <c r="BV17" s="18">
        <f>IF(BW17&lt;&gt;1,"",IF(BS17&lt;=0,0,MIN(BS17,MAX(0,CONTROL_PANEL!$B$13-BT17))))</f>
        <v>0</v>
      </c>
      <c r="BW17" s="18">
        <v>1</v>
      </c>
      <c r="BY17" s="19">
        <f>BY5+1</f>
        <v>2016</v>
      </c>
      <c r="BZ17" s="19">
        <v>10</v>
      </c>
      <c r="CA17" s="18">
        <f t="shared" si="19"/>
        <v>31</v>
      </c>
      <c r="CB17" s="18">
        <f t="shared" si="29"/>
        <v>259.88654488815155</v>
      </c>
      <c r="CC17" s="18">
        <f>IF(CP16&lt;&gt;1,"",IF(CM16&gt;0,IF(CM16&gt;CONTROL_PANEL!$B$11,CONTROL_PANEL!$B$11,CM16),0))</f>
        <v>32873285.000615586</v>
      </c>
      <c r="CD17" s="18">
        <f t="shared" si="20"/>
        <v>3962778.0973645514</v>
      </c>
      <c r="CE17" s="18">
        <f>IF(CP17&lt;&gt;1,"",DATA_INPUT!$I17)</f>
        <v>1.5965591731118321E-4</v>
      </c>
      <c r="CF17" s="18">
        <f>IF(CP17&lt;&gt;1,"",CE17*CONTROL_PANEL!$B$5)</f>
        <v>15.151346552831287</v>
      </c>
      <c r="CG17" s="18">
        <f>IF(CP17&lt;&gt;1,"",DATA_INPUT!$C17)</f>
        <v>54.578554019325331</v>
      </c>
      <c r="CH17" s="18">
        <f t="shared" si="21"/>
        <v>216282.69845361041</v>
      </c>
      <c r="CI17" s="18">
        <f>IF(CP17&lt;&gt;1,"",DATA_INPUT!$H17)</f>
        <v>65.413487455583223</v>
      </c>
      <c r="CJ17" s="18">
        <f t="shared" si="22"/>
        <v>259219.13536121603</v>
      </c>
      <c r="CK17" s="18">
        <f>IF(CP17&lt;&gt;1,"",CF17*CONTROL_PANEL!$B$14)</f>
        <v>1.0605942586981902</v>
      </c>
      <c r="CL17" s="18">
        <f>IF(CP17&lt;&gt;1,"",DATA_INPUT!$O17)</f>
        <v>297232.82812615612</v>
      </c>
      <c r="CM17" s="18">
        <f t="shared" si="23"/>
        <v>32533129.826334115</v>
      </c>
      <c r="CN17" s="18">
        <f>IF(CP17&lt;&gt;1,"",IF(CM17-CONTROL_PANEL!$B$11&lt;0,0,CM17-CONTROL_PANEL!$B$11))</f>
        <v>0</v>
      </c>
      <c r="CO17" s="18">
        <f>IF(CP17&lt;&gt;1,"",IF(CL17&lt;=0,0,MIN(CL17,MAX(0,CONTROL_PANEL!$B$13-CM17))))</f>
        <v>0</v>
      </c>
      <c r="CP17" s="18">
        <v>1</v>
      </c>
    </row>
    <row r="18" spans="1:94" x14ac:dyDescent="0.25">
      <c r="A18" s="19">
        <f t="shared" ref="A18:A81" si="30">A6+1</f>
        <v>2016</v>
      </c>
      <c r="B18" s="19">
        <v>11</v>
      </c>
      <c r="C18" s="18">
        <f t="shared" si="0"/>
        <v>30</v>
      </c>
      <c r="D18" s="18">
        <f t="shared" si="24"/>
        <v>259.96737573027065</v>
      </c>
      <c r="E18" s="18">
        <f>IF(R17&lt;&gt;1,"",IF(O17&gt;0,IF(O17&gt;CONTROL_PANEL!$B$11,CONTROL_PANEL!$B$11,O17),0))</f>
        <v>33196794.073363941</v>
      </c>
      <c r="F18" s="18">
        <f t="shared" si="1"/>
        <v>3988820.5831479495</v>
      </c>
      <c r="G18" s="18">
        <f>IF(R18&lt;&gt;1,"",DATA_INPUT!I18)</f>
        <v>2.3811599413602886E-5</v>
      </c>
      <c r="H18" s="18">
        <f>IF(R18&lt;&gt;1,"",G18*CONTROL_PANEL!$B$5)</f>
        <v>2.2597207843509137</v>
      </c>
      <c r="I18" s="18">
        <f>IF(R18&lt;&gt;1,"",DATA_INPUT!C18)</f>
        <v>83.318394052750662</v>
      </c>
      <c r="J18" s="18">
        <f t="shared" si="2"/>
        <v>332342.12515244354</v>
      </c>
      <c r="K18" s="18">
        <f>IF(R18&lt;&gt;1,"",DATA_INPUT!H18)</f>
        <v>32.211849536842259</v>
      </c>
      <c r="L18" s="18">
        <f t="shared" si="25"/>
        <v>128487.28845382115</v>
      </c>
      <c r="M18" s="18">
        <f>IF(R18&lt;&gt;1,"",H18*CONTROL_PANEL!$B$14)</f>
        <v>0.15818045490456398</v>
      </c>
      <c r="N18" s="18">
        <f>IF(R18&lt;&gt;1,"",DATA_INPUT!K18)</f>
        <v>0</v>
      </c>
      <c r="O18" s="18">
        <f t="shared" si="3"/>
        <v>33400651.01160289</v>
      </c>
      <c r="P18" s="18">
        <f>IF(R18&lt;&gt;1,"",IF(O18-CONTROL_PANEL!$B$11&lt;0,0,O18-CONTROL_PANEL!$B$11))</f>
        <v>0</v>
      </c>
      <c r="Q18" s="18">
        <f>IF(R18&lt;&gt;1,"",IF(N18&lt;=0,0,MIN(N18,MAX(0,CONTROL_PANEL!$B$13-O18))))</f>
        <v>0</v>
      </c>
      <c r="R18" s="18">
        <v>1</v>
      </c>
      <c r="T18" s="19">
        <f t="shared" ref="T18:T81" si="31">T6+1</f>
        <v>2016</v>
      </c>
      <c r="U18" s="19">
        <v>11</v>
      </c>
      <c r="V18" s="18">
        <f t="shared" si="4"/>
        <v>30</v>
      </c>
      <c r="W18" s="18">
        <f t="shared" si="26"/>
        <v>259.59966914298928</v>
      </c>
      <c r="X18" s="18">
        <f>IF(AK17&lt;&gt;1,"",IF(AH17&gt;0,IF(AH17&gt;CONTROL_PANEL!$B$11,CONTROL_PANEL!$B$11,AH17),0))</f>
        <v>31742152.88531867</v>
      </c>
      <c r="Y18" s="18">
        <f t="shared" si="5"/>
        <v>3871046.3178361431</v>
      </c>
      <c r="Z18" s="18">
        <f>IF(AK18&lt;&gt;1,"",DATA_INPUT!I18)</f>
        <v>2.3811599413602886E-5</v>
      </c>
      <c r="AA18" s="18">
        <f>IF(AK18&lt;&gt;1,"",Z18*CONTROL_PANEL!$B$5)</f>
        <v>2.2597207843509137</v>
      </c>
      <c r="AB18" s="18">
        <f>IF(AK18&lt;&gt;1,"",DATA_INPUT!$C18)</f>
        <v>83.318394052750662</v>
      </c>
      <c r="AC18" s="18">
        <f t="shared" si="6"/>
        <v>322529.36250592122</v>
      </c>
      <c r="AD18" s="18">
        <f>IF(AK18&lt;&gt;1,"",DATA_INPUT!$H18)</f>
        <v>32.211849536842259</v>
      </c>
      <c r="AE18" s="18">
        <f t="shared" si="7"/>
        <v>124693.5615402851</v>
      </c>
      <c r="AF18" s="18">
        <f>IF(AK18&lt;&gt;1,"",AA18*CONTROL_PANEL!$B$14)</f>
        <v>0.15818045490456398</v>
      </c>
      <c r="AG18" s="18">
        <f>IF(AK18&lt;&gt;1,"",DATA_INPUT!$L18)</f>
        <v>0</v>
      </c>
      <c r="AH18" s="18">
        <f t="shared" si="8"/>
        <v>31939990.787824634</v>
      </c>
      <c r="AI18" s="18">
        <f>IF(AK18&lt;&gt;1,"",IF(AH18-CONTROL_PANEL!$B$11&lt;0,0,AH18-CONTROL_PANEL!$B$11))</f>
        <v>0</v>
      </c>
      <c r="AJ18" s="18">
        <f>IF(AK18&lt;&gt;1,"",IF(AG18&lt;=0,0,MIN(AG18,MAX(0,CONTROL_PANEL!$B$13-AH18))))</f>
        <v>0</v>
      </c>
      <c r="AK18" s="18">
        <v>1</v>
      </c>
      <c r="AM18" s="19">
        <f t="shared" ref="AM18:AM81" si="32">AM6+1</f>
        <v>2016</v>
      </c>
      <c r="AN18" s="19">
        <v>11</v>
      </c>
      <c r="AO18" s="18">
        <f t="shared" si="9"/>
        <v>30</v>
      </c>
      <c r="AP18" s="18">
        <f t="shared" si="27"/>
        <v>259.84191177915801</v>
      </c>
      <c r="AQ18" s="18">
        <f>IF(BD17&lt;&gt;1,"",IF(BA17&gt;0,IF(BA17&gt;CONTROL_PANEL!$B$11,CONTROL_PANEL!$B$11,BA17),0))</f>
        <v>32695557.076383062</v>
      </c>
      <c r="AR18" s="18">
        <f t="shared" si="10"/>
        <v>3948434.8910474195</v>
      </c>
      <c r="AS18" s="18">
        <f>IF(BD18&lt;&gt;1,"",DATA_INPUT!$I18)</f>
        <v>2.3811599413602886E-5</v>
      </c>
      <c r="AT18" s="18">
        <f>IF(BD18&lt;&gt;1,"",AS18*CONTROL_PANEL!$B$5)</f>
        <v>2.2597207843509137</v>
      </c>
      <c r="AU18" s="18">
        <f>IF(BD18&lt;&gt;1,"",DATA_INPUT!$C18)</f>
        <v>83.318394052750662</v>
      </c>
      <c r="AV18" s="18">
        <f t="shared" si="11"/>
        <v>328977.25414391852</v>
      </c>
      <c r="AW18" s="18">
        <f>IF(BD18&lt;&gt;1,"",DATA_INPUT!$H18)</f>
        <v>32.211849536842259</v>
      </c>
      <c r="AX18" s="18">
        <f t="shared" si="12"/>
        <v>127186.39061643762</v>
      </c>
      <c r="AY18" s="18">
        <f>IF(BD18&lt;&gt;1,"",AT18*CONTROL_PANEL!$B$14)</f>
        <v>0.15818045490456398</v>
      </c>
      <c r="AZ18" s="18">
        <f>IF(BD18&lt;&gt;1,"",DATA_INPUT!$M18)</f>
        <v>0</v>
      </c>
      <c r="BA18" s="18">
        <f t="shared" si="13"/>
        <v>32897350.041450873</v>
      </c>
      <c r="BB18" s="18">
        <f>IF(BD18&lt;&gt;1,"",IF(BA18-CONTROL_PANEL!$B$11&lt;0,0,BA18-CONTROL_PANEL!$B$11))</f>
        <v>0</v>
      </c>
      <c r="BC18" s="18">
        <f>IF(BD18&lt;&gt;1,"",IF(AZ18&lt;=0,0,MIN(AZ18,MAX(0,CONTROL_PANEL!$B$13-BA18))))</f>
        <v>0</v>
      </c>
      <c r="BD18" s="18">
        <v>1</v>
      </c>
      <c r="BF18" s="19">
        <f t="shared" ref="BF18:BF81" si="33">BF6+1</f>
        <v>2016</v>
      </c>
      <c r="BG18" s="19">
        <v>11</v>
      </c>
      <c r="BH18" s="18">
        <f t="shared" si="14"/>
        <v>30</v>
      </c>
      <c r="BI18" s="18">
        <f t="shared" si="28"/>
        <v>259.99559866047656</v>
      </c>
      <c r="BJ18" s="18">
        <f>IF(BW17&lt;&gt;1,"",IF(BT17&gt;0,IF(BT17&gt;CONTROL_PANEL!$B$11,CONTROL_PANEL!$B$11,BT17),0))</f>
        <v>33310250.220730525</v>
      </c>
      <c r="BK18" s="18">
        <f t="shared" si="15"/>
        <v>3997933.8770630672</v>
      </c>
      <c r="BL18" s="18">
        <f>IF(BW18&lt;&gt;1,"",DATA_INPUT!$I18)</f>
        <v>2.3811599413602886E-5</v>
      </c>
      <c r="BM18" s="18">
        <f>IF(BW18&lt;&gt;1,"",BL18*CONTROL_PANEL!$B$5)</f>
        <v>2.2597207843509137</v>
      </c>
      <c r="BN18" s="18">
        <f>IF(BW18&lt;&gt;1,"",DATA_INPUT!$C18)</f>
        <v>83.318394052750662</v>
      </c>
      <c r="BO18" s="18">
        <f t="shared" si="16"/>
        <v>333101.43016598182</v>
      </c>
      <c r="BP18" s="18">
        <f>IF(BW18&lt;&gt;1,"",DATA_INPUT!$H18)</f>
        <v>32.211849536842259</v>
      </c>
      <c r="BQ18" s="18">
        <f t="shared" si="17"/>
        <v>128780.84450619994</v>
      </c>
      <c r="BR18" s="18">
        <f>IF(BW18&lt;&gt;1,"",BM18*CONTROL_PANEL!$B$14)</f>
        <v>0.15818045490456398</v>
      </c>
      <c r="BS18" s="18">
        <f>IF(BW18&lt;&gt;1,"",DATA_INPUT!$N18)</f>
        <v>0</v>
      </c>
      <c r="BT18" s="18">
        <f t="shared" si="18"/>
        <v>33514572.907930639</v>
      </c>
      <c r="BU18" s="18">
        <f>IF(BW18&lt;&gt;1,"",IF(BT18-CONTROL_PANEL!$B$11&lt;0,0,BT18-CONTROL_PANEL!$B$11))</f>
        <v>0</v>
      </c>
      <c r="BV18" s="18">
        <f>IF(BW18&lt;&gt;1,"",IF(BS18&lt;=0,0,MIN(BS18,MAX(0,CONTROL_PANEL!$B$13-BT18))))</f>
        <v>0</v>
      </c>
      <c r="BW18" s="18">
        <v>1</v>
      </c>
      <c r="BY18" s="19">
        <f t="shared" ref="BY18:BY81" si="34">BY6+1</f>
        <v>2016</v>
      </c>
      <c r="BZ18" s="19">
        <v>11</v>
      </c>
      <c r="CA18" s="18">
        <f t="shared" si="19"/>
        <v>30</v>
      </c>
      <c r="CB18" s="18">
        <f t="shared" si="29"/>
        <v>259.80097900539374</v>
      </c>
      <c r="CC18" s="18">
        <f>IF(CP17&lt;&gt;1,"",IF(CM17&gt;0,IF(CM17&gt;CONTROL_PANEL!$B$11,CONTROL_PANEL!$B$11,CM17),0))</f>
        <v>32533129.826334115</v>
      </c>
      <c r="CD18" s="18">
        <f t="shared" si="20"/>
        <v>3935303.9030344873</v>
      </c>
      <c r="CE18" s="18">
        <f>IF(CP18&lt;&gt;1,"",DATA_INPUT!$I18)</f>
        <v>2.3811599413602886E-5</v>
      </c>
      <c r="CF18" s="18">
        <f>IF(CP18&lt;&gt;1,"",CE18*CONTROL_PANEL!$B$5)</f>
        <v>2.2597207843509137</v>
      </c>
      <c r="CG18" s="18">
        <f>IF(CP18&lt;&gt;1,"",DATA_INPUT!$C18)</f>
        <v>83.318394052750662</v>
      </c>
      <c r="CH18" s="18">
        <f t="shared" si="21"/>
        <v>327883.20131035504</v>
      </c>
      <c r="CI18" s="18">
        <f>IF(CP18&lt;&gt;1,"",DATA_INPUT!$H18)</f>
        <v>32.211849536842259</v>
      </c>
      <c r="CJ18" s="18">
        <f t="shared" si="22"/>
        <v>126763.41720629498</v>
      </c>
      <c r="CK18" s="18">
        <f>IF(CP18&lt;&gt;1,"",CF18*CONTROL_PANEL!$B$14)</f>
        <v>0.15818045490456398</v>
      </c>
      <c r="CL18" s="18">
        <f>IF(CP18&lt;&gt;1,"",DATA_INPUT!$O18)</f>
        <v>0</v>
      </c>
      <c r="CM18" s="18">
        <f t="shared" si="23"/>
        <v>32734251.711978503</v>
      </c>
      <c r="CN18" s="18">
        <f>IF(CP18&lt;&gt;1,"",IF(CM18-CONTROL_PANEL!$B$11&lt;0,0,CM18-CONTROL_PANEL!$B$11))</f>
        <v>0</v>
      </c>
      <c r="CO18" s="18">
        <f>IF(CP18&lt;&gt;1,"",IF(CL18&lt;=0,0,MIN(CL18,MAX(0,CONTROL_PANEL!$B$13-CM18))))</f>
        <v>0</v>
      </c>
      <c r="CP18" s="18">
        <v>1</v>
      </c>
    </row>
    <row r="19" spans="1:94" x14ac:dyDescent="0.25">
      <c r="A19" s="19">
        <f t="shared" si="30"/>
        <v>2016</v>
      </c>
      <c r="B19" s="19">
        <v>12</v>
      </c>
      <c r="C19" s="18">
        <f t="shared" si="0"/>
        <v>31</v>
      </c>
      <c r="D19" s="18">
        <f t="shared" si="24"/>
        <v>260.01804043381571</v>
      </c>
      <c r="E19" s="18">
        <f>IF(R18&lt;&gt;1,"",IF(O18&gt;0,IF(O18&gt;CONTROL_PANEL!$B$11,CONTROL_PANEL!$B$11,O18),0))</f>
        <v>33400651.01160289</v>
      </c>
      <c r="F19" s="18">
        <f t="shared" si="1"/>
        <v>4005187.9082971984</v>
      </c>
      <c r="G19" s="18">
        <f>IF(R19&lt;&gt;1,"",DATA_INPUT!I19)</f>
        <v>3.2966337393335565E-6</v>
      </c>
      <c r="H19" s="18">
        <f>IF(R19&lt;&gt;1,"",G19*CONTROL_PANEL!$B$5)</f>
        <v>0.31285054186275452</v>
      </c>
      <c r="I19" s="18">
        <f>IF(R19&lt;&gt;1,"",DATA_INPUT!C19)</f>
        <v>64.097920032982003</v>
      </c>
      <c r="J19" s="18">
        <f t="shared" si="2"/>
        <v>256724.21426310026</v>
      </c>
      <c r="K19" s="18">
        <f>IF(R19&lt;&gt;1,"",DATA_INPUT!H19)</f>
        <v>20.564228076377503</v>
      </c>
      <c r="L19" s="18">
        <f t="shared" si="25"/>
        <v>82363.597634972932</v>
      </c>
      <c r="M19" s="18">
        <f>IF(R19&lt;&gt;1,"",H19*CONTROL_PANEL!$B$14)</f>
        <v>2.1899537930392819E-2</v>
      </c>
      <c r="N19" s="18">
        <f>IF(R19&lt;&gt;1,"",DATA_INPUT!K19)</f>
        <v>0</v>
      </c>
      <c r="O19" s="18">
        <f t="shared" si="3"/>
        <v>33575011.919182025</v>
      </c>
      <c r="P19" s="18">
        <f>IF(R19&lt;&gt;1,"",IF(O19-CONTROL_PANEL!$B$11&lt;0,0,O19-CONTROL_PANEL!$B$11))</f>
        <v>0</v>
      </c>
      <c r="Q19" s="18">
        <f>IF(R19&lt;&gt;1,"",IF(N19&lt;=0,0,MIN(N19,MAX(0,CONTROL_PANEL!$B$13-O19))))</f>
        <v>0</v>
      </c>
      <c r="R19" s="18">
        <v>1</v>
      </c>
      <c r="T19" s="19">
        <f t="shared" si="31"/>
        <v>2016</v>
      </c>
      <c r="U19" s="19">
        <v>12</v>
      </c>
      <c r="V19" s="18">
        <f t="shared" si="4"/>
        <v>31</v>
      </c>
      <c r="W19" s="18">
        <f t="shared" si="26"/>
        <v>259.65033231453725</v>
      </c>
      <c r="X19" s="18">
        <f>IF(AK18&lt;&gt;1,"",IF(AH18&gt;0,IF(AH18&gt;CONTROL_PANEL!$B$11,CONTROL_PANEL!$B$11,AH18),0))</f>
        <v>31939990.787824634</v>
      </c>
      <c r="Y19" s="18">
        <f t="shared" si="5"/>
        <v>3887167.5700276489</v>
      </c>
      <c r="Z19" s="18">
        <f>IF(AK19&lt;&gt;1,"",DATA_INPUT!I19)</f>
        <v>3.2966337393335565E-6</v>
      </c>
      <c r="AA19" s="18">
        <f>IF(AK19&lt;&gt;1,"",Z19*CONTROL_PANEL!$B$5)</f>
        <v>0.31285054186275452</v>
      </c>
      <c r="AB19" s="18">
        <f>IF(AK19&lt;&gt;1,"",DATA_INPUT!$C19)</f>
        <v>64.097920032982003</v>
      </c>
      <c r="AC19" s="18">
        <f t="shared" si="6"/>
        <v>249159.35605843322</v>
      </c>
      <c r="AD19" s="18">
        <f>IF(AK19&lt;&gt;1,"",DATA_INPUT!$H19)</f>
        <v>20.564228076377503</v>
      </c>
      <c r="AE19" s="18">
        <f t="shared" si="7"/>
        <v>79936.600481146699</v>
      </c>
      <c r="AF19" s="18">
        <f>IF(AK19&lt;&gt;1,"",AA19*CONTROL_PANEL!$B$14)</f>
        <v>2.1899537930392819E-2</v>
      </c>
      <c r="AG19" s="18">
        <f>IF(AK19&lt;&gt;1,"",DATA_INPUT!$L19)</f>
        <v>0</v>
      </c>
      <c r="AH19" s="18">
        <f t="shared" si="8"/>
        <v>32109213.834352925</v>
      </c>
      <c r="AI19" s="18">
        <f>IF(AK19&lt;&gt;1,"",IF(AH19-CONTROL_PANEL!$B$11&lt;0,0,AH19-CONTROL_PANEL!$B$11))</f>
        <v>0</v>
      </c>
      <c r="AJ19" s="18">
        <f>IF(AK19&lt;&gt;1,"",IF(AG19&lt;=0,0,MIN(AG19,MAX(0,CONTROL_PANEL!$B$13-AH19))))</f>
        <v>0</v>
      </c>
      <c r="AK19" s="18">
        <v>1</v>
      </c>
      <c r="AM19" s="19">
        <f t="shared" si="32"/>
        <v>2016</v>
      </c>
      <c r="AN19" s="19">
        <v>12</v>
      </c>
      <c r="AO19" s="18">
        <f t="shared" si="9"/>
        <v>31</v>
      </c>
      <c r="AP19" s="18">
        <f t="shared" si="27"/>
        <v>259.89257596502847</v>
      </c>
      <c r="AQ19" s="18">
        <f>IF(BD18&lt;&gt;1,"",IF(BA18&gt;0,IF(BA18&gt;CONTROL_PANEL!$B$11,CONTROL_PANEL!$B$11,BA18),0))</f>
        <v>32897350.041450873</v>
      </c>
      <c r="AR19" s="18">
        <f t="shared" si="10"/>
        <v>3964718.2462355313</v>
      </c>
      <c r="AS19" s="18">
        <f>IF(BD19&lt;&gt;1,"",DATA_INPUT!$I19)</f>
        <v>3.2966337393335565E-6</v>
      </c>
      <c r="AT19" s="18">
        <f>IF(BD19&lt;&gt;1,"",AS19*CONTROL_PANEL!$B$5)</f>
        <v>0.31285054186275452</v>
      </c>
      <c r="AU19" s="18">
        <f>IF(BD19&lt;&gt;1,"",DATA_INPUT!$C19)</f>
        <v>64.097920032982003</v>
      </c>
      <c r="AV19" s="18">
        <f t="shared" si="11"/>
        <v>254130.19310050973</v>
      </c>
      <c r="AW19" s="18">
        <f>IF(BD19&lt;&gt;1,"",DATA_INPUT!$H19)</f>
        <v>20.564228076377503</v>
      </c>
      <c r="AX19" s="18">
        <f t="shared" si="12"/>
        <v>81531.370274162895</v>
      </c>
      <c r="AY19" s="18">
        <f>IF(BD19&lt;&gt;1,"",AT19*CONTROL_PANEL!$B$14)</f>
        <v>2.1899537930392819E-2</v>
      </c>
      <c r="AZ19" s="18">
        <f>IF(BD19&lt;&gt;1,"",DATA_INPUT!$M19)</f>
        <v>0</v>
      </c>
      <c r="BA19" s="18">
        <f t="shared" si="13"/>
        <v>33069949.155228224</v>
      </c>
      <c r="BB19" s="18">
        <f>IF(BD19&lt;&gt;1,"",IF(BA19-CONTROL_PANEL!$B$11&lt;0,0,BA19-CONTROL_PANEL!$B$11))</f>
        <v>0</v>
      </c>
      <c r="BC19" s="18">
        <f>IF(BD19&lt;&gt;1,"",IF(AZ19&lt;=0,0,MIN(AZ19,MAX(0,CONTROL_PANEL!$B$13-BA19))))</f>
        <v>0</v>
      </c>
      <c r="BD19" s="18">
        <v>1</v>
      </c>
      <c r="BF19" s="19">
        <f t="shared" si="33"/>
        <v>2016</v>
      </c>
      <c r="BG19" s="19">
        <v>12</v>
      </c>
      <c r="BH19" s="18">
        <f t="shared" si="14"/>
        <v>31</v>
      </c>
      <c r="BI19" s="18">
        <f t="shared" si="28"/>
        <v>260.04626347976193</v>
      </c>
      <c r="BJ19" s="18">
        <f>IF(BW18&lt;&gt;1,"",IF(BT18&gt;0,IF(BT18&gt;CONTROL_PANEL!$B$11,CONTROL_PANEL!$B$11,BT18),0))</f>
        <v>33514572.907930639</v>
      </c>
      <c r="BK19" s="18">
        <f t="shared" si="15"/>
        <v>4014320.0922977626</v>
      </c>
      <c r="BL19" s="18">
        <f>IF(BW19&lt;&gt;1,"",DATA_INPUT!$I19)</f>
        <v>3.2966337393335565E-6</v>
      </c>
      <c r="BM19" s="18">
        <f>IF(BW19&lt;&gt;1,"",BL19*CONTROL_PANEL!$B$5)</f>
        <v>0.31285054186275452</v>
      </c>
      <c r="BN19" s="18">
        <f>IF(BW19&lt;&gt;1,"",DATA_INPUT!$C19)</f>
        <v>64.097920032982003</v>
      </c>
      <c r="BO19" s="18">
        <f t="shared" si="16"/>
        <v>257309.56826289493</v>
      </c>
      <c r="BP19" s="18">
        <f>IF(BW19&lt;&gt;1,"",DATA_INPUT!$H19)</f>
        <v>20.564228076377503</v>
      </c>
      <c r="BQ19" s="18">
        <f t="shared" si="17"/>
        <v>82551.393949595993</v>
      </c>
      <c r="BR19" s="18">
        <f>IF(BW19&lt;&gt;1,"",BM19*CONTROL_PANEL!$B$14)</f>
        <v>2.1899537930392819E-2</v>
      </c>
      <c r="BS19" s="18">
        <f>IF(BW19&lt;&gt;1,"",DATA_INPUT!$N19)</f>
        <v>0</v>
      </c>
      <c r="BT19" s="18">
        <f t="shared" si="18"/>
        <v>33689331.37319494</v>
      </c>
      <c r="BU19" s="18">
        <f>IF(BW19&lt;&gt;1,"",IF(BT19-CONTROL_PANEL!$B$11&lt;0,0,BT19-CONTROL_PANEL!$B$11))</f>
        <v>0</v>
      </c>
      <c r="BV19" s="18">
        <f>IF(BW19&lt;&gt;1,"",IF(BS19&lt;=0,0,MIN(BS19,MAX(0,CONTROL_PANEL!$B$13-BT19))))</f>
        <v>0</v>
      </c>
      <c r="BW19" s="18">
        <v>1</v>
      </c>
      <c r="BY19" s="19">
        <f t="shared" si="34"/>
        <v>2016</v>
      </c>
      <c r="BZ19" s="19">
        <v>12</v>
      </c>
      <c r="CA19" s="18">
        <f t="shared" si="19"/>
        <v>31</v>
      </c>
      <c r="CB19" s="18">
        <f t="shared" si="29"/>
        <v>259.85164302124895</v>
      </c>
      <c r="CC19" s="18">
        <f>IF(CP18&lt;&gt;1,"",IF(CM18&gt;0,IF(CM18&gt;CONTROL_PANEL!$B$11,CONTROL_PANEL!$B$11,CM18),0))</f>
        <v>32734251.711978503</v>
      </c>
      <c r="CD19" s="18">
        <f t="shared" si="20"/>
        <v>3951559.8647529716</v>
      </c>
      <c r="CE19" s="18">
        <f>IF(CP19&lt;&gt;1,"",DATA_INPUT!$I19)</f>
        <v>3.2966337393335565E-6</v>
      </c>
      <c r="CF19" s="18">
        <f>IF(CP19&lt;&gt;1,"",CE19*CONTROL_PANEL!$B$5)</f>
        <v>0.31285054186275452</v>
      </c>
      <c r="CG19" s="18">
        <f>IF(CP19&lt;&gt;1,"",DATA_INPUT!$C19)</f>
        <v>64.097920032982003</v>
      </c>
      <c r="CH19" s="18">
        <f t="shared" si="21"/>
        <v>253286.76821647715</v>
      </c>
      <c r="CI19" s="18">
        <f>IF(CP19&lt;&gt;1,"",DATA_INPUT!$H19)</f>
        <v>20.564228076377503</v>
      </c>
      <c r="CJ19" s="18">
        <f t="shared" si="22"/>
        <v>81260.77831623955</v>
      </c>
      <c r="CK19" s="18">
        <f>IF(CP19&lt;&gt;1,"",CF19*CONTROL_PANEL!$B$14)</f>
        <v>2.1899537930392819E-2</v>
      </c>
      <c r="CL19" s="18">
        <f>IF(CP19&lt;&gt;1,"",DATA_INPUT!$O19)</f>
        <v>0</v>
      </c>
      <c r="CM19" s="18">
        <f t="shared" si="23"/>
        <v>32906277.992829744</v>
      </c>
      <c r="CN19" s="18">
        <f>IF(CP19&lt;&gt;1,"",IF(CM19-CONTROL_PANEL!$B$11&lt;0,0,CM19-CONTROL_PANEL!$B$11))</f>
        <v>0</v>
      </c>
      <c r="CO19" s="18">
        <f>IF(CP19&lt;&gt;1,"",IF(CL19&lt;=0,0,MIN(CL19,MAX(0,CONTROL_PANEL!$B$13-CM19))))</f>
        <v>0</v>
      </c>
      <c r="CP19" s="18">
        <v>1</v>
      </c>
    </row>
    <row r="20" spans="1:94" x14ac:dyDescent="0.25">
      <c r="A20" s="19">
        <f t="shared" si="30"/>
        <v>2017</v>
      </c>
      <c r="B20" s="19">
        <v>1</v>
      </c>
      <c r="C20" s="18">
        <f t="shared" si="0"/>
        <v>31</v>
      </c>
      <c r="D20" s="18">
        <f t="shared" si="24"/>
        <v>260.061210613448</v>
      </c>
      <c r="E20" s="18">
        <f>IF(R19&lt;&gt;1,"",IF(O19&gt;0,IF(O19&gt;CONTROL_PANEL!$B$11,CONTROL_PANEL!$B$11,O19),0))</f>
        <v>33575011.919182025</v>
      </c>
      <c r="F20" s="18">
        <f t="shared" si="1"/>
        <v>4019160.8183323788</v>
      </c>
      <c r="G20" s="18">
        <f>IF(R20&lt;&gt;1,"",DATA_INPUT!I20)</f>
        <v>8.6231951303979232E-2</v>
      </c>
      <c r="H20" s="18">
        <f>IF(R20&lt;&gt;1,"",G20*CONTROL_PANEL!$B$5)</f>
        <v>8183.4121787476288</v>
      </c>
      <c r="I20" s="18">
        <f>IF(R20&lt;&gt;1,"",DATA_INPUT!C20)</f>
        <v>45.218339361574003</v>
      </c>
      <c r="J20" s="18">
        <f t="shared" si="2"/>
        <v>181739.77783209499</v>
      </c>
      <c r="K20" s="18">
        <f>IF(R20&lt;&gt;1,"",DATA_INPUT!H20)</f>
        <v>18.740404996243949</v>
      </c>
      <c r="L20" s="18">
        <f t="shared" si="25"/>
        <v>75320.70148058403</v>
      </c>
      <c r="M20" s="18">
        <f>IF(R20&lt;&gt;1,"",H20*CONTROL_PANEL!$B$14)</f>
        <v>572.83885251233403</v>
      </c>
      <c r="N20" s="18">
        <f>IF(R20&lt;&gt;1,"",DATA_INPUT!K20)</f>
        <v>0</v>
      </c>
      <c r="O20" s="18">
        <f t="shared" si="3"/>
        <v>33689041.568859771</v>
      </c>
      <c r="P20" s="18">
        <f>IF(R20&lt;&gt;1,"",IF(O20-CONTROL_PANEL!$B$11&lt;0,0,O20-CONTROL_PANEL!$B$11))</f>
        <v>0</v>
      </c>
      <c r="Q20" s="18">
        <f>IF(R20&lt;&gt;1,"",IF(N20&lt;=0,0,MIN(N20,MAX(0,CONTROL_PANEL!$B$13-O20))))</f>
        <v>0</v>
      </c>
      <c r="R20" s="18">
        <v>1</v>
      </c>
      <c r="T20" s="19">
        <f t="shared" si="31"/>
        <v>2017</v>
      </c>
      <c r="U20" s="19">
        <v>1</v>
      </c>
      <c r="V20" s="18">
        <f t="shared" si="4"/>
        <v>31</v>
      </c>
      <c r="W20" s="18">
        <f t="shared" si="26"/>
        <v>259.6935013766718</v>
      </c>
      <c r="X20" s="18">
        <f>IF(AK19&lt;&gt;1,"",IF(AH19&gt;0,IF(AH19&gt;CONTROL_PANEL!$B$11,CONTROL_PANEL!$B$11,AH19),0))</f>
        <v>32109213.834352925</v>
      </c>
      <c r="Y20" s="18">
        <f t="shared" si="5"/>
        <v>3900930.8576247753</v>
      </c>
      <c r="Z20" s="18">
        <f>IF(AK20&lt;&gt;1,"",DATA_INPUT!I20)</f>
        <v>8.6231951303979232E-2</v>
      </c>
      <c r="AA20" s="18">
        <f>IF(AK20&lt;&gt;1,"",Z20*CONTROL_PANEL!$B$5)</f>
        <v>8183.4121787476288</v>
      </c>
      <c r="AB20" s="18">
        <f>IF(AK20&lt;&gt;1,"",DATA_INPUT!$C20)</f>
        <v>45.218339361574003</v>
      </c>
      <c r="AC20" s="18">
        <f t="shared" si="6"/>
        <v>176393.61534611299</v>
      </c>
      <c r="AD20" s="18">
        <f>IF(AK20&lt;&gt;1,"",DATA_INPUT!$H20)</f>
        <v>18.740404996243949</v>
      </c>
      <c r="AE20" s="18">
        <f t="shared" si="7"/>
        <v>73105.024134233536</v>
      </c>
      <c r="AF20" s="18">
        <f>IF(AK20&lt;&gt;1,"",AA20*CONTROL_PANEL!$B$14)</f>
        <v>572.83885251233403</v>
      </c>
      <c r="AG20" s="18">
        <f>IF(AK20&lt;&gt;1,"",DATA_INPUT!$L20)</f>
        <v>0</v>
      </c>
      <c r="AH20" s="18">
        <f t="shared" si="8"/>
        <v>32220112.998891037</v>
      </c>
      <c r="AI20" s="18">
        <f>IF(AK20&lt;&gt;1,"",IF(AH20-CONTROL_PANEL!$B$11&lt;0,0,AH20-CONTROL_PANEL!$B$11))</f>
        <v>0</v>
      </c>
      <c r="AJ20" s="18">
        <f>IF(AK20&lt;&gt;1,"",IF(AG20&lt;=0,0,MIN(AG20,MAX(0,CONTROL_PANEL!$B$13-AH20))))</f>
        <v>0</v>
      </c>
      <c r="AK20" s="18">
        <v>1</v>
      </c>
      <c r="AM20" s="19">
        <f t="shared" si="32"/>
        <v>2017</v>
      </c>
      <c r="AN20" s="19">
        <v>1</v>
      </c>
      <c r="AO20" s="18">
        <f t="shared" si="9"/>
        <v>31</v>
      </c>
      <c r="AP20" s="18">
        <f t="shared" si="27"/>
        <v>259.93574576705925</v>
      </c>
      <c r="AQ20" s="18">
        <f>IF(BD19&lt;&gt;1,"",IF(BA19&gt;0,IF(BA19&gt;CONTROL_PANEL!$B$11,CONTROL_PANEL!$B$11,BA19),0))</f>
        <v>33069949.155228224</v>
      </c>
      <c r="AR20" s="18">
        <f t="shared" si="10"/>
        <v>3978619.6247133352</v>
      </c>
      <c r="AS20" s="18">
        <f>IF(BD20&lt;&gt;1,"",DATA_INPUT!$I20)</f>
        <v>8.6231951303979232E-2</v>
      </c>
      <c r="AT20" s="18">
        <f>IF(BD20&lt;&gt;1,"",AS20*CONTROL_PANEL!$B$5)</f>
        <v>8183.4121787476288</v>
      </c>
      <c r="AU20" s="18">
        <f>IF(BD20&lt;&gt;1,"",DATA_INPUT!$C20)</f>
        <v>45.218339361574003</v>
      </c>
      <c r="AV20" s="18">
        <f t="shared" si="11"/>
        <v>179906.5723809058</v>
      </c>
      <c r="AW20" s="18">
        <f>IF(BD20&lt;&gt;1,"",DATA_INPUT!$H20)</f>
        <v>18.740404996243949</v>
      </c>
      <c r="AX20" s="18">
        <f t="shared" si="12"/>
        <v>74560.943093132024</v>
      </c>
      <c r="AY20" s="18">
        <f>IF(BD20&lt;&gt;1,"",AT20*CONTROL_PANEL!$B$14)</f>
        <v>572.83885251233403</v>
      </c>
      <c r="AZ20" s="18">
        <f>IF(BD20&lt;&gt;1,"",DATA_INPUT!$M20)</f>
        <v>0</v>
      </c>
      <c r="BA20" s="18">
        <f t="shared" si="13"/>
        <v>33182905.357842229</v>
      </c>
      <c r="BB20" s="18">
        <f>IF(BD20&lt;&gt;1,"",IF(BA20-CONTROL_PANEL!$B$11&lt;0,0,BA20-CONTROL_PANEL!$B$11))</f>
        <v>0</v>
      </c>
      <c r="BC20" s="18">
        <f>IF(BD20&lt;&gt;1,"",IF(AZ20&lt;=0,0,MIN(AZ20,MAX(0,CONTROL_PANEL!$B$13-BA20))))</f>
        <v>0</v>
      </c>
      <c r="BD20" s="18">
        <v>1</v>
      </c>
      <c r="BF20" s="19">
        <f t="shared" si="33"/>
        <v>2017</v>
      </c>
      <c r="BG20" s="19">
        <v>1</v>
      </c>
      <c r="BH20" s="18">
        <f t="shared" si="14"/>
        <v>31</v>
      </c>
      <c r="BI20" s="18">
        <f t="shared" si="28"/>
        <v>260.08943374381602</v>
      </c>
      <c r="BJ20" s="18">
        <f>IF(BW19&lt;&gt;1,"",IF(BT19&gt;0,IF(BT19&gt;CONTROL_PANEL!$B$11,CONTROL_PANEL!$B$11,BT19),0))</f>
        <v>33689331.37319494</v>
      </c>
      <c r="BK20" s="18">
        <f t="shared" si="15"/>
        <v>4028309.0942415614</v>
      </c>
      <c r="BL20" s="18">
        <f>IF(BW20&lt;&gt;1,"",DATA_INPUT!$I20)</f>
        <v>8.6231951303979232E-2</v>
      </c>
      <c r="BM20" s="18">
        <f>IF(BW20&lt;&gt;1,"",BL20*CONTROL_PANEL!$B$5)</f>
        <v>8183.4121787476288</v>
      </c>
      <c r="BN20" s="18">
        <f>IF(BW20&lt;&gt;1,"",DATA_INPUT!$C20)</f>
        <v>45.218339361574003</v>
      </c>
      <c r="BO20" s="18">
        <f t="shared" si="16"/>
        <v>182153.4476767297</v>
      </c>
      <c r="BP20" s="18">
        <f>IF(BW20&lt;&gt;1,"",DATA_INPUT!$H20)</f>
        <v>18.740404996243949</v>
      </c>
      <c r="BQ20" s="18">
        <f t="shared" si="17"/>
        <v>75492.143876139497</v>
      </c>
      <c r="BR20" s="18">
        <f>IF(BW20&lt;&gt;1,"",BM20*CONTROL_PANEL!$B$14)</f>
        <v>572.83885251233403</v>
      </c>
      <c r="BS20" s="18">
        <f>IF(BW20&lt;&gt;1,"",DATA_INPUT!$N20)</f>
        <v>0</v>
      </c>
      <c r="BT20" s="18">
        <f t="shared" si="18"/>
        <v>33803603.250321768</v>
      </c>
      <c r="BU20" s="18">
        <f>IF(BW20&lt;&gt;1,"",IF(BT20-CONTROL_PANEL!$B$11&lt;0,0,BT20-CONTROL_PANEL!$B$11))</f>
        <v>0</v>
      </c>
      <c r="BV20" s="18">
        <f>IF(BW20&lt;&gt;1,"",IF(BS20&lt;=0,0,MIN(BS20,MAX(0,CONTROL_PANEL!$B$13-BT20))))</f>
        <v>0</v>
      </c>
      <c r="BW20" s="18">
        <v>1</v>
      </c>
      <c r="BY20" s="19">
        <f t="shared" si="34"/>
        <v>2017</v>
      </c>
      <c r="BZ20" s="19">
        <v>1</v>
      </c>
      <c r="CA20" s="18">
        <f t="shared" si="19"/>
        <v>31</v>
      </c>
      <c r="CB20" s="18">
        <f t="shared" si="29"/>
        <v>259.89481269926512</v>
      </c>
      <c r="CC20" s="18">
        <f>IF(CP19&lt;&gt;1,"",IF(CM19&gt;0,IF(CM19&gt;CONTROL_PANEL!$B$11,CONTROL_PANEL!$B$11,CM19),0))</f>
        <v>32906277.992829744</v>
      </c>
      <c r="CD20" s="18">
        <f t="shared" si="20"/>
        <v>3965437.9075285723</v>
      </c>
      <c r="CE20" s="18">
        <f>IF(CP20&lt;&gt;1,"",DATA_INPUT!$I20)</f>
        <v>8.6231951303979232E-2</v>
      </c>
      <c r="CF20" s="18">
        <f>IF(CP20&lt;&gt;1,"",CE20*CONTROL_PANEL!$B$5)</f>
        <v>8183.4121787476288</v>
      </c>
      <c r="CG20" s="18">
        <f>IF(CP20&lt;&gt;1,"",DATA_INPUT!$C20)</f>
        <v>45.218339361574003</v>
      </c>
      <c r="CH20" s="18">
        <f t="shared" si="21"/>
        <v>179310.51701987689</v>
      </c>
      <c r="CI20" s="18">
        <f>IF(CP20&lt;&gt;1,"",DATA_INPUT!$H20)</f>
        <v>18.740404996243949</v>
      </c>
      <c r="CJ20" s="18">
        <f t="shared" si="22"/>
        <v>74313.912374543608</v>
      </c>
      <c r="CK20" s="18">
        <f>IF(CP20&lt;&gt;1,"",CF20*CONTROL_PANEL!$B$14)</f>
        <v>572.83885251233403</v>
      </c>
      <c r="CL20" s="18">
        <f>IF(CP20&lt;&gt;1,"",DATA_INPUT!$O20)</f>
        <v>0</v>
      </c>
      <c r="CM20" s="18">
        <f t="shared" si="23"/>
        <v>33018885.170801312</v>
      </c>
      <c r="CN20" s="18">
        <f>IF(CP20&lt;&gt;1,"",IF(CM20-CONTROL_PANEL!$B$11&lt;0,0,CM20-CONTROL_PANEL!$B$11))</f>
        <v>0</v>
      </c>
      <c r="CO20" s="18">
        <f>IF(CP20&lt;&gt;1,"",IF(CL20&lt;=0,0,MIN(CL20,MAX(0,CONTROL_PANEL!$B$13-CM20))))</f>
        <v>0</v>
      </c>
      <c r="CP20" s="18">
        <v>1</v>
      </c>
    </row>
    <row r="21" spans="1:94" x14ac:dyDescent="0.25">
      <c r="A21" s="19">
        <f t="shared" si="30"/>
        <v>2017</v>
      </c>
      <c r="B21" s="19">
        <v>2</v>
      </c>
      <c r="C21" s="18">
        <f t="shared" si="0"/>
        <v>28</v>
      </c>
      <c r="D21" s="18">
        <f t="shared" si="24"/>
        <v>260.08936227811597</v>
      </c>
      <c r="E21" s="18">
        <f>IF(R20&lt;&gt;1,"",IF(O20&gt;0,IF(O20&gt;CONTROL_PANEL!$B$11,CONTROL_PANEL!$B$11,O20),0))</f>
        <v>33689041.568859771</v>
      </c>
      <c r="F21" s="18">
        <f t="shared" si="1"/>
        <v>4028285.9160089022</v>
      </c>
      <c r="G21" s="18">
        <f>IF(R21&lt;&gt;1,"",DATA_INPUT!I21)</f>
        <v>3.71725265251892</v>
      </c>
      <c r="H21" s="18">
        <f>IF(R21&lt;&gt;1,"",G21*CONTROL_PANEL!$B$5)</f>
        <v>352767.27672404551</v>
      </c>
      <c r="I21" s="18">
        <f>IF(R21&lt;&gt;1,"",DATA_INPUT!C21)</f>
        <v>57.644633092363996</v>
      </c>
      <c r="J21" s="18">
        <f t="shared" si="2"/>
        <v>232209.06361947057</v>
      </c>
      <c r="K21" s="18">
        <f>IF(R21&lt;&gt;1,"",DATA_INPUT!H21)</f>
        <v>24.111578634296375</v>
      </c>
      <c r="L21" s="18">
        <f t="shared" si="25"/>
        <v>97128.332625277253</v>
      </c>
      <c r="M21" s="18">
        <f>IF(R21&lt;&gt;1,"",H21*CONTROL_PANEL!$B$14)</f>
        <v>24693.709370683187</v>
      </c>
      <c r="N21" s="18">
        <f>IF(R21&lt;&gt;1,"",DATA_INPUT!K21)</f>
        <v>0</v>
      </c>
      <c r="O21" s="18">
        <f t="shared" si="3"/>
        <v>34152195.867207333</v>
      </c>
      <c r="P21" s="18">
        <f>IF(R21&lt;&gt;1,"",IF(O21-CONTROL_PANEL!$B$11&lt;0,0,O21-CONTROL_PANEL!$B$11))</f>
        <v>0</v>
      </c>
      <c r="Q21" s="18">
        <f>IF(R21&lt;&gt;1,"",IF(N21&lt;=0,0,MIN(N21,MAX(0,CONTROL_PANEL!$B$13-O21))))</f>
        <v>0</v>
      </c>
      <c r="R21" s="18">
        <v>1</v>
      </c>
      <c r="T21" s="19">
        <f t="shared" si="31"/>
        <v>2017</v>
      </c>
      <c r="U21" s="19">
        <v>2</v>
      </c>
      <c r="V21" s="18">
        <f t="shared" si="4"/>
        <v>28</v>
      </c>
      <c r="W21" s="18">
        <f t="shared" si="26"/>
        <v>259.72170944586424</v>
      </c>
      <c r="X21" s="18">
        <f>IF(AK20&lt;&gt;1,"",IF(AH20&gt;0,IF(AH20&gt;CONTROL_PANEL!$B$11,CONTROL_PANEL!$B$11,AH20),0))</f>
        <v>32220112.998891037</v>
      </c>
      <c r="Y21" s="18">
        <f t="shared" si="5"/>
        <v>3909937.5068840128</v>
      </c>
      <c r="Z21" s="18">
        <f>IF(AK21&lt;&gt;1,"",DATA_INPUT!I21)</f>
        <v>3.71725265251892</v>
      </c>
      <c r="AA21" s="18">
        <f>IF(AK21&lt;&gt;1,"",Z21*CONTROL_PANEL!$B$5)</f>
        <v>352767.27672404551</v>
      </c>
      <c r="AB21" s="18">
        <f>IF(AK21&lt;&gt;1,"",DATA_INPUT!$C21)</f>
        <v>57.644633092363996</v>
      </c>
      <c r="AC21" s="18">
        <f t="shared" si="6"/>
        <v>225386.91299840136</v>
      </c>
      <c r="AD21" s="18">
        <f>IF(AK21&lt;&gt;1,"",DATA_INPUT!$H21)</f>
        <v>24.111578634296375</v>
      </c>
      <c r="AE21" s="18">
        <f t="shared" si="7"/>
        <v>94274.765652418602</v>
      </c>
      <c r="AF21" s="18">
        <f>IF(AK21&lt;&gt;1,"",AA21*CONTROL_PANEL!$B$14)</f>
        <v>24693.709370683187</v>
      </c>
      <c r="AG21" s="18">
        <f>IF(AK21&lt;&gt;1,"",DATA_INPUT!$L21)</f>
        <v>0</v>
      </c>
      <c r="AH21" s="18">
        <f t="shared" si="8"/>
        <v>32679298.71359038</v>
      </c>
      <c r="AI21" s="18">
        <f>IF(AK21&lt;&gt;1,"",IF(AH21-CONTROL_PANEL!$B$11&lt;0,0,AH21-CONTROL_PANEL!$B$11))</f>
        <v>0</v>
      </c>
      <c r="AJ21" s="18">
        <f>IF(AK21&lt;&gt;1,"",IF(AG21&lt;=0,0,MIN(AG21,MAX(0,CONTROL_PANEL!$B$13-AH21))))</f>
        <v>0</v>
      </c>
      <c r="AK21" s="18">
        <v>1</v>
      </c>
      <c r="AM21" s="19">
        <f t="shared" si="32"/>
        <v>2017</v>
      </c>
      <c r="AN21" s="19">
        <v>2</v>
      </c>
      <c r="AO21" s="18">
        <f t="shared" si="9"/>
        <v>28</v>
      </c>
      <c r="AP21" s="18">
        <f t="shared" si="27"/>
        <v>259.96391639489138</v>
      </c>
      <c r="AQ21" s="18">
        <f>IF(BD20&lt;&gt;1,"",IF(BA20&gt;0,IF(BA20&gt;CONTROL_PANEL!$B$11,CONTROL_PANEL!$B$11,BA20),0))</f>
        <v>33182905.357842229</v>
      </c>
      <c r="AR21" s="18">
        <f t="shared" si="10"/>
        <v>3987704.2727918359</v>
      </c>
      <c r="AS21" s="18">
        <f>IF(BD21&lt;&gt;1,"",DATA_INPUT!$I21)</f>
        <v>3.71725265251892</v>
      </c>
      <c r="AT21" s="18">
        <f>IF(BD21&lt;&gt;1,"",AS21*CONTROL_PANEL!$B$5)</f>
        <v>352767.27672404551</v>
      </c>
      <c r="AU21" s="18">
        <f>IF(BD21&lt;&gt;1,"",DATA_INPUT!$C21)</f>
        <v>57.644633092363996</v>
      </c>
      <c r="AV21" s="18">
        <f t="shared" si="11"/>
        <v>229869.7496859376</v>
      </c>
      <c r="AW21" s="18">
        <f>IF(BD21&lt;&gt;1,"",DATA_INPUT!$H21)</f>
        <v>24.111578634296375</v>
      </c>
      <c r="AX21" s="18">
        <f t="shared" si="12"/>
        <v>96149.845143739993</v>
      </c>
      <c r="AY21" s="18">
        <f>IF(BD21&lt;&gt;1,"",AT21*CONTROL_PANEL!$B$14)</f>
        <v>24693.709370683187</v>
      </c>
      <c r="AZ21" s="18">
        <f>IF(BD21&lt;&gt;1,"",DATA_INPUT!$M21)</f>
        <v>0</v>
      </c>
      <c r="BA21" s="18">
        <f t="shared" si="13"/>
        <v>33644698.82973779</v>
      </c>
      <c r="BB21" s="18">
        <f>IF(BD21&lt;&gt;1,"",IF(BA21-CONTROL_PANEL!$B$11&lt;0,0,BA21-CONTROL_PANEL!$B$11))</f>
        <v>0</v>
      </c>
      <c r="BC21" s="18">
        <f>IF(BD21&lt;&gt;1,"",IF(AZ21&lt;=0,0,MIN(AZ21,MAX(0,CONTROL_PANEL!$B$13-BA21))))</f>
        <v>0</v>
      </c>
      <c r="BD21" s="18">
        <v>1</v>
      </c>
      <c r="BF21" s="19">
        <f t="shared" si="33"/>
        <v>2017</v>
      </c>
      <c r="BG21" s="19">
        <v>2</v>
      </c>
      <c r="BH21" s="18">
        <f t="shared" si="14"/>
        <v>28</v>
      </c>
      <c r="BI21" s="18">
        <f t="shared" si="28"/>
        <v>260.11758118220558</v>
      </c>
      <c r="BJ21" s="18">
        <f>IF(BW20&lt;&gt;1,"",IF(BT20&gt;0,IF(BT20&gt;CONTROL_PANEL!$B$11,CONTROL_PANEL!$B$11,BT20),0))</f>
        <v>33803603.250321768</v>
      </c>
      <c r="BK21" s="18">
        <f t="shared" si="15"/>
        <v>4037443.2958062436</v>
      </c>
      <c r="BL21" s="18">
        <f>IF(BW21&lt;&gt;1,"",DATA_INPUT!$I21)</f>
        <v>3.71725265251892</v>
      </c>
      <c r="BM21" s="18">
        <f>IF(BW21&lt;&gt;1,"",BL21*CONTROL_PANEL!$B$5)</f>
        <v>352767.27672404551</v>
      </c>
      <c r="BN21" s="18">
        <f>IF(BW21&lt;&gt;1,"",DATA_INPUT!$C21)</f>
        <v>57.644633092363996</v>
      </c>
      <c r="BO21" s="18">
        <f t="shared" si="16"/>
        <v>232736.93741797574</v>
      </c>
      <c r="BP21" s="18">
        <f>IF(BW21&lt;&gt;1,"",DATA_INPUT!$H21)</f>
        <v>24.111578634296375</v>
      </c>
      <c r="BQ21" s="18">
        <f t="shared" si="17"/>
        <v>97349.131508344959</v>
      </c>
      <c r="BR21" s="18">
        <f>IF(BW21&lt;&gt;1,"",BM21*CONTROL_PANEL!$B$14)</f>
        <v>24693.709370683187</v>
      </c>
      <c r="BS21" s="18">
        <f>IF(BW21&lt;&gt;1,"",DATA_INPUT!$N21)</f>
        <v>0</v>
      </c>
      <c r="BT21" s="18">
        <f t="shared" si="18"/>
        <v>34267064.623584762</v>
      </c>
      <c r="BU21" s="18">
        <f>IF(BW21&lt;&gt;1,"",IF(BT21-CONTROL_PANEL!$B$11&lt;0,0,BT21-CONTROL_PANEL!$B$11))</f>
        <v>0</v>
      </c>
      <c r="BV21" s="18">
        <f>IF(BW21&lt;&gt;1,"",IF(BS21&lt;=0,0,MIN(BS21,MAX(0,CONTROL_PANEL!$B$13-BT21))))</f>
        <v>0</v>
      </c>
      <c r="BW21" s="18">
        <v>1</v>
      </c>
      <c r="BY21" s="19">
        <f t="shared" si="34"/>
        <v>2017</v>
      </c>
      <c r="BZ21" s="19">
        <v>2</v>
      </c>
      <c r="CA21" s="18">
        <f t="shared" si="19"/>
        <v>28</v>
      </c>
      <c r="CB21" s="18">
        <f t="shared" si="29"/>
        <v>259.92298957646278</v>
      </c>
      <c r="CC21" s="18">
        <f>IF(CP20&lt;&gt;1,"",IF(CM20&gt;0,IF(CM20&gt;CONTROL_PANEL!$B$11,CONTROL_PANEL!$B$11,CM20),0))</f>
        <v>33018885.170801312</v>
      </c>
      <c r="CD21" s="18">
        <f t="shared" si="20"/>
        <v>3974509.3664827761</v>
      </c>
      <c r="CE21" s="18">
        <f>IF(CP21&lt;&gt;1,"",DATA_INPUT!$I21)</f>
        <v>3.71725265251892</v>
      </c>
      <c r="CF21" s="18">
        <f>IF(CP21&lt;&gt;1,"",CE21*CONTROL_PANEL!$B$5)</f>
        <v>352767.27672404551</v>
      </c>
      <c r="CG21" s="18">
        <f>IF(CP21&lt;&gt;1,"",DATA_INPUT!$C21)</f>
        <v>57.644633092363996</v>
      </c>
      <c r="CH21" s="18">
        <f t="shared" si="21"/>
        <v>229109.13415306367</v>
      </c>
      <c r="CI21" s="18">
        <f>IF(CP21&lt;&gt;1,"",DATA_INPUT!$H21)</f>
        <v>24.111578634296375</v>
      </c>
      <c r="CJ21" s="18">
        <f t="shared" si="22"/>
        <v>95831.695122696925</v>
      </c>
      <c r="CK21" s="18">
        <f>IF(CP21&lt;&gt;1,"",CF21*CONTROL_PANEL!$B$14)</f>
        <v>24693.709370683187</v>
      </c>
      <c r="CL21" s="18">
        <f>IF(CP21&lt;&gt;1,"",DATA_INPUT!$O21)</f>
        <v>0</v>
      </c>
      <c r="CM21" s="18">
        <f t="shared" si="23"/>
        <v>33480236.17718504</v>
      </c>
      <c r="CN21" s="18">
        <f>IF(CP21&lt;&gt;1,"",IF(CM21-CONTROL_PANEL!$B$11&lt;0,0,CM21-CONTROL_PANEL!$B$11))</f>
        <v>0</v>
      </c>
      <c r="CO21" s="18">
        <f>IF(CP21&lt;&gt;1,"",IF(CL21&lt;=0,0,MIN(CL21,MAX(0,CONTROL_PANEL!$B$13-CM21))))</f>
        <v>0</v>
      </c>
      <c r="CP21" s="18">
        <v>1</v>
      </c>
    </row>
    <row r="22" spans="1:94" x14ac:dyDescent="0.25">
      <c r="A22" s="19">
        <f t="shared" si="30"/>
        <v>2017</v>
      </c>
      <c r="B22" s="19">
        <v>3</v>
      </c>
      <c r="C22" s="18">
        <f t="shared" si="0"/>
        <v>31</v>
      </c>
      <c r="D22" s="18">
        <f t="shared" si="24"/>
        <v>260.20305522274276</v>
      </c>
      <c r="E22" s="18">
        <f>IF(R21&lt;&gt;1,"",IF(O21&gt;0,IF(O21&gt;CONTROL_PANEL!$B$11,CONTROL_PANEL!$B$11,O21),0))</f>
        <v>34152195.867207333</v>
      </c>
      <c r="F22" s="18">
        <f t="shared" si="1"/>
        <v>4065244.7370415418</v>
      </c>
      <c r="G22" s="18">
        <f>IF(R22&lt;&gt;1,"",DATA_INPUT!I22)</f>
        <v>1.7023755685226245</v>
      </c>
      <c r="H22" s="18">
        <f>IF(R22&lt;&gt;1,"",G22*CONTROL_PANEL!$B$5)</f>
        <v>161555.44145279707</v>
      </c>
      <c r="I22" s="18">
        <f>IF(R22&lt;&gt;1,"",DATA_INPUT!C22)</f>
        <v>78.925722735435329</v>
      </c>
      <c r="J22" s="18">
        <f t="shared" si="2"/>
        <v>320852.37896742846</v>
      </c>
      <c r="K22" s="18">
        <f>IF(R22&lt;&gt;1,"",DATA_INPUT!H22)</f>
        <v>43.426607631962362</v>
      </c>
      <c r="L22" s="18">
        <f t="shared" si="25"/>
        <v>176539.78812340304</v>
      </c>
      <c r="M22" s="18">
        <f>IF(R22&lt;&gt;1,"",H22*CONTROL_PANEL!$B$14)</f>
        <v>11308.880901695795</v>
      </c>
      <c r="N22" s="18">
        <f>IF(R22&lt;&gt;1,"",DATA_INPUT!K22)</f>
        <v>0</v>
      </c>
      <c r="O22" s="18">
        <f t="shared" si="3"/>
        <v>34446755.018602453</v>
      </c>
      <c r="P22" s="18">
        <f>IF(R22&lt;&gt;1,"",IF(O22-CONTROL_PANEL!$B$11&lt;0,0,O22-CONTROL_PANEL!$B$11))</f>
        <v>0</v>
      </c>
      <c r="Q22" s="18">
        <f>IF(R22&lt;&gt;1,"",IF(N22&lt;=0,0,MIN(N22,MAX(0,CONTROL_PANEL!$B$13-O22))))</f>
        <v>0</v>
      </c>
      <c r="R22" s="18">
        <v>1</v>
      </c>
      <c r="T22" s="19">
        <f t="shared" si="31"/>
        <v>2017</v>
      </c>
      <c r="U22" s="19">
        <v>3</v>
      </c>
      <c r="V22" s="18">
        <f t="shared" si="4"/>
        <v>31</v>
      </c>
      <c r="W22" s="18">
        <f t="shared" si="26"/>
        <v>259.83782069531634</v>
      </c>
      <c r="X22" s="18">
        <f>IF(AK21&lt;&gt;1,"",IF(AH21&gt;0,IF(AH21&gt;CONTROL_PANEL!$B$11,CONTROL_PANEL!$B$11,AH21),0))</f>
        <v>32679298.71359038</v>
      </c>
      <c r="Y22" s="18">
        <f t="shared" si="5"/>
        <v>3947121.5024616858</v>
      </c>
      <c r="Z22" s="18">
        <f>IF(AK22&lt;&gt;1,"",DATA_INPUT!I22)</f>
        <v>1.7023755685226245</v>
      </c>
      <c r="AA22" s="18">
        <f>IF(AK22&lt;&gt;1,"",Z22*CONTROL_PANEL!$B$5)</f>
        <v>161555.44145279707</v>
      </c>
      <c r="AB22" s="18">
        <f>IF(AK22&lt;&gt;1,"",DATA_INPUT!$C22)</f>
        <v>78.925722735435329</v>
      </c>
      <c r="AC22" s="18">
        <f t="shared" si="6"/>
        <v>311529.41730636591</v>
      </c>
      <c r="AD22" s="18">
        <f>IF(AK22&lt;&gt;1,"",DATA_INPUT!$H22)</f>
        <v>43.426607631962362</v>
      </c>
      <c r="AE22" s="18">
        <f t="shared" si="7"/>
        <v>171410.0967630854</v>
      </c>
      <c r="AF22" s="18">
        <f>IF(AK22&lt;&gt;1,"",AA22*CONTROL_PANEL!$B$14)</f>
        <v>11308.880901695795</v>
      </c>
      <c r="AG22" s="18">
        <f>IF(AK22&lt;&gt;1,"",DATA_INPUT!$L22)</f>
        <v>0</v>
      </c>
      <c r="AH22" s="18">
        <f t="shared" si="8"/>
        <v>32969664.594684765</v>
      </c>
      <c r="AI22" s="18">
        <f>IF(AK22&lt;&gt;1,"",IF(AH22-CONTROL_PANEL!$B$11&lt;0,0,AH22-CONTROL_PANEL!$B$11))</f>
        <v>0</v>
      </c>
      <c r="AJ22" s="18">
        <f>IF(AK22&lt;&gt;1,"",IF(AG22&lt;=0,0,MIN(AG22,MAX(0,CONTROL_PANEL!$B$13-AH22))))</f>
        <v>0</v>
      </c>
      <c r="AK22" s="18">
        <v>1</v>
      </c>
      <c r="AM22" s="19">
        <f t="shared" si="32"/>
        <v>2017</v>
      </c>
      <c r="AN22" s="19">
        <v>3</v>
      </c>
      <c r="AO22" s="18">
        <f t="shared" si="9"/>
        <v>31</v>
      </c>
      <c r="AP22" s="18">
        <f t="shared" si="27"/>
        <v>260.07842251761895</v>
      </c>
      <c r="AQ22" s="18">
        <f>IF(BD21&lt;&gt;1,"",IF(BA21&gt;0,IF(BA21&gt;CONTROL_PANEL!$B$11,CONTROL_PANEL!$B$11,BA21),0))</f>
        <v>33644698.82973779</v>
      </c>
      <c r="AR22" s="18">
        <f t="shared" si="10"/>
        <v>4024738.654048197</v>
      </c>
      <c r="AS22" s="18">
        <f>IF(BD22&lt;&gt;1,"",DATA_INPUT!$I22)</f>
        <v>1.7023755685226245</v>
      </c>
      <c r="AT22" s="18">
        <f>IF(BD22&lt;&gt;1,"",AS22*CONTROL_PANEL!$B$5)</f>
        <v>161555.44145279707</v>
      </c>
      <c r="AU22" s="18">
        <f>IF(BD22&lt;&gt;1,"",DATA_INPUT!$C22)</f>
        <v>78.925722735435329</v>
      </c>
      <c r="AV22" s="18">
        <f t="shared" si="11"/>
        <v>317655.40709199716</v>
      </c>
      <c r="AW22" s="18">
        <f>IF(BD22&lt;&gt;1,"",DATA_INPUT!$H22)</f>
        <v>43.426607631962362</v>
      </c>
      <c r="AX22" s="18">
        <f t="shared" si="12"/>
        <v>174780.74635054334</v>
      </c>
      <c r="AY22" s="18">
        <f>IF(BD22&lt;&gt;1,"",AT22*CONTROL_PANEL!$B$14)</f>
        <v>11308.880901695795</v>
      </c>
      <c r="AZ22" s="18">
        <f>IF(BD22&lt;&gt;1,"",DATA_INPUT!$M22)</f>
        <v>0</v>
      </c>
      <c r="BA22" s="18">
        <f t="shared" si="13"/>
        <v>33937820.051030345</v>
      </c>
      <c r="BB22" s="18">
        <f>IF(BD22&lt;&gt;1,"",IF(BA22-CONTROL_PANEL!$B$11&lt;0,0,BA22-CONTROL_PANEL!$B$11))</f>
        <v>0</v>
      </c>
      <c r="BC22" s="18">
        <f>IF(BD22&lt;&gt;1,"",IF(AZ22&lt;=0,0,MIN(AZ22,MAX(0,CONTROL_PANEL!$B$13-BA22))))</f>
        <v>0</v>
      </c>
      <c r="BD22" s="18">
        <v>1</v>
      </c>
      <c r="BF22" s="19">
        <f t="shared" si="33"/>
        <v>2017</v>
      </c>
      <c r="BG22" s="19">
        <v>3</v>
      </c>
      <c r="BH22" s="18">
        <f t="shared" si="14"/>
        <v>31</v>
      </c>
      <c r="BI22" s="18">
        <f t="shared" si="28"/>
        <v>260.23109287552603</v>
      </c>
      <c r="BJ22" s="18">
        <f>IF(BW21&lt;&gt;1,"",IF(BT21&gt;0,IF(BT21&gt;CONTROL_PANEL!$B$11,CONTROL_PANEL!$B$11,BT21),0))</f>
        <v>34267064.623584762</v>
      </c>
      <c r="BK22" s="18">
        <f t="shared" si="15"/>
        <v>4074385.2982472633</v>
      </c>
      <c r="BL22" s="18">
        <f>IF(BW22&lt;&gt;1,"",DATA_INPUT!$I22)</f>
        <v>1.7023755685226245</v>
      </c>
      <c r="BM22" s="18">
        <f>IF(BW22&lt;&gt;1,"",BL22*CONTROL_PANEL!$B$5)</f>
        <v>161555.44145279707</v>
      </c>
      <c r="BN22" s="18">
        <f>IF(BW22&lt;&gt;1,"",DATA_INPUT!$C22)</f>
        <v>78.925722735435329</v>
      </c>
      <c r="BO22" s="18">
        <f t="shared" si="16"/>
        <v>321573.8043667975</v>
      </c>
      <c r="BP22" s="18">
        <f>IF(BW22&lt;&gt;1,"",DATA_INPUT!$H22)</f>
        <v>43.426607631962362</v>
      </c>
      <c r="BQ22" s="18">
        <f t="shared" si="17"/>
        <v>176936.73168841985</v>
      </c>
      <c r="BR22" s="18">
        <f>IF(BW22&lt;&gt;1,"",BM22*CONTROL_PANEL!$B$14)</f>
        <v>11308.880901695795</v>
      </c>
      <c r="BS22" s="18">
        <f>IF(BW22&lt;&gt;1,"",DATA_INPUT!$N22)</f>
        <v>0</v>
      </c>
      <c r="BT22" s="18">
        <f t="shared" si="18"/>
        <v>34561948.256814234</v>
      </c>
      <c r="BU22" s="18">
        <f>IF(BW22&lt;&gt;1,"",IF(BT22-CONTROL_PANEL!$B$11&lt;0,0,BT22-CONTROL_PANEL!$B$11))</f>
        <v>0</v>
      </c>
      <c r="BV22" s="18">
        <f>IF(BW22&lt;&gt;1,"",IF(BS22&lt;=0,0,MIN(BS22,MAX(0,CONTROL_PANEL!$B$13-BT22))))</f>
        <v>0</v>
      </c>
      <c r="BW22" s="18">
        <v>1</v>
      </c>
      <c r="BY22" s="19">
        <f t="shared" si="34"/>
        <v>2017</v>
      </c>
      <c r="BZ22" s="19">
        <v>3</v>
      </c>
      <c r="CA22" s="18">
        <f t="shared" si="19"/>
        <v>31</v>
      </c>
      <c r="CB22" s="18">
        <f t="shared" si="29"/>
        <v>260.0377636520638</v>
      </c>
      <c r="CC22" s="18">
        <f>IF(CP21&lt;&gt;1,"",IF(CM21&gt;0,IF(CM21&gt;CONTROL_PANEL!$B$11,CONTROL_PANEL!$B$11,CM21),0))</f>
        <v>33480236.17718504</v>
      </c>
      <c r="CD22" s="18">
        <f t="shared" si="20"/>
        <v>4011568.6819048584</v>
      </c>
      <c r="CE22" s="18">
        <f>IF(CP22&lt;&gt;1,"",DATA_INPUT!$I22)</f>
        <v>1.7023755685226245</v>
      </c>
      <c r="CF22" s="18">
        <f>IF(CP22&lt;&gt;1,"",CE22*CONTROL_PANEL!$B$5)</f>
        <v>161555.44145279707</v>
      </c>
      <c r="CG22" s="18">
        <f>IF(CP22&lt;&gt;1,"",DATA_INPUT!$C22)</f>
        <v>78.925722735435329</v>
      </c>
      <c r="CH22" s="18">
        <f t="shared" si="21"/>
        <v>316615.95752217865</v>
      </c>
      <c r="CI22" s="18">
        <f>IF(CP22&lt;&gt;1,"",DATA_INPUT!$H22)</f>
        <v>43.426607631962362</v>
      </c>
      <c r="CJ22" s="18">
        <f t="shared" si="22"/>
        <v>174208.81913775072</v>
      </c>
      <c r="CK22" s="18">
        <f>IF(CP22&lt;&gt;1,"",CF22*CONTROL_PANEL!$B$14)</f>
        <v>11308.880901695795</v>
      </c>
      <c r="CL22" s="18">
        <f>IF(CP22&lt;&gt;1,"",DATA_INPUT!$O22)</f>
        <v>0</v>
      </c>
      <c r="CM22" s="18">
        <f t="shared" si="23"/>
        <v>33772889.876120567</v>
      </c>
      <c r="CN22" s="18">
        <f>IF(CP22&lt;&gt;1,"",IF(CM22-CONTROL_PANEL!$B$11&lt;0,0,CM22-CONTROL_PANEL!$B$11))</f>
        <v>0</v>
      </c>
      <c r="CO22" s="18">
        <f>IF(CP22&lt;&gt;1,"",IF(CL22&lt;=0,0,MIN(CL22,MAX(0,CONTROL_PANEL!$B$13-CM22))))</f>
        <v>0</v>
      </c>
      <c r="CP22" s="18">
        <v>1</v>
      </c>
    </row>
    <row r="23" spans="1:94" x14ac:dyDescent="0.25">
      <c r="A23" s="19">
        <f t="shared" si="30"/>
        <v>2017</v>
      </c>
      <c r="B23" s="19">
        <v>4</v>
      </c>
      <c r="C23" s="18">
        <f t="shared" si="0"/>
        <v>30</v>
      </c>
      <c r="D23" s="18">
        <f t="shared" si="24"/>
        <v>260.27482665328591</v>
      </c>
      <c r="E23" s="18">
        <f>IF(R22&lt;&gt;1,"",IF(O22&gt;0,IF(O22&gt;CONTROL_PANEL!$B$11,CONTROL_PANEL!$B$11,O22),0))</f>
        <v>34446755.018602453</v>
      </c>
      <c r="F23" s="18">
        <f t="shared" si="1"/>
        <v>4088663.652313211</v>
      </c>
      <c r="G23" s="18">
        <f>IF(R23&lt;&gt;1,"",DATA_INPUT!I23)</f>
        <v>0.25389779327850703</v>
      </c>
      <c r="H23" s="18">
        <f>IF(R23&lt;&gt;1,"",G23*CONTROL_PANEL!$B$5)</f>
        <v>24094.900582130318</v>
      </c>
      <c r="I23" s="18">
        <f>IF(R23&lt;&gt;1,"",DATA_INPUT!C23)</f>
        <v>1.9115986686493331</v>
      </c>
      <c r="J23" s="18">
        <f t="shared" si="2"/>
        <v>7815.8839943168541</v>
      </c>
      <c r="K23" s="18">
        <f>IF(R23&lt;&gt;1,"",DATA_INPUT!H23)</f>
        <v>88.92157261301999</v>
      </c>
      <c r="L23" s="18">
        <f t="shared" si="25"/>
        <v>363570.40184938471</v>
      </c>
      <c r="M23" s="18">
        <f>IF(R23&lt;&gt;1,"",H23*CONTROL_PANEL!$B$14)</f>
        <v>1686.6430407491225</v>
      </c>
      <c r="N23" s="18">
        <f>IF(R23&lt;&gt;1,"",DATA_INPUT!K23)</f>
        <v>375420.43608436408</v>
      </c>
      <c r="O23" s="18">
        <f t="shared" si="3"/>
        <v>33737988.322204404</v>
      </c>
      <c r="P23" s="18">
        <f>IF(R23&lt;&gt;1,"",IF(O23-CONTROL_PANEL!$B$11&lt;0,0,O23-CONTROL_PANEL!$B$11))</f>
        <v>0</v>
      </c>
      <c r="Q23" s="18">
        <f>IF(R23&lt;&gt;1,"",IF(N23&lt;=0,0,MIN(N23,MAX(0,CONTROL_PANEL!$B$13-O23))))</f>
        <v>0</v>
      </c>
      <c r="R23" s="18">
        <v>1</v>
      </c>
      <c r="T23" s="19">
        <f t="shared" si="31"/>
        <v>2017</v>
      </c>
      <c r="U23" s="19">
        <v>4</v>
      </c>
      <c r="V23" s="18">
        <f t="shared" si="4"/>
        <v>30</v>
      </c>
      <c r="W23" s="18">
        <f t="shared" si="26"/>
        <v>259.91068138855661</v>
      </c>
      <c r="X23" s="18">
        <f>IF(AK22&lt;&gt;1,"",IF(AH22&gt;0,IF(AH22&gt;CONTROL_PANEL!$B$11,CONTROL_PANEL!$B$11,AH22),0))</f>
        <v>32969664.594684765</v>
      </c>
      <c r="Y23" s="18">
        <f t="shared" si="5"/>
        <v>3970545.4957763986</v>
      </c>
      <c r="Z23" s="18">
        <f>IF(AK23&lt;&gt;1,"",DATA_INPUT!I23)</f>
        <v>0.25389779327850703</v>
      </c>
      <c r="AA23" s="18">
        <f>IF(AK23&lt;&gt;1,"",Z23*CONTROL_PANEL!$B$5)</f>
        <v>24094.900582130318</v>
      </c>
      <c r="AB23" s="18">
        <f>IF(AK23&lt;&gt;1,"",DATA_INPUT!$C23)</f>
        <v>1.9115986686493331</v>
      </c>
      <c r="AC23" s="18">
        <f t="shared" si="6"/>
        <v>7590.0894835377703</v>
      </c>
      <c r="AD23" s="18">
        <f>IF(AK23&lt;&gt;1,"",DATA_INPUT!$H23)</f>
        <v>88.92157261301999</v>
      </c>
      <c r="AE23" s="18">
        <f t="shared" si="7"/>
        <v>353067.14961598051</v>
      </c>
      <c r="AF23" s="18">
        <f>IF(AK23&lt;&gt;1,"",AA23*CONTROL_PANEL!$B$14)</f>
        <v>1686.6430407491225</v>
      </c>
      <c r="AG23" s="18">
        <f>IF(AK23&lt;&gt;1,"",DATA_INPUT!$L23)</f>
        <v>479261.33898832981</v>
      </c>
      <c r="AH23" s="18">
        <f t="shared" si="8"/>
        <v>32167334.453105371</v>
      </c>
      <c r="AI23" s="18">
        <f>IF(AK23&lt;&gt;1,"",IF(AH23-CONTROL_PANEL!$B$11&lt;0,0,AH23-CONTROL_PANEL!$B$11))</f>
        <v>0</v>
      </c>
      <c r="AJ23" s="18">
        <f>IF(AK23&lt;&gt;1,"",IF(AG23&lt;=0,0,MIN(AG23,MAX(0,CONTROL_PANEL!$B$13-AH23))))</f>
        <v>0</v>
      </c>
      <c r="AK23" s="18">
        <v>1</v>
      </c>
      <c r="AM23" s="19">
        <f t="shared" si="32"/>
        <v>2017</v>
      </c>
      <c r="AN23" s="19">
        <v>4</v>
      </c>
      <c r="AO23" s="18">
        <f t="shared" si="9"/>
        <v>30</v>
      </c>
      <c r="AP23" s="18">
        <f t="shared" si="27"/>
        <v>260.15056029415172</v>
      </c>
      <c r="AQ23" s="18">
        <f>IF(BD22&lt;&gt;1,"",IF(BA22&gt;0,IF(BA22&gt;CONTROL_PANEL!$B$11,CONTROL_PANEL!$B$11,BA22),0))</f>
        <v>33937820.051030345</v>
      </c>
      <c r="AR23" s="18">
        <f t="shared" si="10"/>
        <v>4048158.7273729881</v>
      </c>
      <c r="AS23" s="18">
        <f>IF(BD23&lt;&gt;1,"",DATA_INPUT!$I23)</f>
        <v>0.25389779327850703</v>
      </c>
      <c r="AT23" s="18">
        <f>IF(BD23&lt;&gt;1,"",AS23*CONTROL_PANEL!$B$5)</f>
        <v>24094.900582130318</v>
      </c>
      <c r="AU23" s="18">
        <f>IF(BD23&lt;&gt;1,"",DATA_INPUT!$C23)</f>
        <v>1.9115986686493331</v>
      </c>
      <c r="AV23" s="18">
        <f t="shared" si="11"/>
        <v>7738.4548337273827</v>
      </c>
      <c r="AW23" s="18">
        <f>IF(BD23&lt;&gt;1,"",DATA_INPUT!$H23)</f>
        <v>88.92157261301999</v>
      </c>
      <c r="AX23" s="18">
        <f t="shared" si="12"/>
        <v>359968.64022512775</v>
      </c>
      <c r="AY23" s="18">
        <f>IF(BD23&lt;&gt;1,"",AT23*CONTROL_PANEL!$B$14)</f>
        <v>1686.6430407491225</v>
      </c>
      <c r="AZ23" s="18">
        <f>IF(BD23&lt;&gt;1,"",DATA_INPUT!$M23)</f>
        <v>241751.84947104924</v>
      </c>
      <c r="BA23" s="18">
        <f t="shared" si="13"/>
        <v>33366246.273709279</v>
      </c>
      <c r="BB23" s="18">
        <f>IF(BD23&lt;&gt;1,"",IF(BA23-CONTROL_PANEL!$B$11&lt;0,0,BA23-CONTROL_PANEL!$B$11))</f>
        <v>0</v>
      </c>
      <c r="BC23" s="18">
        <f>IF(BD23&lt;&gt;1,"",IF(AZ23&lt;=0,0,MIN(AZ23,MAX(0,CONTROL_PANEL!$B$13-BA23))))</f>
        <v>0</v>
      </c>
      <c r="BD23" s="18">
        <v>1</v>
      </c>
      <c r="BF23" s="19">
        <f t="shared" si="33"/>
        <v>2017</v>
      </c>
      <c r="BG23" s="19">
        <v>4</v>
      </c>
      <c r="BH23" s="18">
        <f t="shared" si="14"/>
        <v>30</v>
      </c>
      <c r="BI23" s="18">
        <f t="shared" si="28"/>
        <v>260.30278264052799</v>
      </c>
      <c r="BJ23" s="18">
        <f>IF(BW22&lt;&gt;1,"",IF(BT22&gt;0,IF(BT22&gt;CONTROL_PANEL!$B$11,CONTROL_PANEL!$B$11,BT22),0))</f>
        <v>34561948.256814234</v>
      </c>
      <c r="BK23" s="18">
        <f t="shared" si="15"/>
        <v>4097804.0337890242</v>
      </c>
      <c r="BL23" s="18">
        <f>IF(BW23&lt;&gt;1,"",DATA_INPUT!$I23)</f>
        <v>0.25389779327850703</v>
      </c>
      <c r="BM23" s="18">
        <f>IF(BW23&lt;&gt;1,"",BL23*CONTROL_PANEL!$B$5)</f>
        <v>24094.900582130318</v>
      </c>
      <c r="BN23" s="18">
        <f>IF(BW23&lt;&gt;1,"",DATA_INPUT!$C23)</f>
        <v>1.9115986686493331</v>
      </c>
      <c r="BO23" s="18">
        <f t="shared" si="16"/>
        <v>7833.3567353769649</v>
      </c>
      <c r="BP23" s="18">
        <f>IF(BW23&lt;&gt;1,"",DATA_INPUT!$H23)</f>
        <v>88.92157261301999</v>
      </c>
      <c r="BQ23" s="18">
        <f t="shared" si="17"/>
        <v>364383.1789444969</v>
      </c>
      <c r="BR23" s="18">
        <f>IF(BW23&lt;&gt;1,"",BM23*CONTROL_PANEL!$B$14)</f>
        <v>1686.6430407491225</v>
      </c>
      <c r="BS23" s="18">
        <f>IF(BW23&lt;&gt;1,"",DATA_INPUT!$N23)</f>
        <v>52312.996631708076</v>
      </c>
      <c r="BT23" s="18">
        <f t="shared" si="18"/>
        <v>34175493.695514783</v>
      </c>
      <c r="BU23" s="18">
        <f>IF(BW23&lt;&gt;1,"",IF(BT23-CONTROL_PANEL!$B$11&lt;0,0,BT23-CONTROL_PANEL!$B$11))</f>
        <v>0</v>
      </c>
      <c r="BV23" s="18">
        <f>IF(BW23&lt;&gt;1,"",IF(BS23&lt;=0,0,MIN(BS23,MAX(0,CONTROL_PANEL!$B$13-BT23))))</f>
        <v>0</v>
      </c>
      <c r="BW23" s="18">
        <v>1</v>
      </c>
      <c r="BY23" s="19">
        <f t="shared" si="34"/>
        <v>2017</v>
      </c>
      <c r="BZ23" s="19">
        <v>4</v>
      </c>
      <c r="CA23" s="18">
        <f t="shared" si="19"/>
        <v>30</v>
      </c>
      <c r="CB23" s="18">
        <f t="shared" si="29"/>
        <v>260.11002212869045</v>
      </c>
      <c r="CC23" s="18">
        <f>IF(CP22&lt;&gt;1,"",IF(CM22&gt;0,IF(CM22&gt;CONTROL_PANEL!$B$11,CONTROL_PANEL!$B$11,CM22),0))</f>
        <v>33772889.876120567</v>
      </c>
      <c r="CD23" s="18">
        <f t="shared" si="20"/>
        <v>4034989.2608257104</v>
      </c>
      <c r="CE23" s="18">
        <f>IF(CP23&lt;&gt;1,"",DATA_INPUT!$I23)</f>
        <v>0.25389779327850703</v>
      </c>
      <c r="CF23" s="18">
        <f>IF(CP23&lt;&gt;1,"",CE23*CONTROL_PANEL!$B$5)</f>
        <v>24094.900582130318</v>
      </c>
      <c r="CG23" s="18">
        <f>IF(CP23&lt;&gt;1,"",DATA_INPUT!$C23)</f>
        <v>1.9115986686493331</v>
      </c>
      <c r="CH23" s="18">
        <f t="shared" si="21"/>
        <v>7713.2800990087844</v>
      </c>
      <c r="CI23" s="18">
        <f>IF(CP23&lt;&gt;1,"",DATA_INPUT!$H23)</f>
        <v>88.92157261301999</v>
      </c>
      <c r="CJ23" s="18">
        <f t="shared" si="22"/>
        <v>358797.59054926928</v>
      </c>
      <c r="CK23" s="18">
        <f>IF(CP23&lt;&gt;1,"",CF23*CONTROL_PANEL!$B$14)</f>
        <v>1686.6430407491225</v>
      </c>
      <c r="CL23" s="18">
        <f>IF(CP23&lt;&gt;1,"",DATA_INPUT!$O23)</f>
        <v>60012.626179794999</v>
      </c>
      <c r="CM23" s="18">
        <f t="shared" si="23"/>
        <v>33384201.197031893</v>
      </c>
      <c r="CN23" s="18">
        <f>IF(CP23&lt;&gt;1,"",IF(CM23-CONTROL_PANEL!$B$11&lt;0,0,CM23-CONTROL_PANEL!$B$11))</f>
        <v>0</v>
      </c>
      <c r="CO23" s="18">
        <f>IF(CP23&lt;&gt;1,"",IF(CL23&lt;=0,0,MIN(CL23,MAX(0,CONTROL_PANEL!$B$13-CM23))))</f>
        <v>0</v>
      </c>
      <c r="CP23" s="18">
        <v>1</v>
      </c>
    </row>
    <row r="24" spans="1:94" x14ac:dyDescent="0.25">
      <c r="A24" s="19">
        <f t="shared" si="30"/>
        <v>2017</v>
      </c>
      <c r="B24" s="19">
        <v>5</v>
      </c>
      <c r="C24" s="18">
        <f t="shared" si="0"/>
        <v>31</v>
      </c>
      <c r="D24" s="18">
        <f t="shared" si="24"/>
        <v>260.10142671367919</v>
      </c>
      <c r="E24" s="18">
        <f>IF(R23&lt;&gt;1,"",IF(O23&gt;0,IF(O23&gt;CONTROL_PANEL!$B$11,CONTROL_PANEL!$B$11,O23),0))</f>
        <v>33737988.322204404</v>
      </c>
      <c r="F24" s="18">
        <f t="shared" si="1"/>
        <v>4032199.688133915</v>
      </c>
      <c r="G24" s="18">
        <f>IF(R24&lt;&gt;1,"",DATA_INPUT!I24)</f>
        <v>3.4779250373182087E-2</v>
      </c>
      <c r="H24" s="18">
        <f>IF(R24&lt;&gt;1,"",G24*CONTROL_PANEL!$B$5)</f>
        <v>3300.55086041498</v>
      </c>
      <c r="I24" s="18">
        <f>IF(R24&lt;&gt;1,"",DATA_INPUT!C24)</f>
        <v>49.441998057264669</v>
      </c>
      <c r="J24" s="18">
        <f t="shared" si="2"/>
        <v>199360.00914722023</v>
      </c>
      <c r="K24" s="18">
        <f>IF(R24&lt;&gt;1,"",DATA_INPUT!H24)</f>
        <v>109.5826779511182</v>
      </c>
      <c r="L24" s="18">
        <f t="shared" si="25"/>
        <v>441859.23985937802</v>
      </c>
      <c r="M24" s="18">
        <f>IF(R24&lt;&gt;1,"",H24*CONTROL_PANEL!$B$14)</f>
        <v>231.03856022904861</v>
      </c>
      <c r="N24" s="18">
        <f>IF(R24&lt;&gt;1,"",DATA_INPUT!K24)</f>
        <v>217709.02161891002</v>
      </c>
      <c r="O24" s="18">
        <f t="shared" si="3"/>
        <v>33280849.582173519</v>
      </c>
      <c r="P24" s="18">
        <f>IF(R24&lt;&gt;1,"",IF(O24-CONTROL_PANEL!$B$11&lt;0,0,O24-CONTROL_PANEL!$B$11))</f>
        <v>0</v>
      </c>
      <c r="Q24" s="18">
        <f>IF(R24&lt;&gt;1,"",IF(N24&lt;=0,0,MIN(N24,MAX(0,CONTROL_PANEL!$B$13-O24))))</f>
        <v>0</v>
      </c>
      <c r="R24" s="18">
        <v>1</v>
      </c>
      <c r="T24" s="19">
        <f t="shared" si="31"/>
        <v>2017</v>
      </c>
      <c r="U24" s="19">
        <v>5</v>
      </c>
      <c r="V24" s="18">
        <f t="shared" si="4"/>
        <v>31</v>
      </c>
      <c r="W24" s="18">
        <f t="shared" si="26"/>
        <v>259.70829292265296</v>
      </c>
      <c r="X24" s="18">
        <f>IF(AK23&lt;&gt;1,"",IF(AH23&gt;0,IF(AH23&gt;CONTROL_PANEL!$B$11,CONTROL_PANEL!$B$11,AH23),0))</f>
        <v>32167334.453105371</v>
      </c>
      <c r="Y24" s="18">
        <f t="shared" si="5"/>
        <v>3905652.392150566</v>
      </c>
      <c r="Z24" s="18">
        <f>IF(AK24&lt;&gt;1,"",DATA_INPUT!I24)</f>
        <v>3.4779250373182087E-2</v>
      </c>
      <c r="AA24" s="18">
        <f>IF(AK24&lt;&gt;1,"",Z24*CONTROL_PANEL!$B$5)</f>
        <v>3300.55086041498</v>
      </c>
      <c r="AB24" s="18">
        <f>IF(AK24&lt;&gt;1,"",DATA_INPUT!$C24)</f>
        <v>49.441998057264669</v>
      </c>
      <c r="AC24" s="18">
        <f t="shared" si="6"/>
        <v>193103.25798505938</v>
      </c>
      <c r="AD24" s="18">
        <f>IF(AK24&lt;&gt;1,"",DATA_INPUT!$H24)</f>
        <v>109.5826779511182</v>
      </c>
      <c r="AE24" s="18">
        <f t="shared" si="7"/>
        <v>427991.8482780499</v>
      </c>
      <c r="AF24" s="18">
        <f>IF(AK24&lt;&gt;1,"",AA24*CONTROL_PANEL!$B$14)</f>
        <v>231.03856022904861</v>
      </c>
      <c r="AG24" s="18">
        <f>IF(AK24&lt;&gt;1,"",DATA_INPUT!$L24)</f>
        <v>276912.65820814337</v>
      </c>
      <c r="AH24" s="18">
        <f t="shared" si="8"/>
        <v>31658602.716904424</v>
      </c>
      <c r="AI24" s="18">
        <f>IF(AK24&lt;&gt;1,"",IF(AH24-CONTROL_PANEL!$B$11&lt;0,0,AH24-CONTROL_PANEL!$B$11))</f>
        <v>0</v>
      </c>
      <c r="AJ24" s="18">
        <f>IF(AK24&lt;&gt;1,"",IF(AG24&lt;=0,0,MIN(AG24,MAX(0,CONTROL_PANEL!$B$13-AH24))))</f>
        <v>0</v>
      </c>
      <c r="AK24" s="18">
        <v>1</v>
      </c>
      <c r="AM24" s="19">
        <f t="shared" si="32"/>
        <v>2017</v>
      </c>
      <c r="AN24" s="19">
        <v>5</v>
      </c>
      <c r="AO24" s="18">
        <f t="shared" si="9"/>
        <v>31</v>
      </c>
      <c r="AP24" s="18">
        <f t="shared" si="27"/>
        <v>260.00950433685608</v>
      </c>
      <c r="AQ24" s="18">
        <f>IF(BD23&lt;&gt;1,"",IF(BA23&gt;0,IF(BA23&gt;CONTROL_PANEL!$B$11,CONTROL_PANEL!$B$11,BA23),0))</f>
        <v>33366246.273709279</v>
      </c>
      <c r="AR24" s="18">
        <f t="shared" si="10"/>
        <v>4002427.9359113127</v>
      </c>
      <c r="AS24" s="18">
        <f>IF(BD24&lt;&gt;1,"",DATA_INPUT!$I24)</f>
        <v>3.4779250373182087E-2</v>
      </c>
      <c r="AT24" s="18">
        <f>IF(BD24&lt;&gt;1,"",AS24*CONTROL_PANEL!$B$5)</f>
        <v>3300.55086041498</v>
      </c>
      <c r="AU24" s="18">
        <f>IF(BD24&lt;&gt;1,"",DATA_INPUT!$C24)</f>
        <v>49.441998057264669</v>
      </c>
      <c r="AV24" s="18">
        <f t="shared" si="11"/>
        <v>197888.03423166895</v>
      </c>
      <c r="AW24" s="18">
        <f>IF(BD24&lt;&gt;1,"",DATA_INPUT!$H24)</f>
        <v>109.5826779511182</v>
      </c>
      <c r="AX24" s="18">
        <f t="shared" si="12"/>
        <v>438596.77152352815</v>
      </c>
      <c r="AY24" s="18">
        <f>IF(BD24&lt;&gt;1,"",AT24*CONTROL_PANEL!$B$14)</f>
        <v>231.03856022904861</v>
      </c>
      <c r="AZ24" s="18">
        <f>IF(BD24&lt;&gt;1,"",DATA_INPUT!$M24)</f>
        <v>211465.59301805965</v>
      </c>
      <c r="BA24" s="18">
        <f t="shared" si="13"/>
        <v>32917141.455699548</v>
      </c>
      <c r="BB24" s="18">
        <f>IF(BD24&lt;&gt;1,"",IF(BA24-CONTROL_PANEL!$B$11&lt;0,0,BA24-CONTROL_PANEL!$B$11))</f>
        <v>0</v>
      </c>
      <c r="BC24" s="18">
        <f>IF(BD24&lt;&gt;1,"",IF(AZ24&lt;=0,0,MIN(AZ24,MAX(0,CONTROL_PANEL!$B$13-BA24))))</f>
        <v>0</v>
      </c>
      <c r="BD24" s="18">
        <v>1</v>
      </c>
      <c r="BF24" s="19">
        <f t="shared" si="33"/>
        <v>2017</v>
      </c>
      <c r="BG24" s="19">
        <v>5</v>
      </c>
      <c r="BH24" s="18">
        <f t="shared" si="14"/>
        <v>31</v>
      </c>
      <c r="BI24" s="18">
        <f t="shared" si="28"/>
        <v>260.20874694894064</v>
      </c>
      <c r="BJ24" s="18">
        <f>IF(BW23&lt;&gt;1,"",IF(BT23&gt;0,IF(BT23&gt;CONTROL_PANEL!$B$11,CONTROL_PANEL!$B$11,BT23),0))</f>
        <v>34175493.695514783</v>
      </c>
      <c r="BK24" s="18">
        <f t="shared" si="15"/>
        <v>4067099.4593348121</v>
      </c>
      <c r="BL24" s="18">
        <f>IF(BW24&lt;&gt;1,"",DATA_INPUT!$I24)</f>
        <v>3.4779250373182087E-2</v>
      </c>
      <c r="BM24" s="18">
        <f>IF(BW24&lt;&gt;1,"",BL24*CONTROL_PANEL!$B$5)</f>
        <v>3300.55086041498</v>
      </c>
      <c r="BN24" s="18">
        <f>IF(BW24&lt;&gt;1,"",DATA_INPUT!$C24)</f>
        <v>49.441998057264669</v>
      </c>
      <c r="BO24" s="18">
        <f t="shared" si="16"/>
        <v>201085.52356713396</v>
      </c>
      <c r="BP24" s="18">
        <f>IF(BW24&lt;&gt;1,"",DATA_INPUT!$H24)</f>
        <v>109.5826779511182</v>
      </c>
      <c r="BQ24" s="18">
        <f t="shared" si="17"/>
        <v>445683.65024745371</v>
      </c>
      <c r="BR24" s="18">
        <f>IF(BW24&lt;&gt;1,"",BM24*CONTROL_PANEL!$B$14)</f>
        <v>231.03856022904861</v>
      </c>
      <c r="BS24" s="18">
        <f>IF(BW24&lt;&gt;1,"",DATA_INPUT!$N24)</f>
        <v>163660.57225137088</v>
      </c>
      <c r="BT24" s="18">
        <f t="shared" si="18"/>
        <v>33770304.508883275</v>
      </c>
      <c r="BU24" s="18">
        <f>IF(BW24&lt;&gt;1,"",IF(BT24-CONTROL_PANEL!$B$11&lt;0,0,BT24-CONTROL_PANEL!$B$11))</f>
        <v>0</v>
      </c>
      <c r="BV24" s="18">
        <f>IF(BW24&lt;&gt;1,"",IF(BS24&lt;=0,0,MIN(BS24,MAX(0,CONTROL_PANEL!$B$13-BT24))))</f>
        <v>0</v>
      </c>
      <c r="BW24" s="18">
        <v>1</v>
      </c>
      <c r="BY24" s="19">
        <f t="shared" si="34"/>
        <v>2017</v>
      </c>
      <c r="BZ24" s="19">
        <v>5</v>
      </c>
      <c r="CA24" s="18">
        <f t="shared" si="19"/>
        <v>31</v>
      </c>
      <c r="CB24" s="18">
        <f t="shared" si="29"/>
        <v>260.01395983434759</v>
      </c>
      <c r="CC24" s="18">
        <f>IF(CP23&lt;&gt;1,"",IF(CM23&gt;0,IF(CM23&gt;CONTROL_PANEL!$B$11,CONTROL_PANEL!$B$11,CM23),0))</f>
        <v>33384201.197031893</v>
      </c>
      <c r="CD24" s="18">
        <f t="shared" si="20"/>
        <v>4003868.4100536755</v>
      </c>
      <c r="CE24" s="18">
        <f>IF(CP24&lt;&gt;1,"",DATA_INPUT!$I24)</f>
        <v>3.4779250373182087E-2</v>
      </c>
      <c r="CF24" s="18">
        <f>IF(CP24&lt;&gt;1,"",CE24*CONTROL_PANEL!$B$5)</f>
        <v>3300.55086041498</v>
      </c>
      <c r="CG24" s="18">
        <f>IF(CP24&lt;&gt;1,"",DATA_INPUT!$C24)</f>
        <v>49.441998057264669</v>
      </c>
      <c r="CH24" s="18">
        <f t="shared" si="21"/>
        <v>197959.2541514172</v>
      </c>
      <c r="CI24" s="18">
        <f>IF(CP24&lt;&gt;1,"",DATA_INPUT!$H24)</f>
        <v>109.5826779511182</v>
      </c>
      <c r="CJ24" s="18">
        <f t="shared" si="22"/>
        <v>438754.62253756763</v>
      </c>
      <c r="CK24" s="18">
        <f>IF(CP24&lt;&gt;1,"",CF24*CONTROL_PANEL!$B$14)</f>
        <v>231.03856022904861</v>
      </c>
      <c r="CL24" s="18">
        <f>IF(CP24&lt;&gt;1,"",DATA_INPUT!$O24)</f>
        <v>187580.11999381441</v>
      </c>
      <c r="CM24" s="18">
        <f t="shared" si="23"/>
        <v>32958895.220952112</v>
      </c>
      <c r="CN24" s="18">
        <f>IF(CP24&lt;&gt;1,"",IF(CM24-CONTROL_PANEL!$B$11&lt;0,0,CM24-CONTROL_PANEL!$B$11))</f>
        <v>0</v>
      </c>
      <c r="CO24" s="18">
        <f>IF(CP24&lt;&gt;1,"",IF(CL24&lt;=0,0,MIN(CL24,MAX(0,CONTROL_PANEL!$B$13-CM24))))</f>
        <v>0</v>
      </c>
      <c r="CP24" s="18">
        <v>1</v>
      </c>
    </row>
    <row r="25" spans="1:94" x14ac:dyDescent="0.25">
      <c r="A25" s="19">
        <f t="shared" si="30"/>
        <v>2017</v>
      </c>
      <c r="B25" s="19">
        <v>6</v>
      </c>
      <c r="C25" s="18">
        <f t="shared" si="0"/>
        <v>30</v>
      </c>
      <c r="D25" s="18">
        <f t="shared" si="24"/>
        <v>259.98829124654509</v>
      </c>
      <c r="E25" s="18">
        <f>IF(R24&lt;&gt;1,"",IF(O24&gt;0,IF(O24&gt;CONTROL_PANEL!$B$11,CONTROL_PANEL!$B$11,O24),0))</f>
        <v>33280849.582173519</v>
      </c>
      <c r="F25" s="18">
        <f t="shared" si="1"/>
        <v>3995573.2771573616</v>
      </c>
      <c r="G25" s="18">
        <f>IF(R25&lt;&gt;1,"",DATA_INPUT!I25)</f>
        <v>5.1870897849496883E-3</v>
      </c>
      <c r="H25" s="18">
        <f>IF(R25&lt;&gt;1,"",G25*CONTROL_PANEL!$B$5)</f>
        <v>492.25482059172543</v>
      </c>
      <c r="I25" s="18">
        <f>IF(R25&lt;&gt;1,"",DATA_INPUT!C25)</f>
        <v>9.4666666666666668</v>
      </c>
      <c r="J25" s="18">
        <f t="shared" si="2"/>
        <v>37824.76035708969</v>
      </c>
      <c r="K25" s="18">
        <f>IF(R25&lt;&gt;1,"",DATA_INPUT!H25)</f>
        <v>186.74924291910719</v>
      </c>
      <c r="L25" s="18">
        <f t="shared" si="25"/>
        <v>746170.28453695332</v>
      </c>
      <c r="M25" s="18">
        <f>IF(R25&lt;&gt;1,"",H25*CONTROL_PANEL!$B$14)</f>
        <v>34.457837441420786</v>
      </c>
      <c r="N25" s="18">
        <f>IF(R25&lt;&gt;1,"",DATA_INPUT!K25)</f>
        <v>1084457.3766402253</v>
      </c>
      <c r="O25" s="18">
        <f t="shared" si="3"/>
        <v>31488504.47833658</v>
      </c>
      <c r="P25" s="18">
        <f>IF(R25&lt;&gt;1,"",IF(O25-CONTROL_PANEL!$B$11&lt;0,0,O25-CONTROL_PANEL!$B$11))</f>
        <v>0</v>
      </c>
      <c r="Q25" s="18">
        <f>IF(R25&lt;&gt;1,"",IF(N25&lt;=0,0,MIN(N25,MAX(0,CONTROL_PANEL!$B$13-O25))))</f>
        <v>0</v>
      </c>
      <c r="R25" s="18">
        <v>1</v>
      </c>
      <c r="T25" s="19">
        <f t="shared" si="31"/>
        <v>2017</v>
      </c>
      <c r="U25" s="19">
        <v>6</v>
      </c>
      <c r="V25" s="18">
        <f t="shared" si="4"/>
        <v>30</v>
      </c>
      <c r="W25" s="18">
        <f t="shared" si="26"/>
        <v>259.57820982227207</v>
      </c>
      <c r="X25" s="18">
        <f>IF(AK24&lt;&gt;1,"",IF(AH24&gt;0,IF(AH24&gt;CONTROL_PANEL!$B$11,CONTROL_PANEL!$B$11,AH24),0))</f>
        <v>31658602.716904424</v>
      </c>
      <c r="Y25" s="18">
        <f t="shared" si="5"/>
        <v>3864228.063699293</v>
      </c>
      <c r="Z25" s="18">
        <f>IF(AK25&lt;&gt;1,"",DATA_INPUT!I25)</f>
        <v>5.1870897849496883E-3</v>
      </c>
      <c r="AA25" s="18">
        <f>IF(AK25&lt;&gt;1,"",Z25*CONTROL_PANEL!$B$5)</f>
        <v>492.25482059172543</v>
      </c>
      <c r="AB25" s="18">
        <f>IF(AK25&lt;&gt;1,"",DATA_INPUT!$C25)</f>
        <v>9.4666666666666668</v>
      </c>
      <c r="AC25" s="18">
        <f t="shared" si="6"/>
        <v>36581.35900301997</v>
      </c>
      <c r="AD25" s="18">
        <f>IF(AK25&lt;&gt;1,"",DATA_INPUT!$H25)</f>
        <v>186.74924291910719</v>
      </c>
      <c r="AE25" s="18">
        <f t="shared" si="7"/>
        <v>721641.66536261048</v>
      </c>
      <c r="AF25" s="18">
        <f>IF(AK25&lt;&gt;1,"",AA25*CONTROL_PANEL!$B$14)</f>
        <v>34.457837441420786</v>
      </c>
      <c r="AG25" s="18">
        <f>IF(AK25&lt;&gt;1,"",DATA_INPUT!$L25)</f>
        <v>1381067.4971373866</v>
      </c>
      <c r="AH25" s="18">
        <f t="shared" si="8"/>
        <v>29592932.710390598</v>
      </c>
      <c r="AI25" s="18">
        <f>IF(AK25&lt;&gt;1,"",IF(AH25-CONTROL_PANEL!$B$11&lt;0,0,AH25-CONTROL_PANEL!$B$11))</f>
        <v>0</v>
      </c>
      <c r="AJ25" s="18">
        <f>IF(AK25&lt;&gt;1,"",IF(AG25&lt;=0,0,MIN(AG25,MAX(0,CONTROL_PANEL!$B$13-AH25))))</f>
        <v>0</v>
      </c>
      <c r="AK25" s="18">
        <v>1</v>
      </c>
      <c r="AM25" s="19">
        <f t="shared" si="32"/>
        <v>2017</v>
      </c>
      <c r="AN25" s="19">
        <v>6</v>
      </c>
      <c r="AO25" s="18">
        <f t="shared" si="9"/>
        <v>30</v>
      </c>
      <c r="AP25" s="18">
        <f t="shared" si="27"/>
        <v>259.8975337929748</v>
      </c>
      <c r="AQ25" s="18">
        <f>IF(BD24&lt;&gt;1,"",IF(BA24&gt;0,IF(BA24&gt;CONTROL_PANEL!$B$11,CONTROL_PANEL!$B$11,BA24),0))</f>
        <v>32917141.455699548</v>
      </c>
      <c r="AR25" s="18">
        <f t="shared" si="10"/>
        <v>3966313.4986872808</v>
      </c>
      <c r="AS25" s="18">
        <f>IF(BD25&lt;&gt;1,"",DATA_INPUT!$I25)</f>
        <v>5.1870897849496883E-3</v>
      </c>
      <c r="AT25" s="18">
        <f>IF(BD25&lt;&gt;1,"",AS25*CONTROL_PANEL!$B$5)</f>
        <v>492.25482059172543</v>
      </c>
      <c r="AU25" s="18">
        <f>IF(BD25&lt;&gt;1,"",DATA_INPUT!$C25)</f>
        <v>9.4666666666666668</v>
      </c>
      <c r="AV25" s="18">
        <f t="shared" si="11"/>
        <v>37547.767787572928</v>
      </c>
      <c r="AW25" s="18">
        <f>IF(BD25&lt;&gt;1,"",DATA_INPUT!$H25)</f>
        <v>186.74924291910719</v>
      </c>
      <c r="AX25" s="18">
        <f t="shared" si="12"/>
        <v>740706.04305968503</v>
      </c>
      <c r="AY25" s="18">
        <f>IF(BD25&lt;&gt;1,"",AT25*CONTROL_PANEL!$B$14)</f>
        <v>34.457837441420786</v>
      </c>
      <c r="AZ25" s="18">
        <f>IF(BD25&lt;&gt;1,"",DATA_INPUT!$M25)</f>
        <v>1165726.0794845573</v>
      </c>
      <c r="BA25" s="18">
        <f t="shared" si="13"/>
        <v>31048714.897926029</v>
      </c>
      <c r="BB25" s="18">
        <f>IF(BD25&lt;&gt;1,"",IF(BA25-CONTROL_PANEL!$B$11&lt;0,0,BA25-CONTROL_PANEL!$B$11))</f>
        <v>0</v>
      </c>
      <c r="BC25" s="18">
        <f>IF(BD25&lt;&gt;1,"",IF(AZ25&lt;=0,0,MIN(AZ25,MAX(0,CONTROL_PANEL!$B$13-BA25))))</f>
        <v>0</v>
      </c>
      <c r="BD25" s="18">
        <v>1</v>
      </c>
      <c r="BF25" s="19">
        <f t="shared" si="33"/>
        <v>2017</v>
      </c>
      <c r="BG25" s="19">
        <v>6</v>
      </c>
      <c r="BH25" s="18">
        <f t="shared" si="14"/>
        <v>30</v>
      </c>
      <c r="BI25" s="18">
        <f t="shared" si="28"/>
        <v>260.10938561860621</v>
      </c>
      <c r="BJ25" s="18">
        <f>IF(BW24&lt;&gt;1,"",IF(BT24&gt;0,IF(BT24&gt;CONTROL_PANEL!$B$11,CONTROL_PANEL!$B$11,BT24),0))</f>
        <v>33770304.508883275</v>
      </c>
      <c r="BK25" s="18">
        <f t="shared" si="15"/>
        <v>4034782.6532074795</v>
      </c>
      <c r="BL25" s="18">
        <f>IF(BW25&lt;&gt;1,"",DATA_INPUT!$I25)</f>
        <v>5.1870897849496883E-3</v>
      </c>
      <c r="BM25" s="18">
        <f>IF(BW25&lt;&gt;1,"",BL25*CONTROL_PANEL!$B$5)</f>
        <v>492.25482059172543</v>
      </c>
      <c r="BN25" s="18">
        <f>IF(BW25&lt;&gt;1,"",DATA_INPUT!$C25)</f>
        <v>9.4666666666666668</v>
      </c>
      <c r="BO25" s="18">
        <f t="shared" si="16"/>
        <v>38195.942450364142</v>
      </c>
      <c r="BP25" s="18">
        <f>IF(BW25&lt;&gt;1,"",DATA_INPUT!$H25)</f>
        <v>186.74924291910719</v>
      </c>
      <c r="BQ25" s="18">
        <f t="shared" si="17"/>
        <v>753492.60582964332</v>
      </c>
      <c r="BR25" s="18">
        <f>IF(BW25&lt;&gt;1,"",BM25*CONTROL_PANEL!$B$14)</f>
        <v>34.457837441420786</v>
      </c>
      <c r="BS25" s="18">
        <f>IF(BW25&lt;&gt;1,"",DATA_INPUT!$N25)</f>
        <v>1022433.9457245953</v>
      </c>
      <c r="BT25" s="18">
        <f t="shared" si="18"/>
        <v>32033031.696762554</v>
      </c>
      <c r="BU25" s="18">
        <f>IF(BW25&lt;&gt;1,"",IF(BT25-CONTROL_PANEL!$B$11&lt;0,0,BT25-CONTROL_PANEL!$B$11))</f>
        <v>0</v>
      </c>
      <c r="BV25" s="18">
        <f>IF(BW25&lt;&gt;1,"",IF(BS25&lt;=0,0,MIN(BS25,MAX(0,CONTROL_PANEL!$B$13-BT25))))</f>
        <v>0</v>
      </c>
      <c r="BW25" s="18">
        <v>1</v>
      </c>
      <c r="BY25" s="19">
        <f t="shared" si="34"/>
        <v>2017</v>
      </c>
      <c r="BZ25" s="19">
        <v>6</v>
      </c>
      <c r="CA25" s="18">
        <f t="shared" si="19"/>
        <v>30</v>
      </c>
      <c r="CB25" s="18">
        <f t="shared" si="29"/>
        <v>259.90798674060983</v>
      </c>
      <c r="CC25" s="18">
        <f>IF(CP24&lt;&gt;1,"",IF(CM24&gt;0,IF(CM24&gt;CONTROL_PANEL!$B$11,CONTROL_PANEL!$B$11,CM24),0))</f>
        <v>32958895.220952112</v>
      </c>
      <c r="CD25" s="18">
        <f t="shared" si="20"/>
        <v>3969677.9467787645</v>
      </c>
      <c r="CE25" s="18">
        <f>IF(CP25&lt;&gt;1,"",DATA_INPUT!$I25)</f>
        <v>5.1870897849496883E-3</v>
      </c>
      <c r="CF25" s="18">
        <f>IF(CP25&lt;&gt;1,"",CE25*CONTROL_PANEL!$B$5)</f>
        <v>492.25482059172543</v>
      </c>
      <c r="CG25" s="18">
        <f>IF(CP25&lt;&gt;1,"",DATA_INPUT!$C25)</f>
        <v>9.4666666666666668</v>
      </c>
      <c r="CH25" s="18">
        <f t="shared" si="21"/>
        <v>37579.617896172305</v>
      </c>
      <c r="CI25" s="18">
        <f>IF(CP25&lt;&gt;1,"",DATA_INPUT!$H25)</f>
        <v>186.74924291910719</v>
      </c>
      <c r="CJ25" s="18">
        <f t="shared" si="22"/>
        <v>741334.35119361023</v>
      </c>
      <c r="CK25" s="18">
        <f>IF(CP25&lt;&gt;1,"",CF25*CONTROL_PANEL!$B$14)</f>
        <v>34.457837441420786</v>
      </c>
      <c r="CL25" s="18">
        <f>IF(CP25&lt;&gt;1,"",DATA_INPUT!$O25)</f>
        <v>1174945.4984360221</v>
      </c>
      <c r="CM25" s="18">
        <f t="shared" si="23"/>
        <v>31080652.786201805</v>
      </c>
      <c r="CN25" s="18">
        <f>IF(CP25&lt;&gt;1,"",IF(CM25-CONTROL_PANEL!$B$11&lt;0,0,CM25-CONTROL_PANEL!$B$11))</f>
        <v>0</v>
      </c>
      <c r="CO25" s="18">
        <f>IF(CP25&lt;&gt;1,"",IF(CL25&lt;=0,0,MIN(CL25,MAX(0,CONTROL_PANEL!$B$13-CM25))))</f>
        <v>0</v>
      </c>
      <c r="CP25" s="18">
        <v>1</v>
      </c>
    </row>
    <row r="26" spans="1:94" x14ac:dyDescent="0.25">
      <c r="A26" s="19">
        <f t="shared" si="30"/>
        <v>2017</v>
      </c>
      <c r="B26" s="19">
        <v>7</v>
      </c>
      <c r="C26" s="18">
        <f t="shared" si="0"/>
        <v>31</v>
      </c>
      <c r="D26" s="18">
        <f t="shared" si="24"/>
        <v>259.53440384278088</v>
      </c>
      <c r="E26" s="18">
        <f>IF(R25&lt;&gt;1,"",IF(O25&gt;0,IF(O25&gt;CONTROL_PANEL!$B$11,CONTROL_PANEL!$B$11,O25),0))</f>
        <v>31488504.47833658</v>
      </c>
      <c r="F26" s="18">
        <f t="shared" si="1"/>
        <v>3850328.4628538419</v>
      </c>
      <c r="G26" s="18">
        <f>IF(R26&lt;&gt;1,"",DATA_INPUT!I26)</f>
        <v>7.1813467449183103E-4</v>
      </c>
      <c r="H26" s="18">
        <f>IF(R26&lt;&gt;1,"",G26*CONTROL_PANEL!$B$5)</f>
        <v>68.150980609274768</v>
      </c>
      <c r="I26" s="18">
        <f>IF(R26&lt;&gt;1,"",DATA_INPUT!C26)</f>
        <v>0</v>
      </c>
      <c r="J26" s="18">
        <f t="shared" si="2"/>
        <v>0</v>
      </c>
      <c r="K26" s="18">
        <f>IF(R26&lt;&gt;1,"",DATA_INPUT!H26)</f>
        <v>207.59361268079459</v>
      </c>
      <c r="L26" s="18">
        <f t="shared" si="25"/>
        <v>799303.59561151965</v>
      </c>
      <c r="M26" s="18">
        <f>IF(R26&lt;&gt;1,"",H26*CONTROL_PANEL!$B$14)</f>
        <v>4.7705686426492342</v>
      </c>
      <c r="N26" s="18">
        <f>IF(R26&lt;&gt;1,"",DATA_INPUT!K26)</f>
        <v>1908588.9318682961</v>
      </c>
      <c r="O26" s="18">
        <f t="shared" si="3"/>
        <v>28780675.331268732</v>
      </c>
      <c r="P26" s="18">
        <f>IF(R26&lt;&gt;1,"",IF(O26-CONTROL_PANEL!$B$11&lt;0,0,O26-CONTROL_PANEL!$B$11))</f>
        <v>0</v>
      </c>
      <c r="Q26" s="18">
        <f>IF(R26&lt;&gt;1,"",IF(N26&lt;=0,0,MIN(N26,MAX(0,CONTROL_PANEL!$B$13-O26))))</f>
        <v>0</v>
      </c>
      <c r="R26" s="18">
        <v>1</v>
      </c>
      <c r="T26" s="19">
        <f t="shared" si="31"/>
        <v>2017</v>
      </c>
      <c r="U26" s="19">
        <v>7</v>
      </c>
      <c r="V26" s="18">
        <f t="shared" si="4"/>
        <v>31</v>
      </c>
      <c r="W26" s="18">
        <f t="shared" si="26"/>
        <v>259.03516032986823</v>
      </c>
      <c r="X26" s="18">
        <f>IF(AK25&lt;&gt;1,"",IF(AH25&gt;0,IF(AH25&gt;CONTROL_PANEL!$B$11,CONTROL_PANEL!$B$11,AH25),0))</f>
        <v>29592932.710390598</v>
      </c>
      <c r="Y26" s="18">
        <f t="shared" si="5"/>
        <v>3693705.2598250187</v>
      </c>
      <c r="Z26" s="18">
        <f>IF(AK26&lt;&gt;1,"",DATA_INPUT!I26)</f>
        <v>7.1813467449183103E-4</v>
      </c>
      <c r="AA26" s="18">
        <f>IF(AK26&lt;&gt;1,"",Z26*CONTROL_PANEL!$B$5)</f>
        <v>68.150980609274768</v>
      </c>
      <c r="AB26" s="18">
        <f>IF(AK26&lt;&gt;1,"",DATA_INPUT!$C26)</f>
        <v>0</v>
      </c>
      <c r="AC26" s="18">
        <f t="shared" si="6"/>
        <v>0</v>
      </c>
      <c r="AD26" s="18">
        <f>IF(AK26&lt;&gt;1,"",DATA_INPUT!$H26)</f>
        <v>207.59361268079459</v>
      </c>
      <c r="AE26" s="18">
        <f t="shared" si="7"/>
        <v>766789.61906512873</v>
      </c>
      <c r="AF26" s="18">
        <f>IF(AK26&lt;&gt;1,"",AA26*CONTROL_PANEL!$B$14)</f>
        <v>4.7705686426492342</v>
      </c>
      <c r="AG26" s="18">
        <f>IF(AK26&lt;&gt;1,"",DATA_INPUT!$L26)</f>
        <v>2431776.8962272569</v>
      </c>
      <c r="AH26" s="18">
        <f t="shared" si="8"/>
        <v>26394429.575510181</v>
      </c>
      <c r="AI26" s="18">
        <f>IF(AK26&lt;&gt;1,"",IF(AH26-CONTROL_PANEL!$B$11&lt;0,0,AH26-CONTROL_PANEL!$B$11))</f>
        <v>0</v>
      </c>
      <c r="AJ26" s="18">
        <f>IF(AK26&lt;&gt;1,"",IF(AG26&lt;=0,0,MIN(AG26,MAX(0,CONTROL_PANEL!$B$13-AH26))))</f>
        <v>0</v>
      </c>
      <c r="AK26" s="18">
        <v>1</v>
      </c>
      <c r="AM26" s="19">
        <f t="shared" si="32"/>
        <v>2017</v>
      </c>
      <c r="AN26" s="19">
        <v>7</v>
      </c>
      <c r="AO26" s="18">
        <f t="shared" si="9"/>
        <v>31</v>
      </c>
      <c r="AP26" s="18">
        <f t="shared" si="27"/>
        <v>259.42040481234739</v>
      </c>
      <c r="AQ26" s="18">
        <f>IF(BD25&lt;&gt;1,"",IF(BA25&gt;0,IF(BA25&gt;CONTROL_PANEL!$B$11,CONTROL_PANEL!$B$11,BA25),0))</f>
        <v>31048714.897926029</v>
      </c>
      <c r="AR26" s="18">
        <f t="shared" si="10"/>
        <v>3814275.2099949541</v>
      </c>
      <c r="AS26" s="18">
        <f>IF(BD26&lt;&gt;1,"",DATA_INPUT!$I26)</f>
        <v>7.1813467449183103E-4</v>
      </c>
      <c r="AT26" s="18">
        <f>IF(BD26&lt;&gt;1,"",AS26*CONTROL_PANEL!$B$5)</f>
        <v>68.150980609274768</v>
      </c>
      <c r="AU26" s="18">
        <f>IF(BD26&lt;&gt;1,"",DATA_INPUT!$C26)</f>
        <v>0</v>
      </c>
      <c r="AV26" s="18">
        <f t="shared" si="11"/>
        <v>0</v>
      </c>
      <c r="AW26" s="18">
        <f>IF(BD26&lt;&gt;1,"",DATA_INPUT!$H26)</f>
        <v>207.59361268079459</v>
      </c>
      <c r="AX26" s="18">
        <f t="shared" si="12"/>
        <v>791819.17060164898</v>
      </c>
      <c r="AY26" s="18">
        <f>IF(BD26&lt;&gt;1,"",AT26*CONTROL_PANEL!$B$14)</f>
        <v>4.7705686426492342</v>
      </c>
      <c r="AZ26" s="18">
        <f>IF(BD26&lt;&gt;1,"",DATA_INPUT!$M26)</f>
        <v>2136483.9421410291</v>
      </c>
      <c r="BA26" s="18">
        <f t="shared" si="13"/>
        <v>28120475.165595319</v>
      </c>
      <c r="BB26" s="18">
        <f>IF(BD26&lt;&gt;1,"",IF(BA26-CONTROL_PANEL!$B$11&lt;0,0,BA26-CONTROL_PANEL!$B$11))</f>
        <v>0</v>
      </c>
      <c r="BC26" s="18">
        <f>IF(BD26&lt;&gt;1,"",IF(AZ26&lt;=0,0,MIN(AZ26,MAX(0,CONTROL_PANEL!$B$13-BA26))))</f>
        <v>0</v>
      </c>
      <c r="BD26" s="18">
        <v>1</v>
      </c>
      <c r="BF26" s="19">
        <f t="shared" si="33"/>
        <v>2017</v>
      </c>
      <c r="BG26" s="19">
        <v>7</v>
      </c>
      <c r="BH26" s="18">
        <f t="shared" si="14"/>
        <v>31</v>
      </c>
      <c r="BI26" s="18">
        <f t="shared" si="28"/>
        <v>259.67408607524419</v>
      </c>
      <c r="BJ26" s="18">
        <f>IF(BW25&lt;&gt;1,"",IF(BT25&gt;0,IF(BT25&gt;CONTROL_PANEL!$B$11,CONTROL_PANEL!$B$11,BT25),0))</f>
        <v>32033031.696762554</v>
      </c>
      <c r="BK26" s="18">
        <f t="shared" si="15"/>
        <v>3894737.77457172</v>
      </c>
      <c r="BL26" s="18">
        <f>IF(BW26&lt;&gt;1,"",DATA_INPUT!$I26)</f>
        <v>7.1813467449183103E-4</v>
      </c>
      <c r="BM26" s="18">
        <f>IF(BW26&lt;&gt;1,"",BL26*CONTROL_PANEL!$B$5)</f>
        <v>68.150980609274768</v>
      </c>
      <c r="BN26" s="18">
        <f>IF(BW26&lt;&gt;1,"",DATA_INPUT!$C26)</f>
        <v>0</v>
      </c>
      <c r="BO26" s="18">
        <f t="shared" si="16"/>
        <v>0</v>
      </c>
      <c r="BP26" s="18">
        <f>IF(BW26&lt;&gt;1,"",DATA_INPUT!$H26)</f>
        <v>207.59361268079459</v>
      </c>
      <c r="BQ26" s="18">
        <f t="shared" si="17"/>
        <v>808522.68506770162</v>
      </c>
      <c r="BR26" s="18">
        <f>IF(BW26&lt;&gt;1,"",BM26*CONTROL_PANEL!$B$14)</f>
        <v>4.7705686426492342</v>
      </c>
      <c r="BS26" s="18">
        <f>IF(BW26&lt;&gt;1,"",DATA_INPUT!$N26)</f>
        <v>1956240.9523803997</v>
      </c>
      <c r="BT26" s="18">
        <f t="shared" si="18"/>
        <v>29268331.43972642</v>
      </c>
      <c r="BU26" s="18">
        <f>IF(BW26&lt;&gt;1,"",IF(BT26-CONTROL_PANEL!$B$11&lt;0,0,BT26-CONTROL_PANEL!$B$11))</f>
        <v>0</v>
      </c>
      <c r="BV26" s="18">
        <f>IF(BW26&lt;&gt;1,"",IF(BS26&lt;=0,0,MIN(BS26,MAX(0,CONTROL_PANEL!$B$13-BT26))))</f>
        <v>0</v>
      </c>
      <c r="BW26" s="18">
        <v>1</v>
      </c>
      <c r="BY26" s="19">
        <f t="shared" si="34"/>
        <v>2017</v>
      </c>
      <c r="BZ26" s="19">
        <v>7</v>
      </c>
      <c r="CA26" s="18">
        <f t="shared" si="19"/>
        <v>31</v>
      </c>
      <c r="CB26" s="18">
        <f t="shared" si="29"/>
        <v>259.42871975273221</v>
      </c>
      <c r="CC26" s="18">
        <f>IF(CP25&lt;&gt;1,"",IF(CM25&gt;0,IF(CM25&gt;CONTROL_PANEL!$B$11,CONTROL_PANEL!$B$11,CM25),0))</f>
        <v>31080652.786201805</v>
      </c>
      <c r="CD26" s="18">
        <f t="shared" si="20"/>
        <v>3816899.0967353974</v>
      </c>
      <c r="CE26" s="18">
        <f>IF(CP26&lt;&gt;1,"",DATA_INPUT!$I26)</f>
        <v>7.1813467449183103E-4</v>
      </c>
      <c r="CF26" s="18">
        <f>IF(CP26&lt;&gt;1,"",CE26*CONTROL_PANEL!$B$5)</f>
        <v>68.150980609274768</v>
      </c>
      <c r="CG26" s="18">
        <f>IF(CP26&lt;&gt;1,"",DATA_INPUT!$C26)</f>
        <v>0</v>
      </c>
      <c r="CH26" s="18">
        <f t="shared" si="21"/>
        <v>0</v>
      </c>
      <c r="CI26" s="18">
        <f>IF(CP26&lt;&gt;1,"",DATA_INPUT!$H26)</f>
        <v>207.59361268079459</v>
      </c>
      <c r="CJ26" s="18">
        <f t="shared" si="22"/>
        <v>792363.8727293628</v>
      </c>
      <c r="CK26" s="18">
        <f>IF(CP26&lt;&gt;1,"",CF26*CONTROL_PANEL!$B$14)</f>
        <v>4.7705686426492342</v>
      </c>
      <c r="CL26" s="18">
        <f>IF(CP26&lt;&gt;1,"",DATA_INPUT!$O26)</f>
        <v>2249328.9880881626</v>
      </c>
      <c r="CM26" s="18">
        <f t="shared" si="23"/>
        <v>28039023.305796247</v>
      </c>
      <c r="CN26" s="18">
        <f>IF(CP26&lt;&gt;1,"",IF(CM26-CONTROL_PANEL!$B$11&lt;0,0,CM26-CONTROL_PANEL!$B$11))</f>
        <v>0</v>
      </c>
      <c r="CO26" s="18">
        <f>IF(CP26&lt;&gt;1,"",IF(CL26&lt;=0,0,MIN(CL26,MAX(0,CONTROL_PANEL!$B$13-CM26))))</f>
        <v>0</v>
      </c>
      <c r="CP26" s="18">
        <v>1</v>
      </c>
    </row>
    <row r="27" spans="1:94" x14ac:dyDescent="0.25">
      <c r="A27" s="19">
        <f t="shared" si="30"/>
        <v>2017</v>
      </c>
      <c r="B27" s="19">
        <v>8</v>
      </c>
      <c r="C27" s="18">
        <f t="shared" si="0"/>
        <v>31</v>
      </c>
      <c r="D27" s="18">
        <f t="shared" si="24"/>
        <v>258.81467707599649</v>
      </c>
      <c r="E27" s="18">
        <f>IF(R26&lt;&gt;1,"",IF(O26&gt;0,IF(O26&gt;CONTROL_PANEL!$B$11,CONTROL_PANEL!$B$11,O26),0))</f>
        <v>28780675.331268732</v>
      </c>
      <c r="F27" s="18">
        <f t="shared" si="1"/>
        <v>3625580.3813033067</v>
      </c>
      <c r="G27" s="18">
        <f>IF(R27&lt;&gt;1,"",DATA_INPUT!I27)</f>
        <v>9.8371022935272182E-5</v>
      </c>
      <c r="H27" s="18">
        <f>IF(R27&lt;&gt;1,"",G27*CONTROL_PANEL!$B$5)</f>
        <v>9.3354100765573307</v>
      </c>
      <c r="I27" s="18">
        <f>IF(R27&lt;&gt;1,"",DATA_INPUT!C27)</f>
        <v>14.699363333333336</v>
      </c>
      <c r="J27" s="18">
        <f t="shared" si="2"/>
        <v>53293.72331898252</v>
      </c>
      <c r="K27" s="18">
        <f>IF(R27&lt;&gt;1,"",DATA_INPUT!H27)</f>
        <v>201.06191889230979</v>
      </c>
      <c r="L27" s="18">
        <f t="shared" si="25"/>
        <v>728966.14856315509</v>
      </c>
      <c r="M27" s="18">
        <f>IF(R27&lt;&gt;1,"",H27*CONTROL_PANEL!$B$14)</f>
        <v>0.6534787053590132</v>
      </c>
      <c r="N27" s="18">
        <f>IF(R27&lt;&gt;1,"",DATA_INPUT!K27)</f>
        <v>1247883.4075799088</v>
      </c>
      <c r="O27" s="18">
        <f t="shared" si="3"/>
        <v>26857128.180376023</v>
      </c>
      <c r="P27" s="18">
        <f>IF(R27&lt;&gt;1,"",IF(O27-CONTROL_PANEL!$B$11&lt;0,0,O27-CONTROL_PANEL!$B$11))</f>
        <v>0</v>
      </c>
      <c r="Q27" s="18">
        <f>IF(R27&lt;&gt;1,"",IF(N27&lt;=0,0,MIN(N27,MAX(0,CONTROL_PANEL!$B$13-O27))))</f>
        <v>0</v>
      </c>
      <c r="R27" s="18">
        <v>1</v>
      </c>
      <c r="T27" s="19">
        <f t="shared" si="31"/>
        <v>2017</v>
      </c>
      <c r="U27" s="19">
        <v>8</v>
      </c>
      <c r="V27" s="18">
        <f t="shared" si="4"/>
        <v>31</v>
      </c>
      <c r="W27" s="18">
        <f t="shared" si="26"/>
        <v>258.1418517771254</v>
      </c>
      <c r="X27" s="18">
        <f>IF(AK26&lt;&gt;1,"",IF(AH26&gt;0,IF(AH26&gt;CONTROL_PANEL!$B$11,CONTROL_PANEL!$B$11,AH26),0))</f>
        <v>26394429.575510181</v>
      </c>
      <c r="Y27" s="18">
        <f t="shared" si="5"/>
        <v>3421648.7724979557</v>
      </c>
      <c r="Z27" s="18">
        <f>IF(AK27&lt;&gt;1,"",DATA_INPUT!I27)</f>
        <v>9.8371022935272182E-5</v>
      </c>
      <c r="AA27" s="18">
        <f>IF(AK27&lt;&gt;1,"",Z27*CONTROL_PANEL!$B$5)</f>
        <v>9.3354100765573307</v>
      </c>
      <c r="AB27" s="18">
        <f>IF(AK27&lt;&gt;1,"",DATA_INPUT!$C27)</f>
        <v>14.699363333333336</v>
      </c>
      <c r="AC27" s="18">
        <f t="shared" si="6"/>
        <v>50296.058506001464</v>
      </c>
      <c r="AD27" s="18">
        <f>IF(AK27&lt;&gt;1,"",DATA_INPUT!$H27)</f>
        <v>201.06191889230979</v>
      </c>
      <c r="AE27" s="18">
        <f t="shared" si="7"/>
        <v>687963.26797395526</v>
      </c>
      <c r="AF27" s="18">
        <f>IF(AK27&lt;&gt;1,"",AA27*CONTROL_PANEL!$B$14)</f>
        <v>0.6534787053590132</v>
      </c>
      <c r="AG27" s="18">
        <f>IF(AK27&lt;&gt;1,"",DATA_INPUT!$L27)</f>
        <v>1588730.703421592</v>
      </c>
      <c r="AH27" s="18">
        <f t="shared" si="8"/>
        <v>24168040.344552007</v>
      </c>
      <c r="AI27" s="18">
        <f>IF(AK27&lt;&gt;1,"",IF(AH27-CONTROL_PANEL!$B$11&lt;0,0,AH27-CONTROL_PANEL!$B$11))</f>
        <v>0</v>
      </c>
      <c r="AJ27" s="18">
        <f>IF(AK27&lt;&gt;1,"",IF(AG27&lt;=0,0,MIN(AG27,MAX(0,CONTROL_PANEL!$B$13-AH27))))</f>
        <v>0</v>
      </c>
      <c r="AK27" s="18">
        <v>1</v>
      </c>
      <c r="AM27" s="19">
        <f t="shared" si="32"/>
        <v>2017</v>
      </c>
      <c r="AN27" s="19">
        <v>8</v>
      </c>
      <c r="AO27" s="18">
        <f t="shared" si="9"/>
        <v>31</v>
      </c>
      <c r="AP27" s="18">
        <f t="shared" si="27"/>
        <v>258.63238227119223</v>
      </c>
      <c r="AQ27" s="18">
        <f>IF(BD26&lt;&gt;1,"",IF(BA26&gt;0,IF(BA26&gt;CONTROL_PANEL!$B$11,CONTROL_PANEL!$B$11,BA26),0))</f>
        <v>28120475.165595319</v>
      </c>
      <c r="AR27" s="18">
        <f t="shared" si="10"/>
        <v>3569738.5277836435</v>
      </c>
      <c r="AS27" s="18">
        <f>IF(BD27&lt;&gt;1,"",DATA_INPUT!$I27)</f>
        <v>9.8371022935272182E-5</v>
      </c>
      <c r="AT27" s="18">
        <f>IF(BD27&lt;&gt;1,"",AS27*CONTROL_PANEL!$B$5)</f>
        <v>9.3354100765573307</v>
      </c>
      <c r="AU27" s="18">
        <f>IF(BD27&lt;&gt;1,"",DATA_INPUT!$C27)</f>
        <v>14.699363333333336</v>
      </c>
      <c r="AV27" s="18">
        <f t="shared" si="11"/>
        <v>52472.883624890215</v>
      </c>
      <c r="AW27" s="18">
        <f>IF(BD27&lt;&gt;1,"",DATA_INPUT!$H27)</f>
        <v>201.06191889230979</v>
      </c>
      <c r="AX27" s="18">
        <f t="shared" si="12"/>
        <v>717738.47833998827</v>
      </c>
      <c r="AY27" s="18">
        <f>IF(BD27&lt;&gt;1,"",AT27*CONTROL_PANEL!$B$14)</f>
        <v>0.6534787053590132</v>
      </c>
      <c r="AZ27" s="18">
        <f>IF(BD27&lt;&gt;1,"",DATA_INPUT!$M27)</f>
        <v>1403083.8758215883</v>
      </c>
      <c r="BA27" s="18">
        <f t="shared" si="13"/>
        <v>26052134.376990005</v>
      </c>
      <c r="BB27" s="18">
        <f>IF(BD27&lt;&gt;1,"",IF(BA27-CONTROL_PANEL!$B$11&lt;0,0,BA27-CONTROL_PANEL!$B$11))</f>
        <v>0</v>
      </c>
      <c r="BC27" s="18">
        <f>IF(BD27&lt;&gt;1,"",IF(AZ27&lt;=0,0,MIN(AZ27,MAX(0,CONTROL_PANEL!$B$13-BA27))))</f>
        <v>0</v>
      </c>
      <c r="BD27" s="18">
        <v>1</v>
      </c>
      <c r="BF27" s="19">
        <f t="shared" si="33"/>
        <v>2017</v>
      </c>
      <c r="BG27" s="19">
        <v>8</v>
      </c>
      <c r="BH27" s="18">
        <f t="shared" si="14"/>
        <v>31</v>
      </c>
      <c r="BI27" s="18">
        <f t="shared" si="28"/>
        <v>258.94754052184902</v>
      </c>
      <c r="BJ27" s="18">
        <f>IF(BW26&lt;&gt;1,"",IF(BT26&gt;0,IF(BT26&gt;CONTROL_PANEL!$B$11,CONTROL_PANEL!$B$11,BT26),0))</f>
        <v>29268331.43972642</v>
      </c>
      <c r="BK27" s="18">
        <f t="shared" si="15"/>
        <v>3666555.8301934493</v>
      </c>
      <c r="BL27" s="18">
        <f>IF(BW27&lt;&gt;1,"",DATA_INPUT!$I27)</f>
        <v>9.8371022935272182E-5</v>
      </c>
      <c r="BM27" s="18">
        <f>IF(BW27&lt;&gt;1,"",BL27*CONTROL_PANEL!$B$5)</f>
        <v>9.3354100765573307</v>
      </c>
      <c r="BN27" s="18">
        <f>IF(BW27&lt;&gt;1,"",DATA_INPUT!$C27)</f>
        <v>14.699363333333336</v>
      </c>
      <c r="BO27" s="18">
        <f t="shared" si="16"/>
        <v>53896.036329965158</v>
      </c>
      <c r="BP27" s="18">
        <f>IF(BW27&lt;&gt;1,"",DATA_INPUT!$H27)</f>
        <v>201.06191889230979</v>
      </c>
      <c r="BQ27" s="18">
        <f t="shared" si="17"/>
        <v>737204.75094448088</v>
      </c>
      <c r="BR27" s="18">
        <f>IF(BW27&lt;&gt;1,"",BM27*CONTROL_PANEL!$B$14)</f>
        <v>0.6534787053590132</v>
      </c>
      <c r="BS27" s="18">
        <f>IF(BW27&lt;&gt;1,"",DATA_INPUT!$N27)</f>
        <v>1291677.9202742937</v>
      </c>
      <c r="BT27" s="18">
        <f t="shared" si="18"/>
        <v>27293353.486768983</v>
      </c>
      <c r="BU27" s="18">
        <f>IF(BW27&lt;&gt;1,"",IF(BT27-CONTROL_PANEL!$B$11&lt;0,0,BT27-CONTROL_PANEL!$B$11))</f>
        <v>0</v>
      </c>
      <c r="BV27" s="18">
        <f>IF(BW27&lt;&gt;1,"",IF(BS27&lt;=0,0,MIN(BS27,MAX(0,CONTROL_PANEL!$B$13-BT27))))</f>
        <v>0</v>
      </c>
      <c r="BW27" s="18">
        <v>1</v>
      </c>
      <c r="BY27" s="19">
        <f t="shared" si="34"/>
        <v>2017</v>
      </c>
      <c r="BZ27" s="19">
        <v>8</v>
      </c>
      <c r="CA27" s="18">
        <f t="shared" si="19"/>
        <v>31</v>
      </c>
      <c r="CB27" s="18">
        <f t="shared" si="29"/>
        <v>258.60969406870026</v>
      </c>
      <c r="CC27" s="18">
        <f>IF(CP26&lt;&gt;1,"",IF(CM26&gt;0,IF(CM26&gt;CONTROL_PANEL!$B$11,CONTROL_PANEL!$B$11,CM26),0))</f>
        <v>28039023.305796247</v>
      </c>
      <c r="CD27" s="18">
        <f t="shared" si="20"/>
        <v>3562819.1399948713</v>
      </c>
      <c r="CE27" s="18">
        <f>IF(CP27&lt;&gt;1,"",DATA_INPUT!$I27)</f>
        <v>9.8371022935272182E-5</v>
      </c>
      <c r="CF27" s="18">
        <f>IF(CP27&lt;&gt;1,"",CE27*CONTROL_PANEL!$B$5)</f>
        <v>9.3354100765573307</v>
      </c>
      <c r="CG27" s="18">
        <f>IF(CP27&lt;&gt;1,"",DATA_INPUT!$C27)</f>
        <v>14.699363333333336</v>
      </c>
      <c r="CH27" s="18">
        <f t="shared" si="21"/>
        <v>52371.17302973882</v>
      </c>
      <c r="CI27" s="18">
        <f>IF(CP27&lt;&gt;1,"",DATA_INPUT!$H27)</f>
        <v>201.06191889230979</v>
      </c>
      <c r="CJ27" s="18">
        <f t="shared" si="22"/>
        <v>716347.25295361772</v>
      </c>
      <c r="CK27" s="18">
        <f>IF(CP27&lt;&gt;1,"",CF27*CONTROL_PANEL!$B$14)</f>
        <v>0.6534787053590132</v>
      </c>
      <c r="CL27" s="18">
        <f>IF(CP27&lt;&gt;1,"",DATA_INPUT!$O27)</f>
        <v>1484043.4720105585</v>
      </c>
      <c r="CM27" s="18">
        <f t="shared" si="23"/>
        <v>25891012.435793184</v>
      </c>
      <c r="CN27" s="18">
        <f>IF(CP27&lt;&gt;1,"",IF(CM27-CONTROL_PANEL!$B$11&lt;0,0,CM27-CONTROL_PANEL!$B$11))</f>
        <v>0</v>
      </c>
      <c r="CO27" s="18">
        <f>IF(CP27&lt;&gt;1,"",IF(CL27&lt;=0,0,MIN(CL27,MAX(0,CONTROL_PANEL!$B$13-CM27))))</f>
        <v>0</v>
      </c>
      <c r="CP27" s="18">
        <v>1</v>
      </c>
    </row>
    <row r="28" spans="1:94" x14ac:dyDescent="0.25">
      <c r="A28" s="19">
        <f t="shared" si="30"/>
        <v>2017</v>
      </c>
      <c r="B28" s="19">
        <v>9</v>
      </c>
      <c r="C28" s="18">
        <f t="shared" si="0"/>
        <v>30</v>
      </c>
      <c r="D28" s="18">
        <f t="shared" si="24"/>
        <v>258.27540307538277</v>
      </c>
      <c r="E28" s="18">
        <f>IF(R27&lt;&gt;1,"",IF(O27&gt;0,IF(O27&gt;CONTROL_PANEL!$B$11,CONTROL_PANEL!$B$11,O27),0))</f>
        <v>26857128.180376023</v>
      </c>
      <c r="F28" s="18">
        <f t="shared" si="1"/>
        <v>3461653.6727711679</v>
      </c>
      <c r="G28" s="18">
        <f>IF(R28&lt;&gt;1,"",DATA_INPUT!I28)</f>
        <v>1.4671372232797102E-5</v>
      </c>
      <c r="H28" s="18">
        <f>IF(R28&lt;&gt;1,"",G28*CONTROL_PANEL!$B$5)</f>
        <v>1.392313224892445</v>
      </c>
      <c r="I28" s="18">
        <f>IF(R28&lt;&gt;1,"",DATA_INPUT!C28)</f>
        <v>0</v>
      </c>
      <c r="J28" s="18">
        <f t="shared" si="2"/>
        <v>0</v>
      </c>
      <c r="K28" s="18">
        <f>IF(R28&lt;&gt;1,"",DATA_INPUT!H28)</f>
        <v>139.33673160687493</v>
      </c>
      <c r="L28" s="18">
        <f t="shared" si="25"/>
        <v>482335.50871886907</v>
      </c>
      <c r="M28" s="18">
        <f>IF(R28&lt;&gt;1,"",H28*CONTROL_PANEL!$B$14)</f>
        <v>9.7461925742471159E-2</v>
      </c>
      <c r="N28" s="18">
        <f>IF(R28&lt;&gt;1,"",DATA_INPUT!K28)</f>
        <v>742727.29543785588</v>
      </c>
      <c r="O28" s="18">
        <f t="shared" si="3"/>
        <v>25632066.671070594</v>
      </c>
      <c r="P28" s="18">
        <f>IF(R28&lt;&gt;1,"",IF(O28-CONTROL_PANEL!$B$11&lt;0,0,O28-CONTROL_PANEL!$B$11))</f>
        <v>0</v>
      </c>
      <c r="Q28" s="18">
        <f>IF(R28&lt;&gt;1,"",IF(N28&lt;=0,0,MIN(N28,MAX(0,CONTROL_PANEL!$B$13-O28))))</f>
        <v>0</v>
      </c>
      <c r="R28" s="18">
        <v>1</v>
      </c>
      <c r="T28" s="19">
        <f t="shared" si="31"/>
        <v>2017</v>
      </c>
      <c r="U28" s="19">
        <v>9</v>
      </c>
      <c r="V28" s="18">
        <f t="shared" si="4"/>
        <v>30</v>
      </c>
      <c r="W28" s="18">
        <f t="shared" si="26"/>
        <v>257.47634258022464</v>
      </c>
      <c r="X28" s="18">
        <f>IF(AK27&lt;&gt;1,"",IF(AH27&gt;0,IF(AH27&gt;CONTROL_PANEL!$B$11,CONTROL_PANEL!$B$11,AH27),0))</f>
        <v>24168040.344552007</v>
      </c>
      <c r="Y28" s="18">
        <f t="shared" si="5"/>
        <v>3225797.1142265513</v>
      </c>
      <c r="Z28" s="18">
        <f>IF(AK28&lt;&gt;1,"",DATA_INPUT!I28)</f>
        <v>1.4671372232797102E-5</v>
      </c>
      <c r="AA28" s="18">
        <f>IF(AK28&lt;&gt;1,"",Z28*CONTROL_PANEL!$B$5)</f>
        <v>1.392313224892445</v>
      </c>
      <c r="AB28" s="18">
        <f>IF(AK28&lt;&gt;1,"",DATA_INPUT!$C28)</f>
        <v>0</v>
      </c>
      <c r="AC28" s="18">
        <f t="shared" si="6"/>
        <v>0</v>
      </c>
      <c r="AD28" s="18">
        <f>IF(AK28&lt;&gt;1,"",DATA_INPUT!$H28)</f>
        <v>139.33673160687493</v>
      </c>
      <c r="AE28" s="18">
        <f t="shared" si="7"/>
        <v>449472.02672321664</v>
      </c>
      <c r="AF28" s="18">
        <f>IF(AK28&lt;&gt;1,"",AA28*CONTROL_PANEL!$B$14)</f>
        <v>9.7461925742471159E-2</v>
      </c>
      <c r="AG28" s="18">
        <f>IF(AK28&lt;&gt;1,"",DATA_INPUT!$L28)</f>
        <v>946943.89607429807</v>
      </c>
      <c r="AH28" s="18">
        <f t="shared" si="8"/>
        <v>22771625.71660579</v>
      </c>
      <c r="AI28" s="18">
        <f>IF(AK28&lt;&gt;1,"",IF(AH28-CONTROL_PANEL!$B$11&lt;0,0,AH28-CONTROL_PANEL!$B$11))</f>
        <v>0</v>
      </c>
      <c r="AJ28" s="18">
        <f>IF(AK28&lt;&gt;1,"",IF(AG28&lt;=0,0,MIN(AG28,MAX(0,CONTROL_PANEL!$B$13-AH28))))</f>
        <v>0</v>
      </c>
      <c r="AK28" s="18">
        <v>1</v>
      </c>
      <c r="AM28" s="19">
        <f t="shared" si="32"/>
        <v>2017</v>
      </c>
      <c r="AN28" s="19">
        <v>9</v>
      </c>
      <c r="AO28" s="18">
        <f t="shared" si="9"/>
        <v>30</v>
      </c>
      <c r="AP28" s="18">
        <f t="shared" si="27"/>
        <v>258.04204205186272</v>
      </c>
      <c r="AQ28" s="18">
        <f>IF(BD27&lt;&gt;1,"",IF(BA27&gt;0,IF(BA27&gt;CONTROL_PANEL!$B$11,CONTROL_PANEL!$B$11,BA27),0))</f>
        <v>26052134.376990005</v>
      </c>
      <c r="AR28" s="18">
        <f t="shared" si="10"/>
        <v>3391904.3700665333</v>
      </c>
      <c r="AS28" s="18">
        <f>IF(BD28&lt;&gt;1,"",DATA_INPUT!$I28)</f>
        <v>1.4671372232797102E-5</v>
      </c>
      <c r="AT28" s="18">
        <f>IF(BD28&lt;&gt;1,"",AS28*CONTROL_PANEL!$B$5)</f>
        <v>1.392313224892445</v>
      </c>
      <c r="AU28" s="18">
        <f>IF(BD28&lt;&gt;1,"",DATA_INPUT!$C28)</f>
        <v>0</v>
      </c>
      <c r="AV28" s="18">
        <f t="shared" si="11"/>
        <v>0</v>
      </c>
      <c r="AW28" s="18">
        <f>IF(BD28&lt;&gt;1,"",DATA_INPUT!$H28)</f>
        <v>139.33673160687493</v>
      </c>
      <c r="AX28" s="18">
        <f t="shared" si="12"/>
        <v>472616.86884814675</v>
      </c>
      <c r="AY28" s="18">
        <f>IF(BD28&lt;&gt;1,"",AT28*CONTROL_PANEL!$B$14)</f>
        <v>9.7461925742471159E-2</v>
      </c>
      <c r="AZ28" s="18">
        <f>IF(BD28&lt;&gt;1,"",DATA_INPUT!$M28)</f>
        <v>833774.45707630285</v>
      </c>
      <c r="BA28" s="18">
        <f t="shared" si="13"/>
        <v>24745744.345916852</v>
      </c>
      <c r="BB28" s="18">
        <f>IF(BD28&lt;&gt;1,"",IF(BA28-CONTROL_PANEL!$B$11&lt;0,0,BA28-CONTROL_PANEL!$B$11))</f>
        <v>0</v>
      </c>
      <c r="BC28" s="18">
        <f>IF(BD28&lt;&gt;1,"",IF(AZ28&lt;=0,0,MIN(AZ28,MAX(0,CONTROL_PANEL!$B$13-BA28))))</f>
        <v>0</v>
      </c>
      <c r="BD28" s="18">
        <v>1</v>
      </c>
      <c r="BF28" s="19">
        <f t="shared" si="33"/>
        <v>2017</v>
      </c>
      <c r="BG28" s="19">
        <v>9</v>
      </c>
      <c r="BH28" s="18">
        <f t="shared" si="14"/>
        <v>30</v>
      </c>
      <c r="BI28" s="18">
        <f t="shared" si="28"/>
        <v>258.39991106010132</v>
      </c>
      <c r="BJ28" s="18">
        <f>IF(BW27&lt;&gt;1,"",IF(BT27&gt;0,IF(BT27&gt;CONTROL_PANEL!$B$11,CONTROL_PANEL!$B$11,BT27),0))</f>
        <v>27293353.486768983</v>
      </c>
      <c r="BK28" s="18">
        <f t="shared" si="15"/>
        <v>3499161.182707191</v>
      </c>
      <c r="BL28" s="18">
        <f>IF(BW28&lt;&gt;1,"",DATA_INPUT!$I28)</f>
        <v>1.4671372232797102E-5</v>
      </c>
      <c r="BM28" s="18">
        <f>IF(BW28&lt;&gt;1,"",BL28*CONTROL_PANEL!$B$5)</f>
        <v>1.392313224892445</v>
      </c>
      <c r="BN28" s="18">
        <f>IF(BW28&lt;&gt;1,"",DATA_INPUT!$C28)</f>
        <v>0</v>
      </c>
      <c r="BO28" s="18">
        <f t="shared" si="16"/>
        <v>0</v>
      </c>
      <c r="BP28" s="18">
        <f>IF(BW28&lt;&gt;1,"",DATA_INPUT!$H28)</f>
        <v>139.33673160687493</v>
      </c>
      <c r="BQ28" s="18">
        <f t="shared" si="17"/>
        <v>487561.68256406696</v>
      </c>
      <c r="BR28" s="18">
        <f>IF(BW28&lt;&gt;1,"",BM28*CONTROL_PANEL!$B$14)</f>
        <v>9.7461925742471159E-2</v>
      </c>
      <c r="BS28" s="18">
        <f>IF(BW28&lt;&gt;1,"",DATA_INPUT!$N28)</f>
        <v>765103.95346427592</v>
      </c>
      <c r="BT28" s="18">
        <f t="shared" si="18"/>
        <v>26040689.145591937</v>
      </c>
      <c r="BU28" s="18">
        <f>IF(BW28&lt;&gt;1,"",IF(BT28-CONTROL_PANEL!$B$11&lt;0,0,BT28-CONTROL_PANEL!$B$11))</f>
        <v>0</v>
      </c>
      <c r="BV28" s="18">
        <f>IF(BW28&lt;&gt;1,"",IF(BS28&lt;=0,0,MIN(BS28,MAX(0,CONTROL_PANEL!$B$13-BT28))))</f>
        <v>0</v>
      </c>
      <c r="BW28" s="18">
        <v>1</v>
      </c>
      <c r="BY28" s="19">
        <f t="shared" si="34"/>
        <v>2017</v>
      </c>
      <c r="BZ28" s="19">
        <v>9</v>
      </c>
      <c r="CA28" s="18">
        <f t="shared" si="19"/>
        <v>30</v>
      </c>
      <c r="CB28" s="18">
        <f t="shared" si="29"/>
        <v>257.99475678506855</v>
      </c>
      <c r="CC28" s="18">
        <f>IF(CP27&lt;&gt;1,"",IF(CM27&gt;0,IF(CM27&gt;CONTROL_PANEL!$B$11,CONTROL_PANEL!$B$11,CM27),0))</f>
        <v>25891012.435793184</v>
      </c>
      <c r="CD28" s="18">
        <f t="shared" si="20"/>
        <v>3377858.6150481086</v>
      </c>
      <c r="CE28" s="18">
        <f>IF(CP28&lt;&gt;1,"",DATA_INPUT!$I28)</f>
        <v>1.4671372232797102E-5</v>
      </c>
      <c r="CF28" s="18">
        <f>IF(CP28&lt;&gt;1,"",CE28*CONTROL_PANEL!$B$5)</f>
        <v>1.392313224892445</v>
      </c>
      <c r="CG28" s="18">
        <f>IF(CP28&lt;&gt;1,"",DATA_INPUT!$C28)</f>
        <v>0</v>
      </c>
      <c r="CH28" s="18">
        <f t="shared" si="21"/>
        <v>0</v>
      </c>
      <c r="CI28" s="18">
        <f>IF(CP28&lt;&gt;1,"",DATA_INPUT!$H28)</f>
        <v>139.33673160687493</v>
      </c>
      <c r="CJ28" s="18">
        <f t="shared" si="22"/>
        <v>470659.77925092861</v>
      </c>
      <c r="CK28" s="18">
        <f>IF(CP28&lt;&gt;1,"",CF28*CONTROL_PANEL!$B$14)</f>
        <v>9.7461925742471159E-2</v>
      </c>
      <c r="CL28" s="18">
        <f>IF(CP28&lt;&gt;1,"",DATA_INPUT!$O28)</f>
        <v>880322.68332878163</v>
      </c>
      <c r="CM28" s="18">
        <f t="shared" si="23"/>
        <v>24540031.268064771</v>
      </c>
      <c r="CN28" s="18">
        <f>IF(CP28&lt;&gt;1,"",IF(CM28-CONTROL_PANEL!$B$11&lt;0,0,CM28-CONTROL_PANEL!$B$11))</f>
        <v>0</v>
      </c>
      <c r="CO28" s="18">
        <f>IF(CP28&lt;&gt;1,"",IF(CL28&lt;=0,0,MIN(CL28,MAX(0,CONTROL_PANEL!$B$13-CM28))))</f>
        <v>0</v>
      </c>
      <c r="CP28" s="18">
        <v>1</v>
      </c>
    </row>
    <row r="29" spans="1:94" x14ac:dyDescent="0.25">
      <c r="A29" s="19">
        <f t="shared" si="30"/>
        <v>2017</v>
      </c>
      <c r="B29" s="19">
        <v>10</v>
      </c>
      <c r="C29" s="18">
        <f t="shared" si="0"/>
        <v>31</v>
      </c>
      <c r="D29" s="18">
        <f t="shared" si="24"/>
        <v>257.91834858254146</v>
      </c>
      <c r="E29" s="18">
        <f>IF(R28&lt;&gt;1,"",IF(O28&gt;0,IF(O28&gt;CONTROL_PANEL!$B$11,CONTROL_PANEL!$B$11,O28),0))</f>
        <v>25632066.671070594</v>
      </c>
      <c r="F29" s="18">
        <f t="shared" si="1"/>
        <v>3355224.2970852302</v>
      </c>
      <c r="G29" s="18">
        <f>IF(R29&lt;&gt;1,"",DATA_INPUT!I29)</f>
        <v>2.0097036749070338E-6</v>
      </c>
      <c r="H29" s="18">
        <f>IF(R29&lt;&gt;1,"",G29*CONTROL_PANEL!$B$5)</f>
        <v>0.19072087874867752</v>
      </c>
      <c r="I29" s="18">
        <f>IF(R29&lt;&gt;1,"",DATA_INPUT!C29)</f>
        <v>24.208982691269998</v>
      </c>
      <c r="J29" s="18">
        <f t="shared" si="2"/>
        <v>81226.566933464885</v>
      </c>
      <c r="K29" s="18">
        <f>IF(R29&lt;&gt;1,"",DATA_INPUT!H29)</f>
        <v>79.768786845656905</v>
      </c>
      <c r="L29" s="18">
        <f t="shared" si="25"/>
        <v>267642.17177356075</v>
      </c>
      <c r="M29" s="18">
        <f>IF(R29&lt;&gt;1,"",H29*CONTROL_PANEL!$B$14)</f>
        <v>1.3350461512407428E-2</v>
      </c>
      <c r="N29" s="18">
        <f>IF(R29&lt;&gt;1,"",DATA_INPUT!K29)</f>
        <v>315397.27412237343</v>
      </c>
      <c r="O29" s="18">
        <f t="shared" si="3"/>
        <v>25130253.96947854</v>
      </c>
      <c r="P29" s="18">
        <f>IF(R29&lt;&gt;1,"",IF(O29-CONTROL_PANEL!$B$11&lt;0,0,O29-CONTROL_PANEL!$B$11))</f>
        <v>0</v>
      </c>
      <c r="Q29" s="18">
        <f>IF(R29&lt;&gt;1,"",IF(N29&lt;=0,0,MIN(N29,MAX(0,CONTROL_PANEL!$B$13-O29))))</f>
        <v>0</v>
      </c>
      <c r="R29" s="18">
        <v>1</v>
      </c>
      <c r="T29" s="19">
        <f t="shared" si="31"/>
        <v>2017</v>
      </c>
      <c r="U29" s="19">
        <v>10</v>
      </c>
      <c r="V29" s="18">
        <f t="shared" si="4"/>
        <v>31</v>
      </c>
      <c r="W29" s="18">
        <f t="shared" si="26"/>
        <v>257.03773219128914</v>
      </c>
      <c r="X29" s="18">
        <f>IF(AK28&lt;&gt;1,"",IF(AH28&gt;0,IF(AH28&gt;CONTROL_PANEL!$B$11,CONTROL_PANEL!$B$11,AH28),0))</f>
        <v>22771625.71660579</v>
      </c>
      <c r="Y29" s="18">
        <f t="shared" si="5"/>
        <v>3099905.0427166964</v>
      </c>
      <c r="Z29" s="18">
        <f>IF(AK29&lt;&gt;1,"",DATA_INPUT!I29)</f>
        <v>2.0097036749070338E-6</v>
      </c>
      <c r="AA29" s="18">
        <f>IF(AK29&lt;&gt;1,"",Z29*CONTROL_PANEL!$B$5)</f>
        <v>0.19072087874867752</v>
      </c>
      <c r="AB29" s="18">
        <f>IF(AK29&lt;&gt;1,"",DATA_INPUT!$C29)</f>
        <v>24.208982691269998</v>
      </c>
      <c r="AC29" s="18">
        <f t="shared" si="6"/>
        <v>75045.547523709087</v>
      </c>
      <c r="AD29" s="18">
        <f>IF(AK29&lt;&gt;1,"",DATA_INPUT!$H29)</f>
        <v>79.768786845656905</v>
      </c>
      <c r="AE29" s="18">
        <f t="shared" si="7"/>
        <v>247275.66459424511</v>
      </c>
      <c r="AF29" s="18">
        <f>IF(AK29&lt;&gt;1,"",AA29*CONTROL_PANEL!$B$14)</f>
        <v>1.3350461512407428E-2</v>
      </c>
      <c r="AG29" s="18">
        <f>IF(AK29&lt;&gt;1,"",DATA_INPUT!$L29)</f>
        <v>402329.62934352393</v>
      </c>
      <c r="AH29" s="18">
        <f t="shared" si="8"/>
        <v>22197066.14756215</v>
      </c>
      <c r="AI29" s="18">
        <f>IF(AK29&lt;&gt;1,"",IF(AH29-CONTROL_PANEL!$B$11&lt;0,0,AH29-CONTROL_PANEL!$B$11))</f>
        <v>0</v>
      </c>
      <c r="AJ29" s="18">
        <f>IF(AK29&lt;&gt;1,"",IF(AG29&lt;=0,0,MIN(AG29,MAX(0,CONTROL_PANEL!$B$13-AH29))))</f>
        <v>0</v>
      </c>
      <c r="AK29" s="18">
        <v>1</v>
      </c>
      <c r="AM29" s="19">
        <f t="shared" si="32"/>
        <v>2017</v>
      </c>
      <c r="AN29" s="19">
        <v>10</v>
      </c>
      <c r="AO29" s="18">
        <f t="shared" si="9"/>
        <v>31</v>
      </c>
      <c r="AP29" s="18">
        <f t="shared" si="27"/>
        <v>257.65284173480615</v>
      </c>
      <c r="AQ29" s="18">
        <f>IF(BD28&lt;&gt;1,"",IF(BA28&gt;0,IF(BA28&gt;CONTROL_PANEL!$B$11,CONTROL_PANEL!$B$11,BA28),0))</f>
        <v>24745744.345916852</v>
      </c>
      <c r="AR29" s="18">
        <f t="shared" si="10"/>
        <v>3277170.869193207</v>
      </c>
      <c r="AS29" s="18">
        <f>IF(BD29&lt;&gt;1,"",DATA_INPUT!$I29)</f>
        <v>2.0097036749070338E-6</v>
      </c>
      <c r="AT29" s="18">
        <f>IF(BD29&lt;&gt;1,"",AS29*CONTROL_PANEL!$B$5)</f>
        <v>0.19072087874867752</v>
      </c>
      <c r="AU29" s="18">
        <f>IF(BD29&lt;&gt;1,"",DATA_INPUT!$C29)</f>
        <v>24.208982691269998</v>
      </c>
      <c r="AV29" s="18">
        <f t="shared" si="11"/>
        <v>79336.972848632606</v>
      </c>
      <c r="AW29" s="18">
        <f>IF(BD29&lt;&gt;1,"",DATA_INPUT!$H29)</f>
        <v>79.768786845656905</v>
      </c>
      <c r="AX29" s="18">
        <f t="shared" si="12"/>
        <v>261415.94452146909</v>
      </c>
      <c r="AY29" s="18">
        <f>IF(BD29&lt;&gt;1,"",AT29*CONTROL_PANEL!$B$14)</f>
        <v>1.3350461512407428E-2</v>
      </c>
      <c r="AZ29" s="18">
        <f>IF(BD29&lt;&gt;1,"",DATA_INPUT!$M29)</f>
        <v>356110.41609638475</v>
      </c>
      <c r="BA29" s="18">
        <f t="shared" si="13"/>
        <v>24207555.135518048</v>
      </c>
      <c r="BB29" s="18">
        <f>IF(BD29&lt;&gt;1,"",IF(BA29-CONTROL_PANEL!$B$11&lt;0,0,BA29-CONTROL_PANEL!$B$11))</f>
        <v>0</v>
      </c>
      <c r="BC29" s="18">
        <f>IF(BD29&lt;&gt;1,"",IF(AZ29&lt;=0,0,MIN(AZ29,MAX(0,CONTROL_PANEL!$B$13-BA29))))</f>
        <v>0</v>
      </c>
      <c r="BD29" s="18">
        <v>1</v>
      </c>
      <c r="BF29" s="19">
        <f t="shared" si="33"/>
        <v>2017</v>
      </c>
      <c r="BG29" s="19">
        <v>10</v>
      </c>
      <c r="BH29" s="18">
        <f t="shared" si="14"/>
        <v>31</v>
      </c>
      <c r="BI29" s="18">
        <f t="shared" si="28"/>
        <v>258.03868962656247</v>
      </c>
      <c r="BJ29" s="18">
        <f>IF(BW28&lt;&gt;1,"",IF(BT28&gt;0,IF(BT28&gt;CONTROL_PANEL!$B$11,CONTROL_PANEL!$B$11,BT28),0))</f>
        <v>26040689.145591937</v>
      </c>
      <c r="BK29" s="18">
        <f t="shared" si="15"/>
        <v>3390907.5864586052</v>
      </c>
      <c r="BL29" s="18">
        <f>IF(BW29&lt;&gt;1,"",DATA_INPUT!$I29)</f>
        <v>2.0097036749070338E-6</v>
      </c>
      <c r="BM29" s="18">
        <f>IF(BW29&lt;&gt;1,"",BL29*CONTROL_PANEL!$B$5)</f>
        <v>0.19072087874867752</v>
      </c>
      <c r="BN29" s="18">
        <f>IF(BW29&lt;&gt;1,"",DATA_INPUT!$C29)</f>
        <v>24.208982691269998</v>
      </c>
      <c r="BO29" s="18">
        <f t="shared" si="16"/>
        <v>82090.423068272503</v>
      </c>
      <c r="BP29" s="18">
        <f>IF(BW29&lt;&gt;1,"",DATA_INPUT!$H29)</f>
        <v>79.768786845656905</v>
      </c>
      <c r="BQ29" s="18">
        <f t="shared" si="17"/>
        <v>270488.58447753737</v>
      </c>
      <c r="BR29" s="18">
        <f>IF(BW29&lt;&gt;1,"",BM29*CONTROL_PANEL!$B$14)</f>
        <v>1.3350461512407428E-2</v>
      </c>
      <c r="BS29" s="18">
        <f>IF(BW29&lt;&gt;1,"",DATA_INPUT!$N29)</f>
        <v>328516.62496472523</v>
      </c>
      <c r="BT29" s="18">
        <f t="shared" si="18"/>
        <v>25523774.536588367</v>
      </c>
      <c r="BU29" s="18">
        <f>IF(BW29&lt;&gt;1,"",IF(BT29-CONTROL_PANEL!$B$11&lt;0,0,BT29-CONTROL_PANEL!$B$11))</f>
        <v>0</v>
      </c>
      <c r="BV29" s="18">
        <f>IF(BW29&lt;&gt;1,"",IF(BS29&lt;=0,0,MIN(BS29,MAX(0,CONTROL_PANEL!$B$13-BT29))))</f>
        <v>0</v>
      </c>
      <c r="BW29" s="18">
        <v>1</v>
      </c>
      <c r="BY29" s="19">
        <f t="shared" si="34"/>
        <v>2017</v>
      </c>
      <c r="BZ29" s="19">
        <v>10</v>
      </c>
      <c r="CA29" s="18">
        <f t="shared" si="19"/>
        <v>31</v>
      </c>
      <c r="CB29" s="18">
        <f t="shared" si="29"/>
        <v>257.59031172785967</v>
      </c>
      <c r="CC29" s="18">
        <f>IF(CP28&lt;&gt;1,"",IF(CM28&gt;0,IF(CM28&gt;CONTROL_PANEL!$B$11,CONTROL_PANEL!$B$11,CM28),0))</f>
        <v>24540031.268064771</v>
      </c>
      <c r="CD29" s="18">
        <f t="shared" si="20"/>
        <v>3258923.3247897914</v>
      </c>
      <c r="CE29" s="18">
        <f>IF(CP29&lt;&gt;1,"",DATA_INPUT!$I29)</f>
        <v>2.0097036749070338E-6</v>
      </c>
      <c r="CF29" s="18">
        <f>IF(CP29&lt;&gt;1,"",CE29*CONTROL_PANEL!$B$5)</f>
        <v>0.19072087874867752</v>
      </c>
      <c r="CG29" s="18">
        <f>IF(CP29&lt;&gt;1,"",DATA_INPUT!$C29)</f>
        <v>24.208982691269998</v>
      </c>
      <c r="CH29" s="18">
        <f t="shared" si="21"/>
        <v>78895.218362012136</v>
      </c>
      <c r="CI29" s="18">
        <f>IF(CP29&lt;&gt;1,"",DATA_INPUT!$H29)</f>
        <v>79.768786845656905</v>
      </c>
      <c r="CJ29" s="18">
        <f t="shared" si="22"/>
        <v>259960.36004149637</v>
      </c>
      <c r="CK29" s="18">
        <f>IF(CP29&lt;&gt;1,"",CF29*CONTROL_PANEL!$B$14)</f>
        <v>1.3350461512407428E-2</v>
      </c>
      <c r="CL29" s="18">
        <f>IF(CP29&lt;&gt;1,"",DATA_INPUT!$O29)</f>
        <v>378198.13595491659</v>
      </c>
      <c r="CM29" s="18">
        <f t="shared" si="23"/>
        <v>23980768.167800784</v>
      </c>
      <c r="CN29" s="18">
        <f>IF(CP29&lt;&gt;1,"",IF(CM29-CONTROL_PANEL!$B$11&lt;0,0,CM29-CONTROL_PANEL!$B$11))</f>
        <v>0</v>
      </c>
      <c r="CO29" s="18">
        <f>IF(CP29&lt;&gt;1,"",IF(CL29&lt;=0,0,MIN(CL29,MAX(0,CONTROL_PANEL!$B$13-CM29))))</f>
        <v>0</v>
      </c>
      <c r="CP29" s="18">
        <v>1</v>
      </c>
    </row>
    <row r="30" spans="1:94" x14ac:dyDescent="0.25">
      <c r="A30" s="19">
        <f t="shared" si="30"/>
        <v>2017</v>
      </c>
      <c r="B30" s="19">
        <v>11</v>
      </c>
      <c r="C30" s="18">
        <f t="shared" si="0"/>
        <v>30</v>
      </c>
      <c r="D30" s="18">
        <f t="shared" si="24"/>
        <v>257.76879396328457</v>
      </c>
      <c r="E30" s="18">
        <f>IF(R29&lt;&gt;1,"",IF(O29&gt;0,IF(O29&gt;CONTROL_PANEL!$B$11,CONTROL_PANEL!$B$11,O29),0))</f>
        <v>25130253.96947854</v>
      </c>
      <c r="F30" s="18">
        <f t="shared" si="1"/>
        <v>3311144.2806327813</v>
      </c>
      <c r="G30" s="18">
        <f>IF(R30&lt;&gt;1,"",DATA_INPUT!I30)</f>
        <v>2.9973370015255871E-7</v>
      </c>
      <c r="H30" s="18">
        <f>IF(R30&lt;&gt;1,"",G30*CONTROL_PANEL!$B$5)</f>
        <v>2.8444728144477821E-2</v>
      </c>
      <c r="I30" s="18">
        <f>IF(R30&lt;&gt;1,"",DATA_INPUT!C30)</f>
        <v>50.520301385728679</v>
      </c>
      <c r="J30" s="18">
        <f t="shared" si="2"/>
        <v>167280.0069891999</v>
      </c>
      <c r="K30" s="18">
        <f>IF(R30&lt;&gt;1,"",DATA_INPUT!H30)</f>
        <v>37.833752020690056</v>
      </c>
      <c r="L30" s="18">
        <f t="shared" si="25"/>
        <v>125273.01161818682</v>
      </c>
      <c r="M30" s="18">
        <f>IF(R30&lt;&gt;1,"",H30*CONTROL_PANEL!$B$14)</f>
        <v>1.9911309701134477E-3</v>
      </c>
      <c r="N30" s="18">
        <f>IF(R30&lt;&gt;1,"",DATA_INPUT!K30)</f>
        <v>0</v>
      </c>
      <c r="O30" s="18">
        <f t="shared" si="3"/>
        <v>25172260.991303153</v>
      </c>
      <c r="P30" s="18">
        <f>IF(R30&lt;&gt;1,"",IF(O30-CONTROL_PANEL!$B$11&lt;0,0,O30-CONTROL_PANEL!$B$11))</f>
        <v>0</v>
      </c>
      <c r="Q30" s="18">
        <f>IF(R30&lt;&gt;1,"",IF(N30&lt;=0,0,MIN(N30,MAX(0,CONTROL_PANEL!$B$13-O30))))</f>
        <v>0</v>
      </c>
      <c r="R30" s="18">
        <v>1</v>
      </c>
      <c r="T30" s="19">
        <f t="shared" si="31"/>
        <v>2017</v>
      </c>
      <c r="U30" s="19">
        <v>11</v>
      </c>
      <c r="V30" s="18">
        <f t="shared" si="4"/>
        <v>30</v>
      </c>
      <c r="W30" s="18">
        <f t="shared" si="26"/>
        <v>256.85203634121456</v>
      </c>
      <c r="X30" s="18">
        <f>IF(AK29&lt;&gt;1,"",IF(AH29&gt;0,IF(AH29&gt;CONTROL_PANEL!$B$11,CONTROL_PANEL!$B$11,AH29),0))</f>
        <v>22197066.14756215</v>
      </c>
      <c r="Y30" s="18">
        <f t="shared" si="5"/>
        <v>3047368.0989213167</v>
      </c>
      <c r="Z30" s="18">
        <f>IF(AK30&lt;&gt;1,"",DATA_INPUT!I30)</f>
        <v>2.9973370015255871E-7</v>
      </c>
      <c r="AA30" s="18">
        <f>IF(AK30&lt;&gt;1,"",Z30*CONTROL_PANEL!$B$5)</f>
        <v>2.8444728144477821E-2</v>
      </c>
      <c r="AB30" s="18">
        <f>IF(AK30&lt;&gt;1,"",DATA_INPUT!$C30)</f>
        <v>50.520301385728679</v>
      </c>
      <c r="AC30" s="18">
        <f t="shared" si="6"/>
        <v>153953.95479075995</v>
      </c>
      <c r="AD30" s="18">
        <f>IF(AK30&lt;&gt;1,"",DATA_INPUT!$H30)</f>
        <v>37.833752020690056</v>
      </c>
      <c r="AE30" s="18">
        <f t="shared" si="7"/>
        <v>115293.36897035078</v>
      </c>
      <c r="AF30" s="18">
        <f>IF(AK30&lt;&gt;1,"",AA30*CONTROL_PANEL!$B$14)</f>
        <v>1.9911309701134477E-3</v>
      </c>
      <c r="AG30" s="18">
        <f>IF(AK30&lt;&gt;1,"",DATA_INPUT!$L30)</f>
        <v>0</v>
      </c>
      <c r="AH30" s="18">
        <f t="shared" si="8"/>
        <v>22235726.759836156</v>
      </c>
      <c r="AI30" s="18">
        <f>IF(AK30&lt;&gt;1,"",IF(AH30-CONTROL_PANEL!$B$11&lt;0,0,AH30-CONTROL_PANEL!$B$11))</f>
        <v>0</v>
      </c>
      <c r="AJ30" s="18">
        <f>IF(AK30&lt;&gt;1,"",IF(AG30&lt;=0,0,MIN(AG30,MAX(0,CONTROL_PANEL!$B$13-AH30))))</f>
        <v>0</v>
      </c>
      <c r="AK30" s="18">
        <v>1</v>
      </c>
      <c r="AM30" s="19">
        <f t="shared" si="32"/>
        <v>2017</v>
      </c>
      <c r="AN30" s="19">
        <v>11</v>
      </c>
      <c r="AO30" s="18">
        <f t="shared" si="9"/>
        <v>30</v>
      </c>
      <c r="AP30" s="18">
        <f t="shared" si="27"/>
        <v>257.48850442981308</v>
      </c>
      <c r="AQ30" s="18">
        <f>IF(BD29&lt;&gt;1,"",IF(BA29&gt;0,IF(BA29&gt;CONTROL_PANEL!$B$11,CONTROL_PANEL!$B$11,BA29),0))</f>
        <v>24207555.135518048</v>
      </c>
      <c r="AR30" s="18">
        <f t="shared" si="10"/>
        <v>3229323.9256176604</v>
      </c>
      <c r="AS30" s="18">
        <f>IF(BD30&lt;&gt;1,"",DATA_INPUT!$I30)</f>
        <v>2.9973370015255871E-7</v>
      </c>
      <c r="AT30" s="18">
        <f>IF(BD30&lt;&gt;1,"",AS30*CONTROL_PANEL!$B$5)</f>
        <v>2.8444728144477821E-2</v>
      </c>
      <c r="AU30" s="18">
        <f>IF(BD30&lt;&gt;1,"",DATA_INPUT!$C30)</f>
        <v>50.520301385728679</v>
      </c>
      <c r="AV30" s="18">
        <f t="shared" si="11"/>
        <v>163146.41799434868</v>
      </c>
      <c r="AW30" s="18">
        <f>IF(BD30&lt;&gt;1,"",DATA_INPUT!$H30)</f>
        <v>37.833752020690056</v>
      </c>
      <c r="AX30" s="18">
        <f t="shared" si="12"/>
        <v>122177.4405962999</v>
      </c>
      <c r="AY30" s="18">
        <f>IF(BD30&lt;&gt;1,"",AT30*CONTROL_PANEL!$B$14)</f>
        <v>1.9911309701134477E-3</v>
      </c>
      <c r="AZ30" s="18">
        <f>IF(BD30&lt;&gt;1,"",DATA_INPUT!$M30)</f>
        <v>0</v>
      </c>
      <c r="BA30" s="18">
        <f t="shared" si="13"/>
        <v>24248524.139369696</v>
      </c>
      <c r="BB30" s="18">
        <f>IF(BD30&lt;&gt;1,"",IF(BA30-CONTROL_PANEL!$B$11&lt;0,0,BA30-CONTROL_PANEL!$B$11))</f>
        <v>0</v>
      </c>
      <c r="BC30" s="18">
        <f>IF(BD30&lt;&gt;1,"",IF(AZ30&lt;=0,0,MIN(AZ30,MAX(0,CONTROL_PANEL!$B$13-BA30))))</f>
        <v>0</v>
      </c>
      <c r="BD30" s="18">
        <v>1</v>
      </c>
      <c r="BF30" s="19">
        <f t="shared" si="33"/>
        <v>2017</v>
      </c>
      <c r="BG30" s="19">
        <v>11</v>
      </c>
      <c r="BH30" s="18">
        <f t="shared" si="14"/>
        <v>30</v>
      </c>
      <c r="BI30" s="18">
        <f t="shared" si="28"/>
        <v>257.8862412433262</v>
      </c>
      <c r="BJ30" s="18">
        <f>IF(BW29&lt;&gt;1,"",IF(BT29&gt;0,IF(BT29&gt;CONTROL_PANEL!$B$11,CONTROL_PANEL!$B$11,BT29),0))</f>
        <v>25523774.536588367</v>
      </c>
      <c r="BK30" s="18">
        <f t="shared" si="15"/>
        <v>3345736.1038739397</v>
      </c>
      <c r="BL30" s="18">
        <f>IF(BW30&lt;&gt;1,"",DATA_INPUT!$I30)</f>
        <v>2.9973370015255871E-7</v>
      </c>
      <c r="BM30" s="18">
        <f>IF(BW30&lt;&gt;1,"",BL30*CONTROL_PANEL!$B$5)</f>
        <v>2.8444728144477821E-2</v>
      </c>
      <c r="BN30" s="18">
        <f>IF(BW30&lt;&gt;1,"",DATA_INPUT!$C30)</f>
        <v>50.520301385728679</v>
      </c>
      <c r="BO30" s="18">
        <f t="shared" si="16"/>
        <v>169027.59632482508</v>
      </c>
      <c r="BP30" s="18">
        <f>IF(BW30&lt;&gt;1,"",DATA_INPUT!$H30)</f>
        <v>37.833752020690056</v>
      </c>
      <c r="BQ30" s="18">
        <f t="shared" si="17"/>
        <v>126581.75008063634</v>
      </c>
      <c r="BR30" s="18">
        <f>IF(BW30&lt;&gt;1,"",BM30*CONTROL_PANEL!$B$14)</f>
        <v>1.9911309701134477E-3</v>
      </c>
      <c r="BS30" s="18">
        <f>IF(BW30&lt;&gt;1,"",DATA_INPUT!$N30)</f>
        <v>0</v>
      </c>
      <c r="BT30" s="18">
        <f t="shared" si="18"/>
        <v>25566220.409286153</v>
      </c>
      <c r="BU30" s="18">
        <f>IF(BW30&lt;&gt;1,"",IF(BT30-CONTROL_PANEL!$B$11&lt;0,0,BT30-CONTROL_PANEL!$B$11))</f>
        <v>0</v>
      </c>
      <c r="BV30" s="18">
        <f>IF(BW30&lt;&gt;1,"",IF(BS30&lt;=0,0,MIN(BS30,MAX(0,CONTROL_PANEL!$B$13-BT30))))</f>
        <v>0</v>
      </c>
      <c r="BW30" s="18">
        <v>1</v>
      </c>
      <c r="BY30" s="19">
        <f t="shared" si="34"/>
        <v>2017</v>
      </c>
      <c r="BZ30" s="19">
        <v>11</v>
      </c>
      <c r="CA30" s="18">
        <f t="shared" si="19"/>
        <v>30</v>
      </c>
      <c r="CB30" s="18">
        <f t="shared" si="29"/>
        <v>257.41852240670005</v>
      </c>
      <c r="CC30" s="18">
        <f>IF(CP29&lt;&gt;1,"",IF(CM29&gt;0,IF(CM29&gt;CONTROL_PANEL!$B$11,CONTROL_PANEL!$B$11,CM29),0))</f>
        <v>23980768.167800784</v>
      </c>
      <c r="CD30" s="18">
        <f t="shared" si="20"/>
        <v>3209056.4756355858</v>
      </c>
      <c r="CE30" s="18">
        <f>IF(CP30&lt;&gt;1,"",DATA_INPUT!$I30)</f>
        <v>2.9973370015255871E-7</v>
      </c>
      <c r="CF30" s="18">
        <f>IF(CP30&lt;&gt;1,"",CE30*CONTROL_PANEL!$B$5)</f>
        <v>2.8444728144477821E-2</v>
      </c>
      <c r="CG30" s="18">
        <f>IF(CP30&lt;&gt;1,"",DATA_INPUT!$C30)</f>
        <v>50.520301385728679</v>
      </c>
      <c r="CH30" s="18">
        <f t="shared" si="21"/>
        <v>162122.50031293408</v>
      </c>
      <c r="CI30" s="18">
        <f>IF(CP30&lt;&gt;1,"",DATA_INPUT!$H30)</f>
        <v>37.833752020690056</v>
      </c>
      <c r="CJ30" s="18">
        <f t="shared" si="22"/>
        <v>121410.64691958636</v>
      </c>
      <c r="CK30" s="18">
        <f>IF(CP30&lt;&gt;1,"",CF30*CONTROL_PANEL!$B$14)</f>
        <v>1.9911309701134477E-3</v>
      </c>
      <c r="CL30" s="18">
        <f>IF(CP30&lt;&gt;1,"",DATA_INPUT!$O30)</f>
        <v>0</v>
      </c>
      <c r="CM30" s="18">
        <f t="shared" si="23"/>
        <v>24021480.047647733</v>
      </c>
      <c r="CN30" s="18">
        <f>IF(CP30&lt;&gt;1,"",IF(CM30-CONTROL_PANEL!$B$11&lt;0,0,CM30-CONTROL_PANEL!$B$11))</f>
        <v>0</v>
      </c>
      <c r="CO30" s="18">
        <f>IF(CP30&lt;&gt;1,"",IF(CL30&lt;=0,0,MIN(CL30,MAX(0,CONTROL_PANEL!$B$13-CM30))))</f>
        <v>0</v>
      </c>
      <c r="CP30" s="18">
        <v>1</v>
      </c>
    </row>
    <row r="31" spans="1:94" x14ac:dyDescent="0.25">
      <c r="A31" s="19">
        <f t="shared" si="30"/>
        <v>2017</v>
      </c>
      <c r="B31" s="19">
        <v>12</v>
      </c>
      <c r="C31" s="18">
        <f t="shared" si="0"/>
        <v>31</v>
      </c>
      <c r="D31" s="18">
        <f t="shared" si="24"/>
        <v>257.78138946497825</v>
      </c>
      <c r="E31" s="18">
        <f>IF(R30&lt;&gt;1,"",IF(O30&gt;0,IF(O30&gt;CONTROL_PANEL!$B$11,CONTROL_PANEL!$B$11,O30),0))</f>
        <v>25172260.991303153</v>
      </c>
      <c r="F31" s="18">
        <f t="shared" si="1"/>
        <v>3314845.3517289185</v>
      </c>
      <c r="G31" s="18">
        <f>IF(R31&lt;&gt;1,"",DATA_INPUT!I31)</f>
        <v>4.1497096082245194E-8</v>
      </c>
      <c r="H31" s="18">
        <f>IF(R31&lt;&gt;1,"",G31*CONTROL_PANEL!$B$5)</f>
        <v>3.9380744182050693E-3</v>
      </c>
      <c r="I31" s="18">
        <f>IF(R31&lt;&gt;1,"",DATA_INPUT!C31)</f>
        <v>51.645837745100671</v>
      </c>
      <c r="J31" s="18">
        <f t="shared" si="2"/>
        <v>171197.96518549291</v>
      </c>
      <c r="K31" s="18">
        <f>IF(R31&lt;&gt;1,"",DATA_INPUT!H31)</f>
        <v>19.167621099019893</v>
      </c>
      <c r="L31" s="18">
        <f t="shared" si="25"/>
        <v>63537.699703787235</v>
      </c>
      <c r="M31" s="18">
        <f>IF(R31&lt;&gt;1,"",H31*CONTROL_PANEL!$B$14)</f>
        <v>2.7566520927435487E-4</v>
      </c>
      <c r="N31" s="18">
        <f>IF(R31&lt;&gt;1,"",DATA_INPUT!K31)</f>
        <v>0</v>
      </c>
      <c r="O31" s="18">
        <f t="shared" si="3"/>
        <v>25279921.260447267</v>
      </c>
      <c r="P31" s="18">
        <f>IF(R31&lt;&gt;1,"",IF(O31-CONTROL_PANEL!$B$11&lt;0,0,O31-CONTROL_PANEL!$B$11))</f>
        <v>0</v>
      </c>
      <c r="Q31" s="18">
        <f>IF(R31&lt;&gt;1,"",IF(N31&lt;=0,0,MIN(N31,MAX(0,CONTROL_PANEL!$B$13-O31))))</f>
        <v>0</v>
      </c>
      <c r="R31" s="18">
        <v>1</v>
      </c>
      <c r="T31" s="19">
        <f t="shared" si="31"/>
        <v>2017</v>
      </c>
      <c r="U31" s="19">
        <v>12</v>
      </c>
      <c r="V31" s="18">
        <f t="shared" si="4"/>
        <v>31</v>
      </c>
      <c r="W31" s="18">
        <f t="shared" si="26"/>
        <v>256.86463154858484</v>
      </c>
      <c r="X31" s="18">
        <f>IF(AK30&lt;&gt;1,"",IF(AH30&gt;0,IF(AH30&gt;CONTROL_PANEL!$B$11,CONTROL_PANEL!$B$11,AH30),0))</f>
        <v>22235726.759836156</v>
      </c>
      <c r="Y31" s="18">
        <f t="shared" si="5"/>
        <v>3050917.1915968652</v>
      </c>
      <c r="Z31" s="18">
        <f>IF(AK31&lt;&gt;1,"",DATA_INPUT!I31)</f>
        <v>4.1497096082245194E-8</v>
      </c>
      <c r="AA31" s="18">
        <f>IF(AK31&lt;&gt;1,"",Z31*CONTROL_PANEL!$B$5)</f>
        <v>3.9380744182050693E-3</v>
      </c>
      <c r="AB31" s="18">
        <f>IF(AK31&lt;&gt;1,"",DATA_INPUT!$C31)</f>
        <v>51.645837745100671</v>
      </c>
      <c r="AC31" s="18">
        <f t="shared" si="6"/>
        <v>157567.17425094993</v>
      </c>
      <c r="AD31" s="18">
        <f>IF(AK31&lt;&gt;1,"",DATA_INPUT!$H31)</f>
        <v>19.167621099019893</v>
      </c>
      <c r="AE31" s="18">
        <f t="shared" si="7"/>
        <v>58478.82473301459</v>
      </c>
      <c r="AF31" s="18">
        <f>IF(AK31&lt;&gt;1,"",AA31*CONTROL_PANEL!$B$14)</f>
        <v>2.7566520927435487E-4</v>
      </c>
      <c r="AG31" s="18">
        <f>IF(AK31&lt;&gt;1,"",DATA_INPUT!$L31)</f>
        <v>0</v>
      </c>
      <c r="AH31" s="18">
        <f t="shared" si="8"/>
        <v>22334815.113016501</v>
      </c>
      <c r="AI31" s="18">
        <f>IF(AK31&lt;&gt;1,"",IF(AH31-CONTROL_PANEL!$B$11&lt;0,0,AH31-CONTROL_PANEL!$B$11))</f>
        <v>0</v>
      </c>
      <c r="AJ31" s="18">
        <f>IF(AK31&lt;&gt;1,"",IF(AG31&lt;=0,0,MIN(AG31,MAX(0,CONTROL_PANEL!$B$13-AH31))))</f>
        <v>0</v>
      </c>
      <c r="AK31" s="18">
        <v>1</v>
      </c>
      <c r="AM31" s="19">
        <f t="shared" si="32"/>
        <v>2017</v>
      </c>
      <c r="AN31" s="19">
        <v>12</v>
      </c>
      <c r="AO31" s="18">
        <f t="shared" si="9"/>
        <v>31</v>
      </c>
      <c r="AP31" s="18">
        <f t="shared" si="27"/>
        <v>257.50109984406174</v>
      </c>
      <c r="AQ31" s="18">
        <f>IF(BD30&lt;&gt;1,"",IF(BA30&gt;0,IF(BA30&gt;CONTROL_PANEL!$B$11,CONTROL_PANEL!$B$11,BA30),0))</f>
        <v>24248524.139369696</v>
      </c>
      <c r="AR31" s="18">
        <f t="shared" si="10"/>
        <v>3232978.5175948879</v>
      </c>
      <c r="AS31" s="18">
        <f>IF(BD31&lt;&gt;1,"",DATA_INPUT!$I31)</f>
        <v>4.1497096082245194E-8</v>
      </c>
      <c r="AT31" s="18">
        <f>IF(BD31&lt;&gt;1,"",AS31*CONTROL_PANEL!$B$5)</f>
        <v>3.9380744182050693E-3</v>
      </c>
      <c r="AU31" s="18">
        <f>IF(BD31&lt;&gt;1,"",DATA_INPUT!$C31)</f>
        <v>51.645837745100671</v>
      </c>
      <c r="AV31" s="18">
        <f t="shared" si="11"/>
        <v>166969.88395310167</v>
      </c>
      <c r="AW31" s="18">
        <f>IF(BD31&lt;&gt;1,"",DATA_INPUT!$H31)</f>
        <v>19.167621099019893</v>
      </c>
      <c r="AX31" s="18">
        <f t="shared" si="12"/>
        <v>61968.507246529829</v>
      </c>
      <c r="AY31" s="18">
        <f>IF(BD31&lt;&gt;1,"",AT31*CONTROL_PANEL!$B$14)</f>
        <v>2.7566520927435487E-4</v>
      </c>
      <c r="AZ31" s="18">
        <f>IF(BD31&lt;&gt;1,"",DATA_INPUT!$M31)</f>
        <v>0</v>
      </c>
      <c r="BA31" s="18">
        <f t="shared" si="13"/>
        <v>24353525.519738678</v>
      </c>
      <c r="BB31" s="18">
        <f>IF(BD31&lt;&gt;1,"",IF(BA31-CONTROL_PANEL!$B$11&lt;0,0,BA31-CONTROL_PANEL!$B$11))</f>
        <v>0</v>
      </c>
      <c r="BC31" s="18">
        <f>IF(BD31&lt;&gt;1,"",IF(AZ31&lt;=0,0,MIN(AZ31,MAX(0,CONTROL_PANEL!$B$13-BA31))))</f>
        <v>0</v>
      </c>
      <c r="BD31" s="18">
        <v>1</v>
      </c>
      <c r="BF31" s="19">
        <f t="shared" si="33"/>
        <v>2017</v>
      </c>
      <c r="BG31" s="19">
        <v>12</v>
      </c>
      <c r="BH31" s="18">
        <f t="shared" si="14"/>
        <v>31</v>
      </c>
      <c r="BI31" s="18">
        <f t="shared" si="28"/>
        <v>257.89883678102581</v>
      </c>
      <c r="BJ31" s="18">
        <f>IF(BW30&lt;&gt;1,"",IF(BT30&gt;0,IF(BT30&gt;CONTROL_PANEL!$B$11,CONTROL_PANEL!$B$11,BT30),0))</f>
        <v>25566220.409286153</v>
      </c>
      <c r="BK31" s="18">
        <f t="shared" si="15"/>
        <v>3349456.6541219219</v>
      </c>
      <c r="BL31" s="18">
        <f>IF(BW31&lt;&gt;1,"",DATA_INPUT!$I31)</f>
        <v>4.1497096082245194E-8</v>
      </c>
      <c r="BM31" s="18">
        <f>IF(BW31&lt;&gt;1,"",BL31*CONTROL_PANEL!$B$5)</f>
        <v>3.9380744182050693E-3</v>
      </c>
      <c r="BN31" s="18">
        <f>IF(BW31&lt;&gt;1,"",DATA_INPUT!$C31)</f>
        <v>51.645837745100671</v>
      </c>
      <c r="BO31" s="18">
        <f t="shared" si="16"/>
        <v>172985.49489302855</v>
      </c>
      <c r="BP31" s="18">
        <f>IF(BW31&lt;&gt;1,"",DATA_INPUT!$H31)</f>
        <v>19.167621099019893</v>
      </c>
      <c r="BQ31" s="18">
        <f t="shared" si="17"/>
        <v>64201.116033799924</v>
      </c>
      <c r="BR31" s="18">
        <f>IF(BW31&lt;&gt;1,"",BM31*CONTROL_PANEL!$B$14)</f>
        <v>2.7566520927435487E-4</v>
      </c>
      <c r="BS31" s="18">
        <f>IF(BW31&lt;&gt;1,"",DATA_INPUT!$N31)</f>
        <v>0</v>
      </c>
      <c r="BT31" s="18">
        <f t="shared" si="18"/>
        <v>25675004.791807793</v>
      </c>
      <c r="BU31" s="18">
        <f>IF(BW31&lt;&gt;1,"",IF(BT31-CONTROL_PANEL!$B$11&lt;0,0,BT31-CONTROL_PANEL!$B$11))</f>
        <v>0</v>
      </c>
      <c r="BV31" s="18">
        <f>IF(BW31&lt;&gt;1,"",IF(BS31&lt;=0,0,MIN(BS31,MAX(0,CONTROL_PANEL!$B$13-BT31))))</f>
        <v>0</v>
      </c>
      <c r="BW31" s="18">
        <v>1</v>
      </c>
      <c r="BY31" s="19">
        <f t="shared" si="34"/>
        <v>2017</v>
      </c>
      <c r="BZ31" s="19">
        <v>12</v>
      </c>
      <c r="CA31" s="18">
        <f t="shared" si="19"/>
        <v>31</v>
      </c>
      <c r="CB31" s="18">
        <f t="shared" si="29"/>
        <v>257.43111779877523</v>
      </c>
      <c r="CC31" s="18">
        <f>IF(CP30&lt;&gt;1,"",IF(CM30&gt;0,IF(CM30&gt;CONTROL_PANEL!$B$11,CONTROL_PANEL!$B$11,CM30),0))</f>
        <v>24021480.047647733</v>
      </c>
      <c r="CD31" s="18">
        <f t="shared" si="20"/>
        <v>3212699.4646195546</v>
      </c>
      <c r="CE31" s="18">
        <f>IF(CP31&lt;&gt;1,"",DATA_INPUT!$I31)</f>
        <v>4.1497096082245194E-8</v>
      </c>
      <c r="CF31" s="18">
        <f>IF(CP31&lt;&gt;1,"",CE31*CONTROL_PANEL!$B$5)</f>
        <v>3.9380744182050693E-3</v>
      </c>
      <c r="CG31" s="18">
        <f>IF(CP31&lt;&gt;1,"",DATA_INPUT!$C31)</f>
        <v>51.645837745100671</v>
      </c>
      <c r="CH31" s="18">
        <f t="shared" si="21"/>
        <v>165922.55527351331</v>
      </c>
      <c r="CI31" s="18">
        <f>IF(CP31&lt;&gt;1,"",DATA_INPUT!$H31)</f>
        <v>19.167621099019893</v>
      </c>
      <c r="CJ31" s="18">
        <f t="shared" si="22"/>
        <v>61579.806042851684</v>
      </c>
      <c r="CK31" s="18">
        <f>IF(CP31&lt;&gt;1,"",CF31*CONTROL_PANEL!$B$14)</f>
        <v>2.7566520927435487E-4</v>
      </c>
      <c r="CL31" s="18">
        <f>IF(CP31&lt;&gt;1,"",DATA_INPUT!$O31)</f>
        <v>0</v>
      </c>
      <c r="CM31" s="18">
        <f t="shared" si="23"/>
        <v>24125822.800540805</v>
      </c>
      <c r="CN31" s="18">
        <f>IF(CP31&lt;&gt;1,"",IF(CM31-CONTROL_PANEL!$B$11&lt;0,0,CM31-CONTROL_PANEL!$B$11))</f>
        <v>0</v>
      </c>
      <c r="CO31" s="18">
        <f>IF(CP31&lt;&gt;1,"",IF(CL31&lt;=0,0,MIN(CL31,MAX(0,CONTROL_PANEL!$B$13-CM31))))</f>
        <v>0</v>
      </c>
      <c r="CP31" s="18">
        <v>1</v>
      </c>
    </row>
    <row r="32" spans="1:94" x14ac:dyDescent="0.25">
      <c r="A32" s="19">
        <f t="shared" si="30"/>
        <v>2018</v>
      </c>
      <c r="B32" s="19">
        <v>1</v>
      </c>
      <c r="C32" s="18">
        <f t="shared" si="0"/>
        <v>31</v>
      </c>
      <c r="D32" s="18">
        <f t="shared" si="24"/>
        <v>257.81360655654254</v>
      </c>
      <c r="E32" s="18">
        <f>IF(R31&lt;&gt;1,"",IF(O31&gt;0,IF(O31&gt;CONTROL_PANEL!$B$11,CONTROL_PANEL!$B$11,O31),0))</f>
        <v>25279921.260447267</v>
      </c>
      <c r="F32" s="18">
        <f t="shared" si="1"/>
        <v>3324321.544398346</v>
      </c>
      <c r="G32" s="18">
        <f>IF(R32&lt;&gt;1,"",DATA_INPUT!I32)</f>
        <v>5.55044191225505E-9</v>
      </c>
      <c r="H32" s="18">
        <f>IF(R32&lt;&gt;1,"",G32*CONTROL_PANEL!$B$5)</f>
        <v>5.2673693747300426E-4</v>
      </c>
      <c r="I32" s="18">
        <f>IF(R32&lt;&gt;1,"",DATA_INPUT!C32)</f>
        <v>51.812788055561988</v>
      </c>
      <c r="J32" s="18">
        <f t="shared" si="2"/>
        <v>172242.36760845</v>
      </c>
      <c r="K32" s="18">
        <f>IF(R32&lt;&gt;1,"",DATA_INPUT!H32)</f>
        <v>17.907090661257154</v>
      </c>
      <c r="L32" s="18">
        <f t="shared" si="25"/>
        <v>59528.927282711578</v>
      </c>
      <c r="M32" s="18">
        <f>IF(R32&lt;&gt;1,"",H32*CONTROL_PANEL!$B$14)</f>
        <v>3.6871585623110301E-5</v>
      </c>
      <c r="N32" s="18">
        <f>IF(R32&lt;&gt;1,"",DATA_INPUT!K32)</f>
        <v>0</v>
      </c>
      <c r="O32" s="18">
        <f t="shared" si="3"/>
        <v>25392634.701262873</v>
      </c>
      <c r="P32" s="18">
        <f>IF(R32&lt;&gt;1,"",IF(O32-CONTROL_PANEL!$B$11&lt;0,0,O32-CONTROL_PANEL!$B$11))</f>
        <v>0</v>
      </c>
      <c r="Q32" s="18">
        <f>IF(R32&lt;&gt;1,"",IF(N32&lt;=0,0,MIN(N32,MAX(0,CONTROL_PANEL!$B$13-O32))))</f>
        <v>0</v>
      </c>
      <c r="R32" s="18">
        <v>1</v>
      </c>
      <c r="T32" s="19">
        <f t="shared" si="31"/>
        <v>2018</v>
      </c>
      <c r="U32" s="19">
        <v>1</v>
      </c>
      <c r="V32" s="18">
        <f t="shared" si="4"/>
        <v>31</v>
      </c>
      <c r="W32" s="18">
        <f t="shared" si="26"/>
        <v>256.89684671466688</v>
      </c>
      <c r="X32" s="18">
        <f>IF(AK31&lt;&gt;1,"",IF(AH31&gt;0,IF(AH31&gt;CONTROL_PANEL!$B$11,CONTROL_PANEL!$B$11,AH31),0))</f>
        <v>22334815.113016501</v>
      </c>
      <c r="Y32" s="18">
        <f t="shared" si="5"/>
        <v>3060004.3107653847</v>
      </c>
      <c r="Z32" s="18">
        <f>IF(AK32&lt;&gt;1,"",DATA_INPUT!I32)</f>
        <v>5.55044191225505E-9</v>
      </c>
      <c r="AA32" s="18">
        <f>IF(AK32&lt;&gt;1,"",Z32*CONTROL_PANEL!$B$5)</f>
        <v>5.2673693747300426E-4</v>
      </c>
      <c r="AB32" s="18">
        <f>IF(AK32&lt;&gt;1,"",DATA_INPUT!$C32)</f>
        <v>51.812788055561988</v>
      </c>
      <c r="AC32" s="18">
        <f t="shared" si="6"/>
        <v>158547.35480279292</v>
      </c>
      <c r="AD32" s="18">
        <f>IF(AK32&lt;&gt;1,"",DATA_INPUT!$H32)</f>
        <v>17.907090661257154</v>
      </c>
      <c r="AE32" s="18">
        <f t="shared" si="7"/>
        <v>54795.774616713454</v>
      </c>
      <c r="AF32" s="18">
        <f>IF(AK32&lt;&gt;1,"",AA32*CONTROL_PANEL!$B$14)</f>
        <v>3.6871585623110301E-5</v>
      </c>
      <c r="AG32" s="18">
        <f>IF(AK32&lt;&gt;1,"",DATA_INPUT!$L32)</f>
        <v>0</v>
      </c>
      <c r="AH32" s="18">
        <f t="shared" si="8"/>
        <v>22438566.693692449</v>
      </c>
      <c r="AI32" s="18">
        <f>IF(AK32&lt;&gt;1,"",IF(AH32-CONTROL_PANEL!$B$11&lt;0,0,AH32-CONTROL_PANEL!$B$11))</f>
        <v>0</v>
      </c>
      <c r="AJ32" s="18">
        <f>IF(AK32&lt;&gt;1,"",IF(AG32&lt;=0,0,MIN(AG32,MAX(0,CONTROL_PANEL!$B$13-AH32))))</f>
        <v>0</v>
      </c>
      <c r="AK32" s="18">
        <v>1</v>
      </c>
      <c r="AM32" s="19">
        <f t="shared" si="32"/>
        <v>2018</v>
      </c>
      <c r="AN32" s="19">
        <v>1</v>
      </c>
      <c r="AO32" s="18">
        <f t="shared" si="9"/>
        <v>31</v>
      </c>
      <c r="AP32" s="18">
        <f t="shared" si="27"/>
        <v>257.53331636354051</v>
      </c>
      <c r="AQ32" s="18">
        <f>IF(BD31&lt;&gt;1,"",IF(BA31&gt;0,IF(BA31&gt;CONTROL_PANEL!$B$11,CONTROL_PANEL!$B$11,BA31),0))</f>
        <v>24353525.519738678</v>
      </c>
      <c r="AR32" s="18">
        <f t="shared" si="10"/>
        <v>3242335.7210494638</v>
      </c>
      <c r="AS32" s="18">
        <f>IF(BD32&lt;&gt;1,"",DATA_INPUT!$I32)</f>
        <v>5.55044191225505E-9</v>
      </c>
      <c r="AT32" s="18">
        <f>IF(BD32&lt;&gt;1,"",AS32*CONTROL_PANEL!$B$5)</f>
        <v>5.2673693747300426E-4</v>
      </c>
      <c r="AU32" s="18">
        <f>IF(BD32&lt;&gt;1,"",DATA_INPUT!$C32)</f>
        <v>51.812788055561988</v>
      </c>
      <c r="AV32" s="18">
        <f t="shared" si="11"/>
        <v>167994.45351971363</v>
      </c>
      <c r="AW32" s="18">
        <f>IF(BD32&lt;&gt;1,"",DATA_INPUT!$H32)</f>
        <v>17.907090661257154</v>
      </c>
      <c r="AX32" s="18">
        <f t="shared" si="12"/>
        <v>58060.799711065338</v>
      </c>
      <c r="AY32" s="18">
        <f>IF(BD32&lt;&gt;1,"",AT32*CONTROL_PANEL!$B$14)</f>
        <v>3.6871585623110301E-5</v>
      </c>
      <c r="AZ32" s="18">
        <f>IF(BD32&lt;&gt;1,"",DATA_INPUT!$M32)</f>
        <v>0</v>
      </c>
      <c r="BA32" s="18">
        <f t="shared" si="13"/>
        <v>24463459.174037192</v>
      </c>
      <c r="BB32" s="18">
        <f>IF(BD32&lt;&gt;1,"",IF(BA32-CONTROL_PANEL!$B$11&lt;0,0,BA32-CONTROL_PANEL!$B$11))</f>
        <v>0</v>
      </c>
      <c r="BC32" s="18">
        <f>IF(BD32&lt;&gt;1,"",IF(AZ32&lt;=0,0,MIN(AZ32,MAX(0,CONTROL_PANEL!$B$13-BA32))))</f>
        <v>0</v>
      </c>
      <c r="BD32" s="18">
        <v>1</v>
      </c>
      <c r="BF32" s="19">
        <f t="shared" si="33"/>
        <v>2018</v>
      </c>
      <c r="BG32" s="19">
        <v>1</v>
      </c>
      <c r="BH32" s="18">
        <f t="shared" si="14"/>
        <v>31</v>
      </c>
      <c r="BI32" s="18">
        <f t="shared" si="28"/>
        <v>257.9310541081523</v>
      </c>
      <c r="BJ32" s="18">
        <f>IF(BW31&lt;&gt;1,"",IF(BT31&gt;0,IF(BT31&gt;CONTROL_PANEL!$B$11,CONTROL_PANEL!$B$11,BT31),0))</f>
        <v>25675004.791807793</v>
      </c>
      <c r="BK32" s="18">
        <f t="shared" si="15"/>
        <v>3358982.7145381905</v>
      </c>
      <c r="BL32" s="18">
        <f>IF(BW32&lt;&gt;1,"",DATA_INPUT!$I32)</f>
        <v>5.55044191225505E-9</v>
      </c>
      <c r="BM32" s="18">
        <f>IF(BW32&lt;&gt;1,"",BL32*CONTROL_PANEL!$B$5)</f>
        <v>5.2673693747300426E-4</v>
      </c>
      <c r="BN32" s="18">
        <f>IF(BW32&lt;&gt;1,"",DATA_INPUT!$C32)</f>
        <v>51.812788055561988</v>
      </c>
      <c r="BO32" s="18">
        <f t="shared" si="16"/>
        <v>174038.25947066356</v>
      </c>
      <c r="BP32" s="18">
        <f>IF(BW32&lt;&gt;1,"",DATA_INPUT!$H32)</f>
        <v>17.907090661257154</v>
      </c>
      <c r="BQ32" s="18">
        <f t="shared" si="17"/>
        <v>60149.60799883103</v>
      </c>
      <c r="BR32" s="18">
        <f>IF(BW32&lt;&gt;1,"",BM32*CONTROL_PANEL!$B$14)</f>
        <v>3.6871585623110301E-5</v>
      </c>
      <c r="BS32" s="18">
        <f>IF(BW32&lt;&gt;1,"",DATA_INPUT!$N32)</f>
        <v>0</v>
      </c>
      <c r="BT32" s="18">
        <f t="shared" si="18"/>
        <v>25788893.443769492</v>
      </c>
      <c r="BU32" s="18">
        <f>IF(BW32&lt;&gt;1,"",IF(BT32-CONTROL_PANEL!$B$11&lt;0,0,BT32-CONTROL_PANEL!$B$11))</f>
        <v>0</v>
      </c>
      <c r="BV32" s="18">
        <f>IF(BW32&lt;&gt;1,"",IF(BS32&lt;=0,0,MIN(BS32,MAX(0,CONTROL_PANEL!$B$13-BT32))))</f>
        <v>0</v>
      </c>
      <c r="BW32" s="18">
        <v>1</v>
      </c>
      <c r="BY32" s="19">
        <f t="shared" si="34"/>
        <v>2018</v>
      </c>
      <c r="BZ32" s="19">
        <v>1</v>
      </c>
      <c r="CA32" s="18">
        <f t="shared" si="19"/>
        <v>31</v>
      </c>
      <c r="CB32" s="18">
        <f t="shared" si="29"/>
        <v>257.46333417319204</v>
      </c>
      <c r="CC32" s="18">
        <f>IF(CP31&lt;&gt;1,"",IF(CM31&gt;0,IF(CM31&gt;CONTROL_PANEL!$B$11,CONTROL_PANEL!$B$11,CM31),0))</f>
        <v>24125822.800540805</v>
      </c>
      <c r="CD32" s="18">
        <f t="shared" si="20"/>
        <v>3222026.9637442478</v>
      </c>
      <c r="CE32" s="18">
        <f>IF(CP32&lt;&gt;1,"",DATA_INPUT!$I32)</f>
        <v>5.55044191225505E-9</v>
      </c>
      <c r="CF32" s="18">
        <f>IF(CP32&lt;&gt;1,"",CE32*CONTROL_PANEL!$B$5)</f>
        <v>5.2673693747300426E-4</v>
      </c>
      <c r="CG32" s="18">
        <f>IF(CP32&lt;&gt;1,"",DATA_INPUT!$C32)</f>
        <v>51.812788055561988</v>
      </c>
      <c r="CH32" s="18">
        <f t="shared" si="21"/>
        <v>166942.20018178664</v>
      </c>
      <c r="CI32" s="18">
        <f>IF(CP32&lt;&gt;1,"",DATA_INPUT!$H32)</f>
        <v>17.907090661257154</v>
      </c>
      <c r="CJ32" s="18">
        <f t="shared" si="22"/>
        <v>57697.128952783358</v>
      </c>
      <c r="CK32" s="18">
        <f>IF(CP32&lt;&gt;1,"",CF32*CONTROL_PANEL!$B$14)</f>
        <v>3.6871585623110301E-5</v>
      </c>
      <c r="CL32" s="18">
        <f>IF(CP32&lt;&gt;1,"",DATA_INPUT!$O32)</f>
        <v>0</v>
      </c>
      <c r="CM32" s="18">
        <f t="shared" si="23"/>
        <v>24235067.872259673</v>
      </c>
      <c r="CN32" s="18">
        <f>IF(CP32&lt;&gt;1,"",IF(CM32-CONTROL_PANEL!$B$11&lt;0,0,CM32-CONTROL_PANEL!$B$11))</f>
        <v>0</v>
      </c>
      <c r="CO32" s="18">
        <f>IF(CP32&lt;&gt;1,"",IF(CL32&lt;=0,0,MIN(CL32,MAX(0,CONTROL_PANEL!$B$13-CM32))))</f>
        <v>0</v>
      </c>
      <c r="CP32" s="18">
        <v>1</v>
      </c>
    </row>
    <row r="33" spans="1:94" x14ac:dyDescent="0.25">
      <c r="A33" s="19">
        <f t="shared" si="30"/>
        <v>2018</v>
      </c>
      <c r="B33" s="19">
        <v>2</v>
      </c>
      <c r="C33" s="18">
        <f t="shared" si="0"/>
        <v>28</v>
      </c>
      <c r="D33" s="18">
        <f t="shared" si="24"/>
        <v>257.84723761438147</v>
      </c>
      <c r="E33" s="18">
        <f>IF(R32&lt;&gt;1,"",IF(O32&gt;0,IF(O32&gt;CONTROL_PANEL!$B$11,CONTROL_PANEL!$B$11,O32),0))</f>
        <v>25392634.701262873</v>
      </c>
      <c r="F33" s="18">
        <f t="shared" si="1"/>
        <v>3334228.2069074996</v>
      </c>
      <c r="G33" s="18">
        <f>IF(R33&lt;&gt;1,"",DATA_INPUT!I33)</f>
        <v>63.671487470852874</v>
      </c>
      <c r="H33" s="18">
        <f>IF(R33&lt;&gt;1,"",G33*CONTROL_PANEL!$B$5)</f>
        <v>6042424.1609839378</v>
      </c>
      <c r="I33" s="18">
        <f>IF(R33&lt;&gt;1,"",DATA_INPUT!C33)</f>
        <v>53.450514001674001</v>
      </c>
      <c r="J33" s="18">
        <f t="shared" si="2"/>
        <v>178216.21145808572</v>
      </c>
      <c r="K33" s="18">
        <f>IF(R33&lt;&gt;1,"",DATA_INPUT!H33)</f>
        <v>23.881327434377422</v>
      </c>
      <c r="L33" s="18">
        <f t="shared" si="25"/>
        <v>79625.795550095107</v>
      </c>
      <c r="M33" s="18">
        <f>IF(R33&lt;&gt;1,"",H33*CONTROL_PANEL!$B$14)</f>
        <v>422969.69126887567</v>
      </c>
      <c r="N33" s="18">
        <f>IF(R33&lt;&gt;1,"",DATA_INPUT!K33)</f>
        <v>0</v>
      </c>
      <c r="O33" s="18">
        <f t="shared" si="3"/>
        <v>31110679.586885929</v>
      </c>
      <c r="P33" s="18">
        <f>IF(R33&lt;&gt;1,"",IF(O33-CONTROL_PANEL!$B$11&lt;0,0,O33-CONTROL_PANEL!$B$11))</f>
        <v>0</v>
      </c>
      <c r="Q33" s="18">
        <f>IF(R33&lt;&gt;1,"",IF(N33&lt;=0,0,MIN(N33,MAX(0,CONTROL_PANEL!$B$13-O33))))</f>
        <v>0</v>
      </c>
      <c r="R33" s="18">
        <v>1</v>
      </c>
      <c r="T33" s="19">
        <f t="shared" si="31"/>
        <v>2018</v>
      </c>
      <c r="U33" s="19">
        <v>2</v>
      </c>
      <c r="V33" s="18">
        <f t="shared" si="4"/>
        <v>28</v>
      </c>
      <c r="W33" s="18">
        <f t="shared" si="26"/>
        <v>256.93047568042817</v>
      </c>
      <c r="X33" s="18">
        <f>IF(AK32&lt;&gt;1,"",IF(AH32&gt;0,IF(AH32&gt;CONTROL_PANEL!$B$11,CONTROL_PANEL!$B$11,AH32),0))</f>
        <v>22438566.693692449</v>
      </c>
      <c r="Y33" s="18">
        <f t="shared" si="5"/>
        <v>3069504.7869460103</v>
      </c>
      <c r="Z33" s="18">
        <f>IF(AK33&lt;&gt;1,"",DATA_INPUT!I33)</f>
        <v>63.671487470852874</v>
      </c>
      <c r="AA33" s="18">
        <f>IF(AK33&lt;&gt;1,"",Z33*CONTROL_PANEL!$B$5)</f>
        <v>6042424.1609839378</v>
      </c>
      <c r="AB33" s="18">
        <f>IF(AK33&lt;&gt;1,"",DATA_INPUT!$C33)</f>
        <v>53.450514001674001</v>
      </c>
      <c r="AC33" s="18">
        <f t="shared" si="6"/>
        <v>164066.60859286308</v>
      </c>
      <c r="AD33" s="18">
        <f>IF(AK33&lt;&gt;1,"",DATA_INPUT!$H33)</f>
        <v>23.881327434377422</v>
      </c>
      <c r="AE33" s="18">
        <f t="shared" si="7"/>
        <v>73303.848878446574</v>
      </c>
      <c r="AF33" s="18">
        <f>IF(AK33&lt;&gt;1,"",AA33*CONTROL_PANEL!$B$14)</f>
        <v>422969.69126887567</v>
      </c>
      <c r="AG33" s="18">
        <f>IF(AK33&lt;&gt;1,"",DATA_INPUT!$L33)</f>
        <v>0</v>
      </c>
      <c r="AH33" s="18">
        <f t="shared" si="8"/>
        <v>28148783.923121929</v>
      </c>
      <c r="AI33" s="18">
        <f>IF(AK33&lt;&gt;1,"",IF(AH33-CONTROL_PANEL!$B$11&lt;0,0,AH33-CONTROL_PANEL!$B$11))</f>
        <v>0</v>
      </c>
      <c r="AJ33" s="18">
        <f>IF(AK33&lt;&gt;1,"",IF(AG33&lt;=0,0,MIN(AG33,MAX(0,CONTROL_PANEL!$B$13-AH33))))</f>
        <v>0</v>
      </c>
      <c r="AK33" s="18">
        <v>1</v>
      </c>
      <c r="AM33" s="19">
        <f t="shared" si="32"/>
        <v>2018</v>
      </c>
      <c r="AN33" s="19">
        <v>2</v>
      </c>
      <c r="AO33" s="18">
        <f t="shared" si="9"/>
        <v>28</v>
      </c>
      <c r="AP33" s="18">
        <f t="shared" si="27"/>
        <v>257.56694679976914</v>
      </c>
      <c r="AQ33" s="18">
        <f>IF(BD32&lt;&gt;1,"",IF(BA32&gt;0,IF(BA32&gt;CONTROL_PANEL!$B$11,CONTROL_PANEL!$B$11,BA32),0))</f>
        <v>24463459.174037192</v>
      </c>
      <c r="AR33" s="18">
        <f t="shared" si="10"/>
        <v>3252118.160834332</v>
      </c>
      <c r="AS33" s="18">
        <f>IF(BD33&lt;&gt;1,"",DATA_INPUT!$I33)</f>
        <v>63.671487470852874</v>
      </c>
      <c r="AT33" s="18">
        <f>IF(BD33&lt;&gt;1,"",AS33*CONTROL_PANEL!$B$5)</f>
        <v>6042424.1609839378</v>
      </c>
      <c r="AU33" s="18">
        <f>IF(BD33&lt;&gt;1,"",DATA_INPUT!$C33)</f>
        <v>53.450514001674001</v>
      </c>
      <c r="AV33" s="18">
        <f t="shared" si="11"/>
        <v>173827.38729077377</v>
      </c>
      <c r="AW33" s="18">
        <f>IF(BD33&lt;&gt;1,"",DATA_INPUT!$H33)</f>
        <v>23.881327434377422</v>
      </c>
      <c r="AX33" s="18">
        <f t="shared" si="12"/>
        <v>77664.898654169971</v>
      </c>
      <c r="AY33" s="18">
        <f>IF(BD33&lt;&gt;1,"",AT33*CONTROL_PANEL!$B$14)</f>
        <v>422969.69126887567</v>
      </c>
      <c r="AZ33" s="18">
        <f>IF(BD33&lt;&gt;1,"",DATA_INPUT!$M33)</f>
        <v>0</v>
      </c>
      <c r="BA33" s="18">
        <f t="shared" si="13"/>
        <v>30179076.132388856</v>
      </c>
      <c r="BB33" s="18">
        <f>IF(BD33&lt;&gt;1,"",IF(BA33-CONTROL_PANEL!$B$11&lt;0,0,BA33-CONTROL_PANEL!$B$11))</f>
        <v>0</v>
      </c>
      <c r="BC33" s="18">
        <f>IF(BD33&lt;&gt;1,"",IF(AZ33&lt;=0,0,MIN(AZ33,MAX(0,CONTROL_PANEL!$B$13-BA33))))</f>
        <v>0</v>
      </c>
      <c r="BD33" s="18">
        <v>1</v>
      </c>
      <c r="BF33" s="19">
        <f t="shared" si="33"/>
        <v>2018</v>
      </c>
      <c r="BG33" s="19">
        <v>2</v>
      </c>
      <c r="BH33" s="18">
        <f t="shared" si="14"/>
        <v>28</v>
      </c>
      <c r="BI33" s="18">
        <f t="shared" si="28"/>
        <v>257.96468542195242</v>
      </c>
      <c r="BJ33" s="18">
        <f>IF(BW32&lt;&gt;1,"",IF(BT32&gt;0,IF(BT32&gt;CONTROL_PANEL!$B$11,CONTROL_PANEL!$B$11,BT32),0))</f>
        <v>25788893.443769492</v>
      </c>
      <c r="BK33" s="18">
        <f t="shared" si="15"/>
        <v>3368941.4381157565</v>
      </c>
      <c r="BL33" s="18">
        <f>IF(BW33&lt;&gt;1,"",DATA_INPUT!$I33)</f>
        <v>63.671487470852874</v>
      </c>
      <c r="BM33" s="18">
        <f>IF(BW33&lt;&gt;1,"",BL33*CONTROL_PANEL!$B$5)</f>
        <v>6042424.1609839378</v>
      </c>
      <c r="BN33" s="18">
        <f>IF(BW33&lt;&gt;1,"",DATA_INPUT!$C33)</f>
        <v>53.450514001674001</v>
      </c>
      <c r="BO33" s="18">
        <f t="shared" si="16"/>
        <v>180071.65150882598</v>
      </c>
      <c r="BP33" s="18">
        <f>IF(BW33&lt;&gt;1,"",DATA_INPUT!$H33)</f>
        <v>23.881327434377422</v>
      </c>
      <c r="BQ33" s="18">
        <f t="shared" si="17"/>
        <v>80454.793590884743</v>
      </c>
      <c r="BR33" s="18">
        <f>IF(BW33&lt;&gt;1,"",BM33*CONTROL_PANEL!$B$14)</f>
        <v>422969.69126887567</v>
      </c>
      <c r="BS33" s="18">
        <f>IF(BW33&lt;&gt;1,"",DATA_INPUT!$N33)</f>
        <v>0</v>
      </c>
      <c r="BT33" s="18">
        <f t="shared" si="18"/>
        <v>31507964.771402497</v>
      </c>
      <c r="BU33" s="18">
        <f>IF(BW33&lt;&gt;1,"",IF(BT33-CONTROL_PANEL!$B$11&lt;0,0,BT33-CONTROL_PANEL!$B$11))</f>
        <v>0</v>
      </c>
      <c r="BV33" s="18">
        <f>IF(BW33&lt;&gt;1,"",IF(BS33&lt;=0,0,MIN(BS33,MAX(0,CONTROL_PANEL!$B$13-BT33))))</f>
        <v>0</v>
      </c>
      <c r="BW33" s="18">
        <v>1</v>
      </c>
      <c r="BY33" s="19">
        <f t="shared" si="34"/>
        <v>2018</v>
      </c>
      <c r="BZ33" s="19">
        <v>2</v>
      </c>
      <c r="CA33" s="18">
        <f t="shared" si="19"/>
        <v>28</v>
      </c>
      <c r="CB33" s="18">
        <f t="shared" si="29"/>
        <v>257.4969644518045</v>
      </c>
      <c r="CC33" s="18">
        <f>IF(CP32&lt;&gt;1,"",IF(CM32&gt;0,IF(CM32&gt;CONTROL_PANEL!$B$11,CONTROL_PANEL!$B$11,CM32),0))</f>
        <v>24235067.872259673</v>
      </c>
      <c r="CD33" s="18">
        <f t="shared" si="20"/>
        <v>3231778.3927043225</v>
      </c>
      <c r="CE33" s="18">
        <f>IF(CP33&lt;&gt;1,"",DATA_INPUT!$I33)</f>
        <v>63.671487470852874</v>
      </c>
      <c r="CF33" s="18">
        <f>IF(CP33&lt;&gt;1,"",CE33*CONTROL_PANEL!$B$5)</f>
        <v>6042424.1609839378</v>
      </c>
      <c r="CG33" s="18">
        <f>IF(CP33&lt;&gt;1,"",DATA_INPUT!$C33)</f>
        <v>53.450514001674001</v>
      </c>
      <c r="CH33" s="18">
        <f t="shared" si="21"/>
        <v>172740.21622954987</v>
      </c>
      <c r="CI33" s="18">
        <f>IF(CP33&lt;&gt;1,"",DATA_INPUT!$H33)</f>
        <v>23.881327434377422</v>
      </c>
      <c r="CJ33" s="18">
        <f t="shared" si="22"/>
        <v>77179.157991517903</v>
      </c>
      <c r="CK33" s="18">
        <f>IF(CP33&lt;&gt;1,"",CF33*CONTROL_PANEL!$B$14)</f>
        <v>422969.69126887567</v>
      </c>
      <c r="CL33" s="18">
        <f>IF(CP33&lt;&gt;1,"",DATA_INPUT!$O33)</f>
        <v>0</v>
      </c>
      <c r="CM33" s="18">
        <f t="shared" si="23"/>
        <v>29950083.400212768</v>
      </c>
      <c r="CN33" s="18">
        <f>IF(CP33&lt;&gt;1,"",IF(CM33-CONTROL_PANEL!$B$11&lt;0,0,CM33-CONTROL_PANEL!$B$11))</f>
        <v>0</v>
      </c>
      <c r="CO33" s="18">
        <f>IF(CP33&lt;&gt;1,"",IF(CL33&lt;=0,0,MIN(CL33,MAX(0,CONTROL_PANEL!$B$13-CM33))))</f>
        <v>0</v>
      </c>
      <c r="CP33" s="18">
        <v>1</v>
      </c>
    </row>
    <row r="34" spans="1:94" x14ac:dyDescent="0.25">
      <c r="A34" s="19">
        <f t="shared" si="30"/>
        <v>2018</v>
      </c>
      <c r="B34" s="19">
        <v>3</v>
      </c>
      <c r="C34" s="18">
        <f t="shared" si="0"/>
        <v>31</v>
      </c>
      <c r="D34" s="18">
        <f t="shared" si="24"/>
        <v>259.4365319360752</v>
      </c>
      <c r="E34" s="18">
        <f>IF(R33&lt;&gt;1,"",IF(O33&gt;0,IF(O33&gt;CONTROL_PANEL!$B$11,CONTROL_PANEL!$B$11,O33),0))</f>
        <v>31110679.586885929</v>
      </c>
      <c r="F34" s="18">
        <f t="shared" si="1"/>
        <v>3819365.162160085</v>
      </c>
      <c r="G34" s="18">
        <f>IF(R34&lt;&gt;1,"",DATA_INPUT!I34)</f>
        <v>28.023676751011692</v>
      </c>
      <c r="H34" s="18">
        <f>IF(R34&lt;&gt;1,"",G34*CONTROL_PANEL!$B$5)</f>
        <v>2659446.9236710095</v>
      </c>
      <c r="I34" s="18">
        <f>IF(R34&lt;&gt;1,"",DATA_INPUT!C34)</f>
        <v>223.01283957847667</v>
      </c>
      <c r="J34" s="18">
        <f t="shared" si="2"/>
        <v>851767.47020042955</v>
      </c>
      <c r="K34" s="18">
        <f>IF(R34&lt;&gt;1,"",DATA_INPUT!H34)</f>
        <v>34.06109602859064</v>
      </c>
      <c r="L34" s="18">
        <f t="shared" si="25"/>
        <v>130091.76355658832</v>
      </c>
      <c r="M34" s="18">
        <f>IF(R34&lt;&gt;1,"",H34*CONTROL_PANEL!$B$14)</f>
        <v>186161.28465697067</v>
      </c>
      <c r="N34" s="18">
        <f>IF(R34&lt;&gt;1,"",DATA_INPUT!K34)</f>
        <v>0</v>
      </c>
      <c r="O34" s="18">
        <f t="shared" si="3"/>
        <v>34305640.932543807</v>
      </c>
      <c r="P34" s="18">
        <f>IF(R34&lt;&gt;1,"",IF(O34-CONTROL_PANEL!$B$11&lt;0,0,O34-CONTROL_PANEL!$B$11))</f>
        <v>0</v>
      </c>
      <c r="Q34" s="18">
        <f>IF(R34&lt;&gt;1,"",IF(N34&lt;=0,0,MIN(N34,MAX(0,CONTROL_PANEL!$B$13-O34))))</f>
        <v>0</v>
      </c>
      <c r="R34" s="18">
        <v>1</v>
      </c>
      <c r="T34" s="19">
        <f t="shared" si="31"/>
        <v>2018</v>
      </c>
      <c r="U34" s="19">
        <v>3</v>
      </c>
      <c r="V34" s="18">
        <f t="shared" si="4"/>
        <v>31</v>
      </c>
      <c r="W34" s="18">
        <f t="shared" si="26"/>
        <v>258.64025730731066</v>
      </c>
      <c r="X34" s="18">
        <f>IF(AK33&lt;&gt;1,"",IF(AH33&gt;0,IF(AH33&gt;CONTROL_PANEL!$B$11,CONTROL_PANEL!$B$11,AH33),0))</f>
        <v>28148783.923121929</v>
      </c>
      <c r="Y34" s="18">
        <f t="shared" si="5"/>
        <v>3572141.8202690743</v>
      </c>
      <c r="Z34" s="18">
        <f>IF(AK34&lt;&gt;1,"",DATA_INPUT!I34)</f>
        <v>28.023676751011692</v>
      </c>
      <c r="AA34" s="18">
        <f>IF(AK34&lt;&gt;1,"",Z34*CONTROL_PANEL!$B$5)</f>
        <v>2659446.9236710095</v>
      </c>
      <c r="AB34" s="18">
        <f>IF(AK34&lt;&gt;1,"",DATA_INPUT!$C34)</f>
        <v>223.01283957847667</v>
      </c>
      <c r="AC34" s="18">
        <f t="shared" si="6"/>
        <v>796633.49071523477</v>
      </c>
      <c r="AD34" s="18">
        <f>IF(AK34&lt;&gt;1,"",DATA_INPUT!$H34)</f>
        <v>34.06109602859064</v>
      </c>
      <c r="AE34" s="18">
        <f t="shared" si="7"/>
        <v>121671.0655679295</v>
      </c>
      <c r="AF34" s="18">
        <f>IF(AK34&lt;&gt;1,"",AA34*CONTROL_PANEL!$B$14)</f>
        <v>186161.28465697067</v>
      </c>
      <c r="AG34" s="18">
        <f>IF(AK34&lt;&gt;1,"",DATA_INPUT!$L34)</f>
        <v>0</v>
      </c>
      <c r="AH34" s="18">
        <f t="shared" si="8"/>
        <v>31297031.987283275</v>
      </c>
      <c r="AI34" s="18">
        <f>IF(AK34&lt;&gt;1,"",IF(AH34-CONTROL_PANEL!$B$11&lt;0,0,AH34-CONTROL_PANEL!$B$11))</f>
        <v>0</v>
      </c>
      <c r="AJ34" s="18">
        <f>IF(AK34&lt;&gt;1,"",IF(AG34&lt;=0,0,MIN(AG34,MAX(0,CONTROL_PANEL!$B$13-AH34))))</f>
        <v>0</v>
      </c>
      <c r="AK34" s="18">
        <v>1</v>
      </c>
      <c r="AM34" s="19">
        <f t="shared" si="32"/>
        <v>2018</v>
      </c>
      <c r="AN34" s="19">
        <v>3</v>
      </c>
      <c r="AO34" s="18">
        <f t="shared" si="9"/>
        <v>31</v>
      </c>
      <c r="AP34" s="18">
        <f t="shared" si="27"/>
        <v>259.1917636836568</v>
      </c>
      <c r="AQ34" s="18">
        <f>IF(BD33&lt;&gt;1,"",IF(BA33&gt;0,IF(BA33&gt;CONTROL_PANEL!$B$11,CONTROL_PANEL!$B$11,BA33),0))</f>
        <v>30179076.132388856</v>
      </c>
      <c r="AR34" s="18">
        <f t="shared" si="10"/>
        <v>3742481.5148277292</v>
      </c>
      <c r="AS34" s="18">
        <f>IF(BD34&lt;&gt;1,"",DATA_INPUT!$I34)</f>
        <v>28.023676751011692</v>
      </c>
      <c r="AT34" s="18">
        <f>IF(BD34&lt;&gt;1,"",AS34*CONTROL_PANEL!$B$5)</f>
        <v>2659446.9236710095</v>
      </c>
      <c r="AU34" s="18">
        <f>IF(BD34&lt;&gt;1,"",DATA_INPUT!$C34)</f>
        <v>223.01283957847667</v>
      </c>
      <c r="AV34" s="18">
        <f t="shared" si="11"/>
        <v>834621.42969169072</v>
      </c>
      <c r="AW34" s="18">
        <f>IF(BD34&lt;&gt;1,"",DATA_INPUT!$H34)</f>
        <v>34.06109602859064</v>
      </c>
      <c r="AX34" s="18">
        <f t="shared" si="12"/>
        <v>127473.02226177265</v>
      </c>
      <c r="AY34" s="18">
        <f>IF(BD34&lt;&gt;1,"",AT34*CONTROL_PANEL!$B$14)</f>
        <v>186161.28465697067</v>
      </c>
      <c r="AZ34" s="18">
        <f>IF(BD34&lt;&gt;1,"",DATA_INPUT!$M34)</f>
        <v>0</v>
      </c>
      <c r="BA34" s="18">
        <f t="shared" si="13"/>
        <v>33359510.17883281</v>
      </c>
      <c r="BB34" s="18">
        <f>IF(BD34&lt;&gt;1,"",IF(BA34-CONTROL_PANEL!$B$11&lt;0,0,BA34-CONTROL_PANEL!$B$11))</f>
        <v>0</v>
      </c>
      <c r="BC34" s="18">
        <f>IF(BD34&lt;&gt;1,"",IF(AZ34&lt;=0,0,MIN(AZ34,MAX(0,CONTROL_PANEL!$B$13-BA34))))</f>
        <v>0</v>
      </c>
      <c r="BD34" s="18">
        <v>1</v>
      </c>
      <c r="BF34" s="19">
        <f t="shared" si="33"/>
        <v>2018</v>
      </c>
      <c r="BG34" s="19">
        <v>3</v>
      </c>
      <c r="BH34" s="18">
        <f t="shared" si="14"/>
        <v>31</v>
      </c>
      <c r="BI34" s="18">
        <f t="shared" si="28"/>
        <v>259.5394235243412</v>
      </c>
      <c r="BJ34" s="18">
        <f>IF(BW33&lt;&gt;1,"",IF(BT33&gt;0,IF(BT33&gt;CONTROL_PANEL!$B$11,CONTROL_PANEL!$B$11,BT33),0))</f>
        <v>31507964.771402497</v>
      </c>
      <c r="BK34" s="18">
        <f t="shared" si="15"/>
        <v>3851919.9206308685</v>
      </c>
      <c r="BL34" s="18">
        <f>IF(BW34&lt;&gt;1,"",DATA_INPUT!$I34)</f>
        <v>28.023676751011692</v>
      </c>
      <c r="BM34" s="18">
        <f>IF(BW34&lt;&gt;1,"",BL34*CONTROL_PANEL!$B$5)</f>
        <v>2659446.9236710095</v>
      </c>
      <c r="BN34" s="18">
        <f>IF(BW34&lt;&gt;1,"",DATA_INPUT!$C34)</f>
        <v>223.01283957847667</v>
      </c>
      <c r="BO34" s="18">
        <f t="shared" si="16"/>
        <v>859027.59932879044</v>
      </c>
      <c r="BP34" s="18">
        <f>IF(BW34&lt;&gt;1,"",DATA_INPUT!$H34)</f>
        <v>34.06109602859064</v>
      </c>
      <c r="BQ34" s="18">
        <f t="shared" si="17"/>
        <v>131200.61431104926</v>
      </c>
      <c r="BR34" s="18">
        <f>IF(BW34&lt;&gt;1,"",BM34*CONTROL_PANEL!$B$14)</f>
        <v>186161.28465697067</v>
      </c>
      <c r="BS34" s="18">
        <f>IF(BW34&lt;&gt;1,"",DATA_INPUT!$N34)</f>
        <v>0</v>
      </c>
      <c r="BT34" s="18">
        <f t="shared" si="18"/>
        <v>34709077.395434283</v>
      </c>
      <c r="BU34" s="18">
        <f>IF(BW34&lt;&gt;1,"",IF(BT34-CONTROL_PANEL!$B$11&lt;0,0,BT34-CONTROL_PANEL!$B$11))</f>
        <v>0</v>
      </c>
      <c r="BV34" s="18">
        <f>IF(BW34&lt;&gt;1,"",IF(BS34&lt;=0,0,MIN(BS34,MAX(0,CONTROL_PANEL!$B$13-BT34))))</f>
        <v>0</v>
      </c>
      <c r="BW34" s="18">
        <v>1</v>
      </c>
      <c r="BY34" s="19">
        <f t="shared" si="34"/>
        <v>2018</v>
      </c>
      <c r="BZ34" s="19">
        <v>3</v>
      </c>
      <c r="CA34" s="18">
        <f t="shared" si="19"/>
        <v>31</v>
      </c>
      <c r="CB34" s="18">
        <f t="shared" si="29"/>
        <v>259.13082659549252</v>
      </c>
      <c r="CC34" s="18">
        <f>IF(CP33&lt;&gt;1,"",IF(CM33&gt;0,IF(CM33&gt;CONTROL_PANEL!$B$11,CONTROL_PANEL!$B$11,CM33),0))</f>
        <v>29950083.400212768</v>
      </c>
      <c r="CD34" s="18">
        <f t="shared" si="20"/>
        <v>3723463.42323069</v>
      </c>
      <c r="CE34" s="18">
        <f>IF(CP34&lt;&gt;1,"",DATA_INPUT!$I34)</f>
        <v>28.023676751011692</v>
      </c>
      <c r="CF34" s="18">
        <f>IF(CP34&lt;&gt;1,"",CE34*CONTROL_PANEL!$B$5)</f>
        <v>2659446.9236710095</v>
      </c>
      <c r="CG34" s="18">
        <f>IF(CP34&lt;&gt;1,"",DATA_INPUT!$C34)</f>
        <v>223.01283957847667</v>
      </c>
      <c r="CH34" s="18">
        <f t="shared" si="21"/>
        <v>830380.15108127135</v>
      </c>
      <c r="CI34" s="18">
        <f>IF(CP34&lt;&gt;1,"",DATA_INPUT!$H34)</f>
        <v>34.06109602859064</v>
      </c>
      <c r="CJ34" s="18">
        <f t="shared" si="22"/>
        <v>126825.24521760536</v>
      </c>
      <c r="CK34" s="18">
        <f>IF(CP34&lt;&gt;1,"",CF34*CONTROL_PANEL!$B$14)</f>
        <v>186161.28465697067</v>
      </c>
      <c r="CL34" s="18">
        <f>IF(CP34&lt;&gt;1,"",DATA_INPUT!$O34)</f>
        <v>0</v>
      </c>
      <c r="CM34" s="18">
        <f t="shared" si="23"/>
        <v>33126923.945090476</v>
      </c>
      <c r="CN34" s="18">
        <f>IF(CP34&lt;&gt;1,"",IF(CM34-CONTROL_PANEL!$B$11&lt;0,0,CM34-CONTROL_PANEL!$B$11))</f>
        <v>0</v>
      </c>
      <c r="CO34" s="18">
        <f>IF(CP34&lt;&gt;1,"",IF(CL34&lt;=0,0,MIN(CL34,MAX(0,CONTROL_PANEL!$B$13-CM34))))</f>
        <v>0</v>
      </c>
      <c r="CP34" s="18">
        <v>1</v>
      </c>
    </row>
    <row r="35" spans="1:94" x14ac:dyDescent="0.25">
      <c r="A35" s="19">
        <f t="shared" si="30"/>
        <v>2018</v>
      </c>
      <c r="B35" s="19">
        <v>4</v>
      </c>
      <c r="C35" s="18">
        <f t="shared" si="0"/>
        <v>30</v>
      </c>
      <c r="D35" s="18">
        <f t="shared" si="24"/>
        <v>260.24049464177267</v>
      </c>
      <c r="E35" s="18">
        <f>IF(R34&lt;&gt;1,"",IF(O34&gt;0,IF(O34&gt;CONTROL_PANEL!$B$11,CONTROL_PANEL!$B$11,O34),0))</f>
        <v>34305640.932543807</v>
      </c>
      <c r="F35" s="18">
        <f t="shared" si="1"/>
        <v>4077452.6909351908</v>
      </c>
      <c r="G35" s="18">
        <f>IF(R35&lt;&gt;1,"",DATA_INPUT!I35)</f>
        <v>7.7320017389241915</v>
      </c>
      <c r="H35" s="18">
        <f>IF(R35&lt;&gt;1,"",G35*CONTROL_PANEL!$B$5)</f>
        <v>733766.96502390574</v>
      </c>
      <c r="I35" s="18">
        <f>IF(R35&lt;&gt;1,"",DATA_INPUT!C35)</f>
        <v>94.990549329836654</v>
      </c>
      <c r="J35" s="18">
        <f t="shared" si="2"/>
        <v>387319.47097835445</v>
      </c>
      <c r="K35" s="18">
        <f>IF(R35&lt;&gt;1,"",DATA_INPUT!H35)</f>
        <v>67.491522873708959</v>
      </c>
      <c r="L35" s="18">
        <f t="shared" si="25"/>
        <v>275193.4915567186</v>
      </c>
      <c r="M35" s="18">
        <f>IF(R35&lt;&gt;1,"",H35*CONTROL_PANEL!$B$14)</f>
        <v>51363.687551673407</v>
      </c>
      <c r="N35" s="18">
        <f>IF(R35&lt;&gt;1,"",DATA_INPUT!K35)</f>
        <v>10980.330344841714</v>
      </c>
      <c r="O35" s="18">
        <f t="shared" si="3"/>
        <v>35089189.859092832</v>
      </c>
      <c r="P35" s="18">
        <f>IF(R35&lt;&gt;1,"",IF(O35-CONTROL_PANEL!$B$11&lt;0,0,O35-CONTROL_PANEL!$B$11))</f>
        <v>0</v>
      </c>
      <c r="Q35" s="18">
        <f>IF(R35&lt;&gt;1,"",IF(N35&lt;=0,0,MIN(N35,MAX(0,CONTROL_PANEL!$B$13-O35))))</f>
        <v>0</v>
      </c>
      <c r="R35" s="18">
        <v>1</v>
      </c>
      <c r="T35" s="19">
        <f t="shared" si="31"/>
        <v>2018</v>
      </c>
      <c r="U35" s="19">
        <v>4</v>
      </c>
      <c r="V35" s="18">
        <f t="shared" si="4"/>
        <v>30</v>
      </c>
      <c r="W35" s="18">
        <f t="shared" si="26"/>
        <v>259.48490350025509</v>
      </c>
      <c r="X35" s="18">
        <f>IF(AK34&lt;&gt;1,"",IF(AH34&gt;0,IF(AH34&gt;CONTROL_PANEL!$B$11,CONTROL_PANEL!$B$11,AH34),0))</f>
        <v>31297031.987283275</v>
      </c>
      <c r="Y35" s="18">
        <f t="shared" si="5"/>
        <v>3834652.4813083927</v>
      </c>
      <c r="Z35" s="18">
        <f>IF(AK35&lt;&gt;1,"",DATA_INPUT!I35)</f>
        <v>7.7320017389241915</v>
      </c>
      <c r="AA35" s="18">
        <f>IF(AK35&lt;&gt;1,"",Z35*CONTROL_PANEL!$B$5)</f>
        <v>733766.96502390574</v>
      </c>
      <c r="AB35" s="18">
        <f>IF(AK35&lt;&gt;1,"",DATA_INPUT!$C35)</f>
        <v>94.990549329836654</v>
      </c>
      <c r="AC35" s="18">
        <f t="shared" si="6"/>
        <v>364255.74568850541</v>
      </c>
      <c r="AD35" s="18">
        <f>IF(AK35&lt;&gt;1,"",DATA_INPUT!$H35)</f>
        <v>67.491522873708959</v>
      </c>
      <c r="AE35" s="18">
        <f t="shared" si="7"/>
        <v>258806.53565495019</v>
      </c>
      <c r="AF35" s="18">
        <f>IF(AK35&lt;&gt;1,"",AA35*CONTROL_PANEL!$B$14)</f>
        <v>51363.687551673407</v>
      </c>
      <c r="AG35" s="18">
        <f>IF(AK35&lt;&gt;1,"",DATA_INPUT!$L35)</f>
        <v>13729.92999548964</v>
      </c>
      <c r="AH35" s="18">
        <f t="shared" si="8"/>
        <v>32071154.544793572</v>
      </c>
      <c r="AI35" s="18">
        <f>IF(AK35&lt;&gt;1,"",IF(AH35-CONTROL_PANEL!$B$11&lt;0,0,AH35-CONTROL_PANEL!$B$11))</f>
        <v>0</v>
      </c>
      <c r="AJ35" s="18">
        <f>IF(AK35&lt;&gt;1,"",IF(AG35&lt;=0,0,MIN(AG35,MAX(0,CONTROL_PANEL!$B$13-AH35))))</f>
        <v>0</v>
      </c>
      <c r="AK35" s="18">
        <v>1</v>
      </c>
      <c r="AM35" s="19">
        <f t="shared" si="32"/>
        <v>2018</v>
      </c>
      <c r="AN35" s="19">
        <v>4</v>
      </c>
      <c r="AO35" s="18">
        <f t="shared" si="9"/>
        <v>30</v>
      </c>
      <c r="AP35" s="18">
        <f t="shared" si="27"/>
        <v>260.00783236751005</v>
      </c>
      <c r="AQ35" s="18">
        <f>IF(BD34&lt;&gt;1,"",IF(BA34&gt;0,IF(BA34&gt;CONTROL_PANEL!$B$11,CONTROL_PANEL!$B$11,BA34),0))</f>
        <v>33359510.17883281</v>
      </c>
      <c r="AR35" s="18">
        <f t="shared" si="10"/>
        <v>4001887.4513298334</v>
      </c>
      <c r="AS35" s="18">
        <f>IF(BD35&lt;&gt;1,"",DATA_INPUT!$I35)</f>
        <v>7.7320017389241915</v>
      </c>
      <c r="AT35" s="18">
        <f>IF(BD35&lt;&gt;1,"",AS35*CONTROL_PANEL!$B$5)</f>
        <v>733766.96502390574</v>
      </c>
      <c r="AU35" s="18">
        <f>IF(BD35&lt;&gt;1,"",DATA_INPUT!$C35)</f>
        <v>94.990549329836654</v>
      </c>
      <c r="AV35" s="18">
        <f t="shared" si="11"/>
        <v>380141.48735800083</v>
      </c>
      <c r="AW35" s="18">
        <f>IF(BD35&lt;&gt;1,"",DATA_INPUT!$H35)</f>
        <v>67.491522873708959</v>
      </c>
      <c r="AX35" s="18">
        <f t="shared" si="12"/>
        <v>270093.47845943627</v>
      </c>
      <c r="AY35" s="18">
        <f>IF(BD35&lt;&gt;1,"",AT35*CONTROL_PANEL!$B$14)</f>
        <v>51363.687551673407</v>
      </c>
      <c r="AZ35" s="18">
        <f>IF(BD35&lt;&gt;1,"",DATA_INPUT!$M35)</f>
        <v>6265.5620179152693</v>
      </c>
      <c r="BA35" s="18">
        <f t="shared" si="13"/>
        <v>34145695.903185695</v>
      </c>
      <c r="BB35" s="18">
        <f>IF(BD35&lt;&gt;1,"",IF(BA35-CONTROL_PANEL!$B$11&lt;0,0,BA35-CONTROL_PANEL!$B$11))</f>
        <v>0</v>
      </c>
      <c r="BC35" s="18">
        <f>IF(BD35&lt;&gt;1,"",IF(AZ35&lt;=0,0,MIN(AZ35,MAX(0,CONTROL_PANEL!$B$13-BA35))))</f>
        <v>0</v>
      </c>
      <c r="BD35" s="18">
        <v>1</v>
      </c>
      <c r="BF35" s="19">
        <f t="shared" si="33"/>
        <v>2018</v>
      </c>
      <c r="BG35" s="19">
        <v>4</v>
      </c>
      <c r="BH35" s="18">
        <f t="shared" si="14"/>
        <v>30</v>
      </c>
      <c r="BI35" s="18">
        <f t="shared" si="28"/>
        <v>260.33839859111589</v>
      </c>
      <c r="BJ35" s="18">
        <f>IF(BW34&lt;&gt;1,"",IF(BT34&gt;0,IF(BT34&gt;CONTROL_PANEL!$B$11,CONTROL_PANEL!$B$11,BT34),0))</f>
        <v>34709077.395434283</v>
      </c>
      <c r="BK35" s="18">
        <f t="shared" si="15"/>
        <v>4109463.8168180101</v>
      </c>
      <c r="BL35" s="18">
        <f>IF(BW35&lt;&gt;1,"",DATA_INPUT!$I35)</f>
        <v>7.7320017389241915</v>
      </c>
      <c r="BM35" s="18">
        <f>IF(BW35&lt;&gt;1,"",BL35*CONTROL_PANEL!$B$5)</f>
        <v>733766.96502390574</v>
      </c>
      <c r="BN35" s="18">
        <f>IF(BW35&lt;&gt;1,"",DATA_INPUT!$C35)</f>
        <v>94.990549329836654</v>
      </c>
      <c r="BO35" s="18">
        <f t="shared" si="16"/>
        <v>390360.22541063</v>
      </c>
      <c r="BP35" s="18">
        <f>IF(BW35&lt;&gt;1,"",DATA_INPUT!$H35)</f>
        <v>67.491522873708959</v>
      </c>
      <c r="BQ35" s="18">
        <f t="shared" si="17"/>
        <v>277353.971191452</v>
      </c>
      <c r="BR35" s="18">
        <f>IF(BW35&lt;&gt;1,"",BM35*CONTROL_PANEL!$B$14)</f>
        <v>51363.687551673407</v>
      </c>
      <c r="BS35" s="18">
        <f>IF(BW35&lt;&gt;1,"",DATA_INPUT!$N35)</f>
        <v>163.78211928538141</v>
      </c>
      <c r="BT35" s="18">
        <f t="shared" si="18"/>
        <v>35504323.145006411</v>
      </c>
      <c r="BU35" s="18">
        <f>IF(BW35&lt;&gt;1,"",IF(BT35-CONTROL_PANEL!$B$11&lt;0,0,BT35-CONTROL_PANEL!$B$11))</f>
        <v>0</v>
      </c>
      <c r="BV35" s="18">
        <f>IF(BW35&lt;&gt;1,"",IF(BS35&lt;=0,0,MIN(BS35,MAX(0,CONTROL_PANEL!$B$13-BT35))))</f>
        <v>0</v>
      </c>
      <c r="BW35" s="18">
        <v>1</v>
      </c>
      <c r="BY35" s="19">
        <f t="shared" si="34"/>
        <v>2018</v>
      </c>
      <c r="BZ35" s="19">
        <v>4</v>
      </c>
      <c r="CA35" s="18">
        <f t="shared" si="19"/>
        <v>30</v>
      </c>
      <c r="CB35" s="18">
        <f t="shared" si="29"/>
        <v>259.94996298287413</v>
      </c>
      <c r="CC35" s="18">
        <f>IF(CP34&lt;&gt;1,"",IF(CM34&gt;0,IF(CM34&gt;CONTROL_PANEL!$B$11,CONTROL_PANEL!$B$11,CM34),0))</f>
        <v>33126923.945090476</v>
      </c>
      <c r="CD35" s="18">
        <f t="shared" si="20"/>
        <v>3983203.1776354676</v>
      </c>
      <c r="CE35" s="18">
        <f>IF(CP35&lt;&gt;1,"",DATA_INPUT!$I35)</f>
        <v>7.7320017389241915</v>
      </c>
      <c r="CF35" s="18">
        <f>IF(CP35&lt;&gt;1,"",CE35*CONTROL_PANEL!$B$5)</f>
        <v>733766.96502390574</v>
      </c>
      <c r="CG35" s="18">
        <f>IF(CP35&lt;&gt;1,"",DATA_INPUT!$C35)</f>
        <v>94.990549329836654</v>
      </c>
      <c r="CH35" s="18">
        <f t="shared" si="21"/>
        <v>378366.65793594404</v>
      </c>
      <c r="CI35" s="18">
        <f>IF(CP35&lt;&gt;1,"",DATA_INPUT!$H35)</f>
        <v>67.491522873708959</v>
      </c>
      <c r="CJ35" s="18">
        <f t="shared" si="22"/>
        <v>268832.44837401441</v>
      </c>
      <c r="CK35" s="18">
        <f>IF(CP35&lt;&gt;1,"",CF35*CONTROL_PANEL!$B$14)</f>
        <v>51363.687551673407</v>
      </c>
      <c r="CL35" s="18">
        <f>IF(CP35&lt;&gt;1,"",DATA_INPUT!$O35)</f>
        <v>188.20561204433957</v>
      </c>
      <c r="CM35" s="18">
        <f t="shared" si="23"/>
        <v>33918673.226512603</v>
      </c>
      <c r="CN35" s="18">
        <f>IF(CP35&lt;&gt;1,"",IF(CM35-CONTROL_PANEL!$B$11&lt;0,0,CM35-CONTROL_PANEL!$B$11))</f>
        <v>0</v>
      </c>
      <c r="CO35" s="18">
        <f>IF(CP35&lt;&gt;1,"",IF(CL35&lt;=0,0,MIN(CL35,MAX(0,CONTROL_PANEL!$B$13-CM35))))</f>
        <v>0</v>
      </c>
      <c r="CP35" s="18">
        <v>1</v>
      </c>
    </row>
    <row r="36" spans="1:94" x14ac:dyDescent="0.25">
      <c r="A36" s="19">
        <f t="shared" si="30"/>
        <v>2018</v>
      </c>
      <c r="B36" s="19">
        <v>5</v>
      </c>
      <c r="C36" s="18">
        <f t="shared" si="0"/>
        <v>31</v>
      </c>
      <c r="D36" s="18">
        <f t="shared" si="24"/>
        <v>260.42994838510862</v>
      </c>
      <c r="E36" s="18">
        <f>IF(R35&lt;&gt;1,"",IF(O35&gt;0,IF(O35&gt;CONTROL_PANEL!$B$11,CONTROL_PANEL!$B$11,O35),0))</f>
        <v>35089189.859092832</v>
      </c>
      <c r="F36" s="18">
        <f t="shared" si="1"/>
        <v>4139511.7277910518</v>
      </c>
      <c r="G36" s="18">
        <f>IF(R36&lt;&gt;1,"",DATA_INPUT!I36)</f>
        <v>1.066162131481835</v>
      </c>
      <c r="H36" s="18">
        <f>IF(R36&lt;&gt;1,"",G36*CONTROL_PANEL!$B$5)</f>
        <v>101178.78627762615</v>
      </c>
      <c r="I36" s="18">
        <f>IF(R36&lt;&gt;1,"",DATA_INPUT!C36)</f>
        <v>47.499732675028007</v>
      </c>
      <c r="J36" s="18">
        <f t="shared" si="2"/>
        <v>196625.70047521827</v>
      </c>
      <c r="K36" s="18">
        <f>IF(R36&lt;&gt;1,"",DATA_INPUT!H36)</f>
        <v>93.482329454800023</v>
      </c>
      <c r="L36" s="18">
        <f t="shared" si="25"/>
        <v>386971.19911937159</v>
      </c>
      <c r="M36" s="18">
        <f>IF(R36&lt;&gt;1,"",H36*CONTROL_PANEL!$B$14)</f>
        <v>7082.5150394338307</v>
      </c>
      <c r="N36" s="18">
        <f>IF(R36&lt;&gt;1,"",DATA_INPUT!K36)</f>
        <v>68747.215254328839</v>
      </c>
      <c r="O36" s="18">
        <f t="shared" si="3"/>
        <v>34924193.416432545</v>
      </c>
      <c r="P36" s="18">
        <f>IF(R36&lt;&gt;1,"",IF(O36-CONTROL_PANEL!$B$11&lt;0,0,O36-CONTROL_PANEL!$B$11))</f>
        <v>0</v>
      </c>
      <c r="Q36" s="18">
        <f>IF(R36&lt;&gt;1,"",IF(N36&lt;=0,0,MIN(N36,MAX(0,CONTROL_PANEL!$B$13-O36))))</f>
        <v>0</v>
      </c>
      <c r="R36" s="18">
        <v>1</v>
      </c>
      <c r="T36" s="19">
        <f t="shared" si="31"/>
        <v>2018</v>
      </c>
      <c r="U36" s="19">
        <v>5</v>
      </c>
      <c r="V36" s="18">
        <f t="shared" si="4"/>
        <v>31</v>
      </c>
      <c r="W36" s="18">
        <f t="shared" si="26"/>
        <v>259.6838056810156</v>
      </c>
      <c r="X36" s="18">
        <f>IF(AK35&lt;&gt;1,"",IF(AH35&gt;0,IF(AH35&gt;CONTROL_PANEL!$B$11,CONTROL_PANEL!$B$11,AH35),0))</f>
        <v>32071154.544793572</v>
      </c>
      <c r="Y36" s="18">
        <f t="shared" si="5"/>
        <v>3897837.5084348945</v>
      </c>
      <c r="Z36" s="18">
        <f>IF(AK36&lt;&gt;1,"",DATA_INPUT!I36)</f>
        <v>1.066162131481835</v>
      </c>
      <c r="AA36" s="18">
        <f>IF(AK36&lt;&gt;1,"",Z36*CONTROL_PANEL!$B$5)</f>
        <v>101178.78627762615</v>
      </c>
      <c r="AB36" s="18">
        <f>IF(AK36&lt;&gt;1,"",DATA_INPUT!$C36)</f>
        <v>47.499732675028007</v>
      </c>
      <c r="AC36" s="18">
        <f t="shared" si="6"/>
        <v>185146.23966135472</v>
      </c>
      <c r="AD36" s="18">
        <f>IF(AK36&lt;&gt;1,"",DATA_INPUT!$H36)</f>
        <v>93.482329454800023</v>
      </c>
      <c r="AE36" s="18">
        <f t="shared" si="7"/>
        <v>364378.93012478767</v>
      </c>
      <c r="AF36" s="18">
        <f>IF(AK36&lt;&gt;1,"",AA36*CONTROL_PANEL!$B$14)</f>
        <v>7082.5150394338307</v>
      </c>
      <c r="AG36" s="18">
        <f>IF(AK36&lt;&gt;1,"",DATA_INPUT!$L36)</f>
        <v>87117.337390809203</v>
      </c>
      <c r="AH36" s="18">
        <f t="shared" si="8"/>
        <v>31898900.78817752</v>
      </c>
      <c r="AI36" s="18">
        <f>IF(AK36&lt;&gt;1,"",IF(AH36-CONTROL_PANEL!$B$11&lt;0,0,AH36-CONTROL_PANEL!$B$11))</f>
        <v>0</v>
      </c>
      <c r="AJ36" s="18">
        <f>IF(AK36&lt;&gt;1,"",IF(AG36&lt;=0,0,MIN(AG36,MAX(0,CONTROL_PANEL!$B$13-AH36))))</f>
        <v>0</v>
      </c>
      <c r="AK36" s="18">
        <v>1</v>
      </c>
      <c r="AM36" s="19">
        <f t="shared" si="32"/>
        <v>2018</v>
      </c>
      <c r="AN36" s="19">
        <v>5</v>
      </c>
      <c r="AO36" s="18">
        <f t="shared" si="9"/>
        <v>31</v>
      </c>
      <c r="AP36" s="18">
        <f t="shared" si="27"/>
        <v>260.20146679957162</v>
      </c>
      <c r="AQ36" s="18">
        <f>IF(BD35&lt;&gt;1,"",IF(BA35&gt;0,IF(BA35&gt;CONTROL_PANEL!$B$11,CONTROL_PANEL!$B$11,BA35),0))</f>
        <v>34145695.903185695</v>
      </c>
      <c r="AR36" s="18">
        <f t="shared" si="10"/>
        <v>4064727.2051362591</v>
      </c>
      <c r="AS36" s="18">
        <f>IF(BD36&lt;&gt;1,"",DATA_INPUT!$I36)</f>
        <v>1.066162131481835</v>
      </c>
      <c r="AT36" s="18">
        <f>IF(BD36&lt;&gt;1,"",AS36*CONTROL_PANEL!$B$5)</f>
        <v>101178.78627762615</v>
      </c>
      <c r="AU36" s="18">
        <f>IF(BD36&lt;&gt;1,"",DATA_INPUT!$C36)</f>
        <v>47.499732675028007</v>
      </c>
      <c r="AV36" s="18">
        <f t="shared" si="11"/>
        <v>193073.45564088604</v>
      </c>
      <c r="AW36" s="18">
        <f>IF(BD36&lt;&gt;1,"",DATA_INPUT!$H36)</f>
        <v>93.482329454800023</v>
      </c>
      <c r="AX36" s="18">
        <f t="shared" si="12"/>
        <v>379980.16773443628</v>
      </c>
      <c r="AY36" s="18">
        <f>IF(BD36&lt;&gt;1,"",AT36*CONTROL_PANEL!$B$14)</f>
        <v>7082.5150394338307</v>
      </c>
      <c r="AZ36" s="18">
        <f>IF(BD36&lt;&gt;1,"",DATA_INPUT!$M36)</f>
        <v>70019.953312207857</v>
      </c>
      <c r="BA36" s="18">
        <f t="shared" si="13"/>
        <v>33982865.509018138</v>
      </c>
      <c r="BB36" s="18">
        <f>IF(BD36&lt;&gt;1,"",IF(BA36-CONTROL_PANEL!$B$11&lt;0,0,BA36-CONTROL_PANEL!$B$11))</f>
        <v>0</v>
      </c>
      <c r="BC36" s="18">
        <f>IF(BD36&lt;&gt;1,"",IF(AZ36&lt;=0,0,MIN(AZ36,MAX(0,CONTROL_PANEL!$B$13-BA36))))</f>
        <v>0</v>
      </c>
      <c r="BD36" s="18">
        <v>1</v>
      </c>
      <c r="BF36" s="19">
        <f t="shared" si="33"/>
        <v>2018</v>
      </c>
      <c r="BG36" s="19">
        <v>5</v>
      </c>
      <c r="BH36" s="18">
        <f t="shared" si="14"/>
        <v>31</v>
      </c>
      <c r="BI36" s="18">
        <f t="shared" si="28"/>
        <v>260.52917821636055</v>
      </c>
      <c r="BJ36" s="18">
        <f>IF(BW35&lt;&gt;1,"",IF(BT35&gt;0,IF(BT35&gt;CONTROL_PANEL!$B$11,CONTROL_PANEL!$B$11,BT35),0))</f>
        <v>35504323.145006411</v>
      </c>
      <c r="BK36" s="18">
        <f t="shared" si="15"/>
        <v>4172205.173716085</v>
      </c>
      <c r="BL36" s="18">
        <f>IF(BW36&lt;&gt;1,"",DATA_INPUT!$I36)</f>
        <v>1.066162131481835</v>
      </c>
      <c r="BM36" s="18">
        <f>IF(BW36&lt;&gt;1,"",BL36*CONTROL_PANEL!$B$5)</f>
        <v>101178.78627762615</v>
      </c>
      <c r="BN36" s="18">
        <f>IF(BW36&lt;&gt;1,"",DATA_INPUT!$C36)</f>
        <v>47.499732675028007</v>
      </c>
      <c r="BO36" s="18">
        <f t="shared" si="16"/>
        <v>198178.63041688281</v>
      </c>
      <c r="BP36" s="18">
        <f>IF(BW36&lt;&gt;1,"",DATA_INPUT!$H36)</f>
        <v>93.482329454800023</v>
      </c>
      <c r="BQ36" s="18">
        <f t="shared" si="17"/>
        <v>390027.45860234823</v>
      </c>
      <c r="BR36" s="18">
        <f>IF(BW36&lt;&gt;1,"",BM36*CONTROL_PANEL!$B$14)</f>
        <v>7082.5150394338307</v>
      </c>
      <c r="BS36" s="18">
        <f>IF(BW36&lt;&gt;1,"",DATA_INPUT!$N36)</f>
        <v>57935.181848105363</v>
      </c>
      <c r="BT36" s="18">
        <f t="shared" si="18"/>
        <v>35348635.406211041</v>
      </c>
      <c r="BU36" s="18">
        <f>IF(BW36&lt;&gt;1,"",IF(BT36-CONTROL_PANEL!$B$11&lt;0,0,BT36-CONTROL_PANEL!$B$11))</f>
        <v>0</v>
      </c>
      <c r="BV36" s="18">
        <f>IF(BW36&lt;&gt;1,"",IF(BS36&lt;=0,0,MIN(BS36,MAX(0,CONTROL_PANEL!$B$13-BT36))))</f>
        <v>0</v>
      </c>
      <c r="BW36" s="18">
        <v>1</v>
      </c>
      <c r="BY36" s="19">
        <f t="shared" si="34"/>
        <v>2018</v>
      </c>
      <c r="BZ36" s="19">
        <v>5</v>
      </c>
      <c r="CA36" s="18">
        <f t="shared" si="19"/>
        <v>31</v>
      </c>
      <c r="CB36" s="18">
        <f t="shared" si="29"/>
        <v>260.1458609689837</v>
      </c>
      <c r="CC36" s="18">
        <f>IF(CP35&lt;&gt;1,"",IF(CM35&gt;0,IF(CM35&gt;CONTROL_PANEL!$B$11,CONTROL_PANEL!$B$11,CM35),0))</f>
        <v>33918673.226512603</v>
      </c>
      <c r="CD36" s="18">
        <f t="shared" si="20"/>
        <v>4046630.9666250441</v>
      </c>
      <c r="CE36" s="18">
        <f>IF(CP36&lt;&gt;1,"",DATA_INPUT!$I36)</f>
        <v>1.066162131481835</v>
      </c>
      <c r="CF36" s="18">
        <f>IF(CP36&lt;&gt;1,"",CE36*CONTROL_PANEL!$B$5)</f>
        <v>101178.78627762615</v>
      </c>
      <c r="CG36" s="18">
        <f>IF(CP36&lt;&gt;1,"",DATA_INPUT!$C36)</f>
        <v>47.499732675028007</v>
      </c>
      <c r="CH36" s="18">
        <f t="shared" si="21"/>
        <v>192213.8891491798</v>
      </c>
      <c r="CI36" s="18">
        <f>IF(CP36&lt;&gt;1,"",DATA_INPUT!$H36)</f>
        <v>93.482329454800023</v>
      </c>
      <c r="CJ36" s="18">
        <f t="shared" si="22"/>
        <v>378288.48920403828</v>
      </c>
      <c r="CK36" s="18">
        <f>IF(CP36&lt;&gt;1,"",CF36*CONTROL_PANEL!$B$14)</f>
        <v>7082.5150394338307</v>
      </c>
      <c r="CL36" s="18">
        <f>IF(CP36&lt;&gt;1,"",DATA_INPUT!$O36)</f>
        <v>66280.07875558798</v>
      </c>
      <c r="CM36" s="18">
        <f t="shared" si="23"/>
        <v>33760414.818940356</v>
      </c>
      <c r="CN36" s="18">
        <f>IF(CP36&lt;&gt;1,"",IF(CM36-CONTROL_PANEL!$B$11&lt;0,0,CM36-CONTROL_PANEL!$B$11))</f>
        <v>0</v>
      </c>
      <c r="CO36" s="18">
        <f>IF(CP36&lt;&gt;1,"",IF(CL36&lt;=0,0,MIN(CL36,MAX(0,CONTROL_PANEL!$B$13-CM36))))</f>
        <v>0</v>
      </c>
      <c r="CP36" s="18">
        <v>1</v>
      </c>
    </row>
    <row r="37" spans="1:94" x14ac:dyDescent="0.25">
      <c r="A37" s="19">
        <f t="shared" si="30"/>
        <v>2018</v>
      </c>
      <c r="B37" s="19">
        <v>6</v>
      </c>
      <c r="C37" s="18">
        <f t="shared" si="0"/>
        <v>30</v>
      </c>
      <c r="D37" s="18">
        <f t="shared" si="24"/>
        <v>260.39029100722689</v>
      </c>
      <c r="E37" s="18">
        <f>IF(R36&lt;&gt;1,"",IF(O36&gt;0,IF(O36&gt;CONTROL_PANEL!$B$11,CONTROL_PANEL!$B$11,O36),0))</f>
        <v>34924193.416432545</v>
      </c>
      <c r="F37" s="18">
        <f t="shared" ref="F37:F68" si="35">IF(R37&lt;&gt;1,"",0.6*(D37-235)^2.02*10000)</f>
        <v>4126482.0564473295</v>
      </c>
      <c r="G37" s="18">
        <f>IF(R37&lt;&gt;1,"",DATA_INPUT!I37)</f>
        <v>0.15901086544332058</v>
      </c>
      <c r="H37" s="18">
        <f>IF(R37&lt;&gt;1,"",G37*CONTROL_PANEL!$B$5)</f>
        <v>15090.131130571122</v>
      </c>
      <c r="I37" s="18">
        <f>IF(R37&lt;&gt;1,"",DATA_INPUT!C37)</f>
        <v>19.45688868786333</v>
      </c>
      <c r="J37" s="18">
        <f t="shared" si="2"/>
        <v>80288.502044761059</v>
      </c>
      <c r="K37" s="18">
        <f>IF(R37&lt;&gt;1,"",DATA_INPUT!H37)</f>
        <v>154.90699467437068</v>
      </c>
      <c r="L37" s="18">
        <f t="shared" si="25"/>
        <v>639220.93394197256</v>
      </c>
      <c r="M37" s="18">
        <f>IF(R37&lt;&gt;1,"",H37*CONTROL_PANEL!$B$14)</f>
        <v>1056.3091791399786</v>
      </c>
      <c r="N37" s="18">
        <f>IF(R37&lt;&gt;1,"",DATA_INPUT!K37)</f>
        <v>402332.86955427483</v>
      </c>
      <c r="O37" s="18">
        <f t="shared" si="3"/>
        <v>33976961.936932489</v>
      </c>
      <c r="P37" s="18">
        <f>IF(R37&lt;&gt;1,"",IF(O37-CONTROL_PANEL!$B$11&lt;0,0,O37-CONTROL_PANEL!$B$11))</f>
        <v>0</v>
      </c>
      <c r="Q37" s="18">
        <f>IF(R37&lt;&gt;1,"",IF(N37&lt;=0,0,MIN(N37,MAX(0,CONTROL_PANEL!$B$13-O37))))</f>
        <v>0</v>
      </c>
      <c r="R37" s="18">
        <v>1</v>
      </c>
      <c r="T37" s="19">
        <f t="shared" si="31"/>
        <v>2018</v>
      </c>
      <c r="U37" s="19">
        <v>6</v>
      </c>
      <c r="V37" s="18">
        <f t="shared" si="4"/>
        <v>30</v>
      </c>
      <c r="W37" s="18">
        <f t="shared" si="26"/>
        <v>259.63982711917987</v>
      </c>
      <c r="X37" s="18">
        <f>IF(AK36&lt;&gt;1,"",IF(AH36&gt;0,IF(AH36&gt;CONTROL_PANEL!$B$11,CONTROL_PANEL!$B$11,AH36),0))</f>
        <v>31898900.78817752</v>
      </c>
      <c r="Y37" s="18">
        <f t="shared" ref="Y37:Y68" si="36">IF(AK37&lt;&gt;1,"",0.6*(W37-235)^2.02*10000)</f>
        <v>3883821.9887525616</v>
      </c>
      <c r="Z37" s="18">
        <f>IF(AK37&lt;&gt;1,"",DATA_INPUT!I37)</f>
        <v>0.15901086544332058</v>
      </c>
      <c r="AA37" s="18">
        <f>IF(AK37&lt;&gt;1,"",Z37*CONTROL_PANEL!$B$5)</f>
        <v>15090.131130571122</v>
      </c>
      <c r="AB37" s="18">
        <f>IF(AK37&lt;&gt;1,"",DATA_INPUT!$C37)</f>
        <v>19.45688868786333</v>
      </c>
      <c r="AC37" s="18">
        <f t="shared" si="6"/>
        <v>75567.09211863458</v>
      </c>
      <c r="AD37" s="18">
        <f>IF(AK37&lt;&gt;1,"",DATA_INPUT!$H37)</f>
        <v>154.90699467437068</v>
      </c>
      <c r="AE37" s="18">
        <f t="shared" si="7"/>
        <v>601631.19212789682</v>
      </c>
      <c r="AF37" s="18">
        <f>IF(AK37&lt;&gt;1,"",AA37*CONTROL_PANEL!$B$14)</f>
        <v>1056.3091791399786</v>
      </c>
      <c r="AG37" s="18">
        <f>IF(AK37&lt;&gt;1,"",DATA_INPUT!$L37)</f>
        <v>510910.9819837847</v>
      </c>
      <c r="AH37" s="18">
        <f t="shared" si="8"/>
        <v>30875959.528135907</v>
      </c>
      <c r="AI37" s="18">
        <f>IF(AK37&lt;&gt;1,"",IF(AH37-CONTROL_PANEL!$B$11&lt;0,0,AH37-CONTROL_PANEL!$B$11))</f>
        <v>0</v>
      </c>
      <c r="AJ37" s="18">
        <f>IF(AK37&lt;&gt;1,"",IF(AG37&lt;=0,0,MIN(AG37,MAX(0,CONTROL_PANEL!$B$13-AH37))))</f>
        <v>0</v>
      </c>
      <c r="AK37" s="18">
        <v>1</v>
      </c>
      <c r="AM37" s="19">
        <f t="shared" si="32"/>
        <v>2018</v>
      </c>
      <c r="AN37" s="19">
        <v>6</v>
      </c>
      <c r="AO37" s="18">
        <f t="shared" si="9"/>
        <v>30</v>
      </c>
      <c r="AP37" s="18">
        <f t="shared" si="27"/>
        <v>260.1616090939325</v>
      </c>
      <c r="AQ37" s="18">
        <f>IF(BD36&lt;&gt;1,"",IF(BA36&gt;0,IF(BA36&gt;CONTROL_PANEL!$B$11,CONTROL_PANEL!$B$11,BA36),0))</f>
        <v>33982865.509018138</v>
      </c>
      <c r="AR37" s="18">
        <f t="shared" ref="AR37:AR68" si="37">IF(BD37&lt;&gt;1,"",0.6*(AP37-235)^2.02*10000)</f>
        <v>4051751.8631842332</v>
      </c>
      <c r="AS37" s="18">
        <f>IF(BD37&lt;&gt;1,"",DATA_INPUT!$I37)</f>
        <v>0.15901086544332058</v>
      </c>
      <c r="AT37" s="18">
        <f>IF(BD37&lt;&gt;1,"",AS37*CONTROL_PANEL!$B$5)</f>
        <v>15090.131130571122</v>
      </c>
      <c r="AU37" s="18">
        <f>IF(BD37&lt;&gt;1,"",DATA_INPUT!$C37)</f>
        <v>19.45688868786333</v>
      </c>
      <c r="AV37" s="18">
        <f t="shared" si="11"/>
        <v>78834.48499281847</v>
      </c>
      <c r="AW37" s="18">
        <f>IF(BD37&lt;&gt;1,"",DATA_INPUT!$H37)</f>
        <v>154.90699467437068</v>
      </c>
      <c r="AX37" s="18">
        <f t="shared" si="12"/>
        <v>627644.70429215149</v>
      </c>
      <c r="AY37" s="18">
        <f>IF(BD37&lt;&gt;1,"",AT37*CONTROL_PANEL!$B$14)</f>
        <v>1056.3091791399786</v>
      </c>
      <c r="AZ37" s="18">
        <f>IF(BD37&lt;&gt;1,"",DATA_INPUT!$M37)</f>
        <v>373266.60690039385</v>
      </c>
      <c r="BA37" s="18">
        <f t="shared" si="13"/>
        <v>33074822.504769839</v>
      </c>
      <c r="BB37" s="18">
        <f>IF(BD37&lt;&gt;1,"",IF(BA37-CONTROL_PANEL!$B$11&lt;0,0,BA37-CONTROL_PANEL!$B$11))</f>
        <v>0</v>
      </c>
      <c r="BC37" s="18">
        <f>IF(BD37&lt;&gt;1,"",IF(AZ37&lt;=0,0,MIN(AZ37,MAX(0,CONTROL_PANEL!$B$13-BA37))))</f>
        <v>0</v>
      </c>
      <c r="BD37" s="18">
        <v>1</v>
      </c>
      <c r="BF37" s="19">
        <f t="shared" si="33"/>
        <v>2018</v>
      </c>
      <c r="BG37" s="19">
        <v>6</v>
      </c>
      <c r="BH37" s="18">
        <f t="shared" si="14"/>
        <v>30</v>
      </c>
      <c r="BI37" s="18">
        <f t="shared" si="28"/>
        <v>260.4920553881343</v>
      </c>
      <c r="BJ37" s="18">
        <f>IF(BW36&lt;&gt;1,"",IF(BT36&gt;0,IF(BT36&gt;CONTROL_PANEL!$B$11,CONTROL_PANEL!$B$11,BT36),0))</f>
        <v>35348635.406211041</v>
      </c>
      <c r="BK37" s="18">
        <f t="shared" ref="BK37:BK68" si="38">IF(BW37&lt;&gt;1,"",0.6*(BI37-235)^2.02*10000)</f>
        <v>4159959.0383752901</v>
      </c>
      <c r="BL37" s="18">
        <f>IF(BW37&lt;&gt;1,"",DATA_INPUT!$I37)</f>
        <v>0.15901086544332058</v>
      </c>
      <c r="BM37" s="18">
        <f>IF(BW37&lt;&gt;1,"",BL37*CONTROL_PANEL!$B$5)</f>
        <v>15090.131130571122</v>
      </c>
      <c r="BN37" s="18">
        <f>IF(BW37&lt;&gt;1,"",DATA_INPUT!$C37)</f>
        <v>19.45688868786333</v>
      </c>
      <c r="BO37" s="18">
        <f t="shared" si="16"/>
        <v>80939.859955738997</v>
      </c>
      <c r="BP37" s="18">
        <f>IF(BW37&lt;&gt;1,"",DATA_INPUT!$H37)</f>
        <v>154.90699467437068</v>
      </c>
      <c r="BQ37" s="18">
        <f t="shared" si="17"/>
        <v>644406.75260320131</v>
      </c>
      <c r="BR37" s="18">
        <f>IF(BW37&lt;&gt;1,"",BM37*CONTROL_PANEL!$B$14)</f>
        <v>1056.3091791399786</v>
      </c>
      <c r="BS37" s="18">
        <f>IF(BW37&lt;&gt;1,"",DATA_INPUT!$N37)</f>
        <v>270567.52796752221</v>
      </c>
      <c r="BT37" s="18">
        <f t="shared" si="18"/>
        <v>34528634.80754748</v>
      </c>
      <c r="BU37" s="18">
        <f>IF(BW37&lt;&gt;1,"",IF(BT37-CONTROL_PANEL!$B$11&lt;0,0,BT37-CONTROL_PANEL!$B$11))</f>
        <v>0</v>
      </c>
      <c r="BV37" s="18">
        <f>IF(BW37&lt;&gt;1,"",IF(BS37&lt;=0,0,MIN(BS37,MAX(0,CONTROL_PANEL!$B$13-BT37))))</f>
        <v>0</v>
      </c>
      <c r="BW37" s="18">
        <v>1</v>
      </c>
      <c r="BY37" s="19">
        <f t="shared" si="34"/>
        <v>2018</v>
      </c>
      <c r="BZ37" s="19">
        <v>6</v>
      </c>
      <c r="CA37" s="18">
        <f t="shared" si="19"/>
        <v>30</v>
      </c>
      <c r="CB37" s="18">
        <f t="shared" si="29"/>
        <v>260.1069505041292</v>
      </c>
      <c r="CC37" s="18">
        <f>IF(CP36&lt;&gt;1,"",IF(CM36&gt;0,IF(CM36&gt;CONTROL_PANEL!$B$11,CONTROL_PANEL!$B$11,CM36),0))</f>
        <v>33760414.818940356</v>
      </c>
      <c r="CD37" s="18">
        <f t="shared" ref="CD37:CD68" si="39">IF(CP37&lt;&gt;1,"",0.6*(CB37-235)^2.02*10000)</f>
        <v>4033992.2779615973</v>
      </c>
      <c r="CE37" s="18">
        <f>IF(CP37&lt;&gt;1,"",DATA_INPUT!$I37)</f>
        <v>0.15901086544332058</v>
      </c>
      <c r="CF37" s="18">
        <f>IF(CP37&lt;&gt;1,"",CE37*CONTROL_PANEL!$B$5)</f>
        <v>15090.131130571122</v>
      </c>
      <c r="CG37" s="18">
        <f>IF(CP37&lt;&gt;1,"",DATA_INPUT!$C37)</f>
        <v>19.45688868786333</v>
      </c>
      <c r="CH37" s="18">
        <f t="shared" si="21"/>
        <v>78488.938719999031</v>
      </c>
      <c r="CI37" s="18">
        <f>IF(CP37&lt;&gt;1,"",DATA_INPUT!$H37)</f>
        <v>154.90699467437068</v>
      </c>
      <c r="CJ37" s="18">
        <f t="shared" si="22"/>
        <v>624893.62031864969</v>
      </c>
      <c r="CK37" s="18">
        <f>IF(CP37&lt;&gt;1,"",CF37*CONTROL_PANEL!$B$14)</f>
        <v>1056.3091791399786</v>
      </c>
      <c r="CL37" s="18">
        <f>IF(CP37&lt;&gt;1,"",DATA_INPUT!$O37)</f>
        <v>309255.04809599358</v>
      </c>
      <c r="CM37" s="18">
        <f t="shared" si="23"/>
        <v>32918788.911197137</v>
      </c>
      <c r="CN37" s="18">
        <f>IF(CP37&lt;&gt;1,"",IF(CM37-CONTROL_PANEL!$B$11&lt;0,0,CM37-CONTROL_PANEL!$B$11))</f>
        <v>0</v>
      </c>
      <c r="CO37" s="18">
        <f>IF(CP37&lt;&gt;1,"",IF(CL37&lt;=0,0,MIN(CL37,MAX(0,CONTROL_PANEL!$B$13-CM37))))</f>
        <v>0</v>
      </c>
      <c r="CP37" s="18">
        <v>1</v>
      </c>
    </row>
    <row r="38" spans="1:94" x14ac:dyDescent="0.25">
      <c r="A38" s="19">
        <f t="shared" si="30"/>
        <v>2018</v>
      </c>
      <c r="B38" s="19">
        <v>7</v>
      </c>
      <c r="C38" s="18">
        <f t="shared" si="0"/>
        <v>31</v>
      </c>
      <c r="D38" s="18">
        <f t="shared" ref="D38:D69" si="40">IF(R37&lt;&gt;1,"",235+((E38/1000/2)^(1/3.02)))</f>
        <v>260.16016161725247</v>
      </c>
      <c r="E38" s="18">
        <f>IF(R37&lt;&gt;1,"",IF(O37&gt;0,IF(O37&gt;CONTROL_PANEL!$B$11,CONTROL_PANEL!$B$11,O37),0))</f>
        <v>33976961.936932489</v>
      </c>
      <c r="F38" s="18">
        <f t="shared" si="35"/>
        <v>4051281.0434772093</v>
      </c>
      <c r="G38" s="18">
        <f>IF(R38&lt;&gt;1,"",DATA_INPUT!I38)</f>
        <v>2.2014505402842364E-2</v>
      </c>
      <c r="H38" s="18">
        <f>IF(R38&lt;&gt;1,"",G38*CONTROL_PANEL!$B$5)</f>
        <v>2089.1765627297405</v>
      </c>
      <c r="I38" s="18">
        <f>IF(R38&lt;&gt;1,"",DATA_INPUT!C38)</f>
        <v>0.56666666666666654</v>
      </c>
      <c r="J38" s="18">
        <f t="shared" si="2"/>
        <v>2295.725924637085</v>
      </c>
      <c r="K38" s="18">
        <f>IF(R38&lt;&gt;1,"",DATA_INPUT!H38)</f>
        <v>179.34773256382687</v>
      </c>
      <c r="L38" s="18">
        <f t="shared" si="25"/>
        <v>726588.06912645197</v>
      </c>
      <c r="M38" s="18">
        <f>IF(R38&lt;&gt;1,"",H38*CONTROL_PANEL!$B$14)</f>
        <v>146.24235939108183</v>
      </c>
      <c r="N38" s="18">
        <f>IF(R38&lt;&gt;1,"",DATA_INPUT!K38)</f>
        <v>1283117.6462223083</v>
      </c>
      <c r="O38" s="18">
        <f t="shared" si="3"/>
        <v>31971494.881711699</v>
      </c>
      <c r="P38" s="18">
        <f>IF(R38&lt;&gt;1,"",IF(O38-CONTROL_PANEL!$B$11&lt;0,0,O38-CONTROL_PANEL!$B$11))</f>
        <v>0</v>
      </c>
      <c r="Q38" s="18">
        <f>IF(R38&lt;&gt;1,"",IF(N38&lt;=0,0,MIN(N38,MAX(0,CONTROL_PANEL!$B$13-O38))))</f>
        <v>0</v>
      </c>
      <c r="R38" s="18">
        <v>1</v>
      </c>
      <c r="T38" s="19">
        <f t="shared" si="31"/>
        <v>2018</v>
      </c>
      <c r="U38" s="19">
        <v>7</v>
      </c>
      <c r="V38" s="18">
        <f t="shared" si="4"/>
        <v>31</v>
      </c>
      <c r="W38" s="18">
        <f t="shared" ref="W38:W69" si="41">IF(AK37&lt;&gt;1,"",235+((X38/1000/2)^(1/3.02)))</f>
        <v>259.3753289818481</v>
      </c>
      <c r="X38" s="18">
        <f>IF(AK37&lt;&gt;1,"",IF(AH37&gt;0,IF(AH37&gt;CONTROL_PANEL!$B$11,CONTROL_PANEL!$B$11,AH37),0))</f>
        <v>30875959.528135907</v>
      </c>
      <c r="Y38" s="18">
        <f t="shared" si="36"/>
        <v>3800066.8074423121</v>
      </c>
      <c r="Z38" s="18">
        <f>IF(AK38&lt;&gt;1,"",DATA_INPUT!I38)</f>
        <v>2.2014505402842364E-2</v>
      </c>
      <c r="AA38" s="18">
        <f>IF(AK38&lt;&gt;1,"",Z38*CONTROL_PANEL!$B$5)</f>
        <v>2089.1765627297405</v>
      </c>
      <c r="AB38" s="18">
        <f>IF(AK38&lt;&gt;1,"",DATA_INPUT!$C38)</f>
        <v>0.56666666666666654</v>
      </c>
      <c r="AC38" s="18">
        <f t="shared" si="6"/>
        <v>2153.3711908839764</v>
      </c>
      <c r="AD38" s="18">
        <f>IF(AK38&lt;&gt;1,"",DATA_INPUT!$H38)</f>
        <v>179.34773256382687</v>
      </c>
      <c r="AE38" s="18">
        <f t="shared" si="7"/>
        <v>681533.36550583912</v>
      </c>
      <c r="AF38" s="18">
        <f>IF(AK38&lt;&gt;1,"",AA38*CONTROL_PANEL!$B$14)</f>
        <v>146.24235939108183</v>
      </c>
      <c r="AG38" s="18">
        <f>IF(AK38&lt;&gt;1,"",DATA_INPUT!$L38)</f>
        <v>1632719.5900386907</v>
      </c>
      <c r="AH38" s="18">
        <f t="shared" si="8"/>
        <v>28565802.8779856</v>
      </c>
      <c r="AI38" s="18">
        <f>IF(AK38&lt;&gt;1,"",IF(AH38-CONTROL_PANEL!$B$11&lt;0,0,AH38-CONTROL_PANEL!$B$11))</f>
        <v>0</v>
      </c>
      <c r="AJ38" s="18">
        <f>IF(AK38&lt;&gt;1,"",IF(AG38&lt;=0,0,MIN(AG38,MAX(0,CONTROL_PANEL!$B$13-AH38))))</f>
        <v>0</v>
      </c>
      <c r="AK38" s="18">
        <v>1</v>
      </c>
      <c r="AM38" s="19">
        <f t="shared" si="32"/>
        <v>2018</v>
      </c>
      <c r="AN38" s="19">
        <v>7</v>
      </c>
      <c r="AO38" s="18">
        <f t="shared" si="9"/>
        <v>31</v>
      </c>
      <c r="AP38" s="18">
        <f t="shared" ref="AP38:AP69" si="42">IF(BD37&lt;&gt;1,"",235+((AQ38/1000/2)^(1/3.02)))</f>
        <v>259.93696247978647</v>
      </c>
      <c r="AQ38" s="18">
        <f>IF(BD37&lt;&gt;1,"",IF(BA37&gt;0,IF(BA37&gt;CONTROL_PANEL!$B$11,CONTROL_PANEL!$B$11,BA37),0))</f>
        <v>33074822.504769839</v>
      </c>
      <c r="AR38" s="18">
        <f t="shared" si="37"/>
        <v>3979011.7819978753</v>
      </c>
      <c r="AS38" s="18">
        <f>IF(BD38&lt;&gt;1,"",DATA_INPUT!$I38)</f>
        <v>2.2014505402842364E-2</v>
      </c>
      <c r="AT38" s="18">
        <f>IF(BD38&lt;&gt;1,"",AS38*CONTROL_PANEL!$B$5)</f>
        <v>2089.1765627297405</v>
      </c>
      <c r="AU38" s="18">
        <f>IF(BD38&lt;&gt;1,"",DATA_INPUT!$C38)</f>
        <v>0.56666666666666654</v>
      </c>
      <c r="AV38" s="18">
        <f t="shared" si="11"/>
        <v>2254.773343132129</v>
      </c>
      <c r="AW38" s="18">
        <f>IF(BD38&lt;&gt;1,"",DATA_INPUT!$H38)</f>
        <v>179.34773256382687</v>
      </c>
      <c r="AX38" s="18">
        <f t="shared" si="12"/>
        <v>713626.74094607111</v>
      </c>
      <c r="AY38" s="18">
        <f>IF(BD38&lt;&gt;1,"",AT38*CONTROL_PANEL!$B$14)</f>
        <v>146.24235939108183</v>
      </c>
      <c r="AZ38" s="18">
        <f>IF(BD38&lt;&gt;1,"",DATA_INPUT!$M38)</f>
        <v>1390147.200296748</v>
      </c>
      <c r="BA38" s="18">
        <f t="shared" si="13"/>
        <v>30975246.27107349</v>
      </c>
      <c r="BB38" s="18">
        <f>IF(BD38&lt;&gt;1,"",IF(BA38-CONTROL_PANEL!$B$11&lt;0,0,BA38-CONTROL_PANEL!$B$11))</f>
        <v>0</v>
      </c>
      <c r="BC38" s="18">
        <f>IF(BD38&lt;&gt;1,"",IF(AZ38&lt;=0,0,MIN(AZ38,MAX(0,CONTROL_PANEL!$B$13-BA38))))</f>
        <v>0</v>
      </c>
      <c r="BD38" s="18">
        <v>1</v>
      </c>
      <c r="BF38" s="19">
        <f t="shared" si="33"/>
        <v>2018</v>
      </c>
      <c r="BG38" s="19">
        <v>7</v>
      </c>
      <c r="BH38" s="18">
        <f t="shared" si="14"/>
        <v>31</v>
      </c>
      <c r="BI38" s="18">
        <f t="shared" ref="BI38:BI69" si="43">IF(BW37&lt;&gt;1,"",235+((BJ38/1000/2)^(1/3.02)))</f>
        <v>260.29470428843456</v>
      </c>
      <c r="BJ38" s="18">
        <f>IF(BW37&lt;&gt;1,"",IF(BT37&gt;0,IF(BT37&gt;CONTROL_PANEL!$B$11,CONTROL_PANEL!$B$11,BT37),0))</f>
        <v>34528634.80754748</v>
      </c>
      <c r="BK38" s="18">
        <f t="shared" si="38"/>
        <v>4095161.7082159352</v>
      </c>
      <c r="BL38" s="18">
        <f>IF(BW38&lt;&gt;1,"",DATA_INPUT!$I38)</f>
        <v>2.2014505402842364E-2</v>
      </c>
      <c r="BM38" s="18">
        <f>IF(BW38&lt;&gt;1,"",BL38*CONTROL_PANEL!$B$5)</f>
        <v>2089.1765627297405</v>
      </c>
      <c r="BN38" s="18">
        <f>IF(BW38&lt;&gt;1,"",DATA_INPUT!$C38)</f>
        <v>0.56666666666666654</v>
      </c>
      <c r="BO38" s="18">
        <f t="shared" si="16"/>
        <v>2320.591634655696</v>
      </c>
      <c r="BP38" s="18">
        <f>IF(BW38&lt;&gt;1,"",DATA_INPUT!$H38)</f>
        <v>179.34773256382687</v>
      </c>
      <c r="BQ38" s="18">
        <f t="shared" si="17"/>
        <v>734457.96685073595</v>
      </c>
      <c r="BR38" s="18">
        <f>IF(BW38&lt;&gt;1,"",BM38*CONTROL_PANEL!$B$14)</f>
        <v>146.24235939108183</v>
      </c>
      <c r="BS38" s="18">
        <f>IF(BW38&lt;&gt;1,"",DATA_INPUT!$N38)</f>
        <v>1231256.9064105626</v>
      </c>
      <c r="BT38" s="18">
        <f t="shared" si="18"/>
        <v>32567183.460124169</v>
      </c>
      <c r="BU38" s="18">
        <f>IF(BW38&lt;&gt;1,"",IF(BT38-CONTROL_PANEL!$B$11&lt;0,0,BT38-CONTROL_PANEL!$B$11))</f>
        <v>0</v>
      </c>
      <c r="BV38" s="18">
        <f>IF(BW38&lt;&gt;1,"",IF(BS38&lt;=0,0,MIN(BS38,MAX(0,CONTROL_PANEL!$B$13-BT38))))</f>
        <v>0</v>
      </c>
      <c r="BW38" s="18">
        <v>1</v>
      </c>
      <c r="BY38" s="19">
        <f t="shared" si="34"/>
        <v>2018</v>
      </c>
      <c r="BZ38" s="19">
        <v>7</v>
      </c>
      <c r="CA38" s="18">
        <f t="shared" si="19"/>
        <v>31</v>
      </c>
      <c r="CB38" s="18">
        <f t="shared" ref="CB38:CB69" si="44">IF(CP37&lt;&gt;1,"",235+((CC38/1000/2)^(1/3.02)))</f>
        <v>259.8979463972243</v>
      </c>
      <c r="CC38" s="18">
        <f>IF(CP37&lt;&gt;1,"",IF(CM37&gt;0,IF(CM37&gt;CONTROL_PANEL!$B$11,CONTROL_PANEL!$B$11,CM37),0))</f>
        <v>32918788.911197137</v>
      </c>
      <c r="CD38" s="18">
        <f t="shared" si="39"/>
        <v>3966446.2746454156</v>
      </c>
      <c r="CE38" s="18">
        <f>IF(CP38&lt;&gt;1,"",DATA_INPUT!$I38)</f>
        <v>2.2014505402842364E-2</v>
      </c>
      <c r="CF38" s="18">
        <f>IF(CP38&lt;&gt;1,"",CE38*CONTROL_PANEL!$B$5)</f>
        <v>2089.1765627297405</v>
      </c>
      <c r="CG38" s="18">
        <f>IF(CP38&lt;&gt;1,"",DATA_INPUT!$C38)</f>
        <v>0.56666666666666654</v>
      </c>
      <c r="CH38" s="18">
        <f t="shared" si="21"/>
        <v>2247.6528889657352</v>
      </c>
      <c r="CI38" s="18">
        <f>IF(CP38&lt;&gt;1,"",DATA_INPUT!$H38)</f>
        <v>179.34773256382687</v>
      </c>
      <c r="CJ38" s="18">
        <f t="shared" si="22"/>
        <v>711373.14569389331</v>
      </c>
      <c r="CK38" s="18">
        <f>IF(CP38&lt;&gt;1,"",CF38*CONTROL_PANEL!$B$14)</f>
        <v>146.24235939108183</v>
      </c>
      <c r="CL38" s="18">
        <f>IF(CP38&lt;&gt;1,"",DATA_INPUT!$O38)</f>
        <v>1413494.6585154303</v>
      </c>
      <c r="CM38" s="18">
        <f t="shared" si="23"/>
        <v>30798111.694080118</v>
      </c>
      <c r="CN38" s="18">
        <f>IF(CP38&lt;&gt;1,"",IF(CM38-CONTROL_PANEL!$B$11&lt;0,0,CM38-CONTROL_PANEL!$B$11))</f>
        <v>0</v>
      </c>
      <c r="CO38" s="18">
        <f>IF(CP38&lt;&gt;1,"",IF(CL38&lt;=0,0,MIN(CL38,MAX(0,CONTROL_PANEL!$B$13-CM38))))</f>
        <v>0</v>
      </c>
      <c r="CP38" s="18">
        <v>1</v>
      </c>
    </row>
    <row r="39" spans="1:94" x14ac:dyDescent="0.25">
      <c r="A39" s="19">
        <f t="shared" si="30"/>
        <v>2018</v>
      </c>
      <c r="B39" s="19">
        <v>8</v>
      </c>
      <c r="C39" s="18">
        <f t="shared" si="0"/>
        <v>31</v>
      </c>
      <c r="D39" s="18">
        <f t="shared" si="40"/>
        <v>259.65838062711384</v>
      </c>
      <c r="E39" s="18">
        <f>IF(R38&lt;&gt;1,"",IF(O38&gt;0,IF(O38&gt;CONTROL_PANEL!$B$11,CONTROL_PANEL!$B$11,O38),0))</f>
        <v>31971494.881711699</v>
      </c>
      <c r="F39" s="18">
        <f t="shared" si="35"/>
        <v>3889731.6938837976</v>
      </c>
      <c r="G39" s="18">
        <f>IF(R39&lt;&gt;1,"",DATA_INPUT!I39)</f>
        <v>3.0155756194673398E-3</v>
      </c>
      <c r="H39" s="18">
        <f>IF(R39&lt;&gt;1,"",G39*CONTROL_PANEL!$B$5)</f>
        <v>286.17812628745054</v>
      </c>
      <c r="I39" s="18">
        <f>IF(R39&lt;&gt;1,"",DATA_INPUT!C39)</f>
        <v>6.6666666666666666E-2</v>
      </c>
      <c r="J39" s="18">
        <f t="shared" si="2"/>
        <v>259.31544625891985</v>
      </c>
      <c r="K39" s="18">
        <f>IF(R39&lt;&gt;1,"",DATA_INPUT!H39)</f>
        <v>215.16113717578028</v>
      </c>
      <c r="L39" s="18">
        <f t="shared" si="25"/>
        <v>836919.09456471191</v>
      </c>
      <c r="M39" s="18">
        <f>IF(R39&lt;&gt;1,"",H39*CONTROL_PANEL!$B$14)</f>
        <v>20.032468840121538</v>
      </c>
      <c r="N39" s="18">
        <f>IF(R39&lt;&gt;1,"",DATA_INPUT!K39)</f>
        <v>1887307.4802341885</v>
      </c>
      <c r="O39" s="18">
        <f t="shared" si="3"/>
        <v>29247793.768016502</v>
      </c>
      <c r="P39" s="18">
        <f>IF(R39&lt;&gt;1,"",IF(O39-CONTROL_PANEL!$B$11&lt;0,0,O39-CONTROL_PANEL!$B$11))</f>
        <v>0</v>
      </c>
      <c r="Q39" s="18">
        <f>IF(R39&lt;&gt;1,"",IF(N39&lt;=0,0,MIN(N39,MAX(0,CONTROL_PANEL!$B$13-O39))))</f>
        <v>0</v>
      </c>
      <c r="R39" s="18">
        <v>1</v>
      </c>
      <c r="T39" s="19">
        <f t="shared" si="31"/>
        <v>2018</v>
      </c>
      <c r="U39" s="19">
        <v>8</v>
      </c>
      <c r="V39" s="18">
        <f t="shared" si="4"/>
        <v>31</v>
      </c>
      <c r="W39" s="18">
        <f t="shared" si="41"/>
        <v>258.75565628143227</v>
      </c>
      <c r="X39" s="18">
        <f>IF(AK38&lt;&gt;1,"",IF(AH38&gt;0,IF(AH38&gt;CONTROL_PANEL!$B$11,CONTROL_PANEL!$B$11,AH38),0))</f>
        <v>28565802.8779856</v>
      </c>
      <c r="Y39" s="18">
        <f t="shared" si="36"/>
        <v>3607452.7943452047</v>
      </c>
      <c r="Z39" s="18">
        <f>IF(AK39&lt;&gt;1,"",DATA_INPUT!I39)</f>
        <v>3.0155756194673398E-3</v>
      </c>
      <c r="AA39" s="18">
        <f>IF(AK39&lt;&gt;1,"",Z39*CONTROL_PANEL!$B$5)</f>
        <v>286.17812628745054</v>
      </c>
      <c r="AB39" s="18">
        <f>IF(AK39&lt;&gt;1,"",DATA_INPUT!$C39)</f>
        <v>6.6666666666666666E-2</v>
      </c>
      <c r="AC39" s="18">
        <f t="shared" si="6"/>
        <v>240.49685295634697</v>
      </c>
      <c r="AD39" s="18">
        <f>IF(AK39&lt;&gt;1,"",DATA_INPUT!$H39)</f>
        <v>215.16113717578028</v>
      </c>
      <c r="AE39" s="18">
        <f t="shared" si="7"/>
        <v>776183.64553926047</v>
      </c>
      <c r="AF39" s="18">
        <f>IF(AK39&lt;&gt;1,"",AA39*CONTROL_PANEL!$B$14)</f>
        <v>20.032468840121538</v>
      </c>
      <c r="AG39" s="18">
        <f>IF(AK39&lt;&gt;1,"",DATA_INPUT!$L39)</f>
        <v>2405438.7955809552</v>
      </c>
      <c r="AH39" s="18">
        <f t="shared" si="8"/>
        <v>25384687.079375789</v>
      </c>
      <c r="AI39" s="18">
        <f>IF(AK39&lt;&gt;1,"",IF(AH39-CONTROL_PANEL!$B$11&lt;0,0,AH39-CONTROL_PANEL!$B$11))</f>
        <v>0</v>
      </c>
      <c r="AJ39" s="18">
        <f>IF(AK39&lt;&gt;1,"",IF(AG39&lt;=0,0,MIN(AG39,MAX(0,CONTROL_PANEL!$B$13-AH39))))</f>
        <v>0</v>
      </c>
      <c r="AK39" s="18">
        <v>1</v>
      </c>
      <c r="AM39" s="19">
        <f t="shared" si="32"/>
        <v>2018</v>
      </c>
      <c r="AN39" s="19">
        <v>8</v>
      </c>
      <c r="AO39" s="18">
        <f t="shared" si="9"/>
        <v>31</v>
      </c>
      <c r="AP39" s="18">
        <f t="shared" si="42"/>
        <v>259.40125571934965</v>
      </c>
      <c r="AQ39" s="18">
        <f>IF(BD38&lt;&gt;1,"",IF(BA38&gt;0,IF(BA38&gt;CONTROL_PANEL!$B$11,CONTROL_PANEL!$B$11,BA38),0))</f>
        <v>30975246.27107349</v>
      </c>
      <c r="AR39" s="18">
        <f t="shared" si="37"/>
        <v>3808235.931871837</v>
      </c>
      <c r="AS39" s="18">
        <f>IF(BD39&lt;&gt;1,"",DATA_INPUT!$I39)</f>
        <v>3.0155756194673398E-3</v>
      </c>
      <c r="AT39" s="18">
        <f>IF(BD39&lt;&gt;1,"",AS39*CONTROL_PANEL!$B$5)</f>
        <v>286.17812628745054</v>
      </c>
      <c r="AU39" s="18">
        <f>IF(BD39&lt;&gt;1,"",DATA_INPUT!$C39)</f>
        <v>6.6666666666666666E-2</v>
      </c>
      <c r="AV39" s="18">
        <f t="shared" si="11"/>
        <v>253.88239545812246</v>
      </c>
      <c r="AW39" s="18">
        <f>IF(BD39&lt;&gt;1,"",DATA_INPUT!$H39)</f>
        <v>215.16113717578028</v>
      </c>
      <c r="AX39" s="18">
        <f t="shared" si="12"/>
        <v>819384.37373521167</v>
      </c>
      <c r="AY39" s="18">
        <f>IF(BD39&lt;&gt;1,"",AT39*CONTROL_PANEL!$B$14)</f>
        <v>20.032468840121538</v>
      </c>
      <c r="AZ39" s="18">
        <f>IF(BD39&lt;&gt;1,"",DATA_INPUT!$M39)</f>
        <v>2103295.9718435216</v>
      </c>
      <c r="BA39" s="18">
        <f t="shared" si="13"/>
        <v>28053085.95354766</v>
      </c>
      <c r="BB39" s="18">
        <f>IF(BD39&lt;&gt;1,"",IF(BA39-CONTROL_PANEL!$B$11&lt;0,0,BA39-CONTROL_PANEL!$B$11))</f>
        <v>0</v>
      </c>
      <c r="BC39" s="18">
        <f>IF(BD39&lt;&gt;1,"",IF(AZ39&lt;=0,0,MIN(AZ39,MAX(0,CONTROL_PANEL!$B$13-BA39))))</f>
        <v>0</v>
      </c>
      <c r="BD39" s="18">
        <v>1</v>
      </c>
      <c r="BF39" s="19">
        <f t="shared" si="33"/>
        <v>2018</v>
      </c>
      <c r="BG39" s="19">
        <v>8</v>
      </c>
      <c r="BH39" s="18">
        <f t="shared" si="14"/>
        <v>31</v>
      </c>
      <c r="BI39" s="18">
        <f t="shared" si="43"/>
        <v>259.80957205910204</v>
      </c>
      <c r="BJ39" s="18">
        <f>IF(BW38&lt;&gt;1,"",IF(BT38&gt;0,IF(BT38&gt;CONTROL_PANEL!$B$11,CONTROL_PANEL!$B$11,BT38),0))</f>
        <v>32567183.460124169</v>
      </c>
      <c r="BK39" s="18">
        <f t="shared" si="38"/>
        <v>3938058.6713718781</v>
      </c>
      <c r="BL39" s="18">
        <f>IF(BW39&lt;&gt;1,"",DATA_INPUT!$I39)</f>
        <v>3.0155756194673398E-3</v>
      </c>
      <c r="BM39" s="18">
        <f>IF(BW39&lt;&gt;1,"",BL39*CONTROL_PANEL!$B$5)</f>
        <v>286.17812628745054</v>
      </c>
      <c r="BN39" s="18">
        <f>IF(BW39&lt;&gt;1,"",DATA_INPUT!$C39)</f>
        <v>6.6666666666666666E-2</v>
      </c>
      <c r="BO39" s="18">
        <f t="shared" si="16"/>
        <v>262.53724475812521</v>
      </c>
      <c r="BP39" s="18">
        <f>IF(BW39&lt;&gt;1,"",DATA_INPUT!$H39)</f>
        <v>215.16113717578028</v>
      </c>
      <c r="BQ39" s="18">
        <f t="shared" si="17"/>
        <v>847317.18199731573</v>
      </c>
      <c r="BR39" s="18">
        <f>IF(BW39&lt;&gt;1,"",BM39*CONTROL_PANEL!$B$14)</f>
        <v>20.032468840121538</v>
      </c>
      <c r="BS39" s="18">
        <f>IF(BW39&lt;&gt;1,"",DATA_INPUT!$N39)</f>
        <v>1916343.1764135235</v>
      </c>
      <c r="BT39" s="18">
        <f t="shared" si="18"/>
        <v>29804051.784615535</v>
      </c>
      <c r="BU39" s="18">
        <f>IF(BW39&lt;&gt;1,"",IF(BT39-CONTROL_PANEL!$B$11&lt;0,0,BT39-CONTROL_PANEL!$B$11))</f>
        <v>0</v>
      </c>
      <c r="BV39" s="18">
        <f>IF(BW39&lt;&gt;1,"",IF(BS39&lt;=0,0,MIN(BS39,MAX(0,CONTROL_PANEL!$B$13-BT39))))</f>
        <v>0</v>
      </c>
      <c r="BW39" s="18">
        <v>1</v>
      </c>
      <c r="BY39" s="19">
        <f t="shared" si="34"/>
        <v>2018</v>
      </c>
      <c r="BZ39" s="19">
        <v>8</v>
      </c>
      <c r="CA39" s="18">
        <f t="shared" si="19"/>
        <v>31</v>
      </c>
      <c r="CB39" s="18">
        <f t="shared" si="44"/>
        <v>259.35496155435493</v>
      </c>
      <c r="CC39" s="18">
        <f>IF(CP38&lt;&gt;1,"",IF(CM38&gt;0,IF(CM38&gt;CONTROL_PANEL!$B$11,CONTROL_PANEL!$B$11,CM38),0))</f>
        <v>30798111.694080118</v>
      </c>
      <c r="CD39" s="18">
        <f t="shared" si="39"/>
        <v>3793655.5504732165</v>
      </c>
      <c r="CE39" s="18">
        <f>IF(CP39&lt;&gt;1,"",DATA_INPUT!$I39)</f>
        <v>3.0155756194673398E-3</v>
      </c>
      <c r="CF39" s="18">
        <f>IF(CP39&lt;&gt;1,"",CE39*CONTROL_PANEL!$B$5)</f>
        <v>286.17812628745054</v>
      </c>
      <c r="CG39" s="18">
        <f>IF(CP39&lt;&gt;1,"",DATA_INPUT!$C39)</f>
        <v>6.6666666666666666E-2</v>
      </c>
      <c r="CH39" s="18">
        <f t="shared" si="21"/>
        <v>252.91037003154776</v>
      </c>
      <c r="CI39" s="18">
        <f>IF(CP39&lt;&gt;1,"",DATA_INPUT!$H39)</f>
        <v>215.16113717578028</v>
      </c>
      <c r="CJ39" s="18">
        <f t="shared" si="22"/>
        <v>816247.24229302804</v>
      </c>
      <c r="CK39" s="18">
        <f>IF(CP39&lt;&gt;1,"",CF39*CONTROL_PANEL!$B$14)</f>
        <v>20.032468840121538</v>
      </c>
      <c r="CL39" s="18">
        <f>IF(CP39&lt;&gt;1,"",DATA_INPUT!$O39)</f>
        <v>2204094.4351454186</v>
      </c>
      <c r="CM39" s="18">
        <f t="shared" si="23"/>
        <v>27778289.072669152</v>
      </c>
      <c r="CN39" s="18">
        <f>IF(CP39&lt;&gt;1,"",IF(CM39-CONTROL_PANEL!$B$11&lt;0,0,CM39-CONTROL_PANEL!$B$11))</f>
        <v>0</v>
      </c>
      <c r="CO39" s="18">
        <f>IF(CP39&lt;&gt;1,"",IF(CL39&lt;=0,0,MIN(CL39,MAX(0,CONTROL_PANEL!$B$13-CM39))))</f>
        <v>0</v>
      </c>
      <c r="CP39" s="18">
        <v>1</v>
      </c>
    </row>
    <row r="40" spans="1:94" x14ac:dyDescent="0.25">
      <c r="A40" s="19">
        <f t="shared" si="30"/>
        <v>2018</v>
      </c>
      <c r="B40" s="19">
        <v>9</v>
      </c>
      <c r="C40" s="18">
        <f t="shared" si="0"/>
        <v>30</v>
      </c>
      <c r="D40" s="18">
        <f t="shared" si="40"/>
        <v>258.94197495808214</v>
      </c>
      <c r="E40" s="18">
        <f>IF(R39&lt;&gt;1,"",IF(O39&gt;0,IF(O39&gt;CONTROL_PANEL!$B$11,CONTROL_PANEL!$B$11,O39),0))</f>
        <v>29247793.768016502</v>
      </c>
      <c r="F40" s="18">
        <f t="shared" si="35"/>
        <v>3664834.7288672659</v>
      </c>
      <c r="G40" s="18">
        <f>IF(R40&lt;&gt;1,"",DATA_INPUT!I40)</f>
        <v>4.4975269229907829E-4</v>
      </c>
      <c r="H40" s="18">
        <f>IF(R40&lt;&gt;1,"",G40*CONTROL_PANEL!$B$5)</f>
        <v>42.681530499182529</v>
      </c>
      <c r="I40" s="18">
        <f>IF(R40&lt;&gt;1,"",DATA_INPUT!C40)</f>
        <v>5.6565399999999997</v>
      </c>
      <c r="J40" s="18">
        <f t="shared" si="2"/>
        <v>20730.284237226842</v>
      </c>
      <c r="K40" s="18">
        <f>IF(R40&lt;&gt;1,"",DATA_INPUT!H40)</f>
        <v>154.13400144423261</v>
      </c>
      <c r="L40" s="18">
        <f t="shared" si="25"/>
        <v>564875.64139210095</v>
      </c>
      <c r="M40" s="18">
        <f>IF(R40&lt;&gt;1,"",H40*CONTROL_PANEL!$B$14)</f>
        <v>2.9877071349427773</v>
      </c>
      <c r="N40" s="18">
        <f>IF(R40&lt;&gt;1,"",DATA_INPUT!K40)</f>
        <v>1014223.7619464051</v>
      </c>
      <c r="O40" s="18">
        <f t="shared" si="3"/>
        <v>27689464.342738587</v>
      </c>
      <c r="P40" s="18">
        <f>IF(R40&lt;&gt;1,"",IF(O40-CONTROL_PANEL!$B$11&lt;0,0,O40-CONTROL_PANEL!$B$11))</f>
        <v>0</v>
      </c>
      <c r="Q40" s="18">
        <f>IF(R40&lt;&gt;1,"",IF(N40&lt;=0,0,MIN(N40,MAX(0,CONTROL_PANEL!$B$13-O40))))</f>
        <v>0</v>
      </c>
      <c r="R40" s="18">
        <v>1</v>
      </c>
      <c r="T40" s="19">
        <f t="shared" si="31"/>
        <v>2018</v>
      </c>
      <c r="U40" s="19">
        <v>9</v>
      </c>
      <c r="V40" s="18">
        <f t="shared" si="4"/>
        <v>30</v>
      </c>
      <c r="W40" s="18">
        <f t="shared" si="41"/>
        <v>257.84486950557391</v>
      </c>
      <c r="X40" s="18">
        <f>IF(AK39&lt;&gt;1,"",IF(AH39&gt;0,IF(AH39&gt;CONTROL_PANEL!$B$11,CONTROL_PANEL!$B$11,AH39),0))</f>
        <v>25384687.079375789</v>
      </c>
      <c r="Y40" s="18">
        <f t="shared" si="36"/>
        <v>3333530.1486203037</v>
      </c>
      <c r="Z40" s="18">
        <f>IF(AK40&lt;&gt;1,"",DATA_INPUT!I40)</f>
        <v>4.4975269229907829E-4</v>
      </c>
      <c r="AA40" s="18">
        <f>IF(AK40&lt;&gt;1,"",Z40*CONTROL_PANEL!$B$5)</f>
        <v>42.681530499182529</v>
      </c>
      <c r="AB40" s="18">
        <f>IF(AK40&lt;&gt;1,"",DATA_INPUT!$C40)</f>
        <v>5.6565399999999997</v>
      </c>
      <c r="AC40" s="18">
        <f t="shared" si="6"/>
        <v>18856.246626876695</v>
      </c>
      <c r="AD40" s="18">
        <f>IF(AK40&lt;&gt;1,"",DATA_INPUT!$H40)</f>
        <v>154.13400144423261</v>
      </c>
      <c r="AE40" s="18">
        <f t="shared" si="7"/>
        <v>513810.34074183484</v>
      </c>
      <c r="AF40" s="18">
        <f>IF(AK40&lt;&gt;1,"",AA40*CONTROL_PANEL!$B$14)</f>
        <v>2.9877071349427773</v>
      </c>
      <c r="AG40" s="18">
        <f>IF(AK40&lt;&gt;1,"",DATA_INPUT!$L40)</f>
        <v>1292989.9683508116</v>
      </c>
      <c r="AH40" s="18">
        <f t="shared" si="8"/>
        <v>23596782.71073338</v>
      </c>
      <c r="AI40" s="18">
        <f>IF(AK40&lt;&gt;1,"",IF(AH40-CONTROL_PANEL!$B$11&lt;0,0,AH40-CONTROL_PANEL!$B$11))</f>
        <v>0</v>
      </c>
      <c r="AJ40" s="18">
        <f>IF(AK40&lt;&gt;1,"",IF(AG40&lt;=0,0,MIN(AG40,MAX(0,CONTROL_PANEL!$B$13-AH40))))</f>
        <v>0</v>
      </c>
      <c r="AK40" s="18">
        <v>1</v>
      </c>
      <c r="AM40" s="19">
        <f t="shared" si="32"/>
        <v>2018</v>
      </c>
      <c r="AN40" s="19">
        <v>9</v>
      </c>
      <c r="AO40" s="18">
        <f t="shared" si="9"/>
        <v>30</v>
      </c>
      <c r="AP40" s="18">
        <f t="shared" si="42"/>
        <v>258.61361432807598</v>
      </c>
      <c r="AQ40" s="18">
        <f>IF(BD39&lt;&gt;1,"",IF(BA39&gt;0,IF(BA39&gt;CONTROL_PANEL!$B$11,CONTROL_PANEL!$B$11,BA39),0))</f>
        <v>28053085.95354766</v>
      </c>
      <c r="AR40" s="18">
        <f t="shared" si="37"/>
        <v>3564014.2458234238</v>
      </c>
      <c r="AS40" s="18">
        <f>IF(BD40&lt;&gt;1,"",DATA_INPUT!$I40)</f>
        <v>4.4975269229907829E-4</v>
      </c>
      <c r="AT40" s="18">
        <f>IF(BD40&lt;&gt;1,"",AS40*CONTROL_PANEL!$B$5)</f>
        <v>42.681530499182529</v>
      </c>
      <c r="AU40" s="18">
        <f>IF(BD40&lt;&gt;1,"",DATA_INPUT!$C40)</f>
        <v>5.6565399999999997</v>
      </c>
      <c r="AV40" s="18">
        <f t="shared" si="11"/>
        <v>20159.98914207003</v>
      </c>
      <c r="AW40" s="18">
        <f>IF(BD40&lt;&gt;1,"",DATA_INPUT!$H40)</f>
        <v>154.13400144423261</v>
      </c>
      <c r="AX40" s="18">
        <f t="shared" si="12"/>
        <v>549335.77691301319</v>
      </c>
      <c r="AY40" s="18">
        <f>IF(BD40&lt;&gt;1,"",AT40*CONTROL_PANEL!$B$14)</f>
        <v>2.9877071349427773</v>
      </c>
      <c r="AZ40" s="18">
        <f>IF(BD40&lt;&gt;1,"",DATA_INPUT!$M40)</f>
        <v>1138162.6816428634</v>
      </c>
      <c r="BA40" s="18">
        <f t="shared" si="13"/>
        <v>26385787.177957218</v>
      </c>
      <c r="BB40" s="18">
        <f>IF(BD40&lt;&gt;1,"",IF(BA40-CONTROL_PANEL!$B$11&lt;0,0,BA40-CONTROL_PANEL!$B$11))</f>
        <v>0</v>
      </c>
      <c r="BC40" s="18">
        <f>IF(BD40&lt;&gt;1,"",IF(AZ40&lt;=0,0,MIN(AZ40,MAX(0,CONTROL_PANEL!$B$13-BA40))))</f>
        <v>0</v>
      </c>
      <c r="BD40" s="18">
        <v>1</v>
      </c>
      <c r="BF40" s="19">
        <f t="shared" si="33"/>
        <v>2018</v>
      </c>
      <c r="BG40" s="19">
        <v>9</v>
      </c>
      <c r="BH40" s="18">
        <f t="shared" si="14"/>
        <v>30</v>
      </c>
      <c r="BI40" s="18">
        <f t="shared" si="43"/>
        <v>259.09180332687492</v>
      </c>
      <c r="BJ40" s="18">
        <f>IF(BW39&lt;&gt;1,"",IF(BT39&gt;0,IF(BT39&gt;CONTROL_PANEL!$B$11,CONTROL_PANEL!$B$11,BT39),0))</f>
        <v>29804051.784615535</v>
      </c>
      <c r="BK40" s="18">
        <f t="shared" si="38"/>
        <v>3711310.1971119512</v>
      </c>
      <c r="BL40" s="18">
        <f>IF(BW40&lt;&gt;1,"",DATA_INPUT!$I40)</f>
        <v>4.4975269229907829E-4</v>
      </c>
      <c r="BM40" s="18">
        <f>IF(BW40&lt;&gt;1,"",BL40*CONTROL_PANEL!$B$5)</f>
        <v>42.681530499182529</v>
      </c>
      <c r="BN40" s="18">
        <f>IF(BW40&lt;&gt;1,"",DATA_INPUT!$C40)</f>
        <v>5.6565399999999997</v>
      </c>
      <c r="BO40" s="18">
        <f t="shared" si="16"/>
        <v>20993.174582371634</v>
      </c>
      <c r="BP40" s="18">
        <f>IF(BW40&lt;&gt;1,"",DATA_INPUT!$H40)</f>
        <v>154.13400144423261</v>
      </c>
      <c r="BQ40" s="18">
        <f t="shared" si="17"/>
        <v>572039.09128164861</v>
      </c>
      <c r="BR40" s="18">
        <f>IF(BW40&lt;&gt;1,"",BM40*CONTROL_PANEL!$B$14)</f>
        <v>2.9877071349427773</v>
      </c>
      <c r="BS40" s="18">
        <f>IF(BW40&lt;&gt;1,"",DATA_INPUT!$N40)</f>
        <v>1044147.4819137212</v>
      </c>
      <c r="BT40" s="18">
        <f t="shared" si="18"/>
        <v>28208898.0798259</v>
      </c>
      <c r="BU40" s="18">
        <f>IF(BW40&lt;&gt;1,"",IF(BT40-CONTROL_PANEL!$B$11&lt;0,0,BT40-CONTROL_PANEL!$B$11))</f>
        <v>0</v>
      </c>
      <c r="BV40" s="18">
        <f>IF(BW40&lt;&gt;1,"",IF(BS40&lt;=0,0,MIN(BS40,MAX(0,CONTROL_PANEL!$B$13-BT40))))</f>
        <v>0</v>
      </c>
      <c r="BW40" s="18">
        <v>1</v>
      </c>
      <c r="BY40" s="19">
        <f t="shared" si="34"/>
        <v>2018</v>
      </c>
      <c r="BZ40" s="19">
        <v>9</v>
      </c>
      <c r="CA40" s="18">
        <f t="shared" si="19"/>
        <v>30</v>
      </c>
      <c r="CB40" s="18">
        <f t="shared" si="44"/>
        <v>258.53676945694866</v>
      </c>
      <c r="CC40" s="18">
        <f>IF(CP39&lt;&gt;1,"",IF(CM39&gt;0,IF(CM39&gt;CONTROL_PANEL!$B$11,CONTROL_PANEL!$B$11,CM39),0))</f>
        <v>27778289.072669152</v>
      </c>
      <c r="CD40" s="18">
        <f t="shared" si="39"/>
        <v>3540624.6966235447</v>
      </c>
      <c r="CE40" s="18">
        <f>IF(CP40&lt;&gt;1,"",DATA_INPUT!$I40)</f>
        <v>4.4975269229907829E-4</v>
      </c>
      <c r="CF40" s="18">
        <f>IF(CP40&lt;&gt;1,"",CE40*CONTROL_PANEL!$B$5)</f>
        <v>42.681530499182529</v>
      </c>
      <c r="CG40" s="18">
        <f>IF(CP40&lt;&gt;1,"",DATA_INPUT!$C40)</f>
        <v>5.6565399999999997</v>
      </c>
      <c r="CH40" s="18">
        <f t="shared" si="21"/>
        <v>20027.685221438944</v>
      </c>
      <c r="CI40" s="18">
        <f>IF(CP40&lt;&gt;1,"",DATA_INPUT!$H40)</f>
        <v>154.13400144423261</v>
      </c>
      <c r="CJ40" s="18">
        <f t="shared" si="22"/>
        <v>545730.65210285899</v>
      </c>
      <c r="CK40" s="18">
        <f>IF(CP40&lt;&gt;1,"",CF40*CONTROL_PANEL!$B$14)</f>
        <v>2.9877071349427773</v>
      </c>
      <c r="CL40" s="18">
        <f>IF(CP40&lt;&gt;1,"",DATA_INPUT!$O40)</f>
        <v>1201289.5143605154</v>
      </c>
      <c r="CM40" s="18">
        <f t="shared" si="23"/>
        <v>26051336.285250578</v>
      </c>
      <c r="CN40" s="18">
        <f>IF(CP40&lt;&gt;1,"",IF(CM40-CONTROL_PANEL!$B$11&lt;0,0,CM40-CONTROL_PANEL!$B$11))</f>
        <v>0</v>
      </c>
      <c r="CO40" s="18">
        <f>IF(CP40&lt;&gt;1,"",IF(CL40&lt;=0,0,MIN(CL40,MAX(0,CONTROL_PANEL!$B$13-CM40))))</f>
        <v>0</v>
      </c>
      <c r="CP40" s="18">
        <v>1</v>
      </c>
    </row>
    <row r="41" spans="1:94" x14ac:dyDescent="0.25">
      <c r="A41" s="19">
        <f t="shared" si="30"/>
        <v>2018</v>
      </c>
      <c r="B41" s="19">
        <v>10</v>
      </c>
      <c r="C41" s="18">
        <f t="shared" si="0"/>
        <v>31</v>
      </c>
      <c r="D41" s="18">
        <f t="shared" si="40"/>
        <v>258.51182159516179</v>
      </c>
      <c r="E41" s="18">
        <f>IF(R40&lt;&gt;1,"",IF(O40&gt;0,IF(O40&gt;CONTROL_PANEL!$B$11,CONTROL_PANEL!$B$11,O40),0))</f>
        <v>27689464.342738587</v>
      </c>
      <c r="F41" s="18">
        <f t="shared" si="35"/>
        <v>3533047.9474763111</v>
      </c>
      <c r="G41" s="18">
        <f>IF(R41&lt;&gt;1,"",DATA_INPUT!I41)</f>
        <v>5.2675600819090196</v>
      </c>
      <c r="H41" s="18">
        <f>IF(R41&lt;&gt;1,"",G41*CONTROL_PANEL!$B$5)</f>
        <v>499891.45177316596</v>
      </c>
      <c r="I41" s="18">
        <f>IF(R41&lt;&gt;1,"",DATA_INPUT!C41)</f>
        <v>59.645351672580667</v>
      </c>
      <c r="J41" s="18">
        <f t="shared" si="2"/>
        <v>210729.88730331388</v>
      </c>
      <c r="K41" s="18">
        <f>IF(R41&lt;&gt;1,"",DATA_INPUT!H41)</f>
        <v>67.008029598683791</v>
      </c>
      <c r="L41" s="18">
        <f t="shared" si="25"/>
        <v>236742.58143806169</v>
      </c>
      <c r="M41" s="18">
        <f>IF(R41&lt;&gt;1,"",H41*CONTROL_PANEL!$B$14)</f>
        <v>34992.401624121623</v>
      </c>
      <c r="N41" s="18">
        <f>IF(R41&lt;&gt;1,"",DATA_INPUT!K41)</f>
        <v>318171.49089406827</v>
      </c>
      <c r="O41" s="18">
        <f t="shared" si="3"/>
        <v>27810179.207858816</v>
      </c>
      <c r="P41" s="18">
        <f>IF(R41&lt;&gt;1,"",IF(O41-CONTROL_PANEL!$B$11&lt;0,0,O41-CONTROL_PANEL!$B$11))</f>
        <v>0</v>
      </c>
      <c r="Q41" s="18">
        <f>IF(R41&lt;&gt;1,"",IF(N41&lt;=0,0,MIN(N41,MAX(0,CONTROL_PANEL!$B$13-O41))))</f>
        <v>0</v>
      </c>
      <c r="R41" s="18">
        <v>1</v>
      </c>
      <c r="T41" s="19">
        <f t="shared" si="31"/>
        <v>2018</v>
      </c>
      <c r="U41" s="19">
        <v>10</v>
      </c>
      <c r="V41" s="18">
        <f t="shared" si="4"/>
        <v>31</v>
      </c>
      <c r="W41" s="18">
        <f t="shared" si="41"/>
        <v>257.29901576748188</v>
      </c>
      <c r="X41" s="18">
        <f>IF(AK40&lt;&gt;1,"",IF(AH40&gt;0,IF(AH40&gt;CONTROL_PANEL!$B$11,CONTROL_PANEL!$B$11,AH40),0))</f>
        <v>23596782.71073338</v>
      </c>
      <c r="Y41" s="18">
        <f t="shared" si="36"/>
        <v>3174595.1870858967</v>
      </c>
      <c r="Z41" s="18">
        <f>IF(AK41&lt;&gt;1,"",DATA_INPUT!I41)</f>
        <v>5.2675600819090196</v>
      </c>
      <c r="AA41" s="18">
        <f>IF(AK41&lt;&gt;1,"",Z41*CONTROL_PANEL!$B$5)</f>
        <v>499891.45177316596</v>
      </c>
      <c r="AB41" s="18">
        <f>IF(AK41&lt;&gt;1,"",DATA_INPUT!$C41)</f>
        <v>59.645351672580667</v>
      </c>
      <c r="AC41" s="18">
        <f t="shared" si="6"/>
        <v>189349.84635182031</v>
      </c>
      <c r="AD41" s="18">
        <f>IF(AK41&lt;&gt;1,"",DATA_INPUT!$H41)</f>
        <v>67.008029598683791</v>
      </c>
      <c r="AE41" s="18">
        <f t="shared" si="7"/>
        <v>212723.36826009088</v>
      </c>
      <c r="AF41" s="18">
        <f>IF(AK41&lt;&gt;1,"",AA41*CONTROL_PANEL!$B$14)</f>
        <v>34992.401624121623</v>
      </c>
      <c r="AG41" s="18">
        <f>IF(AK41&lt;&gt;1,"",DATA_INPUT!$L41)</f>
        <v>406185.82887233066</v>
      </c>
      <c r="AH41" s="18">
        <f t="shared" si="8"/>
        <v>23632122.410101824</v>
      </c>
      <c r="AI41" s="18">
        <f>IF(AK41&lt;&gt;1,"",IF(AH41-CONTROL_PANEL!$B$11&lt;0,0,AH41-CONTROL_PANEL!$B$11))</f>
        <v>0</v>
      </c>
      <c r="AJ41" s="18">
        <f>IF(AK41&lt;&gt;1,"",IF(AG41&lt;=0,0,MIN(AG41,MAX(0,CONTROL_PANEL!$B$13-AH41))))</f>
        <v>0</v>
      </c>
      <c r="AK41" s="18">
        <v>1</v>
      </c>
      <c r="AM41" s="19">
        <f t="shared" si="32"/>
        <v>2018</v>
      </c>
      <c r="AN41" s="19">
        <v>10</v>
      </c>
      <c r="AO41" s="18">
        <f t="shared" si="9"/>
        <v>31</v>
      </c>
      <c r="AP41" s="18">
        <f t="shared" si="42"/>
        <v>258.1393424303169</v>
      </c>
      <c r="AQ41" s="18">
        <f>IF(BD40&lt;&gt;1,"",IF(BA40&gt;0,IF(BA40&gt;CONTROL_PANEL!$B$11,CONTROL_PANEL!$B$11,BA40),0))</f>
        <v>26385787.177957218</v>
      </c>
      <c r="AR41" s="18">
        <f t="shared" si="37"/>
        <v>3420899.3523584455</v>
      </c>
      <c r="AS41" s="18">
        <f>IF(BD41&lt;&gt;1,"",DATA_INPUT!$I41)</f>
        <v>5.2675600819090196</v>
      </c>
      <c r="AT41" s="18">
        <f>IF(BD41&lt;&gt;1,"",AS41*CONTROL_PANEL!$B$5)</f>
        <v>499891.45177316596</v>
      </c>
      <c r="AU41" s="18">
        <f>IF(BD41&lt;&gt;1,"",DATA_INPUT!$C41)</f>
        <v>59.645351672580667</v>
      </c>
      <c r="AV41" s="18">
        <f t="shared" si="11"/>
        <v>204040.74490792293</v>
      </c>
      <c r="AW41" s="18">
        <f>IF(BD41&lt;&gt;1,"",DATA_INPUT!$H41)</f>
        <v>67.008029598683791</v>
      </c>
      <c r="AX41" s="18">
        <f t="shared" si="12"/>
        <v>229227.72505695291</v>
      </c>
      <c r="AY41" s="18">
        <f>IF(BD41&lt;&gt;1,"",AT41*CONTROL_PANEL!$B$14)</f>
        <v>34992.401624121623</v>
      </c>
      <c r="AZ41" s="18">
        <f>IF(BD41&lt;&gt;1,"",DATA_INPUT!$M41)</f>
        <v>357376.0179921923</v>
      </c>
      <c r="BA41" s="18">
        <f t="shared" si="13"/>
        <v>26468123.229965042</v>
      </c>
      <c r="BB41" s="18">
        <f>IF(BD41&lt;&gt;1,"",IF(BA41-CONTROL_PANEL!$B$11&lt;0,0,BA41-CONTROL_PANEL!$B$11))</f>
        <v>0</v>
      </c>
      <c r="BC41" s="18">
        <f>IF(BD41&lt;&gt;1,"",IF(AZ41&lt;=0,0,MIN(AZ41,MAX(0,CONTROL_PANEL!$B$13-BA41))))</f>
        <v>0</v>
      </c>
      <c r="BD41" s="18">
        <v>1</v>
      </c>
      <c r="BF41" s="19">
        <f t="shared" si="33"/>
        <v>2018</v>
      </c>
      <c r="BG41" s="19">
        <v>10</v>
      </c>
      <c r="BH41" s="18">
        <f t="shared" si="14"/>
        <v>31</v>
      </c>
      <c r="BI41" s="18">
        <f t="shared" si="43"/>
        <v>258.65696253710075</v>
      </c>
      <c r="BJ41" s="18">
        <f>IF(BW40&lt;&gt;1,"",IF(BT40&gt;0,IF(BT40&gt;CONTROL_PANEL!$B$11,CONTROL_PANEL!$B$11,BT40),0))</f>
        <v>28208898.0798259</v>
      </c>
      <c r="BK41" s="18">
        <f t="shared" si="38"/>
        <v>3577242.6027542325</v>
      </c>
      <c r="BL41" s="18">
        <f>IF(BW41&lt;&gt;1,"",DATA_INPUT!$I41)</f>
        <v>5.2675600819090196</v>
      </c>
      <c r="BM41" s="18">
        <f>IF(BW41&lt;&gt;1,"",BL41*CONTROL_PANEL!$B$5)</f>
        <v>499891.45177316596</v>
      </c>
      <c r="BN41" s="18">
        <f>IF(BW41&lt;&gt;1,"",DATA_INPUT!$C41)</f>
        <v>59.645351672580667</v>
      </c>
      <c r="BO41" s="18">
        <f t="shared" si="16"/>
        <v>213365.89305941397</v>
      </c>
      <c r="BP41" s="18">
        <f>IF(BW41&lt;&gt;1,"",DATA_INPUT!$H41)</f>
        <v>67.008029598683791</v>
      </c>
      <c r="BQ41" s="18">
        <f t="shared" si="17"/>
        <v>239703.97820702824</v>
      </c>
      <c r="BR41" s="18">
        <f>IF(BW41&lt;&gt;1,"",BM41*CONTROL_PANEL!$B$14)</f>
        <v>34992.401624121623</v>
      </c>
      <c r="BS41" s="18">
        <f>IF(BW41&lt;&gt;1,"",DATA_INPUT!$N41)</f>
        <v>327651.68663450563</v>
      </c>
      <c r="BT41" s="18">
        <f t="shared" si="18"/>
        <v>28319807.358192824</v>
      </c>
      <c r="BU41" s="18">
        <f>IF(BW41&lt;&gt;1,"",IF(BT41-CONTROL_PANEL!$B$11&lt;0,0,BT41-CONTROL_PANEL!$B$11))</f>
        <v>0</v>
      </c>
      <c r="BV41" s="18">
        <f>IF(BW41&lt;&gt;1,"",IF(BS41&lt;=0,0,MIN(BS41,MAX(0,CONTROL_PANEL!$B$13-BT41))))</f>
        <v>0</v>
      </c>
      <c r="BW41" s="18">
        <v>1</v>
      </c>
      <c r="BY41" s="19">
        <f t="shared" si="34"/>
        <v>2018</v>
      </c>
      <c r="BZ41" s="19">
        <v>10</v>
      </c>
      <c r="CA41" s="18">
        <f t="shared" si="19"/>
        <v>31</v>
      </c>
      <c r="CB41" s="18">
        <f t="shared" si="44"/>
        <v>258.04180831458723</v>
      </c>
      <c r="CC41" s="18">
        <f>IF(CP40&lt;&gt;1,"",IF(CM40&gt;0,IF(CM40&gt;CONTROL_PANEL!$B$11,CONTROL_PANEL!$B$11,CM40),0))</f>
        <v>26051336.285250578</v>
      </c>
      <c r="CD41" s="18">
        <f t="shared" si="39"/>
        <v>3391834.8676772341</v>
      </c>
      <c r="CE41" s="18">
        <f>IF(CP41&lt;&gt;1,"",DATA_INPUT!$I41)</f>
        <v>5.2675600819090196</v>
      </c>
      <c r="CF41" s="18">
        <f>IF(CP41&lt;&gt;1,"",CE41*CONTROL_PANEL!$B$5)</f>
        <v>499891.45177316596</v>
      </c>
      <c r="CG41" s="18">
        <f>IF(CP41&lt;&gt;1,"",DATA_INPUT!$C41)</f>
        <v>59.645351672580667</v>
      </c>
      <c r="CH41" s="18">
        <f t="shared" si="21"/>
        <v>202307.18349792974</v>
      </c>
      <c r="CI41" s="18">
        <f>IF(CP41&lt;&gt;1,"",DATA_INPUT!$H41)</f>
        <v>67.008029598683791</v>
      </c>
      <c r="CJ41" s="18">
        <f t="shared" si="22"/>
        <v>227280.1712071638</v>
      </c>
      <c r="CK41" s="18">
        <f>IF(CP41&lt;&gt;1,"",CF41*CONTROL_PANEL!$B$14)</f>
        <v>34992.401624121623</v>
      </c>
      <c r="CL41" s="18">
        <f>IF(CP41&lt;&gt;1,"",DATA_INPUT!$O41)</f>
        <v>377495.06556786457</v>
      </c>
      <c r="CM41" s="18">
        <f t="shared" si="23"/>
        <v>26113767.282122523</v>
      </c>
      <c r="CN41" s="18">
        <f>IF(CP41&lt;&gt;1,"",IF(CM41-CONTROL_PANEL!$B$11&lt;0,0,CM41-CONTROL_PANEL!$B$11))</f>
        <v>0</v>
      </c>
      <c r="CO41" s="18">
        <f>IF(CP41&lt;&gt;1,"",IF(CL41&lt;=0,0,MIN(CL41,MAX(0,CONTROL_PANEL!$B$13-CM41))))</f>
        <v>0</v>
      </c>
      <c r="CP41" s="18">
        <v>1</v>
      </c>
    </row>
    <row r="42" spans="1:94" x14ac:dyDescent="0.25">
      <c r="A42" s="19">
        <f t="shared" si="30"/>
        <v>2018</v>
      </c>
      <c r="B42" s="19">
        <v>11</v>
      </c>
      <c r="C42" s="18">
        <f t="shared" si="0"/>
        <v>30</v>
      </c>
      <c r="D42" s="18">
        <f t="shared" si="40"/>
        <v>258.54571329874187</v>
      </c>
      <c r="E42" s="18">
        <f>IF(R41&lt;&gt;1,"",IF(O41&gt;0,IF(O41&gt;CONTROL_PANEL!$B$11,CONTROL_PANEL!$B$11,O41),0))</f>
        <v>27810179.207858816</v>
      </c>
      <c r="F42" s="18">
        <f t="shared" si="35"/>
        <v>3543342.9671478355</v>
      </c>
      <c r="G42" s="18">
        <f>IF(R42&lt;&gt;1,"",DATA_INPUT!I42)</f>
        <v>2.4924215279307198</v>
      </c>
      <c r="H42" s="18">
        <f>IF(R42&lt;&gt;1,"",G42*CONTROL_PANEL!$B$5)</f>
        <v>236530.80300062531</v>
      </c>
      <c r="I42" s="18">
        <f>IF(R42&lt;&gt;1,"",DATA_INPUT!C42)</f>
        <v>129.62322307230269</v>
      </c>
      <c r="J42" s="18">
        <f t="shared" si="2"/>
        <v>459299.53585227876</v>
      </c>
      <c r="K42" s="18">
        <f>IF(R42&lt;&gt;1,"",DATA_INPUT!H42)</f>
        <v>31.066935560925771</v>
      </c>
      <c r="L42" s="18">
        <f t="shared" si="25"/>
        <v>110080.80763064133</v>
      </c>
      <c r="M42" s="18">
        <f>IF(R42&lt;&gt;1,"",H42*CONTROL_PANEL!$B$14)</f>
        <v>16557.156210043773</v>
      </c>
      <c r="N42" s="18">
        <f>IF(R42&lt;&gt;1,"",DATA_INPUT!K42)</f>
        <v>0</v>
      </c>
      <c r="O42" s="18">
        <f t="shared" si="3"/>
        <v>28379371.582871035</v>
      </c>
      <c r="P42" s="18">
        <f>IF(R42&lt;&gt;1,"",IF(O42-CONTROL_PANEL!$B$11&lt;0,0,O42-CONTROL_PANEL!$B$11))</f>
        <v>0</v>
      </c>
      <c r="Q42" s="18">
        <f>IF(R42&lt;&gt;1,"",IF(N42&lt;=0,0,MIN(N42,MAX(0,CONTROL_PANEL!$B$13-O42))))</f>
        <v>0</v>
      </c>
      <c r="R42" s="18">
        <v>1</v>
      </c>
      <c r="T42" s="19">
        <f t="shared" si="31"/>
        <v>2018</v>
      </c>
      <c r="U42" s="19">
        <v>11</v>
      </c>
      <c r="V42" s="18">
        <f t="shared" si="4"/>
        <v>30</v>
      </c>
      <c r="W42" s="18">
        <f t="shared" si="41"/>
        <v>257.31006854455728</v>
      </c>
      <c r="X42" s="18">
        <f>IF(AK41&lt;&gt;1,"",IF(AH41&gt;0,IF(AH41&gt;CONTROL_PANEL!$B$11,CONTROL_PANEL!$B$11,AH41),0))</f>
        <v>23632122.410101824</v>
      </c>
      <c r="Y42" s="18">
        <f t="shared" si="36"/>
        <v>3177774.5141711407</v>
      </c>
      <c r="Z42" s="18">
        <f>IF(AK42&lt;&gt;1,"",DATA_INPUT!I42)</f>
        <v>2.4924215279307198</v>
      </c>
      <c r="AA42" s="18">
        <f>IF(AK42&lt;&gt;1,"",Z42*CONTROL_PANEL!$B$5)</f>
        <v>236530.80300062531</v>
      </c>
      <c r="AB42" s="18">
        <f>IF(AK42&lt;&gt;1,"",DATA_INPUT!$C42)</f>
        <v>129.62322307230269</v>
      </c>
      <c r="AC42" s="18">
        <f t="shared" si="6"/>
        <v>411913.3747238841</v>
      </c>
      <c r="AD42" s="18">
        <f>IF(AK42&lt;&gt;1,"",DATA_INPUT!$H42)</f>
        <v>31.066935560925771</v>
      </c>
      <c r="AE42" s="18">
        <f t="shared" si="7"/>
        <v>98723.716058907026</v>
      </c>
      <c r="AF42" s="18">
        <f>IF(AK42&lt;&gt;1,"",AA42*CONTROL_PANEL!$B$14)</f>
        <v>16557.156210043773</v>
      </c>
      <c r="AG42" s="18">
        <f>IF(AK42&lt;&gt;1,"",DATA_INPUT!$L42)</f>
        <v>0</v>
      </c>
      <c r="AH42" s="18">
        <f t="shared" si="8"/>
        <v>24165285.715557382</v>
      </c>
      <c r="AI42" s="18">
        <f>IF(AK42&lt;&gt;1,"",IF(AH42-CONTROL_PANEL!$B$11&lt;0,0,AH42-CONTROL_PANEL!$B$11))</f>
        <v>0</v>
      </c>
      <c r="AJ42" s="18">
        <f>IF(AK42&lt;&gt;1,"",IF(AG42&lt;=0,0,MIN(AG42,MAX(0,CONTROL_PANEL!$B$13-AH42))))</f>
        <v>0</v>
      </c>
      <c r="AK42" s="18">
        <v>1</v>
      </c>
      <c r="AM42" s="19">
        <f t="shared" si="32"/>
        <v>2018</v>
      </c>
      <c r="AN42" s="19">
        <v>11</v>
      </c>
      <c r="AO42" s="18">
        <f t="shared" si="9"/>
        <v>30</v>
      </c>
      <c r="AP42" s="18">
        <f t="shared" si="42"/>
        <v>258.16322666737307</v>
      </c>
      <c r="AQ42" s="18">
        <f>IF(BD41&lt;&gt;1,"",IF(BA41&gt;0,IF(BA41&gt;CONTROL_PANEL!$B$11,CONTROL_PANEL!$B$11,BA41),0))</f>
        <v>26468123.229965042</v>
      </c>
      <c r="AR42" s="18">
        <f t="shared" si="37"/>
        <v>3428035.7754190383</v>
      </c>
      <c r="AS42" s="18">
        <f>IF(BD42&lt;&gt;1,"",DATA_INPUT!$I42)</f>
        <v>2.4924215279307198</v>
      </c>
      <c r="AT42" s="18">
        <f>IF(BD42&lt;&gt;1,"",AS42*CONTROL_PANEL!$B$5)</f>
        <v>236530.80300062531</v>
      </c>
      <c r="AU42" s="18">
        <f>IF(BD42&lt;&gt;1,"",DATA_INPUT!$C42)</f>
        <v>129.62322307230269</v>
      </c>
      <c r="AV42" s="18">
        <f t="shared" si="11"/>
        <v>444353.04601697612</v>
      </c>
      <c r="AW42" s="18">
        <f>IF(BD42&lt;&gt;1,"",DATA_INPUT!$H42)</f>
        <v>31.066935560925771</v>
      </c>
      <c r="AX42" s="18">
        <f t="shared" si="12"/>
        <v>106498.56653549147</v>
      </c>
      <c r="AY42" s="18">
        <f>IF(BD42&lt;&gt;1,"",AT42*CONTROL_PANEL!$B$14)</f>
        <v>16557.156210043773</v>
      </c>
      <c r="AZ42" s="18">
        <f>IF(BD42&lt;&gt;1,"",DATA_INPUT!$M42)</f>
        <v>0</v>
      </c>
      <c r="BA42" s="18">
        <f t="shared" si="13"/>
        <v>27025951.35623711</v>
      </c>
      <c r="BB42" s="18">
        <f>IF(BD42&lt;&gt;1,"",IF(BA42-CONTROL_PANEL!$B$11&lt;0,0,BA42-CONTROL_PANEL!$B$11))</f>
        <v>0</v>
      </c>
      <c r="BC42" s="18">
        <f>IF(BD42&lt;&gt;1,"",IF(AZ42&lt;=0,0,MIN(AZ42,MAX(0,CONTROL_PANEL!$B$13-BA42))))</f>
        <v>0</v>
      </c>
      <c r="BD42" s="18">
        <v>1</v>
      </c>
      <c r="BF42" s="19">
        <f t="shared" si="33"/>
        <v>2018</v>
      </c>
      <c r="BG42" s="19">
        <v>11</v>
      </c>
      <c r="BH42" s="18">
        <f t="shared" si="14"/>
        <v>30</v>
      </c>
      <c r="BI42" s="18">
        <f t="shared" si="43"/>
        <v>258.68772092788038</v>
      </c>
      <c r="BJ42" s="18">
        <f>IF(BW41&lt;&gt;1,"",IF(BT41&gt;0,IF(BT41&gt;CONTROL_PANEL!$B$11,CONTROL_PANEL!$B$11,BT41),0))</f>
        <v>28319807.358192824</v>
      </c>
      <c r="BK42" s="18">
        <f t="shared" si="38"/>
        <v>3586643.9972526706</v>
      </c>
      <c r="BL42" s="18">
        <f>IF(BW42&lt;&gt;1,"",DATA_INPUT!$I42)</f>
        <v>2.4924215279307198</v>
      </c>
      <c r="BM42" s="18">
        <f>IF(BW42&lt;&gt;1,"",BL42*CONTROL_PANEL!$B$5)</f>
        <v>236530.80300062531</v>
      </c>
      <c r="BN42" s="18">
        <f>IF(BW42&lt;&gt;1,"",DATA_INPUT!$C42)</f>
        <v>129.62322307230269</v>
      </c>
      <c r="BO42" s="18">
        <f t="shared" si="16"/>
        <v>464912.3549368183</v>
      </c>
      <c r="BP42" s="18">
        <f>IF(BW42&lt;&gt;1,"",DATA_INPUT!$H42)</f>
        <v>31.066935560925771</v>
      </c>
      <c r="BQ42" s="18">
        <f t="shared" si="17"/>
        <v>111426.03794262995</v>
      </c>
      <c r="BR42" s="18">
        <f>IF(BW42&lt;&gt;1,"",BM42*CONTROL_PANEL!$B$14)</f>
        <v>16557.156210043773</v>
      </c>
      <c r="BS42" s="18">
        <f>IF(BW42&lt;&gt;1,"",DATA_INPUT!$N42)</f>
        <v>0</v>
      </c>
      <c r="BT42" s="18">
        <f t="shared" si="18"/>
        <v>28893267.321977593</v>
      </c>
      <c r="BU42" s="18">
        <f>IF(BW42&lt;&gt;1,"",IF(BT42-CONTROL_PANEL!$B$11&lt;0,0,BT42-CONTROL_PANEL!$B$11))</f>
        <v>0</v>
      </c>
      <c r="BV42" s="18">
        <f>IF(BW42&lt;&gt;1,"",IF(BS42&lt;=0,0,MIN(BS42,MAX(0,CONTROL_PANEL!$B$13-BT42))))</f>
        <v>0</v>
      </c>
      <c r="BW42" s="18">
        <v>1</v>
      </c>
      <c r="BY42" s="19">
        <f t="shared" si="34"/>
        <v>2018</v>
      </c>
      <c r="BZ42" s="19">
        <v>11</v>
      </c>
      <c r="CA42" s="18">
        <f t="shared" si="19"/>
        <v>30</v>
      </c>
      <c r="CB42" s="18">
        <f t="shared" si="44"/>
        <v>258.06007804475632</v>
      </c>
      <c r="CC42" s="18">
        <f>IF(CP41&lt;&gt;1,"",IF(CM41&gt;0,IF(CM41&gt;CONTROL_PANEL!$B$11,CONTROL_PANEL!$B$11,CM41),0))</f>
        <v>26113767.282122523</v>
      </c>
      <c r="CD42" s="18">
        <f t="shared" si="39"/>
        <v>3397269.5883473856</v>
      </c>
      <c r="CE42" s="18">
        <f>IF(CP42&lt;&gt;1,"",DATA_INPUT!$I42)</f>
        <v>2.4924215279307198</v>
      </c>
      <c r="CF42" s="18">
        <f>IF(CP42&lt;&gt;1,"",CE42*CONTROL_PANEL!$B$5)</f>
        <v>236530.80300062531</v>
      </c>
      <c r="CG42" s="18">
        <f>IF(CP42&lt;&gt;1,"",DATA_INPUT!$C42)</f>
        <v>129.62322307230269</v>
      </c>
      <c r="CH42" s="18">
        <f t="shared" si="21"/>
        <v>440365.03368710307</v>
      </c>
      <c r="CI42" s="18">
        <f>IF(CP42&lt;&gt;1,"",DATA_INPUT!$H42)</f>
        <v>31.066935560925771</v>
      </c>
      <c r="CJ42" s="18">
        <f t="shared" si="22"/>
        <v>105542.75538428106</v>
      </c>
      <c r="CK42" s="18">
        <f>IF(CP42&lt;&gt;1,"",CF42*CONTROL_PANEL!$B$14)</f>
        <v>16557.156210043773</v>
      </c>
      <c r="CL42" s="18">
        <f>IF(CP42&lt;&gt;1,"",DATA_INPUT!$O42)</f>
        <v>0</v>
      </c>
      <c r="CM42" s="18">
        <f t="shared" si="23"/>
        <v>26668563.207215928</v>
      </c>
      <c r="CN42" s="18">
        <f>IF(CP42&lt;&gt;1,"",IF(CM42-CONTROL_PANEL!$B$11&lt;0,0,CM42-CONTROL_PANEL!$B$11))</f>
        <v>0</v>
      </c>
      <c r="CO42" s="18">
        <f>IF(CP42&lt;&gt;1,"",IF(CL42&lt;=0,0,MIN(CL42,MAX(0,CONTROL_PANEL!$B$13-CM42))))</f>
        <v>0</v>
      </c>
      <c r="CP42" s="18">
        <v>1</v>
      </c>
    </row>
    <row r="43" spans="1:94" x14ac:dyDescent="0.25">
      <c r="A43" s="19">
        <f t="shared" si="30"/>
        <v>2018</v>
      </c>
      <c r="B43" s="19">
        <v>12</v>
      </c>
      <c r="C43" s="18">
        <f t="shared" si="0"/>
        <v>31</v>
      </c>
      <c r="D43" s="18">
        <f t="shared" si="40"/>
        <v>258.70420658622379</v>
      </c>
      <c r="E43" s="18">
        <f>IF(R42&lt;&gt;1,"",IF(O42&gt;0,IF(O42&gt;CONTROL_PANEL!$B$11,CONTROL_PANEL!$B$11,O42),0))</f>
        <v>28379371.582871035</v>
      </c>
      <c r="F43" s="18">
        <f t="shared" si="35"/>
        <v>3591688.0170160523</v>
      </c>
      <c r="G43" s="18">
        <f>IF(R43&lt;&gt;1,"",DATA_INPUT!I43)</f>
        <v>0.34506715651044395</v>
      </c>
      <c r="H43" s="18">
        <f>IF(R43&lt;&gt;1,"",G43*CONTROL_PANEL!$B$5)</f>
        <v>32746.87315284113</v>
      </c>
      <c r="I43" s="18">
        <f>IF(R43&lt;&gt;1,"",DATA_INPUT!C43)</f>
        <v>23.544108673150671</v>
      </c>
      <c r="J43" s="18">
        <f t="shared" si="2"/>
        <v>84563.092992678969</v>
      </c>
      <c r="K43" s="18">
        <f>IF(R43&lt;&gt;1,"",DATA_INPUT!H43)</f>
        <v>20.615116547078312</v>
      </c>
      <c r="L43" s="18">
        <f t="shared" si="25"/>
        <v>74043.067071530502</v>
      </c>
      <c r="M43" s="18">
        <f>IF(R43&lt;&gt;1,"",H43*CONTROL_PANEL!$B$14)</f>
        <v>2292.2811206988795</v>
      </c>
      <c r="N43" s="18">
        <f>IF(R43&lt;&gt;1,"",DATA_INPUT!K43)</f>
        <v>0</v>
      </c>
      <c r="O43" s="18">
        <f t="shared" si="3"/>
        <v>28420346.200824324</v>
      </c>
      <c r="P43" s="18">
        <f>IF(R43&lt;&gt;1,"",IF(O43-CONTROL_PANEL!$B$11&lt;0,0,O43-CONTROL_PANEL!$B$11))</f>
        <v>0</v>
      </c>
      <c r="Q43" s="18">
        <f>IF(R43&lt;&gt;1,"",IF(N43&lt;=0,0,MIN(N43,MAX(0,CONTROL_PANEL!$B$13-O43))))</f>
        <v>0</v>
      </c>
      <c r="R43" s="18">
        <v>1</v>
      </c>
      <c r="T43" s="19">
        <f t="shared" si="31"/>
        <v>2018</v>
      </c>
      <c r="U43" s="19">
        <v>12</v>
      </c>
      <c r="V43" s="18">
        <f t="shared" si="4"/>
        <v>31</v>
      </c>
      <c r="W43" s="18">
        <f t="shared" si="41"/>
        <v>257.47549426564217</v>
      </c>
      <c r="X43" s="18">
        <f>IF(AK42&lt;&gt;1,"",IF(AH42&gt;0,IF(AH42&gt;CONTROL_PANEL!$B$11,CONTROL_PANEL!$B$11,AH42),0))</f>
        <v>24165285.715557382</v>
      </c>
      <c r="Y43" s="18">
        <f t="shared" si="36"/>
        <v>3225551.1843179017</v>
      </c>
      <c r="Z43" s="18">
        <f>IF(AK43&lt;&gt;1,"",DATA_INPUT!I43)</f>
        <v>0.34506715651044395</v>
      </c>
      <c r="AA43" s="18">
        <f>IF(AK43&lt;&gt;1,"",Z43*CONTROL_PANEL!$B$5)</f>
        <v>32746.87315284113</v>
      </c>
      <c r="AB43" s="18">
        <f>IF(AK43&lt;&gt;1,"",DATA_INPUT!$C43)</f>
        <v>23.544108673150671</v>
      </c>
      <c r="AC43" s="18">
        <f t="shared" si="6"/>
        <v>75942.727614390518</v>
      </c>
      <c r="AD43" s="18">
        <f>IF(AK43&lt;&gt;1,"",DATA_INPUT!$H43)</f>
        <v>20.615116547078312</v>
      </c>
      <c r="AE43" s="18">
        <f t="shared" si="7"/>
        <v>66495.113593280024</v>
      </c>
      <c r="AF43" s="18">
        <f>IF(AK43&lt;&gt;1,"",AA43*CONTROL_PANEL!$B$14)</f>
        <v>2292.2811206988795</v>
      </c>
      <c r="AG43" s="18">
        <f>IF(AK43&lt;&gt;1,"",DATA_INPUT!$L43)</f>
        <v>0</v>
      </c>
      <c r="AH43" s="18">
        <f t="shared" si="8"/>
        <v>24205187.921610635</v>
      </c>
      <c r="AI43" s="18">
        <f>IF(AK43&lt;&gt;1,"",IF(AH43-CONTROL_PANEL!$B$11&lt;0,0,AH43-CONTROL_PANEL!$B$11))</f>
        <v>0</v>
      </c>
      <c r="AJ43" s="18">
        <f>IF(AK43&lt;&gt;1,"",IF(AG43&lt;=0,0,MIN(AG43,MAX(0,CONTROL_PANEL!$B$13-AH43))))</f>
        <v>0</v>
      </c>
      <c r="AK43" s="18">
        <v>1</v>
      </c>
      <c r="AM43" s="19">
        <f t="shared" si="32"/>
        <v>2018</v>
      </c>
      <c r="AN43" s="19">
        <v>12</v>
      </c>
      <c r="AO43" s="18">
        <f t="shared" si="9"/>
        <v>31</v>
      </c>
      <c r="AP43" s="18">
        <f t="shared" si="42"/>
        <v>258.3237481222551</v>
      </c>
      <c r="AQ43" s="18">
        <f>IF(BD42&lt;&gt;1,"",IF(BA42&gt;0,IF(BA42&gt;CONTROL_PANEL!$B$11,CONTROL_PANEL!$B$11,BA42),0))</f>
        <v>27025951.35623711</v>
      </c>
      <c r="AR43" s="18">
        <f t="shared" si="37"/>
        <v>3476193.1763166417</v>
      </c>
      <c r="AS43" s="18">
        <f>IF(BD43&lt;&gt;1,"",DATA_INPUT!$I43)</f>
        <v>0.34506715651044395</v>
      </c>
      <c r="AT43" s="18">
        <f>IF(BD43&lt;&gt;1,"",AS43*CONTROL_PANEL!$B$5)</f>
        <v>32746.87315284113</v>
      </c>
      <c r="AU43" s="18">
        <f>IF(BD43&lt;&gt;1,"",DATA_INPUT!$C43)</f>
        <v>23.544108673150671</v>
      </c>
      <c r="AV43" s="18">
        <f t="shared" si="11"/>
        <v>81843.869912063819</v>
      </c>
      <c r="AW43" s="18">
        <f>IF(BD43&lt;&gt;1,"",DATA_INPUT!$H43)</f>
        <v>20.615116547078312</v>
      </c>
      <c r="AX43" s="18">
        <f t="shared" si="12"/>
        <v>71662.127469925908</v>
      </c>
      <c r="AY43" s="18">
        <f>IF(BD43&lt;&gt;1,"",AT43*CONTROL_PANEL!$B$14)</f>
        <v>2292.2811206988795</v>
      </c>
      <c r="AZ43" s="18">
        <f>IF(BD43&lt;&gt;1,"",DATA_INPUT!$M43)</f>
        <v>0</v>
      </c>
      <c r="BA43" s="18">
        <f t="shared" si="13"/>
        <v>27066587.69071139</v>
      </c>
      <c r="BB43" s="18">
        <f>IF(BD43&lt;&gt;1,"",IF(BA43-CONTROL_PANEL!$B$11&lt;0,0,BA43-CONTROL_PANEL!$B$11))</f>
        <v>0</v>
      </c>
      <c r="BC43" s="18">
        <f>IF(BD43&lt;&gt;1,"",IF(AZ43&lt;=0,0,MIN(AZ43,MAX(0,CONTROL_PANEL!$B$13-BA43))))</f>
        <v>0</v>
      </c>
      <c r="BD43" s="18">
        <v>1</v>
      </c>
      <c r="BF43" s="19">
        <f t="shared" si="33"/>
        <v>2018</v>
      </c>
      <c r="BG43" s="19">
        <v>12</v>
      </c>
      <c r="BH43" s="18">
        <f t="shared" si="14"/>
        <v>31</v>
      </c>
      <c r="BI43" s="18">
        <f t="shared" si="43"/>
        <v>258.84548602824827</v>
      </c>
      <c r="BJ43" s="18">
        <f>IF(BW42&lt;&gt;1,"",IF(BT42&gt;0,IF(BT42&gt;CONTROL_PANEL!$B$11,CONTROL_PANEL!$B$11,BT42),0))</f>
        <v>28893267.321977593</v>
      </c>
      <c r="BK43" s="18">
        <f t="shared" si="38"/>
        <v>3635061.2381416131</v>
      </c>
      <c r="BL43" s="18">
        <f>IF(BW43&lt;&gt;1,"",DATA_INPUT!$I43)</f>
        <v>0.34506715651044395</v>
      </c>
      <c r="BM43" s="18">
        <f>IF(BW43&lt;&gt;1,"",BL43*CONTROL_PANEL!$B$5)</f>
        <v>32746.87315284113</v>
      </c>
      <c r="BN43" s="18">
        <f>IF(BW43&lt;&gt;1,"",DATA_INPUT!$C43)</f>
        <v>23.544108673150671</v>
      </c>
      <c r="BO43" s="18">
        <f t="shared" si="16"/>
        <v>85584.276824363769</v>
      </c>
      <c r="BP43" s="18">
        <f>IF(BW43&lt;&gt;1,"",DATA_INPUT!$H43)</f>
        <v>20.615116547078312</v>
      </c>
      <c r="BQ43" s="18">
        <f t="shared" si="17"/>
        <v>74937.21108005615</v>
      </c>
      <c r="BR43" s="18">
        <f>IF(BW43&lt;&gt;1,"",BM43*CONTROL_PANEL!$B$14)</f>
        <v>2292.2811206988795</v>
      </c>
      <c r="BS43" s="18">
        <f>IF(BW43&lt;&gt;1,"",DATA_INPUT!$N43)</f>
        <v>0</v>
      </c>
      <c r="BT43" s="18">
        <f t="shared" si="18"/>
        <v>28934368.979754042</v>
      </c>
      <c r="BU43" s="18">
        <f>IF(BW43&lt;&gt;1,"",IF(BT43-CONTROL_PANEL!$B$11&lt;0,0,BT43-CONTROL_PANEL!$B$11))</f>
        <v>0</v>
      </c>
      <c r="BV43" s="18">
        <f>IF(BW43&lt;&gt;1,"",IF(BS43&lt;=0,0,MIN(BS43,MAX(0,CONTROL_PANEL!$B$13-BT43))))</f>
        <v>0</v>
      </c>
      <c r="BW43" s="18">
        <v>1</v>
      </c>
      <c r="BY43" s="19">
        <f t="shared" si="34"/>
        <v>2018</v>
      </c>
      <c r="BZ43" s="19">
        <v>12</v>
      </c>
      <c r="CA43" s="18">
        <f t="shared" si="19"/>
        <v>31</v>
      </c>
      <c r="CB43" s="18">
        <f t="shared" si="44"/>
        <v>258.22116374970761</v>
      </c>
      <c r="CC43" s="18">
        <f>IF(CP42&lt;&gt;1,"",IF(CM42&gt;0,IF(CM42&gt;CONTROL_PANEL!$B$11,CONTROL_PANEL!$B$11,CM42),0))</f>
        <v>26668563.207215928</v>
      </c>
      <c r="CD43" s="18">
        <f t="shared" si="39"/>
        <v>3445378.125058658</v>
      </c>
      <c r="CE43" s="18">
        <f>IF(CP43&lt;&gt;1,"",DATA_INPUT!$I43)</f>
        <v>0.34506715651044395</v>
      </c>
      <c r="CF43" s="18">
        <f>IF(CP43&lt;&gt;1,"",CE43*CONTROL_PANEL!$B$5)</f>
        <v>32746.87315284113</v>
      </c>
      <c r="CG43" s="18">
        <f>IF(CP43&lt;&gt;1,"",DATA_INPUT!$C43)</f>
        <v>23.544108673150671</v>
      </c>
      <c r="CH43" s="18">
        <f t="shared" si="21"/>
        <v>81118.356996477145</v>
      </c>
      <c r="CI43" s="18">
        <f>IF(CP43&lt;&gt;1,"",DATA_INPUT!$H43)</f>
        <v>20.615116547078312</v>
      </c>
      <c r="CJ43" s="18">
        <f t="shared" si="22"/>
        <v>71026.871596838391</v>
      </c>
      <c r="CK43" s="18">
        <f>IF(CP43&lt;&gt;1,"",CF43*CONTROL_PANEL!$B$14)</f>
        <v>2292.2811206988795</v>
      </c>
      <c r="CL43" s="18">
        <f>IF(CP43&lt;&gt;1,"",DATA_INPUT!$O43)</f>
        <v>0</v>
      </c>
      <c r="CM43" s="18">
        <f t="shared" si="23"/>
        <v>26709109.284647707</v>
      </c>
      <c r="CN43" s="18">
        <f>IF(CP43&lt;&gt;1,"",IF(CM43-CONTROL_PANEL!$B$11&lt;0,0,CM43-CONTROL_PANEL!$B$11))</f>
        <v>0</v>
      </c>
      <c r="CO43" s="18">
        <f>IF(CP43&lt;&gt;1,"",IF(CL43&lt;=0,0,MIN(CL43,MAX(0,CONTROL_PANEL!$B$13-CM43))))</f>
        <v>0</v>
      </c>
      <c r="CP43" s="18">
        <v>1</v>
      </c>
    </row>
    <row r="44" spans="1:94" x14ac:dyDescent="0.25">
      <c r="A44" s="19">
        <f t="shared" si="30"/>
        <v>2019</v>
      </c>
      <c r="B44" s="19">
        <v>1</v>
      </c>
      <c r="C44" s="18">
        <f t="shared" si="0"/>
        <v>31</v>
      </c>
      <c r="D44" s="18">
        <f t="shared" si="40"/>
        <v>258.71553374610693</v>
      </c>
      <c r="E44" s="18">
        <f>IF(R43&lt;&gt;1,"",IF(O43&gt;0,IF(O43&gt;CONTROL_PANEL!$B$11,CONTROL_PANEL!$B$11,O43),0))</f>
        <v>28420346.200824324</v>
      </c>
      <c r="F44" s="18">
        <f t="shared" si="35"/>
        <v>3595155.7959967447</v>
      </c>
      <c r="G44" s="18">
        <f>IF(R44&lt;&gt;1,"",DATA_INPUT!I44)</f>
        <v>4.6154439439382945E-2</v>
      </c>
      <c r="H44" s="18">
        <f>IF(R44&lt;&gt;1,"",G44*CONTROL_PANEL!$B$5)</f>
        <v>4380.0563027974413</v>
      </c>
      <c r="I44" s="18">
        <f>IF(R44&lt;&gt;1,"",DATA_INPUT!C44)</f>
        <v>27.720870803917336</v>
      </c>
      <c r="J44" s="18">
        <f t="shared" si="2"/>
        <v>99660.849340780347</v>
      </c>
      <c r="K44" s="18">
        <f>IF(R44&lt;&gt;1,"",DATA_INPUT!H44)</f>
        <v>19.489555846185475</v>
      </c>
      <c r="L44" s="18">
        <f t="shared" si="25"/>
        <v>70067.98966181594</v>
      </c>
      <c r="M44" s="18">
        <f>IF(R44&lt;&gt;1,"",H44*CONTROL_PANEL!$B$14)</f>
        <v>306.60394119582094</v>
      </c>
      <c r="N44" s="18">
        <f>IF(R44&lt;&gt;1,"",DATA_INPUT!K44)</f>
        <v>0</v>
      </c>
      <c r="O44" s="18">
        <f t="shared" si="3"/>
        <v>28454012.512864891</v>
      </c>
      <c r="P44" s="18">
        <f>IF(R44&lt;&gt;1,"",IF(O44-CONTROL_PANEL!$B$11&lt;0,0,O44-CONTROL_PANEL!$B$11))</f>
        <v>0</v>
      </c>
      <c r="Q44" s="18">
        <f>IF(R44&lt;&gt;1,"",IF(N44&lt;=0,0,MIN(N44,MAX(0,CONTROL_PANEL!$B$13-O44))))</f>
        <v>0</v>
      </c>
      <c r="R44" s="18">
        <v>1</v>
      </c>
      <c r="T44" s="19">
        <f t="shared" si="31"/>
        <v>2019</v>
      </c>
      <c r="U44" s="19">
        <v>1</v>
      </c>
      <c r="V44" s="18">
        <f t="shared" si="4"/>
        <v>31</v>
      </c>
      <c r="W44" s="18">
        <f t="shared" si="41"/>
        <v>257.48777622355158</v>
      </c>
      <c r="X44" s="18">
        <f>IF(AK43&lt;&gt;1,"",IF(AH43&gt;0,IF(AH43&gt;CONTROL_PANEL!$B$11,CONTROL_PANEL!$B$11,AH43),0))</f>
        <v>24205187.921610635</v>
      </c>
      <c r="Y44" s="18">
        <f t="shared" si="36"/>
        <v>3229112.698514895</v>
      </c>
      <c r="Z44" s="18">
        <f>IF(AK44&lt;&gt;1,"",DATA_INPUT!I44)</f>
        <v>4.6154439439382945E-2</v>
      </c>
      <c r="AA44" s="18">
        <f>IF(AK44&lt;&gt;1,"",Z44*CONTROL_PANEL!$B$5)</f>
        <v>4380.0563027974413</v>
      </c>
      <c r="AB44" s="18">
        <f>IF(AK44&lt;&gt;1,"",DATA_INPUT!$C44)</f>
        <v>27.720870803917336</v>
      </c>
      <c r="AC44" s="18">
        <f t="shared" si="6"/>
        <v>89513.815926820273</v>
      </c>
      <c r="AD44" s="18">
        <f>IF(AK44&lt;&gt;1,"",DATA_INPUT!$H44)</f>
        <v>19.489555846185475</v>
      </c>
      <c r="AE44" s="18">
        <f t="shared" si="7"/>
        <v>62933.972271332728</v>
      </c>
      <c r="AF44" s="18">
        <f>IF(AK44&lt;&gt;1,"",AA44*CONTROL_PANEL!$B$14)</f>
        <v>306.60394119582094</v>
      </c>
      <c r="AG44" s="18">
        <f>IF(AK44&lt;&gt;1,"",DATA_INPUT!$L44)</f>
        <v>0</v>
      </c>
      <c r="AH44" s="18">
        <f t="shared" si="8"/>
        <v>24235841.217627723</v>
      </c>
      <c r="AI44" s="18">
        <f>IF(AK44&lt;&gt;1,"",IF(AH44-CONTROL_PANEL!$B$11&lt;0,0,AH44-CONTROL_PANEL!$B$11))</f>
        <v>0</v>
      </c>
      <c r="AJ44" s="18">
        <f>IF(AK44&lt;&gt;1,"",IF(AG44&lt;=0,0,MIN(AG44,MAX(0,CONTROL_PANEL!$B$13-AH44))))</f>
        <v>0</v>
      </c>
      <c r="AK44" s="18">
        <v>1</v>
      </c>
      <c r="AM44" s="19">
        <f t="shared" si="32"/>
        <v>2019</v>
      </c>
      <c r="AN44" s="19">
        <v>1</v>
      </c>
      <c r="AO44" s="18">
        <f t="shared" si="9"/>
        <v>31</v>
      </c>
      <c r="AP44" s="18">
        <f t="shared" si="42"/>
        <v>258.33535476650388</v>
      </c>
      <c r="AQ44" s="18">
        <f>IF(BD43&lt;&gt;1,"",IF(BA43&gt;0,IF(BA43&gt;CONTROL_PANEL!$B$11,CONTROL_PANEL!$B$11,BA43),0))</f>
        <v>27066587.69071139</v>
      </c>
      <c r="AR44" s="18">
        <f t="shared" si="37"/>
        <v>3479688.3906256505</v>
      </c>
      <c r="AS44" s="18">
        <f>IF(BD44&lt;&gt;1,"",DATA_INPUT!$I44)</f>
        <v>4.6154439439382945E-2</v>
      </c>
      <c r="AT44" s="18">
        <f>IF(BD44&lt;&gt;1,"",AS44*CONTROL_PANEL!$B$5)</f>
        <v>4380.0563027974413</v>
      </c>
      <c r="AU44" s="18">
        <f>IF(BD44&lt;&gt;1,"",DATA_INPUT!$C44)</f>
        <v>27.720870803917336</v>
      </c>
      <c r="AV44" s="18">
        <f t="shared" si="11"/>
        <v>96459.9923144247</v>
      </c>
      <c r="AW44" s="18">
        <f>IF(BD44&lt;&gt;1,"",DATA_INPUT!$H44)</f>
        <v>19.489555846185475</v>
      </c>
      <c r="AX44" s="18">
        <f t="shared" si="12"/>
        <v>67817.581216421866</v>
      </c>
      <c r="AY44" s="18">
        <f>IF(BD44&lt;&gt;1,"",AT44*CONTROL_PANEL!$B$14)</f>
        <v>306.60394119582094</v>
      </c>
      <c r="AZ44" s="18">
        <f>IF(BD44&lt;&gt;1,"",DATA_INPUT!$M44)</f>
        <v>0</v>
      </c>
      <c r="BA44" s="18">
        <f t="shared" si="13"/>
        <v>27099303.554170992</v>
      </c>
      <c r="BB44" s="18">
        <f>IF(BD44&lt;&gt;1,"",IF(BA44-CONTROL_PANEL!$B$11&lt;0,0,BA44-CONTROL_PANEL!$B$11))</f>
        <v>0</v>
      </c>
      <c r="BC44" s="18">
        <f>IF(BD44&lt;&gt;1,"",IF(AZ44&lt;=0,0,MIN(AZ44,MAX(0,CONTROL_PANEL!$B$13-BA44))))</f>
        <v>0</v>
      </c>
      <c r="BD44" s="18">
        <v>1</v>
      </c>
      <c r="BF44" s="19">
        <f t="shared" si="33"/>
        <v>2019</v>
      </c>
      <c r="BG44" s="19">
        <v>1</v>
      </c>
      <c r="BH44" s="18">
        <f t="shared" si="14"/>
        <v>31</v>
      </c>
      <c r="BI44" s="18">
        <f t="shared" si="43"/>
        <v>258.85671281357861</v>
      </c>
      <c r="BJ44" s="18">
        <f>IF(BW43&lt;&gt;1,"",IF(BT43&gt;0,IF(BT43&gt;CONTROL_PANEL!$B$11,CONTROL_PANEL!$B$11,BT43),0))</f>
        <v>28934368.979754042</v>
      </c>
      <c r="BK44" s="18">
        <f t="shared" si="38"/>
        <v>3638519.17141979</v>
      </c>
      <c r="BL44" s="18">
        <f>IF(BW44&lt;&gt;1,"",DATA_INPUT!$I44)</f>
        <v>4.6154439439382945E-2</v>
      </c>
      <c r="BM44" s="18">
        <f>IF(BW44&lt;&gt;1,"",BL44*CONTROL_PANEL!$B$5)</f>
        <v>4380.0563027974413</v>
      </c>
      <c r="BN44" s="18">
        <f>IF(BW44&lt;&gt;1,"",DATA_INPUT!$C44)</f>
        <v>27.720870803917336</v>
      </c>
      <c r="BO44" s="18">
        <f t="shared" si="16"/>
        <v>100862.91986850437</v>
      </c>
      <c r="BP44" s="18">
        <f>IF(BW44&lt;&gt;1,"",DATA_INPUT!$H44)</f>
        <v>19.489555846185475</v>
      </c>
      <c r="BQ44" s="18">
        <f t="shared" si="17"/>
        <v>70913.122588802507</v>
      </c>
      <c r="BR44" s="18">
        <f>IF(BW44&lt;&gt;1,"",BM44*CONTROL_PANEL!$B$14)</f>
        <v>306.60394119582094</v>
      </c>
      <c r="BS44" s="18">
        <f>IF(BW44&lt;&gt;1,"",DATA_INPUT!$N44)</f>
        <v>0</v>
      </c>
      <c r="BT44" s="18">
        <f t="shared" si="18"/>
        <v>28968392.229395345</v>
      </c>
      <c r="BU44" s="18">
        <f>IF(BW44&lt;&gt;1,"",IF(BT44-CONTROL_PANEL!$B$11&lt;0,0,BT44-CONTROL_PANEL!$B$11))</f>
        <v>0</v>
      </c>
      <c r="BV44" s="18">
        <f>IF(BW44&lt;&gt;1,"",IF(BS44&lt;=0,0,MIN(BS44,MAX(0,CONTROL_PANEL!$B$13-BT44))))</f>
        <v>0</v>
      </c>
      <c r="BW44" s="18">
        <v>1</v>
      </c>
      <c r="BY44" s="19">
        <f t="shared" si="34"/>
        <v>2019</v>
      </c>
      <c r="BZ44" s="19">
        <v>1</v>
      </c>
      <c r="CA44" s="18">
        <f t="shared" si="19"/>
        <v>31</v>
      </c>
      <c r="CB44" s="18">
        <f t="shared" si="44"/>
        <v>258.23284812696699</v>
      </c>
      <c r="CC44" s="18">
        <f>IF(CP43&lt;&gt;1,"",IF(CM43&gt;0,IF(CM43&gt;CONTROL_PANEL!$B$11,CONTROL_PANEL!$B$11,CM43),0))</f>
        <v>26709109.284647707</v>
      </c>
      <c r="CD44" s="18">
        <f t="shared" si="39"/>
        <v>3448880.9730106788</v>
      </c>
      <c r="CE44" s="18">
        <f>IF(CP44&lt;&gt;1,"",DATA_INPUT!$I44)</f>
        <v>4.6154439439382945E-2</v>
      </c>
      <c r="CF44" s="18">
        <f>IF(CP44&lt;&gt;1,"",CE44*CONTROL_PANEL!$B$5)</f>
        <v>4380.0563027974413</v>
      </c>
      <c r="CG44" s="18">
        <f>IF(CP44&lt;&gt;1,"",DATA_INPUT!$C44)</f>
        <v>27.720870803917336</v>
      </c>
      <c r="CH44" s="18">
        <f t="shared" si="21"/>
        <v>95605.983870917742</v>
      </c>
      <c r="CI44" s="18">
        <f>IF(CP44&lt;&gt;1,"",DATA_INPUT!$H44)</f>
        <v>19.489555846185475</v>
      </c>
      <c r="CJ44" s="18">
        <f t="shared" si="22"/>
        <v>67217.158330338119</v>
      </c>
      <c r="CK44" s="18">
        <f>IF(CP44&lt;&gt;1,"",CF44*CONTROL_PANEL!$B$14)</f>
        <v>306.60394119582094</v>
      </c>
      <c r="CL44" s="18">
        <f>IF(CP44&lt;&gt;1,"",DATA_INPUT!$O44)</f>
        <v>0</v>
      </c>
      <c r="CM44" s="18">
        <f t="shared" si="23"/>
        <v>26741571.562549885</v>
      </c>
      <c r="CN44" s="18">
        <f>IF(CP44&lt;&gt;1,"",IF(CM44-CONTROL_PANEL!$B$11&lt;0,0,CM44-CONTROL_PANEL!$B$11))</f>
        <v>0</v>
      </c>
      <c r="CO44" s="18">
        <f>IF(CP44&lt;&gt;1,"",IF(CL44&lt;=0,0,MIN(CL44,MAX(0,CONTROL_PANEL!$B$13-CM44))))</f>
        <v>0</v>
      </c>
      <c r="CP44" s="18">
        <v>1</v>
      </c>
    </row>
    <row r="45" spans="1:94" x14ac:dyDescent="0.25">
      <c r="A45" s="19">
        <f t="shared" si="30"/>
        <v>2019</v>
      </c>
      <c r="B45" s="19">
        <v>2</v>
      </c>
      <c r="C45" s="18">
        <f t="shared" si="0"/>
        <v>28</v>
      </c>
      <c r="D45" s="18">
        <f t="shared" si="40"/>
        <v>258.72483240177803</v>
      </c>
      <c r="E45" s="18">
        <f>IF(R44&lt;&gt;1,"",IF(O44&gt;0,IF(O44&gt;CONTROL_PANEL!$B$11,CONTROL_PANEL!$B$11,O44),0))</f>
        <v>28454012.512864891</v>
      </c>
      <c r="F45" s="18">
        <f t="shared" si="35"/>
        <v>3598003.8169709933</v>
      </c>
      <c r="G45" s="18">
        <f>IF(R45&lt;&gt;1,"",DATA_INPUT!I45)</f>
        <v>8.0088399927136025E-3</v>
      </c>
      <c r="H45" s="18">
        <f>IF(R45&lt;&gt;1,"",G45*CONTROL_PANEL!$B$5)</f>
        <v>760.03891530852093</v>
      </c>
      <c r="I45" s="18">
        <f>IF(R45&lt;&gt;1,"",DATA_INPUT!C45)</f>
        <v>39.791687661313333</v>
      </c>
      <c r="J45" s="18">
        <f t="shared" si="2"/>
        <v>143170.64408912294</v>
      </c>
      <c r="K45" s="18">
        <f>IF(R45&lt;&gt;1,"",DATA_INPUT!H45)</f>
        <v>27.056314229824842</v>
      </c>
      <c r="L45" s="18">
        <f t="shared" si="25"/>
        <v>97348.721872076378</v>
      </c>
      <c r="M45" s="18">
        <f>IF(R45&lt;&gt;1,"",H45*CONTROL_PANEL!$B$14)</f>
        <v>53.202724071596471</v>
      </c>
      <c r="N45" s="18">
        <f>IF(R45&lt;&gt;1,"",DATA_INPUT!K45)</f>
        <v>0</v>
      </c>
      <c r="O45" s="18">
        <f t="shared" si="3"/>
        <v>28500541.271273173</v>
      </c>
      <c r="P45" s="18">
        <f>IF(R45&lt;&gt;1,"",IF(O45-CONTROL_PANEL!$B$11&lt;0,0,O45-CONTROL_PANEL!$B$11))</f>
        <v>0</v>
      </c>
      <c r="Q45" s="18">
        <f>IF(R45&lt;&gt;1,"",IF(N45&lt;=0,0,MIN(N45,MAX(0,CONTROL_PANEL!$B$13-O45))))</f>
        <v>0</v>
      </c>
      <c r="R45" s="18">
        <v>1</v>
      </c>
      <c r="T45" s="19">
        <f t="shared" si="31"/>
        <v>2019</v>
      </c>
      <c r="U45" s="19">
        <v>2</v>
      </c>
      <c r="V45" s="18">
        <f t="shared" si="4"/>
        <v>28</v>
      </c>
      <c r="W45" s="18">
        <f t="shared" si="41"/>
        <v>257.49720215859747</v>
      </c>
      <c r="X45" s="18">
        <f>IF(AK44&lt;&gt;1,"",IF(AH44&gt;0,IF(AH44&gt;CONTROL_PANEL!$B$11,CONTROL_PANEL!$B$11,AH44),0))</f>
        <v>24235841.217627723</v>
      </c>
      <c r="Y45" s="18">
        <f t="shared" si="36"/>
        <v>3231847.3710784391</v>
      </c>
      <c r="Z45" s="18">
        <f>IF(AK45&lt;&gt;1,"",DATA_INPUT!I45)</f>
        <v>8.0088399927136025E-3</v>
      </c>
      <c r="AA45" s="18">
        <f>IF(AK45&lt;&gt;1,"",Z45*CONTROL_PANEL!$B$5)</f>
        <v>760.03891530852093</v>
      </c>
      <c r="AB45" s="18">
        <f>IF(AK45&lt;&gt;1,"",DATA_INPUT!$C45)</f>
        <v>39.791687661313333</v>
      </c>
      <c r="AC45" s="18">
        <f t="shared" si="6"/>
        <v>128600.66115898987</v>
      </c>
      <c r="AD45" s="18">
        <f>IF(AK45&lt;&gt;1,"",DATA_INPUT!$H45)</f>
        <v>27.056314229824842</v>
      </c>
      <c r="AE45" s="18">
        <f t="shared" si="7"/>
        <v>87441.87801473157</v>
      </c>
      <c r="AF45" s="18">
        <f>IF(AK45&lt;&gt;1,"",AA45*CONTROL_PANEL!$B$14)</f>
        <v>53.202724071596471</v>
      </c>
      <c r="AG45" s="18">
        <f>IF(AK45&lt;&gt;1,"",DATA_INPUT!$L45)</f>
        <v>0</v>
      </c>
      <c r="AH45" s="18">
        <f t="shared" si="8"/>
        <v>24277706.836963221</v>
      </c>
      <c r="AI45" s="18">
        <f>IF(AK45&lt;&gt;1,"",IF(AH45-CONTROL_PANEL!$B$11&lt;0,0,AH45-CONTROL_PANEL!$B$11))</f>
        <v>0</v>
      </c>
      <c r="AJ45" s="18">
        <f>IF(AK45&lt;&gt;1,"",IF(AG45&lt;=0,0,MIN(AG45,MAX(0,CONTROL_PANEL!$B$13-AH45))))</f>
        <v>0</v>
      </c>
      <c r="AK45" s="18">
        <v>1</v>
      </c>
      <c r="AM45" s="19">
        <f t="shared" si="32"/>
        <v>2019</v>
      </c>
      <c r="AN45" s="19">
        <v>2</v>
      </c>
      <c r="AO45" s="18">
        <f t="shared" si="9"/>
        <v>28</v>
      </c>
      <c r="AP45" s="18">
        <f t="shared" si="42"/>
        <v>258.34469068104954</v>
      </c>
      <c r="AQ45" s="18">
        <f>IF(BD44&lt;&gt;1,"",IF(BA44&gt;0,IF(BA44&gt;CONTROL_PANEL!$B$11,CONTROL_PANEL!$B$11,BA44),0))</f>
        <v>27099303.554170992</v>
      </c>
      <c r="AR45" s="18">
        <f t="shared" si="37"/>
        <v>3482501.0865750341</v>
      </c>
      <c r="AS45" s="18">
        <f>IF(BD45&lt;&gt;1,"",DATA_INPUT!$I45)</f>
        <v>8.0088399927136025E-3</v>
      </c>
      <c r="AT45" s="18">
        <f>IF(BD45&lt;&gt;1,"",AS45*CONTROL_PANEL!$B$5)</f>
        <v>760.03891530852093</v>
      </c>
      <c r="AU45" s="18">
        <f>IF(BD45&lt;&gt;1,"",DATA_INPUT!$C45)</f>
        <v>39.791687661313333</v>
      </c>
      <c r="AV45" s="18">
        <f t="shared" si="11"/>
        <v>138574.59551717807</v>
      </c>
      <c r="AW45" s="18">
        <f>IF(BD45&lt;&gt;1,"",DATA_INPUT!$H45)</f>
        <v>27.056314229824842</v>
      </c>
      <c r="AX45" s="18">
        <f t="shared" si="12"/>
        <v>94223.643704080561</v>
      </c>
      <c r="AY45" s="18">
        <f>IF(BD45&lt;&gt;1,"",AT45*CONTROL_PANEL!$B$14)</f>
        <v>53.202724071596471</v>
      </c>
      <c r="AZ45" s="18">
        <f>IF(BD45&lt;&gt;1,"",DATA_INPUT!$M45)</f>
        <v>0</v>
      </c>
      <c r="BA45" s="18">
        <f t="shared" si="13"/>
        <v>27144361.342175327</v>
      </c>
      <c r="BB45" s="18">
        <f>IF(BD45&lt;&gt;1,"",IF(BA45-CONTROL_PANEL!$B$11&lt;0,0,BA45-CONTROL_PANEL!$B$11))</f>
        <v>0</v>
      </c>
      <c r="BC45" s="18">
        <f>IF(BD45&lt;&gt;1,"",IF(AZ45&lt;=0,0,MIN(AZ45,MAX(0,CONTROL_PANEL!$B$13-BA45))))</f>
        <v>0</v>
      </c>
      <c r="BD45" s="18">
        <v>1</v>
      </c>
      <c r="BF45" s="19">
        <f t="shared" si="33"/>
        <v>2019</v>
      </c>
      <c r="BG45" s="19">
        <v>2</v>
      </c>
      <c r="BH45" s="18">
        <f t="shared" si="14"/>
        <v>28</v>
      </c>
      <c r="BI45" s="18">
        <f t="shared" si="43"/>
        <v>258.86599808759757</v>
      </c>
      <c r="BJ45" s="18">
        <f>IF(BW44&lt;&gt;1,"",IF(BT44&gt;0,IF(BT44&gt;CONTROL_PANEL!$B$11,CONTROL_PANEL!$B$11,BT44),0))</f>
        <v>28968392.229395345</v>
      </c>
      <c r="BK45" s="18">
        <f t="shared" si="38"/>
        <v>3641380.3591708154</v>
      </c>
      <c r="BL45" s="18">
        <f>IF(BW45&lt;&gt;1,"",DATA_INPUT!$I45)</f>
        <v>8.0088399927136025E-3</v>
      </c>
      <c r="BM45" s="18">
        <f>IF(BW45&lt;&gt;1,"",BL45*CONTROL_PANEL!$B$5)</f>
        <v>760.03891530852093</v>
      </c>
      <c r="BN45" s="18">
        <f>IF(BW45&lt;&gt;1,"",DATA_INPUT!$C45)</f>
        <v>39.791687661313333</v>
      </c>
      <c r="BO45" s="18">
        <f t="shared" si="16"/>
        <v>144896.66990816605</v>
      </c>
      <c r="BP45" s="18">
        <f>IF(BW45&lt;&gt;1,"",DATA_INPUT!$H45)</f>
        <v>27.056314229824842</v>
      </c>
      <c r="BQ45" s="18">
        <f t="shared" si="17"/>
        <v>98522.331228038034</v>
      </c>
      <c r="BR45" s="18">
        <f>IF(BW45&lt;&gt;1,"",BM45*CONTROL_PANEL!$B$14)</f>
        <v>53.202724071596471</v>
      </c>
      <c r="BS45" s="18">
        <f>IF(BW45&lt;&gt;1,"",DATA_INPUT!$N45)</f>
        <v>0</v>
      </c>
      <c r="BT45" s="18">
        <f t="shared" si="18"/>
        <v>29015473.404266711</v>
      </c>
      <c r="BU45" s="18">
        <f>IF(BW45&lt;&gt;1,"",IF(BT45-CONTROL_PANEL!$B$11&lt;0,0,BT45-CONTROL_PANEL!$B$11))</f>
        <v>0</v>
      </c>
      <c r="BV45" s="18">
        <f>IF(BW45&lt;&gt;1,"",IF(BS45&lt;=0,0,MIN(BS45,MAX(0,CONTROL_PANEL!$B$13-BT45))))</f>
        <v>0</v>
      </c>
      <c r="BW45" s="18">
        <v>1</v>
      </c>
      <c r="BY45" s="19">
        <f t="shared" si="34"/>
        <v>2019</v>
      </c>
      <c r="BZ45" s="19">
        <v>2</v>
      </c>
      <c r="CA45" s="18">
        <f t="shared" si="19"/>
        <v>28</v>
      </c>
      <c r="CB45" s="18">
        <f t="shared" si="44"/>
        <v>258.24219440400924</v>
      </c>
      <c r="CC45" s="18">
        <f>IF(CP44&lt;&gt;1,"",IF(CM44&gt;0,IF(CM44&gt;CONTROL_PANEL!$B$11,CONTROL_PANEL!$B$11,CM44),0))</f>
        <v>26741571.562549885</v>
      </c>
      <c r="CD45" s="18">
        <f t="shared" si="39"/>
        <v>3451684.1780572627</v>
      </c>
      <c r="CE45" s="18">
        <f>IF(CP45&lt;&gt;1,"",DATA_INPUT!$I45)</f>
        <v>8.0088399927136025E-3</v>
      </c>
      <c r="CF45" s="18">
        <f>IF(CP45&lt;&gt;1,"",CE45*CONTROL_PANEL!$B$5)</f>
        <v>760.03891530852093</v>
      </c>
      <c r="CG45" s="18">
        <f>IF(CP45&lt;&gt;1,"",DATA_INPUT!$C45)</f>
        <v>39.791687661313333</v>
      </c>
      <c r="CH45" s="18">
        <f t="shared" si="21"/>
        <v>137348.33871875165</v>
      </c>
      <c r="CI45" s="18">
        <f>IF(CP45&lt;&gt;1,"",DATA_INPUT!$H45)</f>
        <v>27.056314229824842</v>
      </c>
      <c r="CJ45" s="18">
        <f t="shared" si="22"/>
        <v>93389.851743631967</v>
      </c>
      <c r="CK45" s="18">
        <f>IF(CP45&lt;&gt;1,"",CF45*CONTROL_PANEL!$B$14)</f>
        <v>53.202724071596471</v>
      </c>
      <c r="CL45" s="18">
        <f>IF(CP45&lt;&gt;1,"",DATA_INPUT!$O45)</f>
        <v>0</v>
      </c>
      <c r="CM45" s="18">
        <f t="shared" si="23"/>
        <v>26786236.885716245</v>
      </c>
      <c r="CN45" s="18">
        <f>IF(CP45&lt;&gt;1,"",IF(CM45-CONTROL_PANEL!$B$11&lt;0,0,CM45-CONTROL_PANEL!$B$11))</f>
        <v>0</v>
      </c>
      <c r="CO45" s="18">
        <f>IF(CP45&lt;&gt;1,"",IF(CL45&lt;=0,0,MIN(CL45,MAX(0,CONTROL_PANEL!$B$13-CM45))))</f>
        <v>0</v>
      </c>
      <c r="CP45" s="18">
        <v>1</v>
      </c>
    </row>
    <row r="46" spans="1:94" x14ac:dyDescent="0.25">
      <c r="A46" s="19">
        <f t="shared" si="30"/>
        <v>2019</v>
      </c>
      <c r="B46" s="19">
        <v>3</v>
      </c>
      <c r="C46" s="18">
        <f t="shared" si="0"/>
        <v>31</v>
      </c>
      <c r="D46" s="18">
        <f t="shared" si="40"/>
        <v>258.73767156735465</v>
      </c>
      <c r="E46" s="18">
        <f>IF(R45&lt;&gt;1,"",IF(O45&gt;0,IF(O45&gt;CONTROL_PANEL!$B$11,CONTROL_PANEL!$B$11,O45),0))</f>
        <v>28500541.271273173</v>
      </c>
      <c r="F46" s="18">
        <f t="shared" si="35"/>
        <v>3601938.1080074497</v>
      </c>
      <c r="G46" s="18">
        <f>IF(R46&lt;&gt;1,"",DATA_INPUT!I46)</f>
        <v>1.0970613320762535E-3</v>
      </c>
      <c r="H46" s="18">
        <f>IF(R46&lt;&gt;1,"",G46*CONTROL_PANEL!$B$5)</f>
        <v>104.11112041403646</v>
      </c>
      <c r="I46" s="18">
        <f>IF(R46&lt;&gt;1,"",DATA_INPUT!C46)</f>
        <v>20.983603436144666</v>
      </c>
      <c r="J46" s="18">
        <f t="shared" si="2"/>
        <v>75581.640859965526</v>
      </c>
      <c r="K46" s="18">
        <f>IF(R46&lt;&gt;1,"",DATA_INPUT!H46)</f>
        <v>47.796838147660424</v>
      </c>
      <c r="L46" s="18">
        <f t="shared" si="25"/>
        <v>172161.25276632229</v>
      </c>
      <c r="M46" s="18">
        <f>IF(R46&lt;&gt;1,"",H46*CONTROL_PANEL!$B$14)</f>
        <v>7.2877784289825529</v>
      </c>
      <c r="N46" s="18">
        <f>IF(R46&lt;&gt;1,"",DATA_INPUT!K46)</f>
        <v>0</v>
      </c>
      <c r="O46" s="18">
        <f t="shared" si="3"/>
        <v>28404058.482708801</v>
      </c>
      <c r="P46" s="18">
        <f>IF(R46&lt;&gt;1,"",IF(O46-CONTROL_PANEL!$B$11&lt;0,0,O46-CONTROL_PANEL!$B$11))</f>
        <v>0</v>
      </c>
      <c r="Q46" s="18">
        <f>IF(R46&lt;&gt;1,"",IF(N46&lt;=0,0,MIN(N46,MAX(0,CONTROL_PANEL!$B$13-O46))))</f>
        <v>0</v>
      </c>
      <c r="R46" s="18">
        <v>1</v>
      </c>
      <c r="T46" s="19">
        <f t="shared" si="31"/>
        <v>2019</v>
      </c>
      <c r="U46" s="19">
        <v>3</v>
      </c>
      <c r="V46" s="18">
        <f t="shared" si="4"/>
        <v>31</v>
      </c>
      <c r="W46" s="18">
        <f t="shared" si="41"/>
        <v>257.51006302596971</v>
      </c>
      <c r="X46" s="18">
        <f>IF(AK45&lt;&gt;1,"",IF(AH45&gt;0,IF(AH45&gt;CONTROL_PANEL!$B$11,CONTROL_PANEL!$B$11,AH45),0))</f>
        <v>24277706.836963221</v>
      </c>
      <c r="Y46" s="18">
        <f t="shared" si="36"/>
        <v>3235580.479133389</v>
      </c>
      <c r="Z46" s="18">
        <f>IF(AK46&lt;&gt;1,"",DATA_INPUT!I46)</f>
        <v>1.0970613320762535E-3</v>
      </c>
      <c r="AA46" s="18">
        <f>IF(AK46&lt;&gt;1,"",Z46*CONTROL_PANEL!$B$5)</f>
        <v>104.11112041403646</v>
      </c>
      <c r="AB46" s="18">
        <f>IF(AK46&lt;&gt;1,"",DATA_INPUT!$C46)</f>
        <v>20.983603436144666</v>
      </c>
      <c r="AC46" s="18">
        <f t="shared" si="6"/>
        <v>67894.137659865984</v>
      </c>
      <c r="AD46" s="18">
        <f>IF(AK46&lt;&gt;1,"",DATA_INPUT!$H46)</f>
        <v>47.796838147660424</v>
      </c>
      <c r="AE46" s="18">
        <f t="shared" si="7"/>
        <v>154650.51647486814</v>
      </c>
      <c r="AF46" s="18">
        <f>IF(AK46&lt;&gt;1,"",AA46*CONTROL_PANEL!$B$14)</f>
        <v>7.2877784289825529</v>
      </c>
      <c r="AG46" s="18">
        <f>IF(AK46&lt;&gt;1,"",DATA_INPUT!$L46)</f>
        <v>0</v>
      </c>
      <c r="AH46" s="18">
        <f t="shared" si="8"/>
        <v>24191047.281490203</v>
      </c>
      <c r="AI46" s="18">
        <f>IF(AK46&lt;&gt;1,"",IF(AH46-CONTROL_PANEL!$B$11&lt;0,0,AH46-CONTROL_PANEL!$B$11))</f>
        <v>0</v>
      </c>
      <c r="AJ46" s="18">
        <f>IF(AK46&lt;&gt;1,"",IF(AG46&lt;=0,0,MIN(AG46,MAX(0,CONTROL_PANEL!$B$13-AH46))))</f>
        <v>0</v>
      </c>
      <c r="AK46" s="18">
        <v>1</v>
      </c>
      <c r="AM46" s="19">
        <f t="shared" si="32"/>
        <v>2019</v>
      </c>
      <c r="AN46" s="19">
        <v>3</v>
      </c>
      <c r="AO46" s="18">
        <f t="shared" si="9"/>
        <v>31</v>
      </c>
      <c r="AP46" s="18">
        <f t="shared" si="42"/>
        <v>258.35753619775562</v>
      </c>
      <c r="AQ46" s="18">
        <f>IF(BD45&lt;&gt;1,"",IF(BA45&gt;0,IF(BA45&gt;CONTROL_PANEL!$B$11,CONTROL_PANEL!$B$11,BA45),0))</f>
        <v>27144361.342175327</v>
      </c>
      <c r="AR46" s="18">
        <f t="shared" si="37"/>
        <v>3486373.0205564508</v>
      </c>
      <c r="AS46" s="18">
        <f>IF(BD46&lt;&gt;1,"",DATA_INPUT!$I46)</f>
        <v>1.0970613320762535E-3</v>
      </c>
      <c r="AT46" s="18">
        <f>IF(BD46&lt;&gt;1,"",AS46*CONTROL_PANEL!$B$5)</f>
        <v>104.11112041403646</v>
      </c>
      <c r="AU46" s="18">
        <f>IF(BD46&lt;&gt;1,"",DATA_INPUT!$C46)</f>
        <v>20.983603436144666</v>
      </c>
      <c r="AV46" s="18">
        <f t="shared" si="11"/>
        <v>73156.6688938304</v>
      </c>
      <c r="AW46" s="18">
        <f>IF(BD46&lt;&gt;1,"",DATA_INPUT!$H46)</f>
        <v>47.796838147660424</v>
      </c>
      <c r="AX46" s="18">
        <f t="shared" si="12"/>
        <v>166637.60698590666</v>
      </c>
      <c r="AY46" s="18">
        <f>IF(BD46&lt;&gt;1,"",AT46*CONTROL_PANEL!$B$14)</f>
        <v>7.2877784289825529</v>
      </c>
      <c r="AZ46" s="18">
        <f>IF(BD46&lt;&gt;1,"",DATA_INPUT!$M46)</f>
        <v>0</v>
      </c>
      <c r="BA46" s="18">
        <f t="shared" si="13"/>
        <v>27050977.227425236</v>
      </c>
      <c r="BB46" s="18">
        <f>IF(BD46&lt;&gt;1,"",IF(BA46-CONTROL_PANEL!$B$11&lt;0,0,BA46-CONTROL_PANEL!$B$11))</f>
        <v>0</v>
      </c>
      <c r="BC46" s="18">
        <f>IF(BD46&lt;&gt;1,"",IF(AZ46&lt;=0,0,MIN(AZ46,MAX(0,CONTROL_PANEL!$B$13-BA46))))</f>
        <v>0</v>
      </c>
      <c r="BD46" s="18">
        <v>1</v>
      </c>
      <c r="BF46" s="19">
        <f t="shared" si="33"/>
        <v>2019</v>
      </c>
      <c r="BG46" s="19">
        <v>3</v>
      </c>
      <c r="BH46" s="18">
        <f t="shared" si="14"/>
        <v>31</v>
      </c>
      <c r="BI46" s="18">
        <f t="shared" si="43"/>
        <v>258.87883497251232</v>
      </c>
      <c r="BJ46" s="18">
        <f>IF(BW45&lt;&gt;1,"",IF(BT45&gt;0,IF(BT45&gt;CONTROL_PANEL!$B$11,CONTROL_PANEL!$B$11,BT45),0))</f>
        <v>29015473.404266711</v>
      </c>
      <c r="BK46" s="18">
        <f t="shared" si="38"/>
        <v>3645337.8195796562</v>
      </c>
      <c r="BL46" s="18">
        <f>IF(BW46&lt;&gt;1,"",DATA_INPUT!$I46)</f>
        <v>1.0970613320762535E-3</v>
      </c>
      <c r="BM46" s="18">
        <f>IF(BW46&lt;&gt;1,"",BL46*CONTROL_PANEL!$B$5)</f>
        <v>104.11112041403646</v>
      </c>
      <c r="BN46" s="18">
        <f>IF(BW46&lt;&gt;1,"",DATA_INPUT!$C46)</f>
        <v>20.983603436144666</v>
      </c>
      <c r="BO46" s="18">
        <f t="shared" si="16"/>
        <v>76492.323196839774</v>
      </c>
      <c r="BP46" s="18">
        <f>IF(BW46&lt;&gt;1,"",DATA_INPUT!$H46)</f>
        <v>47.796838147660424</v>
      </c>
      <c r="BQ46" s="18">
        <f t="shared" si="17"/>
        <v>174235.62175599416</v>
      </c>
      <c r="BR46" s="18">
        <f>IF(BW46&lt;&gt;1,"",BM46*CONTROL_PANEL!$B$14)</f>
        <v>7.2877784289825529</v>
      </c>
      <c r="BS46" s="18">
        <f>IF(BW46&lt;&gt;1,"",DATA_INPUT!$N46)</f>
        <v>0</v>
      </c>
      <c r="BT46" s="18">
        <f t="shared" si="18"/>
        <v>28917826.92904954</v>
      </c>
      <c r="BU46" s="18">
        <f>IF(BW46&lt;&gt;1,"",IF(BT46-CONTROL_PANEL!$B$11&lt;0,0,BT46-CONTROL_PANEL!$B$11))</f>
        <v>0</v>
      </c>
      <c r="BV46" s="18">
        <f>IF(BW46&lt;&gt;1,"",IF(BS46&lt;=0,0,MIN(BS46,MAX(0,CONTROL_PANEL!$B$13-BT46))))</f>
        <v>0</v>
      </c>
      <c r="BW46" s="18">
        <v>1</v>
      </c>
      <c r="BY46" s="19">
        <f t="shared" si="34"/>
        <v>2019</v>
      </c>
      <c r="BZ46" s="19">
        <v>3</v>
      </c>
      <c r="CA46" s="18">
        <f t="shared" si="19"/>
        <v>31</v>
      </c>
      <c r="CB46" s="18">
        <f t="shared" si="44"/>
        <v>258.25504168736148</v>
      </c>
      <c r="CC46" s="18">
        <f>IF(CP45&lt;&gt;1,"",IF(CM45&gt;0,IF(CM45&gt;CONTROL_PANEL!$B$11,CONTROL_PANEL!$B$11,CM45),0))</f>
        <v>26786236.885716245</v>
      </c>
      <c r="CD46" s="18">
        <f t="shared" si="39"/>
        <v>3455539.3078835751</v>
      </c>
      <c r="CE46" s="18">
        <f>IF(CP46&lt;&gt;1,"",DATA_INPUT!$I46)</f>
        <v>1.0970613320762535E-3</v>
      </c>
      <c r="CF46" s="18">
        <f>IF(CP46&lt;&gt;1,"",CE46*CONTROL_PANEL!$B$5)</f>
        <v>104.11112041403646</v>
      </c>
      <c r="CG46" s="18">
        <f>IF(CP46&lt;&gt;1,"",DATA_INPUT!$C46)</f>
        <v>20.983603436144666</v>
      </c>
      <c r="CH46" s="18">
        <f t="shared" si="21"/>
        <v>72509.666494638746</v>
      </c>
      <c r="CI46" s="18">
        <f>IF(CP46&lt;&gt;1,"",DATA_INPUT!$H46)</f>
        <v>47.796838147660424</v>
      </c>
      <c r="CJ46" s="18">
        <f t="shared" si="22"/>
        <v>165163.85301178976</v>
      </c>
      <c r="CK46" s="18">
        <f>IF(CP46&lt;&gt;1,"",CF46*CONTROL_PANEL!$B$14)</f>
        <v>7.2877784289825529</v>
      </c>
      <c r="CL46" s="18">
        <f>IF(CP46&lt;&gt;1,"",DATA_INPUT!$O46)</f>
        <v>0</v>
      </c>
      <c r="CM46" s="18">
        <f t="shared" si="23"/>
        <v>26693679.522541076</v>
      </c>
      <c r="CN46" s="18">
        <f>IF(CP46&lt;&gt;1,"",IF(CM46-CONTROL_PANEL!$B$11&lt;0,0,CM46-CONTROL_PANEL!$B$11))</f>
        <v>0</v>
      </c>
      <c r="CO46" s="18">
        <f>IF(CP46&lt;&gt;1,"",IF(CL46&lt;=0,0,MIN(CL46,MAX(0,CONTROL_PANEL!$B$13-CM46))))</f>
        <v>0</v>
      </c>
      <c r="CP46" s="18">
        <v>1</v>
      </c>
    </row>
    <row r="47" spans="1:94" x14ac:dyDescent="0.25">
      <c r="A47" s="19">
        <f t="shared" si="30"/>
        <v>2019</v>
      </c>
      <c r="B47" s="19">
        <v>4</v>
      </c>
      <c r="C47" s="18">
        <f t="shared" si="0"/>
        <v>30</v>
      </c>
      <c r="D47" s="18">
        <f t="shared" si="40"/>
        <v>258.71103242391979</v>
      </c>
      <c r="E47" s="18">
        <f>IF(R46&lt;&gt;1,"",IF(O46&gt;0,IF(O46&gt;CONTROL_PANEL!$B$11,CONTROL_PANEL!$B$11,O46),0))</f>
        <v>28404058.482708801</v>
      </c>
      <c r="F47" s="18">
        <f t="shared" si="35"/>
        <v>3593777.5262018698</v>
      </c>
      <c r="G47" s="18">
        <f>IF(R47&lt;&gt;1,"",DATA_INPUT!I47)</f>
        <v>1.6361927206642613E-4</v>
      </c>
      <c r="H47" s="18">
        <f>IF(R47&lt;&gt;1,"",G47*CONTROL_PANEL!$B$5)</f>
        <v>15.527468919103839</v>
      </c>
      <c r="I47" s="18">
        <f>IF(R47&lt;&gt;1,"",DATA_INPUT!C47)</f>
        <v>82.381875561499328</v>
      </c>
      <c r="J47" s="18">
        <f t="shared" si="2"/>
        <v>296062.13295927533</v>
      </c>
      <c r="K47" s="18">
        <f>IF(R47&lt;&gt;1,"",DATA_INPUT!H47)</f>
        <v>70.655671188017266</v>
      </c>
      <c r="L47" s="18">
        <f t="shared" si="25"/>
        <v>253920.76321420542</v>
      </c>
      <c r="M47" s="18">
        <f>IF(R47&lt;&gt;1,"",H47*CONTROL_PANEL!$B$14)</f>
        <v>1.0869228243372688</v>
      </c>
      <c r="N47" s="18">
        <f>IF(R47&lt;&gt;1,"",DATA_INPUT!K47)</f>
        <v>118466.2003974909</v>
      </c>
      <c r="O47" s="18">
        <f t="shared" si="3"/>
        <v>28327748.092602476</v>
      </c>
      <c r="P47" s="18">
        <f>IF(R47&lt;&gt;1,"",IF(O47-CONTROL_PANEL!$B$11&lt;0,0,O47-CONTROL_PANEL!$B$11))</f>
        <v>0</v>
      </c>
      <c r="Q47" s="18">
        <f>IF(R47&lt;&gt;1,"",IF(N47&lt;=0,0,MIN(N47,MAX(0,CONTROL_PANEL!$B$13-O47))))</f>
        <v>0</v>
      </c>
      <c r="R47" s="18">
        <v>1</v>
      </c>
      <c r="T47" s="19">
        <f t="shared" si="31"/>
        <v>2019</v>
      </c>
      <c r="U47" s="19">
        <v>4</v>
      </c>
      <c r="V47" s="18">
        <f t="shared" si="4"/>
        <v>30</v>
      </c>
      <c r="W47" s="18">
        <f t="shared" si="41"/>
        <v>257.48342526396277</v>
      </c>
      <c r="X47" s="18">
        <f>IF(AK46&lt;&gt;1,"",IF(AH46&gt;0,IF(AH46&gt;CONTROL_PANEL!$B$11,CONTROL_PANEL!$B$11,AH46),0))</f>
        <v>24191047.281490203</v>
      </c>
      <c r="Y47" s="18">
        <f t="shared" si="36"/>
        <v>3227850.7830741121</v>
      </c>
      <c r="Z47" s="18">
        <f>IF(AK47&lt;&gt;1,"",DATA_INPUT!I47)</f>
        <v>1.6361927206642613E-4</v>
      </c>
      <c r="AA47" s="18">
        <f>IF(AK47&lt;&gt;1,"",Z47*CONTROL_PANEL!$B$5)</f>
        <v>15.527468919103839</v>
      </c>
      <c r="AB47" s="18">
        <f>IF(AK47&lt;&gt;1,"",DATA_INPUT!$C47)</f>
        <v>82.381875561499328</v>
      </c>
      <c r="AC47" s="18">
        <f t="shared" si="6"/>
        <v>265916.40154229966</v>
      </c>
      <c r="AD47" s="18">
        <f>IF(AK47&lt;&gt;1,"",DATA_INPUT!$H47)</f>
        <v>70.655671188017266</v>
      </c>
      <c r="AE47" s="18">
        <f t="shared" si="7"/>
        <v>228065.96357286852</v>
      </c>
      <c r="AF47" s="18">
        <f>IF(AK47&lt;&gt;1,"",AA47*CONTROL_PANEL!$B$14)</f>
        <v>1.0869228243372688</v>
      </c>
      <c r="AG47" s="18">
        <f>IF(AK47&lt;&gt;1,"",DATA_INPUT!$L47)</f>
        <v>150915.72009696288</v>
      </c>
      <c r="AH47" s="18">
        <f t="shared" si="8"/>
        <v>24077996.439908765</v>
      </c>
      <c r="AI47" s="18">
        <f>IF(AK47&lt;&gt;1,"",IF(AH47-CONTROL_PANEL!$B$11&lt;0,0,AH47-CONTROL_PANEL!$B$11))</f>
        <v>0</v>
      </c>
      <c r="AJ47" s="18">
        <f>IF(AK47&lt;&gt;1,"",IF(AG47&lt;=0,0,MIN(AG47,MAX(0,CONTROL_PANEL!$B$13-AH47))))</f>
        <v>0</v>
      </c>
      <c r="AK47" s="18">
        <v>1</v>
      </c>
      <c r="AM47" s="19">
        <f t="shared" si="32"/>
        <v>2019</v>
      </c>
      <c r="AN47" s="19">
        <v>4</v>
      </c>
      <c r="AO47" s="18">
        <f t="shared" si="9"/>
        <v>30</v>
      </c>
      <c r="AP47" s="18">
        <f t="shared" si="42"/>
        <v>258.33089744934637</v>
      </c>
      <c r="AQ47" s="18">
        <f>IF(BD46&lt;&gt;1,"",IF(BA46&gt;0,IF(BA46&gt;CONTROL_PANEL!$B$11,CONTROL_PANEL!$B$11,BA46),0))</f>
        <v>27050977.227425236</v>
      </c>
      <c r="AR47" s="18">
        <f t="shared" si="37"/>
        <v>3478345.9084017933</v>
      </c>
      <c r="AS47" s="18">
        <f>IF(BD47&lt;&gt;1,"",DATA_INPUT!$I47)</f>
        <v>1.6361927206642613E-4</v>
      </c>
      <c r="AT47" s="18">
        <f>IF(BD47&lt;&gt;1,"",AS47*CONTROL_PANEL!$B$5)</f>
        <v>15.527468919103839</v>
      </c>
      <c r="AU47" s="18">
        <f>IF(BD47&lt;&gt;1,"",DATA_INPUT!$C47)</f>
        <v>82.381875561499328</v>
      </c>
      <c r="AV47" s="18">
        <f t="shared" si="11"/>
        <v>286552.6597858069</v>
      </c>
      <c r="AW47" s="18">
        <f>IF(BD47&lt;&gt;1,"",DATA_INPUT!$H47)</f>
        <v>70.655671188017266</v>
      </c>
      <c r="AX47" s="18">
        <f t="shared" si="12"/>
        <v>245764.86478222234</v>
      </c>
      <c r="AY47" s="18">
        <f>IF(BD47&lt;&gt;1,"",AT47*CONTROL_PANEL!$B$14)</f>
        <v>1.0869228243372688</v>
      </c>
      <c r="AZ47" s="18">
        <f>IF(BD47&lt;&gt;1,"",DATA_INPUT!$M47)</f>
        <v>77731.588766859146</v>
      </c>
      <c r="BA47" s="18">
        <f t="shared" si="13"/>
        <v>27014047.874208059</v>
      </c>
      <c r="BB47" s="18">
        <f>IF(BD47&lt;&gt;1,"",IF(BA47-CONTROL_PANEL!$B$11&lt;0,0,BA47-CONTROL_PANEL!$B$11))</f>
        <v>0</v>
      </c>
      <c r="BC47" s="18">
        <f>IF(BD47&lt;&gt;1,"",IF(AZ47&lt;=0,0,MIN(AZ47,MAX(0,CONTROL_PANEL!$B$13-BA47))))</f>
        <v>0</v>
      </c>
      <c r="BD47" s="18">
        <v>1</v>
      </c>
      <c r="BF47" s="19">
        <f t="shared" si="33"/>
        <v>2019</v>
      </c>
      <c r="BG47" s="19">
        <v>4</v>
      </c>
      <c r="BH47" s="18">
        <f t="shared" si="14"/>
        <v>30</v>
      </c>
      <c r="BI47" s="18">
        <f t="shared" si="43"/>
        <v>258.85219568921212</v>
      </c>
      <c r="BJ47" s="18">
        <f>IF(BW46&lt;&gt;1,"",IF(BT46&gt;0,IF(BT46&gt;CONTROL_PANEL!$B$11,CONTROL_PANEL!$B$11,BT46),0))</f>
        <v>28917826.92904954</v>
      </c>
      <c r="BK47" s="18">
        <f t="shared" si="38"/>
        <v>3637127.6639485797</v>
      </c>
      <c r="BL47" s="18">
        <f>IF(BW47&lt;&gt;1,"",DATA_INPUT!$I47)</f>
        <v>1.6361927206642613E-4</v>
      </c>
      <c r="BM47" s="18">
        <f>IF(BW47&lt;&gt;1,"",BL47*CONTROL_PANEL!$B$5)</f>
        <v>15.527468919103839</v>
      </c>
      <c r="BN47" s="18">
        <f>IF(BW47&lt;&gt;1,"",DATA_INPUT!$C47)</f>
        <v>82.381875561499328</v>
      </c>
      <c r="BO47" s="18">
        <f t="shared" si="16"/>
        <v>299633.3986126986</v>
      </c>
      <c r="BP47" s="18">
        <f>IF(BW47&lt;&gt;1,"",DATA_INPUT!$H47)</f>
        <v>70.655671188017266</v>
      </c>
      <c r="BQ47" s="18">
        <f t="shared" si="17"/>
        <v>256983.69629279221</v>
      </c>
      <c r="BR47" s="18">
        <f>IF(BW47&lt;&gt;1,"",BM47*CONTROL_PANEL!$B$14)</f>
        <v>1.0869228243372688</v>
      </c>
      <c r="BS47" s="18">
        <f>IF(BW47&lt;&gt;1,"",DATA_INPUT!$N47)</f>
        <v>19296.886401929216</v>
      </c>
      <c r="BT47" s="18">
        <f t="shared" si="18"/>
        <v>28941194.185513616</v>
      </c>
      <c r="BU47" s="18">
        <f>IF(BW47&lt;&gt;1,"",IF(BT47-CONTROL_PANEL!$B$11&lt;0,0,BT47-CONTROL_PANEL!$B$11))</f>
        <v>0</v>
      </c>
      <c r="BV47" s="18">
        <f>IF(BW47&lt;&gt;1,"",IF(BS47&lt;=0,0,MIN(BS47,MAX(0,CONTROL_PANEL!$B$13-BT47))))</f>
        <v>0</v>
      </c>
      <c r="BW47" s="18">
        <v>1</v>
      </c>
      <c r="BY47" s="19">
        <f t="shared" si="34"/>
        <v>2019</v>
      </c>
      <c r="BZ47" s="19">
        <v>4</v>
      </c>
      <c r="CA47" s="18">
        <f t="shared" si="19"/>
        <v>30</v>
      </c>
      <c r="CB47" s="18">
        <f t="shared" si="44"/>
        <v>258.22840305024198</v>
      </c>
      <c r="CC47" s="18">
        <f>IF(CP46&lt;&gt;1,"",IF(CM46&gt;0,IF(CM46&gt;CONTROL_PANEL!$B$11,CONTROL_PANEL!$B$11,CM46),0))</f>
        <v>26693679.522541076</v>
      </c>
      <c r="CD47" s="18">
        <f t="shared" si="39"/>
        <v>3447548.1760158711</v>
      </c>
      <c r="CE47" s="18">
        <f>IF(CP47&lt;&gt;1,"",DATA_INPUT!$I47)</f>
        <v>1.6361927206642613E-4</v>
      </c>
      <c r="CF47" s="18">
        <f>IF(CP47&lt;&gt;1,"",CE47*CONTROL_PANEL!$B$5)</f>
        <v>15.527468919103839</v>
      </c>
      <c r="CG47" s="18">
        <f>IF(CP47&lt;&gt;1,"",DATA_INPUT!$C47)</f>
        <v>82.381875561499328</v>
      </c>
      <c r="CH47" s="18">
        <f t="shared" si="21"/>
        <v>284015.48482881347</v>
      </c>
      <c r="CI47" s="18">
        <f>IF(CP47&lt;&gt;1,"",DATA_INPUT!$H47)</f>
        <v>70.655671188017266</v>
      </c>
      <c r="CJ47" s="18">
        <f t="shared" si="22"/>
        <v>243588.83032942604</v>
      </c>
      <c r="CK47" s="18">
        <f>IF(CP47&lt;&gt;1,"",CF47*CONTROL_PANEL!$B$14)</f>
        <v>1.0869228243372688</v>
      </c>
      <c r="CL47" s="18">
        <f>IF(CP47&lt;&gt;1,"",DATA_INPUT!$O47)</f>
        <v>22247.548171053666</v>
      </c>
      <c r="CM47" s="18">
        <f t="shared" si="23"/>
        <v>26711873.069415506</v>
      </c>
      <c r="CN47" s="18">
        <f>IF(CP47&lt;&gt;1,"",IF(CM47-CONTROL_PANEL!$B$11&lt;0,0,CM47-CONTROL_PANEL!$B$11))</f>
        <v>0</v>
      </c>
      <c r="CO47" s="18">
        <f>IF(CP47&lt;&gt;1,"",IF(CL47&lt;=0,0,MIN(CL47,MAX(0,CONTROL_PANEL!$B$13-CM47))))</f>
        <v>0</v>
      </c>
      <c r="CP47" s="18">
        <v>1</v>
      </c>
    </row>
    <row r="48" spans="1:94" x14ac:dyDescent="0.25">
      <c r="A48" s="19">
        <f t="shared" si="30"/>
        <v>2019</v>
      </c>
      <c r="B48" s="19">
        <v>5</v>
      </c>
      <c r="C48" s="18">
        <f t="shared" si="0"/>
        <v>31</v>
      </c>
      <c r="D48" s="18">
        <f t="shared" si="40"/>
        <v>258.68992003299894</v>
      </c>
      <c r="E48" s="18">
        <f>IF(R47&lt;&gt;1,"",IF(O47&gt;0,IF(O47&gt;CONTROL_PANEL!$B$11,CONTROL_PANEL!$B$11,O47),0))</f>
        <v>28327748.092602476</v>
      </c>
      <c r="F48" s="18">
        <f t="shared" si="35"/>
        <v>3587316.6376007162</v>
      </c>
      <c r="G48" s="18">
        <f>IF(R48&lt;&gt;1,"",DATA_INPUT!I48)</f>
        <v>2.2412780968261179E-5</v>
      </c>
      <c r="H48" s="18">
        <f>IF(R48&lt;&gt;1,"",G48*CONTROL_PANEL!$B$5)</f>
        <v>2.126972913887986</v>
      </c>
      <c r="I48" s="18">
        <f>IF(R48&lt;&gt;1,"",DATA_INPUT!C48)</f>
        <v>10.020579333333332</v>
      </c>
      <c r="J48" s="18">
        <f t="shared" si="2"/>
        <v>35946.990960864561</v>
      </c>
      <c r="K48" s="18">
        <f>IF(R48&lt;&gt;1,"",DATA_INPUT!H48)</f>
        <v>113.02819380162192</v>
      </c>
      <c r="L48" s="18">
        <f t="shared" si="25"/>
        <v>405467.92014251649</v>
      </c>
      <c r="M48" s="18">
        <f>IF(R48&lt;&gt;1,"",H48*CONTROL_PANEL!$B$14)</f>
        <v>0.14888810397215904</v>
      </c>
      <c r="N48" s="18">
        <f>IF(R48&lt;&gt;1,"",DATA_INPUT!K48)</f>
        <v>573946.64297074487</v>
      </c>
      <c r="O48" s="18">
        <f t="shared" si="3"/>
        <v>27384282.498534892</v>
      </c>
      <c r="P48" s="18">
        <f>IF(R48&lt;&gt;1,"",IF(O48-CONTROL_PANEL!$B$11&lt;0,0,O48-CONTROL_PANEL!$B$11))</f>
        <v>0</v>
      </c>
      <c r="Q48" s="18">
        <f>IF(R48&lt;&gt;1,"",IF(N48&lt;=0,0,MIN(N48,MAX(0,CONTROL_PANEL!$B$13-O48))))</f>
        <v>0</v>
      </c>
      <c r="R48" s="18">
        <v>1</v>
      </c>
      <c r="T48" s="19">
        <f t="shared" si="31"/>
        <v>2019</v>
      </c>
      <c r="U48" s="19">
        <v>5</v>
      </c>
      <c r="V48" s="18">
        <f t="shared" si="4"/>
        <v>31</v>
      </c>
      <c r="W48" s="18">
        <f t="shared" si="41"/>
        <v>257.44857912521769</v>
      </c>
      <c r="X48" s="18">
        <f>IF(AK47&lt;&gt;1,"",IF(AH47&gt;0,IF(AH47&gt;CONTROL_PANEL!$B$11,CONTROL_PANEL!$B$11,AH47),0))</f>
        <v>24077996.439908765</v>
      </c>
      <c r="Y48" s="18">
        <f t="shared" si="36"/>
        <v>3217753.2892753039</v>
      </c>
      <c r="Z48" s="18">
        <f>IF(AK48&lt;&gt;1,"",DATA_INPUT!I48)</f>
        <v>2.2412780968261179E-5</v>
      </c>
      <c r="AA48" s="18">
        <f>IF(AK48&lt;&gt;1,"",Z48*CONTROL_PANEL!$B$5)</f>
        <v>2.126972913887986</v>
      </c>
      <c r="AB48" s="18">
        <f>IF(AK48&lt;&gt;1,"",DATA_INPUT!$C48)</f>
        <v>10.020579333333332</v>
      </c>
      <c r="AC48" s="18">
        <f t="shared" si="6"/>
        <v>32243.752110277463</v>
      </c>
      <c r="AD48" s="18">
        <f>IF(AK48&lt;&gt;1,"",DATA_INPUT!$H48)</f>
        <v>113.02819380162192</v>
      </c>
      <c r="AE48" s="18">
        <f t="shared" si="7"/>
        <v>363696.84238601546</v>
      </c>
      <c r="AF48" s="18">
        <f>IF(AK48&lt;&gt;1,"",AA48*CONTROL_PANEL!$B$14)</f>
        <v>0.14888810397215904</v>
      </c>
      <c r="AG48" s="18">
        <f>IF(AK48&lt;&gt;1,"",DATA_INPUT!$L48)</f>
        <v>729376.00064045633</v>
      </c>
      <c r="AH48" s="18">
        <f t="shared" si="8"/>
        <v>23017169.327077381</v>
      </c>
      <c r="AI48" s="18">
        <f>IF(AK48&lt;&gt;1,"",IF(AH48-CONTROL_PANEL!$B$11&lt;0,0,AH48-CONTROL_PANEL!$B$11))</f>
        <v>0</v>
      </c>
      <c r="AJ48" s="18">
        <f>IF(AK48&lt;&gt;1,"",IF(AG48&lt;=0,0,MIN(AG48,MAX(0,CONTROL_PANEL!$B$13-AH48))))</f>
        <v>0</v>
      </c>
      <c r="AK48" s="18">
        <v>1</v>
      </c>
      <c r="AM48" s="19">
        <f t="shared" si="32"/>
        <v>2019</v>
      </c>
      <c r="AN48" s="19">
        <v>5</v>
      </c>
      <c r="AO48" s="18">
        <f t="shared" si="9"/>
        <v>31</v>
      </c>
      <c r="AP48" s="18">
        <f t="shared" si="42"/>
        <v>258.32034601177412</v>
      </c>
      <c r="AQ48" s="18">
        <f>IF(BD47&lt;&gt;1,"",IF(BA47&gt;0,IF(BA47&gt;CONTROL_PANEL!$B$11,CONTROL_PANEL!$B$11,BA47),0))</f>
        <v>27014047.874208059</v>
      </c>
      <c r="AR48" s="18">
        <f t="shared" si="37"/>
        <v>3475169.0039979406</v>
      </c>
      <c r="AS48" s="18">
        <f>IF(BD48&lt;&gt;1,"",DATA_INPUT!$I48)</f>
        <v>2.2412780968261179E-5</v>
      </c>
      <c r="AT48" s="18">
        <f>IF(BD48&lt;&gt;1,"",AS48*CONTROL_PANEL!$B$5)</f>
        <v>2.126972913887986</v>
      </c>
      <c r="AU48" s="18">
        <f>IF(BD48&lt;&gt;1,"",DATA_INPUT!$C48)</f>
        <v>10.020579333333332</v>
      </c>
      <c r="AV48" s="18">
        <f t="shared" si="11"/>
        <v>34823.206701302341</v>
      </c>
      <c r="AW48" s="18">
        <f>IF(BD48&lt;&gt;1,"",DATA_INPUT!$H48)</f>
        <v>113.02819380162192</v>
      </c>
      <c r="AX48" s="18">
        <f t="shared" si="12"/>
        <v>392792.07567726867</v>
      </c>
      <c r="AY48" s="18">
        <f>IF(BD48&lt;&gt;1,"",AT48*CONTROL_PANEL!$B$14)</f>
        <v>0.14888810397215904</v>
      </c>
      <c r="AZ48" s="18">
        <f>IF(BD48&lt;&gt;1,"",DATA_INPUT!$M48)</f>
        <v>539862.58008280885</v>
      </c>
      <c r="BA48" s="18">
        <f t="shared" si="13"/>
        <v>26116218.403234091</v>
      </c>
      <c r="BB48" s="18">
        <f>IF(BD48&lt;&gt;1,"",IF(BA48-CONTROL_PANEL!$B$11&lt;0,0,BA48-CONTROL_PANEL!$B$11))</f>
        <v>0</v>
      </c>
      <c r="BC48" s="18">
        <f>IF(BD48&lt;&gt;1,"",IF(AZ48&lt;=0,0,MIN(AZ48,MAX(0,CONTROL_PANEL!$B$13-BA48))))</f>
        <v>0</v>
      </c>
      <c r="BD48" s="18">
        <v>1</v>
      </c>
      <c r="BF48" s="19">
        <f t="shared" si="33"/>
        <v>2019</v>
      </c>
      <c r="BG48" s="19">
        <v>5</v>
      </c>
      <c r="BH48" s="18">
        <f t="shared" si="14"/>
        <v>31</v>
      </c>
      <c r="BI48" s="18">
        <f t="shared" si="43"/>
        <v>258.85857606360008</v>
      </c>
      <c r="BJ48" s="18">
        <f>IF(BW47&lt;&gt;1,"",IF(BT47&gt;0,IF(BT47&gt;CONTROL_PANEL!$B$11,CONTROL_PANEL!$B$11,BT47),0))</f>
        <v>28941194.185513616</v>
      </c>
      <c r="BK48" s="18">
        <f t="shared" si="38"/>
        <v>3639093.22690066</v>
      </c>
      <c r="BL48" s="18">
        <f>IF(BW48&lt;&gt;1,"",DATA_INPUT!$I48)</f>
        <v>2.2412780968261179E-5</v>
      </c>
      <c r="BM48" s="18">
        <f>IF(BW48&lt;&gt;1,"",BL48*CONTROL_PANEL!$B$5)</f>
        <v>2.126972913887986</v>
      </c>
      <c r="BN48" s="18">
        <f>IF(BW48&lt;&gt;1,"",DATA_INPUT!$C48)</f>
        <v>10.020579333333332</v>
      </c>
      <c r="BO48" s="18">
        <f t="shared" si="16"/>
        <v>36465.822381554062</v>
      </c>
      <c r="BP48" s="18">
        <f>IF(BW48&lt;&gt;1,"",DATA_INPUT!$H48)</f>
        <v>113.02819380162192</v>
      </c>
      <c r="BQ48" s="18">
        <f t="shared" si="17"/>
        <v>411320.13451229752</v>
      </c>
      <c r="BR48" s="18">
        <f>IF(BW48&lt;&gt;1,"",BM48*CONTROL_PANEL!$B$14)</f>
        <v>0.14888810397215904</v>
      </c>
      <c r="BS48" s="18">
        <f>IF(BW48&lt;&gt;1,"",DATA_INPUT!$N48)</f>
        <v>398891.38989698351</v>
      </c>
      <c r="BT48" s="18">
        <f t="shared" si="18"/>
        <v>28167450.461570695</v>
      </c>
      <c r="BU48" s="18">
        <f>IF(BW48&lt;&gt;1,"",IF(BT48-CONTROL_PANEL!$B$11&lt;0,0,BT48-CONTROL_PANEL!$B$11))</f>
        <v>0</v>
      </c>
      <c r="BV48" s="18">
        <f>IF(BW48&lt;&gt;1,"",IF(BS48&lt;=0,0,MIN(BS48,MAX(0,CONTROL_PANEL!$B$13-BT48))))</f>
        <v>0</v>
      </c>
      <c r="BW48" s="18">
        <v>1</v>
      </c>
      <c r="BY48" s="19">
        <f t="shared" si="34"/>
        <v>2019</v>
      </c>
      <c r="BZ48" s="19">
        <v>5</v>
      </c>
      <c r="CA48" s="18">
        <f t="shared" si="19"/>
        <v>31</v>
      </c>
      <c r="CB48" s="18">
        <f t="shared" si="44"/>
        <v>258.23364414937902</v>
      </c>
      <c r="CC48" s="18">
        <f>IF(CP47&lt;&gt;1,"",IF(CM47&gt;0,IF(CM47&gt;CONTROL_PANEL!$B$11,CONTROL_PANEL!$B$11,CM47),0))</f>
        <v>26711873.069415506</v>
      </c>
      <c r="CD48" s="18">
        <f t="shared" si="39"/>
        <v>3449119.6771810856</v>
      </c>
      <c r="CE48" s="18">
        <f>IF(CP48&lt;&gt;1,"",DATA_INPUT!$I48)</f>
        <v>2.2412780968261179E-5</v>
      </c>
      <c r="CF48" s="18">
        <f>IF(CP48&lt;&gt;1,"",CE48*CONTROL_PANEL!$B$5)</f>
        <v>2.126972913887986</v>
      </c>
      <c r="CG48" s="18">
        <f>IF(CP48&lt;&gt;1,"",DATA_INPUT!$C48)</f>
        <v>10.020579333333332</v>
      </c>
      <c r="CH48" s="18">
        <f t="shared" si="21"/>
        <v>34562.177355354121</v>
      </c>
      <c r="CI48" s="18">
        <f>IF(CP48&lt;&gt;1,"",DATA_INPUT!$H48)</f>
        <v>113.02819380162192</v>
      </c>
      <c r="CJ48" s="18">
        <f t="shared" si="22"/>
        <v>389847.76731741137</v>
      </c>
      <c r="CK48" s="18">
        <f>IF(CP48&lt;&gt;1,"",CF48*CONTROL_PANEL!$B$14)</f>
        <v>0.14888810397215904</v>
      </c>
      <c r="CL48" s="18">
        <f>IF(CP48&lt;&gt;1,"",DATA_INPUT!$O48)</f>
        <v>457236.28682305058</v>
      </c>
      <c r="CM48" s="18">
        <f t="shared" si="23"/>
        <v>25899353.170715205</v>
      </c>
      <c r="CN48" s="18">
        <f>IF(CP48&lt;&gt;1,"",IF(CM48-CONTROL_PANEL!$B$11&lt;0,0,CM48-CONTROL_PANEL!$B$11))</f>
        <v>0</v>
      </c>
      <c r="CO48" s="18">
        <f>IF(CP48&lt;&gt;1,"",IF(CL48&lt;=0,0,MIN(CL48,MAX(0,CONTROL_PANEL!$B$13-CM48))))</f>
        <v>0</v>
      </c>
      <c r="CP48" s="18">
        <v>1</v>
      </c>
    </row>
    <row r="49" spans="1:94" x14ac:dyDescent="0.25">
      <c r="A49" s="19">
        <f t="shared" si="30"/>
        <v>2019</v>
      </c>
      <c r="B49" s="19">
        <v>6</v>
      </c>
      <c r="C49" s="18">
        <f t="shared" si="0"/>
        <v>30</v>
      </c>
      <c r="D49" s="18">
        <f t="shared" si="40"/>
        <v>258.42569620483977</v>
      </c>
      <c r="E49" s="18">
        <f>IF(R48&lt;&gt;1,"",IF(O48&gt;0,IF(O48&gt;CONTROL_PANEL!$B$11,CONTROL_PANEL!$B$11,O48),0))</f>
        <v>27384282.498534892</v>
      </c>
      <c r="F49" s="18">
        <f t="shared" si="35"/>
        <v>3506954.3623054284</v>
      </c>
      <c r="G49" s="18">
        <f>IF(R49&lt;&gt;1,"",DATA_INPUT!I49)</f>
        <v>3.3427145773799358E-6</v>
      </c>
      <c r="H49" s="18">
        <f>IF(R49&lt;&gt;1,"",G49*CONTROL_PANEL!$B$5)</f>
        <v>0.31722361339335592</v>
      </c>
      <c r="I49" s="18">
        <f>IF(R49&lt;&gt;1,"",DATA_INPUT!C49)</f>
        <v>4.6495206679915997</v>
      </c>
      <c r="J49" s="18">
        <f t="shared" si="2"/>
        <v>16305.65678924239</v>
      </c>
      <c r="K49" s="18">
        <f>IF(R49&lt;&gt;1,"",DATA_INPUT!H49)</f>
        <v>163.33423106387329</v>
      </c>
      <c r="L49" s="18">
        <f t="shared" si="25"/>
        <v>572805.69414325326</v>
      </c>
      <c r="M49" s="18">
        <f>IF(R49&lt;&gt;1,"",H49*CONTROL_PANEL!$B$14)</f>
        <v>2.2205652937534917E-2</v>
      </c>
      <c r="N49" s="18">
        <f>IF(R49&lt;&gt;1,"",DATA_INPUT!K49)</f>
        <v>1029250.1224948455</v>
      </c>
      <c r="O49" s="18">
        <f t="shared" si="3"/>
        <v>25798532.633703995</v>
      </c>
      <c r="P49" s="18">
        <f>IF(R49&lt;&gt;1,"",IF(O49-CONTROL_PANEL!$B$11&lt;0,0,O49-CONTROL_PANEL!$B$11))</f>
        <v>0</v>
      </c>
      <c r="Q49" s="18">
        <f>IF(R49&lt;&gt;1,"",IF(N49&lt;=0,0,MIN(N49,MAX(0,CONTROL_PANEL!$B$13-O49))))</f>
        <v>0</v>
      </c>
      <c r="R49" s="18">
        <v>1</v>
      </c>
      <c r="T49" s="19">
        <f t="shared" si="31"/>
        <v>2019</v>
      </c>
      <c r="U49" s="19">
        <v>6</v>
      </c>
      <c r="V49" s="18">
        <f t="shared" si="4"/>
        <v>30</v>
      </c>
      <c r="W49" s="18">
        <f t="shared" si="41"/>
        <v>257.11613559895369</v>
      </c>
      <c r="X49" s="18">
        <f>IF(AK48&lt;&gt;1,"",IF(AH48&gt;0,IF(AH48&gt;CONTROL_PANEL!$B$11,CONTROL_PANEL!$B$11,AH48),0))</f>
        <v>23017169.327077381</v>
      </c>
      <c r="Y49" s="18">
        <f t="shared" si="36"/>
        <v>3122223.0335980989</v>
      </c>
      <c r="Z49" s="18">
        <f>IF(AK49&lt;&gt;1,"",DATA_INPUT!I49)</f>
        <v>3.3427145773799358E-6</v>
      </c>
      <c r="AA49" s="18">
        <f>IF(AK49&lt;&gt;1,"",Z49*CONTROL_PANEL!$B$5)</f>
        <v>0.31722361339335592</v>
      </c>
      <c r="AB49" s="18">
        <f>IF(AK49&lt;&gt;1,"",DATA_INPUT!$C49)</f>
        <v>4.6495206679915997</v>
      </c>
      <c r="AC49" s="18">
        <f t="shared" si="6"/>
        <v>14516.840524793792</v>
      </c>
      <c r="AD49" s="18">
        <f>IF(AK49&lt;&gt;1,"",DATA_INPUT!$H49)</f>
        <v>163.33423106387329</v>
      </c>
      <c r="AE49" s="18">
        <f t="shared" si="7"/>
        <v>509965.89840265928</v>
      </c>
      <c r="AF49" s="18">
        <f>IF(AK49&lt;&gt;1,"",AA49*CONTROL_PANEL!$B$14)</f>
        <v>2.2205652937534917E-2</v>
      </c>
      <c r="AG49" s="18">
        <f>IF(AK49&lt;&gt;1,"",DATA_INPUT!$L49)</f>
        <v>1307831.1256657976</v>
      </c>
      <c r="AH49" s="18">
        <f t="shared" si="8"/>
        <v>21213889.438551676</v>
      </c>
      <c r="AI49" s="18">
        <f>IF(AK49&lt;&gt;1,"",IF(AH49-CONTROL_PANEL!$B$11&lt;0,0,AH49-CONTROL_PANEL!$B$11))</f>
        <v>0</v>
      </c>
      <c r="AJ49" s="18">
        <f>IF(AK49&lt;&gt;1,"",IF(AG49&lt;=0,0,MIN(AG49,MAX(0,CONTROL_PANEL!$B$13-AH49))))</f>
        <v>0</v>
      </c>
      <c r="AK49" s="18">
        <v>1</v>
      </c>
      <c r="AM49" s="19">
        <f t="shared" si="32"/>
        <v>2019</v>
      </c>
      <c r="AN49" s="19">
        <v>6</v>
      </c>
      <c r="AO49" s="18">
        <f t="shared" si="9"/>
        <v>30</v>
      </c>
      <c r="AP49" s="18">
        <f t="shared" si="42"/>
        <v>258.06079474151164</v>
      </c>
      <c r="AQ49" s="18">
        <f>IF(BD48&lt;&gt;1,"",IF(BA48&gt;0,IF(BA48&gt;CONTROL_PANEL!$B$11,CONTROL_PANEL!$B$11,BA48),0))</f>
        <v>26116218.403234091</v>
      </c>
      <c r="AR49" s="18">
        <f t="shared" si="37"/>
        <v>3397482.8746325551</v>
      </c>
      <c r="AS49" s="18">
        <f>IF(BD49&lt;&gt;1,"",DATA_INPUT!$I49)</f>
        <v>3.3427145773799358E-6</v>
      </c>
      <c r="AT49" s="18">
        <f>IF(BD49&lt;&gt;1,"",AS49*CONTROL_PANEL!$B$5)</f>
        <v>0.31722361339335592</v>
      </c>
      <c r="AU49" s="18">
        <f>IF(BD49&lt;&gt;1,"",DATA_INPUT!$C49)</f>
        <v>4.6495206679915997</v>
      </c>
      <c r="AV49" s="18">
        <f t="shared" si="11"/>
        <v>15796.666844751579</v>
      </c>
      <c r="AW49" s="18">
        <f>IF(BD49&lt;&gt;1,"",DATA_INPUT!$H49)</f>
        <v>163.33423106387329</v>
      </c>
      <c r="AX49" s="18">
        <f t="shared" si="12"/>
        <v>554925.2528807862</v>
      </c>
      <c r="AY49" s="18">
        <f>IF(BD49&lt;&gt;1,"",AT49*CONTROL_PANEL!$B$14)</f>
        <v>2.2205652937534917E-2</v>
      </c>
      <c r="AZ49" s="18">
        <f>IF(BD49&lt;&gt;1,"",DATA_INPUT!$M49)</f>
        <v>1114183.3422600939</v>
      </c>
      <c r="BA49" s="18">
        <f t="shared" si="13"/>
        <v>24462906.769955922</v>
      </c>
      <c r="BB49" s="18">
        <f>IF(BD49&lt;&gt;1,"",IF(BA49-CONTROL_PANEL!$B$11&lt;0,0,BA49-CONTROL_PANEL!$B$11))</f>
        <v>0</v>
      </c>
      <c r="BC49" s="18">
        <f>IF(BD49&lt;&gt;1,"",IF(AZ49&lt;=0,0,MIN(AZ49,MAX(0,CONTROL_PANEL!$B$13-BA49))))</f>
        <v>0</v>
      </c>
      <c r="BD49" s="18">
        <v>1</v>
      </c>
      <c r="BF49" s="19">
        <f t="shared" si="33"/>
        <v>2019</v>
      </c>
      <c r="BG49" s="19">
        <v>6</v>
      </c>
      <c r="BH49" s="18">
        <f t="shared" si="14"/>
        <v>30</v>
      </c>
      <c r="BI49" s="18">
        <f t="shared" si="43"/>
        <v>258.64544713711734</v>
      </c>
      <c r="BJ49" s="18">
        <f>IF(BW48&lt;&gt;1,"",IF(BT48&gt;0,IF(BT48&gt;CONTROL_PANEL!$B$11,CONTROL_PANEL!$B$11,BT48),0))</f>
        <v>28167450.461570695</v>
      </c>
      <c r="BK49" s="18">
        <f t="shared" si="38"/>
        <v>3573726.0917373304</v>
      </c>
      <c r="BL49" s="18">
        <f>IF(BW49&lt;&gt;1,"",DATA_INPUT!$I49)</f>
        <v>3.3427145773799358E-6</v>
      </c>
      <c r="BM49" s="18">
        <f>IF(BW49&lt;&gt;1,"",BL49*CONTROL_PANEL!$B$5)</f>
        <v>0.31722361339335592</v>
      </c>
      <c r="BN49" s="18">
        <f>IF(BW49&lt;&gt;1,"",DATA_INPUT!$C49)</f>
        <v>4.6495206679915997</v>
      </c>
      <c r="BO49" s="18">
        <f t="shared" si="16"/>
        <v>16616.113325273564</v>
      </c>
      <c r="BP49" s="18">
        <f>IF(BW49&lt;&gt;1,"",DATA_INPUT!$H49)</f>
        <v>163.33423106387329</v>
      </c>
      <c r="BQ49" s="18">
        <f t="shared" si="17"/>
        <v>583711.80322681798</v>
      </c>
      <c r="BR49" s="18">
        <f>IF(BW49&lt;&gt;1,"",BM49*CONTROL_PANEL!$B$14)</f>
        <v>2.2205652937534917E-2</v>
      </c>
      <c r="BS49" s="18">
        <f>IF(BW49&lt;&gt;1,"",DATA_INPUT!$N49)</f>
        <v>987474.86597101425</v>
      </c>
      <c r="BT49" s="18">
        <f t="shared" si="18"/>
        <v>26612880.200716093</v>
      </c>
      <c r="BU49" s="18">
        <f>IF(BW49&lt;&gt;1,"",IF(BT49-CONTROL_PANEL!$B$11&lt;0,0,BT49-CONTROL_PANEL!$B$11))</f>
        <v>0</v>
      </c>
      <c r="BV49" s="18">
        <f>IF(BW49&lt;&gt;1,"",IF(BS49&lt;=0,0,MIN(BS49,MAX(0,CONTROL_PANEL!$B$13-BT49))))</f>
        <v>0</v>
      </c>
      <c r="BW49" s="18">
        <v>1</v>
      </c>
      <c r="BY49" s="19">
        <f t="shared" si="34"/>
        <v>2019</v>
      </c>
      <c r="BZ49" s="19">
        <v>6</v>
      </c>
      <c r="CA49" s="18">
        <f t="shared" si="19"/>
        <v>30</v>
      </c>
      <c r="CB49" s="18">
        <f t="shared" si="44"/>
        <v>257.99720940570967</v>
      </c>
      <c r="CC49" s="18">
        <f>IF(CP48&lt;&gt;1,"",IF(CM48&gt;0,IF(CM48&gt;CONTROL_PANEL!$B$11,CONTROL_PANEL!$B$11,CM48),0))</f>
        <v>25899353.170715205</v>
      </c>
      <c r="CD49" s="18">
        <f t="shared" si="39"/>
        <v>3378586.4250492421</v>
      </c>
      <c r="CE49" s="18">
        <f>IF(CP49&lt;&gt;1,"",DATA_INPUT!$I49)</f>
        <v>3.3427145773799358E-6</v>
      </c>
      <c r="CF49" s="18">
        <f>IF(CP49&lt;&gt;1,"",CE49*CONTROL_PANEL!$B$5)</f>
        <v>0.31722361339335592</v>
      </c>
      <c r="CG49" s="18">
        <f>IF(CP49&lt;&gt;1,"",DATA_INPUT!$C49)</f>
        <v>4.6495206679915997</v>
      </c>
      <c r="CH49" s="18">
        <f t="shared" si="21"/>
        <v>15708.807411862303</v>
      </c>
      <c r="CI49" s="18">
        <f>IF(CP49&lt;&gt;1,"",DATA_INPUT!$H49)</f>
        <v>163.33423106387329</v>
      </c>
      <c r="CJ49" s="18">
        <f t="shared" si="22"/>
        <v>551838.81581825856</v>
      </c>
      <c r="CK49" s="18">
        <f>IF(CP49&lt;&gt;1,"",CF49*CONTROL_PANEL!$B$14)</f>
        <v>2.2205652937534917E-2</v>
      </c>
      <c r="CL49" s="18">
        <f>IF(CP49&lt;&gt;1,"",DATA_INPUT!$O49)</f>
        <v>1132177.2549087179</v>
      </c>
      <c r="CM49" s="18">
        <f t="shared" si="23"/>
        <v>24231046.202418048</v>
      </c>
      <c r="CN49" s="18">
        <f>IF(CP49&lt;&gt;1,"",IF(CM49-CONTROL_PANEL!$B$11&lt;0,0,CM49-CONTROL_PANEL!$B$11))</f>
        <v>0</v>
      </c>
      <c r="CO49" s="18">
        <f>IF(CP49&lt;&gt;1,"",IF(CL49&lt;=0,0,MIN(CL49,MAX(0,CONTROL_PANEL!$B$13-CM49))))</f>
        <v>0</v>
      </c>
      <c r="CP49" s="18">
        <v>1</v>
      </c>
    </row>
    <row r="50" spans="1:94" x14ac:dyDescent="0.25">
      <c r="A50" s="19">
        <f t="shared" si="30"/>
        <v>2019</v>
      </c>
      <c r="B50" s="19">
        <v>7</v>
      </c>
      <c r="C50" s="18">
        <f t="shared" si="0"/>
        <v>31</v>
      </c>
      <c r="D50" s="18">
        <f t="shared" si="40"/>
        <v>257.96752731092892</v>
      </c>
      <c r="E50" s="18">
        <f>IF(R49&lt;&gt;1,"",IF(O49&gt;0,IF(O49&gt;CONTROL_PANEL!$B$11,CONTROL_PANEL!$B$11,O49),0))</f>
        <v>25798532.633703995</v>
      </c>
      <c r="F50" s="18">
        <f t="shared" si="35"/>
        <v>3369783.645115512</v>
      </c>
      <c r="G50" s="18">
        <f>IF(R50&lt;&gt;1,"",DATA_INPUT!I50)</f>
        <v>4.6278729392942676E-7</v>
      </c>
      <c r="H50" s="18">
        <f>IF(R50&lt;&gt;1,"",G50*CONTROL_PANEL!$B$5)</f>
        <v>4.3918514193902601E-2</v>
      </c>
      <c r="I50" s="18">
        <f>IF(R50&lt;&gt;1,"",DATA_INPUT!C50)</f>
        <v>0.83333333333333337</v>
      </c>
      <c r="J50" s="18">
        <f t="shared" si="2"/>
        <v>2808.1530375962602</v>
      </c>
      <c r="K50" s="18">
        <f>IF(R50&lt;&gt;1,"",DATA_INPUT!H50)</f>
        <v>194.97056066980801</v>
      </c>
      <c r="L50" s="18">
        <f t="shared" si="25"/>
        <v>657008.60662412073</v>
      </c>
      <c r="M50" s="18">
        <f>IF(R50&lt;&gt;1,"",H50*CONTROL_PANEL!$B$14)</f>
        <v>3.0742959935731824E-3</v>
      </c>
      <c r="N50" s="18">
        <f>IF(R50&lt;&gt;1,"",DATA_INPUT!K50)</f>
        <v>1842961.0013105709</v>
      </c>
      <c r="O50" s="18">
        <f t="shared" si="3"/>
        <v>23301371.219651118</v>
      </c>
      <c r="P50" s="18">
        <f>IF(R50&lt;&gt;1,"",IF(O50-CONTROL_PANEL!$B$11&lt;0,0,O50-CONTROL_PANEL!$B$11))</f>
        <v>0</v>
      </c>
      <c r="Q50" s="18">
        <f>IF(R50&lt;&gt;1,"",IF(N50&lt;=0,0,MIN(N50,MAX(0,CONTROL_PANEL!$B$13-O50))))</f>
        <v>0</v>
      </c>
      <c r="R50" s="18">
        <v>1</v>
      </c>
      <c r="T50" s="19">
        <f t="shared" si="31"/>
        <v>2019</v>
      </c>
      <c r="U50" s="19">
        <v>7</v>
      </c>
      <c r="V50" s="18">
        <f t="shared" si="4"/>
        <v>31</v>
      </c>
      <c r="W50" s="18">
        <f t="shared" si="41"/>
        <v>256.52667342583891</v>
      </c>
      <c r="X50" s="18">
        <f>IF(AK49&lt;&gt;1,"",IF(AH49&gt;0,IF(AH49&gt;CONTROL_PANEL!$B$11,CONTROL_PANEL!$B$11,AH49),0))</f>
        <v>21213889.438551676</v>
      </c>
      <c r="Y50" s="18">
        <f t="shared" si="36"/>
        <v>2956409.8017701549</v>
      </c>
      <c r="Z50" s="18">
        <f>IF(AK50&lt;&gt;1,"",DATA_INPUT!I50)</f>
        <v>4.6278729392942676E-7</v>
      </c>
      <c r="AA50" s="18">
        <f>IF(AK50&lt;&gt;1,"",Z50*CONTROL_PANEL!$B$5)</f>
        <v>4.3918514193902601E-2</v>
      </c>
      <c r="AB50" s="18">
        <f>IF(AK50&lt;&gt;1,"",DATA_INPUT!$C50)</f>
        <v>0.83333333333333337</v>
      </c>
      <c r="AC50" s="18">
        <f t="shared" si="6"/>
        <v>2463.6748348084625</v>
      </c>
      <c r="AD50" s="18">
        <f>IF(AK50&lt;&gt;1,"",DATA_INPUT!$H50)</f>
        <v>194.97056066980801</v>
      </c>
      <c r="AE50" s="18">
        <f t="shared" si="7"/>
        <v>576412.87662084308</v>
      </c>
      <c r="AF50" s="18">
        <f>IF(AK50&lt;&gt;1,"",AA50*CONTROL_PANEL!$B$14)</f>
        <v>3.0742959935731824E-3</v>
      </c>
      <c r="AG50" s="18">
        <f>IF(AK50&lt;&gt;1,"",DATA_INPUT!$L50)</f>
        <v>2346161.2610757784</v>
      </c>
      <c r="AH50" s="18">
        <f t="shared" si="8"/>
        <v>18293779.016534083</v>
      </c>
      <c r="AI50" s="18">
        <f>IF(AK50&lt;&gt;1,"",IF(AH50-CONTROL_PANEL!$B$11&lt;0,0,AH50-CONTROL_PANEL!$B$11))</f>
        <v>0</v>
      </c>
      <c r="AJ50" s="18">
        <f>IF(AK50&lt;&gt;1,"",IF(AG50&lt;=0,0,MIN(AG50,MAX(0,CONTROL_PANEL!$B$13-AH50))))</f>
        <v>0</v>
      </c>
      <c r="AK50" s="18">
        <v>1</v>
      </c>
      <c r="AM50" s="19">
        <f t="shared" si="32"/>
        <v>2019</v>
      </c>
      <c r="AN50" s="19">
        <v>7</v>
      </c>
      <c r="AO50" s="18">
        <f t="shared" si="9"/>
        <v>31</v>
      </c>
      <c r="AP50" s="18">
        <f t="shared" si="42"/>
        <v>257.56677806361228</v>
      </c>
      <c r="AQ50" s="18">
        <f>IF(BD49&lt;&gt;1,"",IF(BA49&gt;0,IF(BA49&gt;CONTROL_PANEL!$B$11,CONTROL_PANEL!$B$11,BA49),0))</f>
        <v>24462906.769955922</v>
      </c>
      <c r="AR50" s="18">
        <f t="shared" si="37"/>
        <v>3252069.0416237637</v>
      </c>
      <c r="AS50" s="18">
        <f>IF(BD50&lt;&gt;1,"",DATA_INPUT!$I50)</f>
        <v>4.6278729392942676E-7</v>
      </c>
      <c r="AT50" s="18">
        <f>IF(BD50&lt;&gt;1,"",AS50*CONTROL_PANEL!$B$5)</f>
        <v>4.3918514193902601E-2</v>
      </c>
      <c r="AU50" s="18">
        <f>IF(BD50&lt;&gt;1,"",DATA_INPUT!$C50)</f>
        <v>0.83333333333333337</v>
      </c>
      <c r="AV50" s="18">
        <f t="shared" si="11"/>
        <v>2710.0575346864698</v>
      </c>
      <c r="AW50" s="18">
        <f>IF(BD50&lt;&gt;1,"",DATA_INPUT!$H50)</f>
        <v>194.97056066980801</v>
      </c>
      <c r="AX50" s="18">
        <f t="shared" si="12"/>
        <v>634057.72438231041</v>
      </c>
      <c r="AY50" s="18">
        <f>IF(BD50&lt;&gt;1,"",AT50*CONTROL_PANEL!$B$14)</f>
        <v>3.0742959935731824E-3</v>
      </c>
      <c r="AZ50" s="18">
        <f>IF(BD50&lt;&gt;1,"",DATA_INPUT!$M50)</f>
        <v>2053199.8158680289</v>
      </c>
      <c r="BA50" s="18">
        <f t="shared" si="13"/>
        <v>21778359.328084487</v>
      </c>
      <c r="BB50" s="18">
        <f>IF(BD50&lt;&gt;1,"",IF(BA50-CONTROL_PANEL!$B$11&lt;0,0,BA50-CONTROL_PANEL!$B$11))</f>
        <v>0</v>
      </c>
      <c r="BC50" s="18">
        <f>IF(BD50&lt;&gt;1,"",IF(AZ50&lt;=0,0,MIN(AZ50,MAX(0,CONTROL_PANEL!$B$13-BA50))))</f>
        <v>0</v>
      </c>
      <c r="BD50" s="18">
        <v>1</v>
      </c>
      <c r="BF50" s="19">
        <f t="shared" si="33"/>
        <v>2019</v>
      </c>
      <c r="BG50" s="19">
        <v>7</v>
      </c>
      <c r="BH50" s="18">
        <f t="shared" si="14"/>
        <v>31</v>
      </c>
      <c r="BI50" s="18">
        <f t="shared" si="43"/>
        <v>258.20509790342976</v>
      </c>
      <c r="BJ50" s="18">
        <f>IF(BW49&lt;&gt;1,"",IF(BT49&gt;0,IF(BT49&gt;CONTROL_PANEL!$B$11,CONTROL_PANEL!$B$11,BT49),0))</f>
        <v>26612880.200716093</v>
      </c>
      <c r="BK50" s="18">
        <f t="shared" si="38"/>
        <v>3440564.6954994421</v>
      </c>
      <c r="BL50" s="18">
        <f>IF(BW50&lt;&gt;1,"",DATA_INPUT!$I50)</f>
        <v>4.6278729392942676E-7</v>
      </c>
      <c r="BM50" s="18">
        <f>IF(BW50&lt;&gt;1,"",BL50*CONTROL_PANEL!$B$5)</f>
        <v>4.3918514193902601E-2</v>
      </c>
      <c r="BN50" s="18">
        <f>IF(BW50&lt;&gt;1,"",DATA_INPUT!$C50)</f>
        <v>0.83333333333333337</v>
      </c>
      <c r="BO50" s="18">
        <f t="shared" si="16"/>
        <v>2867.1372462495351</v>
      </c>
      <c r="BP50" s="18">
        <f>IF(BW50&lt;&gt;1,"",DATA_INPUT!$H50)</f>
        <v>194.97056066980801</v>
      </c>
      <c r="BQ50" s="18">
        <f t="shared" si="17"/>
        <v>670808.8277022735</v>
      </c>
      <c r="BR50" s="18">
        <f>IF(BW50&lt;&gt;1,"",BM50*CONTROL_PANEL!$B$14)</f>
        <v>3.0742959935731824E-3</v>
      </c>
      <c r="BS50" s="18">
        <f>IF(BW50&lt;&gt;1,"",DATA_INPUT!$N50)</f>
        <v>1872520.6087913911</v>
      </c>
      <c r="BT50" s="18">
        <f t="shared" si="18"/>
        <v>24072417.942312896</v>
      </c>
      <c r="BU50" s="18">
        <f>IF(BW50&lt;&gt;1,"",IF(BT50-CONTROL_PANEL!$B$11&lt;0,0,BT50-CONTROL_PANEL!$B$11))</f>
        <v>0</v>
      </c>
      <c r="BV50" s="18">
        <f>IF(BW50&lt;&gt;1,"",IF(BS50&lt;=0,0,MIN(BS50,MAX(0,CONTROL_PANEL!$B$13-BT50))))</f>
        <v>0</v>
      </c>
      <c r="BW50" s="18">
        <v>1</v>
      </c>
      <c r="BY50" s="19">
        <f t="shared" si="34"/>
        <v>2019</v>
      </c>
      <c r="BZ50" s="19">
        <v>7</v>
      </c>
      <c r="CA50" s="18">
        <f t="shared" si="19"/>
        <v>31</v>
      </c>
      <c r="CB50" s="18">
        <f t="shared" si="44"/>
        <v>257.49572821047923</v>
      </c>
      <c r="CC50" s="18">
        <f>IF(CP49&lt;&gt;1,"",IF(CM49&gt;0,IF(CM49&gt;CONTROL_PANEL!$B$11,CONTROL_PANEL!$B$11,CM49),0))</f>
        <v>24231046.202418048</v>
      </c>
      <c r="CD50" s="18">
        <f t="shared" si="39"/>
        <v>3231419.668974807</v>
      </c>
      <c r="CE50" s="18">
        <f>IF(CP50&lt;&gt;1,"",DATA_INPUT!$I50)</f>
        <v>4.6278729392942676E-7</v>
      </c>
      <c r="CF50" s="18">
        <f>IF(CP50&lt;&gt;1,"",CE50*CONTROL_PANEL!$B$5)</f>
        <v>4.3918514193902601E-2</v>
      </c>
      <c r="CG50" s="18">
        <f>IF(CP50&lt;&gt;1,"",DATA_INPUT!$C50)</f>
        <v>0.83333333333333337</v>
      </c>
      <c r="CH50" s="18">
        <f t="shared" si="21"/>
        <v>2692.8497241456726</v>
      </c>
      <c r="CI50" s="18">
        <f>IF(CP50&lt;&gt;1,"",DATA_INPUT!$H50)</f>
        <v>194.97056066980801</v>
      </c>
      <c r="CJ50" s="18">
        <f t="shared" si="22"/>
        <v>630031.70461946353</v>
      </c>
      <c r="CK50" s="18">
        <f>IF(CP50&lt;&gt;1,"",CF50*CONTROL_PANEL!$B$14)</f>
        <v>3.0742959935731824E-3</v>
      </c>
      <c r="CL50" s="18">
        <f>IF(CP50&lt;&gt;1,"",DATA_INPUT!$O50)</f>
        <v>2151156.3922943757</v>
      </c>
      <c r="CM50" s="18">
        <f t="shared" si="23"/>
        <v>21452550.996072572</v>
      </c>
      <c r="CN50" s="18">
        <f>IF(CP50&lt;&gt;1,"",IF(CM50-CONTROL_PANEL!$B$11&lt;0,0,CM50-CONTROL_PANEL!$B$11))</f>
        <v>0</v>
      </c>
      <c r="CO50" s="18">
        <f>IF(CP50&lt;&gt;1,"",IF(CL50&lt;=0,0,MIN(CL50,MAX(0,CONTROL_PANEL!$B$13-CM50))))</f>
        <v>0</v>
      </c>
      <c r="CP50" s="18">
        <v>1</v>
      </c>
    </row>
    <row r="51" spans="1:94" x14ac:dyDescent="0.25">
      <c r="A51" s="19">
        <f t="shared" si="30"/>
        <v>2019</v>
      </c>
      <c r="B51" s="19">
        <v>8</v>
      </c>
      <c r="C51" s="18">
        <f t="shared" si="0"/>
        <v>31</v>
      </c>
      <c r="D51" s="18">
        <f t="shared" si="40"/>
        <v>257.20618742488801</v>
      </c>
      <c r="E51" s="18">
        <f>IF(R50&lt;&gt;1,"",IF(O50&gt;0,IF(O50&gt;CONTROL_PANEL!$B$11,CONTROL_PANEL!$B$11,O50),0))</f>
        <v>23301371.219651118</v>
      </c>
      <c r="F51" s="18">
        <f t="shared" si="35"/>
        <v>3147956.5727076102</v>
      </c>
      <c r="G51" s="18">
        <f>IF(R51&lt;&gt;1,"",DATA_INPUT!I51)</f>
        <v>6.3393206208151197E-8</v>
      </c>
      <c r="H51" s="18">
        <f>IF(R51&lt;&gt;1,"",G51*CONTROL_PANEL!$B$5)</f>
        <v>6.0160152691535488E-3</v>
      </c>
      <c r="I51" s="18">
        <f>IF(R51&lt;&gt;1,"",DATA_INPUT!C51)</f>
        <v>8.4875246666666673</v>
      </c>
      <c r="J51" s="18">
        <f t="shared" si="2"/>
        <v>26718.359060451301</v>
      </c>
      <c r="K51" s="18">
        <f>IF(R51&lt;&gt;1,"",DATA_INPUT!H51)</f>
        <v>193.6485245594867</v>
      </c>
      <c r="L51" s="18">
        <f t="shared" si="25"/>
        <v>609597.14568216726</v>
      </c>
      <c r="M51" s="18">
        <f>IF(R51&lt;&gt;1,"",H51*CONTROL_PANEL!$B$14)</f>
        <v>4.2112106884074847E-4</v>
      </c>
      <c r="N51" s="18">
        <f>IF(R51&lt;&gt;1,"",DATA_INPUT!K51)</f>
        <v>1437244.4634768332</v>
      </c>
      <c r="O51" s="18">
        <f t="shared" si="3"/>
        <v>21281247.975147463</v>
      </c>
      <c r="P51" s="18">
        <f>IF(R51&lt;&gt;1,"",IF(O51-CONTROL_PANEL!$B$11&lt;0,0,O51-CONTROL_PANEL!$B$11))</f>
        <v>0</v>
      </c>
      <c r="Q51" s="18">
        <f>IF(R51&lt;&gt;1,"",IF(N51&lt;=0,0,MIN(N51,MAX(0,CONTROL_PANEL!$B$13-O51))))</f>
        <v>0</v>
      </c>
      <c r="R51" s="18">
        <v>1</v>
      </c>
      <c r="T51" s="19">
        <f t="shared" si="31"/>
        <v>2019</v>
      </c>
      <c r="U51" s="19">
        <v>8</v>
      </c>
      <c r="V51" s="18">
        <f t="shared" si="4"/>
        <v>31</v>
      </c>
      <c r="W51" s="18">
        <f t="shared" si="41"/>
        <v>255.49651122315527</v>
      </c>
      <c r="X51" s="18">
        <f>IF(AK50&lt;&gt;1,"",IF(AH50&gt;0,IF(AH50&gt;CONTROL_PANEL!$B$11,CONTROL_PANEL!$B$11,AH50),0))</f>
        <v>18293779.016534083</v>
      </c>
      <c r="Y51" s="18">
        <f t="shared" si="36"/>
        <v>2677594.0769667043</v>
      </c>
      <c r="Z51" s="18">
        <f>IF(AK51&lt;&gt;1,"",DATA_INPUT!I51)</f>
        <v>6.3393206208151197E-8</v>
      </c>
      <c r="AA51" s="18">
        <f>IF(AK51&lt;&gt;1,"",Z51*CONTROL_PANEL!$B$5)</f>
        <v>6.0160152691535488E-3</v>
      </c>
      <c r="AB51" s="18">
        <f>IF(AK51&lt;&gt;1,"",DATA_INPUT!$C51)</f>
        <v>8.4875246666666673</v>
      </c>
      <c r="AC51" s="18">
        <f t="shared" si="6"/>
        <v>22726.145775575471</v>
      </c>
      <c r="AD51" s="18">
        <f>IF(AK51&lt;&gt;1,"",DATA_INPUT!$H51)</f>
        <v>193.6485245594867</v>
      </c>
      <c r="AE51" s="18">
        <f t="shared" si="7"/>
        <v>518512.14237382298</v>
      </c>
      <c r="AF51" s="18">
        <f>IF(AK51&lt;&gt;1,"",AA51*CONTROL_PANEL!$B$14)</f>
        <v>4.2112106884074847E-4</v>
      </c>
      <c r="AG51" s="18">
        <f>IF(AK51&lt;&gt;1,"",DATA_INPUT!$L51)</f>
        <v>1831864.2621802636</v>
      </c>
      <c r="AH51" s="18">
        <f t="shared" si="8"/>
        <v>15966128.763350466</v>
      </c>
      <c r="AI51" s="18">
        <f>IF(AK51&lt;&gt;1,"",IF(AH51-CONTROL_PANEL!$B$11&lt;0,0,AH51-CONTROL_PANEL!$B$11))</f>
        <v>0</v>
      </c>
      <c r="AJ51" s="18">
        <f>IF(AK51&lt;&gt;1,"",IF(AG51&lt;=0,0,MIN(AG51,MAX(0,CONTROL_PANEL!$B$13-AH51))))</f>
        <v>0</v>
      </c>
      <c r="AK51" s="18">
        <v>1</v>
      </c>
      <c r="AM51" s="19">
        <f t="shared" si="32"/>
        <v>2019</v>
      </c>
      <c r="AN51" s="19">
        <v>8</v>
      </c>
      <c r="AO51" s="18">
        <f t="shared" si="9"/>
        <v>31</v>
      </c>
      <c r="AP51" s="18">
        <f t="shared" si="42"/>
        <v>256.71467658207803</v>
      </c>
      <c r="AQ51" s="18">
        <f>IF(BD50&lt;&gt;1,"",IF(BA50&gt;0,IF(BA50&gt;CONTROL_PANEL!$B$11,CONTROL_PANEL!$B$11,BA50),0))</f>
        <v>21778359.328084487</v>
      </c>
      <c r="AR51" s="18">
        <f t="shared" si="37"/>
        <v>3008798.1157489158</v>
      </c>
      <c r="AS51" s="18">
        <f>IF(BD51&lt;&gt;1,"",DATA_INPUT!$I51)</f>
        <v>6.3393206208151197E-8</v>
      </c>
      <c r="AT51" s="18">
        <f>IF(BD51&lt;&gt;1,"",AS51*CONTROL_PANEL!$B$5)</f>
        <v>6.0160152691535488E-3</v>
      </c>
      <c r="AU51" s="18">
        <f>IF(BD51&lt;&gt;1,"",DATA_INPUT!$C51)</f>
        <v>8.4875246666666673</v>
      </c>
      <c r="AV51" s="18">
        <f t="shared" si="11"/>
        <v>25537.248224439114</v>
      </c>
      <c r="AW51" s="18">
        <f>IF(BD51&lt;&gt;1,"",DATA_INPUT!$H51)</f>
        <v>193.6485245594867</v>
      </c>
      <c r="AX51" s="18">
        <f t="shared" si="12"/>
        <v>582649.31581214117</v>
      </c>
      <c r="AY51" s="18">
        <f>IF(BD51&lt;&gt;1,"",AT51*CONTROL_PANEL!$B$14)</f>
        <v>4.2112106884074847E-4</v>
      </c>
      <c r="AZ51" s="18">
        <f>IF(BD51&lt;&gt;1,"",DATA_INPUT!$M51)</f>
        <v>1614864.3773006566</v>
      </c>
      <c r="BA51" s="18">
        <f t="shared" si="13"/>
        <v>19606382.888791025</v>
      </c>
      <c r="BB51" s="18">
        <f>IF(BD51&lt;&gt;1,"",IF(BA51-CONTROL_PANEL!$B$11&lt;0,0,BA51-CONTROL_PANEL!$B$11))</f>
        <v>0</v>
      </c>
      <c r="BC51" s="18">
        <f>IF(BD51&lt;&gt;1,"",IF(AZ51&lt;=0,0,MIN(AZ51,MAX(0,CONTROL_PANEL!$B$13-BA51))))</f>
        <v>0</v>
      </c>
      <c r="BD51" s="18">
        <v>1</v>
      </c>
      <c r="BF51" s="19">
        <f t="shared" si="33"/>
        <v>2019</v>
      </c>
      <c r="BG51" s="19">
        <v>8</v>
      </c>
      <c r="BH51" s="18">
        <f t="shared" si="14"/>
        <v>31</v>
      </c>
      <c r="BI51" s="18">
        <f t="shared" si="43"/>
        <v>257.44685681065801</v>
      </c>
      <c r="BJ51" s="18">
        <f>IF(BW50&lt;&gt;1,"",IF(BT50&gt;0,IF(BT50&gt;CONTROL_PANEL!$B$11,CONTROL_PANEL!$B$11,BT50),0))</f>
        <v>24072417.942312896</v>
      </c>
      <c r="BK51" s="18">
        <f t="shared" si="38"/>
        <v>3217254.6221548975</v>
      </c>
      <c r="BL51" s="18">
        <f>IF(BW51&lt;&gt;1,"",DATA_INPUT!$I51)</f>
        <v>6.3393206208151197E-8</v>
      </c>
      <c r="BM51" s="18">
        <f>IF(BW51&lt;&gt;1,"",BL51*CONTROL_PANEL!$B$5)</f>
        <v>6.0160152691535488E-3</v>
      </c>
      <c r="BN51" s="18">
        <f>IF(BW51&lt;&gt;1,"",DATA_INPUT!$C51)</f>
        <v>8.4875246666666673</v>
      </c>
      <c r="BO51" s="18">
        <f t="shared" si="16"/>
        <v>27306.527964487042</v>
      </c>
      <c r="BP51" s="18">
        <f>IF(BW51&lt;&gt;1,"",DATA_INPUT!$H51)</f>
        <v>193.6485245594867</v>
      </c>
      <c r="BQ51" s="18">
        <f t="shared" si="17"/>
        <v>623016.61071248481</v>
      </c>
      <c r="BR51" s="18">
        <f>IF(BW51&lt;&gt;1,"",BM51*CONTROL_PANEL!$B$14)</f>
        <v>4.2112106884074847E-4</v>
      </c>
      <c r="BS51" s="18">
        <f>IF(BW51&lt;&gt;1,"",DATA_INPUT!$N51)</f>
        <v>1483695.7122082715</v>
      </c>
      <c r="BT51" s="18">
        <f t="shared" si="18"/>
        <v>21993012.152951524</v>
      </c>
      <c r="BU51" s="18">
        <f>IF(BW51&lt;&gt;1,"",IF(BT51-CONTROL_PANEL!$B$11&lt;0,0,BT51-CONTROL_PANEL!$B$11))</f>
        <v>0</v>
      </c>
      <c r="BV51" s="18">
        <f>IF(BW51&lt;&gt;1,"",IF(BS51&lt;=0,0,MIN(BS51,MAX(0,CONTROL_PANEL!$B$13-BT51))))</f>
        <v>0</v>
      </c>
      <c r="BW51" s="18">
        <v>1</v>
      </c>
      <c r="BY51" s="19">
        <f t="shared" si="34"/>
        <v>2019</v>
      </c>
      <c r="BZ51" s="19">
        <v>8</v>
      </c>
      <c r="CA51" s="18">
        <f t="shared" si="19"/>
        <v>31</v>
      </c>
      <c r="CB51" s="18">
        <f t="shared" si="44"/>
        <v>256.60656578068176</v>
      </c>
      <c r="CC51" s="18">
        <f>IF(CP50&lt;&gt;1,"",IF(CM50&gt;0,IF(CM50&gt;CONTROL_PANEL!$B$11,CONTROL_PANEL!$B$11,CM50),0))</f>
        <v>21452550.996072572</v>
      </c>
      <c r="CD51" s="18">
        <f t="shared" si="39"/>
        <v>2978615.5579504068</v>
      </c>
      <c r="CE51" s="18">
        <f>IF(CP51&lt;&gt;1,"",DATA_INPUT!$I51)</f>
        <v>6.3393206208151197E-8</v>
      </c>
      <c r="CF51" s="18">
        <f>IF(CP51&lt;&gt;1,"",CE51*CONTROL_PANEL!$B$5)</f>
        <v>6.0160152691535488E-3</v>
      </c>
      <c r="CG51" s="18">
        <f>IF(CP51&lt;&gt;1,"",DATA_INPUT!$C51)</f>
        <v>8.4875246666666673</v>
      </c>
      <c r="CH51" s="18">
        <f t="shared" si="21"/>
        <v>25281.073020621177</v>
      </c>
      <c r="CI51" s="18">
        <f>IF(CP51&lt;&gt;1,"",DATA_INPUT!$H51)</f>
        <v>193.6485245594867</v>
      </c>
      <c r="CJ51" s="18">
        <f t="shared" si="22"/>
        <v>576804.50802702853</v>
      </c>
      <c r="CK51" s="18">
        <f>IF(CP51&lt;&gt;1,"",CF51*CONTROL_PANEL!$B$14)</f>
        <v>4.2112106884074847E-4</v>
      </c>
      <c r="CL51" s="18">
        <f>IF(CP51&lt;&gt;1,"",DATA_INPUT!$O51)</f>
        <v>1706653.0713372577</v>
      </c>
      <c r="CM51" s="18">
        <f t="shared" si="23"/>
        <v>19194374.495323803</v>
      </c>
      <c r="CN51" s="18">
        <f>IF(CP51&lt;&gt;1,"",IF(CM51-CONTROL_PANEL!$B$11&lt;0,0,CM51-CONTROL_PANEL!$B$11))</f>
        <v>0</v>
      </c>
      <c r="CO51" s="18">
        <f>IF(CP51&lt;&gt;1,"",IF(CL51&lt;=0,0,MIN(CL51,MAX(0,CONTROL_PANEL!$B$13-CM51))))</f>
        <v>0</v>
      </c>
      <c r="CP51" s="18">
        <v>1</v>
      </c>
    </row>
    <row r="52" spans="1:94" x14ac:dyDescent="0.25">
      <c r="A52" s="19">
        <f t="shared" si="30"/>
        <v>2019</v>
      </c>
      <c r="B52" s="19">
        <v>9</v>
      </c>
      <c r="C52" s="18">
        <f t="shared" si="0"/>
        <v>30</v>
      </c>
      <c r="D52" s="18">
        <f t="shared" si="40"/>
        <v>256.54928244435979</v>
      </c>
      <c r="E52" s="18">
        <f>IF(R51&lt;&gt;1,"",IF(O51&gt;0,IF(O51&gt;CONTROL_PANEL!$B$11,CONTROL_PANEL!$B$11,O51),0))</f>
        <v>21281247.975147463</v>
      </c>
      <c r="F52" s="18">
        <f t="shared" si="35"/>
        <v>2962685.3743407326</v>
      </c>
      <c r="G52" s="18">
        <f>IF(R52&lt;&gt;1,"",DATA_INPUT!I52)</f>
        <v>9.4546676201815071E-9</v>
      </c>
      <c r="H52" s="18">
        <f>IF(R52&lt;&gt;1,"",G52*CONTROL_PANEL!$B$5)</f>
        <v>8.9724795715522498E-4</v>
      </c>
      <c r="I52" s="18">
        <f>IF(R52&lt;&gt;1,"",DATA_INPUT!C52)</f>
        <v>9.8794187035686658</v>
      </c>
      <c r="J52" s="18">
        <f t="shared" si="2"/>
        <v>29269.609300051168</v>
      </c>
      <c r="K52" s="18">
        <f>IF(R52&lt;&gt;1,"",DATA_INPUT!H52)</f>
        <v>140.65448587165605</v>
      </c>
      <c r="L52" s="18">
        <f t="shared" si="25"/>
        <v>416714.9881273706</v>
      </c>
      <c r="M52" s="18">
        <f>IF(R52&lt;&gt;1,"",H52*CONTROL_PANEL!$B$14)</f>
        <v>6.2807357000865756E-5</v>
      </c>
      <c r="N52" s="18">
        <f>IF(R52&lt;&gt;1,"",DATA_INPUT!K52)</f>
        <v>676485.9049861778</v>
      </c>
      <c r="O52" s="18">
        <f t="shared" si="3"/>
        <v>20217316.692168407</v>
      </c>
      <c r="P52" s="18">
        <f>IF(R52&lt;&gt;1,"",IF(O52-CONTROL_PANEL!$B$11&lt;0,0,O52-CONTROL_PANEL!$B$11))</f>
        <v>0</v>
      </c>
      <c r="Q52" s="18">
        <f>IF(R52&lt;&gt;1,"",IF(N52&lt;=0,0,MIN(N52,MAX(0,CONTROL_PANEL!$B$13-O52))))</f>
        <v>0</v>
      </c>
      <c r="R52" s="18">
        <v>1</v>
      </c>
      <c r="T52" s="19">
        <f t="shared" si="31"/>
        <v>2019</v>
      </c>
      <c r="U52" s="19">
        <v>9</v>
      </c>
      <c r="V52" s="18">
        <f t="shared" si="4"/>
        <v>30</v>
      </c>
      <c r="W52" s="18">
        <f t="shared" si="41"/>
        <v>254.59337044421909</v>
      </c>
      <c r="X52" s="18">
        <f>IF(AK51&lt;&gt;1,"",IF(AH51&gt;0,IF(AH51&gt;CONTROL_PANEL!$B$11,CONTROL_PANEL!$B$11,AH51),0))</f>
        <v>15966128.763350466</v>
      </c>
      <c r="Y52" s="18">
        <f t="shared" si="36"/>
        <v>2444622.094315764</v>
      </c>
      <c r="Z52" s="18">
        <f>IF(AK52&lt;&gt;1,"",DATA_INPUT!I52)</f>
        <v>9.4546676201815071E-9</v>
      </c>
      <c r="AA52" s="18">
        <f>IF(AK52&lt;&gt;1,"",Z52*CONTROL_PANEL!$B$5)</f>
        <v>8.9724795715522498E-4</v>
      </c>
      <c r="AB52" s="18">
        <f>IF(AK52&lt;&gt;1,"",DATA_INPUT!$C52)</f>
        <v>9.8794187035686658</v>
      </c>
      <c r="AC52" s="18">
        <f t="shared" si="6"/>
        <v>24151.445241740359</v>
      </c>
      <c r="AD52" s="18">
        <f>IF(AK52&lt;&gt;1,"",DATA_INPUT!$H52)</f>
        <v>140.65448587165605</v>
      </c>
      <c r="AE52" s="18">
        <f t="shared" si="7"/>
        <v>343847.06382647483</v>
      </c>
      <c r="AF52" s="18">
        <f>IF(AK52&lt;&gt;1,"",AA52*CONTROL_PANEL!$B$14)</f>
        <v>6.2807357000865756E-5</v>
      </c>
      <c r="AG52" s="18">
        <f>IF(AK52&lt;&gt;1,"",DATA_INPUT!$L52)</f>
        <v>861532.52774287085</v>
      </c>
      <c r="AH52" s="18">
        <f t="shared" si="8"/>
        <v>14784900.6178573</v>
      </c>
      <c r="AI52" s="18">
        <f>IF(AK52&lt;&gt;1,"",IF(AH52-CONTROL_PANEL!$B$11&lt;0,0,AH52-CONTROL_PANEL!$B$11))</f>
        <v>0</v>
      </c>
      <c r="AJ52" s="18">
        <f>IF(AK52&lt;&gt;1,"",IF(AG52&lt;=0,0,MIN(AG52,MAX(0,CONTROL_PANEL!$B$13-AH52))))</f>
        <v>0</v>
      </c>
      <c r="AK52" s="18">
        <v>1</v>
      </c>
      <c r="AM52" s="19">
        <f t="shared" si="32"/>
        <v>2019</v>
      </c>
      <c r="AN52" s="19">
        <v>9</v>
      </c>
      <c r="AO52" s="18">
        <f t="shared" si="9"/>
        <v>30</v>
      </c>
      <c r="AP52" s="18">
        <f t="shared" si="42"/>
        <v>255.97224208779079</v>
      </c>
      <c r="AQ52" s="18">
        <f>IF(BD51&lt;&gt;1,"",IF(BA51&gt;0,IF(BA51&gt;CONTROL_PANEL!$B$11,CONTROL_PANEL!$B$11,BA51),0))</f>
        <v>19606382.888791025</v>
      </c>
      <c r="AR52" s="18">
        <f t="shared" si="37"/>
        <v>2804619.0016381424</v>
      </c>
      <c r="AS52" s="18">
        <f>IF(BD52&lt;&gt;1,"",DATA_INPUT!$I52)</f>
        <v>9.4546676201815071E-9</v>
      </c>
      <c r="AT52" s="18">
        <f>IF(BD52&lt;&gt;1,"",AS52*CONTROL_PANEL!$B$5)</f>
        <v>8.9724795715522498E-4</v>
      </c>
      <c r="AU52" s="18">
        <f>IF(BD52&lt;&gt;1,"",DATA_INPUT!$C52)</f>
        <v>9.8794187035686658</v>
      </c>
      <c r="AV52" s="18">
        <f t="shared" si="11"/>
        <v>27708.005421167945</v>
      </c>
      <c r="AW52" s="18">
        <f>IF(BD52&lt;&gt;1,"",DATA_INPUT!$H52)</f>
        <v>140.65448587165605</v>
      </c>
      <c r="AX52" s="18">
        <f t="shared" si="12"/>
        <v>394482.24374129024</v>
      </c>
      <c r="AY52" s="18">
        <f>IF(BD52&lt;&gt;1,"",AT52*CONTROL_PANEL!$B$14)</f>
        <v>6.2807357000865756E-5</v>
      </c>
      <c r="AZ52" s="18">
        <f>IF(BD52&lt;&gt;1,"",DATA_INPUT!$M52)</f>
        <v>762431.79704389221</v>
      </c>
      <c r="BA52" s="18">
        <f t="shared" si="13"/>
        <v>18477176.85426145</v>
      </c>
      <c r="BB52" s="18">
        <f>IF(BD52&lt;&gt;1,"",IF(BA52-CONTROL_PANEL!$B$11&lt;0,0,BA52-CONTROL_PANEL!$B$11))</f>
        <v>0</v>
      </c>
      <c r="BC52" s="18">
        <f>IF(BD52&lt;&gt;1,"",IF(AZ52&lt;=0,0,MIN(AZ52,MAX(0,CONTROL_PANEL!$B$13-BA52))))</f>
        <v>0</v>
      </c>
      <c r="BD52" s="18">
        <v>1</v>
      </c>
      <c r="BF52" s="19">
        <f t="shared" si="33"/>
        <v>2019</v>
      </c>
      <c r="BG52" s="19">
        <v>9</v>
      </c>
      <c r="BH52" s="18">
        <f t="shared" si="14"/>
        <v>30</v>
      </c>
      <c r="BI52" s="18">
        <f t="shared" si="43"/>
        <v>256.78531350438169</v>
      </c>
      <c r="BJ52" s="18">
        <f>IF(BW51&lt;&gt;1,"",IF(BT51&gt;0,IF(BT51&gt;CONTROL_PANEL!$B$11,CONTROL_PANEL!$B$11,BT51),0))</f>
        <v>21993012.152951524</v>
      </c>
      <c r="BK52" s="18">
        <f t="shared" si="38"/>
        <v>3028601.6515476829</v>
      </c>
      <c r="BL52" s="18">
        <f>IF(BW52&lt;&gt;1,"",DATA_INPUT!$I52)</f>
        <v>9.4546676201815071E-9</v>
      </c>
      <c r="BM52" s="18">
        <f>IF(BW52&lt;&gt;1,"",BL52*CONTROL_PANEL!$B$5)</f>
        <v>8.9724795715522498E-4</v>
      </c>
      <c r="BN52" s="18">
        <f>IF(BW52&lt;&gt;1,"",DATA_INPUT!$C52)</f>
        <v>9.8794187035686658</v>
      </c>
      <c r="BO52" s="18">
        <f t="shared" si="16"/>
        <v>29920.82380195913</v>
      </c>
      <c r="BP52" s="18">
        <f>IF(BW52&lt;&gt;1,"",DATA_INPUT!$H52)</f>
        <v>140.65448587165605</v>
      </c>
      <c r="BQ52" s="18">
        <f t="shared" si="17"/>
        <v>425986.40820848773</v>
      </c>
      <c r="BR52" s="18">
        <f>IF(BW52&lt;&gt;1,"",BM52*CONTROL_PANEL!$B$14)</f>
        <v>6.2807357000865756E-5</v>
      </c>
      <c r="BS52" s="18">
        <f>IF(BW52&lt;&gt;1,"",DATA_INPUT!$N52)</f>
        <v>703362.76347025612</v>
      </c>
      <c r="BT52" s="18">
        <f t="shared" si="18"/>
        <v>20893583.805909179</v>
      </c>
      <c r="BU52" s="18">
        <f>IF(BW52&lt;&gt;1,"",IF(BT52-CONTROL_PANEL!$B$11&lt;0,0,BT52-CONTROL_PANEL!$B$11))</f>
        <v>0</v>
      </c>
      <c r="BV52" s="18">
        <f>IF(BW52&lt;&gt;1,"",IF(BS52&lt;=0,0,MIN(BS52,MAX(0,CONTROL_PANEL!$B$13-BT52))))</f>
        <v>0</v>
      </c>
      <c r="BW52" s="18">
        <v>1</v>
      </c>
      <c r="BY52" s="19">
        <f t="shared" si="34"/>
        <v>2019</v>
      </c>
      <c r="BZ52" s="19">
        <v>9</v>
      </c>
      <c r="CA52" s="18">
        <f t="shared" si="19"/>
        <v>30</v>
      </c>
      <c r="CB52" s="18">
        <f t="shared" si="44"/>
        <v>255.82527370277043</v>
      </c>
      <c r="CC52" s="18">
        <f>IF(CP51&lt;&gt;1,"",IF(CM51&gt;0,IF(CM51&gt;CONTROL_PANEL!$B$11,CONTROL_PANEL!$B$11,CM51),0))</f>
        <v>19194374.495323803</v>
      </c>
      <c r="CD52" s="18">
        <f t="shared" si="39"/>
        <v>2765059.6245614323</v>
      </c>
      <c r="CE52" s="18">
        <f>IF(CP52&lt;&gt;1,"",DATA_INPUT!$I52)</f>
        <v>9.4546676201815071E-9</v>
      </c>
      <c r="CF52" s="18">
        <f>IF(CP52&lt;&gt;1,"",CE52*CONTROL_PANEL!$B$5)</f>
        <v>8.9724795715522498E-4</v>
      </c>
      <c r="CG52" s="18">
        <f>IF(CP52&lt;&gt;1,"",DATA_INPUT!$C52)</f>
        <v>9.8794187035686658</v>
      </c>
      <c r="CH52" s="18">
        <f t="shared" si="21"/>
        <v>27317.181771374766</v>
      </c>
      <c r="CI52" s="18">
        <f>IF(CP52&lt;&gt;1,"",DATA_INPUT!$H52)</f>
        <v>140.65448587165605</v>
      </c>
      <c r="CJ52" s="18">
        <f t="shared" si="22"/>
        <v>388918.03989716258</v>
      </c>
      <c r="CK52" s="18">
        <f>IF(CP52&lt;&gt;1,"",CF52*CONTROL_PANEL!$B$14)</f>
        <v>6.2807357000865756E-5</v>
      </c>
      <c r="CL52" s="18">
        <f>IF(CP52&lt;&gt;1,"",DATA_INPUT!$O52)</f>
        <v>808345.99197626393</v>
      </c>
      <c r="CM52" s="18">
        <f t="shared" si="23"/>
        <v>18024427.64605619</v>
      </c>
      <c r="CN52" s="18">
        <f>IF(CP52&lt;&gt;1,"",IF(CM52-CONTROL_PANEL!$B$11&lt;0,0,CM52-CONTROL_PANEL!$B$11))</f>
        <v>0</v>
      </c>
      <c r="CO52" s="18">
        <f>IF(CP52&lt;&gt;1,"",IF(CL52&lt;=0,0,MIN(CL52,MAX(0,CONTROL_PANEL!$B$13-CM52))))</f>
        <v>0</v>
      </c>
      <c r="CP52" s="18">
        <v>1</v>
      </c>
    </row>
    <row r="53" spans="1:94" x14ac:dyDescent="0.25">
      <c r="A53" s="19">
        <f t="shared" si="30"/>
        <v>2019</v>
      </c>
      <c r="B53" s="19">
        <v>10</v>
      </c>
      <c r="C53" s="18">
        <f t="shared" si="0"/>
        <v>31</v>
      </c>
      <c r="D53" s="39">
        <f t="shared" si="40"/>
        <v>256.18641409446468</v>
      </c>
      <c r="E53" s="39">
        <f>IF(R52&lt;&gt;1,"",IF(O52&gt;0,IF(O52&gt;CONTROL_PANEL!$B$11,CONTROL_PANEL!$B$11,O52),0))</f>
        <v>20217316.692168407</v>
      </c>
      <c r="F53" s="39">
        <f t="shared" si="35"/>
        <v>2862775.6356537687</v>
      </c>
      <c r="G53" s="39">
        <f>IF(R53&lt;&gt;1,"",DATA_INPUT!I53)</f>
        <v>1.4462547084057944</v>
      </c>
      <c r="H53" s="39">
        <f>IF(R53&lt;&gt;1,"",G53*CONTROL_PANEL!$B$5)</f>
        <v>137249.57182770988</v>
      </c>
      <c r="I53" s="39">
        <f>IF(R53&lt;&gt;1,"",DATA_INPUT!C53)</f>
        <v>32.989571650702665</v>
      </c>
      <c r="J53" s="39">
        <f t="shared" si="2"/>
        <v>94441.741952285869</v>
      </c>
      <c r="K53" s="39">
        <f>IF(R53&lt;&gt;1,"",DATA_INPUT!H53)</f>
        <v>65.619439507267046</v>
      </c>
      <c r="L53" s="39">
        <f t="shared" si="25"/>
        <v>187853.73264666044</v>
      </c>
      <c r="M53" s="39">
        <f>IF(R53&lt;&gt;1,"",H53*CONTROL_PANEL!$B$14)</f>
        <v>9607.470027939693</v>
      </c>
      <c r="N53" s="38">
        <f>IF(R53&lt;&gt;1,"",DATA_INPUT!K53)</f>
        <v>94180.209758936122</v>
      </c>
      <c r="O53" s="39">
        <f t="shared" si="3"/>
        <v>20157366.593514867</v>
      </c>
      <c r="P53" s="28">
        <f>IF(R53&lt;&gt;1,"",IF(O53-CONTROL_PANEL!$B$11&lt;0,0,O53-CONTROL_PANEL!$B$11))</f>
        <v>0</v>
      </c>
      <c r="Q53" s="18">
        <f>IF(R53&lt;&gt;1,"",IF(N53&lt;=0,0,MIN(N53,MAX(0,CONTROL_PANEL!$B$13-O53))))</f>
        <v>0</v>
      </c>
      <c r="R53" s="28">
        <v>1</v>
      </c>
      <c r="T53" s="19">
        <f t="shared" si="31"/>
        <v>2019</v>
      </c>
      <c r="U53" s="19">
        <v>10</v>
      </c>
      <c r="V53" s="18">
        <f t="shared" si="4"/>
        <v>31</v>
      </c>
      <c r="W53" s="18">
        <f t="shared" si="41"/>
        <v>254.10098511753557</v>
      </c>
      <c r="X53" s="18">
        <f>IF(AK52&lt;&gt;1,"",IF(AH52&gt;0,IF(AH52&gt;CONTROL_PANEL!$B$11,CONTROL_PANEL!$B$11,AH52),0))</f>
        <v>14784900.6178573</v>
      </c>
      <c r="Y53" s="18">
        <f t="shared" si="36"/>
        <v>2322115.9317512009</v>
      </c>
      <c r="Z53" s="18">
        <f>IF(AK53&lt;&gt;1,"",DATA_INPUT!I53)</f>
        <v>1.4462547084057944</v>
      </c>
      <c r="AA53" s="18">
        <f>IF(AK53&lt;&gt;1,"",Z53*CONTROL_PANEL!$B$5)</f>
        <v>137249.57182770988</v>
      </c>
      <c r="AB53" s="18">
        <f>IF(AK53&lt;&gt;1,"",DATA_INPUT!$C53)</f>
        <v>32.989571650702665</v>
      </c>
      <c r="AC53" s="18">
        <f t="shared" si="6"/>
        <v>76605.60991174441</v>
      </c>
      <c r="AD53" s="18">
        <f>IF(AK53&lt;&gt;1,"",DATA_INPUT!$H53)</f>
        <v>65.619439507267046</v>
      </c>
      <c r="AE53" s="18">
        <f t="shared" si="7"/>
        <v>152375.94591240899</v>
      </c>
      <c r="AF53" s="18">
        <f>IF(AK53&lt;&gt;1,"",AA53*CONTROL_PANEL!$B$14)</f>
        <v>9607.470027939693</v>
      </c>
      <c r="AG53" s="18">
        <f>IF(AK53&lt;&gt;1,"",DATA_INPUT!$L53)</f>
        <v>119869.58679024622</v>
      </c>
      <c r="AH53" s="18">
        <f t="shared" si="8"/>
        <v>14716902.796866158</v>
      </c>
      <c r="AI53" s="18">
        <f>IF(AK53&lt;&gt;1,"",IF(AH53-CONTROL_PANEL!$B$11&lt;0,0,AH53-CONTROL_PANEL!$B$11))</f>
        <v>0</v>
      </c>
      <c r="AJ53" s="18">
        <f>IF(AK53&lt;&gt;1,"",IF(AG53&lt;=0,0,MIN(AG53,MAX(0,CONTROL_PANEL!$B$13-AH53))))</f>
        <v>0</v>
      </c>
      <c r="AK53" s="18">
        <v>1</v>
      </c>
      <c r="AM53" s="19">
        <f t="shared" si="32"/>
        <v>2019</v>
      </c>
      <c r="AN53" s="19">
        <v>10</v>
      </c>
      <c r="AO53" s="18">
        <f t="shared" si="9"/>
        <v>31</v>
      </c>
      <c r="AP53" s="18">
        <f t="shared" si="42"/>
        <v>255.56432428236974</v>
      </c>
      <c r="AQ53" s="18">
        <f>IF(BD52&lt;&gt;1,"",IF(BA52&gt;0,IF(BA52&gt;CONTROL_PANEL!$B$11,CONTROL_PANEL!$B$11,BA52),0))</f>
        <v>18477176.85426145</v>
      </c>
      <c r="AR53" s="18">
        <f t="shared" si="37"/>
        <v>2695519.1817465634</v>
      </c>
      <c r="AS53" s="18">
        <f>IF(BD53&lt;&gt;1,"",DATA_INPUT!$I53)</f>
        <v>1.4462547084057944</v>
      </c>
      <c r="AT53" s="18">
        <f>IF(BD53&lt;&gt;1,"",AS53*CONTROL_PANEL!$B$5)</f>
        <v>137249.57182770988</v>
      </c>
      <c r="AU53" s="18">
        <f>IF(BD53&lt;&gt;1,"",DATA_INPUT!$C53)</f>
        <v>32.989571650702665</v>
      </c>
      <c r="AV53" s="18">
        <f t="shared" si="11"/>
        <v>88924.023182071673</v>
      </c>
      <c r="AW53" s="18">
        <f>IF(BD53&lt;&gt;1,"",DATA_INPUT!$H53)</f>
        <v>65.619439507267046</v>
      </c>
      <c r="AX53" s="18">
        <f t="shared" si="12"/>
        <v>176878.45788729659</v>
      </c>
      <c r="AY53" s="18">
        <f>IF(BD53&lt;&gt;1,"",AT53*CONTROL_PANEL!$B$14)</f>
        <v>9607.470027939693</v>
      </c>
      <c r="AZ53" s="18">
        <f>IF(BD53&lt;&gt;1,"",DATA_INPUT!$M53)</f>
        <v>106681.13133177678</v>
      </c>
      <c r="BA53" s="18">
        <f t="shared" si="13"/>
        <v>18410183.390024219</v>
      </c>
      <c r="BB53" s="18">
        <f>IF(BD53&lt;&gt;1,"",IF(BA53-CONTROL_PANEL!$B$11&lt;0,0,BA53-CONTROL_PANEL!$B$11))</f>
        <v>0</v>
      </c>
      <c r="BC53" s="18">
        <f>IF(BD53&lt;&gt;1,"",IF(AZ53&lt;=0,0,MIN(AZ53,MAX(0,CONTROL_PANEL!$B$13-BA53))))</f>
        <v>0</v>
      </c>
      <c r="BD53" s="18">
        <v>1</v>
      </c>
      <c r="BF53" s="19">
        <f t="shared" si="33"/>
        <v>2019</v>
      </c>
      <c r="BG53" s="19">
        <v>10</v>
      </c>
      <c r="BH53" s="18">
        <f t="shared" si="14"/>
        <v>31</v>
      </c>
      <c r="BI53" s="18">
        <f t="shared" si="43"/>
        <v>256.41850007778532</v>
      </c>
      <c r="BJ53" s="18">
        <f>IF(BW52&lt;&gt;1,"",IF(BT52&gt;0,IF(BT52&gt;CONTROL_PANEL!$B$11,CONTROL_PANEL!$B$11,BT52),0))</f>
        <v>20893583.805909179</v>
      </c>
      <c r="BK53" s="18">
        <f t="shared" si="38"/>
        <v>2926477.1664724778</v>
      </c>
      <c r="BL53" s="18">
        <f>IF(BW53&lt;&gt;1,"",DATA_INPUT!$I53)</f>
        <v>1.4462547084057944</v>
      </c>
      <c r="BM53" s="18">
        <f>IF(BW53&lt;&gt;1,"",BL53*CONTROL_PANEL!$B$5)</f>
        <v>137249.57182770988</v>
      </c>
      <c r="BN53" s="18">
        <f>IF(BW53&lt;&gt;1,"",DATA_INPUT!$C53)</f>
        <v>32.989571650702665</v>
      </c>
      <c r="BO53" s="18">
        <f t="shared" si="16"/>
        <v>96543.228167489113</v>
      </c>
      <c r="BP53" s="18">
        <f>IF(BW53&lt;&gt;1,"",DATA_INPUT!$H53)</f>
        <v>65.619439507267046</v>
      </c>
      <c r="BQ53" s="18">
        <f t="shared" si="17"/>
        <v>192033.79139473903</v>
      </c>
      <c r="BR53" s="18">
        <f>IF(BW53&lt;&gt;1,"",BM53*CONTROL_PANEL!$B$14)</f>
        <v>9607.470027939693</v>
      </c>
      <c r="BS53" s="18">
        <f>IF(BW53&lt;&gt;1,"",DATA_INPUT!$N53)</f>
        <v>98978.03015139034</v>
      </c>
      <c r="BT53" s="18">
        <f t="shared" si="18"/>
        <v>20826757.31433031</v>
      </c>
      <c r="BU53" s="18">
        <f>IF(BW53&lt;&gt;1,"",IF(BT53-CONTROL_PANEL!$B$11&lt;0,0,BT53-CONTROL_PANEL!$B$11))</f>
        <v>0</v>
      </c>
      <c r="BV53" s="18">
        <f>IF(BW53&lt;&gt;1,"",IF(BS53&lt;=0,0,MIN(BS53,MAX(0,CONTROL_PANEL!$B$13-BT53))))</f>
        <v>0</v>
      </c>
      <c r="BW53" s="18">
        <v>1</v>
      </c>
      <c r="BY53" s="19">
        <f t="shared" si="34"/>
        <v>2019</v>
      </c>
      <c r="BZ53" s="19">
        <v>10</v>
      </c>
      <c r="CA53" s="18">
        <f t="shared" si="19"/>
        <v>31</v>
      </c>
      <c r="CB53" s="18">
        <f t="shared" si="44"/>
        <v>255.39608673118261</v>
      </c>
      <c r="CC53" s="18">
        <f>IF(CP52&lt;&gt;1,"",IF(CM52&gt;0,IF(CM52&gt;CONTROL_PANEL!$B$11,CONTROL_PANEL!$B$11,CM52),0))</f>
        <v>18024427.64605619</v>
      </c>
      <c r="CD53" s="18">
        <f t="shared" si="39"/>
        <v>2651159.6881718775</v>
      </c>
      <c r="CE53" s="18">
        <f>IF(CP53&lt;&gt;1,"",DATA_INPUT!$I53)</f>
        <v>1.4462547084057944</v>
      </c>
      <c r="CF53" s="18">
        <f>IF(CP53&lt;&gt;1,"",CE53*CONTROL_PANEL!$B$5)</f>
        <v>137249.57182770988</v>
      </c>
      <c r="CG53" s="18">
        <f>IF(CP53&lt;&gt;1,"",DATA_INPUT!$C53)</f>
        <v>32.989571650702665</v>
      </c>
      <c r="CH53" s="18">
        <f t="shared" si="21"/>
        <v>87460.622490400681</v>
      </c>
      <c r="CI53" s="18">
        <f>IF(CP53&lt;&gt;1,"",DATA_INPUT!$H53)</f>
        <v>65.619439507267046</v>
      </c>
      <c r="CJ53" s="18">
        <f t="shared" si="22"/>
        <v>173967.61278209949</v>
      </c>
      <c r="CK53" s="18">
        <f>IF(CP53&lt;&gt;1,"",CF53*CONTROL_PANEL!$B$14)</f>
        <v>9607.470027939693</v>
      </c>
      <c r="CL53" s="18">
        <f>IF(CP53&lt;&gt;1,"",DATA_INPUT!$O53)</f>
        <v>113696.69862653445</v>
      </c>
      <c r="CM53" s="18">
        <f t="shared" si="23"/>
        <v>17951866.058937728</v>
      </c>
      <c r="CN53" s="18">
        <f>IF(CP53&lt;&gt;1,"",IF(CM53-CONTROL_PANEL!$B$11&lt;0,0,CM53-CONTROL_PANEL!$B$11))</f>
        <v>0</v>
      </c>
      <c r="CO53" s="18">
        <f>IF(CP53&lt;&gt;1,"",IF(CL53&lt;=0,0,MIN(CL53,MAX(0,CONTROL_PANEL!$B$13-CM53))))</f>
        <v>0</v>
      </c>
      <c r="CP53" s="18">
        <v>1</v>
      </c>
    </row>
    <row r="54" spans="1:94" x14ac:dyDescent="0.25">
      <c r="A54" s="19">
        <f t="shared" si="30"/>
        <v>2019</v>
      </c>
      <c r="B54" s="19">
        <v>11</v>
      </c>
      <c r="C54" s="18">
        <f t="shared" si="0"/>
        <v>30</v>
      </c>
      <c r="D54" s="39">
        <f t="shared" si="40"/>
        <v>256.16559086477776</v>
      </c>
      <c r="E54" s="39">
        <f>IF(R53&lt;&gt;1,"",IF(O53&gt;0,IF(O53&gt;CONTROL_PANEL!$B$11,CONTROL_PANEL!$B$11,O53),0))</f>
        <v>20157366.593514867</v>
      </c>
      <c r="F54" s="39">
        <f t="shared" si="35"/>
        <v>2857094.8085922813</v>
      </c>
      <c r="G54" s="39">
        <f>IF(R54&lt;&gt;1,"",DATA_INPUT!I54)</f>
        <v>17.431581444951679</v>
      </c>
      <c r="H54" s="39">
        <f>IF(R54&lt;&gt;1,"",G54*CONTROL_PANEL!$B$5)</f>
        <v>1654257.0791259143</v>
      </c>
      <c r="I54" s="39">
        <f>IF(R54&lt;&gt;1,"",DATA_INPUT!C54)</f>
        <v>111.27084839744545</v>
      </c>
      <c r="J54" s="39">
        <f t="shared" si="2"/>
        <v>317911.36330400012</v>
      </c>
      <c r="K54" s="39">
        <f>IF(R54&lt;&gt;1,"",DATA_INPUT!H54)</f>
        <v>26.03850785889458</v>
      </c>
      <c r="L54" s="39">
        <f t="shared" si="25"/>
        <v>74394.485627137023</v>
      </c>
      <c r="M54" s="39">
        <f>IF(R54&lt;&gt;1,"",H54*CONTROL_PANEL!$B$14)</f>
        <v>115797.99553881401</v>
      </c>
      <c r="N54" s="38">
        <f>IF(R54&lt;&gt;1,"",DATA_INPUT!K54)</f>
        <v>0</v>
      </c>
      <c r="O54" s="39">
        <f t="shared" si="3"/>
        <v>21939342.554778833</v>
      </c>
      <c r="P54" s="28">
        <f>IF(R54&lt;&gt;1,"",IF(O54-CONTROL_PANEL!$B$11&lt;0,0,O54-CONTROL_PANEL!$B$11))</f>
        <v>0</v>
      </c>
      <c r="Q54" s="18">
        <f>IF(R54&lt;&gt;1,"",IF(N54&lt;=0,0,MIN(N54,MAX(0,CONTROL_PANEL!$B$13-O54))))</f>
        <v>0</v>
      </c>
      <c r="R54" s="28">
        <v>1</v>
      </c>
      <c r="T54" s="19">
        <f t="shared" si="31"/>
        <v>2019</v>
      </c>
      <c r="U54" s="19">
        <v>11</v>
      </c>
      <c r="V54" s="18">
        <f t="shared" si="4"/>
        <v>30</v>
      </c>
      <c r="W54" s="18">
        <f t="shared" si="41"/>
        <v>254.07185148714171</v>
      </c>
      <c r="X54" s="18">
        <f>IF(AK53&lt;&gt;1,"",IF(AH53&gt;0,IF(AH53&gt;CONTROL_PANEL!$B$11,CONTROL_PANEL!$B$11,AH53),0))</f>
        <v>14716902.796866158</v>
      </c>
      <c r="Y54" s="18">
        <f t="shared" si="36"/>
        <v>2314967.0822659745</v>
      </c>
      <c r="Z54" s="18">
        <f>IF(AK54&lt;&gt;1,"",DATA_INPUT!I54)</f>
        <v>17.431581444951679</v>
      </c>
      <c r="AA54" s="18">
        <f>IF(AK54&lt;&gt;1,"",Z54*CONTROL_PANEL!$B$5)</f>
        <v>1654257.0791259143</v>
      </c>
      <c r="AB54" s="18">
        <f>IF(AK54&lt;&gt;1,"",DATA_INPUT!$C54)</f>
        <v>111.27084839744545</v>
      </c>
      <c r="AC54" s="18">
        <f t="shared" si="6"/>
        <v>257588.35125589388</v>
      </c>
      <c r="AD54" s="18">
        <f>IF(AK54&lt;&gt;1,"",DATA_INPUT!$H54)</f>
        <v>26.03850785889458</v>
      </c>
      <c r="AE54" s="18">
        <f t="shared" si="7"/>
        <v>60278.288564664836</v>
      </c>
      <c r="AF54" s="18">
        <f>IF(AK54&lt;&gt;1,"",AA54*CONTROL_PANEL!$B$14)</f>
        <v>115797.99553881401</v>
      </c>
      <c r="AG54" s="18">
        <f>IF(AK54&lt;&gt;1,"",DATA_INPUT!$L54)</f>
        <v>0</v>
      </c>
      <c r="AH54" s="18">
        <f t="shared" si="8"/>
        <v>16452671.943144487</v>
      </c>
      <c r="AI54" s="18">
        <f>IF(AK54&lt;&gt;1,"",IF(AH54-CONTROL_PANEL!$B$11&lt;0,0,AH54-CONTROL_PANEL!$B$11))</f>
        <v>0</v>
      </c>
      <c r="AJ54" s="18">
        <f>IF(AK54&lt;&gt;1,"",IF(AG54&lt;=0,0,MIN(AG54,MAX(0,CONTROL_PANEL!$B$13-AH54))))</f>
        <v>0</v>
      </c>
      <c r="AK54" s="18">
        <v>1</v>
      </c>
      <c r="AM54" s="19">
        <f t="shared" si="32"/>
        <v>2019</v>
      </c>
      <c r="AN54" s="19">
        <v>11</v>
      </c>
      <c r="AO54" s="18">
        <f t="shared" si="9"/>
        <v>30</v>
      </c>
      <c r="AP54" s="18">
        <f t="shared" si="42"/>
        <v>255.53960523765517</v>
      </c>
      <c r="AQ54" s="18">
        <f>IF(BD53&lt;&gt;1,"",IF(BA53&gt;0,IF(BA53&gt;CONTROL_PANEL!$B$11,CONTROL_PANEL!$B$11,BA53),0))</f>
        <v>18410183.390024219</v>
      </c>
      <c r="AR54" s="18">
        <f t="shared" si="37"/>
        <v>2688978.1731938464</v>
      </c>
      <c r="AS54" s="18">
        <f>IF(BD54&lt;&gt;1,"",DATA_INPUT!$I54)</f>
        <v>17.431581444951679</v>
      </c>
      <c r="AT54" s="18">
        <f>IF(BD54&lt;&gt;1,"",AS54*CONTROL_PANEL!$B$5)</f>
        <v>1654257.0791259143</v>
      </c>
      <c r="AU54" s="18">
        <f>IF(BD54&lt;&gt;1,"",DATA_INPUT!$C54)</f>
        <v>111.27084839744545</v>
      </c>
      <c r="AV54" s="18">
        <f t="shared" si="11"/>
        <v>299204.88265349227</v>
      </c>
      <c r="AW54" s="18">
        <f>IF(BD54&lt;&gt;1,"",DATA_INPUT!$H54)</f>
        <v>26.03850785889458</v>
      </c>
      <c r="AX54" s="18">
        <f t="shared" si="12"/>
        <v>70016.979295103956</v>
      </c>
      <c r="AY54" s="18">
        <f>IF(BD54&lt;&gt;1,"",AT54*CONTROL_PANEL!$B$14)</f>
        <v>115797.99553881401</v>
      </c>
      <c r="AZ54" s="18">
        <f>IF(BD54&lt;&gt;1,"",DATA_INPUT!$M54)</f>
        <v>0</v>
      </c>
      <c r="BA54" s="18">
        <f t="shared" si="13"/>
        <v>20177830.37696971</v>
      </c>
      <c r="BB54" s="18">
        <f>IF(BD54&lt;&gt;1,"",IF(BA54-CONTROL_PANEL!$B$11&lt;0,0,BA54-CONTROL_PANEL!$B$11))</f>
        <v>0</v>
      </c>
      <c r="BC54" s="18">
        <f>IF(BD54&lt;&gt;1,"",IF(AZ54&lt;=0,0,MIN(AZ54,MAX(0,CONTROL_PANEL!$B$13-BA54))))</f>
        <v>0</v>
      </c>
      <c r="BD54" s="18">
        <v>1</v>
      </c>
      <c r="BF54" s="19">
        <f t="shared" si="33"/>
        <v>2019</v>
      </c>
      <c r="BG54" s="19">
        <v>11</v>
      </c>
      <c r="BH54" s="18">
        <f t="shared" si="14"/>
        <v>30</v>
      </c>
      <c r="BI54" s="18">
        <f t="shared" si="43"/>
        <v>256.39579186452391</v>
      </c>
      <c r="BJ54" s="18">
        <f>IF(BW53&lt;&gt;1,"",IF(BT53&gt;0,IF(BT53&gt;CONTROL_PANEL!$B$11,CONTROL_PANEL!$B$11,BT53),0))</f>
        <v>20826757.31433031</v>
      </c>
      <c r="BK54" s="18">
        <f t="shared" si="38"/>
        <v>2920213.1119338833</v>
      </c>
      <c r="BL54" s="18">
        <f>IF(BW54&lt;&gt;1,"",DATA_INPUT!$I54)</f>
        <v>17.431581444951679</v>
      </c>
      <c r="BM54" s="18">
        <f>IF(BW54&lt;&gt;1,"",BL54*CONTROL_PANEL!$B$5)</f>
        <v>1654257.0791259143</v>
      </c>
      <c r="BN54" s="18">
        <f>IF(BW54&lt;&gt;1,"",DATA_INPUT!$C54)</f>
        <v>111.27084839744545</v>
      </c>
      <c r="BO54" s="18">
        <f t="shared" si="16"/>
        <v>324934.59046622756</v>
      </c>
      <c r="BP54" s="18">
        <f>IF(BW54&lt;&gt;1,"",DATA_INPUT!$H54)</f>
        <v>26.03850785889458</v>
      </c>
      <c r="BQ54" s="18">
        <f t="shared" si="17"/>
        <v>76037.992064737409</v>
      </c>
      <c r="BR54" s="18">
        <f>IF(BW54&lt;&gt;1,"",BM54*CONTROL_PANEL!$B$14)</f>
        <v>115797.99553881401</v>
      </c>
      <c r="BS54" s="18">
        <f>IF(BW54&lt;&gt;1,"",DATA_INPUT!$N54)</f>
        <v>0</v>
      </c>
      <c r="BT54" s="18">
        <f t="shared" si="18"/>
        <v>22614112.996318899</v>
      </c>
      <c r="BU54" s="18">
        <f>IF(BW54&lt;&gt;1,"",IF(BT54-CONTROL_PANEL!$B$11&lt;0,0,BT54-CONTROL_PANEL!$B$11))</f>
        <v>0</v>
      </c>
      <c r="BV54" s="18">
        <f>IF(BW54&lt;&gt;1,"",IF(BS54&lt;=0,0,MIN(BS54,MAX(0,CONTROL_PANEL!$B$13-BT54))))</f>
        <v>0</v>
      </c>
      <c r="BW54" s="18">
        <v>1</v>
      </c>
      <c r="BY54" s="19">
        <f t="shared" si="34"/>
        <v>2019</v>
      </c>
      <c r="BZ54" s="19">
        <v>11</v>
      </c>
      <c r="CA54" s="18">
        <f t="shared" si="19"/>
        <v>30</v>
      </c>
      <c r="CB54" s="18">
        <f t="shared" si="44"/>
        <v>255.36886154676387</v>
      </c>
      <c r="CC54" s="18">
        <f>IF(CP53&lt;&gt;1,"",IF(CM53&gt;0,IF(CM53&gt;CONTROL_PANEL!$B$11,CONTROL_PANEL!$B$11,CM53),0))</f>
        <v>17951866.058937728</v>
      </c>
      <c r="CD54" s="18">
        <f t="shared" si="39"/>
        <v>2644016.1151455967</v>
      </c>
      <c r="CE54" s="18">
        <f>IF(CP54&lt;&gt;1,"",DATA_INPUT!$I54)</f>
        <v>17.431581444951679</v>
      </c>
      <c r="CF54" s="18">
        <f>IF(CP54&lt;&gt;1,"",CE54*CONTROL_PANEL!$B$5)</f>
        <v>1654257.0791259143</v>
      </c>
      <c r="CG54" s="18">
        <f>IF(CP54&lt;&gt;1,"",DATA_INPUT!$C54)</f>
        <v>111.27084839744545</v>
      </c>
      <c r="CH54" s="18">
        <f t="shared" si="21"/>
        <v>294201.91630876833</v>
      </c>
      <c r="CI54" s="18">
        <f>IF(CP54&lt;&gt;1,"",DATA_INPUT!$H54)</f>
        <v>26.03850785889458</v>
      </c>
      <c r="CJ54" s="18">
        <f t="shared" si="22"/>
        <v>68846.234393262537</v>
      </c>
      <c r="CK54" s="18">
        <f>IF(CP54&lt;&gt;1,"",CF54*CONTROL_PANEL!$B$14)</f>
        <v>115797.99553881401</v>
      </c>
      <c r="CL54" s="18">
        <f>IF(CP54&lt;&gt;1,"",DATA_INPUT!$O54)</f>
        <v>0</v>
      </c>
      <c r="CM54" s="18">
        <f t="shared" si="23"/>
        <v>19715680.824440334</v>
      </c>
      <c r="CN54" s="18">
        <f>IF(CP54&lt;&gt;1,"",IF(CM54-CONTROL_PANEL!$B$11&lt;0,0,CM54-CONTROL_PANEL!$B$11))</f>
        <v>0</v>
      </c>
      <c r="CO54" s="18">
        <f>IF(CP54&lt;&gt;1,"",IF(CL54&lt;=0,0,MIN(CL54,MAX(0,CONTROL_PANEL!$B$13-CM54))))</f>
        <v>0</v>
      </c>
      <c r="CP54" s="18">
        <v>1</v>
      </c>
    </row>
    <row r="55" spans="1:94" x14ac:dyDescent="0.25">
      <c r="A55" s="19">
        <f t="shared" si="30"/>
        <v>2019</v>
      </c>
      <c r="B55" s="19">
        <v>12</v>
      </c>
      <c r="C55" s="18">
        <f t="shared" si="0"/>
        <v>31</v>
      </c>
      <c r="D55" s="39">
        <f t="shared" si="40"/>
        <v>256.76769555826723</v>
      </c>
      <c r="E55" s="39">
        <f>IF(R54&lt;&gt;1,"",IF(O54&gt;0,IF(O54&gt;CONTROL_PANEL!$B$11,CONTROL_PANEL!$B$11,O54),0))</f>
        <v>21939342.554778833</v>
      </c>
      <c r="F55" s="39">
        <f t="shared" si="35"/>
        <v>3023656.2013721955</v>
      </c>
      <c r="G55" s="39">
        <f>IF(R55&lt;&gt;1,"",DATA_INPUT!I55)</f>
        <v>13.102924790967226</v>
      </c>
      <c r="H55" s="39">
        <f>IF(R55&lt;&gt;1,"",G55*CONTROL_PANEL!$B$5)</f>
        <v>1243467.5626627898</v>
      </c>
      <c r="I55" s="39">
        <f>IF(R55&lt;&gt;1,"",DATA_INPUT!C55)</f>
        <v>113.75734860427731</v>
      </c>
      <c r="J55" s="39">
        <f t="shared" si="2"/>
        <v>343963.11255898175</v>
      </c>
      <c r="K55" s="39">
        <f>IF(R55&lt;&gt;1,"",DATA_INPUT!H55)</f>
        <v>19.579998984489613</v>
      </c>
      <c r="L55" s="39">
        <f t="shared" si="25"/>
        <v>59203.18535231331</v>
      </c>
      <c r="M55" s="39">
        <f>IF(R55&lt;&gt;1,"",H55*CONTROL_PANEL!$B$14)</f>
        <v>87042.729386395295</v>
      </c>
      <c r="N55" s="38">
        <f>IF(R55&lt;&gt;1,"",DATA_INPUT!K55)</f>
        <v>0</v>
      </c>
      <c r="O55" s="39">
        <f t="shared" si="3"/>
        <v>23380527.3152619</v>
      </c>
      <c r="P55" s="28">
        <f>IF(R55&lt;&gt;1,"",IF(O55-CONTROL_PANEL!$B$11&lt;0,0,O55-CONTROL_PANEL!$B$11))</f>
        <v>0</v>
      </c>
      <c r="Q55" s="18">
        <f>IF(R55&lt;&gt;1,"",IF(N55&lt;=0,0,MIN(N55,MAX(0,CONTROL_PANEL!$B$13-O55))))</f>
        <v>0</v>
      </c>
      <c r="R55" s="28">
        <v>1</v>
      </c>
      <c r="T55" s="19">
        <f t="shared" si="31"/>
        <v>2019</v>
      </c>
      <c r="U55" s="19">
        <v>12</v>
      </c>
      <c r="V55" s="18">
        <f t="shared" si="4"/>
        <v>31</v>
      </c>
      <c r="W55" s="18">
        <f t="shared" si="41"/>
        <v>254.78909686636064</v>
      </c>
      <c r="X55" s="18">
        <f>IF(AK54&lt;&gt;1,"",IF(AH54&gt;0,IF(AH54&gt;CONTROL_PANEL!$B$11,CONTROL_PANEL!$B$11,AH54),0))</f>
        <v>16452671.943144487</v>
      </c>
      <c r="Y55" s="18">
        <f t="shared" si="36"/>
        <v>2494202.548138353</v>
      </c>
      <c r="Z55" s="18">
        <f>IF(AK55&lt;&gt;1,"",DATA_INPUT!I55)</f>
        <v>13.102924790967226</v>
      </c>
      <c r="AA55" s="18">
        <f>IF(AK55&lt;&gt;1,"",Z55*CONTROL_PANEL!$B$5)</f>
        <v>1243467.5626627898</v>
      </c>
      <c r="AB55" s="18">
        <f>IF(AK55&lt;&gt;1,"",DATA_INPUT!$C55)</f>
        <v>113.75734860427731</v>
      </c>
      <c r="AC55" s="18">
        <f t="shared" si="6"/>
        <v>283733.86875825137</v>
      </c>
      <c r="AD55" s="18">
        <f>IF(AK55&lt;&gt;1,"",DATA_INPUT!$H55)</f>
        <v>19.579998984489613</v>
      </c>
      <c r="AE55" s="18">
        <f t="shared" si="7"/>
        <v>48836.483359660357</v>
      </c>
      <c r="AF55" s="18">
        <f>IF(AK55&lt;&gt;1,"",AA55*CONTROL_PANEL!$B$14)</f>
        <v>87042.729386395295</v>
      </c>
      <c r="AG55" s="18">
        <f>IF(AK55&lt;&gt;1,"",DATA_INPUT!$L55)</f>
        <v>0</v>
      </c>
      <c r="AH55" s="18">
        <f t="shared" si="8"/>
        <v>17843994.161819473</v>
      </c>
      <c r="AI55" s="18">
        <f>IF(AK55&lt;&gt;1,"",IF(AH55-CONTROL_PANEL!$B$11&lt;0,0,AH55-CONTROL_PANEL!$B$11))</f>
        <v>0</v>
      </c>
      <c r="AJ55" s="18">
        <f>IF(AK55&lt;&gt;1,"",IF(AG55&lt;=0,0,MIN(AG55,MAX(0,CONTROL_PANEL!$B$13-AH55))))</f>
        <v>0</v>
      </c>
      <c r="AK55" s="18">
        <v>1</v>
      </c>
      <c r="AM55" s="19">
        <f t="shared" si="32"/>
        <v>2019</v>
      </c>
      <c r="AN55" s="19">
        <v>12</v>
      </c>
      <c r="AO55" s="18">
        <f t="shared" si="9"/>
        <v>31</v>
      </c>
      <c r="AP55" s="18">
        <f t="shared" si="42"/>
        <v>256.17270346169738</v>
      </c>
      <c r="AQ55" s="18">
        <f>IF(BD54&lt;&gt;1,"",IF(BA54&gt;0,IF(BA54&gt;CONTROL_PANEL!$B$11,CONTROL_PANEL!$B$11,BA54),0))</f>
        <v>20177830.37696971</v>
      </c>
      <c r="AR55" s="18">
        <f t="shared" si="37"/>
        <v>2859034.5696957232</v>
      </c>
      <c r="AS55" s="18">
        <f>IF(BD55&lt;&gt;1,"",DATA_INPUT!$I55)</f>
        <v>13.102924790967226</v>
      </c>
      <c r="AT55" s="18">
        <f>IF(BD55&lt;&gt;1,"",AS55*CONTROL_PANEL!$B$5)</f>
        <v>1243467.5626627898</v>
      </c>
      <c r="AU55" s="18">
        <f>IF(BD55&lt;&gt;1,"",DATA_INPUT!$C55)</f>
        <v>113.75734860427731</v>
      </c>
      <c r="AV55" s="18">
        <f t="shared" si="11"/>
        <v>325236.19221655634</v>
      </c>
      <c r="AW55" s="18">
        <f>IF(BD55&lt;&gt;1,"",DATA_INPUT!$H55)</f>
        <v>19.579998984489613</v>
      </c>
      <c r="AX55" s="18">
        <f t="shared" si="12"/>
        <v>55979.893971262958</v>
      </c>
      <c r="AY55" s="18">
        <f>IF(BD55&lt;&gt;1,"",AT55*CONTROL_PANEL!$B$14)</f>
        <v>87042.729386395295</v>
      </c>
      <c r="AZ55" s="18">
        <f>IF(BD55&lt;&gt;1,"",DATA_INPUT!$M55)</f>
        <v>0</v>
      </c>
      <c r="BA55" s="18">
        <f t="shared" si="13"/>
        <v>21603511.508491401</v>
      </c>
      <c r="BB55" s="18">
        <f>IF(BD55&lt;&gt;1,"",IF(BA55-CONTROL_PANEL!$B$11&lt;0,0,BA55-CONTROL_PANEL!$B$11))</f>
        <v>0</v>
      </c>
      <c r="BC55" s="18">
        <f>IF(BD55&lt;&gt;1,"",IF(AZ55&lt;=0,0,MIN(AZ55,MAX(0,CONTROL_PANEL!$B$13-BA55))))</f>
        <v>0</v>
      </c>
      <c r="BD55" s="18">
        <v>1</v>
      </c>
      <c r="BF55" s="19">
        <f t="shared" si="33"/>
        <v>2019</v>
      </c>
      <c r="BG55" s="19">
        <v>12</v>
      </c>
      <c r="BH55" s="18">
        <f t="shared" si="14"/>
        <v>31</v>
      </c>
      <c r="BI55" s="18">
        <f t="shared" si="43"/>
        <v>256.98713936625592</v>
      </c>
      <c r="BJ55" s="18">
        <f>IF(BW54&lt;&gt;1,"",IF(BT54&gt;0,IF(BT54&gt;CONTROL_PANEL!$B$11,CONTROL_PANEL!$B$11,BT54),0))</f>
        <v>22614112.996318899</v>
      </c>
      <c r="BK55" s="18">
        <f t="shared" si="38"/>
        <v>3085546.4123302693</v>
      </c>
      <c r="BL55" s="18">
        <f>IF(BW55&lt;&gt;1,"",DATA_INPUT!$I55)</f>
        <v>13.102924790967226</v>
      </c>
      <c r="BM55" s="18">
        <f>IF(BW55&lt;&gt;1,"",BL55*CONTROL_PANEL!$B$5)</f>
        <v>1243467.5626627898</v>
      </c>
      <c r="BN55" s="18">
        <f>IF(BW55&lt;&gt;1,"",DATA_INPUT!$C55)</f>
        <v>113.75734860427731</v>
      </c>
      <c r="BO55" s="18">
        <f t="shared" si="16"/>
        <v>351003.57886213163</v>
      </c>
      <c r="BP55" s="18">
        <f>IF(BW55&lt;&gt;1,"",DATA_INPUT!$H55)</f>
        <v>19.579998984489613</v>
      </c>
      <c r="BQ55" s="18">
        <f t="shared" si="17"/>
        <v>60414.995620022244</v>
      </c>
      <c r="BR55" s="18">
        <f>IF(BW55&lt;&gt;1,"",BM55*CONTROL_PANEL!$B$14)</f>
        <v>87042.729386395295</v>
      </c>
      <c r="BS55" s="18">
        <f>IF(BW55&lt;&gt;1,"",DATA_INPUT!$N55)</f>
        <v>0</v>
      </c>
      <c r="BT55" s="18">
        <f t="shared" si="18"/>
        <v>24061126.412837405</v>
      </c>
      <c r="BU55" s="18">
        <f>IF(BW55&lt;&gt;1,"",IF(BT55-CONTROL_PANEL!$B$11&lt;0,0,BT55-CONTROL_PANEL!$B$11))</f>
        <v>0</v>
      </c>
      <c r="BV55" s="18">
        <f>IF(BW55&lt;&gt;1,"",IF(BS55&lt;=0,0,MIN(BS55,MAX(0,CONTROL_PANEL!$B$13-BT55))))</f>
        <v>0</v>
      </c>
      <c r="BW55" s="18">
        <v>1</v>
      </c>
      <c r="BY55" s="19">
        <f t="shared" si="34"/>
        <v>2019</v>
      </c>
      <c r="BZ55" s="19">
        <v>12</v>
      </c>
      <c r="CA55" s="18">
        <f t="shared" si="19"/>
        <v>31</v>
      </c>
      <c r="CB55" s="18">
        <f t="shared" si="44"/>
        <v>256.01088274193313</v>
      </c>
      <c r="CC55" s="18">
        <f>IF(CP54&lt;&gt;1,"",IF(CM54&gt;0,IF(CM54&gt;CONTROL_PANEL!$B$11,CONTROL_PANEL!$B$11,CM54),0))</f>
        <v>19715680.824440334</v>
      </c>
      <c r="CD55" s="18">
        <f t="shared" si="39"/>
        <v>2815066.9917012211</v>
      </c>
      <c r="CE55" s="18">
        <f>IF(CP55&lt;&gt;1,"",DATA_INPUT!$I55)</f>
        <v>13.102924790967226</v>
      </c>
      <c r="CF55" s="18">
        <f>IF(CP55&lt;&gt;1,"",CE55*CONTROL_PANEL!$B$5)</f>
        <v>1243467.5626627898</v>
      </c>
      <c r="CG55" s="18">
        <f>IF(CP55&lt;&gt;1,"",DATA_INPUT!$C55)</f>
        <v>113.75734860427731</v>
      </c>
      <c r="CH55" s="18">
        <f t="shared" si="21"/>
        <v>320234.55711935001</v>
      </c>
      <c r="CI55" s="18">
        <f>IF(CP55&lt;&gt;1,"",DATA_INPUT!$H55)</f>
        <v>19.579998984489613</v>
      </c>
      <c r="CJ55" s="18">
        <f t="shared" si="22"/>
        <v>55119.008838780144</v>
      </c>
      <c r="CK55" s="18">
        <f>IF(CP55&lt;&gt;1,"",CF55*CONTROL_PANEL!$B$14)</f>
        <v>87042.729386395295</v>
      </c>
      <c r="CL55" s="18">
        <f>IF(CP55&lt;&gt;1,"",DATA_INPUT!$O55)</f>
        <v>0</v>
      </c>
      <c r="CM55" s="18">
        <f t="shared" si="23"/>
        <v>21137221.205997299</v>
      </c>
      <c r="CN55" s="18">
        <f>IF(CP55&lt;&gt;1,"",IF(CM55-CONTROL_PANEL!$B$11&lt;0,0,CM55-CONTROL_PANEL!$B$11))</f>
        <v>0</v>
      </c>
      <c r="CO55" s="18">
        <f>IF(CP55&lt;&gt;1,"",IF(CL55&lt;=0,0,MIN(CL55,MAX(0,CONTROL_PANEL!$B$13-CM55))))</f>
        <v>0</v>
      </c>
      <c r="CP55" s="18">
        <v>1</v>
      </c>
    </row>
    <row r="56" spans="1:94" x14ac:dyDescent="0.25">
      <c r="A56" s="19">
        <f t="shared" si="30"/>
        <v>2020</v>
      </c>
      <c r="B56" s="19">
        <v>1</v>
      </c>
      <c r="C56" s="18">
        <f t="shared" si="0"/>
        <v>31</v>
      </c>
      <c r="D56" s="39">
        <f t="shared" si="40"/>
        <v>257.23113780645849</v>
      </c>
      <c r="E56" s="39">
        <f>IF(R55&lt;&gt;1,"",IF(O55&gt;0,IF(O55&gt;CONTROL_PANEL!$B$11,CONTROL_PANEL!$B$11,O55),0))</f>
        <v>23380527.3152619</v>
      </c>
      <c r="F56" s="39">
        <f t="shared" si="35"/>
        <v>3155105.3552197614</v>
      </c>
      <c r="G56" s="39">
        <f>IF(R56&lt;&gt;1,"",DATA_INPUT!I56)</f>
        <v>3.777724733626747</v>
      </c>
      <c r="H56" s="39">
        <f>IF(R56&lt;&gt;1,"",G56*CONTROL_PANEL!$B$5)</f>
        <v>358506.07722117828</v>
      </c>
      <c r="I56" s="39">
        <f>IF(R56&lt;&gt;1,"",DATA_INPUT!C56)</f>
        <v>56.391435444084003</v>
      </c>
      <c r="J56" s="39">
        <f t="shared" si="2"/>
        <v>177920.91995815892</v>
      </c>
      <c r="K56" s="39">
        <f>IF(R56&lt;&gt;1,"",DATA_INPUT!H56)</f>
        <v>21.998948269190898</v>
      </c>
      <c r="L56" s="39">
        <f t="shared" si="25"/>
        <v>69408.999493326715</v>
      </c>
      <c r="M56" s="39">
        <f>IF(R56&lt;&gt;1,"",H56*CONTROL_PANEL!$B$14)</f>
        <v>25095.425405482481</v>
      </c>
      <c r="N56" s="38">
        <f>IF(R56&lt;&gt;1,"",DATA_INPUT!K56)</f>
        <v>0</v>
      </c>
      <c r="O56" s="39">
        <f t="shared" si="3"/>
        <v>23822449.887542427</v>
      </c>
      <c r="P56" s="28">
        <f>IF(R56&lt;&gt;1,"",IF(O56-CONTROL_PANEL!$B$11&lt;0,0,O56-CONTROL_PANEL!$B$11))</f>
        <v>0</v>
      </c>
      <c r="Q56" s="18">
        <f>IF(R56&lt;&gt;1,"",IF(N56&lt;=0,0,MIN(N56,MAX(0,CONTROL_PANEL!$B$13-O56))))</f>
        <v>0</v>
      </c>
      <c r="R56" s="28">
        <v>1</v>
      </c>
      <c r="T56" s="19">
        <f t="shared" si="31"/>
        <v>2020</v>
      </c>
      <c r="U56" s="19">
        <v>1</v>
      </c>
      <c r="V56" s="18">
        <f t="shared" si="4"/>
        <v>31</v>
      </c>
      <c r="W56" s="18">
        <f t="shared" si="41"/>
        <v>255.32825151367567</v>
      </c>
      <c r="X56" s="18">
        <f>IF(AK55&lt;&gt;1,"",IF(AH55&gt;0,IF(AH55&gt;CONTROL_PANEL!$B$11,CONTROL_PANEL!$B$11,AH55),0))</f>
        <v>17843994.161819473</v>
      </c>
      <c r="Y56" s="18">
        <f t="shared" si="36"/>
        <v>2633378.5987174194</v>
      </c>
      <c r="Z56" s="18">
        <f>IF(AK56&lt;&gt;1,"",DATA_INPUT!I56)</f>
        <v>3.777724733626747</v>
      </c>
      <c r="AA56" s="18">
        <f>IF(AK56&lt;&gt;1,"",Z56*CONTROL_PANEL!$B$5)</f>
        <v>358506.07722117828</v>
      </c>
      <c r="AB56" s="18">
        <f>IF(AK56&lt;&gt;1,"",DATA_INPUT!$C56)</f>
        <v>56.391435444084003</v>
      </c>
      <c r="AC56" s="18">
        <f t="shared" si="6"/>
        <v>148499.99924940575</v>
      </c>
      <c r="AD56" s="18">
        <f>IF(AK56&lt;&gt;1,"",DATA_INPUT!$H56)</f>
        <v>21.998948269190898</v>
      </c>
      <c r="AE56" s="18">
        <f t="shared" si="7"/>
        <v>57931.559566378928</v>
      </c>
      <c r="AF56" s="18">
        <f>IF(AK56&lt;&gt;1,"",AA56*CONTROL_PANEL!$B$14)</f>
        <v>25095.425405482481</v>
      </c>
      <c r="AG56" s="18">
        <f>IF(AK56&lt;&gt;1,"",DATA_INPUT!$L56)</f>
        <v>0</v>
      </c>
      <c r="AH56" s="18">
        <f t="shared" si="8"/>
        <v>18267973.253318194</v>
      </c>
      <c r="AI56" s="18">
        <f>IF(AK56&lt;&gt;1,"",IF(AH56-CONTROL_PANEL!$B$11&lt;0,0,AH56-CONTROL_PANEL!$B$11))</f>
        <v>0</v>
      </c>
      <c r="AJ56" s="18">
        <f>IF(AK56&lt;&gt;1,"",IF(AG56&lt;=0,0,MIN(AG56,MAX(0,CONTROL_PANEL!$B$13-AH56))))</f>
        <v>0</v>
      </c>
      <c r="AK56" s="18">
        <v>1</v>
      </c>
      <c r="AM56" s="19">
        <f t="shared" si="32"/>
        <v>2020</v>
      </c>
      <c r="AN56" s="19">
        <v>1</v>
      </c>
      <c r="AO56" s="18">
        <f t="shared" si="9"/>
        <v>31</v>
      </c>
      <c r="AP56" s="18">
        <f t="shared" si="42"/>
        <v>256.65679355459116</v>
      </c>
      <c r="AQ56" s="18">
        <f>IF(BD55&lt;&gt;1,"",IF(BA55&gt;0,IF(BA55&gt;CONTROL_PANEL!$B$11,CONTROL_PANEL!$B$11,BA55),0))</f>
        <v>21603511.508491401</v>
      </c>
      <c r="AR56" s="18">
        <f t="shared" si="37"/>
        <v>2992619.1225909689</v>
      </c>
      <c r="AS56" s="18">
        <f>IF(BD56&lt;&gt;1,"",DATA_INPUT!$I56)</f>
        <v>3.777724733626747</v>
      </c>
      <c r="AT56" s="18">
        <f>IF(BD56&lt;&gt;1,"",AS56*CONTROL_PANEL!$B$5)</f>
        <v>358506.07722117828</v>
      </c>
      <c r="AU56" s="18">
        <f>IF(BD56&lt;&gt;1,"",DATA_INPUT!$C56)</f>
        <v>56.391435444084003</v>
      </c>
      <c r="AV56" s="18">
        <f t="shared" si="11"/>
        <v>168758.08806031992</v>
      </c>
      <c r="AW56" s="18">
        <f>IF(BD56&lt;&gt;1,"",DATA_INPUT!$H56)</f>
        <v>21.998948269190898</v>
      </c>
      <c r="AX56" s="18">
        <f t="shared" si="12"/>
        <v>65834.473267270179</v>
      </c>
      <c r="AY56" s="18">
        <f>IF(BD56&lt;&gt;1,"",AT56*CONTROL_PANEL!$B$14)</f>
        <v>25095.425405482481</v>
      </c>
      <c r="AZ56" s="18">
        <f>IF(BD56&lt;&gt;1,"",DATA_INPUT!$M56)</f>
        <v>0</v>
      </c>
      <c r="BA56" s="18">
        <f t="shared" si="13"/>
        <v>22039845.775100145</v>
      </c>
      <c r="BB56" s="18">
        <f>IF(BD56&lt;&gt;1,"",IF(BA56-CONTROL_PANEL!$B$11&lt;0,0,BA56-CONTROL_PANEL!$B$11))</f>
        <v>0</v>
      </c>
      <c r="BC56" s="18">
        <f>IF(BD56&lt;&gt;1,"",IF(AZ56&lt;=0,0,MIN(AZ56,MAX(0,CONTROL_PANEL!$B$13-BA56))))</f>
        <v>0</v>
      </c>
      <c r="BD56" s="18">
        <v>1</v>
      </c>
      <c r="BF56" s="19">
        <f t="shared" si="33"/>
        <v>2020</v>
      </c>
      <c r="BG56" s="19">
        <v>1</v>
      </c>
      <c r="BH56" s="18">
        <f t="shared" si="14"/>
        <v>31</v>
      </c>
      <c r="BI56" s="18">
        <f t="shared" si="43"/>
        <v>257.44336982796193</v>
      </c>
      <c r="BJ56" s="18">
        <f>IF(BW55&lt;&gt;1,"",IF(BT55&gt;0,IF(BT55&gt;CONTROL_PANEL!$B$11,CONTROL_PANEL!$B$11,BT55),0))</f>
        <v>24061126.412837405</v>
      </c>
      <c r="BK56" s="18">
        <f t="shared" si="38"/>
        <v>3216245.1446386585</v>
      </c>
      <c r="BL56" s="18">
        <f>IF(BW56&lt;&gt;1,"",DATA_INPUT!$I56)</f>
        <v>3.777724733626747</v>
      </c>
      <c r="BM56" s="18">
        <f>IF(BW56&lt;&gt;1,"",BL56*CONTROL_PANEL!$B$5)</f>
        <v>358506.07722117828</v>
      </c>
      <c r="BN56" s="18">
        <f>IF(BW56&lt;&gt;1,"",DATA_INPUT!$C56)</f>
        <v>56.391435444084003</v>
      </c>
      <c r="BO56" s="18">
        <f t="shared" si="16"/>
        <v>181368.68044623954</v>
      </c>
      <c r="BP56" s="18">
        <f>IF(BW56&lt;&gt;1,"",DATA_INPUT!$H56)</f>
        <v>21.998948269190898</v>
      </c>
      <c r="BQ56" s="18">
        <f t="shared" si="17"/>
        <v>70754.010557942238</v>
      </c>
      <c r="BR56" s="18">
        <f>IF(BW56&lt;&gt;1,"",BM56*CONTROL_PANEL!$B$14)</f>
        <v>25095.425405482481</v>
      </c>
      <c r="BS56" s="18">
        <f>IF(BW56&lt;&gt;1,"",DATA_INPUT!$N56)</f>
        <v>0</v>
      </c>
      <c r="BT56" s="18">
        <f t="shared" si="18"/>
        <v>24505151.734541398</v>
      </c>
      <c r="BU56" s="18">
        <f>IF(BW56&lt;&gt;1,"",IF(BT56-CONTROL_PANEL!$B$11&lt;0,0,BT56-CONTROL_PANEL!$B$11))</f>
        <v>0</v>
      </c>
      <c r="BV56" s="18">
        <f>IF(BW56&lt;&gt;1,"",IF(BS56&lt;=0,0,MIN(BS56,MAX(0,CONTROL_PANEL!$B$13-BT56))))</f>
        <v>0</v>
      </c>
      <c r="BW56" s="18">
        <v>1</v>
      </c>
      <c r="BY56" s="19">
        <f t="shared" si="34"/>
        <v>2020</v>
      </c>
      <c r="BZ56" s="19">
        <v>1</v>
      </c>
      <c r="CA56" s="18">
        <f t="shared" si="19"/>
        <v>31</v>
      </c>
      <c r="CB56" s="18">
        <f t="shared" si="44"/>
        <v>256.50088108315236</v>
      </c>
      <c r="CC56" s="18">
        <f>IF(CP55&lt;&gt;1,"",IF(CM55&gt;0,IF(CM55&gt;CONTROL_PANEL!$B$11,CONTROL_PANEL!$B$11,CM55),0))</f>
        <v>21137221.205997299</v>
      </c>
      <c r="CD56" s="18">
        <f t="shared" si="39"/>
        <v>2949258.840730946</v>
      </c>
      <c r="CE56" s="18">
        <f>IF(CP56&lt;&gt;1,"",DATA_INPUT!$I56)</f>
        <v>3.777724733626747</v>
      </c>
      <c r="CF56" s="18">
        <f>IF(CP56&lt;&gt;1,"",CE56*CONTROL_PANEL!$B$5)</f>
        <v>358506.07722117828</v>
      </c>
      <c r="CG56" s="18">
        <f>IF(CP56&lt;&gt;1,"",DATA_INPUT!$C56)</f>
        <v>56.391435444084003</v>
      </c>
      <c r="CH56" s="18">
        <f t="shared" si="21"/>
        <v>166312.93952497316</v>
      </c>
      <c r="CI56" s="18">
        <f>IF(CP56&lt;&gt;1,"",DATA_INPUT!$H56)</f>
        <v>21.998948269190898</v>
      </c>
      <c r="CJ56" s="18">
        <f t="shared" si="22"/>
        <v>64880.592669694001</v>
      </c>
      <c r="CK56" s="18">
        <f>IF(CP56&lt;&gt;1,"",CF56*CONTROL_PANEL!$B$14)</f>
        <v>25095.425405482481</v>
      </c>
      <c r="CL56" s="18">
        <f>IF(CP56&lt;&gt;1,"",DATA_INPUT!$O56)</f>
        <v>0</v>
      </c>
      <c r="CM56" s="18">
        <f t="shared" si="23"/>
        <v>21572064.204668276</v>
      </c>
      <c r="CN56" s="18">
        <f>IF(CP56&lt;&gt;1,"",IF(CM56-CONTROL_PANEL!$B$11&lt;0,0,CM56-CONTROL_PANEL!$B$11))</f>
        <v>0</v>
      </c>
      <c r="CO56" s="18">
        <f>IF(CP56&lt;&gt;1,"",IF(CL56&lt;=0,0,MIN(CL56,MAX(0,CONTROL_PANEL!$B$13-CM56))))</f>
        <v>0</v>
      </c>
      <c r="CP56" s="18">
        <v>1</v>
      </c>
    </row>
    <row r="57" spans="1:94" x14ac:dyDescent="0.25">
      <c r="A57" s="19">
        <f t="shared" si="30"/>
        <v>2020</v>
      </c>
      <c r="B57" s="19">
        <v>2</v>
      </c>
      <c r="C57" s="18">
        <f t="shared" si="0"/>
        <v>29</v>
      </c>
      <c r="D57" s="39">
        <f t="shared" si="40"/>
        <v>257.36940568489973</v>
      </c>
      <c r="E57" s="39">
        <f>IF(R56&lt;&gt;1,"",IF(O56&gt;0,IF(O56&gt;CONTROL_PANEL!$B$11,CONTROL_PANEL!$B$11,O56),0))</f>
        <v>23822449.887542427</v>
      </c>
      <c r="F57" s="39">
        <f t="shared" si="35"/>
        <v>3194870.2915639291</v>
      </c>
      <c r="G57" s="39">
        <f>IF(R57&lt;&gt;1,"",DATA_INPUT!I57)</f>
        <v>0.62649628795844969</v>
      </c>
      <c r="H57" s="39">
        <f>IF(R57&lt;&gt;1,"",G57*CONTROL_PANEL!$B$5)</f>
        <v>59454.497727256879</v>
      </c>
      <c r="I57" s="39">
        <f>IF(R57&lt;&gt;1,"",DATA_INPUT!C57)</f>
        <v>2.8041326666666664</v>
      </c>
      <c r="J57" s="39">
        <f t="shared" si="2"/>
        <v>8958.8401503372697</v>
      </c>
      <c r="K57" s="39">
        <f>IF(R57&lt;&gt;1,"",DATA_INPUT!H57)</f>
        <v>34.680207865154408</v>
      </c>
      <c r="L57" s="39">
        <f t="shared" si="25"/>
        <v>110798.76581364353</v>
      </c>
      <c r="M57" s="39">
        <f>IF(R57&lt;&gt;1,"",H57*CONTROL_PANEL!$B$14)</f>
        <v>4161.8148409079822</v>
      </c>
      <c r="N57" s="38">
        <f>IF(R57&lt;&gt;1,"",DATA_INPUT!K57)</f>
        <v>0</v>
      </c>
      <c r="O57" s="39">
        <f t="shared" si="3"/>
        <v>23775902.64476547</v>
      </c>
      <c r="P57" s="28">
        <f>IF(R57&lt;&gt;1,"",IF(O57-CONTROL_PANEL!$B$11&lt;0,0,O57-CONTROL_PANEL!$B$11))</f>
        <v>0</v>
      </c>
      <c r="Q57" s="18">
        <f>IF(R57&lt;&gt;1,"",IF(N57&lt;=0,0,MIN(N57,MAX(0,CONTROL_PANEL!$B$13-O57))))</f>
        <v>0</v>
      </c>
      <c r="R57" s="28">
        <v>1</v>
      </c>
      <c r="T57" s="19">
        <f t="shared" si="31"/>
        <v>2020</v>
      </c>
      <c r="U57" s="19">
        <v>2</v>
      </c>
      <c r="V57" s="18">
        <f t="shared" si="4"/>
        <v>29</v>
      </c>
      <c r="W57" s="18">
        <f t="shared" si="41"/>
        <v>255.48693286042709</v>
      </c>
      <c r="X57" s="18">
        <f>IF(AK56&lt;&gt;1,"",IF(AH56&gt;0,IF(AH56&gt;CONTROL_PANEL!$B$11,CONTROL_PANEL!$B$11,AH56),0))</f>
        <v>18267973.253318194</v>
      </c>
      <c r="Y57" s="18">
        <f t="shared" si="36"/>
        <v>2675067.08463006</v>
      </c>
      <c r="Z57" s="18">
        <f>IF(AK57&lt;&gt;1,"",DATA_INPUT!I57)</f>
        <v>0.62649628795844969</v>
      </c>
      <c r="AA57" s="18">
        <f>IF(AK57&lt;&gt;1,"",Z57*CONTROL_PANEL!$B$5)</f>
        <v>59454.497727256879</v>
      </c>
      <c r="AB57" s="18">
        <f>IF(AK57&lt;&gt;1,"",DATA_INPUT!$C57)</f>
        <v>2.8041326666666664</v>
      </c>
      <c r="AC57" s="18">
        <f t="shared" si="6"/>
        <v>7501.2429975359155</v>
      </c>
      <c r="AD57" s="18">
        <f>IF(AK57&lt;&gt;1,"",DATA_INPUT!$H57)</f>
        <v>34.680207865154408</v>
      </c>
      <c r="AE57" s="18">
        <f t="shared" si="7"/>
        <v>92771.882548203081</v>
      </c>
      <c r="AF57" s="18">
        <f>IF(AK57&lt;&gt;1,"",AA57*CONTROL_PANEL!$B$14)</f>
        <v>4161.8148409079822</v>
      </c>
      <c r="AG57" s="18">
        <f>IF(AK57&lt;&gt;1,"",DATA_INPUT!$L57)</f>
        <v>0</v>
      </c>
      <c r="AH57" s="18">
        <f t="shared" si="8"/>
        <v>18237995.296653874</v>
      </c>
      <c r="AI57" s="18">
        <f>IF(AK57&lt;&gt;1,"",IF(AH57-CONTROL_PANEL!$B$11&lt;0,0,AH57-CONTROL_PANEL!$B$11))</f>
        <v>0</v>
      </c>
      <c r="AJ57" s="18">
        <f>IF(AK57&lt;&gt;1,"",IF(AG57&lt;=0,0,MIN(AG57,MAX(0,CONTROL_PANEL!$B$13-AH57))))</f>
        <v>0</v>
      </c>
      <c r="AK57" s="18">
        <v>1</v>
      </c>
      <c r="AM57" s="19">
        <f t="shared" si="32"/>
        <v>2020</v>
      </c>
      <c r="AN57" s="19">
        <v>2</v>
      </c>
      <c r="AO57" s="18">
        <f t="shared" si="9"/>
        <v>29</v>
      </c>
      <c r="AP57" s="18">
        <f t="shared" si="42"/>
        <v>256.80066394572316</v>
      </c>
      <c r="AQ57" s="18">
        <f>IF(BD56&lt;&gt;1,"",IF(BA56&gt;0,IF(BA56&gt;CONTROL_PANEL!$B$11,CONTROL_PANEL!$B$11,BA56),0))</f>
        <v>22039845.775100145</v>
      </c>
      <c r="AR57" s="18">
        <f t="shared" si="37"/>
        <v>3032913.9282141686</v>
      </c>
      <c r="AS57" s="18">
        <f>IF(BD57&lt;&gt;1,"",DATA_INPUT!$I57)</f>
        <v>0.62649628795844969</v>
      </c>
      <c r="AT57" s="18">
        <f>IF(BD57&lt;&gt;1,"",AS57*CONTROL_PANEL!$B$5)</f>
        <v>59454.497727256879</v>
      </c>
      <c r="AU57" s="18">
        <f>IF(BD57&lt;&gt;1,"",DATA_INPUT!$C57)</f>
        <v>2.8041326666666664</v>
      </c>
      <c r="AV57" s="18">
        <f t="shared" si="11"/>
        <v>8504.6930212936713</v>
      </c>
      <c r="AW57" s="18">
        <f>IF(BD57&lt;&gt;1,"",DATA_INPUT!$H57)</f>
        <v>34.680207865154408</v>
      </c>
      <c r="AX57" s="18">
        <f t="shared" si="12"/>
        <v>105182.08546758936</v>
      </c>
      <c r="AY57" s="18">
        <f>IF(BD57&lt;&gt;1,"",AT57*CONTROL_PANEL!$B$14)</f>
        <v>4161.8148409079822</v>
      </c>
      <c r="AZ57" s="18">
        <f>IF(BD57&lt;&gt;1,"",DATA_INPUT!$M57)</f>
        <v>0</v>
      </c>
      <c r="BA57" s="18">
        <f t="shared" si="13"/>
        <v>21998461.065540198</v>
      </c>
      <c r="BB57" s="18">
        <f>IF(BD57&lt;&gt;1,"",IF(BA57-CONTROL_PANEL!$B$11&lt;0,0,BA57-CONTROL_PANEL!$B$11))</f>
        <v>0</v>
      </c>
      <c r="BC57" s="18">
        <f>IF(BD57&lt;&gt;1,"",IF(AZ57&lt;=0,0,MIN(AZ57,MAX(0,CONTROL_PANEL!$B$13-BA57))))</f>
        <v>0</v>
      </c>
      <c r="BD57" s="18">
        <v>1</v>
      </c>
      <c r="BF57" s="19">
        <f t="shared" si="33"/>
        <v>2020</v>
      </c>
      <c r="BG57" s="19">
        <v>2</v>
      </c>
      <c r="BH57" s="18">
        <f t="shared" si="14"/>
        <v>29</v>
      </c>
      <c r="BI57" s="18">
        <f t="shared" si="43"/>
        <v>257.57967477115125</v>
      </c>
      <c r="BJ57" s="18">
        <f>IF(BW56&lt;&gt;1,"",IF(BT56&gt;0,IF(BT56&gt;CONTROL_PANEL!$B$11,CONTROL_PANEL!$B$11,BT56),0))</f>
        <v>24505151.734541398</v>
      </c>
      <c r="BK57" s="18">
        <f t="shared" si="38"/>
        <v>3255824.3618969419</v>
      </c>
      <c r="BL57" s="18">
        <f>IF(BW57&lt;&gt;1,"",DATA_INPUT!$I57)</f>
        <v>0.62649628795844969</v>
      </c>
      <c r="BM57" s="18">
        <f>IF(BW57&lt;&gt;1,"",BL57*CONTROL_PANEL!$B$5)</f>
        <v>59454.497727256879</v>
      </c>
      <c r="BN57" s="18">
        <f>IF(BW57&lt;&gt;1,"",DATA_INPUT!$C57)</f>
        <v>2.8041326666666664</v>
      </c>
      <c r="BO57" s="18">
        <f t="shared" si="16"/>
        <v>9129.7634501243701</v>
      </c>
      <c r="BP57" s="18">
        <f>IF(BW57&lt;&gt;1,"",DATA_INPUT!$H57)</f>
        <v>34.680207865154408</v>
      </c>
      <c r="BQ57" s="18">
        <f t="shared" si="17"/>
        <v>112912.66564301966</v>
      </c>
      <c r="BR57" s="18">
        <f>IF(BW57&lt;&gt;1,"",BM57*CONTROL_PANEL!$B$14)</f>
        <v>4161.8148409079822</v>
      </c>
      <c r="BS57" s="18">
        <f>IF(BW57&lt;&gt;1,"",DATA_INPUT!$N57)</f>
        <v>0</v>
      </c>
      <c r="BT57" s="18">
        <f t="shared" si="18"/>
        <v>24456661.51523485</v>
      </c>
      <c r="BU57" s="18">
        <f>IF(BW57&lt;&gt;1,"",IF(BT57-CONTROL_PANEL!$B$11&lt;0,0,BT57-CONTROL_PANEL!$B$11))</f>
        <v>0</v>
      </c>
      <c r="BV57" s="18">
        <f>IF(BW57&lt;&gt;1,"",IF(BS57&lt;=0,0,MIN(BS57,MAX(0,CONTROL_PANEL!$B$13-BT57))))</f>
        <v>0</v>
      </c>
      <c r="BW57" s="18">
        <v>1</v>
      </c>
      <c r="BY57" s="19">
        <f t="shared" si="34"/>
        <v>2020</v>
      </c>
      <c r="BZ57" s="19">
        <v>2</v>
      </c>
      <c r="CA57" s="18">
        <f t="shared" si="19"/>
        <v>29</v>
      </c>
      <c r="CB57" s="18">
        <f t="shared" si="44"/>
        <v>256.6463497718882</v>
      </c>
      <c r="CC57" s="18">
        <f>IF(CP56&lt;&gt;1,"",IF(CM56&gt;0,IF(CM56&gt;CONTROL_PANEL!$B$11,CONTROL_PANEL!$B$11,CM56),0))</f>
        <v>21572064.204668276</v>
      </c>
      <c r="CD57" s="18">
        <f t="shared" si="39"/>
        <v>2989704.6521003358</v>
      </c>
      <c r="CE57" s="18">
        <f>IF(CP57&lt;&gt;1,"",DATA_INPUT!$I57)</f>
        <v>0.62649628795844969</v>
      </c>
      <c r="CF57" s="18">
        <f>IF(CP57&lt;&gt;1,"",CE57*CONTROL_PANEL!$B$5)</f>
        <v>59454.497727256879</v>
      </c>
      <c r="CG57" s="18">
        <f>IF(CP57&lt;&gt;1,"",DATA_INPUT!$C57)</f>
        <v>2.8041326666666664</v>
      </c>
      <c r="CH57" s="18">
        <f t="shared" si="21"/>
        <v>8383.5284786398533</v>
      </c>
      <c r="CI57" s="18">
        <f>IF(CP57&lt;&gt;1,"",DATA_INPUT!$H57)</f>
        <v>34.680207865154408</v>
      </c>
      <c r="CJ57" s="18">
        <f t="shared" si="22"/>
        <v>103683.57879025879</v>
      </c>
      <c r="CK57" s="18">
        <f>IF(CP57&lt;&gt;1,"",CF57*CONTROL_PANEL!$B$14)</f>
        <v>4161.8148409079822</v>
      </c>
      <c r="CL57" s="18">
        <f>IF(CP57&lt;&gt;1,"",DATA_INPUT!$O57)</f>
        <v>0</v>
      </c>
      <c r="CM57" s="18">
        <f t="shared" si="23"/>
        <v>21532056.837243006</v>
      </c>
      <c r="CN57" s="18">
        <f>IF(CP57&lt;&gt;1,"",IF(CM57-CONTROL_PANEL!$B$11&lt;0,0,CM57-CONTROL_PANEL!$B$11))</f>
        <v>0</v>
      </c>
      <c r="CO57" s="18">
        <f>IF(CP57&lt;&gt;1,"",IF(CL57&lt;=0,0,MIN(CL57,MAX(0,CONTROL_PANEL!$B$13-CM57))))</f>
        <v>0</v>
      </c>
      <c r="CP57" s="18">
        <v>1</v>
      </c>
    </row>
    <row r="58" spans="1:94" x14ac:dyDescent="0.25">
      <c r="A58" s="19">
        <f t="shared" si="30"/>
        <v>2020</v>
      </c>
      <c r="B58" s="19">
        <v>3</v>
      </c>
      <c r="C58" s="18">
        <f t="shared" si="0"/>
        <v>31</v>
      </c>
      <c r="D58" s="39">
        <f t="shared" si="40"/>
        <v>257.35492333441726</v>
      </c>
      <c r="E58" s="39">
        <f>IF(R57&lt;&gt;1,"",IF(O57&gt;0,IF(O57&gt;CONTROL_PANEL!$B$11,CONTROL_PANEL!$B$11,O57),0))</f>
        <v>23775902.64476547</v>
      </c>
      <c r="F58" s="39">
        <f t="shared" si="35"/>
        <v>3190693.4712892366</v>
      </c>
      <c r="G58" s="39">
        <f>IF(R58&lt;&gt;1,"",DATA_INPUT!I58)</f>
        <v>5.6344813909641598</v>
      </c>
      <c r="H58" s="39">
        <f>IF(R58&lt;&gt;1,"",G58*CONTROL_PANEL!$B$5)</f>
        <v>534712.28400249872</v>
      </c>
      <c r="I58" s="39">
        <f>IF(R58&lt;&gt;1,"",DATA_INPUT!C58)</f>
        <v>51.564639388963997</v>
      </c>
      <c r="J58" s="39">
        <f t="shared" si="2"/>
        <v>164526.95824775123</v>
      </c>
      <c r="K58" s="39">
        <f>IF(R58&lt;&gt;1,"",DATA_INPUT!H58)</f>
        <v>48.03067744777973</v>
      </c>
      <c r="L58" s="39">
        <f t="shared" si="25"/>
        <v>153251.16895422994</v>
      </c>
      <c r="M58" s="39">
        <f>IF(R58&lt;&gt;1,"",H58*CONTROL_PANEL!$B$14)</f>
        <v>37429.859880174918</v>
      </c>
      <c r="N58" s="38">
        <f>IF(R58&lt;&gt;1,"",DATA_INPUT!K58)</f>
        <v>0</v>
      </c>
      <c r="O58" s="39">
        <f t="shared" si="3"/>
        <v>24284460.858181313</v>
      </c>
      <c r="P58" s="28">
        <f>IF(R58&lt;&gt;1,"",IF(O58-CONTROL_PANEL!$B$11&lt;0,0,O58-CONTROL_PANEL!$B$11))</f>
        <v>0</v>
      </c>
      <c r="Q58" s="18">
        <f>IF(R58&lt;&gt;1,"",IF(N58&lt;=0,0,MIN(N58,MAX(0,CONTROL_PANEL!$B$13-O58))))</f>
        <v>0</v>
      </c>
      <c r="R58" s="28">
        <v>1</v>
      </c>
      <c r="T58" s="19">
        <f t="shared" si="31"/>
        <v>2020</v>
      </c>
      <c r="U58" s="19">
        <v>3</v>
      </c>
      <c r="V58" s="18">
        <f t="shared" si="4"/>
        <v>31</v>
      </c>
      <c r="W58" s="18">
        <f t="shared" si="41"/>
        <v>255.47579452836138</v>
      </c>
      <c r="X58" s="18">
        <f>IF(AK57&lt;&gt;1,"",IF(AH57&gt;0,IF(AH57&gt;CONTROL_PANEL!$B$11,CONTROL_PANEL!$B$11,AH57),0))</f>
        <v>18237995.296653874</v>
      </c>
      <c r="Y58" s="18">
        <f t="shared" si="36"/>
        <v>2672130.0516166189</v>
      </c>
      <c r="Z58" s="18">
        <f>IF(AK58&lt;&gt;1,"",DATA_INPUT!I58)</f>
        <v>5.6344813909641598</v>
      </c>
      <c r="AA58" s="18">
        <f>IF(AK58&lt;&gt;1,"",Z58*CONTROL_PANEL!$B$5)</f>
        <v>534712.28400249872</v>
      </c>
      <c r="AB58" s="18">
        <f>IF(AK58&lt;&gt;1,"",DATA_INPUT!$C58)</f>
        <v>51.564639388963997</v>
      </c>
      <c r="AC58" s="18">
        <f t="shared" si="6"/>
        <v>137787.4225120247</v>
      </c>
      <c r="AD58" s="18">
        <f>IF(AK58&lt;&gt;1,"",DATA_INPUT!$H58)</f>
        <v>48.03067744777973</v>
      </c>
      <c r="AE58" s="18">
        <f t="shared" si="7"/>
        <v>128344.21660771682</v>
      </c>
      <c r="AF58" s="18">
        <f>IF(AK58&lt;&gt;1,"",AA58*CONTROL_PANEL!$B$14)</f>
        <v>37429.859880174918</v>
      </c>
      <c r="AG58" s="18">
        <f>IF(AK58&lt;&gt;1,"",DATA_INPUT!$L58)</f>
        <v>0</v>
      </c>
      <c r="AH58" s="18">
        <f t="shared" si="8"/>
        <v>18744720.926680505</v>
      </c>
      <c r="AI58" s="18">
        <f>IF(AK58&lt;&gt;1,"",IF(AH58-CONTROL_PANEL!$B$11&lt;0,0,AH58-CONTROL_PANEL!$B$11))</f>
        <v>0</v>
      </c>
      <c r="AJ58" s="18">
        <f>IF(AK58&lt;&gt;1,"",IF(AG58&lt;=0,0,MIN(AG58,MAX(0,CONTROL_PANEL!$B$13-AH58))))</f>
        <v>0</v>
      </c>
      <c r="AK58" s="18">
        <v>1</v>
      </c>
      <c r="AM58" s="19">
        <f t="shared" si="32"/>
        <v>2020</v>
      </c>
      <c r="AN58" s="19">
        <v>3</v>
      </c>
      <c r="AO58" s="18">
        <f t="shared" si="9"/>
        <v>31</v>
      </c>
      <c r="AP58" s="18">
        <f t="shared" si="42"/>
        <v>256.78710059270099</v>
      </c>
      <c r="AQ58" s="18">
        <f>IF(BD57&lt;&gt;1,"",IF(BA57&gt;0,IF(BA57&gt;CONTROL_PANEL!$B$11,CONTROL_PANEL!$B$11,BA57),0))</f>
        <v>21998461.065540198</v>
      </c>
      <c r="AR58" s="18">
        <f t="shared" si="37"/>
        <v>3029103.5246208846</v>
      </c>
      <c r="AS58" s="18">
        <f>IF(BD58&lt;&gt;1,"",DATA_INPUT!$I58)</f>
        <v>5.6344813909641598</v>
      </c>
      <c r="AT58" s="18">
        <f>IF(BD58&lt;&gt;1,"",AS58*CONTROL_PANEL!$B$5)</f>
        <v>534712.28400249872</v>
      </c>
      <c r="AU58" s="18">
        <f>IF(BD58&lt;&gt;1,"",DATA_INPUT!$C58)</f>
        <v>51.564639388963997</v>
      </c>
      <c r="AV58" s="18">
        <f t="shared" si="11"/>
        <v>156194.63091891576</v>
      </c>
      <c r="AW58" s="18">
        <f>IF(BD58&lt;&gt;1,"",DATA_INPUT!$H58)</f>
        <v>48.03067744777973</v>
      </c>
      <c r="AX58" s="18">
        <f t="shared" si="12"/>
        <v>145489.89434699842</v>
      </c>
      <c r="AY58" s="18">
        <f>IF(BD58&lt;&gt;1,"",AT58*CONTROL_PANEL!$B$14)</f>
        <v>37429.859880174918</v>
      </c>
      <c r="AZ58" s="18">
        <f>IF(BD58&lt;&gt;1,"",DATA_INPUT!$M58)</f>
        <v>0</v>
      </c>
      <c r="BA58" s="18">
        <f t="shared" si="13"/>
        <v>22506448.22623444</v>
      </c>
      <c r="BB58" s="18">
        <f>IF(BD58&lt;&gt;1,"",IF(BA58-CONTROL_PANEL!$B$11&lt;0,0,BA58-CONTROL_PANEL!$B$11))</f>
        <v>0</v>
      </c>
      <c r="BC58" s="18">
        <f>IF(BD58&lt;&gt;1,"",IF(AZ58&lt;=0,0,MIN(AZ58,MAX(0,CONTROL_PANEL!$B$13-BA58))))</f>
        <v>0</v>
      </c>
      <c r="BD58" s="18">
        <v>1</v>
      </c>
      <c r="BF58" s="19">
        <f t="shared" si="33"/>
        <v>2020</v>
      </c>
      <c r="BG58" s="19">
        <v>3</v>
      </c>
      <c r="BH58" s="18">
        <f t="shared" si="14"/>
        <v>31</v>
      </c>
      <c r="BI58" s="18">
        <f t="shared" si="43"/>
        <v>257.56487022429428</v>
      </c>
      <c r="BJ58" s="18">
        <f>IF(BW57&lt;&gt;1,"",IF(BT57&gt;0,IF(BT57&gt;CONTROL_PANEL!$B$11,CONTROL_PANEL!$B$11,BT57),0))</f>
        <v>24456661.51523485</v>
      </c>
      <c r="BK58" s="18">
        <f t="shared" si="38"/>
        <v>3251513.694358048</v>
      </c>
      <c r="BL58" s="18">
        <f>IF(BW58&lt;&gt;1,"",DATA_INPUT!$I58)</f>
        <v>5.6344813909641598</v>
      </c>
      <c r="BM58" s="18">
        <f>IF(BW58&lt;&gt;1,"",BL58*CONTROL_PANEL!$B$5)</f>
        <v>534712.28400249872</v>
      </c>
      <c r="BN58" s="18">
        <f>IF(BW58&lt;&gt;1,"",DATA_INPUT!$C58)</f>
        <v>51.564639388963997</v>
      </c>
      <c r="BO58" s="18">
        <f t="shared" si="16"/>
        <v>167663.13111785083</v>
      </c>
      <c r="BP58" s="18">
        <f>IF(BW58&lt;&gt;1,"",DATA_INPUT!$H58)</f>
        <v>48.03067744777973</v>
      </c>
      <c r="BQ58" s="18">
        <f t="shared" si="17"/>
        <v>156172.40547075006</v>
      </c>
      <c r="BR58" s="18">
        <f>IF(BW58&lt;&gt;1,"",BM58*CONTROL_PANEL!$B$14)</f>
        <v>37429.859880174918</v>
      </c>
      <c r="BS58" s="18">
        <f>IF(BW58&lt;&gt;1,"",DATA_INPUT!$N58)</f>
        <v>0</v>
      </c>
      <c r="BT58" s="18">
        <f t="shared" si="18"/>
        <v>24965434.665004272</v>
      </c>
      <c r="BU58" s="18">
        <f>IF(BW58&lt;&gt;1,"",IF(BT58-CONTROL_PANEL!$B$11&lt;0,0,BT58-CONTROL_PANEL!$B$11))</f>
        <v>0</v>
      </c>
      <c r="BV58" s="18">
        <f>IF(BW58&lt;&gt;1,"",IF(BS58&lt;=0,0,MIN(BS58,MAX(0,CONTROL_PANEL!$B$13-BT58))))</f>
        <v>0</v>
      </c>
      <c r="BW58" s="18">
        <v>1</v>
      </c>
      <c r="BY58" s="19">
        <f t="shared" si="34"/>
        <v>2020</v>
      </c>
      <c r="BZ58" s="19">
        <v>3</v>
      </c>
      <c r="CA58" s="18">
        <f t="shared" si="19"/>
        <v>31</v>
      </c>
      <c r="CB58" s="18">
        <f t="shared" si="44"/>
        <v>256.63304842675007</v>
      </c>
      <c r="CC58" s="18">
        <f>IF(CP57&lt;&gt;1,"",IF(CM57&gt;0,IF(CM57&gt;CONTROL_PANEL!$B$11,CONTROL_PANEL!$B$11,CM57),0))</f>
        <v>21532056.837243006</v>
      </c>
      <c r="CD58" s="18">
        <f t="shared" si="39"/>
        <v>2985994.8185505546</v>
      </c>
      <c r="CE58" s="18">
        <f>IF(CP58&lt;&gt;1,"",DATA_INPUT!$I58)</f>
        <v>5.6344813909641598</v>
      </c>
      <c r="CF58" s="18">
        <f>IF(CP58&lt;&gt;1,"",CE58*CONTROL_PANEL!$B$5)</f>
        <v>534712.28400249872</v>
      </c>
      <c r="CG58" s="18">
        <f>IF(CP58&lt;&gt;1,"",DATA_INPUT!$C58)</f>
        <v>51.564639388963997</v>
      </c>
      <c r="CH58" s="18">
        <f t="shared" si="21"/>
        <v>153971.74603587433</v>
      </c>
      <c r="CI58" s="18">
        <f>IF(CP58&lt;&gt;1,"",DATA_INPUT!$H58)</f>
        <v>48.03067744777973</v>
      </c>
      <c r="CJ58" s="18">
        <f t="shared" si="22"/>
        <v>143419.35399054326</v>
      </c>
      <c r="CK58" s="18">
        <f>IF(CP58&lt;&gt;1,"",CF58*CONTROL_PANEL!$B$14)</f>
        <v>37429.859880174918</v>
      </c>
      <c r="CL58" s="18">
        <f>IF(CP58&lt;&gt;1,"",DATA_INPUT!$O58)</f>
        <v>0</v>
      </c>
      <c r="CM58" s="18">
        <f t="shared" si="23"/>
        <v>22039891.653410658</v>
      </c>
      <c r="CN58" s="18">
        <f>IF(CP58&lt;&gt;1,"",IF(CM58-CONTROL_PANEL!$B$11&lt;0,0,CM58-CONTROL_PANEL!$B$11))</f>
        <v>0</v>
      </c>
      <c r="CO58" s="18">
        <f>IF(CP58&lt;&gt;1,"",IF(CL58&lt;=0,0,MIN(CL58,MAX(0,CONTROL_PANEL!$B$13-CM58))))</f>
        <v>0</v>
      </c>
      <c r="CP58" s="18">
        <v>1</v>
      </c>
    </row>
    <row r="59" spans="1:94" x14ac:dyDescent="0.25">
      <c r="A59" s="19">
        <f t="shared" si="30"/>
        <v>2020</v>
      </c>
      <c r="B59" s="19">
        <v>4</v>
      </c>
      <c r="C59" s="18">
        <f t="shared" si="0"/>
        <v>30</v>
      </c>
      <c r="D59" s="39">
        <f t="shared" si="40"/>
        <v>257.5121364308838</v>
      </c>
      <c r="E59" s="39">
        <f>IF(R58&lt;&gt;1,"",IF(O58&gt;0,IF(O58&gt;CONTROL_PANEL!$B$11,CONTROL_PANEL!$B$11,O58),0))</f>
        <v>24284460.858181313</v>
      </c>
      <c r="F59" s="39">
        <f t="shared" si="35"/>
        <v>3236182.5275098332</v>
      </c>
      <c r="G59" s="39">
        <f>IF(R59&lt;&gt;1,"",DATA_INPUT!I59)</f>
        <v>2.6204537745477401</v>
      </c>
      <c r="H59" s="39">
        <f>IF(R59&lt;&gt;1,"",G59*CONTROL_PANEL!$B$5)</f>
        <v>248681.06320458054</v>
      </c>
      <c r="I59" s="39">
        <f>IF(R59&lt;&gt;1,"",DATA_INPUT!C59)</f>
        <v>105.49800545047465</v>
      </c>
      <c r="J59" s="39">
        <f t="shared" si="2"/>
        <v>341410.8019259632</v>
      </c>
      <c r="K59" s="39">
        <f>IF(R59&lt;&gt;1,"",DATA_INPUT!H59)</f>
        <v>67.36231363857928</v>
      </c>
      <c r="L59" s="39">
        <f t="shared" si="25"/>
        <v>217996.7424098076</v>
      </c>
      <c r="M59" s="39">
        <f>IF(R59&lt;&gt;1,"",H59*CONTROL_PANEL!$B$14)</f>
        <v>17407.674424320638</v>
      </c>
      <c r="N59" s="38">
        <f>IF(R59&lt;&gt;1,"",DATA_INPUT!K59)</f>
        <v>9084.7423802437588</v>
      </c>
      <c r="O59" s="39">
        <f t="shared" si="3"/>
        <v>24630063.564097483</v>
      </c>
      <c r="P59" s="28">
        <f>IF(R59&lt;&gt;1,"",IF(O59-CONTROL_PANEL!$B$11&lt;0,0,O59-CONTROL_PANEL!$B$11))</f>
        <v>0</v>
      </c>
      <c r="Q59" s="18">
        <f>IF(R59&lt;&gt;1,"",IF(N59&lt;=0,0,MIN(N59,MAX(0,CONTROL_PANEL!$B$13-O59))))</f>
        <v>0</v>
      </c>
      <c r="R59" s="28">
        <v>1</v>
      </c>
      <c r="T59" s="19">
        <f t="shared" si="31"/>
        <v>2020</v>
      </c>
      <c r="U59" s="19">
        <v>4</v>
      </c>
      <c r="V59" s="18">
        <f t="shared" si="4"/>
        <v>30</v>
      </c>
      <c r="W59" s="18">
        <f t="shared" si="41"/>
        <v>255.66244842533132</v>
      </c>
      <c r="X59" s="18">
        <f>IF(AK58&lt;&gt;1,"",IF(AH58&gt;0,IF(AH58&gt;CONTROL_PANEL!$B$11,CONTROL_PANEL!$B$11,AH58),0))</f>
        <v>18744720.926680505</v>
      </c>
      <c r="Y59" s="18">
        <f t="shared" si="36"/>
        <v>2721563.3705394124</v>
      </c>
      <c r="Z59" s="18">
        <f>IF(AK59&lt;&gt;1,"",DATA_INPUT!I59)</f>
        <v>2.6204537745477401</v>
      </c>
      <c r="AA59" s="18">
        <f>IF(AK59&lt;&gt;1,"",Z59*CONTROL_PANEL!$B$5)</f>
        <v>248681.06320458054</v>
      </c>
      <c r="AB59" s="18">
        <f>IF(AK59&lt;&gt;1,"",DATA_INPUT!$C59)</f>
        <v>105.49800545047465</v>
      </c>
      <c r="AC59" s="18">
        <f t="shared" si="6"/>
        <v>287119.50729897909</v>
      </c>
      <c r="AD59" s="18">
        <f>IF(AK59&lt;&gt;1,"",DATA_INPUT!$H59)</f>
        <v>67.36231363857928</v>
      </c>
      <c r="AE59" s="18">
        <f t="shared" si="7"/>
        <v>183330.80535354486</v>
      </c>
      <c r="AF59" s="18">
        <f>IF(AK59&lt;&gt;1,"",AA59*CONTROL_PANEL!$B$14)</f>
        <v>17407.674424320638</v>
      </c>
      <c r="AG59" s="18">
        <f>IF(AK59&lt;&gt;1,"",DATA_INPUT!$L59)</f>
        <v>11358.388773563018</v>
      </c>
      <c r="AH59" s="18">
        <f t="shared" si="8"/>
        <v>19068424.628632635</v>
      </c>
      <c r="AI59" s="18">
        <f>IF(AK59&lt;&gt;1,"",IF(AH59-CONTROL_PANEL!$B$11&lt;0,0,AH59-CONTROL_PANEL!$B$11))</f>
        <v>0</v>
      </c>
      <c r="AJ59" s="18">
        <f>IF(AK59&lt;&gt;1,"",IF(AG59&lt;=0,0,MIN(AG59,MAX(0,CONTROL_PANEL!$B$13-AH59))))</f>
        <v>0</v>
      </c>
      <c r="AK59" s="18">
        <v>1</v>
      </c>
      <c r="AM59" s="19">
        <f t="shared" si="32"/>
        <v>2020</v>
      </c>
      <c r="AN59" s="19">
        <v>4</v>
      </c>
      <c r="AO59" s="18">
        <f t="shared" si="9"/>
        <v>30</v>
      </c>
      <c r="AP59" s="18">
        <f t="shared" si="42"/>
        <v>256.95242185131571</v>
      </c>
      <c r="AQ59" s="18">
        <f>IF(BD58&lt;&gt;1,"",IF(BA58&gt;0,IF(BA58&gt;CONTROL_PANEL!$B$11,CONTROL_PANEL!$B$11,BA58),0))</f>
        <v>22506448.22623444</v>
      </c>
      <c r="AR59" s="18">
        <f t="shared" si="37"/>
        <v>3075712.7908717077</v>
      </c>
      <c r="AS59" s="18">
        <f>IF(BD59&lt;&gt;1,"",DATA_INPUT!$I59)</f>
        <v>2.6204537745477401</v>
      </c>
      <c r="AT59" s="18">
        <f>IF(BD59&lt;&gt;1,"",AS59*CONTROL_PANEL!$B$5)</f>
        <v>248681.06320458054</v>
      </c>
      <c r="AU59" s="18">
        <f>IF(BD59&lt;&gt;1,"",DATA_INPUT!$C59)</f>
        <v>105.49800545047465</v>
      </c>
      <c r="AV59" s="18">
        <f t="shared" si="11"/>
        <v>324481.56477547798</v>
      </c>
      <c r="AW59" s="18">
        <f>IF(BD59&lt;&gt;1,"",DATA_INPUT!$H59)</f>
        <v>67.36231363857928</v>
      </c>
      <c r="AX59" s="18">
        <f t="shared" si="12"/>
        <v>207187.12968089001</v>
      </c>
      <c r="AY59" s="18">
        <f>IF(BD59&lt;&gt;1,"",AT59*CONTROL_PANEL!$B$14)</f>
        <v>17407.674424320638</v>
      </c>
      <c r="AZ59" s="18">
        <f>IF(BD59&lt;&gt;1,"",DATA_INPUT!$M59)</f>
        <v>5150.1881963221404</v>
      </c>
      <c r="BA59" s="18">
        <f t="shared" si="13"/>
        <v>22849865.861912966</v>
      </c>
      <c r="BB59" s="18">
        <f>IF(BD59&lt;&gt;1,"",IF(BA59-CONTROL_PANEL!$B$11&lt;0,0,BA59-CONTROL_PANEL!$B$11))</f>
        <v>0</v>
      </c>
      <c r="BC59" s="18">
        <f>IF(BD59&lt;&gt;1,"",IF(AZ59&lt;=0,0,MIN(AZ59,MAX(0,CONTROL_PANEL!$B$13-BA59))))</f>
        <v>0</v>
      </c>
      <c r="BD59" s="18">
        <v>1</v>
      </c>
      <c r="BF59" s="19">
        <f t="shared" si="33"/>
        <v>2020</v>
      </c>
      <c r="BG59" s="19">
        <v>4</v>
      </c>
      <c r="BH59" s="18">
        <f t="shared" si="14"/>
        <v>30</v>
      </c>
      <c r="BI59" s="18">
        <f t="shared" si="43"/>
        <v>257.71923761206682</v>
      </c>
      <c r="BJ59" s="18">
        <f>IF(BW58&lt;&gt;1,"",IF(BT58&gt;0,IF(BT58&gt;CONTROL_PANEL!$B$11,CONTROL_PANEL!$B$11,BT58),0))</f>
        <v>24965434.665004272</v>
      </c>
      <c r="BK59" s="18">
        <f t="shared" si="38"/>
        <v>3296602.8734711297</v>
      </c>
      <c r="BL59" s="18">
        <f>IF(BW59&lt;&gt;1,"",DATA_INPUT!$I59)</f>
        <v>2.6204537745477401</v>
      </c>
      <c r="BM59" s="18">
        <f>IF(BW59&lt;&gt;1,"",BL59*CONTROL_PANEL!$B$5)</f>
        <v>248681.06320458054</v>
      </c>
      <c r="BN59" s="18">
        <f>IF(BW59&lt;&gt;1,"",DATA_INPUT!$C59)</f>
        <v>105.49800545047465</v>
      </c>
      <c r="BO59" s="18">
        <f t="shared" si="16"/>
        <v>347785.02791350766</v>
      </c>
      <c r="BP59" s="18">
        <f>IF(BW59&lt;&gt;1,"",DATA_INPUT!$H59)</f>
        <v>67.36231363857928</v>
      </c>
      <c r="BQ59" s="18">
        <f t="shared" si="17"/>
        <v>222066.79670460391</v>
      </c>
      <c r="BR59" s="18">
        <f>IF(BW59&lt;&gt;1,"",BM59*CONTROL_PANEL!$B$14)</f>
        <v>17407.674424320638</v>
      </c>
      <c r="BS59" s="18">
        <f>IF(BW59&lt;&gt;1,"",DATA_INPUT!$N59)</f>
        <v>73.190807321559319</v>
      </c>
      <c r="BT59" s="18">
        <f t="shared" si="18"/>
        <v>25322353.094186112</v>
      </c>
      <c r="BU59" s="18">
        <f>IF(BW59&lt;&gt;1,"",IF(BT59-CONTROL_PANEL!$B$11&lt;0,0,BT59-CONTROL_PANEL!$B$11))</f>
        <v>0</v>
      </c>
      <c r="BV59" s="18">
        <f>IF(BW59&lt;&gt;1,"",IF(BS59&lt;=0,0,MIN(BS59,MAX(0,CONTROL_PANEL!$B$13-BT59))))</f>
        <v>0</v>
      </c>
      <c r="BW59" s="18">
        <v>1</v>
      </c>
      <c r="BY59" s="19">
        <f t="shared" si="34"/>
        <v>2020</v>
      </c>
      <c r="BZ59" s="19">
        <v>4</v>
      </c>
      <c r="CA59" s="18">
        <f t="shared" si="19"/>
        <v>30</v>
      </c>
      <c r="CB59" s="18">
        <f t="shared" si="44"/>
        <v>256.80067897234443</v>
      </c>
      <c r="CC59" s="18">
        <f>IF(CP58&lt;&gt;1,"",IF(CM58&gt;0,IF(CM58&gt;CONTROL_PANEL!$B$11,CONTROL_PANEL!$B$11,CM58),0))</f>
        <v>22039891.653410658</v>
      </c>
      <c r="CD59" s="18">
        <f t="shared" si="39"/>
        <v>3032918.1510405657</v>
      </c>
      <c r="CE59" s="18">
        <f>IF(CP59&lt;&gt;1,"",DATA_INPUT!$I59)</f>
        <v>2.6204537745477401</v>
      </c>
      <c r="CF59" s="18">
        <f>IF(CP59&lt;&gt;1,"",CE59*CONTROL_PANEL!$B$5)</f>
        <v>248681.06320458054</v>
      </c>
      <c r="CG59" s="18">
        <f>IF(CP59&lt;&gt;1,"",DATA_INPUT!$C59)</f>
        <v>105.49800545047465</v>
      </c>
      <c r="CH59" s="18">
        <f t="shared" si="21"/>
        <v>319966.81562932109</v>
      </c>
      <c r="CI59" s="18">
        <f>IF(CP59&lt;&gt;1,"",DATA_INPUT!$H59)</f>
        <v>67.36231363857928</v>
      </c>
      <c r="CJ59" s="18">
        <f t="shared" si="22"/>
        <v>204304.38373053455</v>
      </c>
      <c r="CK59" s="18">
        <f>IF(CP59&lt;&gt;1,"",CF59*CONTROL_PANEL!$B$14)</f>
        <v>17407.674424320638</v>
      </c>
      <c r="CL59" s="18">
        <f>IF(CP59&lt;&gt;1,"",DATA_INPUT!$O59)</f>
        <v>84.43082416022736</v>
      </c>
      <c r="CM59" s="18">
        <f t="shared" si="23"/>
        <v>22386743.043265544</v>
      </c>
      <c r="CN59" s="18">
        <f>IF(CP59&lt;&gt;1,"",IF(CM59-CONTROL_PANEL!$B$11&lt;0,0,CM59-CONTROL_PANEL!$B$11))</f>
        <v>0</v>
      </c>
      <c r="CO59" s="18">
        <f>IF(CP59&lt;&gt;1,"",IF(CL59&lt;=0,0,MIN(CL59,MAX(0,CONTROL_PANEL!$B$13-CM59))))</f>
        <v>0</v>
      </c>
      <c r="CP59" s="18">
        <v>1</v>
      </c>
    </row>
    <row r="60" spans="1:94" x14ac:dyDescent="0.25">
      <c r="A60" s="19">
        <f t="shared" si="30"/>
        <v>2020</v>
      </c>
      <c r="B60" s="19">
        <v>5</v>
      </c>
      <c r="C60" s="18">
        <f t="shared" si="0"/>
        <v>31</v>
      </c>
      <c r="D60" s="39">
        <f t="shared" si="40"/>
        <v>257.61772156045862</v>
      </c>
      <c r="E60" s="39">
        <f>IF(R59&lt;&gt;1,"",IF(O59&gt;0,IF(O59&gt;CONTROL_PANEL!$B$11,CONTROL_PANEL!$B$11,O59),0))</f>
        <v>24630063.564097483</v>
      </c>
      <c r="F60" s="39">
        <f t="shared" si="35"/>
        <v>3266915.7454599938</v>
      </c>
      <c r="G60" s="39">
        <f>IF(R60&lt;&gt;1,"",DATA_INPUT!I60)</f>
        <v>0.35895317064207377</v>
      </c>
      <c r="H60" s="39">
        <f>IF(R60&lt;&gt;1,"",G60*CONTROL_PANEL!$B$5)</f>
        <v>34064.655893932802</v>
      </c>
      <c r="I60" s="39">
        <f>IF(R60&lt;&gt;1,"",DATA_INPUT!C60)</f>
        <v>55.473411723469333</v>
      </c>
      <c r="J60" s="39">
        <f t="shared" si="2"/>
        <v>181226.96221378699</v>
      </c>
      <c r="K60" s="39">
        <f>IF(R60&lt;&gt;1,"",DATA_INPUT!H60)</f>
        <v>110.67696547309743</v>
      </c>
      <c r="L60" s="39">
        <f t="shared" si="25"/>
        <v>361572.32116379408</v>
      </c>
      <c r="M60" s="39">
        <f>IF(R60&lt;&gt;1,"",H60*CONTROL_PANEL!$B$14)</f>
        <v>2384.5259125752964</v>
      </c>
      <c r="N60" s="38">
        <f>IF(R60&lt;&gt;1,"",DATA_INPUT!K60)</f>
        <v>178950.36320360258</v>
      </c>
      <c r="O60" s="39">
        <f t="shared" si="3"/>
        <v>24302447.971925233</v>
      </c>
      <c r="P60" s="28">
        <f>IF(R60&lt;&gt;1,"",IF(O60-CONTROL_PANEL!$B$11&lt;0,0,O60-CONTROL_PANEL!$B$11))</f>
        <v>0</v>
      </c>
      <c r="Q60" s="18">
        <f>IF(R60&lt;&gt;1,"",IF(N60&lt;=0,0,MIN(N60,MAX(0,CONTROL_PANEL!$B$13-O60))))</f>
        <v>0</v>
      </c>
      <c r="R60" s="28">
        <v>1</v>
      </c>
      <c r="T60" s="19">
        <f t="shared" si="31"/>
        <v>2020</v>
      </c>
      <c r="U60" s="19">
        <v>5</v>
      </c>
      <c r="V60" s="18">
        <f t="shared" si="4"/>
        <v>31</v>
      </c>
      <c r="W60" s="18">
        <f t="shared" si="41"/>
        <v>255.77992519189621</v>
      </c>
      <c r="X60" s="18">
        <f>IF(AK59&lt;&gt;1,"",IF(AH59&gt;0,IF(AH59&gt;CONTROL_PANEL!$B$11,CONTROL_PANEL!$B$11,AH59),0))</f>
        <v>19068424.628632635</v>
      </c>
      <c r="Y60" s="18">
        <f t="shared" si="36"/>
        <v>2752910.4824788733</v>
      </c>
      <c r="Z60" s="18">
        <f>IF(AK60&lt;&gt;1,"",DATA_INPUT!I60)</f>
        <v>0.35895317064207377</v>
      </c>
      <c r="AA60" s="18">
        <f>IF(AK60&lt;&gt;1,"",Z60*CONTROL_PANEL!$B$5)</f>
        <v>34064.655893932802</v>
      </c>
      <c r="AB60" s="18">
        <f>IF(AK60&lt;&gt;1,"",DATA_INPUT!$C60)</f>
        <v>55.473411723469333</v>
      </c>
      <c r="AC60" s="18">
        <f t="shared" si="6"/>
        <v>152713.33663240517</v>
      </c>
      <c r="AD60" s="18">
        <f>IF(AK60&lt;&gt;1,"",DATA_INPUT!$H60)</f>
        <v>110.67696547309743</v>
      </c>
      <c r="AE60" s="18">
        <f t="shared" si="7"/>
        <v>304683.77841984225</v>
      </c>
      <c r="AF60" s="18">
        <f>IF(AK60&lt;&gt;1,"",AA60*CONTROL_PANEL!$B$14)</f>
        <v>2384.5259125752964</v>
      </c>
      <c r="AG60" s="18">
        <f>IF(AK60&lt;&gt;1,"",DATA_INPUT!$L60)</f>
        <v>227506.91785011944</v>
      </c>
      <c r="AH60" s="18">
        <f t="shared" si="8"/>
        <v>18720627.398976434</v>
      </c>
      <c r="AI60" s="18">
        <f>IF(AK60&lt;&gt;1,"",IF(AH60-CONTROL_PANEL!$B$11&lt;0,0,AH60-CONTROL_PANEL!$B$11))</f>
        <v>0</v>
      </c>
      <c r="AJ60" s="18">
        <f>IF(AK60&lt;&gt;1,"",IF(AG60&lt;=0,0,MIN(AG60,MAX(0,CONTROL_PANEL!$B$13-AH60))))</f>
        <v>0</v>
      </c>
      <c r="AK60" s="18">
        <v>1</v>
      </c>
      <c r="AM60" s="19">
        <f t="shared" si="32"/>
        <v>2020</v>
      </c>
      <c r="AN60" s="19">
        <v>5</v>
      </c>
      <c r="AO60" s="18">
        <f t="shared" si="9"/>
        <v>31</v>
      </c>
      <c r="AP60" s="18">
        <f t="shared" si="42"/>
        <v>257.06277581654234</v>
      </c>
      <c r="AQ60" s="18">
        <f>IF(BD59&lt;&gt;1,"",IF(BA59&gt;0,IF(BA59&gt;CONTROL_PANEL!$B$11,CONTROL_PANEL!$B$11,BA59),0))</f>
        <v>22849865.861912966</v>
      </c>
      <c r="AR60" s="18">
        <f t="shared" si="37"/>
        <v>3107025.0704510761</v>
      </c>
      <c r="AS60" s="18">
        <f>IF(BD60&lt;&gt;1,"",DATA_INPUT!$I60)</f>
        <v>0.35895317064207377</v>
      </c>
      <c r="AT60" s="18">
        <f>IF(BD60&lt;&gt;1,"",AS60*CONTROL_PANEL!$B$5)</f>
        <v>34064.655893932802</v>
      </c>
      <c r="AU60" s="18">
        <f>IF(BD60&lt;&gt;1,"",DATA_INPUT!$C60)</f>
        <v>55.473411723469333</v>
      </c>
      <c r="AV60" s="18">
        <f t="shared" si="11"/>
        <v>172357.28096827384</v>
      </c>
      <c r="AW60" s="18">
        <f>IF(BD60&lt;&gt;1,"",DATA_INPUT!$H60)</f>
        <v>110.67696547309743</v>
      </c>
      <c r="AX60" s="18">
        <f t="shared" si="12"/>
        <v>343876.10644636187</v>
      </c>
      <c r="AY60" s="18">
        <f>IF(BD60&lt;&gt;1,"",AT60*CONTROL_PANEL!$B$14)</f>
        <v>2384.5259125752964</v>
      </c>
      <c r="AZ60" s="18">
        <f>IF(BD60&lt;&gt;1,"",DATA_INPUT!$M60)</f>
        <v>174307.6243528536</v>
      </c>
      <c r="BA60" s="18">
        <f t="shared" si="13"/>
        <v>22535719.542063382</v>
      </c>
      <c r="BB60" s="18">
        <f>IF(BD60&lt;&gt;1,"",IF(BA60-CONTROL_PANEL!$B$11&lt;0,0,BA60-CONTROL_PANEL!$B$11))</f>
        <v>0</v>
      </c>
      <c r="BC60" s="18">
        <f>IF(BD60&lt;&gt;1,"",IF(AZ60&lt;=0,0,MIN(AZ60,MAX(0,CONTROL_PANEL!$B$13-BA60))))</f>
        <v>0</v>
      </c>
      <c r="BD60" s="18">
        <v>1</v>
      </c>
      <c r="BF60" s="19">
        <f t="shared" si="33"/>
        <v>2020</v>
      </c>
      <c r="BG60" s="19">
        <v>5</v>
      </c>
      <c r="BH60" s="18">
        <f t="shared" si="14"/>
        <v>31</v>
      </c>
      <c r="BI60" s="18">
        <f t="shared" si="43"/>
        <v>257.82627897361493</v>
      </c>
      <c r="BJ60" s="18">
        <f>IF(BW59&lt;&gt;1,"",IF(BT59&gt;0,IF(BT59&gt;CONTROL_PANEL!$B$11,CONTROL_PANEL!$B$11,BT59),0))</f>
        <v>25322353.094186112</v>
      </c>
      <c r="BK60" s="18">
        <f t="shared" si="38"/>
        <v>3328052.69620902</v>
      </c>
      <c r="BL60" s="18">
        <f>IF(BW60&lt;&gt;1,"",DATA_INPUT!$I60)</f>
        <v>0.35895317064207377</v>
      </c>
      <c r="BM60" s="18">
        <f>IF(BW60&lt;&gt;1,"",BL60*CONTROL_PANEL!$B$5)</f>
        <v>34064.655893932802</v>
      </c>
      <c r="BN60" s="18">
        <f>IF(BW60&lt;&gt;1,"",DATA_INPUT!$C60)</f>
        <v>55.473411723469333</v>
      </c>
      <c r="BO60" s="18">
        <f t="shared" si="16"/>
        <v>184618.43745420518</v>
      </c>
      <c r="BP60" s="18">
        <f>IF(BW60&lt;&gt;1,"",DATA_INPUT!$H60)</f>
        <v>110.67696547309743</v>
      </c>
      <c r="BQ60" s="18">
        <f t="shared" si="17"/>
        <v>368338.77335097449</v>
      </c>
      <c r="BR60" s="18">
        <f>IF(BW60&lt;&gt;1,"",BM60*CONTROL_PANEL!$B$14)</f>
        <v>2384.5259125752964</v>
      </c>
      <c r="BS60" s="18">
        <f>IF(BW60&lt;&gt;1,"",DATA_INPUT!$N60)</f>
        <v>135376.31212295874</v>
      </c>
      <c r="BT60" s="18">
        <f t="shared" si="18"/>
        <v>25034936.576147743</v>
      </c>
      <c r="BU60" s="18">
        <f>IF(BW60&lt;&gt;1,"",IF(BT60-CONTROL_PANEL!$B$11&lt;0,0,BT60-CONTROL_PANEL!$B$11))</f>
        <v>0</v>
      </c>
      <c r="BV60" s="18">
        <f>IF(BW60&lt;&gt;1,"",IF(BS60&lt;=0,0,MIN(BS60,MAX(0,CONTROL_PANEL!$B$13-BT60))))</f>
        <v>0</v>
      </c>
      <c r="BW60" s="18">
        <v>1</v>
      </c>
      <c r="BY60" s="19">
        <f t="shared" si="34"/>
        <v>2020</v>
      </c>
      <c r="BZ60" s="19">
        <v>5</v>
      </c>
      <c r="CA60" s="18">
        <f t="shared" si="19"/>
        <v>31</v>
      </c>
      <c r="CB60" s="18">
        <f t="shared" si="44"/>
        <v>256.91369112847337</v>
      </c>
      <c r="CC60" s="18">
        <f>IF(CP59&lt;&gt;1,"",IF(CM59&gt;0,IF(CM59&gt;CONTROL_PANEL!$B$11,CONTROL_PANEL!$B$11,CM59),0))</f>
        <v>22386743.043265544</v>
      </c>
      <c r="CD60" s="18">
        <f t="shared" si="39"/>
        <v>3064761.1457173578</v>
      </c>
      <c r="CE60" s="18">
        <f>IF(CP60&lt;&gt;1,"",DATA_INPUT!$I60)</f>
        <v>0.35895317064207377</v>
      </c>
      <c r="CF60" s="18">
        <f>IF(CP60&lt;&gt;1,"",CE60*CONTROL_PANEL!$B$5)</f>
        <v>34064.655893932802</v>
      </c>
      <c r="CG60" s="18">
        <f>IF(CP60&lt;&gt;1,"",DATA_INPUT!$C60)</f>
        <v>55.473411723469333</v>
      </c>
      <c r="CH60" s="18">
        <f t="shared" si="21"/>
        <v>170012.75687047059</v>
      </c>
      <c r="CI60" s="18">
        <f>IF(CP60&lt;&gt;1,"",DATA_INPUT!$H60)</f>
        <v>110.67696547309743</v>
      </c>
      <c r="CJ60" s="18">
        <f t="shared" si="22"/>
        <v>339198.46350785054</v>
      </c>
      <c r="CK60" s="18">
        <f>IF(CP60&lt;&gt;1,"",CF60*CONTROL_PANEL!$B$14)</f>
        <v>2384.5259125752964</v>
      </c>
      <c r="CL60" s="18">
        <f>IF(CP60&lt;&gt;1,"",DATA_INPUT!$O60)</f>
        <v>155396.90423473367</v>
      </c>
      <c r="CM60" s="18">
        <f t="shared" si="23"/>
        <v>22093840.562374789</v>
      </c>
      <c r="CN60" s="18">
        <f>IF(CP60&lt;&gt;1,"",IF(CM60-CONTROL_PANEL!$B$11&lt;0,0,CM60-CONTROL_PANEL!$B$11))</f>
        <v>0</v>
      </c>
      <c r="CO60" s="18">
        <f>IF(CP60&lt;&gt;1,"",IF(CL60&lt;=0,0,MIN(CL60,MAX(0,CONTROL_PANEL!$B$13-CM60))))</f>
        <v>0</v>
      </c>
      <c r="CP60" s="18">
        <v>1</v>
      </c>
    </row>
    <row r="61" spans="1:94" x14ac:dyDescent="0.25">
      <c r="A61" s="19">
        <f t="shared" si="30"/>
        <v>2020</v>
      </c>
      <c r="B61" s="19">
        <v>6</v>
      </c>
      <c r="C61" s="18">
        <f t="shared" si="0"/>
        <v>30</v>
      </c>
      <c r="D61" s="39">
        <f t="shared" si="40"/>
        <v>257.51765638204103</v>
      </c>
      <c r="E61" s="39">
        <f>IF(R60&lt;&gt;1,"",IF(O60&gt;0,IF(O60&gt;CONTROL_PANEL!$B$11,CONTROL_PANEL!$B$11,O60),0))</f>
        <v>24302447.971925233</v>
      </c>
      <c r="F61" s="39">
        <f t="shared" si="35"/>
        <v>3237785.6149329599</v>
      </c>
      <c r="G61" s="39">
        <f>IF(R61&lt;&gt;1,"",DATA_INPUT!I61)</f>
        <v>5.3535435776629385E-2</v>
      </c>
      <c r="H61" s="39">
        <f>IF(R61&lt;&gt;1,"",G61*CONTROL_PANEL!$B$5)</f>
        <v>5080.5128552021288</v>
      </c>
      <c r="I61" s="39">
        <f>IF(R61&lt;&gt;1,"",DATA_INPUT!C61)</f>
        <v>2.4507000007673336</v>
      </c>
      <c r="J61" s="39">
        <f t="shared" si="2"/>
        <v>7934.8412090006668</v>
      </c>
      <c r="K61" s="39">
        <f>IF(R61&lt;&gt;1,"",DATA_INPUT!H61)</f>
        <v>136.2273720984044</v>
      </c>
      <c r="L61" s="39">
        <f t="shared" si="25"/>
        <v>441075.02574033343</v>
      </c>
      <c r="M61" s="39">
        <f>IF(R61&lt;&gt;1,"",H61*CONTROL_PANEL!$B$14)</f>
        <v>355.63589986414905</v>
      </c>
      <c r="N61" s="38">
        <f>IF(R61&lt;&gt;1,"",DATA_INPUT!K61)</f>
        <v>891368.20792563888</v>
      </c>
      <c r="O61" s="39">
        <f t="shared" si="3"/>
        <v>22982664.456423599</v>
      </c>
      <c r="P61" s="28">
        <f>IF(R61&lt;&gt;1,"",IF(O61-CONTROL_PANEL!$B$11&lt;0,0,O61-CONTROL_PANEL!$B$11))</f>
        <v>0</v>
      </c>
      <c r="Q61" s="18">
        <f>IF(R61&lt;&gt;1,"",IF(N61&lt;=0,0,MIN(N61,MAX(0,CONTROL_PANEL!$B$13-O61))))</f>
        <v>0</v>
      </c>
      <c r="R61" s="28">
        <v>1</v>
      </c>
      <c r="T61" s="19">
        <f t="shared" si="31"/>
        <v>2020</v>
      </c>
      <c r="U61" s="19">
        <v>6</v>
      </c>
      <c r="V61" s="18">
        <f t="shared" si="4"/>
        <v>30</v>
      </c>
      <c r="W61" s="18">
        <f t="shared" si="41"/>
        <v>255.65365044399303</v>
      </c>
      <c r="X61" s="18">
        <f>IF(AK60&lt;&gt;1,"",IF(AH60&gt;0,IF(AH60&gt;CONTROL_PANEL!$B$11,CONTROL_PANEL!$B$11,AH60),0))</f>
        <v>18720627.398976434</v>
      </c>
      <c r="Y61" s="18">
        <f t="shared" si="36"/>
        <v>2719223.0423975014</v>
      </c>
      <c r="Z61" s="18">
        <f>IF(AK61&lt;&gt;1,"",DATA_INPUT!I61)</f>
        <v>5.3535435776629385E-2</v>
      </c>
      <c r="AA61" s="18">
        <f>IF(AK61&lt;&gt;1,"",Z61*CONTROL_PANEL!$B$5)</f>
        <v>5080.5128552021288</v>
      </c>
      <c r="AB61" s="18">
        <f>IF(AK61&lt;&gt;1,"",DATA_INPUT!$C61)</f>
        <v>2.4507000007673336</v>
      </c>
      <c r="AC61" s="18">
        <f t="shared" si="6"/>
        <v>6663.9999120901075</v>
      </c>
      <c r="AD61" s="18">
        <f>IF(AK61&lt;&gt;1,"",DATA_INPUT!$H61)</f>
        <v>136.2273720984044</v>
      </c>
      <c r="AE61" s="18">
        <f t="shared" si="7"/>
        <v>370432.6092152397</v>
      </c>
      <c r="AF61" s="18">
        <f>IF(AK61&lt;&gt;1,"",AA61*CONTROL_PANEL!$B$14)</f>
        <v>355.63589986414905</v>
      </c>
      <c r="AG61" s="18">
        <f>IF(AK61&lt;&gt;1,"",DATA_INPUT!$L61)</f>
        <v>1133831.4449962273</v>
      </c>
      <c r="AH61" s="18">
        <f t="shared" si="8"/>
        <v>17227752.221632395</v>
      </c>
      <c r="AI61" s="18">
        <f>IF(AK61&lt;&gt;1,"",IF(AH61-CONTROL_PANEL!$B$11&lt;0,0,AH61-CONTROL_PANEL!$B$11))</f>
        <v>0</v>
      </c>
      <c r="AJ61" s="18">
        <f>IF(AK61&lt;&gt;1,"",IF(AG61&lt;=0,0,MIN(AG61,MAX(0,CONTROL_PANEL!$B$13-AH61))))</f>
        <v>0</v>
      </c>
      <c r="AK61" s="18">
        <v>1</v>
      </c>
      <c r="AM61" s="19">
        <f t="shared" si="32"/>
        <v>2020</v>
      </c>
      <c r="AN61" s="19">
        <v>6</v>
      </c>
      <c r="AO61" s="18">
        <f t="shared" si="9"/>
        <v>30</v>
      </c>
      <c r="AP61" s="18">
        <f t="shared" si="42"/>
        <v>256.9618716373094</v>
      </c>
      <c r="AQ61" s="18">
        <f>IF(BD60&lt;&gt;1,"",IF(BA60&gt;0,IF(BA60&gt;CONTROL_PANEL!$B$11,CONTROL_PANEL!$B$11,BA60),0))</f>
        <v>22535719.542063382</v>
      </c>
      <c r="AR61" s="18">
        <f t="shared" si="37"/>
        <v>3078387.8415598068</v>
      </c>
      <c r="AS61" s="18">
        <f>IF(BD61&lt;&gt;1,"",DATA_INPUT!$I61)</f>
        <v>5.3535435776629385E-2</v>
      </c>
      <c r="AT61" s="18">
        <f>IF(BD61&lt;&gt;1,"",AS61*CONTROL_PANEL!$B$5)</f>
        <v>5080.5128552021288</v>
      </c>
      <c r="AU61" s="18">
        <f>IF(BD61&lt;&gt;1,"",DATA_INPUT!$C61)</f>
        <v>2.4507000007673336</v>
      </c>
      <c r="AV61" s="18">
        <f t="shared" si="11"/>
        <v>7544.2050856727692</v>
      </c>
      <c r="AW61" s="18">
        <f>IF(BD61&lt;&gt;1,"",DATA_INPUT!$H61)</f>
        <v>136.2273720984044</v>
      </c>
      <c r="AX61" s="18">
        <f t="shared" si="12"/>
        <v>419360.68595537182</v>
      </c>
      <c r="AY61" s="18">
        <f>IF(BD61&lt;&gt;1,"",AT61*CONTROL_PANEL!$B$14)</f>
        <v>355.63589986414905</v>
      </c>
      <c r="AZ61" s="18">
        <f>IF(BD61&lt;&gt;1,"",DATA_INPUT!$M61)</f>
        <v>926945.69386532623</v>
      </c>
      <c r="BA61" s="18">
        <f t="shared" si="13"/>
        <v>21201682.244283695</v>
      </c>
      <c r="BB61" s="18">
        <f>IF(BD61&lt;&gt;1,"",IF(BA61-CONTROL_PANEL!$B$11&lt;0,0,BA61-CONTROL_PANEL!$B$11))</f>
        <v>0</v>
      </c>
      <c r="BC61" s="18">
        <f>IF(BD61&lt;&gt;1,"",IF(AZ61&lt;=0,0,MIN(AZ61,MAX(0,CONTROL_PANEL!$B$13-BA61))))</f>
        <v>0</v>
      </c>
      <c r="BD61" s="18">
        <v>1</v>
      </c>
      <c r="BF61" s="19">
        <f t="shared" si="33"/>
        <v>2020</v>
      </c>
      <c r="BG61" s="19">
        <v>6</v>
      </c>
      <c r="BH61" s="18">
        <f t="shared" si="14"/>
        <v>30</v>
      </c>
      <c r="BI61" s="18">
        <f t="shared" si="43"/>
        <v>257.74016140984548</v>
      </c>
      <c r="BJ61" s="18">
        <f>IF(BW60&lt;&gt;1,"",IF(BT60&gt;0,IF(BT60&gt;CONTROL_PANEL!$B$11,CONTROL_PANEL!$B$11,BT60),0))</f>
        <v>25034936.576147743</v>
      </c>
      <c r="BK61" s="18">
        <f t="shared" si="38"/>
        <v>3302738.6382546215</v>
      </c>
      <c r="BL61" s="18">
        <f>IF(BW61&lt;&gt;1,"",DATA_INPUT!$I61)</f>
        <v>5.3535435776629385E-2</v>
      </c>
      <c r="BM61" s="18">
        <f>IF(BW61&lt;&gt;1,"",BL61*CONTROL_PANEL!$B$5)</f>
        <v>5080.5128552021288</v>
      </c>
      <c r="BN61" s="18">
        <f>IF(BW61&lt;&gt;1,"",DATA_INPUT!$C61)</f>
        <v>2.4507000007673336</v>
      </c>
      <c r="BO61" s="18">
        <f t="shared" si="16"/>
        <v>8094.0215833049033</v>
      </c>
      <c r="BP61" s="18">
        <f>IF(BW61&lt;&gt;1,"",DATA_INPUT!$H61)</f>
        <v>136.2273720984044</v>
      </c>
      <c r="BQ61" s="18">
        <f t="shared" si="17"/>
        <v>449923.40541728982</v>
      </c>
      <c r="BR61" s="18">
        <f>IF(BW61&lt;&gt;1,"",BM61*CONTROL_PANEL!$B$14)</f>
        <v>355.63589986414905</v>
      </c>
      <c r="BS61" s="18">
        <f>IF(BW61&lt;&gt;1,"",DATA_INPUT!$N61)</f>
        <v>783599.49467885017</v>
      </c>
      <c r="BT61" s="18">
        <f t="shared" si="18"/>
        <v>23814232.574590243</v>
      </c>
      <c r="BU61" s="18">
        <f>IF(BW61&lt;&gt;1,"",IF(BT61-CONTROL_PANEL!$B$11&lt;0,0,BT61-CONTROL_PANEL!$B$11))</f>
        <v>0</v>
      </c>
      <c r="BV61" s="18">
        <f>IF(BW61&lt;&gt;1,"",IF(BS61&lt;=0,0,MIN(BS61,MAX(0,CONTROL_PANEL!$B$13-BT61))))</f>
        <v>0</v>
      </c>
      <c r="BW61" s="18">
        <v>1</v>
      </c>
      <c r="BY61" s="19">
        <f t="shared" si="34"/>
        <v>2020</v>
      </c>
      <c r="BZ61" s="19">
        <v>6</v>
      </c>
      <c r="CA61" s="18">
        <f t="shared" si="19"/>
        <v>30</v>
      </c>
      <c r="CB61" s="18">
        <f t="shared" si="44"/>
        <v>256.8183345161741</v>
      </c>
      <c r="CC61" s="18">
        <f>IF(CP60&lt;&gt;1,"",IF(CM60&gt;0,IF(CM60&gt;CONTROL_PANEL!$B$11,CONTROL_PANEL!$B$11,CM60),0))</f>
        <v>22093840.562374789</v>
      </c>
      <c r="CD61" s="18">
        <f t="shared" si="39"/>
        <v>3037881.8162307241</v>
      </c>
      <c r="CE61" s="18">
        <f>IF(CP61&lt;&gt;1,"",DATA_INPUT!$I61)</f>
        <v>5.3535435776629385E-2</v>
      </c>
      <c r="CF61" s="18">
        <f>IF(CP61&lt;&gt;1,"",CE61*CONTROL_PANEL!$B$5)</f>
        <v>5080.5128552021288</v>
      </c>
      <c r="CG61" s="18">
        <f>IF(CP61&lt;&gt;1,"",DATA_INPUT!$C61)</f>
        <v>2.4507000007673336</v>
      </c>
      <c r="CH61" s="18">
        <f t="shared" si="21"/>
        <v>7444.9369693677045</v>
      </c>
      <c r="CI61" s="18">
        <f>IF(CP61&lt;&gt;1,"",DATA_INPUT!$H61)</f>
        <v>136.2273720984044</v>
      </c>
      <c r="CJ61" s="18">
        <f t="shared" si="22"/>
        <v>413842.6565706394</v>
      </c>
      <c r="CK61" s="18">
        <f>IF(CP61&lt;&gt;1,"",CF61*CONTROL_PANEL!$B$14)</f>
        <v>355.63589986414905</v>
      </c>
      <c r="CL61" s="18">
        <f>IF(CP61&lt;&gt;1,"",DATA_INPUT!$O61)</f>
        <v>898983.62786058837</v>
      </c>
      <c r="CM61" s="18">
        <f t="shared" si="23"/>
        <v>20793184.091868266</v>
      </c>
      <c r="CN61" s="18">
        <f>IF(CP61&lt;&gt;1,"",IF(CM61-CONTROL_PANEL!$B$11&lt;0,0,CM61-CONTROL_PANEL!$B$11))</f>
        <v>0</v>
      </c>
      <c r="CO61" s="18">
        <f>IF(CP61&lt;&gt;1,"",IF(CL61&lt;=0,0,MIN(CL61,MAX(0,CONTROL_PANEL!$B$13-CM61))))</f>
        <v>0</v>
      </c>
      <c r="CP61" s="18">
        <v>1</v>
      </c>
    </row>
    <row r="62" spans="1:94" x14ac:dyDescent="0.25">
      <c r="A62" s="19">
        <f t="shared" si="30"/>
        <v>2020</v>
      </c>
      <c r="B62" s="19">
        <v>7</v>
      </c>
      <c r="C62" s="18">
        <f t="shared" si="0"/>
        <v>31</v>
      </c>
      <c r="D62" s="39">
        <f t="shared" si="40"/>
        <v>257.10515189917254</v>
      </c>
      <c r="E62" s="39">
        <f>IF(R61&lt;&gt;1,"",IF(O61&gt;0,IF(O61&gt;CONTROL_PANEL!$B$11,CONTROL_PANEL!$B$11,O61),0))</f>
        <v>22982664.456423599</v>
      </c>
      <c r="F62" s="39">
        <f t="shared" si="35"/>
        <v>3119091.5893164147</v>
      </c>
      <c r="G62" s="39">
        <f>IF(R62&lt;&gt;1,"",DATA_INPUT!I62)</f>
        <v>7.4117962748163554E-3</v>
      </c>
      <c r="H62" s="39">
        <f>IF(R62&lt;&gt;1,"",G62*CONTROL_PANEL!$B$5)</f>
        <v>703.3794664800721</v>
      </c>
      <c r="I62" s="39">
        <f>IF(R62&lt;&gt;1,"",DATA_INPUT!C62)</f>
        <v>9.2666666666666675</v>
      </c>
      <c r="J62" s="39">
        <f t="shared" si="2"/>
        <v>28903.582060998779</v>
      </c>
      <c r="K62" s="39">
        <f>IF(R62&lt;&gt;1,"",DATA_INPUT!H62)</f>
        <v>179.01528191714866</v>
      </c>
      <c r="L62" s="39">
        <f t="shared" si="25"/>
        <v>558365.06018688518</v>
      </c>
      <c r="M62" s="39">
        <f>IF(R62&lt;&gt;1,"",H62*CONTROL_PANEL!$B$14)</f>
        <v>49.236562653605048</v>
      </c>
      <c r="N62" s="38">
        <f>IF(R62&lt;&gt;1,"",DATA_INPUT!K62)</f>
        <v>1875412.3425748148</v>
      </c>
      <c r="O62" s="39">
        <f t="shared" si="3"/>
        <v>20578444.778626729</v>
      </c>
      <c r="P62" s="18">
        <f>IF(R62&lt;&gt;1,"",IF(O62-CONTROL_PANEL!$B$11&lt;0,0,O62-CONTROL_PANEL!$B$11))</f>
        <v>0</v>
      </c>
      <c r="Q62" s="18">
        <f>IF(R62&lt;&gt;1,"",IF(N62&lt;=0,0,MIN(N62,MAX(0,CONTROL_PANEL!$B$13-O62))))</f>
        <v>0</v>
      </c>
      <c r="R62" s="18">
        <v>1</v>
      </c>
      <c r="T62" s="19">
        <f t="shared" si="31"/>
        <v>2020</v>
      </c>
      <c r="U62" s="19">
        <v>7</v>
      </c>
      <c r="V62" s="18">
        <f t="shared" si="4"/>
        <v>31</v>
      </c>
      <c r="W62" s="18">
        <f t="shared" si="41"/>
        <v>255.0930516709015</v>
      </c>
      <c r="X62" s="18">
        <f>IF(AK61&lt;&gt;1,"",IF(AH61&gt;0,IF(AH61&gt;CONTROL_PANEL!$B$11,CONTROL_PANEL!$B$11,AH61),0))</f>
        <v>17227752.221632395</v>
      </c>
      <c r="Y62" s="18">
        <f t="shared" si="36"/>
        <v>2572195.4788850807</v>
      </c>
      <c r="Z62" s="18">
        <f>IF(AK62&lt;&gt;1,"",DATA_INPUT!I62)</f>
        <v>7.4117962748163554E-3</v>
      </c>
      <c r="AA62" s="18">
        <f>IF(AK62&lt;&gt;1,"",Z62*CONTROL_PANEL!$B$5)</f>
        <v>703.3794664800721</v>
      </c>
      <c r="AB62" s="18">
        <f>IF(AK62&lt;&gt;1,"",DATA_INPUT!$C62)</f>
        <v>9.2666666666666675</v>
      </c>
      <c r="AC62" s="18">
        <f t="shared" si="6"/>
        <v>23835.678104335086</v>
      </c>
      <c r="AD62" s="18">
        <f>IF(AK62&lt;&gt;1,"",DATA_INPUT!$H62)</f>
        <v>179.01528191714866</v>
      </c>
      <c r="AE62" s="18">
        <f t="shared" si="7"/>
        <v>460462.29879862792</v>
      </c>
      <c r="AF62" s="18">
        <f>IF(AK62&lt;&gt;1,"",AA62*CONTROL_PANEL!$B$14)</f>
        <v>49.236562653605048</v>
      </c>
      <c r="AG62" s="18">
        <f>IF(AK62&lt;&gt;1,"",DATA_INPUT!$L62)</f>
        <v>2386045.8366903556</v>
      </c>
      <c r="AH62" s="18">
        <f t="shared" si="8"/>
        <v>14405733.907151572</v>
      </c>
      <c r="AI62" s="18">
        <f>IF(AK62&lt;&gt;1,"",IF(AH62-CONTROL_PANEL!$B$11&lt;0,0,AH62-CONTROL_PANEL!$B$11))</f>
        <v>0</v>
      </c>
      <c r="AJ62" s="18">
        <f>IF(AK62&lt;&gt;1,"",IF(AG62&lt;=0,0,MIN(AG62,MAX(0,CONTROL_PANEL!$B$13-AH62))))</f>
        <v>0</v>
      </c>
      <c r="AK62" s="18">
        <v>1</v>
      </c>
      <c r="AM62" s="19">
        <f t="shared" si="32"/>
        <v>2020</v>
      </c>
      <c r="AN62" s="19">
        <v>7</v>
      </c>
      <c r="AO62" s="18">
        <f t="shared" si="9"/>
        <v>31</v>
      </c>
      <c r="AP62" s="18">
        <f t="shared" si="42"/>
        <v>256.5225709207208</v>
      </c>
      <c r="AQ62" s="18">
        <f>IF(BD61&lt;&gt;1,"",IF(BA61&gt;0,IF(BA61&gt;CONTROL_PANEL!$B$11,CONTROL_PANEL!$B$11,BA61),0))</f>
        <v>21201682.244283695</v>
      </c>
      <c r="AR62" s="18">
        <f t="shared" si="37"/>
        <v>2955271.7919779569</v>
      </c>
      <c r="AS62" s="18">
        <f>IF(BD62&lt;&gt;1,"",DATA_INPUT!$I62)</f>
        <v>7.4117962748163554E-3</v>
      </c>
      <c r="AT62" s="18">
        <f>IF(BD62&lt;&gt;1,"",AS62*CONTROL_PANEL!$B$5)</f>
        <v>703.3794664800721</v>
      </c>
      <c r="AU62" s="18">
        <f>IF(BD62&lt;&gt;1,"",DATA_INPUT!$C62)</f>
        <v>9.2666666666666675</v>
      </c>
      <c r="AV62" s="18">
        <f t="shared" si="11"/>
        <v>27385.518605662401</v>
      </c>
      <c r="AW62" s="18">
        <f>IF(BD62&lt;&gt;1,"",DATA_INPUT!$H62)</f>
        <v>179.01528191714866</v>
      </c>
      <c r="AX62" s="18">
        <f t="shared" si="12"/>
        <v>529038.81298273103</v>
      </c>
      <c r="AY62" s="18">
        <f>IF(BD62&lt;&gt;1,"",AT62*CONTROL_PANEL!$B$14)</f>
        <v>49.236562653605048</v>
      </c>
      <c r="AZ62" s="18">
        <f>IF(BD62&lt;&gt;1,"",DATA_INPUT!$M62)</f>
        <v>2077029.1753423307</v>
      </c>
      <c r="BA62" s="18">
        <f t="shared" si="13"/>
        <v>18623653.917468123</v>
      </c>
      <c r="BB62" s="18">
        <f>IF(BD62&lt;&gt;1,"",IF(BA62-CONTROL_PANEL!$B$11&lt;0,0,BA62-CONTROL_PANEL!$B$11))</f>
        <v>0</v>
      </c>
      <c r="BC62" s="18">
        <f>IF(BD62&lt;&gt;1,"",IF(AZ62&lt;=0,0,MIN(AZ62,MAX(0,CONTROL_PANEL!$B$13-BA62))))</f>
        <v>0</v>
      </c>
      <c r="BD62" s="18">
        <v>1</v>
      </c>
      <c r="BF62" s="19">
        <f t="shared" si="33"/>
        <v>2020</v>
      </c>
      <c r="BG62" s="19">
        <v>7</v>
      </c>
      <c r="BH62" s="18">
        <f t="shared" si="14"/>
        <v>31</v>
      </c>
      <c r="BI62" s="18">
        <f t="shared" si="43"/>
        <v>257.36685039007591</v>
      </c>
      <c r="BJ62" s="18">
        <f>IF(BW61&lt;&gt;1,"",IF(BT61&gt;0,IF(BT61&gt;CONTROL_PANEL!$B$11,CONTROL_PANEL!$B$11,BT61),0))</f>
        <v>23814232.574590243</v>
      </c>
      <c r="BK62" s="18">
        <f t="shared" si="38"/>
        <v>3194133.1245936118</v>
      </c>
      <c r="BL62" s="18">
        <f>IF(BW62&lt;&gt;1,"",DATA_INPUT!$I62)</f>
        <v>7.4117962748163554E-3</v>
      </c>
      <c r="BM62" s="18">
        <f>IF(BW62&lt;&gt;1,"",BL62*CONTROL_PANEL!$B$5)</f>
        <v>703.3794664800721</v>
      </c>
      <c r="BN62" s="18">
        <f>IF(BW62&lt;&gt;1,"",DATA_INPUT!$C62)</f>
        <v>9.2666666666666675</v>
      </c>
      <c r="BO62" s="18">
        <f t="shared" si="16"/>
        <v>29598.966954567473</v>
      </c>
      <c r="BP62" s="18">
        <f>IF(BW62&lt;&gt;1,"",DATA_INPUT!$H62)</f>
        <v>179.01528191714866</v>
      </c>
      <c r="BQ62" s="18">
        <f t="shared" si="17"/>
        <v>571798.64178002835</v>
      </c>
      <c r="BR62" s="18">
        <f>IF(BW62&lt;&gt;1,"",BM62*CONTROL_PANEL!$B$14)</f>
        <v>49.236562653605048</v>
      </c>
      <c r="BS62" s="18">
        <f>IF(BW62&lt;&gt;1,"",DATA_INPUT!$N62)</f>
        <v>1883820.7083746097</v>
      </c>
      <c r="BT62" s="18">
        <f t="shared" si="18"/>
        <v>21388866.334293999</v>
      </c>
      <c r="BU62" s="18">
        <f>IF(BW62&lt;&gt;1,"",IF(BT62-CONTROL_PANEL!$B$11&lt;0,0,BT62-CONTROL_PANEL!$B$11))</f>
        <v>0</v>
      </c>
      <c r="BV62" s="18">
        <f>IF(BW62&lt;&gt;1,"",IF(BS62&lt;=0,0,MIN(BS62,MAX(0,CONTROL_PANEL!$B$13-BT62))))</f>
        <v>0</v>
      </c>
      <c r="BW62" s="18">
        <v>1</v>
      </c>
      <c r="BY62" s="19">
        <f t="shared" si="34"/>
        <v>2020</v>
      </c>
      <c r="BZ62" s="19">
        <v>7</v>
      </c>
      <c r="CA62" s="18">
        <f t="shared" si="19"/>
        <v>31</v>
      </c>
      <c r="CB62" s="18">
        <f t="shared" si="44"/>
        <v>256.38436500002956</v>
      </c>
      <c r="CC62" s="18">
        <f>IF(CP61&lt;&gt;1,"",IF(CM61&gt;0,IF(CM61&gt;CONTROL_PANEL!$B$11,CONTROL_PANEL!$B$11,CM61),0))</f>
        <v>20793184.091868266</v>
      </c>
      <c r="CD62" s="18">
        <f t="shared" si="39"/>
        <v>2917063.5777830426</v>
      </c>
      <c r="CE62" s="18">
        <f>IF(CP62&lt;&gt;1,"",DATA_INPUT!$I62)</f>
        <v>7.4117962748163554E-3</v>
      </c>
      <c r="CF62" s="18">
        <f>IF(CP62&lt;&gt;1,"",CE62*CONTROL_PANEL!$B$5)</f>
        <v>703.3794664800721</v>
      </c>
      <c r="CG62" s="18">
        <f>IF(CP62&lt;&gt;1,"",DATA_INPUT!$C62)</f>
        <v>9.2666666666666675</v>
      </c>
      <c r="CH62" s="18">
        <f t="shared" si="21"/>
        <v>27031.455820789532</v>
      </c>
      <c r="CI62" s="18">
        <f>IF(CP62&lt;&gt;1,"",DATA_INPUT!$H62)</f>
        <v>179.01528191714866</v>
      </c>
      <c r="CJ62" s="18">
        <f t="shared" si="22"/>
        <v>522198.95874707762</v>
      </c>
      <c r="CK62" s="18">
        <f>IF(CP62&lt;&gt;1,"",CF62*CONTROL_PANEL!$B$14)</f>
        <v>49.236562653605048</v>
      </c>
      <c r="CL62" s="18">
        <f>IF(CP62&lt;&gt;1,"",DATA_INPUT!$O62)</f>
        <v>2162837.8137295437</v>
      </c>
      <c r="CM62" s="18">
        <f t="shared" si="23"/>
        <v>18135832.91811626</v>
      </c>
      <c r="CN62" s="18">
        <f>IF(CP62&lt;&gt;1,"",IF(CM62-CONTROL_PANEL!$B$11&lt;0,0,CM62-CONTROL_PANEL!$B$11))</f>
        <v>0</v>
      </c>
      <c r="CO62" s="18">
        <f>IF(CP62&lt;&gt;1,"",IF(CL62&lt;=0,0,MIN(CL62,MAX(0,CONTROL_PANEL!$B$13-CM62))))</f>
        <v>0</v>
      </c>
      <c r="CP62" s="18">
        <v>1</v>
      </c>
    </row>
    <row r="63" spans="1:94" x14ac:dyDescent="0.25">
      <c r="A63" s="19">
        <f t="shared" si="30"/>
        <v>2020</v>
      </c>
      <c r="B63" s="19">
        <v>8</v>
      </c>
      <c r="C63" s="18">
        <f t="shared" si="0"/>
        <v>31</v>
      </c>
      <c r="D63" s="18">
        <f t="shared" si="40"/>
        <v>256.31098359327876</v>
      </c>
      <c r="E63" s="18">
        <f>IF(R62&lt;&gt;1,"",IF(O62&gt;0,IF(O62&gt;CONTROL_PANEL!$B$11,CONTROL_PANEL!$B$11,O62),0))</f>
        <v>20578444.778626729</v>
      </c>
      <c r="F63" s="18">
        <f t="shared" si="35"/>
        <v>2896878.6947661415</v>
      </c>
      <c r="G63" s="18">
        <f>IF(R63&lt;&gt;1,"",DATA_INPUT!I63)</f>
        <v>1.0152775060714861E-3</v>
      </c>
      <c r="H63" s="18">
        <f>IF(R63&lt;&gt;1,"",G63*CONTROL_PANEL!$B$5)</f>
        <v>96.349835326184035</v>
      </c>
      <c r="I63" s="18">
        <f>IF(R63&lt;&gt;1,"",DATA_INPUT!C63)</f>
        <v>0.51595467084866664</v>
      </c>
      <c r="J63" s="18">
        <f t="shared" si="2"/>
        <v>1494.6580934465796</v>
      </c>
      <c r="K63" s="18">
        <f>IF(R63&lt;&gt;1,"",DATA_INPUT!H63)</f>
        <v>138.66625172914095</v>
      </c>
      <c r="L63" s="18">
        <f t="shared" si="25"/>
        <v>401699.31031722709</v>
      </c>
      <c r="M63" s="18">
        <f>IF(R63&lt;&gt;1,"",H63*CONTROL_PANEL!$B$14)</f>
        <v>6.7444884728328827</v>
      </c>
      <c r="N63" s="18">
        <f>IF(R63&lt;&gt;1,"",DATA_INPUT!K63)</f>
        <v>1613405.2937264829</v>
      </c>
      <c r="O63" s="18">
        <f t="shared" si="3"/>
        <v>18564924.438023318</v>
      </c>
      <c r="P63" s="18">
        <f>IF(R63&lt;&gt;1,"",IF(O63-CONTROL_PANEL!$B$11&lt;0,0,O63-CONTROL_PANEL!$B$11))</f>
        <v>0</v>
      </c>
      <c r="Q63" s="18">
        <f>IF(R63&lt;&gt;1,"",IF(N63&lt;=0,0,MIN(N63,MAX(0,CONTROL_PANEL!$B$13-O63))))</f>
        <v>0</v>
      </c>
      <c r="R63" s="18">
        <v>1</v>
      </c>
      <c r="T63" s="19">
        <f t="shared" si="31"/>
        <v>2020</v>
      </c>
      <c r="U63" s="19">
        <v>8</v>
      </c>
      <c r="V63" s="18">
        <f t="shared" si="4"/>
        <v>31</v>
      </c>
      <c r="W63" s="18">
        <f t="shared" si="41"/>
        <v>253.93737008587735</v>
      </c>
      <c r="X63" s="18">
        <f>IF(AK62&lt;&gt;1,"",IF(AH62&gt;0,IF(AH62&gt;CONTROL_PANEL!$B$11,CONTROL_PANEL!$B$11,AH62),0))</f>
        <v>14405733.907151572</v>
      </c>
      <c r="Y63" s="18">
        <f t="shared" si="36"/>
        <v>2282112.1161741605</v>
      </c>
      <c r="Z63" s="18">
        <f>IF(AK63&lt;&gt;1,"",DATA_INPUT!I63)</f>
        <v>1.0152775060714861E-3</v>
      </c>
      <c r="AA63" s="18">
        <f>IF(AK63&lt;&gt;1,"",Z63*CONTROL_PANEL!$B$5)</f>
        <v>96.349835326184035</v>
      </c>
      <c r="AB63" s="18">
        <f>IF(AK63&lt;&gt;1,"",DATA_INPUT!$C63)</f>
        <v>0.51595467084866664</v>
      </c>
      <c r="AC63" s="18">
        <f t="shared" si="6"/>
        <v>1177.4664057403932</v>
      </c>
      <c r="AD63" s="18">
        <f>IF(AK63&lt;&gt;1,"",DATA_INPUT!$H63)</f>
        <v>138.66625172914095</v>
      </c>
      <c r="AE63" s="18">
        <f t="shared" si="7"/>
        <v>316451.93317552871</v>
      </c>
      <c r="AF63" s="18">
        <f>IF(AK63&lt;&gt;1,"",AA63*CONTROL_PANEL!$B$14)</f>
        <v>6.7444884728328827</v>
      </c>
      <c r="AG63" s="18">
        <f>IF(AK63&lt;&gt;1,"",DATA_INPUT!$L63)</f>
        <v>2053334.8467610986</v>
      </c>
      <c r="AH63" s="18">
        <f t="shared" si="8"/>
        <v>12037214.198967539</v>
      </c>
      <c r="AI63" s="18">
        <f>IF(AK63&lt;&gt;1,"",IF(AH63-CONTROL_PANEL!$B$11&lt;0,0,AH63-CONTROL_PANEL!$B$11))</f>
        <v>0</v>
      </c>
      <c r="AJ63" s="18">
        <f>IF(AK63&lt;&gt;1,"",IF(AG63&lt;=0,0,MIN(AG63,MAX(0,CONTROL_PANEL!$B$13-AH63))))</f>
        <v>0</v>
      </c>
      <c r="AK63" s="18">
        <v>1</v>
      </c>
      <c r="AM63" s="19">
        <f t="shared" si="32"/>
        <v>2020</v>
      </c>
      <c r="AN63" s="19">
        <v>8</v>
      </c>
      <c r="AO63" s="18">
        <f t="shared" si="9"/>
        <v>31</v>
      </c>
      <c r="AP63" s="18">
        <f t="shared" si="42"/>
        <v>255.61816286613259</v>
      </c>
      <c r="AQ63" s="18">
        <f>IF(BD62&lt;&gt;1,"",IF(BA62&gt;0,IF(BA62&gt;CONTROL_PANEL!$B$11,CONTROL_PANEL!$B$11,BA62),0))</f>
        <v>18623653.917468123</v>
      </c>
      <c r="AR63" s="18">
        <f t="shared" si="37"/>
        <v>2709793.4047352974</v>
      </c>
      <c r="AS63" s="18">
        <f>IF(BD63&lt;&gt;1,"",DATA_INPUT!$I63)</f>
        <v>1.0152775060714861E-3</v>
      </c>
      <c r="AT63" s="18">
        <f>IF(BD63&lt;&gt;1,"",AS63*CONTROL_PANEL!$B$5)</f>
        <v>96.349835326184035</v>
      </c>
      <c r="AU63" s="18">
        <f>IF(BD63&lt;&gt;1,"",DATA_INPUT!$C63)</f>
        <v>0.51595467084866664</v>
      </c>
      <c r="AV63" s="18">
        <f t="shared" si="11"/>
        <v>1398.1305642080879</v>
      </c>
      <c r="AW63" s="18">
        <f>IF(BD63&lt;&gt;1,"",DATA_INPUT!$H63)</f>
        <v>138.66625172914095</v>
      </c>
      <c r="AX63" s="18">
        <f t="shared" si="12"/>
        <v>375756.8943949907</v>
      </c>
      <c r="AY63" s="18">
        <f>IF(BD63&lt;&gt;1,"",AT63*CONTROL_PANEL!$B$14)</f>
        <v>6.7444884728328827</v>
      </c>
      <c r="AZ63" s="18">
        <f>IF(BD63&lt;&gt;1,"",DATA_INPUT!$M63)</f>
        <v>1807668.3661664217</v>
      </c>
      <c r="BA63" s="18">
        <f t="shared" si="13"/>
        <v>16441716.392817773</v>
      </c>
      <c r="BB63" s="18">
        <f>IF(BD63&lt;&gt;1,"",IF(BA63-CONTROL_PANEL!$B$11&lt;0,0,BA63-CONTROL_PANEL!$B$11))</f>
        <v>0</v>
      </c>
      <c r="BC63" s="18">
        <f>IF(BD63&lt;&gt;1,"",IF(AZ63&lt;=0,0,MIN(AZ63,MAX(0,CONTROL_PANEL!$B$13-BA63))))</f>
        <v>0</v>
      </c>
      <c r="BD63" s="18">
        <v>1</v>
      </c>
      <c r="BF63" s="19">
        <f t="shared" si="33"/>
        <v>2020</v>
      </c>
      <c r="BG63" s="19">
        <v>8</v>
      </c>
      <c r="BH63" s="18">
        <f t="shared" si="14"/>
        <v>31</v>
      </c>
      <c r="BI63" s="18">
        <f t="shared" si="43"/>
        <v>256.58530562796858</v>
      </c>
      <c r="BJ63" s="18">
        <f>IF(BW62&lt;&gt;1,"",IF(BT62&gt;0,IF(BT62&gt;CONTROL_PANEL!$B$11,CONTROL_PANEL!$B$11,BT62),0))</f>
        <v>21388866.334293999</v>
      </c>
      <c r="BK63" s="18">
        <f t="shared" si="38"/>
        <v>2972698.191483567</v>
      </c>
      <c r="BL63" s="18">
        <f>IF(BW63&lt;&gt;1,"",DATA_INPUT!$I63)</f>
        <v>1.0152775060714861E-3</v>
      </c>
      <c r="BM63" s="18">
        <f>IF(BW63&lt;&gt;1,"",BL63*CONTROL_PANEL!$B$5)</f>
        <v>96.349835326184035</v>
      </c>
      <c r="BN63" s="18">
        <f>IF(BW63&lt;&gt;1,"",DATA_INPUT!$C63)</f>
        <v>0.51595467084866664</v>
      </c>
      <c r="BO63" s="18">
        <f t="shared" si="16"/>
        <v>1533.7775169193305</v>
      </c>
      <c r="BP63" s="18">
        <f>IF(BW63&lt;&gt;1,"",DATA_INPUT!$H63)</f>
        <v>138.66625172914095</v>
      </c>
      <c r="BQ63" s="18">
        <f t="shared" si="17"/>
        <v>412212.91573502234</v>
      </c>
      <c r="BR63" s="18">
        <f>IF(BW63&lt;&gt;1,"",BM63*CONTROL_PANEL!$B$14)</f>
        <v>6.7444884728328827</v>
      </c>
      <c r="BS63" s="18">
        <f>IF(BW63&lt;&gt;1,"",DATA_INPUT!$N63)</f>
        <v>1658736.5865074801</v>
      </c>
      <c r="BT63" s="18">
        <f t="shared" si="18"/>
        <v>19319540.214915268</v>
      </c>
      <c r="BU63" s="18">
        <f>IF(BW63&lt;&gt;1,"",IF(BT63-CONTROL_PANEL!$B$11&lt;0,0,BT63-CONTROL_PANEL!$B$11))</f>
        <v>0</v>
      </c>
      <c r="BV63" s="18">
        <f>IF(BW63&lt;&gt;1,"",IF(BS63&lt;=0,0,MIN(BS63,MAX(0,CONTROL_PANEL!$B$13-BT63))))</f>
        <v>0</v>
      </c>
      <c r="BW63" s="18">
        <v>1</v>
      </c>
      <c r="BY63" s="19">
        <f t="shared" si="34"/>
        <v>2020</v>
      </c>
      <c r="BZ63" s="19">
        <v>8</v>
      </c>
      <c r="CA63" s="18">
        <f t="shared" si="19"/>
        <v>31</v>
      </c>
      <c r="CB63" s="18">
        <f t="shared" si="44"/>
        <v>255.43774378915603</v>
      </c>
      <c r="CC63" s="18">
        <f>IF(CP62&lt;&gt;1,"",IF(CM62&gt;0,IF(CM62&gt;CONTROL_PANEL!$B$11,CONTROL_PANEL!$B$11,CM62),0))</f>
        <v>18135832.91811626</v>
      </c>
      <c r="CD63" s="18">
        <f t="shared" si="39"/>
        <v>2662108.85681113</v>
      </c>
      <c r="CE63" s="18">
        <f>IF(CP63&lt;&gt;1,"",DATA_INPUT!$I63)</f>
        <v>1.0152775060714861E-3</v>
      </c>
      <c r="CF63" s="18">
        <f>IF(CP63&lt;&gt;1,"",CE63*CONTROL_PANEL!$B$5)</f>
        <v>96.349835326184035</v>
      </c>
      <c r="CG63" s="18">
        <f>IF(CP63&lt;&gt;1,"",DATA_INPUT!$C63)</f>
        <v>0.51595467084866664</v>
      </c>
      <c r="CH63" s="18">
        <f t="shared" si="21"/>
        <v>1373.5274989793068</v>
      </c>
      <c r="CI63" s="18">
        <f>IF(CP63&lt;&gt;1,"",DATA_INPUT!$H63)</f>
        <v>138.66625172914095</v>
      </c>
      <c r="CJ63" s="18">
        <f t="shared" si="22"/>
        <v>369144.65686894779</v>
      </c>
      <c r="CK63" s="18">
        <f>IF(CP63&lt;&gt;1,"",CF63*CONTROL_PANEL!$B$14)</f>
        <v>6.7444884728328827</v>
      </c>
      <c r="CL63" s="18">
        <f>IF(CP63&lt;&gt;1,"",DATA_INPUT!$O63)</f>
        <v>1905196.7376706242</v>
      </c>
      <c r="CM63" s="18">
        <f t="shared" si="23"/>
        <v>15862954.65642252</v>
      </c>
      <c r="CN63" s="18">
        <f>IF(CP63&lt;&gt;1,"",IF(CM63-CONTROL_PANEL!$B$11&lt;0,0,CM63-CONTROL_PANEL!$B$11))</f>
        <v>0</v>
      </c>
      <c r="CO63" s="18">
        <f>IF(CP63&lt;&gt;1,"",IF(CL63&lt;=0,0,MIN(CL63,MAX(0,CONTROL_PANEL!$B$13-CM63))))</f>
        <v>0</v>
      </c>
      <c r="CP63" s="18">
        <v>1</v>
      </c>
    </row>
    <row r="64" spans="1:94" x14ac:dyDescent="0.25">
      <c r="A64" s="19">
        <f t="shared" si="30"/>
        <v>2020</v>
      </c>
      <c r="B64" s="19">
        <v>9</v>
      </c>
      <c r="C64" s="18">
        <f t="shared" si="0"/>
        <v>30</v>
      </c>
      <c r="D64" s="18">
        <f t="shared" si="40"/>
        <v>255.5966106035016</v>
      </c>
      <c r="E64" s="18">
        <f>IF(R63&lt;&gt;1,"",IF(O63&gt;0,IF(O63&gt;CONTROL_PANEL!$B$11,CONTROL_PANEL!$B$11,O63),0))</f>
        <v>18564924.438023318</v>
      </c>
      <c r="F64" s="18">
        <f t="shared" si="35"/>
        <v>2704074.6842396175</v>
      </c>
      <c r="G64" s="18">
        <f>IF(R64&lt;&gt;1,"",DATA_INPUT!I64)</f>
        <v>1.625818101113107</v>
      </c>
      <c r="H64" s="18">
        <f>IF(R64&lt;&gt;1,"",G64*CONTROL_PANEL!$B$5)</f>
        <v>154290.13779563384</v>
      </c>
      <c r="I64" s="18">
        <f>IF(R64&lt;&gt;1,"",DATA_INPUT!C64)</f>
        <v>43.032965632926675</v>
      </c>
      <c r="J64" s="18">
        <f t="shared" si="2"/>
        <v>116364.35295575051</v>
      </c>
      <c r="K64" s="18">
        <f>IF(R64&lt;&gt;1,"",DATA_INPUT!H64)</f>
        <v>100.29716042353144</v>
      </c>
      <c r="L64" s="18">
        <f t="shared" si="25"/>
        <v>271211.012402391</v>
      </c>
      <c r="M64" s="18">
        <f>IF(R64&lt;&gt;1,"",H64*CONTROL_PANEL!$B$14)</f>
        <v>10800.309645694369</v>
      </c>
      <c r="N64" s="18">
        <f>IF(R64&lt;&gt;1,"",DATA_INPUT!K64)</f>
        <v>564560.21296826703</v>
      </c>
      <c r="O64" s="18">
        <f t="shared" si="3"/>
        <v>17989007.393758349</v>
      </c>
      <c r="P64" s="18">
        <f>IF(R64&lt;&gt;1,"",IF(O64-CONTROL_PANEL!$B$11&lt;0,0,O64-CONTROL_PANEL!$B$11))</f>
        <v>0</v>
      </c>
      <c r="Q64" s="18">
        <f>IF(R64&lt;&gt;1,"",IF(N64&lt;=0,0,MIN(N64,MAX(0,CONTROL_PANEL!$B$13-O64))))</f>
        <v>0</v>
      </c>
      <c r="R64" s="18">
        <v>1</v>
      </c>
      <c r="T64" s="19">
        <f t="shared" si="31"/>
        <v>2020</v>
      </c>
      <c r="U64" s="19">
        <v>9</v>
      </c>
      <c r="V64" s="18">
        <f t="shared" si="4"/>
        <v>30</v>
      </c>
      <c r="W64" s="18">
        <f t="shared" si="41"/>
        <v>252.84385721645199</v>
      </c>
      <c r="X64" s="18">
        <f>IF(AK63&lt;&gt;1,"",IF(AH63&gt;0,IF(AH63&gt;CONTROL_PANEL!$B$11,CONTROL_PANEL!$B$11,AH63),0))</f>
        <v>12037214.198967539</v>
      </c>
      <c r="Y64" s="18">
        <f t="shared" si="36"/>
        <v>2023757.6527796802</v>
      </c>
      <c r="Z64" s="18">
        <f>IF(AK64&lt;&gt;1,"",DATA_INPUT!I64)</f>
        <v>1.625818101113107</v>
      </c>
      <c r="AA64" s="18">
        <f>IF(AK64&lt;&gt;1,"",Z64*CONTROL_PANEL!$B$5)</f>
        <v>154290.13779563384</v>
      </c>
      <c r="AB64" s="18">
        <f>IF(AK64&lt;&gt;1,"",DATA_INPUT!$C64)</f>
        <v>43.032965632926675</v>
      </c>
      <c r="AC64" s="18">
        <f t="shared" si="6"/>
        <v>87088.293521440326</v>
      </c>
      <c r="AD64" s="18">
        <f>IF(AK64&lt;&gt;1,"",DATA_INPUT!$H64)</f>
        <v>100.29716042353144</v>
      </c>
      <c r="AE64" s="18">
        <f t="shared" si="7"/>
        <v>202977.14595919303</v>
      </c>
      <c r="AF64" s="18">
        <f>IF(AK64&lt;&gt;1,"",AA64*CONTROL_PANEL!$B$14)</f>
        <v>10800.309645694369</v>
      </c>
      <c r="AG64" s="18">
        <f>IF(AK64&lt;&gt;1,"",DATA_INPUT!$L64)</f>
        <v>717593.01585752575</v>
      </c>
      <c r="AH64" s="18">
        <f t="shared" si="8"/>
        <v>11347222.158822199</v>
      </c>
      <c r="AI64" s="18">
        <f>IF(AK64&lt;&gt;1,"",IF(AH64-CONTROL_PANEL!$B$11&lt;0,0,AH64-CONTROL_PANEL!$B$11))</f>
        <v>0</v>
      </c>
      <c r="AJ64" s="18">
        <f>IF(AK64&lt;&gt;1,"",IF(AG64&lt;=0,0,MIN(AG64,MAX(0,CONTROL_PANEL!$B$13-AH64))))</f>
        <v>0</v>
      </c>
      <c r="AK64" s="18">
        <v>1</v>
      </c>
      <c r="AM64" s="19">
        <f t="shared" si="32"/>
        <v>2020</v>
      </c>
      <c r="AN64" s="19">
        <v>9</v>
      </c>
      <c r="AO64" s="18">
        <f t="shared" si="9"/>
        <v>30</v>
      </c>
      <c r="AP64" s="18">
        <f t="shared" si="42"/>
        <v>254.78473257705375</v>
      </c>
      <c r="AQ64" s="18">
        <f>IF(BD63&lt;&gt;1,"",IF(BA63&gt;0,IF(BA63&gt;CONTROL_PANEL!$B$11,CONTROL_PANEL!$B$11,BA63),0))</f>
        <v>16441716.392817773</v>
      </c>
      <c r="AR64" s="18">
        <f t="shared" si="37"/>
        <v>2493091.5283464827</v>
      </c>
      <c r="AS64" s="18">
        <f>IF(BD64&lt;&gt;1,"",DATA_INPUT!$I64)</f>
        <v>1.625818101113107</v>
      </c>
      <c r="AT64" s="18">
        <f>IF(BD64&lt;&gt;1,"",AS64*CONTROL_PANEL!$B$5)</f>
        <v>154290.13779563384</v>
      </c>
      <c r="AU64" s="18">
        <f>IF(BD64&lt;&gt;1,"",DATA_INPUT!$C64)</f>
        <v>43.032965632926675</v>
      </c>
      <c r="AV64" s="18">
        <f t="shared" si="11"/>
        <v>107285.12205907483</v>
      </c>
      <c r="AW64" s="18">
        <f>IF(BD64&lt;&gt;1,"",DATA_INPUT!$H64)</f>
        <v>100.29716042353144</v>
      </c>
      <c r="AX64" s="18">
        <f t="shared" si="12"/>
        <v>250050.00096911434</v>
      </c>
      <c r="AY64" s="18">
        <f>IF(BD64&lt;&gt;1,"",AT64*CONTROL_PANEL!$B$14)</f>
        <v>10800.309645694369</v>
      </c>
      <c r="AZ64" s="18">
        <f>IF(BD64&lt;&gt;1,"",DATA_INPUT!$M64)</f>
        <v>633411.39303879358</v>
      </c>
      <c r="BA64" s="18">
        <f t="shared" si="13"/>
        <v>15809029.949018881</v>
      </c>
      <c r="BB64" s="18">
        <f>IF(BD64&lt;&gt;1,"",IF(BA64-CONTROL_PANEL!$B$11&lt;0,0,BA64-CONTROL_PANEL!$B$11))</f>
        <v>0</v>
      </c>
      <c r="BC64" s="18">
        <f>IF(BD64&lt;&gt;1,"",IF(AZ64&lt;=0,0,MIN(AZ64,MAX(0,CONTROL_PANEL!$B$13-BA64))))</f>
        <v>0</v>
      </c>
      <c r="BD64" s="18">
        <v>1</v>
      </c>
      <c r="BF64" s="19">
        <f t="shared" si="33"/>
        <v>2020</v>
      </c>
      <c r="BG64" s="19">
        <v>9</v>
      </c>
      <c r="BH64" s="18">
        <f t="shared" si="14"/>
        <v>30</v>
      </c>
      <c r="BI64" s="18">
        <f t="shared" si="43"/>
        <v>255.87014312470095</v>
      </c>
      <c r="BJ64" s="18">
        <f>IF(BW63&lt;&gt;1,"",IF(BT63&gt;0,IF(BT63&gt;CONTROL_PANEL!$B$11,CONTROL_PANEL!$B$11,BT63),0))</f>
        <v>19319540.214915268</v>
      </c>
      <c r="BK64" s="18">
        <f t="shared" si="38"/>
        <v>2777107.003935629</v>
      </c>
      <c r="BL64" s="18">
        <f>IF(BW64&lt;&gt;1,"",DATA_INPUT!$I64)</f>
        <v>1.625818101113107</v>
      </c>
      <c r="BM64" s="18">
        <f>IF(BW64&lt;&gt;1,"",BL64*CONTROL_PANEL!$B$5)</f>
        <v>154290.13779563384</v>
      </c>
      <c r="BN64" s="18">
        <f>IF(BW64&lt;&gt;1,"",DATA_INPUT!$C64)</f>
        <v>43.032965632926675</v>
      </c>
      <c r="BO64" s="18">
        <f t="shared" si="16"/>
        <v>119507.15025932189</v>
      </c>
      <c r="BP64" s="18">
        <f>IF(BW64&lt;&gt;1,"",DATA_INPUT!$H64)</f>
        <v>100.29716042353144</v>
      </c>
      <c r="BQ64" s="18">
        <f t="shared" si="17"/>
        <v>278535.94668704458</v>
      </c>
      <c r="BR64" s="18">
        <f>IF(BW64&lt;&gt;1,"",BM64*CONTROL_PANEL!$B$14)</f>
        <v>10800.309645694369</v>
      </c>
      <c r="BS64" s="18">
        <f>IF(BW64&lt;&gt;1,"",DATA_INPUT!$N64)</f>
        <v>582898.05770375661</v>
      </c>
      <c r="BT64" s="18">
        <f t="shared" si="18"/>
        <v>18721103.18893373</v>
      </c>
      <c r="BU64" s="18">
        <f>IF(BW64&lt;&gt;1,"",IF(BT64-CONTROL_PANEL!$B$11&lt;0,0,BT64-CONTROL_PANEL!$B$11))</f>
        <v>0</v>
      </c>
      <c r="BV64" s="18">
        <f>IF(BW64&lt;&gt;1,"",IF(BS64&lt;=0,0,MIN(BS64,MAX(0,CONTROL_PANEL!$B$13-BT64))))</f>
        <v>0</v>
      </c>
      <c r="BW64" s="18">
        <v>1</v>
      </c>
      <c r="BY64" s="19">
        <f t="shared" si="34"/>
        <v>2020</v>
      </c>
      <c r="BZ64" s="19">
        <v>9</v>
      </c>
      <c r="CA64" s="18">
        <f t="shared" si="19"/>
        <v>30</v>
      </c>
      <c r="CB64" s="18">
        <f t="shared" si="44"/>
        <v>254.5513544888681</v>
      </c>
      <c r="CC64" s="18">
        <f>IF(CP63&lt;&gt;1,"",IF(CM63&gt;0,IF(CM63&gt;CONTROL_PANEL!$B$11,CONTROL_PANEL!$B$11,CM63),0))</f>
        <v>15862954.65642252</v>
      </c>
      <c r="CD64" s="18">
        <f t="shared" si="39"/>
        <v>2434044.3520863564</v>
      </c>
      <c r="CE64" s="18">
        <f>IF(CP64&lt;&gt;1,"",DATA_INPUT!$I64)</f>
        <v>1.625818101113107</v>
      </c>
      <c r="CF64" s="18">
        <f>IF(CP64&lt;&gt;1,"",CE64*CONTROL_PANEL!$B$5)</f>
        <v>154290.13779563384</v>
      </c>
      <c r="CG64" s="18">
        <f>IF(CP64&lt;&gt;1,"",DATA_INPUT!$C64)</f>
        <v>43.032965632926675</v>
      </c>
      <c r="CH64" s="18">
        <f t="shared" si="21"/>
        <v>104744.14695235145</v>
      </c>
      <c r="CI64" s="18">
        <f>IF(CP64&lt;&gt;1,"",DATA_INPUT!$H64)</f>
        <v>100.29716042353144</v>
      </c>
      <c r="CJ64" s="18">
        <f t="shared" si="22"/>
        <v>244127.73685919592</v>
      </c>
      <c r="CK64" s="18">
        <f>IF(CP64&lt;&gt;1,"",CF64*CONTROL_PANEL!$B$14)</f>
        <v>10800.309645694369</v>
      </c>
      <c r="CL64" s="18">
        <f>IF(CP64&lt;&gt;1,"",DATA_INPUT!$O64)</f>
        <v>668594.28562562494</v>
      </c>
      <c r="CM64" s="18">
        <f t="shared" si="23"/>
        <v>15198466.60903999</v>
      </c>
      <c r="CN64" s="18">
        <f>IF(CP64&lt;&gt;1,"",IF(CM64-CONTROL_PANEL!$B$11&lt;0,0,CM64-CONTROL_PANEL!$B$11))</f>
        <v>0</v>
      </c>
      <c r="CO64" s="18">
        <f>IF(CP64&lt;&gt;1,"",IF(CL64&lt;=0,0,MIN(CL64,MAX(0,CONTROL_PANEL!$B$13-CM64))))</f>
        <v>0</v>
      </c>
      <c r="CP64" s="18">
        <v>1</v>
      </c>
    </row>
    <row r="65" spans="1:94" x14ac:dyDescent="0.25">
      <c r="A65" s="19">
        <f t="shared" si="30"/>
        <v>2020</v>
      </c>
      <c r="B65" s="19">
        <v>10</v>
      </c>
      <c r="C65" s="18">
        <f t="shared" si="0"/>
        <v>31</v>
      </c>
      <c r="D65" s="18">
        <f t="shared" si="40"/>
        <v>255.38280619173992</v>
      </c>
      <c r="E65" s="18">
        <f>IF(R64&lt;&gt;1,"",IF(O64&gt;0,IF(O64&gt;CONTROL_PANEL!$B$11,CONTROL_PANEL!$B$11,O64),0))</f>
        <v>17989007.393758349</v>
      </c>
      <c r="F65" s="18">
        <f t="shared" si="35"/>
        <v>2647673.8126051077</v>
      </c>
      <c r="G65" s="18">
        <f>IF(R65&lt;&gt;1,"",DATA_INPUT!I65)</f>
        <v>6.527290915114369</v>
      </c>
      <c r="H65" s="18">
        <f>IF(R65&lt;&gt;1,"",G65*CONTROL_PANEL!$B$5)</f>
        <v>619439.90784435358</v>
      </c>
      <c r="I65" s="18">
        <f>IF(R65&lt;&gt;1,"",DATA_INPUT!C65)</f>
        <v>114.86222803427866</v>
      </c>
      <c r="J65" s="18">
        <f t="shared" si="2"/>
        <v>304117.71322383586</v>
      </c>
      <c r="K65" s="18">
        <f>IF(R65&lt;&gt;1,"",DATA_INPUT!H65)</f>
        <v>53.517729254105177</v>
      </c>
      <c r="L65" s="18">
        <f t="shared" si="25"/>
        <v>141697.49025618454</v>
      </c>
      <c r="M65" s="18">
        <f>IF(R65&lt;&gt;1,"",H65*CONTROL_PANEL!$B$14)</f>
        <v>43360.793549104754</v>
      </c>
      <c r="N65" s="18">
        <f>IF(R65&lt;&gt;1,"",DATA_INPUT!K65)</f>
        <v>95822.921764101658</v>
      </c>
      <c r="O65" s="18">
        <f t="shared" si="3"/>
        <v>18631683.80925715</v>
      </c>
      <c r="P65" s="18">
        <f>IF(R65&lt;&gt;1,"",IF(O65-CONTROL_PANEL!$B$11&lt;0,0,O65-CONTROL_PANEL!$B$11))</f>
        <v>0</v>
      </c>
      <c r="Q65" s="18">
        <f>IF(R65&lt;&gt;1,"",IF(N65&lt;=0,0,MIN(N65,MAX(0,CONTROL_PANEL!$B$13-O65))))</f>
        <v>0</v>
      </c>
      <c r="R65" s="18">
        <v>1</v>
      </c>
      <c r="T65" s="19">
        <f t="shared" si="31"/>
        <v>2020</v>
      </c>
      <c r="U65" s="19">
        <v>10</v>
      </c>
      <c r="V65" s="18">
        <f t="shared" si="4"/>
        <v>31</v>
      </c>
      <c r="W65" s="18">
        <f t="shared" si="41"/>
        <v>252.49846104275758</v>
      </c>
      <c r="X65" s="18">
        <f>IF(AK64&lt;&gt;1,"",IF(AH64&gt;0,IF(AH64&gt;CONTROL_PANEL!$B$11,CONTROL_PANEL!$B$11,AH64),0))</f>
        <v>11347222.158822199</v>
      </c>
      <c r="Y65" s="18">
        <f t="shared" si="36"/>
        <v>1945409.1644565512</v>
      </c>
      <c r="Z65" s="18">
        <f>IF(AK65&lt;&gt;1,"",DATA_INPUT!I65)</f>
        <v>6.527290915114369</v>
      </c>
      <c r="AA65" s="18">
        <f>IF(AK65&lt;&gt;1,"",Z65*CONTROL_PANEL!$B$5)</f>
        <v>619439.90784435358</v>
      </c>
      <c r="AB65" s="18">
        <f>IF(AK65&lt;&gt;1,"",DATA_INPUT!$C65)</f>
        <v>114.86222803427866</v>
      </c>
      <c r="AC65" s="18">
        <f t="shared" si="6"/>
        <v>223454.03106778389</v>
      </c>
      <c r="AD65" s="18">
        <f>IF(AK65&lt;&gt;1,"",DATA_INPUT!$H65)</f>
        <v>53.517729254105177</v>
      </c>
      <c r="AE65" s="18">
        <f t="shared" si="7"/>
        <v>104113.88095184068</v>
      </c>
      <c r="AF65" s="18">
        <f>IF(AK65&lt;&gt;1,"",AA65*CONTROL_PANEL!$B$14)</f>
        <v>43360.793549104754</v>
      </c>
      <c r="AG65" s="18">
        <f>IF(AK65&lt;&gt;1,"",DATA_INPUT!$L65)</f>
        <v>122477.0570586689</v>
      </c>
      <c r="AH65" s="18">
        <f t="shared" si="8"/>
        <v>11920164.366174722</v>
      </c>
      <c r="AI65" s="18">
        <f>IF(AK65&lt;&gt;1,"",IF(AH65-CONTROL_PANEL!$B$11&lt;0,0,AH65-CONTROL_PANEL!$B$11))</f>
        <v>0</v>
      </c>
      <c r="AJ65" s="18">
        <f>IF(AK65&lt;&gt;1,"",IF(AG65&lt;=0,0,MIN(AG65,MAX(0,CONTROL_PANEL!$B$13-AH65))))</f>
        <v>0</v>
      </c>
      <c r="AK65" s="18">
        <v>1</v>
      </c>
      <c r="AM65" s="19">
        <f t="shared" si="32"/>
        <v>2020</v>
      </c>
      <c r="AN65" s="19">
        <v>10</v>
      </c>
      <c r="AO65" s="18">
        <f t="shared" si="9"/>
        <v>31</v>
      </c>
      <c r="AP65" s="18">
        <f t="shared" si="42"/>
        <v>254.52932177367381</v>
      </c>
      <c r="AQ65" s="18">
        <f>IF(BD64&lt;&gt;1,"",IF(BA64&gt;0,IF(BA64&gt;CONTROL_PANEL!$B$11,CONTROL_PANEL!$B$11,BA64),0))</f>
        <v>15809029.949018881</v>
      </c>
      <c r="AR65" s="18">
        <f t="shared" si="37"/>
        <v>2428506.754955004</v>
      </c>
      <c r="AS65" s="18">
        <f>IF(BD65&lt;&gt;1,"",DATA_INPUT!$I65)</f>
        <v>6.527290915114369</v>
      </c>
      <c r="AT65" s="18">
        <f>IF(BD65&lt;&gt;1,"",AS65*CONTROL_PANEL!$B$5)</f>
        <v>619439.90784435358</v>
      </c>
      <c r="AU65" s="18">
        <f>IF(BD65&lt;&gt;1,"",DATA_INPUT!$C65)</f>
        <v>114.86222803427866</v>
      </c>
      <c r="AV65" s="18">
        <f t="shared" si="11"/>
        <v>278943.69667042774</v>
      </c>
      <c r="AW65" s="18">
        <f>IF(BD65&lt;&gt;1,"",DATA_INPUT!$H65)</f>
        <v>53.517729254105177</v>
      </c>
      <c r="AX65" s="18">
        <f t="shared" si="12"/>
        <v>129968.16700344744</v>
      </c>
      <c r="AY65" s="18">
        <f>IF(BD65&lt;&gt;1,"",AT65*CONTROL_PANEL!$B$14)</f>
        <v>43360.793549104754</v>
      </c>
      <c r="AZ65" s="18">
        <f>IF(BD65&lt;&gt;1,"",DATA_INPUT!$M65)</f>
        <v>107973.51392474869</v>
      </c>
      <c r="BA65" s="18">
        <f t="shared" si="13"/>
        <v>16426111.079056362</v>
      </c>
      <c r="BB65" s="18">
        <f>IF(BD65&lt;&gt;1,"",IF(BA65-CONTROL_PANEL!$B$11&lt;0,0,BA65-CONTROL_PANEL!$B$11))</f>
        <v>0</v>
      </c>
      <c r="BC65" s="18">
        <f>IF(BD65&lt;&gt;1,"",IF(AZ65&lt;=0,0,MIN(AZ65,MAX(0,CONTROL_PANEL!$B$13-BA65))))</f>
        <v>0</v>
      </c>
      <c r="BD65" s="18">
        <v>1</v>
      </c>
      <c r="BF65" s="19">
        <f t="shared" si="33"/>
        <v>2020</v>
      </c>
      <c r="BG65" s="19">
        <v>10</v>
      </c>
      <c r="BH65" s="18">
        <f t="shared" si="14"/>
        <v>31</v>
      </c>
      <c r="BI65" s="18">
        <f t="shared" si="43"/>
        <v>255.65382425651441</v>
      </c>
      <c r="BJ65" s="18">
        <f>IF(BW64&lt;&gt;1,"",IF(BT64&gt;0,IF(BT64&gt;CONTROL_PANEL!$B$11,CONTROL_PANEL!$B$11,BT64),0))</f>
        <v>18721103.18893373</v>
      </c>
      <c r="BK65" s="18">
        <f t="shared" si="38"/>
        <v>2719269.2679704037</v>
      </c>
      <c r="BL65" s="18">
        <f>IF(BW65&lt;&gt;1,"",DATA_INPUT!$I65)</f>
        <v>6.527290915114369</v>
      </c>
      <c r="BM65" s="18">
        <f>IF(BW65&lt;&gt;1,"",BL65*CONTROL_PANEL!$B$5)</f>
        <v>619439.90784435358</v>
      </c>
      <c r="BN65" s="18">
        <f>IF(BW65&lt;&gt;1,"",DATA_INPUT!$C65)</f>
        <v>114.86222803427866</v>
      </c>
      <c r="BO65" s="18">
        <f t="shared" si="16"/>
        <v>312341.32674422255</v>
      </c>
      <c r="BP65" s="18">
        <f>IF(BW65&lt;&gt;1,"",DATA_INPUT!$H65)</f>
        <v>53.517729254105177</v>
      </c>
      <c r="BQ65" s="18">
        <f t="shared" si="17"/>
        <v>145529.11645224885</v>
      </c>
      <c r="BR65" s="18">
        <f>IF(BW65&lt;&gt;1,"",BM65*CONTROL_PANEL!$B$14)</f>
        <v>43360.793549104754</v>
      </c>
      <c r="BS65" s="18">
        <f>IF(BW65&lt;&gt;1,"",DATA_INPUT!$N65)</f>
        <v>99182.815501710458</v>
      </c>
      <c r="BT65" s="18">
        <f t="shared" si="18"/>
        <v>19364811.69801924</v>
      </c>
      <c r="BU65" s="18">
        <f>IF(BW65&lt;&gt;1,"",IF(BT65-CONTROL_PANEL!$B$11&lt;0,0,BT65-CONTROL_PANEL!$B$11))</f>
        <v>0</v>
      </c>
      <c r="BV65" s="18">
        <f>IF(BW65&lt;&gt;1,"",IF(BS65&lt;=0,0,MIN(BS65,MAX(0,CONTROL_PANEL!$B$13-BT65))))</f>
        <v>0</v>
      </c>
      <c r="BW65" s="18">
        <v>1</v>
      </c>
      <c r="BY65" s="19">
        <f t="shared" si="34"/>
        <v>2020</v>
      </c>
      <c r="BZ65" s="19">
        <v>10</v>
      </c>
      <c r="CA65" s="18">
        <f t="shared" si="19"/>
        <v>31</v>
      </c>
      <c r="CB65" s="18">
        <f t="shared" si="44"/>
        <v>254.27627463958487</v>
      </c>
      <c r="CC65" s="18">
        <f>IF(CP64&lt;&gt;1,"",IF(CM64&gt;0,IF(CM64&gt;CONTROL_PANEL!$B$11,CONTROL_PANEL!$B$11,CM64),0))</f>
        <v>15198466.60903999</v>
      </c>
      <c r="CD65" s="18">
        <f t="shared" si="39"/>
        <v>2365363.6752761002</v>
      </c>
      <c r="CE65" s="18">
        <f>IF(CP65&lt;&gt;1,"",DATA_INPUT!$I65)</f>
        <v>6.527290915114369</v>
      </c>
      <c r="CF65" s="18">
        <f>IF(CP65&lt;&gt;1,"",CE65*CONTROL_PANEL!$B$5)</f>
        <v>619439.90784435358</v>
      </c>
      <c r="CG65" s="18">
        <f>IF(CP65&lt;&gt;1,"",DATA_INPUT!$C65)</f>
        <v>114.86222803427866</v>
      </c>
      <c r="CH65" s="18">
        <f t="shared" si="21"/>
        <v>271690.94185356289</v>
      </c>
      <c r="CI65" s="18">
        <f>IF(CP65&lt;&gt;1,"",DATA_INPUT!$H65)</f>
        <v>53.517729254105177</v>
      </c>
      <c r="CJ65" s="18">
        <f t="shared" si="22"/>
        <v>126588.89276092147</v>
      </c>
      <c r="CK65" s="18">
        <f>IF(CP65&lt;&gt;1,"",CF65*CONTROL_PANEL!$B$14)</f>
        <v>43360.793549104754</v>
      </c>
      <c r="CL65" s="18">
        <f>IF(CP65&lt;&gt;1,"",DATA_INPUT!$O65)</f>
        <v>114411.26137451374</v>
      </c>
      <c r="CM65" s="18">
        <f t="shared" si="23"/>
        <v>15805236.511053367</v>
      </c>
      <c r="CN65" s="18">
        <f>IF(CP65&lt;&gt;1,"",IF(CM65-CONTROL_PANEL!$B$11&lt;0,0,CM65-CONTROL_PANEL!$B$11))</f>
        <v>0</v>
      </c>
      <c r="CO65" s="18">
        <f>IF(CP65&lt;&gt;1,"",IF(CL65&lt;=0,0,MIN(CL65,MAX(0,CONTROL_PANEL!$B$13-CM65))))</f>
        <v>0</v>
      </c>
      <c r="CP65" s="18">
        <v>1</v>
      </c>
    </row>
    <row r="66" spans="1:94" x14ac:dyDescent="0.25">
      <c r="A66" s="19">
        <f t="shared" si="30"/>
        <v>2020</v>
      </c>
      <c r="B66" s="19">
        <v>11</v>
      </c>
      <c r="C66" s="18">
        <f t="shared" si="0"/>
        <v>30</v>
      </c>
      <c r="D66" s="18">
        <f t="shared" si="40"/>
        <v>255.62110610296145</v>
      </c>
      <c r="E66" s="18">
        <f>IF(R65&lt;&gt;1,"",IF(O65&gt;0,IF(O65&gt;CONTROL_PANEL!$B$11,CONTROL_PANEL!$B$11,O65),0))</f>
        <v>18631683.80925715</v>
      </c>
      <c r="F66" s="18">
        <f t="shared" si="35"/>
        <v>2710574.8425272047</v>
      </c>
      <c r="G66" s="18">
        <f>IF(R66&lt;&gt;1,"",DATA_INPUT!I66)</f>
        <v>7.1495673492349248</v>
      </c>
      <c r="H66" s="18">
        <f>IF(R66&lt;&gt;1,"",G66*CONTROL_PANEL!$B$5)</f>
        <v>678493.9414423944</v>
      </c>
      <c r="I66" s="18">
        <f>IF(R66&lt;&gt;1,"",DATA_INPUT!C66)</f>
        <v>110.75939811107997</v>
      </c>
      <c r="J66" s="18">
        <f t="shared" si="2"/>
        <v>300221.63809334853</v>
      </c>
      <c r="K66" s="18">
        <f>IF(R66&lt;&gt;1,"",DATA_INPUT!H66)</f>
        <v>30.953191176815388</v>
      </c>
      <c r="L66" s="18">
        <f t="shared" si="25"/>
        <v>83900.941299810831</v>
      </c>
      <c r="M66" s="18">
        <f>IF(R66&lt;&gt;1,"",H66*CONTROL_PANEL!$B$14)</f>
        <v>47494.575900967611</v>
      </c>
      <c r="N66" s="18">
        <f>IF(R66&lt;&gt;1,"",DATA_INPUT!K66)</f>
        <v>0</v>
      </c>
      <c r="O66" s="18">
        <f t="shared" si="3"/>
        <v>19479003.871592112</v>
      </c>
      <c r="P66" s="18">
        <f>IF(R66&lt;&gt;1,"",IF(O66-CONTROL_PANEL!$B$11&lt;0,0,O66-CONTROL_PANEL!$B$11))</f>
        <v>0</v>
      </c>
      <c r="Q66" s="18">
        <f>IF(R66&lt;&gt;1,"",IF(N66&lt;=0,0,MIN(N66,MAX(0,CONTROL_PANEL!$B$13-O66))))</f>
        <v>0</v>
      </c>
      <c r="R66" s="18">
        <v>1</v>
      </c>
      <c r="T66" s="19">
        <f t="shared" si="31"/>
        <v>2020</v>
      </c>
      <c r="U66" s="19">
        <v>11</v>
      </c>
      <c r="V66" s="18">
        <f t="shared" si="4"/>
        <v>30</v>
      </c>
      <c r="W66" s="18">
        <f t="shared" si="41"/>
        <v>252.7862145141232</v>
      </c>
      <c r="X66" s="18">
        <f>IF(AK65&lt;&gt;1,"",IF(AH65&gt;0,IF(AH65&gt;CONTROL_PANEL!$B$11,CONTROL_PANEL!$B$11,AH65),0))</f>
        <v>11920164.366174722</v>
      </c>
      <c r="Y66" s="18">
        <f t="shared" si="36"/>
        <v>2010573.586084235</v>
      </c>
      <c r="Z66" s="18">
        <f>IF(AK66&lt;&gt;1,"",DATA_INPUT!I66)</f>
        <v>7.1495673492349248</v>
      </c>
      <c r="AA66" s="18">
        <f>IF(AK66&lt;&gt;1,"",Z66*CONTROL_PANEL!$B$5)</f>
        <v>678493.9414423944</v>
      </c>
      <c r="AB66" s="18">
        <f>IF(AK66&lt;&gt;1,"",DATA_INPUT!$C66)</f>
        <v>110.75939811107997</v>
      </c>
      <c r="AC66" s="18">
        <f t="shared" si="6"/>
        <v>222689.92025272551</v>
      </c>
      <c r="AD66" s="18">
        <f>IF(AK66&lt;&gt;1,"",DATA_INPUT!$H66)</f>
        <v>30.953191176815388</v>
      </c>
      <c r="AE66" s="18">
        <f t="shared" si="7"/>
        <v>62233.66858512062</v>
      </c>
      <c r="AF66" s="18">
        <f>IF(AK66&lt;&gt;1,"",AA66*CONTROL_PANEL!$B$14)</f>
        <v>47494.575900967611</v>
      </c>
      <c r="AG66" s="18">
        <f>IF(AK66&lt;&gt;1,"",DATA_INPUT!$L66)</f>
        <v>0</v>
      </c>
      <c r="AH66" s="18">
        <f t="shared" si="8"/>
        <v>12711619.983383754</v>
      </c>
      <c r="AI66" s="18">
        <f>IF(AK66&lt;&gt;1,"",IF(AH66-CONTROL_PANEL!$B$11&lt;0,0,AH66-CONTROL_PANEL!$B$11))</f>
        <v>0</v>
      </c>
      <c r="AJ66" s="18">
        <f>IF(AK66&lt;&gt;1,"",IF(AG66&lt;=0,0,MIN(AG66,MAX(0,CONTROL_PANEL!$B$13-AH66))))</f>
        <v>0</v>
      </c>
      <c r="AK66" s="18">
        <v>1</v>
      </c>
      <c r="AM66" s="19">
        <f t="shared" si="32"/>
        <v>2020</v>
      </c>
      <c r="AN66" s="19">
        <v>11</v>
      </c>
      <c r="AO66" s="18">
        <f t="shared" si="9"/>
        <v>30</v>
      </c>
      <c r="AP66" s="18">
        <f t="shared" si="42"/>
        <v>254.77851263268636</v>
      </c>
      <c r="AQ66" s="18">
        <f>IF(BD65&lt;&gt;1,"",IF(BA65&gt;0,IF(BA65&gt;CONTROL_PANEL!$B$11,CONTROL_PANEL!$B$11,BA65),0))</f>
        <v>16426111.079056362</v>
      </c>
      <c r="AR66" s="18">
        <f t="shared" si="37"/>
        <v>2491508.5452750786</v>
      </c>
      <c r="AS66" s="18">
        <f>IF(BD66&lt;&gt;1,"",DATA_INPUT!$I66)</f>
        <v>7.1495673492349248</v>
      </c>
      <c r="AT66" s="18">
        <f>IF(BD66&lt;&gt;1,"",AS66*CONTROL_PANEL!$B$5)</f>
        <v>678493.9414423944</v>
      </c>
      <c r="AU66" s="18">
        <f>IF(BD66&lt;&gt;1,"",DATA_INPUT!$C66)</f>
        <v>110.75939811107997</v>
      </c>
      <c r="AV66" s="18">
        <f t="shared" si="11"/>
        <v>275957.98686328018</v>
      </c>
      <c r="AW66" s="18">
        <f>IF(BD66&lt;&gt;1,"",DATA_INPUT!$H66)</f>
        <v>30.953191176815388</v>
      </c>
      <c r="AX66" s="18">
        <f t="shared" si="12"/>
        <v>77120.140320568709</v>
      </c>
      <c r="AY66" s="18">
        <f>IF(BD66&lt;&gt;1,"",AT66*CONTROL_PANEL!$B$14)</f>
        <v>47494.575900967611</v>
      </c>
      <c r="AZ66" s="18">
        <f>IF(BD66&lt;&gt;1,"",DATA_INPUT!$M66)</f>
        <v>0</v>
      </c>
      <c r="BA66" s="18">
        <f t="shared" si="13"/>
        <v>17255948.2911405</v>
      </c>
      <c r="BB66" s="18">
        <f>IF(BD66&lt;&gt;1,"",IF(BA66-CONTROL_PANEL!$B$11&lt;0,0,BA66-CONTROL_PANEL!$B$11))</f>
        <v>0</v>
      </c>
      <c r="BC66" s="18">
        <f>IF(BD66&lt;&gt;1,"",IF(AZ66&lt;=0,0,MIN(AZ66,MAX(0,CONTROL_PANEL!$B$13-BA66))))</f>
        <v>0</v>
      </c>
      <c r="BD66" s="18">
        <v>1</v>
      </c>
      <c r="BF66" s="19">
        <f t="shared" si="33"/>
        <v>2020</v>
      </c>
      <c r="BG66" s="19">
        <v>11</v>
      </c>
      <c r="BH66" s="18">
        <f t="shared" si="14"/>
        <v>30</v>
      </c>
      <c r="BI66" s="18">
        <f t="shared" si="43"/>
        <v>255.88632416276397</v>
      </c>
      <c r="BJ66" s="18">
        <f>IF(BW65&lt;&gt;1,"",IF(BT65&gt;0,IF(BT65&gt;CONTROL_PANEL!$B$11,CONTROL_PANEL!$B$11,BT65),0))</f>
        <v>19364811.69801924</v>
      </c>
      <c r="BK66" s="18">
        <f t="shared" si="38"/>
        <v>2781458.0795230744</v>
      </c>
      <c r="BL66" s="18">
        <f>IF(BW66&lt;&gt;1,"",DATA_INPUT!$I66)</f>
        <v>7.1495673492349248</v>
      </c>
      <c r="BM66" s="18">
        <f>IF(BW66&lt;&gt;1,"",BL66*CONTROL_PANEL!$B$5)</f>
        <v>678493.9414423944</v>
      </c>
      <c r="BN66" s="18">
        <f>IF(BW66&lt;&gt;1,"",DATA_INPUT!$C66)</f>
        <v>110.75939811107997</v>
      </c>
      <c r="BO66" s="18">
        <f t="shared" si="16"/>
        <v>308072.62275917613</v>
      </c>
      <c r="BP66" s="18">
        <f>IF(BW66&lt;&gt;1,"",DATA_INPUT!$H66)</f>
        <v>30.953191176815388</v>
      </c>
      <c r="BQ66" s="18">
        <f t="shared" si="17"/>
        <v>86095.003685775504</v>
      </c>
      <c r="BR66" s="18">
        <f>IF(BW66&lt;&gt;1,"",BM66*CONTROL_PANEL!$B$14)</f>
        <v>47494.575900967611</v>
      </c>
      <c r="BS66" s="18">
        <f>IF(BW66&lt;&gt;1,"",DATA_INPUT!$N66)</f>
        <v>0</v>
      </c>
      <c r="BT66" s="18">
        <f t="shared" si="18"/>
        <v>20217788.682634063</v>
      </c>
      <c r="BU66" s="18">
        <f>IF(BW66&lt;&gt;1,"",IF(BT66-CONTROL_PANEL!$B$11&lt;0,0,BT66-CONTROL_PANEL!$B$11))</f>
        <v>0</v>
      </c>
      <c r="BV66" s="18">
        <f>IF(BW66&lt;&gt;1,"",IF(BS66&lt;=0,0,MIN(BS66,MAX(0,CONTROL_PANEL!$B$13-BT66))))</f>
        <v>0</v>
      </c>
      <c r="BW66" s="18">
        <v>1</v>
      </c>
      <c r="BY66" s="19">
        <f t="shared" si="34"/>
        <v>2020</v>
      </c>
      <c r="BZ66" s="19">
        <v>11</v>
      </c>
      <c r="CA66" s="18">
        <f t="shared" si="19"/>
        <v>30</v>
      </c>
      <c r="CB66" s="18">
        <f t="shared" si="44"/>
        <v>254.52776994834005</v>
      </c>
      <c r="CC66" s="18">
        <f>IF(CP65&lt;&gt;1,"",IF(CM65&gt;0,IF(CM65&gt;CONTROL_PANEL!$B$11,CONTROL_PANEL!$B$11,CM65),0))</f>
        <v>15805236.511053367</v>
      </c>
      <c r="CD66" s="18">
        <f t="shared" si="39"/>
        <v>2428116.9666887941</v>
      </c>
      <c r="CE66" s="18">
        <f>IF(CP66&lt;&gt;1,"",DATA_INPUT!$I66)</f>
        <v>7.1495673492349248</v>
      </c>
      <c r="CF66" s="18">
        <f>IF(CP66&lt;&gt;1,"",CE66*CONTROL_PANEL!$B$5)</f>
        <v>678493.9414423944</v>
      </c>
      <c r="CG66" s="18">
        <f>IF(CP66&lt;&gt;1,"",DATA_INPUT!$C66)</f>
        <v>110.75939811107997</v>
      </c>
      <c r="CH66" s="18">
        <f t="shared" si="21"/>
        <v>268936.77377375204</v>
      </c>
      <c r="CI66" s="18">
        <f>IF(CP66&lt;&gt;1,"",DATA_INPUT!$H66)</f>
        <v>30.953191176815388</v>
      </c>
      <c r="CJ66" s="18">
        <f t="shared" si="22"/>
        <v>75157.968669587324</v>
      </c>
      <c r="CK66" s="18">
        <f>IF(CP66&lt;&gt;1,"",CF66*CONTROL_PANEL!$B$14)</f>
        <v>47494.575900967611</v>
      </c>
      <c r="CL66" s="18">
        <f>IF(CP66&lt;&gt;1,"",DATA_INPUT!$O66)</f>
        <v>0</v>
      </c>
      <c r="CM66" s="18">
        <f t="shared" si="23"/>
        <v>16630014.681698959</v>
      </c>
      <c r="CN66" s="18">
        <f>IF(CP66&lt;&gt;1,"",IF(CM66-CONTROL_PANEL!$B$11&lt;0,0,CM66-CONTROL_PANEL!$B$11))</f>
        <v>0</v>
      </c>
      <c r="CO66" s="18">
        <f>IF(CP66&lt;&gt;1,"",IF(CL66&lt;=0,0,MIN(CL66,MAX(0,CONTROL_PANEL!$B$13-CM66))))</f>
        <v>0</v>
      </c>
      <c r="CP66" s="18">
        <v>1</v>
      </c>
    </row>
    <row r="67" spans="1:94" x14ac:dyDescent="0.25">
      <c r="A67" s="19">
        <f t="shared" si="30"/>
        <v>2020</v>
      </c>
      <c r="B67" s="19">
        <v>12</v>
      </c>
      <c r="C67" s="18">
        <f t="shared" si="0"/>
        <v>31</v>
      </c>
      <c r="D67" s="18">
        <f t="shared" si="40"/>
        <v>255.92702689864828</v>
      </c>
      <c r="E67" s="18">
        <f>IF(R66&lt;&gt;1,"",IF(O66&gt;0,IF(O66&gt;CONTROL_PANEL!$B$11,CONTROL_PANEL!$B$11,O66),0))</f>
        <v>19479003.871592112</v>
      </c>
      <c r="F67" s="18">
        <f t="shared" si="35"/>
        <v>2792418.2397142625</v>
      </c>
      <c r="G67" s="18">
        <f>IF(R67&lt;&gt;1,"",DATA_INPUT!I67)</f>
        <v>16.626877579921334</v>
      </c>
      <c r="H67" s="18">
        <f>IF(R67&lt;&gt;1,"",G67*CONTROL_PANEL!$B$5)</f>
        <v>1577890.6823345346</v>
      </c>
      <c r="I67" s="18">
        <f>IF(R67&lt;&gt;1,"",DATA_INPUT!C67)</f>
        <v>70.088383817164001</v>
      </c>
      <c r="J67" s="18">
        <f t="shared" si="2"/>
        <v>195716.0813631427</v>
      </c>
      <c r="K67" s="18">
        <f>IF(R67&lt;&gt;1,"",DATA_INPUT!H67)</f>
        <v>20.004649116969837</v>
      </c>
      <c r="L67" s="18">
        <f t="shared" si="25"/>
        <v>55861.34707331039</v>
      </c>
      <c r="M67" s="18">
        <f>IF(R67&lt;&gt;1,"",H67*CONTROL_PANEL!$B$14)</f>
        <v>110452.34776341743</v>
      </c>
      <c r="N67" s="18">
        <f>IF(R67&lt;&gt;1,"",DATA_INPUT!K67)</f>
        <v>0</v>
      </c>
      <c r="O67" s="18">
        <f t="shared" si="3"/>
        <v>21086296.94045306</v>
      </c>
      <c r="P67" s="18">
        <f>IF(R67&lt;&gt;1,"",IF(O67-CONTROL_PANEL!$B$11&lt;0,0,O67-CONTROL_PANEL!$B$11))</f>
        <v>0</v>
      </c>
      <c r="Q67" s="18">
        <f>IF(R67&lt;&gt;1,"",IF(N67&lt;=0,0,MIN(N67,MAX(0,CONTROL_PANEL!$B$13-O67))))</f>
        <v>0</v>
      </c>
      <c r="R67" s="18">
        <v>1</v>
      </c>
      <c r="T67" s="19">
        <f t="shared" si="31"/>
        <v>2020</v>
      </c>
      <c r="U67" s="19">
        <v>12</v>
      </c>
      <c r="V67" s="18">
        <f t="shared" si="4"/>
        <v>31</v>
      </c>
      <c r="W67" s="18">
        <f t="shared" si="41"/>
        <v>253.16887823576985</v>
      </c>
      <c r="X67" s="18">
        <f>IF(AK66&lt;&gt;1,"",IF(AH66&gt;0,IF(AH66&gt;CONTROL_PANEL!$B$11,CONTROL_PANEL!$B$11,AH66),0))</f>
        <v>12711619.983383754</v>
      </c>
      <c r="Y67" s="18">
        <f t="shared" si="36"/>
        <v>2098911.0860500759</v>
      </c>
      <c r="Z67" s="18">
        <f>IF(AK67&lt;&gt;1,"",DATA_INPUT!I67)</f>
        <v>16.626877579921334</v>
      </c>
      <c r="AA67" s="18">
        <f>IF(AK67&lt;&gt;1,"",Z67*CONTROL_PANEL!$B$5)</f>
        <v>1577890.6823345346</v>
      </c>
      <c r="AB67" s="18">
        <f>IF(AK67&lt;&gt;1,"",DATA_INPUT!$C67)</f>
        <v>70.088383817164001</v>
      </c>
      <c r="AC67" s="18">
        <f t="shared" si="6"/>
        <v>147109.28579717828</v>
      </c>
      <c r="AD67" s="18">
        <f>IF(AK67&lt;&gt;1,"",DATA_INPUT!$H67)</f>
        <v>20.004649116969837</v>
      </c>
      <c r="AE67" s="18">
        <f t="shared" si="7"/>
        <v>41987.979804149851</v>
      </c>
      <c r="AF67" s="18">
        <f>IF(AK67&lt;&gt;1,"",AA67*CONTROL_PANEL!$B$14)</f>
        <v>110452.34776341743</v>
      </c>
      <c r="AG67" s="18">
        <f>IF(AK67&lt;&gt;1,"",DATA_INPUT!$L67)</f>
        <v>0</v>
      </c>
      <c r="AH67" s="18">
        <f t="shared" si="8"/>
        <v>14284179.6239479</v>
      </c>
      <c r="AI67" s="18">
        <f>IF(AK67&lt;&gt;1,"",IF(AH67-CONTROL_PANEL!$B$11&lt;0,0,AH67-CONTROL_PANEL!$B$11))</f>
        <v>0</v>
      </c>
      <c r="AJ67" s="18">
        <f>IF(AK67&lt;&gt;1,"",IF(AG67&lt;=0,0,MIN(AG67,MAX(0,CONTROL_PANEL!$B$13-AH67))))</f>
        <v>0</v>
      </c>
      <c r="AK67" s="18">
        <v>1</v>
      </c>
      <c r="AM67" s="19">
        <f t="shared" si="32"/>
        <v>2020</v>
      </c>
      <c r="AN67" s="19">
        <v>12</v>
      </c>
      <c r="AO67" s="18">
        <f t="shared" si="9"/>
        <v>31</v>
      </c>
      <c r="AP67" s="18">
        <f t="shared" si="42"/>
        <v>255.10393498964788</v>
      </c>
      <c r="AQ67" s="18">
        <f>IF(BD66&lt;&gt;1,"",IF(BA66&gt;0,IF(BA66&gt;CONTROL_PANEL!$B$11,CONTROL_PANEL!$B$11,BA66),0))</f>
        <v>17255948.2911405</v>
      </c>
      <c r="AR67" s="18">
        <f t="shared" si="37"/>
        <v>2575010.5588820479</v>
      </c>
      <c r="AS67" s="18">
        <f>IF(BD67&lt;&gt;1,"",DATA_INPUT!$I67)</f>
        <v>16.626877579921334</v>
      </c>
      <c r="AT67" s="18">
        <f>IF(BD67&lt;&gt;1,"",AS67*CONTROL_PANEL!$B$5)</f>
        <v>1577890.6823345346</v>
      </c>
      <c r="AU67" s="18">
        <f>IF(BD67&lt;&gt;1,"",DATA_INPUT!$C67)</f>
        <v>70.088383817164001</v>
      </c>
      <c r="AV67" s="18">
        <f t="shared" si="11"/>
        <v>180478.32838417494</v>
      </c>
      <c r="AW67" s="18">
        <f>IF(BD67&lt;&gt;1,"",DATA_INPUT!$H67)</f>
        <v>20.004649116969837</v>
      </c>
      <c r="AX67" s="18">
        <f t="shared" si="12"/>
        <v>51512.18270292777</v>
      </c>
      <c r="AY67" s="18">
        <f>IF(BD67&lt;&gt;1,"",AT67*CONTROL_PANEL!$B$14)</f>
        <v>110452.34776341743</v>
      </c>
      <c r="AZ67" s="18">
        <f>IF(BD67&lt;&gt;1,"",DATA_INPUT!$M67)</f>
        <v>0</v>
      </c>
      <c r="BA67" s="18">
        <f t="shared" si="13"/>
        <v>18852352.771392867</v>
      </c>
      <c r="BB67" s="18">
        <f>IF(BD67&lt;&gt;1,"",IF(BA67-CONTROL_PANEL!$B$11&lt;0,0,BA67-CONTROL_PANEL!$B$11))</f>
        <v>0</v>
      </c>
      <c r="BC67" s="18">
        <f>IF(BD67&lt;&gt;1,"",IF(AZ67&lt;=0,0,MIN(AZ67,MAX(0,CONTROL_PANEL!$B$13-BA67))))</f>
        <v>0</v>
      </c>
      <c r="BD67" s="18">
        <v>1</v>
      </c>
      <c r="BF67" s="19">
        <f t="shared" si="33"/>
        <v>2020</v>
      </c>
      <c r="BG67" s="19">
        <v>12</v>
      </c>
      <c r="BH67" s="18">
        <f t="shared" si="14"/>
        <v>31</v>
      </c>
      <c r="BI67" s="18">
        <f t="shared" si="43"/>
        <v>256.18657787294404</v>
      </c>
      <c r="BJ67" s="18">
        <f>IF(BW66&lt;&gt;1,"",IF(BT66&gt;0,IF(BT66&gt;CONTROL_PANEL!$B$11,CONTROL_PANEL!$B$11,BT66),0))</f>
        <v>20217788.682634063</v>
      </c>
      <c r="BK67" s="18">
        <f t="shared" si="38"/>
        <v>2862820.3389731357</v>
      </c>
      <c r="BL67" s="18">
        <f>IF(BW67&lt;&gt;1,"",DATA_INPUT!$I67)</f>
        <v>16.626877579921334</v>
      </c>
      <c r="BM67" s="18">
        <f>IF(BW67&lt;&gt;1,"",BL67*CONTROL_PANEL!$B$5)</f>
        <v>1577890.6823345346</v>
      </c>
      <c r="BN67" s="18">
        <f>IF(BW67&lt;&gt;1,"",DATA_INPUT!$C67)</f>
        <v>70.088383817164001</v>
      </c>
      <c r="BO67" s="18">
        <f t="shared" si="16"/>
        <v>200650.45071753269</v>
      </c>
      <c r="BP67" s="18">
        <f>IF(BW67&lt;&gt;1,"",DATA_INPUT!$H67)</f>
        <v>20.004649116969837</v>
      </c>
      <c r="BQ67" s="18">
        <f t="shared" si="17"/>
        <v>57269.716366082226</v>
      </c>
      <c r="BR67" s="18">
        <f>IF(BW67&lt;&gt;1,"",BM67*CONTROL_PANEL!$B$14)</f>
        <v>110452.34776341743</v>
      </c>
      <c r="BS67" s="18">
        <f>IF(BW67&lt;&gt;1,"",DATA_INPUT!$N67)</f>
        <v>0</v>
      </c>
      <c r="BT67" s="18">
        <f t="shared" si="18"/>
        <v>21828607.751556631</v>
      </c>
      <c r="BU67" s="18">
        <f>IF(BW67&lt;&gt;1,"",IF(BT67-CONTROL_PANEL!$B$11&lt;0,0,BT67-CONTROL_PANEL!$B$11))</f>
        <v>0</v>
      </c>
      <c r="BV67" s="18">
        <f>IF(BW67&lt;&gt;1,"",IF(BS67&lt;=0,0,MIN(BS67,MAX(0,CONTROL_PANEL!$B$13-BT67))))</f>
        <v>0</v>
      </c>
      <c r="BW67" s="18">
        <v>1</v>
      </c>
      <c r="BY67" s="19">
        <f t="shared" si="34"/>
        <v>2020</v>
      </c>
      <c r="BZ67" s="19">
        <v>12</v>
      </c>
      <c r="CA67" s="18">
        <f t="shared" si="19"/>
        <v>31</v>
      </c>
      <c r="CB67" s="18">
        <f t="shared" si="44"/>
        <v>254.85947487071283</v>
      </c>
      <c r="CC67" s="18">
        <f>IF(CP66&lt;&gt;1,"",IF(CM66&gt;0,IF(CM66&gt;CONTROL_PANEL!$B$11,CONTROL_PANEL!$B$11,CM66),0))</f>
        <v>16630014.681698959</v>
      </c>
      <c r="CD67" s="18">
        <f t="shared" si="39"/>
        <v>2512153.2351628714</v>
      </c>
      <c r="CE67" s="18">
        <f>IF(CP67&lt;&gt;1,"",DATA_INPUT!$I67)</f>
        <v>16.626877579921334</v>
      </c>
      <c r="CF67" s="18">
        <f>IF(CP67&lt;&gt;1,"",CE67*CONTROL_PANEL!$B$5)</f>
        <v>1577890.6823345346</v>
      </c>
      <c r="CG67" s="18">
        <f>IF(CP67&lt;&gt;1,"",DATA_INPUT!$C67)</f>
        <v>70.088383817164001</v>
      </c>
      <c r="CH67" s="18">
        <f t="shared" si="21"/>
        <v>176072.76015362557</v>
      </c>
      <c r="CI67" s="18">
        <f>IF(CP67&lt;&gt;1,"",DATA_INPUT!$H67)</f>
        <v>20.004649116969837</v>
      </c>
      <c r="CJ67" s="18">
        <f t="shared" si="22"/>
        <v>50254.743997493853</v>
      </c>
      <c r="CK67" s="18">
        <f>IF(CP67&lt;&gt;1,"",CF67*CONTROL_PANEL!$B$14)</f>
        <v>110452.34776341743</v>
      </c>
      <c r="CL67" s="18">
        <f>IF(CP67&lt;&gt;1,"",DATA_INPUT!$O67)</f>
        <v>0</v>
      </c>
      <c r="CM67" s="18">
        <f t="shared" si="23"/>
        <v>18223271.032426208</v>
      </c>
      <c r="CN67" s="18">
        <f>IF(CP67&lt;&gt;1,"",IF(CM67-CONTROL_PANEL!$B$11&lt;0,0,CM67-CONTROL_PANEL!$B$11))</f>
        <v>0</v>
      </c>
      <c r="CO67" s="18">
        <f>IF(CP67&lt;&gt;1,"",IF(CL67&lt;=0,0,MIN(CL67,MAX(0,CONTROL_PANEL!$B$13-CM67))))</f>
        <v>0</v>
      </c>
      <c r="CP67" s="18">
        <v>1</v>
      </c>
    </row>
    <row r="68" spans="1:94" x14ac:dyDescent="0.25">
      <c r="A68" s="19">
        <f t="shared" si="30"/>
        <v>2021</v>
      </c>
      <c r="B68" s="19">
        <v>1</v>
      </c>
      <c r="C68" s="18">
        <f t="shared" si="0"/>
        <v>31</v>
      </c>
      <c r="D68" s="18">
        <f t="shared" si="40"/>
        <v>256.48371479295969</v>
      </c>
      <c r="E68" s="18">
        <f>IF(R67&lt;&gt;1,"",IF(O67&gt;0,IF(O67&gt;CONTROL_PANEL!$B$11,CONTROL_PANEL!$B$11,O67),0))</f>
        <v>21086296.94045306</v>
      </c>
      <c r="F68" s="18">
        <f t="shared" si="35"/>
        <v>2944504.3108694339</v>
      </c>
      <c r="G68" s="18">
        <f>IF(R68&lt;&gt;1,"",DATA_INPUT!I68)</f>
        <v>62.735587828273431</v>
      </c>
      <c r="H68" s="18">
        <f>IF(R68&lt;&gt;1,"",G68*CONTROL_PANEL!$B$5)</f>
        <v>5953607.2849031482</v>
      </c>
      <c r="I68" s="18">
        <f>IF(R68&lt;&gt;1,"",DATA_INPUT!C68)</f>
        <v>75.5</v>
      </c>
      <c r="J68" s="18">
        <f t="shared" si="2"/>
        <v>222310.07547064227</v>
      </c>
      <c r="K68" s="18">
        <f>IF(R68&lt;&gt;1,"",DATA_INPUT!H68)</f>
        <v>20.414521747975357</v>
      </c>
      <c r="L68" s="18">
        <f t="shared" si="25"/>
        <v>60110.647291251247</v>
      </c>
      <c r="M68" s="18">
        <f>IF(R68&lt;&gt;1,"",H68*CONTROL_PANEL!$B$14)</f>
        <v>416752.50994322042</v>
      </c>
      <c r="N68" s="18">
        <f>IF(R68&lt;&gt;1,"",DATA_INPUT!K68)</f>
        <v>0</v>
      </c>
      <c r="O68" s="18">
        <f t="shared" si="3"/>
        <v>26785351.143592376</v>
      </c>
      <c r="P68" s="18">
        <f>IF(R68&lt;&gt;1,"",IF(O68-CONTROL_PANEL!$B$11&lt;0,0,O68-CONTROL_PANEL!$B$11))</f>
        <v>0</v>
      </c>
      <c r="Q68" s="18">
        <f>IF(R68&lt;&gt;1,"",IF(N68&lt;=0,0,MIN(N68,MAX(0,CONTROL_PANEL!$B$13-O68))))</f>
        <v>0</v>
      </c>
      <c r="R68" s="18">
        <v>1</v>
      </c>
      <c r="T68" s="19">
        <f t="shared" si="31"/>
        <v>2021</v>
      </c>
      <c r="U68" s="19">
        <v>1</v>
      </c>
      <c r="V68" s="18">
        <f t="shared" si="4"/>
        <v>31</v>
      </c>
      <c r="W68" s="18">
        <f t="shared" si="41"/>
        <v>253.88430886944818</v>
      </c>
      <c r="X68" s="18">
        <f>IF(AK67&lt;&gt;1,"",IF(AH67&gt;0,IF(AH67&gt;CONTROL_PANEL!$B$11,CONTROL_PANEL!$B$11,AH67),0))</f>
        <v>14284179.6239479</v>
      </c>
      <c r="Y68" s="18">
        <f t="shared" si="36"/>
        <v>2269214.0426262803</v>
      </c>
      <c r="Z68" s="18">
        <f>IF(AK68&lt;&gt;1,"",DATA_INPUT!I68)</f>
        <v>62.735587828273431</v>
      </c>
      <c r="AA68" s="18">
        <f>IF(AK68&lt;&gt;1,"",Z68*CONTROL_PANEL!$B$5)</f>
        <v>5953607.2849031482</v>
      </c>
      <c r="AB68" s="18">
        <f>IF(AK68&lt;&gt;1,"",DATA_INPUT!$C68)</f>
        <v>75.5</v>
      </c>
      <c r="AC68" s="18">
        <f t="shared" si="6"/>
        <v>171325.66021828417</v>
      </c>
      <c r="AD68" s="18">
        <f>IF(AK68&lt;&gt;1,"",DATA_INPUT!$H68)</f>
        <v>20.414521747975357</v>
      </c>
      <c r="AE68" s="18">
        <f t="shared" si="7"/>
        <v>46324.919424005275</v>
      </c>
      <c r="AF68" s="18">
        <f>IF(AK68&lt;&gt;1,"",AA68*CONTROL_PANEL!$B$14)</f>
        <v>416752.50994322042</v>
      </c>
      <c r="AG68" s="18">
        <f>IF(AK68&lt;&gt;1,"",DATA_INPUT!$L68)</f>
        <v>0</v>
      </c>
      <c r="AH68" s="18">
        <f t="shared" si="8"/>
        <v>19946035.139702108</v>
      </c>
      <c r="AI68" s="18">
        <f>IF(AK68&lt;&gt;1,"",IF(AH68-CONTROL_PANEL!$B$11&lt;0,0,AH68-CONTROL_PANEL!$B$11))</f>
        <v>0</v>
      </c>
      <c r="AJ68" s="18">
        <f>IF(AK68&lt;&gt;1,"",IF(AG68&lt;=0,0,MIN(AG68,MAX(0,CONTROL_PANEL!$B$13-AH68))))</f>
        <v>0</v>
      </c>
      <c r="AK68" s="18">
        <v>1</v>
      </c>
      <c r="AM68" s="19">
        <f t="shared" si="32"/>
        <v>2021</v>
      </c>
      <c r="AN68" s="19">
        <v>1</v>
      </c>
      <c r="AO68" s="18">
        <f t="shared" si="9"/>
        <v>31</v>
      </c>
      <c r="AP68" s="18">
        <f t="shared" si="42"/>
        <v>255.70165911779307</v>
      </c>
      <c r="AQ68" s="18">
        <f>IF(BD67&lt;&gt;1,"",IF(BA67&gt;0,IF(BA67&gt;CONTROL_PANEL!$B$11,CONTROL_PANEL!$B$11,BA67),0))</f>
        <v>18852352.771392867</v>
      </c>
      <c r="AR68" s="18">
        <f t="shared" si="37"/>
        <v>2732006.0673575657</v>
      </c>
      <c r="AS68" s="18">
        <f>IF(BD68&lt;&gt;1,"",DATA_INPUT!$I68)</f>
        <v>62.735587828273431</v>
      </c>
      <c r="AT68" s="18">
        <f>IF(BD68&lt;&gt;1,"",AS68*CONTROL_PANEL!$B$5)</f>
        <v>5953607.2849031482</v>
      </c>
      <c r="AU68" s="18">
        <f>IF(BD68&lt;&gt;1,"",DATA_INPUT!$C68)</f>
        <v>75.5</v>
      </c>
      <c r="AV68" s="18">
        <f t="shared" si="11"/>
        <v>206266.45808549621</v>
      </c>
      <c r="AW68" s="18">
        <f>IF(BD68&lt;&gt;1,"",DATA_INPUT!$H68)</f>
        <v>20.414521747975357</v>
      </c>
      <c r="AX68" s="18">
        <f t="shared" si="12"/>
        <v>55772.597277671652</v>
      </c>
      <c r="AY68" s="18">
        <f>IF(BD68&lt;&gt;1,"",AT68*CONTROL_PANEL!$B$14)</f>
        <v>416752.50994322042</v>
      </c>
      <c r="AZ68" s="18">
        <f>IF(BD68&lt;&gt;1,"",DATA_INPUT!$M68)</f>
        <v>0</v>
      </c>
      <c r="BA68" s="18">
        <f t="shared" si="13"/>
        <v>24539701.407160617</v>
      </c>
      <c r="BB68" s="18">
        <f>IF(BD68&lt;&gt;1,"",IF(BA68-CONTROL_PANEL!$B$11&lt;0,0,BA68-CONTROL_PANEL!$B$11))</f>
        <v>0</v>
      </c>
      <c r="BC68" s="18">
        <f>IF(BD68&lt;&gt;1,"",IF(AZ68&lt;=0,0,MIN(AZ68,MAX(0,CONTROL_PANEL!$B$13-BA68))))</f>
        <v>0</v>
      </c>
      <c r="BD68" s="18">
        <v>1</v>
      </c>
      <c r="BF68" s="19">
        <f t="shared" si="33"/>
        <v>2021</v>
      </c>
      <c r="BG68" s="19">
        <v>1</v>
      </c>
      <c r="BH68" s="18">
        <f t="shared" si="14"/>
        <v>31</v>
      </c>
      <c r="BI68" s="18">
        <f t="shared" si="43"/>
        <v>256.73125369468289</v>
      </c>
      <c r="BJ68" s="18">
        <f>IF(BW67&lt;&gt;1,"",IF(BT67&gt;0,IF(BT67&gt;CONTROL_PANEL!$B$11,CONTROL_PANEL!$B$11,BT67),0))</f>
        <v>21828607.751556631</v>
      </c>
      <c r="BK68" s="18">
        <f t="shared" si="38"/>
        <v>3013439.7294663466</v>
      </c>
      <c r="BL68" s="18">
        <f>IF(BW68&lt;&gt;1,"",DATA_INPUT!$I68)</f>
        <v>62.735587828273431</v>
      </c>
      <c r="BM68" s="18">
        <f>IF(BW68&lt;&gt;1,"",BL68*CONTROL_PANEL!$B$5)</f>
        <v>5953607.2849031482</v>
      </c>
      <c r="BN68" s="18">
        <f>IF(BW68&lt;&gt;1,"",DATA_INPUT!$C68)</f>
        <v>75.5</v>
      </c>
      <c r="BO68" s="18">
        <f t="shared" si="16"/>
        <v>227514.69957470917</v>
      </c>
      <c r="BP68" s="18">
        <f>IF(BW68&lt;&gt;1,"",DATA_INPUT!$H68)</f>
        <v>20.414521747975357</v>
      </c>
      <c r="BQ68" s="18">
        <f t="shared" si="17"/>
        <v>61517.930893403711</v>
      </c>
      <c r="BR68" s="18">
        <f>IF(BW68&lt;&gt;1,"",BM68*CONTROL_PANEL!$B$14)</f>
        <v>416752.50994322042</v>
      </c>
      <c r="BS68" s="18">
        <f>IF(BW68&lt;&gt;1,"",DATA_INPUT!$N68)</f>
        <v>0</v>
      </c>
      <c r="BT68" s="18">
        <f t="shared" si="18"/>
        <v>27531459.295197867</v>
      </c>
      <c r="BU68" s="18">
        <f>IF(BW68&lt;&gt;1,"",IF(BT68-CONTROL_PANEL!$B$11&lt;0,0,BT68-CONTROL_PANEL!$B$11))</f>
        <v>0</v>
      </c>
      <c r="BV68" s="18">
        <f>IF(BW68&lt;&gt;1,"",IF(BS68&lt;=0,0,MIN(BS68,MAX(0,CONTROL_PANEL!$B$13-BT68))))</f>
        <v>0</v>
      </c>
      <c r="BW68" s="18">
        <v>1</v>
      </c>
      <c r="BY68" s="19">
        <f t="shared" si="34"/>
        <v>2021</v>
      </c>
      <c r="BZ68" s="19">
        <v>1</v>
      </c>
      <c r="CA68" s="18">
        <f t="shared" si="19"/>
        <v>31</v>
      </c>
      <c r="CB68" s="18">
        <f t="shared" si="44"/>
        <v>255.47031923212788</v>
      </c>
      <c r="CC68" s="18">
        <f>IF(CP67&lt;&gt;1,"",IF(CM67&gt;0,IF(CM67&gt;CONTROL_PANEL!$B$11,CONTROL_PANEL!$B$11,CM67),0))</f>
        <v>18223271.032426208</v>
      </c>
      <c r="CD68" s="18">
        <f t="shared" si="39"/>
        <v>2670686.8846224546</v>
      </c>
      <c r="CE68" s="18">
        <f>IF(CP68&lt;&gt;1,"",DATA_INPUT!$I68)</f>
        <v>62.735587828273431</v>
      </c>
      <c r="CF68" s="18">
        <f>IF(CP68&lt;&gt;1,"",CE68*CONTROL_PANEL!$B$5)</f>
        <v>5953607.2849031482</v>
      </c>
      <c r="CG68" s="18">
        <f>IF(CP68&lt;&gt;1,"",DATA_INPUT!$C68)</f>
        <v>75.5</v>
      </c>
      <c r="CH68" s="18">
        <f t="shared" si="21"/>
        <v>201636.85978899532</v>
      </c>
      <c r="CI68" s="18">
        <f>IF(CP68&lt;&gt;1,"",DATA_INPUT!$H68)</f>
        <v>20.414521747975357</v>
      </c>
      <c r="CJ68" s="18">
        <f t="shared" si="22"/>
        <v>54520.795488157652</v>
      </c>
      <c r="CK68" s="18">
        <f>IF(CP68&lt;&gt;1,"",CF68*CONTROL_PANEL!$B$14)</f>
        <v>416752.50994322042</v>
      </c>
      <c r="CL68" s="18">
        <f>IF(CP68&lt;&gt;1,"",DATA_INPUT!$O68)</f>
        <v>0</v>
      </c>
      <c r="CM68" s="18">
        <f t="shared" si="23"/>
        <v>23907241.871686973</v>
      </c>
      <c r="CN68" s="18">
        <f>IF(CP68&lt;&gt;1,"",IF(CM68-CONTROL_PANEL!$B$11&lt;0,0,CM68-CONTROL_PANEL!$B$11))</f>
        <v>0</v>
      </c>
      <c r="CO68" s="18">
        <f>IF(CP68&lt;&gt;1,"",IF(CL68&lt;=0,0,MIN(CL68,MAX(0,CONTROL_PANEL!$B$13-CM68))))</f>
        <v>0</v>
      </c>
      <c r="CP68" s="18">
        <v>1</v>
      </c>
    </row>
    <row r="69" spans="1:94" x14ac:dyDescent="0.25">
      <c r="A69" s="19">
        <f t="shared" si="30"/>
        <v>2021</v>
      </c>
      <c r="B69" s="19">
        <v>2</v>
      </c>
      <c r="C69" s="18">
        <f t="shared" ref="C69:C132" si="45">IF(R69&lt;&gt;1,"",DAY(DATE(A69,B69+1,)))</f>
        <v>28</v>
      </c>
      <c r="D69" s="18">
        <f t="shared" si="40"/>
        <v>258.25478705677153</v>
      </c>
      <c r="E69" s="18">
        <f>IF(R68&lt;&gt;1,"",IF(O68&gt;0,IF(O68&gt;CONTROL_PANEL!$B$11,CONTROL_PANEL!$B$11,O68),0))</f>
        <v>26785351.143592376</v>
      </c>
      <c r="F69" s="18">
        <f t="shared" ref="F69:F100" si="46">IF(R69&lt;&gt;1,"",0.6*(D69-235)^2.02*10000)</f>
        <v>3455462.8788732956</v>
      </c>
      <c r="G69" s="18">
        <f>IF(R69&lt;&gt;1,"",DATA_INPUT!I69)</f>
        <v>16.160320088758017</v>
      </c>
      <c r="H69" s="18">
        <f>IF(R69&lt;&gt;1,"",G69*CONTROL_PANEL!$B$5)</f>
        <v>1533614.3764231359</v>
      </c>
      <c r="I69" s="18">
        <f>IF(R69&lt;&gt;1,"",DATA_INPUT!C69)</f>
        <v>131.587935017516</v>
      </c>
      <c r="J69" s="18">
        <f t="shared" ref="J69:J132" si="47">IF(R69&lt;&gt;1,"",(I69*F69)/1000)</f>
        <v>454697.22476061794</v>
      </c>
      <c r="K69" s="18">
        <f>IF(R69&lt;&gt;1,"",DATA_INPUT!H69)</f>
        <v>26.584788178137078</v>
      </c>
      <c r="L69" s="18">
        <f t="shared" ref="L69:L132" si="48">IF(R69&lt;&gt;1,"",((K69*F69)/1000))</f>
        <v>91862.748692262307</v>
      </c>
      <c r="M69" s="18">
        <f>IF(R69&lt;&gt;1,"",H69*CONTROL_PANEL!$B$14)</f>
        <v>107353.00634961952</v>
      </c>
      <c r="N69" s="18">
        <f>IF(R69&lt;&gt;1,"",DATA_INPUT!K69)</f>
        <v>0</v>
      </c>
      <c r="O69" s="18">
        <f t="shared" ref="O69:O132" si="49">IF(R69&lt;&gt;1,"",(E69+H69+J69)-(L69+N69+M69))</f>
        <v>28574446.989734247</v>
      </c>
      <c r="P69" s="18">
        <f>IF(R69&lt;&gt;1,"",IF(O69-CONTROL_PANEL!$B$11&lt;0,0,O69-CONTROL_PANEL!$B$11))</f>
        <v>0</v>
      </c>
      <c r="Q69" s="18">
        <f>IF(R69&lt;&gt;1,"",IF(N69&lt;=0,0,MIN(N69,MAX(0,CONTROL_PANEL!$B$13-O69))))</f>
        <v>0</v>
      </c>
      <c r="R69" s="18">
        <v>1</v>
      </c>
      <c r="T69" s="19">
        <f t="shared" si="31"/>
        <v>2021</v>
      </c>
      <c r="U69" s="19">
        <v>2</v>
      </c>
      <c r="V69" s="18">
        <f t="shared" ref="V69:V132" si="50">IF(AK69&lt;&gt;1,"",DAY(DATE(T69,U69+1,)))</f>
        <v>28</v>
      </c>
      <c r="W69" s="18">
        <f t="shared" si="41"/>
        <v>256.09185431697023</v>
      </c>
      <c r="X69" s="18">
        <f>IF(AK68&lt;&gt;1,"",IF(AH68&gt;0,IF(AH68&gt;CONTROL_PANEL!$B$11,CONTROL_PANEL!$B$11,AH68),0))</f>
        <v>19946035.139702108</v>
      </c>
      <c r="Y69" s="18">
        <f t="shared" ref="Y69:Y100" si="51">IF(AK69&lt;&gt;1,"",0.6*(W69-235)^2.02*10000)</f>
        <v>2837024.4038221627</v>
      </c>
      <c r="Z69" s="18">
        <f>IF(AK69&lt;&gt;1,"",DATA_INPUT!I69)</f>
        <v>16.160320088758017</v>
      </c>
      <c r="AA69" s="18">
        <f>IF(AK69&lt;&gt;1,"",Z69*CONTROL_PANEL!$B$5)</f>
        <v>1533614.3764231359</v>
      </c>
      <c r="AB69" s="18">
        <f>IF(AK69&lt;&gt;1,"",DATA_INPUT!$C69)</f>
        <v>131.587935017516</v>
      </c>
      <c r="AC69" s="18">
        <f t="shared" ref="AC69:AC132" si="52">IF(AK69&lt;&gt;1,"",(AB69*Y69)/1000)</f>
        <v>373318.18289325782</v>
      </c>
      <c r="AD69" s="18">
        <f>IF(AK69&lt;&gt;1,"",DATA_INPUT!$H69)</f>
        <v>26.584788178137078</v>
      </c>
      <c r="AE69" s="18">
        <f t="shared" ref="AE69:AE132" si="53">IF(AK69&lt;&gt;1,"",((AD69*Y69)/1000))</f>
        <v>75421.692831817825</v>
      </c>
      <c r="AF69" s="18">
        <f>IF(AK69&lt;&gt;1,"",AA69*CONTROL_PANEL!$B$14)</f>
        <v>107353.00634961952</v>
      </c>
      <c r="AG69" s="18">
        <f>IF(AK69&lt;&gt;1,"",DATA_INPUT!$L69)</f>
        <v>0</v>
      </c>
      <c r="AH69" s="18">
        <f t="shared" ref="AH69:AH132" si="54">IF(AK69&lt;&gt;1,"",(X69+AA69+AC69)-(AE69+AG69+AF69))</f>
        <v>21670192.999837063</v>
      </c>
      <c r="AI69" s="18">
        <f>IF(AK69&lt;&gt;1,"",IF(AH69-CONTROL_PANEL!$B$11&lt;0,0,AH69-CONTROL_PANEL!$B$11))</f>
        <v>0</v>
      </c>
      <c r="AJ69" s="18">
        <f>IF(AK69&lt;&gt;1,"",IF(AG69&lt;=0,0,MIN(AG69,MAX(0,CONTROL_PANEL!$B$13-AH69))))</f>
        <v>0</v>
      </c>
      <c r="AK69" s="18">
        <v>1</v>
      </c>
      <c r="AM69" s="19">
        <f t="shared" si="32"/>
        <v>2021</v>
      </c>
      <c r="AN69" s="19">
        <v>2</v>
      </c>
      <c r="AO69" s="18">
        <f t="shared" ref="AO69:AO132" si="55">IF(BD69&lt;&gt;1,"",DAY(DATE(AM69,AN69+1,)))</f>
        <v>28</v>
      </c>
      <c r="AP69" s="18">
        <f t="shared" si="42"/>
        <v>257.59021117996849</v>
      </c>
      <c r="AQ69" s="18">
        <f>IF(BD68&lt;&gt;1,"",IF(BA68&gt;0,IF(BA68&gt;CONTROL_PANEL!$B$11,CONTROL_PANEL!$B$11,BA68),0))</f>
        <v>24539701.407160617</v>
      </c>
      <c r="AR69" s="18">
        <f t="shared" ref="AR69:AR100" si="56">IF(BD69&lt;&gt;1,"",0.6*(AP69-235)^2.02*10000)</f>
        <v>3258894.0242737802</v>
      </c>
      <c r="AS69" s="18">
        <f>IF(BD69&lt;&gt;1,"",DATA_INPUT!$I69)</f>
        <v>16.160320088758017</v>
      </c>
      <c r="AT69" s="18">
        <f>IF(BD69&lt;&gt;1,"",AS69*CONTROL_PANEL!$B$5)</f>
        <v>1533614.3764231359</v>
      </c>
      <c r="AU69" s="18">
        <f>IF(BD69&lt;&gt;1,"",DATA_INPUT!$C69)</f>
        <v>131.587935017516</v>
      </c>
      <c r="AV69" s="18">
        <f t="shared" ref="AV69:AV132" si="57">IF(BD69&lt;&gt;1,"",(AU69*AR69)/1000)</f>
        <v>428831.13509510941</v>
      </c>
      <c r="AW69" s="18">
        <f>IF(BD69&lt;&gt;1,"",DATA_INPUT!$H69)</f>
        <v>26.584788178137078</v>
      </c>
      <c r="AX69" s="18">
        <f t="shared" ref="AX69:AX132" si="58">IF(BD69&lt;&gt;1,"",((AW69*AR69)/1000))</f>
        <v>86637.007330315158</v>
      </c>
      <c r="AY69" s="18">
        <f>IF(BD69&lt;&gt;1,"",AT69*CONTROL_PANEL!$B$14)</f>
        <v>107353.00634961952</v>
      </c>
      <c r="AZ69" s="18">
        <f>IF(BD69&lt;&gt;1,"",DATA_INPUT!$M69)</f>
        <v>0</v>
      </c>
      <c r="BA69" s="18">
        <f t="shared" ref="BA69:BA132" si="59">IF(BD69&lt;&gt;1,"",(AQ69+AT69+AV69)-(AX69+AZ69+AY69))</f>
        <v>26308156.904998928</v>
      </c>
      <c r="BB69" s="18">
        <f>IF(BD69&lt;&gt;1,"",IF(BA69-CONTROL_PANEL!$B$11&lt;0,0,BA69-CONTROL_PANEL!$B$11))</f>
        <v>0</v>
      </c>
      <c r="BC69" s="18">
        <f>IF(BD69&lt;&gt;1,"",IF(AZ69&lt;=0,0,MIN(AZ69,MAX(0,CONTROL_PANEL!$B$13-BA69))))</f>
        <v>0</v>
      </c>
      <c r="BD69" s="18">
        <v>1</v>
      </c>
      <c r="BF69" s="19">
        <f t="shared" si="33"/>
        <v>2021</v>
      </c>
      <c r="BG69" s="19">
        <v>2</v>
      </c>
      <c r="BH69" s="18">
        <f t="shared" ref="BH69:BH132" si="60">IF(BW69&lt;&gt;1,"",DAY(DATE(BF69,BG69+1,)))</f>
        <v>28</v>
      </c>
      <c r="BI69" s="18">
        <f t="shared" si="43"/>
        <v>258.46731069290036</v>
      </c>
      <c r="BJ69" s="18">
        <f>IF(BW68&lt;&gt;1,"",IF(BT68&gt;0,IF(BT68&gt;CONTROL_PANEL!$B$11,CONTROL_PANEL!$B$11,BT68),0))</f>
        <v>27531459.295197867</v>
      </c>
      <c r="BK69" s="18">
        <f t="shared" ref="BK69:BK100" si="61">IF(BW69&lt;&gt;1,"",0.6*(BI69-235)^2.02*10000)</f>
        <v>3519550.1933070291</v>
      </c>
      <c r="BL69" s="18">
        <f>IF(BW69&lt;&gt;1,"",DATA_INPUT!$I69)</f>
        <v>16.160320088758017</v>
      </c>
      <c r="BM69" s="18">
        <f>IF(BW69&lt;&gt;1,"",BL69*CONTROL_PANEL!$B$5)</f>
        <v>1533614.3764231359</v>
      </c>
      <c r="BN69" s="18">
        <f>IF(BW69&lt;&gt;1,"",DATA_INPUT!$C69)</f>
        <v>131.587935017516</v>
      </c>
      <c r="BO69" s="18">
        <f t="shared" ref="BO69:BO132" si="62">IF(BW69&lt;&gt;1,"",(BN69*BK69)/1000)</f>
        <v>463130.34212777123</v>
      </c>
      <c r="BP69" s="18">
        <f>IF(BW69&lt;&gt;1,"",DATA_INPUT!$H69)</f>
        <v>26.584788178137078</v>
      </c>
      <c r="BQ69" s="18">
        <f t="shared" ref="BQ69:BQ132" si="63">IF(BW69&lt;&gt;1,"",((BP69*BK69)/1000))</f>
        <v>93566.496371388785</v>
      </c>
      <c r="BR69" s="18">
        <f>IF(BW69&lt;&gt;1,"",BM69*CONTROL_PANEL!$B$14)</f>
        <v>107353.00634961952</v>
      </c>
      <c r="BS69" s="18">
        <f>IF(BW69&lt;&gt;1,"",DATA_INPUT!$N69)</f>
        <v>0</v>
      </c>
      <c r="BT69" s="18">
        <f t="shared" ref="BT69:BT132" si="64">IF(BW69&lt;&gt;1,"",(BJ69+BM69+BO69)-(BQ69+BS69+BR69))</f>
        <v>29327284.511027765</v>
      </c>
      <c r="BU69" s="18">
        <f>IF(BW69&lt;&gt;1,"",IF(BT69-CONTROL_PANEL!$B$11&lt;0,0,BT69-CONTROL_PANEL!$B$11))</f>
        <v>0</v>
      </c>
      <c r="BV69" s="18">
        <f>IF(BW69&lt;&gt;1,"",IF(BS69&lt;=0,0,MIN(BS69,MAX(0,CONTROL_PANEL!$B$13-BT69))))</f>
        <v>0</v>
      </c>
      <c r="BW69" s="18">
        <v>1</v>
      </c>
      <c r="BY69" s="19">
        <f t="shared" si="34"/>
        <v>2021</v>
      </c>
      <c r="BZ69" s="19">
        <v>2</v>
      </c>
      <c r="CA69" s="18">
        <f t="shared" ref="CA69:CA132" si="65">IF(CP69&lt;&gt;1,"",DAY(DATE(BY69,BZ69+1,)))</f>
        <v>28</v>
      </c>
      <c r="CB69" s="18">
        <f t="shared" si="44"/>
        <v>257.39573864136287</v>
      </c>
      <c r="CC69" s="18">
        <f>IF(CP68&lt;&gt;1,"",IF(CM68&gt;0,IF(CM68&gt;CONTROL_PANEL!$B$11,CONTROL_PANEL!$B$11,CM68),0))</f>
        <v>23907241.871686973</v>
      </c>
      <c r="CD69" s="18">
        <f t="shared" ref="CD69:CD100" si="66">IF(CP69&lt;&gt;1,"",0.6*(CB69-235)^2.02*10000)</f>
        <v>3202471.9864607323</v>
      </c>
      <c r="CE69" s="18">
        <f>IF(CP69&lt;&gt;1,"",DATA_INPUT!$I69)</f>
        <v>16.160320088758017</v>
      </c>
      <c r="CF69" s="18">
        <f>IF(CP69&lt;&gt;1,"",CE69*CONTROL_PANEL!$B$5)</f>
        <v>1533614.3764231359</v>
      </c>
      <c r="CG69" s="18">
        <f>IF(CP69&lt;&gt;1,"",DATA_INPUT!$C69)</f>
        <v>131.587935017516</v>
      </c>
      <c r="CH69" s="18">
        <f t="shared" ref="CH69:CH132" si="67">IF(CP69&lt;&gt;1,"",(CG69*CD69)/1000)</f>
        <v>421406.67564981023</v>
      </c>
      <c r="CI69" s="18">
        <f>IF(CP69&lt;&gt;1,"",DATA_INPUT!$H69)</f>
        <v>26.584788178137078</v>
      </c>
      <c r="CJ69" s="18">
        <f t="shared" ref="CJ69:CJ132" si="68">IF(CP69&lt;&gt;1,"",((CI69*CD69)/1000))</f>
        <v>85137.03940647644</v>
      </c>
      <c r="CK69" s="18">
        <f>IF(CP69&lt;&gt;1,"",CF69*CONTROL_PANEL!$B$14)</f>
        <v>107353.00634961952</v>
      </c>
      <c r="CL69" s="18">
        <f>IF(CP69&lt;&gt;1,"",DATA_INPUT!$O69)</f>
        <v>0</v>
      </c>
      <c r="CM69" s="18">
        <f t="shared" ref="CM69:CM132" si="69">IF(CP69&lt;&gt;1,"",(CC69+CF69+CH69)-(CJ69+CL69+CK69))</f>
        <v>25669772.878003825</v>
      </c>
      <c r="CN69" s="18">
        <f>IF(CP69&lt;&gt;1,"",IF(CM69-CONTROL_PANEL!$B$11&lt;0,0,CM69-CONTROL_PANEL!$B$11))</f>
        <v>0</v>
      </c>
      <c r="CO69" s="18">
        <f>IF(CP69&lt;&gt;1,"",IF(CL69&lt;=0,0,MIN(CL69,MAX(0,CONTROL_PANEL!$B$13-CM69))))</f>
        <v>0</v>
      </c>
      <c r="CP69" s="18">
        <v>1</v>
      </c>
    </row>
    <row r="70" spans="1:94" x14ac:dyDescent="0.25">
      <c r="A70" s="19">
        <f t="shared" si="30"/>
        <v>2021</v>
      </c>
      <c r="B70" s="19">
        <v>3</v>
      </c>
      <c r="C70" s="18">
        <f t="shared" si="45"/>
        <v>31</v>
      </c>
      <c r="D70" s="18">
        <f t="shared" ref="D70:D101" si="70">IF(R69&lt;&gt;1,"",235+((E70/1000/2)^(1/3.02)))</f>
        <v>258.75803635335689</v>
      </c>
      <c r="E70" s="18">
        <f>IF(R69&lt;&gt;1,"",IF(O69&gt;0,IF(O69&gt;CONTROL_PANEL!$B$11,CONTROL_PANEL!$B$11,O69),0))</f>
        <v>28574446.989734247</v>
      </c>
      <c r="F70" s="18">
        <f t="shared" si="46"/>
        <v>3608182.9194225832</v>
      </c>
      <c r="G70" s="18">
        <f>IF(R70&lt;&gt;1,"",DATA_INPUT!I70)</f>
        <v>3.2444512327132999</v>
      </c>
      <c r="H70" s="18">
        <f>IF(R70&lt;&gt;1,"",G70*CONTROL_PANEL!$B$5)</f>
        <v>307898.42198449216</v>
      </c>
      <c r="I70" s="18">
        <f>IF(R70&lt;&gt;1,"",DATA_INPUT!C70)</f>
        <v>17.895121337515334</v>
      </c>
      <c r="J70" s="18">
        <f t="shared" si="47"/>
        <v>64568.87115101744</v>
      </c>
      <c r="K70" s="18">
        <f>IF(R70&lt;&gt;1,"",DATA_INPUT!H70)</f>
        <v>52.129005506804802</v>
      </c>
      <c r="L70" s="18">
        <f t="shared" si="48"/>
        <v>188090.98727613888</v>
      </c>
      <c r="M70" s="18">
        <f>IF(R70&lt;&gt;1,"",H70*CONTROL_PANEL!$B$14)</f>
        <v>21552.889538914453</v>
      </c>
      <c r="N70" s="18">
        <f>IF(R70&lt;&gt;1,"",DATA_INPUT!K70)</f>
        <v>0</v>
      </c>
      <c r="O70" s="18">
        <f t="shared" si="49"/>
        <v>28737270.406054705</v>
      </c>
      <c r="P70" s="18">
        <f>IF(R70&lt;&gt;1,"",IF(O70-CONTROL_PANEL!$B$11&lt;0,0,O70-CONTROL_PANEL!$B$11))</f>
        <v>0</v>
      </c>
      <c r="Q70" s="18">
        <f>IF(R70&lt;&gt;1,"",IF(N70&lt;=0,0,MIN(N70,MAX(0,CONTROL_PANEL!$B$13-O70))))</f>
        <v>0</v>
      </c>
      <c r="R70" s="18">
        <v>1</v>
      </c>
      <c r="T70" s="19">
        <f t="shared" si="31"/>
        <v>2021</v>
      </c>
      <c r="U70" s="19">
        <v>3</v>
      </c>
      <c r="V70" s="18">
        <f t="shared" si="50"/>
        <v>31</v>
      </c>
      <c r="W70" s="18">
        <f t="shared" ref="W70:W101" si="71">IF(AK69&lt;&gt;1,"",235+((X70/1000/2)^(1/3.02)))</f>
        <v>256.67890516610618</v>
      </c>
      <c r="X70" s="18">
        <f>IF(AK69&lt;&gt;1,"",IF(AH69&gt;0,IF(AH69&gt;CONTROL_PANEL!$B$11,CONTROL_PANEL!$B$11,AH69),0))</f>
        <v>21670192.999837063</v>
      </c>
      <c r="Y70" s="18">
        <f t="shared" si="51"/>
        <v>2998794.381053518</v>
      </c>
      <c r="Z70" s="18">
        <f>IF(AK70&lt;&gt;1,"",DATA_INPUT!I70)</f>
        <v>3.2444512327132999</v>
      </c>
      <c r="AA70" s="18">
        <f>IF(AK70&lt;&gt;1,"",Z70*CONTROL_PANEL!$B$5)</f>
        <v>307898.42198449216</v>
      </c>
      <c r="AB70" s="18">
        <f>IF(AK70&lt;&gt;1,"",DATA_INPUT!$C70)</f>
        <v>17.895121337515334</v>
      </c>
      <c r="AC70" s="18">
        <f t="shared" si="52"/>
        <v>53663.7893152119</v>
      </c>
      <c r="AD70" s="18">
        <f>IF(AK70&lt;&gt;1,"",DATA_INPUT!$H70)</f>
        <v>52.129005506804802</v>
      </c>
      <c r="AE70" s="18">
        <f t="shared" si="53"/>
        <v>156324.16880371413</v>
      </c>
      <c r="AF70" s="18">
        <f>IF(AK70&lt;&gt;1,"",AA70*CONTROL_PANEL!$B$14)</f>
        <v>21552.889538914453</v>
      </c>
      <c r="AG70" s="18">
        <f>IF(AK70&lt;&gt;1,"",DATA_INPUT!$L70)</f>
        <v>0</v>
      </c>
      <c r="AH70" s="18">
        <f t="shared" si="54"/>
        <v>21853878.152794141</v>
      </c>
      <c r="AI70" s="18">
        <f>IF(AK70&lt;&gt;1,"",IF(AH70-CONTROL_PANEL!$B$11&lt;0,0,AH70-CONTROL_PANEL!$B$11))</f>
        <v>0</v>
      </c>
      <c r="AJ70" s="18">
        <f>IF(AK70&lt;&gt;1,"",IF(AG70&lt;=0,0,MIN(AG70,MAX(0,CONTROL_PANEL!$B$13-AH70))))</f>
        <v>0</v>
      </c>
      <c r="AK70" s="18">
        <v>1</v>
      </c>
      <c r="AM70" s="19">
        <f t="shared" si="32"/>
        <v>2021</v>
      </c>
      <c r="AN70" s="19">
        <v>3</v>
      </c>
      <c r="AO70" s="18">
        <f t="shared" si="55"/>
        <v>31</v>
      </c>
      <c r="AP70" s="18">
        <f t="shared" ref="AP70:AP101" si="72">IF(BD69&lt;&gt;1,"",235+((AQ70/1000/2)^(1/3.02)))</f>
        <v>258.11677755466485</v>
      </c>
      <c r="AQ70" s="18">
        <f>IF(BD69&lt;&gt;1,"",IF(BA69&gt;0,IF(BA69&gt;CONTROL_PANEL!$B$11,CONTROL_PANEL!$B$11,BA69),0))</f>
        <v>26308156.904998928</v>
      </c>
      <c r="AR70" s="18">
        <f t="shared" si="56"/>
        <v>3414164.0429061679</v>
      </c>
      <c r="AS70" s="18">
        <f>IF(BD70&lt;&gt;1,"",DATA_INPUT!$I70)</f>
        <v>3.2444512327132999</v>
      </c>
      <c r="AT70" s="18">
        <f>IF(BD70&lt;&gt;1,"",AS70*CONTROL_PANEL!$B$5)</f>
        <v>307898.42198449216</v>
      </c>
      <c r="AU70" s="18">
        <f>IF(BD70&lt;&gt;1,"",DATA_INPUT!$C70)</f>
        <v>17.895121337515334</v>
      </c>
      <c r="AV70" s="18">
        <f t="shared" si="57"/>
        <v>61096.879813987784</v>
      </c>
      <c r="AW70" s="18">
        <f>IF(BD70&lt;&gt;1,"",DATA_INPUT!$H70)</f>
        <v>52.129005506804802</v>
      </c>
      <c r="AX70" s="18">
        <f t="shared" si="58"/>
        <v>177976.97619379059</v>
      </c>
      <c r="AY70" s="18">
        <f>IF(BD70&lt;&gt;1,"",AT70*CONTROL_PANEL!$B$14)</f>
        <v>21552.889538914453</v>
      </c>
      <c r="AZ70" s="18">
        <f>IF(BD70&lt;&gt;1,"",DATA_INPUT!$M70)</f>
        <v>0</v>
      </c>
      <c r="BA70" s="18">
        <f t="shared" si="59"/>
        <v>26477622.341064706</v>
      </c>
      <c r="BB70" s="18">
        <f>IF(BD70&lt;&gt;1,"",IF(BA70-CONTROL_PANEL!$B$11&lt;0,0,BA70-CONTROL_PANEL!$B$11))</f>
        <v>0</v>
      </c>
      <c r="BC70" s="18">
        <f>IF(BD70&lt;&gt;1,"",IF(AZ70&lt;=0,0,MIN(AZ70,MAX(0,CONTROL_PANEL!$B$13-BA70))))</f>
        <v>0</v>
      </c>
      <c r="BD70" s="18">
        <v>1</v>
      </c>
      <c r="BF70" s="19">
        <f t="shared" si="33"/>
        <v>2021</v>
      </c>
      <c r="BG70" s="19">
        <v>3</v>
      </c>
      <c r="BH70" s="18">
        <f t="shared" si="60"/>
        <v>31</v>
      </c>
      <c r="BI70" s="18">
        <f t="shared" ref="BI70:BI101" si="73">IF(BW69&lt;&gt;1,"",235+((BJ70/1000/2)^(1/3.02)))</f>
        <v>258.96350189016573</v>
      </c>
      <c r="BJ70" s="18">
        <f>IF(BW69&lt;&gt;1,"",IF(BT69&gt;0,IF(BT69&gt;CONTROL_PANEL!$B$11,CONTROL_PANEL!$B$11,BT69),0))</f>
        <v>29327284.511027765</v>
      </c>
      <c r="BK70" s="18">
        <f t="shared" si="61"/>
        <v>3671494.0051891818</v>
      </c>
      <c r="BL70" s="18">
        <f>IF(BW70&lt;&gt;1,"",DATA_INPUT!$I70)</f>
        <v>3.2444512327132999</v>
      </c>
      <c r="BM70" s="18">
        <f>IF(BW70&lt;&gt;1,"",BL70*CONTROL_PANEL!$B$5)</f>
        <v>307898.42198449216</v>
      </c>
      <c r="BN70" s="18">
        <f>IF(BW70&lt;&gt;1,"",DATA_INPUT!$C70)</f>
        <v>17.895121337515334</v>
      </c>
      <c r="BO70" s="18">
        <f t="shared" si="62"/>
        <v>65701.830712820563</v>
      </c>
      <c r="BP70" s="18">
        <f>IF(BW70&lt;&gt;1,"",DATA_INPUT!$H70)</f>
        <v>52.129005506804802</v>
      </c>
      <c r="BQ70" s="18">
        <f t="shared" si="63"/>
        <v>191391.33121470766</v>
      </c>
      <c r="BR70" s="18">
        <f>IF(BW70&lt;&gt;1,"",BM70*CONTROL_PANEL!$B$14)</f>
        <v>21552.889538914453</v>
      </c>
      <c r="BS70" s="18">
        <f>IF(BW70&lt;&gt;1,"",DATA_INPUT!$N70)</f>
        <v>0</v>
      </c>
      <c r="BT70" s="18">
        <f t="shared" si="64"/>
        <v>29487940.542971458</v>
      </c>
      <c r="BU70" s="18">
        <f>IF(BW70&lt;&gt;1,"",IF(BT70-CONTROL_PANEL!$B$11&lt;0,0,BT70-CONTROL_PANEL!$B$11))</f>
        <v>0</v>
      </c>
      <c r="BV70" s="18">
        <f>IF(BW70&lt;&gt;1,"",IF(BS70&lt;=0,0,MIN(BS70,MAX(0,CONTROL_PANEL!$B$13-BT70))))</f>
        <v>0</v>
      </c>
      <c r="BW70" s="18">
        <v>1</v>
      </c>
      <c r="BY70" s="19">
        <f t="shared" si="34"/>
        <v>2021</v>
      </c>
      <c r="BZ70" s="19">
        <v>3</v>
      </c>
      <c r="CA70" s="18">
        <f t="shared" si="65"/>
        <v>31</v>
      </c>
      <c r="CB70" s="18">
        <f t="shared" ref="CB70:CB101" si="74">IF(CP69&lt;&gt;1,"",235+((CC70/1000/2)^(1/3.02)))</f>
        <v>257.92950672906682</v>
      </c>
      <c r="CC70" s="18">
        <f>IF(CP69&lt;&gt;1,"",IF(CM69&gt;0,IF(CM69&gt;CONTROL_PANEL!$B$11,CONTROL_PANEL!$B$11,CM69),0))</f>
        <v>25669772.878003825</v>
      </c>
      <c r="CD70" s="18">
        <f t="shared" si="66"/>
        <v>3358524.8712040395</v>
      </c>
      <c r="CE70" s="18">
        <f>IF(CP70&lt;&gt;1,"",DATA_INPUT!$I70)</f>
        <v>3.2444512327132999</v>
      </c>
      <c r="CF70" s="18">
        <f>IF(CP70&lt;&gt;1,"",CE70*CONTROL_PANEL!$B$5)</f>
        <v>307898.42198449216</v>
      </c>
      <c r="CG70" s="18">
        <f>IF(CP70&lt;&gt;1,"",DATA_INPUT!$C70)</f>
        <v>17.895121337515334</v>
      </c>
      <c r="CH70" s="18">
        <f t="shared" si="67"/>
        <v>60101.21008525935</v>
      </c>
      <c r="CI70" s="18">
        <f>IF(CP70&lt;&gt;1,"",DATA_INPUT!$H70)</f>
        <v>52.129005506804802</v>
      </c>
      <c r="CJ70" s="18">
        <f t="shared" si="68"/>
        <v>175076.56150573626</v>
      </c>
      <c r="CK70" s="18">
        <f>IF(CP70&lt;&gt;1,"",CF70*CONTROL_PANEL!$B$14)</f>
        <v>21552.889538914453</v>
      </c>
      <c r="CL70" s="18">
        <f>IF(CP70&lt;&gt;1,"",DATA_INPUT!$O70)</f>
        <v>0</v>
      </c>
      <c r="CM70" s="18">
        <f t="shared" si="69"/>
        <v>25841143.059028927</v>
      </c>
      <c r="CN70" s="18">
        <f>IF(CP70&lt;&gt;1,"",IF(CM70-CONTROL_PANEL!$B$11&lt;0,0,CM70-CONTROL_PANEL!$B$11))</f>
        <v>0</v>
      </c>
      <c r="CO70" s="18">
        <f>IF(CP70&lt;&gt;1,"",IF(CL70&lt;=0,0,MIN(CL70,MAX(0,CONTROL_PANEL!$B$13-CM70))))</f>
        <v>0</v>
      </c>
      <c r="CP70" s="18">
        <v>1</v>
      </c>
    </row>
    <row r="71" spans="1:94" x14ac:dyDescent="0.25">
      <c r="A71" s="19">
        <f t="shared" si="30"/>
        <v>2021</v>
      </c>
      <c r="B71" s="19">
        <v>4</v>
      </c>
      <c r="C71" s="18">
        <f t="shared" si="45"/>
        <v>30</v>
      </c>
      <c r="D71" s="18">
        <f t="shared" si="70"/>
        <v>258.80277850075419</v>
      </c>
      <c r="E71" s="18">
        <f>IF(R70&lt;&gt;1,"",IF(O70&gt;0,IF(O70&gt;CONTROL_PANEL!$B$11,CONTROL_PANEL!$B$11,O70),0))</f>
        <v>28737270.406054705</v>
      </c>
      <c r="F71" s="18">
        <f t="shared" si="46"/>
        <v>3621922.1724653784</v>
      </c>
      <c r="G71" s="18">
        <f>IF(R71&lt;&gt;1,"",DATA_INPUT!I71)</f>
        <v>0.83070506419037959</v>
      </c>
      <c r="H71" s="18">
        <f>IF(R71&lt;&gt;1,"",G71*CONTROL_PANEL!$B$5)</f>
        <v>78833.910591667023</v>
      </c>
      <c r="I71" s="18">
        <f>IF(R71&lt;&gt;1,"",DATA_INPUT!C71)</f>
        <v>62.978448339484665</v>
      </c>
      <c r="J71" s="18">
        <f t="shared" si="47"/>
        <v>228103.03842824488</v>
      </c>
      <c r="K71" s="18">
        <f>IF(R71&lt;&gt;1,"",DATA_INPUT!H71)</f>
        <v>74.996349233528008</v>
      </c>
      <c r="L71" s="18">
        <f t="shared" si="48"/>
        <v>271630.94014287199</v>
      </c>
      <c r="M71" s="18">
        <f>IF(R71&lt;&gt;1,"",H71*CONTROL_PANEL!$B$14)</f>
        <v>5518.3737414166917</v>
      </c>
      <c r="N71" s="18">
        <f>IF(R71&lt;&gt;1,"",DATA_INPUT!K71)</f>
        <v>190892.15805974739</v>
      </c>
      <c r="O71" s="18">
        <f t="shared" si="49"/>
        <v>28576165.883130576</v>
      </c>
      <c r="P71" s="18">
        <f>IF(R71&lt;&gt;1,"",IF(O71-CONTROL_PANEL!$B$11&lt;0,0,O71-CONTROL_PANEL!$B$11))</f>
        <v>0</v>
      </c>
      <c r="Q71" s="18">
        <f>IF(R71&lt;&gt;1,"",IF(N71&lt;=0,0,MIN(N71,MAX(0,CONTROL_PANEL!$B$13-O71))))</f>
        <v>0</v>
      </c>
      <c r="R71" s="18">
        <v>1</v>
      </c>
      <c r="T71" s="19">
        <f t="shared" si="31"/>
        <v>2021</v>
      </c>
      <c r="U71" s="19">
        <v>4</v>
      </c>
      <c r="V71" s="18">
        <f t="shared" si="50"/>
        <v>30</v>
      </c>
      <c r="W71" s="18">
        <f t="shared" si="71"/>
        <v>256.73958083475316</v>
      </c>
      <c r="X71" s="18">
        <f>IF(AK70&lt;&gt;1,"",IF(AH70&gt;0,IF(AH70&gt;CONTROL_PANEL!$B$11,CONTROL_PANEL!$B$11,AH70),0))</f>
        <v>21853878.152794141</v>
      </c>
      <c r="Y71" s="18">
        <f t="shared" si="51"/>
        <v>3015772.7031045174</v>
      </c>
      <c r="Z71" s="18">
        <f>IF(AK71&lt;&gt;1,"",DATA_INPUT!I71)</f>
        <v>0.83070506419037959</v>
      </c>
      <c r="AA71" s="18">
        <f>IF(AK71&lt;&gt;1,"",Z71*CONTROL_PANEL!$B$5)</f>
        <v>78833.910591667023</v>
      </c>
      <c r="AB71" s="18">
        <f>IF(AK71&lt;&gt;1,"",DATA_INPUT!$C71)</f>
        <v>62.978448339484665</v>
      </c>
      <c r="AC71" s="18">
        <f t="shared" si="52"/>
        <v>189928.68538609589</v>
      </c>
      <c r="AD71" s="18">
        <f>IF(AK71&lt;&gt;1,"",DATA_INPUT!$H71)</f>
        <v>74.996349233528008</v>
      </c>
      <c r="AE71" s="18">
        <f t="shared" si="53"/>
        <v>226171.94285096717</v>
      </c>
      <c r="AF71" s="18">
        <f>IF(AK71&lt;&gt;1,"",AA71*CONTROL_PANEL!$B$14)</f>
        <v>5518.3737414166917</v>
      </c>
      <c r="AG71" s="18">
        <f>IF(AK71&lt;&gt;1,"",DATA_INPUT!$L71)</f>
        <v>243891.5863046404</v>
      </c>
      <c r="AH71" s="18">
        <f t="shared" si="54"/>
        <v>21647058.84587488</v>
      </c>
      <c r="AI71" s="18">
        <f>IF(AK71&lt;&gt;1,"",IF(AH71-CONTROL_PANEL!$B$11&lt;0,0,AH71-CONTROL_PANEL!$B$11))</f>
        <v>0</v>
      </c>
      <c r="AJ71" s="18">
        <f>IF(AK71&lt;&gt;1,"",IF(AG71&lt;=0,0,MIN(AG71,MAX(0,CONTROL_PANEL!$B$13-AH71))))</f>
        <v>0</v>
      </c>
      <c r="AK71" s="18">
        <v>1</v>
      </c>
      <c r="AM71" s="19">
        <f t="shared" si="32"/>
        <v>2021</v>
      </c>
      <c r="AN71" s="19">
        <v>4</v>
      </c>
      <c r="AO71" s="18">
        <f t="shared" si="55"/>
        <v>30</v>
      </c>
      <c r="AP71" s="18">
        <f t="shared" si="72"/>
        <v>258.16597899300103</v>
      </c>
      <c r="AQ71" s="18">
        <f>IF(BD70&lt;&gt;1,"",IF(BA70&gt;0,IF(BA70&gt;CONTROL_PANEL!$B$11,CONTROL_PANEL!$B$11,BA70),0))</f>
        <v>26477622.341064706</v>
      </c>
      <c r="AR71" s="18">
        <f t="shared" si="56"/>
        <v>3428858.6313227913</v>
      </c>
      <c r="AS71" s="18">
        <f>IF(BD71&lt;&gt;1,"",DATA_INPUT!$I71)</f>
        <v>0.83070506419037959</v>
      </c>
      <c r="AT71" s="18">
        <f>IF(BD71&lt;&gt;1,"",AS71*CONTROL_PANEL!$B$5)</f>
        <v>78833.910591667023</v>
      </c>
      <c r="AU71" s="18">
        <f>IF(BD71&lt;&gt;1,"",DATA_INPUT!$C71)</f>
        <v>62.978448339484665</v>
      </c>
      <c r="AV71" s="18">
        <f t="shared" si="57"/>
        <v>215944.19617615853</v>
      </c>
      <c r="AW71" s="18">
        <f>IF(BD71&lt;&gt;1,"",DATA_INPUT!$H71)</f>
        <v>74.996349233528008</v>
      </c>
      <c r="AX71" s="18">
        <f t="shared" si="58"/>
        <v>257151.8793870809</v>
      </c>
      <c r="AY71" s="18">
        <f>IF(BD71&lt;&gt;1,"",AT71*CONTROL_PANEL!$B$14)</f>
        <v>5518.3737414166917</v>
      </c>
      <c r="AZ71" s="18">
        <f>IF(BD71&lt;&gt;1,"",DATA_INPUT!$M71)</f>
        <v>124615.51209456357</v>
      </c>
      <c r="BA71" s="18">
        <f t="shared" si="59"/>
        <v>26385114.682609472</v>
      </c>
      <c r="BB71" s="18">
        <f>IF(BD71&lt;&gt;1,"",IF(BA71-CONTROL_PANEL!$B$11&lt;0,0,BA71-CONTROL_PANEL!$B$11))</f>
        <v>0</v>
      </c>
      <c r="BC71" s="18">
        <f>IF(BD71&lt;&gt;1,"",IF(AZ71&lt;=0,0,MIN(AZ71,MAX(0,CONTROL_PANEL!$B$13-BA71))))</f>
        <v>0</v>
      </c>
      <c r="BD71" s="18">
        <v>1</v>
      </c>
      <c r="BF71" s="19">
        <f t="shared" si="33"/>
        <v>2021</v>
      </c>
      <c r="BG71" s="19">
        <v>4</v>
      </c>
      <c r="BH71" s="18">
        <f t="shared" si="60"/>
        <v>30</v>
      </c>
      <c r="BI71" s="18">
        <f t="shared" si="73"/>
        <v>259.00689038270394</v>
      </c>
      <c r="BJ71" s="18">
        <f>IF(BW70&lt;&gt;1,"",IF(BT70&gt;0,IF(BT70&gt;CONTROL_PANEL!$B$11,CONTROL_PANEL!$B$11,BT70),0))</f>
        <v>29487940.542971458</v>
      </c>
      <c r="BK71" s="18">
        <f t="shared" si="61"/>
        <v>3684934.6257959828</v>
      </c>
      <c r="BL71" s="18">
        <f>IF(BW71&lt;&gt;1,"",DATA_INPUT!$I71)</f>
        <v>0.83070506419037959</v>
      </c>
      <c r="BM71" s="18">
        <f>IF(BW71&lt;&gt;1,"",BL71*CONTROL_PANEL!$B$5)</f>
        <v>78833.910591667023</v>
      </c>
      <c r="BN71" s="18">
        <f>IF(BW71&lt;&gt;1,"",DATA_INPUT!$C71)</f>
        <v>62.978448339484665</v>
      </c>
      <c r="BO71" s="18">
        <f t="shared" si="62"/>
        <v>232071.46496507054</v>
      </c>
      <c r="BP71" s="18">
        <f>IF(BW71&lt;&gt;1,"",DATA_INPUT!$H71)</f>
        <v>74.996349233528008</v>
      </c>
      <c r="BQ71" s="18">
        <f t="shared" si="63"/>
        <v>276356.64409891539</v>
      </c>
      <c r="BR71" s="18">
        <f>IF(BW71&lt;&gt;1,"",BM71*CONTROL_PANEL!$B$14)</f>
        <v>5518.3737414166917</v>
      </c>
      <c r="BS71" s="18">
        <f>IF(BW71&lt;&gt;1,"",DATA_INPUT!$N71)</f>
        <v>29571.792365216857</v>
      </c>
      <c r="BT71" s="18">
        <f t="shared" si="64"/>
        <v>29487399.108322646</v>
      </c>
      <c r="BU71" s="18">
        <f>IF(BW71&lt;&gt;1,"",IF(BT71-CONTROL_PANEL!$B$11&lt;0,0,BT71-CONTROL_PANEL!$B$11))</f>
        <v>0</v>
      </c>
      <c r="BV71" s="18">
        <f>IF(BW71&lt;&gt;1,"",IF(BS71&lt;=0,0,MIN(BS71,MAX(0,CONTROL_PANEL!$B$13-BT71))))</f>
        <v>0</v>
      </c>
      <c r="BW71" s="18">
        <v>1</v>
      </c>
      <c r="BY71" s="19">
        <f t="shared" si="34"/>
        <v>2021</v>
      </c>
      <c r="BZ71" s="19">
        <v>4</v>
      </c>
      <c r="CA71" s="18">
        <f t="shared" si="65"/>
        <v>30</v>
      </c>
      <c r="CB71" s="18">
        <f t="shared" si="74"/>
        <v>257.98008149299613</v>
      </c>
      <c r="CC71" s="18">
        <f>IF(CP70&lt;&gt;1,"",IF(CM70&gt;0,IF(CM70&gt;CONTROL_PANEL!$B$11,CONTROL_PANEL!$B$11,CM70),0))</f>
        <v>25841143.059028927</v>
      </c>
      <c r="CD71" s="18">
        <f t="shared" si="66"/>
        <v>3373505.4073117413</v>
      </c>
      <c r="CE71" s="18">
        <f>IF(CP71&lt;&gt;1,"",DATA_INPUT!$I71)</f>
        <v>0.83070506419037959</v>
      </c>
      <c r="CF71" s="18">
        <f>IF(CP71&lt;&gt;1,"",CE71*CONTROL_PANEL!$B$5)</f>
        <v>78833.910591667023</v>
      </c>
      <c r="CG71" s="18">
        <f>IF(CP71&lt;&gt;1,"",DATA_INPUT!$C71)</f>
        <v>62.978448339484665</v>
      </c>
      <c r="CH71" s="18">
        <f t="shared" si="67"/>
        <v>212458.13601735467</v>
      </c>
      <c r="CI71" s="18">
        <f>IF(CP71&lt;&gt;1,"",DATA_INPUT!$H71)</f>
        <v>74.996349233528008</v>
      </c>
      <c r="CJ71" s="18">
        <f t="shared" si="68"/>
        <v>253000.58966794648</v>
      </c>
      <c r="CK71" s="18">
        <f>IF(CP71&lt;&gt;1,"",CF71*CONTROL_PANEL!$B$14)</f>
        <v>5518.3737414166917</v>
      </c>
      <c r="CL71" s="18">
        <f>IF(CP71&lt;&gt;1,"",DATA_INPUT!$O71)</f>
        <v>34106.511648649597</v>
      </c>
      <c r="CM71" s="18">
        <f t="shared" si="69"/>
        <v>25839809.630579937</v>
      </c>
      <c r="CN71" s="18">
        <f>IF(CP71&lt;&gt;1,"",IF(CM71-CONTROL_PANEL!$B$11&lt;0,0,CM71-CONTROL_PANEL!$B$11))</f>
        <v>0</v>
      </c>
      <c r="CO71" s="18">
        <f>IF(CP71&lt;&gt;1,"",IF(CL71&lt;=0,0,MIN(CL71,MAX(0,CONTROL_PANEL!$B$13-CM71))))</f>
        <v>0</v>
      </c>
      <c r="CP71" s="18">
        <v>1</v>
      </c>
    </row>
    <row r="72" spans="1:94" x14ac:dyDescent="0.25">
      <c r="A72" s="19">
        <f t="shared" si="30"/>
        <v>2021</v>
      </c>
      <c r="B72" s="19">
        <v>5</v>
      </c>
      <c r="C72" s="18">
        <f t="shared" si="45"/>
        <v>31</v>
      </c>
      <c r="D72" s="18">
        <f t="shared" si="70"/>
        <v>258.75850957649544</v>
      </c>
      <c r="E72" s="18">
        <f>IF(R71&lt;&gt;1,"",IF(O71&gt;0,IF(O71&gt;CONTROL_PANEL!$B$11,CONTROL_PANEL!$B$11,O71),0))</f>
        <v>28576165.883130576</v>
      </c>
      <c r="F72" s="18">
        <f t="shared" si="46"/>
        <v>3608328.0970706935</v>
      </c>
      <c r="G72" s="18">
        <f>IF(R72&lt;&gt;1,"",DATA_INPUT!I72)</f>
        <v>0.11379106151606405</v>
      </c>
      <c r="H72" s="18">
        <f>IF(R72&lt;&gt;1,"",G72*CONTROL_PANEL!$B$5)</f>
        <v>10798.771737874478</v>
      </c>
      <c r="I72" s="18">
        <f>IF(R72&lt;&gt;1,"",DATA_INPUT!C72)</f>
        <v>16.177210973933331</v>
      </c>
      <c r="J72" s="18">
        <f t="shared" si="47"/>
        <v>58372.684889483993</v>
      </c>
      <c r="K72" s="18">
        <f>IF(R72&lt;&gt;1,"",DATA_INPUT!H72)</f>
        <v>108.34251311460791</v>
      </c>
      <c r="L72" s="18">
        <f t="shared" si="48"/>
        <v>390935.33417868981</v>
      </c>
      <c r="M72" s="18">
        <f>IF(R72&lt;&gt;1,"",H72*CONTROL_PANEL!$B$14)</f>
        <v>755.9140216512136</v>
      </c>
      <c r="N72" s="18">
        <f>IF(R72&lt;&gt;1,"",DATA_INPUT!K72)</f>
        <v>377993.31364794727</v>
      </c>
      <c r="O72" s="18">
        <f t="shared" si="49"/>
        <v>27875652.777909644</v>
      </c>
      <c r="P72" s="18">
        <f>IF(R72&lt;&gt;1,"",IF(O72-CONTROL_PANEL!$B$11&lt;0,0,O72-CONTROL_PANEL!$B$11))</f>
        <v>0</v>
      </c>
      <c r="Q72" s="18">
        <f>IF(R72&lt;&gt;1,"",IF(N72&lt;=0,0,MIN(N72,MAX(0,CONTROL_PANEL!$B$13-O72))))</f>
        <v>0</v>
      </c>
      <c r="R72" s="18">
        <v>1</v>
      </c>
      <c r="T72" s="19">
        <f t="shared" si="31"/>
        <v>2021</v>
      </c>
      <c r="U72" s="19">
        <v>5</v>
      </c>
      <c r="V72" s="18">
        <f t="shared" si="50"/>
        <v>31</v>
      </c>
      <c r="W72" s="18">
        <f t="shared" si="71"/>
        <v>256.67123903282129</v>
      </c>
      <c r="X72" s="18">
        <f>IF(AK71&lt;&gt;1,"",IF(AH71&gt;0,IF(AH71&gt;CONTROL_PANEL!$B$11,CONTROL_PANEL!$B$11,AH71),0))</f>
        <v>21647058.84587488</v>
      </c>
      <c r="Y72" s="18">
        <f t="shared" si="51"/>
        <v>2996652.6805075831</v>
      </c>
      <c r="Z72" s="18">
        <f>IF(AK72&lt;&gt;1,"",DATA_INPUT!I72)</f>
        <v>0.11379106151606405</v>
      </c>
      <c r="AA72" s="18">
        <f>IF(AK72&lt;&gt;1,"",Z72*CONTROL_PANEL!$B$5)</f>
        <v>10798.771737874478</v>
      </c>
      <c r="AB72" s="18">
        <f>IF(AK72&lt;&gt;1,"",DATA_INPUT!$C72)</f>
        <v>16.177210973933331</v>
      </c>
      <c r="AC72" s="18">
        <f t="shared" si="52"/>
        <v>48477.48262817401</v>
      </c>
      <c r="AD72" s="18">
        <f>IF(AK72&lt;&gt;1,"",DATA_INPUT!$H72)</f>
        <v>108.34251311460791</v>
      </c>
      <c r="AE72" s="18">
        <f t="shared" si="53"/>
        <v>324664.88233781781</v>
      </c>
      <c r="AF72" s="18">
        <f>IF(AK72&lt;&gt;1,"",AA72*CONTROL_PANEL!$B$14)</f>
        <v>755.9140216512136</v>
      </c>
      <c r="AG72" s="18">
        <f>IF(AK72&lt;&gt;1,"",DATA_INPUT!$L72)</f>
        <v>480084.78030669794</v>
      </c>
      <c r="AH72" s="18">
        <f t="shared" si="54"/>
        <v>20900829.523574762</v>
      </c>
      <c r="AI72" s="18">
        <f>IF(AK72&lt;&gt;1,"",IF(AH72-CONTROL_PANEL!$B$11&lt;0,0,AH72-CONTROL_PANEL!$B$11))</f>
        <v>0</v>
      </c>
      <c r="AJ72" s="18">
        <f>IF(AK72&lt;&gt;1,"",IF(AG72&lt;=0,0,MIN(AG72,MAX(0,CONTROL_PANEL!$B$13-AH72))))</f>
        <v>0</v>
      </c>
      <c r="AK72" s="18">
        <v>1</v>
      </c>
      <c r="AM72" s="19">
        <f t="shared" si="32"/>
        <v>2021</v>
      </c>
      <c r="AN72" s="19">
        <v>5</v>
      </c>
      <c r="AO72" s="18">
        <f t="shared" si="55"/>
        <v>31</v>
      </c>
      <c r="AP72" s="18">
        <f t="shared" si="72"/>
        <v>258.13914714616453</v>
      </c>
      <c r="AQ72" s="18">
        <f>IF(BD71&lt;&gt;1,"",IF(BA71&gt;0,IF(BA71&gt;CONTROL_PANEL!$B$11,CONTROL_PANEL!$B$11,BA71),0))</f>
        <v>26385114.682609472</v>
      </c>
      <c r="AR72" s="18">
        <f t="shared" si="56"/>
        <v>3420841.0339336609</v>
      </c>
      <c r="AS72" s="18">
        <f>IF(BD72&lt;&gt;1,"",DATA_INPUT!$I72)</f>
        <v>0.11379106151606405</v>
      </c>
      <c r="AT72" s="18">
        <f>IF(BD72&lt;&gt;1,"",AS72*CONTROL_PANEL!$B$5)</f>
        <v>10798.771737874478</v>
      </c>
      <c r="AU72" s="18">
        <f>IF(BD72&lt;&gt;1,"",DATA_INPUT!$C72)</f>
        <v>16.177210973933331</v>
      </c>
      <c r="AV72" s="18">
        <f t="shared" si="57"/>
        <v>55339.66711423306</v>
      </c>
      <c r="AW72" s="18">
        <f>IF(BD72&lt;&gt;1,"",DATA_INPUT!$H72)</f>
        <v>108.34251311460791</v>
      </c>
      <c r="AX72" s="18">
        <f t="shared" si="58"/>
        <v>370622.51458194654</v>
      </c>
      <c r="AY72" s="18">
        <f>IF(BD72&lt;&gt;1,"",AT72*CONTROL_PANEL!$B$14)</f>
        <v>755.9140216512136</v>
      </c>
      <c r="AZ72" s="18">
        <f>IF(BD72&lt;&gt;1,"",DATA_INPUT!$M72)</f>
        <v>351611.40853753244</v>
      </c>
      <c r="BA72" s="18">
        <f t="shared" si="59"/>
        <v>25728263.284320448</v>
      </c>
      <c r="BB72" s="18">
        <f>IF(BD72&lt;&gt;1,"",IF(BA72-CONTROL_PANEL!$B$11&lt;0,0,BA72-CONTROL_PANEL!$B$11))</f>
        <v>0</v>
      </c>
      <c r="BC72" s="18">
        <f>IF(BD72&lt;&gt;1,"",IF(AZ72&lt;=0,0,MIN(AZ72,MAX(0,CONTROL_PANEL!$B$13-BA72))))</f>
        <v>0</v>
      </c>
      <c r="BD72" s="18">
        <v>1</v>
      </c>
      <c r="BF72" s="19">
        <f t="shared" si="33"/>
        <v>2021</v>
      </c>
      <c r="BG72" s="19">
        <v>5</v>
      </c>
      <c r="BH72" s="18">
        <f t="shared" si="60"/>
        <v>31</v>
      </c>
      <c r="BI72" s="18">
        <f t="shared" si="73"/>
        <v>259.00674442291188</v>
      </c>
      <c r="BJ72" s="18">
        <f>IF(BW71&lt;&gt;1,"",IF(BT71&gt;0,IF(BT71&gt;CONTROL_PANEL!$B$11,CONTROL_PANEL!$B$11,BT71),0))</f>
        <v>29487399.108322646</v>
      </c>
      <c r="BK72" s="18">
        <f t="shared" si="61"/>
        <v>3684889.3696947908</v>
      </c>
      <c r="BL72" s="18">
        <f>IF(BW72&lt;&gt;1,"",DATA_INPUT!$I72)</f>
        <v>0.11379106151606405</v>
      </c>
      <c r="BM72" s="18">
        <f>IF(BW72&lt;&gt;1,"",BL72*CONTROL_PANEL!$B$5)</f>
        <v>10798.771737874478</v>
      </c>
      <c r="BN72" s="18">
        <f>IF(BW72&lt;&gt;1,"",DATA_INPUT!$C72)</f>
        <v>16.177210973933331</v>
      </c>
      <c r="BO72" s="18">
        <f t="shared" si="62"/>
        <v>59611.23274915685</v>
      </c>
      <c r="BP72" s="18">
        <f>IF(BW72&lt;&gt;1,"",DATA_INPUT!$H72)</f>
        <v>108.34251311460791</v>
      </c>
      <c r="BQ72" s="18">
        <f t="shared" si="63"/>
        <v>399230.17486203712</v>
      </c>
      <c r="BR72" s="18">
        <f>IF(BW72&lt;&gt;1,"",BM72*CONTROL_PANEL!$B$14)</f>
        <v>755.9140216512136</v>
      </c>
      <c r="BS72" s="18">
        <f>IF(BW72&lt;&gt;1,"",DATA_INPUT!$N72)</f>
        <v>255564.97701368784</v>
      </c>
      <c r="BT72" s="18">
        <f t="shared" si="64"/>
        <v>28902258.046912301</v>
      </c>
      <c r="BU72" s="18">
        <f>IF(BW72&lt;&gt;1,"",IF(BT72-CONTROL_PANEL!$B$11&lt;0,0,BT72-CONTROL_PANEL!$B$11))</f>
        <v>0</v>
      </c>
      <c r="BV72" s="18">
        <f>IF(BW72&lt;&gt;1,"",IF(BS72&lt;=0,0,MIN(BS72,MAX(0,CONTROL_PANEL!$B$13-BT72))))</f>
        <v>0</v>
      </c>
      <c r="BW72" s="18">
        <v>1</v>
      </c>
      <c r="BY72" s="19">
        <f t="shared" si="34"/>
        <v>2021</v>
      </c>
      <c r="BZ72" s="19">
        <v>5</v>
      </c>
      <c r="CA72" s="18">
        <f t="shared" si="65"/>
        <v>31</v>
      </c>
      <c r="CB72" s="18">
        <f t="shared" si="74"/>
        <v>257.97968883891775</v>
      </c>
      <c r="CC72" s="18">
        <f>IF(CP71&lt;&gt;1,"",IF(CM71&gt;0,IF(CM71&gt;CONTROL_PANEL!$B$11,CONTROL_PANEL!$B$11,CM71),0))</f>
        <v>25839809.630579937</v>
      </c>
      <c r="CD72" s="18">
        <f t="shared" si="66"/>
        <v>3373388.9712403431</v>
      </c>
      <c r="CE72" s="18">
        <f>IF(CP72&lt;&gt;1,"",DATA_INPUT!$I72)</f>
        <v>0.11379106151606405</v>
      </c>
      <c r="CF72" s="18">
        <f>IF(CP72&lt;&gt;1,"",CE72*CONTROL_PANEL!$B$5)</f>
        <v>10798.771737874478</v>
      </c>
      <c r="CG72" s="18">
        <f>IF(CP72&lt;&gt;1,"",DATA_INPUT!$C72)</f>
        <v>16.177210973933331</v>
      </c>
      <c r="CH72" s="18">
        <f t="shared" si="67"/>
        <v>54572.025084894951</v>
      </c>
      <c r="CI72" s="18">
        <f>IF(CP72&lt;&gt;1,"",DATA_INPUT!$H72)</f>
        <v>108.34251311460791</v>
      </c>
      <c r="CJ72" s="18">
        <f t="shared" si="68"/>
        <v>365481.43885728053</v>
      </c>
      <c r="CK72" s="18">
        <f>IF(CP72&lt;&gt;1,"",CF72*CONTROL_PANEL!$B$14)</f>
        <v>755.9140216512136</v>
      </c>
      <c r="CL72" s="18">
        <f>IF(CP72&lt;&gt;1,"",DATA_INPUT!$O72)</f>
        <v>292802.56318179664</v>
      </c>
      <c r="CM72" s="18">
        <f t="shared" si="69"/>
        <v>25246140.511341978</v>
      </c>
      <c r="CN72" s="18">
        <f>IF(CP72&lt;&gt;1,"",IF(CM72-CONTROL_PANEL!$B$11&lt;0,0,CM72-CONTROL_PANEL!$B$11))</f>
        <v>0</v>
      </c>
      <c r="CO72" s="18">
        <f>IF(CP72&lt;&gt;1,"",IF(CL72&lt;=0,0,MIN(CL72,MAX(0,CONTROL_PANEL!$B$13-CM72))))</f>
        <v>0</v>
      </c>
      <c r="CP72" s="18">
        <v>1</v>
      </c>
    </row>
    <row r="73" spans="1:94" x14ac:dyDescent="0.25">
      <c r="A73" s="19">
        <f t="shared" si="30"/>
        <v>2021</v>
      </c>
      <c r="B73" s="19">
        <v>6</v>
      </c>
      <c r="C73" s="18">
        <f t="shared" si="45"/>
        <v>30</v>
      </c>
      <c r="D73" s="18">
        <f t="shared" si="70"/>
        <v>258.56405440417632</v>
      </c>
      <c r="E73" s="18">
        <f>IF(R72&lt;&gt;1,"",IF(O72&gt;0,IF(O72&gt;CONTROL_PANEL!$B$11,CONTROL_PANEL!$B$11,O72),0))</f>
        <v>27875652.777909644</v>
      </c>
      <c r="F73" s="18">
        <f t="shared" si="46"/>
        <v>3548920.610152198</v>
      </c>
      <c r="G73" s="18">
        <f>IF(R73&lt;&gt;1,"",DATA_INPUT!I73)</f>
        <v>1.6971166614438843E-2</v>
      </c>
      <c r="H73" s="18">
        <f>IF(R73&lt;&gt;1,"",G73*CONTROL_PANEL!$B$5)</f>
        <v>1610.5637117102463</v>
      </c>
      <c r="I73" s="18">
        <f>IF(R73&lt;&gt;1,"",DATA_INPUT!C73)</f>
        <v>7.599960688434666</v>
      </c>
      <c r="J73" s="18">
        <f t="shared" si="47"/>
        <v>26971.657123532274</v>
      </c>
      <c r="K73" s="18">
        <f>IF(R73&lt;&gt;1,"",DATA_INPUT!H73)</f>
        <v>144.0098798674949</v>
      </c>
      <c r="L73" s="18">
        <f t="shared" si="48"/>
        <v>511079.63072729472</v>
      </c>
      <c r="M73" s="18">
        <f>IF(R73&lt;&gt;1,"",H73*CONTROL_PANEL!$B$14)</f>
        <v>112.73945981971725</v>
      </c>
      <c r="N73" s="18">
        <f>IF(R73&lt;&gt;1,"",DATA_INPUT!K73)</f>
        <v>936484.09994898271</v>
      </c>
      <c r="O73" s="18">
        <f t="shared" si="49"/>
        <v>26456558.528608788</v>
      </c>
      <c r="P73" s="18">
        <f>IF(R73&lt;&gt;1,"",IF(O73-CONTROL_PANEL!$B$11&lt;0,0,O73-CONTROL_PANEL!$B$11))</f>
        <v>0</v>
      </c>
      <c r="Q73" s="18">
        <f>IF(R73&lt;&gt;1,"",IF(N73&lt;=0,0,MIN(N73,MAX(0,CONTROL_PANEL!$B$13-O73))))</f>
        <v>0</v>
      </c>
      <c r="R73" s="18">
        <v>1</v>
      </c>
      <c r="T73" s="19">
        <f t="shared" si="31"/>
        <v>2021</v>
      </c>
      <c r="U73" s="19">
        <v>6</v>
      </c>
      <c r="V73" s="18">
        <f t="shared" si="50"/>
        <v>30</v>
      </c>
      <c r="W73" s="18">
        <f t="shared" si="71"/>
        <v>256.42095931383579</v>
      </c>
      <c r="X73" s="18">
        <f>IF(AK72&lt;&gt;1,"",IF(AH72&gt;0,IF(AH72&gt;CONTROL_PANEL!$B$11,CONTROL_PANEL!$B$11,AH72),0))</f>
        <v>20900829.523574762</v>
      </c>
      <c r="Y73" s="18">
        <f t="shared" si="51"/>
        <v>2927155.9528253591</v>
      </c>
      <c r="Z73" s="18">
        <f>IF(AK73&lt;&gt;1,"",DATA_INPUT!I73)</f>
        <v>1.6971166614438843E-2</v>
      </c>
      <c r="AA73" s="18">
        <f>IF(AK73&lt;&gt;1,"",Z73*CONTROL_PANEL!$B$5)</f>
        <v>1610.5637117102463</v>
      </c>
      <c r="AB73" s="18">
        <f>IF(AK73&lt;&gt;1,"",DATA_INPUT!$C73)</f>
        <v>7.599960688434666</v>
      </c>
      <c r="AC73" s="18">
        <f t="shared" si="52"/>
        <v>22246.270170390249</v>
      </c>
      <c r="AD73" s="18">
        <f>IF(AK73&lt;&gt;1,"",DATA_INPUT!$H73)</f>
        <v>144.0098798674949</v>
      </c>
      <c r="AE73" s="18">
        <f t="shared" si="53"/>
        <v>421539.37711980252</v>
      </c>
      <c r="AF73" s="18">
        <f>IF(AK73&lt;&gt;1,"",AA73*CONTROL_PANEL!$B$14)</f>
        <v>112.73945981971725</v>
      </c>
      <c r="AG73" s="18">
        <f>IF(AK73&lt;&gt;1,"",DATA_INPUT!$L73)</f>
        <v>1189742.9484990726</v>
      </c>
      <c r="AH73" s="18">
        <f t="shared" si="54"/>
        <v>19313291.292378169</v>
      </c>
      <c r="AI73" s="18">
        <f>IF(AK73&lt;&gt;1,"",IF(AH73-CONTROL_PANEL!$B$11&lt;0,0,AH73-CONTROL_PANEL!$B$11))</f>
        <v>0</v>
      </c>
      <c r="AJ73" s="18">
        <f>IF(AK73&lt;&gt;1,"",IF(AG73&lt;=0,0,MIN(AG73,MAX(0,CONTROL_PANEL!$B$13-AH73))))</f>
        <v>0</v>
      </c>
      <c r="AK73" s="18">
        <v>1</v>
      </c>
      <c r="AM73" s="19">
        <f t="shared" si="32"/>
        <v>2021</v>
      </c>
      <c r="AN73" s="19">
        <v>6</v>
      </c>
      <c r="AO73" s="18">
        <f t="shared" si="55"/>
        <v>30</v>
      </c>
      <c r="AP73" s="18">
        <f t="shared" si="72"/>
        <v>257.94679373277245</v>
      </c>
      <c r="AQ73" s="18">
        <f>IF(BD72&lt;&gt;1,"",IF(BA72&gt;0,IF(BA72&gt;CONTROL_PANEL!$B$11,CONTROL_PANEL!$B$11,BA72),0))</f>
        <v>25728263.284320448</v>
      </c>
      <c r="AR73" s="18">
        <f t="shared" si="56"/>
        <v>3363641.5941947629</v>
      </c>
      <c r="AS73" s="18">
        <f>IF(BD73&lt;&gt;1,"",DATA_INPUT!$I73)</f>
        <v>1.6971166614438843E-2</v>
      </c>
      <c r="AT73" s="18">
        <f>IF(BD73&lt;&gt;1,"",AS73*CONTROL_PANEL!$B$5)</f>
        <v>1610.5637117102463</v>
      </c>
      <c r="AU73" s="18">
        <f>IF(BD73&lt;&gt;1,"",DATA_INPUT!$C73)</f>
        <v>7.599960688434666</v>
      </c>
      <c r="AV73" s="18">
        <f t="shared" si="57"/>
        <v>25563.543885863906</v>
      </c>
      <c r="AW73" s="18">
        <f>IF(BD73&lt;&gt;1,"",DATA_INPUT!$H73)</f>
        <v>144.0098798674949</v>
      </c>
      <c r="AX73" s="18">
        <f t="shared" si="58"/>
        <v>484397.62189729686</v>
      </c>
      <c r="AY73" s="18">
        <f>IF(BD73&lt;&gt;1,"",AT73*CONTROL_PANEL!$B$14)</f>
        <v>112.73945981971725</v>
      </c>
      <c r="AZ73" s="18">
        <f>IF(BD73&lt;&gt;1,"",DATA_INPUT!$M73)</f>
        <v>983253.73985149432</v>
      </c>
      <c r="BA73" s="18">
        <f t="shared" si="59"/>
        <v>24287673.29070941</v>
      </c>
      <c r="BB73" s="18">
        <f>IF(BD73&lt;&gt;1,"",IF(BA73-CONTROL_PANEL!$B$11&lt;0,0,BA73-CONTROL_PANEL!$B$11))</f>
        <v>0</v>
      </c>
      <c r="BC73" s="18">
        <f>IF(BD73&lt;&gt;1,"",IF(AZ73&lt;=0,0,MIN(AZ73,MAX(0,CONTROL_PANEL!$B$13-BA73))))</f>
        <v>0</v>
      </c>
      <c r="BD73" s="18">
        <v>1</v>
      </c>
      <c r="BF73" s="19">
        <f t="shared" si="33"/>
        <v>2021</v>
      </c>
      <c r="BG73" s="19">
        <v>6</v>
      </c>
      <c r="BH73" s="18">
        <f t="shared" si="60"/>
        <v>30</v>
      </c>
      <c r="BI73" s="18">
        <f t="shared" si="73"/>
        <v>258.84794272810711</v>
      </c>
      <c r="BJ73" s="18">
        <f>IF(BW72&lt;&gt;1,"",IF(BT72&gt;0,IF(BT72&gt;CONTROL_PANEL!$B$11,CONTROL_PANEL!$B$11,BT72),0))</f>
        <v>28902258.046912301</v>
      </c>
      <c r="BK73" s="18">
        <f t="shared" si="61"/>
        <v>3635817.7780486192</v>
      </c>
      <c r="BL73" s="18">
        <f>IF(BW73&lt;&gt;1,"",DATA_INPUT!$I73)</f>
        <v>1.6971166614438843E-2</v>
      </c>
      <c r="BM73" s="18">
        <f>IF(BW73&lt;&gt;1,"",BL73*CONTROL_PANEL!$B$5)</f>
        <v>1610.5637117102463</v>
      </c>
      <c r="BN73" s="18">
        <f>IF(BW73&lt;&gt;1,"",DATA_INPUT!$C73)</f>
        <v>7.599960688434666</v>
      </c>
      <c r="BO73" s="18">
        <f t="shared" si="62"/>
        <v>27632.072183481381</v>
      </c>
      <c r="BP73" s="18">
        <f>IF(BW73&lt;&gt;1,"",DATA_INPUT!$H73)</f>
        <v>144.0098798674949</v>
      </c>
      <c r="BQ73" s="18">
        <f t="shared" si="63"/>
        <v>523593.68143688387</v>
      </c>
      <c r="BR73" s="18">
        <f>IF(BW73&lt;&gt;1,"",BM73*CONTROL_PANEL!$B$14)</f>
        <v>112.73945981971725</v>
      </c>
      <c r="BS73" s="18">
        <f>IF(BW73&lt;&gt;1,"",DATA_INPUT!$N73)</f>
        <v>841811.57185215352</v>
      </c>
      <c r="BT73" s="18">
        <f t="shared" si="64"/>
        <v>27565982.690058637</v>
      </c>
      <c r="BU73" s="18">
        <f>IF(BW73&lt;&gt;1,"",IF(BT73-CONTROL_PANEL!$B$11&lt;0,0,BT73-CONTROL_PANEL!$B$11))</f>
        <v>0</v>
      </c>
      <c r="BV73" s="18">
        <f>IF(BW73&lt;&gt;1,"",IF(BS73&lt;=0,0,MIN(BS73,MAX(0,CONTROL_PANEL!$B$13-BT73))))</f>
        <v>0</v>
      </c>
      <c r="BW73" s="18">
        <v>1</v>
      </c>
      <c r="BY73" s="19">
        <f t="shared" si="34"/>
        <v>2021</v>
      </c>
      <c r="BZ73" s="19">
        <v>6</v>
      </c>
      <c r="CA73" s="18">
        <f t="shared" si="65"/>
        <v>30</v>
      </c>
      <c r="CB73" s="18">
        <f t="shared" si="74"/>
        <v>257.80350764077826</v>
      </c>
      <c r="CC73" s="18">
        <f>IF(CP72&lt;&gt;1,"",IF(CM72&gt;0,IF(CM72&gt;CONTROL_PANEL!$B$11,CONTROL_PANEL!$B$11,CM72),0))</f>
        <v>25246140.511341978</v>
      </c>
      <c r="CD73" s="18">
        <f t="shared" si="66"/>
        <v>3321349.6242388207</v>
      </c>
      <c r="CE73" s="18">
        <f>IF(CP73&lt;&gt;1,"",DATA_INPUT!$I73)</f>
        <v>1.6971166614438843E-2</v>
      </c>
      <c r="CF73" s="18">
        <f>IF(CP73&lt;&gt;1,"",CE73*CONTROL_PANEL!$B$5)</f>
        <v>1610.5637117102463</v>
      </c>
      <c r="CG73" s="18">
        <f>IF(CP73&lt;&gt;1,"",DATA_INPUT!$C73)</f>
        <v>7.599960688434666</v>
      </c>
      <c r="CH73" s="18">
        <f t="shared" si="67"/>
        <v>25242.12657676229</v>
      </c>
      <c r="CI73" s="18">
        <f>IF(CP73&lt;&gt;1,"",DATA_INPUT!$H73)</f>
        <v>144.0098798674949</v>
      </c>
      <c r="CJ73" s="18">
        <f t="shared" si="68"/>
        <v>478307.16038458195</v>
      </c>
      <c r="CK73" s="18">
        <f>IF(CP73&lt;&gt;1,"",CF73*CONTROL_PANEL!$B$14)</f>
        <v>112.73945981971725</v>
      </c>
      <c r="CL73" s="18">
        <f>IF(CP73&lt;&gt;1,"",DATA_INPUT!$O73)</f>
        <v>964976.33910576883</v>
      </c>
      <c r="CM73" s="18">
        <f t="shared" si="69"/>
        <v>23829596.96268028</v>
      </c>
      <c r="CN73" s="18">
        <f>IF(CP73&lt;&gt;1,"",IF(CM73-CONTROL_PANEL!$B$11&lt;0,0,CM73-CONTROL_PANEL!$B$11))</f>
        <v>0</v>
      </c>
      <c r="CO73" s="18">
        <f>IF(CP73&lt;&gt;1,"",IF(CL73&lt;=0,0,MIN(CL73,MAX(0,CONTROL_PANEL!$B$13-CM73))))</f>
        <v>0</v>
      </c>
      <c r="CP73" s="18">
        <v>1</v>
      </c>
    </row>
    <row r="74" spans="1:94" x14ac:dyDescent="0.25">
      <c r="A74" s="19">
        <f t="shared" si="30"/>
        <v>2021</v>
      </c>
      <c r="B74" s="19">
        <v>7</v>
      </c>
      <c r="C74" s="18">
        <f t="shared" si="45"/>
        <v>31</v>
      </c>
      <c r="D74" s="18">
        <f t="shared" si="70"/>
        <v>258.15987495408996</v>
      </c>
      <c r="E74" s="18">
        <f>IF(R73&lt;&gt;1,"",IF(O73&gt;0,IF(O73&gt;CONTROL_PANEL!$B$11,CONTROL_PANEL!$B$11,O73),0))</f>
        <v>26456558.528608788</v>
      </c>
      <c r="F74" s="18">
        <f t="shared" si="46"/>
        <v>3427033.85675275</v>
      </c>
      <c r="G74" s="18">
        <f>IF(R74&lt;&gt;1,"",DATA_INPUT!I74)</f>
        <v>2.3495994319914942E-3</v>
      </c>
      <c r="H74" s="18">
        <f>IF(R74&lt;&gt;1,"",G74*CONTROL_PANEL!$B$5)</f>
        <v>222.9769860959928</v>
      </c>
      <c r="I74" s="18">
        <f>IF(R74&lt;&gt;1,"",DATA_INPUT!C74)</f>
        <v>4.6627146927600007</v>
      </c>
      <c r="J74" s="18">
        <f t="shared" si="47"/>
        <v>15979.28111646702</v>
      </c>
      <c r="K74" s="18">
        <f>IF(R74&lt;&gt;1,"",DATA_INPUT!H74)</f>
        <v>156.17659417389598</v>
      </c>
      <c r="L74" s="18">
        <f t="shared" si="48"/>
        <v>535222.47586627584</v>
      </c>
      <c r="M74" s="18">
        <f>IF(R74&lt;&gt;1,"",H74*CONTROL_PANEL!$B$14)</f>
        <v>15.608389026719497</v>
      </c>
      <c r="N74" s="18">
        <f>IF(R74&lt;&gt;1,"",DATA_INPUT!K74)</f>
        <v>1788244.7327200931</v>
      </c>
      <c r="O74" s="18">
        <f t="shared" si="49"/>
        <v>24149277.969735954</v>
      </c>
      <c r="P74" s="18">
        <f>IF(R74&lt;&gt;1,"",IF(O74-CONTROL_PANEL!$B$11&lt;0,0,O74-CONTROL_PANEL!$B$11))</f>
        <v>0</v>
      </c>
      <c r="Q74" s="18">
        <f>IF(R74&lt;&gt;1,"",IF(N74&lt;=0,0,MIN(N74,MAX(0,CONTROL_PANEL!$B$13-O74))))</f>
        <v>0</v>
      </c>
      <c r="R74" s="18">
        <v>1</v>
      </c>
      <c r="T74" s="19">
        <f t="shared" si="31"/>
        <v>2021</v>
      </c>
      <c r="U74" s="19">
        <v>7</v>
      </c>
      <c r="V74" s="18">
        <f t="shared" si="50"/>
        <v>31</v>
      </c>
      <c r="W74" s="18">
        <f t="shared" si="71"/>
        <v>255.86790762907532</v>
      </c>
      <c r="X74" s="18">
        <f>IF(AK73&lt;&gt;1,"",IF(AH73&gt;0,IF(AH73&gt;CONTROL_PANEL!$B$11,CONTROL_PANEL!$B$11,AH73),0))</f>
        <v>19313291.292378169</v>
      </c>
      <c r="Y74" s="18">
        <f t="shared" si="51"/>
        <v>2776506.1503534135</v>
      </c>
      <c r="Z74" s="18">
        <f>IF(AK74&lt;&gt;1,"",DATA_INPUT!I74)</f>
        <v>2.3495994319914942E-3</v>
      </c>
      <c r="AA74" s="18">
        <f>IF(AK74&lt;&gt;1,"",Z74*CONTROL_PANEL!$B$5)</f>
        <v>222.9769860959928</v>
      </c>
      <c r="AB74" s="18">
        <f>IF(AK74&lt;&gt;1,"",DATA_INPUT!$C74)</f>
        <v>4.6627146927600007</v>
      </c>
      <c r="AC74" s="18">
        <f t="shared" si="52"/>
        <v>12946.056021791368</v>
      </c>
      <c r="AD74" s="18">
        <f>IF(AK74&lt;&gt;1,"",DATA_INPUT!$H74)</f>
        <v>156.17659417389598</v>
      </c>
      <c r="AE74" s="18">
        <f t="shared" si="53"/>
        <v>433625.27426507126</v>
      </c>
      <c r="AF74" s="18">
        <f>IF(AK74&lt;&gt;1,"",AA74*CONTROL_PANEL!$B$14)</f>
        <v>15.608389026719497</v>
      </c>
      <c r="AG74" s="18">
        <f>IF(AK74&lt;&gt;1,"",DATA_INPUT!$L74)</f>
        <v>2275178.8802364869</v>
      </c>
      <c r="AH74" s="18">
        <f t="shared" si="54"/>
        <v>16617640.56249547</v>
      </c>
      <c r="AI74" s="18">
        <f>IF(AK74&lt;&gt;1,"",IF(AH74-CONTROL_PANEL!$B$11&lt;0,0,AH74-CONTROL_PANEL!$B$11))</f>
        <v>0</v>
      </c>
      <c r="AJ74" s="18">
        <f>IF(AK74&lt;&gt;1,"",IF(AG74&lt;=0,0,MIN(AG74,MAX(0,CONTROL_PANEL!$B$13-AH74))))</f>
        <v>0</v>
      </c>
      <c r="AK74" s="18">
        <v>1</v>
      </c>
      <c r="AM74" s="19">
        <f t="shared" si="32"/>
        <v>2021</v>
      </c>
      <c r="AN74" s="19">
        <v>7</v>
      </c>
      <c r="AO74" s="18">
        <f t="shared" si="55"/>
        <v>31</v>
      </c>
      <c r="AP74" s="18">
        <f t="shared" si="72"/>
        <v>257.51312247445378</v>
      </c>
      <c r="AQ74" s="18">
        <f>IF(BD73&lt;&gt;1,"",IF(BA73&gt;0,IF(BA73&gt;CONTROL_PANEL!$B$11,CONTROL_PANEL!$B$11,BA73),0))</f>
        <v>24287673.29070941</v>
      </c>
      <c r="AR74" s="18">
        <f t="shared" si="56"/>
        <v>3236468.8618741268</v>
      </c>
      <c r="AS74" s="18">
        <f>IF(BD74&lt;&gt;1,"",DATA_INPUT!$I74)</f>
        <v>2.3495994319914942E-3</v>
      </c>
      <c r="AT74" s="18">
        <f>IF(BD74&lt;&gt;1,"",AS74*CONTROL_PANEL!$B$5)</f>
        <v>222.9769860959928</v>
      </c>
      <c r="AU74" s="18">
        <f>IF(BD74&lt;&gt;1,"",DATA_INPUT!$C74)</f>
        <v>4.6627146927600007</v>
      </c>
      <c r="AV74" s="18">
        <f t="shared" si="57"/>
        <v>15090.730914920729</v>
      </c>
      <c r="AW74" s="18">
        <f>IF(BD74&lt;&gt;1,"",DATA_INPUT!$H74)</f>
        <v>156.17659417389598</v>
      </c>
      <c r="AX74" s="18">
        <f t="shared" si="58"/>
        <v>505460.68399736646</v>
      </c>
      <c r="AY74" s="18">
        <f>IF(BD74&lt;&gt;1,"",AT74*CONTROL_PANEL!$B$14)</f>
        <v>15.608389026719497</v>
      </c>
      <c r="AZ74" s="18">
        <f>IF(BD74&lt;&gt;1,"",DATA_INPUT!$M74)</f>
        <v>1978403.2296648785</v>
      </c>
      <c r="BA74" s="18">
        <f t="shared" si="59"/>
        <v>21819107.476559155</v>
      </c>
      <c r="BB74" s="18">
        <f>IF(BD74&lt;&gt;1,"",IF(BA74-CONTROL_PANEL!$B$11&lt;0,0,BA74-CONTROL_PANEL!$B$11))</f>
        <v>0</v>
      </c>
      <c r="BC74" s="18">
        <f>IF(BD74&lt;&gt;1,"",IF(AZ74&lt;=0,0,MIN(AZ74,MAX(0,CONTROL_PANEL!$B$13-BA74))))</f>
        <v>0</v>
      </c>
      <c r="BD74" s="18">
        <v>1</v>
      </c>
      <c r="BF74" s="19">
        <f t="shared" si="33"/>
        <v>2021</v>
      </c>
      <c r="BG74" s="19">
        <v>7</v>
      </c>
      <c r="BH74" s="18">
        <f t="shared" si="60"/>
        <v>31</v>
      </c>
      <c r="BI74" s="18">
        <f t="shared" si="73"/>
        <v>258.47705068494741</v>
      </c>
      <c r="BJ74" s="18">
        <f>IF(BW73&lt;&gt;1,"",IF(BT73&gt;0,IF(BT73&gt;CONTROL_PANEL!$B$11,CONTROL_PANEL!$B$11,BT73),0))</f>
        <v>27565982.690058637</v>
      </c>
      <c r="BK74" s="18">
        <f t="shared" si="61"/>
        <v>3522501.577389318</v>
      </c>
      <c r="BL74" s="18">
        <f>IF(BW74&lt;&gt;1,"",DATA_INPUT!$I74)</f>
        <v>2.3495994319914942E-3</v>
      </c>
      <c r="BM74" s="18">
        <f>IF(BW74&lt;&gt;1,"",BL74*CONTROL_PANEL!$B$5)</f>
        <v>222.9769860959928</v>
      </c>
      <c r="BN74" s="18">
        <f>IF(BW74&lt;&gt;1,"",DATA_INPUT!$C74)</f>
        <v>4.6627146927600007</v>
      </c>
      <c r="BO74" s="18">
        <f t="shared" si="62"/>
        <v>16424.419860163453</v>
      </c>
      <c r="BP74" s="18">
        <f>IF(BW74&lt;&gt;1,"",DATA_INPUT!$H74)</f>
        <v>156.17659417389598</v>
      </c>
      <c r="BQ74" s="18">
        <f t="shared" si="63"/>
        <v>550132.29932883999</v>
      </c>
      <c r="BR74" s="18">
        <f>IF(BW74&lt;&gt;1,"",BM74*CONTROL_PANEL!$B$14)</f>
        <v>15.608389026719497</v>
      </c>
      <c r="BS74" s="18">
        <f>IF(BW74&lt;&gt;1,"",DATA_INPUT!$N74)</f>
        <v>1792302.2437231301</v>
      </c>
      <c r="BT74" s="18">
        <f t="shared" si="64"/>
        <v>25240179.935463898</v>
      </c>
      <c r="BU74" s="18">
        <f>IF(BW74&lt;&gt;1,"",IF(BT74-CONTROL_PANEL!$B$11&lt;0,0,BT74-CONTROL_PANEL!$B$11))</f>
        <v>0</v>
      </c>
      <c r="BV74" s="18">
        <f>IF(BW74&lt;&gt;1,"",IF(BS74&lt;=0,0,MIN(BS74,MAX(0,CONTROL_PANEL!$B$13-BT74))))</f>
        <v>0</v>
      </c>
      <c r="BW74" s="18">
        <v>1</v>
      </c>
      <c r="BY74" s="19">
        <f t="shared" si="34"/>
        <v>2021</v>
      </c>
      <c r="BZ74" s="19">
        <v>7</v>
      </c>
      <c r="CA74" s="18">
        <f t="shared" si="65"/>
        <v>31</v>
      </c>
      <c r="CB74" s="18">
        <f t="shared" si="74"/>
        <v>257.37162769412896</v>
      </c>
      <c r="CC74" s="18">
        <f>IF(CP73&lt;&gt;1,"",IF(CM73&gt;0,IF(CM73&gt;CONTROL_PANEL!$B$11,CONTROL_PANEL!$B$11,CM73),0))</f>
        <v>23829596.96268028</v>
      </c>
      <c r="CD74" s="18">
        <f t="shared" si="66"/>
        <v>3195511.3801040812</v>
      </c>
      <c r="CE74" s="18">
        <f>IF(CP74&lt;&gt;1,"",DATA_INPUT!$I74)</f>
        <v>2.3495994319914942E-3</v>
      </c>
      <c r="CF74" s="18">
        <f>IF(CP74&lt;&gt;1,"",CE74*CONTROL_PANEL!$B$5)</f>
        <v>222.9769860959928</v>
      </c>
      <c r="CG74" s="18">
        <f>IF(CP74&lt;&gt;1,"",DATA_INPUT!$C74)</f>
        <v>4.6627146927600007</v>
      </c>
      <c r="CH74" s="18">
        <f t="shared" si="67"/>
        <v>14899.757862893088</v>
      </c>
      <c r="CI74" s="18">
        <f>IF(CP74&lt;&gt;1,"",DATA_INPUT!$H74)</f>
        <v>156.17659417389598</v>
      </c>
      <c r="CJ74" s="18">
        <f t="shared" si="68"/>
        <v>499064.08398858138</v>
      </c>
      <c r="CK74" s="18">
        <f>IF(CP74&lt;&gt;1,"",CF74*CONTROL_PANEL!$B$14)</f>
        <v>15.608389026719497</v>
      </c>
      <c r="CL74" s="18">
        <f>IF(CP74&lt;&gt;1,"",DATA_INPUT!$O74)</f>
        <v>2057887.0619798042</v>
      </c>
      <c r="CM74" s="18">
        <f t="shared" si="69"/>
        <v>21287752.943171855</v>
      </c>
      <c r="CN74" s="18">
        <f>IF(CP74&lt;&gt;1,"",IF(CM74-CONTROL_PANEL!$B$11&lt;0,0,CM74-CONTROL_PANEL!$B$11))</f>
        <v>0</v>
      </c>
      <c r="CO74" s="18">
        <f>IF(CP74&lt;&gt;1,"",IF(CL74&lt;=0,0,MIN(CL74,MAX(0,CONTROL_PANEL!$B$13-CM74))))</f>
        <v>0</v>
      </c>
      <c r="CP74" s="18">
        <v>1</v>
      </c>
    </row>
    <row r="75" spans="1:94" x14ac:dyDescent="0.25">
      <c r="A75" s="19">
        <f t="shared" si="30"/>
        <v>2021</v>
      </c>
      <c r="B75" s="19">
        <v>8</v>
      </c>
      <c r="C75" s="18">
        <f t="shared" si="45"/>
        <v>31</v>
      </c>
      <c r="D75" s="18">
        <f t="shared" si="70"/>
        <v>257.47056324532218</v>
      </c>
      <c r="E75" s="18">
        <f>IF(R74&lt;&gt;1,"",IF(O74&gt;0,IF(O74&gt;CONTROL_PANEL!$B$11,CONTROL_PANEL!$B$11,O74),0))</f>
        <v>24149277.969735954</v>
      </c>
      <c r="F75" s="18">
        <f t="shared" si="46"/>
        <v>3224121.8485829239</v>
      </c>
      <c r="G75" s="18">
        <f>IF(R75&lt;&gt;1,"",DATA_INPUT!I75)</f>
        <v>3.2185119006639324E-4</v>
      </c>
      <c r="H75" s="18">
        <f>IF(R75&lt;&gt;1,"",G75*CONTROL_PANEL!$B$5)</f>
        <v>30.543677937300718</v>
      </c>
      <c r="I75" s="18">
        <f>IF(R75&lt;&gt;1,"",DATA_INPUT!C75)</f>
        <v>0.23333333333333331</v>
      </c>
      <c r="J75" s="18">
        <f t="shared" si="47"/>
        <v>752.29509800268215</v>
      </c>
      <c r="K75" s="18">
        <f>IF(R75&lt;&gt;1,"",DATA_INPUT!H75)</f>
        <v>144.7277457652645</v>
      </c>
      <c r="L75" s="18">
        <f t="shared" si="48"/>
        <v>466619.88721794402</v>
      </c>
      <c r="M75" s="18">
        <f>IF(R75&lt;&gt;1,"",H75*CONTROL_PANEL!$B$14)</f>
        <v>2.1380574556110505</v>
      </c>
      <c r="N75" s="18">
        <f>IF(R75&lt;&gt;1,"",DATA_INPUT!K75)</f>
        <v>1948934.2533351767</v>
      </c>
      <c r="O75" s="18">
        <f t="shared" si="49"/>
        <v>21734504.529901318</v>
      </c>
      <c r="P75" s="18">
        <f>IF(R75&lt;&gt;1,"",IF(O75-CONTROL_PANEL!$B$11&lt;0,0,O75-CONTROL_PANEL!$B$11))</f>
        <v>0</v>
      </c>
      <c r="Q75" s="18">
        <f>IF(R75&lt;&gt;1,"",IF(N75&lt;=0,0,MIN(N75,MAX(0,CONTROL_PANEL!$B$13-O75))))</f>
        <v>0</v>
      </c>
      <c r="R75" s="18">
        <v>1</v>
      </c>
      <c r="T75" s="19">
        <f t="shared" si="31"/>
        <v>2021</v>
      </c>
      <c r="U75" s="19">
        <v>8</v>
      </c>
      <c r="V75" s="18">
        <f t="shared" si="50"/>
        <v>31</v>
      </c>
      <c r="W75" s="18">
        <f t="shared" si="71"/>
        <v>254.85458057072157</v>
      </c>
      <c r="X75" s="18">
        <f>IF(AK74&lt;&gt;1,"",IF(AH74&gt;0,IF(AH74&gt;CONTROL_PANEL!$B$11,CONTROL_PANEL!$B$11,AH74),0))</f>
        <v>16617640.56249547</v>
      </c>
      <c r="Y75" s="18">
        <f t="shared" si="51"/>
        <v>2510902.7868864588</v>
      </c>
      <c r="Z75" s="18">
        <f>IF(AK75&lt;&gt;1,"",DATA_INPUT!I75)</f>
        <v>3.2185119006639324E-4</v>
      </c>
      <c r="AA75" s="18">
        <f>IF(AK75&lt;&gt;1,"",Z75*CONTROL_PANEL!$B$5)</f>
        <v>30.543677937300718</v>
      </c>
      <c r="AB75" s="18">
        <f>IF(AK75&lt;&gt;1,"",DATA_INPUT!$C75)</f>
        <v>0.23333333333333331</v>
      </c>
      <c r="AC75" s="18">
        <f t="shared" si="52"/>
        <v>585.87731694017361</v>
      </c>
      <c r="AD75" s="18">
        <f>IF(AK75&lt;&gt;1,"",DATA_INPUT!$H75)</f>
        <v>144.7277457652645</v>
      </c>
      <c r="AE75" s="18">
        <f t="shared" si="53"/>
        <v>363397.30018179753</v>
      </c>
      <c r="AF75" s="18">
        <f>IF(AK75&lt;&gt;1,"",AA75*CONTROL_PANEL!$B$14)</f>
        <v>2.1380574556110505</v>
      </c>
      <c r="AG75" s="18">
        <f>IF(AK75&lt;&gt;1,"",DATA_INPUT!$L75)</f>
        <v>2481227.5039037415</v>
      </c>
      <c r="AH75" s="18">
        <f t="shared" si="54"/>
        <v>13773630.041347353</v>
      </c>
      <c r="AI75" s="18">
        <f>IF(AK75&lt;&gt;1,"",IF(AH75-CONTROL_PANEL!$B$11&lt;0,0,AH75-CONTROL_PANEL!$B$11))</f>
        <v>0</v>
      </c>
      <c r="AJ75" s="18">
        <f>IF(AK75&lt;&gt;1,"",IF(AG75&lt;=0,0,MIN(AG75,MAX(0,CONTROL_PANEL!$B$13-AH75))))</f>
        <v>0</v>
      </c>
      <c r="AK75" s="18">
        <v>1</v>
      </c>
      <c r="AM75" s="19">
        <f t="shared" si="32"/>
        <v>2021</v>
      </c>
      <c r="AN75" s="19">
        <v>8</v>
      </c>
      <c r="AO75" s="18">
        <f t="shared" si="55"/>
        <v>31</v>
      </c>
      <c r="AP75" s="18">
        <f t="shared" si="72"/>
        <v>256.72812148229582</v>
      </c>
      <c r="AQ75" s="18">
        <f>IF(BD74&lt;&gt;1,"",IF(BA74&gt;0,IF(BA74&gt;CONTROL_PANEL!$B$11,CONTROL_PANEL!$B$11,BA74),0))</f>
        <v>21819107.476559155</v>
      </c>
      <c r="AR75" s="18">
        <f t="shared" si="56"/>
        <v>3012562.4289707965</v>
      </c>
      <c r="AS75" s="18">
        <f>IF(BD75&lt;&gt;1,"",DATA_INPUT!$I75)</f>
        <v>3.2185119006639324E-4</v>
      </c>
      <c r="AT75" s="18">
        <f>IF(BD75&lt;&gt;1,"",AS75*CONTROL_PANEL!$B$5)</f>
        <v>30.543677937300718</v>
      </c>
      <c r="AU75" s="18">
        <f>IF(BD75&lt;&gt;1,"",DATA_INPUT!$C75)</f>
        <v>0.23333333333333331</v>
      </c>
      <c r="AV75" s="18">
        <f t="shared" si="57"/>
        <v>702.93123342651904</v>
      </c>
      <c r="AW75" s="18">
        <f>IF(BD75&lt;&gt;1,"",DATA_INPUT!$H75)</f>
        <v>144.7277457652645</v>
      </c>
      <c r="AX75" s="18">
        <f t="shared" si="58"/>
        <v>436001.36932207318</v>
      </c>
      <c r="AY75" s="18">
        <f>IF(BD75&lt;&gt;1,"",AT75*CONTROL_PANEL!$B$14)</f>
        <v>2.1380574556110505</v>
      </c>
      <c r="AZ75" s="18">
        <f>IF(BD75&lt;&gt;1,"",DATA_INPUT!$M75)</f>
        <v>2185721.5430419957</v>
      </c>
      <c r="BA75" s="18">
        <f t="shared" si="59"/>
        <v>19198115.901048992</v>
      </c>
      <c r="BB75" s="18">
        <f>IF(BD75&lt;&gt;1,"",IF(BA75-CONTROL_PANEL!$B$11&lt;0,0,BA75-CONTROL_PANEL!$B$11))</f>
        <v>0</v>
      </c>
      <c r="BC75" s="18">
        <f>IF(BD75&lt;&gt;1,"",IF(AZ75&lt;=0,0,MIN(AZ75,MAX(0,CONTROL_PANEL!$B$13-BA75))))</f>
        <v>0</v>
      </c>
      <c r="BD75" s="18">
        <v>1</v>
      </c>
      <c r="BF75" s="19">
        <f t="shared" si="33"/>
        <v>2021</v>
      </c>
      <c r="BG75" s="19">
        <v>8</v>
      </c>
      <c r="BH75" s="18">
        <f t="shared" si="60"/>
        <v>31</v>
      </c>
      <c r="BI75" s="18">
        <f t="shared" si="73"/>
        <v>257.80172476028457</v>
      </c>
      <c r="BJ75" s="18">
        <f>IF(BW74&lt;&gt;1,"",IF(BT74&gt;0,IF(BT74&gt;CONTROL_PANEL!$B$11,CONTROL_PANEL!$B$11,BT74),0))</f>
        <v>25240179.935463898</v>
      </c>
      <c r="BK75" s="18">
        <f t="shared" si="61"/>
        <v>3320825.0955769704</v>
      </c>
      <c r="BL75" s="18">
        <f>IF(BW75&lt;&gt;1,"",DATA_INPUT!$I75)</f>
        <v>3.2185119006639324E-4</v>
      </c>
      <c r="BM75" s="18">
        <f>IF(BW75&lt;&gt;1,"",BL75*CONTROL_PANEL!$B$5)</f>
        <v>30.543677937300718</v>
      </c>
      <c r="BN75" s="18">
        <f>IF(BW75&lt;&gt;1,"",DATA_INPUT!$C75)</f>
        <v>0.23333333333333331</v>
      </c>
      <c r="BO75" s="18">
        <f t="shared" si="62"/>
        <v>774.85918896795977</v>
      </c>
      <c r="BP75" s="18">
        <f>IF(BW75&lt;&gt;1,"",DATA_INPUT!$H75)</f>
        <v>144.7277457652645</v>
      </c>
      <c r="BQ75" s="18">
        <f t="shared" si="63"/>
        <v>480615.53016357397</v>
      </c>
      <c r="BR75" s="18">
        <f>IF(BW75&lt;&gt;1,"",BM75*CONTROL_PANEL!$B$14)</f>
        <v>2.1380574556110505</v>
      </c>
      <c r="BS75" s="18">
        <f>IF(BW75&lt;&gt;1,"",DATA_INPUT!$N75)</f>
        <v>2006876.6277713878</v>
      </c>
      <c r="BT75" s="18">
        <f t="shared" si="64"/>
        <v>22753491.042338386</v>
      </c>
      <c r="BU75" s="18">
        <f>IF(BW75&lt;&gt;1,"",IF(BT75-CONTROL_PANEL!$B$11&lt;0,0,BT75-CONTROL_PANEL!$B$11))</f>
        <v>0</v>
      </c>
      <c r="BV75" s="18">
        <f>IF(BW75&lt;&gt;1,"",IF(BS75&lt;=0,0,MIN(BS75,MAX(0,CONTROL_PANEL!$B$13-BT75))))</f>
        <v>0</v>
      </c>
      <c r="BW75" s="18">
        <v>1</v>
      </c>
      <c r="BY75" s="19">
        <f t="shared" si="34"/>
        <v>2021</v>
      </c>
      <c r="BZ75" s="19">
        <v>8</v>
      </c>
      <c r="CA75" s="18">
        <f t="shared" si="65"/>
        <v>31</v>
      </c>
      <c r="CB75" s="18">
        <f t="shared" si="74"/>
        <v>256.55146331322948</v>
      </c>
      <c r="CC75" s="18">
        <f>IF(CP74&lt;&gt;1,"",IF(CM74&gt;0,IF(CM74&gt;CONTROL_PANEL!$B$11,CONTROL_PANEL!$B$11,CM74),0))</f>
        <v>21287752.943171855</v>
      </c>
      <c r="CD75" s="18">
        <f t="shared" si="66"/>
        <v>2963291.072226773</v>
      </c>
      <c r="CE75" s="18">
        <f>IF(CP75&lt;&gt;1,"",DATA_INPUT!$I75)</f>
        <v>3.2185119006639324E-4</v>
      </c>
      <c r="CF75" s="18">
        <f>IF(CP75&lt;&gt;1,"",CE75*CONTROL_PANEL!$B$5)</f>
        <v>30.543677937300718</v>
      </c>
      <c r="CG75" s="18">
        <f>IF(CP75&lt;&gt;1,"",DATA_INPUT!$C75)</f>
        <v>0.23333333333333331</v>
      </c>
      <c r="CH75" s="18">
        <f t="shared" si="67"/>
        <v>691.43458351958031</v>
      </c>
      <c r="CI75" s="18">
        <f>IF(CP75&lt;&gt;1,"",DATA_INPUT!$H75)</f>
        <v>144.7277457652645</v>
      </c>
      <c r="CJ75" s="18">
        <f t="shared" si="68"/>
        <v>428870.43692971446</v>
      </c>
      <c r="CK75" s="18">
        <f>IF(CP75&lt;&gt;1,"",CF75*CONTROL_PANEL!$B$14)</f>
        <v>2.1380574556110505</v>
      </c>
      <c r="CL75" s="18">
        <f>IF(CP75&lt;&gt;1,"",DATA_INPUT!$O75)</f>
        <v>2305847.7871576771</v>
      </c>
      <c r="CM75" s="18">
        <f t="shared" si="69"/>
        <v>18553754.559288464</v>
      </c>
      <c r="CN75" s="18">
        <f>IF(CP75&lt;&gt;1,"",IF(CM75-CONTROL_PANEL!$B$11&lt;0,0,CM75-CONTROL_PANEL!$B$11))</f>
        <v>0</v>
      </c>
      <c r="CO75" s="18">
        <f>IF(CP75&lt;&gt;1,"",IF(CL75&lt;=0,0,MIN(CL75,MAX(0,CONTROL_PANEL!$B$13-CM75))))</f>
        <v>0</v>
      </c>
      <c r="CP75" s="18">
        <v>1</v>
      </c>
    </row>
    <row r="76" spans="1:94" x14ac:dyDescent="0.25">
      <c r="A76" s="19">
        <f t="shared" si="30"/>
        <v>2021</v>
      </c>
      <c r="B76" s="19">
        <v>9</v>
      </c>
      <c r="C76" s="18">
        <f t="shared" si="45"/>
        <v>30</v>
      </c>
      <c r="D76" s="18">
        <f t="shared" si="70"/>
        <v>256.70018782650783</v>
      </c>
      <c r="E76" s="18">
        <f>IF(R75&lt;&gt;1,"",IF(O75&gt;0,IF(O75&gt;CONTROL_PANEL!$B$11,CONTROL_PANEL!$B$11,O75),0))</f>
        <v>21734504.529901318</v>
      </c>
      <c r="F76" s="18">
        <f t="shared" si="46"/>
        <v>3004744.2036448619</v>
      </c>
      <c r="G76" s="18">
        <f>IF(R76&lt;&gt;1,"",DATA_INPUT!I76)</f>
        <v>4.8001926503700627E-5</v>
      </c>
      <c r="H76" s="18">
        <f>IF(R76&lt;&gt;1,"",G76*CONTROL_PANEL!$B$5)</f>
        <v>4.5553828252011899</v>
      </c>
      <c r="I76" s="18">
        <f>IF(R76&lt;&gt;1,"",DATA_INPUT!C76)</f>
        <v>59.995743343988003</v>
      </c>
      <c r="J76" s="18">
        <f t="shared" si="47"/>
        <v>180271.86205621276</v>
      </c>
      <c r="K76" s="18">
        <f>IF(R76&lt;&gt;1,"",DATA_INPUT!H76)</f>
        <v>94.279461869461926</v>
      </c>
      <c r="L76" s="18">
        <f t="shared" si="48"/>
        <v>283285.66657502251</v>
      </c>
      <c r="M76" s="18">
        <f>IF(R76&lt;&gt;1,"",H76*CONTROL_PANEL!$B$14)</f>
        <v>0.31887679776408334</v>
      </c>
      <c r="N76" s="18">
        <f>IF(R76&lt;&gt;1,"",DATA_INPUT!K76)</f>
        <v>451561.76028994092</v>
      </c>
      <c r="O76" s="18">
        <f t="shared" si="49"/>
        <v>21179933.201598596</v>
      </c>
      <c r="P76" s="18">
        <f>IF(R76&lt;&gt;1,"",IF(O76-CONTROL_PANEL!$B$11&lt;0,0,O76-CONTROL_PANEL!$B$11))</f>
        <v>0</v>
      </c>
      <c r="Q76" s="18">
        <f>IF(R76&lt;&gt;1,"",IF(N76&lt;=0,0,MIN(N76,MAX(0,CONTROL_PANEL!$B$13-O76))))</f>
        <v>0</v>
      </c>
      <c r="R76" s="18">
        <v>1</v>
      </c>
      <c r="T76" s="19">
        <f t="shared" si="31"/>
        <v>2021</v>
      </c>
      <c r="U76" s="19">
        <v>9</v>
      </c>
      <c r="V76" s="18">
        <f t="shared" si="50"/>
        <v>30</v>
      </c>
      <c r="W76" s="18">
        <f t="shared" si="71"/>
        <v>253.65808322101032</v>
      </c>
      <c r="X76" s="18">
        <f>IF(AK75&lt;&gt;1,"",IF(AH75&gt;0,IF(AH75&gt;CONTROL_PANEL!$B$11,CONTROL_PANEL!$B$11,AH75),0))</f>
        <v>13773630.041347353</v>
      </c>
      <c r="Y76" s="18">
        <f t="shared" si="51"/>
        <v>2214637.464876987</v>
      </c>
      <c r="Z76" s="18">
        <f>IF(AK76&lt;&gt;1,"",DATA_INPUT!I76)</f>
        <v>4.8001926503700627E-5</v>
      </c>
      <c r="AA76" s="18">
        <f>IF(AK76&lt;&gt;1,"",Z76*CONTROL_PANEL!$B$5)</f>
        <v>4.5553828252011899</v>
      </c>
      <c r="AB76" s="18">
        <f>IF(AK76&lt;&gt;1,"",DATA_INPUT!$C76)</f>
        <v>59.995743343988003</v>
      </c>
      <c r="AC76" s="18">
        <f t="shared" si="52"/>
        <v>132868.82094273996</v>
      </c>
      <c r="AD76" s="18">
        <f>IF(AK76&lt;&gt;1,"",DATA_INPUT!$H76)</f>
        <v>94.279461869461926</v>
      </c>
      <c r="AE76" s="18">
        <f t="shared" si="53"/>
        <v>208794.82842455173</v>
      </c>
      <c r="AF76" s="18">
        <f>IF(AK76&lt;&gt;1,"",AA76*CONTROL_PANEL!$B$14)</f>
        <v>0.31887679776408334</v>
      </c>
      <c r="AG76" s="18">
        <f>IF(AK76&lt;&gt;1,"",DATA_INPUT!$L76)</f>
        <v>574509.46222416277</v>
      </c>
      <c r="AH76" s="18">
        <f t="shared" si="54"/>
        <v>13123198.808147404</v>
      </c>
      <c r="AI76" s="18">
        <f>IF(AK76&lt;&gt;1,"",IF(AH76-CONTROL_PANEL!$B$11&lt;0,0,AH76-CONTROL_PANEL!$B$11))</f>
        <v>0</v>
      </c>
      <c r="AJ76" s="18">
        <f>IF(AK76&lt;&gt;1,"",IF(AG76&lt;=0,0,MIN(AG76,MAX(0,CONTROL_PANEL!$B$13-AH76))))</f>
        <v>0</v>
      </c>
      <c r="AK76" s="18">
        <v>1</v>
      </c>
      <c r="AM76" s="19">
        <f t="shared" si="32"/>
        <v>2021</v>
      </c>
      <c r="AN76" s="19">
        <v>9</v>
      </c>
      <c r="AO76" s="18">
        <f t="shared" si="55"/>
        <v>30</v>
      </c>
      <c r="AP76" s="18">
        <f t="shared" si="72"/>
        <v>255.8266177555038</v>
      </c>
      <c r="AQ76" s="18">
        <f>IF(BD75&lt;&gt;1,"",IF(BA75&gt;0,IF(BA75&gt;CONTROL_PANEL!$B$11,CONTROL_PANEL!$B$11,BA75),0))</f>
        <v>19198115.901048992</v>
      </c>
      <c r="AR76" s="18">
        <f t="shared" si="56"/>
        <v>2765420.116664255</v>
      </c>
      <c r="AS76" s="18">
        <f>IF(BD76&lt;&gt;1,"",DATA_INPUT!$I76)</f>
        <v>4.8001926503700627E-5</v>
      </c>
      <c r="AT76" s="18">
        <f>IF(BD76&lt;&gt;1,"",AS76*CONTROL_PANEL!$B$5)</f>
        <v>4.5553828252011899</v>
      </c>
      <c r="AU76" s="18">
        <f>IF(BD76&lt;&gt;1,"",DATA_INPUT!$C76)</f>
        <v>59.995743343988003</v>
      </c>
      <c r="AV76" s="18">
        <f t="shared" si="57"/>
        <v>165913.43555768998</v>
      </c>
      <c r="AW76" s="18">
        <f>IF(BD76&lt;&gt;1,"",DATA_INPUT!$H76)</f>
        <v>94.279461869461926</v>
      </c>
      <c r="AX76" s="18">
        <f t="shared" si="58"/>
        <v>260722.32044209057</v>
      </c>
      <c r="AY76" s="18">
        <f>IF(BD76&lt;&gt;1,"",AT76*CONTROL_PANEL!$B$14)</f>
        <v>0.31887679776408334</v>
      </c>
      <c r="AZ76" s="18">
        <f>IF(BD76&lt;&gt;1,"",DATA_INPUT!$M76)</f>
        <v>502181.50479655864</v>
      </c>
      <c r="BA76" s="18">
        <f t="shared" si="59"/>
        <v>18601129.747874059</v>
      </c>
      <c r="BB76" s="18">
        <f>IF(BD76&lt;&gt;1,"",IF(BA76-CONTROL_PANEL!$B$11&lt;0,0,BA76-CONTROL_PANEL!$B$11))</f>
        <v>0</v>
      </c>
      <c r="BC76" s="18">
        <f>IF(BD76&lt;&gt;1,"",IF(AZ76&lt;=0,0,MIN(AZ76,MAX(0,CONTROL_PANEL!$B$13-BA76))))</f>
        <v>0</v>
      </c>
      <c r="BD76" s="18">
        <v>1</v>
      </c>
      <c r="BF76" s="19">
        <f t="shared" si="33"/>
        <v>2021</v>
      </c>
      <c r="BG76" s="19">
        <v>9</v>
      </c>
      <c r="BH76" s="18">
        <f t="shared" si="60"/>
        <v>30</v>
      </c>
      <c r="BI76" s="18">
        <f t="shared" si="73"/>
        <v>257.03191931092709</v>
      </c>
      <c r="BJ76" s="18">
        <f>IF(BW75&lt;&gt;1,"",IF(BT75&gt;0,IF(BT75&gt;CONTROL_PANEL!$B$11,CONTROL_PANEL!$B$11,BT75),0))</f>
        <v>22753491.042338386</v>
      </c>
      <c r="BK76" s="18">
        <f t="shared" si="61"/>
        <v>3098253.591241145</v>
      </c>
      <c r="BL76" s="18">
        <f>IF(BW76&lt;&gt;1,"",DATA_INPUT!$I76)</f>
        <v>4.8001926503700627E-5</v>
      </c>
      <c r="BM76" s="18">
        <f>IF(BW76&lt;&gt;1,"",BL76*CONTROL_PANEL!$B$5)</f>
        <v>4.5553828252011899</v>
      </c>
      <c r="BN76" s="18">
        <f>IF(BW76&lt;&gt;1,"",DATA_INPUT!$C76)</f>
        <v>59.995743343988003</v>
      </c>
      <c r="BO76" s="18">
        <f t="shared" si="62"/>
        <v>185882.02727469287</v>
      </c>
      <c r="BP76" s="18">
        <f>IF(BW76&lt;&gt;1,"",DATA_INPUT!$H76)</f>
        <v>94.279461869461926</v>
      </c>
      <c r="BQ76" s="18">
        <f t="shared" si="63"/>
        <v>292101.68131734297</v>
      </c>
      <c r="BR76" s="18">
        <f>IF(BW76&lt;&gt;1,"",BM76*CONTROL_PANEL!$B$14)</f>
        <v>0.31887679776408334</v>
      </c>
      <c r="BS76" s="18">
        <f>IF(BW76&lt;&gt;1,"",DATA_INPUT!$N76)</f>
        <v>457472.79831320862</v>
      </c>
      <c r="BT76" s="18">
        <f t="shared" si="64"/>
        <v>22189802.826488558</v>
      </c>
      <c r="BU76" s="18">
        <f>IF(BW76&lt;&gt;1,"",IF(BT76-CONTROL_PANEL!$B$11&lt;0,0,BT76-CONTROL_PANEL!$B$11))</f>
        <v>0</v>
      </c>
      <c r="BV76" s="18">
        <f>IF(BW76&lt;&gt;1,"",IF(BS76&lt;=0,0,MIN(BS76,MAX(0,CONTROL_PANEL!$B$13-BT76))))</f>
        <v>0</v>
      </c>
      <c r="BW76" s="18">
        <v>1</v>
      </c>
      <c r="BY76" s="19">
        <f t="shared" si="34"/>
        <v>2021</v>
      </c>
      <c r="BZ76" s="19">
        <v>9</v>
      </c>
      <c r="CA76" s="18">
        <f t="shared" si="65"/>
        <v>30</v>
      </c>
      <c r="CB76" s="18">
        <f t="shared" si="74"/>
        <v>255.59250637533401</v>
      </c>
      <c r="CC76" s="18">
        <f>IF(CP75&lt;&gt;1,"",IF(CM75&gt;0,IF(CM75&gt;CONTROL_PANEL!$B$11,CONTROL_PANEL!$B$11,CM75),0))</f>
        <v>18553754.559288464</v>
      </c>
      <c r="CD76" s="18">
        <f t="shared" si="66"/>
        <v>2702986.3516049408</v>
      </c>
      <c r="CE76" s="18">
        <f>IF(CP76&lt;&gt;1,"",DATA_INPUT!$I76)</f>
        <v>4.8001926503700627E-5</v>
      </c>
      <c r="CF76" s="18">
        <f>IF(CP76&lt;&gt;1,"",CE76*CONTROL_PANEL!$B$5)</f>
        <v>4.5553828252011899</v>
      </c>
      <c r="CG76" s="18">
        <f>IF(CP76&lt;&gt;1,"",DATA_INPUT!$C76)</f>
        <v>59.995743343988003</v>
      </c>
      <c r="CH76" s="18">
        <f t="shared" si="67"/>
        <v>162167.67541319254</v>
      </c>
      <c r="CI76" s="18">
        <f>IF(CP76&lt;&gt;1,"",DATA_INPUT!$H76)</f>
        <v>94.279461869461926</v>
      </c>
      <c r="CJ76" s="18">
        <f t="shared" si="68"/>
        <v>254836.09866981403</v>
      </c>
      <c r="CK76" s="18">
        <f>IF(CP76&lt;&gt;1,"",CF76*CONTROL_PANEL!$B$14)</f>
        <v>0.31887679776408334</v>
      </c>
      <c r="CL76" s="18">
        <f>IF(CP76&lt;&gt;1,"",DATA_INPUT!$O76)</f>
        <v>525181.99835892243</v>
      </c>
      <c r="CM76" s="18">
        <f t="shared" si="69"/>
        <v>17935908.374178946</v>
      </c>
      <c r="CN76" s="18">
        <f>IF(CP76&lt;&gt;1,"",IF(CM76-CONTROL_PANEL!$B$11&lt;0,0,CM76-CONTROL_PANEL!$B$11))</f>
        <v>0</v>
      </c>
      <c r="CO76" s="18">
        <f>IF(CP76&lt;&gt;1,"",IF(CL76&lt;=0,0,MIN(CL76,MAX(0,CONTROL_PANEL!$B$13-CM76))))</f>
        <v>0</v>
      </c>
      <c r="CP76" s="18">
        <v>1</v>
      </c>
    </row>
    <row r="77" spans="1:94" x14ac:dyDescent="0.25">
      <c r="A77" s="19">
        <f t="shared" si="30"/>
        <v>2021</v>
      </c>
      <c r="B77" s="19">
        <v>10</v>
      </c>
      <c r="C77" s="18">
        <f t="shared" si="45"/>
        <v>31</v>
      </c>
      <c r="D77" s="18">
        <f t="shared" si="70"/>
        <v>256.51525774376108</v>
      </c>
      <c r="E77" s="18">
        <f>IF(R76&lt;&gt;1,"",IF(O76&gt;0,IF(O76&gt;CONTROL_PANEL!$B$11,CONTROL_PANEL!$B$11,O76),0))</f>
        <v>21179933.201598596</v>
      </c>
      <c r="F77" s="18">
        <f t="shared" si="46"/>
        <v>2953243.7101861341</v>
      </c>
      <c r="G77" s="18">
        <f>IF(R77&lt;&gt;1,"",DATA_INPUT!I77)</f>
        <v>6.5753664051581713E-6</v>
      </c>
      <c r="H77" s="18">
        <f>IF(R77&lt;&gt;1,"",G77*CONTROL_PANEL!$B$5)</f>
        <v>0.6240022718495104</v>
      </c>
      <c r="I77" s="18">
        <f>IF(R77&lt;&gt;1,"",DATA_INPUT!C77)</f>
        <v>77.644153299113341</v>
      </c>
      <c r="J77" s="18">
        <f t="shared" si="47"/>
        <v>229302.10736333445</v>
      </c>
      <c r="K77" s="18">
        <f>IF(R77&lt;&gt;1,"",DATA_INPUT!H77)</f>
        <v>61.324813559645079</v>
      </c>
      <c r="L77" s="18">
        <f t="shared" si="48"/>
        <v>181107.11992335919</v>
      </c>
      <c r="M77" s="18">
        <f>IF(R77&lt;&gt;1,"",H77*CONTROL_PANEL!$B$14)</f>
        <v>4.3680159029465732E-2</v>
      </c>
      <c r="N77" s="18">
        <f>IF(R77&lt;&gt;1,"",DATA_INPUT!K77)</f>
        <v>177204.504631166</v>
      </c>
      <c r="O77" s="18">
        <f t="shared" si="49"/>
        <v>21050924.264729518</v>
      </c>
      <c r="P77" s="18">
        <f>IF(R77&lt;&gt;1,"",IF(O77-CONTROL_PANEL!$B$11&lt;0,0,O77-CONTROL_PANEL!$B$11))</f>
        <v>0</v>
      </c>
      <c r="Q77" s="18">
        <f>IF(R77&lt;&gt;1,"",IF(N77&lt;=0,0,MIN(N77,MAX(0,CONTROL_PANEL!$B$13-O77))))</f>
        <v>0</v>
      </c>
      <c r="R77" s="18">
        <v>1</v>
      </c>
      <c r="T77" s="19">
        <f t="shared" si="31"/>
        <v>2021</v>
      </c>
      <c r="U77" s="19">
        <v>10</v>
      </c>
      <c r="V77" s="18">
        <f t="shared" si="50"/>
        <v>31</v>
      </c>
      <c r="W77" s="18">
        <f t="shared" si="71"/>
        <v>253.36159909514805</v>
      </c>
      <c r="X77" s="18">
        <f>IF(AK76&lt;&gt;1,"",IF(AH76&gt;0,IF(AH76&gt;CONTROL_PANEL!$B$11,CONTROL_PANEL!$B$11,AH76),0))</f>
        <v>13123198.808147404</v>
      </c>
      <c r="Y77" s="18">
        <f t="shared" si="51"/>
        <v>2144126.7844065679</v>
      </c>
      <c r="Z77" s="18">
        <f>IF(AK77&lt;&gt;1,"",DATA_INPUT!I77)</f>
        <v>6.5753664051581713E-6</v>
      </c>
      <c r="AA77" s="18">
        <f>IF(AK77&lt;&gt;1,"",Z77*CONTROL_PANEL!$B$5)</f>
        <v>0.6240022718495104</v>
      </c>
      <c r="AB77" s="18">
        <f>IF(AK77&lt;&gt;1,"",DATA_INPUT!$C77)</f>
        <v>77.644153299113341</v>
      </c>
      <c r="AC77" s="18">
        <f t="shared" si="52"/>
        <v>166478.90874119851</v>
      </c>
      <c r="AD77" s="18">
        <f>IF(AK77&lt;&gt;1,"",DATA_INPUT!$H77)</f>
        <v>61.324813559645079</v>
      </c>
      <c r="AE77" s="18">
        <f t="shared" si="53"/>
        <v>131488.17530197412</v>
      </c>
      <c r="AF77" s="18">
        <f>IF(AK77&lt;&gt;1,"",AA77*CONTROL_PANEL!$B$14)</f>
        <v>4.3680159029465732E-2</v>
      </c>
      <c r="AG77" s="18">
        <f>IF(AK77&lt;&gt;1,"",DATA_INPUT!$L77)</f>
        <v>226449.33711914186</v>
      </c>
      <c r="AH77" s="18">
        <f t="shared" si="54"/>
        <v>12931740.784789599</v>
      </c>
      <c r="AI77" s="18">
        <f>IF(AK77&lt;&gt;1,"",IF(AH77-CONTROL_PANEL!$B$11&lt;0,0,AH77-CONTROL_PANEL!$B$11))</f>
        <v>0</v>
      </c>
      <c r="AJ77" s="18">
        <f>IF(AK77&lt;&gt;1,"",IF(AG77&lt;=0,0,MIN(AG77,MAX(0,CONTROL_PANEL!$B$13-AH77))))</f>
        <v>0</v>
      </c>
      <c r="AK77" s="18">
        <v>1</v>
      </c>
      <c r="AM77" s="19">
        <f t="shared" si="32"/>
        <v>2021</v>
      </c>
      <c r="AN77" s="19">
        <v>10</v>
      </c>
      <c r="AO77" s="18">
        <f t="shared" si="55"/>
        <v>31</v>
      </c>
      <c r="AP77" s="18">
        <f t="shared" si="72"/>
        <v>255.60990243593503</v>
      </c>
      <c r="AQ77" s="18">
        <f>IF(BD76&lt;&gt;1,"",IF(BA76&gt;0,IF(BA76&gt;CONTROL_PANEL!$B$11,CONTROL_PANEL!$B$11,BA76),0))</f>
        <v>18601129.747874059</v>
      </c>
      <c r="AR77" s="18">
        <f t="shared" si="56"/>
        <v>2707600.8446466308</v>
      </c>
      <c r="AS77" s="18">
        <f>IF(BD77&lt;&gt;1,"",DATA_INPUT!$I77)</f>
        <v>6.5753664051581713E-6</v>
      </c>
      <c r="AT77" s="18">
        <f>IF(BD77&lt;&gt;1,"",AS77*CONTROL_PANEL!$B$5)</f>
        <v>0.6240022718495104</v>
      </c>
      <c r="AU77" s="18">
        <f>IF(BD77&lt;&gt;1,"",DATA_INPUT!$C77)</f>
        <v>77.644153299113341</v>
      </c>
      <c r="AV77" s="18">
        <f t="shared" si="57"/>
        <v>210229.37505455178</v>
      </c>
      <c r="AW77" s="18">
        <f>IF(BD77&lt;&gt;1,"",DATA_INPUT!$H77)</f>
        <v>61.324813559645079</v>
      </c>
      <c r="AX77" s="18">
        <f t="shared" si="58"/>
        <v>166043.1169918922</v>
      </c>
      <c r="AY77" s="18">
        <f>IF(BD77&lt;&gt;1,"",AT77*CONTROL_PANEL!$B$14)</f>
        <v>4.3680159029465732E-2</v>
      </c>
      <c r="AZ77" s="18">
        <f>IF(BD77&lt;&gt;1,"",DATA_INPUT!$M77)</f>
        <v>201327.94237999577</v>
      </c>
      <c r="BA77" s="18">
        <f t="shared" si="59"/>
        <v>18443988.643878836</v>
      </c>
      <c r="BB77" s="18">
        <f>IF(BD77&lt;&gt;1,"",IF(BA77-CONTROL_PANEL!$B$11&lt;0,0,BA77-CONTROL_PANEL!$B$11))</f>
        <v>0</v>
      </c>
      <c r="BC77" s="18">
        <f>IF(BD77&lt;&gt;1,"",IF(AZ77&lt;=0,0,MIN(AZ77,MAX(0,CONTROL_PANEL!$B$13-BA77))))</f>
        <v>0</v>
      </c>
      <c r="BD77" s="18">
        <v>1</v>
      </c>
      <c r="BF77" s="19">
        <f t="shared" si="33"/>
        <v>2021</v>
      </c>
      <c r="BG77" s="19">
        <v>10</v>
      </c>
      <c r="BH77" s="18">
        <f t="shared" si="60"/>
        <v>31</v>
      </c>
      <c r="BI77" s="18">
        <f t="shared" si="73"/>
        <v>256.84966839316473</v>
      </c>
      <c r="BJ77" s="18">
        <f>IF(BW76&lt;&gt;1,"",IF(BT76&gt;0,IF(BT76&gt;CONTROL_PANEL!$B$11,CONTROL_PANEL!$B$11,BT76),0))</f>
        <v>22189802.826488558</v>
      </c>
      <c r="BK77" s="18">
        <f t="shared" si="61"/>
        <v>3046701.0886211339</v>
      </c>
      <c r="BL77" s="18">
        <f>IF(BW77&lt;&gt;1,"",DATA_INPUT!$I77)</f>
        <v>6.5753664051581713E-6</v>
      </c>
      <c r="BM77" s="18">
        <f>IF(BW77&lt;&gt;1,"",BL77*CONTROL_PANEL!$B$5)</f>
        <v>0.6240022718495104</v>
      </c>
      <c r="BN77" s="18">
        <f>IF(BW77&lt;&gt;1,"",DATA_INPUT!$C77)</f>
        <v>77.644153299113341</v>
      </c>
      <c r="BO77" s="18">
        <f t="shared" si="62"/>
        <v>236558.52638147483</v>
      </c>
      <c r="BP77" s="18">
        <f>IF(BW77&lt;&gt;1,"",DATA_INPUT!$H77)</f>
        <v>61.324813559645079</v>
      </c>
      <c r="BQ77" s="18">
        <f t="shared" si="63"/>
        <v>186838.37623165874</v>
      </c>
      <c r="BR77" s="18">
        <f>IF(BW77&lt;&gt;1,"",BM77*CONTROL_PANEL!$B$14)</f>
        <v>4.3680159029465732E-2</v>
      </c>
      <c r="BS77" s="18">
        <f>IF(BW77&lt;&gt;1,"",DATA_INPUT!$N77)</f>
        <v>186531.0575064905</v>
      </c>
      <c r="BT77" s="18">
        <f t="shared" si="64"/>
        <v>22052992.499453995</v>
      </c>
      <c r="BU77" s="18">
        <f>IF(BW77&lt;&gt;1,"",IF(BT77-CONTROL_PANEL!$B$11&lt;0,0,BT77-CONTROL_PANEL!$B$11))</f>
        <v>0</v>
      </c>
      <c r="BV77" s="18">
        <f>IF(BW77&lt;&gt;1,"",IF(BS77&lt;=0,0,MIN(BS77,MAX(0,CONTROL_PANEL!$B$13-BT77))))</f>
        <v>0</v>
      </c>
      <c r="BW77" s="18">
        <v>1</v>
      </c>
      <c r="BY77" s="19">
        <f t="shared" si="34"/>
        <v>2021</v>
      </c>
      <c r="BZ77" s="19">
        <v>10</v>
      </c>
      <c r="CA77" s="18">
        <f t="shared" si="65"/>
        <v>31</v>
      </c>
      <c r="CB77" s="18">
        <f t="shared" si="74"/>
        <v>255.36286433685657</v>
      </c>
      <c r="CC77" s="18">
        <f>IF(CP76&lt;&gt;1,"",IF(CM76&gt;0,IF(CM76&gt;CONTROL_PANEL!$B$11,CONTROL_PANEL!$B$11,CM76),0))</f>
        <v>17935908.374178946</v>
      </c>
      <c r="CD77" s="18">
        <f t="shared" si="66"/>
        <v>2642443.824818179</v>
      </c>
      <c r="CE77" s="18">
        <f>IF(CP77&lt;&gt;1,"",DATA_INPUT!$I77)</f>
        <v>6.5753664051581713E-6</v>
      </c>
      <c r="CF77" s="18">
        <f>IF(CP77&lt;&gt;1,"",CE77*CONTROL_PANEL!$B$5)</f>
        <v>0.6240022718495104</v>
      </c>
      <c r="CG77" s="18">
        <f>IF(CP77&lt;&gt;1,"",DATA_INPUT!$C77)</f>
        <v>77.644153299113341</v>
      </c>
      <c r="CH77" s="18">
        <f t="shared" si="67"/>
        <v>205170.31341847809</v>
      </c>
      <c r="CI77" s="18">
        <f>IF(CP77&lt;&gt;1,"",DATA_INPUT!$H77)</f>
        <v>61.324813559645079</v>
      </c>
      <c r="CJ77" s="18">
        <f t="shared" si="68"/>
        <v>162047.37489881026</v>
      </c>
      <c r="CK77" s="18">
        <f>IF(CP77&lt;&gt;1,"",CF77*CONTROL_PANEL!$B$14)</f>
        <v>4.3680159029465732E-2</v>
      </c>
      <c r="CL77" s="18">
        <f>IF(CP77&lt;&gt;1,"",DATA_INPUT!$O77)</f>
        <v>215126.87026318477</v>
      </c>
      <c r="CM77" s="18">
        <f t="shared" si="69"/>
        <v>17763905.022757541</v>
      </c>
      <c r="CN77" s="18">
        <f>IF(CP77&lt;&gt;1,"",IF(CM77-CONTROL_PANEL!$B$11&lt;0,0,CM77-CONTROL_PANEL!$B$11))</f>
        <v>0</v>
      </c>
      <c r="CO77" s="18">
        <f>IF(CP77&lt;&gt;1,"",IF(CL77&lt;=0,0,MIN(CL77,MAX(0,CONTROL_PANEL!$B$13-CM77))))</f>
        <v>0</v>
      </c>
      <c r="CP77" s="18">
        <v>1</v>
      </c>
    </row>
    <row r="78" spans="1:94" x14ac:dyDescent="0.25">
      <c r="A78" s="19">
        <f t="shared" si="30"/>
        <v>2021</v>
      </c>
      <c r="B78" s="19">
        <v>11</v>
      </c>
      <c r="C78" s="18">
        <f t="shared" si="45"/>
        <v>30</v>
      </c>
      <c r="D78" s="18">
        <f t="shared" si="70"/>
        <v>256.47177453143468</v>
      </c>
      <c r="E78" s="18">
        <f>IF(R77&lt;&gt;1,"",IF(O77&gt;0,IF(O77&gt;CONTROL_PANEL!$B$11,CONTROL_PANEL!$B$11,O77),0))</f>
        <v>21050924.264729518</v>
      </c>
      <c r="F78" s="18">
        <f t="shared" si="46"/>
        <v>2941199.5129574789</v>
      </c>
      <c r="G78" s="18">
        <f>IF(R78&lt;&gt;1,"",DATA_INPUT!I78)</f>
        <v>9.8067139304407968E-7</v>
      </c>
      <c r="H78" s="18">
        <f>IF(R78&lt;&gt;1,"",G78*CONTROL_PANEL!$B$5)</f>
        <v>9.3065715199883159E-2</v>
      </c>
      <c r="I78" s="18">
        <f>IF(R78&lt;&gt;1,"",DATA_INPUT!C78)</f>
        <v>19.915817338730932</v>
      </c>
      <c r="J78" s="18">
        <f t="shared" si="47"/>
        <v>58576.392256825529</v>
      </c>
      <c r="K78" s="18">
        <f>IF(R78&lt;&gt;1,"",DATA_INPUT!H78)</f>
        <v>31.436697714151016</v>
      </c>
      <c r="L78" s="18">
        <f t="shared" si="48"/>
        <v>92461.600005852466</v>
      </c>
      <c r="M78" s="18">
        <f>IF(R78&lt;&gt;1,"",H78*CONTROL_PANEL!$B$14)</f>
        <v>6.514600063991822E-3</v>
      </c>
      <c r="N78" s="18">
        <f>IF(R78&lt;&gt;1,"",DATA_INPUT!K78)</f>
        <v>0</v>
      </c>
      <c r="O78" s="18">
        <f t="shared" si="49"/>
        <v>21017039.143531609</v>
      </c>
      <c r="P78" s="18">
        <f>IF(R78&lt;&gt;1,"",IF(O78-CONTROL_PANEL!$B$11&lt;0,0,O78-CONTROL_PANEL!$B$11))</f>
        <v>0</v>
      </c>
      <c r="Q78" s="18">
        <f>IF(R78&lt;&gt;1,"",IF(N78&lt;=0,0,MIN(N78,MAX(0,CONTROL_PANEL!$B$13-O78))))</f>
        <v>0</v>
      </c>
      <c r="R78" s="18">
        <v>1</v>
      </c>
      <c r="T78" s="19">
        <f t="shared" si="31"/>
        <v>2021</v>
      </c>
      <c r="U78" s="19">
        <v>11</v>
      </c>
      <c r="V78" s="18">
        <f t="shared" si="50"/>
        <v>30</v>
      </c>
      <c r="W78" s="18">
        <f t="shared" si="71"/>
        <v>253.2724599308728</v>
      </c>
      <c r="X78" s="18">
        <f>IF(AK77&lt;&gt;1,"",IF(AH77&gt;0,IF(AH77&gt;CONTROL_PANEL!$B$11,CONTROL_PANEL!$B$11,AH77),0))</f>
        <v>12931740.784789599</v>
      </c>
      <c r="Y78" s="18">
        <f t="shared" si="51"/>
        <v>2123152.6844845442</v>
      </c>
      <c r="Z78" s="18">
        <f>IF(AK78&lt;&gt;1,"",DATA_INPUT!I78)</f>
        <v>9.8067139304407968E-7</v>
      </c>
      <c r="AA78" s="18">
        <f>IF(AK78&lt;&gt;1,"",Z78*CONTROL_PANEL!$B$5)</f>
        <v>9.3065715199883159E-2</v>
      </c>
      <c r="AB78" s="18">
        <f>IF(AK78&lt;&gt;1,"",DATA_INPUT!$C78)</f>
        <v>19.915817338730932</v>
      </c>
      <c r="AC78" s="18">
        <f t="shared" si="52"/>
        <v>42284.321046430407</v>
      </c>
      <c r="AD78" s="18">
        <f>IF(AK78&lt;&gt;1,"",DATA_INPUT!$H78)</f>
        <v>31.436697714151016</v>
      </c>
      <c r="AE78" s="18">
        <f t="shared" si="53"/>
        <v>66744.909143128869</v>
      </c>
      <c r="AF78" s="18">
        <f>IF(AK78&lt;&gt;1,"",AA78*CONTROL_PANEL!$B$14)</f>
        <v>6.514600063991822E-3</v>
      </c>
      <c r="AG78" s="18">
        <f>IF(AK78&lt;&gt;1,"",DATA_INPUT!$L78)</f>
        <v>0</v>
      </c>
      <c r="AH78" s="18">
        <f t="shared" si="54"/>
        <v>12907280.283244016</v>
      </c>
      <c r="AI78" s="18">
        <f>IF(AK78&lt;&gt;1,"",IF(AH78-CONTROL_PANEL!$B$11&lt;0,0,AH78-CONTROL_PANEL!$B$11))</f>
        <v>0</v>
      </c>
      <c r="AJ78" s="18">
        <f>IF(AK78&lt;&gt;1,"",IF(AG78&lt;=0,0,MIN(AG78,MAX(0,CONTROL_PANEL!$B$13-AH78))))</f>
        <v>0</v>
      </c>
      <c r="AK78" s="18">
        <v>1</v>
      </c>
      <c r="AM78" s="19">
        <f t="shared" si="32"/>
        <v>2021</v>
      </c>
      <c r="AN78" s="19">
        <v>11</v>
      </c>
      <c r="AO78" s="18">
        <f t="shared" si="55"/>
        <v>30</v>
      </c>
      <c r="AP78" s="18">
        <f t="shared" si="72"/>
        <v>255.55208610380114</v>
      </c>
      <c r="AQ78" s="18">
        <f>IF(BD77&lt;&gt;1,"",IF(BA77&gt;0,IF(BA77&gt;CONTROL_PANEL!$B$11,CONTROL_PANEL!$B$11,BA77),0))</f>
        <v>18443988.643878836</v>
      </c>
      <c r="AR78" s="18">
        <f t="shared" si="56"/>
        <v>2692279.7837735182</v>
      </c>
      <c r="AS78" s="18">
        <f>IF(BD78&lt;&gt;1,"",DATA_INPUT!$I78)</f>
        <v>9.8067139304407968E-7</v>
      </c>
      <c r="AT78" s="18">
        <f>IF(BD78&lt;&gt;1,"",AS78*CONTROL_PANEL!$B$5)</f>
        <v>9.3065715199883159E-2</v>
      </c>
      <c r="AU78" s="18">
        <f>IF(BD78&lt;&gt;1,"",DATA_INPUT!$C78)</f>
        <v>19.915817338730932</v>
      </c>
      <c r="AV78" s="18">
        <f t="shared" si="57"/>
        <v>53618.952398391397</v>
      </c>
      <c r="AW78" s="18">
        <f>IF(BD78&lt;&gt;1,"",DATA_INPUT!$H78)</f>
        <v>31.436697714151016</v>
      </c>
      <c r="AX78" s="18">
        <f t="shared" si="58"/>
        <v>84636.385724407955</v>
      </c>
      <c r="AY78" s="18">
        <f>IF(BD78&lt;&gt;1,"",AT78*CONTROL_PANEL!$B$14)</f>
        <v>6.514600063991822E-3</v>
      </c>
      <c r="AZ78" s="18">
        <f>IF(BD78&lt;&gt;1,"",DATA_INPUT!$M78)</f>
        <v>0</v>
      </c>
      <c r="BA78" s="18">
        <f t="shared" si="59"/>
        <v>18412971.297103934</v>
      </c>
      <c r="BB78" s="18">
        <f>IF(BD78&lt;&gt;1,"",IF(BA78-CONTROL_PANEL!$B$11&lt;0,0,BA78-CONTROL_PANEL!$B$11))</f>
        <v>0</v>
      </c>
      <c r="BC78" s="18">
        <f>IF(BD78&lt;&gt;1,"",IF(AZ78&lt;=0,0,MIN(AZ78,MAX(0,CONTROL_PANEL!$B$13-BA78))))</f>
        <v>0</v>
      </c>
      <c r="BD78" s="18">
        <v>1</v>
      </c>
      <c r="BF78" s="19">
        <f t="shared" si="33"/>
        <v>2021</v>
      </c>
      <c r="BG78" s="19">
        <v>11</v>
      </c>
      <c r="BH78" s="18">
        <f t="shared" si="60"/>
        <v>30</v>
      </c>
      <c r="BI78" s="18">
        <f t="shared" si="73"/>
        <v>256.80496906477435</v>
      </c>
      <c r="BJ78" s="18">
        <f>IF(BW77&lt;&gt;1,"",IF(BT77&gt;0,IF(BT77&gt;CONTROL_PANEL!$B$11,CONTROL_PANEL!$B$11,BT77),0))</f>
        <v>22052992.499453995</v>
      </c>
      <c r="BK78" s="18">
        <f t="shared" si="61"/>
        <v>3034123.887166664</v>
      </c>
      <c r="BL78" s="18">
        <f>IF(BW78&lt;&gt;1,"",DATA_INPUT!$I78)</f>
        <v>9.8067139304407968E-7</v>
      </c>
      <c r="BM78" s="18">
        <f>IF(BW78&lt;&gt;1,"",BL78*CONTROL_PANEL!$B$5)</f>
        <v>9.3065715199883159E-2</v>
      </c>
      <c r="BN78" s="18">
        <f>IF(BW78&lt;&gt;1,"",DATA_INPUT!$C78)</f>
        <v>19.915817338730932</v>
      </c>
      <c r="BO78" s="18">
        <f t="shared" si="62"/>
        <v>60427.057119891542</v>
      </c>
      <c r="BP78" s="18">
        <f>IF(BW78&lt;&gt;1,"",DATA_INPUT!$H78)</f>
        <v>31.436697714151016</v>
      </c>
      <c r="BQ78" s="18">
        <f t="shared" si="63"/>
        <v>95382.835468143268</v>
      </c>
      <c r="BR78" s="18">
        <f>IF(BW78&lt;&gt;1,"",BM78*CONTROL_PANEL!$B$14)</f>
        <v>6.514600063991822E-3</v>
      </c>
      <c r="BS78" s="18">
        <f>IF(BW78&lt;&gt;1,"",DATA_INPUT!$N78)</f>
        <v>0</v>
      </c>
      <c r="BT78" s="18">
        <f t="shared" si="64"/>
        <v>22018036.807656858</v>
      </c>
      <c r="BU78" s="18">
        <f>IF(BW78&lt;&gt;1,"",IF(BT78-CONTROL_PANEL!$B$11&lt;0,0,BT78-CONTROL_PANEL!$B$11))</f>
        <v>0</v>
      </c>
      <c r="BV78" s="18">
        <f>IF(BW78&lt;&gt;1,"",IF(BS78&lt;=0,0,MIN(BS78,MAX(0,CONTROL_PANEL!$B$13-BT78))))</f>
        <v>0</v>
      </c>
      <c r="BW78" s="18">
        <v>1</v>
      </c>
      <c r="BY78" s="19">
        <f t="shared" si="34"/>
        <v>2021</v>
      </c>
      <c r="BZ78" s="19">
        <v>11</v>
      </c>
      <c r="CA78" s="18">
        <f t="shared" si="65"/>
        <v>30</v>
      </c>
      <c r="CB78" s="18">
        <f t="shared" si="74"/>
        <v>255.29799438756231</v>
      </c>
      <c r="CC78" s="18">
        <f>IF(CP77&lt;&gt;1,"",IF(CM77&gt;0,IF(CM77&gt;CONTROL_PANEL!$B$11,CONTROL_PANEL!$B$11,CM77),0))</f>
        <v>17763905.022757541</v>
      </c>
      <c r="CD78" s="18">
        <f t="shared" si="66"/>
        <v>2625467.0314091458</v>
      </c>
      <c r="CE78" s="18">
        <f>IF(CP78&lt;&gt;1,"",DATA_INPUT!$I78)</f>
        <v>9.8067139304407968E-7</v>
      </c>
      <c r="CF78" s="18">
        <f>IF(CP78&lt;&gt;1,"",CE78*CONTROL_PANEL!$B$5)</f>
        <v>9.3065715199883159E-2</v>
      </c>
      <c r="CG78" s="18">
        <f>IF(CP78&lt;&gt;1,"",DATA_INPUT!$C78)</f>
        <v>19.915817338730932</v>
      </c>
      <c r="CH78" s="18">
        <f t="shared" si="67"/>
        <v>52288.321826404688</v>
      </c>
      <c r="CI78" s="18">
        <f>IF(CP78&lt;&gt;1,"",DATA_INPUT!$H78)</f>
        <v>31.436697714151016</v>
      </c>
      <c r="CJ78" s="18">
        <f t="shared" si="68"/>
        <v>82536.013424878751</v>
      </c>
      <c r="CK78" s="18">
        <f>IF(CP78&lt;&gt;1,"",CF78*CONTROL_PANEL!$B$14)</f>
        <v>6.514600063991822E-3</v>
      </c>
      <c r="CL78" s="18">
        <f>IF(CP78&lt;&gt;1,"",DATA_INPUT!$O78)</f>
        <v>0</v>
      </c>
      <c r="CM78" s="18">
        <f t="shared" si="69"/>
        <v>17733657.417710185</v>
      </c>
      <c r="CN78" s="18">
        <f>IF(CP78&lt;&gt;1,"",IF(CM78-CONTROL_PANEL!$B$11&lt;0,0,CM78-CONTROL_PANEL!$B$11))</f>
        <v>0</v>
      </c>
      <c r="CO78" s="18">
        <f>IF(CP78&lt;&gt;1,"",IF(CL78&lt;=0,0,MIN(CL78,MAX(0,CONTROL_PANEL!$B$13-CM78))))</f>
        <v>0</v>
      </c>
      <c r="CP78" s="18">
        <v>1</v>
      </c>
    </row>
    <row r="79" spans="1:94" x14ac:dyDescent="0.25">
      <c r="A79" s="19">
        <f t="shared" si="30"/>
        <v>2021</v>
      </c>
      <c r="B79" s="19">
        <v>12</v>
      </c>
      <c r="C79" s="18">
        <f t="shared" si="45"/>
        <v>31</v>
      </c>
      <c r="D79" s="18">
        <f t="shared" si="70"/>
        <v>256.46032381099025</v>
      </c>
      <c r="E79" s="18">
        <f>IF(R78&lt;&gt;1,"",IF(O78&gt;0,IF(O78&gt;CONTROL_PANEL!$B$11,CONTROL_PANEL!$B$11,O78),0))</f>
        <v>21017039.143531609</v>
      </c>
      <c r="F79" s="18">
        <f t="shared" si="46"/>
        <v>2938031.9694106891</v>
      </c>
      <c r="G79" s="18">
        <f>IF(R79&lt;&gt;1,"",DATA_INPUT!I79)</f>
        <v>1.3577056901358252E-7</v>
      </c>
      <c r="H79" s="18">
        <f>IF(R79&lt;&gt;1,"",G79*CONTROL_PANEL!$B$5)</f>
        <v>1.2884626999388981E-2</v>
      </c>
      <c r="I79" s="18">
        <f>IF(R79&lt;&gt;1,"",DATA_INPUT!C79)</f>
        <v>72.319447891825988</v>
      </c>
      <c r="J79" s="18">
        <f t="shared" si="47"/>
        <v>212476.8499163152</v>
      </c>
      <c r="K79" s="18">
        <f>IF(R79&lt;&gt;1,"",DATA_INPUT!H79)</f>
        <v>21.61073534902313</v>
      </c>
      <c r="L79" s="18">
        <f t="shared" si="48"/>
        <v>63493.031337903623</v>
      </c>
      <c r="M79" s="18">
        <f>IF(R79&lt;&gt;1,"",H79*CONTROL_PANEL!$B$14)</f>
        <v>9.0192388995722879E-4</v>
      </c>
      <c r="N79" s="18">
        <f>IF(R79&lt;&gt;1,"",DATA_INPUT!K79)</f>
        <v>0</v>
      </c>
      <c r="O79" s="18">
        <f t="shared" si="49"/>
        <v>21166022.974092726</v>
      </c>
      <c r="P79" s="18">
        <f>IF(R79&lt;&gt;1,"",IF(O79-CONTROL_PANEL!$B$11&lt;0,0,O79-CONTROL_PANEL!$B$11))</f>
        <v>0</v>
      </c>
      <c r="Q79" s="18">
        <f>IF(R79&lt;&gt;1,"",IF(N79&lt;=0,0,MIN(N79,MAX(0,CONTROL_PANEL!$B$13-O79))))</f>
        <v>0</v>
      </c>
      <c r="R79" s="18">
        <v>1</v>
      </c>
      <c r="T79" s="19">
        <f t="shared" si="31"/>
        <v>2021</v>
      </c>
      <c r="U79" s="19">
        <v>12</v>
      </c>
      <c r="V79" s="18">
        <f t="shared" si="50"/>
        <v>31</v>
      </c>
      <c r="W79" s="18">
        <f t="shared" si="71"/>
        <v>253.26100814087516</v>
      </c>
      <c r="X79" s="18">
        <f>IF(AK78&lt;&gt;1,"",IF(AH78&gt;0,IF(AH78&gt;CONTROL_PANEL!$B$11,CONTROL_PANEL!$B$11,AH78),0))</f>
        <v>12907280.283244016</v>
      </c>
      <c r="Y79" s="18">
        <f t="shared" si="51"/>
        <v>2120465.6693108659</v>
      </c>
      <c r="Z79" s="18">
        <f>IF(AK79&lt;&gt;1,"",DATA_INPUT!I79)</f>
        <v>1.3577056901358252E-7</v>
      </c>
      <c r="AA79" s="18">
        <f>IF(AK79&lt;&gt;1,"",Z79*CONTROL_PANEL!$B$5)</f>
        <v>1.2884626999388981E-2</v>
      </c>
      <c r="AB79" s="18">
        <f>IF(AK79&lt;&gt;1,"",DATA_INPUT!$C79)</f>
        <v>72.319447891825988</v>
      </c>
      <c r="AC79" s="18">
        <f t="shared" si="52"/>
        <v>153350.90647813308</v>
      </c>
      <c r="AD79" s="18">
        <f>IF(AK79&lt;&gt;1,"",DATA_INPUT!$H79)</f>
        <v>21.61073534902313</v>
      </c>
      <c r="AE79" s="18">
        <f t="shared" si="53"/>
        <v>45824.822396166324</v>
      </c>
      <c r="AF79" s="18">
        <f>IF(AK79&lt;&gt;1,"",AA79*CONTROL_PANEL!$B$14)</f>
        <v>9.0192388995722879E-4</v>
      </c>
      <c r="AG79" s="18">
        <f>IF(AK79&lt;&gt;1,"",DATA_INPUT!$L79)</f>
        <v>0</v>
      </c>
      <c r="AH79" s="18">
        <f t="shared" si="54"/>
        <v>13014806.379308684</v>
      </c>
      <c r="AI79" s="18">
        <f>IF(AK79&lt;&gt;1,"",IF(AH79-CONTROL_PANEL!$B$11&lt;0,0,AH79-CONTROL_PANEL!$B$11))</f>
        <v>0</v>
      </c>
      <c r="AJ79" s="18">
        <f>IF(AK79&lt;&gt;1,"",IF(AG79&lt;=0,0,MIN(AG79,MAX(0,CONTROL_PANEL!$B$13-AH79))))</f>
        <v>0</v>
      </c>
      <c r="AK79" s="18">
        <v>1</v>
      </c>
      <c r="AM79" s="19">
        <f t="shared" si="32"/>
        <v>2021</v>
      </c>
      <c r="AN79" s="19">
        <v>12</v>
      </c>
      <c r="AO79" s="18">
        <f t="shared" si="55"/>
        <v>31</v>
      </c>
      <c r="AP79" s="18">
        <f t="shared" si="72"/>
        <v>255.54063510985736</v>
      </c>
      <c r="AQ79" s="18">
        <f>IF(BD78&lt;&gt;1,"",IF(BA78&gt;0,IF(BA78&gt;CONTROL_PANEL!$B$11,CONTROL_PANEL!$B$11,BA78),0))</f>
        <v>18412971.297103934</v>
      </c>
      <c r="AR79" s="18">
        <f t="shared" si="56"/>
        <v>2689250.531732731</v>
      </c>
      <c r="AS79" s="18">
        <f>IF(BD79&lt;&gt;1,"",DATA_INPUT!$I79)</f>
        <v>1.3577056901358252E-7</v>
      </c>
      <c r="AT79" s="18">
        <f>IF(BD79&lt;&gt;1,"",AS79*CONTROL_PANEL!$B$5)</f>
        <v>1.2884626999388981E-2</v>
      </c>
      <c r="AU79" s="18">
        <f>IF(BD79&lt;&gt;1,"",DATA_INPUT!$C79)</f>
        <v>72.319447891825988</v>
      </c>
      <c r="AV79" s="18">
        <f t="shared" si="57"/>
        <v>194485.11369771056</v>
      </c>
      <c r="AW79" s="18">
        <f>IF(BD79&lt;&gt;1,"",DATA_INPUT!$H79)</f>
        <v>21.61073534902313</v>
      </c>
      <c r="AX79" s="18">
        <f t="shared" si="58"/>
        <v>58116.681528495785</v>
      </c>
      <c r="AY79" s="18">
        <f>IF(BD79&lt;&gt;1,"",AT79*CONTROL_PANEL!$B$14)</f>
        <v>9.0192388995722879E-4</v>
      </c>
      <c r="AZ79" s="18">
        <f>IF(BD79&lt;&gt;1,"",DATA_INPUT!$M79)</f>
        <v>0</v>
      </c>
      <c r="BA79" s="18">
        <f t="shared" si="59"/>
        <v>18549339.741255853</v>
      </c>
      <c r="BB79" s="18">
        <f>IF(BD79&lt;&gt;1,"",IF(BA79-CONTROL_PANEL!$B$11&lt;0,0,BA79-CONTROL_PANEL!$B$11))</f>
        <v>0</v>
      </c>
      <c r="BC79" s="18">
        <f>IF(BD79&lt;&gt;1,"",IF(AZ79&lt;=0,0,MIN(AZ79,MAX(0,CONTROL_PANEL!$B$13-BA79))))</f>
        <v>0</v>
      </c>
      <c r="BD79" s="18">
        <v>1</v>
      </c>
      <c r="BF79" s="19">
        <f t="shared" si="33"/>
        <v>2021</v>
      </c>
      <c r="BG79" s="19">
        <v>12</v>
      </c>
      <c r="BH79" s="18">
        <f t="shared" si="60"/>
        <v>31</v>
      </c>
      <c r="BI79" s="18">
        <f t="shared" si="73"/>
        <v>256.79351843774549</v>
      </c>
      <c r="BJ79" s="18">
        <f>IF(BW78&lt;&gt;1,"",IF(BT78&gt;0,IF(BT78&gt;CONTROL_PANEL!$B$11,CONTROL_PANEL!$B$11,BT78),0))</f>
        <v>22018036.807656858</v>
      </c>
      <c r="BK79" s="18">
        <f t="shared" si="61"/>
        <v>3030906.2123978892</v>
      </c>
      <c r="BL79" s="18">
        <f>IF(BW79&lt;&gt;1,"",DATA_INPUT!$I79)</f>
        <v>1.3577056901358252E-7</v>
      </c>
      <c r="BM79" s="18">
        <f>IF(BW79&lt;&gt;1,"",BL79*CONTROL_PANEL!$B$5)</f>
        <v>1.2884626999388981E-2</v>
      </c>
      <c r="BN79" s="18">
        <f>IF(BW79&lt;&gt;1,"",DATA_INPUT!$C79)</f>
        <v>72.319447891825988</v>
      </c>
      <c r="BO79" s="18">
        <f t="shared" si="62"/>
        <v>219193.46389252081</v>
      </c>
      <c r="BP79" s="18">
        <f>IF(BW79&lt;&gt;1,"",DATA_INPUT!$H79)</f>
        <v>21.61073534902313</v>
      </c>
      <c r="BQ79" s="18">
        <f t="shared" si="63"/>
        <v>65500.112023840877</v>
      </c>
      <c r="BR79" s="18">
        <f>IF(BW79&lt;&gt;1,"",BM79*CONTROL_PANEL!$B$14)</f>
        <v>9.0192388995722879E-4</v>
      </c>
      <c r="BS79" s="18">
        <f>IF(BW79&lt;&gt;1,"",DATA_INPUT!$N79)</f>
        <v>0</v>
      </c>
      <c r="BT79" s="18">
        <f t="shared" si="64"/>
        <v>22171730.171508241</v>
      </c>
      <c r="BU79" s="18">
        <f>IF(BW79&lt;&gt;1,"",IF(BT79-CONTROL_PANEL!$B$11&lt;0,0,BT79-CONTROL_PANEL!$B$11))</f>
        <v>0</v>
      </c>
      <c r="BV79" s="18">
        <f>IF(BW79&lt;&gt;1,"",IF(BS79&lt;=0,0,MIN(BS79,MAX(0,CONTROL_PANEL!$B$13-BT79))))</f>
        <v>0</v>
      </c>
      <c r="BW79" s="18">
        <v>1</v>
      </c>
      <c r="BY79" s="19">
        <f t="shared" si="34"/>
        <v>2021</v>
      </c>
      <c r="BZ79" s="19">
        <v>12</v>
      </c>
      <c r="CA79" s="18">
        <f t="shared" si="65"/>
        <v>31</v>
      </c>
      <c r="CB79" s="18">
        <f t="shared" si="74"/>
        <v>255.28654331370512</v>
      </c>
      <c r="CC79" s="18">
        <f>IF(CP78&lt;&gt;1,"",IF(CM78&gt;0,IF(CM78&gt;CONTROL_PANEL!$B$11,CONTROL_PANEL!$B$11,CM78),0))</f>
        <v>17733657.417710185</v>
      </c>
      <c r="CD79" s="18">
        <f t="shared" si="66"/>
        <v>2622475.9650003612</v>
      </c>
      <c r="CE79" s="18">
        <f>IF(CP79&lt;&gt;1,"",DATA_INPUT!$I79)</f>
        <v>1.3577056901358252E-7</v>
      </c>
      <c r="CF79" s="18">
        <f>IF(CP79&lt;&gt;1,"",CE79*CONTROL_PANEL!$B$5)</f>
        <v>1.2884626999388981E-2</v>
      </c>
      <c r="CG79" s="18">
        <f>IF(CP79&lt;&gt;1,"",DATA_INPUT!$C79)</f>
        <v>72.319447891825988</v>
      </c>
      <c r="CH79" s="18">
        <f t="shared" si="67"/>
        <v>189656.0138984097</v>
      </c>
      <c r="CI79" s="18">
        <f>IF(CP79&lt;&gt;1,"",DATA_INPUT!$H79)</f>
        <v>21.61073534902313</v>
      </c>
      <c r="CJ79" s="18">
        <f t="shared" si="68"/>
        <v>56673.634038796852</v>
      </c>
      <c r="CK79" s="18">
        <f>IF(CP79&lt;&gt;1,"",CF79*CONTROL_PANEL!$B$14)</f>
        <v>9.0192388995722879E-4</v>
      </c>
      <c r="CL79" s="18">
        <f>IF(CP79&lt;&gt;1,"",DATA_INPUT!$O79)</f>
        <v>0</v>
      </c>
      <c r="CM79" s="18">
        <f t="shared" si="69"/>
        <v>17866639.809552502</v>
      </c>
      <c r="CN79" s="18">
        <f>IF(CP79&lt;&gt;1,"",IF(CM79-CONTROL_PANEL!$B$11&lt;0,0,CM79-CONTROL_PANEL!$B$11))</f>
        <v>0</v>
      </c>
      <c r="CO79" s="18">
        <f>IF(CP79&lt;&gt;1,"",IF(CL79&lt;=0,0,MIN(CL79,MAX(0,CONTROL_PANEL!$B$13-CM79))))</f>
        <v>0</v>
      </c>
      <c r="CP79" s="18">
        <v>1</v>
      </c>
    </row>
    <row r="80" spans="1:94" x14ac:dyDescent="0.25">
      <c r="A80" s="19">
        <f t="shared" si="30"/>
        <v>2022</v>
      </c>
      <c r="B80" s="19">
        <v>1</v>
      </c>
      <c r="C80" s="18">
        <f t="shared" si="45"/>
        <v>31</v>
      </c>
      <c r="D80" s="18">
        <f t="shared" si="70"/>
        <v>256.5105777564803</v>
      </c>
      <c r="E80" s="18">
        <f>IF(R79&lt;&gt;1,"",IF(O79&gt;0,IF(O79&gt;CONTROL_PANEL!$B$11,CONTROL_PANEL!$B$11,O79),0))</f>
        <v>21166022.974092726</v>
      </c>
      <c r="F80" s="18">
        <f t="shared" si="46"/>
        <v>2951946.2304144069</v>
      </c>
      <c r="G80" s="18">
        <f>IF(R80&lt;&gt;1,"",DATA_INPUT!I80)</f>
        <v>1.8159985344760839E-8</v>
      </c>
      <c r="H80" s="18">
        <f>IF(R80&lt;&gt;1,"",G80*CONTROL_PANEL!$B$5)</f>
        <v>1.7233826092178037E-3</v>
      </c>
      <c r="I80" s="18">
        <f>IF(R80&lt;&gt;1,"",DATA_INPUT!C80)</f>
        <v>5.049750002311332</v>
      </c>
      <c r="J80" s="18">
        <f t="shared" si="47"/>
        <v>14906.590483858079</v>
      </c>
      <c r="K80" s="18">
        <f>IF(R80&lt;&gt;1,"",DATA_INPUT!H80)</f>
        <v>25.836644040036226</v>
      </c>
      <c r="L80" s="18">
        <f t="shared" si="48"/>
        <v>76268.383980543789</v>
      </c>
      <c r="M80" s="18">
        <f>IF(R80&lt;&gt;1,"",H80*CONTROL_PANEL!$B$14)</f>
        <v>1.2063678264524627E-4</v>
      </c>
      <c r="N80" s="18">
        <f>IF(R80&lt;&gt;1,"",DATA_INPUT!K80)</f>
        <v>0</v>
      </c>
      <c r="O80" s="18">
        <f t="shared" si="49"/>
        <v>21104661.182198785</v>
      </c>
      <c r="P80" s="18">
        <f>IF(R80&lt;&gt;1,"",IF(O80-CONTROL_PANEL!$B$11&lt;0,0,O80-CONTROL_PANEL!$B$11))</f>
        <v>0</v>
      </c>
      <c r="Q80" s="18">
        <f>IF(R80&lt;&gt;1,"",IF(N80&lt;=0,0,MIN(N80,MAX(0,CONTROL_PANEL!$B$13-O80))))</f>
        <v>0</v>
      </c>
      <c r="R80" s="18">
        <v>1</v>
      </c>
      <c r="T80" s="19">
        <f t="shared" si="31"/>
        <v>2022</v>
      </c>
      <c r="U80" s="19">
        <v>1</v>
      </c>
      <c r="V80" s="18">
        <f t="shared" si="50"/>
        <v>31</v>
      </c>
      <c r="W80" s="18">
        <f t="shared" si="71"/>
        <v>253.31124134361585</v>
      </c>
      <c r="X80" s="18">
        <f>IF(AK79&lt;&gt;1,"",IF(AH79&gt;0,IF(AH79&gt;CONTROL_PANEL!$B$11,CONTROL_PANEL!$B$11,AH79),0))</f>
        <v>13014806.379308684</v>
      </c>
      <c r="Y80" s="18">
        <f t="shared" si="51"/>
        <v>2132265.0062464895</v>
      </c>
      <c r="Z80" s="18">
        <f>IF(AK80&lt;&gt;1,"",DATA_INPUT!I80)</f>
        <v>1.8159985344760839E-8</v>
      </c>
      <c r="AA80" s="18">
        <f>IF(AK80&lt;&gt;1,"",Z80*CONTROL_PANEL!$B$5)</f>
        <v>1.7233826092178037E-3</v>
      </c>
      <c r="AB80" s="18">
        <f>IF(AK80&lt;&gt;1,"",DATA_INPUT!$C80)</f>
        <v>5.049750002311332</v>
      </c>
      <c r="AC80" s="18">
        <f t="shared" si="52"/>
        <v>10767.405220221583</v>
      </c>
      <c r="AD80" s="18">
        <f>IF(AK80&lt;&gt;1,"",DATA_INPUT!$H80)</f>
        <v>25.836644040036226</v>
      </c>
      <c r="AE80" s="18">
        <f t="shared" si="53"/>
        <v>55090.571965416173</v>
      </c>
      <c r="AF80" s="18">
        <f>IF(AK80&lt;&gt;1,"",AA80*CONTROL_PANEL!$B$14)</f>
        <v>1.2063678264524627E-4</v>
      </c>
      <c r="AG80" s="18">
        <f>IF(AK80&lt;&gt;1,"",DATA_INPUT!$L80)</f>
        <v>0</v>
      </c>
      <c r="AH80" s="18">
        <f t="shared" si="54"/>
        <v>12970483.214166235</v>
      </c>
      <c r="AI80" s="18">
        <f>IF(AK80&lt;&gt;1,"",IF(AH80-CONTROL_PANEL!$B$11&lt;0,0,AH80-CONTROL_PANEL!$B$11))</f>
        <v>0</v>
      </c>
      <c r="AJ80" s="18">
        <f>IF(AK80&lt;&gt;1,"",IF(AG80&lt;=0,0,MIN(AG80,MAX(0,CONTROL_PANEL!$B$13-AH80))))</f>
        <v>0</v>
      </c>
      <c r="AK80" s="18">
        <v>1</v>
      </c>
      <c r="AM80" s="19">
        <f t="shared" si="32"/>
        <v>2022</v>
      </c>
      <c r="AN80" s="19">
        <v>1</v>
      </c>
      <c r="AO80" s="18">
        <f t="shared" si="55"/>
        <v>31</v>
      </c>
      <c r="AP80" s="18">
        <f t="shared" si="72"/>
        <v>255.59088375157623</v>
      </c>
      <c r="AQ80" s="18">
        <f>IF(BD79&lt;&gt;1,"",IF(BA79&gt;0,IF(BA79&gt;CONTROL_PANEL!$B$11,CONTROL_PANEL!$B$11,BA79),0))</f>
        <v>18549339.741255853</v>
      </c>
      <c r="AR80" s="18">
        <f t="shared" si="56"/>
        <v>2702556.1357708913</v>
      </c>
      <c r="AS80" s="18">
        <f>IF(BD80&lt;&gt;1,"",DATA_INPUT!$I80)</f>
        <v>1.8159985344760839E-8</v>
      </c>
      <c r="AT80" s="18">
        <f>IF(BD80&lt;&gt;1,"",AS80*CONTROL_PANEL!$B$5)</f>
        <v>1.7233826092178037E-3</v>
      </c>
      <c r="AU80" s="18">
        <f>IF(BD80&lt;&gt;1,"",DATA_INPUT!$C80)</f>
        <v>5.049750002311332</v>
      </c>
      <c r="AV80" s="18">
        <f t="shared" si="57"/>
        <v>13647.232852855563</v>
      </c>
      <c r="AW80" s="18">
        <f>IF(BD80&lt;&gt;1,"",DATA_INPUT!$H80)</f>
        <v>25.836644040036226</v>
      </c>
      <c r="AX80" s="18">
        <f t="shared" si="58"/>
        <v>69824.980878128335</v>
      </c>
      <c r="AY80" s="18">
        <f>IF(BD80&lt;&gt;1,"",AT80*CONTROL_PANEL!$B$14)</f>
        <v>1.2063678264524627E-4</v>
      </c>
      <c r="AZ80" s="18">
        <f>IF(BD80&lt;&gt;1,"",DATA_INPUT!$M80)</f>
        <v>0</v>
      </c>
      <c r="BA80" s="18">
        <f t="shared" si="59"/>
        <v>18493161.994833324</v>
      </c>
      <c r="BB80" s="18">
        <f>IF(BD80&lt;&gt;1,"",IF(BA80-CONTROL_PANEL!$B$11&lt;0,0,BA80-CONTROL_PANEL!$B$11))</f>
        <v>0</v>
      </c>
      <c r="BC80" s="18">
        <f>IF(BD80&lt;&gt;1,"",IF(AZ80&lt;=0,0,MIN(AZ80,MAX(0,CONTROL_PANEL!$B$13-BA80))))</f>
        <v>0</v>
      </c>
      <c r="BD80" s="18">
        <v>1</v>
      </c>
      <c r="BF80" s="19">
        <f t="shared" si="33"/>
        <v>2022</v>
      </c>
      <c r="BG80" s="19">
        <v>1</v>
      </c>
      <c r="BH80" s="18">
        <f t="shared" si="60"/>
        <v>31</v>
      </c>
      <c r="BI80" s="18">
        <f t="shared" si="73"/>
        <v>256.84377419470729</v>
      </c>
      <c r="BJ80" s="18">
        <f>IF(BW79&lt;&gt;1,"",IF(BT79&gt;0,IF(BT79&gt;CONTROL_PANEL!$B$11,CONTROL_PANEL!$B$11,BT79),0))</f>
        <v>22171730.171508241</v>
      </c>
      <c r="BK80" s="18">
        <f t="shared" si="61"/>
        <v>3045041.1143071405</v>
      </c>
      <c r="BL80" s="18">
        <f>IF(BW80&lt;&gt;1,"",DATA_INPUT!$I80)</f>
        <v>1.8159985344760839E-8</v>
      </c>
      <c r="BM80" s="18">
        <f>IF(BW80&lt;&gt;1,"",BL80*CONTROL_PANEL!$B$5)</f>
        <v>1.7233826092178037E-3</v>
      </c>
      <c r="BN80" s="18">
        <f>IF(BW80&lt;&gt;1,"",DATA_INPUT!$C80)</f>
        <v>5.049750002311332</v>
      </c>
      <c r="BO80" s="18">
        <f t="shared" si="62"/>
        <v>15376.696374010584</v>
      </c>
      <c r="BP80" s="18">
        <f>IF(BW80&lt;&gt;1,"",DATA_INPUT!$H80)</f>
        <v>25.836644040036226</v>
      </c>
      <c r="BQ80" s="18">
        <f t="shared" si="63"/>
        <v>78673.643357628855</v>
      </c>
      <c r="BR80" s="18">
        <f>IF(BW80&lt;&gt;1,"",BM80*CONTROL_PANEL!$B$14)</f>
        <v>1.2063678264524627E-4</v>
      </c>
      <c r="BS80" s="18">
        <f>IF(BW80&lt;&gt;1,"",DATA_INPUT!$N80)</f>
        <v>0</v>
      </c>
      <c r="BT80" s="18">
        <f t="shared" si="64"/>
        <v>22108433.226127367</v>
      </c>
      <c r="BU80" s="18">
        <f>IF(BW80&lt;&gt;1,"",IF(BT80-CONTROL_PANEL!$B$11&lt;0,0,BT80-CONTROL_PANEL!$B$11))</f>
        <v>0</v>
      </c>
      <c r="BV80" s="18">
        <f>IF(BW80&lt;&gt;1,"",IF(BS80&lt;=0,0,MIN(BS80,MAX(0,CONTROL_PANEL!$B$13-BT80))))</f>
        <v>0</v>
      </c>
      <c r="BW80" s="18">
        <v>1</v>
      </c>
      <c r="BY80" s="19">
        <f t="shared" si="34"/>
        <v>2022</v>
      </c>
      <c r="BZ80" s="19">
        <v>1</v>
      </c>
      <c r="CA80" s="18">
        <f t="shared" si="65"/>
        <v>31</v>
      </c>
      <c r="CB80" s="18">
        <f t="shared" si="74"/>
        <v>255.33679040566756</v>
      </c>
      <c r="CC80" s="18">
        <f>IF(CP79&lt;&gt;1,"",IF(CM79&gt;0,IF(CM79&gt;CONTROL_PANEL!$B$11,CONTROL_PANEL!$B$11,CM79),0))</f>
        <v>17866639.809552502</v>
      </c>
      <c r="CD80" s="18">
        <f t="shared" si="66"/>
        <v>2635613.5043669427</v>
      </c>
      <c r="CE80" s="18">
        <f>IF(CP80&lt;&gt;1,"",DATA_INPUT!$I80)</f>
        <v>1.8159985344760839E-8</v>
      </c>
      <c r="CF80" s="18">
        <f>IF(CP80&lt;&gt;1,"",CE80*CONTROL_PANEL!$B$5)</f>
        <v>1.7233826092178037E-3</v>
      </c>
      <c r="CG80" s="18">
        <f>IF(CP80&lt;&gt;1,"",DATA_INPUT!$C80)</f>
        <v>5.049750002311332</v>
      </c>
      <c r="CH80" s="18">
        <f t="shared" si="67"/>
        <v>13309.189299768746</v>
      </c>
      <c r="CI80" s="18">
        <f>IF(CP80&lt;&gt;1,"",DATA_INPUT!$H80)</f>
        <v>25.836644040036226</v>
      </c>
      <c r="CJ80" s="18">
        <f t="shared" si="68"/>
        <v>68095.407939441153</v>
      </c>
      <c r="CK80" s="18">
        <f>IF(CP80&lt;&gt;1,"",CF80*CONTROL_PANEL!$B$14)</f>
        <v>1.2063678264524627E-4</v>
      </c>
      <c r="CL80" s="18">
        <f>IF(CP80&lt;&gt;1,"",DATA_INPUT!$O80)</f>
        <v>0</v>
      </c>
      <c r="CM80" s="18">
        <f t="shared" si="69"/>
        <v>17811853.592515577</v>
      </c>
      <c r="CN80" s="18">
        <f>IF(CP80&lt;&gt;1,"",IF(CM80-CONTROL_PANEL!$B$11&lt;0,0,CM80-CONTROL_PANEL!$B$11))</f>
        <v>0</v>
      </c>
      <c r="CO80" s="18">
        <f>IF(CP80&lt;&gt;1,"",IF(CL80&lt;=0,0,MIN(CL80,MAX(0,CONTROL_PANEL!$B$13-CM80))))</f>
        <v>0</v>
      </c>
      <c r="CP80" s="18">
        <v>1</v>
      </c>
    </row>
    <row r="81" spans="1:94" x14ac:dyDescent="0.25">
      <c r="A81" s="19">
        <f t="shared" si="30"/>
        <v>2022</v>
      </c>
      <c r="B81" s="19">
        <v>2</v>
      </c>
      <c r="C81" s="18">
        <f t="shared" si="45"/>
        <v>28</v>
      </c>
      <c r="D81" s="18">
        <f t="shared" si="70"/>
        <v>256.4899084715808</v>
      </c>
      <c r="E81" s="18">
        <f>IF(R80&lt;&gt;1,"",IF(O80&gt;0,IF(O80&gt;CONTROL_PANEL!$B$11,CONTROL_PANEL!$B$11,O80),0))</f>
        <v>21104661.182198785</v>
      </c>
      <c r="F81" s="18">
        <f t="shared" si="46"/>
        <v>2946219.3210513443</v>
      </c>
      <c r="G81" s="18">
        <f>IF(R81&lt;&gt;1,"",DATA_INPUT!I81)</f>
        <v>2.5413695407325037</v>
      </c>
      <c r="H81" s="18">
        <f>IF(R81&lt;&gt;1,"",G81*CONTROL_PANEL!$B$5)</f>
        <v>241175.96941551458</v>
      </c>
      <c r="I81" s="18">
        <f>IF(R81&lt;&gt;1,"",DATA_INPUT!C81)</f>
        <v>7.364953333819467</v>
      </c>
      <c r="J81" s="18">
        <f t="shared" si="47"/>
        <v>21698.767810740424</v>
      </c>
      <c r="K81" s="18">
        <f>IF(R81&lt;&gt;1,"",DATA_INPUT!H81)</f>
        <v>34.60715127918732</v>
      </c>
      <c r="L81" s="18">
        <f t="shared" si="48"/>
        <v>101960.25774528843</v>
      </c>
      <c r="M81" s="18">
        <f>IF(R81&lt;&gt;1,"",H81*CONTROL_PANEL!$B$14)</f>
        <v>16882.317859086023</v>
      </c>
      <c r="N81" s="18">
        <f>IF(R81&lt;&gt;1,"",DATA_INPUT!K81)</f>
        <v>0</v>
      </c>
      <c r="O81" s="18">
        <f t="shared" si="49"/>
        <v>21248693.343820665</v>
      </c>
      <c r="P81" s="18">
        <f>IF(R81&lt;&gt;1,"",IF(O81-CONTROL_PANEL!$B$11&lt;0,0,O81-CONTROL_PANEL!$B$11))</f>
        <v>0</v>
      </c>
      <c r="Q81" s="18">
        <f>IF(R81&lt;&gt;1,"",IF(N81&lt;=0,0,MIN(N81,MAX(0,CONTROL_PANEL!$B$13-O81))))</f>
        <v>0</v>
      </c>
      <c r="R81" s="18">
        <v>1</v>
      </c>
      <c r="T81" s="19">
        <f t="shared" si="31"/>
        <v>2022</v>
      </c>
      <c r="U81" s="19">
        <v>2</v>
      </c>
      <c r="V81" s="18">
        <f t="shared" si="50"/>
        <v>28</v>
      </c>
      <c r="W81" s="18">
        <f t="shared" si="71"/>
        <v>253.29056854862162</v>
      </c>
      <c r="X81" s="18">
        <f>IF(AK80&lt;&gt;1,"",IF(AH80&gt;0,IF(AH80&gt;CONTROL_PANEL!$B$11,CONTROL_PANEL!$B$11,AH80),0))</f>
        <v>12970483.214166235</v>
      </c>
      <c r="Y81" s="18">
        <f t="shared" si="51"/>
        <v>2127405.1453928743</v>
      </c>
      <c r="Z81" s="18">
        <f>IF(AK81&lt;&gt;1,"",DATA_INPUT!I81)</f>
        <v>2.5413695407325037</v>
      </c>
      <c r="AA81" s="18">
        <f>IF(AK81&lt;&gt;1,"",Z81*CONTROL_PANEL!$B$5)</f>
        <v>241175.96941551458</v>
      </c>
      <c r="AB81" s="18">
        <f>IF(AK81&lt;&gt;1,"",DATA_INPUT!$C81)</f>
        <v>7.364953333819467</v>
      </c>
      <c r="AC81" s="18">
        <f t="shared" si="52"/>
        <v>15668.239617945937</v>
      </c>
      <c r="AD81" s="18">
        <f>IF(AK81&lt;&gt;1,"",DATA_INPUT!$H81)</f>
        <v>34.60715127918732</v>
      </c>
      <c r="AE81" s="18">
        <f t="shared" si="53"/>
        <v>73623.431698732689</v>
      </c>
      <c r="AF81" s="18">
        <f>IF(AK81&lt;&gt;1,"",AA81*CONTROL_PANEL!$B$14)</f>
        <v>16882.317859086023</v>
      </c>
      <c r="AG81" s="18">
        <f>IF(AK81&lt;&gt;1,"",DATA_INPUT!$L81)</f>
        <v>0</v>
      </c>
      <c r="AH81" s="18">
        <f t="shared" si="54"/>
        <v>13136821.673641875</v>
      </c>
      <c r="AI81" s="18">
        <f>IF(AK81&lt;&gt;1,"",IF(AH81-CONTROL_PANEL!$B$11&lt;0,0,AH81-CONTROL_PANEL!$B$11))</f>
        <v>0</v>
      </c>
      <c r="AJ81" s="18">
        <f>IF(AK81&lt;&gt;1,"",IF(AG81&lt;=0,0,MIN(AG81,MAX(0,CONTROL_PANEL!$B$13-AH81))))</f>
        <v>0</v>
      </c>
      <c r="AK81" s="18">
        <v>1</v>
      </c>
      <c r="AM81" s="19">
        <f t="shared" si="32"/>
        <v>2022</v>
      </c>
      <c r="AN81" s="19">
        <v>2</v>
      </c>
      <c r="AO81" s="18">
        <f t="shared" si="55"/>
        <v>28</v>
      </c>
      <c r="AP81" s="18">
        <f t="shared" si="72"/>
        <v>255.57021356954689</v>
      </c>
      <c r="AQ81" s="18">
        <f>IF(BD80&lt;&gt;1,"",IF(BA80&gt;0,IF(BA80&gt;CONTROL_PANEL!$B$11,CONTROL_PANEL!$B$11,BA80),0))</f>
        <v>18493161.994833324</v>
      </c>
      <c r="AR81" s="18">
        <f t="shared" si="56"/>
        <v>2697078.7540404773</v>
      </c>
      <c r="AS81" s="18">
        <f>IF(BD81&lt;&gt;1,"",DATA_INPUT!$I81)</f>
        <v>2.5413695407325037</v>
      </c>
      <c r="AT81" s="18">
        <f>IF(BD81&lt;&gt;1,"",AS81*CONTROL_PANEL!$B$5)</f>
        <v>241175.96941551458</v>
      </c>
      <c r="AU81" s="18">
        <f>IF(BD81&lt;&gt;1,"",DATA_INPUT!$C81)</f>
        <v>7.364953333819467</v>
      </c>
      <c r="AV81" s="18">
        <f t="shared" si="57"/>
        <v>19863.859161144068</v>
      </c>
      <c r="AW81" s="18">
        <f>IF(BD81&lt;&gt;1,"",DATA_INPUT!$H81)</f>
        <v>34.60715127918732</v>
      </c>
      <c r="AX81" s="18">
        <f t="shared" si="58"/>
        <v>93338.212452960855</v>
      </c>
      <c r="AY81" s="18">
        <f>IF(BD81&lt;&gt;1,"",AT81*CONTROL_PANEL!$B$14)</f>
        <v>16882.317859086023</v>
      </c>
      <c r="AZ81" s="18">
        <f>IF(BD81&lt;&gt;1,"",DATA_INPUT!$M81)</f>
        <v>0</v>
      </c>
      <c r="BA81" s="18">
        <f t="shared" si="59"/>
        <v>18643981.293097936</v>
      </c>
      <c r="BB81" s="18">
        <f>IF(BD81&lt;&gt;1,"",IF(BA81-CONTROL_PANEL!$B$11&lt;0,0,BA81-CONTROL_PANEL!$B$11))</f>
        <v>0</v>
      </c>
      <c r="BC81" s="18">
        <f>IF(BD81&lt;&gt;1,"",IF(AZ81&lt;=0,0,MIN(AZ81,MAX(0,CONTROL_PANEL!$B$13-BA81))))</f>
        <v>0</v>
      </c>
      <c r="BD81" s="18">
        <v>1</v>
      </c>
      <c r="BF81" s="19">
        <f t="shared" si="33"/>
        <v>2022</v>
      </c>
      <c r="BG81" s="19">
        <v>2</v>
      </c>
      <c r="BH81" s="18">
        <f t="shared" si="60"/>
        <v>28</v>
      </c>
      <c r="BI81" s="18">
        <f t="shared" si="73"/>
        <v>256.82310521615801</v>
      </c>
      <c r="BJ81" s="18">
        <f>IF(BW80&lt;&gt;1,"",IF(BT80&gt;0,IF(BT80&gt;CONTROL_PANEL!$B$11,CONTROL_PANEL!$B$11,BT80),0))</f>
        <v>22108433.226127367</v>
      </c>
      <c r="BK81" s="18">
        <f t="shared" si="61"/>
        <v>3039223.7503063669</v>
      </c>
      <c r="BL81" s="18">
        <f>IF(BW81&lt;&gt;1,"",DATA_INPUT!$I81)</f>
        <v>2.5413695407325037</v>
      </c>
      <c r="BM81" s="18">
        <f>IF(BW81&lt;&gt;1,"",BL81*CONTROL_PANEL!$B$5)</f>
        <v>241175.96941551458</v>
      </c>
      <c r="BN81" s="18">
        <f>IF(BW81&lt;&gt;1,"",DATA_INPUT!$C81)</f>
        <v>7.364953333819467</v>
      </c>
      <c r="BO81" s="18">
        <f t="shared" si="62"/>
        <v>22383.741092042183</v>
      </c>
      <c r="BP81" s="18">
        <f>IF(BW81&lt;&gt;1,"",DATA_INPUT!$H81)</f>
        <v>34.60715127918732</v>
      </c>
      <c r="BQ81" s="18">
        <f t="shared" si="63"/>
        <v>105178.87609815148</v>
      </c>
      <c r="BR81" s="18">
        <f>IF(BW81&lt;&gt;1,"",BM81*CONTROL_PANEL!$B$14)</f>
        <v>16882.317859086023</v>
      </c>
      <c r="BS81" s="18">
        <f>IF(BW81&lt;&gt;1,"",DATA_INPUT!$N81)</f>
        <v>0</v>
      </c>
      <c r="BT81" s="18">
        <f t="shared" si="64"/>
        <v>22249931.742677689</v>
      </c>
      <c r="BU81" s="18">
        <f>IF(BW81&lt;&gt;1,"",IF(BT81-CONTROL_PANEL!$B$11&lt;0,0,BT81-CONTROL_PANEL!$B$11))</f>
        <v>0</v>
      </c>
      <c r="BV81" s="18">
        <f>IF(BW81&lt;&gt;1,"",IF(BS81&lt;=0,0,MIN(BS81,MAX(0,CONTROL_PANEL!$B$13-BT81))))</f>
        <v>0</v>
      </c>
      <c r="BW81" s="18">
        <v>1</v>
      </c>
      <c r="BY81" s="19">
        <f t="shared" si="34"/>
        <v>2022</v>
      </c>
      <c r="BZ81" s="19">
        <v>2</v>
      </c>
      <c r="CA81" s="18">
        <f t="shared" si="65"/>
        <v>28</v>
      </c>
      <c r="CB81" s="18">
        <f t="shared" si="74"/>
        <v>255.31611996144903</v>
      </c>
      <c r="CC81" s="18">
        <f>IF(CP80&lt;&gt;1,"",IF(CM80&gt;0,IF(CM80&gt;CONTROL_PANEL!$B$11,CONTROL_PANEL!$B$11,CM80),0))</f>
        <v>17811853.592515577</v>
      </c>
      <c r="CD81" s="18">
        <f t="shared" si="66"/>
        <v>2630205.0233481396</v>
      </c>
      <c r="CE81" s="18">
        <f>IF(CP81&lt;&gt;1,"",DATA_INPUT!$I81)</f>
        <v>2.5413695407325037</v>
      </c>
      <c r="CF81" s="18">
        <f>IF(CP81&lt;&gt;1,"",CE81*CONTROL_PANEL!$B$5)</f>
        <v>241175.96941551458</v>
      </c>
      <c r="CG81" s="18">
        <f>IF(CP81&lt;&gt;1,"",DATA_INPUT!$C81)</f>
        <v>7.364953333819467</v>
      </c>
      <c r="CH81" s="18">
        <f t="shared" si="67"/>
        <v>19371.337255336592</v>
      </c>
      <c r="CI81" s="18">
        <f>IF(CP81&lt;&gt;1,"",DATA_INPUT!$H81)</f>
        <v>34.60715127918732</v>
      </c>
      <c r="CJ81" s="18">
        <f t="shared" si="68"/>
        <v>91023.903138287482</v>
      </c>
      <c r="CK81" s="18">
        <f>IF(CP81&lt;&gt;1,"",CF81*CONTROL_PANEL!$B$14)</f>
        <v>16882.317859086023</v>
      </c>
      <c r="CL81" s="18">
        <f>IF(CP81&lt;&gt;1,"",DATA_INPUT!$O81)</f>
        <v>0</v>
      </c>
      <c r="CM81" s="18">
        <f t="shared" si="69"/>
        <v>17964494.678189054</v>
      </c>
      <c r="CN81" s="18">
        <f>IF(CP81&lt;&gt;1,"",IF(CM81-CONTROL_PANEL!$B$11&lt;0,0,CM81-CONTROL_PANEL!$B$11))</f>
        <v>0</v>
      </c>
      <c r="CO81" s="18">
        <f>IF(CP81&lt;&gt;1,"",IF(CL81&lt;=0,0,MIN(CL81,MAX(0,CONTROL_PANEL!$B$13-CM81))))</f>
        <v>0</v>
      </c>
      <c r="CP81" s="18">
        <v>1</v>
      </c>
    </row>
    <row r="82" spans="1:94" x14ac:dyDescent="0.25">
      <c r="A82" s="19">
        <f t="shared" ref="A82:A145" si="75">A70+1</f>
        <v>2022</v>
      </c>
      <c r="B82" s="19">
        <v>3</v>
      </c>
      <c r="C82" s="18">
        <f t="shared" si="45"/>
        <v>31</v>
      </c>
      <c r="D82" s="18">
        <f t="shared" si="70"/>
        <v>256.53836140740077</v>
      </c>
      <c r="E82" s="18">
        <f>IF(R81&lt;&gt;1,"",IF(O81&gt;0,IF(O81&gt;CONTROL_PANEL!$B$11,CONTROL_PANEL!$B$11,O81),0))</f>
        <v>21248693.343820665</v>
      </c>
      <c r="F82" s="18">
        <f t="shared" si="46"/>
        <v>2959653.1892885081</v>
      </c>
      <c r="G82" s="18">
        <f>IF(R82&lt;&gt;1,"",DATA_INPUT!I82)</f>
        <v>1.2058893603369683</v>
      </c>
      <c r="H82" s="18">
        <f>IF(R82&lt;&gt;1,"",G82*CONTROL_PANEL!$B$5)</f>
        <v>114438.90029597828</v>
      </c>
      <c r="I82" s="18">
        <f>IF(R82&lt;&gt;1,"",DATA_INPUT!C82)</f>
        <v>120.42722564605226</v>
      </c>
      <c r="J82" s="18">
        <f t="shared" si="47"/>
        <v>356422.82246050541</v>
      </c>
      <c r="K82" s="18">
        <f>IF(R82&lt;&gt;1,"",DATA_INPUT!H82)</f>
        <v>44.676187764987816</v>
      </c>
      <c r="L82" s="18">
        <f t="shared" si="48"/>
        <v>132226.02160389841</v>
      </c>
      <c r="M82" s="18">
        <f>IF(R82&lt;&gt;1,"",H82*CONTROL_PANEL!$B$14)</f>
        <v>8010.7230207184803</v>
      </c>
      <c r="N82" s="18">
        <f>IF(R82&lt;&gt;1,"",DATA_INPUT!K82)</f>
        <v>0</v>
      </c>
      <c r="O82" s="18">
        <f t="shared" si="49"/>
        <v>21579318.321952529</v>
      </c>
      <c r="P82" s="18">
        <f>IF(R82&lt;&gt;1,"",IF(O82-CONTROL_PANEL!$B$11&lt;0,0,O82-CONTROL_PANEL!$B$11))</f>
        <v>0</v>
      </c>
      <c r="Q82" s="18">
        <f>IF(R82&lt;&gt;1,"",IF(N82&lt;=0,0,MIN(N82,MAX(0,CONTROL_PANEL!$B$13-O82))))</f>
        <v>0</v>
      </c>
      <c r="R82" s="18">
        <v>1</v>
      </c>
      <c r="T82" s="19">
        <f t="shared" ref="T82:T145" si="76">T70+1</f>
        <v>2022</v>
      </c>
      <c r="U82" s="19">
        <v>3</v>
      </c>
      <c r="V82" s="18">
        <f t="shared" si="50"/>
        <v>31</v>
      </c>
      <c r="W82" s="18">
        <f t="shared" si="71"/>
        <v>253.36790840134745</v>
      </c>
      <c r="X82" s="18">
        <f>IF(AK81&lt;&gt;1,"",IF(AH81&gt;0,IF(AH81&gt;CONTROL_PANEL!$B$11,CONTROL_PANEL!$B$11,AH81),0))</f>
        <v>13136821.673641875</v>
      </c>
      <c r="Y82" s="18">
        <f t="shared" si="51"/>
        <v>2145615.2850824636</v>
      </c>
      <c r="Z82" s="18">
        <f>IF(AK82&lt;&gt;1,"",DATA_INPUT!I82)</f>
        <v>1.2058893603369683</v>
      </c>
      <c r="AA82" s="18">
        <f>IF(AK82&lt;&gt;1,"",Z82*CONTROL_PANEL!$B$5)</f>
        <v>114438.90029597828</v>
      </c>
      <c r="AB82" s="18">
        <f>IF(AK82&lt;&gt;1,"",DATA_INPUT!$C82)</f>
        <v>120.42722564605226</v>
      </c>
      <c r="AC82" s="18">
        <f t="shared" si="52"/>
        <v>258390.49608624462</v>
      </c>
      <c r="AD82" s="18">
        <f>IF(AK82&lt;&gt;1,"",DATA_INPUT!$H82)</f>
        <v>44.676187764987816</v>
      </c>
      <c r="AE82" s="18">
        <f t="shared" si="53"/>
        <v>95857.911347772009</v>
      </c>
      <c r="AF82" s="18">
        <f>IF(AK82&lt;&gt;1,"",AA82*CONTROL_PANEL!$B$14)</f>
        <v>8010.7230207184803</v>
      </c>
      <c r="AG82" s="18">
        <f>IF(AK82&lt;&gt;1,"",DATA_INPUT!$L82)</f>
        <v>0</v>
      </c>
      <c r="AH82" s="18">
        <f t="shared" si="54"/>
        <v>13405782.435655609</v>
      </c>
      <c r="AI82" s="18">
        <f>IF(AK82&lt;&gt;1,"",IF(AH82-CONTROL_PANEL!$B$11&lt;0,0,AH82-CONTROL_PANEL!$B$11))</f>
        <v>0</v>
      </c>
      <c r="AJ82" s="18">
        <f>IF(AK82&lt;&gt;1,"",IF(AG82&lt;=0,0,MIN(AG82,MAX(0,CONTROL_PANEL!$B$13-AH82))))</f>
        <v>0</v>
      </c>
      <c r="AK82" s="18">
        <v>1</v>
      </c>
      <c r="AM82" s="19">
        <f t="shared" ref="AM82:AM145" si="77">AM70+1</f>
        <v>2022</v>
      </c>
      <c r="AN82" s="19">
        <v>3</v>
      </c>
      <c r="AO82" s="18">
        <f t="shared" si="55"/>
        <v>31</v>
      </c>
      <c r="AP82" s="18">
        <f t="shared" si="72"/>
        <v>255.62561191766696</v>
      </c>
      <c r="AQ82" s="18">
        <f>IF(BD81&lt;&gt;1,"",IF(BA81&gt;0,IF(BA81&gt;CONTROL_PANEL!$B$11,CONTROL_PANEL!$B$11,BA81),0))</f>
        <v>18643981.293097936</v>
      </c>
      <c r="AR82" s="18">
        <f t="shared" si="56"/>
        <v>2711771.3696234659</v>
      </c>
      <c r="AS82" s="18">
        <f>IF(BD82&lt;&gt;1,"",DATA_INPUT!$I82)</f>
        <v>1.2058893603369683</v>
      </c>
      <c r="AT82" s="18">
        <f>IF(BD82&lt;&gt;1,"",AS82*CONTROL_PANEL!$B$5)</f>
        <v>114438.90029597828</v>
      </c>
      <c r="AU82" s="18">
        <f>IF(BD82&lt;&gt;1,"",DATA_INPUT!$C82)</f>
        <v>120.42722564605226</v>
      </c>
      <c r="AV82" s="18">
        <f t="shared" si="57"/>
        <v>326571.10263014928</v>
      </c>
      <c r="AW82" s="18">
        <f>IF(BD82&lt;&gt;1,"",DATA_INPUT!$H82)</f>
        <v>44.676187764987816</v>
      </c>
      <c r="AX82" s="18">
        <f t="shared" si="58"/>
        <v>121151.60688501614</v>
      </c>
      <c r="AY82" s="18">
        <f>IF(BD82&lt;&gt;1,"",AT82*CONTROL_PANEL!$B$14)</f>
        <v>8010.7230207184803</v>
      </c>
      <c r="AZ82" s="18">
        <f>IF(BD82&lt;&gt;1,"",DATA_INPUT!$M82)</f>
        <v>0</v>
      </c>
      <c r="BA82" s="18">
        <f t="shared" si="59"/>
        <v>18955828.966118328</v>
      </c>
      <c r="BB82" s="18">
        <f>IF(BD82&lt;&gt;1,"",IF(BA82-CONTROL_PANEL!$B$11&lt;0,0,BA82-CONTROL_PANEL!$B$11))</f>
        <v>0</v>
      </c>
      <c r="BC82" s="18">
        <f>IF(BD82&lt;&gt;1,"",IF(AZ82&lt;=0,0,MIN(AZ82,MAX(0,CONTROL_PANEL!$B$13-BA82))))</f>
        <v>0</v>
      </c>
      <c r="BD82" s="18">
        <v>1</v>
      </c>
      <c r="BF82" s="19">
        <f t="shared" ref="BF82:BF145" si="78">BF70+1</f>
        <v>2022</v>
      </c>
      <c r="BG82" s="19">
        <v>3</v>
      </c>
      <c r="BH82" s="18">
        <f t="shared" si="60"/>
        <v>31</v>
      </c>
      <c r="BI82" s="18">
        <f t="shared" si="73"/>
        <v>256.86925569781278</v>
      </c>
      <c r="BJ82" s="18">
        <f>IF(BW81&lt;&gt;1,"",IF(BT81&gt;0,IF(BT81&gt;CONTROL_PANEL!$B$11,CONTROL_PANEL!$B$11,BT81),0))</f>
        <v>22249931.742677689</v>
      </c>
      <c r="BK82" s="18">
        <f t="shared" si="61"/>
        <v>3052220.7134241387</v>
      </c>
      <c r="BL82" s="18">
        <f>IF(BW82&lt;&gt;1,"",DATA_INPUT!$I82)</f>
        <v>1.2058893603369683</v>
      </c>
      <c r="BM82" s="18">
        <f>IF(BW82&lt;&gt;1,"",BL82*CONTROL_PANEL!$B$5)</f>
        <v>114438.90029597828</v>
      </c>
      <c r="BN82" s="18">
        <f>IF(BW82&lt;&gt;1,"",DATA_INPUT!$C82)</f>
        <v>120.42722564605226</v>
      </c>
      <c r="BO82" s="18">
        <f t="shared" si="62"/>
        <v>367570.47257708333</v>
      </c>
      <c r="BP82" s="18">
        <f>IF(BW82&lt;&gt;1,"",DATA_INPUT!$H82)</f>
        <v>44.676187764987816</v>
      </c>
      <c r="BQ82" s="18">
        <f t="shared" si="63"/>
        <v>136361.58569312189</v>
      </c>
      <c r="BR82" s="18">
        <f>IF(BW82&lt;&gt;1,"",BM82*CONTROL_PANEL!$B$14)</f>
        <v>8010.7230207184803</v>
      </c>
      <c r="BS82" s="18">
        <f>IF(BW82&lt;&gt;1,"",DATA_INPUT!$N82)</f>
        <v>0</v>
      </c>
      <c r="BT82" s="18">
        <f t="shared" si="64"/>
        <v>22587568.806836907</v>
      </c>
      <c r="BU82" s="18">
        <f>IF(BW82&lt;&gt;1,"",IF(BT82-CONTROL_PANEL!$B$11&lt;0,0,BT82-CONTROL_PANEL!$B$11))</f>
        <v>0</v>
      </c>
      <c r="BV82" s="18">
        <f>IF(BW82&lt;&gt;1,"",IF(BS82&lt;=0,0,MIN(BS82,MAX(0,CONTROL_PANEL!$B$13-BT82))))</f>
        <v>0</v>
      </c>
      <c r="BW82" s="18">
        <v>1</v>
      </c>
      <c r="BY82" s="19">
        <f t="shared" ref="BY82:BY145" si="79">BY70+1</f>
        <v>2022</v>
      </c>
      <c r="BZ82" s="19">
        <v>3</v>
      </c>
      <c r="CA82" s="18">
        <f t="shared" si="65"/>
        <v>31</v>
      </c>
      <c r="CB82" s="18">
        <f t="shared" si="74"/>
        <v>255.37360510171982</v>
      </c>
      <c r="CC82" s="18">
        <f>IF(CP81&lt;&gt;1,"",IF(CM81&gt;0,IF(CM81&gt;CONTROL_PANEL!$B$11,CONTROL_PANEL!$B$11,CM81),0))</f>
        <v>17964494.678189054</v>
      </c>
      <c r="CD82" s="18">
        <f t="shared" si="66"/>
        <v>2645260.0688730245</v>
      </c>
      <c r="CE82" s="18">
        <f>IF(CP82&lt;&gt;1,"",DATA_INPUT!$I82)</f>
        <v>1.2058893603369683</v>
      </c>
      <c r="CF82" s="18">
        <f>IF(CP82&lt;&gt;1,"",CE82*CONTROL_PANEL!$B$5)</f>
        <v>114438.90029597828</v>
      </c>
      <c r="CG82" s="18">
        <f>IF(CP82&lt;&gt;1,"",DATA_INPUT!$C82)</f>
        <v>120.42722564605226</v>
      </c>
      <c r="CH82" s="18">
        <f t="shared" si="67"/>
        <v>318561.33120666351</v>
      </c>
      <c r="CI82" s="18">
        <f>IF(CP82&lt;&gt;1,"",DATA_INPUT!$H82)</f>
        <v>44.676187764987816</v>
      </c>
      <c r="CJ82" s="18">
        <f t="shared" si="68"/>
        <v>118180.13552419585</v>
      </c>
      <c r="CK82" s="18">
        <f>IF(CP82&lt;&gt;1,"",CF82*CONTROL_PANEL!$B$14)</f>
        <v>8010.7230207184803</v>
      </c>
      <c r="CL82" s="18">
        <f>IF(CP82&lt;&gt;1,"",DATA_INPUT!$O82)</f>
        <v>0</v>
      </c>
      <c r="CM82" s="18">
        <f t="shared" si="69"/>
        <v>18271304.051146779</v>
      </c>
      <c r="CN82" s="18">
        <f>IF(CP82&lt;&gt;1,"",IF(CM82-CONTROL_PANEL!$B$11&lt;0,0,CM82-CONTROL_PANEL!$B$11))</f>
        <v>0</v>
      </c>
      <c r="CO82" s="18">
        <f>IF(CP82&lt;&gt;1,"",IF(CL82&lt;=0,0,MIN(CL82,MAX(0,CONTROL_PANEL!$B$13-CM82))))</f>
        <v>0</v>
      </c>
      <c r="CP82" s="18">
        <v>1</v>
      </c>
    </row>
    <row r="83" spans="1:94" x14ac:dyDescent="0.25">
      <c r="A83" s="19">
        <f t="shared" si="75"/>
        <v>2022</v>
      </c>
      <c r="B83" s="19">
        <v>4</v>
      </c>
      <c r="C83" s="18">
        <f t="shared" si="45"/>
        <v>30</v>
      </c>
      <c r="D83" s="18">
        <f t="shared" si="70"/>
        <v>256.648759798078</v>
      </c>
      <c r="E83" s="18">
        <f>IF(R82&lt;&gt;1,"",IF(O82&gt;0,IF(O82&gt;CONTROL_PANEL!$B$11,CONTROL_PANEL!$B$11,O82),0))</f>
        <v>21579318.321952529</v>
      </c>
      <c r="F83" s="18">
        <f t="shared" si="46"/>
        <v>2990377.073314162</v>
      </c>
      <c r="G83" s="18">
        <f>IF(R83&lt;&gt;1,"",DATA_INPUT!I83)</f>
        <v>0.17985023586381294</v>
      </c>
      <c r="H83" s="18">
        <f>IF(R83&lt;&gt;1,"",G83*CONTROL_PANEL!$B$5)</f>
        <v>17067.787383475847</v>
      </c>
      <c r="I83" s="18">
        <f>IF(R83&lt;&gt;1,"",DATA_INPUT!C83)</f>
        <v>45.03102204677333</v>
      </c>
      <c r="J83" s="18">
        <f t="shared" si="47"/>
        <v>134659.73591657553</v>
      </c>
      <c r="K83" s="18">
        <f>IF(R83&lt;&gt;1,"",DATA_INPUT!H83)</f>
        <v>73.951810997916951</v>
      </c>
      <c r="L83" s="18">
        <f t="shared" si="48"/>
        <v>221143.80013823294</v>
      </c>
      <c r="M83" s="18">
        <f>IF(R83&lt;&gt;1,"",H83*CONTROL_PANEL!$B$14)</f>
        <v>1194.7451168433095</v>
      </c>
      <c r="N83" s="18">
        <f>IF(R83&lt;&gt;1,"",DATA_INPUT!K83)</f>
        <v>106844.33390758678</v>
      </c>
      <c r="O83" s="18">
        <f t="shared" si="49"/>
        <v>21401862.966089919</v>
      </c>
      <c r="P83" s="18">
        <f>IF(R83&lt;&gt;1,"",IF(O83-CONTROL_PANEL!$B$11&lt;0,0,O83-CONTROL_PANEL!$B$11))</f>
        <v>0</v>
      </c>
      <c r="Q83" s="18">
        <f>IF(R83&lt;&gt;1,"",IF(N83&lt;=0,0,MIN(N83,MAX(0,CONTROL_PANEL!$B$13-O83))))</f>
        <v>0</v>
      </c>
      <c r="R83" s="18">
        <v>1</v>
      </c>
      <c r="T83" s="19">
        <f t="shared" si="76"/>
        <v>2022</v>
      </c>
      <c r="U83" s="19">
        <v>4</v>
      </c>
      <c r="V83" s="18">
        <f t="shared" si="50"/>
        <v>30</v>
      </c>
      <c r="W83" s="18">
        <f t="shared" si="71"/>
        <v>253.49158886279488</v>
      </c>
      <c r="X83" s="18">
        <f>IF(AK82&lt;&gt;1,"",IF(AH82&gt;0,IF(AH82&gt;CONTROL_PANEL!$B$11,CONTROL_PANEL!$B$11,AH82),0))</f>
        <v>13405782.435655609</v>
      </c>
      <c r="Y83" s="18">
        <f t="shared" si="51"/>
        <v>2174899.4964886014</v>
      </c>
      <c r="Z83" s="18">
        <f>IF(AK83&lt;&gt;1,"",DATA_INPUT!I83)</f>
        <v>0.17985023586381294</v>
      </c>
      <c r="AA83" s="18">
        <f>IF(AK83&lt;&gt;1,"",Z83*CONTROL_PANEL!$B$5)</f>
        <v>17067.787383475847</v>
      </c>
      <c r="AB83" s="18">
        <f>IF(AK83&lt;&gt;1,"",DATA_INPUT!$C83)</f>
        <v>45.03102204677333</v>
      </c>
      <c r="AC83" s="18">
        <f t="shared" si="52"/>
        <v>97937.947175894427</v>
      </c>
      <c r="AD83" s="18">
        <f>IF(AK83&lt;&gt;1,"",DATA_INPUT!$H83)</f>
        <v>73.951810997916951</v>
      </c>
      <c r="AE83" s="18">
        <f t="shared" si="53"/>
        <v>160837.75650378977</v>
      </c>
      <c r="AF83" s="18">
        <f>IF(AK83&lt;&gt;1,"",AA83*CONTROL_PANEL!$B$14)</f>
        <v>1194.7451168433095</v>
      </c>
      <c r="AG83" s="18">
        <f>IF(AK83&lt;&gt;1,"",DATA_INPUT!$L83)</f>
        <v>136092.67871269336</v>
      </c>
      <c r="AH83" s="18">
        <f t="shared" si="54"/>
        <v>13222662.989881653</v>
      </c>
      <c r="AI83" s="18">
        <f>IF(AK83&lt;&gt;1,"",IF(AH83-CONTROL_PANEL!$B$11&lt;0,0,AH83-CONTROL_PANEL!$B$11))</f>
        <v>0</v>
      </c>
      <c r="AJ83" s="18">
        <f>IF(AK83&lt;&gt;1,"",IF(AG83&lt;=0,0,MIN(AG83,MAX(0,CONTROL_PANEL!$B$13-AH83))))</f>
        <v>0</v>
      </c>
      <c r="AK83" s="18">
        <v>1</v>
      </c>
      <c r="AM83" s="19">
        <f t="shared" si="77"/>
        <v>2022</v>
      </c>
      <c r="AN83" s="19">
        <v>4</v>
      </c>
      <c r="AO83" s="18">
        <f t="shared" si="55"/>
        <v>30</v>
      </c>
      <c r="AP83" s="18">
        <f t="shared" si="72"/>
        <v>255.73921496704762</v>
      </c>
      <c r="AQ83" s="18">
        <f>IF(BD82&lt;&gt;1,"",IF(BA82&gt;0,IF(BA82&gt;CONTROL_PANEL!$B$11,CONTROL_PANEL!$B$11,BA82),0))</f>
        <v>18955828.966118328</v>
      </c>
      <c r="AR83" s="18">
        <f t="shared" si="56"/>
        <v>2742026.9758865684</v>
      </c>
      <c r="AS83" s="18">
        <f>IF(BD83&lt;&gt;1,"",DATA_INPUT!$I83)</f>
        <v>0.17985023586381294</v>
      </c>
      <c r="AT83" s="18">
        <f>IF(BD83&lt;&gt;1,"",AS83*CONTROL_PANEL!$B$5)</f>
        <v>17067.787383475847</v>
      </c>
      <c r="AU83" s="18">
        <f>IF(BD83&lt;&gt;1,"",DATA_INPUT!$C83)</f>
        <v>45.03102204677333</v>
      </c>
      <c r="AV83" s="18">
        <f t="shared" si="57"/>
        <v>123476.27720399527</v>
      </c>
      <c r="AW83" s="18">
        <f>IF(BD83&lt;&gt;1,"",DATA_INPUT!$H83)</f>
        <v>73.951810997916951</v>
      </c>
      <c r="AX83" s="18">
        <f t="shared" si="58"/>
        <v>202777.8606719533</v>
      </c>
      <c r="AY83" s="18">
        <f>IF(BD83&lt;&gt;1,"",AT83*CONTROL_PANEL!$B$14)</f>
        <v>1194.7451168433095</v>
      </c>
      <c r="AZ83" s="18">
        <f>IF(BD83&lt;&gt;1,"",DATA_INPUT!$M83)</f>
        <v>77814.257822142041</v>
      </c>
      <c r="BA83" s="18">
        <f t="shared" si="59"/>
        <v>18814586.16709486</v>
      </c>
      <c r="BB83" s="18">
        <f>IF(BD83&lt;&gt;1,"",IF(BA83-CONTROL_PANEL!$B$11&lt;0,0,BA83-CONTROL_PANEL!$B$11))</f>
        <v>0</v>
      </c>
      <c r="BC83" s="18">
        <f>IF(BD83&lt;&gt;1,"",IF(AZ83&lt;=0,0,MIN(AZ83,MAX(0,CONTROL_PANEL!$B$13-BA83))))</f>
        <v>0</v>
      </c>
      <c r="BD83" s="18">
        <v>1</v>
      </c>
      <c r="BF83" s="19">
        <f t="shared" si="78"/>
        <v>2022</v>
      </c>
      <c r="BG83" s="19">
        <v>4</v>
      </c>
      <c r="BH83" s="18">
        <f t="shared" si="60"/>
        <v>30</v>
      </c>
      <c r="BI83" s="18">
        <f t="shared" si="73"/>
        <v>256.97859022956328</v>
      </c>
      <c r="BJ83" s="18">
        <f>IF(BW82&lt;&gt;1,"",IF(BT82&gt;0,IF(BT82&gt;CONTROL_PANEL!$B$11,CONTROL_PANEL!$B$11,BT82),0))</f>
        <v>22587568.806836907</v>
      </c>
      <c r="BK83" s="18">
        <f t="shared" si="61"/>
        <v>3083123.4266046523</v>
      </c>
      <c r="BL83" s="18">
        <f>IF(BW83&lt;&gt;1,"",DATA_INPUT!$I83)</f>
        <v>0.17985023586381294</v>
      </c>
      <c r="BM83" s="18">
        <f>IF(BW83&lt;&gt;1,"",BL83*CONTROL_PANEL!$B$5)</f>
        <v>17067.787383475847</v>
      </c>
      <c r="BN83" s="18">
        <f>IF(BW83&lt;&gt;1,"",DATA_INPUT!$C83)</f>
        <v>45.03102204677333</v>
      </c>
      <c r="BO83" s="18">
        <f t="shared" si="62"/>
        <v>138836.19899635745</v>
      </c>
      <c r="BP83" s="18">
        <f>IF(BW83&lt;&gt;1,"",DATA_INPUT!$H83)</f>
        <v>73.951810997916951</v>
      </c>
      <c r="BQ83" s="18">
        <f t="shared" si="63"/>
        <v>228002.56092751733</v>
      </c>
      <c r="BR83" s="18">
        <f>IF(BW83&lt;&gt;1,"",BM83*CONTROL_PANEL!$B$14)</f>
        <v>1194.7451168433095</v>
      </c>
      <c r="BS83" s="18">
        <f>IF(BW83&lt;&gt;1,"",DATA_INPUT!$N83)</f>
        <v>31765.816303155403</v>
      </c>
      <c r="BT83" s="18">
        <f t="shared" si="64"/>
        <v>22482509.670869224</v>
      </c>
      <c r="BU83" s="18">
        <f>IF(BW83&lt;&gt;1,"",IF(BT83-CONTROL_PANEL!$B$11&lt;0,0,BT83-CONTROL_PANEL!$B$11))</f>
        <v>0</v>
      </c>
      <c r="BV83" s="18">
        <f>IF(BW83&lt;&gt;1,"",IF(BS83&lt;=0,0,MIN(BS83,MAX(0,CONTROL_PANEL!$B$13-BT83))))</f>
        <v>0</v>
      </c>
      <c r="BW83" s="18">
        <v>1</v>
      </c>
      <c r="BY83" s="19">
        <f t="shared" si="79"/>
        <v>2022</v>
      </c>
      <c r="BZ83" s="19">
        <v>4</v>
      </c>
      <c r="CA83" s="18">
        <f t="shared" si="65"/>
        <v>30</v>
      </c>
      <c r="CB83" s="18">
        <f t="shared" si="74"/>
        <v>255.48816966598028</v>
      </c>
      <c r="CC83" s="18">
        <f>IF(CP82&lt;&gt;1,"",IF(CM82&gt;0,IF(CM82&gt;CONTROL_PANEL!$B$11,CONTROL_PANEL!$B$11,CM82),0))</f>
        <v>18271304.051146779</v>
      </c>
      <c r="CD83" s="18">
        <f t="shared" si="66"/>
        <v>2675393.3146334998</v>
      </c>
      <c r="CE83" s="18">
        <f>IF(CP83&lt;&gt;1,"",DATA_INPUT!$I83)</f>
        <v>0.17985023586381294</v>
      </c>
      <c r="CF83" s="18">
        <f>IF(CP83&lt;&gt;1,"",CE83*CONTROL_PANEL!$B$5)</f>
        <v>17067.787383475847</v>
      </c>
      <c r="CG83" s="18">
        <f>IF(CP83&lt;&gt;1,"",DATA_INPUT!$C83)</f>
        <v>45.03102204677333</v>
      </c>
      <c r="CH83" s="18">
        <f t="shared" si="67"/>
        <v>120475.6953350511</v>
      </c>
      <c r="CI83" s="18">
        <f>IF(CP83&lt;&gt;1,"",DATA_INPUT!$H83)</f>
        <v>73.951810997916951</v>
      </c>
      <c r="CJ83" s="18">
        <f t="shared" si="68"/>
        <v>197850.18074886713</v>
      </c>
      <c r="CK83" s="18">
        <f>IF(CP83&lt;&gt;1,"",CF83*CONTROL_PANEL!$B$14)</f>
        <v>1194.7451168433095</v>
      </c>
      <c r="CL83" s="18">
        <f>IF(CP83&lt;&gt;1,"",DATA_INPUT!$O83)</f>
        <v>36554.202365132602</v>
      </c>
      <c r="CM83" s="18">
        <f t="shared" si="69"/>
        <v>18173248.405634463</v>
      </c>
      <c r="CN83" s="18">
        <f>IF(CP83&lt;&gt;1,"",IF(CM83-CONTROL_PANEL!$B$11&lt;0,0,CM83-CONTROL_PANEL!$B$11))</f>
        <v>0</v>
      </c>
      <c r="CO83" s="18">
        <f>IF(CP83&lt;&gt;1,"",IF(CL83&lt;=0,0,MIN(CL83,MAX(0,CONTROL_PANEL!$B$13-CM83))))</f>
        <v>0</v>
      </c>
      <c r="CP83" s="18">
        <v>1</v>
      </c>
    </row>
    <row r="84" spans="1:94" x14ac:dyDescent="0.25">
      <c r="A84" s="19">
        <f t="shared" si="75"/>
        <v>2022</v>
      </c>
      <c r="B84" s="19">
        <v>5</v>
      </c>
      <c r="C84" s="18">
        <f t="shared" si="45"/>
        <v>31</v>
      </c>
      <c r="D84" s="18">
        <f t="shared" si="70"/>
        <v>256.58964779047938</v>
      </c>
      <c r="E84" s="18">
        <f>IF(R83&lt;&gt;1,"",IF(O83&gt;0,IF(O83&gt;CONTROL_PANEL!$B$11,CONTROL_PANEL!$B$11,O83),0))</f>
        <v>21401862.966089919</v>
      </c>
      <c r="F84" s="18">
        <f t="shared" si="46"/>
        <v>2973906.2684747991</v>
      </c>
      <c r="G84" s="18">
        <f>IF(R84&lt;&gt;1,"",DATA_INPUT!I84)</f>
        <v>2.4636119526734404E-2</v>
      </c>
      <c r="H84" s="18">
        <f>IF(R84&lt;&gt;1,"",G84*CONTROL_PANEL!$B$5)</f>
        <v>2337.9677430870947</v>
      </c>
      <c r="I84" s="18">
        <f>IF(R84&lt;&gt;1,"",DATA_INPUT!C84)</f>
        <v>2.6121253333333336</v>
      </c>
      <c r="J84" s="18">
        <f t="shared" si="47"/>
        <v>7768.2159028418255</v>
      </c>
      <c r="K84" s="18">
        <f>IF(R84&lt;&gt;1,"",DATA_INPUT!H84)</f>
        <v>121.22379073162001</v>
      </c>
      <c r="L84" s="18">
        <f t="shared" si="48"/>
        <v>360508.19114504202</v>
      </c>
      <c r="M84" s="18">
        <f>IF(R84&lt;&gt;1,"",H84*CONTROL_PANEL!$B$14)</f>
        <v>163.65774201609665</v>
      </c>
      <c r="N84" s="18">
        <f>IF(R84&lt;&gt;1,"",DATA_INPUT!K84)</f>
        <v>799034.40804812929</v>
      </c>
      <c r="O84" s="18">
        <f t="shared" si="49"/>
        <v>20252262.892800663</v>
      </c>
      <c r="P84" s="18">
        <f>IF(R84&lt;&gt;1,"",IF(O84-CONTROL_PANEL!$B$11&lt;0,0,O84-CONTROL_PANEL!$B$11))</f>
        <v>0</v>
      </c>
      <c r="Q84" s="18">
        <f>IF(R84&lt;&gt;1,"",IF(N84&lt;=0,0,MIN(N84,MAX(0,CONTROL_PANEL!$B$13-O84))))</f>
        <v>0</v>
      </c>
      <c r="R84" s="18">
        <v>1</v>
      </c>
      <c r="T84" s="19">
        <f t="shared" si="76"/>
        <v>2022</v>
      </c>
      <c r="U84" s="19">
        <v>5</v>
      </c>
      <c r="V84" s="18">
        <f t="shared" si="50"/>
        <v>31</v>
      </c>
      <c r="W84" s="18">
        <f t="shared" si="71"/>
        <v>253.4075646971348</v>
      </c>
      <c r="X84" s="18">
        <f>IF(AK83&lt;&gt;1,"",IF(AH83&gt;0,IF(AH83&gt;CONTROL_PANEL!$B$11,CONTROL_PANEL!$B$11,AH83),0))</f>
        <v>13222662.989881653</v>
      </c>
      <c r="Y84" s="18">
        <f t="shared" si="51"/>
        <v>2154982.9986918033</v>
      </c>
      <c r="Z84" s="18">
        <f>IF(AK84&lt;&gt;1,"",DATA_INPUT!I84)</f>
        <v>2.4636119526734404E-2</v>
      </c>
      <c r="AA84" s="18">
        <f>IF(AK84&lt;&gt;1,"",Z84*CONTROL_PANEL!$B$5)</f>
        <v>2337.9677430870947</v>
      </c>
      <c r="AB84" s="18">
        <f>IF(AK84&lt;&gt;1,"",DATA_INPUT!$C84)</f>
        <v>2.6121253333333336</v>
      </c>
      <c r="AC84" s="18">
        <f t="shared" si="52"/>
        <v>5629.0856837854935</v>
      </c>
      <c r="AD84" s="18">
        <f>IF(AK84&lt;&gt;1,"",DATA_INPUT!$H84)</f>
        <v>121.22379073162001</v>
      </c>
      <c r="AE84" s="18">
        <f t="shared" si="53"/>
        <v>261235.20806361412</v>
      </c>
      <c r="AF84" s="18">
        <f>IF(AK84&lt;&gt;1,"",AA84*CONTROL_PANEL!$B$14)</f>
        <v>163.65774201609665</v>
      </c>
      <c r="AG84" s="18">
        <f>IF(AK84&lt;&gt;1,"",DATA_INPUT!$L84)</f>
        <v>1013095.7873587573</v>
      </c>
      <c r="AH84" s="18">
        <f t="shared" si="54"/>
        <v>11956135.39014414</v>
      </c>
      <c r="AI84" s="18">
        <f>IF(AK84&lt;&gt;1,"",IF(AH84-CONTROL_PANEL!$B$11&lt;0,0,AH84-CONTROL_PANEL!$B$11))</f>
        <v>0</v>
      </c>
      <c r="AJ84" s="18">
        <f>IF(AK84&lt;&gt;1,"",IF(AG84&lt;=0,0,MIN(AG84,MAX(0,CONTROL_PANEL!$B$13-AH84))))</f>
        <v>0</v>
      </c>
      <c r="AK84" s="18">
        <v>1</v>
      </c>
      <c r="AM84" s="19">
        <f t="shared" si="77"/>
        <v>2022</v>
      </c>
      <c r="AN84" s="19">
        <v>5</v>
      </c>
      <c r="AO84" s="18">
        <f t="shared" si="55"/>
        <v>31</v>
      </c>
      <c r="AP84" s="18">
        <f t="shared" si="72"/>
        <v>255.68791769245641</v>
      </c>
      <c r="AQ84" s="18">
        <f>IF(BD83&lt;&gt;1,"",IF(BA83&gt;0,IF(BA83&gt;CONTROL_PANEL!$B$11,CONTROL_PANEL!$B$11,BA83),0))</f>
        <v>18814586.16709486</v>
      </c>
      <c r="AR84" s="18">
        <f t="shared" si="56"/>
        <v>2728344.1156509481</v>
      </c>
      <c r="AS84" s="18">
        <f>IF(BD84&lt;&gt;1,"",DATA_INPUT!$I84)</f>
        <v>2.4636119526734404E-2</v>
      </c>
      <c r="AT84" s="18">
        <f>IF(BD84&lt;&gt;1,"",AS84*CONTROL_PANEL!$B$5)</f>
        <v>2337.9677430870947</v>
      </c>
      <c r="AU84" s="18">
        <f>IF(BD84&lt;&gt;1,"",DATA_INPUT!$C84)</f>
        <v>2.6121253333333336</v>
      </c>
      <c r="AV84" s="18">
        <f t="shared" si="57"/>
        <v>7126.7767825427727</v>
      </c>
      <c r="AW84" s="18">
        <f>IF(BD84&lt;&gt;1,"",DATA_INPUT!$H84)</f>
        <v>121.22379073162001</v>
      </c>
      <c r="AX84" s="18">
        <f t="shared" si="58"/>
        <v>330740.2161195174</v>
      </c>
      <c r="AY84" s="18">
        <f>IF(BD84&lt;&gt;1,"",AT84*CONTROL_PANEL!$B$14)</f>
        <v>163.65774201609665</v>
      </c>
      <c r="AZ84" s="18">
        <f>IF(BD84&lt;&gt;1,"",DATA_INPUT!$M84)</f>
        <v>822735.25749588059</v>
      </c>
      <c r="BA84" s="18">
        <f t="shared" si="59"/>
        <v>17670411.780263077</v>
      </c>
      <c r="BB84" s="18">
        <f>IF(BD84&lt;&gt;1,"",IF(BA84-CONTROL_PANEL!$B$11&lt;0,0,BA84-CONTROL_PANEL!$B$11))</f>
        <v>0</v>
      </c>
      <c r="BC84" s="18">
        <f>IF(BD84&lt;&gt;1,"",IF(AZ84&lt;=0,0,MIN(AZ84,MAX(0,CONTROL_PANEL!$B$13-BA84))))</f>
        <v>0</v>
      </c>
      <c r="BD84" s="18">
        <v>1</v>
      </c>
      <c r="BF84" s="19">
        <f t="shared" si="78"/>
        <v>2022</v>
      </c>
      <c r="BG84" s="19">
        <v>5</v>
      </c>
      <c r="BH84" s="18">
        <f t="shared" si="60"/>
        <v>31</v>
      </c>
      <c r="BI84" s="18">
        <f t="shared" si="73"/>
        <v>256.94468755117606</v>
      </c>
      <c r="BJ84" s="18">
        <f>IF(BW83&lt;&gt;1,"",IF(BT83&gt;0,IF(BT83&gt;CONTROL_PANEL!$B$11,CONTROL_PANEL!$B$11,BT83),0))</f>
        <v>22482509.670869224</v>
      </c>
      <c r="BK84" s="18">
        <f t="shared" si="61"/>
        <v>3073524.2347523416</v>
      </c>
      <c r="BL84" s="18">
        <f>IF(BW84&lt;&gt;1,"",DATA_INPUT!$I84)</f>
        <v>2.4636119526734404E-2</v>
      </c>
      <c r="BM84" s="18">
        <f>IF(BW84&lt;&gt;1,"",BL84*CONTROL_PANEL!$B$5)</f>
        <v>2337.9677430870947</v>
      </c>
      <c r="BN84" s="18">
        <f>IF(BW84&lt;&gt;1,"",DATA_INPUT!$C84)</f>
        <v>2.6121253333333336</v>
      </c>
      <c r="BO84" s="18">
        <f t="shared" si="62"/>
        <v>8028.4305162105393</v>
      </c>
      <c r="BP84" s="18">
        <f>IF(BW84&lt;&gt;1,"",DATA_INPUT!$H84)</f>
        <v>121.22379073162001</v>
      </c>
      <c r="BQ84" s="18">
        <f t="shared" si="63"/>
        <v>372584.25864218036</v>
      </c>
      <c r="BR84" s="18">
        <f>IF(BW84&lt;&gt;1,"",BM84*CONTROL_PANEL!$B$14)</f>
        <v>163.65774201609665</v>
      </c>
      <c r="BS84" s="18">
        <f>IF(BW84&lt;&gt;1,"",DATA_INPUT!$N84)</f>
        <v>689848.2496797702</v>
      </c>
      <c r="BT84" s="18">
        <f t="shared" si="64"/>
        <v>21430279.903064553</v>
      </c>
      <c r="BU84" s="18">
        <f>IF(BW84&lt;&gt;1,"",IF(BT84-CONTROL_PANEL!$B$11&lt;0,0,BT84-CONTROL_PANEL!$B$11))</f>
        <v>0</v>
      </c>
      <c r="BV84" s="18">
        <f>IF(BW84&lt;&gt;1,"",IF(BS84&lt;=0,0,MIN(BS84,MAX(0,CONTROL_PANEL!$B$13-BT84))))</f>
        <v>0</v>
      </c>
      <c r="BW84" s="18">
        <v>1</v>
      </c>
      <c r="BY84" s="19">
        <f t="shared" si="79"/>
        <v>2022</v>
      </c>
      <c r="BZ84" s="19">
        <v>5</v>
      </c>
      <c r="CA84" s="18">
        <f t="shared" si="65"/>
        <v>31</v>
      </c>
      <c r="CB84" s="18">
        <f t="shared" si="74"/>
        <v>255.45169591873903</v>
      </c>
      <c r="CC84" s="18">
        <f>IF(CP83&lt;&gt;1,"",IF(CM83&gt;0,IF(CM83&gt;CONTROL_PANEL!$B$11,CONTROL_PANEL!$B$11,CM83),0))</f>
        <v>18173248.405634463</v>
      </c>
      <c r="CD84" s="18">
        <f t="shared" si="66"/>
        <v>2665781.1378346002</v>
      </c>
      <c r="CE84" s="18">
        <f>IF(CP84&lt;&gt;1,"",DATA_INPUT!$I84)</f>
        <v>2.4636119526734404E-2</v>
      </c>
      <c r="CF84" s="18">
        <f>IF(CP84&lt;&gt;1,"",CE84*CONTROL_PANEL!$B$5)</f>
        <v>2337.9677430870947</v>
      </c>
      <c r="CG84" s="18">
        <f>IF(CP84&lt;&gt;1,"",DATA_INPUT!$C84)</f>
        <v>2.6121253333333336</v>
      </c>
      <c r="CH84" s="18">
        <f t="shared" si="67"/>
        <v>6963.3544432599183</v>
      </c>
      <c r="CI84" s="18">
        <f>IF(CP84&lt;&gt;1,"",DATA_INPUT!$H84)</f>
        <v>121.22379073162001</v>
      </c>
      <c r="CJ84" s="18">
        <f t="shared" si="68"/>
        <v>323156.09478916146</v>
      </c>
      <c r="CK84" s="18">
        <f>IF(CP84&lt;&gt;1,"",CF84*CONTROL_PANEL!$B$14)</f>
        <v>163.65774201609665</v>
      </c>
      <c r="CL84" s="18">
        <f>IF(CP84&lt;&gt;1,"",DATA_INPUT!$O84)</f>
        <v>788962.58489686518</v>
      </c>
      <c r="CM84" s="18">
        <f t="shared" si="69"/>
        <v>17070267.390392765</v>
      </c>
      <c r="CN84" s="18">
        <f>IF(CP84&lt;&gt;1,"",IF(CM84-CONTROL_PANEL!$B$11&lt;0,0,CM84-CONTROL_PANEL!$B$11))</f>
        <v>0</v>
      </c>
      <c r="CO84" s="18">
        <f>IF(CP84&lt;&gt;1,"",IF(CL84&lt;=0,0,MIN(CL84,MAX(0,CONTROL_PANEL!$B$13-CM84))))</f>
        <v>0</v>
      </c>
      <c r="CP84" s="18">
        <v>1</v>
      </c>
    </row>
    <row r="85" spans="1:94" x14ac:dyDescent="0.25">
      <c r="A85" s="19">
        <f t="shared" si="75"/>
        <v>2022</v>
      </c>
      <c r="B85" s="19">
        <v>6</v>
      </c>
      <c r="C85" s="18">
        <f t="shared" si="45"/>
        <v>30</v>
      </c>
      <c r="D85" s="18">
        <f t="shared" si="70"/>
        <v>256.19853335370146</v>
      </c>
      <c r="E85" s="18">
        <f>IF(R84&lt;&gt;1,"",IF(O84&gt;0,IF(O84&gt;CONTROL_PANEL!$B$11,CONTROL_PANEL!$B$11,O84),0))</f>
        <v>20252262.892800663</v>
      </c>
      <c r="F85" s="18">
        <f t="shared" si="46"/>
        <v>2866084.5382396919</v>
      </c>
      <c r="G85" s="18">
        <f>IF(R85&lt;&gt;1,"",DATA_INPUT!I85)</f>
        <v>3.6743104743988658E-3</v>
      </c>
      <c r="H85" s="18">
        <f>IF(R85&lt;&gt;1,"",G85*CONTROL_PANEL!$B$5)</f>
        <v>348.69206402045234</v>
      </c>
      <c r="I85" s="18">
        <f>IF(R85&lt;&gt;1,"",DATA_INPUT!C85)</f>
        <v>9.6744393645080002</v>
      </c>
      <c r="J85" s="18">
        <f t="shared" si="47"/>
        <v>27727.761078753811</v>
      </c>
      <c r="K85" s="18">
        <f>IF(R85&lt;&gt;1,"",DATA_INPUT!H85)</f>
        <v>139.46127079700764</v>
      </c>
      <c r="L85" s="18">
        <f t="shared" si="48"/>
        <v>399707.79191456229</v>
      </c>
      <c r="M85" s="18">
        <f>IF(R85&lt;&gt;1,"",H85*CONTROL_PANEL!$B$14)</f>
        <v>24.408444481431665</v>
      </c>
      <c r="N85" s="18">
        <f>IF(R85&lt;&gt;1,"",DATA_INPUT!K85)</f>
        <v>1032226.7973317667</v>
      </c>
      <c r="O85" s="18">
        <f t="shared" si="49"/>
        <v>18848380.348252624</v>
      </c>
      <c r="P85" s="18">
        <f>IF(R85&lt;&gt;1,"",IF(O85-CONTROL_PANEL!$B$11&lt;0,0,O85-CONTROL_PANEL!$B$11))</f>
        <v>0</v>
      </c>
      <c r="Q85" s="18">
        <f>IF(R85&lt;&gt;1,"",IF(N85&lt;=0,0,MIN(N85,MAX(0,CONTROL_PANEL!$B$13-O85))))</f>
        <v>0</v>
      </c>
      <c r="R85" s="18">
        <v>1</v>
      </c>
      <c r="T85" s="19">
        <f t="shared" si="76"/>
        <v>2022</v>
      </c>
      <c r="U85" s="19">
        <v>6</v>
      </c>
      <c r="V85" s="18">
        <f t="shared" si="50"/>
        <v>30</v>
      </c>
      <c r="W85" s="18">
        <f t="shared" si="71"/>
        <v>252.80396905130624</v>
      </c>
      <c r="X85" s="18">
        <f>IF(AK84&lt;&gt;1,"",IF(AH84&gt;0,IF(AH84&gt;CONTROL_PANEL!$B$11,CONTROL_PANEL!$B$11,AH84),0))</f>
        <v>11956135.39014414</v>
      </c>
      <c r="Y85" s="18">
        <f t="shared" si="51"/>
        <v>2014629.7753646658</v>
      </c>
      <c r="Z85" s="18">
        <f>IF(AK85&lt;&gt;1,"",DATA_INPUT!I85)</f>
        <v>3.6743104743988658E-3</v>
      </c>
      <c r="AA85" s="18">
        <f>IF(AK85&lt;&gt;1,"",Z85*CONTROL_PANEL!$B$5)</f>
        <v>348.69206402045234</v>
      </c>
      <c r="AB85" s="18">
        <f>IF(AK85&lt;&gt;1,"",DATA_INPUT!$C85)</f>
        <v>9.6744393645080002</v>
      </c>
      <c r="AC85" s="18">
        <f t="shared" si="52"/>
        <v>19490.413603697834</v>
      </c>
      <c r="AD85" s="18">
        <f>IF(AK85&lt;&gt;1,"",DATA_INPUT!$H85)</f>
        <v>139.46127079700764</v>
      </c>
      <c r="AE85" s="18">
        <f t="shared" si="53"/>
        <v>280962.82865784632</v>
      </c>
      <c r="AF85" s="18">
        <f>IF(AK85&lt;&gt;1,"",AA85*CONTROL_PANEL!$B$14)</f>
        <v>24.408444481431665</v>
      </c>
      <c r="AG85" s="18">
        <f>IF(AK85&lt;&gt;1,"",DATA_INPUT!$L85)</f>
        <v>1306926.2734411221</v>
      </c>
      <c r="AH85" s="18">
        <f t="shared" si="54"/>
        <v>10388060.985268407</v>
      </c>
      <c r="AI85" s="18">
        <f>IF(AK85&lt;&gt;1,"",IF(AH85-CONTROL_PANEL!$B$11&lt;0,0,AH85-CONTROL_PANEL!$B$11))</f>
        <v>0</v>
      </c>
      <c r="AJ85" s="18">
        <f>IF(AK85&lt;&gt;1,"",IF(AG85&lt;=0,0,MIN(AG85,MAX(0,CONTROL_PANEL!$B$13-AH85))))</f>
        <v>0</v>
      </c>
      <c r="AK85" s="18">
        <v>1</v>
      </c>
      <c r="AM85" s="19">
        <f t="shared" si="77"/>
        <v>2022</v>
      </c>
      <c r="AN85" s="19">
        <v>6</v>
      </c>
      <c r="AO85" s="18">
        <f t="shared" si="55"/>
        <v>30</v>
      </c>
      <c r="AP85" s="18">
        <f t="shared" si="72"/>
        <v>255.26255763062716</v>
      </c>
      <c r="AQ85" s="18">
        <f>IF(BD84&lt;&gt;1,"",IF(BA84&gt;0,IF(BA84&gt;CONTROL_PANEL!$B$11,CONTROL_PANEL!$B$11,BA84),0))</f>
        <v>17670411.780263077</v>
      </c>
      <c r="AR85" s="18">
        <f t="shared" si="56"/>
        <v>2616216.3882343303</v>
      </c>
      <c r="AS85" s="18">
        <f>IF(BD85&lt;&gt;1,"",DATA_INPUT!$I85)</f>
        <v>3.6743104743988658E-3</v>
      </c>
      <c r="AT85" s="18">
        <f>IF(BD85&lt;&gt;1,"",AS85*CONTROL_PANEL!$B$5)</f>
        <v>348.69206402045234</v>
      </c>
      <c r="AU85" s="18">
        <f>IF(BD85&lt;&gt;1,"",DATA_INPUT!$C85)</f>
        <v>9.6744393645080002</v>
      </c>
      <c r="AV85" s="18">
        <f t="shared" si="57"/>
        <v>25310.426812405149</v>
      </c>
      <c r="AW85" s="18">
        <f>IF(BD85&lt;&gt;1,"",DATA_INPUT!$H85)</f>
        <v>139.46127079700764</v>
      </c>
      <c r="AX85" s="18">
        <f t="shared" si="58"/>
        <v>364860.86218311719</v>
      </c>
      <c r="AY85" s="18">
        <f>IF(BD85&lt;&gt;1,"",AT85*CONTROL_PANEL!$B$14)</f>
        <v>24.408444481431665</v>
      </c>
      <c r="AZ85" s="18">
        <f>IF(BD85&lt;&gt;1,"",DATA_INPUT!$M85)</f>
        <v>1110568.7063283334</v>
      </c>
      <c r="BA85" s="18">
        <f t="shared" si="59"/>
        <v>16220616.922183573</v>
      </c>
      <c r="BB85" s="18">
        <f>IF(BD85&lt;&gt;1,"",IF(BA85-CONTROL_PANEL!$B$11&lt;0,0,BA85-CONTROL_PANEL!$B$11))</f>
        <v>0</v>
      </c>
      <c r="BC85" s="18">
        <f>IF(BD85&lt;&gt;1,"",IF(AZ85&lt;=0,0,MIN(AZ85,MAX(0,CONTROL_PANEL!$B$13-BA85))))</f>
        <v>0</v>
      </c>
      <c r="BD85" s="18">
        <v>1</v>
      </c>
      <c r="BF85" s="19">
        <f t="shared" si="78"/>
        <v>2022</v>
      </c>
      <c r="BG85" s="19">
        <v>6</v>
      </c>
      <c r="BH85" s="18">
        <f t="shared" si="60"/>
        <v>30</v>
      </c>
      <c r="BI85" s="18">
        <f t="shared" si="73"/>
        <v>256.59913572211883</v>
      </c>
      <c r="BJ85" s="18">
        <f>IF(BW84&lt;&gt;1,"",IF(BT84&gt;0,IF(BT84&gt;CONTROL_PANEL!$B$11,CONTROL_PANEL!$B$11,BT84),0))</f>
        <v>21430279.903064553</v>
      </c>
      <c r="BK85" s="18">
        <f t="shared" si="61"/>
        <v>2976546.8644819753</v>
      </c>
      <c r="BL85" s="18">
        <f>IF(BW85&lt;&gt;1,"",DATA_INPUT!$I85)</f>
        <v>3.6743104743988658E-3</v>
      </c>
      <c r="BM85" s="18">
        <f>IF(BW85&lt;&gt;1,"",BL85*CONTROL_PANEL!$B$5)</f>
        <v>348.69206402045234</v>
      </c>
      <c r="BN85" s="18">
        <f>IF(BW85&lt;&gt;1,"",DATA_INPUT!$C85)</f>
        <v>9.6744393645080002</v>
      </c>
      <c r="BO85" s="18">
        <f t="shared" si="62"/>
        <v>28796.42215604728</v>
      </c>
      <c r="BP85" s="18">
        <f>IF(BW85&lt;&gt;1,"",DATA_INPUT!$H85)</f>
        <v>139.46127079700764</v>
      </c>
      <c r="BQ85" s="18">
        <f t="shared" si="63"/>
        <v>415113.00830750476</v>
      </c>
      <c r="BR85" s="18">
        <f>IF(BW85&lt;&gt;1,"",BM85*CONTROL_PANEL!$B$14)</f>
        <v>24.408444481431665</v>
      </c>
      <c r="BS85" s="18">
        <f>IF(BW85&lt;&gt;1,"",DATA_INPUT!$N85)</f>
        <v>981754.08564433979</v>
      </c>
      <c r="BT85" s="18">
        <f t="shared" si="64"/>
        <v>20062533.514888294</v>
      </c>
      <c r="BU85" s="18">
        <f>IF(BW85&lt;&gt;1,"",IF(BT85-CONTROL_PANEL!$B$11&lt;0,0,BT85-CONTROL_PANEL!$B$11))</f>
        <v>0</v>
      </c>
      <c r="BV85" s="18">
        <f>IF(BW85&lt;&gt;1,"",IF(BS85&lt;=0,0,MIN(BS85,MAX(0,CONTROL_PANEL!$B$13-BT85))))</f>
        <v>0</v>
      </c>
      <c r="BW85" s="18">
        <v>1</v>
      </c>
      <c r="BY85" s="19">
        <f t="shared" si="79"/>
        <v>2022</v>
      </c>
      <c r="BZ85" s="19">
        <v>6</v>
      </c>
      <c r="CA85" s="18">
        <f t="shared" si="65"/>
        <v>30</v>
      </c>
      <c r="CB85" s="18">
        <f t="shared" si="74"/>
        <v>255.03204440741681</v>
      </c>
      <c r="CC85" s="18">
        <f>IF(CP84&lt;&gt;1,"",IF(CM84&gt;0,IF(CM84&gt;CONTROL_PANEL!$B$11,CONTROL_PANEL!$B$11,CM84),0))</f>
        <v>17070267.390392765</v>
      </c>
      <c r="CD85" s="18">
        <f t="shared" si="66"/>
        <v>2556444.1217101989</v>
      </c>
      <c r="CE85" s="18">
        <f>IF(CP85&lt;&gt;1,"",DATA_INPUT!$I85)</f>
        <v>3.6743104743988658E-3</v>
      </c>
      <c r="CF85" s="18">
        <f>IF(CP85&lt;&gt;1,"",CE85*CONTROL_PANEL!$B$5)</f>
        <v>348.69206402045234</v>
      </c>
      <c r="CG85" s="18">
        <f>IF(CP85&lt;&gt;1,"",DATA_INPUT!$C85)</f>
        <v>9.6744393645080002</v>
      </c>
      <c r="CH85" s="18">
        <f t="shared" si="67"/>
        <v>24732.16364423823</v>
      </c>
      <c r="CI85" s="18">
        <f>IF(CP85&lt;&gt;1,"",DATA_INPUT!$H85)</f>
        <v>139.46127079700764</v>
      </c>
      <c r="CJ85" s="18">
        <f t="shared" si="68"/>
        <v>356524.94593524444</v>
      </c>
      <c r="CK85" s="18">
        <f>IF(CP85&lt;&gt;1,"",CF85*CONTROL_PANEL!$B$14)</f>
        <v>24.408444481431665</v>
      </c>
      <c r="CL85" s="18">
        <f>IF(CP85&lt;&gt;1,"",DATA_INPUT!$O85)</f>
        <v>1121367.6688961051</v>
      </c>
      <c r="CM85" s="18">
        <f t="shared" si="69"/>
        <v>15617431.222825194</v>
      </c>
      <c r="CN85" s="18">
        <f>IF(CP85&lt;&gt;1,"",IF(CM85-CONTROL_PANEL!$B$11&lt;0,0,CM85-CONTROL_PANEL!$B$11))</f>
        <v>0</v>
      </c>
      <c r="CO85" s="18">
        <f>IF(CP85&lt;&gt;1,"",IF(CL85&lt;=0,0,MIN(CL85,MAX(0,CONTROL_PANEL!$B$13-CM85))))</f>
        <v>0</v>
      </c>
      <c r="CP85" s="18">
        <v>1</v>
      </c>
    </row>
    <row r="86" spans="1:94" x14ac:dyDescent="0.25">
      <c r="A86" s="19">
        <f t="shared" si="75"/>
        <v>2022</v>
      </c>
      <c r="B86" s="19">
        <v>7</v>
      </c>
      <c r="C86" s="18">
        <f t="shared" si="45"/>
        <v>31</v>
      </c>
      <c r="D86" s="18">
        <f t="shared" si="70"/>
        <v>255.70021461374716</v>
      </c>
      <c r="E86" s="18">
        <f>IF(R85&lt;&gt;1,"",IF(O85&gt;0,IF(O85&gt;CONTROL_PANEL!$B$11,CONTROL_PANEL!$B$11,O85),0))</f>
        <v>18848380.348252624</v>
      </c>
      <c r="F86" s="18">
        <f t="shared" si="46"/>
        <v>2731621.0048955604</v>
      </c>
      <c r="G86" s="18">
        <f>IF(R86&lt;&gt;1,"",DATA_INPUT!I86)</f>
        <v>5.0869560117705733E-4</v>
      </c>
      <c r="H86" s="18">
        <f>IF(R86&lt;&gt;1,"",G86*CONTROL_PANEL!$B$5)</f>
        <v>48.275212551702744</v>
      </c>
      <c r="I86" s="18">
        <f>IF(R86&lt;&gt;1,"",DATA_INPUT!C86)</f>
        <v>0</v>
      </c>
      <c r="J86" s="18">
        <f t="shared" si="47"/>
        <v>0</v>
      </c>
      <c r="K86" s="18">
        <f>IF(R86&lt;&gt;1,"",DATA_INPUT!H86)</f>
        <v>176.55213843443622</v>
      </c>
      <c r="L86" s="18">
        <f t="shared" si="48"/>
        <v>482273.52980673476</v>
      </c>
      <c r="M86" s="18">
        <f>IF(R86&lt;&gt;1,"",H86*CONTROL_PANEL!$B$14)</f>
        <v>3.3792648786191926</v>
      </c>
      <c r="N86" s="18">
        <f>IF(R86&lt;&gt;1,"",DATA_INPUT!K86)</f>
        <v>2330216.2671388164</v>
      </c>
      <c r="O86" s="18">
        <f t="shared" si="49"/>
        <v>16035935.447254747</v>
      </c>
      <c r="P86" s="18">
        <f>IF(R86&lt;&gt;1,"",IF(O86-CONTROL_PANEL!$B$11&lt;0,0,O86-CONTROL_PANEL!$B$11))</f>
        <v>0</v>
      </c>
      <c r="Q86" s="18">
        <f>IF(R86&lt;&gt;1,"",IF(N86&lt;=0,0,MIN(N86,MAX(0,CONTROL_PANEL!$B$13-O86))))</f>
        <v>0</v>
      </c>
      <c r="R86" s="18">
        <v>1</v>
      </c>
      <c r="T86" s="19">
        <f t="shared" si="76"/>
        <v>2022</v>
      </c>
      <c r="U86" s="19">
        <v>7</v>
      </c>
      <c r="V86" s="18">
        <f t="shared" si="50"/>
        <v>31</v>
      </c>
      <c r="W86" s="18">
        <f t="shared" si="71"/>
        <v>251.99415212732157</v>
      </c>
      <c r="X86" s="18">
        <f>IF(AK85&lt;&gt;1,"",IF(AH85&gt;0,IF(AH85&gt;CONTROL_PANEL!$B$11,CONTROL_PANEL!$B$11,AH85),0))</f>
        <v>10388060.985268407</v>
      </c>
      <c r="Y86" s="18">
        <f t="shared" si="51"/>
        <v>1833818.0523700502</v>
      </c>
      <c r="Z86" s="18">
        <f>IF(AK86&lt;&gt;1,"",DATA_INPUT!I86)</f>
        <v>5.0869560117705733E-4</v>
      </c>
      <c r="AA86" s="18">
        <f>IF(AK86&lt;&gt;1,"",Z86*CONTROL_PANEL!$B$5)</f>
        <v>48.275212551702744</v>
      </c>
      <c r="AB86" s="18">
        <f>IF(AK86&lt;&gt;1,"",DATA_INPUT!$C86)</f>
        <v>0</v>
      </c>
      <c r="AC86" s="18">
        <f t="shared" si="52"/>
        <v>0</v>
      </c>
      <c r="AD86" s="18">
        <f>IF(AK86&lt;&gt;1,"",DATA_INPUT!$H86)</f>
        <v>176.55213843443622</v>
      </c>
      <c r="AE86" s="18">
        <f t="shared" si="53"/>
        <v>323764.49864560534</v>
      </c>
      <c r="AF86" s="18">
        <f>IF(AK86&lt;&gt;1,"",AA86*CONTROL_PANEL!$B$14)</f>
        <v>3.3792648786191926</v>
      </c>
      <c r="AG86" s="18">
        <f>IF(AK86&lt;&gt;1,"",DATA_INPUT!$L86)</f>
        <v>2957077.0183678321</v>
      </c>
      <c r="AH86" s="18">
        <f t="shared" si="54"/>
        <v>7107264.3642026428</v>
      </c>
      <c r="AI86" s="18">
        <f>IF(AK86&lt;&gt;1,"",IF(AH86-CONTROL_PANEL!$B$11&lt;0,0,AH86-CONTROL_PANEL!$B$11))</f>
        <v>0</v>
      </c>
      <c r="AJ86" s="18">
        <f>IF(AK86&lt;&gt;1,"",IF(AG86&lt;=0,0,MIN(AG86,MAX(0,CONTROL_PANEL!$B$13-AH86))))</f>
        <v>0</v>
      </c>
      <c r="AK86" s="18">
        <v>1</v>
      </c>
      <c r="AM86" s="19">
        <f t="shared" si="77"/>
        <v>2022</v>
      </c>
      <c r="AN86" s="19">
        <v>7</v>
      </c>
      <c r="AO86" s="18">
        <f t="shared" si="55"/>
        <v>31</v>
      </c>
      <c r="AP86" s="18">
        <f t="shared" si="72"/>
        <v>254.69623584034372</v>
      </c>
      <c r="AQ86" s="18">
        <f>IF(BD85&lt;&gt;1,"",IF(BA85&gt;0,IF(BA85&gt;CONTROL_PANEL!$B$11,CONTROL_PANEL!$B$11,BA85),0))</f>
        <v>16220616.922183573</v>
      </c>
      <c r="AR86" s="18">
        <f t="shared" si="56"/>
        <v>2470616.7798253545</v>
      </c>
      <c r="AS86" s="18">
        <f>IF(BD86&lt;&gt;1,"",DATA_INPUT!$I86)</f>
        <v>5.0869560117705733E-4</v>
      </c>
      <c r="AT86" s="18">
        <f>IF(BD86&lt;&gt;1,"",AS86*CONTROL_PANEL!$B$5)</f>
        <v>48.275212551702744</v>
      </c>
      <c r="AU86" s="18">
        <f>IF(BD86&lt;&gt;1,"",DATA_INPUT!$C86)</f>
        <v>0</v>
      </c>
      <c r="AV86" s="18">
        <f t="shared" si="57"/>
        <v>0</v>
      </c>
      <c r="AW86" s="18">
        <f>IF(BD86&lt;&gt;1,"",DATA_INPUT!$H86)</f>
        <v>176.55213843443622</v>
      </c>
      <c r="AX86" s="18">
        <f t="shared" si="58"/>
        <v>436192.67573016701</v>
      </c>
      <c r="AY86" s="18">
        <f>IF(BD86&lt;&gt;1,"",AT86*CONTROL_PANEL!$B$14)</f>
        <v>3.3792648786191926</v>
      </c>
      <c r="AZ86" s="18">
        <f>IF(BD86&lt;&gt;1,"",DATA_INPUT!$M86)</f>
        <v>2595628.7413146882</v>
      </c>
      <c r="BA86" s="18">
        <f t="shared" si="59"/>
        <v>13188840.401086392</v>
      </c>
      <c r="BB86" s="18">
        <f>IF(BD86&lt;&gt;1,"",IF(BA86-CONTROL_PANEL!$B$11&lt;0,0,BA86-CONTROL_PANEL!$B$11))</f>
        <v>0</v>
      </c>
      <c r="BC86" s="18">
        <f>IF(BD86&lt;&gt;1,"",IF(AZ86&lt;=0,0,MIN(AZ86,MAX(0,CONTROL_PANEL!$B$13-BA86))))</f>
        <v>0</v>
      </c>
      <c r="BD86" s="18">
        <v>1</v>
      </c>
      <c r="BF86" s="19">
        <f t="shared" si="78"/>
        <v>2022</v>
      </c>
      <c r="BG86" s="19">
        <v>7</v>
      </c>
      <c r="BH86" s="18">
        <f t="shared" si="60"/>
        <v>31</v>
      </c>
      <c r="BI86" s="18">
        <f t="shared" si="73"/>
        <v>256.13256652952384</v>
      </c>
      <c r="BJ86" s="18">
        <f>IF(BW85&lt;&gt;1,"",IF(BT85&gt;0,IF(BT85&gt;CONTROL_PANEL!$B$11,CONTROL_PANEL!$B$11,BT85),0))</f>
        <v>20062533.514888294</v>
      </c>
      <c r="BK86" s="18">
        <f t="shared" si="61"/>
        <v>2848097.0572399902</v>
      </c>
      <c r="BL86" s="18">
        <f>IF(BW86&lt;&gt;1,"",DATA_INPUT!$I86)</f>
        <v>5.0869560117705733E-4</v>
      </c>
      <c r="BM86" s="18">
        <f>IF(BW86&lt;&gt;1,"",BL86*CONTROL_PANEL!$B$5)</f>
        <v>48.275212551702744</v>
      </c>
      <c r="BN86" s="18">
        <f>IF(BW86&lt;&gt;1,"",DATA_INPUT!$C86)</f>
        <v>0</v>
      </c>
      <c r="BO86" s="18">
        <f t="shared" si="62"/>
        <v>0</v>
      </c>
      <c r="BP86" s="18">
        <f>IF(BW86&lt;&gt;1,"",DATA_INPUT!$H86)</f>
        <v>176.55213843443622</v>
      </c>
      <c r="BQ86" s="18">
        <f t="shared" si="63"/>
        <v>502837.62592454517</v>
      </c>
      <c r="BR86" s="18">
        <f>IF(BW86&lt;&gt;1,"",BM86*CONTROL_PANEL!$B$14)</f>
        <v>3.3792648786191926</v>
      </c>
      <c r="BS86" s="18">
        <f>IF(BW86&lt;&gt;1,"",DATA_INPUT!$N86)</f>
        <v>2375117.8511538594</v>
      </c>
      <c r="BT86" s="18">
        <f t="shared" si="64"/>
        <v>17184622.933757562</v>
      </c>
      <c r="BU86" s="18">
        <f>IF(BW86&lt;&gt;1,"",IF(BT86-CONTROL_PANEL!$B$11&lt;0,0,BT86-CONTROL_PANEL!$B$11))</f>
        <v>0</v>
      </c>
      <c r="BV86" s="18">
        <f>IF(BW86&lt;&gt;1,"",IF(BS86&lt;=0,0,MIN(BS86,MAX(0,CONTROL_PANEL!$B$13-BT86))))</f>
        <v>0</v>
      </c>
      <c r="BW86" s="18">
        <v>1</v>
      </c>
      <c r="BY86" s="19">
        <f t="shared" si="79"/>
        <v>2022</v>
      </c>
      <c r="BZ86" s="19">
        <v>7</v>
      </c>
      <c r="CA86" s="18">
        <f t="shared" si="65"/>
        <v>31</v>
      </c>
      <c r="CB86" s="18">
        <f t="shared" si="74"/>
        <v>254.45062874332945</v>
      </c>
      <c r="CC86" s="18">
        <f>IF(CP85&lt;&gt;1,"",IF(CM85&gt;0,IF(CM85&gt;CONTROL_PANEL!$B$11,CONTROL_PANEL!$B$11,CM85),0))</f>
        <v>15617431.222825194</v>
      </c>
      <c r="CD86" s="18">
        <f t="shared" si="66"/>
        <v>2408780.4197354494</v>
      </c>
      <c r="CE86" s="18">
        <f>IF(CP86&lt;&gt;1,"",DATA_INPUT!$I86)</f>
        <v>5.0869560117705733E-4</v>
      </c>
      <c r="CF86" s="18">
        <f>IF(CP86&lt;&gt;1,"",CE86*CONTROL_PANEL!$B$5)</f>
        <v>48.275212551702744</v>
      </c>
      <c r="CG86" s="18">
        <f>IF(CP86&lt;&gt;1,"",DATA_INPUT!$C86)</f>
        <v>0</v>
      </c>
      <c r="CH86" s="18">
        <f t="shared" si="67"/>
        <v>0</v>
      </c>
      <c r="CI86" s="18">
        <f>IF(CP86&lt;&gt;1,"",DATA_INPUT!$H86)</f>
        <v>176.55213843443622</v>
      </c>
      <c r="CJ86" s="18">
        <f t="shared" si="68"/>
        <v>425275.33412329247</v>
      </c>
      <c r="CK86" s="18">
        <f>IF(CP86&lt;&gt;1,"",CF86*CONTROL_PANEL!$B$14)</f>
        <v>3.3792648786191926</v>
      </c>
      <c r="CL86" s="18">
        <f>IF(CP86&lt;&gt;1,"",DATA_INPUT!$O86)</f>
        <v>2720103.8285982446</v>
      </c>
      <c r="CM86" s="18">
        <f t="shared" si="69"/>
        <v>12472096.956051331</v>
      </c>
      <c r="CN86" s="18">
        <f>IF(CP86&lt;&gt;1,"",IF(CM86-CONTROL_PANEL!$B$11&lt;0,0,CM86-CONTROL_PANEL!$B$11))</f>
        <v>0</v>
      </c>
      <c r="CO86" s="18">
        <f>IF(CP86&lt;&gt;1,"",IF(CL86&lt;=0,0,MIN(CL86,MAX(0,CONTROL_PANEL!$B$13-CM86))))</f>
        <v>0</v>
      </c>
      <c r="CP86" s="18">
        <v>1</v>
      </c>
    </row>
    <row r="87" spans="1:94" x14ac:dyDescent="0.25">
      <c r="A87" s="19">
        <f t="shared" si="75"/>
        <v>2022</v>
      </c>
      <c r="B87" s="19">
        <v>8</v>
      </c>
      <c r="C87" s="18">
        <f t="shared" si="45"/>
        <v>31</v>
      </c>
      <c r="D87" s="18">
        <f t="shared" si="70"/>
        <v>254.62169516463553</v>
      </c>
      <c r="E87" s="18">
        <f>IF(R86&lt;&gt;1,"",IF(O86&gt;0,IF(O86&gt;CONTROL_PANEL!$B$11,CONTROL_PANEL!$B$11,O86),0))</f>
        <v>16035935.447254747</v>
      </c>
      <c r="F87" s="18">
        <f t="shared" si="46"/>
        <v>2451766.0649661785</v>
      </c>
      <c r="G87" s="18">
        <f>IF(R87&lt;&gt;1,"",DATA_INPUT!I87)</f>
        <v>6.9681785921102461E-5</v>
      </c>
      <c r="H87" s="18">
        <f>IF(R87&lt;&gt;1,"",G87*CONTROL_PANEL!$B$5)</f>
        <v>6.6128014839126239</v>
      </c>
      <c r="I87" s="18">
        <f>IF(R87&lt;&gt;1,"",DATA_INPUT!C87)</f>
        <v>0.10000000000000002</v>
      </c>
      <c r="J87" s="18">
        <f t="shared" si="47"/>
        <v>245.17660649661789</v>
      </c>
      <c r="K87" s="18">
        <f>IF(R87&lt;&gt;1,"",DATA_INPUT!H87)</f>
        <v>143.8556338233717</v>
      </c>
      <c r="L87" s="18">
        <f t="shared" si="48"/>
        <v>352700.36126234353</v>
      </c>
      <c r="M87" s="18">
        <f>IF(R87&lt;&gt;1,"",H87*CONTROL_PANEL!$B$14)</f>
        <v>0.46289610387388369</v>
      </c>
      <c r="N87" s="18">
        <f>IF(R87&lt;&gt;1,"",DATA_INPUT!K87)</f>
        <v>1924504.0854197452</v>
      </c>
      <c r="O87" s="18">
        <f t="shared" si="49"/>
        <v>13758982.327084536</v>
      </c>
      <c r="P87" s="18">
        <f>IF(R87&lt;&gt;1,"",IF(O87-CONTROL_PANEL!$B$11&lt;0,0,O87-CONTROL_PANEL!$B$11))</f>
        <v>0</v>
      </c>
      <c r="Q87" s="18">
        <f>IF(R87&lt;&gt;1,"",IF(N87&lt;=0,0,MIN(N87,MAX(0,CONTROL_PANEL!$B$13-O87))))</f>
        <v>0</v>
      </c>
      <c r="R87" s="18">
        <v>1</v>
      </c>
      <c r="T87" s="19">
        <f t="shared" si="76"/>
        <v>2022</v>
      </c>
      <c r="U87" s="19">
        <v>8</v>
      </c>
      <c r="V87" s="18">
        <f t="shared" si="50"/>
        <v>31</v>
      </c>
      <c r="W87" s="18">
        <f t="shared" si="71"/>
        <v>249.98716064033167</v>
      </c>
      <c r="X87" s="18">
        <f>IF(AK86&lt;&gt;1,"",IF(AH86&gt;0,IF(AH86&gt;CONTROL_PANEL!$B$11,CONTROL_PANEL!$B$11,AH86),0))</f>
        <v>7107264.3642026428</v>
      </c>
      <c r="Y87" s="18">
        <f t="shared" si="51"/>
        <v>1422670.6181576031</v>
      </c>
      <c r="Z87" s="18">
        <f>IF(AK87&lt;&gt;1,"",DATA_INPUT!I87)</f>
        <v>6.9681785921102461E-5</v>
      </c>
      <c r="AA87" s="18">
        <f>IF(AK87&lt;&gt;1,"",Z87*CONTROL_PANEL!$B$5)</f>
        <v>6.6128014839126239</v>
      </c>
      <c r="AB87" s="18">
        <f>IF(AK87&lt;&gt;1,"",DATA_INPUT!$C87)</f>
        <v>0.10000000000000002</v>
      </c>
      <c r="AC87" s="18">
        <f t="shared" si="52"/>
        <v>142.26706181576034</v>
      </c>
      <c r="AD87" s="18">
        <f>IF(AK87&lt;&gt;1,"",DATA_INPUT!$H87)</f>
        <v>143.8556338233717</v>
      </c>
      <c r="AE87" s="18">
        <f t="shared" si="53"/>
        <v>204659.18349695002</v>
      </c>
      <c r="AF87" s="18">
        <f>IF(AK87&lt;&gt;1,"",AA87*CONTROL_PANEL!$B$14)</f>
        <v>0.46289610387388369</v>
      </c>
      <c r="AG87" s="18">
        <f>IF(AK87&lt;&gt;1,"",DATA_INPUT!$L87)</f>
        <v>2442034.7326615029</v>
      </c>
      <c r="AH87" s="18">
        <f t="shared" si="54"/>
        <v>4460718.8650113847</v>
      </c>
      <c r="AI87" s="18">
        <f>IF(AK87&lt;&gt;1,"",IF(AH87-CONTROL_PANEL!$B$11&lt;0,0,AH87-CONTROL_PANEL!$B$11))</f>
        <v>0</v>
      </c>
      <c r="AJ87" s="18">
        <f>IF(AK87&lt;&gt;1,"",IF(AG87&lt;=0,0,MIN(AG87,MAX(0,CONTROL_PANEL!$B$13-AH87))))</f>
        <v>0</v>
      </c>
      <c r="AK87" s="18">
        <v>1</v>
      </c>
      <c r="AM87" s="19">
        <f t="shared" si="77"/>
        <v>2022</v>
      </c>
      <c r="AN87" s="19">
        <v>8</v>
      </c>
      <c r="AO87" s="18">
        <f t="shared" si="55"/>
        <v>31</v>
      </c>
      <c r="AP87" s="18">
        <f t="shared" si="72"/>
        <v>253.39196022064385</v>
      </c>
      <c r="AQ87" s="18">
        <f>IF(BD86&lt;&gt;1,"",IF(BA86&gt;0,IF(BA86&gt;CONTROL_PANEL!$B$11,CONTROL_PANEL!$B$11,BA86),0))</f>
        <v>13188840.401086392</v>
      </c>
      <c r="AR87" s="18">
        <f t="shared" si="56"/>
        <v>2151294.4095457648</v>
      </c>
      <c r="AS87" s="18">
        <f>IF(BD87&lt;&gt;1,"",DATA_INPUT!$I87)</f>
        <v>6.9681785921102461E-5</v>
      </c>
      <c r="AT87" s="18">
        <f>IF(BD87&lt;&gt;1,"",AS87*CONTROL_PANEL!$B$5)</f>
        <v>6.6128014839126239</v>
      </c>
      <c r="AU87" s="18">
        <f>IF(BD87&lt;&gt;1,"",DATA_INPUT!$C87)</f>
        <v>0.10000000000000002</v>
      </c>
      <c r="AV87" s="18">
        <f t="shared" si="57"/>
        <v>215.12944095457649</v>
      </c>
      <c r="AW87" s="18">
        <f>IF(BD87&lt;&gt;1,"",DATA_INPUT!$H87)</f>
        <v>143.8556338233717</v>
      </c>
      <c r="AX87" s="18">
        <f t="shared" si="58"/>
        <v>309475.8208258822</v>
      </c>
      <c r="AY87" s="18">
        <f>IF(BD87&lt;&gt;1,"",AT87*CONTROL_PANEL!$B$14)</f>
        <v>0.46289610387388369</v>
      </c>
      <c r="AZ87" s="18">
        <f>IF(BD87&lt;&gt;1,"",DATA_INPUT!$M87)</f>
        <v>2156834.4145764126</v>
      </c>
      <c r="BA87" s="18">
        <f t="shared" si="59"/>
        <v>10722751.445030432</v>
      </c>
      <c r="BB87" s="18">
        <f>IF(BD87&lt;&gt;1,"",IF(BA87-CONTROL_PANEL!$B$11&lt;0,0,BA87-CONTROL_PANEL!$B$11))</f>
        <v>0</v>
      </c>
      <c r="BC87" s="18">
        <f>IF(BD87&lt;&gt;1,"",IF(AZ87&lt;=0,0,MIN(AZ87,MAX(0,CONTROL_PANEL!$B$13-BA87))))</f>
        <v>0</v>
      </c>
      <c r="BD87" s="18">
        <v>1</v>
      </c>
      <c r="BF87" s="19">
        <f t="shared" si="78"/>
        <v>2022</v>
      </c>
      <c r="BG87" s="19">
        <v>8</v>
      </c>
      <c r="BH87" s="18">
        <f t="shared" si="60"/>
        <v>31</v>
      </c>
      <c r="BI87" s="18">
        <f t="shared" si="73"/>
        <v>255.07638124870994</v>
      </c>
      <c r="BJ87" s="18">
        <f>IF(BW86&lt;&gt;1,"",IF(BT86&gt;0,IF(BT86&gt;CONTROL_PANEL!$B$11,CONTROL_PANEL!$B$11,BT86),0))</f>
        <v>17184622.933757562</v>
      </c>
      <c r="BK87" s="18">
        <f t="shared" si="61"/>
        <v>2567886.5211122348</v>
      </c>
      <c r="BL87" s="18">
        <f>IF(BW87&lt;&gt;1,"",DATA_INPUT!$I87)</f>
        <v>6.9681785921102461E-5</v>
      </c>
      <c r="BM87" s="18">
        <f>IF(BW87&lt;&gt;1,"",BL87*CONTROL_PANEL!$B$5)</f>
        <v>6.6128014839126239</v>
      </c>
      <c r="BN87" s="18">
        <f>IF(BW87&lt;&gt;1,"",DATA_INPUT!$C87)</f>
        <v>0.10000000000000002</v>
      </c>
      <c r="BO87" s="18">
        <f t="shared" si="62"/>
        <v>256.78865211122354</v>
      </c>
      <c r="BP87" s="18">
        <f>IF(BW87&lt;&gt;1,"",DATA_INPUT!$H87)</f>
        <v>143.8556338233717</v>
      </c>
      <c r="BQ87" s="18">
        <f t="shared" si="63"/>
        <v>369404.94308109349</v>
      </c>
      <c r="BR87" s="18">
        <f>IF(BW87&lt;&gt;1,"",BM87*CONTROL_PANEL!$B$14)</f>
        <v>0.46289610387388369</v>
      </c>
      <c r="BS87" s="18">
        <f>IF(BW87&lt;&gt;1,"",DATA_INPUT!$N87)</f>
        <v>1986219.1225213783</v>
      </c>
      <c r="BT87" s="18">
        <f t="shared" si="64"/>
        <v>14829261.806712583</v>
      </c>
      <c r="BU87" s="18">
        <f>IF(BW87&lt;&gt;1,"",IF(BT87-CONTROL_PANEL!$B$11&lt;0,0,BT87-CONTROL_PANEL!$B$11))</f>
        <v>0</v>
      </c>
      <c r="BV87" s="18">
        <f>IF(BW87&lt;&gt;1,"",IF(BS87&lt;=0,0,MIN(BS87,MAX(0,CONTROL_PANEL!$B$13-BT87))))</f>
        <v>0</v>
      </c>
      <c r="BW87" s="18">
        <v>1</v>
      </c>
      <c r="BY87" s="19">
        <f t="shared" si="79"/>
        <v>2022</v>
      </c>
      <c r="BZ87" s="19">
        <v>8</v>
      </c>
      <c r="CA87" s="18">
        <f t="shared" si="65"/>
        <v>31</v>
      </c>
      <c r="CB87" s="18">
        <f t="shared" si="74"/>
        <v>253.05479426242789</v>
      </c>
      <c r="CC87" s="18">
        <f>IF(CP86&lt;&gt;1,"",IF(CM86&gt;0,IF(CM86&gt;CONTROL_PANEL!$B$11,CONTROL_PANEL!$B$11,CM86),0))</f>
        <v>12472096.956051331</v>
      </c>
      <c r="CD87" s="18">
        <f t="shared" si="66"/>
        <v>2072374.2582886971</v>
      </c>
      <c r="CE87" s="18">
        <f>IF(CP87&lt;&gt;1,"",DATA_INPUT!$I87)</f>
        <v>6.9681785921102461E-5</v>
      </c>
      <c r="CF87" s="18">
        <f>IF(CP87&lt;&gt;1,"",CE87*CONTROL_PANEL!$B$5)</f>
        <v>6.6128014839126239</v>
      </c>
      <c r="CG87" s="18">
        <f>IF(CP87&lt;&gt;1,"",DATA_INPUT!$C87)</f>
        <v>0.10000000000000002</v>
      </c>
      <c r="CH87" s="18">
        <f t="shared" si="67"/>
        <v>207.23742582886973</v>
      </c>
      <c r="CI87" s="18">
        <f>IF(CP87&lt;&gt;1,"",DATA_INPUT!$H87)</f>
        <v>143.8556338233717</v>
      </c>
      <c r="CJ87" s="18">
        <f t="shared" si="68"/>
        <v>298122.71244536038</v>
      </c>
      <c r="CK87" s="18">
        <f>IF(CP87&lt;&gt;1,"",CF87*CONTROL_PANEL!$B$14)</f>
        <v>0.46289610387388369</v>
      </c>
      <c r="CL87" s="18">
        <f>IF(CP87&lt;&gt;1,"",DATA_INPUT!$O87)</f>
        <v>2274579.7177030235</v>
      </c>
      <c r="CM87" s="18">
        <f t="shared" si="69"/>
        <v>9899607.9132341556</v>
      </c>
      <c r="CN87" s="18">
        <f>IF(CP87&lt;&gt;1,"",IF(CM87-CONTROL_PANEL!$B$11&lt;0,0,CM87-CONTROL_PANEL!$B$11))</f>
        <v>0</v>
      </c>
      <c r="CO87" s="18">
        <f>IF(CP87&lt;&gt;1,"",IF(CL87&lt;=0,0,MIN(CL87,MAX(0,CONTROL_PANEL!$B$13-CM87))))</f>
        <v>0</v>
      </c>
      <c r="CP87" s="18">
        <v>1</v>
      </c>
    </row>
    <row r="88" spans="1:94" x14ac:dyDescent="0.25">
      <c r="A88" s="19">
        <f t="shared" si="75"/>
        <v>2022</v>
      </c>
      <c r="B88" s="19">
        <v>9</v>
      </c>
      <c r="C88" s="18">
        <f t="shared" si="45"/>
        <v>30</v>
      </c>
      <c r="D88" s="18">
        <f t="shared" si="70"/>
        <v>253.65151063839005</v>
      </c>
      <c r="E88" s="18">
        <f>IF(R87&lt;&gt;1,"",IF(O87&gt;0,IF(O87&gt;CONTROL_PANEL!$B$11,CONTROL_PANEL!$B$11,O87),0))</f>
        <v>13758982.327084536</v>
      </c>
      <c r="F88" s="18">
        <f t="shared" si="46"/>
        <v>2213061.8683665316</v>
      </c>
      <c r="G88" s="18">
        <f>IF(R88&lt;&gt;1,"",DATA_INPUT!I88)</f>
        <v>1.0392566719238681E-5</v>
      </c>
      <c r="H88" s="18">
        <f>IF(R88&lt;&gt;1,"",G88*CONTROL_PANEL!$B$5)</f>
        <v>0.98625458165575075</v>
      </c>
      <c r="I88" s="18">
        <f>IF(R88&lt;&gt;1,"",DATA_INPUT!C88)</f>
        <v>62.190371071278669</v>
      </c>
      <c r="J88" s="18">
        <f t="shared" si="47"/>
        <v>137631.13879741187</v>
      </c>
      <c r="K88" s="18">
        <f>IF(R88&lt;&gt;1,"",DATA_INPUT!H88)</f>
        <v>92.222430633107138</v>
      </c>
      <c r="L88" s="18">
        <f t="shared" si="48"/>
        <v>204093.94464220694</v>
      </c>
      <c r="M88" s="18">
        <f>IF(R88&lt;&gt;1,"",H88*CONTROL_PANEL!$B$14)</f>
        <v>6.9037820715902559E-2</v>
      </c>
      <c r="N88" s="18">
        <f>IF(R88&lt;&gt;1,"",DATA_INPUT!K88)</f>
        <v>432576.76892668096</v>
      </c>
      <c r="O88" s="18">
        <f t="shared" si="49"/>
        <v>13259943.669529822</v>
      </c>
      <c r="P88" s="18">
        <f>IF(R88&lt;&gt;1,"",IF(O88-CONTROL_PANEL!$B$11&lt;0,0,O88-CONTROL_PANEL!$B$11))</f>
        <v>0</v>
      </c>
      <c r="Q88" s="18">
        <f>IF(R88&lt;&gt;1,"",IF(N88&lt;=0,0,MIN(N88,MAX(0,CONTROL_PANEL!$B$13-O88))))</f>
        <v>0</v>
      </c>
      <c r="R88" s="18">
        <v>1</v>
      </c>
      <c r="T88" s="19">
        <f t="shared" si="76"/>
        <v>2022</v>
      </c>
      <c r="U88" s="19">
        <v>9</v>
      </c>
      <c r="V88" s="18">
        <f t="shared" si="50"/>
        <v>30</v>
      </c>
      <c r="W88" s="18">
        <f t="shared" si="71"/>
        <v>247.84497893619519</v>
      </c>
      <c r="X88" s="18">
        <f>IF(AK87&lt;&gt;1,"",IF(AH87&gt;0,IF(AH87&gt;CONTROL_PANEL!$B$11,CONTROL_PANEL!$B$11,AH87),0))</f>
        <v>4460718.8650113847</v>
      </c>
      <c r="Y88" s="18">
        <f t="shared" si="51"/>
        <v>1041820.0498036827</v>
      </c>
      <c r="Z88" s="18">
        <f>IF(AK88&lt;&gt;1,"",DATA_INPUT!I88)</f>
        <v>1.0392566719238681E-5</v>
      </c>
      <c r="AA88" s="18">
        <f>IF(AK88&lt;&gt;1,"",Z88*CONTROL_PANEL!$B$5)</f>
        <v>0.98625458165575075</v>
      </c>
      <c r="AB88" s="18">
        <f>IF(AK88&lt;&gt;1,"",DATA_INPUT!$C88)</f>
        <v>62.190371071278669</v>
      </c>
      <c r="AC88" s="18">
        <f t="shared" si="52"/>
        <v>64791.175486789056</v>
      </c>
      <c r="AD88" s="18">
        <f>IF(AK88&lt;&gt;1,"",DATA_INPUT!$H88)</f>
        <v>92.222430633107138</v>
      </c>
      <c r="AE88" s="18">
        <f t="shared" si="53"/>
        <v>96079.177275200345</v>
      </c>
      <c r="AF88" s="18">
        <f>IF(AK88&lt;&gt;1,"",AA88*CONTROL_PANEL!$B$14)</f>
        <v>6.9037820715902559E-2</v>
      </c>
      <c r="AG88" s="18">
        <f>IF(AK88&lt;&gt;1,"",DATA_INPUT!$L88)</f>
        <v>548246.60076018632</v>
      </c>
      <c r="AH88" s="18">
        <f t="shared" si="54"/>
        <v>3881185.1796795474</v>
      </c>
      <c r="AI88" s="18">
        <f>IF(AK88&lt;&gt;1,"",IF(AH88-CONTROL_PANEL!$B$11&lt;0,0,AH88-CONTROL_PANEL!$B$11))</f>
        <v>0</v>
      </c>
      <c r="AJ88" s="18">
        <f>IF(AK88&lt;&gt;1,"",IF(AG88&lt;=0,0,MIN(AG88,MAX(0,CONTROL_PANEL!$B$13-AH88))))</f>
        <v>0</v>
      </c>
      <c r="AK88" s="18">
        <v>1</v>
      </c>
      <c r="AM88" s="19">
        <f t="shared" si="77"/>
        <v>2022</v>
      </c>
      <c r="AN88" s="19">
        <v>9</v>
      </c>
      <c r="AO88" s="18">
        <f t="shared" si="55"/>
        <v>30</v>
      </c>
      <c r="AP88" s="18">
        <f t="shared" si="72"/>
        <v>252.17353435653075</v>
      </c>
      <c r="AQ88" s="18">
        <f>IF(BD87&lt;&gt;1,"",IF(BA87&gt;0,IF(BA87&gt;CONTROL_PANEL!$B$11,CONTROL_PANEL!$B$11,BA87),0))</f>
        <v>10722751.445030432</v>
      </c>
      <c r="AR88" s="18">
        <f t="shared" si="56"/>
        <v>1873129.5298488447</v>
      </c>
      <c r="AS88" s="18">
        <f>IF(BD88&lt;&gt;1,"",DATA_INPUT!$I88)</f>
        <v>1.0392566719238681E-5</v>
      </c>
      <c r="AT88" s="18">
        <f>IF(BD88&lt;&gt;1,"",AS88*CONTROL_PANEL!$B$5)</f>
        <v>0.98625458165575075</v>
      </c>
      <c r="AU88" s="18">
        <f>IF(BD88&lt;&gt;1,"",DATA_INPUT!$C88)</f>
        <v>62.190371071278669</v>
      </c>
      <c r="AV88" s="18">
        <f t="shared" si="57"/>
        <v>116490.62052586941</v>
      </c>
      <c r="AW88" s="18">
        <f>IF(BD88&lt;&gt;1,"",DATA_INPUT!$H88)</f>
        <v>92.222430633107138</v>
      </c>
      <c r="AX88" s="18">
        <f t="shared" si="58"/>
        <v>172744.55813330965</v>
      </c>
      <c r="AY88" s="18">
        <f>IF(BD88&lt;&gt;1,"",AT88*CONTROL_PANEL!$B$14)</f>
        <v>6.9037820715902559E-2</v>
      </c>
      <c r="AZ88" s="18">
        <f>IF(BD88&lt;&gt;1,"",DATA_INPUT!$M88)</f>
        <v>485752.15023372794</v>
      </c>
      <c r="BA88" s="18">
        <f t="shared" si="59"/>
        <v>10180746.274406025</v>
      </c>
      <c r="BB88" s="18">
        <f>IF(BD88&lt;&gt;1,"",IF(BA88-CONTROL_PANEL!$B$11&lt;0,0,BA88-CONTROL_PANEL!$B$11))</f>
        <v>0</v>
      </c>
      <c r="BC88" s="18">
        <f>IF(BD88&lt;&gt;1,"",IF(AZ88&lt;=0,0,MIN(AZ88,MAX(0,CONTROL_PANEL!$B$13-BA88))))</f>
        <v>0</v>
      </c>
      <c r="BD88" s="18">
        <v>1</v>
      </c>
      <c r="BF88" s="19">
        <f t="shared" si="78"/>
        <v>2022</v>
      </c>
      <c r="BG88" s="19">
        <v>9</v>
      </c>
      <c r="BH88" s="18">
        <f t="shared" si="60"/>
        <v>30</v>
      </c>
      <c r="BI88" s="18">
        <f t="shared" si="73"/>
        <v>254.11994336997046</v>
      </c>
      <c r="BJ88" s="18">
        <f>IF(BW87&lt;&gt;1,"",IF(BT87&gt;0,IF(BT87&gt;CONTROL_PANEL!$B$11,CONTROL_PANEL!$B$11,BT87),0))</f>
        <v>14829261.806712583</v>
      </c>
      <c r="BK88" s="18">
        <f t="shared" si="61"/>
        <v>2326773.9113709764</v>
      </c>
      <c r="BL88" s="18">
        <f>IF(BW88&lt;&gt;1,"",DATA_INPUT!$I88)</f>
        <v>1.0392566719238681E-5</v>
      </c>
      <c r="BM88" s="18">
        <f>IF(BW88&lt;&gt;1,"",BL88*CONTROL_PANEL!$B$5)</f>
        <v>0.98625458165575075</v>
      </c>
      <c r="BN88" s="18">
        <f>IF(BW88&lt;&gt;1,"",DATA_INPUT!$C88)</f>
        <v>62.190371071278669</v>
      </c>
      <c r="BO88" s="18">
        <f t="shared" si="62"/>
        <v>144702.93294713148</v>
      </c>
      <c r="BP88" s="18">
        <f>IF(BW88&lt;&gt;1,"",DATA_INPUT!$H88)</f>
        <v>92.222430633107138</v>
      </c>
      <c r="BQ88" s="18">
        <f t="shared" si="63"/>
        <v>214580.74564033325</v>
      </c>
      <c r="BR88" s="18">
        <f>IF(BW88&lt;&gt;1,"",BM88*CONTROL_PANEL!$B$14)</f>
        <v>6.9037820715902559E-2</v>
      </c>
      <c r="BS88" s="18">
        <f>IF(BW88&lt;&gt;1,"",DATA_INPUT!$N88)</f>
        <v>448846.69360348623</v>
      </c>
      <c r="BT88" s="18">
        <f t="shared" si="64"/>
        <v>14310538.217632655</v>
      </c>
      <c r="BU88" s="18">
        <f>IF(BW88&lt;&gt;1,"",IF(BT88-CONTROL_PANEL!$B$11&lt;0,0,BT88-CONTROL_PANEL!$B$11))</f>
        <v>0</v>
      </c>
      <c r="BV88" s="18">
        <f>IF(BW88&lt;&gt;1,"",IF(BS88&lt;=0,0,MIN(BS88,MAX(0,CONTROL_PANEL!$B$13-BT88))))</f>
        <v>0</v>
      </c>
      <c r="BW88" s="18">
        <v>1</v>
      </c>
      <c r="BY88" s="19">
        <f t="shared" si="79"/>
        <v>2022</v>
      </c>
      <c r="BZ88" s="19">
        <v>9</v>
      </c>
      <c r="CA88" s="18">
        <f t="shared" si="65"/>
        <v>30</v>
      </c>
      <c r="CB88" s="18">
        <f t="shared" si="74"/>
        <v>251.72528432681568</v>
      </c>
      <c r="CC88" s="18">
        <f>IF(CP87&lt;&gt;1,"",IF(CM87&gt;0,IF(CM87&gt;CONTROL_PANEL!$B$11,CONTROL_PANEL!$B$11,CM87),0))</f>
        <v>9899607.9132341556</v>
      </c>
      <c r="CD88" s="18">
        <f t="shared" si="66"/>
        <v>1775684.2370737039</v>
      </c>
      <c r="CE88" s="18">
        <f>IF(CP88&lt;&gt;1,"",DATA_INPUT!$I88)</f>
        <v>1.0392566719238681E-5</v>
      </c>
      <c r="CF88" s="18">
        <f>IF(CP88&lt;&gt;1,"",CE88*CONTROL_PANEL!$B$5)</f>
        <v>0.98625458165575075</v>
      </c>
      <c r="CG88" s="18">
        <f>IF(CP88&lt;&gt;1,"",DATA_INPUT!$C88)</f>
        <v>62.190371071278669</v>
      </c>
      <c r="CH88" s="18">
        <f t="shared" si="67"/>
        <v>110430.461609034</v>
      </c>
      <c r="CI88" s="18">
        <f>IF(CP88&lt;&gt;1,"",DATA_INPUT!$H88)</f>
        <v>92.222430633107138</v>
      </c>
      <c r="CJ88" s="18">
        <f t="shared" si="68"/>
        <v>163757.91637983144</v>
      </c>
      <c r="CK88" s="18">
        <f>IF(CP88&lt;&gt;1,"",CF88*CONTROL_PANEL!$B$14)</f>
        <v>6.9037820715902559E-2</v>
      </c>
      <c r="CL88" s="18">
        <f>IF(CP88&lt;&gt;1,"",DATA_INPUT!$O88)</f>
        <v>513338.53764455818</v>
      </c>
      <c r="CM88" s="18">
        <f t="shared" si="69"/>
        <v>9332942.8380355611</v>
      </c>
      <c r="CN88" s="18">
        <f>IF(CP88&lt;&gt;1,"",IF(CM88-CONTROL_PANEL!$B$11&lt;0,0,CM88-CONTROL_PANEL!$B$11))</f>
        <v>0</v>
      </c>
      <c r="CO88" s="18">
        <f>IF(CP88&lt;&gt;1,"",IF(CL88&lt;=0,0,MIN(CL88,MAX(0,CONTROL_PANEL!$B$13-CM88))))</f>
        <v>0</v>
      </c>
      <c r="CP88" s="18">
        <v>1</v>
      </c>
    </row>
    <row r="89" spans="1:94" x14ac:dyDescent="0.25">
      <c r="A89" s="19">
        <f t="shared" si="75"/>
        <v>2022</v>
      </c>
      <c r="B89" s="19">
        <v>10</v>
      </c>
      <c r="C89" s="18">
        <f t="shared" si="45"/>
        <v>31</v>
      </c>
      <c r="D89" s="18">
        <f t="shared" si="70"/>
        <v>253.4247337059673</v>
      </c>
      <c r="E89" s="18">
        <f>IF(R88&lt;&gt;1,"",IF(O88&gt;0,IF(O88&gt;CONTROL_PANEL!$B$11,CONTROL_PANEL!$B$11,O88),0))</f>
        <v>13259943.669529822</v>
      </c>
      <c r="F89" s="18">
        <f t="shared" si="46"/>
        <v>2159045.0990184895</v>
      </c>
      <c r="G89" s="18">
        <f>IF(R89&lt;&gt;1,"",DATA_INPUT!I89)</f>
        <v>1.4235873233916711E-6</v>
      </c>
      <c r="H89" s="18">
        <f>IF(R89&lt;&gt;1,"",G89*CONTROL_PANEL!$B$5)</f>
        <v>0.13509843698986959</v>
      </c>
      <c r="I89" s="18">
        <f>IF(R89&lt;&gt;1,"",DATA_INPUT!C89)</f>
        <v>61.444497453130673</v>
      </c>
      <c r="J89" s="18">
        <f t="shared" si="47"/>
        <v>132661.44108783585</v>
      </c>
      <c r="K89" s="18">
        <f>IF(R89&lt;&gt;1,"",DATA_INPUT!H89)</f>
        <v>57.791567616122741</v>
      </c>
      <c r="L89" s="18">
        <f t="shared" si="48"/>
        <v>124774.60082618544</v>
      </c>
      <c r="M89" s="18">
        <f>IF(R89&lt;&gt;1,"",H89*CONTROL_PANEL!$B$14)</f>
        <v>9.4568905892908721E-3</v>
      </c>
      <c r="N89" s="18">
        <f>IF(R89&lt;&gt;1,"",DATA_INPUT!K89)</f>
        <v>173153.55434042486</v>
      </c>
      <c r="O89" s="18">
        <f t="shared" si="49"/>
        <v>13094677.081092594</v>
      </c>
      <c r="P89" s="18">
        <f>IF(R89&lt;&gt;1,"",IF(O89-CONTROL_PANEL!$B$11&lt;0,0,O89-CONTROL_PANEL!$B$11))</f>
        <v>0</v>
      </c>
      <c r="Q89" s="18">
        <f>IF(R89&lt;&gt;1,"",IF(N89&lt;=0,0,MIN(N89,MAX(0,CONTROL_PANEL!$B$13-O89))))</f>
        <v>0</v>
      </c>
      <c r="R89" s="18">
        <v>1</v>
      </c>
      <c r="T89" s="19">
        <f t="shared" si="76"/>
        <v>2022</v>
      </c>
      <c r="U89" s="19">
        <v>10</v>
      </c>
      <c r="V89" s="18">
        <f t="shared" si="50"/>
        <v>31</v>
      </c>
      <c r="W89" s="18">
        <f t="shared" si="71"/>
        <v>247.2664809761016</v>
      </c>
      <c r="X89" s="18">
        <f>IF(AK88&lt;&gt;1,"",IF(AH88&gt;0,IF(AH88&gt;CONTROL_PANEL!$B$11,CONTROL_PANEL!$B$11,AH88),0))</f>
        <v>3881185.1796795474</v>
      </c>
      <c r="Y89" s="18">
        <f t="shared" si="51"/>
        <v>949217.26628227404</v>
      </c>
      <c r="Z89" s="18">
        <f>IF(AK89&lt;&gt;1,"",DATA_INPUT!I89)</f>
        <v>1.4235873233916711E-6</v>
      </c>
      <c r="AA89" s="18">
        <f>IF(AK89&lt;&gt;1,"",Z89*CONTROL_PANEL!$B$5)</f>
        <v>0.13509843698986959</v>
      </c>
      <c r="AB89" s="18">
        <f>IF(AK89&lt;&gt;1,"",DATA_INPUT!$C89)</f>
        <v>61.444497453130673</v>
      </c>
      <c r="AC89" s="18">
        <f t="shared" si="52"/>
        <v>58324.177900548842</v>
      </c>
      <c r="AD89" s="18">
        <f>IF(AK89&lt;&gt;1,"",DATA_INPUT!$H89)</f>
        <v>57.791567616122741</v>
      </c>
      <c r="AE89" s="18">
        <f t="shared" si="53"/>
        <v>54856.753826743225</v>
      </c>
      <c r="AF89" s="18">
        <f>IF(AK89&lt;&gt;1,"",AA89*CONTROL_PANEL!$B$14)</f>
        <v>9.4568905892908721E-3</v>
      </c>
      <c r="AG89" s="18">
        <f>IF(AK89&lt;&gt;1,"",DATA_INPUT!$L89)</f>
        <v>220726.2520518192</v>
      </c>
      <c r="AH89" s="18">
        <f t="shared" si="54"/>
        <v>3663926.4773430801</v>
      </c>
      <c r="AI89" s="18">
        <f>IF(AK89&lt;&gt;1,"",IF(AH89-CONTROL_PANEL!$B$11&lt;0,0,AH89-CONTROL_PANEL!$B$11))</f>
        <v>0</v>
      </c>
      <c r="AJ89" s="18">
        <f>IF(AK89&lt;&gt;1,"",IF(AG89&lt;=0,0,MIN(AG89,MAX(0,CONTROL_PANEL!$B$13-AH89))))</f>
        <v>0</v>
      </c>
      <c r="AK89" s="18">
        <v>1</v>
      </c>
      <c r="AM89" s="19">
        <f t="shared" si="77"/>
        <v>2022</v>
      </c>
      <c r="AN89" s="19">
        <v>10</v>
      </c>
      <c r="AO89" s="18">
        <f t="shared" si="55"/>
        <v>31</v>
      </c>
      <c r="AP89" s="18">
        <f t="shared" si="72"/>
        <v>251.88109196713341</v>
      </c>
      <c r="AQ89" s="18">
        <f>IF(BD88&lt;&gt;1,"",IF(BA88&gt;0,IF(BA88&gt;CONTROL_PANEL!$B$11,CONTROL_PANEL!$B$11,BA88),0))</f>
        <v>10180746.274406025</v>
      </c>
      <c r="AR89" s="18">
        <f t="shared" si="56"/>
        <v>1809257.2970209648</v>
      </c>
      <c r="AS89" s="18">
        <f>IF(BD89&lt;&gt;1,"",DATA_INPUT!$I89)</f>
        <v>1.4235873233916711E-6</v>
      </c>
      <c r="AT89" s="18">
        <f>IF(BD89&lt;&gt;1,"",AS89*CONTROL_PANEL!$B$5)</f>
        <v>0.13509843698986959</v>
      </c>
      <c r="AU89" s="18">
        <f>IF(BD89&lt;&gt;1,"",DATA_INPUT!$C89)</f>
        <v>61.444497453130673</v>
      </c>
      <c r="AV89" s="18">
        <f t="shared" si="57"/>
        <v>111168.90537886275</v>
      </c>
      <c r="AW89" s="18">
        <f>IF(BD89&lt;&gt;1,"",DATA_INPUT!$H89)</f>
        <v>57.791567616122741</v>
      </c>
      <c r="AX89" s="18">
        <f t="shared" si="58"/>
        <v>104559.81541575055</v>
      </c>
      <c r="AY89" s="18">
        <f>IF(BD89&lt;&gt;1,"",AT89*CONTROL_PANEL!$B$14)</f>
        <v>9.4568905892908721E-3</v>
      </c>
      <c r="AZ89" s="18">
        <f>IF(BD89&lt;&gt;1,"",DATA_INPUT!$M89)</f>
        <v>195079.43259778508</v>
      </c>
      <c r="BA89" s="18">
        <f t="shared" si="59"/>
        <v>9992276.0574128982</v>
      </c>
      <c r="BB89" s="18">
        <f>IF(BD89&lt;&gt;1,"",IF(BA89-CONTROL_PANEL!$B$11&lt;0,0,BA89-CONTROL_PANEL!$B$11))</f>
        <v>0</v>
      </c>
      <c r="BC89" s="18">
        <f>IF(BD89&lt;&gt;1,"",IF(AZ89&lt;=0,0,MIN(AZ89,MAX(0,CONTROL_PANEL!$B$13-BA89))))</f>
        <v>0</v>
      </c>
      <c r="BD89" s="18">
        <v>1</v>
      </c>
      <c r="BF89" s="19">
        <f t="shared" si="78"/>
        <v>2022</v>
      </c>
      <c r="BG89" s="19">
        <v>10</v>
      </c>
      <c r="BH89" s="18">
        <f t="shared" si="60"/>
        <v>31</v>
      </c>
      <c r="BI89" s="18">
        <f t="shared" si="73"/>
        <v>253.89584056738846</v>
      </c>
      <c r="BJ89" s="18">
        <f>IF(BW88&lt;&gt;1,"",IF(BT88&gt;0,IF(BT88&gt;CONTROL_PANEL!$B$11,CONTROL_PANEL!$B$11,BT88),0))</f>
        <v>14310538.217632655</v>
      </c>
      <c r="BK89" s="18">
        <f t="shared" si="61"/>
        <v>2272014.0181004698</v>
      </c>
      <c r="BL89" s="18">
        <f>IF(BW89&lt;&gt;1,"",DATA_INPUT!$I89)</f>
        <v>1.4235873233916711E-6</v>
      </c>
      <c r="BM89" s="18">
        <f>IF(BW89&lt;&gt;1,"",BL89*CONTROL_PANEL!$B$5)</f>
        <v>0.13509843698986959</v>
      </c>
      <c r="BN89" s="18">
        <f>IF(BW89&lt;&gt;1,"",DATA_INPUT!$C89)</f>
        <v>61.444497453130673</v>
      </c>
      <c r="BO89" s="18">
        <f t="shared" si="62"/>
        <v>139602.75954865152</v>
      </c>
      <c r="BP89" s="18">
        <f>IF(BW89&lt;&gt;1,"",DATA_INPUT!$H89)</f>
        <v>57.791567616122741</v>
      </c>
      <c r="BQ89" s="18">
        <f t="shared" si="63"/>
        <v>131303.25175183202</v>
      </c>
      <c r="BR89" s="18">
        <f>IF(BW89&lt;&gt;1,"",BM89*CONTROL_PANEL!$B$14)</f>
        <v>9.4568905892908721E-3</v>
      </c>
      <c r="BS89" s="18">
        <f>IF(BW89&lt;&gt;1,"",DATA_INPUT!$N89)</f>
        <v>179704.21915365092</v>
      </c>
      <c r="BT89" s="18">
        <f t="shared" si="64"/>
        <v>14139133.631917369</v>
      </c>
      <c r="BU89" s="18">
        <f>IF(BW89&lt;&gt;1,"",IF(BT89-CONTROL_PANEL!$B$11&lt;0,0,BT89-CONTROL_PANEL!$B$11))</f>
        <v>0</v>
      </c>
      <c r="BV89" s="18">
        <f>IF(BW89&lt;&gt;1,"",IF(BS89&lt;=0,0,MIN(BS89,MAX(0,CONTROL_PANEL!$B$13-BT89))))</f>
        <v>0</v>
      </c>
      <c r="BW89" s="18">
        <v>1</v>
      </c>
      <c r="BY89" s="19">
        <f t="shared" si="79"/>
        <v>2022</v>
      </c>
      <c r="BZ89" s="19">
        <v>10</v>
      </c>
      <c r="CA89" s="18">
        <f t="shared" si="65"/>
        <v>31</v>
      </c>
      <c r="CB89" s="18">
        <f t="shared" si="74"/>
        <v>251.40200314384646</v>
      </c>
      <c r="CC89" s="18">
        <f>IF(CP88&lt;&gt;1,"",IF(CM88&gt;0,IF(CM88&gt;CONTROL_PANEL!$B$11,CONTROL_PANEL!$B$11,CM88),0))</f>
        <v>9332942.8380355611</v>
      </c>
      <c r="CD89" s="18">
        <f t="shared" si="66"/>
        <v>1707037.138607736</v>
      </c>
      <c r="CE89" s="18">
        <f>IF(CP89&lt;&gt;1,"",DATA_INPUT!$I89)</f>
        <v>1.4235873233916711E-6</v>
      </c>
      <c r="CF89" s="18">
        <f>IF(CP89&lt;&gt;1,"",CE89*CONTROL_PANEL!$B$5)</f>
        <v>0.13509843698986959</v>
      </c>
      <c r="CG89" s="18">
        <f>IF(CP89&lt;&gt;1,"",DATA_INPUT!$C89)</f>
        <v>61.444497453130673</v>
      </c>
      <c r="CH89" s="18">
        <f t="shared" si="67"/>
        <v>104888.03911558251</v>
      </c>
      <c r="CI89" s="18">
        <f>IF(CP89&lt;&gt;1,"",DATA_INPUT!$H89)</f>
        <v>57.791567616122741</v>
      </c>
      <c r="CJ89" s="18">
        <f t="shared" si="68"/>
        <v>98652.352219081658</v>
      </c>
      <c r="CK89" s="18">
        <f>IF(CP89&lt;&gt;1,"",CF89*CONTROL_PANEL!$B$14)</f>
        <v>9.4568905892908721E-3</v>
      </c>
      <c r="CL89" s="18">
        <f>IF(CP89&lt;&gt;1,"",DATA_INPUT!$O89)</f>
        <v>206733.70484524535</v>
      </c>
      <c r="CM89" s="18">
        <f t="shared" si="69"/>
        <v>9132444.9457283616</v>
      </c>
      <c r="CN89" s="18">
        <f>IF(CP89&lt;&gt;1,"",IF(CM89-CONTROL_PANEL!$B$11&lt;0,0,CM89-CONTROL_PANEL!$B$11))</f>
        <v>0</v>
      </c>
      <c r="CO89" s="18">
        <f>IF(CP89&lt;&gt;1,"",IF(CL89&lt;=0,0,MIN(CL89,MAX(0,CONTROL_PANEL!$B$13-CM89))))</f>
        <v>0</v>
      </c>
      <c r="CP89" s="18">
        <v>1</v>
      </c>
    </row>
    <row r="90" spans="1:94" x14ac:dyDescent="0.25">
      <c r="A90" s="19">
        <f t="shared" si="75"/>
        <v>2022</v>
      </c>
      <c r="B90" s="19">
        <v>11</v>
      </c>
      <c r="C90" s="18">
        <f t="shared" si="45"/>
        <v>30</v>
      </c>
      <c r="D90" s="18">
        <f t="shared" si="70"/>
        <v>253.34837531538616</v>
      </c>
      <c r="E90" s="18">
        <f>IF(R89&lt;&gt;1,"",IF(O89&gt;0,IF(O89&gt;CONTROL_PANEL!$B$11,CONTROL_PANEL!$B$11,O89),0))</f>
        <v>13094677.081092594</v>
      </c>
      <c r="F90" s="18">
        <f t="shared" si="46"/>
        <v>2141008.7033883529</v>
      </c>
      <c r="G90" s="18">
        <f>IF(R90&lt;&gt;1,"",DATA_INPUT!I90)</f>
        <v>45.411332396230158</v>
      </c>
      <c r="H90" s="18">
        <f>IF(R90&lt;&gt;1,"",G90*CONTROL_PANEL!$B$5)</f>
        <v>4309535.4444022421</v>
      </c>
      <c r="I90" s="18">
        <f>IF(R90&lt;&gt;1,"",DATA_INPUT!C90)</f>
        <v>61.764987693908004</v>
      </c>
      <c r="J90" s="18">
        <f t="shared" si="47"/>
        <v>132239.37621733153</v>
      </c>
      <c r="K90" s="18">
        <f>IF(R90&lt;&gt;1,"",DATA_INPUT!H90)</f>
        <v>31.560912566018203</v>
      </c>
      <c r="L90" s="18">
        <f t="shared" si="48"/>
        <v>67572.188490723798</v>
      </c>
      <c r="M90" s="18">
        <f>IF(R90&lt;&gt;1,"",H90*CONTROL_PANEL!$B$14)</f>
        <v>301667.48110815696</v>
      </c>
      <c r="N90" s="18">
        <f>IF(R90&lt;&gt;1,"",DATA_INPUT!K90)</f>
        <v>0</v>
      </c>
      <c r="O90" s="18">
        <f t="shared" si="49"/>
        <v>17167212.232113287</v>
      </c>
      <c r="P90" s="18">
        <f>IF(R90&lt;&gt;1,"",IF(O90-CONTROL_PANEL!$B$11&lt;0,0,O90-CONTROL_PANEL!$B$11))</f>
        <v>0</v>
      </c>
      <c r="Q90" s="18">
        <f>IF(R90&lt;&gt;1,"",IF(N90&lt;=0,0,MIN(N90,MAX(0,CONTROL_PANEL!$B$13-O90))))</f>
        <v>0</v>
      </c>
      <c r="R90" s="18">
        <v>1</v>
      </c>
      <c r="T90" s="19">
        <f t="shared" si="76"/>
        <v>2022</v>
      </c>
      <c r="U90" s="19">
        <v>11</v>
      </c>
      <c r="V90" s="18">
        <f t="shared" si="50"/>
        <v>30</v>
      </c>
      <c r="W90" s="18">
        <f t="shared" si="71"/>
        <v>247.03472058272581</v>
      </c>
      <c r="X90" s="18">
        <f>IF(AK89&lt;&gt;1,"",IF(AH89&gt;0,IF(AH89&gt;CONTROL_PANEL!$B$11,CONTROL_PANEL!$B$11,AH89),0))</f>
        <v>3663926.4773430801</v>
      </c>
      <c r="Y90" s="18">
        <f t="shared" si="51"/>
        <v>913338.98086561798</v>
      </c>
      <c r="Z90" s="18">
        <f>IF(AK90&lt;&gt;1,"",DATA_INPUT!I90)</f>
        <v>45.411332396230158</v>
      </c>
      <c r="AA90" s="18">
        <f>IF(AK90&lt;&gt;1,"",Z90*CONTROL_PANEL!$B$5)</f>
        <v>4309535.4444022421</v>
      </c>
      <c r="AB90" s="18">
        <f>IF(AK90&lt;&gt;1,"",DATA_INPUT!$C90)</f>
        <v>61.764987693908004</v>
      </c>
      <c r="AC90" s="18">
        <f t="shared" si="52"/>
        <v>56412.370913531369</v>
      </c>
      <c r="AD90" s="18">
        <f>IF(AK90&lt;&gt;1,"",DATA_INPUT!$H90)</f>
        <v>31.560912566018203</v>
      </c>
      <c r="AE90" s="18">
        <f t="shared" si="53"/>
        <v>28825.811718235942</v>
      </c>
      <c r="AF90" s="18">
        <f>IF(AK90&lt;&gt;1,"",AA90*CONTROL_PANEL!$B$14)</f>
        <v>301667.48110815696</v>
      </c>
      <c r="AG90" s="18">
        <f>IF(AK90&lt;&gt;1,"",DATA_INPUT!$L90)</f>
        <v>0</v>
      </c>
      <c r="AH90" s="18">
        <f t="shared" si="54"/>
        <v>7699380.9998324616</v>
      </c>
      <c r="AI90" s="18">
        <f>IF(AK90&lt;&gt;1,"",IF(AH90-CONTROL_PANEL!$B$11&lt;0,0,AH90-CONTROL_PANEL!$B$11))</f>
        <v>0</v>
      </c>
      <c r="AJ90" s="18">
        <f>IF(AK90&lt;&gt;1,"",IF(AG90&lt;=0,0,MIN(AG90,MAX(0,CONTROL_PANEL!$B$13-AH90))))</f>
        <v>0</v>
      </c>
      <c r="AK90" s="18">
        <v>1</v>
      </c>
      <c r="AM90" s="19">
        <f t="shared" si="77"/>
        <v>2022</v>
      </c>
      <c r="AN90" s="19">
        <v>11</v>
      </c>
      <c r="AO90" s="18">
        <f t="shared" si="55"/>
        <v>30</v>
      </c>
      <c r="AP90" s="18">
        <f t="shared" si="72"/>
        <v>251.77696454794122</v>
      </c>
      <c r="AQ90" s="18">
        <f>IF(BD89&lt;&gt;1,"",IF(BA89&gt;0,IF(BA89&gt;CONTROL_PANEL!$B$11,CONTROL_PANEL!$B$11,BA89),0))</f>
        <v>9992276.0574128982</v>
      </c>
      <c r="AR90" s="18">
        <f t="shared" si="56"/>
        <v>1786784.9745153915</v>
      </c>
      <c r="AS90" s="18">
        <f>IF(BD90&lt;&gt;1,"",DATA_INPUT!$I90)</f>
        <v>45.411332396230158</v>
      </c>
      <c r="AT90" s="18">
        <f>IF(BD90&lt;&gt;1,"",AS90*CONTROL_PANEL!$B$5)</f>
        <v>4309535.4444022421</v>
      </c>
      <c r="AU90" s="18">
        <f>IF(BD90&lt;&gt;1,"",DATA_INPUT!$C90)</f>
        <v>61.764987693908004</v>
      </c>
      <c r="AV90" s="18">
        <f t="shared" si="57"/>
        <v>110360.75196260288</v>
      </c>
      <c r="AW90" s="18">
        <f>IF(BD90&lt;&gt;1,"",DATA_INPUT!$H90)</f>
        <v>31.560912566018203</v>
      </c>
      <c r="AX90" s="18">
        <f t="shared" si="58"/>
        <v>56392.564354955335</v>
      </c>
      <c r="AY90" s="18">
        <f>IF(BD90&lt;&gt;1,"",AT90*CONTROL_PANEL!$B$14)</f>
        <v>301667.48110815696</v>
      </c>
      <c r="AZ90" s="18">
        <f>IF(BD90&lt;&gt;1,"",DATA_INPUT!$M90)</f>
        <v>0</v>
      </c>
      <c r="BA90" s="18">
        <f t="shared" si="59"/>
        <v>14054112.208314629</v>
      </c>
      <c r="BB90" s="18">
        <f>IF(BD90&lt;&gt;1,"",IF(BA90-CONTROL_PANEL!$B$11&lt;0,0,BA90-CONTROL_PANEL!$B$11))</f>
        <v>0</v>
      </c>
      <c r="BC90" s="18">
        <f>IF(BD90&lt;&gt;1,"",IF(AZ90&lt;=0,0,MIN(AZ90,MAX(0,CONTROL_PANEL!$B$13-BA90))))</f>
        <v>0</v>
      </c>
      <c r="BD90" s="18">
        <v>1</v>
      </c>
      <c r="BF90" s="19">
        <f t="shared" si="78"/>
        <v>2022</v>
      </c>
      <c r="BG90" s="19">
        <v>11</v>
      </c>
      <c r="BH90" s="18">
        <f t="shared" si="60"/>
        <v>30</v>
      </c>
      <c r="BI90" s="18">
        <f t="shared" si="73"/>
        <v>253.82059627398004</v>
      </c>
      <c r="BJ90" s="18">
        <f>IF(BW89&lt;&gt;1,"",IF(BT89&gt;0,IF(BT89&gt;CONTROL_PANEL!$B$11,CONTROL_PANEL!$B$11,BT89),0))</f>
        <v>14139133.631917369</v>
      </c>
      <c r="BK90" s="18">
        <f t="shared" si="61"/>
        <v>2253775.6125397217</v>
      </c>
      <c r="BL90" s="18">
        <f>IF(BW90&lt;&gt;1,"",DATA_INPUT!$I90)</f>
        <v>45.411332396230158</v>
      </c>
      <c r="BM90" s="18">
        <f>IF(BW90&lt;&gt;1,"",BL90*CONTROL_PANEL!$B$5)</f>
        <v>4309535.4444022421</v>
      </c>
      <c r="BN90" s="18">
        <f>IF(BW90&lt;&gt;1,"",DATA_INPUT!$C90)</f>
        <v>61.764987693908004</v>
      </c>
      <c r="BO90" s="18">
        <f t="shared" si="62"/>
        <v>139204.42297334588</v>
      </c>
      <c r="BP90" s="18">
        <f>IF(BW90&lt;&gt;1,"",DATA_INPUT!$H90)</f>
        <v>31.560912566018203</v>
      </c>
      <c r="BQ90" s="18">
        <f t="shared" si="63"/>
        <v>71131.215050790284</v>
      </c>
      <c r="BR90" s="18">
        <f>IF(BW90&lt;&gt;1,"",BM90*CONTROL_PANEL!$B$14)</f>
        <v>301667.48110815696</v>
      </c>
      <c r="BS90" s="18">
        <f>IF(BW90&lt;&gt;1,"",DATA_INPUT!$N90)</f>
        <v>0</v>
      </c>
      <c r="BT90" s="18">
        <f t="shared" si="64"/>
        <v>18215074.803134013</v>
      </c>
      <c r="BU90" s="18">
        <f>IF(BW90&lt;&gt;1,"",IF(BT90-CONTROL_PANEL!$B$11&lt;0,0,BT90-CONTROL_PANEL!$B$11))</f>
        <v>0</v>
      </c>
      <c r="BV90" s="18">
        <f>IF(BW90&lt;&gt;1,"",IF(BS90&lt;=0,0,MIN(BS90,MAX(0,CONTROL_PANEL!$B$13-BT90))))</f>
        <v>0</v>
      </c>
      <c r="BW90" s="18">
        <v>1</v>
      </c>
      <c r="BY90" s="19">
        <f t="shared" si="79"/>
        <v>2022</v>
      </c>
      <c r="BZ90" s="19">
        <v>11</v>
      </c>
      <c r="CA90" s="18">
        <f t="shared" si="65"/>
        <v>30</v>
      </c>
      <c r="CB90" s="18">
        <f t="shared" si="74"/>
        <v>251.28447880606439</v>
      </c>
      <c r="CC90" s="18">
        <f>IF(CP89&lt;&gt;1,"",IF(CM89&gt;0,IF(CM89&gt;CONTROL_PANEL!$B$11,CONTROL_PANEL!$B$11,CM89),0))</f>
        <v>9132444.9457283616</v>
      </c>
      <c r="CD90" s="18">
        <f t="shared" si="66"/>
        <v>1682420.1230795423</v>
      </c>
      <c r="CE90" s="18">
        <f>IF(CP90&lt;&gt;1,"",DATA_INPUT!$I90)</f>
        <v>45.411332396230158</v>
      </c>
      <c r="CF90" s="18">
        <f>IF(CP90&lt;&gt;1,"",CE90*CONTROL_PANEL!$B$5)</f>
        <v>4309535.4444022421</v>
      </c>
      <c r="CG90" s="18">
        <f>IF(CP90&lt;&gt;1,"",DATA_INPUT!$C90)</f>
        <v>61.764987693908004</v>
      </c>
      <c r="CH90" s="18">
        <f t="shared" si="67"/>
        <v>103914.65819799111</v>
      </c>
      <c r="CI90" s="18">
        <f>IF(CP90&lt;&gt;1,"",DATA_INPUT!$H90)</f>
        <v>31.560912566018203</v>
      </c>
      <c r="CJ90" s="18">
        <f t="shared" si="68"/>
        <v>53098.714403823018</v>
      </c>
      <c r="CK90" s="18">
        <f>IF(CP90&lt;&gt;1,"",CF90*CONTROL_PANEL!$B$14)</f>
        <v>301667.48110815696</v>
      </c>
      <c r="CL90" s="18">
        <f>IF(CP90&lt;&gt;1,"",DATA_INPUT!$O90)</f>
        <v>0</v>
      </c>
      <c r="CM90" s="18">
        <f t="shared" si="69"/>
        <v>13191128.852816615</v>
      </c>
      <c r="CN90" s="18">
        <f>IF(CP90&lt;&gt;1,"",IF(CM90-CONTROL_PANEL!$B$11&lt;0,0,CM90-CONTROL_PANEL!$B$11))</f>
        <v>0</v>
      </c>
      <c r="CO90" s="18">
        <f>IF(CP90&lt;&gt;1,"",IF(CL90&lt;=0,0,MIN(CL90,MAX(0,CONTROL_PANEL!$B$13-CM90))))</f>
        <v>0</v>
      </c>
      <c r="CP90" s="18">
        <v>1</v>
      </c>
    </row>
    <row r="91" spans="1:94" x14ac:dyDescent="0.25">
      <c r="A91" s="19">
        <f t="shared" si="75"/>
        <v>2022</v>
      </c>
      <c r="B91" s="19">
        <v>12</v>
      </c>
      <c r="C91" s="18">
        <f t="shared" si="45"/>
        <v>31</v>
      </c>
      <c r="D91" s="18">
        <f t="shared" si="70"/>
        <v>255.0696436991856</v>
      </c>
      <c r="E91" s="18">
        <f>IF(R90&lt;&gt;1,"",IF(O90&gt;0,IF(O90&gt;CONTROL_PANEL!$B$11,CONTROL_PANEL!$B$11,O90),0))</f>
        <v>17167212.232113287</v>
      </c>
      <c r="F91" s="18">
        <f t="shared" si="46"/>
        <v>2566146.0396743268</v>
      </c>
      <c r="G91" s="18">
        <f>IF(R91&lt;&gt;1,"",DATA_INPUT!I91)</f>
        <v>15.838884177845683</v>
      </c>
      <c r="H91" s="18">
        <f>IF(R91&lt;&gt;1,"",G91*CONTROL_PANEL!$B$5)</f>
        <v>1503110.1084775554</v>
      </c>
      <c r="I91" s="18">
        <f>IF(R91&lt;&gt;1,"",DATA_INPUT!C91)</f>
        <v>200.29324821886266</v>
      </c>
      <c r="J91" s="18">
        <f t="shared" si="47"/>
        <v>513981.72569034132</v>
      </c>
      <c r="K91" s="18">
        <f>IF(R91&lt;&gt;1,"",DATA_INPUT!H91)</f>
        <v>20.314189433707096</v>
      </c>
      <c r="L91" s="18">
        <f t="shared" si="48"/>
        <v>52129.176764501521</v>
      </c>
      <c r="M91" s="18">
        <f>IF(R91&lt;&gt;1,"",H91*CONTROL_PANEL!$B$14)</f>
        <v>105217.70759342889</v>
      </c>
      <c r="N91" s="18">
        <f>IF(R91&lt;&gt;1,"",DATA_INPUT!K91)</f>
        <v>0</v>
      </c>
      <c r="O91" s="18">
        <f t="shared" si="49"/>
        <v>19026957.181923255</v>
      </c>
      <c r="P91" s="18">
        <f>IF(R91&lt;&gt;1,"",IF(O91-CONTROL_PANEL!$B$11&lt;0,0,O91-CONTROL_PANEL!$B$11))</f>
        <v>0</v>
      </c>
      <c r="Q91" s="18">
        <f>IF(R91&lt;&gt;1,"",IF(N91&lt;=0,0,MIN(N91,MAX(0,CONTROL_PANEL!$B$13-O91))))</f>
        <v>0</v>
      </c>
      <c r="R91" s="18">
        <v>1</v>
      </c>
      <c r="T91" s="19">
        <f t="shared" si="76"/>
        <v>2022</v>
      </c>
      <c r="U91" s="19">
        <v>12</v>
      </c>
      <c r="V91" s="18">
        <f t="shared" si="50"/>
        <v>31</v>
      </c>
      <c r="W91" s="18">
        <f t="shared" si="71"/>
        <v>250.38959146670643</v>
      </c>
      <c r="X91" s="18">
        <f>IF(AK90&lt;&gt;1,"",IF(AH90&gt;0,IF(AH90&gt;CONTROL_PANEL!$B$11,CONTROL_PANEL!$B$11,AH90),0))</f>
        <v>7699380.9998324616</v>
      </c>
      <c r="Y91" s="18">
        <f t="shared" si="51"/>
        <v>1500893.8378557654</v>
      </c>
      <c r="Z91" s="18">
        <f>IF(AK91&lt;&gt;1,"",DATA_INPUT!I91)</f>
        <v>15.838884177845683</v>
      </c>
      <c r="AA91" s="18">
        <f>IF(AK91&lt;&gt;1,"",Z91*CONTROL_PANEL!$B$5)</f>
        <v>1503110.1084775554</v>
      </c>
      <c r="AB91" s="18">
        <f>IF(AK91&lt;&gt;1,"",DATA_INPUT!$C91)</f>
        <v>200.29324821886266</v>
      </c>
      <c r="AC91" s="18">
        <f t="shared" si="52"/>
        <v>300618.90201580618</v>
      </c>
      <c r="AD91" s="18">
        <f>IF(AK91&lt;&gt;1,"",DATA_INPUT!$H91)</f>
        <v>20.314189433707096</v>
      </c>
      <c r="AE91" s="18">
        <f t="shared" si="53"/>
        <v>30489.441742085681</v>
      </c>
      <c r="AF91" s="18">
        <f>IF(AK91&lt;&gt;1,"",AA91*CONTROL_PANEL!$B$14)</f>
        <v>105217.70759342889</v>
      </c>
      <c r="AG91" s="18">
        <f>IF(AK91&lt;&gt;1,"",DATA_INPUT!$L91)</f>
        <v>0</v>
      </c>
      <c r="AH91" s="18">
        <f t="shared" si="54"/>
        <v>9367402.8609903082</v>
      </c>
      <c r="AI91" s="18">
        <f>IF(AK91&lt;&gt;1,"",IF(AH91-CONTROL_PANEL!$B$11&lt;0,0,AH91-CONTROL_PANEL!$B$11))</f>
        <v>0</v>
      </c>
      <c r="AJ91" s="18">
        <f>IF(AK91&lt;&gt;1,"",IF(AG91&lt;=0,0,MIN(AG91,MAX(0,CONTROL_PANEL!$B$13-AH91))))</f>
        <v>0</v>
      </c>
      <c r="AK91" s="18">
        <v>1</v>
      </c>
      <c r="AM91" s="19">
        <f t="shared" si="77"/>
        <v>2022</v>
      </c>
      <c r="AN91" s="19">
        <v>12</v>
      </c>
      <c r="AO91" s="18">
        <f t="shared" si="55"/>
        <v>31</v>
      </c>
      <c r="AP91" s="18">
        <f t="shared" si="72"/>
        <v>253.78304649010784</v>
      </c>
      <c r="AQ91" s="18">
        <f>IF(BD90&lt;&gt;1,"",IF(BA90&gt;0,IF(BA90&gt;CONTROL_PANEL!$B$11,CONTROL_PANEL!$B$11,BA90),0))</f>
        <v>14054112.208314629</v>
      </c>
      <c r="AR91" s="18">
        <f t="shared" si="56"/>
        <v>2244701.7126401085</v>
      </c>
      <c r="AS91" s="18">
        <f>IF(BD91&lt;&gt;1,"",DATA_INPUT!$I91)</f>
        <v>15.838884177845683</v>
      </c>
      <c r="AT91" s="18">
        <f>IF(BD91&lt;&gt;1,"",AS91*CONTROL_PANEL!$B$5)</f>
        <v>1503110.1084775554</v>
      </c>
      <c r="AU91" s="18">
        <f>IF(BD91&lt;&gt;1,"",DATA_INPUT!$C91)</f>
        <v>200.29324821886266</v>
      </c>
      <c r="AV91" s="18">
        <f t="shared" si="57"/>
        <v>449598.59730713133</v>
      </c>
      <c r="AW91" s="18">
        <f>IF(BD91&lt;&gt;1,"",DATA_INPUT!$H91)</f>
        <v>20.314189433707096</v>
      </c>
      <c r="AX91" s="18">
        <f t="shared" si="58"/>
        <v>45599.29581273791</v>
      </c>
      <c r="AY91" s="18">
        <f>IF(BD91&lt;&gt;1,"",AT91*CONTROL_PANEL!$B$14)</f>
        <v>105217.70759342889</v>
      </c>
      <c r="AZ91" s="18">
        <f>IF(BD91&lt;&gt;1,"",DATA_INPUT!$M91)</f>
        <v>0</v>
      </c>
      <c r="BA91" s="18">
        <f t="shared" si="59"/>
        <v>15856003.910693148</v>
      </c>
      <c r="BB91" s="18">
        <f>IF(BD91&lt;&gt;1,"",IF(BA91-CONTROL_PANEL!$B$11&lt;0,0,BA91-CONTROL_PANEL!$B$11))</f>
        <v>0</v>
      </c>
      <c r="BC91" s="18">
        <f>IF(BD91&lt;&gt;1,"",IF(AZ91&lt;=0,0,MIN(AZ91,MAX(0,CONTROL_PANEL!$B$13-BA91))))</f>
        <v>0</v>
      </c>
      <c r="BD91" s="18">
        <v>1</v>
      </c>
      <c r="BF91" s="19">
        <f t="shared" si="78"/>
        <v>2022</v>
      </c>
      <c r="BG91" s="19">
        <v>12</v>
      </c>
      <c r="BH91" s="18">
        <f t="shared" si="60"/>
        <v>31</v>
      </c>
      <c r="BI91" s="18">
        <f t="shared" si="73"/>
        <v>255.467270138397</v>
      </c>
      <c r="BJ91" s="18">
        <f>IF(BW90&lt;&gt;1,"",IF(BT90&gt;0,IF(BT90&gt;CONTROL_PANEL!$B$11,CONTROL_PANEL!$B$11,BT90),0))</f>
        <v>18215074.803134013</v>
      </c>
      <c r="BK91" s="18">
        <f t="shared" si="61"/>
        <v>2669883.3816086953</v>
      </c>
      <c r="BL91" s="18">
        <f>IF(BW91&lt;&gt;1,"",DATA_INPUT!$I91)</f>
        <v>15.838884177845683</v>
      </c>
      <c r="BM91" s="18">
        <f>IF(BW91&lt;&gt;1,"",BL91*CONTROL_PANEL!$B$5)</f>
        <v>1503110.1084775554</v>
      </c>
      <c r="BN91" s="18">
        <f>IF(BW91&lt;&gt;1,"",DATA_INPUT!$C91)</f>
        <v>200.29324821886266</v>
      </c>
      <c r="BO91" s="18">
        <f t="shared" si="62"/>
        <v>534759.61486796685</v>
      </c>
      <c r="BP91" s="18">
        <f>IF(BW91&lt;&gt;1,"",DATA_INPUT!$H91)</f>
        <v>20.314189433707096</v>
      </c>
      <c r="BQ91" s="18">
        <f t="shared" si="63"/>
        <v>54236.516779905527</v>
      </c>
      <c r="BR91" s="18">
        <f>IF(BW91&lt;&gt;1,"",BM91*CONTROL_PANEL!$B$14)</f>
        <v>105217.70759342889</v>
      </c>
      <c r="BS91" s="18">
        <f>IF(BW91&lt;&gt;1,"",DATA_INPUT!$N91)</f>
        <v>0</v>
      </c>
      <c r="BT91" s="18">
        <f t="shared" si="64"/>
        <v>20093490.302106202</v>
      </c>
      <c r="BU91" s="18">
        <f>IF(BW91&lt;&gt;1,"",IF(BT91-CONTROL_PANEL!$B$11&lt;0,0,BT91-CONTROL_PANEL!$B$11))</f>
        <v>0</v>
      </c>
      <c r="BV91" s="18">
        <f>IF(BW91&lt;&gt;1,"",IF(BS91&lt;=0,0,MIN(BS91,MAX(0,CONTROL_PANEL!$B$13-BT91))))</f>
        <v>0</v>
      </c>
      <c r="BW91" s="18">
        <v>1</v>
      </c>
      <c r="BY91" s="19">
        <f t="shared" si="79"/>
        <v>2022</v>
      </c>
      <c r="BZ91" s="19">
        <v>12</v>
      </c>
      <c r="CA91" s="18">
        <f t="shared" si="65"/>
        <v>31</v>
      </c>
      <c r="CB91" s="18">
        <f t="shared" si="74"/>
        <v>253.39301687030786</v>
      </c>
      <c r="CC91" s="18">
        <f>IF(CP90&lt;&gt;1,"",IF(CM90&gt;0,IF(CM90&gt;CONTROL_PANEL!$B$11,CONTROL_PANEL!$B$11,CM90),0))</f>
        <v>13191128.852816615</v>
      </c>
      <c r="CD91" s="18">
        <f t="shared" si="66"/>
        <v>2151544.079880334</v>
      </c>
      <c r="CE91" s="18">
        <f>IF(CP91&lt;&gt;1,"",DATA_INPUT!$I91)</f>
        <v>15.838884177845683</v>
      </c>
      <c r="CF91" s="18">
        <f>IF(CP91&lt;&gt;1,"",CE91*CONTROL_PANEL!$B$5)</f>
        <v>1503110.1084775554</v>
      </c>
      <c r="CG91" s="18">
        <f>IF(CP91&lt;&gt;1,"",DATA_INPUT!$C91)</f>
        <v>200.29324821886266</v>
      </c>
      <c r="CH91" s="18">
        <f t="shared" si="67"/>
        <v>430939.75244529621</v>
      </c>
      <c r="CI91" s="18">
        <f>IF(CP91&lt;&gt;1,"",DATA_INPUT!$H91)</f>
        <v>20.314189433707096</v>
      </c>
      <c r="CJ91" s="18">
        <f t="shared" si="68"/>
        <v>43706.874013660134</v>
      </c>
      <c r="CK91" s="18">
        <f>IF(CP91&lt;&gt;1,"",CF91*CONTROL_PANEL!$B$14)</f>
        <v>105217.70759342889</v>
      </c>
      <c r="CL91" s="18">
        <f>IF(CP91&lt;&gt;1,"",DATA_INPUT!$O91)</f>
        <v>0</v>
      </c>
      <c r="CM91" s="18">
        <f t="shared" si="69"/>
        <v>14976254.132132377</v>
      </c>
      <c r="CN91" s="18">
        <f>IF(CP91&lt;&gt;1,"",IF(CM91-CONTROL_PANEL!$B$11&lt;0,0,CM91-CONTROL_PANEL!$B$11))</f>
        <v>0</v>
      </c>
      <c r="CO91" s="18">
        <f>IF(CP91&lt;&gt;1,"",IF(CL91&lt;=0,0,MIN(CL91,MAX(0,CONTROL_PANEL!$B$13-CM91))))</f>
        <v>0</v>
      </c>
      <c r="CP91" s="18">
        <v>1</v>
      </c>
    </row>
    <row r="92" spans="1:94" x14ac:dyDescent="0.25">
      <c r="A92" s="19">
        <f t="shared" si="75"/>
        <v>2023</v>
      </c>
      <c r="B92" s="19">
        <v>1</v>
      </c>
      <c r="C92" s="18">
        <f t="shared" si="45"/>
        <v>31</v>
      </c>
      <c r="D92" s="18">
        <f t="shared" si="70"/>
        <v>255.76495092248277</v>
      </c>
      <c r="E92" s="18">
        <f>IF(R91&lt;&gt;1,"",IF(O91&gt;0,IF(O91&gt;CONTROL_PANEL!$B$11,CONTROL_PANEL!$B$11,O91),0))</f>
        <v>19026957.181923255</v>
      </c>
      <c r="F92" s="18">
        <f t="shared" si="46"/>
        <v>2748904.717321862</v>
      </c>
      <c r="G92" s="18">
        <f>IF(R92&lt;&gt;1,"",DATA_INPUT!I92)</f>
        <v>3.3864269159573164</v>
      </c>
      <c r="H92" s="18">
        <f>IF(R92&lt;&gt;1,"",G92*CONTROL_PANEL!$B$5)</f>
        <v>321371.91432434932</v>
      </c>
      <c r="I92" s="18">
        <f>IF(R92&lt;&gt;1,"",DATA_INPUT!C92)</f>
        <v>51.731528695053335</v>
      </c>
      <c r="J92" s="18">
        <f t="shared" si="47"/>
        <v>142205.04326410338</v>
      </c>
      <c r="K92" s="18">
        <f>IF(R92&lt;&gt;1,"",DATA_INPUT!H92)</f>
        <v>23.07577704058102</v>
      </c>
      <c r="L92" s="18">
        <f t="shared" si="48"/>
        <v>63433.112362720683</v>
      </c>
      <c r="M92" s="18">
        <f>IF(R92&lt;&gt;1,"",H92*CONTROL_PANEL!$B$14)</f>
        <v>22496.034002704455</v>
      </c>
      <c r="N92" s="18">
        <f>IF(R92&lt;&gt;1,"",DATA_INPUT!K92)</f>
        <v>0</v>
      </c>
      <c r="O92" s="18">
        <f t="shared" si="49"/>
        <v>19404604.993146282</v>
      </c>
      <c r="P92" s="18">
        <f>IF(R92&lt;&gt;1,"",IF(O92-CONTROL_PANEL!$B$11&lt;0,0,O92-CONTROL_PANEL!$B$11))</f>
        <v>0</v>
      </c>
      <c r="Q92" s="18">
        <f>IF(R92&lt;&gt;1,"",IF(N92&lt;=0,0,MIN(N92,MAX(0,CONTROL_PANEL!$B$13-O92))))</f>
        <v>0</v>
      </c>
      <c r="R92" s="18">
        <v>1</v>
      </c>
      <c r="T92" s="19">
        <f t="shared" si="76"/>
        <v>2023</v>
      </c>
      <c r="U92" s="19">
        <v>1</v>
      </c>
      <c r="V92" s="18">
        <f t="shared" si="50"/>
        <v>31</v>
      </c>
      <c r="W92" s="18">
        <f t="shared" si="71"/>
        <v>251.42203178050727</v>
      </c>
      <c r="X92" s="18">
        <f>IF(AK91&lt;&gt;1,"",IF(AH91&gt;0,IF(AH91&gt;CONTROL_PANEL!$B$11,CONTROL_PANEL!$B$11,AH91),0))</f>
        <v>9367402.8609903082</v>
      </c>
      <c r="Y92" s="18">
        <f t="shared" si="51"/>
        <v>1711250.4079018915</v>
      </c>
      <c r="Z92" s="18">
        <f>IF(AK92&lt;&gt;1,"",DATA_INPUT!I92)</f>
        <v>3.3864269159573164</v>
      </c>
      <c r="AA92" s="18">
        <f>IF(AK92&lt;&gt;1,"",Z92*CONTROL_PANEL!$B$5)</f>
        <v>321371.91432434932</v>
      </c>
      <c r="AB92" s="18">
        <f>IF(AK92&lt;&gt;1,"",DATA_INPUT!$C92)</f>
        <v>51.731528695053335</v>
      </c>
      <c r="AC92" s="18">
        <f t="shared" si="52"/>
        <v>88525.599580798415</v>
      </c>
      <c r="AD92" s="18">
        <f>IF(AK92&lt;&gt;1,"",DATA_INPUT!$H92)</f>
        <v>23.07577704058102</v>
      </c>
      <c r="AE92" s="18">
        <f t="shared" si="53"/>
        <v>39488.432873347374</v>
      </c>
      <c r="AF92" s="18">
        <f>IF(AK92&lt;&gt;1,"",AA92*CONTROL_PANEL!$B$14)</f>
        <v>22496.034002704455</v>
      </c>
      <c r="AG92" s="18">
        <f>IF(AK92&lt;&gt;1,"",DATA_INPUT!$L92)</f>
        <v>0</v>
      </c>
      <c r="AH92" s="18">
        <f t="shared" si="54"/>
        <v>9715315.908019403</v>
      </c>
      <c r="AI92" s="18">
        <f>IF(AK92&lt;&gt;1,"",IF(AH92-CONTROL_PANEL!$B$11&lt;0,0,AH92-CONTROL_PANEL!$B$11))</f>
        <v>0</v>
      </c>
      <c r="AJ92" s="18">
        <f>IF(AK92&lt;&gt;1,"",IF(AG92&lt;=0,0,MIN(AG92,MAX(0,CONTROL_PANEL!$B$13-AH92))))</f>
        <v>0</v>
      </c>
      <c r="AK92" s="18">
        <v>1</v>
      </c>
      <c r="AM92" s="19">
        <f t="shared" si="77"/>
        <v>2023</v>
      </c>
      <c r="AN92" s="19">
        <v>1</v>
      </c>
      <c r="AO92" s="18">
        <f t="shared" si="55"/>
        <v>31</v>
      </c>
      <c r="AP92" s="18">
        <f t="shared" si="72"/>
        <v>254.54851734813511</v>
      </c>
      <c r="AQ92" s="18">
        <f>IF(BD91&lt;&gt;1,"",IF(BA91&gt;0,IF(BA91&gt;CONTROL_PANEL!$B$11,CONTROL_PANEL!$B$11,BA91),0))</f>
        <v>15856003.910693148</v>
      </c>
      <c r="AR92" s="18">
        <f t="shared" si="56"/>
        <v>2433330.9214684428</v>
      </c>
      <c r="AS92" s="18">
        <f>IF(BD92&lt;&gt;1,"",DATA_INPUT!$I92)</f>
        <v>3.3864269159573164</v>
      </c>
      <c r="AT92" s="18">
        <f>IF(BD92&lt;&gt;1,"",AS92*CONTROL_PANEL!$B$5)</f>
        <v>321371.91432434932</v>
      </c>
      <c r="AU92" s="18">
        <f>IF(BD92&lt;&gt;1,"",DATA_INPUT!$C92)</f>
        <v>51.731528695053335</v>
      </c>
      <c r="AV92" s="18">
        <f t="shared" si="57"/>
        <v>125879.92838850533</v>
      </c>
      <c r="AW92" s="18">
        <f>IF(BD92&lt;&gt;1,"",DATA_INPUT!$H92)</f>
        <v>23.07577704058102</v>
      </c>
      <c r="AX92" s="18">
        <f t="shared" si="58"/>
        <v>56151.001809757348</v>
      </c>
      <c r="AY92" s="18">
        <f>IF(BD92&lt;&gt;1,"",AT92*CONTROL_PANEL!$B$14)</f>
        <v>22496.034002704455</v>
      </c>
      <c r="AZ92" s="18">
        <f>IF(BD92&lt;&gt;1,"",DATA_INPUT!$M92)</f>
        <v>0</v>
      </c>
      <c r="BA92" s="18">
        <f t="shared" si="59"/>
        <v>16224608.717593541</v>
      </c>
      <c r="BB92" s="18">
        <f>IF(BD92&lt;&gt;1,"",IF(BA92-CONTROL_PANEL!$B$11&lt;0,0,BA92-CONTROL_PANEL!$B$11))</f>
        <v>0</v>
      </c>
      <c r="BC92" s="18">
        <f>IF(BD92&lt;&gt;1,"",IF(AZ92&lt;=0,0,MIN(AZ92,MAX(0,CONTROL_PANEL!$B$13-BA92))))</f>
        <v>0</v>
      </c>
      <c r="BD92" s="18">
        <v>1</v>
      </c>
      <c r="BF92" s="19">
        <f t="shared" si="78"/>
        <v>2023</v>
      </c>
      <c r="BG92" s="19">
        <v>1</v>
      </c>
      <c r="BH92" s="18">
        <f t="shared" si="60"/>
        <v>31</v>
      </c>
      <c r="BI92" s="18">
        <f t="shared" si="73"/>
        <v>256.14335826842279</v>
      </c>
      <c r="BJ92" s="18">
        <f>IF(BW91&lt;&gt;1,"",IF(BT91&gt;0,IF(BT91&gt;CONTROL_PANEL!$B$11,CONTROL_PANEL!$B$11,BT91),0))</f>
        <v>20093490.302106202</v>
      </c>
      <c r="BK92" s="18">
        <f t="shared" si="61"/>
        <v>2851035.7787554739</v>
      </c>
      <c r="BL92" s="18">
        <f>IF(BW92&lt;&gt;1,"",DATA_INPUT!$I92)</f>
        <v>3.3864269159573164</v>
      </c>
      <c r="BM92" s="18">
        <f>IF(BW92&lt;&gt;1,"",BL92*CONTROL_PANEL!$B$5)</f>
        <v>321371.91432434932</v>
      </c>
      <c r="BN92" s="18">
        <f>IF(BW92&lt;&gt;1,"",DATA_INPUT!$C92)</f>
        <v>51.731528695053335</v>
      </c>
      <c r="BO92" s="18">
        <f t="shared" si="62"/>
        <v>147488.43919931253</v>
      </c>
      <c r="BP92" s="18">
        <f>IF(BW92&lt;&gt;1,"",DATA_INPUT!$H92)</f>
        <v>23.07577704058102</v>
      </c>
      <c r="BQ92" s="18">
        <f t="shared" si="63"/>
        <v>65789.865965280595</v>
      </c>
      <c r="BR92" s="18">
        <f>IF(BW92&lt;&gt;1,"",BM92*CONTROL_PANEL!$B$14)</f>
        <v>22496.034002704455</v>
      </c>
      <c r="BS92" s="18">
        <f>IF(BW92&lt;&gt;1,"",DATA_INPUT!$N92)</f>
        <v>0</v>
      </c>
      <c r="BT92" s="18">
        <f t="shared" si="64"/>
        <v>20474064.755661882</v>
      </c>
      <c r="BU92" s="18">
        <f>IF(BW92&lt;&gt;1,"",IF(BT92-CONTROL_PANEL!$B$11&lt;0,0,BT92-CONTROL_PANEL!$B$11))</f>
        <v>0</v>
      </c>
      <c r="BV92" s="18">
        <f>IF(BW92&lt;&gt;1,"",IF(BS92&lt;=0,0,MIN(BS92,MAX(0,CONTROL_PANEL!$B$13-BT92))))</f>
        <v>0</v>
      </c>
      <c r="BW92" s="18">
        <v>1</v>
      </c>
      <c r="BY92" s="19">
        <f t="shared" si="79"/>
        <v>2023</v>
      </c>
      <c r="BZ92" s="19">
        <v>1</v>
      </c>
      <c r="CA92" s="18">
        <f t="shared" si="65"/>
        <v>31</v>
      </c>
      <c r="CB92" s="18">
        <f t="shared" si="74"/>
        <v>254.18249240319818</v>
      </c>
      <c r="CC92" s="18">
        <f>IF(CP91&lt;&gt;1,"",IF(CM91&gt;0,IF(CM91&gt;CONTROL_PANEL!$B$11,CONTROL_PANEL!$B$11,CM91),0))</f>
        <v>14976254.132132377</v>
      </c>
      <c r="CD92" s="18">
        <f t="shared" si="66"/>
        <v>2342175.4301806213</v>
      </c>
      <c r="CE92" s="18">
        <f>IF(CP92&lt;&gt;1,"",DATA_INPUT!$I92)</f>
        <v>3.3864269159573164</v>
      </c>
      <c r="CF92" s="18">
        <f>IF(CP92&lt;&gt;1,"",CE92*CONTROL_PANEL!$B$5)</f>
        <v>321371.91432434932</v>
      </c>
      <c r="CG92" s="18">
        <f>IF(CP92&lt;&gt;1,"",DATA_INPUT!$C92)</f>
        <v>51.731528695053335</v>
      </c>
      <c r="CH92" s="18">
        <f t="shared" si="67"/>
        <v>121164.3154752377</v>
      </c>
      <c r="CI92" s="18">
        <f>IF(CP92&lt;&gt;1,"",DATA_INPUT!$H92)</f>
        <v>23.07577704058102</v>
      </c>
      <c r="CJ92" s="18">
        <f t="shared" si="68"/>
        <v>54047.51801677495</v>
      </c>
      <c r="CK92" s="18">
        <f>IF(CP92&lt;&gt;1,"",CF92*CONTROL_PANEL!$B$14)</f>
        <v>22496.034002704455</v>
      </c>
      <c r="CL92" s="18">
        <f>IF(CP92&lt;&gt;1,"",DATA_INPUT!$O92)</f>
        <v>0</v>
      </c>
      <c r="CM92" s="18">
        <f t="shared" si="69"/>
        <v>15342246.809912486</v>
      </c>
      <c r="CN92" s="18">
        <f>IF(CP92&lt;&gt;1,"",IF(CM92-CONTROL_PANEL!$B$11&lt;0,0,CM92-CONTROL_PANEL!$B$11))</f>
        <v>0</v>
      </c>
      <c r="CO92" s="18">
        <f>IF(CP92&lt;&gt;1,"",IF(CL92&lt;=0,0,MIN(CL92,MAX(0,CONTROL_PANEL!$B$13-CM92))))</f>
        <v>0</v>
      </c>
      <c r="CP92" s="18">
        <v>1</v>
      </c>
    </row>
    <row r="93" spans="1:94" x14ac:dyDescent="0.25">
      <c r="A93" s="19">
        <f t="shared" si="75"/>
        <v>2023</v>
      </c>
      <c r="B93" s="19">
        <v>2</v>
      </c>
      <c r="C93" s="18">
        <f t="shared" si="45"/>
        <v>28</v>
      </c>
      <c r="D93" s="18">
        <f t="shared" si="70"/>
        <v>255.90052629224269</v>
      </c>
      <c r="E93" s="18">
        <f>IF(R92&lt;&gt;1,"",IF(O92&gt;0,IF(O92&gt;CONTROL_PANEL!$B$11,CONTROL_PANEL!$B$11,O92),0))</f>
        <v>19404604.993146282</v>
      </c>
      <c r="F93" s="18">
        <f t="shared" si="46"/>
        <v>2785279.8616389446</v>
      </c>
      <c r="G93" s="18">
        <f>IF(R93&lt;&gt;1,"",DATA_INPUT!I93)</f>
        <v>0.58762172493808851</v>
      </c>
      <c r="H93" s="18">
        <f>IF(R93&lt;&gt;1,"",G93*CONTROL_PANEL!$B$5)</f>
        <v>55765.3016966246</v>
      </c>
      <c r="I93" s="18">
        <f>IF(R93&lt;&gt;1,"",DATA_INPUT!C93)</f>
        <v>5.2229454225233329</v>
      </c>
      <c r="J93" s="18">
        <f t="shared" si="47"/>
        <v>14547.364703793548</v>
      </c>
      <c r="K93" s="18">
        <f>IF(R93&lt;&gt;1,"",DATA_INPUT!H93)</f>
        <v>31.609350309652655</v>
      </c>
      <c r="L93" s="18">
        <f t="shared" si="48"/>
        <v>88040.886856966274</v>
      </c>
      <c r="M93" s="18">
        <f>IF(R93&lt;&gt;1,"",H93*CONTROL_PANEL!$B$14)</f>
        <v>3903.5711187637226</v>
      </c>
      <c r="N93" s="18">
        <f>IF(R93&lt;&gt;1,"",DATA_INPUT!K93)</f>
        <v>0</v>
      </c>
      <c r="O93" s="18">
        <f t="shared" si="49"/>
        <v>19382973.201570969</v>
      </c>
      <c r="P93" s="18">
        <f>IF(R93&lt;&gt;1,"",IF(O93-CONTROL_PANEL!$B$11&lt;0,0,O93-CONTROL_PANEL!$B$11))</f>
        <v>0</v>
      </c>
      <c r="Q93" s="18">
        <f>IF(R93&lt;&gt;1,"",IF(N93&lt;=0,0,MIN(N93,MAX(0,CONTROL_PANEL!$B$13-O93))))</f>
        <v>0</v>
      </c>
      <c r="R93" s="18">
        <v>1</v>
      </c>
      <c r="T93" s="19">
        <f t="shared" si="76"/>
        <v>2023</v>
      </c>
      <c r="U93" s="19">
        <v>2</v>
      </c>
      <c r="V93" s="18">
        <f t="shared" si="50"/>
        <v>28</v>
      </c>
      <c r="W93" s="18">
        <f t="shared" si="71"/>
        <v>251.62153656363498</v>
      </c>
      <c r="X93" s="18">
        <f>IF(AK92&lt;&gt;1,"",IF(AH92&gt;0,IF(AH92&gt;CONTROL_PANEL!$B$11,CONTROL_PANEL!$B$11,AH92),0))</f>
        <v>9715315.908019403</v>
      </c>
      <c r="Y93" s="18">
        <f t="shared" si="51"/>
        <v>1753505.0151635534</v>
      </c>
      <c r="Z93" s="18">
        <f>IF(AK93&lt;&gt;1,"",DATA_INPUT!I93)</f>
        <v>0.58762172493808851</v>
      </c>
      <c r="AA93" s="18">
        <f>IF(AK93&lt;&gt;1,"",Z93*CONTROL_PANEL!$B$5)</f>
        <v>55765.3016966246</v>
      </c>
      <c r="AB93" s="18">
        <f>IF(AK93&lt;&gt;1,"",DATA_INPUT!$C93)</f>
        <v>5.2229454225233329</v>
      </c>
      <c r="AC93" s="18">
        <f t="shared" si="52"/>
        <v>9158.4609923201897</v>
      </c>
      <c r="AD93" s="18">
        <f>IF(AK93&lt;&gt;1,"",DATA_INPUT!$H93)</f>
        <v>31.609350309652655</v>
      </c>
      <c r="AE93" s="18">
        <f t="shared" si="53"/>
        <v>55427.154294037551</v>
      </c>
      <c r="AF93" s="18">
        <f>IF(AK93&lt;&gt;1,"",AA93*CONTROL_PANEL!$B$14)</f>
        <v>3903.5711187637226</v>
      </c>
      <c r="AG93" s="18">
        <f>IF(AK93&lt;&gt;1,"",DATA_INPUT!$L93)</f>
        <v>0</v>
      </c>
      <c r="AH93" s="18">
        <f t="shared" si="54"/>
        <v>9720908.9452955462</v>
      </c>
      <c r="AI93" s="18">
        <f>IF(AK93&lt;&gt;1,"",IF(AH93-CONTROL_PANEL!$B$11&lt;0,0,AH93-CONTROL_PANEL!$B$11))</f>
        <v>0</v>
      </c>
      <c r="AJ93" s="18">
        <f>IF(AK93&lt;&gt;1,"",IF(AG93&lt;=0,0,MIN(AG93,MAX(0,CONTROL_PANEL!$B$13-AH93))))</f>
        <v>0</v>
      </c>
      <c r="AK93" s="18">
        <v>1</v>
      </c>
      <c r="AM93" s="19">
        <f t="shared" si="77"/>
        <v>2023</v>
      </c>
      <c r="AN93" s="19">
        <v>2</v>
      </c>
      <c r="AO93" s="18">
        <f t="shared" si="55"/>
        <v>28</v>
      </c>
      <c r="AP93" s="18">
        <f t="shared" si="72"/>
        <v>254.69784071625773</v>
      </c>
      <c r="AQ93" s="18">
        <f>IF(BD92&lt;&gt;1,"",IF(BA92&gt;0,IF(BA92&gt;CONTROL_PANEL!$B$11,CONTROL_PANEL!$B$11,BA92),0))</f>
        <v>16224608.717593541</v>
      </c>
      <c r="AR93" s="18">
        <f t="shared" si="56"/>
        <v>2471023.4412956447</v>
      </c>
      <c r="AS93" s="18">
        <f>IF(BD93&lt;&gt;1,"",DATA_INPUT!$I93)</f>
        <v>0.58762172493808851</v>
      </c>
      <c r="AT93" s="18">
        <f>IF(BD93&lt;&gt;1,"",AS93*CONTROL_PANEL!$B$5)</f>
        <v>55765.3016966246</v>
      </c>
      <c r="AU93" s="18">
        <f>IF(BD93&lt;&gt;1,"",DATA_INPUT!$C93)</f>
        <v>5.2229454225233329</v>
      </c>
      <c r="AV93" s="18">
        <f t="shared" si="57"/>
        <v>12906.020571662943</v>
      </c>
      <c r="AW93" s="18">
        <f>IF(BD93&lt;&gt;1,"",DATA_INPUT!$H93)</f>
        <v>31.609350309652655</v>
      </c>
      <c r="AX93" s="18">
        <f t="shared" si="58"/>
        <v>78107.445579277453</v>
      </c>
      <c r="AY93" s="18">
        <f>IF(BD93&lt;&gt;1,"",AT93*CONTROL_PANEL!$B$14)</f>
        <v>3903.5711187637226</v>
      </c>
      <c r="AZ93" s="18">
        <f>IF(BD93&lt;&gt;1,"",DATA_INPUT!$M93)</f>
        <v>0</v>
      </c>
      <c r="BA93" s="18">
        <f t="shared" si="59"/>
        <v>16211269.023163786</v>
      </c>
      <c r="BB93" s="18">
        <f>IF(BD93&lt;&gt;1,"",IF(BA93-CONTROL_PANEL!$B$11&lt;0,0,BA93-CONTROL_PANEL!$B$11))</f>
        <v>0</v>
      </c>
      <c r="BC93" s="18">
        <f>IF(BD93&lt;&gt;1,"",IF(AZ93&lt;=0,0,MIN(AZ93,MAX(0,CONTROL_PANEL!$B$13-BA93))))</f>
        <v>0</v>
      </c>
      <c r="BD93" s="18">
        <v>1</v>
      </c>
      <c r="BF93" s="19">
        <f t="shared" si="78"/>
        <v>2023</v>
      </c>
      <c r="BG93" s="19">
        <v>2</v>
      </c>
      <c r="BH93" s="18">
        <f t="shared" si="60"/>
        <v>28</v>
      </c>
      <c r="BI93" s="18">
        <f t="shared" si="73"/>
        <v>256.27512943179755</v>
      </c>
      <c r="BJ93" s="18">
        <f>IF(BW92&lt;&gt;1,"",IF(BT92&gt;0,IF(BT92&gt;CONTROL_PANEL!$B$11,CONTROL_PANEL!$B$11,BT92),0))</f>
        <v>20474064.755661882</v>
      </c>
      <c r="BK93" s="18">
        <f t="shared" si="61"/>
        <v>2887042.0959782563</v>
      </c>
      <c r="BL93" s="18">
        <f>IF(BW93&lt;&gt;1,"",DATA_INPUT!$I93)</f>
        <v>0.58762172493808851</v>
      </c>
      <c r="BM93" s="18">
        <f>IF(BW93&lt;&gt;1,"",BL93*CONTROL_PANEL!$B$5)</f>
        <v>55765.3016966246</v>
      </c>
      <c r="BN93" s="18">
        <f>IF(BW93&lt;&gt;1,"",DATA_INPUT!$C93)</f>
        <v>5.2229454225233329</v>
      </c>
      <c r="BO93" s="18">
        <f t="shared" si="62"/>
        <v>15078.863299821804</v>
      </c>
      <c r="BP93" s="18">
        <f>IF(BW93&lt;&gt;1,"",DATA_INPUT!$H93)</f>
        <v>31.609350309652655</v>
      </c>
      <c r="BQ93" s="18">
        <f t="shared" si="63"/>
        <v>91257.524970490544</v>
      </c>
      <c r="BR93" s="18">
        <f>IF(BW93&lt;&gt;1,"",BM93*CONTROL_PANEL!$B$14)</f>
        <v>3903.5711187637226</v>
      </c>
      <c r="BS93" s="18">
        <f>IF(BW93&lt;&gt;1,"",DATA_INPUT!$N93)</f>
        <v>0</v>
      </c>
      <c r="BT93" s="18">
        <f t="shared" si="64"/>
        <v>20449747.824569073</v>
      </c>
      <c r="BU93" s="18">
        <f>IF(BW93&lt;&gt;1,"",IF(BT93-CONTROL_PANEL!$B$11&lt;0,0,BT93-CONTROL_PANEL!$B$11))</f>
        <v>0</v>
      </c>
      <c r="BV93" s="18">
        <f>IF(BW93&lt;&gt;1,"",IF(BS93&lt;=0,0,MIN(BS93,MAX(0,CONTROL_PANEL!$B$13-BT93))))</f>
        <v>0</v>
      </c>
      <c r="BW93" s="18">
        <v>1</v>
      </c>
      <c r="BY93" s="19">
        <f t="shared" si="79"/>
        <v>2023</v>
      </c>
      <c r="BZ93" s="19">
        <v>2</v>
      </c>
      <c r="CA93" s="18">
        <f t="shared" si="65"/>
        <v>28</v>
      </c>
      <c r="CB93" s="18">
        <f t="shared" si="74"/>
        <v>254.33646770613186</v>
      </c>
      <c r="CC93" s="18">
        <f>IF(CP92&lt;&gt;1,"",IF(CM92&gt;0,IF(CM92&gt;CONTROL_PANEL!$B$11,CONTROL_PANEL!$B$11,CM92),0))</f>
        <v>15342246.809912486</v>
      </c>
      <c r="CD93" s="18">
        <f t="shared" si="66"/>
        <v>2380307.5685401275</v>
      </c>
      <c r="CE93" s="18">
        <f>IF(CP93&lt;&gt;1,"",DATA_INPUT!$I93)</f>
        <v>0.58762172493808851</v>
      </c>
      <c r="CF93" s="18">
        <f>IF(CP93&lt;&gt;1,"",CE93*CONTROL_PANEL!$B$5)</f>
        <v>55765.3016966246</v>
      </c>
      <c r="CG93" s="18">
        <f>IF(CP93&lt;&gt;1,"",DATA_INPUT!$C93)</f>
        <v>5.2229454225233329</v>
      </c>
      <c r="CH93" s="18">
        <f t="shared" si="67"/>
        <v>12432.216519304304</v>
      </c>
      <c r="CI93" s="18">
        <f>IF(CP93&lt;&gt;1,"",DATA_INPUT!$H93)</f>
        <v>31.609350309652655</v>
      </c>
      <c r="CJ93" s="18">
        <f t="shared" si="68"/>
        <v>75239.975778702443</v>
      </c>
      <c r="CK93" s="18">
        <f>IF(CP93&lt;&gt;1,"",CF93*CONTROL_PANEL!$B$14)</f>
        <v>3903.5711187637226</v>
      </c>
      <c r="CL93" s="18">
        <f>IF(CP93&lt;&gt;1,"",DATA_INPUT!$O93)</f>
        <v>0</v>
      </c>
      <c r="CM93" s="18">
        <f t="shared" si="69"/>
        <v>15331300.781230949</v>
      </c>
      <c r="CN93" s="18">
        <f>IF(CP93&lt;&gt;1,"",IF(CM93-CONTROL_PANEL!$B$11&lt;0,0,CM93-CONTROL_PANEL!$B$11))</f>
        <v>0</v>
      </c>
      <c r="CO93" s="18">
        <f>IF(CP93&lt;&gt;1,"",IF(CL93&lt;=0,0,MIN(CL93,MAX(0,CONTROL_PANEL!$B$13-CM93))))</f>
        <v>0</v>
      </c>
      <c r="CP93" s="18">
        <v>1</v>
      </c>
    </row>
    <row r="94" spans="1:94" x14ac:dyDescent="0.25">
      <c r="A94" s="19">
        <f t="shared" si="75"/>
        <v>2023</v>
      </c>
      <c r="B94" s="19">
        <v>3</v>
      </c>
      <c r="C94" s="18">
        <f t="shared" si="45"/>
        <v>31</v>
      </c>
      <c r="D94" s="18">
        <f t="shared" si="70"/>
        <v>255.89280837801991</v>
      </c>
      <c r="E94" s="18">
        <f>IF(R93&lt;&gt;1,"",IF(O93&gt;0,IF(O93&gt;CONTROL_PANEL!$B$11,CONTROL_PANEL!$B$11,O93),0))</f>
        <v>19382973.201570969</v>
      </c>
      <c r="F94" s="18">
        <f t="shared" si="46"/>
        <v>2783202.6481364756</v>
      </c>
      <c r="G94" s="18">
        <f>IF(R94&lt;&gt;1,"",DATA_INPUT!I94)</f>
        <v>8.0493189139005217E-2</v>
      </c>
      <c r="H94" s="18">
        <f>IF(R94&lt;&gt;1,"",G94*CONTROL_PANEL!$B$5)</f>
        <v>7638.8036492915953</v>
      </c>
      <c r="I94" s="18">
        <f>IF(R94&lt;&gt;1,"",DATA_INPUT!C94)</f>
        <v>21.739774672484668</v>
      </c>
      <c r="J94" s="18">
        <f t="shared" si="47"/>
        <v>60506.198438349602</v>
      </c>
      <c r="K94" s="18">
        <f>IF(R94&lt;&gt;1,"",DATA_INPUT!H94)</f>
        <v>55.029343302428686</v>
      </c>
      <c r="L94" s="18">
        <f t="shared" si="48"/>
        <v>153157.81400453075</v>
      </c>
      <c r="M94" s="18">
        <f>IF(R94&lt;&gt;1,"",H94*CONTROL_PANEL!$B$14)</f>
        <v>534.71625545041172</v>
      </c>
      <c r="N94" s="18">
        <f>IF(R94&lt;&gt;1,"",DATA_INPUT!K94)</f>
        <v>0</v>
      </c>
      <c r="O94" s="18">
        <f t="shared" si="49"/>
        <v>19297425.673398629</v>
      </c>
      <c r="P94" s="18">
        <f>IF(R94&lt;&gt;1,"",IF(O94-CONTROL_PANEL!$B$11&lt;0,0,O94-CONTROL_PANEL!$B$11))</f>
        <v>0</v>
      </c>
      <c r="Q94" s="18">
        <f>IF(R94&lt;&gt;1,"",IF(N94&lt;=0,0,MIN(N94,MAX(0,CONTROL_PANEL!$B$13-O94))))</f>
        <v>0</v>
      </c>
      <c r="R94" s="18">
        <v>1</v>
      </c>
      <c r="T94" s="19">
        <f t="shared" si="76"/>
        <v>2023</v>
      </c>
      <c r="U94" s="19">
        <v>3</v>
      </c>
      <c r="V94" s="18">
        <f t="shared" si="50"/>
        <v>31</v>
      </c>
      <c r="W94" s="18">
        <f t="shared" si="71"/>
        <v>251.6247044632849</v>
      </c>
      <c r="X94" s="18">
        <f>IF(AK93&lt;&gt;1,"",IF(AH93&gt;0,IF(AH93&gt;CONTROL_PANEL!$B$11,CONTROL_PANEL!$B$11,AH93),0))</f>
        <v>9720908.9452955462</v>
      </c>
      <c r="Y94" s="18">
        <f t="shared" si="51"/>
        <v>1754180.166046954</v>
      </c>
      <c r="Z94" s="18">
        <f>IF(AK94&lt;&gt;1,"",DATA_INPUT!I94)</f>
        <v>8.0493189139005217E-2</v>
      </c>
      <c r="AA94" s="18">
        <f>IF(AK94&lt;&gt;1,"",Z94*CONTROL_PANEL!$B$5)</f>
        <v>7638.8036492915953</v>
      </c>
      <c r="AB94" s="18">
        <f>IF(AK94&lt;&gt;1,"",DATA_INPUT!$C94)</f>
        <v>21.739774672484668</v>
      </c>
      <c r="AC94" s="18">
        <f t="shared" si="52"/>
        <v>38135.481544802518</v>
      </c>
      <c r="AD94" s="18">
        <f>IF(AK94&lt;&gt;1,"",DATA_INPUT!$H94)</f>
        <v>55.029343302428686</v>
      </c>
      <c r="AE94" s="18">
        <f t="shared" si="53"/>
        <v>96531.382571709182</v>
      </c>
      <c r="AF94" s="18">
        <f>IF(AK94&lt;&gt;1,"",AA94*CONTROL_PANEL!$B$14)</f>
        <v>534.71625545041172</v>
      </c>
      <c r="AG94" s="18">
        <f>IF(AK94&lt;&gt;1,"",DATA_INPUT!$L94)</f>
        <v>0</v>
      </c>
      <c r="AH94" s="18">
        <f t="shared" si="54"/>
        <v>9669617.1316624805</v>
      </c>
      <c r="AI94" s="18">
        <f>IF(AK94&lt;&gt;1,"",IF(AH94-CONTROL_PANEL!$B$11&lt;0,0,AH94-CONTROL_PANEL!$B$11))</f>
        <v>0</v>
      </c>
      <c r="AJ94" s="18">
        <f>IF(AK94&lt;&gt;1,"",IF(AG94&lt;=0,0,MIN(AG94,MAX(0,CONTROL_PANEL!$B$13-AH94))))</f>
        <v>0</v>
      </c>
      <c r="AK94" s="18">
        <v>1</v>
      </c>
      <c r="AM94" s="19">
        <f t="shared" si="77"/>
        <v>2023</v>
      </c>
      <c r="AN94" s="19">
        <v>3</v>
      </c>
      <c r="AO94" s="18">
        <f t="shared" si="55"/>
        <v>31</v>
      </c>
      <c r="AP94" s="18">
        <f t="shared" si="72"/>
        <v>254.69247654315473</v>
      </c>
      <c r="AQ94" s="18">
        <f>IF(BD93&lt;&gt;1,"",IF(BA93&gt;0,IF(BA93&gt;CONTROL_PANEL!$B$11,CONTROL_PANEL!$B$11,BA93),0))</f>
        <v>16211269.023163786</v>
      </c>
      <c r="AR94" s="18">
        <f t="shared" si="56"/>
        <v>2469664.339216745</v>
      </c>
      <c r="AS94" s="18">
        <f>IF(BD94&lt;&gt;1,"",DATA_INPUT!$I94)</f>
        <v>8.0493189139005217E-2</v>
      </c>
      <c r="AT94" s="18">
        <f>IF(BD94&lt;&gt;1,"",AS94*CONTROL_PANEL!$B$5)</f>
        <v>7638.8036492915953</v>
      </c>
      <c r="AU94" s="18">
        <f>IF(BD94&lt;&gt;1,"",DATA_INPUT!$C94)</f>
        <v>21.739774672484668</v>
      </c>
      <c r="AV94" s="18">
        <f t="shared" si="57"/>
        <v>53689.946251242778</v>
      </c>
      <c r="AW94" s="18">
        <f>IF(BD94&lt;&gt;1,"",DATA_INPUT!$H94)</f>
        <v>55.029343302428686</v>
      </c>
      <c r="AX94" s="18">
        <f t="shared" si="58"/>
        <v>135904.00676452395</v>
      </c>
      <c r="AY94" s="18">
        <f>IF(BD94&lt;&gt;1,"",AT94*CONTROL_PANEL!$B$14)</f>
        <v>534.71625545041172</v>
      </c>
      <c r="AZ94" s="18">
        <f>IF(BD94&lt;&gt;1,"",DATA_INPUT!$M94)</f>
        <v>0</v>
      </c>
      <c r="BA94" s="18">
        <f t="shared" si="59"/>
        <v>16136159.050044347</v>
      </c>
      <c r="BB94" s="18">
        <f>IF(BD94&lt;&gt;1,"",IF(BA94-CONTROL_PANEL!$B$11&lt;0,0,BA94-CONTROL_PANEL!$B$11))</f>
        <v>0</v>
      </c>
      <c r="BC94" s="18">
        <f>IF(BD94&lt;&gt;1,"",IF(AZ94&lt;=0,0,MIN(AZ94,MAX(0,CONTROL_PANEL!$B$13-BA94))))</f>
        <v>0</v>
      </c>
      <c r="BD94" s="18">
        <v>1</v>
      </c>
      <c r="BF94" s="19">
        <f t="shared" si="78"/>
        <v>2023</v>
      </c>
      <c r="BG94" s="19">
        <v>3</v>
      </c>
      <c r="BH94" s="18">
        <f t="shared" si="60"/>
        <v>31</v>
      </c>
      <c r="BI94" s="18">
        <f t="shared" si="73"/>
        <v>256.26675910247997</v>
      </c>
      <c r="BJ94" s="18">
        <f>IF(BW93&lt;&gt;1,"",IF(BT93&gt;0,IF(BT93&gt;CONTROL_PANEL!$B$11,CONTROL_PANEL!$B$11,BT93),0))</f>
        <v>20449747.824569073</v>
      </c>
      <c r="BK94" s="18">
        <f t="shared" si="61"/>
        <v>2884748.1263166661</v>
      </c>
      <c r="BL94" s="18">
        <f>IF(BW94&lt;&gt;1,"",DATA_INPUT!$I94)</f>
        <v>8.0493189139005217E-2</v>
      </c>
      <c r="BM94" s="18">
        <f>IF(BW94&lt;&gt;1,"",BL94*CONTROL_PANEL!$B$5)</f>
        <v>7638.8036492915953</v>
      </c>
      <c r="BN94" s="18">
        <f>IF(BW94&lt;&gt;1,"",DATA_INPUT!$C94)</f>
        <v>21.739774672484668</v>
      </c>
      <c r="BO94" s="18">
        <f t="shared" si="62"/>
        <v>62713.774252996664</v>
      </c>
      <c r="BP94" s="18">
        <f>IF(BW94&lt;&gt;1,"",DATA_INPUT!$H94)</f>
        <v>55.029343302428686</v>
      </c>
      <c r="BQ94" s="18">
        <f t="shared" si="63"/>
        <v>158745.79498411773</v>
      </c>
      <c r="BR94" s="18">
        <f>IF(BW94&lt;&gt;1,"",BM94*CONTROL_PANEL!$B$14)</f>
        <v>534.71625545041172</v>
      </c>
      <c r="BS94" s="18">
        <f>IF(BW94&lt;&gt;1,"",DATA_INPUT!$N94)</f>
        <v>0</v>
      </c>
      <c r="BT94" s="18">
        <f t="shared" si="64"/>
        <v>20360819.89123179</v>
      </c>
      <c r="BU94" s="18">
        <f>IF(BW94&lt;&gt;1,"",IF(BT94-CONTROL_PANEL!$B$11&lt;0,0,BT94-CONTROL_PANEL!$B$11))</f>
        <v>0</v>
      </c>
      <c r="BV94" s="18">
        <f>IF(BW94&lt;&gt;1,"",IF(BS94&lt;=0,0,MIN(BS94,MAX(0,CONTROL_PANEL!$B$13-BT94))))</f>
        <v>0</v>
      </c>
      <c r="BW94" s="18">
        <v>1</v>
      </c>
      <c r="BY94" s="19">
        <f t="shared" si="79"/>
        <v>2023</v>
      </c>
      <c r="BZ94" s="19">
        <v>3</v>
      </c>
      <c r="CA94" s="18">
        <f t="shared" si="65"/>
        <v>31</v>
      </c>
      <c r="CB94" s="18">
        <f t="shared" si="74"/>
        <v>254.33189849243234</v>
      </c>
      <c r="CC94" s="18">
        <f>IF(CP93&lt;&gt;1,"",IF(CM93&gt;0,IF(CM93&gt;CONTROL_PANEL!$B$11,CONTROL_PANEL!$B$11,CM93),0))</f>
        <v>15331300.781230949</v>
      </c>
      <c r="CD94" s="18">
        <f t="shared" si="66"/>
        <v>2379171.5211880254</v>
      </c>
      <c r="CE94" s="18">
        <f>IF(CP94&lt;&gt;1,"",DATA_INPUT!$I94)</f>
        <v>8.0493189139005217E-2</v>
      </c>
      <c r="CF94" s="18">
        <f>IF(CP94&lt;&gt;1,"",CE94*CONTROL_PANEL!$B$5)</f>
        <v>7638.8036492915953</v>
      </c>
      <c r="CG94" s="18">
        <f>IF(CP94&lt;&gt;1,"",DATA_INPUT!$C94)</f>
        <v>21.739774672484668</v>
      </c>
      <c r="CH94" s="18">
        <f t="shared" si="67"/>
        <v>51722.652777820251</v>
      </c>
      <c r="CI94" s="18">
        <f>IF(CP94&lt;&gt;1,"",DATA_INPUT!$H94)</f>
        <v>55.029343302428686</v>
      </c>
      <c r="CJ94" s="18">
        <f t="shared" si="68"/>
        <v>130924.24641481733</v>
      </c>
      <c r="CK94" s="18">
        <f>IF(CP94&lt;&gt;1,"",CF94*CONTROL_PANEL!$B$14)</f>
        <v>534.71625545041172</v>
      </c>
      <c r="CL94" s="18">
        <f>IF(CP94&lt;&gt;1,"",DATA_INPUT!$O94)</f>
        <v>0</v>
      </c>
      <c r="CM94" s="18">
        <f t="shared" si="69"/>
        <v>15259203.274987793</v>
      </c>
      <c r="CN94" s="18">
        <f>IF(CP94&lt;&gt;1,"",IF(CM94-CONTROL_PANEL!$B$11&lt;0,0,CM94-CONTROL_PANEL!$B$11))</f>
        <v>0</v>
      </c>
      <c r="CO94" s="18">
        <f>IF(CP94&lt;&gt;1,"",IF(CL94&lt;=0,0,MIN(CL94,MAX(0,CONTROL_PANEL!$B$13-CM94))))</f>
        <v>0</v>
      </c>
      <c r="CP94" s="18">
        <v>1</v>
      </c>
    </row>
    <row r="95" spans="1:94" x14ac:dyDescent="0.25">
      <c r="A95" s="19">
        <f t="shared" si="75"/>
        <v>2023</v>
      </c>
      <c r="B95" s="19">
        <v>4</v>
      </c>
      <c r="C95" s="18">
        <f t="shared" si="45"/>
        <v>30</v>
      </c>
      <c r="D95" s="18">
        <f t="shared" si="70"/>
        <v>255.86222967276359</v>
      </c>
      <c r="E95" s="18">
        <f>IF(R94&lt;&gt;1,"",IF(O94&gt;0,IF(O94&gt;CONTROL_PANEL!$B$11,CONTROL_PANEL!$B$11,O94),0))</f>
        <v>19297425.673398629</v>
      </c>
      <c r="F95" s="18">
        <f t="shared" si="46"/>
        <v>2774980.3318375177</v>
      </c>
      <c r="G95" s="18">
        <f>IF(R95&lt;&gt;1,"",DATA_INPUT!I95)</f>
        <v>1.2005014330697209E-2</v>
      </c>
      <c r="H95" s="18">
        <f>IF(R95&lt;&gt;1,"",G95*CONTROL_PANEL!$B$5)</f>
        <v>1139.2758599831652</v>
      </c>
      <c r="I95" s="18">
        <f>IF(R95&lt;&gt;1,"",DATA_INPUT!C95)</f>
        <v>4.9362186806066672</v>
      </c>
      <c r="J95" s="18">
        <f t="shared" si="47"/>
        <v>13697.909752332444</v>
      </c>
      <c r="K95" s="18">
        <f>IF(R95&lt;&gt;1,"",DATA_INPUT!H95)</f>
        <v>98.591513507704605</v>
      </c>
      <c r="L95" s="18">
        <f t="shared" si="48"/>
        <v>273589.51086997322</v>
      </c>
      <c r="M95" s="18">
        <f>IF(R95&lt;&gt;1,"",H95*CONTROL_PANEL!$B$14)</f>
        <v>79.749310198821576</v>
      </c>
      <c r="N95" s="18">
        <f>IF(R95&lt;&gt;1,"",DATA_INPUT!K95)</f>
        <v>761980.85393836233</v>
      </c>
      <c r="O95" s="18">
        <f t="shared" si="49"/>
        <v>18276612.744892407</v>
      </c>
      <c r="P95" s="18">
        <f>IF(R95&lt;&gt;1,"",IF(O95-CONTROL_PANEL!$B$11&lt;0,0,O95-CONTROL_PANEL!$B$11))</f>
        <v>0</v>
      </c>
      <c r="Q95" s="18">
        <f>IF(R95&lt;&gt;1,"",IF(N95&lt;=0,0,MIN(N95,MAX(0,CONTROL_PANEL!$B$13-O95))))</f>
        <v>0</v>
      </c>
      <c r="R95" s="18">
        <v>1</v>
      </c>
      <c r="T95" s="19">
        <f t="shared" si="76"/>
        <v>2023</v>
      </c>
      <c r="U95" s="19">
        <v>4</v>
      </c>
      <c r="V95" s="18">
        <f t="shared" si="50"/>
        <v>30</v>
      </c>
      <c r="W95" s="18">
        <f t="shared" si="71"/>
        <v>251.59560693348234</v>
      </c>
      <c r="X95" s="18">
        <f>IF(AK94&lt;&gt;1,"",IF(AH94&gt;0,IF(AH94&gt;CONTROL_PANEL!$B$11,CONTROL_PANEL!$B$11,AH94),0))</f>
        <v>9669617.1316624805</v>
      </c>
      <c r="Y95" s="18">
        <f t="shared" si="51"/>
        <v>1747983.759271906</v>
      </c>
      <c r="Z95" s="18">
        <f>IF(AK95&lt;&gt;1,"",DATA_INPUT!I95)</f>
        <v>1.2005014330697209E-2</v>
      </c>
      <c r="AA95" s="18">
        <f>IF(AK95&lt;&gt;1,"",Z95*CONTROL_PANEL!$B$5)</f>
        <v>1139.2758599831652</v>
      </c>
      <c r="AB95" s="18">
        <f>IF(AK95&lt;&gt;1,"",DATA_INPUT!$C95)</f>
        <v>4.9362186806066672</v>
      </c>
      <c r="AC95" s="18">
        <f t="shared" si="52"/>
        <v>8628.4300859150499</v>
      </c>
      <c r="AD95" s="18">
        <f>IF(AK95&lt;&gt;1,"",DATA_INPUT!$H95)</f>
        <v>98.591513507704605</v>
      </c>
      <c r="AE95" s="18">
        <f t="shared" si="53"/>
        <v>172336.3644135044</v>
      </c>
      <c r="AF95" s="18">
        <f>IF(AK95&lt;&gt;1,"",AA95*CONTROL_PANEL!$B$14)</f>
        <v>79.749310198821576</v>
      </c>
      <c r="AG95" s="18">
        <f>IF(AK95&lt;&gt;1,"",DATA_INPUT!$L95)</f>
        <v>967598.6347982994</v>
      </c>
      <c r="AH95" s="18">
        <f t="shared" si="54"/>
        <v>8539370.0890863761</v>
      </c>
      <c r="AI95" s="18">
        <f>IF(AK95&lt;&gt;1,"",IF(AH95-CONTROL_PANEL!$B$11&lt;0,0,AH95-CONTROL_PANEL!$B$11))</f>
        <v>0</v>
      </c>
      <c r="AJ95" s="18">
        <f>IF(AK95&lt;&gt;1,"",IF(AG95&lt;=0,0,MIN(AG95,MAX(0,CONTROL_PANEL!$B$13-AH95))))</f>
        <v>0</v>
      </c>
      <c r="AK95" s="18">
        <v>1</v>
      </c>
      <c r="AM95" s="19">
        <f t="shared" si="77"/>
        <v>2023</v>
      </c>
      <c r="AN95" s="19">
        <v>4</v>
      </c>
      <c r="AO95" s="18">
        <f t="shared" si="55"/>
        <v>30</v>
      </c>
      <c r="AP95" s="18">
        <f t="shared" si="72"/>
        <v>254.66221799065795</v>
      </c>
      <c r="AQ95" s="18">
        <f>IF(BD94&lt;&gt;1,"",IF(BA94&gt;0,IF(BA94&gt;CONTROL_PANEL!$B$11,CONTROL_PANEL!$B$11,BA94),0))</f>
        <v>16136159.050044347</v>
      </c>
      <c r="AR95" s="18">
        <f t="shared" si="56"/>
        <v>2462004.9057096816</v>
      </c>
      <c r="AS95" s="18">
        <f>IF(BD95&lt;&gt;1,"",DATA_INPUT!$I95)</f>
        <v>1.2005014330697209E-2</v>
      </c>
      <c r="AT95" s="18">
        <f>IF(BD95&lt;&gt;1,"",AS95*CONTROL_PANEL!$B$5)</f>
        <v>1139.2758599831652</v>
      </c>
      <c r="AU95" s="18">
        <f>IF(BD95&lt;&gt;1,"",DATA_INPUT!$C95)</f>
        <v>4.9362186806066672</v>
      </c>
      <c r="AV95" s="18">
        <f t="shared" si="57"/>
        <v>12152.994607309387</v>
      </c>
      <c r="AW95" s="18">
        <f>IF(BD95&lt;&gt;1,"",DATA_INPUT!$H95)</f>
        <v>98.591513507704605</v>
      </c>
      <c r="AX95" s="18">
        <f t="shared" si="58"/>
        <v>242732.78991731108</v>
      </c>
      <c r="AY95" s="18">
        <f>IF(BD95&lt;&gt;1,"",AT95*CONTROL_PANEL!$B$14)</f>
        <v>79.749310198821576</v>
      </c>
      <c r="AZ95" s="18">
        <f>IF(BD95&lt;&gt;1,"",DATA_INPUT!$M95)</f>
        <v>584686.55204935255</v>
      </c>
      <c r="BA95" s="18">
        <f t="shared" si="59"/>
        <v>15321952.229234777</v>
      </c>
      <c r="BB95" s="18">
        <f>IF(BD95&lt;&gt;1,"",IF(BA95-CONTROL_PANEL!$B$11&lt;0,0,BA95-CONTROL_PANEL!$B$11))</f>
        <v>0</v>
      </c>
      <c r="BC95" s="18">
        <f>IF(BD95&lt;&gt;1,"",IF(AZ95&lt;=0,0,MIN(AZ95,MAX(0,CONTROL_PANEL!$B$13-BA95))))</f>
        <v>0</v>
      </c>
      <c r="BD95" s="18">
        <v>1</v>
      </c>
      <c r="BF95" s="19">
        <f t="shared" si="78"/>
        <v>2023</v>
      </c>
      <c r="BG95" s="19">
        <v>4</v>
      </c>
      <c r="BH95" s="18">
        <f t="shared" si="60"/>
        <v>30</v>
      </c>
      <c r="BI95" s="18">
        <f t="shared" si="73"/>
        <v>256.23609167883581</v>
      </c>
      <c r="BJ95" s="18">
        <f>IF(BW94&lt;&gt;1,"",IF(BT94&gt;0,IF(BT94&gt;CONTROL_PANEL!$B$11,CONTROL_PANEL!$B$11,BT94),0))</f>
        <v>20360819.89123179</v>
      </c>
      <c r="BK95" s="18">
        <f t="shared" si="61"/>
        <v>2876351.288997835</v>
      </c>
      <c r="BL95" s="18">
        <f>IF(BW95&lt;&gt;1,"",DATA_INPUT!$I95)</f>
        <v>1.2005014330697209E-2</v>
      </c>
      <c r="BM95" s="18">
        <f>IF(BW95&lt;&gt;1,"",BL95*CONTROL_PANEL!$B$5)</f>
        <v>1139.2758599831652</v>
      </c>
      <c r="BN95" s="18">
        <f>IF(BW95&lt;&gt;1,"",DATA_INPUT!$C95)</f>
        <v>4.9362186806066672</v>
      </c>
      <c r="BO95" s="18">
        <f t="shared" si="62"/>
        <v>14198.298964738178</v>
      </c>
      <c r="BP95" s="18">
        <f>IF(BW95&lt;&gt;1,"",DATA_INPUT!$H95)</f>
        <v>98.591513507704605</v>
      </c>
      <c r="BQ95" s="18">
        <f t="shared" si="63"/>
        <v>283583.82696213358</v>
      </c>
      <c r="BR95" s="18">
        <f>IF(BW95&lt;&gt;1,"",BM95*CONTROL_PANEL!$B$14)</f>
        <v>79.749310198821576</v>
      </c>
      <c r="BS95" s="18">
        <f>IF(BW95&lt;&gt;1,"",DATA_INPUT!$N95)</f>
        <v>285422.7991710928</v>
      </c>
      <c r="BT95" s="18">
        <f t="shared" si="64"/>
        <v>19807071.090613086</v>
      </c>
      <c r="BU95" s="18">
        <f>IF(BW95&lt;&gt;1,"",IF(BT95-CONTROL_PANEL!$B$11&lt;0,0,BT95-CONTROL_PANEL!$B$11))</f>
        <v>0</v>
      </c>
      <c r="BV95" s="18">
        <f>IF(BW95&lt;&gt;1,"",IF(BS95&lt;=0,0,MIN(BS95,MAX(0,CONTROL_PANEL!$B$13-BT95))))</f>
        <v>0</v>
      </c>
      <c r="BW95" s="18">
        <v>1</v>
      </c>
      <c r="BY95" s="19">
        <f t="shared" si="79"/>
        <v>2023</v>
      </c>
      <c r="BZ95" s="19">
        <v>4</v>
      </c>
      <c r="CA95" s="18">
        <f t="shared" si="65"/>
        <v>30</v>
      </c>
      <c r="CB95" s="18">
        <f t="shared" si="74"/>
        <v>254.30174809190632</v>
      </c>
      <c r="CC95" s="18">
        <f>IF(CP94&lt;&gt;1,"",IF(CM94&gt;0,IF(CM94&gt;CONTROL_PANEL!$B$11,CONTROL_PANEL!$B$11,CM94),0))</f>
        <v>15259203.274987793</v>
      </c>
      <c r="CD95" s="18">
        <f t="shared" si="66"/>
        <v>2371682.0677065505</v>
      </c>
      <c r="CE95" s="18">
        <f>IF(CP95&lt;&gt;1,"",DATA_INPUT!$I95)</f>
        <v>1.2005014330697209E-2</v>
      </c>
      <c r="CF95" s="18">
        <f>IF(CP95&lt;&gt;1,"",CE95*CONTROL_PANEL!$B$5)</f>
        <v>1139.2758599831652</v>
      </c>
      <c r="CG95" s="18">
        <f>IF(CP95&lt;&gt;1,"",DATA_INPUT!$C95)</f>
        <v>4.9362186806066672</v>
      </c>
      <c r="CH95" s="18">
        <f t="shared" si="67"/>
        <v>11707.141327072921</v>
      </c>
      <c r="CI95" s="18">
        <f>IF(CP95&lt;&gt;1,"",DATA_INPUT!$H95)</f>
        <v>98.591513507704605</v>
      </c>
      <c r="CJ95" s="18">
        <f t="shared" si="68"/>
        <v>233827.72461427117</v>
      </c>
      <c r="CK95" s="18">
        <f>IF(CP95&lt;&gt;1,"",CF95*CONTROL_PANEL!$B$14)</f>
        <v>79.749310198821576</v>
      </c>
      <c r="CL95" s="18">
        <f>IF(CP95&lt;&gt;1,"",DATA_INPUT!$O95)</f>
        <v>323743.92028965586</v>
      </c>
      <c r="CM95" s="18">
        <f t="shared" si="69"/>
        <v>14714398.297960725</v>
      </c>
      <c r="CN95" s="18">
        <f>IF(CP95&lt;&gt;1,"",IF(CM95-CONTROL_PANEL!$B$11&lt;0,0,CM95-CONTROL_PANEL!$B$11))</f>
        <v>0</v>
      </c>
      <c r="CO95" s="18">
        <f>IF(CP95&lt;&gt;1,"",IF(CL95&lt;=0,0,MIN(CL95,MAX(0,CONTROL_PANEL!$B$13-CM95))))</f>
        <v>0</v>
      </c>
      <c r="CP95" s="18">
        <v>1</v>
      </c>
    </row>
    <row r="96" spans="1:94" x14ac:dyDescent="0.25">
      <c r="A96" s="19">
        <f t="shared" si="75"/>
        <v>2023</v>
      </c>
      <c r="B96" s="19">
        <v>5</v>
      </c>
      <c r="C96" s="18">
        <f t="shared" si="45"/>
        <v>31</v>
      </c>
      <c r="D96" s="18">
        <f t="shared" si="70"/>
        <v>255.49014060029387</v>
      </c>
      <c r="E96" s="18">
        <f>IF(R95&lt;&gt;1,"",IF(O95&gt;0,IF(O95&gt;CONTROL_PANEL!$B$11,CONTROL_PANEL!$B$11,O95),0))</f>
        <v>18276612.744892407</v>
      </c>
      <c r="F96" s="18">
        <f t="shared" si="46"/>
        <v>2675913.2259878614</v>
      </c>
      <c r="G96" s="18">
        <f>IF(R96&lt;&gt;1,"",DATA_INPUT!I96)</f>
        <v>1.6444624970921385E-3</v>
      </c>
      <c r="H96" s="18">
        <f>IF(R96&lt;&gt;1,"",G96*CONTROL_PANEL!$B$5)</f>
        <v>156.05949097404394</v>
      </c>
      <c r="I96" s="18">
        <f>IF(R96&lt;&gt;1,"",DATA_INPUT!C96)</f>
        <v>19.955303470542667</v>
      </c>
      <c r="J96" s="18">
        <f t="shared" si="47"/>
        <v>53398.660485426597</v>
      </c>
      <c r="K96" s="18">
        <f>IF(R96&lt;&gt;1,"",DATA_INPUT!H96)</f>
        <v>106.35653379716172</v>
      </c>
      <c r="L96" s="18">
        <f t="shared" si="48"/>
        <v>284600.85545805003</v>
      </c>
      <c r="M96" s="18">
        <f>IF(R96&lt;&gt;1,"",H96*CONTROL_PANEL!$B$14)</f>
        <v>10.924164368183076</v>
      </c>
      <c r="N96" s="18">
        <f>IF(R96&lt;&gt;1,"",DATA_INPUT!K96)</f>
        <v>641520.73999949964</v>
      </c>
      <c r="O96" s="18">
        <f t="shared" si="49"/>
        <v>17404034.945246894</v>
      </c>
      <c r="P96" s="18">
        <f>IF(R96&lt;&gt;1,"",IF(O96-CONTROL_PANEL!$B$11&lt;0,0,O96-CONTROL_PANEL!$B$11))</f>
        <v>0</v>
      </c>
      <c r="Q96" s="18">
        <f>IF(R96&lt;&gt;1,"",IF(N96&lt;=0,0,MIN(N96,MAX(0,CONTROL_PANEL!$B$13-O96))))</f>
        <v>0</v>
      </c>
      <c r="R96" s="18">
        <v>1</v>
      </c>
      <c r="T96" s="19">
        <f t="shared" si="76"/>
        <v>2023</v>
      </c>
      <c r="U96" s="19">
        <v>5</v>
      </c>
      <c r="V96" s="18">
        <f t="shared" si="50"/>
        <v>31</v>
      </c>
      <c r="W96" s="18">
        <f t="shared" si="71"/>
        <v>250.92640765839684</v>
      </c>
      <c r="X96" s="18">
        <f>IF(AK95&lt;&gt;1,"",IF(AH95&gt;0,IF(AH95&gt;CONTROL_PANEL!$B$11,CONTROL_PANEL!$B$11,AH95),0))</f>
        <v>8539370.0890863761</v>
      </c>
      <c r="Y96" s="18">
        <f t="shared" si="51"/>
        <v>1608530.3614435995</v>
      </c>
      <c r="Z96" s="18">
        <f>IF(AK96&lt;&gt;1,"",DATA_INPUT!I96)</f>
        <v>1.6444624970921385E-3</v>
      </c>
      <c r="AA96" s="18">
        <f>IF(AK96&lt;&gt;1,"",Z96*CONTROL_PANEL!$B$5)</f>
        <v>156.05949097404394</v>
      </c>
      <c r="AB96" s="18">
        <f>IF(AK96&lt;&gt;1,"",DATA_INPUT!$C96)</f>
        <v>19.955303470542667</v>
      </c>
      <c r="AC96" s="18">
        <f t="shared" si="52"/>
        <v>32098.711504188708</v>
      </c>
      <c r="AD96" s="18">
        <f>IF(AK96&lt;&gt;1,"",DATA_INPUT!$H96)</f>
        <v>106.35653379716172</v>
      </c>
      <c r="AE96" s="18">
        <f t="shared" si="53"/>
        <v>171077.71375063693</v>
      </c>
      <c r="AF96" s="18">
        <f>IF(AK96&lt;&gt;1,"",AA96*CONTROL_PANEL!$B$14)</f>
        <v>10.924164368183076</v>
      </c>
      <c r="AG96" s="18">
        <f>IF(AK96&lt;&gt;1,"",DATA_INPUT!$L96)</f>
        <v>811805.14638988848</v>
      </c>
      <c r="AH96" s="18">
        <f t="shared" si="54"/>
        <v>7588731.075776645</v>
      </c>
      <c r="AI96" s="18">
        <f>IF(AK96&lt;&gt;1,"",IF(AH96-CONTROL_PANEL!$B$11&lt;0,0,AH96-CONTROL_PANEL!$B$11))</f>
        <v>0</v>
      </c>
      <c r="AJ96" s="18">
        <f>IF(AK96&lt;&gt;1,"",IF(AG96&lt;=0,0,MIN(AG96,MAX(0,CONTROL_PANEL!$B$13-AH96))))</f>
        <v>0</v>
      </c>
      <c r="AK96" s="18">
        <v>1</v>
      </c>
      <c r="AM96" s="19">
        <f t="shared" si="77"/>
        <v>2023</v>
      </c>
      <c r="AN96" s="19">
        <v>5</v>
      </c>
      <c r="AO96" s="18">
        <f t="shared" si="55"/>
        <v>31</v>
      </c>
      <c r="AP96" s="18">
        <f t="shared" si="72"/>
        <v>254.32799438739639</v>
      </c>
      <c r="AQ96" s="18">
        <f>IF(BD95&lt;&gt;1,"",IF(BA95&gt;0,IF(BA95&gt;CONTROL_PANEL!$B$11,CONTROL_PANEL!$B$11,BA95),0))</f>
        <v>15321952.229234777</v>
      </c>
      <c r="AR96" s="18">
        <f t="shared" si="56"/>
        <v>2378201.0573056797</v>
      </c>
      <c r="AS96" s="18">
        <f>IF(BD96&lt;&gt;1,"",DATA_INPUT!$I96)</f>
        <v>1.6444624970921385E-3</v>
      </c>
      <c r="AT96" s="18">
        <f>IF(BD96&lt;&gt;1,"",AS96*CONTROL_PANEL!$B$5)</f>
        <v>156.05949097404394</v>
      </c>
      <c r="AU96" s="18">
        <f>IF(BD96&lt;&gt;1,"",DATA_INPUT!$C96)</f>
        <v>19.955303470542667</v>
      </c>
      <c r="AV96" s="18">
        <f t="shared" si="57"/>
        <v>47457.72381250027</v>
      </c>
      <c r="AW96" s="18">
        <f>IF(BD96&lt;&gt;1,"",DATA_INPUT!$H96)</f>
        <v>106.35653379716172</v>
      </c>
      <c r="AX96" s="18">
        <f t="shared" si="58"/>
        <v>252937.22112777724</v>
      </c>
      <c r="AY96" s="18">
        <f>IF(BD96&lt;&gt;1,"",AT96*CONTROL_PANEL!$B$14)</f>
        <v>10.924164368183076</v>
      </c>
      <c r="AZ96" s="18">
        <f>IF(BD96&lt;&gt;1,"",DATA_INPUT!$M96)</f>
        <v>645870.98623054626</v>
      </c>
      <c r="BA96" s="18">
        <f t="shared" si="59"/>
        <v>14470746.88101556</v>
      </c>
      <c r="BB96" s="18">
        <f>IF(BD96&lt;&gt;1,"",IF(BA96-CONTROL_PANEL!$B$11&lt;0,0,BA96-CONTROL_PANEL!$B$11))</f>
        <v>0</v>
      </c>
      <c r="BC96" s="18">
        <f>IF(BD96&lt;&gt;1,"",IF(AZ96&lt;=0,0,MIN(AZ96,MAX(0,CONTROL_PANEL!$B$13-BA96))))</f>
        <v>0</v>
      </c>
      <c r="BD96" s="18">
        <v>1</v>
      </c>
      <c r="BF96" s="19">
        <f t="shared" si="78"/>
        <v>2023</v>
      </c>
      <c r="BG96" s="19">
        <v>5</v>
      </c>
      <c r="BH96" s="18">
        <f t="shared" si="60"/>
        <v>31</v>
      </c>
      <c r="BI96" s="18">
        <f t="shared" si="73"/>
        <v>256.04308256343438</v>
      </c>
      <c r="BJ96" s="18">
        <f>IF(BW95&lt;&gt;1,"",IF(BT95&gt;0,IF(BT95&gt;CONTROL_PANEL!$B$11,CONTROL_PANEL!$B$11,BT95),0))</f>
        <v>19807071.090613086</v>
      </c>
      <c r="BK96" s="18">
        <f t="shared" si="61"/>
        <v>2823788.4393940032</v>
      </c>
      <c r="BL96" s="18">
        <f>IF(BW96&lt;&gt;1,"",DATA_INPUT!$I96)</f>
        <v>1.6444624970921385E-3</v>
      </c>
      <c r="BM96" s="18">
        <f>IF(BW96&lt;&gt;1,"",BL96*CONTROL_PANEL!$B$5)</f>
        <v>156.05949097404394</v>
      </c>
      <c r="BN96" s="18">
        <f>IF(BW96&lt;&gt;1,"",DATA_INPUT!$C96)</f>
        <v>19.955303470542667</v>
      </c>
      <c r="BO96" s="18">
        <f t="shared" si="62"/>
        <v>56349.555244717412</v>
      </c>
      <c r="BP96" s="18">
        <f>IF(BW96&lt;&gt;1,"",DATA_INPUT!$H96)</f>
        <v>106.35653379716172</v>
      </c>
      <c r="BQ96" s="18">
        <f t="shared" si="63"/>
        <v>300328.35059044283</v>
      </c>
      <c r="BR96" s="18">
        <f>IF(BW96&lt;&gt;1,"",BM96*CONTROL_PANEL!$B$14)</f>
        <v>10.924164368183076</v>
      </c>
      <c r="BS96" s="18">
        <f>IF(BW96&lt;&gt;1,"",DATA_INPUT!$N96)</f>
        <v>527949.22727414186</v>
      </c>
      <c r="BT96" s="18">
        <f t="shared" si="64"/>
        <v>19035288.203319825</v>
      </c>
      <c r="BU96" s="18">
        <f>IF(BW96&lt;&gt;1,"",IF(BT96-CONTROL_PANEL!$B$11&lt;0,0,BT96-CONTROL_PANEL!$B$11))</f>
        <v>0</v>
      </c>
      <c r="BV96" s="18">
        <f>IF(BW96&lt;&gt;1,"",IF(BS96&lt;=0,0,MIN(BS96,MAX(0,CONTROL_PANEL!$B$13-BT96))))</f>
        <v>0</v>
      </c>
      <c r="BW96" s="18">
        <v>1</v>
      </c>
      <c r="BY96" s="19">
        <f t="shared" si="79"/>
        <v>2023</v>
      </c>
      <c r="BZ96" s="19">
        <v>5</v>
      </c>
      <c r="CA96" s="18">
        <f t="shared" si="65"/>
        <v>31</v>
      </c>
      <c r="CB96" s="18">
        <f t="shared" si="74"/>
        <v>254.07077671832562</v>
      </c>
      <c r="CC96" s="18">
        <f>IF(CP95&lt;&gt;1,"",IF(CM95&gt;0,IF(CM95&gt;CONTROL_PANEL!$B$11,CONTROL_PANEL!$B$11,CM95),0))</f>
        <v>14714398.297960725</v>
      </c>
      <c r="CD96" s="18">
        <f t="shared" si="66"/>
        <v>2314703.566922049</v>
      </c>
      <c r="CE96" s="18">
        <f>IF(CP96&lt;&gt;1,"",DATA_INPUT!$I96)</f>
        <v>1.6444624970921385E-3</v>
      </c>
      <c r="CF96" s="18">
        <f>IF(CP96&lt;&gt;1,"",CE96*CONTROL_PANEL!$B$5)</f>
        <v>156.05949097404394</v>
      </c>
      <c r="CG96" s="18">
        <f>IF(CP96&lt;&gt;1,"",DATA_INPUT!$C96)</f>
        <v>19.955303470542667</v>
      </c>
      <c r="CH96" s="18">
        <f t="shared" si="67"/>
        <v>46190.61212227706</v>
      </c>
      <c r="CI96" s="18">
        <f>IF(CP96&lt;&gt;1,"",DATA_INPUT!$H96)</f>
        <v>106.35653379716172</v>
      </c>
      <c r="CJ96" s="18">
        <f t="shared" si="68"/>
        <v>246183.84814575568</v>
      </c>
      <c r="CK96" s="18">
        <f>IF(CP96&lt;&gt;1,"",CF96*CONTROL_PANEL!$B$14)</f>
        <v>10.924164368183076</v>
      </c>
      <c r="CL96" s="18">
        <f>IF(CP96&lt;&gt;1,"",DATA_INPUT!$O96)</f>
        <v>602208.83125865506</v>
      </c>
      <c r="CM96" s="18">
        <f t="shared" si="69"/>
        <v>13912341.366005195</v>
      </c>
      <c r="CN96" s="18">
        <f>IF(CP96&lt;&gt;1,"",IF(CM96-CONTROL_PANEL!$B$11&lt;0,0,CM96-CONTROL_PANEL!$B$11))</f>
        <v>0</v>
      </c>
      <c r="CO96" s="18">
        <f>IF(CP96&lt;&gt;1,"",IF(CL96&lt;=0,0,MIN(CL96,MAX(0,CONTROL_PANEL!$B$13-CM96))))</f>
        <v>0</v>
      </c>
      <c r="CP96" s="18">
        <v>1</v>
      </c>
    </row>
    <row r="97" spans="1:94" x14ac:dyDescent="0.25">
      <c r="A97" s="19">
        <f t="shared" si="75"/>
        <v>2023</v>
      </c>
      <c r="B97" s="19">
        <v>6</v>
      </c>
      <c r="C97" s="18">
        <f t="shared" si="45"/>
        <v>30</v>
      </c>
      <c r="D97" s="18">
        <f t="shared" si="70"/>
        <v>255.16090009527514</v>
      </c>
      <c r="E97" s="18">
        <f>IF(R96&lt;&gt;1,"",IF(O96&gt;0,IF(O96&gt;CONTROL_PANEL!$B$11,CONTROL_PANEL!$B$11,O96),0))</f>
        <v>17404034.945246894</v>
      </c>
      <c r="F97" s="18">
        <f t="shared" si="46"/>
        <v>2589770.5255717761</v>
      </c>
      <c r="G97" s="18">
        <f>IF(R97&lt;&gt;1,"",DATA_INPUT!I97)</f>
        <v>2.4526045066735713E-4</v>
      </c>
      <c r="H97" s="18">
        <f>IF(R97&lt;&gt;1,"",G97*CONTROL_PANEL!$B$5)</f>
        <v>23.275216768332193</v>
      </c>
      <c r="I97" s="18">
        <f>IF(R97&lt;&gt;1,"",DATA_INPUT!C97)</f>
        <v>24.085366775602001</v>
      </c>
      <c r="J97" s="18">
        <f t="shared" si="47"/>
        <v>62375.572973039794</v>
      </c>
      <c r="K97" s="18">
        <f>IF(R97&lt;&gt;1,"",DATA_INPUT!H97)</f>
        <v>142.4462504496027</v>
      </c>
      <c r="L97" s="18">
        <f t="shared" si="48"/>
        <v>368903.10089259641</v>
      </c>
      <c r="M97" s="18">
        <f>IF(R97&lt;&gt;1,"",H97*CONTROL_PANEL!$B$14)</f>
        <v>1.6292651737832538</v>
      </c>
      <c r="N97" s="18">
        <f>IF(R97&lt;&gt;1,"",DATA_INPUT!K97)</f>
        <v>1077763.0200883495</v>
      </c>
      <c r="O97" s="18">
        <f t="shared" si="49"/>
        <v>16019766.043190584</v>
      </c>
      <c r="P97" s="18">
        <f>IF(R97&lt;&gt;1,"",IF(O97-CONTROL_PANEL!$B$11&lt;0,0,O97-CONTROL_PANEL!$B$11))</f>
        <v>0</v>
      </c>
      <c r="Q97" s="18">
        <f>IF(R97&lt;&gt;1,"",IF(N97&lt;=0,0,MIN(N97,MAX(0,CONTROL_PANEL!$B$13-O97))))</f>
        <v>0</v>
      </c>
      <c r="R97" s="18">
        <v>1</v>
      </c>
      <c r="T97" s="19">
        <f t="shared" si="76"/>
        <v>2023</v>
      </c>
      <c r="U97" s="19">
        <v>6</v>
      </c>
      <c r="V97" s="18">
        <f t="shared" si="50"/>
        <v>30</v>
      </c>
      <c r="W97" s="18">
        <f t="shared" si="71"/>
        <v>250.31600218401809</v>
      </c>
      <c r="X97" s="18">
        <f>IF(AK96&lt;&gt;1,"",IF(AH96&gt;0,IF(AH96&gt;CONTROL_PANEL!$B$11,CONTROL_PANEL!$B$11,AH96),0))</f>
        <v>7588731.075776645</v>
      </c>
      <c r="Y97" s="18">
        <f t="shared" si="51"/>
        <v>1486431.8347437875</v>
      </c>
      <c r="Z97" s="18">
        <f>IF(AK97&lt;&gt;1,"",DATA_INPUT!I97)</f>
        <v>2.4526045066735713E-4</v>
      </c>
      <c r="AA97" s="18">
        <f>IF(AK97&lt;&gt;1,"",Z97*CONTROL_PANEL!$B$5)</f>
        <v>23.275216768332193</v>
      </c>
      <c r="AB97" s="18">
        <f>IF(AK97&lt;&gt;1,"",DATA_INPUT!$C97)</f>
        <v>24.085366775602001</v>
      </c>
      <c r="AC97" s="18">
        <f t="shared" si="52"/>
        <v>35801.255926735146</v>
      </c>
      <c r="AD97" s="18">
        <f>IF(AK97&lt;&gt;1,"",DATA_INPUT!$H97)</f>
        <v>142.4462504496027</v>
      </c>
      <c r="AE97" s="18">
        <f t="shared" si="53"/>
        <v>211736.64140817602</v>
      </c>
      <c r="AF97" s="18">
        <f>IF(AK97&lt;&gt;1,"",AA97*CONTROL_PANEL!$B$14)</f>
        <v>1.6292651737832538</v>
      </c>
      <c r="AG97" s="18">
        <f>IF(AK97&lt;&gt;1,"",DATA_INPUT!$L97)</f>
        <v>1362779.4415955136</v>
      </c>
      <c r="AH97" s="18">
        <f t="shared" si="54"/>
        <v>6050037.8946512844</v>
      </c>
      <c r="AI97" s="18">
        <f>IF(AK97&lt;&gt;1,"",IF(AH97-CONTROL_PANEL!$B$11&lt;0,0,AH97-CONTROL_PANEL!$B$11))</f>
        <v>0</v>
      </c>
      <c r="AJ97" s="18">
        <f>IF(AK97&lt;&gt;1,"",IF(AG97&lt;=0,0,MIN(AG97,MAX(0,CONTROL_PANEL!$B$13-AH97))))</f>
        <v>0</v>
      </c>
      <c r="AK97" s="18">
        <v>1</v>
      </c>
      <c r="AM97" s="19">
        <f t="shared" si="77"/>
        <v>2023</v>
      </c>
      <c r="AN97" s="19">
        <v>6</v>
      </c>
      <c r="AO97" s="18">
        <f t="shared" si="55"/>
        <v>30</v>
      </c>
      <c r="AP97" s="18">
        <f t="shared" si="72"/>
        <v>253.96562688923612</v>
      </c>
      <c r="AQ97" s="18">
        <f>IF(BD96&lt;&gt;1,"",IF(BA96&gt;0,IF(BA96&gt;CONTROL_PANEL!$B$11,CONTROL_PANEL!$B$11,BA96),0))</f>
        <v>14470746.88101556</v>
      </c>
      <c r="AR97" s="18">
        <f t="shared" si="56"/>
        <v>2288995.8184132148</v>
      </c>
      <c r="AS97" s="18">
        <f>IF(BD97&lt;&gt;1,"",DATA_INPUT!$I97)</f>
        <v>2.4526045066735713E-4</v>
      </c>
      <c r="AT97" s="18">
        <f>IF(BD97&lt;&gt;1,"",AS97*CONTROL_PANEL!$B$5)</f>
        <v>23.275216768332193</v>
      </c>
      <c r="AU97" s="18">
        <f>IF(BD97&lt;&gt;1,"",DATA_INPUT!$C97)</f>
        <v>24.085366775602001</v>
      </c>
      <c r="AV97" s="18">
        <f t="shared" si="57"/>
        <v>55131.303834301551</v>
      </c>
      <c r="AW97" s="18">
        <f>IF(BD97&lt;&gt;1,"",DATA_INPUT!$H97)</f>
        <v>142.4462504496027</v>
      </c>
      <c r="AX97" s="18">
        <f t="shared" si="58"/>
        <v>326058.87162778212</v>
      </c>
      <c r="AY97" s="18">
        <f>IF(BD97&lt;&gt;1,"",AT97*CONTROL_PANEL!$B$14)</f>
        <v>1.6292651737832538</v>
      </c>
      <c r="AZ97" s="18">
        <f>IF(BD97&lt;&gt;1,"",DATA_INPUT!$M97)</f>
        <v>1144091.3262196097</v>
      </c>
      <c r="BA97" s="18">
        <f t="shared" si="59"/>
        <v>13055749.632954065</v>
      </c>
      <c r="BB97" s="18">
        <f>IF(BD97&lt;&gt;1,"",IF(BA97-CONTROL_PANEL!$B$11&lt;0,0,BA97-CONTROL_PANEL!$B$11))</f>
        <v>0</v>
      </c>
      <c r="BC97" s="18">
        <f>IF(BD97&lt;&gt;1,"",IF(AZ97&lt;=0,0,MIN(AZ97,MAX(0,CONTROL_PANEL!$B$13-BA97))))</f>
        <v>0</v>
      </c>
      <c r="BD97" s="18">
        <v>1</v>
      </c>
      <c r="BF97" s="19">
        <f t="shared" si="78"/>
        <v>2023</v>
      </c>
      <c r="BG97" s="19">
        <v>6</v>
      </c>
      <c r="BH97" s="18">
        <f t="shared" si="60"/>
        <v>30</v>
      </c>
      <c r="BI97" s="18">
        <f t="shared" si="73"/>
        <v>255.76796108047142</v>
      </c>
      <c r="BJ97" s="18">
        <f>IF(BW96&lt;&gt;1,"",IF(BT96&gt;0,IF(BT96&gt;CONTROL_PANEL!$B$11,CONTROL_PANEL!$B$11,BT96),0))</f>
        <v>19035288.203319825</v>
      </c>
      <c r="BK97" s="18">
        <f t="shared" si="61"/>
        <v>2749709.7278200048</v>
      </c>
      <c r="BL97" s="18">
        <f>IF(BW97&lt;&gt;1,"",DATA_INPUT!$I97)</f>
        <v>2.4526045066735713E-4</v>
      </c>
      <c r="BM97" s="18">
        <f>IF(BW97&lt;&gt;1,"",BL97*CONTROL_PANEL!$B$5)</f>
        <v>23.275216768332193</v>
      </c>
      <c r="BN97" s="18">
        <f>IF(BW97&lt;&gt;1,"",DATA_INPUT!$C97)</f>
        <v>24.085366775602001</v>
      </c>
      <c r="BO97" s="18">
        <f t="shared" si="62"/>
        <v>66227.767320985557</v>
      </c>
      <c r="BP97" s="18">
        <f>IF(BW97&lt;&gt;1,"",DATA_INPUT!$H97)</f>
        <v>142.4462504496027</v>
      </c>
      <c r="BQ97" s="18">
        <f t="shared" si="63"/>
        <v>391685.84055275726</v>
      </c>
      <c r="BR97" s="18">
        <f>IF(BW97&lt;&gt;1,"",BM97*CONTROL_PANEL!$B$14)</f>
        <v>1.6292651737832538</v>
      </c>
      <c r="BS97" s="18">
        <f>IF(BW97&lt;&gt;1,"",DATA_INPUT!$N97)</f>
        <v>997886.21387891972</v>
      </c>
      <c r="BT97" s="18">
        <f t="shared" si="64"/>
        <v>17711965.56216073</v>
      </c>
      <c r="BU97" s="18">
        <f>IF(BW97&lt;&gt;1,"",IF(BT97-CONTROL_PANEL!$B$11&lt;0,0,BT97-CONTROL_PANEL!$B$11))</f>
        <v>0</v>
      </c>
      <c r="BV97" s="18">
        <f>IF(BW97&lt;&gt;1,"",IF(BS97&lt;=0,0,MIN(BS97,MAX(0,CONTROL_PANEL!$B$13-BT97))))</f>
        <v>0</v>
      </c>
      <c r="BW97" s="18">
        <v>1</v>
      </c>
      <c r="BY97" s="19">
        <f t="shared" si="79"/>
        <v>2023</v>
      </c>
      <c r="BZ97" s="19">
        <v>6</v>
      </c>
      <c r="CA97" s="18">
        <f t="shared" si="65"/>
        <v>30</v>
      </c>
      <c r="CB97" s="18">
        <f t="shared" si="74"/>
        <v>253.72009391094878</v>
      </c>
      <c r="CC97" s="18">
        <f>IF(CP96&lt;&gt;1,"",IF(CM96&gt;0,IF(CM96&gt;CONTROL_PANEL!$B$11,CONTROL_PANEL!$B$11,CM96),0))</f>
        <v>13912341.366005195</v>
      </c>
      <c r="CD97" s="18">
        <f t="shared" si="66"/>
        <v>2229530.7008906035</v>
      </c>
      <c r="CE97" s="18">
        <f>IF(CP97&lt;&gt;1,"",DATA_INPUT!$I97)</f>
        <v>2.4526045066735713E-4</v>
      </c>
      <c r="CF97" s="18">
        <f>IF(CP97&lt;&gt;1,"",CE97*CONTROL_PANEL!$B$5)</f>
        <v>23.275216768332193</v>
      </c>
      <c r="CG97" s="18">
        <f>IF(CP97&lt;&gt;1,"",DATA_INPUT!$C97)</f>
        <v>24.085366775602001</v>
      </c>
      <c r="CH97" s="18">
        <f t="shared" si="67"/>
        <v>53699.06466841518</v>
      </c>
      <c r="CI97" s="18">
        <f>IF(CP97&lt;&gt;1,"",DATA_INPUT!$H97)</f>
        <v>142.4462504496027</v>
      </c>
      <c r="CJ97" s="18">
        <f t="shared" si="68"/>
        <v>317588.28860414115</v>
      </c>
      <c r="CK97" s="18">
        <f>IF(CP97&lt;&gt;1,"",CF97*CONTROL_PANEL!$B$14)</f>
        <v>1.6292651737832538</v>
      </c>
      <c r="CL97" s="18">
        <f>IF(CP97&lt;&gt;1,"",DATA_INPUT!$O97)</f>
        <v>1137936.6293156561</v>
      </c>
      <c r="CM97" s="18">
        <f t="shared" si="69"/>
        <v>12510537.158705406</v>
      </c>
      <c r="CN97" s="18">
        <f>IF(CP97&lt;&gt;1,"",IF(CM97-CONTROL_PANEL!$B$11&lt;0,0,CM97-CONTROL_PANEL!$B$11))</f>
        <v>0</v>
      </c>
      <c r="CO97" s="18">
        <f>IF(CP97&lt;&gt;1,"",IF(CL97&lt;=0,0,MIN(CL97,MAX(0,CONTROL_PANEL!$B$13-CM97))))</f>
        <v>0</v>
      </c>
      <c r="CP97" s="18">
        <v>1</v>
      </c>
    </row>
    <row r="98" spans="1:94" x14ac:dyDescent="0.25">
      <c r="A98" s="19">
        <f t="shared" si="75"/>
        <v>2023</v>
      </c>
      <c r="B98" s="19">
        <v>7</v>
      </c>
      <c r="C98" s="18">
        <f t="shared" si="45"/>
        <v>31</v>
      </c>
      <c r="D98" s="18">
        <f t="shared" si="70"/>
        <v>254.61514162686763</v>
      </c>
      <c r="E98" s="18">
        <f>IF(R97&lt;&gt;1,"",IF(O97&gt;0,IF(O97&gt;CONTROL_PANEL!$B$11,CONTROL_PANEL!$B$11,O97),0))</f>
        <v>16019766.043190584</v>
      </c>
      <c r="F98" s="18">
        <f t="shared" si="46"/>
        <v>2450112.2165614683</v>
      </c>
      <c r="G98" s="18">
        <f>IF(R98&lt;&gt;1,"",DATA_INPUT!I98)</f>
        <v>3.3955462736882363E-5</v>
      </c>
      <c r="H98" s="18">
        <f>IF(R98&lt;&gt;1,"",G98*CONTROL_PANEL!$B$5)</f>
        <v>3.2223734137301361</v>
      </c>
      <c r="I98" s="18">
        <f>IF(R98&lt;&gt;1,"",DATA_INPUT!C98)</f>
        <v>0.1</v>
      </c>
      <c r="J98" s="18">
        <f t="shared" si="47"/>
        <v>245.01122165614683</v>
      </c>
      <c r="K98" s="18">
        <f>IF(R98&lt;&gt;1,"",DATA_INPUT!H98)</f>
        <v>152.93289814570568</v>
      </c>
      <c r="L98" s="18">
        <f t="shared" si="48"/>
        <v>374702.76206094422</v>
      </c>
      <c r="M98" s="18">
        <f>IF(R98&lt;&gt;1,"",H98*CONTROL_PANEL!$B$14)</f>
        <v>0.22556613896110955</v>
      </c>
      <c r="N98" s="18">
        <f>IF(R98&lt;&gt;1,"",DATA_INPUT!K98)</f>
        <v>2314360.4930263762</v>
      </c>
      <c r="O98" s="18">
        <f t="shared" si="49"/>
        <v>13330950.796132194</v>
      </c>
      <c r="P98" s="18">
        <f>IF(R98&lt;&gt;1,"",IF(O98-CONTROL_PANEL!$B$11&lt;0,0,O98-CONTROL_PANEL!$B$11))</f>
        <v>0</v>
      </c>
      <c r="Q98" s="18">
        <f>IF(R98&lt;&gt;1,"",IF(N98&lt;=0,0,MIN(N98,MAX(0,CONTROL_PANEL!$B$13-O98))))</f>
        <v>0</v>
      </c>
      <c r="R98" s="18">
        <v>1</v>
      </c>
      <c r="T98" s="19">
        <f t="shared" si="76"/>
        <v>2023</v>
      </c>
      <c r="U98" s="19">
        <v>7</v>
      </c>
      <c r="V98" s="18">
        <f t="shared" si="50"/>
        <v>31</v>
      </c>
      <c r="W98" s="18">
        <f t="shared" si="71"/>
        <v>249.2088514307346</v>
      </c>
      <c r="X98" s="18">
        <f>IF(AK97&lt;&gt;1,"",IF(AH97&gt;0,IF(AH97&gt;CONTROL_PANEL!$B$11,CONTROL_PANEL!$B$11,AH97),0))</f>
        <v>6050037.8946512844</v>
      </c>
      <c r="Y98" s="18">
        <f t="shared" si="51"/>
        <v>1277380.7772170869</v>
      </c>
      <c r="Z98" s="18">
        <f>IF(AK98&lt;&gt;1,"",DATA_INPUT!I98)</f>
        <v>3.3955462736882363E-5</v>
      </c>
      <c r="AA98" s="18">
        <f>IF(AK98&lt;&gt;1,"",Z98*CONTROL_PANEL!$B$5)</f>
        <v>3.2223734137301361</v>
      </c>
      <c r="AB98" s="18">
        <f>IF(AK98&lt;&gt;1,"",DATA_INPUT!$C98)</f>
        <v>0.1</v>
      </c>
      <c r="AC98" s="18">
        <f t="shared" si="52"/>
        <v>127.73807772170869</v>
      </c>
      <c r="AD98" s="18">
        <f>IF(AK98&lt;&gt;1,"",DATA_INPUT!$H98)</f>
        <v>152.93289814570568</v>
      </c>
      <c r="AE98" s="18">
        <f t="shared" si="53"/>
        <v>195353.54429542308</v>
      </c>
      <c r="AF98" s="18">
        <f>IF(AK98&lt;&gt;1,"",AA98*CONTROL_PANEL!$B$14)</f>
        <v>0.22556613896110955</v>
      </c>
      <c r="AG98" s="18">
        <f>IF(AK98&lt;&gt;1,"",DATA_INPUT!$L98)</f>
        <v>2935609.6578204338</v>
      </c>
      <c r="AH98" s="18">
        <f t="shared" si="54"/>
        <v>2919205.4274204238</v>
      </c>
      <c r="AI98" s="18">
        <f>IF(AK98&lt;&gt;1,"",IF(AH98-CONTROL_PANEL!$B$11&lt;0,0,AH98-CONTROL_PANEL!$B$11))</f>
        <v>0</v>
      </c>
      <c r="AJ98" s="18">
        <f>IF(AK98&lt;&gt;1,"",IF(AG98&lt;=0,0,MIN(AG98,MAX(0,CONTROL_PANEL!$B$13-AH98))))</f>
        <v>0</v>
      </c>
      <c r="AK98" s="18">
        <v>1</v>
      </c>
      <c r="AM98" s="19">
        <f t="shared" si="77"/>
        <v>2023</v>
      </c>
      <c r="AN98" s="19">
        <v>7</v>
      </c>
      <c r="AO98" s="18">
        <f t="shared" si="55"/>
        <v>31</v>
      </c>
      <c r="AP98" s="18">
        <f t="shared" si="72"/>
        <v>253.33029591214074</v>
      </c>
      <c r="AQ98" s="18">
        <f>IF(BD97&lt;&gt;1,"",IF(BA97&gt;0,IF(BA97&gt;CONTROL_PANEL!$B$11,CONTROL_PANEL!$B$11,BA97),0))</f>
        <v>13055749.632954065</v>
      </c>
      <c r="AR98" s="18">
        <f t="shared" si="56"/>
        <v>2136749.4058249509</v>
      </c>
      <c r="AS98" s="18">
        <f>IF(BD98&lt;&gt;1,"",DATA_INPUT!$I98)</f>
        <v>3.3955462736882363E-5</v>
      </c>
      <c r="AT98" s="18">
        <f>IF(BD98&lt;&gt;1,"",AS98*CONTROL_PANEL!$B$5)</f>
        <v>3.2223734137301361</v>
      </c>
      <c r="AU98" s="18">
        <f>IF(BD98&lt;&gt;1,"",DATA_INPUT!$C98)</f>
        <v>0.1</v>
      </c>
      <c r="AV98" s="18">
        <f t="shared" si="57"/>
        <v>213.67494058249508</v>
      </c>
      <c r="AW98" s="18">
        <f>IF(BD98&lt;&gt;1,"",DATA_INPUT!$H98)</f>
        <v>152.93289814570568</v>
      </c>
      <c r="AX98" s="18">
        <f t="shared" si="58"/>
        <v>326779.27924392431</v>
      </c>
      <c r="AY98" s="18">
        <f>IF(BD98&lt;&gt;1,"",AT98*CONTROL_PANEL!$B$14)</f>
        <v>0.22556613896110955</v>
      </c>
      <c r="AZ98" s="18">
        <f>IF(BD98&lt;&gt;1,"",DATA_INPUT!$M98)</f>
        <v>2569276.4901011186</v>
      </c>
      <c r="BA98" s="18">
        <f t="shared" si="59"/>
        <v>10159910.535356879</v>
      </c>
      <c r="BB98" s="18">
        <f>IF(BD98&lt;&gt;1,"",IF(BA98-CONTROL_PANEL!$B$11&lt;0,0,BA98-CONTROL_PANEL!$B$11))</f>
        <v>0</v>
      </c>
      <c r="BC98" s="18">
        <f>IF(BD98&lt;&gt;1,"",IF(AZ98&lt;=0,0,MIN(AZ98,MAX(0,CONTROL_PANEL!$B$13-BA98))))</f>
        <v>0</v>
      </c>
      <c r="BD98" s="18">
        <v>1</v>
      </c>
      <c r="BF98" s="19">
        <f t="shared" si="78"/>
        <v>2023</v>
      </c>
      <c r="BG98" s="19">
        <v>7</v>
      </c>
      <c r="BH98" s="18">
        <f t="shared" si="60"/>
        <v>31</v>
      </c>
      <c r="BI98" s="18">
        <f t="shared" si="73"/>
        <v>255.2783232109478</v>
      </c>
      <c r="BJ98" s="18">
        <f>IF(BW97&lt;&gt;1,"",IF(BT97&gt;0,IF(BT97&gt;CONTROL_PANEL!$B$11,CONTROL_PANEL!$B$11,BT97),0))</f>
        <v>17711965.56216073</v>
      </c>
      <c r="BK98" s="18">
        <f t="shared" si="61"/>
        <v>2620329.9027108555</v>
      </c>
      <c r="BL98" s="18">
        <f>IF(BW98&lt;&gt;1,"",DATA_INPUT!$I98)</f>
        <v>3.3955462736882363E-5</v>
      </c>
      <c r="BM98" s="18">
        <f>IF(BW98&lt;&gt;1,"",BL98*CONTROL_PANEL!$B$5)</f>
        <v>3.2223734137301361</v>
      </c>
      <c r="BN98" s="18">
        <f>IF(BW98&lt;&gt;1,"",DATA_INPUT!$C98)</f>
        <v>0.1</v>
      </c>
      <c r="BO98" s="18">
        <f t="shared" si="62"/>
        <v>262.03299027108557</v>
      </c>
      <c r="BP98" s="18">
        <f>IF(BW98&lt;&gt;1,"",DATA_INPUT!$H98)</f>
        <v>152.93289814570568</v>
      </c>
      <c r="BQ98" s="18">
        <f t="shared" si="63"/>
        <v>400734.64611942612</v>
      </c>
      <c r="BR98" s="18">
        <f>IF(BW98&lt;&gt;1,"",BM98*CONTROL_PANEL!$B$14)</f>
        <v>0.22556613896110955</v>
      </c>
      <c r="BS98" s="18">
        <f>IF(BW98&lt;&gt;1,"",DATA_INPUT!$N98)</f>
        <v>2344005.3621077058</v>
      </c>
      <c r="BT98" s="18">
        <f t="shared" si="64"/>
        <v>14967490.583731145</v>
      </c>
      <c r="BU98" s="18">
        <f>IF(BW98&lt;&gt;1,"",IF(BT98-CONTROL_PANEL!$B$11&lt;0,0,BT98-CONTROL_PANEL!$B$11))</f>
        <v>0</v>
      </c>
      <c r="BV98" s="18">
        <f>IF(BW98&lt;&gt;1,"",IF(BS98&lt;=0,0,MIN(BS98,MAX(0,CONTROL_PANEL!$B$13-BT98))))</f>
        <v>0</v>
      </c>
      <c r="BW98" s="18">
        <v>1</v>
      </c>
      <c r="BY98" s="19">
        <f t="shared" si="79"/>
        <v>2023</v>
      </c>
      <c r="BZ98" s="19">
        <v>7</v>
      </c>
      <c r="CA98" s="18">
        <f t="shared" si="65"/>
        <v>31</v>
      </c>
      <c r="CB98" s="18">
        <f t="shared" si="74"/>
        <v>253.07320133270986</v>
      </c>
      <c r="CC98" s="18">
        <f>IF(CP97&lt;&gt;1,"",IF(CM97&gt;0,IF(CM97&gt;CONTROL_PANEL!$B$11,CONTROL_PANEL!$B$11,CM97),0))</f>
        <v>12510537.158705406</v>
      </c>
      <c r="CD98" s="18">
        <f t="shared" si="66"/>
        <v>2076644.3523311738</v>
      </c>
      <c r="CE98" s="18">
        <f>IF(CP98&lt;&gt;1,"",DATA_INPUT!$I98)</f>
        <v>3.3955462736882363E-5</v>
      </c>
      <c r="CF98" s="18">
        <f>IF(CP98&lt;&gt;1,"",CE98*CONTROL_PANEL!$B$5)</f>
        <v>3.2223734137301361</v>
      </c>
      <c r="CG98" s="18">
        <f>IF(CP98&lt;&gt;1,"",DATA_INPUT!$C98)</f>
        <v>0.1</v>
      </c>
      <c r="CH98" s="18">
        <f t="shared" si="67"/>
        <v>207.66443523311739</v>
      </c>
      <c r="CI98" s="18">
        <f>IF(CP98&lt;&gt;1,"",DATA_INPUT!$H98)</f>
        <v>152.93289814570568</v>
      </c>
      <c r="CJ98" s="18">
        <f t="shared" si="68"/>
        <v>317587.23921991838</v>
      </c>
      <c r="CK98" s="18">
        <f>IF(CP98&lt;&gt;1,"",CF98*CONTROL_PANEL!$B$14)</f>
        <v>0.22556613896110955</v>
      </c>
      <c r="CL98" s="18">
        <f>IF(CP98&lt;&gt;1,"",DATA_INPUT!$O98)</f>
        <v>2683130.447449958</v>
      </c>
      <c r="CM98" s="18">
        <f t="shared" si="69"/>
        <v>9510030.1332780384</v>
      </c>
      <c r="CN98" s="18">
        <f>IF(CP98&lt;&gt;1,"",IF(CM98-CONTROL_PANEL!$B$11&lt;0,0,CM98-CONTROL_PANEL!$B$11))</f>
        <v>0</v>
      </c>
      <c r="CO98" s="18">
        <f>IF(CP98&lt;&gt;1,"",IF(CL98&lt;=0,0,MIN(CL98,MAX(0,CONTROL_PANEL!$B$13-CM98))))</f>
        <v>0</v>
      </c>
      <c r="CP98" s="18">
        <v>1</v>
      </c>
    </row>
    <row r="99" spans="1:94" x14ac:dyDescent="0.25">
      <c r="A99" s="19">
        <f t="shared" si="75"/>
        <v>2023</v>
      </c>
      <c r="B99" s="19">
        <v>8</v>
      </c>
      <c r="C99" s="18">
        <f t="shared" si="45"/>
        <v>31</v>
      </c>
      <c r="D99" s="18">
        <f t="shared" si="70"/>
        <v>253.45734577612043</v>
      </c>
      <c r="E99" s="18">
        <f>IF(R98&lt;&gt;1,"",IF(O98&gt;0,IF(O98&gt;CONTROL_PANEL!$B$11,CONTROL_PANEL!$B$11,O98),0))</f>
        <v>13330950.796132194</v>
      </c>
      <c r="F99" s="18">
        <f t="shared" si="46"/>
        <v>2166771.5864183507</v>
      </c>
      <c r="G99" s="18">
        <f>IF(R99&lt;&gt;1,"",DATA_INPUT!I99)</f>
        <v>4.6512635057362503E-6</v>
      </c>
      <c r="H99" s="18">
        <f>IF(R99&lt;&gt;1,"",G99*CONTROL_PANEL!$B$5)</f>
        <v>0.44140490669437016</v>
      </c>
      <c r="I99" s="18">
        <f>IF(R99&lt;&gt;1,"",DATA_INPUT!C99)</f>
        <v>0</v>
      </c>
      <c r="J99" s="18">
        <f t="shared" si="47"/>
        <v>0</v>
      </c>
      <c r="K99" s="18">
        <f>IF(R99&lt;&gt;1,"",DATA_INPUT!H99)</f>
        <v>144.7192152182424</v>
      </c>
      <c r="L99" s="18">
        <f t="shared" si="48"/>
        <v>313573.48354364978</v>
      </c>
      <c r="M99" s="18">
        <f>IF(R99&lt;&gt;1,"",H99*CONTROL_PANEL!$B$14)</f>
        <v>3.0898343468605913E-2</v>
      </c>
      <c r="N99" s="18">
        <f>IF(R99&lt;&gt;1,"",DATA_INPUT!K99)</f>
        <v>2149203.1384588913</v>
      </c>
      <c r="O99" s="18">
        <f t="shared" si="49"/>
        <v>10868174.584636217</v>
      </c>
      <c r="P99" s="18">
        <f>IF(R99&lt;&gt;1,"",IF(O99-CONTROL_PANEL!$B$11&lt;0,0,O99-CONTROL_PANEL!$B$11))</f>
        <v>0</v>
      </c>
      <c r="Q99" s="18">
        <f>IF(R99&lt;&gt;1,"",IF(N99&lt;=0,0,MIN(N99,MAX(0,CONTROL_PANEL!$B$13-O99))))</f>
        <v>0</v>
      </c>
      <c r="R99" s="18">
        <v>1</v>
      </c>
      <c r="T99" s="19">
        <f t="shared" si="76"/>
        <v>2023</v>
      </c>
      <c r="U99" s="19">
        <v>8</v>
      </c>
      <c r="V99" s="18">
        <f t="shared" si="50"/>
        <v>31</v>
      </c>
      <c r="W99" s="18">
        <f t="shared" si="71"/>
        <v>246.16245759087354</v>
      </c>
      <c r="X99" s="18">
        <f>IF(AK98&lt;&gt;1,"",IF(AH98&gt;0,IF(AH98&gt;CONTROL_PANEL!$B$11,CONTROL_PANEL!$B$11,AH98),0))</f>
        <v>2919205.4274204238</v>
      </c>
      <c r="Y99" s="18">
        <f t="shared" si="51"/>
        <v>784559.87052721286</v>
      </c>
      <c r="Z99" s="18">
        <f>IF(AK99&lt;&gt;1,"",DATA_INPUT!I99)</f>
        <v>4.6512635057362503E-6</v>
      </c>
      <c r="AA99" s="18">
        <f>IF(AK99&lt;&gt;1,"",Z99*CONTROL_PANEL!$B$5)</f>
        <v>0.44140490669437016</v>
      </c>
      <c r="AB99" s="18">
        <f>IF(AK99&lt;&gt;1,"",DATA_INPUT!$C99)</f>
        <v>0</v>
      </c>
      <c r="AC99" s="18">
        <f t="shared" si="52"/>
        <v>0</v>
      </c>
      <c r="AD99" s="18">
        <f>IF(AK99&lt;&gt;1,"",DATA_INPUT!$H99)</f>
        <v>144.7192152182424</v>
      </c>
      <c r="AE99" s="18">
        <f t="shared" si="53"/>
        <v>113540.88875442412</v>
      </c>
      <c r="AF99" s="18">
        <f>IF(AK99&lt;&gt;1,"",AA99*CONTROL_PANEL!$B$14)</f>
        <v>3.0898343468605913E-2</v>
      </c>
      <c r="AG99" s="18">
        <f>IF(AK99&lt;&gt;1,"",DATA_INPUT!$L99)</f>
        <v>2728334.8116342248</v>
      </c>
      <c r="AH99" s="18">
        <f t="shared" si="54"/>
        <v>77330.13753833808</v>
      </c>
      <c r="AI99" s="18">
        <f>IF(AK99&lt;&gt;1,"",IF(AH99-CONTROL_PANEL!$B$11&lt;0,0,AH99-CONTROL_PANEL!$B$11))</f>
        <v>0</v>
      </c>
      <c r="AJ99" s="18">
        <f>IF(AK99&lt;&gt;1,"",IF(AG99&lt;=0,0,MIN(AG99,MAX(0,CONTROL_PANEL!$B$13-AH99))))</f>
        <v>2022669.8624616619</v>
      </c>
      <c r="AK99" s="18">
        <v>1</v>
      </c>
      <c r="AM99" s="19">
        <f t="shared" si="77"/>
        <v>2023</v>
      </c>
      <c r="AN99" s="19">
        <v>8</v>
      </c>
      <c r="AO99" s="18">
        <f t="shared" si="55"/>
        <v>31</v>
      </c>
      <c r="AP99" s="18">
        <f t="shared" si="72"/>
        <v>251.86964421072526</v>
      </c>
      <c r="AQ99" s="18">
        <f>IF(BD98&lt;&gt;1,"",IF(BA98&gt;0,IF(BA98&gt;CONTROL_PANEL!$B$11,CONTROL_PANEL!$B$11,BA98),0))</f>
        <v>10159910.535356879</v>
      </c>
      <c r="AR99" s="18">
        <f t="shared" si="56"/>
        <v>1806779.7533449188</v>
      </c>
      <c r="AS99" s="18">
        <f>IF(BD99&lt;&gt;1,"",DATA_INPUT!$I99)</f>
        <v>4.6512635057362503E-6</v>
      </c>
      <c r="AT99" s="18">
        <f>IF(BD99&lt;&gt;1,"",AS99*CONTROL_PANEL!$B$5)</f>
        <v>0.44140490669437016</v>
      </c>
      <c r="AU99" s="18">
        <f>IF(BD99&lt;&gt;1,"",DATA_INPUT!$C99)</f>
        <v>0</v>
      </c>
      <c r="AV99" s="18">
        <f t="shared" si="57"/>
        <v>0</v>
      </c>
      <c r="AW99" s="18">
        <f>IF(BD99&lt;&gt;1,"",DATA_INPUT!$H99)</f>
        <v>144.7192152182424</v>
      </c>
      <c r="AX99" s="18">
        <f t="shared" si="58"/>
        <v>261475.74797628622</v>
      </c>
      <c r="AY99" s="18">
        <f>IF(BD99&lt;&gt;1,"",AT99*CONTROL_PANEL!$B$14)</f>
        <v>3.0898343468605913E-2</v>
      </c>
      <c r="AZ99" s="18">
        <f>IF(BD99&lt;&gt;1,"",DATA_INPUT!$M99)</f>
        <v>2410926.5223117154</v>
      </c>
      <c r="BA99" s="18">
        <f t="shared" si="59"/>
        <v>7487508.6755754407</v>
      </c>
      <c r="BB99" s="18">
        <f>IF(BD99&lt;&gt;1,"",IF(BA99-CONTROL_PANEL!$B$11&lt;0,0,BA99-CONTROL_PANEL!$B$11))</f>
        <v>0</v>
      </c>
      <c r="BC99" s="18">
        <f>IF(BD99&lt;&gt;1,"",IF(AZ99&lt;=0,0,MIN(AZ99,MAX(0,CONTROL_PANEL!$B$13-BA99))))</f>
        <v>0</v>
      </c>
      <c r="BD99" s="18">
        <v>1</v>
      </c>
      <c r="BF99" s="19">
        <f t="shared" si="78"/>
        <v>2023</v>
      </c>
      <c r="BG99" s="19">
        <v>8</v>
      </c>
      <c r="BH99" s="18">
        <f t="shared" si="60"/>
        <v>31</v>
      </c>
      <c r="BI99" s="18">
        <f t="shared" si="73"/>
        <v>254.178774826893</v>
      </c>
      <c r="BJ99" s="18">
        <f>IF(BW98&lt;&gt;1,"",IF(BT98&gt;0,IF(BT98&gt;CONTROL_PANEL!$B$11,CONTROL_PANEL!$B$11,BT98),0))</f>
        <v>14967490.583731145</v>
      </c>
      <c r="BK99" s="18">
        <f t="shared" si="61"/>
        <v>2341258.6130491528</v>
      </c>
      <c r="BL99" s="18">
        <f>IF(BW99&lt;&gt;1,"",DATA_INPUT!$I99)</f>
        <v>4.6512635057362503E-6</v>
      </c>
      <c r="BM99" s="18">
        <f>IF(BW99&lt;&gt;1,"",BL99*CONTROL_PANEL!$B$5)</f>
        <v>0.44140490669437016</v>
      </c>
      <c r="BN99" s="18">
        <f>IF(BW99&lt;&gt;1,"",DATA_INPUT!$C99)</f>
        <v>0</v>
      </c>
      <c r="BO99" s="18">
        <f t="shared" si="62"/>
        <v>0</v>
      </c>
      <c r="BP99" s="18">
        <f>IF(BW99&lt;&gt;1,"",DATA_INPUT!$H99)</f>
        <v>144.7192152182424</v>
      </c>
      <c r="BQ99" s="18">
        <f t="shared" si="63"/>
        <v>338825.10910342401</v>
      </c>
      <c r="BR99" s="18">
        <f>IF(BW99&lt;&gt;1,"",BM99*CONTROL_PANEL!$B$14)</f>
        <v>3.0898343468605913E-2</v>
      </c>
      <c r="BS99" s="18">
        <f>IF(BW99&lt;&gt;1,"",DATA_INPUT!$N99)</f>
        <v>2221401.1263390533</v>
      </c>
      <c r="BT99" s="18">
        <f t="shared" si="64"/>
        <v>12407264.758795232</v>
      </c>
      <c r="BU99" s="18">
        <f>IF(BW99&lt;&gt;1,"",IF(BT99-CONTROL_PANEL!$B$11&lt;0,0,BT99-CONTROL_PANEL!$B$11))</f>
        <v>0</v>
      </c>
      <c r="BV99" s="18">
        <f>IF(BW99&lt;&gt;1,"",IF(BS99&lt;=0,0,MIN(BS99,MAX(0,CONTROL_PANEL!$B$13-BT99))))</f>
        <v>0</v>
      </c>
      <c r="BW99" s="18">
        <v>1</v>
      </c>
      <c r="BY99" s="19">
        <f t="shared" si="79"/>
        <v>2023</v>
      </c>
      <c r="BZ99" s="19">
        <v>8</v>
      </c>
      <c r="CA99" s="18">
        <f t="shared" si="65"/>
        <v>31</v>
      </c>
      <c r="CB99" s="18">
        <f t="shared" si="74"/>
        <v>251.50440856507942</v>
      </c>
      <c r="CC99" s="18">
        <f>IF(CP98&lt;&gt;1,"",IF(CM98&gt;0,IF(CM98&gt;CONTROL_PANEL!$B$11,CONTROL_PANEL!$B$11,CM98),0))</f>
        <v>9510030.1332780384</v>
      </c>
      <c r="CD99" s="18">
        <f t="shared" si="66"/>
        <v>1728634.5213362565</v>
      </c>
      <c r="CE99" s="18">
        <f>IF(CP99&lt;&gt;1,"",DATA_INPUT!$I99)</f>
        <v>4.6512635057362503E-6</v>
      </c>
      <c r="CF99" s="18">
        <f>IF(CP99&lt;&gt;1,"",CE99*CONTROL_PANEL!$B$5)</f>
        <v>0.44140490669437016</v>
      </c>
      <c r="CG99" s="18">
        <f>IF(CP99&lt;&gt;1,"",DATA_INPUT!$C99)</f>
        <v>0</v>
      </c>
      <c r="CH99" s="18">
        <f t="shared" si="67"/>
        <v>0</v>
      </c>
      <c r="CI99" s="18">
        <f>IF(CP99&lt;&gt;1,"",DATA_INPUT!$H99)</f>
        <v>144.7192152182424</v>
      </c>
      <c r="CJ99" s="18">
        <f t="shared" si="68"/>
        <v>250166.63132694512</v>
      </c>
      <c r="CK99" s="18">
        <f>IF(CP99&lt;&gt;1,"",CF99*CONTROL_PANEL!$B$14)</f>
        <v>3.0898343468605913E-2</v>
      </c>
      <c r="CL99" s="18">
        <f>IF(CP99&lt;&gt;1,"",DATA_INPUT!$O99)</f>
        <v>2544767.0128146904</v>
      </c>
      <c r="CM99" s="18">
        <f t="shared" si="69"/>
        <v>6715096.8996429667</v>
      </c>
      <c r="CN99" s="18">
        <f>IF(CP99&lt;&gt;1,"",IF(CM99-CONTROL_PANEL!$B$11&lt;0,0,CM99-CONTROL_PANEL!$B$11))</f>
        <v>0</v>
      </c>
      <c r="CO99" s="18">
        <f>IF(CP99&lt;&gt;1,"",IF(CL99&lt;=0,0,MIN(CL99,MAX(0,CONTROL_PANEL!$B$13-CM99))))</f>
        <v>0</v>
      </c>
      <c r="CP99" s="18">
        <v>1</v>
      </c>
    </row>
    <row r="100" spans="1:94" x14ac:dyDescent="0.25">
      <c r="A100" s="19">
        <f t="shared" si="75"/>
        <v>2023</v>
      </c>
      <c r="B100" s="19">
        <v>9</v>
      </c>
      <c r="C100" s="18">
        <f t="shared" si="45"/>
        <v>30</v>
      </c>
      <c r="D100" s="18">
        <f t="shared" si="70"/>
        <v>252.25030947837388</v>
      </c>
      <c r="E100" s="18">
        <f>IF(R99&lt;&gt;1,"",IF(O99&gt;0,IF(O99&gt;CONTROL_PANEL!$B$11,CONTROL_PANEL!$B$11,O99),0))</f>
        <v>10868174.584636217</v>
      </c>
      <c r="F100" s="18">
        <f t="shared" si="46"/>
        <v>1890083.4095054297</v>
      </c>
      <c r="G100" s="18">
        <f>IF(R100&lt;&gt;1,"",DATA_INPUT!I100)</f>
        <v>12.699858988331068</v>
      </c>
      <c r="H100" s="18">
        <f>IF(R100&lt;&gt;1,"",G100*CONTROL_PANEL!$B$5)</f>
        <v>1205216.6179926184</v>
      </c>
      <c r="I100" s="18">
        <f>IF(R100&lt;&gt;1,"",DATA_INPUT!C100)</f>
        <v>36.461627070570003</v>
      </c>
      <c r="J100" s="18">
        <f t="shared" si="47"/>
        <v>68915.516409658419</v>
      </c>
      <c r="K100" s="18">
        <f>IF(R100&lt;&gt;1,"",DATA_INPUT!H100)</f>
        <v>92.950968338214011</v>
      </c>
      <c r="L100" s="18">
        <f t="shared" si="48"/>
        <v>175685.08315352278</v>
      </c>
      <c r="M100" s="18">
        <f>IF(R100&lt;&gt;1,"",H100*CONTROL_PANEL!$B$14)</f>
        <v>84365.163259483292</v>
      </c>
      <c r="N100" s="18">
        <f>IF(R100&lt;&gt;1,"",DATA_INPUT!K100)</f>
        <v>587497.73223438207</v>
      </c>
      <c r="O100" s="18">
        <f t="shared" si="49"/>
        <v>11294758.740391105</v>
      </c>
      <c r="P100" s="18">
        <f>IF(R100&lt;&gt;1,"",IF(O100-CONTROL_PANEL!$B$11&lt;0,0,O100-CONTROL_PANEL!$B$11))</f>
        <v>0</v>
      </c>
      <c r="Q100" s="18">
        <f>IF(R100&lt;&gt;1,"",IF(N100&lt;=0,0,MIN(N100,MAX(0,CONTROL_PANEL!$B$13-O100))))</f>
        <v>0</v>
      </c>
      <c r="R100" s="18">
        <v>1</v>
      </c>
      <c r="T100" s="19">
        <f t="shared" si="76"/>
        <v>2023</v>
      </c>
      <c r="U100" s="19">
        <v>9</v>
      </c>
      <c r="V100" s="18">
        <f t="shared" si="50"/>
        <v>30</v>
      </c>
      <c r="W100" s="18">
        <f t="shared" si="71"/>
        <v>238.35430266570813</v>
      </c>
      <c r="X100" s="18">
        <f>IF(AK99&lt;&gt;1,"",IF(AH99&gt;0,IF(AH99&gt;CONTROL_PANEL!$B$11,CONTROL_PANEL!$B$11,AH99),0))</f>
        <v>77330.13753833808</v>
      </c>
      <c r="Y100" s="18">
        <f t="shared" si="51"/>
        <v>69162.03924789124</v>
      </c>
      <c r="Z100" s="18">
        <f>IF(AK100&lt;&gt;1,"",DATA_INPUT!I100)</f>
        <v>12.699858988331068</v>
      </c>
      <c r="AA100" s="18">
        <f>IF(AK100&lt;&gt;1,"",Z100*CONTROL_PANEL!$B$5)</f>
        <v>1205216.6179926184</v>
      </c>
      <c r="AB100" s="18">
        <f>IF(AK100&lt;&gt;1,"",DATA_INPUT!$C100)</f>
        <v>36.461627070570003</v>
      </c>
      <c r="AC100" s="18">
        <f t="shared" si="52"/>
        <v>2521.7604824967361</v>
      </c>
      <c r="AD100" s="18">
        <f>IF(AK100&lt;&gt;1,"",DATA_INPUT!$H100)</f>
        <v>92.950968338214011</v>
      </c>
      <c r="AE100" s="18">
        <f t="shared" si="53"/>
        <v>6428.6785203370537</v>
      </c>
      <c r="AF100" s="18">
        <f>IF(AK100&lt;&gt;1,"",AA100*CONTROL_PANEL!$B$14)</f>
        <v>84365.163259483292</v>
      </c>
      <c r="AG100" s="18">
        <f>IF(AK100&lt;&gt;1,"",DATA_INPUT!$L100)</f>
        <v>746449.77405308385</v>
      </c>
      <c r="AH100" s="18">
        <f t="shared" si="54"/>
        <v>447824.90018054901</v>
      </c>
      <c r="AI100" s="18">
        <f>IF(AK100&lt;&gt;1,"",IF(AH100-CONTROL_PANEL!$B$11&lt;0,0,AH100-CONTROL_PANEL!$B$11))</f>
        <v>0</v>
      </c>
      <c r="AJ100" s="18">
        <f>IF(AK100&lt;&gt;1,"",IF(AG100&lt;=0,0,MIN(AG100,MAX(0,CONTROL_PANEL!$B$13-AH100))))</f>
        <v>746449.77405308385</v>
      </c>
      <c r="AK100" s="18">
        <v>1</v>
      </c>
      <c r="AM100" s="19">
        <f t="shared" si="77"/>
        <v>2023</v>
      </c>
      <c r="AN100" s="19">
        <v>9</v>
      </c>
      <c r="AO100" s="18">
        <f t="shared" si="55"/>
        <v>30</v>
      </c>
      <c r="AP100" s="18">
        <f t="shared" si="72"/>
        <v>250.2480515649043</v>
      </c>
      <c r="AQ100" s="18">
        <f>IF(BD99&lt;&gt;1,"",IF(BA99&gt;0,IF(BA99&gt;CONTROL_PANEL!$B$11,CONTROL_PANEL!$B$11,BA99),0))</f>
        <v>7487508.6755754407</v>
      </c>
      <c r="AR100" s="18">
        <f t="shared" si="56"/>
        <v>1473140.7439903498</v>
      </c>
      <c r="AS100" s="18">
        <f>IF(BD100&lt;&gt;1,"",DATA_INPUT!$I100)</f>
        <v>12.699858988331068</v>
      </c>
      <c r="AT100" s="18">
        <f>IF(BD100&lt;&gt;1,"",AS100*CONTROL_PANEL!$B$5)</f>
        <v>1205216.6179926184</v>
      </c>
      <c r="AU100" s="18">
        <f>IF(BD100&lt;&gt;1,"",DATA_INPUT!$C100)</f>
        <v>36.461627070570003</v>
      </c>
      <c r="AV100" s="18">
        <f t="shared" si="57"/>
        <v>53713.108429838176</v>
      </c>
      <c r="AW100" s="18">
        <f>IF(BD100&lt;&gt;1,"",DATA_INPUT!$H100)</f>
        <v>92.950968338214011</v>
      </c>
      <c r="AX100" s="18">
        <f t="shared" si="58"/>
        <v>136929.85865238006</v>
      </c>
      <c r="AY100" s="18">
        <f>IF(BD100&lt;&gt;1,"",AT100*CONTROL_PANEL!$B$14)</f>
        <v>84365.163259483292</v>
      </c>
      <c r="AZ100" s="18">
        <f>IF(BD100&lt;&gt;1,"",DATA_INPUT!$M100)</f>
        <v>664419.49077645806</v>
      </c>
      <c r="BA100" s="18">
        <f t="shared" si="59"/>
        <v>7860723.8893095767</v>
      </c>
      <c r="BB100" s="18">
        <f>IF(BD100&lt;&gt;1,"",IF(BA100-CONTROL_PANEL!$B$11&lt;0,0,BA100-CONTROL_PANEL!$B$11))</f>
        <v>0</v>
      </c>
      <c r="BC100" s="18">
        <f>IF(BD100&lt;&gt;1,"",IF(AZ100&lt;=0,0,MIN(AZ100,MAX(0,CONTROL_PANEL!$B$13-BA100))))</f>
        <v>0</v>
      </c>
      <c r="BD100" s="18">
        <v>1</v>
      </c>
      <c r="BF100" s="19">
        <f t="shared" si="78"/>
        <v>2023</v>
      </c>
      <c r="BG100" s="19">
        <v>9</v>
      </c>
      <c r="BH100" s="18">
        <f t="shared" si="60"/>
        <v>30</v>
      </c>
      <c r="BI100" s="18">
        <f t="shared" si="73"/>
        <v>253.02366323886318</v>
      </c>
      <c r="BJ100" s="18">
        <f>IF(BW99&lt;&gt;1,"",IF(BT99&gt;0,IF(BT99&gt;CONTROL_PANEL!$B$11,CONTROL_PANEL!$B$11,BT99),0))</f>
        <v>12407264.758795232</v>
      </c>
      <c r="BK100" s="18">
        <f t="shared" si="61"/>
        <v>2065162.5467639093</v>
      </c>
      <c r="BL100" s="18">
        <f>IF(BW100&lt;&gt;1,"",DATA_INPUT!$I100)</f>
        <v>12.699858988331068</v>
      </c>
      <c r="BM100" s="18">
        <f>IF(BW100&lt;&gt;1,"",BL100*CONTROL_PANEL!$B$5)</f>
        <v>1205216.6179926184</v>
      </c>
      <c r="BN100" s="18">
        <f>IF(BW100&lt;&gt;1,"",DATA_INPUT!$C100)</f>
        <v>36.461627070570003</v>
      </c>
      <c r="BO100" s="18">
        <f t="shared" si="62"/>
        <v>75299.186620214241</v>
      </c>
      <c r="BP100" s="18">
        <f>IF(BW100&lt;&gt;1,"",DATA_INPUT!$H100)</f>
        <v>92.950968338214011</v>
      </c>
      <c r="BQ100" s="18">
        <f t="shared" si="63"/>
        <v>191958.85849751756</v>
      </c>
      <c r="BR100" s="18">
        <f>IF(BW100&lt;&gt;1,"",BM100*CONTROL_PANEL!$B$14)</f>
        <v>84365.163259483292</v>
      </c>
      <c r="BS100" s="18">
        <f>IF(BW100&lt;&gt;1,"",DATA_INPUT!$N100)</f>
        <v>616658.11762604851</v>
      </c>
      <c r="BT100" s="18">
        <f t="shared" si="64"/>
        <v>12794798.424025016</v>
      </c>
      <c r="BU100" s="18">
        <f>IF(BW100&lt;&gt;1,"",IF(BT100-CONTROL_PANEL!$B$11&lt;0,0,BT100-CONTROL_PANEL!$B$11))</f>
        <v>0</v>
      </c>
      <c r="BV100" s="18">
        <f>IF(BW100&lt;&gt;1,"",IF(BS100&lt;=0,0,MIN(BS100,MAX(0,CONTROL_PANEL!$B$13-BT100))))</f>
        <v>0</v>
      </c>
      <c r="BW100" s="18">
        <v>1</v>
      </c>
      <c r="BY100" s="19">
        <f t="shared" si="79"/>
        <v>2023</v>
      </c>
      <c r="BZ100" s="19">
        <v>9</v>
      </c>
      <c r="CA100" s="18">
        <f t="shared" si="65"/>
        <v>30</v>
      </c>
      <c r="CB100" s="18">
        <f t="shared" si="74"/>
        <v>249.70811609154956</v>
      </c>
      <c r="CC100" s="18">
        <f>IF(CP99&lt;&gt;1,"",IF(CM99&gt;0,IF(CM99&gt;CONTROL_PANEL!$B$11,CONTROL_PANEL!$B$11,CM99),0))</f>
        <v>6715096.8996429667</v>
      </c>
      <c r="CD100" s="18">
        <f t="shared" si="66"/>
        <v>1369671.7223018962</v>
      </c>
      <c r="CE100" s="18">
        <f>IF(CP100&lt;&gt;1,"",DATA_INPUT!$I100)</f>
        <v>12.699858988331068</v>
      </c>
      <c r="CF100" s="18">
        <f>IF(CP100&lt;&gt;1,"",CE100*CONTROL_PANEL!$B$5)</f>
        <v>1205216.6179926184</v>
      </c>
      <c r="CG100" s="18">
        <f>IF(CP100&lt;&gt;1,"",DATA_INPUT!$C100)</f>
        <v>36.461627070570003</v>
      </c>
      <c r="CH100" s="18">
        <f t="shared" si="67"/>
        <v>49940.459547677056</v>
      </c>
      <c r="CI100" s="18">
        <f>IF(CP100&lt;&gt;1,"",DATA_INPUT!$H100)</f>
        <v>92.950968338214011</v>
      </c>
      <c r="CJ100" s="18">
        <f t="shared" si="68"/>
        <v>127312.3128934306</v>
      </c>
      <c r="CK100" s="18">
        <f>IF(CP100&lt;&gt;1,"",CF100*CONTROL_PANEL!$B$14)</f>
        <v>84365.163259483292</v>
      </c>
      <c r="CL100" s="18">
        <f>IF(CP100&lt;&gt;1,"",DATA_INPUT!$O100)</f>
        <v>707072.33919231757</v>
      </c>
      <c r="CM100" s="18">
        <f t="shared" si="69"/>
        <v>7051504.1618380304</v>
      </c>
      <c r="CN100" s="18">
        <f>IF(CP100&lt;&gt;1,"",IF(CM100-CONTROL_PANEL!$B$11&lt;0,0,CM100-CONTROL_PANEL!$B$11))</f>
        <v>0</v>
      </c>
      <c r="CO100" s="18">
        <f>IF(CP100&lt;&gt;1,"",IF(CL100&lt;=0,0,MIN(CL100,MAX(0,CONTROL_PANEL!$B$13-CM100))))</f>
        <v>0</v>
      </c>
      <c r="CP100" s="18">
        <v>1</v>
      </c>
    </row>
    <row r="101" spans="1:94" x14ac:dyDescent="0.25">
      <c r="A101" s="19">
        <f t="shared" si="75"/>
        <v>2023</v>
      </c>
      <c r="B101" s="19">
        <v>10</v>
      </c>
      <c r="C101" s="18">
        <f t="shared" si="45"/>
        <v>31</v>
      </c>
      <c r="D101" s="18">
        <f t="shared" si="70"/>
        <v>252.47163030088186</v>
      </c>
      <c r="E101" s="18">
        <f>IF(R100&lt;&gt;1,"",IF(O100&gt;0,IF(O100&gt;CONTROL_PANEL!$B$11,CONTROL_PANEL!$B$11,O100),0))</f>
        <v>11294758.740391105</v>
      </c>
      <c r="F101" s="18">
        <f t="shared" ref="F101:F125" si="80">IF(R101&lt;&gt;1,"",0.6*(D101-235)^2.02*10000)</f>
        <v>1939388.3477183636</v>
      </c>
      <c r="G101" s="18">
        <f>IF(R101&lt;&gt;1,"",DATA_INPUT!I101)</f>
        <v>5.9772046417459075</v>
      </c>
      <c r="H101" s="18">
        <f>IF(R101&lt;&gt;1,"",G101*CONTROL_PANEL!$B$5)</f>
        <v>567236.72050168656</v>
      </c>
      <c r="I101" s="18">
        <f>IF(R101&lt;&gt;1,"",DATA_INPUT!C101)</f>
        <v>156.60348669293799</v>
      </c>
      <c r="J101" s="18">
        <f t="shared" si="47"/>
        <v>303714.97730435175</v>
      </c>
      <c r="K101" s="18">
        <f>IF(R101&lt;&gt;1,"",DATA_INPUT!H101)</f>
        <v>48.127478897867547</v>
      </c>
      <c r="L101" s="18">
        <f t="shared" si="48"/>
        <v>93337.871779585752</v>
      </c>
      <c r="M101" s="18">
        <f>IF(R101&lt;&gt;1,"",H101*CONTROL_PANEL!$B$14)</f>
        <v>39706.570435118061</v>
      </c>
      <c r="N101" s="18">
        <f>IF(R101&lt;&gt;1,"",DATA_INPUT!K101)</f>
        <v>117042.55764813126</v>
      </c>
      <c r="O101" s="18">
        <f t="shared" si="49"/>
        <v>11915623.43833431</v>
      </c>
      <c r="P101" s="18">
        <f>IF(R101&lt;&gt;1,"",IF(O101-CONTROL_PANEL!$B$11&lt;0,0,O101-CONTROL_PANEL!$B$11))</f>
        <v>0</v>
      </c>
      <c r="Q101" s="18">
        <f>IF(R101&lt;&gt;1,"",IF(N101&lt;=0,0,MIN(N101,MAX(0,CONTROL_PANEL!$B$13-O101))))</f>
        <v>0</v>
      </c>
      <c r="R101" s="18">
        <v>1</v>
      </c>
      <c r="T101" s="19">
        <f t="shared" si="76"/>
        <v>2023</v>
      </c>
      <c r="U101" s="19">
        <v>10</v>
      </c>
      <c r="V101" s="18">
        <f t="shared" si="50"/>
        <v>31</v>
      </c>
      <c r="W101" s="18">
        <f t="shared" si="71"/>
        <v>241.00028119316005</v>
      </c>
      <c r="X101" s="18">
        <f>IF(AK100&lt;&gt;1,"",IF(AH100&gt;0,IF(AH100&gt;CONTROL_PANEL!$B$11,CONTROL_PANEL!$B$11,AH100),0))</f>
        <v>447824.90018054901</v>
      </c>
      <c r="Y101" s="18">
        <f t="shared" ref="Y101:Y125" si="81">IF(AK101&lt;&gt;1,"",0.6*(W101-235)^2.02*10000)</f>
        <v>223901.95680714658</v>
      </c>
      <c r="Z101" s="18">
        <f>IF(AK101&lt;&gt;1,"",DATA_INPUT!I101)</f>
        <v>5.9772046417459075</v>
      </c>
      <c r="AA101" s="18">
        <f>IF(AK101&lt;&gt;1,"",Z101*CONTROL_PANEL!$B$5)</f>
        <v>567236.72050168656</v>
      </c>
      <c r="AB101" s="18">
        <f>IF(AK101&lt;&gt;1,"",DATA_INPUT!$C101)</f>
        <v>156.60348669293799</v>
      </c>
      <c r="AC101" s="18">
        <f t="shared" si="52"/>
        <v>35063.827113370753</v>
      </c>
      <c r="AD101" s="18">
        <f>IF(AK101&lt;&gt;1,"",DATA_INPUT!$H101)</f>
        <v>48.127478897867547</v>
      </c>
      <c r="AE101" s="18">
        <f t="shared" si="53"/>
        <v>10775.836701427197</v>
      </c>
      <c r="AF101" s="18">
        <f>IF(AK101&lt;&gt;1,"",AA101*CONTROL_PANEL!$B$14)</f>
        <v>39706.570435118061</v>
      </c>
      <c r="AG101" s="18">
        <f>IF(AK101&lt;&gt;1,"",DATA_INPUT!$L101)</f>
        <v>147660.359109162</v>
      </c>
      <c r="AH101" s="18">
        <f t="shared" si="54"/>
        <v>851982.68154989893</v>
      </c>
      <c r="AI101" s="18">
        <f>IF(AK101&lt;&gt;1,"",IF(AH101-CONTROL_PANEL!$B$11&lt;0,0,AH101-CONTROL_PANEL!$B$11))</f>
        <v>0</v>
      </c>
      <c r="AJ101" s="18">
        <f>IF(AK101&lt;&gt;1,"",IF(AG101&lt;=0,0,MIN(AG101,MAX(0,CONTROL_PANEL!$B$13-AH101))))</f>
        <v>147660.359109162</v>
      </c>
      <c r="AK101" s="18">
        <v>1</v>
      </c>
      <c r="AM101" s="19">
        <f t="shared" si="77"/>
        <v>2023</v>
      </c>
      <c r="AN101" s="19">
        <v>10</v>
      </c>
      <c r="AO101" s="18">
        <f t="shared" si="55"/>
        <v>31</v>
      </c>
      <c r="AP101" s="18">
        <f t="shared" si="72"/>
        <v>250.49563765266319</v>
      </c>
      <c r="AQ101" s="18">
        <f>IF(BD100&lt;&gt;1,"",IF(BA100&gt;0,IF(BA100&gt;CONTROL_PANEL!$B$11,CONTROL_PANEL!$B$11,BA100),0))</f>
        <v>7860723.8893095767</v>
      </c>
      <c r="AR101" s="18">
        <f t="shared" ref="AR101:AR125" si="82">IF(BD101&lt;&gt;1,"",0.6*(AP101-235)^2.02*10000)</f>
        <v>1521858.7447981415</v>
      </c>
      <c r="AS101" s="18">
        <f>IF(BD101&lt;&gt;1,"",DATA_INPUT!$I101)</f>
        <v>5.9772046417459075</v>
      </c>
      <c r="AT101" s="18">
        <f>IF(BD101&lt;&gt;1,"",AS101*CONTROL_PANEL!$B$5)</f>
        <v>567236.72050168656</v>
      </c>
      <c r="AU101" s="18">
        <f>IF(BD101&lt;&gt;1,"",DATA_INPUT!$C101)</f>
        <v>156.60348669293799</v>
      </c>
      <c r="AV101" s="18">
        <f t="shared" si="57"/>
        <v>238328.38568952706</v>
      </c>
      <c r="AW101" s="18">
        <f>IF(BD101&lt;&gt;1,"",DATA_INPUT!$H101)</f>
        <v>48.127478897867547</v>
      </c>
      <c r="AX101" s="18">
        <f t="shared" si="58"/>
        <v>73243.22462580775</v>
      </c>
      <c r="AY101" s="18">
        <f>IF(BD101&lt;&gt;1,"",AT101*CONTROL_PANEL!$B$14)</f>
        <v>39706.570435118061</v>
      </c>
      <c r="AZ101" s="18">
        <f>IF(BD101&lt;&gt;1,"",DATA_INPUT!$M101)</f>
        <v>133833.19917642546</v>
      </c>
      <c r="BA101" s="18">
        <f t="shared" si="59"/>
        <v>8419506.0012634378</v>
      </c>
      <c r="BB101" s="18">
        <f>IF(BD101&lt;&gt;1,"",IF(BA101-CONTROL_PANEL!$B$11&lt;0,0,BA101-CONTROL_PANEL!$B$11))</f>
        <v>0</v>
      </c>
      <c r="BC101" s="18">
        <f>IF(BD101&lt;&gt;1,"",IF(AZ101&lt;=0,0,MIN(AZ101,MAX(0,CONTROL_PANEL!$B$13-BA101))))</f>
        <v>0</v>
      </c>
      <c r="BD101" s="18">
        <v>1</v>
      </c>
      <c r="BF101" s="19">
        <f t="shared" si="78"/>
        <v>2023</v>
      </c>
      <c r="BG101" s="19">
        <v>10</v>
      </c>
      <c r="BH101" s="18">
        <f t="shared" si="60"/>
        <v>31</v>
      </c>
      <c r="BI101" s="18">
        <f t="shared" si="73"/>
        <v>253.20815928236431</v>
      </c>
      <c r="BJ101" s="18">
        <f>IF(BW100&lt;&gt;1,"",IF(BT100&gt;0,IF(BT100&gt;CONTROL_PANEL!$B$11,CONTROL_PANEL!$B$11,BT100),0))</f>
        <v>12794798.424025016</v>
      </c>
      <c r="BK101" s="18">
        <f t="shared" ref="BK101:BK125" si="83">IF(BW101&lt;&gt;1,"",0.6*(BI101-235)^2.02*10000)</f>
        <v>2108087.6258179885</v>
      </c>
      <c r="BL101" s="18">
        <f>IF(BW101&lt;&gt;1,"",DATA_INPUT!$I101)</f>
        <v>5.9772046417459075</v>
      </c>
      <c r="BM101" s="18">
        <f>IF(BW101&lt;&gt;1,"",BL101*CONTROL_PANEL!$B$5)</f>
        <v>567236.72050168656</v>
      </c>
      <c r="BN101" s="18">
        <f>IF(BW101&lt;&gt;1,"",DATA_INPUT!$C101)</f>
        <v>156.60348669293799</v>
      </c>
      <c r="BO101" s="18">
        <f t="shared" si="62"/>
        <v>330133.87245733466</v>
      </c>
      <c r="BP101" s="18">
        <f>IF(BW101&lt;&gt;1,"",DATA_INPUT!$H101)</f>
        <v>48.127478897867547</v>
      </c>
      <c r="BQ101" s="18">
        <f t="shared" si="63"/>
        <v>101456.94272641094</v>
      </c>
      <c r="BR101" s="18">
        <f>IF(BW101&lt;&gt;1,"",BM101*CONTROL_PANEL!$B$14)</f>
        <v>39706.570435118061</v>
      </c>
      <c r="BS101" s="18">
        <f>IF(BW101&lt;&gt;1,"",DATA_INPUT!$N101)</f>
        <v>126526.9121943061</v>
      </c>
      <c r="BT101" s="18">
        <f t="shared" si="64"/>
        <v>13424478.591628203</v>
      </c>
      <c r="BU101" s="18">
        <f>IF(BW101&lt;&gt;1,"",IF(BT101-CONTROL_PANEL!$B$11&lt;0,0,BT101-CONTROL_PANEL!$B$11))</f>
        <v>0</v>
      </c>
      <c r="BV101" s="18">
        <f>IF(BW101&lt;&gt;1,"",IF(BS101&lt;=0,0,MIN(BS101,MAX(0,CONTROL_PANEL!$B$13-BT101))))</f>
        <v>0</v>
      </c>
      <c r="BW101" s="18">
        <v>1</v>
      </c>
      <c r="BY101" s="19">
        <f t="shared" si="79"/>
        <v>2023</v>
      </c>
      <c r="BZ101" s="19">
        <v>10</v>
      </c>
      <c r="CA101" s="18">
        <f t="shared" si="65"/>
        <v>31</v>
      </c>
      <c r="CB101" s="18">
        <f t="shared" si="74"/>
        <v>249.94812356244105</v>
      </c>
      <c r="CC101" s="18">
        <f>IF(CP100&lt;&gt;1,"",IF(CM100&gt;0,IF(CM100&gt;CONTROL_PANEL!$B$11,CONTROL_PANEL!$B$11,CM100),0))</f>
        <v>7051504.1618380304</v>
      </c>
      <c r="CD101" s="18">
        <f t="shared" ref="CD101:CD125" si="84">IF(CP101&lt;&gt;1,"",0.6*(CB101-235)^2.02*10000)</f>
        <v>1415195.1846763771</v>
      </c>
      <c r="CE101" s="18">
        <f>IF(CP101&lt;&gt;1,"",DATA_INPUT!$I101)</f>
        <v>5.9772046417459075</v>
      </c>
      <c r="CF101" s="18">
        <f>IF(CP101&lt;&gt;1,"",CE101*CONTROL_PANEL!$B$5)</f>
        <v>567236.72050168656</v>
      </c>
      <c r="CG101" s="18">
        <f>IF(CP101&lt;&gt;1,"",DATA_INPUT!$C101)</f>
        <v>156.60348669293799</v>
      </c>
      <c r="CH101" s="18">
        <f t="shared" si="67"/>
        <v>221624.50027137695</v>
      </c>
      <c r="CI101" s="18">
        <f>IF(CP101&lt;&gt;1,"",DATA_INPUT!$H101)</f>
        <v>48.127478897867547</v>
      </c>
      <c r="CJ101" s="18">
        <f t="shared" si="68"/>
        <v>68109.77638687611</v>
      </c>
      <c r="CK101" s="18">
        <f>IF(CP101&lt;&gt;1,"",CF101*CONTROL_PANEL!$B$14)</f>
        <v>39706.570435118061</v>
      </c>
      <c r="CL101" s="18">
        <f>IF(CP101&lt;&gt;1,"",DATA_INPUT!$O101)</f>
        <v>144102.96775410243</v>
      </c>
      <c r="CM101" s="18">
        <f t="shared" si="69"/>
        <v>7588446.0680349972</v>
      </c>
      <c r="CN101" s="18">
        <f>IF(CP101&lt;&gt;1,"",IF(CM101-CONTROL_PANEL!$B$11&lt;0,0,CM101-CONTROL_PANEL!$B$11))</f>
        <v>0</v>
      </c>
      <c r="CO101" s="18">
        <f>IF(CP101&lt;&gt;1,"",IF(CL101&lt;=0,0,MIN(CL101,MAX(0,CONTROL_PANEL!$B$13-CM101))))</f>
        <v>0</v>
      </c>
      <c r="CP101" s="18">
        <v>1</v>
      </c>
    </row>
    <row r="102" spans="1:94" x14ac:dyDescent="0.25">
      <c r="A102" s="19">
        <f t="shared" si="75"/>
        <v>2023</v>
      </c>
      <c r="B102" s="19">
        <v>11</v>
      </c>
      <c r="C102" s="18">
        <f t="shared" si="45"/>
        <v>30</v>
      </c>
      <c r="D102" s="18">
        <f t="shared" ref="D102:D127" si="85">IF(R101&lt;&gt;1,"",235+((E102/1000/2)^(1/3.02)))</f>
        <v>252.78397066176368</v>
      </c>
      <c r="E102" s="18">
        <f>IF(R101&lt;&gt;1,"",IF(O101&gt;0,IF(O101&gt;CONTROL_PANEL!$B$11,CONTROL_PANEL!$B$11,O101),0))</f>
        <v>11915623.43833431</v>
      </c>
      <c r="F102" s="18">
        <f t="shared" si="80"/>
        <v>2010061.2509365161</v>
      </c>
      <c r="G102" s="18">
        <f>IF(R102&lt;&gt;1,"",DATA_INPUT!I102)</f>
        <v>14.590276494426309</v>
      </c>
      <c r="H102" s="18">
        <f>IF(R102&lt;&gt;1,"",G102*CONTROL_PANEL!$B$5)</f>
        <v>1384617.2393210568</v>
      </c>
      <c r="I102" s="18">
        <f>IF(R102&lt;&gt;1,"",DATA_INPUT!C102)</f>
        <v>69.810665543181997</v>
      </c>
      <c r="J102" s="18">
        <f t="shared" si="47"/>
        <v>140323.71371043916</v>
      </c>
      <c r="K102" s="18">
        <f>IF(R102&lt;&gt;1,"",DATA_INPUT!H102)</f>
        <v>23.136848261338116</v>
      </c>
      <c r="L102" s="18">
        <f t="shared" si="48"/>
        <v>46506.482158913648</v>
      </c>
      <c r="M102" s="18">
        <f>IF(R102&lt;&gt;1,"",H102*CONTROL_PANEL!$B$14)</f>
        <v>96923.206752473983</v>
      </c>
      <c r="N102" s="18">
        <f>IF(R102&lt;&gt;1,"",DATA_INPUT!K102)</f>
        <v>0</v>
      </c>
      <c r="O102" s="18">
        <f t="shared" si="49"/>
        <v>13297134.702454418</v>
      </c>
      <c r="P102" s="18">
        <f>IF(R102&lt;&gt;1,"",IF(O102-CONTROL_PANEL!$B$11&lt;0,0,O102-CONTROL_PANEL!$B$11))</f>
        <v>0</v>
      </c>
      <c r="Q102" s="18">
        <f>IF(R102&lt;&gt;1,"",IF(N102&lt;=0,0,MIN(N102,MAX(0,CONTROL_PANEL!$B$13-O102))))</f>
        <v>0</v>
      </c>
      <c r="R102" s="18">
        <v>1</v>
      </c>
      <c r="T102" s="19">
        <f t="shared" si="76"/>
        <v>2023</v>
      </c>
      <c r="U102" s="19">
        <v>11</v>
      </c>
      <c r="V102" s="18">
        <f t="shared" si="50"/>
        <v>30</v>
      </c>
      <c r="W102" s="18">
        <f t="shared" ref="W102:W127" si="86">IF(AK101&lt;&gt;1,"",235+((X102/1000/2)^(1/3.02)))</f>
        <v>242.42441957327179</v>
      </c>
      <c r="X102" s="18">
        <f>IF(AK101&lt;&gt;1,"",IF(AH101&gt;0,IF(AH101&gt;CONTROL_PANEL!$B$11,CONTROL_PANEL!$B$11,AH101),0))</f>
        <v>851982.68154989893</v>
      </c>
      <c r="Y102" s="18">
        <f t="shared" si="81"/>
        <v>344262.33854714048</v>
      </c>
      <c r="Z102" s="18">
        <f>IF(AK102&lt;&gt;1,"",DATA_INPUT!I102)</f>
        <v>14.590276494426309</v>
      </c>
      <c r="AA102" s="18">
        <f>IF(AK102&lt;&gt;1,"",Z102*CONTROL_PANEL!$B$5)</f>
        <v>1384617.2393210568</v>
      </c>
      <c r="AB102" s="18">
        <f>IF(AK102&lt;&gt;1,"",DATA_INPUT!$C102)</f>
        <v>69.810665543181997</v>
      </c>
      <c r="AC102" s="18">
        <f t="shared" si="52"/>
        <v>24033.182975428117</v>
      </c>
      <c r="AD102" s="18">
        <f>IF(AK102&lt;&gt;1,"",DATA_INPUT!$H102)</f>
        <v>23.136848261338116</v>
      </c>
      <c r="AE102" s="18">
        <f t="shared" si="53"/>
        <v>7965.145489058601</v>
      </c>
      <c r="AF102" s="18">
        <f>IF(AK102&lt;&gt;1,"",AA102*CONTROL_PANEL!$B$14)</f>
        <v>96923.206752473983</v>
      </c>
      <c r="AG102" s="18">
        <f>IF(AK102&lt;&gt;1,"",DATA_INPUT!$L102)</f>
        <v>0</v>
      </c>
      <c r="AH102" s="18">
        <f t="shared" si="54"/>
        <v>2155744.7516048513</v>
      </c>
      <c r="AI102" s="18">
        <f>IF(AK102&lt;&gt;1,"",IF(AH102-CONTROL_PANEL!$B$11&lt;0,0,AH102-CONTROL_PANEL!$B$11))</f>
        <v>0</v>
      </c>
      <c r="AJ102" s="18">
        <f>IF(AK102&lt;&gt;1,"",IF(AG102&lt;=0,0,MIN(AG102,MAX(0,CONTROL_PANEL!$B$13-AH102))))</f>
        <v>0</v>
      </c>
      <c r="AK102" s="18">
        <v>1</v>
      </c>
      <c r="AM102" s="19">
        <f t="shared" si="77"/>
        <v>2023</v>
      </c>
      <c r="AN102" s="19">
        <v>11</v>
      </c>
      <c r="AO102" s="18">
        <f t="shared" si="55"/>
        <v>30</v>
      </c>
      <c r="AP102" s="18">
        <f t="shared" ref="AP102:AP127" si="87">IF(BD101&lt;&gt;1,"",235+((AQ102/1000/2)^(1/3.02)))</f>
        <v>250.85203315160828</v>
      </c>
      <c r="AQ102" s="18">
        <f>IF(BD101&lt;&gt;1,"",IF(BA101&gt;0,IF(BA101&gt;CONTROL_PANEL!$B$11,CONTROL_PANEL!$B$11,BA101),0))</f>
        <v>8419506.0012634378</v>
      </c>
      <c r="AR102" s="18">
        <f t="shared" si="82"/>
        <v>1593392.9586330547</v>
      </c>
      <c r="AS102" s="18">
        <f>IF(BD102&lt;&gt;1,"",DATA_INPUT!$I102)</f>
        <v>14.590276494426309</v>
      </c>
      <c r="AT102" s="18">
        <f>IF(BD102&lt;&gt;1,"",AS102*CONTROL_PANEL!$B$5)</f>
        <v>1384617.2393210568</v>
      </c>
      <c r="AU102" s="18">
        <f>IF(BD102&lt;&gt;1,"",DATA_INPUT!$C102)</f>
        <v>69.810665543181997</v>
      </c>
      <c r="AV102" s="18">
        <f t="shared" si="57"/>
        <v>111235.82291399341</v>
      </c>
      <c r="AW102" s="18">
        <f>IF(BD102&lt;&gt;1,"",DATA_INPUT!$H102)</f>
        <v>23.136848261338116</v>
      </c>
      <c r="AX102" s="18">
        <f t="shared" si="58"/>
        <v>36866.091104577587</v>
      </c>
      <c r="AY102" s="18">
        <f>IF(BD102&lt;&gt;1,"",AT102*CONTROL_PANEL!$B$14)</f>
        <v>96923.206752473983</v>
      </c>
      <c r="AZ102" s="18">
        <f>IF(BD102&lt;&gt;1,"",DATA_INPUT!$M102)</f>
        <v>0</v>
      </c>
      <c r="BA102" s="18">
        <f t="shared" si="59"/>
        <v>9781569.765641436</v>
      </c>
      <c r="BB102" s="18">
        <f>IF(BD102&lt;&gt;1,"",IF(BA102-CONTROL_PANEL!$B$11&lt;0,0,BA102-CONTROL_PANEL!$B$11))</f>
        <v>0</v>
      </c>
      <c r="BC102" s="18">
        <f>IF(BD102&lt;&gt;1,"",IF(AZ102&lt;=0,0,MIN(AZ102,MAX(0,CONTROL_PANEL!$B$13-BA102))))</f>
        <v>0</v>
      </c>
      <c r="BD102" s="18">
        <v>1</v>
      </c>
      <c r="BF102" s="19">
        <f t="shared" si="78"/>
        <v>2023</v>
      </c>
      <c r="BG102" s="19">
        <v>11</v>
      </c>
      <c r="BH102" s="18">
        <f t="shared" si="60"/>
        <v>30</v>
      </c>
      <c r="BI102" s="18">
        <f t="shared" ref="BI102:BI127" si="88">IF(BW101&lt;&gt;1,"",235+((BJ102/1000/2)^(1/3.02)))</f>
        <v>253.50012428461775</v>
      </c>
      <c r="BJ102" s="18">
        <f>IF(BW101&lt;&gt;1,"",IF(BT101&gt;0,IF(BT101&gt;CONTROL_PANEL!$B$11,CONTROL_PANEL!$B$11,BT101),0))</f>
        <v>13424478.591628203</v>
      </c>
      <c r="BK102" s="18">
        <f t="shared" si="83"/>
        <v>2176927.8495264356</v>
      </c>
      <c r="BL102" s="18">
        <f>IF(BW102&lt;&gt;1,"",DATA_INPUT!$I102)</f>
        <v>14.590276494426309</v>
      </c>
      <c r="BM102" s="18">
        <f>IF(BW102&lt;&gt;1,"",BL102*CONTROL_PANEL!$B$5)</f>
        <v>1384617.2393210568</v>
      </c>
      <c r="BN102" s="18">
        <f>IF(BW102&lt;&gt;1,"",DATA_INPUT!$C102)</f>
        <v>69.810665543181997</v>
      </c>
      <c r="BO102" s="18">
        <f t="shared" si="62"/>
        <v>151972.78201492844</v>
      </c>
      <c r="BP102" s="18">
        <f>IF(BW102&lt;&gt;1,"",DATA_INPUT!$H102)</f>
        <v>23.136848261338116</v>
      </c>
      <c r="BQ102" s="18">
        <f t="shared" si="63"/>
        <v>50367.24933037423</v>
      </c>
      <c r="BR102" s="18">
        <f>IF(BW102&lt;&gt;1,"",BM102*CONTROL_PANEL!$B$14)</f>
        <v>96923.206752473983</v>
      </c>
      <c r="BS102" s="18">
        <f>IF(BW102&lt;&gt;1,"",DATA_INPUT!$N102)</f>
        <v>0</v>
      </c>
      <c r="BT102" s="18">
        <f t="shared" si="64"/>
        <v>14813778.15688134</v>
      </c>
      <c r="BU102" s="18">
        <f>IF(BW102&lt;&gt;1,"",IF(BT102-CONTROL_PANEL!$B$11&lt;0,0,BT102-CONTROL_PANEL!$B$11))</f>
        <v>0</v>
      </c>
      <c r="BV102" s="18">
        <f>IF(BW102&lt;&gt;1,"",IF(BS102&lt;=0,0,MIN(BS102,MAX(0,CONTROL_PANEL!$B$13-BT102))))</f>
        <v>0</v>
      </c>
      <c r="BW102" s="18">
        <v>1</v>
      </c>
      <c r="BY102" s="19">
        <f t="shared" si="79"/>
        <v>2023</v>
      </c>
      <c r="BZ102" s="19">
        <v>11</v>
      </c>
      <c r="CA102" s="18">
        <f t="shared" si="65"/>
        <v>30</v>
      </c>
      <c r="CB102" s="18">
        <f t="shared" ref="CB102:CB127" si="89">IF(CP101&lt;&gt;1,"",235+((CC102/1000/2)^(1/3.02)))</f>
        <v>250.3158117118937</v>
      </c>
      <c r="CC102" s="18">
        <f>IF(CP101&lt;&gt;1,"",IF(CM101&gt;0,IF(CM101&gt;CONTROL_PANEL!$B$11,CONTROL_PANEL!$B$11,CM101),0))</f>
        <v>7588446.0680349972</v>
      </c>
      <c r="CD102" s="18">
        <f t="shared" si="84"/>
        <v>1486394.4942876413</v>
      </c>
      <c r="CE102" s="18">
        <f>IF(CP102&lt;&gt;1,"",DATA_INPUT!$I102)</f>
        <v>14.590276494426309</v>
      </c>
      <c r="CF102" s="18">
        <f>IF(CP102&lt;&gt;1,"",CE102*CONTROL_PANEL!$B$5)</f>
        <v>1384617.2393210568</v>
      </c>
      <c r="CG102" s="18">
        <f>IF(CP102&lt;&gt;1,"",DATA_INPUT!$C102)</f>
        <v>69.810665543181997</v>
      </c>
      <c r="CH102" s="18">
        <f t="shared" si="67"/>
        <v>103766.18890594167</v>
      </c>
      <c r="CI102" s="18">
        <f>IF(CP102&lt;&gt;1,"",DATA_INPUT!$H102)</f>
        <v>23.136848261338116</v>
      </c>
      <c r="CJ102" s="18">
        <f t="shared" si="68"/>
        <v>34390.483870821561</v>
      </c>
      <c r="CK102" s="18">
        <f>IF(CP102&lt;&gt;1,"",CF102*CONTROL_PANEL!$B$14)</f>
        <v>96923.206752473983</v>
      </c>
      <c r="CL102" s="18">
        <f>IF(CP102&lt;&gt;1,"",DATA_INPUT!$O102)</f>
        <v>0</v>
      </c>
      <c r="CM102" s="18">
        <f t="shared" si="69"/>
        <v>8945515.8056386989</v>
      </c>
      <c r="CN102" s="18">
        <f>IF(CP102&lt;&gt;1,"",IF(CM102-CONTROL_PANEL!$B$11&lt;0,0,CM102-CONTROL_PANEL!$B$11))</f>
        <v>0</v>
      </c>
      <c r="CO102" s="18">
        <f>IF(CP102&lt;&gt;1,"",IF(CL102&lt;=0,0,MIN(CL102,MAX(0,CONTROL_PANEL!$B$13-CM102))))</f>
        <v>0</v>
      </c>
      <c r="CP102" s="18">
        <v>1</v>
      </c>
    </row>
    <row r="103" spans="1:94" x14ac:dyDescent="0.25">
      <c r="A103" s="19">
        <f t="shared" si="75"/>
        <v>2023</v>
      </c>
      <c r="B103" s="19">
        <v>12</v>
      </c>
      <c r="C103" s="18">
        <f t="shared" si="45"/>
        <v>31</v>
      </c>
      <c r="D103" s="18">
        <f t="shared" si="85"/>
        <v>253.44182928857839</v>
      </c>
      <c r="E103" s="18">
        <f>IF(R102&lt;&gt;1,"",IF(O102&gt;0,IF(O102&gt;CONTROL_PANEL!$B$11,CONTROL_PANEL!$B$11,O102),0))</f>
        <v>13297134.702454418</v>
      </c>
      <c r="F103" s="18">
        <f t="shared" si="80"/>
        <v>2163093.6651208117</v>
      </c>
      <c r="G103" s="18">
        <f>IF(R103&lt;&gt;1,"",DATA_INPUT!I103)</f>
        <v>38.972299934114538</v>
      </c>
      <c r="H103" s="18">
        <f>IF(R103&lt;&gt;1,"",G103*CONTROL_PANEL!$B$5)</f>
        <v>3698471.2637474695</v>
      </c>
      <c r="I103" s="18">
        <f>IF(R103&lt;&gt;1,"",DATA_INPUT!C103)</f>
        <v>85.963587012546</v>
      </c>
      <c r="J103" s="18">
        <f t="shared" si="47"/>
        <v>185947.29049789993</v>
      </c>
      <c r="K103" s="18">
        <f>IF(R103&lt;&gt;1,"",DATA_INPUT!H103)</f>
        <v>20.099092871769074</v>
      </c>
      <c r="L103" s="18">
        <f t="shared" si="48"/>
        <v>43476.220465598548</v>
      </c>
      <c r="M103" s="18">
        <f>IF(R103&lt;&gt;1,"",H103*CONTROL_PANEL!$B$14)</f>
        <v>258892.98846232289</v>
      </c>
      <c r="N103" s="18">
        <f>IF(R103&lt;&gt;1,"",DATA_INPUT!K103)</f>
        <v>0</v>
      </c>
      <c r="O103" s="18">
        <f t="shared" si="49"/>
        <v>16879184.047771864</v>
      </c>
      <c r="P103" s="18">
        <f>IF(R103&lt;&gt;1,"",IF(O103-CONTROL_PANEL!$B$11&lt;0,0,O103-CONTROL_PANEL!$B$11))</f>
        <v>0</v>
      </c>
      <c r="Q103" s="18">
        <f>IF(R103&lt;&gt;1,"",IF(N103&lt;=0,0,MIN(N103,MAX(0,CONTROL_PANEL!$B$13-O103))))</f>
        <v>0</v>
      </c>
      <c r="R103" s="18">
        <v>1</v>
      </c>
      <c r="T103" s="19">
        <f t="shared" si="76"/>
        <v>2023</v>
      </c>
      <c r="U103" s="19">
        <v>12</v>
      </c>
      <c r="V103" s="18">
        <f t="shared" si="50"/>
        <v>31</v>
      </c>
      <c r="W103" s="18">
        <f t="shared" si="86"/>
        <v>245.09627965355907</v>
      </c>
      <c r="X103" s="18">
        <f>IF(AK102&lt;&gt;1,"",IF(AH102&gt;0,IF(AH102&gt;CONTROL_PANEL!$B$11,CONTROL_PANEL!$B$11,AH102),0))</f>
        <v>2155744.7516048513</v>
      </c>
      <c r="Y103" s="18">
        <f t="shared" si="81"/>
        <v>640556.17284082947</v>
      </c>
      <c r="Z103" s="18">
        <f>IF(AK103&lt;&gt;1,"",DATA_INPUT!I103)</f>
        <v>38.972299934114538</v>
      </c>
      <c r="AA103" s="18">
        <f>IF(AK103&lt;&gt;1,"",Z103*CONTROL_PANEL!$B$5)</f>
        <v>3698471.2637474695</v>
      </c>
      <c r="AB103" s="18">
        <f>IF(AK103&lt;&gt;1,"",DATA_INPUT!$C103)</f>
        <v>85.963587012546</v>
      </c>
      <c r="AC103" s="18">
        <f t="shared" si="52"/>
        <v>55064.506300426096</v>
      </c>
      <c r="AD103" s="18">
        <f>IF(AK103&lt;&gt;1,"",DATA_INPUT!$H103)</f>
        <v>20.099092871769074</v>
      </c>
      <c r="AE103" s="18">
        <f t="shared" si="53"/>
        <v>12874.598007512795</v>
      </c>
      <c r="AF103" s="18">
        <f>IF(AK103&lt;&gt;1,"",AA103*CONTROL_PANEL!$B$14)</f>
        <v>258892.98846232289</v>
      </c>
      <c r="AG103" s="18">
        <f>IF(AK103&lt;&gt;1,"",DATA_INPUT!$L103)</f>
        <v>0</v>
      </c>
      <c r="AH103" s="18">
        <f t="shared" si="54"/>
        <v>5637512.9351829113</v>
      </c>
      <c r="AI103" s="18">
        <f>IF(AK103&lt;&gt;1,"",IF(AH103-CONTROL_PANEL!$B$11&lt;0,0,AH103-CONTROL_PANEL!$B$11))</f>
        <v>0</v>
      </c>
      <c r="AJ103" s="18">
        <f>IF(AK103&lt;&gt;1,"",IF(AG103&lt;=0,0,MIN(AG103,MAX(0,CONTROL_PANEL!$B$13-AH103))))</f>
        <v>0</v>
      </c>
      <c r="AK103" s="18">
        <v>1</v>
      </c>
      <c r="AM103" s="19">
        <f t="shared" si="77"/>
        <v>2023</v>
      </c>
      <c r="AN103" s="19">
        <v>12</v>
      </c>
      <c r="AO103" s="18">
        <f t="shared" si="55"/>
        <v>31</v>
      </c>
      <c r="AP103" s="18">
        <f t="shared" si="87"/>
        <v>251.6589847328716</v>
      </c>
      <c r="AQ103" s="18">
        <f>IF(BD102&lt;&gt;1,"",IF(BA102&gt;0,IF(BA102&gt;CONTROL_PANEL!$B$11,CONTROL_PANEL!$B$11,BA102),0))</f>
        <v>9781569.765641436</v>
      </c>
      <c r="AR103" s="18">
        <f t="shared" si="82"/>
        <v>1761494.4588442491</v>
      </c>
      <c r="AS103" s="18">
        <f>IF(BD103&lt;&gt;1,"",DATA_INPUT!$I103)</f>
        <v>38.972299934114538</v>
      </c>
      <c r="AT103" s="18">
        <f>IF(BD103&lt;&gt;1,"",AS103*CONTROL_PANEL!$B$5)</f>
        <v>3698471.2637474695</v>
      </c>
      <c r="AU103" s="18">
        <f>IF(BD103&lt;&gt;1,"",DATA_INPUT!$C103)</f>
        <v>85.963587012546</v>
      </c>
      <c r="AV103" s="18">
        <f t="shared" si="57"/>
        <v>151424.38218497523</v>
      </c>
      <c r="AW103" s="18">
        <f>IF(BD103&lt;&gt;1,"",DATA_INPUT!$H103)</f>
        <v>20.099092871769074</v>
      </c>
      <c r="AX103" s="18">
        <f t="shared" si="58"/>
        <v>35404.440721417166</v>
      </c>
      <c r="AY103" s="18">
        <f>IF(BD103&lt;&gt;1,"",AT103*CONTROL_PANEL!$B$14)</f>
        <v>258892.98846232289</v>
      </c>
      <c r="AZ103" s="18">
        <f>IF(BD103&lt;&gt;1,"",DATA_INPUT!$M103)</f>
        <v>0</v>
      </c>
      <c r="BA103" s="18">
        <f t="shared" si="59"/>
        <v>13337167.982390139</v>
      </c>
      <c r="BB103" s="18">
        <f>IF(BD103&lt;&gt;1,"",IF(BA103-CONTROL_PANEL!$B$11&lt;0,0,BA103-CONTROL_PANEL!$B$11))</f>
        <v>0</v>
      </c>
      <c r="BC103" s="18">
        <f>IF(BD103&lt;&gt;1,"",IF(AZ103&lt;=0,0,MIN(AZ103,MAX(0,CONTROL_PANEL!$B$13-BA103))))</f>
        <v>0</v>
      </c>
      <c r="BD103" s="18">
        <v>1</v>
      </c>
      <c r="BF103" s="19">
        <f t="shared" si="78"/>
        <v>2023</v>
      </c>
      <c r="BG103" s="19">
        <v>12</v>
      </c>
      <c r="BH103" s="18">
        <f t="shared" si="60"/>
        <v>31</v>
      </c>
      <c r="BI103" s="18">
        <f t="shared" si="88"/>
        <v>254.11333057310193</v>
      </c>
      <c r="BJ103" s="18">
        <f>IF(BW102&lt;&gt;1,"",IF(BT102&gt;0,IF(BT102&gt;CONTROL_PANEL!$B$11,CONTROL_PANEL!$B$11,BT102),0))</f>
        <v>14813778.15688134</v>
      </c>
      <c r="BK103" s="18">
        <f t="shared" si="83"/>
        <v>2325148.6338642668</v>
      </c>
      <c r="BL103" s="18">
        <f>IF(BW103&lt;&gt;1,"",DATA_INPUT!$I103)</f>
        <v>38.972299934114538</v>
      </c>
      <c r="BM103" s="18">
        <f>IF(BW103&lt;&gt;1,"",BL103*CONTROL_PANEL!$B$5)</f>
        <v>3698471.2637474695</v>
      </c>
      <c r="BN103" s="18">
        <f>IF(BW103&lt;&gt;1,"",DATA_INPUT!$C103)</f>
        <v>85.963587012546</v>
      </c>
      <c r="BO103" s="18">
        <f t="shared" si="62"/>
        <v>199878.11690429336</v>
      </c>
      <c r="BP103" s="18">
        <f>IF(BW103&lt;&gt;1,"",DATA_INPUT!$H103)</f>
        <v>20.099092871769074</v>
      </c>
      <c r="BQ103" s="18">
        <f t="shared" si="63"/>
        <v>46733.378332704888</v>
      </c>
      <c r="BR103" s="18">
        <f>IF(BW103&lt;&gt;1,"",BM103*CONTROL_PANEL!$B$14)</f>
        <v>258892.98846232289</v>
      </c>
      <c r="BS103" s="18">
        <f>IF(BW103&lt;&gt;1,"",DATA_INPUT!$N103)</f>
        <v>0</v>
      </c>
      <c r="BT103" s="18">
        <f t="shared" si="64"/>
        <v>18406501.170738071</v>
      </c>
      <c r="BU103" s="18">
        <f>IF(BW103&lt;&gt;1,"",IF(BT103-CONTROL_PANEL!$B$11&lt;0,0,BT103-CONTROL_PANEL!$B$11))</f>
        <v>0</v>
      </c>
      <c r="BV103" s="18">
        <f>IF(BW103&lt;&gt;1,"",IF(BS103&lt;=0,0,MIN(BS103,MAX(0,CONTROL_PANEL!$B$13-BT103))))</f>
        <v>0</v>
      </c>
      <c r="BW103" s="18">
        <v>1</v>
      </c>
      <c r="BY103" s="19">
        <f t="shared" si="79"/>
        <v>2023</v>
      </c>
      <c r="BZ103" s="19">
        <v>12</v>
      </c>
      <c r="CA103" s="18">
        <f t="shared" si="65"/>
        <v>31</v>
      </c>
      <c r="CB103" s="18">
        <f t="shared" si="89"/>
        <v>251.17334305725046</v>
      </c>
      <c r="CC103" s="18">
        <f>IF(CP102&lt;&gt;1,"",IF(CM102&gt;0,IF(CM102&gt;CONTROL_PANEL!$B$11,CONTROL_PANEL!$B$11,CM102),0))</f>
        <v>8945515.8056386989</v>
      </c>
      <c r="CD103" s="18">
        <f t="shared" si="84"/>
        <v>1659307.3752235349</v>
      </c>
      <c r="CE103" s="18">
        <f>IF(CP103&lt;&gt;1,"",DATA_INPUT!$I103)</f>
        <v>38.972299934114538</v>
      </c>
      <c r="CF103" s="18">
        <f>IF(CP103&lt;&gt;1,"",CE103*CONTROL_PANEL!$B$5)</f>
        <v>3698471.2637474695</v>
      </c>
      <c r="CG103" s="18">
        <f>IF(CP103&lt;&gt;1,"",DATA_INPUT!$C103)</f>
        <v>85.963587012546</v>
      </c>
      <c r="CH103" s="18">
        <f t="shared" si="67"/>
        <v>142640.01393058765</v>
      </c>
      <c r="CI103" s="18">
        <f>IF(CP103&lt;&gt;1,"",DATA_INPUT!$H103)</f>
        <v>20.099092871769074</v>
      </c>
      <c r="CJ103" s="18">
        <f t="shared" si="68"/>
        <v>33350.573037429203</v>
      </c>
      <c r="CK103" s="18">
        <f>IF(CP103&lt;&gt;1,"",CF103*CONTROL_PANEL!$B$14)</f>
        <v>258892.98846232289</v>
      </c>
      <c r="CL103" s="18">
        <f>IF(CP103&lt;&gt;1,"",DATA_INPUT!$O103)</f>
        <v>0</v>
      </c>
      <c r="CM103" s="18">
        <f t="shared" si="69"/>
        <v>12494383.521817004</v>
      </c>
      <c r="CN103" s="18">
        <f>IF(CP103&lt;&gt;1,"",IF(CM103-CONTROL_PANEL!$B$11&lt;0,0,CM103-CONTROL_PANEL!$B$11))</f>
        <v>0</v>
      </c>
      <c r="CO103" s="18">
        <f>IF(CP103&lt;&gt;1,"",IF(CL103&lt;=0,0,MIN(CL103,MAX(0,CONTROL_PANEL!$B$13-CM103))))</f>
        <v>0</v>
      </c>
      <c r="CP103" s="18">
        <v>1</v>
      </c>
    </row>
    <row r="104" spans="1:94" x14ac:dyDescent="0.25">
      <c r="A104" s="19">
        <f t="shared" si="75"/>
        <v>2024</v>
      </c>
      <c r="B104" s="19">
        <v>1</v>
      </c>
      <c r="C104" s="18">
        <f t="shared" si="45"/>
        <v>31</v>
      </c>
      <c r="D104" s="18">
        <f t="shared" si="85"/>
        <v>254.95751394484751</v>
      </c>
      <c r="E104" s="18">
        <f>IF(R103&lt;&gt;1,"",IF(O103&gt;0,IF(O103&gt;CONTROL_PANEL!$B$11,CONTROL_PANEL!$B$11,O103),0))</f>
        <v>16879184.047771864</v>
      </c>
      <c r="F104" s="18">
        <f t="shared" si="80"/>
        <v>2537267.5315799471</v>
      </c>
      <c r="G104" s="18">
        <f>IF(R104&lt;&gt;1,"",DATA_INPUT!I104)</f>
        <v>21.274103343429417</v>
      </c>
      <c r="H104" s="18">
        <f>IF(R104&lt;&gt;1,"",G104*CONTROL_PANEL!$B$5)</f>
        <v>2018912.4072914517</v>
      </c>
      <c r="I104" s="18">
        <f>IF(R104&lt;&gt;1,"",DATA_INPUT!C104)</f>
        <v>97.9</v>
      </c>
      <c r="J104" s="18">
        <f t="shared" si="47"/>
        <v>248398.49134167682</v>
      </c>
      <c r="K104" s="18">
        <f>IF(R104&lt;&gt;1,"",DATA_INPUT!H104)</f>
        <v>20.458355759036564</v>
      </c>
      <c r="L104" s="18">
        <f t="shared" si="48"/>
        <v>51908.3218169151</v>
      </c>
      <c r="M104" s="18">
        <f>IF(R104&lt;&gt;1,"",H104*CONTROL_PANEL!$B$14)</f>
        <v>141323.86851040163</v>
      </c>
      <c r="N104" s="18">
        <f>IF(R104&lt;&gt;1,"",DATA_INPUT!K104)</f>
        <v>0</v>
      </c>
      <c r="O104" s="18">
        <f t="shared" si="49"/>
        <v>18953262.756077677</v>
      </c>
      <c r="P104" s="18">
        <f>IF(R104&lt;&gt;1,"",IF(O104-CONTROL_PANEL!$B$11&lt;0,0,O104-CONTROL_PANEL!$B$11))</f>
        <v>0</v>
      </c>
      <c r="Q104" s="18">
        <f>IF(R104&lt;&gt;1,"",IF(N104&lt;=0,0,MIN(N104,MAX(0,CONTROL_PANEL!$B$13-O104))))</f>
        <v>0</v>
      </c>
      <c r="R104" s="18">
        <v>1</v>
      </c>
      <c r="T104" s="19">
        <f t="shared" si="76"/>
        <v>2024</v>
      </c>
      <c r="U104" s="19">
        <v>1</v>
      </c>
      <c r="V104" s="18">
        <f t="shared" si="50"/>
        <v>31</v>
      </c>
      <c r="W104" s="18">
        <f t="shared" si="86"/>
        <v>248.8804377940539</v>
      </c>
      <c r="X104" s="18">
        <f>IF(AK103&lt;&gt;1,"",IF(AH103&gt;0,IF(AH103&gt;CONTROL_PANEL!$B$11,CONTROL_PANEL!$B$11,AH103),0))</f>
        <v>5637512.9351829113</v>
      </c>
      <c r="Y104" s="18">
        <f t="shared" si="81"/>
        <v>1218444.191493277</v>
      </c>
      <c r="Z104" s="18">
        <f>IF(AK104&lt;&gt;1,"",DATA_INPUT!I104)</f>
        <v>21.274103343429417</v>
      </c>
      <c r="AA104" s="18">
        <f>IF(AK104&lt;&gt;1,"",Z104*CONTROL_PANEL!$B$5)</f>
        <v>2018912.4072914517</v>
      </c>
      <c r="AB104" s="18">
        <f>IF(AK104&lt;&gt;1,"",DATA_INPUT!$C104)</f>
        <v>97.9</v>
      </c>
      <c r="AC104" s="18">
        <f t="shared" si="52"/>
        <v>119285.68634719182</v>
      </c>
      <c r="AD104" s="18">
        <f>IF(AK104&lt;&gt;1,"",DATA_INPUT!$H104)</f>
        <v>20.458355759036564</v>
      </c>
      <c r="AE104" s="18">
        <f t="shared" si="53"/>
        <v>24927.364742101134</v>
      </c>
      <c r="AF104" s="18">
        <f>IF(AK104&lt;&gt;1,"",AA104*CONTROL_PANEL!$B$14)</f>
        <v>141323.86851040163</v>
      </c>
      <c r="AG104" s="18">
        <f>IF(AK104&lt;&gt;1,"",DATA_INPUT!$L104)</f>
        <v>0</v>
      </c>
      <c r="AH104" s="18">
        <f t="shared" si="54"/>
        <v>7609459.795569052</v>
      </c>
      <c r="AI104" s="18">
        <f>IF(AK104&lt;&gt;1,"",IF(AH104-CONTROL_PANEL!$B$11&lt;0,0,AH104-CONTROL_PANEL!$B$11))</f>
        <v>0</v>
      </c>
      <c r="AJ104" s="18">
        <f>IF(AK104&lt;&gt;1,"",IF(AG104&lt;=0,0,MIN(AG104,MAX(0,CONTROL_PANEL!$B$13-AH104))))</f>
        <v>0</v>
      </c>
      <c r="AK104" s="18">
        <v>1</v>
      </c>
      <c r="AM104" s="19">
        <f t="shared" si="77"/>
        <v>2024</v>
      </c>
      <c r="AN104" s="19">
        <v>1</v>
      </c>
      <c r="AO104" s="18">
        <f t="shared" si="55"/>
        <v>31</v>
      </c>
      <c r="AP104" s="18">
        <f t="shared" si="87"/>
        <v>253.46019566110198</v>
      </c>
      <c r="AQ104" s="18">
        <f>IF(BD103&lt;&gt;1,"",IF(BA103&gt;0,IF(BA103&gt;CONTROL_PANEL!$B$11,CONTROL_PANEL!$B$11,BA103),0))</f>
        <v>13337167.982390139</v>
      </c>
      <c r="AR104" s="18">
        <f t="shared" si="82"/>
        <v>2167447.4464796572</v>
      </c>
      <c r="AS104" s="18">
        <f>IF(BD104&lt;&gt;1,"",DATA_INPUT!$I104)</f>
        <v>21.274103343429417</v>
      </c>
      <c r="AT104" s="18">
        <f>IF(BD104&lt;&gt;1,"",AS104*CONTROL_PANEL!$B$5)</f>
        <v>2018912.4072914517</v>
      </c>
      <c r="AU104" s="18">
        <f>IF(BD104&lt;&gt;1,"",DATA_INPUT!$C104)</f>
        <v>97.9</v>
      </c>
      <c r="AV104" s="18">
        <f t="shared" si="57"/>
        <v>212193.10501035844</v>
      </c>
      <c r="AW104" s="18">
        <f>IF(BD104&lt;&gt;1,"",DATA_INPUT!$H104)</f>
        <v>20.458355759036564</v>
      </c>
      <c r="AX104" s="18">
        <f t="shared" si="58"/>
        <v>44342.410949096186</v>
      </c>
      <c r="AY104" s="18">
        <f>IF(BD104&lt;&gt;1,"",AT104*CONTROL_PANEL!$B$14)</f>
        <v>141323.86851040163</v>
      </c>
      <c r="AZ104" s="18">
        <f>IF(BD104&lt;&gt;1,"",DATA_INPUT!$M104)</f>
        <v>0</v>
      </c>
      <c r="BA104" s="18">
        <f t="shared" si="59"/>
        <v>15382607.215232452</v>
      </c>
      <c r="BB104" s="18">
        <f>IF(BD104&lt;&gt;1,"",IF(BA104-CONTROL_PANEL!$B$11&lt;0,0,BA104-CONTROL_PANEL!$B$11))</f>
        <v>0</v>
      </c>
      <c r="BC104" s="18">
        <f>IF(BD104&lt;&gt;1,"",IF(AZ104&lt;=0,0,MIN(AZ104,MAX(0,CONTROL_PANEL!$B$13-BA104))))</f>
        <v>0</v>
      </c>
      <c r="BD104" s="18">
        <v>1</v>
      </c>
      <c r="BF104" s="19">
        <f t="shared" si="78"/>
        <v>2024</v>
      </c>
      <c r="BG104" s="19">
        <v>1</v>
      </c>
      <c r="BH104" s="18">
        <f t="shared" si="60"/>
        <v>31</v>
      </c>
      <c r="BI104" s="18">
        <f t="shared" si="88"/>
        <v>255.53824484043557</v>
      </c>
      <c r="BJ104" s="18">
        <f>IF(BW103&lt;&gt;1,"",IF(BT103&gt;0,IF(BT103&gt;CONTROL_PANEL!$B$11,CONTROL_PANEL!$B$11,BT103),0))</f>
        <v>18406501.170738071</v>
      </c>
      <c r="BK104" s="18">
        <f t="shared" si="83"/>
        <v>2688618.4258305496</v>
      </c>
      <c r="BL104" s="18">
        <f>IF(BW104&lt;&gt;1,"",DATA_INPUT!$I104)</f>
        <v>21.274103343429417</v>
      </c>
      <c r="BM104" s="18">
        <f>IF(BW104&lt;&gt;1,"",BL104*CONTROL_PANEL!$B$5)</f>
        <v>2018912.4072914517</v>
      </c>
      <c r="BN104" s="18">
        <f>IF(BW104&lt;&gt;1,"",DATA_INPUT!$C104)</f>
        <v>97.9</v>
      </c>
      <c r="BO104" s="18">
        <f t="shared" si="62"/>
        <v>263215.7438888108</v>
      </c>
      <c r="BP104" s="18">
        <f>IF(BW104&lt;&gt;1,"",DATA_INPUT!$H104)</f>
        <v>20.458355759036564</v>
      </c>
      <c r="BQ104" s="18">
        <f t="shared" si="63"/>
        <v>55004.71225594225</v>
      </c>
      <c r="BR104" s="18">
        <f>IF(BW104&lt;&gt;1,"",BM104*CONTROL_PANEL!$B$14)</f>
        <v>141323.86851040163</v>
      </c>
      <c r="BS104" s="18">
        <f>IF(BW104&lt;&gt;1,"",DATA_INPUT!$N104)</f>
        <v>0</v>
      </c>
      <c r="BT104" s="18">
        <f t="shared" si="64"/>
        <v>20492300.741151992</v>
      </c>
      <c r="BU104" s="18">
        <f>IF(BW104&lt;&gt;1,"",IF(BT104-CONTROL_PANEL!$B$11&lt;0,0,BT104-CONTROL_PANEL!$B$11))</f>
        <v>0</v>
      </c>
      <c r="BV104" s="18">
        <f>IF(BW104&lt;&gt;1,"",IF(BS104&lt;=0,0,MIN(BS104,MAX(0,CONTROL_PANEL!$B$13-BT104))))</f>
        <v>0</v>
      </c>
      <c r="BW104" s="18">
        <v>1</v>
      </c>
      <c r="BY104" s="19">
        <f t="shared" si="79"/>
        <v>2024</v>
      </c>
      <c r="BZ104" s="19">
        <v>1</v>
      </c>
      <c r="CA104" s="18">
        <f t="shared" si="65"/>
        <v>31</v>
      </c>
      <c r="CB104" s="18">
        <f t="shared" si="89"/>
        <v>253.06547078728022</v>
      </c>
      <c r="CC104" s="18">
        <f>IF(CP103&lt;&gt;1,"",IF(CM103&gt;0,IF(CM103&gt;CONTROL_PANEL!$B$11,CONTROL_PANEL!$B$11,CM103),0))</f>
        <v>12494383.521817004</v>
      </c>
      <c r="CD104" s="18">
        <f t="shared" si="84"/>
        <v>2074850.4706471625</v>
      </c>
      <c r="CE104" s="18">
        <f>IF(CP104&lt;&gt;1,"",DATA_INPUT!$I104)</f>
        <v>21.274103343429417</v>
      </c>
      <c r="CF104" s="18">
        <f>IF(CP104&lt;&gt;1,"",CE104*CONTROL_PANEL!$B$5)</f>
        <v>2018912.4072914517</v>
      </c>
      <c r="CG104" s="18">
        <f>IF(CP104&lt;&gt;1,"",DATA_INPUT!$C104)</f>
        <v>97.9</v>
      </c>
      <c r="CH104" s="18">
        <f t="shared" si="67"/>
        <v>203127.86107635722</v>
      </c>
      <c r="CI104" s="18">
        <f>IF(CP104&lt;&gt;1,"",DATA_INPUT!$H104)</f>
        <v>20.458355759036564</v>
      </c>
      <c r="CJ104" s="18">
        <f t="shared" si="68"/>
        <v>42448.029075304104</v>
      </c>
      <c r="CK104" s="18">
        <f>IF(CP104&lt;&gt;1,"",CF104*CONTROL_PANEL!$B$14)</f>
        <v>141323.86851040163</v>
      </c>
      <c r="CL104" s="18">
        <f>IF(CP104&lt;&gt;1,"",DATA_INPUT!$O104)</f>
        <v>0</v>
      </c>
      <c r="CM104" s="18">
        <f t="shared" si="69"/>
        <v>14532651.892599108</v>
      </c>
      <c r="CN104" s="18">
        <f>IF(CP104&lt;&gt;1,"",IF(CM104-CONTROL_PANEL!$B$11&lt;0,0,CM104-CONTROL_PANEL!$B$11))</f>
        <v>0</v>
      </c>
      <c r="CO104" s="18">
        <f>IF(CP104&lt;&gt;1,"",IF(CL104&lt;=0,0,MIN(CL104,MAX(0,CONTROL_PANEL!$B$13-CM104))))</f>
        <v>0</v>
      </c>
      <c r="CP104" s="18">
        <v>1</v>
      </c>
    </row>
    <row r="105" spans="1:94" x14ac:dyDescent="0.25">
      <c r="A105" s="19">
        <f t="shared" si="75"/>
        <v>2024</v>
      </c>
      <c r="B105" s="19">
        <v>2</v>
      </c>
      <c r="C105" s="18">
        <f t="shared" si="45"/>
        <v>29</v>
      </c>
      <c r="D105" s="18">
        <f t="shared" si="85"/>
        <v>255.73828524216873</v>
      </c>
      <c r="E105" s="18">
        <f>IF(R104&lt;&gt;1,"",IF(O104&gt;0,IF(O104&gt;CONTROL_PANEL!$B$11,CONTROL_PANEL!$B$11,O104),0))</f>
        <v>18953262.756077677</v>
      </c>
      <c r="F105" s="18">
        <f t="shared" si="80"/>
        <v>2741778.6766967424</v>
      </c>
      <c r="G105" s="18">
        <f>IF(R105&lt;&gt;1,"",DATA_INPUT!I105)</f>
        <v>44.272942336606455</v>
      </c>
      <c r="H105" s="18">
        <f>IF(R105&lt;&gt;1,"",G105*CONTROL_PANEL!$B$5)</f>
        <v>4201502.2277439525</v>
      </c>
      <c r="I105" s="18">
        <f>IF(R105&lt;&gt;1,"",DATA_INPUT!C105)</f>
        <v>51.400000000000006</v>
      </c>
      <c r="J105" s="18">
        <f t="shared" si="47"/>
        <v>140927.42398221258</v>
      </c>
      <c r="K105" s="18">
        <f>IF(R105&lt;&gt;1,"",DATA_INPUT!H105)</f>
        <v>27.760772902958145</v>
      </c>
      <c r="L105" s="18">
        <f t="shared" si="48"/>
        <v>76113.895193951364</v>
      </c>
      <c r="M105" s="18">
        <f>IF(R105&lt;&gt;1,"",H105*CONTROL_PANEL!$B$14)</f>
        <v>294105.1559420767</v>
      </c>
      <c r="N105" s="18">
        <f>IF(R105&lt;&gt;1,"",DATA_INPUT!K105)</f>
        <v>0</v>
      </c>
      <c r="O105" s="18">
        <f t="shared" si="49"/>
        <v>22925473.356667817</v>
      </c>
      <c r="P105" s="18">
        <f>IF(R105&lt;&gt;1,"",IF(O105-CONTROL_PANEL!$B$11&lt;0,0,O105-CONTROL_PANEL!$B$11))</f>
        <v>0</v>
      </c>
      <c r="Q105" s="18">
        <f>IF(R105&lt;&gt;1,"",IF(N105&lt;=0,0,MIN(N105,MAX(0,CONTROL_PANEL!$B$13-O105))))</f>
        <v>0</v>
      </c>
      <c r="R105" s="18">
        <v>1</v>
      </c>
      <c r="T105" s="19">
        <f t="shared" si="76"/>
        <v>2024</v>
      </c>
      <c r="U105" s="19">
        <v>2</v>
      </c>
      <c r="V105" s="18">
        <f t="shared" si="50"/>
        <v>29</v>
      </c>
      <c r="W105" s="18">
        <f t="shared" si="86"/>
        <v>250.32984248323044</v>
      </c>
      <c r="X105" s="18">
        <f>IF(AK104&lt;&gt;1,"",IF(AH104&gt;0,IF(AH104&gt;CONTROL_PANEL!$B$11,CONTROL_PANEL!$B$11,AH104),0))</f>
        <v>7609459.795569052</v>
      </c>
      <c r="Y105" s="18">
        <f t="shared" si="81"/>
        <v>1489146.3765318913</v>
      </c>
      <c r="Z105" s="18">
        <f>IF(AK105&lt;&gt;1,"",DATA_INPUT!I105)</f>
        <v>44.272942336606455</v>
      </c>
      <c r="AA105" s="18">
        <f>IF(AK105&lt;&gt;1,"",Z105*CONTROL_PANEL!$B$5)</f>
        <v>4201502.2277439525</v>
      </c>
      <c r="AB105" s="18">
        <f>IF(AK105&lt;&gt;1,"",DATA_INPUT!$C105)</f>
        <v>51.400000000000006</v>
      </c>
      <c r="AC105" s="18">
        <f t="shared" si="52"/>
        <v>76542.12375373923</v>
      </c>
      <c r="AD105" s="18">
        <f>IF(AK105&lt;&gt;1,"",DATA_INPUT!$H105)</f>
        <v>27.760772902958145</v>
      </c>
      <c r="AE105" s="18">
        <f t="shared" si="53"/>
        <v>41339.854378164833</v>
      </c>
      <c r="AF105" s="18">
        <f>IF(AK105&lt;&gt;1,"",AA105*CONTROL_PANEL!$B$14)</f>
        <v>294105.1559420767</v>
      </c>
      <c r="AG105" s="18">
        <f>IF(AK105&lt;&gt;1,"",DATA_INPUT!$L105)</f>
        <v>0</v>
      </c>
      <c r="AH105" s="18">
        <f t="shared" si="54"/>
        <v>11552059.136746503</v>
      </c>
      <c r="AI105" s="18">
        <f>IF(AK105&lt;&gt;1,"",IF(AH105-CONTROL_PANEL!$B$11&lt;0,0,AH105-CONTROL_PANEL!$B$11))</f>
        <v>0</v>
      </c>
      <c r="AJ105" s="18">
        <f>IF(AK105&lt;&gt;1,"",IF(AG105&lt;=0,0,MIN(AG105,MAX(0,CONTROL_PANEL!$B$13-AH105))))</f>
        <v>0</v>
      </c>
      <c r="AK105" s="18">
        <v>1</v>
      </c>
      <c r="AM105" s="19">
        <f t="shared" si="77"/>
        <v>2024</v>
      </c>
      <c r="AN105" s="19">
        <v>2</v>
      </c>
      <c r="AO105" s="18">
        <f t="shared" si="55"/>
        <v>29</v>
      </c>
      <c r="AP105" s="18">
        <f t="shared" si="87"/>
        <v>254.35329657994762</v>
      </c>
      <c r="AQ105" s="18">
        <f>IF(BD104&lt;&gt;1,"",IF(BA104&gt;0,IF(BA104&gt;CONTROL_PANEL!$B$11,CONTROL_PANEL!$B$11,BA104),0))</f>
        <v>15382607.215232452</v>
      </c>
      <c r="AR105" s="18">
        <f t="shared" si="82"/>
        <v>2384494.1069891034</v>
      </c>
      <c r="AS105" s="18">
        <f>IF(BD105&lt;&gt;1,"",DATA_INPUT!$I105)</f>
        <v>44.272942336606455</v>
      </c>
      <c r="AT105" s="18">
        <f>IF(BD105&lt;&gt;1,"",AS105*CONTROL_PANEL!$B$5)</f>
        <v>4201502.2277439525</v>
      </c>
      <c r="AU105" s="18">
        <f>IF(BD105&lt;&gt;1,"",DATA_INPUT!$C105)</f>
        <v>51.400000000000006</v>
      </c>
      <c r="AV105" s="18">
        <f t="shared" si="57"/>
        <v>122562.99709923993</v>
      </c>
      <c r="AW105" s="18">
        <f>IF(BD105&lt;&gt;1,"",DATA_INPUT!$H105)</f>
        <v>27.760772902958145</v>
      </c>
      <c r="AX105" s="18">
        <f t="shared" si="58"/>
        <v>66195.399392566484</v>
      </c>
      <c r="AY105" s="18">
        <f>IF(BD105&lt;&gt;1,"",AT105*CONTROL_PANEL!$B$14)</f>
        <v>294105.1559420767</v>
      </c>
      <c r="AZ105" s="18">
        <f>IF(BD105&lt;&gt;1,"",DATA_INPUT!$M105)</f>
        <v>0</v>
      </c>
      <c r="BA105" s="18">
        <f t="shared" si="59"/>
        <v>19346371.884741001</v>
      </c>
      <c r="BB105" s="18">
        <f>IF(BD105&lt;&gt;1,"",IF(BA105-CONTROL_PANEL!$B$11&lt;0,0,BA105-CONTROL_PANEL!$B$11))</f>
        <v>0</v>
      </c>
      <c r="BC105" s="18">
        <f>IF(BD105&lt;&gt;1,"",IF(AZ105&lt;=0,0,MIN(AZ105,MAX(0,CONTROL_PANEL!$B$13-BA105))))</f>
        <v>0</v>
      </c>
      <c r="BD105" s="18">
        <v>1</v>
      </c>
      <c r="BF105" s="19">
        <f t="shared" si="78"/>
        <v>2024</v>
      </c>
      <c r="BG105" s="19">
        <v>2</v>
      </c>
      <c r="BH105" s="18">
        <f t="shared" si="60"/>
        <v>29</v>
      </c>
      <c r="BI105" s="18">
        <f t="shared" si="88"/>
        <v>256.28140222703405</v>
      </c>
      <c r="BJ105" s="18">
        <f>IF(BW104&lt;&gt;1,"",IF(BT104&gt;0,IF(BT104&gt;CONTROL_PANEL!$B$11,CONTROL_PANEL!$B$11,BT104),0))</f>
        <v>20492300.741151992</v>
      </c>
      <c r="BK105" s="18">
        <f t="shared" si="83"/>
        <v>2888761.8197151064</v>
      </c>
      <c r="BL105" s="18">
        <f>IF(BW105&lt;&gt;1,"",DATA_INPUT!$I105)</f>
        <v>44.272942336606455</v>
      </c>
      <c r="BM105" s="18">
        <f>IF(BW105&lt;&gt;1,"",BL105*CONTROL_PANEL!$B$5)</f>
        <v>4201502.2277439525</v>
      </c>
      <c r="BN105" s="18">
        <f>IF(BW105&lt;&gt;1,"",DATA_INPUT!$C105)</f>
        <v>51.400000000000006</v>
      </c>
      <c r="BO105" s="18">
        <f t="shared" si="62"/>
        <v>148482.35753335649</v>
      </c>
      <c r="BP105" s="18">
        <f>IF(BW105&lt;&gt;1,"",DATA_INPUT!$H105)</f>
        <v>27.760772902958145</v>
      </c>
      <c r="BQ105" s="18">
        <f t="shared" si="63"/>
        <v>80194.260847847196</v>
      </c>
      <c r="BR105" s="18">
        <f>IF(BW105&lt;&gt;1,"",BM105*CONTROL_PANEL!$B$14)</f>
        <v>294105.1559420767</v>
      </c>
      <c r="BS105" s="18">
        <f>IF(BW105&lt;&gt;1,"",DATA_INPUT!$N105)</f>
        <v>0</v>
      </c>
      <c r="BT105" s="18">
        <f t="shared" si="64"/>
        <v>24467985.909639381</v>
      </c>
      <c r="BU105" s="18">
        <f>IF(BW105&lt;&gt;1,"",IF(BT105-CONTROL_PANEL!$B$11&lt;0,0,BT105-CONTROL_PANEL!$B$11))</f>
        <v>0</v>
      </c>
      <c r="BV105" s="18">
        <f>IF(BW105&lt;&gt;1,"",IF(BS105&lt;=0,0,MIN(BS105,MAX(0,CONTROL_PANEL!$B$13-BT105))))</f>
        <v>0</v>
      </c>
      <c r="BW105" s="18">
        <v>1</v>
      </c>
      <c r="BY105" s="19">
        <f t="shared" si="79"/>
        <v>2024</v>
      </c>
      <c r="BZ105" s="19">
        <v>2</v>
      </c>
      <c r="CA105" s="18">
        <f t="shared" si="65"/>
        <v>29</v>
      </c>
      <c r="CB105" s="18">
        <f t="shared" si="89"/>
        <v>253.99245405589156</v>
      </c>
      <c r="CC105" s="18">
        <f>IF(CP104&lt;&gt;1,"",IF(CM104&gt;0,IF(CM104&gt;CONTROL_PANEL!$B$11,CONTROL_PANEL!$B$11,CM104),0))</f>
        <v>14532651.892599108</v>
      </c>
      <c r="CD105" s="18">
        <f t="shared" si="84"/>
        <v>2295540.9316508546</v>
      </c>
      <c r="CE105" s="18">
        <f>IF(CP105&lt;&gt;1,"",DATA_INPUT!$I105)</f>
        <v>44.272942336606455</v>
      </c>
      <c r="CF105" s="18">
        <f>IF(CP105&lt;&gt;1,"",CE105*CONTROL_PANEL!$B$5)</f>
        <v>4201502.2277439525</v>
      </c>
      <c r="CG105" s="18">
        <f>IF(CP105&lt;&gt;1,"",DATA_INPUT!$C105)</f>
        <v>51.400000000000006</v>
      </c>
      <c r="CH105" s="18">
        <f t="shared" si="67"/>
        <v>117990.80388685394</v>
      </c>
      <c r="CI105" s="18">
        <f>IF(CP105&lt;&gt;1,"",DATA_INPUT!$H105)</f>
        <v>27.760772902958145</v>
      </c>
      <c r="CJ105" s="18">
        <f t="shared" si="68"/>
        <v>63725.990493004341</v>
      </c>
      <c r="CK105" s="18">
        <f>IF(CP105&lt;&gt;1,"",CF105*CONTROL_PANEL!$B$14)</f>
        <v>294105.1559420767</v>
      </c>
      <c r="CL105" s="18">
        <f>IF(CP105&lt;&gt;1,"",DATA_INPUT!$O105)</f>
        <v>0</v>
      </c>
      <c r="CM105" s="18">
        <f t="shared" si="69"/>
        <v>18494313.777794831</v>
      </c>
      <c r="CN105" s="18">
        <f>IF(CP105&lt;&gt;1,"",IF(CM105-CONTROL_PANEL!$B$11&lt;0,0,CM105-CONTROL_PANEL!$B$11))</f>
        <v>0</v>
      </c>
      <c r="CO105" s="18">
        <f>IF(CP105&lt;&gt;1,"",IF(CL105&lt;=0,0,MIN(CL105,MAX(0,CONTROL_PANEL!$B$13-CM105))))</f>
        <v>0</v>
      </c>
      <c r="CP105" s="18">
        <v>1</v>
      </c>
    </row>
    <row r="106" spans="1:94" x14ac:dyDescent="0.25">
      <c r="A106" s="19">
        <f t="shared" si="75"/>
        <v>2024</v>
      </c>
      <c r="B106" s="19">
        <v>3</v>
      </c>
      <c r="C106" s="18">
        <f t="shared" si="45"/>
        <v>31</v>
      </c>
      <c r="D106" s="18">
        <f t="shared" si="85"/>
        <v>257.08692232959083</v>
      </c>
      <c r="E106" s="18">
        <f>IF(R105&lt;&gt;1,"",IF(O105&gt;0,IF(O105&gt;CONTROL_PANEL!$B$11,CONTROL_PANEL!$B$11,O105),0))</f>
        <v>22925473.356667817</v>
      </c>
      <c r="F106" s="18">
        <f t="shared" si="80"/>
        <v>3113897.8551964369</v>
      </c>
      <c r="G106" s="18">
        <f>IF(R106&lt;&gt;1,"",DATA_INPUT!I106)</f>
        <v>12.352511393405766</v>
      </c>
      <c r="H106" s="18">
        <f>IF(R106&lt;&gt;1,"",G106*CONTROL_PANEL!$B$5)</f>
        <v>1172253.3312342071</v>
      </c>
      <c r="I106" s="18">
        <f>IF(R106&lt;&gt;1,"",DATA_INPUT!C106)</f>
        <v>111.2</v>
      </c>
      <c r="J106" s="18">
        <f t="shared" si="47"/>
        <v>346265.44149784383</v>
      </c>
      <c r="K106" s="18">
        <f>IF(R106&lt;&gt;1,"",DATA_INPUT!H106)</f>
        <v>39.474741881907498</v>
      </c>
      <c r="L106" s="18">
        <f t="shared" si="48"/>
        <v>122920.31408050472</v>
      </c>
      <c r="M106" s="18">
        <f>IF(R106&lt;&gt;1,"",H106*CONTROL_PANEL!$B$14)</f>
        <v>82057.733186394515</v>
      </c>
      <c r="N106" s="18">
        <f>IF(R106&lt;&gt;1,"",DATA_INPUT!K106)</f>
        <v>0</v>
      </c>
      <c r="O106" s="18">
        <f t="shared" si="49"/>
        <v>24239014.082132965</v>
      </c>
      <c r="P106" s="18">
        <f>IF(R106&lt;&gt;1,"",IF(O106-CONTROL_PANEL!$B$11&lt;0,0,O106-CONTROL_PANEL!$B$11))</f>
        <v>0</v>
      </c>
      <c r="Q106" s="18">
        <f>IF(R106&lt;&gt;1,"",IF(N106&lt;=0,0,MIN(N106,MAX(0,CONTROL_PANEL!$B$13-O106))))</f>
        <v>0</v>
      </c>
      <c r="R106" s="18">
        <v>1</v>
      </c>
      <c r="T106" s="19">
        <f t="shared" si="76"/>
        <v>2024</v>
      </c>
      <c r="U106" s="19">
        <v>3</v>
      </c>
      <c r="V106" s="18">
        <f t="shared" si="50"/>
        <v>31</v>
      </c>
      <c r="W106" s="18">
        <f t="shared" si="86"/>
        <v>252.6024310400453</v>
      </c>
      <c r="X106" s="18">
        <f>IF(AK105&lt;&gt;1,"",IF(AH105&gt;0,IF(AH105&gt;CONTROL_PANEL!$B$11,CONTROL_PANEL!$B$11,AH105),0))</f>
        <v>11552059.136746503</v>
      </c>
      <c r="Y106" s="18">
        <f t="shared" si="81"/>
        <v>1968829.0402272963</v>
      </c>
      <c r="Z106" s="18">
        <f>IF(AK106&lt;&gt;1,"",DATA_INPUT!I106)</f>
        <v>12.352511393405766</v>
      </c>
      <c r="AA106" s="18">
        <f>IF(AK106&lt;&gt;1,"",Z106*CONTROL_PANEL!$B$5)</f>
        <v>1172253.3312342071</v>
      </c>
      <c r="AB106" s="18">
        <f>IF(AK106&lt;&gt;1,"",DATA_INPUT!$C106)</f>
        <v>111.2</v>
      </c>
      <c r="AC106" s="18">
        <f t="shared" si="52"/>
        <v>218933.78927327535</v>
      </c>
      <c r="AD106" s="18">
        <f>IF(AK106&lt;&gt;1,"",DATA_INPUT!$H106)</f>
        <v>39.474741881907498</v>
      </c>
      <c r="AE106" s="18">
        <f t="shared" si="53"/>
        <v>77719.018172576194</v>
      </c>
      <c r="AF106" s="18">
        <f>IF(AK106&lt;&gt;1,"",AA106*CONTROL_PANEL!$B$14)</f>
        <v>82057.733186394515</v>
      </c>
      <c r="AG106" s="18">
        <f>IF(AK106&lt;&gt;1,"",DATA_INPUT!$L106)</f>
        <v>0</v>
      </c>
      <c r="AH106" s="18">
        <f t="shared" si="54"/>
        <v>12783469.505895015</v>
      </c>
      <c r="AI106" s="18">
        <f>IF(AK106&lt;&gt;1,"",IF(AH106-CONTROL_PANEL!$B$11&lt;0,0,AH106-CONTROL_PANEL!$B$11))</f>
        <v>0</v>
      </c>
      <c r="AJ106" s="18">
        <f>IF(AK106&lt;&gt;1,"",IF(AG106&lt;=0,0,MIN(AG106,MAX(0,CONTROL_PANEL!$B$13-AH106))))</f>
        <v>0</v>
      </c>
      <c r="AK106" s="18">
        <v>1</v>
      </c>
      <c r="AM106" s="19">
        <f t="shared" si="77"/>
        <v>2024</v>
      </c>
      <c r="AN106" s="19">
        <v>3</v>
      </c>
      <c r="AO106" s="18">
        <f t="shared" si="55"/>
        <v>31</v>
      </c>
      <c r="AP106" s="18">
        <f t="shared" si="87"/>
        <v>255.87973641944075</v>
      </c>
      <c r="AQ106" s="18">
        <f>IF(BD105&lt;&gt;1,"",IF(BA105&gt;0,IF(BA105&gt;CONTROL_PANEL!$B$11,CONTROL_PANEL!$B$11,BA105),0))</f>
        <v>19346371.884741001</v>
      </c>
      <c r="AR106" s="18">
        <f t="shared" si="82"/>
        <v>2779686.222484299</v>
      </c>
      <c r="AS106" s="18">
        <f>IF(BD106&lt;&gt;1,"",DATA_INPUT!$I106)</f>
        <v>12.352511393405766</v>
      </c>
      <c r="AT106" s="18">
        <f>IF(BD106&lt;&gt;1,"",AS106*CONTROL_PANEL!$B$5)</f>
        <v>1172253.3312342071</v>
      </c>
      <c r="AU106" s="18">
        <f>IF(BD106&lt;&gt;1,"",DATA_INPUT!$C106)</f>
        <v>111.2</v>
      </c>
      <c r="AV106" s="18">
        <f t="shared" si="57"/>
        <v>309101.10794025403</v>
      </c>
      <c r="AW106" s="18">
        <f>IF(BD106&lt;&gt;1,"",DATA_INPUT!$H106)</f>
        <v>39.474741881907498</v>
      </c>
      <c r="AX106" s="18">
        <f t="shared" si="58"/>
        <v>109727.3961452622</v>
      </c>
      <c r="AY106" s="18">
        <f>IF(BD106&lt;&gt;1,"",AT106*CONTROL_PANEL!$B$14)</f>
        <v>82057.733186394515</v>
      </c>
      <c r="AZ106" s="18">
        <f>IF(BD106&lt;&gt;1,"",DATA_INPUT!$M106)</f>
        <v>0</v>
      </c>
      <c r="BA106" s="18">
        <f t="shared" si="59"/>
        <v>20635941.194583803</v>
      </c>
      <c r="BB106" s="18">
        <f>IF(BD106&lt;&gt;1,"",IF(BA106-CONTROL_PANEL!$B$11&lt;0,0,BA106-CONTROL_PANEL!$B$11))</f>
        <v>0</v>
      </c>
      <c r="BC106" s="18">
        <f>IF(BD106&lt;&gt;1,"",IF(AZ106&lt;=0,0,MIN(AZ106,MAX(0,CONTROL_PANEL!$B$13-BA106))))</f>
        <v>0</v>
      </c>
      <c r="BD106" s="18">
        <v>1</v>
      </c>
      <c r="BF106" s="19">
        <f t="shared" si="78"/>
        <v>2024</v>
      </c>
      <c r="BG106" s="19">
        <v>3</v>
      </c>
      <c r="BH106" s="18">
        <f t="shared" si="60"/>
        <v>31</v>
      </c>
      <c r="BI106" s="18">
        <f t="shared" si="88"/>
        <v>257.5683294306416</v>
      </c>
      <c r="BJ106" s="18">
        <f>IF(BW105&lt;&gt;1,"",IF(BT105&gt;0,IF(BT105&gt;CONTROL_PANEL!$B$11,CONTROL_PANEL!$B$11,BT105),0))</f>
        <v>24467985.909639381</v>
      </c>
      <c r="BK106" s="18">
        <f t="shared" si="83"/>
        <v>3252520.6597372652</v>
      </c>
      <c r="BL106" s="18">
        <f>IF(BW106&lt;&gt;1,"",DATA_INPUT!$I106)</f>
        <v>12.352511393405766</v>
      </c>
      <c r="BM106" s="18">
        <f>IF(BW106&lt;&gt;1,"",BL106*CONTROL_PANEL!$B$5)</f>
        <v>1172253.3312342071</v>
      </c>
      <c r="BN106" s="18">
        <f>IF(BW106&lt;&gt;1,"",DATA_INPUT!$C106)</f>
        <v>111.2</v>
      </c>
      <c r="BO106" s="18">
        <f t="shared" si="62"/>
        <v>361680.29736278392</v>
      </c>
      <c r="BP106" s="18">
        <f>IF(BW106&lt;&gt;1,"",DATA_INPUT!$H106)</f>
        <v>39.474741881907498</v>
      </c>
      <c r="BQ106" s="18">
        <f t="shared" si="63"/>
        <v>128392.41350870003</v>
      </c>
      <c r="BR106" s="18">
        <f>IF(BW106&lt;&gt;1,"",BM106*CONTROL_PANEL!$B$14)</f>
        <v>82057.733186394515</v>
      </c>
      <c r="BS106" s="18">
        <f>IF(BW106&lt;&gt;1,"",DATA_INPUT!$N106)</f>
        <v>0</v>
      </c>
      <c r="BT106" s="18">
        <f t="shared" si="64"/>
        <v>25791469.391541276</v>
      </c>
      <c r="BU106" s="18">
        <f>IF(BW106&lt;&gt;1,"",IF(BT106-CONTROL_PANEL!$B$11&lt;0,0,BT106-CONTROL_PANEL!$B$11))</f>
        <v>0</v>
      </c>
      <c r="BV106" s="18">
        <f>IF(BW106&lt;&gt;1,"",IF(BS106&lt;=0,0,MIN(BS106,MAX(0,CONTROL_PANEL!$B$13-BT106))))</f>
        <v>0</v>
      </c>
      <c r="BW106" s="18">
        <v>1</v>
      </c>
      <c r="BY106" s="19">
        <f t="shared" si="79"/>
        <v>2024</v>
      </c>
      <c r="BZ106" s="19">
        <v>3</v>
      </c>
      <c r="CA106" s="18">
        <f t="shared" si="65"/>
        <v>31</v>
      </c>
      <c r="CB106" s="18">
        <f t="shared" si="89"/>
        <v>255.57063778090037</v>
      </c>
      <c r="CC106" s="18">
        <f>IF(CP105&lt;&gt;1,"",IF(CM105&gt;0,IF(CM105&gt;CONTROL_PANEL!$B$11,CONTROL_PANEL!$B$11,CM105),0))</f>
        <v>18494313.777794831</v>
      </c>
      <c r="CD106" s="18">
        <f t="shared" si="84"/>
        <v>2697191.1092080921</v>
      </c>
      <c r="CE106" s="18">
        <f>IF(CP106&lt;&gt;1,"",DATA_INPUT!$I106)</f>
        <v>12.352511393405766</v>
      </c>
      <c r="CF106" s="18">
        <f>IF(CP106&lt;&gt;1,"",CE106*CONTROL_PANEL!$B$5)</f>
        <v>1172253.3312342071</v>
      </c>
      <c r="CG106" s="18">
        <f>IF(CP106&lt;&gt;1,"",DATA_INPUT!$C106)</f>
        <v>111.2</v>
      </c>
      <c r="CH106" s="18">
        <f t="shared" si="67"/>
        <v>299927.65134393983</v>
      </c>
      <c r="CI106" s="18">
        <f>IF(CP106&lt;&gt;1,"",DATA_INPUT!$H106)</f>
        <v>39.474741881907498</v>
      </c>
      <c r="CJ106" s="18">
        <f t="shared" si="68"/>
        <v>106470.92284216522</v>
      </c>
      <c r="CK106" s="18">
        <f>IF(CP106&lt;&gt;1,"",CF106*CONTROL_PANEL!$B$14)</f>
        <v>82057.733186394515</v>
      </c>
      <c r="CL106" s="18">
        <f>IF(CP106&lt;&gt;1,"",DATA_INPUT!$O106)</f>
        <v>0</v>
      </c>
      <c r="CM106" s="18">
        <f t="shared" si="69"/>
        <v>19777966.104344413</v>
      </c>
      <c r="CN106" s="18">
        <f>IF(CP106&lt;&gt;1,"",IF(CM106-CONTROL_PANEL!$B$11&lt;0,0,CM106-CONTROL_PANEL!$B$11))</f>
        <v>0</v>
      </c>
      <c r="CO106" s="18">
        <f>IF(CP106&lt;&gt;1,"",IF(CL106&lt;=0,0,MIN(CL106,MAX(0,CONTROL_PANEL!$B$13-CM106))))</f>
        <v>0</v>
      </c>
      <c r="CP106" s="18">
        <v>1</v>
      </c>
    </row>
    <row r="107" spans="1:94" x14ac:dyDescent="0.25">
      <c r="A107" s="19">
        <f t="shared" si="75"/>
        <v>2024</v>
      </c>
      <c r="B107" s="19">
        <v>4</v>
      </c>
      <c r="C107" s="18">
        <f t="shared" si="45"/>
        <v>30</v>
      </c>
      <c r="D107" s="18">
        <f t="shared" si="85"/>
        <v>257.49817736373785</v>
      </c>
      <c r="E107" s="18">
        <f>IF(R106&lt;&gt;1,"",IF(O106&gt;0,IF(O106&gt;CONTROL_PANEL!$B$11,CONTROL_PANEL!$B$11,O106),0))</f>
        <v>24239014.082132965</v>
      </c>
      <c r="F107" s="18">
        <f t="shared" si="80"/>
        <v>3232130.3664181619</v>
      </c>
      <c r="G107" s="18">
        <f>IF(R107&lt;&gt;1,"",DATA_INPUT!I107)</f>
        <v>2.2027588794457835</v>
      </c>
      <c r="H107" s="18">
        <f>IF(R107&lt;&gt;1,"",G107*CONTROL_PANEL!$B$5)</f>
        <v>209041.81765940486</v>
      </c>
      <c r="I107" s="18">
        <f>IF(R107&lt;&gt;1,"",DATA_INPUT!C107)</f>
        <v>34.300000000000011</v>
      </c>
      <c r="J107" s="18">
        <f t="shared" si="47"/>
        <v>110862.071568143</v>
      </c>
      <c r="K107" s="18">
        <f>IF(R107&lt;&gt;1,"",DATA_INPUT!H107)</f>
        <v>71.154192362672035</v>
      </c>
      <c r="L107" s="18">
        <f t="shared" si="48"/>
        <v>229979.62583335154</v>
      </c>
      <c r="M107" s="18">
        <f>IF(R107&lt;&gt;1,"",H107*CONTROL_PANEL!$B$14)</f>
        <v>14632.927236158341</v>
      </c>
      <c r="N107" s="18">
        <f>IF(R107&lt;&gt;1,"",DATA_INPUT!K107)</f>
        <v>22143.870035354801</v>
      </c>
      <c r="O107" s="18">
        <f t="shared" si="49"/>
        <v>24292161.548255648</v>
      </c>
      <c r="P107" s="18">
        <f>IF(R107&lt;&gt;1,"",IF(O107-CONTROL_PANEL!$B$11&lt;0,0,O107-CONTROL_PANEL!$B$11))</f>
        <v>0</v>
      </c>
      <c r="Q107" s="18">
        <f>IF(R107&lt;&gt;1,"",IF(N107&lt;=0,0,MIN(N107,MAX(0,CONTROL_PANEL!$B$13-O107))))</f>
        <v>0</v>
      </c>
      <c r="R107" s="18">
        <v>1</v>
      </c>
      <c r="T107" s="19">
        <f t="shared" si="76"/>
        <v>2024</v>
      </c>
      <c r="U107" s="19">
        <v>4</v>
      </c>
      <c r="V107" s="18">
        <f t="shared" si="50"/>
        <v>30</v>
      </c>
      <c r="W107" s="18">
        <f t="shared" si="86"/>
        <v>253.20281926414015</v>
      </c>
      <c r="X107" s="18">
        <f>IF(AK106&lt;&gt;1,"",IF(AH106&gt;0,IF(AH106&gt;CONTROL_PANEL!$B$11,CONTROL_PANEL!$B$11,AH106),0))</f>
        <v>12783469.505895015</v>
      </c>
      <c r="Y107" s="18">
        <f t="shared" si="81"/>
        <v>2106838.9440769786</v>
      </c>
      <c r="Z107" s="18">
        <f>IF(AK107&lt;&gt;1,"",DATA_INPUT!I107)</f>
        <v>2.2027588794457835</v>
      </c>
      <c r="AA107" s="18">
        <f>IF(AK107&lt;&gt;1,"",Z107*CONTROL_PANEL!$B$5)</f>
        <v>209041.81765940486</v>
      </c>
      <c r="AB107" s="18">
        <f>IF(AK107&lt;&gt;1,"",DATA_INPUT!$C107)</f>
        <v>34.300000000000011</v>
      </c>
      <c r="AC107" s="18">
        <f t="shared" si="52"/>
        <v>72264.57578184038</v>
      </c>
      <c r="AD107" s="18">
        <f>IF(AK107&lt;&gt;1,"",DATA_INPUT!$H107)</f>
        <v>71.154192362672035</v>
      </c>
      <c r="AE107" s="18">
        <f t="shared" si="53"/>
        <v>149910.42350402215</v>
      </c>
      <c r="AF107" s="18">
        <f>IF(AK107&lt;&gt;1,"",AA107*CONTROL_PANEL!$B$14)</f>
        <v>14632.927236158341</v>
      </c>
      <c r="AG107" s="18">
        <f>IF(AK107&lt;&gt;1,"",DATA_INPUT!$L107)</f>
        <v>28096.69940884165</v>
      </c>
      <c r="AH107" s="18">
        <f t="shared" si="54"/>
        <v>12872135.849187238</v>
      </c>
      <c r="AI107" s="18">
        <f>IF(AK107&lt;&gt;1,"",IF(AH107-CONTROL_PANEL!$B$11&lt;0,0,AH107-CONTROL_PANEL!$B$11))</f>
        <v>0</v>
      </c>
      <c r="AJ107" s="18">
        <f>IF(AK107&lt;&gt;1,"",IF(AG107&lt;=0,0,MIN(AG107,MAX(0,CONTROL_PANEL!$B$13-AH107))))</f>
        <v>0</v>
      </c>
      <c r="AK107" s="18">
        <v>1</v>
      </c>
      <c r="AM107" s="19">
        <f t="shared" si="77"/>
        <v>2024</v>
      </c>
      <c r="AN107" s="19">
        <v>4</v>
      </c>
      <c r="AO107" s="18">
        <f t="shared" si="55"/>
        <v>30</v>
      </c>
      <c r="AP107" s="18">
        <f t="shared" si="87"/>
        <v>256.33068146941889</v>
      </c>
      <c r="AQ107" s="18">
        <f>IF(BD106&lt;&gt;1,"",IF(BA106&gt;0,IF(BA106&gt;CONTROL_PANEL!$B$11,CONTROL_PANEL!$B$11,BA106),0))</f>
        <v>20635941.194583803</v>
      </c>
      <c r="AR107" s="18">
        <f t="shared" si="82"/>
        <v>2902290.0029006028</v>
      </c>
      <c r="AS107" s="18">
        <f>IF(BD107&lt;&gt;1,"",DATA_INPUT!$I107)</f>
        <v>2.2027588794457835</v>
      </c>
      <c r="AT107" s="18">
        <f>IF(BD107&lt;&gt;1,"",AS107*CONTROL_PANEL!$B$5)</f>
        <v>209041.81765940486</v>
      </c>
      <c r="AU107" s="18">
        <f>IF(BD107&lt;&gt;1,"",DATA_INPUT!$C107)</f>
        <v>34.300000000000011</v>
      </c>
      <c r="AV107" s="18">
        <f t="shared" si="57"/>
        <v>99548.547099490708</v>
      </c>
      <c r="AW107" s="18">
        <f>IF(BD107&lt;&gt;1,"",DATA_INPUT!$H107)</f>
        <v>71.154192362672035</v>
      </c>
      <c r="AX107" s="18">
        <f t="shared" si="58"/>
        <v>206510.10115864949</v>
      </c>
      <c r="AY107" s="18">
        <f>IF(BD107&lt;&gt;1,"",AT107*CONTROL_PANEL!$B$14)</f>
        <v>14632.927236158341</v>
      </c>
      <c r="AZ107" s="18">
        <f>IF(BD107&lt;&gt;1,"",DATA_INPUT!$M107)</f>
        <v>14167.973627275278</v>
      </c>
      <c r="BA107" s="18">
        <f t="shared" si="59"/>
        <v>20709220.557320613</v>
      </c>
      <c r="BB107" s="18">
        <f>IF(BD107&lt;&gt;1,"",IF(BA107-CONTROL_PANEL!$B$11&lt;0,0,BA107-CONTROL_PANEL!$B$11))</f>
        <v>0</v>
      </c>
      <c r="BC107" s="18">
        <f>IF(BD107&lt;&gt;1,"",IF(AZ107&lt;=0,0,MIN(AZ107,MAX(0,CONTROL_PANEL!$B$13-BA107))))</f>
        <v>0</v>
      </c>
      <c r="BD107" s="18">
        <v>1</v>
      </c>
      <c r="BF107" s="19">
        <f t="shared" si="78"/>
        <v>2024</v>
      </c>
      <c r="BG107" s="19">
        <v>4</v>
      </c>
      <c r="BH107" s="18">
        <f t="shared" si="60"/>
        <v>30</v>
      </c>
      <c r="BI107" s="18">
        <f t="shared" si="88"/>
        <v>257.96544494926559</v>
      </c>
      <c r="BJ107" s="18">
        <f>IF(BW106&lt;&gt;1,"",IF(BT106&gt;0,IF(BT106&gt;CONTROL_PANEL!$B$11,CONTROL_PANEL!$B$11,BT106),0))</f>
        <v>25791469.391541276</v>
      </c>
      <c r="BK107" s="18">
        <f t="shared" si="83"/>
        <v>3369166.5171546405</v>
      </c>
      <c r="BL107" s="18">
        <f>IF(BW107&lt;&gt;1,"",DATA_INPUT!$I107)</f>
        <v>2.2027588794457835</v>
      </c>
      <c r="BM107" s="18">
        <f>IF(BW107&lt;&gt;1,"",BL107*CONTROL_PANEL!$B$5)</f>
        <v>209041.81765940486</v>
      </c>
      <c r="BN107" s="18">
        <f>IF(BW107&lt;&gt;1,"",DATA_INPUT!$C107)</f>
        <v>34.300000000000011</v>
      </c>
      <c r="BO107" s="18">
        <f t="shared" si="62"/>
        <v>115562.41153840421</v>
      </c>
      <c r="BP107" s="18">
        <f>IF(BW107&lt;&gt;1,"",DATA_INPUT!$H107)</f>
        <v>71.154192362672035</v>
      </c>
      <c r="BQ107" s="18">
        <f t="shared" si="63"/>
        <v>239730.32246349507</v>
      </c>
      <c r="BR107" s="18">
        <f>IF(BW107&lt;&gt;1,"",BM107*CONTROL_PANEL!$B$14)</f>
        <v>14632.927236158341</v>
      </c>
      <c r="BS107" s="18">
        <f>IF(BW107&lt;&gt;1,"",DATA_INPUT!$N107)</f>
        <v>2988.6854299432398</v>
      </c>
      <c r="BT107" s="18">
        <f t="shared" si="64"/>
        <v>25858721.685609486</v>
      </c>
      <c r="BU107" s="18">
        <f>IF(BW107&lt;&gt;1,"",IF(BT107-CONTROL_PANEL!$B$11&lt;0,0,BT107-CONTROL_PANEL!$B$11))</f>
        <v>0</v>
      </c>
      <c r="BV107" s="18">
        <f>IF(BW107&lt;&gt;1,"",IF(BS107&lt;=0,0,MIN(BS107,MAX(0,CONTROL_PANEL!$B$13-BT107))))</f>
        <v>0</v>
      </c>
      <c r="BW107" s="18">
        <v>1</v>
      </c>
      <c r="BY107" s="19">
        <f t="shared" si="79"/>
        <v>2024</v>
      </c>
      <c r="BZ107" s="19">
        <v>4</v>
      </c>
      <c r="CA107" s="18">
        <f t="shared" si="65"/>
        <v>30</v>
      </c>
      <c r="CB107" s="18">
        <f t="shared" si="89"/>
        <v>256.03283871599331</v>
      </c>
      <c r="CC107" s="18">
        <f>IF(CP106&lt;&gt;1,"",IF(CM106&gt;0,IF(CM106&gt;CONTROL_PANEL!$B$11,CONTROL_PANEL!$B$11,CM106),0))</f>
        <v>19777966.104344413</v>
      </c>
      <c r="CD107" s="18">
        <f t="shared" si="84"/>
        <v>2821012.375657877</v>
      </c>
      <c r="CE107" s="18">
        <f>IF(CP107&lt;&gt;1,"",DATA_INPUT!$I107)</f>
        <v>2.2027588794457835</v>
      </c>
      <c r="CF107" s="18">
        <f>IF(CP107&lt;&gt;1,"",CE107*CONTROL_PANEL!$B$5)</f>
        <v>209041.81765940486</v>
      </c>
      <c r="CG107" s="18">
        <f>IF(CP107&lt;&gt;1,"",DATA_INPUT!$C107)</f>
        <v>34.300000000000011</v>
      </c>
      <c r="CH107" s="18">
        <f t="shared" si="67"/>
        <v>96760.724485065206</v>
      </c>
      <c r="CI107" s="18">
        <f>IF(CP107&lt;&gt;1,"",DATA_INPUT!$H107)</f>
        <v>71.154192362672035</v>
      </c>
      <c r="CJ107" s="18">
        <f t="shared" si="68"/>
        <v>200726.857235039</v>
      </c>
      <c r="CK107" s="18">
        <f>IF(CP107&lt;&gt;1,"",CF107*CONTROL_PANEL!$B$14)</f>
        <v>14632.927236158341</v>
      </c>
      <c r="CL107" s="18">
        <f>IF(CP107&lt;&gt;1,"",DATA_INPUT!$O107)</f>
        <v>3442.6396349614197</v>
      </c>
      <c r="CM107" s="18">
        <f t="shared" si="69"/>
        <v>19864966.222382724</v>
      </c>
      <c r="CN107" s="18">
        <f>IF(CP107&lt;&gt;1,"",IF(CM107-CONTROL_PANEL!$B$11&lt;0,0,CM107-CONTROL_PANEL!$B$11))</f>
        <v>0</v>
      </c>
      <c r="CO107" s="18">
        <f>IF(CP107&lt;&gt;1,"",IF(CL107&lt;=0,0,MIN(CL107,MAX(0,CONTROL_PANEL!$B$13-CM107))))</f>
        <v>0</v>
      </c>
      <c r="CP107" s="18">
        <v>1</v>
      </c>
    </row>
    <row r="108" spans="1:94" x14ac:dyDescent="0.25">
      <c r="A108" s="19">
        <f t="shared" si="75"/>
        <v>2024</v>
      </c>
      <c r="B108" s="19">
        <v>5</v>
      </c>
      <c r="C108" s="18">
        <f t="shared" si="45"/>
        <v>31</v>
      </c>
      <c r="D108" s="18">
        <f t="shared" si="85"/>
        <v>257.51449998143937</v>
      </c>
      <c r="E108" s="18">
        <f>IF(R107&lt;&gt;1,"",IF(O107&gt;0,IF(O107&gt;CONTROL_PANEL!$B$11,CONTROL_PANEL!$B$11,O107),0))</f>
        <v>24292161.548255648</v>
      </c>
      <c r="F108" s="18">
        <f t="shared" si="80"/>
        <v>3236868.893595017</v>
      </c>
      <c r="G108" s="18">
        <f>IF(R108&lt;&gt;1,"",DATA_INPUT!I108)</f>
        <v>0.30173677994892656</v>
      </c>
      <c r="H108" s="18">
        <f>IF(R108&lt;&gt;1,"",G108*CONTROL_PANEL!$B$5)</f>
        <v>28634.820417153129</v>
      </c>
      <c r="I108" s="18">
        <f>IF(R108&lt;&gt;1,"",DATA_INPUT!C108)</f>
        <v>5.4999999999999973</v>
      </c>
      <c r="J108" s="18">
        <f t="shared" si="47"/>
        <v>17802.778914772585</v>
      </c>
      <c r="K108" s="18">
        <f>IF(R108&lt;&gt;1,"",DATA_INPUT!H108)</f>
        <v>96.36620415493519</v>
      </c>
      <c r="L108" s="18">
        <f t="shared" si="48"/>
        <v>311924.76862293662</v>
      </c>
      <c r="M108" s="18">
        <f>IF(R108&lt;&gt;1,"",H108*CONTROL_PANEL!$B$14)</f>
        <v>2004.4374292007192</v>
      </c>
      <c r="N108" s="18">
        <f>IF(R108&lt;&gt;1,"",DATA_INPUT!K108)</f>
        <v>443924.02967220853</v>
      </c>
      <c r="O108" s="18">
        <f t="shared" si="49"/>
        <v>23580745.91186323</v>
      </c>
      <c r="P108" s="18">
        <f>IF(R108&lt;&gt;1,"",IF(O108-CONTROL_PANEL!$B$11&lt;0,0,O108-CONTROL_PANEL!$B$11))</f>
        <v>0</v>
      </c>
      <c r="Q108" s="18">
        <f>IF(R108&lt;&gt;1,"",IF(N108&lt;=0,0,MIN(N108,MAX(0,CONTROL_PANEL!$B$13-O108))))</f>
        <v>0</v>
      </c>
      <c r="R108" s="18">
        <v>1</v>
      </c>
      <c r="T108" s="19">
        <f t="shared" si="76"/>
        <v>2024</v>
      </c>
      <c r="U108" s="19">
        <v>5</v>
      </c>
      <c r="V108" s="18">
        <f t="shared" si="50"/>
        <v>31</v>
      </c>
      <c r="W108" s="18">
        <f t="shared" si="86"/>
        <v>253.24452896395593</v>
      </c>
      <c r="X108" s="18">
        <f>IF(AK107&lt;&gt;1,"",IF(AH107&gt;0,IF(AH107&gt;CONTROL_PANEL!$B$11,CONTROL_PANEL!$B$11,AH107),0))</f>
        <v>12872135.849187238</v>
      </c>
      <c r="Y108" s="18">
        <f t="shared" si="81"/>
        <v>2116602.0577375628</v>
      </c>
      <c r="Z108" s="18">
        <f>IF(AK108&lt;&gt;1,"",DATA_INPUT!I108)</f>
        <v>0.30173677994892656</v>
      </c>
      <c r="AA108" s="18">
        <f>IF(AK108&lt;&gt;1,"",Z108*CONTROL_PANEL!$B$5)</f>
        <v>28634.820417153129</v>
      </c>
      <c r="AB108" s="18">
        <f>IF(AK108&lt;&gt;1,"",DATA_INPUT!$C108)</f>
        <v>5.4999999999999973</v>
      </c>
      <c r="AC108" s="18">
        <f t="shared" si="52"/>
        <v>11641.31131755659</v>
      </c>
      <c r="AD108" s="18">
        <f>IF(AK108&lt;&gt;1,"",DATA_INPUT!$H108)</f>
        <v>96.36620415493519</v>
      </c>
      <c r="AE108" s="18">
        <f t="shared" si="53"/>
        <v>203968.9060106939</v>
      </c>
      <c r="AF108" s="18">
        <f>IF(AK108&lt;&gt;1,"",AA108*CONTROL_PANEL!$B$14)</f>
        <v>2004.4374292007192</v>
      </c>
      <c r="AG108" s="18">
        <f>IF(AK108&lt;&gt;1,"",DATA_INPUT!$L108)</f>
        <v>559436.00396629819</v>
      </c>
      <c r="AH108" s="18">
        <f t="shared" si="54"/>
        <v>12147002.633515755</v>
      </c>
      <c r="AI108" s="18">
        <f>IF(AK108&lt;&gt;1,"",IF(AH108-CONTROL_PANEL!$B$11&lt;0,0,AH108-CONTROL_PANEL!$B$11))</f>
        <v>0</v>
      </c>
      <c r="AJ108" s="18">
        <f>IF(AK108&lt;&gt;1,"",IF(AG108&lt;=0,0,MIN(AG108,MAX(0,CONTROL_PANEL!$B$13-AH108))))</f>
        <v>0</v>
      </c>
      <c r="AK108" s="18">
        <v>1</v>
      </c>
      <c r="AM108" s="19">
        <f t="shared" si="77"/>
        <v>2024</v>
      </c>
      <c r="AN108" s="19">
        <v>5</v>
      </c>
      <c r="AO108" s="18">
        <f t="shared" si="55"/>
        <v>31</v>
      </c>
      <c r="AP108" s="18">
        <f t="shared" si="87"/>
        <v>256.35573333835009</v>
      </c>
      <c r="AQ108" s="18">
        <f>IF(BD107&lt;&gt;1,"",IF(BA107&gt;0,IF(BA107&gt;CONTROL_PANEL!$B$11,CONTROL_PANEL!$B$11,BA107),0))</f>
        <v>20709220.557320613</v>
      </c>
      <c r="AR108" s="18">
        <f t="shared" si="82"/>
        <v>2909179.501712298</v>
      </c>
      <c r="AS108" s="18">
        <f>IF(BD108&lt;&gt;1,"",DATA_INPUT!$I108)</f>
        <v>0.30173677994892656</v>
      </c>
      <c r="AT108" s="18">
        <f>IF(BD108&lt;&gt;1,"",AS108*CONTROL_PANEL!$B$5)</f>
        <v>28634.820417153129</v>
      </c>
      <c r="AU108" s="18">
        <f>IF(BD108&lt;&gt;1,"",DATA_INPUT!$C108)</f>
        <v>5.4999999999999973</v>
      </c>
      <c r="AV108" s="18">
        <f t="shared" si="57"/>
        <v>16000.48725941763</v>
      </c>
      <c r="AW108" s="18">
        <f>IF(BD108&lt;&gt;1,"",DATA_INPUT!$H108)</f>
        <v>96.36620415493519</v>
      </c>
      <c r="AX108" s="18">
        <f t="shared" si="58"/>
        <v>280346.5857853599</v>
      </c>
      <c r="AY108" s="18">
        <f>IF(BD108&lt;&gt;1,"",AT108*CONTROL_PANEL!$B$14)</f>
        <v>2004.4374292007192</v>
      </c>
      <c r="AZ108" s="18">
        <f>IF(BD108&lt;&gt;1,"",DATA_INPUT!$M108)</f>
        <v>460206.28001947922</v>
      </c>
      <c r="BA108" s="18">
        <f t="shared" si="59"/>
        <v>20011298.561763145</v>
      </c>
      <c r="BB108" s="18">
        <f>IF(BD108&lt;&gt;1,"",IF(BA108-CONTROL_PANEL!$B$11&lt;0,0,BA108-CONTROL_PANEL!$B$11))</f>
        <v>0</v>
      </c>
      <c r="BC108" s="18">
        <f>IF(BD108&lt;&gt;1,"",IF(AZ108&lt;=0,0,MIN(AZ108,MAX(0,CONTROL_PANEL!$B$13-BA108))))</f>
        <v>0</v>
      </c>
      <c r="BD108" s="18">
        <v>1</v>
      </c>
      <c r="BF108" s="19">
        <f t="shared" si="78"/>
        <v>2024</v>
      </c>
      <c r="BG108" s="19">
        <v>5</v>
      </c>
      <c r="BH108" s="18">
        <f t="shared" si="60"/>
        <v>31</v>
      </c>
      <c r="BI108" s="18">
        <f t="shared" si="88"/>
        <v>257.98525659678859</v>
      </c>
      <c r="BJ108" s="18">
        <f>IF(BW107&lt;&gt;1,"",IF(BT107&gt;0,IF(BT107&gt;CONTROL_PANEL!$B$11,CONTROL_PANEL!$B$11,BT107),0))</f>
        <v>25858721.685609486</v>
      </c>
      <c r="BK108" s="18">
        <f t="shared" si="83"/>
        <v>3375040.2015380166</v>
      </c>
      <c r="BL108" s="18">
        <f>IF(BW108&lt;&gt;1,"",DATA_INPUT!$I108)</f>
        <v>0.30173677994892656</v>
      </c>
      <c r="BM108" s="18">
        <f>IF(BW108&lt;&gt;1,"",BL108*CONTROL_PANEL!$B$5)</f>
        <v>28634.820417153129</v>
      </c>
      <c r="BN108" s="18">
        <f>IF(BW108&lt;&gt;1,"",DATA_INPUT!$C108)</f>
        <v>5.4999999999999973</v>
      </c>
      <c r="BO108" s="18">
        <f t="shared" si="62"/>
        <v>18562.721108459082</v>
      </c>
      <c r="BP108" s="18">
        <f>IF(BW108&lt;&gt;1,"",DATA_INPUT!$H108)</f>
        <v>96.36620415493519</v>
      </c>
      <c r="BQ108" s="18">
        <f t="shared" si="63"/>
        <v>325239.81309252616</v>
      </c>
      <c r="BR108" s="18">
        <f>IF(BW108&lt;&gt;1,"",BM108*CONTROL_PANEL!$B$14)</f>
        <v>2004.4374292007192</v>
      </c>
      <c r="BS108" s="18">
        <f>IF(BW108&lt;&gt;1,"",DATA_INPUT!$N108)</f>
        <v>391902.72085975297</v>
      </c>
      <c r="BT108" s="18">
        <f t="shared" si="64"/>
        <v>25186772.255753621</v>
      </c>
      <c r="BU108" s="18">
        <f>IF(BW108&lt;&gt;1,"",IF(BT108-CONTROL_PANEL!$B$11&lt;0,0,BT108-CONTROL_PANEL!$B$11))</f>
        <v>0</v>
      </c>
      <c r="BV108" s="18">
        <f>IF(BW108&lt;&gt;1,"",IF(BS108&lt;=0,0,MIN(BS108,MAX(0,CONTROL_PANEL!$B$13-BT108))))</f>
        <v>0</v>
      </c>
      <c r="BW108" s="18">
        <v>1</v>
      </c>
      <c r="BY108" s="19">
        <f t="shared" si="79"/>
        <v>2024</v>
      </c>
      <c r="BZ108" s="19">
        <v>5</v>
      </c>
      <c r="CA108" s="18">
        <f t="shared" si="65"/>
        <v>31</v>
      </c>
      <c r="CB108" s="18">
        <f t="shared" si="89"/>
        <v>256.06342955207975</v>
      </c>
      <c r="CC108" s="18">
        <f>IF(CP107&lt;&gt;1,"",IF(CM107&gt;0,IF(CM107&gt;CONTROL_PANEL!$B$11,CONTROL_PANEL!$B$11,CM107),0))</f>
        <v>19864966.222382724</v>
      </c>
      <c r="CD108" s="18">
        <f t="shared" si="84"/>
        <v>2829306.5248372089</v>
      </c>
      <c r="CE108" s="18">
        <f>IF(CP108&lt;&gt;1,"",DATA_INPUT!$I108)</f>
        <v>0.30173677994892656</v>
      </c>
      <c r="CF108" s="18">
        <f>IF(CP108&lt;&gt;1,"",CE108*CONTROL_PANEL!$B$5)</f>
        <v>28634.820417153129</v>
      </c>
      <c r="CG108" s="18">
        <f>IF(CP108&lt;&gt;1,"",DATA_INPUT!$C108)</f>
        <v>5.4999999999999973</v>
      </c>
      <c r="CH108" s="18">
        <f t="shared" si="67"/>
        <v>15561.18588660464</v>
      </c>
      <c r="CI108" s="18">
        <f>IF(CP108&lt;&gt;1,"",DATA_INPUT!$H108)</f>
        <v>96.36620415493519</v>
      </c>
      <c r="CJ108" s="18">
        <f t="shared" si="68"/>
        <v>272649.53018935269</v>
      </c>
      <c r="CK108" s="18">
        <f>IF(CP108&lt;&gt;1,"",CF108*CONTROL_PANEL!$B$14)</f>
        <v>2004.4374292007192</v>
      </c>
      <c r="CL108" s="18">
        <f>IF(CP108&lt;&gt;1,"",DATA_INPUT!$O108)</f>
        <v>445562.36557965731</v>
      </c>
      <c r="CM108" s="18">
        <f t="shared" si="69"/>
        <v>19188945.89548827</v>
      </c>
      <c r="CN108" s="18">
        <f>IF(CP108&lt;&gt;1,"",IF(CM108-CONTROL_PANEL!$B$11&lt;0,0,CM108-CONTROL_PANEL!$B$11))</f>
        <v>0</v>
      </c>
      <c r="CO108" s="18">
        <f>IF(CP108&lt;&gt;1,"",IF(CL108&lt;=0,0,MIN(CL108,MAX(0,CONTROL_PANEL!$B$13-CM108))))</f>
        <v>0</v>
      </c>
      <c r="CP108" s="18">
        <v>1</v>
      </c>
    </row>
    <row r="109" spans="1:94" x14ac:dyDescent="0.25">
      <c r="A109" s="19">
        <f t="shared" si="75"/>
        <v>2024</v>
      </c>
      <c r="B109" s="19">
        <v>6</v>
      </c>
      <c r="C109" s="18">
        <f t="shared" si="45"/>
        <v>30</v>
      </c>
      <c r="D109" s="18">
        <f t="shared" si="85"/>
        <v>257.29399647645698</v>
      </c>
      <c r="E109" s="18">
        <f>IF(R108&lt;&gt;1,"",IF(O108&gt;0,IF(O108&gt;CONTROL_PANEL!$B$11,CONTROL_PANEL!$B$11,O108),0))</f>
        <v>23580745.91186323</v>
      </c>
      <c r="F109" s="18">
        <f t="shared" si="80"/>
        <v>3173151.9205314051</v>
      </c>
      <c r="G109" s="18">
        <f>IF(R109&lt;&gt;1,"",DATA_INPUT!I109)</f>
        <v>4.5001998381872792E-2</v>
      </c>
      <c r="H109" s="18">
        <f>IF(R109&lt;&gt;1,"",G109*CONTROL_PANEL!$B$5)</f>
        <v>4270.6896464397278</v>
      </c>
      <c r="I109" s="18">
        <f>IF(R109&lt;&gt;1,"",DATA_INPUT!C109)</f>
        <v>27.900000000000002</v>
      </c>
      <c r="J109" s="18">
        <f t="shared" si="47"/>
        <v>88530.938582826217</v>
      </c>
      <c r="K109" s="18">
        <f>IF(R109&lt;&gt;1,"",DATA_INPUT!H109)</f>
        <v>117.87408446145926</v>
      </c>
      <c r="L109" s="18">
        <f t="shared" si="48"/>
        <v>374032.37748976052</v>
      </c>
      <c r="M109" s="18">
        <f>IF(R109&lt;&gt;1,"",H109*CONTROL_PANEL!$B$14)</f>
        <v>298.94827525078097</v>
      </c>
      <c r="N109" s="18">
        <f>IF(R109&lt;&gt;1,"",DATA_INPUT!K109)</f>
        <v>566612.29215865058</v>
      </c>
      <c r="O109" s="18">
        <f t="shared" si="49"/>
        <v>22732603.922168836</v>
      </c>
      <c r="P109" s="18">
        <f>IF(R109&lt;&gt;1,"",IF(O109-CONTROL_PANEL!$B$11&lt;0,0,O109-CONTROL_PANEL!$B$11))</f>
        <v>0</v>
      </c>
      <c r="Q109" s="18">
        <f>IF(R109&lt;&gt;1,"",IF(N109&lt;=0,0,MIN(N109,MAX(0,CONTROL_PANEL!$B$13-O109))))</f>
        <v>0</v>
      </c>
      <c r="R109" s="18">
        <v>1</v>
      </c>
      <c r="T109" s="19">
        <f t="shared" si="76"/>
        <v>2024</v>
      </c>
      <c r="U109" s="19">
        <v>6</v>
      </c>
      <c r="V109" s="18">
        <f t="shared" si="50"/>
        <v>30</v>
      </c>
      <c r="W109" s="18">
        <f t="shared" si="86"/>
        <v>252.89758418549681</v>
      </c>
      <c r="X109" s="18">
        <f>IF(AK108&lt;&gt;1,"",IF(AH108&gt;0,IF(AH108&gt;CONTROL_PANEL!$B$11,CONTROL_PANEL!$B$11,AH108),0))</f>
        <v>12147002.633515755</v>
      </c>
      <c r="Y109" s="18">
        <f t="shared" si="81"/>
        <v>2036085.2907777871</v>
      </c>
      <c r="Z109" s="18">
        <f>IF(AK109&lt;&gt;1,"",DATA_INPUT!I109)</f>
        <v>4.5001998381872792E-2</v>
      </c>
      <c r="AA109" s="18">
        <f>IF(AK109&lt;&gt;1,"",Z109*CONTROL_PANEL!$B$5)</f>
        <v>4270.6896464397278</v>
      </c>
      <c r="AB109" s="18">
        <f>IF(AK109&lt;&gt;1,"",DATA_INPUT!$C109)</f>
        <v>27.900000000000002</v>
      </c>
      <c r="AC109" s="18">
        <f t="shared" si="52"/>
        <v>56806.779612700258</v>
      </c>
      <c r="AD109" s="18">
        <f>IF(AK109&lt;&gt;1,"",DATA_INPUT!$H109)</f>
        <v>117.87408446145926</v>
      </c>
      <c r="AE109" s="18">
        <f t="shared" si="53"/>
        <v>240001.68953587572</v>
      </c>
      <c r="AF109" s="18">
        <f>IF(AK109&lt;&gt;1,"",AA109*CONTROL_PANEL!$B$14)</f>
        <v>298.94827525078097</v>
      </c>
      <c r="AG109" s="18">
        <f>IF(AK109&lt;&gt;1,"",DATA_INPUT!$L109)</f>
        <v>713665.08546549268</v>
      </c>
      <c r="AH109" s="18">
        <f t="shared" si="54"/>
        <v>11254114.379498275</v>
      </c>
      <c r="AI109" s="18">
        <f>IF(AK109&lt;&gt;1,"",IF(AH109-CONTROL_PANEL!$B$11&lt;0,0,AH109-CONTROL_PANEL!$B$11))</f>
        <v>0</v>
      </c>
      <c r="AJ109" s="18">
        <f>IF(AK109&lt;&gt;1,"",IF(AG109&lt;=0,0,MIN(AG109,MAX(0,CONTROL_PANEL!$B$13-AH109))))</f>
        <v>0</v>
      </c>
      <c r="AK109" s="18">
        <v>1</v>
      </c>
      <c r="AM109" s="19">
        <f t="shared" si="77"/>
        <v>2024</v>
      </c>
      <c r="AN109" s="19">
        <v>6</v>
      </c>
      <c r="AO109" s="18">
        <f t="shared" si="55"/>
        <v>30</v>
      </c>
      <c r="AP109" s="18">
        <f t="shared" si="87"/>
        <v>256.11468119126653</v>
      </c>
      <c r="AQ109" s="18">
        <f>IF(BD108&lt;&gt;1,"",IF(BA108&gt;0,IF(BA108&gt;CONTROL_PANEL!$B$11,CONTROL_PANEL!$B$11,BA108),0))</f>
        <v>20011298.561763145</v>
      </c>
      <c r="AR109" s="18">
        <f t="shared" si="82"/>
        <v>2843230.0322924568</v>
      </c>
      <c r="AS109" s="18">
        <f>IF(BD109&lt;&gt;1,"",DATA_INPUT!$I109)</f>
        <v>4.5001998381872792E-2</v>
      </c>
      <c r="AT109" s="18">
        <f>IF(BD109&lt;&gt;1,"",AS109*CONTROL_PANEL!$B$5)</f>
        <v>4270.6896464397278</v>
      </c>
      <c r="AU109" s="18">
        <f>IF(BD109&lt;&gt;1,"",DATA_INPUT!$C109)</f>
        <v>27.900000000000002</v>
      </c>
      <c r="AV109" s="18">
        <f t="shared" si="57"/>
        <v>79326.117900959551</v>
      </c>
      <c r="AW109" s="18">
        <f>IF(BD109&lt;&gt;1,"",DATA_INPUT!$H109)</f>
        <v>117.87408446145926</v>
      </c>
      <c r="AX109" s="18">
        <f t="shared" si="58"/>
        <v>335143.13696979865</v>
      </c>
      <c r="AY109" s="18">
        <f>IF(BD109&lt;&gt;1,"",AT109*CONTROL_PANEL!$B$14)</f>
        <v>298.94827525078097</v>
      </c>
      <c r="AZ109" s="18">
        <f>IF(BD109&lt;&gt;1,"",DATA_INPUT!$M109)</f>
        <v>573541.815985227</v>
      </c>
      <c r="BA109" s="18">
        <f t="shared" si="59"/>
        <v>19185911.468080271</v>
      </c>
      <c r="BB109" s="18">
        <f>IF(BD109&lt;&gt;1,"",IF(BA109-CONTROL_PANEL!$B$11&lt;0,0,BA109-CONTROL_PANEL!$B$11))</f>
        <v>0</v>
      </c>
      <c r="BC109" s="18">
        <f>IF(BD109&lt;&gt;1,"",IF(AZ109&lt;=0,0,MIN(AZ109,MAX(0,CONTROL_PANEL!$B$13-BA109))))</f>
        <v>0</v>
      </c>
      <c r="BD109" s="18">
        <v>1</v>
      </c>
      <c r="BF109" s="19">
        <f t="shared" si="78"/>
        <v>2024</v>
      </c>
      <c r="BG109" s="19">
        <v>6</v>
      </c>
      <c r="BH109" s="18">
        <f t="shared" si="60"/>
        <v>30</v>
      </c>
      <c r="BI109" s="18">
        <f t="shared" si="88"/>
        <v>257.78573729528125</v>
      </c>
      <c r="BJ109" s="18">
        <f>IF(BW108&lt;&gt;1,"",IF(BT108&gt;0,IF(BT108&gt;CONTROL_PANEL!$B$11,CONTROL_PANEL!$B$11,BT108),0))</f>
        <v>25186772.255753621</v>
      </c>
      <c r="BK109" s="18">
        <f t="shared" si="83"/>
        <v>3316123.4059741674</v>
      </c>
      <c r="BL109" s="18">
        <f>IF(BW109&lt;&gt;1,"",DATA_INPUT!$I109)</f>
        <v>4.5001998381872792E-2</v>
      </c>
      <c r="BM109" s="18">
        <f>IF(BW109&lt;&gt;1,"",BL109*CONTROL_PANEL!$B$5)</f>
        <v>4270.6896464397278</v>
      </c>
      <c r="BN109" s="18">
        <f>IF(BW109&lt;&gt;1,"",DATA_INPUT!$C109)</f>
        <v>27.900000000000002</v>
      </c>
      <c r="BO109" s="18">
        <f t="shared" si="62"/>
        <v>92519.843026679271</v>
      </c>
      <c r="BP109" s="18">
        <f>IF(BW109&lt;&gt;1,"",DATA_INPUT!$H109)</f>
        <v>117.87408446145926</v>
      </c>
      <c r="BQ109" s="18">
        <f t="shared" si="63"/>
        <v>390885.010440421</v>
      </c>
      <c r="BR109" s="18">
        <f>IF(BW109&lt;&gt;1,"",BM109*CONTROL_PANEL!$B$14)</f>
        <v>298.94827525078097</v>
      </c>
      <c r="BS109" s="18">
        <f>IF(BW109&lt;&gt;1,"",DATA_INPUT!$N109)</f>
        <v>475125.18836301373</v>
      </c>
      <c r="BT109" s="18">
        <f t="shared" si="64"/>
        <v>24417253.641348056</v>
      </c>
      <c r="BU109" s="18">
        <f>IF(BW109&lt;&gt;1,"",IF(BT109-CONTROL_PANEL!$B$11&lt;0,0,BT109-CONTROL_PANEL!$B$11))</f>
        <v>0</v>
      </c>
      <c r="BV109" s="18">
        <f>IF(BW109&lt;&gt;1,"",IF(BS109&lt;=0,0,MIN(BS109,MAX(0,CONTROL_PANEL!$B$13-BT109))))</f>
        <v>0</v>
      </c>
      <c r="BW109" s="18">
        <v>1</v>
      </c>
      <c r="BY109" s="19">
        <f t="shared" si="79"/>
        <v>2024</v>
      </c>
      <c r="BZ109" s="19">
        <v>6</v>
      </c>
      <c r="CA109" s="18">
        <f t="shared" si="65"/>
        <v>30</v>
      </c>
      <c r="CB109" s="18">
        <f t="shared" si="89"/>
        <v>255.82332323524835</v>
      </c>
      <c r="CC109" s="18">
        <f>IF(CP108&lt;&gt;1,"",IF(CM108&gt;0,IF(CM108&gt;CONTROL_PANEL!$B$11,CONTROL_PANEL!$B$11,CM108),0))</f>
        <v>19188945.89548827</v>
      </c>
      <c r="CD109" s="18">
        <f t="shared" si="84"/>
        <v>2764536.5264762053</v>
      </c>
      <c r="CE109" s="18">
        <f>IF(CP109&lt;&gt;1,"",DATA_INPUT!$I109)</f>
        <v>4.5001998381872792E-2</v>
      </c>
      <c r="CF109" s="18">
        <f>IF(CP109&lt;&gt;1,"",CE109*CONTROL_PANEL!$B$5)</f>
        <v>4270.6896464397278</v>
      </c>
      <c r="CG109" s="18">
        <f>IF(CP109&lt;&gt;1,"",DATA_INPUT!$C109)</f>
        <v>27.900000000000002</v>
      </c>
      <c r="CH109" s="18">
        <f t="shared" si="67"/>
        <v>77130.569088686141</v>
      </c>
      <c r="CI109" s="18">
        <f>IF(CP109&lt;&gt;1,"",DATA_INPUT!$H109)</f>
        <v>117.87408446145926</v>
      </c>
      <c r="CJ109" s="18">
        <f t="shared" si="68"/>
        <v>325867.21201864543</v>
      </c>
      <c r="CK109" s="18">
        <f>IF(CP109&lt;&gt;1,"",CF109*CONTROL_PANEL!$B$14)</f>
        <v>298.94827525078097</v>
      </c>
      <c r="CL109" s="18">
        <f>IF(CP109&lt;&gt;1,"",DATA_INPUT!$O109)</f>
        <v>538764.69795375061</v>
      </c>
      <c r="CM109" s="18">
        <f t="shared" si="69"/>
        <v>18405416.295975752</v>
      </c>
      <c r="CN109" s="18">
        <f>IF(CP109&lt;&gt;1,"",IF(CM109-CONTROL_PANEL!$B$11&lt;0,0,CM109-CONTROL_PANEL!$B$11))</f>
        <v>0</v>
      </c>
      <c r="CO109" s="18">
        <f>IF(CP109&lt;&gt;1,"",IF(CL109&lt;=0,0,MIN(CL109,MAX(0,CONTROL_PANEL!$B$13-CM109))))</f>
        <v>0</v>
      </c>
      <c r="CP109" s="18">
        <v>1</v>
      </c>
    </row>
    <row r="110" spans="1:94" x14ac:dyDescent="0.25">
      <c r="A110" s="19">
        <f t="shared" si="75"/>
        <v>2024</v>
      </c>
      <c r="B110" s="19">
        <v>7</v>
      </c>
      <c r="C110" s="18">
        <f t="shared" si="45"/>
        <v>31</v>
      </c>
      <c r="D110" s="18">
        <f t="shared" si="85"/>
        <v>257.02522032148335</v>
      </c>
      <c r="E110" s="18">
        <f>IF(R109&lt;&gt;1,"",IF(O109&gt;0,IF(O109&gt;CONTROL_PANEL!$B$11,CONTROL_PANEL!$B$11,O109),0))</f>
        <v>22732603.922168836</v>
      </c>
      <c r="F110" s="18">
        <f t="shared" si="80"/>
        <v>3096350.9454653035</v>
      </c>
      <c r="G110" s="18">
        <f>IF(R110&lt;&gt;1,"",DATA_INPUT!I110)</f>
        <v>6.2303713255970911E-3</v>
      </c>
      <c r="H110" s="18">
        <f>IF(R110&lt;&gt;1,"",G110*CONTROL_PANEL!$B$5)</f>
        <v>591.26223879916392</v>
      </c>
      <c r="I110" s="18">
        <f>IF(R110&lt;&gt;1,"",DATA_INPUT!C110)</f>
        <v>5.8000000000000007</v>
      </c>
      <c r="J110" s="18">
        <f t="shared" si="47"/>
        <v>17958.835483698764</v>
      </c>
      <c r="K110" s="18">
        <f>IF(R110&lt;&gt;1,"",DATA_INPUT!H110)</f>
        <v>147.11279240771907</v>
      </c>
      <c r="L110" s="18">
        <f t="shared" si="48"/>
        <v>455512.83386168187</v>
      </c>
      <c r="M110" s="18">
        <f>IF(R110&lt;&gt;1,"",H110*CONTROL_PANEL!$B$14)</f>
        <v>41.388356715941477</v>
      </c>
      <c r="N110" s="18">
        <f>IF(R110&lt;&gt;1,"",DATA_INPUT!K110)</f>
        <v>1753206.373116272</v>
      </c>
      <c r="O110" s="18">
        <f t="shared" si="49"/>
        <v>20542393.424556665</v>
      </c>
      <c r="P110" s="18">
        <f>IF(R110&lt;&gt;1,"",IF(O110-CONTROL_PANEL!$B$11&lt;0,0,O110-CONTROL_PANEL!$B$11))</f>
        <v>0</v>
      </c>
      <c r="Q110" s="18">
        <f>IF(R110&lt;&gt;1,"",IF(N110&lt;=0,0,MIN(N110,MAX(0,CONTROL_PANEL!$B$13-O110))))</f>
        <v>0</v>
      </c>
      <c r="R110" s="18">
        <v>1</v>
      </c>
      <c r="T110" s="19">
        <f t="shared" si="76"/>
        <v>2024</v>
      </c>
      <c r="U110" s="19">
        <v>7</v>
      </c>
      <c r="V110" s="18">
        <f t="shared" si="50"/>
        <v>31</v>
      </c>
      <c r="W110" s="18">
        <f t="shared" si="86"/>
        <v>252.45078667711519</v>
      </c>
      <c r="X110" s="18">
        <f>IF(AK109&lt;&gt;1,"",IF(AH109&gt;0,IF(AH109&gt;CONTROL_PANEL!$B$11,CONTROL_PANEL!$B$11,AH109),0))</f>
        <v>11254114.379498275</v>
      </c>
      <c r="Y110" s="18">
        <f t="shared" si="81"/>
        <v>1934717.5438669755</v>
      </c>
      <c r="Z110" s="18">
        <f>IF(AK110&lt;&gt;1,"",DATA_INPUT!I110)</f>
        <v>6.2303713255970911E-3</v>
      </c>
      <c r="AA110" s="18">
        <f>IF(AK110&lt;&gt;1,"",Z110*CONTROL_PANEL!$B$5)</f>
        <v>591.26223879916392</v>
      </c>
      <c r="AB110" s="18">
        <f>IF(AK110&lt;&gt;1,"",DATA_INPUT!$C110)</f>
        <v>5.8000000000000007</v>
      </c>
      <c r="AC110" s="18">
        <f t="shared" si="52"/>
        <v>11221.361754428459</v>
      </c>
      <c r="AD110" s="18">
        <f>IF(AK110&lt;&gt;1,"",DATA_INPUT!$H110)</f>
        <v>147.11279240771907</v>
      </c>
      <c r="AE110" s="18">
        <f t="shared" si="53"/>
        <v>284621.70039847447</v>
      </c>
      <c r="AF110" s="18">
        <f>IF(AK110&lt;&gt;1,"",AA110*CONTROL_PANEL!$B$14)</f>
        <v>41.388356715941477</v>
      </c>
      <c r="AG110" s="18">
        <f>IF(AK110&lt;&gt;1,"",DATA_INPUT!$L110)</f>
        <v>2219916.7028240757</v>
      </c>
      <c r="AH110" s="18">
        <f t="shared" si="54"/>
        <v>8761347.2119122371</v>
      </c>
      <c r="AI110" s="18">
        <f>IF(AK110&lt;&gt;1,"",IF(AH110-CONTROL_PANEL!$B$11&lt;0,0,AH110-CONTROL_PANEL!$B$11))</f>
        <v>0</v>
      </c>
      <c r="AJ110" s="18">
        <f>IF(AK110&lt;&gt;1,"",IF(AG110&lt;=0,0,MIN(AG110,MAX(0,CONTROL_PANEL!$B$13-AH110))))</f>
        <v>0</v>
      </c>
      <c r="AK110" s="18">
        <v>1</v>
      </c>
      <c r="AM110" s="19">
        <f t="shared" si="77"/>
        <v>2024</v>
      </c>
      <c r="AN110" s="19">
        <v>7</v>
      </c>
      <c r="AO110" s="18">
        <f t="shared" si="55"/>
        <v>31</v>
      </c>
      <c r="AP110" s="18">
        <f t="shared" si="87"/>
        <v>255.8222328205394</v>
      </c>
      <c r="AQ110" s="18">
        <f>IF(BD109&lt;&gt;1,"",IF(BA109&gt;0,IF(BA109&gt;CONTROL_PANEL!$B$11,CONTROL_PANEL!$B$11,BA109),0))</f>
        <v>19185911.468080271</v>
      </c>
      <c r="AR110" s="18">
        <f t="shared" si="82"/>
        <v>2764244.1087040929</v>
      </c>
      <c r="AS110" s="18">
        <f>IF(BD110&lt;&gt;1,"",DATA_INPUT!$I110)</f>
        <v>6.2303713255970911E-3</v>
      </c>
      <c r="AT110" s="18">
        <f>IF(BD110&lt;&gt;1,"",AS110*CONTROL_PANEL!$B$5)</f>
        <v>591.26223879916392</v>
      </c>
      <c r="AU110" s="18">
        <f>IF(BD110&lt;&gt;1,"",DATA_INPUT!$C110)</f>
        <v>5.8000000000000007</v>
      </c>
      <c r="AV110" s="18">
        <f t="shared" si="57"/>
        <v>16032.615830483741</v>
      </c>
      <c r="AW110" s="18">
        <f>IF(BD110&lt;&gt;1,"",DATA_INPUT!$H110)</f>
        <v>147.11279240771907</v>
      </c>
      <c r="AX110" s="18">
        <f t="shared" si="58"/>
        <v>406655.66972804564</v>
      </c>
      <c r="AY110" s="18">
        <f>IF(BD110&lt;&gt;1,"",AT110*CONTROL_PANEL!$B$14)</f>
        <v>41.388356715941477</v>
      </c>
      <c r="AZ110" s="18">
        <f>IF(BD110&lt;&gt;1,"",DATA_INPUT!$M110)</f>
        <v>1919184.3747405119</v>
      </c>
      <c r="BA110" s="18">
        <f t="shared" si="59"/>
        <v>16876653.913324282</v>
      </c>
      <c r="BB110" s="18">
        <f>IF(BD110&lt;&gt;1,"",IF(BA110-CONTROL_PANEL!$B$11&lt;0,0,BA110-CONTROL_PANEL!$B$11))</f>
        <v>0</v>
      </c>
      <c r="BC110" s="18">
        <f>IF(BD110&lt;&gt;1,"",IF(AZ110&lt;=0,0,MIN(AZ110,MAX(0,CONTROL_PANEL!$B$13-BA110))))</f>
        <v>0</v>
      </c>
      <c r="BD110" s="18">
        <v>1</v>
      </c>
      <c r="BF110" s="19">
        <f t="shared" si="78"/>
        <v>2024</v>
      </c>
      <c r="BG110" s="19">
        <v>7</v>
      </c>
      <c r="BH110" s="18">
        <f t="shared" si="60"/>
        <v>31</v>
      </c>
      <c r="BI110" s="18">
        <f t="shared" si="88"/>
        <v>257.55282413958474</v>
      </c>
      <c r="BJ110" s="18">
        <f>IF(BW109&lt;&gt;1,"",IF(BT109&gt;0,IF(BT109&gt;CONTROL_PANEL!$B$11,CONTROL_PANEL!$B$11,BT109),0))</f>
        <v>24417253.641348056</v>
      </c>
      <c r="BK110" s="18">
        <f t="shared" si="83"/>
        <v>3248008.3412468354</v>
      </c>
      <c r="BL110" s="18">
        <f>IF(BW110&lt;&gt;1,"",DATA_INPUT!$I110)</f>
        <v>6.2303713255970911E-3</v>
      </c>
      <c r="BM110" s="18">
        <f>IF(BW110&lt;&gt;1,"",BL110*CONTROL_PANEL!$B$5)</f>
        <v>591.26223879916392</v>
      </c>
      <c r="BN110" s="18">
        <f>IF(BW110&lt;&gt;1,"",DATA_INPUT!$C110)</f>
        <v>5.8000000000000007</v>
      </c>
      <c r="BO110" s="18">
        <f t="shared" si="62"/>
        <v>18838.448379231646</v>
      </c>
      <c r="BP110" s="18">
        <f>IF(BW110&lt;&gt;1,"",DATA_INPUT!$H110)</f>
        <v>147.11279240771907</v>
      </c>
      <c r="BQ110" s="18">
        <f t="shared" si="63"/>
        <v>477823.57684438571</v>
      </c>
      <c r="BR110" s="18">
        <f>IF(BW110&lt;&gt;1,"",BM110*CONTROL_PANEL!$B$14)</f>
        <v>41.388356715941477</v>
      </c>
      <c r="BS110" s="18">
        <f>IF(BW110&lt;&gt;1,"",DATA_INPUT!$N110)</f>
        <v>1728713.1454048639</v>
      </c>
      <c r="BT110" s="18">
        <f t="shared" si="64"/>
        <v>22230105.241360124</v>
      </c>
      <c r="BU110" s="18">
        <f>IF(BW110&lt;&gt;1,"",IF(BT110-CONTROL_PANEL!$B$11&lt;0,0,BT110-CONTROL_PANEL!$B$11))</f>
        <v>0</v>
      </c>
      <c r="BV110" s="18">
        <f>IF(BW110&lt;&gt;1,"",IF(BS110&lt;=0,0,MIN(BS110,MAX(0,CONTROL_PANEL!$B$13-BT110))))</f>
        <v>0</v>
      </c>
      <c r="BW110" s="18">
        <v>1</v>
      </c>
      <c r="BY110" s="19">
        <f t="shared" si="79"/>
        <v>2024</v>
      </c>
      <c r="BZ110" s="19">
        <v>7</v>
      </c>
      <c r="CA110" s="18">
        <f t="shared" si="65"/>
        <v>31</v>
      </c>
      <c r="CB110" s="18">
        <f t="shared" si="89"/>
        <v>255.5378439983545</v>
      </c>
      <c r="CC110" s="18">
        <f>IF(CP109&lt;&gt;1,"",IF(CM109&gt;0,IF(CM109&gt;CONTROL_PANEL!$B$11,CONTROL_PANEL!$B$11,CM109),0))</f>
        <v>18405416.295975752</v>
      </c>
      <c r="CD110" s="18">
        <f t="shared" si="84"/>
        <v>2688512.4306305577</v>
      </c>
      <c r="CE110" s="18">
        <f>IF(CP110&lt;&gt;1,"",DATA_INPUT!$I110)</f>
        <v>6.2303713255970911E-3</v>
      </c>
      <c r="CF110" s="18">
        <f>IF(CP110&lt;&gt;1,"",CE110*CONTROL_PANEL!$B$5)</f>
        <v>591.26223879916392</v>
      </c>
      <c r="CG110" s="18">
        <f>IF(CP110&lt;&gt;1,"",DATA_INPUT!$C110)</f>
        <v>5.8000000000000007</v>
      </c>
      <c r="CH110" s="18">
        <f t="shared" si="67"/>
        <v>15593.372097657237</v>
      </c>
      <c r="CI110" s="18">
        <f>IF(CP110&lt;&gt;1,"",DATA_INPUT!$H110)</f>
        <v>147.11279240771907</v>
      </c>
      <c r="CJ110" s="18">
        <f t="shared" si="68"/>
        <v>395514.57109292544</v>
      </c>
      <c r="CK110" s="18">
        <f>IF(CP110&lt;&gt;1,"",CF110*CONTROL_PANEL!$B$14)</f>
        <v>41.388356715941477</v>
      </c>
      <c r="CL110" s="18">
        <f>IF(CP110&lt;&gt;1,"",DATA_INPUT!$O110)</f>
        <v>1974901.2776168364</v>
      </c>
      <c r="CM110" s="18">
        <f t="shared" si="69"/>
        <v>16051143.693245731</v>
      </c>
      <c r="CN110" s="18">
        <f>IF(CP110&lt;&gt;1,"",IF(CM110-CONTROL_PANEL!$B$11&lt;0,0,CM110-CONTROL_PANEL!$B$11))</f>
        <v>0</v>
      </c>
      <c r="CO110" s="18">
        <f>IF(CP110&lt;&gt;1,"",IF(CL110&lt;=0,0,MIN(CL110,MAX(0,CONTROL_PANEL!$B$13-CM110))))</f>
        <v>0</v>
      </c>
      <c r="CP110" s="18">
        <v>1</v>
      </c>
    </row>
    <row r="111" spans="1:94" x14ac:dyDescent="0.25">
      <c r="A111" s="19">
        <f t="shared" si="75"/>
        <v>2024</v>
      </c>
      <c r="B111" s="19">
        <v>8</v>
      </c>
      <c r="C111" s="18">
        <f t="shared" si="45"/>
        <v>31</v>
      </c>
      <c r="D111" s="18">
        <f t="shared" si="85"/>
        <v>256.29861386356902</v>
      </c>
      <c r="E111" s="18">
        <f>IF(R110&lt;&gt;1,"",IF(O110&gt;0,IF(O110&gt;CONTROL_PANEL!$B$11,CONTROL_PANEL!$B$11,O110),0))</f>
        <v>20542393.424556665</v>
      </c>
      <c r="F111" s="18">
        <f t="shared" si="80"/>
        <v>2893483.1472334792</v>
      </c>
      <c r="G111" s="18">
        <f>IF(R111&lt;&gt;1,"",DATA_INPUT!I111)</f>
        <v>8.5344437796332218E-4</v>
      </c>
      <c r="H111" s="18">
        <f>IF(R111&lt;&gt;1,"",G111*CONTROL_PANEL!$B$5)</f>
        <v>80.991871468719268</v>
      </c>
      <c r="I111" s="18">
        <f>IF(R111&lt;&gt;1,"",DATA_INPUT!C111)</f>
        <v>0.9</v>
      </c>
      <c r="J111" s="18">
        <f t="shared" si="47"/>
        <v>2604.1348325101312</v>
      </c>
      <c r="K111" s="18">
        <f>IF(R111&lt;&gt;1,"",DATA_INPUT!H111)</f>
        <v>135.26787548329864</v>
      </c>
      <c r="L111" s="18">
        <f t="shared" si="48"/>
        <v>391395.31807300134</v>
      </c>
      <c r="M111" s="18">
        <f>IF(R111&lt;&gt;1,"",H111*CONTROL_PANEL!$B$14)</f>
        <v>5.6694310028103496</v>
      </c>
      <c r="N111" s="18">
        <f>IF(R111&lt;&gt;1,"",DATA_INPUT!K111)</f>
        <v>2083911.7740986603</v>
      </c>
      <c r="O111" s="18">
        <f t="shared" si="49"/>
        <v>18069765.78965798</v>
      </c>
      <c r="P111" s="18">
        <f>IF(R111&lt;&gt;1,"",IF(O111-CONTROL_PANEL!$B$11&lt;0,0,O111-CONTROL_PANEL!$B$11))</f>
        <v>0</v>
      </c>
      <c r="Q111" s="18">
        <f>IF(R111&lt;&gt;1,"",IF(N111&lt;=0,0,MIN(N111,MAX(0,CONTROL_PANEL!$B$13-O111))))</f>
        <v>0</v>
      </c>
      <c r="R111" s="18">
        <v>1</v>
      </c>
      <c r="T111" s="19">
        <f t="shared" si="76"/>
        <v>2024</v>
      </c>
      <c r="U111" s="19">
        <v>8</v>
      </c>
      <c r="V111" s="18">
        <f t="shared" si="50"/>
        <v>31</v>
      </c>
      <c r="W111" s="18">
        <f t="shared" si="86"/>
        <v>251.06231888644385</v>
      </c>
      <c r="X111" s="18">
        <f>IF(AK110&lt;&gt;1,"",IF(AH110&gt;0,IF(AH110&gt;CONTROL_PANEL!$B$11,CONTROL_PANEL!$B$11,AH110),0))</f>
        <v>8761347.2119122371</v>
      </c>
      <c r="Y111" s="18">
        <f t="shared" si="81"/>
        <v>1636379.0198387639</v>
      </c>
      <c r="Z111" s="18">
        <f>IF(AK111&lt;&gt;1,"",DATA_INPUT!I111)</f>
        <v>8.5344437796332218E-4</v>
      </c>
      <c r="AA111" s="18">
        <f>IF(AK111&lt;&gt;1,"",Z111*CONTROL_PANEL!$B$5)</f>
        <v>80.991871468719268</v>
      </c>
      <c r="AB111" s="18">
        <f>IF(AK111&lt;&gt;1,"",DATA_INPUT!$C111)</f>
        <v>0.9</v>
      </c>
      <c r="AC111" s="18">
        <f t="shared" si="52"/>
        <v>1472.7411178548875</v>
      </c>
      <c r="AD111" s="18">
        <f>IF(AK111&lt;&gt;1,"",DATA_INPUT!$H111)</f>
        <v>135.26787548329864</v>
      </c>
      <c r="AE111" s="18">
        <f t="shared" si="53"/>
        <v>221349.51349903218</v>
      </c>
      <c r="AF111" s="18">
        <f>IF(AK111&lt;&gt;1,"",AA111*CONTROL_PANEL!$B$14)</f>
        <v>5.6694310028103496</v>
      </c>
      <c r="AG111" s="18">
        <f>IF(AK111&lt;&gt;1,"",DATA_INPUT!$L111)</f>
        <v>2642621.7655101959</v>
      </c>
      <c r="AH111" s="18">
        <f t="shared" si="54"/>
        <v>5898923.99646133</v>
      </c>
      <c r="AI111" s="18">
        <f>IF(AK111&lt;&gt;1,"",IF(AH111-CONTROL_PANEL!$B$11&lt;0,0,AH111-CONTROL_PANEL!$B$11))</f>
        <v>0</v>
      </c>
      <c r="AJ111" s="18">
        <f>IF(AK111&lt;&gt;1,"",IF(AG111&lt;=0,0,MIN(AG111,MAX(0,CONTROL_PANEL!$B$13-AH111))))</f>
        <v>0</v>
      </c>
      <c r="AK111" s="18">
        <v>1</v>
      </c>
      <c r="AM111" s="19">
        <f t="shared" si="77"/>
        <v>2024</v>
      </c>
      <c r="AN111" s="19">
        <v>8</v>
      </c>
      <c r="AO111" s="18">
        <f t="shared" si="55"/>
        <v>31</v>
      </c>
      <c r="AP111" s="18">
        <f t="shared" si="87"/>
        <v>254.95652331040799</v>
      </c>
      <c r="AQ111" s="18">
        <f>IF(BD110&lt;&gt;1,"",IF(BA110&gt;0,IF(BA110&gt;CONTROL_PANEL!$B$11,CONTROL_PANEL!$B$11,BA110),0))</f>
        <v>16876653.913324282</v>
      </c>
      <c r="AR111" s="18">
        <f t="shared" si="82"/>
        <v>2537013.1336237178</v>
      </c>
      <c r="AS111" s="18">
        <f>IF(BD111&lt;&gt;1,"",DATA_INPUT!$I111)</f>
        <v>8.5344437796332218E-4</v>
      </c>
      <c r="AT111" s="18">
        <f>IF(BD111&lt;&gt;1,"",AS111*CONTROL_PANEL!$B$5)</f>
        <v>80.991871468719268</v>
      </c>
      <c r="AU111" s="18">
        <f>IF(BD111&lt;&gt;1,"",DATA_INPUT!$C111)</f>
        <v>0.9</v>
      </c>
      <c r="AV111" s="18">
        <f t="shared" si="57"/>
        <v>2283.3118202613464</v>
      </c>
      <c r="AW111" s="18">
        <f>IF(BD111&lt;&gt;1,"",DATA_INPUT!$H111)</f>
        <v>135.26787548329864</v>
      </c>
      <c r="AX111" s="18">
        <f t="shared" si="58"/>
        <v>343176.37665850634</v>
      </c>
      <c r="AY111" s="18">
        <f>IF(BD111&lt;&gt;1,"",AT111*CONTROL_PANEL!$B$14)</f>
        <v>5.6694310028103496</v>
      </c>
      <c r="AZ111" s="18">
        <f>IF(BD111&lt;&gt;1,"",DATA_INPUT!$M111)</f>
        <v>2322729.6823111353</v>
      </c>
      <c r="BA111" s="18">
        <f t="shared" si="59"/>
        <v>14213106.488615368</v>
      </c>
      <c r="BB111" s="18">
        <f>IF(BD111&lt;&gt;1,"",IF(BA111-CONTROL_PANEL!$B$11&lt;0,0,BA111-CONTROL_PANEL!$B$11))</f>
        <v>0</v>
      </c>
      <c r="BC111" s="18">
        <f>IF(BD111&lt;&gt;1,"",IF(AZ111&lt;=0,0,MIN(AZ111,MAX(0,CONTROL_PANEL!$B$13-BA111))))</f>
        <v>0</v>
      </c>
      <c r="BD111" s="18">
        <v>1</v>
      </c>
      <c r="BF111" s="19">
        <f t="shared" si="78"/>
        <v>2024</v>
      </c>
      <c r="BG111" s="19">
        <v>8</v>
      </c>
      <c r="BH111" s="18">
        <f t="shared" si="60"/>
        <v>31</v>
      </c>
      <c r="BI111" s="18">
        <f t="shared" si="88"/>
        <v>256.86280102951542</v>
      </c>
      <c r="BJ111" s="18">
        <f>IF(BW110&lt;&gt;1,"",IF(BT110&gt;0,IF(BT110&gt;CONTROL_PANEL!$B$11,CONTROL_PANEL!$B$11,BT110),0))</f>
        <v>22230105.241360124</v>
      </c>
      <c r="BK111" s="18">
        <f t="shared" si="83"/>
        <v>3050401.2561815176</v>
      </c>
      <c r="BL111" s="18">
        <f>IF(BW111&lt;&gt;1,"",DATA_INPUT!$I111)</f>
        <v>8.5344437796332218E-4</v>
      </c>
      <c r="BM111" s="18">
        <f>IF(BW111&lt;&gt;1,"",BL111*CONTROL_PANEL!$B$5)</f>
        <v>80.991871468719268</v>
      </c>
      <c r="BN111" s="18">
        <f>IF(BW111&lt;&gt;1,"",DATA_INPUT!$C111)</f>
        <v>0.9</v>
      </c>
      <c r="BO111" s="18">
        <f t="shared" si="62"/>
        <v>2745.3611305633658</v>
      </c>
      <c r="BP111" s="18">
        <f>IF(BW111&lt;&gt;1,"",DATA_INPUT!$H111)</f>
        <v>135.26787548329864</v>
      </c>
      <c r="BQ111" s="18">
        <f t="shared" si="63"/>
        <v>412621.29729525931</v>
      </c>
      <c r="BR111" s="18">
        <f>IF(BW111&lt;&gt;1,"",BM111*CONTROL_PANEL!$B$14)</f>
        <v>5.6694310028103496</v>
      </c>
      <c r="BS111" s="18">
        <f>IF(BW111&lt;&gt;1,"",DATA_INPUT!$N111)</f>
        <v>2128539.1516571431</v>
      </c>
      <c r="BT111" s="18">
        <f t="shared" si="64"/>
        <v>19691765.475978751</v>
      </c>
      <c r="BU111" s="18">
        <f>IF(BW111&lt;&gt;1,"",IF(BT111-CONTROL_PANEL!$B$11&lt;0,0,BT111-CONTROL_PANEL!$B$11))</f>
        <v>0</v>
      </c>
      <c r="BV111" s="18">
        <f>IF(BW111&lt;&gt;1,"",IF(BS111&lt;=0,0,MIN(BS111,MAX(0,CONTROL_PANEL!$B$13-BT111))))</f>
        <v>0</v>
      </c>
      <c r="BW111" s="18">
        <v>1</v>
      </c>
      <c r="BY111" s="19">
        <f t="shared" si="79"/>
        <v>2024</v>
      </c>
      <c r="BZ111" s="19">
        <v>8</v>
      </c>
      <c r="CA111" s="18">
        <f t="shared" si="65"/>
        <v>31</v>
      </c>
      <c r="CB111" s="18">
        <f t="shared" si="89"/>
        <v>254.62785510792634</v>
      </c>
      <c r="CC111" s="18">
        <f>IF(CP110&lt;&gt;1,"",IF(CM110&gt;0,IF(CM110&gt;CONTROL_PANEL!$B$11,CONTROL_PANEL!$B$11,CM110),0))</f>
        <v>16051143.693245731</v>
      </c>
      <c r="CD111" s="18">
        <f t="shared" si="84"/>
        <v>2453321.0997818797</v>
      </c>
      <c r="CE111" s="18">
        <f>IF(CP111&lt;&gt;1,"",DATA_INPUT!$I111)</f>
        <v>8.5344437796332218E-4</v>
      </c>
      <c r="CF111" s="18">
        <f>IF(CP111&lt;&gt;1,"",CE111*CONTROL_PANEL!$B$5)</f>
        <v>80.991871468719268</v>
      </c>
      <c r="CG111" s="18">
        <f>IF(CP111&lt;&gt;1,"",DATA_INPUT!$C111)</f>
        <v>0.9</v>
      </c>
      <c r="CH111" s="18">
        <f t="shared" si="67"/>
        <v>2207.9889898036918</v>
      </c>
      <c r="CI111" s="18">
        <f>IF(CP111&lt;&gt;1,"",DATA_INPUT!$H111)</f>
        <v>135.26787548329864</v>
      </c>
      <c r="CJ111" s="18">
        <f t="shared" si="68"/>
        <v>331855.53304584458</v>
      </c>
      <c r="CK111" s="18">
        <f>IF(CP111&lt;&gt;1,"",CF111*CONTROL_PANEL!$B$14)</f>
        <v>5.6694310028103496</v>
      </c>
      <c r="CL111" s="18">
        <f>IF(CP111&lt;&gt;1,"",DATA_INPUT!$O111)</f>
        <v>2435846.0379785411</v>
      </c>
      <c r="CM111" s="18">
        <f t="shared" si="69"/>
        <v>13285725.433651615</v>
      </c>
      <c r="CN111" s="18">
        <f>IF(CP111&lt;&gt;1,"",IF(CM111-CONTROL_PANEL!$B$11&lt;0,0,CM111-CONTROL_PANEL!$B$11))</f>
        <v>0</v>
      </c>
      <c r="CO111" s="18">
        <f>IF(CP111&lt;&gt;1,"",IF(CL111&lt;=0,0,MIN(CL111,MAX(0,CONTROL_PANEL!$B$13-CM111))))</f>
        <v>0</v>
      </c>
      <c r="CP111" s="18">
        <v>1</v>
      </c>
    </row>
    <row r="112" spans="1:94" x14ac:dyDescent="0.25">
      <c r="A112" s="19">
        <f t="shared" si="75"/>
        <v>2024</v>
      </c>
      <c r="B112" s="19">
        <v>9</v>
      </c>
      <c r="C112" s="18">
        <f t="shared" si="45"/>
        <v>30</v>
      </c>
      <c r="D112" s="18">
        <f t="shared" si="85"/>
        <v>255.41306045657862</v>
      </c>
      <c r="E112" s="18">
        <f>IF(R111&lt;&gt;1,"",IF(O111&gt;0,IF(O111&gt;CONTROL_PANEL!$B$11,CONTROL_PANEL!$B$11,O111),0))</f>
        <v>18069765.78965798</v>
      </c>
      <c r="F112" s="18">
        <f t="shared" si="80"/>
        <v>2655618.3226069664</v>
      </c>
      <c r="G112" s="18">
        <f>IF(R112&lt;&gt;1,"",DATA_INPUT!I112)</f>
        <v>7.6338050574010392</v>
      </c>
      <c r="H112" s="18">
        <f>IF(R112&lt;&gt;1,"",G112*CONTROL_PANEL!$B$5)</f>
        <v>724448.0999473586</v>
      </c>
      <c r="I112" s="18">
        <f>IF(R112&lt;&gt;1,"",DATA_INPUT!C112)</f>
        <v>6.7</v>
      </c>
      <c r="J112" s="18">
        <f t="shared" si="47"/>
        <v>17792.642761466675</v>
      </c>
      <c r="K112" s="18">
        <f>IF(R112&lt;&gt;1,"",DATA_INPUT!H112)</f>
        <v>86.786893539334216</v>
      </c>
      <c r="L112" s="18">
        <f t="shared" si="48"/>
        <v>230472.8646451961</v>
      </c>
      <c r="M112" s="18">
        <f>IF(R112&lt;&gt;1,"",H112*CONTROL_PANEL!$B$14)</f>
        <v>50711.366996315104</v>
      </c>
      <c r="N112" s="18">
        <f>IF(R112&lt;&gt;1,"",DATA_INPUT!K112)</f>
        <v>998783.37613451632</v>
      </c>
      <c r="O112" s="18">
        <f t="shared" si="49"/>
        <v>17532038.924590778</v>
      </c>
      <c r="P112" s="18">
        <f>IF(R112&lt;&gt;1,"",IF(O112-CONTROL_PANEL!$B$11&lt;0,0,O112-CONTROL_PANEL!$B$11))</f>
        <v>0</v>
      </c>
      <c r="Q112" s="18">
        <f>IF(R112&lt;&gt;1,"",IF(N112&lt;=0,0,MIN(N112,MAX(0,CONTROL_PANEL!$B$13-O112))))</f>
        <v>0</v>
      </c>
      <c r="R112" s="18">
        <v>1</v>
      </c>
      <c r="T112" s="19">
        <f t="shared" si="76"/>
        <v>2024</v>
      </c>
      <c r="U112" s="19">
        <v>9</v>
      </c>
      <c r="V112" s="18">
        <f t="shared" si="50"/>
        <v>30</v>
      </c>
      <c r="W112" s="18">
        <f t="shared" si="86"/>
        <v>249.09033954029536</v>
      </c>
      <c r="X112" s="18">
        <f>IF(AK111&lt;&gt;1,"",IF(AH111&gt;0,IF(AH111&gt;CONTROL_PANEL!$B$11,CONTROL_PANEL!$B$11,AH111),0))</f>
        <v>5898923.99646133</v>
      </c>
      <c r="Y112" s="18">
        <f t="shared" si="81"/>
        <v>1255950.7128110707</v>
      </c>
      <c r="Z112" s="18">
        <f>IF(AK112&lt;&gt;1,"",DATA_INPUT!I112)</f>
        <v>7.6338050574010392</v>
      </c>
      <c r="AA112" s="18">
        <f>IF(AK112&lt;&gt;1,"",Z112*CONTROL_PANEL!$B$5)</f>
        <v>724448.0999473586</v>
      </c>
      <c r="AB112" s="18">
        <f>IF(AK112&lt;&gt;1,"",DATA_INPUT!$C112)</f>
        <v>6.7</v>
      </c>
      <c r="AC112" s="18">
        <f t="shared" si="52"/>
        <v>8414.869775834175</v>
      </c>
      <c r="AD112" s="18">
        <f>IF(AK112&lt;&gt;1,"",DATA_INPUT!$H112)</f>
        <v>86.786893539334216</v>
      </c>
      <c r="AE112" s="18">
        <f t="shared" si="53"/>
        <v>109000.06080338532</v>
      </c>
      <c r="AF112" s="18">
        <f>IF(AK112&lt;&gt;1,"",AA112*CONTROL_PANEL!$B$14)</f>
        <v>50711.366996315104</v>
      </c>
      <c r="AG112" s="18">
        <f>IF(AK112&lt;&gt;1,"",DATA_INPUT!$L112)</f>
        <v>1265892.6639501308</v>
      </c>
      <c r="AH112" s="18">
        <f t="shared" si="54"/>
        <v>5206182.8744346919</v>
      </c>
      <c r="AI112" s="18">
        <f>IF(AK112&lt;&gt;1,"",IF(AH112-CONTROL_PANEL!$B$11&lt;0,0,AH112-CONTROL_PANEL!$B$11))</f>
        <v>0</v>
      </c>
      <c r="AJ112" s="18">
        <f>IF(AK112&lt;&gt;1,"",IF(AG112&lt;=0,0,MIN(AG112,MAX(0,CONTROL_PANEL!$B$13-AH112))))</f>
        <v>0</v>
      </c>
      <c r="AK112" s="18">
        <v>1</v>
      </c>
      <c r="AM112" s="19">
        <f t="shared" si="77"/>
        <v>2024</v>
      </c>
      <c r="AN112" s="19">
        <v>9</v>
      </c>
      <c r="AO112" s="18">
        <f t="shared" si="55"/>
        <v>30</v>
      </c>
      <c r="AP112" s="18">
        <f t="shared" si="87"/>
        <v>253.85314377757311</v>
      </c>
      <c r="AQ112" s="18">
        <f>IF(BD111&lt;&gt;1,"",IF(BA111&gt;0,IF(BA111&gt;CONTROL_PANEL!$B$11,CONTROL_PANEL!$B$11,BA111),0))</f>
        <v>14213106.488615368</v>
      </c>
      <c r="AR112" s="18">
        <f t="shared" si="82"/>
        <v>2261655.6670282255</v>
      </c>
      <c r="AS112" s="18">
        <f>IF(BD112&lt;&gt;1,"",DATA_INPUT!$I112)</f>
        <v>7.6338050574010392</v>
      </c>
      <c r="AT112" s="18">
        <f>IF(BD112&lt;&gt;1,"",AS112*CONTROL_PANEL!$B$5)</f>
        <v>724448.0999473586</v>
      </c>
      <c r="AU112" s="18">
        <f>IF(BD112&lt;&gt;1,"",DATA_INPUT!$C112)</f>
        <v>6.7</v>
      </c>
      <c r="AV112" s="18">
        <f t="shared" si="57"/>
        <v>15153.092969089112</v>
      </c>
      <c r="AW112" s="18">
        <f>IF(BD112&lt;&gt;1,"",DATA_INPUT!$H112)</f>
        <v>86.786893539334216</v>
      </c>
      <c r="AX112" s="18">
        <f t="shared" si="58"/>
        <v>196282.06959701053</v>
      </c>
      <c r="AY112" s="18">
        <f>IF(BD112&lt;&gt;1,"",AT112*CONTROL_PANEL!$B$14)</f>
        <v>50711.366996315104</v>
      </c>
      <c r="AZ112" s="18">
        <f>IF(BD112&lt;&gt;1,"",DATA_INPUT!$M112)</f>
        <v>1115909.0834556026</v>
      </c>
      <c r="BA112" s="18">
        <f t="shared" si="59"/>
        <v>13589805.161482889</v>
      </c>
      <c r="BB112" s="18">
        <f>IF(BD112&lt;&gt;1,"",IF(BA112-CONTROL_PANEL!$B$11&lt;0,0,BA112-CONTROL_PANEL!$B$11))</f>
        <v>0</v>
      </c>
      <c r="BC112" s="18">
        <f>IF(BD112&lt;&gt;1,"",IF(AZ112&lt;=0,0,MIN(AZ112,MAX(0,CONTROL_PANEL!$B$13-BA112))))</f>
        <v>0</v>
      </c>
      <c r="BD112" s="18">
        <v>1</v>
      </c>
      <c r="BF112" s="19">
        <f t="shared" si="78"/>
        <v>2024</v>
      </c>
      <c r="BG112" s="19">
        <v>9</v>
      </c>
      <c r="BH112" s="18">
        <f t="shared" si="60"/>
        <v>30</v>
      </c>
      <c r="BI112" s="18">
        <f t="shared" si="88"/>
        <v>256.00244009638254</v>
      </c>
      <c r="BJ112" s="18">
        <f>IF(BW111&lt;&gt;1,"",IF(BT111&gt;0,IF(BT111&gt;CONTROL_PANEL!$B$11,CONTROL_PANEL!$B$11,BT111),0))</f>
        <v>19691765.475978751</v>
      </c>
      <c r="BK112" s="18">
        <f t="shared" si="83"/>
        <v>2812782.5222609015</v>
      </c>
      <c r="BL112" s="18">
        <f>IF(BW112&lt;&gt;1,"",DATA_INPUT!$I112)</f>
        <v>7.6338050574010392</v>
      </c>
      <c r="BM112" s="18">
        <f>IF(BW112&lt;&gt;1,"",BL112*CONTROL_PANEL!$B$5)</f>
        <v>724448.0999473586</v>
      </c>
      <c r="BN112" s="18">
        <f>IF(BW112&lt;&gt;1,"",DATA_INPUT!$C112)</f>
        <v>6.7</v>
      </c>
      <c r="BO112" s="18">
        <f t="shared" si="62"/>
        <v>18845.642899148039</v>
      </c>
      <c r="BP112" s="18">
        <f>IF(BW112&lt;&gt;1,"",DATA_INPUT!$H112)</f>
        <v>86.786893539334216</v>
      </c>
      <c r="BQ112" s="18">
        <f t="shared" si="63"/>
        <v>244112.65730875684</v>
      </c>
      <c r="BR112" s="18">
        <f>IF(BW112&lt;&gt;1,"",BM112*CONTROL_PANEL!$B$14)</f>
        <v>50711.366996315104</v>
      </c>
      <c r="BS112" s="18">
        <f>IF(BW112&lt;&gt;1,"",DATA_INPUT!$N112)</f>
        <v>1025784.515034139</v>
      </c>
      <c r="BT112" s="18">
        <f t="shared" si="64"/>
        <v>19114450.679486047</v>
      </c>
      <c r="BU112" s="18">
        <f>IF(BW112&lt;&gt;1,"",IF(BT112-CONTROL_PANEL!$B$11&lt;0,0,BT112-CONTROL_PANEL!$B$11))</f>
        <v>0</v>
      </c>
      <c r="BV112" s="18">
        <f>IF(BW112&lt;&gt;1,"",IF(BS112&lt;=0,0,MIN(BS112,MAX(0,CONTROL_PANEL!$B$13-BT112))))</f>
        <v>0</v>
      </c>
      <c r="BW112" s="18">
        <v>1</v>
      </c>
      <c r="BY112" s="19">
        <f t="shared" si="79"/>
        <v>2024</v>
      </c>
      <c r="BZ112" s="19">
        <v>9</v>
      </c>
      <c r="CA112" s="18">
        <f t="shared" si="65"/>
        <v>30</v>
      </c>
      <c r="CB112" s="18">
        <f t="shared" si="89"/>
        <v>253.43658820043916</v>
      </c>
      <c r="CC112" s="18">
        <f>IF(CP111&lt;&gt;1,"",IF(CM111&gt;0,IF(CM111&gt;CONTROL_PANEL!$B$11,CONTROL_PANEL!$B$11,CM111),0))</f>
        <v>13285725.433651615</v>
      </c>
      <c r="CD112" s="18">
        <f t="shared" si="84"/>
        <v>2161852.0665339543</v>
      </c>
      <c r="CE112" s="18">
        <f>IF(CP112&lt;&gt;1,"",DATA_INPUT!$I112)</f>
        <v>7.6338050574010392</v>
      </c>
      <c r="CF112" s="18">
        <f>IF(CP112&lt;&gt;1,"",CE112*CONTROL_PANEL!$B$5)</f>
        <v>724448.0999473586</v>
      </c>
      <c r="CG112" s="18">
        <f>IF(CP112&lt;&gt;1,"",DATA_INPUT!$C112)</f>
        <v>6.7</v>
      </c>
      <c r="CH112" s="18">
        <f t="shared" si="67"/>
        <v>14484.408845777494</v>
      </c>
      <c r="CI112" s="18">
        <f>IF(CP112&lt;&gt;1,"",DATA_INPUT!$H112)</f>
        <v>86.786893539334216</v>
      </c>
      <c r="CJ112" s="18">
        <f t="shared" si="68"/>
        <v>187620.42514607197</v>
      </c>
      <c r="CK112" s="18">
        <f>IF(CP112&lt;&gt;1,"",CF112*CONTROL_PANEL!$B$14)</f>
        <v>50711.366996315104</v>
      </c>
      <c r="CL112" s="18">
        <f>IF(CP112&lt;&gt;1,"",DATA_INPUT!$O112)</f>
        <v>1173175.7787036244</v>
      </c>
      <c r="CM112" s="18">
        <f t="shared" si="69"/>
        <v>12613150.371598739</v>
      </c>
      <c r="CN112" s="18">
        <f>IF(CP112&lt;&gt;1,"",IF(CM112-CONTROL_PANEL!$B$11&lt;0,0,CM112-CONTROL_PANEL!$B$11))</f>
        <v>0</v>
      </c>
      <c r="CO112" s="18">
        <f>IF(CP112&lt;&gt;1,"",IF(CL112&lt;=0,0,MIN(CL112,MAX(0,CONTROL_PANEL!$B$13-CM112))))</f>
        <v>0</v>
      </c>
      <c r="CP112" s="18">
        <v>1</v>
      </c>
    </row>
    <row r="113" spans="1:94" x14ac:dyDescent="0.25">
      <c r="A113" s="19">
        <f t="shared" si="75"/>
        <v>2024</v>
      </c>
      <c r="B113" s="19">
        <v>10</v>
      </c>
      <c r="C113" s="18">
        <f t="shared" si="45"/>
        <v>31</v>
      </c>
      <c r="D113" s="18">
        <f t="shared" si="85"/>
        <v>255.20987925099061</v>
      </c>
      <c r="E113" s="18">
        <f>IF(R112&lt;&gt;1,"",IF(O112&gt;0,IF(O112&gt;CONTROL_PANEL!$B$11,CONTROL_PANEL!$B$11,O112),0))</f>
        <v>17532038.924590778</v>
      </c>
      <c r="F113" s="18">
        <f t="shared" si="80"/>
        <v>2602495.3499509045</v>
      </c>
      <c r="G113" s="18">
        <f>IF(R113&lt;&gt;1,"",DATA_INPUT!I113)</f>
        <v>3.8011111707730474</v>
      </c>
      <c r="H113" s="18">
        <f>IF(R113&lt;&gt;1,"",G113*CONTROL_PANEL!$B$5)</f>
        <v>360725.45010636217</v>
      </c>
      <c r="I113" s="18">
        <f>IF(R113&lt;&gt;1,"",DATA_INPUT!C113)</f>
        <v>140</v>
      </c>
      <c r="J113" s="18">
        <f t="shared" si="47"/>
        <v>364349.34899312665</v>
      </c>
      <c r="K113" s="18">
        <f>IF(R113&lt;&gt;1,"",DATA_INPUT!H113)</f>
        <v>41.401235389847763</v>
      </c>
      <c r="L113" s="18">
        <f t="shared" si="48"/>
        <v>107746.52258430162</v>
      </c>
      <c r="M113" s="18">
        <f>IF(R113&lt;&gt;1,"",H113*CONTROL_PANEL!$B$14)</f>
        <v>25250.781507445354</v>
      </c>
      <c r="N113" s="18">
        <f>IF(R113&lt;&gt;1,"",DATA_INPUT!K113)</f>
        <v>127029.48514939565</v>
      </c>
      <c r="O113" s="18">
        <f t="shared" si="49"/>
        <v>17997086.934449125</v>
      </c>
      <c r="P113" s="18">
        <f>IF(R113&lt;&gt;1,"",IF(O113-CONTROL_PANEL!$B$11&lt;0,0,O113-CONTROL_PANEL!$B$11))</f>
        <v>0</v>
      </c>
      <c r="Q113" s="18">
        <f>IF(R113&lt;&gt;1,"",IF(N113&lt;=0,0,MIN(N113,MAX(0,CONTROL_PANEL!$B$13-O113))))</f>
        <v>0</v>
      </c>
      <c r="R113" s="18">
        <v>1</v>
      </c>
      <c r="T113" s="19">
        <f t="shared" si="76"/>
        <v>2024</v>
      </c>
      <c r="U113" s="19">
        <v>10</v>
      </c>
      <c r="V113" s="18">
        <f t="shared" si="50"/>
        <v>31</v>
      </c>
      <c r="W113" s="18">
        <f t="shared" si="86"/>
        <v>248.51937961075518</v>
      </c>
      <c r="X113" s="18">
        <f>IF(AK112&lt;&gt;1,"",IF(AH112&gt;0,IF(AH112&gt;CONTROL_PANEL!$B$11,CONTROL_PANEL!$B$11,AH112),0))</f>
        <v>5206182.8744346919</v>
      </c>
      <c r="Y113" s="18">
        <f t="shared" si="81"/>
        <v>1155271.1051089163</v>
      </c>
      <c r="Z113" s="18">
        <f>IF(AK113&lt;&gt;1,"",DATA_INPUT!I113)</f>
        <v>3.8011111707730474</v>
      </c>
      <c r="AA113" s="18">
        <f>IF(AK113&lt;&gt;1,"",Z113*CONTROL_PANEL!$B$5)</f>
        <v>360725.45010636217</v>
      </c>
      <c r="AB113" s="18">
        <f>IF(AK113&lt;&gt;1,"",DATA_INPUT!$C113)</f>
        <v>140</v>
      </c>
      <c r="AC113" s="18">
        <f t="shared" si="52"/>
        <v>161737.95471524828</v>
      </c>
      <c r="AD113" s="18">
        <f>IF(AK113&lt;&gt;1,"",DATA_INPUT!$H113)</f>
        <v>41.401235389847763</v>
      </c>
      <c r="AE113" s="18">
        <f t="shared" si="53"/>
        <v>47829.650961703803</v>
      </c>
      <c r="AF113" s="18">
        <f>IF(AK113&lt;&gt;1,"",AA113*CONTROL_PANEL!$B$14)</f>
        <v>25250.781507445354</v>
      </c>
      <c r="AG113" s="18">
        <f>IF(AK113&lt;&gt;1,"",DATA_INPUT!$L113)</f>
        <v>161873.89302809499</v>
      </c>
      <c r="AH113" s="18">
        <f t="shared" si="54"/>
        <v>5493691.9537590574</v>
      </c>
      <c r="AI113" s="18">
        <f>IF(AK113&lt;&gt;1,"",IF(AH113-CONTROL_PANEL!$B$11&lt;0,0,AH113-CONTROL_PANEL!$B$11))</f>
        <v>0</v>
      </c>
      <c r="AJ113" s="18">
        <f>IF(AK113&lt;&gt;1,"",IF(AG113&lt;=0,0,MIN(AG113,MAX(0,CONTROL_PANEL!$B$13-AH113))))</f>
        <v>0</v>
      </c>
      <c r="AK113" s="18">
        <v>1</v>
      </c>
      <c r="AM113" s="19">
        <f t="shared" si="77"/>
        <v>2024</v>
      </c>
      <c r="AN113" s="19">
        <v>10</v>
      </c>
      <c r="AO113" s="18">
        <f t="shared" si="55"/>
        <v>31</v>
      </c>
      <c r="AP113" s="18">
        <f t="shared" si="87"/>
        <v>253.57525762815214</v>
      </c>
      <c r="AQ113" s="18">
        <f>IF(BD112&lt;&gt;1,"",IF(BA112&gt;0,IF(BA112&gt;CONTROL_PANEL!$B$11,CONTROL_PANEL!$B$11,BA112),0))</f>
        <v>13589805.161482889</v>
      </c>
      <c r="AR113" s="18">
        <f t="shared" si="82"/>
        <v>2194823.6896945992</v>
      </c>
      <c r="AS113" s="18">
        <f>IF(BD113&lt;&gt;1,"",DATA_INPUT!$I113)</f>
        <v>3.8011111707730474</v>
      </c>
      <c r="AT113" s="18">
        <f>IF(BD113&lt;&gt;1,"",AS113*CONTROL_PANEL!$B$5)</f>
        <v>360725.45010636217</v>
      </c>
      <c r="AU113" s="18">
        <f>IF(BD113&lt;&gt;1,"",DATA_INPUT!$C113)</f>
        <v>140</v>
      </c>
      <c r="AV113" s="18">
        <f t="shared" si="57"/>
        <v>307275.31655724387</v>
      </c>
      <c r="AW113" s="18">
        <f>IF(BD113&lt;&gt;1,"",DATA_INPUT!$H113)</f>
        <v>41.401235389847763</v>
      </c>
      <c r="AX113" s="18">
        <f t="shared" si="58"/>
        <v>90868.412216260287</v>
      </c>
      <c r="AY113" s="18">
        <f>IF(BD113&lt;&gt;1,"",AT113*CONTROL_PANEL!$B$14)</f>
        <v>25250.781507445354</v>
      </c>
      <c r="AZ113" s="18">
        <f>IF(BD113&lt;&gt;1,"",DATA_INPUT!$M113)</f>
        <v>144517.01740132243</v>
      </c>
      <c r="BA113" s="18">
        <f t="shared" si="59"/>
        <v>13997169.717021467</v>
      </c>
      <c r="BB113" s="18">
        <f>IF(BD113&lt;&gt;1,"",IF(BA113-CONTROL_PANEL!$B$11&lt;0,0,BA113-CONTROL_PANEL!$B$11))</f>
        <v>0</v>
      </c>
      <c r="BC113" s="18">
        <f>IF(BD113&lt;&gt;1,"",IF(AZ113&lt;=0,0,MIN(AZ113,MAX(0,CONTROL_PANEL!$B$13-BA113))))</f>
        <v>0</v>
      </c>
      <c r="BD113" s="18">
        <v>1</v>
      </c>
      <c r="BF113" s="19">
        <f t="shared" si="78"/>
        <v>2024</v>
      </c>
      <c r="BG113" s="19">
        <v>10</v>
      </c>
      <c r="BH113" s="18">
        <f t="shared" si="60"/>
        <v>31</v>
      </c>
      <c r="BI113" s="18">
        <f t="shared" si="88"/>
        <v>255.79652013178512</v>
      </c>
      <c r="BJ113" s="18">
        <f>IF(BW112&lt;&gt;1,"",IF(BT112&gt;0,IF(BT112&gt;CONTROL_PANEL!$B$11,CONTROL_PANEL!$B$11,BT112),0))</f>
        <v>19114450.679486047</v>
      </c>
      <c r="BK113" s="18">
        <f t="shared" si="83"/>
        <v>2757353.2338622091</v>
      </c>
      <c r="BL113" s="18">
        <f>IF(BW113&lt;&gt;1,"",DATA_INPUT!$I113)</f>
        <v>3.8011111707730474</v>
      </c>
      <c r="BM113" s="18">
        <f>IF(BW113&lt;&gt;1,"",BL113*CONTROL_PANEL!$B$5)</f>
        <v>360725.45010636217</v>
      </c>
      <c r="BN113" s="18">
        <f>IF(BW113&lt;&gt;1,"",DATA_INPUT!$C113)</f>
        <v>140</v>
      </c>
      <c r="BO113" s="18">
        <f t="shared" si="62"/>
        <v>386029.4527407093</v>
      </c>
      <c r="BP113" s="18">
        <f>IF(BW113&lt;&gt;1,"",DATA_INPUT!$H113)</f>
        <v>41.401235389847763</v>
      </c>
      <c r="BQ113" s="18">
        <f t="shared" si="63"/>
        <v>114157.83028808727</v>
      </c>
      <c r="BR113" s="18">
        <f>IF(BW113&lt;&gt;1,"",BM113*CONTROL_PANEL!$B$14)</f>
        <v>25250.781507445354</v>
      </c>
      <c r="BS113" s="18">
        <f>IF(BW113&lt;&gt;1,"",DATA_INPUT!$N113)</f>
        <v>134490.35324229684</v>
      </c>
      <c r="BT113" s="18">
        <f t="shared" si="64"/>
        <v>19587306.617295291</v>
      </c>
      <c r="BU113" s="18">
        <f>IF(BW113&lt;&gt;1,"",IF(BT113-CONTROL_PANEL!$B$11&lt;0,0,BT113-CONTROL_PANEL!$B$11))</f>
        <v>0</v>
      </c>
      <c r="BV113" s="18">
        <f>IF(BW113&lt;&gt;1,"",IF(BS113&lt;=0,0,MIN(BS113,MAX(0,CONTROL_PANEL!$B$13-BT113))))</f>
        <v>0</v>
      </c>
      <c r="BW113" s="18">
        <v>1</v>
      </c>
      <c r="BY113" s="19">
        <f t="shared" si="79"/>
        <v>2024</v>
      </c>
      <c r="BZ113" s="19">
        <v>10</v>
      </c>
      <c r="CA113" s="18">
        <f t="shared" si="65"/>
        <v>31</v>
      </c>
      <c r="CB113" s="18">
        <f t="shared" si="89"/>
        <v>253.12215305122155</v>
      </c>
      <c r="CC113" s="18">
        <f>IF(CP112&lt;&gt;1,"",IF(CM112&gt;0,IF(CM112&gt;CONTROL_PANEL!$B$11,CONTROL_PANEL!$B$11,CM112),0))</f>
        <v>12613150.371598739</v>
      </c>
      <c r="CD113" s="18">
        <f t="shared" si="84"/>
        <v>2088021.8265370857</v>
      </c>
      <c r="CE113" s="18">
        <f>IF(CP113&lt;&gt;1,"",DATA_INPUT!$I113)</f>
        <v>3.8011111707730474</v>
      </c>
      <c r="CF113" s="18">
        <f>IF(CP113&lt;&gt;1,"",CE113*CONTROL_PANEL!$B$5)</f>
        <v>360725.45010636217</v>
      </c>
      <c r="CG113" s="18">
        <f>IF(CP113&lt;&gt;1,"",DATA_INPUT!$C113)</f>
        <v>140</v>
      </c>
      <c r="CH113" s="18">
        <f t="shared" si="67"/>
        <v>292323.05571519199</v>
      </c>
      <c r="CI113" s="18">
        <f>IF(CP113&lt;&gt;1,"",DATA_INPUT!$H113)</f>
        <v>41.401235389847763</v>
      </c>
      <c r="CJ113" s="18">
        <f t="shared" si="68"/>
        <v>86446.683139601751</v>
      </c>
      <c r="CK113" s="18">
        <f>IF(CP113&lt;&gt;1,"",CF113*CONTROL_PANEL!$B$14)</f>
        <v>25250.781507445354</v>
      </c>
      <c r="CL113" s="18">
        <f>IF(CP113&lt;&gt;1,"",DATA_INPUT!$O113)</f>
        <v>154674.33818550219</v>
      </c>
      <c r="CM113" s="18">
        <f t="shared" si="69"/>
        <v>12999827.074587744</v>
      </c>
      <c r="CN113" s="18">
        <f>IF(CP113&lt;&gt;1,"",IF(CM113-CONTROL_PANEL!$B$11&lt;0,0,CM113-CONTROL_PANEL!$B$11))</f>
        <v>0</v>
      </c>
      <c r="CO113" s="18">
        <f>IF(CP113&lt;&gt;1,"",IF(CL113&lt;=0,0,MIN(CL113,MAX(0,CONTROL_PANEL!$B$13-CM113))))</f>
        <v>0</v>
      </c>
      <c r="CP113" s="18">
        <v>1</v>
      </c>
    </row>
    <row r="114" spans="1:94" x14ac:dyDescent="0.25">
      <c r="A114" s="19">
        <f t="shared" si="75"/>
        <v>2024</v>
      </c>
      <c r="B114" s="19">
        <v>11</v>
      </c>
      <c r="C114" s="18">
        <f t="shared" si="45"/>
        <v>30</v>
      </c>
      <c r="D114" s="18">
        <f t="shared" si="85"/>
        <v>255.38583708946038</v>
      </c>
      <c r="E114" s="18">
        <f>IF(R113&lt;&gt;1,"",IF(O113&gt;0,IF(O113&gt;CONTROL_PANEL!$B$11,CONTROL_PANEL!$B$11,O113),0))</f>
        <v>17997086.934449125</v>
      </c>
      <c r="F114" s="18">
        <f t="shared" si="80"/>
        <v>2648469.1585837025</v>
      </c>
      <c r="G114" s="18">
        <f>IF(R114&lt;&gt;1,"",DATA_INPUT!I114)</f>
        <v>0.77682395058289888</v>
      </c>
      <c r="H114" s="18">
        <f>IF(R114&lt;&gt;1,"",G114*CONTROL_PANEL!$B$5)</f>
        <v>73720.592910317107</v>
      </c>
      <c r="I114" s="18">
        <f>IF(R114&lt;&gt;1,"",DATA_INPUT!C114)</f>
        <v>66.399999999999991</v>
      </c>
      <c r="J114" s="18">
        <f t="shared" si="47"/>
        <v>175858.35212995781</v>
      </c>
      <c r="K114" s="18">
        <f>IF(R114&lt;&gt;1,"",DATA_INPUT!H114)</f>
        <v>27.178554758384657</v>
      </c>
      <c r="L114" s="18">
        <f t="shared" si="48"/>
        <v>71981.564052460089</v>
      </c>
      <c r="M114" s="18">
        <f>IF(R114&lt;&gt;1,"",H114*CONTROL_PANEL!$B$14)</f>
        <v>5160.4415037221979</v>
      </c>
      <c r="N114" s="18">
        <f>IF(R114&lt;&gt;1,"",DATA_INPUT!K114)</f>
        <v>0</v>
      </c>
      <c r="O114" s="18">
        <f t="shared" si="49"/>
        <v>18169523.873933218</v>
      </c>
      <c r="P114" s="18">
        <f>IF(R114&lt;&gt;1,"",IF(O114-CONTROL_PANEL!$B$11&lt;0,0,O114-CONTROL_PANEL!$B$11))</f>
        <v>0</v>
      </c>
      <c r="Q114" s="18">
        <f>IF(R114&lt;&gt;1,"",IF(N114&lt;=0,0,MIN(N114,MAX(0,CONTROL_PANEL!$B$13-O114))))</f>
        <v>0</v>
      </c>
      <c r="R114" s="18">
        <v>1</v>
      </c>
      <c r="T114" s="19">
        <f t="shared" si="76"/>
        <v>2024</v>
      </c>
      <c r="U114" s="19">
        <v>11</v>
      </c>
      <c r="V114" s="18">
        <f t="shared" si="50"/>
        <v>30</v>
      </c>
      <c r="W114" s="18">
        <f t="shared" si="86"/>
        <v>248.76216805779714</v>
      </c>
      <c r="X114" s="18">
        <f>IF(AK113&lt;&gt;1,"",IF(AH113&gt;0,IF(AH113&gt;CONTROL_PANEL!$B$11,CONTROL_PANEL!$B$11,AH113),0))</f>
        <v>5493691.9537590574</v>
      </c>
      <c r="Y114" s="18">
        <f t="shared" si="81"/>
        <v>1197563.9152247938</v>
      </c>
      <c r="Z114" s="18">
        <f>IF(AK114&lt;&gt;1,"",DATA_INPUT!I114)</f>
        <v>0.77682395058289888</v>
      </c>
      <c r="AA114" s="18">
        <f>IF(AK114&lt;&gt;1,"",Z114*CONTROL_PANEL!$B$5)</f>
        <v>73720.592910317107</v>
      </c>
      <c r="AB114" s="18">
        <f>IF(AK114&lt;&gt;1,"",DATA_INPUT!$C114)</f>
        <v>66.399999999999991</v>
      </c>
      <c r="AC114" s="18">
        <f t="shared" si="52"/>
        <v>79518.243970926298</v>
      </c>
      <c r="AD114" s="18">
        <f>IF(AK114&lt;&gt;1,"",DATA_INPUT!$H114)</f>
        <v>27.178554758384657</v>
      </c>
      <c r="AE114" s="18">
        <f t="shared" si="53"/>
        <v>32548.056446602579</v>
      </c>
      <c r="AF114" s="18">
        <f>IF(AK114&lt;&gt;1,"",AA114*CONTROL_PANEL!$B$14)</f>
        <v>5160.4415037221979</v>
      </c>
      <c r="AG114" s="18">
        <f>IF(AK114&lt;&gt;1,"",DATA_INPUT!$L114)</f>
        <v>0</v>
      </c>
      <c r="AH114" s="18">
        <f t="shared" si="54"/>
        <v>5609222.2926899754</v>
      </c>
      <c r="AI114" s="18">
        <f>IF(AK114&lt;&gt;1,"",IF(AH114-CONTROL_PANEL!$B$11&lt;0,0,AH114-CONTROL_PANEL!$B$11))</f>
        <v>0</v>
      </c>
      <c r="AJ114" s="18">
        <f>IF(AK114&lt;&gt;1,"",IF(AG114&lt;=0,0,MIN(AG114,MAX(0,CONTROL_PANEL!$B$13-AH114))))</f>
        <v>0</v>
      </c>
      <c r="AK114" s="18">
        <v>1</v>
      </c>
      <c r="AM114" s="19">
        <f t="shared" si="77"/>
        <v>2024</v>
      </c>
      <c r="AN114" s="19">
        <v>11</v>
      </c>
      <c r="AO114" s="18">
        <f t="shared" si="55"/>
        <v>30</v>
      </c>
      <c r="AP114" s="18">
        <f t="shared" si="87"/>
        <v>253.75781275452803</v>
      </c>
      <c r="AQ114" s="18">
        <f>IF(BD113&lt;&gt;1,"",IF(BA113&gt;0,IF(BA113&gt;CONTROL_PANEL!$B$11,CONTROL_PANEL!$B$11,BA113),0))</f>
        <v>13997169.717021467</v>
      </c>
      <c r="AR114" s="18">
        <f t="shared" si="82"/>
        <v>2238614.3683478185</v>
      </c>
      <c r="AS114" s="18">
        <f>IF(BD114&lt;&gt;1,"",DATA_INPUT!$I114)</f>
        <v>0.77682395058289888</v>
      </c>
      <c r="AT114" s="18">
        <f>IF(BD114&lt;&gt;1,"",AS114*CONTROL_PANEL!$B$5)</f>
        <v>73720.592910317107</v>
      </c>
      <c r="AU114" s="18">
        <f>IF(BD114&lt;&gt;1,"",DATA_INPUT!$C114)</f>
        <v>66.399999999999991</v>
      </c>
      <c r="AV114" s="18">
        <f t="shared" si="57"/>
        <v>148643.99405829512</v>
      </c>
      <c r="AW114" s="18">
        <f>IF(BD114&lt;&gt;1,"",DATA_INPUT!$H114)</f>
        <v>27.178554758384657</v>
      </c>
      <c r="AX114" s="18">
        <f t="shared" si="58"/>
        <v>60842.303193047868</v>
      </c>
      <c r="AY114" s="18">
        <f>IF(BD114&lt;&gt;1,"",AT114*CONTROL_PANEL!$B$14)</f>
        <v>5160.4415037221979</v>
      </c>
      <c r="AZ114" s="18">
        <f>IF(BD114&lt;&gt;1,"",DATA_INPUT!$M114)</f>
        <v>0</v>
      </c>
      <c r="BA114" s="18">
        <f t="shared" si="59"/>
        <v>14153531.559293309</v>
      </c>
      <c r="BB114" s="18">
        <f>IF(BD114&lt;&gt;1,"",IF(BA114-CONTROL_PANEL!$B$11&lt;0,0,BA114-CONTROL_PANEL!$B$11))</f>
        <v>0</v>
      </c>
      <c r="BC114" s="18">
        <f>IF(BD114&lt;&gt;1,"",IF(AZ114&lt;=0,0,MIN(AZ114,MAX(0,CONTROL_PANEL!$B$13-BA114))))</f>
        <v>0</v>
      </c>
      <c r="BD114" s="18">
        <v>1</v>
      </c>
      <c r="BF114" s="19">
        <f t="shared" si="78"/>
        <v>2024</v>
      </c>
      <c r="BG114" s="19">
        <v>11</v>
      </c>
      <c r="BH114" s="18">
        <f t="shared" si="60"/>
        <v>30</v>
      </c>
      <c r="BI114" s="18">
        <f t="shared" si="88"/>
        <v>255.9654831989329</v>
      </c>
      <c r="BJ114" s="18">
        <f>IF(BW113&lt;&gt;1,"",IF(BT113&gt;0,IF(BT113&gt;CONTROL_PANEL!$B$11,CONTROL_PANEL!$B$11,BT113),0))</f>
        <v>19587306.617295291</v>
      </c>
      <c r="BK114" s="18">
        <f t="shared" si="83"/>
        <v>2802793.491297957</v>
      </c>
      <c r="BL114" s="18">
        <f>IF(BW114&lt;&gt;1,"",DATA_INPUT!$I114)</f>
        <v>0.77682395058289888</v>
      </c>
      <c r="BM114" s="18">
        <f>IF(BW114&lt;&gt;1,"",BL114*CONTROL_PANEL!$B$5)</f>
        <v>73720.592910317107</v>
      </c>
      <c r="BN114" s="18">
        <f>IF(BW114&lt;&gt;1,"",DATA_INPUT!$C114)</f>
        <v>66.399999999999991</v>
      </c>
      <c r="BO114" s="18">
        <f t="shared" si="62"/>
        <v>186105.48782218431</v>
      </c>
      <c r="BP114" s="18">
        <f>IF(BW114&lt;&gt;1,"",DATA_INPUT!$H114)</f>
        <v>27.178554758384657</v>
      </c>
      <c r="BQ114" s="18">
        <f t="shared" si="63"/>
        <v>76175.876379685636</v>
      </c>
      <c r="BR114" s="18">
        <f>IF(BW114&lt;&gt;1,"",BM114*CONTROL_PANEL!$B$14)</f>
        <v>5160.4415037221979</v>
      </c>
      <c r="BS114" s="18">
        <f>IF(BW114&lt;&gt;1,"",DATA_INPUT!$N114)</f>
        <v>0</v>
      </c>
      <c r="BT114" s="18">
        <f t="shared" si="64"/>
        <v>19765796.38014438</v>
      </c>
      <c r="BU114" s="18">
        <f>IF(BW114&lt;&gt;1,"",IF(BT114-CONTROL_PANEL!$B$11&lt;0,0,BT114-CONTROL_PANEL!$B$11))</f>
        <v>0</v>
      </c>
      <c r="BV114" s="18">
        <f>IF(BW114&lt;&gt;1,"",IF(BS114&lt;=0,0,MIN(BS114,MAX(0,CONTROL_PANEL!$B$13-BT114))))</f>
        <v>0</v>
      </c>
      <c r="BW114" s="18">
        <v>1</v>
      </c>
      <c r="BY114" s="19">
        <f t="shared" si="79"/>
        <v>2024</v>
      </c>
      <c r="BZ114" s="19">
        <v>11</v>
      </c>
      <c r="CA114" s="18">
        <f t="shared" si="65"/>
        <v>30</v>
      </c>
      <c r="CB114" s="18">
        <f t="shared" si="89"/>
        <v>253.30426011226058</v>
      </c>
      <c r="CC114" s="18">
        <f>IF(CP113&lt;&gt;1,"",IF(CM113&gt;0,IF(CM113&gt;CONTROL_PANEL!$B$11,CONTROL_PANEL!$B$11,CM113),0))</f>
        <v>12999827.074587744</v>
      </c>
      <c r="CD114" s="18">
        <f t="shared" si="84"/>
        <v>2130623.1983471676</v>
      </c>
      <c r="CE114" s="18">
        <f>IF(CP114&lt;&gt;1,"",DATA_INPUT!$I114)</f>
        <v>0.77682395058289888</v>
      </c>
      <c r="CF114" s="18">
        <f>IF(CP114&lt;&gt;1,"",CE114*CONTROL_PANEL!$B$5)</f>
        <v>73720.592910317107</v>
      </c>
      <c r="CG114" s="18">
        <f>IF(CP114&lt;&gt;1,"",DATA_INPUT!$C114)</f>
        <v>66.399999999999991</v>
      </c>
      <c r="CH114" s="18">
        <f t="shared" si="67"/>
        <v>141473.38037025192</v>
      </c>
      <c r="CI114" s="18">
        <f>IF(CP114&lt;&gt;1,"",DATA_INPUT!$H114)</f>
        <v>27.178554758384657</v>
      </c>
      <c r="CJ114" s="18">
        <f t="shared" si="68"/>
        <v>57907.259265763147</v>
      </c>
      <c r="CK114" s="18">
        <f>IF(CP114&lt;&gt;1,"",CF114*CONTROL_PANEL!$B$14)</f>
        <v>5160.4415037221979</v>
      </c>
      <c r="CL114" s="18">
        <f>IF(CP114&lt;&gt;1,"",DATA_INPUT!$O114)</f>
        <v>0</v>
      </c>
      <c r="CM114" s="18">
        <f t="shared" si="69"/>
        <v>13151953.347098827</v>
      </c>
      <c r="CN114" s="18">
        <f>IF(CP114&lt;&gt;1,"",IF(CM114-CONTROL_PANEL!$B$11&lt;0,0,CM114-CONTROL_PANEL!$B$11))</f>
        <v>0</v>
      </c>
      <c r="CO114" s="18">
        <f>IF(CP114&lt;&gt;1,"",IF(CL114&lt;=0,0,MIN(CL114,MAX(0,CONTROL_PANEL!$B$13-CM114))))</f>
        <v>0</v>
      </c>
      <c r="CP114" s="18">
        <v>1</v>
      </c>
    </row>
    <row r="115" spans="1:94" x14ac:dyDescent="0.25">
      <c r="A115" s="19">
        <f t="shared" si="75"/>
        <v>2024</v>
      </c>
      <c r="B115" s="19">
        <v>12</v>
      </c>
      <c r="C115" s="18">
        <f t="shared" si="45"/>
        <v>31</v>
      </c>
      <c r="D115" s="18">
        <f t="shared" si="85"/>
        <v>255.45030791298751</v>
      </c>
      <c r="E115" s="18">
        <f>IF(R114&lt;&gt;1,"",IF(O114&gt;0,IF(O114&gt;CONTROL_PANEL!$B$11,CONTROL_PANEL!$B$11,O114),0))</f>
        <v>18169523.873933218</v>
      </c>
      <c r="F115" s="18">
        <f t="shared" si="80"/>
        <v>2665415.6922098291</v>
      </c>
      <c r="G115" s="18">
        <f>IF(R115&lt;&gt;1,"",DATA_INPUT!I115)</f>
        <v>26.213689285846506</v>
      </c>
      <c r="H115" s="18">
        <f>IF(R115&lt;&gt;1,"",G115*CONTROL_PANEL!$B$5)</f>
        <v>2487679.1132268333</v>
      </c>
      <c r="I115" s="18">
        <f>IF(R115&lt;&gt;1,"",DATA_INPUT!C115)</f>
        <v>5.6</v>
      </c>
      <c r="J115" s="18">
        <f t="shared" si="47"/>
        <v>14926.327876375042</v>
      </c>
      <c r="K115" s="18">
        <f>IF(R115&lt;&gt;1,"",DATA_INPUT!H115)</f>
        <v>20.513358314059037</v>
      </c>
      <c r="L115" s="18">
        <f t="shared" si="48"/>
        <v>54676.627150215922</v>
      </c>
      <c r="M115" s="18">
        <f>IF(R115&lt;&gt;1,"",H115*CONTROL_PANEL!$B$14)</f>
        <v>174137.53792587834</v>
      </c>
      <c r="N115" s="18">
        <f>IF(R115&lt;&gt;1,"",DATA_INPUT!K115)</f>
        <v>0</v>
      </c>
      <c r="O115" s="18">
        <f t="shared" si="49"/>
        <v>20443315.149960332</v>
      </c>
      <c r="P115" s="18">
        <f>IF(R115&lt;&gt;1,"",IF(O115-CONTROL_PANEL!$B$11&lt;0,0,O115-CONTROL_PANEL!$B$11))</f>
        <v>0</v>
      </c>
      <c r="Q115" s="18">
        <f>IF(R115&lt;&gt;1,"",IF(N115&lt;=0,0,MIN(N115,MAX(0,CONTROL_PANEL!$B$13-O115))))</f>
        <v>0</v>
      </c>
      <c r="R115" s="18">
        <v>1</v>
      </c>
      <c r="T115" s="19">
        <f t="shared" si="76"/>
        <v>2024</v>
      </c>
      <c r="U115" s="19">
        <v>12</v>
      </c>
      <c r="V115" s="18">
        <f t="shared" si="50"/>
        <v>31</v>
      </c>
      <c r="W115" s="18">
        <f t="shared" si="86"/>
        <v>248.85733408088404</v>
      </c>
      <c r="X115" s="18">
        <f>IF(AK114&lt;&gt;1,"",IF(AH114&gt;0,IF(AH114&gt;CONTROL_PANEL!$B$11,CONTROL_PANEL!$B$11,AH114),0))</f>
        <v>5609222.2926899754</v>
      </c>
      <c r="Y115" s="18">
        <f t="shared" si="81"/>
        <v>1214350.9552305171</v>
      </c>
      <c r="Z115" s="18">
        <f>IF(AK115&lt;&gt;1,"",DATA_INPUT!I115)</f>
        <v>26.213689285846506</v>
      </c>
      <c r="AA115" s="18">
        <f>IF(AK115&lt;&gt;1,"",Z115*CONTROL_PANEL!$B$5)</f>
        <v>2487679.1132268333</v>
      </c>
      <c r="AB115" s="18">
        <f>IF(AK115&lt;&gt;1,"",DATA_INPUT!$C115)</f>
        <v>5.6</v>
      </c>
      <c r="AC115" s="18">
        <f t="shared" si="52"/>
        <v>6800.3653492908952</v>
      </c>
      <c r="AD115" s="18">
        <f>IF(AK115&lt;&gt;1,"",DATA_INPUT!$H115)</f>
        <v>20.513358314059037</v>
      </c>
      <c r="AE115" s="18">
        <f t="shared" si="53"/>
        <v>24910.416263663461</v>
      </c>
      <c r="AF115" s="18">
        <f>IF(AK115&lt;&gt;1,"",AA115*CONTROL_PANEL!$B$14)</f>
        <v>174137.53792587834</v>
      </c>
      <c r="AG115" s="18">
        <f>IF(AK115&lt;&gt;1,"",DATA_INPUT!$L115)</f>
        <v>0</v>
      </c>
      <c r="AH115" s="18">
        <f t="shared" si="54"/>
        <v>7904653.8170765573</v>
      </c>
      <c r="AI115" s="18">
        <f>IF(AK115&lt;&gt;1,"",IF(AH115-CONTROL_PANEL!$B$11&lt;0,0,AH115-CONTROL_PANEL!$B$11))</f>
        <v>0</v>
      </c>
      <c r="AJ115" s="18">
        <f>IF(AK115&lt;&gt;1,"",IF(AG115&lt;=0,0,MIN(AG115,MAX(0,CONTROL_PANEL!$B$13-AH115))))</f>
        <v>0</v>
      </c>
      <c r="AK115" s="18">
        <v>1</v>
      </c>
      <c r="AM115" s="19">
        <f t="shared" si="77"/>
        <v>2024</v>
      </c>
      <c r="AN115" s="19">
        <v>12</v>
      </c>
      <c r="AO115" s="18">
        <f t="shared" si="55"/>
        <v>31</v>
      </c>
      <c r="AP115" s="18">
        <f t="shared" si="87"/>
        <v>253.82694016583798</v>
      </c>
      <c r="AQ115" s="18">
        <f>IF(BD114&lt;&gt;1,"",IF(BA114&gt;0,IF(BA114&gt;CONTROL_PANEL!$B$11,CONTROL_PANEL!$B$11,BA114),0))</f>
        <v>14153531.559293309</v>
      </c>
      <c r="AR115" s="18">
        <f t="shared" si="82"/>
        <v>2255310.4383327216</v>
      </c>
      <c r="AS115" s="18">
        <f>IF(BD115&lt;&gt;1,"",DATA_INPUT!$I115)</f>
        <v>26.213689285846506</v>
      </c>
      <c r="AT115" s="18">
        <f>IF(BD115&lt;&gt;1,"",AS115*CONTROL_PANEL!$B$5)</f>
        <v>2487679.1132268333</v>
      </c>
      <c r="AU115" s="18">
        <f>IF(BD115&lt;&gt;1,"",DATA_INPUT!$C115)</f>
        <v>5.6</v>
      </c>
      <c r="AV115" s="18">
        <f t="shared" si="57"/>
        <v>12629.73845466324</v>
      </c>
      <c r="AW115" s="18">
        <f>IF(BD115&lt;&gt;1,"",DATA_INPUT!$H115)</f>
        <v>20.513358314059037</v>
      </c>
      <c r="AX115" s="18">
        <f t="shared" si="58"/>
        <v>46263.991130956667</v>
      </c>
      <c r="AY115" s="18">
        <f>IF(BD115&lt;&gt;1,"",AT115*CONTROL_PANEL!$B$14)</f>
        <v>174137.53792587834</v>
      </c>
      <c r="AZ115" s="18">
        <f>IF(BD115&lt;&gt;1,"",DATA_INPUT!$M115)</f>
        <v>0</v>
      </c>
      <c r="BA115" s="18">
        <f t="shared" si="59"/>
        <v>16433438.881917972</v>
      </c>
      <c r="BB115" s="18">
        <f>IF(BD115&lt;&gt;1,"",IF(BA115-CONTROL_PANEL!$B$11&lt;0,0,BA115-CONTROL_PANEL!$B$11))</f>
        <v>0</v>
      </c>
      <c r="BC115" s="18">
        <f>IF(BD115&lt;&gt;1,"",IF(AZ115&lt;=0,0,MIN(AZ115,MAX(0,CONTROL_PANEL!$B$13-BA115))))</f>
        <v>0</v>
      </c>
      <c r="BD115" s="18">
        <v>1</v>
      </c>
      <c r="BF115" s="19">
        <f t="shared" si="78"/>
        <v>2024</v>
      </c>
      <c r="BG115" s="19">
        <v>12</v>
      </c>
      <c r="BH115" s="18">
        <f t="shared" si="60"/>
        <v>31</v>
      </c>
      <c r="BI115" s="18">
        <f t="shared" si="88"/>
        <v>256.02855244673873</v>
      </c>
      <c r="BJ115" s="18">
        <f>IF(BW114&lt;&gt;1,"",IF(BT114&gt;0,IF(BT114&gt;CONTROL_PANEL!$B$11,CONTROL_PANEL!$B$11,BT114),0))</f>
        <v>19765796.38014438</v>
      </c>
      <c r="BK115" s="18">
        <f t="shared" si="83"/>
        <v>2819851.213754341</v>
      </c>
      <c r="BL115" s="18">
        <f>IF(BW115&lt;&gt;1,"",DATA_INPUT!$I115)</f>
        <v>26.213689285846506</v>
      </c>
      <c r="BM115" s="18">
        <f>IF(BW115&lt;&gt;1,"",BL115*CONTROL_PANEL!$B$5)</f>
        <v>2487679.1132268333</v>
      </c>
      <c r="BN115" s="18">
        <f>IF(BW115&lt;&gt;1,"",DATA_INPUT!$C115)</f>
        <v>5.6</v>
      </c>
      <c r="BO115" s="18">
        <f t="shared" si="62"/>
        <v>15791.166797024307</v>
      </c>
      <c r="BP115" s="18">
        <f>IF(BW115&lt;&gt;1,"",DATA_INPUT!$H115)</f>
        <v>20.513358314059037</v>
      </c>
      <c r="BQ115" s="18">
        <f t="shared" si="63"/>
        <v>57844.618340077082</v>
      </c>
      <c r="BR115" s="18">
        <f>IF(BW115&lt;&gt;1,"",BM115*CONTROL_PANEL!$B$14)</f>
        <v>174137.53792587834</v>
      </c>
      <c r="BS115" s="18">
        <f>IF(BW115&lt;&gt;1,"",DATA_INPUT!$N115)</f>
        <v>0</v>
      </c>
      <c r="BT115" s="18">
        <f t="shared" si="64"/>
        <v>22037284.503902283</v>
      </c>
      <c r="BU115" s="18">
        <f>IF(BW115&lt;&gt;1,"",IF(BT115-CONTROL_PANEL!$B$11&lt;0,0,BT115-CONTROL_PANEL!$B$11))</f>
        <v>0</v>
      </c>
      <c r="BV115" s="18">
        <f>IF(BW115&lt;&gt;1,"",IF(BS115&lt;=0,0,MIN(BS115,MAX(0,CONTROL_PANEL!$B$13-BT115))))</f>
        <v>0</v>
      </c>
      <c r="BW115" s="18">
        <v>1</v>
      </c>
      <c r="BY115" s="19">
        <f t="shared" si="79"/>
        <v>2024</v>
      </c>
      <c r="BZ115" s="19">
        <v>12</v>
      </c>
      <c r="CA115" s="18">
        <f t="shared" si="65"/>
        <v>31</v>
      </c>
      <c r="CB115" s="18">
        <f t="shared" si="89"/>
        <v>253.37491137017429</v>
      </c>
      <c r="CC115" s="18">
        <f>IF(CP114&lt;&gt;1,"",IF(CM114&gt;0,IF(CM114&gt;CONTROL_PANEL!$B$11,CONTROL_PANEL!$B$11,CM114),0))</f>
        <v>13151953.347098827</v>
      </c>
      <c r="CD115" s="18">
        <f t="shared" si="84"/>
        <v>2147268.0464375047</v>
      </c>
      <c r="CE115" s="18">
        <f>IF(CP115&lt;&gt;1,"",DATA_INPUT!$I115)</f>
        <v>26.213689285846506</v>
      </c>
      <c r="CF115" s="18">
        <f>IF(CP115&lt;&gt;1,"",CE115*CONTROL_PANEL!$B$5)</f>
        <v>2487679.1132268333</v>
      </c>
      <c r="CG115" s="18">
        <f>IF(CP115&lt;&gt;1,"",DATA_INPUT!$C115)</f>
        <v>5.6</v>
      </c>
      <c r="CH115" s="18">
        <f t="shared" si="67"/>
        <v>12024.701060050025</v>
      </c>
      <c r="CI115" s="18">
        <f>IF(CP115&lt;&gt;1,"",DATA_INPUT!$H115)</f>
        <v>20.513358314059037</v>
      </c>
      <c r="CJ115" s="18">
        <f t="shared" si="68"/>
        <v>44047.678832902093</v>
      </c>
      <c r="CK115" s="18">
        <f>IF(CP115&lt;&gt;1,"",CF115*CONTROL_PANEL!$B$14)</f>
        <v>174137.53792587834</v>
      </c>
      <c r="CL115" s="18">
        <f>IF(CP115&lt;&gt;1,"",DATA_INPUT!$O115)</f>
        <v>0</v>
      </c>
      <c r="CM115" s="18">
        <f t="shared" si="69"/>
        <v>15433471.944626929</v>
      </c>
      <c r="CN115" s="18">
        <f>IF(CP115&lt;&gt;1,"",IF(CM115-CONTROL_PANEL!$B$11&lt;0,0,CM115-CONTROL_PANEL!$B$11))</f>
        <v>0</v>
      </c>
      <c r="CO115" s="18">
        <f>IF(CP115&lt;&gt;1,"",IF(CL115&lt;=0,0,MIN(CL115,MAX(0,CONTROL_PANEL!$B$13-CM115))))</f>
        <v>0</v>
      </c>
      <c r="CP115" s="18">
        <v>1</v>
      </c>
    </row>
    <row r="116" spans="1:94" x14ac:dyDescent="0.25">
      <c r="A116" s="19">
        <f t="shared" si="75"/>
        <v>2025</v>
      </c>
      <c r="B116" s="19">
        <v>1</v>
      </c>
      <c r="C116" s="18">
        <f t="shared" si="45"/>
        <v>31</v>
      </c>
      <c r="D116" s="18">
        <f t="shared" si="85"/>
        <v>256.26454374564747</v>
      </c>
      <c r="E116" s="18">
        <f>IF(R115&lt;&gt;1,"",IF(O115&gt;0,IF(O115&gt;CONTROL_PANEL!$B$11,CONTROL_PANEL!$B$11,O115),0))</f>
        <v>20443315.149960332</v>
      </c>
      <c r="F116" s="18">
        <f t="shared" si="80"/>
        <v>2884141.1404575389</v>
      </c>
      <c r="G116" s="18">
        <f>IF(R116&lt;&gt;1,"",DATA_INPUT!I116)</f>
        <v>17.180697731075412</v>
      </c>
      <c r="H116" s="18">
        <f>IF(R116&lt;&gt;1,"",G116*CONTROL_PANEL!$B$5)</f>
        <v>1630448.2146790565</v>
      </c>
      <c r="I116" s="18">
        <f>IF(R116&lt;&gt;1,"",DATA_INPUT!C116)</f>
        <v>135.5</v>
      </c>
      <c r="J116" s="18">
        <f t="shared" si="47"/>
        <v>390801.12453199655</v>
      </c>
      <c r="K116" s="18">
        <f>IF(R116&lt;&gt;1,"",DATA_INPUT!H116)</f>
        <v>22.37244035433886</v>
      </c>
      <c r="L116" s="18">
        <f t="shared" si="48"/>
        <v>64525.275638381143</v>
      </c>
      <c r="M116" s="18">
        <f>IF(R116&lt;&gt;1,"",H116*CONTROL_PANEL!$B$14)</f>
        <v>114131.37502753397</v>
      </c>
      <c r="N116" s="18">
        <f>IF(R116&lt;&gt;1,"",DATA_INPUT!K116)</f>
        <v>0</v>
      </c>
      <c r="O116" s="18">
        <f t="shared" si="49"/>
        <v>22285907.838505466</v>
      </c>
      <c r="P116" s="18">
        <f>IF(R116&lt;&gt;1,"",IF(O116-CONTROL_PANEL!$B$11&lt;0,0,O116-CONTROL_PANEL!$B$11))</f>
        <v>0</v>
      </c>
      <c r="Q116" s="18">
        <f>IF(R116&lt;&gt;1,"",IF(N116&lt;=0,0,MIN(N116,MAX(0,CONTROL_PANEL!$B$13-O116))))</f>
        <v>0</v>
      </c>
      <c r="R116" s="18">
        <v>1</v>
      </c>
      <c r="T116" s="19">
        <f t="shared" si="76"/>
        <v>2025</v>
      </c>
      <c r="U116" s="19">
        <v>1</v>
      </c>
      <c r="V116" s="18">
        <f t="shared" si="50"/>
        <v>31</v>
      </c>
      <c r="W116" s="18">
        <f t="shared" si="86"/>
        <v>250.5242590289856</v>
      </c>
      <c r="X116" s="18">
        <f>IF(AK115&lt;&gt;1,"",IF(AH115&gt;0,IF(AH115&gt;CONTROL_PANEL!$B$11,CONTROL_PANEL!$B$11,AH115),0))</f>
        <v>7904653.8170765573</v>
      </c>
      <c r="Y116" s="18">
        <f t="shared" si="81"/>
        <v>1527542.2425606854</v>
      </c>
      <c r="Z116" s="18">
        <f>IF(AK116&lt;&gt;1,"",DATA_INPUT!I116)</f>
        <v>17.180697731075412</v>
      </c>
      <c r="AA116" s="18">
        <f>IF(AK116&lt;&gt;1,"",Z116*CONTROL_PANEL!$B$5)</f>
        <v>1630448.2146790565</v>
      </c>
      <c r="AB116" s="18">
        <f>IF(AK116&lt;&gt;1,"",DATA_INPUT!$C116)</f>
        <v>135.5</v>
      </c>
      <c r="AC116" s="18">
        <f t="shared" si="52"/>
        <v>206981.97386697287</v>
      </c>
      <c r="AD116" s="18">
        <f>IF(AK116&lt;&gt;1,"",DATA_INPUT!$H116)</f>
        <v>22.37244035433886</v>
      </c>
      <c r="AE116" s="18">
        <f t="shared" si="53"/>
        <v>34174.847710421956</v>
      </c>
      <c r="AF116" s="18">
        <f>IF(AK116&lt;&gt;1,"",AA116*CONTROL_PANEL!$B$14)</f>
        <v>114131.37502753397</v>
      </c>
      <c r="AG116" s="18">
        <f>IF(AK116&lt;&gt;1,"",DATA_INPUT!$L116)</f>
        <v>0</v>
      </c>
      <c r="AH116" s="18">
        <f t="shared" si="54"/>
        <v>9593777.7828846294</v>
      </c>
      <c r="AI116" s="18">
        <f>IF(AK116&lt;&gt;1,"",IF(AH116-CONTROL_PANEL!$B$11&lt;0,0,AH116-CONTROL_PANEL!$B$11))</f>
        <v>0</v>
      </c>
      <c r="AJ116" s="18">
        <f>IF(AK116&lt;&gt;1,"",IF(AG116&lt;=0,0,MIN(AG116,MAX(0,CONTROL_PANEL!$B$13-AH116))))</f>
        <v>0</v>
      </c>
      <c r="AK116" s="18">
        <v>1</v>
      </c>
      <c r="AM116" s="19">
        <f t="shared" si="77"/>
        <v>2025</v>
      </c>
      <c r="AN116" s="19">
        <v>1</v>
      </c>
      <c r="AO116" s="18">
        <f t="shared" si="55"/>
        <v>31</v>
      </c>
      <c r="AP116" s="18">
        <f t="shared" si="87"/>
        <v>254.78143383021538</v>
      </c>
      <c r="AQ116" s="18">
        <f>IF(BD115&lt;&gt;1,"",IF(BA115&gt;0,IF(BA115&gt;CONTROL_PANEL!$B$11,CONTROL_PANEL!$B$11,BA115),0))</f>
        <v>16433438.881917972</v>
      </c>
      <c r="AR116" s="18">
        <f t="shared" si="82"/>
        <v>2492251.9302139599</v>
      </c>
      <c r="AS116" s="18">
        <f>IF(BD116&lt;&gt;1,"",DATA_INPUT!$I116)</f>
        <v>17.180697731075412</v>
      </c>
      <c r="AT116" s="18">
        <f>IF(BD116&lt;&gt;1,"",AS116*CONTROL_PANEL!$B$5)</f>
        <v>1630448.2146790565</v>
      </c>
      <c r="AU116" s="18">
        <f>IF(BD116&lt;&gt;1,"",DATA_INPUT!$C116)</f>
        <v>135.5</v>
      </c>
      <c r="AV116" s="18">
        <f t="shared" si="57"/>
        <v>337700.13654399157</v>
      </c>
      <c r="AW116" s="18">
        <f>IF(BD116&lt;&gt;1,"",DATA_INPUT!$H116)</f>
        <v>22.37244035433886</v>
      </c>
      <c r="AX116" s="18">
        <f t="shared" si="58"/>
        <v>55757.757656697715</v>
      </c>
      <c r="AY116" s="18">
        <f>IF(BD116&lt;&gt;1,"",AT116*CONTROL_PANEL!$B$14)</f>
        <v>114131.37502753397</v>
      </c>
      <c r="AZ116" s="18">
        <f>IF(BD116&lt;&gt;1,"",DATA_INPUT!$M116)</f>
        <v>0</v>
      </c>
      <c r="BA116" s="18">
        <f t="shared" si="59"/>
        <v>18231698.100456789</v>
      </c>
      <c r="BB116" s="18">
        <f>IF(BD116&lt;&gt;1,"",IF(BA116-CONTROL_PANEL!$B$11&lt;0,0,BA116-CONTROL_PANEL!$B$11))</f>
        <v>0</v>
      </c>
      <c r="BC116" s="18">
        <f>IF(BD116&lt;&gt;1,"",IF(AZ116&lt;=0,0,MIN(AZ116,MAX(0,CONTROL_PANEL!$B$13-BA116))))</f>
        <v>0</v>
      </c>
      <c r="BD116" s="18">
        <v>1</v>
      </c>
      <c r="BF116" s="19">
        <f t="shared" si="78"/>
        <v>2025</v>
      </c>
      <c r="BG116" s="19">
        <v>1</v>
      </c>
      <c r="BH116" s="18">
        <f t="shared" si="60"/>
        <v>31</v>
      </c>
      <c r="BI116" s="18">
        <f t="shared" si="88"/>
        <v>256.79982501389435</v>
      </c>
      <c r="BJ116" s="18">
        <f>IF(BW115&lt;&gt;1,"",IF(BT115&gt;0,IF(BT115&gt;CONTROL_PANEL!$B$11,CONTROL_PANEL!$B$11,BT115),0))</f>
        <v>22037284.503902283</v>
      </c>
      <c r="BK116" s="18">
        <f t="shared" si="83"/>
        <v>3032678.1737729511</v>
      </c>
      <c r="BL116" s="18">
        <f>IF(BW116&lt;&gt;1,"",DATA_INPUT!$I116)</f>
        <v>17.180697731075412</v>
      </c>
      <c r="BM116" s="18">
        <f>IF(BW116&lt;&gt;1,"",BL116*CONTROL_PANEL!$B$5)</f>
        <v>1630448.2146790565</v>
      </c>
      <c r="BN116" s="18">
        <f>IF(BW116&lt;&gt;1,"",DATA_INPUT!$C116)</f>
        <v>135.5</v>
      </c>
      <c r="BO116" s="18">
        <f t="shared" si="62"/>
        <v>410927.89254623489</v>
      </c>
      <c r="BP116" s="18">
        <f>IF(BW116&lt;&gt;1,"",DATA_INPUT!$H116)</f>
        <v>22.37244035433886</v>
      </c>
      <c r="BQ116" s="18">
        <f t="shared" si="63"/>
        <v>67848.411556640654</v>
      </c>
      <c r="BR116" s="18">
        <f>IF(BW116&lt;&gt;1,"",BM116*CONTROL_PANEL!$B$14)</f>
        <v>114131.37502753397</v>
      </c>
      <c r="BS116" s="18">
        <f>IF(BW116&lt;&gt;1,"",DATA_INPUT!$N116)</f>
        <v>0</v>
      </c>
      <c r="BT116" s="18">
        <f t="shared" si="64"/>
        <v>23896680.824543398</v>
      </c>
      <c r="BU116" s="18">
        <f>IF(BW116&lt;&gt;1,"",IF(BT116-CONTROL_PANEL!$B$11&lt;0,0,BT116-CONTROL_PANEL!$B$11))</f>
        <v>0</v>
      </c>
      <c r="BV116" s="18">
        <f>IF(BW116&lt;&gt;1,"",IF(BS116&lt;=0,0,MIN(BS116,MAX(0,CONTROL_PANEL!$B$13-BT116))))</f>
        <v>0</v>
      </c>
      <c r="BW116" s="18">
        <v>1</v>
      </c>
      <c r="BY116" s="19">
        <f t="shared" si="79"/>
        <v>2025</v>
      </c>
      <c r="BZ116" s="19">
        <v>1</v>
      </c>
      <c r="CA116" s="18">
        <f t="shared" si="65"/>
        <v>31</v>
      </c>
      <c r="CB116" s="18">
        <f t="shared" si="89"/>
        <v>254.37446337687757</v>
      </c>
      <c r="CC116" s="18">
        <f>IF(CP115&lt;&gt;1,"",IF(CM115&gt;0,IF(CM115&gt;CONTROL_PANEL!$B$11,CONTROL_PANEL!$B$11,CM115),0))</f>
        <v>15433471.944626929</v>
      </c>
      <c r="CD116" s="18">
        <f t="shared" si="84"/>
        <v>2389765.0703006359</v>
      </c>
      <c r="CE116" s="18">
        <f>IF(CP116&lt;&gt;1,"",DATA_INPUT!$I116)</f>
        <v>17.180697731075412</v>
      </c>
      <c r="CF116" s="18">
        <f>IF(CP116&lt;&gt;1,"",CE116*CONTROL_PANEL!$B$5)</f>
        <v>1630448.2146790565</v>
      </c>
      <c r="CG116" s="18">
        <f>IF(CP116&lt;&gt;1,"",DATA_INPUT!$C116)</f>
        <v>135.5</v>
      </c>
      <c r="CH116" s="18">
        <f t="shared" si="67"/>
        <v>323813.16702573613</v>
      </c>
      <c r="CI116" s="18">
        <f>IF(CP116&lt;&gt;1,"",DATA_INPUT!$H116)</f>
        <v>22.37244035433886</v>
      </c>
      <c r="CJ116" s="18">
        <f t="shared" si="68"/>
        <v>53464.876496183388</v>
      </c>
      <c r="CK116" s="18">
        <f>IF(CP116&lt;&gt;1,"",CF116*CONTROL_PANEL!$B$14)</f>
        <v>114131.37502753397</v>
      </c>
      <c r="CL116" s="18">
        <f>IF(CP116&lt;&gt;1,"",DATA_INPUT!$O116)</f>
        <v>0</v>
      </c>
      <c r="CM116" s="18">
        <f t="shared" si="69"/>
        <v>17220137.074808005</v>
      </c>
      <c r="CN116" s="18">
        <f>IF(CP116&lt;&gt;1,"",IF(CM116-CONTROL_PANEL!$B$11&lt;0,0,CM116-CONTROL_PANEL!$B$11))</f>
        <v>0</v>
      </c>
      <c r="CO116" s="18">
        <f>IF(CP116&lt;&gt;1,"",IF(CL116&lt;=0,0,MIN(CL116,MAX(0,CONTROL_PANEL!$B$13-CM116))))</f>
        <v>0</v>
      </c>
      <c r="CP116" s="18">
        <v>1</v>
      </c>
    </row>
    <row r="117" spans="1:94" x14ac:dyDescent="0.25">
      <c r="A117" s="19">
        <f t="shared" si="75"/>
        <v>2025</v>
      </c>
      <c r="B117" s="19">
        <v>2</v>
      </c>
      <c r="C117" s="18">
        <f t="shared" si="45"/>
        <v>28</v>
      </c>
      <c r="D117" s="18">
        <f t="shared" si="85"/>
        <v>256.88095817246045</v>
      </c>
      <c r="E117" s="18">
        <f>IF(R116&lt;&gt;1,"",IF(O116&gt;0,IF(O116&gt;CONTROL_PANEL!$B$11,CONTROL_PANEL!$B$11,O116),0))</f>
        <v>22285907.838505466</v>
      </c>
      <c r="F117" s="18">
        <f t="shared" si="80"/>
        <v>3055520.8317917385</v>
      </c>
      <c r="G117" s="18">
        <f>IF(R117&lt;&gt;1,"",DATA_INPUT!I117)</f>
        <v>100.14945909547502</v>
      </c>
      <c r="H117" s="18">
        <f>IF(R117&lt;&gt;1,"",G117*CONTROL_PANEL!$B$5)</f>
        <v>9504183.6681605801</v>
      </c>
      <c r="I117" s="18">
        <f>IF(R117&lt;&gt;1,"",DATA_INPUT!C117)</f>
        <v>65.100000000000009</v>
      </c>
      <c r="J117" s="18">
        <f t="shared" si="47"/>
        <v>198914.40614964219</v>
      </c>
      <c r="K117" s="18">
        <f>IF(R117&lt;&gt;1,"",DATA_INPUT!H117)</f>
        <v>29.631901962322523</v>
      </c>
      <c r="L117" s="18">
        <f t="shared" si="48"/>
        <v>90540.893731486954</v>
      </c>
      <c r="M117" s="18">
        <f>IF(R117&lt;&gt;1,"",H117*CONTROL_PANEL!$B$14)</f>
        <v>665292.85677124071</v>
      </c>
      <c r="N117" s="18">
        <f>IF(R117&lt;&gt;1,"",DATA_INPUT!K117)</f>
        <v>0</v>
      </c>
      <c r="O117" s="18">
        <f t="shared" si="49"/>
        <v>31233172.162312958</v>
      </c>
      <c r="P117" s="18">
        <f>IF(R117&lt;&gt;1,"",IF(O117-CONTROL_PANEL!$B$11&lt;0,0,O117-CONTROL_PANEL!$B$11))</f>
        <v>0</v>
      </c>
      <c r="Q117" s="18">
        <f>IF(R117&lt;&gt;1,"",IF(N117&lt;=0,0,MIN(N117,MAX(0,CONTROL_PANEL!$B$13-O117))))</f>
        <v>0</v>
      </c>
      <c r="R117" s="18">
        <v>1</v>
      </c>
      <c r="T117" s="19">
        <f t="shared" si="76"/>
        <v>2025</v>
      </c>
      <c r="U117" s="19">
        <v>2</v>
      </c>
      <c r="V117" s="18">
        <f t="shared" si="50"/>
        <v>28</v>
      </c>
      <c r="W117" s="18">
        <f t="shared" si="86"/>
        <v>251.55239395874565</v>
      </c>
      <c r="X117" s="18">
        <f>IF(AK116&lt;&gt;1,"",IF(AH116&gt;0,IF(AH116&gt;CONTROL_PANEL!$B$11,CONTROL_PANEL!$B$11,AH116),0))</f>
        <v>9593777.7828846294</v>
      </c>
      <c r="Y117" s="18">
        <f t="shared" si="81"/>
        <v>1738801.8567215693</v>
      </c>
      <c r="Z117" s="18">
        <f>IF(AK117&lt;&gt;1,"",DATA_INPUT!I117)</f>
        <v>100.14945909547502</v>
      </c>
      <c r="AA117" s="18">
        <f>IF(AK117&lt;&gt;1,"",Z117*CONTROL_PANEL!$B$5)</f>
        <v>9504183.6681605801</v>
      </c>
      <c r="AB117" s="18">
        <f>IF(AK117&lt;&gt;1,"",DATA_INPUT!$C117)</f>
        <v>65.100000000000009</v>
      </c>
      <c r="AC117" s="18">
        <f t="shared" si="52"/>
        <v>113196.00087257418</v>
      </c>
      <c r="AD117" s="18">
        <f>IF(AK117&lt;&gt;1,"",DATA_INPUT!$H117)</f>
        <v>29.631901962322523</v>
      </c>
      <c r="AE117" s="18">
        <f t="shared" si="53"/>
        <v>51524.006150277921</v>
      </c>
      <c r="AF117" s="18">
        <f>IF(AK117&lt;&gt;1,"",AA117*CONTROL_PANEL!$B$14)</f>
        <v>665292.85677124071</v>
      </c>
      <c r="AG117" s="18">
        <f>IF(AK117&lt;&gt;1,"",DATA_INPUT!$L117)</f>
        <v>0</v>
      </c>
      <c r="AH117" s="18">
        <f t="shared" si="54"/>
        <v>18494340.588996265</v>
      </c>
      <c r="AI117" s="18">
        <f>IF(AK117&lt;&gt;1,"",IF(AH117-CONTROL_PANEL!$B$11&lt;0,0,AH117-CONTROL_PANEL!$B$11))</f>
        <v>0</v>
      </c>
      <c r="AJ117" s="18">
        <f>IF(AK117&lt;&gt;1,"",IF(AG117&lt;=0,0,MIN(AG117,MAX(0,CONTROL_PANEL!$B$13-AH117))))</f>
        <v>0</v>
      </c>
      <c r="AK117" s="18">
        <v>1</v>
      </c>
      <c r="AM117" s="19">
        <f t="shared" si="77"/>
        <v>2025</v>
      </c>
      <c r="AN117" s="19">
        <v>2</v>
      </c>
      <c r="AO117" s="18">
        <f t="shared" si="55"/>
        <v>28</v>
      </c>
      <c r="AP117" s="18">
        <f t="shared" si="87"/>
        <v>255.47345324433843</v>
      </c>
      <c r="AQ117" s="18">
        <f>IF(BD116&lt;&gt;1,"",IF(BA116&gt;0,IF(BA116&gt;CONTROL_PANEL!$B$11,CONTROL_PANEL!$B$11,BA116),0))</f>
        <v>18231698.100456789</v>
      </c>
      <c r="AR117" s="18">
        <f t="shared" si="82"/>
        <v>2671512.8927502981</v>
      </c>
      <c r="AS117" s="18">
        <f>IF(BD117&lt;&gt;1,"",DATA_INPUT!$I117)</f>
        <v>100.14945909547502</v>
      </c>
      <c r="AT117" s="18">
        <f>IF(BD117&lt;&gt;1,"",AS117*CONTROL_PANEL!$B$5)</f>
        <v>9504183.6681605801</v>
      </c>
      <c r="AU117" s="18">
        <f>IF(BD117&lt;&gt;1,"",DATA_INPUT!$C117)</f>
        <v>65.100000000000009</v>
      </c>
      <c r="AV117" s="18">
        <f t="shared" si="57"/>
        <v>173915.48931804442</v>
      </c>
      <c r="AW117" s="18">
        <f>IF(BD117&lt;&gt;1,"",DATA_INPUT!$H117)</f>
        <v>29.631901962322523</v>
      </c>
      <c r="AX117" s="18">
        <f t="shared" si="58"/>
        <v>79162.008129057489</v>
      </c>
      <c r="AY117" s="18">
        <f>IF(BD117&lt;&gt;1,"",AT117*CONTROL_PANEL!$B$14)</f>
        <v>665292.85677124071</v>
      </c>
      <c r="AZ117" s="18">
        <f>IF(BD117&lt;&gt;1,"",DATA_INPUT!$M117)</f>
        <v>0</v>
      </c>
      <c r="BA117" s="18">
        <f t="shared" si="59"/>
        <v>27165342.393035114</v>
      </c>
      <c r="BB117" s="18">
        <f>IF(BD117&lt;&gt;1,"",IF(BA117-CONTROL_PANEL!$B$11&lt;0,0,BA117-CONTROL_PANEL!$B$11))</f>
        <v>0</v>
      </c>
      <c r="BC117" s="18">
        <f>IF(BD117&lt;&gt;1,"",IF(AZ117&lt;=0,0,MIN(AZ117,MAX(0,CONTROL_PANEL!$B$13-BA117))))</f>
        <v>0</v>
      </c>
      <c r="BD117" s="18">
        <v>1</v>
      </c>
      <c r="BF117" s="19">
        <f t="shared" si="78"/>
        <v>2025</v>
      </c>
      <c r="BG117" s="19">
        <v>2</v>
      </c>
      <c r="BH117" s="18">
        <f t="shared" si="60"/>
        <v>28</v>
      </c>
      <c r="BI117" s="18">
        <f t="shared" si="88"/>
        <v>257.39246221715263</v>
      </c>
      <c r="BJ117" s="18">
        <f>IF(BW116&lt;&gt;1,"",IF(BT116&gt;0,IF(BT116&gt;CONTROL_PANEL!$B$11,CONTROL_PANEL!$B$11,BT116),0))</f>
        <v>23896680.824543398</v>
      </c>
      <c r="BK117" s="18">
        <f t="shared" si="83"/>
        <v>3201525.6642351509</v>
      </c>
      <c r="BL117" s="18">
        <f>IF(BW117&lt;&gt;1,"",DATA_INPUT!$I117)</f>
        <v>100.14945909547502</v>
      </c>
      <c r="BM117" s="18">
        <f>IF(BW117&lt;&gt;1,"",BL117*CONTROL_PANEL!$B$5)</f>
        <v>9504183.6681605801</v>
      </c>
      <c r="BN117" s="18">
        <f>IF(BW117&lt;&gt;1,"",DATA_INPUT!$C117)</f>
        <v>65.100000000000009</v>
      </c>
      <c r="BO117" s="18">
        <f t="shared" si="62"/>
        <v>208419.32074170833</v>
      </c>
      <c r="BP117" s="18">
        <f>IF(BW117&lt;&gt;1,"",DATA_INPUT!$H117)</f>
        <v>29.631901962322523</v>
      </c>
      <c r="BQ117" s="18">
        <f t="shared" si="63"/>
        <v>94867.294612475482</v>
      </c>
      <c r="BR117" s="18">
        <f>IF(BW117&lt;&gt;1,"",BM117*CONTROL_PANEL!$B$14)</f>
        <v>665292.85677124071</v>
      </c>
      <c r="BS117" s="18">
        <f>IF(BW117&lt;&gt;1,"",DATA_INPUT!$N117)</f>
        <v>0</v>
      </c>
      <c r="BT117" s="18">
        <f t="shared" si="64"/>
        <v>32849123.662061971</v>
      </c>
      <c r="BU117" s="18">
        <f>IF(BW117&lt;&gt;1,"",IF(BT117-CONTROL_PANEL!$B$11&lt;0,0,BT117-CONTROL_PANEL!$B$11))</f>
        <v>0</v>
      </c>
      <c r="BV117" s="18">
        <f>IF(BW117&lt;&gt;1,"",IF(BS117&lt;=0,0,MIN(BS117,MAX(0,CONTROL_PANEL!$B$13-BT117))))</f>
        <v>0</v>
      </c>
      <c r="BW117" s="18">
        <v>1</v>
      </c>
      <c r="BY117" s="19">
        <f t="shared" si="79"/>
        <v>2025</v>
      </c>
      <c r="BZ117" s="19">
        <v>2</v>
      </c>
      <c r="CA117" s="18">
        <f t="shared" si="65"/>
        <v>28</v>
      </c>
      <c r="CB117" s="18">
        <f t="shared" si="89"/>
        <v>255.09011027938541</v>
      </c>
      <c r="CC117" s="18">
        <f>IF(CP116&lt;&gt;1,"",IF(CM116&gt;0,IF(CM116&gt;CONTROL_PANEL!$B$11,CONTROL_PANEL!$B$11,CM116),0))</f>
        <v>17220137.074808005</v>
      </c>
      <c r="CD117" s="18">
        <f t="shared" si="84"/>
        <v>2571434.9252444403</v>
      </c>
      <c r="CE117" s="18">
        <f>IF(CP117&lt;&gt;1,"",DATA_INPUT!$I117)</f>
        <v>100.14945909547502</v>
      </c>
      <c r="CF117" s="18">
        <f>IF(CP117&lt;&gt;1,"",CE117*CONTROL_PANEL!$B$5)</f>
        <v>9504183.6681605801</v>
      </c>
      <c r="CG117" s="18">
        <f>IF(CP117&lt;&gt;1,"",DATA_INPUT!$C117)</f>
        <v>65.100000000000009</v>
      </c>
      <c r="CH117" s="18">
        <f t="shared" si="67"/>
        <v>167400.41363341309</v>
      </c>
      <c r="CI117" s="18">
        <f>IF(CP117&lt;&gt;1,"",DATA_INPUT!$H117)</f>
        <v>29.631901962322523</v>
      </c>
      <c r="CJ117" s="18">
        <f t="shared" si="68"/>
        <v>76196.507607335399</v>
      </c>
      <c r="CK117" s="18">
        <f>IF(CP117&lt;&gt;1,"",CF117*CONTROL_PANEL!$B$14)</f>
        <v>665292.85677124071</v>
      </c>
      <c r="CL117" s="18">
        <f>IF(CP117&lt;&gt;1,"",DATA_INPUT!$O117)</f>
        <v>0</v>
      </c>
      <c r="CM117" s="18">
        <f t="shared" si="69"/>
        <v>26150231.792223424</v>
      </c>
      <c r="CN117" s="18">
        <f>IF(CP117&lt;&gt;1,"",IF(CM117-CONTROL_PANEL!$B$11&lt;0,0,CM117-CONTROL_PANEL!$B$11))</f>
        <v>0</v>
      </c>
      <c r="CO117" s="18">
        <f>IF(CP117&lt;&gt;1,"",IF(CL117&lt;=0,0,MIN(CL117,MAX(0,CONTROL_PANEL!$B$13-CM117))))</f>
        <v>0</v>
      </c>
      <c r="CP117" s="18">
        <v>1</v>
      </c>
    </row>
    <row r="118" spans="1:94" x14ac:dyDescent="0.25">
      <c r="A118" s="19">
        <f t="shared" si="75"/>
        <v>2025</v>
      </c>
      <c r="B118" s="19">
        <v>3</v>
      </c>
      <c r="C118" s="18">
        <f t="shared" si="45"/>
        <v>31</v>
      </c>
      <c r="D118" s="18">
        <f t="shared" si="85"/>
        <v>259.46834913161734</v>
      </c>
      <c r="E118" s="18">
        <f>IF(R117&lt;&gt;1,"",IF(O117&gt;0,IF(O117&gt;CONTROL_PANEL!$B$11,CONTROL_PANEL!$B$11,O117),0))</f>
        <v>31233172.162312958</v>
      </c>
      <c r="F118" s="18">
        <f t="shared" si="80"/>
        <v>3829417.1782052475</v>
      </c>
      <c r="G118" s="18">
        <f>IF(R118&lt;&gt;1,"",DATA_INPUT!I118)</f>
        <v>38.738204307542787</v>
      </c>
      <c r="H118" s="18">
        <f>IF(R118&lt;&gt;1,"",G118*CONTROL_PANEL!$B$5)</f>
        <v>3676255.5887858104</v>
      </c>
      <c r="I118" s="18">
        <f>IF(R118&lt;&gt;1,"",DATA_INPUT!C118)</f>
        <v>199.60000000000002</v>
      </c>
      <c r="J118" s="18">
        <f t="shared" si="47"/>
        <v>764351.66876976751</v>
      </c>
      <c r="K118" s="18">
        <f>IF(R118&lt;&gt;1,"",DATA_INPUT!H118)</f>
        <v>42.9800100667332</v>
      </c>
      <c r="L118" s="18">
        <f t="shared" si="48"/>
        <v>164588.38886898258</v>
      </c>
      <c r="M118" s="18">
        <f>IF(R118&lt;&gt;1,"",H118*CONTROL_PANEL!$B$14)</f>
        <v>257337.89121500676</v>
      </c>
      <c r="N118" s="18">
        <f>IF(R118&lt;&gt;1,"",DATA_INPUT!K118)</f>
        <v>0</v>
      </c>
      <c r="O118" s="18">
        <f t="shared" si="49"/>
        <v>35251853.139784545</v>
      </c>
      <c r="P118" s="18">
        <f>IF(R118&lt;&gt;1,"",IF(O118-CONTROL_PANEL!$B$11&lt;0,0,O118-CONTROL_PANEL!$B$11))</f>
        <v>0</v>
      </c>
      <c r="Q118" s="18">
        <f>IF(R118&lt;&gt;1,"",IF(N118&lt;=0,0,MIN(N118,MAX(0,CONTROL_PANEL!$B$13-O118))))</f>
        <v>0</v>
      </c>
      <c r="R118" s="18">
        <v>1</v>
      </c>
      <c r="T118" s="19">
        <f t="shared" si="76"/>
        <v>2025</v>
      </c>
      <c r="U118" s="19">
        <v>3</v>
      </c>
      <c r="V118" s="18">
        <f t="shared" si="50"/>
        <v>31</v>
      </c>
      <c r="W118" s="18">
        <f t="shared" si="86"/>
        <v>255.57064765548091</v>
      </c>
      <c r="X118" s="18">
        <f>IF(AK117&lt;&gt;1,"",IF(AH117&gt;0,IF(AH117&gt;CONTROL_PANEL!$B$11,CONTROL_PANEL!$B$11,AH117),0))</f>
        <v>18494340.588996265</v>
      </c>
      <c r="Y118" s="18">
        <f t="shared" si="81"/>
        <v>2697193.7245838577</v>
      </c>
      <c r="Z118" s="18">
        <f>IF(AK118&lt;&gt;1,"",DATA_INPUT!I118)</f>
        <v>38.738204307542787</v>
      </c>
      <c r="AA118" s="18">
        <f>IF(AK118&lt;&gt;1,"",Z118*CONTROL_PANEL!$B$5)</f>
        <v>3676255.5887858104</v>
      </c>
      <c r="AB118" s="18">
        <f>IF(AK118&lt;&gt;1,"",DATA_INPUT!$C118)</f>
        <v>199.60000000000002</v>
      </c>
      <c r="AC118" s="18">
        <f t="shared" si="52"/>
        <v>538359.86742693803</v>
      </c>
      <c r="AD118" s="18">
        <f>IF(AK118&lt;&gt;1,"",DATA_INPUT!$H118)</f>
        <v>42.9800100667332</v>
      </c>
      <c r="AE118" s="18">
        <f t="shared" si="53"/>
        <v>115925.41343454382</v>
      </c>
      <c r="AF118" s="18">
        <f>IF(AK118&lt;&gt;1,"",AA118*CONTROL_PANEL!$B$14)</f>
        <v>257337.89121500676</v>
      </c>
      <c r="AG118" s="18">
        <f>IF(AK118&lt;&gt;1,"",DATA_INPUT!$L118)</f>
        <v>0</v>
      </c>
      <c r="AH118" s="18">
        <f t="shared" si="54"/>
        <v>22335692.740559462</v>
      </c>
      <c r="AI118" s="18">
        <f>IF(AK118&lt;&gt;1,"",IF(AH118-CONTROL_PANEL!$B$11&lt;0,0,AH118-CONTROL_PANEL!$B$11))</f>
        <v>0</v>
      </c>
      <c r="AJ118" s="18">
        <f>IF(AK118&lt;&gt;1,"",IF(AG118&lt;=0,0,MIN(AG118,MAX(0,CONTROL_PANEL!$B$13-AH118))))</f>
        <v>0</v>
      </c>
      <c r="AK118" s="18">
        <v>1</v>
      </c>
      <c r="AM118" s="19">
        <f t="shared" si="77"/>
        <v>2025</v>
      </c>
      <c r="AN118" s="19">
        <v>3</v>
      </c>
      <c r="AO118" s="18">
        <f t="shared" si="55"/>
        <v>31</v>
      </c>
      <c r="AP118" s="18">
        <f t="shared" si="87"/>
        <v>258.36351281528721</v>
      </c>
      <c r="AQ118" s="18">
        <f>IF(BD117&lt;&gt;1,"",IF(BA117&gt;0,IF(BA117&gt;CONTROL_PANEL!$B$11,CONTROL_PANEL!$B$11,BA117),0))</f>
        <v>27165342.393035114</v>
      </c>
      <c r="AR118" s="18">
        <f t="shared" si="82"/>
        <v>3488175.2510170857</v>
      </c>
      <c r="AS118" s="18">
        <f>IF(BD118&lt;&gt;1,"",DATA_INPUT!$I118)</f>
        <v>38.738204307542787</v>
      </c>
      <c r="AT118" s="18">
        <f>IF(BD118&lt;&gt;1,"",AS118*CONTROL_PANEL!$B$5)</f>
        <v>3676255.5887858104</v>
      </c>
      <c r="AU118" s="18">
        <f>IF(BD118&lt;&gt;1,"",DATA_INPUT!$C118)</f>
        <v>199.60000000000002</v>
      </c>
      <c r="AV118" s="18">
        <f t="shared" si="57"/>
        <v>696239.78010301036</v>
      </c>
      <c r="AW118" s="18">
        <f>IF(BD118&lt;&gt;1,"",DATA_INPUT!$H118)</f>
        <v>42.9800100667332</v>
      </c>
      <c r="AX118" s="18">
        <f t="shared" si="58"/>
        <v>149921.80740324396</v>
      </c>
      <c r="AY118" s="18">
        <f>IF(BD118&lt;&gt;1,"",AT118*CONTROL_PANEL!$B$14)</f>
        <v>257337.89121500676</v>
      </c>
      <c r="AZ118" s="18">
        <f>IF(BD118&lt;&gt;1,"",DATA_INPUT!$M118)</f>
        <v>0</v>
      </c>
      <c r="BA118" s="18">
        <f t="shared" si="59"/>
        <v>31130578.063305683</v>
      </c>
      <c r="BB118" s="18">
        <f>IF(BD118&lt;&gt;1,"",IF(BA118-CONTROL_PANEL!$B$11&lt;0,0,BA118-CONTROL_PANEL!$B$11))</f>
        <v>0</v>
      </c>
      <c r="BC118" s="18">
        <f>IF(BD118&lt;&gt;1,"",IF(AZ118&lt;=0,0,MIN(AZ118,MAX(0,CONTROL_PANEL!$B$13-BA118))))</f>
        <v>0</v>
      </c>
      <c r="BD118" s="18">
        <v>1</v>
      </c>
      <c r="BF118" s="19">
        <f t="shared" si="78"/>
        <v>2025</v>
      </c>
      <c r="BG118" s="19">
        <v>3</v>
      </c>
      <c r="BH118" s="18">
        <f t="shared" si="60"/>
        <v>31</v>
      </c>
      <c r="BI118" s="18">
        <f t="shared" si="88"/>
        <v>259.88048670594173</v>
      </c>
      <c r="BJ118" s="18">
        <f>IF(BW117&lt;&gt;1,"",IF(BT117&gt;0,IF(BT117&gt;CONTROL_PANEL!$B$11,CONTROL_PANEL!$B$11,BT117),0))</f>
        <v>32849123.662061971</v>
      </c>
      <c r="BK118" s="18">
        <f t="shared" si="83"/>
        <v>3960829.7116893623</v>
      </c>
      <c r="BL118" s="18">
        <f>IF(BW118&lt;&gt;1,"",DATA_INPUT!$I118)</f>
        <v>38.738204307542787</v>
      </c>
      <c r="BM118" s="18">
        <f>IF(BW118&lt;&gt;1,"",BL118*CONTROL_PANEL!$B$5)</f>
        <v>3676255.5887858104</v>
      </c>
      <c r="BN118" s="18">
        <f>IF(BW118&lt;&gt;1,"",DATA_INPUT!$C118)</f>
        <v>199.60000000000002</v>
      </c>
      <c r="BO118" s="18">
        <f t="shared" si="62"/>
        <v>790581.6104531968</v>
      </c>
      <c r="BP118" s="18">
        <f>IF(BW118&lt;&gt;1,"",DATA_INPUT!$H118)</f>
        <v>42.9800100667332</v>
      </c>
      <c r="BQ118" s="18">
        <f t="shared" si="63"/>
        <v>170236.50088102475</v>
      </c>
      <c r="BR118" s="18">
        <f>IF(BW118&lt;&gt;1,"",BM118*CONTROL_PANEL!$B$14)</f>
        <v>257337.89121500676</v>
      </c>
      <c r="BS118" s="18">
        <f>IF(BW118&lt;&gt;1,"",DATA_INPUT!$N118)</f>
        <v>0</v>
      </c>
      <c r="BT118" s="18">
        <f t="shared" si="64"/>
        <v>36888386.46920494</v>
      </c>
      <c r="BU118" s="18">
        <f>IF(BW118&lt;&gt;1,"",IF(BT118-CONTROL_PANEL!$B$11&lt;0,0,BT118-CONTROL_PANEL!$B$11))</f>
        <v>0</v>
      </c>
      <c r="BV118" s="18">
        <f>IF(BW118&lt;&gt;1,"",IF(BS118&lt;=0,0,MIN(BS118,MAX(0,CONTROL_PANEL!$B$13-BT118))))</f>
        <v>0</v>
      </c>
      <c r="BW118" s="18">
        <v>1</v>
      </c>
      <c r="BY118" s="19">
        <f t="shared" si="79"/>
        <v>2025</v>
      </c>
      <c r="BZ118" s="19">
        <v>3</v>
      </c>
      <c r="CA118" s="18">
        <f t="shared" si="65"/>
        <v>31</v>
      </c>
      <c r="CB118" s="18">
        <f t="shared" si="89"/>
        <v>258.07073546224285</v>
      </c>
      <c r="CC118" s="18">
        <f>IF(CP117&lt;&gt;1,"",IF(CM117&gt;0,IF(CM117&gt;CONTROL_PANEL!$B$11,CONTROL_PANEL!$B$11,CM117),0))</f>
        <v>26150231.792223424</v>
      </c>
      <c r="CD118" s="18">
        <f t="shared" si="84"/>
        <v>3400441.8933701306</v>
      </c>
      <c r="CE118" s="18">
        <f>IF(CP118&lt;&gt;1,"",DATA_INPUT!$I118)</f>
        <v>38.738204307542787</v>
      </c>
      <c r="CF118" s="18">
        <f>IF(CP118&lt;&gt;1,"",CE118*CONTROL_PANEL!$B$5)</f>
        <v>3676255.5887858104</v>
      </c>
      <c r="CG118" s="18">
        <f>IF(CP118&lt;&gt;1,"",DATA_INPUT!$C118)</f>
        <v>199.60000000000002</v>
      </c>
      <c r="CH118" s="18">
        <f t="shared" si="67"/>
        <v>678728.20191667823</v>
      </c>
      <c r="CI118" s="18">
        <f>IF(CP118&lt;&gt;1,"",DATA_INPUT!$H118)</f>
        <v>42.9800100667332</v>
      </c>
      <c r="CJ118" s="18">
        <f t="shared" si="68"/>
        <v>146151.02680838952</v>
      </c>
      <c r="CK118" s="18">
        <f>IF(CP118&lt;&gt;1,"",CF118*CONTROL_PANEL!$B$14)</f>
        <v>257337.89121500676</v>
      </c>
      <c r="CL118" s="18">
        <f>IF(CP118&lt;&gt;1,"",DATA_INPUT!$O118)</f>
        <v>0</v>
      </c>
      <c r="CM118" s="18">
        <f t="shared" si="69"/>
        <v>30101726.664902519</v>
      </c>
      <c r="CN118" s="18">
        <f>IF(CP118&lt;&gt;1,"",IF(CM118-CONTROL_PANEL!$B$11&lt;0,0,CM118-CONTROL_PANEL!$B$11))</f>
        <v>0</v>
      </c>
      <c r="CO118" s="18">
        <f>IF(CP118&lt;&gt;1,"",IF(CL118&lt;=0,0,MIN(CL118,MAX(0,CONTROL_PANEL!$B$13-CM118))))</f>
        <v>0</v>
      </c>
      <c r="CP118" s="18">
        <v>1</v>
      </c>
    </row>
    <row r="119" spans="1:94" x14ac:dyDescent="0.25">
      <c r="A119" s="19">
        <f t="shared" si="75"/>
        <v>2025</v>
      </c>
      <c r="B119" s="19">
        <v>4</v>
      </c>
      <c r="C119" s="18">
        <f t="shared" si="45"/>
        <v>30</v>
      </c>
      <c r="D119" s="18">
        <f t="shared" si="85"/>
        <v>260.46892307093026</v>
      </c>
      <c r="E119" s="18">
        <f>IF(R118&lt;&gt;1,"",IF(O118&gt;0,IF(O118&gt;CONTROL_PANEL!$B$11,CONTROL_PANEL!$B$11,O118),0))</f>
        <v>35251853.139784545</v>
      </c>
      <c r="F119" s="18">
        <f t="shared" si="80"/>
        <v>4152337.3063253285</v>
      </c>
      <c r="G119" s="18">
        <f>IF(R119&lt;&gt;1,"",DATA_INPUT!I119)</f>
        <v>10.22160430971388</v>
      </c>
      <c r="H119" s="18">
        <f>IF(R119&lt;&gt;1,"",G119*CONTROL_PANEL!$B$5)</f>
        <v>970030.24899184727</v>
      </c>
      <c r="I119" s="18">
        <f>IF(R119&lt;&gt;1,"",DATA_INPUT!C119)</f>
        <v>93.199999999999989</v>
      </c>
      <c r="J119" s="18">
        <f t="shared" si="47"/>
        <v>386997.83694952057</v>
      </c>
      <c r="K119" s="18">
        <f>IF(R119&lt;&gt;1,"",DATA_INPUT!H119)</f>
        <v>70.214168150906289</v>
      </c>
      <c r="L119" s="18">
        <f t="shared" si="48"/>
        <v>291552.90984560788</v>
      </c>
      <c r="M119" s="18">
        <f>IF(R119&lt;&gt;1,"",H119*CONTROL_PANEL!$B$14)</f>
        <v>67902.117429429316</v>
      </c>
      <c r="N119" s="18">
        <f>IF(R119&lt;&gt;1,"",DATA_INPUT!K119)</f>
        <v>6454.052840286623</v>
      </c>
      <c r="O119" s="18">
        <f t="shared" si="49"/>
        <v>36242972.145610586</v>
      </c>
      <c r="P119" s="18">
        <f>IF(R119&lt;&gt;1,"",IF(O119-CONTROL_PANEL!$B$11&lt;0,0,O119-CONTROL_PANEL!$B$11))</f>
        <v>0</v>
      </c>
      <c r="Q119" s="18">
        <f>IF(R119&lt;&gt;1,"",IF(N119&lt;=0,0,MIN(N119,MAX(0,CONTROL_PANEL!$B$13-O119))))</f>
        <v>0</v>
      </c>
      <c r="R119" s="18">
        <v>1</v>
      </c>
      <c r="T119" s="19">
        <f t="shared" si="76"/>
        <v>2025</v>
      </c>
      <c r="U119" s="19">
        <v>4</v>
      </c>
      <c r="V119" s="18">
        <f t="shared" si="50"/>
        <v>30</v>
      </c>
      <c r="W119" s="18">
        <f t="shared" si="86"/>
        <v>256.89713161752809</v>
      </c>
      <c r="X119" s="18">
        <f>IF(AK118&lt;&gt;1,"",IF(AH118&gt;0,IF(AH118&gt;CONTROL_PANEL!$B$11,CONTROL_PANEL!$B$11,AH118),0))</f>
        <v>22335692.740559462</v>
      </c>
      <c r="Y119" s="18">
        <f t="shared" si="81"/>
        <v>3060084.7358491994</v>
      </c>
      <c r="Z119" s="18">
        <f>IF(AK119&lt;&gt;1,"",DATA_INPUT!I119)</f>
        <v>10.22160430971388</v>
      </c>
      <c r="AA119" s="18">
        <f>IF(AK119&lt;&gt;1,"",Z119*CONTROL_PANEL!$B$5)</f>
        <v>970030.24899184727</v>
      </c>
      <c r="AB119" s="18">
        <f>IF(AK119&lt;&gt;1,"",DATA_INPUT!$C119)</f>
        <v>93.199999999999989</v>
      </c>
      <c r="AC119" s="18">
        <f t="shared" si="52"/>
        <v>285199.89738114533</v>
      </c>
      <c r="AD119" s="18">
        <f>IF(AK119&lt;&gt;1,"",DATA_INPUT!$H119)</f>
        <v>70.214168150906289</v>
      </c>
      <c r="AE119" s="18">
        <f t="shared" si="53"/>
        <v>214861.30419893732</v>
      </c>
      <c r="AF119" s="18">
        <f>IF(AK119&lt;&gt;1,"",AA119*CONTROL_PANEL!$B$14)</f>
        <v>67902.117429429316</v>
      </c>
      <c r="AG119" s="18">
        <f>IF(AK119&lt;&gt;1,"",DATA_INPUT!$L119)</f>
        <v>8070.0461892539333</v>
      </c>
      <c r="AH119" s="18">
        <f t="shared" si="54"/>
        <v>23300089.419114836</v>
      </c>
      <c r="AI119" s="18">
        <f>IF(AK119&lt;&gt;1,"",IF(AH119-CONTROL_PANEL!$B$11&lt;0,0,AH119-CONTROL_PANEL!$B$11))</f>
        <v>0</v>
      </c>
      <c r="AJ119" s="18">
        <f>IF(AK119&lt;&gt;1,"",IF(AG119&lt;=0,0,MIN(AG119,MAX(0,CONTROL_PANEL!$B$13-AH119))))</f>
        <v>0</v>
      </c>
      <c r="AK119" s="18">
        <v>1</v>
      </c>
      <c r="AM119" s="19">
        <f t="shared" si="77"/>
        <v>2025</v>
      </c>
      <c r="AN119" s="19">
        <v>4</v>
      </c>
      <c r="AO119" s="18">
        <f t="shared" si="55"/>
        <v>30</v>
      </c>
      <c r="AP119" s="18">
        <f t="shared" si="87"/>
        <v>259.44170621788959</v>
      </c>
      <c r="AQ119" s="18">
        <f>IF(BD118&lt;&gt;1,"",IF(BA118&gt;0,IF(BA118&gt;CONTROL_PANEL!$B$11,CONTROL_PANEL!$B$11,BA118),0))</f>
        <v>31130578.063305683</v>
      </c>
      <c r="AR119" s="18">
        <f t="shared" si="82"/>
        <v>3820998.9661671347</v>
      </c>
      <c r="AS119" s="18">
        <f>IF(BD119&lt;&gt;1,"",DATA_INPUT!$I119)</f>
        <v>10.22160430971388</v>
      </c>
      <c r="AT119" s="18">
        <f>IF(BD119&lt;&gt;1,"",AS119*CONTROL_PANEL!$B$5)</f>
        <v>970030.24899184727</v>
      </c>
      <c r="AU119" s="18">
        <f>IF(BD119&lt;&gt;1,"",DATA_INPUT!$C119)</f>
        <v>93.199999999999989</v>
      </c>
      <c r="AV119" s="18">
        <f t="shared" si="57"/>
        <v>356117.10364677693</v>
      </c>
      <c r="AW119" s="18">
        <f>IF(BD119&lt;&gt;1,"",DATA_INPUT!$H119)</f>
        <v>70.214168150906289</v>
      </c>
      <c r="AX119" s="18">
        <f t="shared" si="58"/>
        <v>268288.26391489827</v>
      </c>
      <c r="AY119" s="18">
        <f>IF(BD119&lt;&gt;1,"",AT119*CONTROL_PANEL!$B$14)</f>
        <v>67902.117429429316</v>
      </c>
      <c r="AZ119" s="18">
        <f>IF(BD119&lt;&gt;1,"",DATA_INPUT!$M119)</f>
        <v>3851.0733599544646</v>
      </c>
      <c r="BA119" s="18">
        <f t="shared" si="59"/>
        <v>32116683.961240027</v>
      </c>
      <c r="BB119" s="18">
        <f>IF(BD119&lt;&gt;1,"",IF(BA119-CONTROL_PANEL!$B$11&lt;0,0,BA119-CONTROL_PANEL!$B$11))</f>
        <v>0</v>
      </c>
      <c r="BC119" s="18">
        <f>IF(BD119&lt;&gt;1,"",IF(AZ119&lt;=0,0,MIN(AZ119,MAX(0,CONTROL_PANEL!$B$13-BA119))))</f>
        <v>0</v>
      </c>
      <c r="BD119" s="18">
        <v>1</v>
      </c>
      <c r="BF119" s="19">
        <f t="shared" si="78"/>
        <v>2025</v>
      </c>
      <c r="BG119" s="19">
        <v>4</v>
      </c>
      <c r="BH119" s="18">
        <f t="shared" si="60"/>
        <v>30</v>
      </c>
      <c r="BI119" s="18">
        <f t="shared" si="88"/>
        <v>260.85451006469873</v>
      </c>
      <c r="BJ119" s="18">
        <f>IF(BW118&lt;&gt;1,"",IF(BT118&gt;0,IF(BT118&gt;CONTROL_PANEL!$B$11,CONTROL_PANEL!$B$11,BT118),0))</f>
        <v>36888386.46920494</v>
      </c>
      <c r="BK119" s="18">
        <f t="shared" si="83"/>
        <v>4280303.8669340471</v>
      </c>
      <c r="BL119" s="18">
        <f>IF(BW119&lt;&gt;1,"",DATA_INPUT!$I119)</f>
        <v>10.22160430971388</v>
      </c>
      <c r="BM119" s="18">
        <f>IF(BW119&lt;&gt;1,"",BL119*CONTROL_PANEL!$B$5)</f>
        <v>970030.24899184727</v>
      </c>
      <c r="BN119" s="18">
        <f>IF(BW119&lt;&gt;1,"",DATA_INPUT!$C119)</f>
        <v>93.199999999999989</v>
      </c>
      <c r="BO119" s="18">
        <f t="shared" si="62"/>
        <v>398924.32039825316</v>
      </c>
      <c r="BP119" s="18">
        <f>IF(BW119&lt;&gt;1,"",DATA_INPUT!$H119)</f>
        <v>70.214168150906289</v>
      </c>
      <c r="BQ119" s="18">
        <f t="shared" si="63"/>
        <v>300537.97544988163</v>
      </c>
      <c r="BR119" s="18">
        <f>IF(BW119&lt;&gt;1,"",BM119*CONTROL_PANEL!$B$14)</f>
        <v>67902.117429429316</v>
      </c>
      <c r="BS119" s="18">
        <f>IF(BW119&lt;&gt;1,"",DATA_INPUT!$N119)</f>
        <v>412.49375780390233</v>
      </c>
      <c r="BT119" s="18">
        <f t="shared" si="64"/>
        <v>37888488.451957926</v>
      </c>
      <c r="BU119" s="18">
        <f>IF(BW119&lt;&gt;1,"",IF(BT119-CONTROL_PANEL!$B$11&lt;0,0,BT119-CONTROL_PANEL!$B$11))</f>
        <v>0</v>
      </c>
      <c r="BV119" s="18">
        <f>IF(BW119&lt;&gt;1,"",IF(BS119&lt;=0,0,MIN(BS119,MAX(0,CONTROL_PANEL!$B$13-BT119))))</f>
        <v>0</v>
      </c>
      <c r="BW119" s="18">
        <v>1</v>
      </c>
      <c r="BY119" s="19">
        <f t="shared" si="79"/>
        <v>2025</v>
      </c>
      <c r="BZ119" s="19">
        <v>4</v>
      </c>
      <c r="CA119" s="18">
        <f t="shared" si="65"/>
        <v>30</v>
      </c>
      <c r="CB119" s="18">
        <f t="shared" si="89"/>
        <v>259.17121497139073</v>
      </c>
      <c r="CC119" s="18">
        <f>IF(CP118&lt;&gt;1,"",IF(CM118&gt;0,IF(CM118&gt;CONTROL_PANEL!$B$11,CONTROL_PANEL!$B$11,CM118),0))</f>
        <v>30101726.664902519</v>
      </c>
      <c r="CD119" s="18">
        <f t="shared" si="84"/>
        <v>3736062.920361836</v>
      </c>
      <c r="CE119" s="18">
        <f>IF(CP119&lt;&gt;1,"",DATA_INPUT!$I119)</f>
        <v>10.22160430971388</v>
      </c>
      <c r="CF119" s="18">
        <f>IF(CP119&lt;&gt;1,"",CE119*CONTROL_PANEL!$B$5)</f>
        <v>970030.24899184727</v>
      </c>
      <c r="CG119" s="18">
        <f>IF(CP119&lt;&gt;1,"",DATA_INPUT!$C119)</f>
        <v>93.199999999999989</v>
      </c>
      <c r="CH119" s="18">
        <f t="shared" si="67"/>
        <v>348201.06417772308</v>
      </c>
      <c r="CI119" s="18">
        <f>IF(CP119&lt;&gt;1,"",DATA_INPUT!$H119)</f>
        <v>70.214168150906289</v>
      </c>
      <c r="CJ119" s="18">
        <f t="shared" si="68"/>
        <v>262324.55011265195</v>
      </c>
      <c r="CK119" s="18">
        <f>IF(CP119&lt;&gt;1,"",CF119*CONTROL_PANEL!$B$14)</f>
        <v>67902.117429429316</v>
      </c>
      <c r="CL119" s="18">
        <f>IF(CP119&lt;&gt;1,"",DATA_INPUT!$O119)</f>
        <v>467.70065247339869</v>
      </c>
      <c r="CM119" s="18">
        <f t="shared" si="69"/>
        <v>31089263.609877534</v>
      </c>
      <c r="CN119" s="18">
        <f>IF(CP119&lt;&gt;1,"",IF(CM119-CONTROL_PANEL!$B$11&lt;0,0,CM119-CONTROL_PANEL!$B$11))</f>
        <v>0</v>
      </c>
      <c r="CO119" s="18">
        <f>IF(CP119&lt;&gt;1,"",IF(CL119&lt;=0,0,MIN(CL119,MAX(0,CONTROL_PANEL!$B$13-CM119))))</f>
        <v>0</v>
      </c>
      <c r="CP119" s="18">
        <v>1</v>
      </c>
    </row>
    <row r="120" spans="1:94" ht="21.75" customHeight="1" x14ac:dyDescent="0.25">
      <c r="A120" s="19">
        <f t="shared" si="75"/>
        <v>2025</v>
      </c>
      <c r="B120" s="19">
        <v>5</v>
      </c>
      <c r="C120" s="18">
        <f t="shared" si="45"/>
        <v>31</v>
      </c>
      <c r="D120" s="18">
        <f t="shared" si="85"/>
        <v>260.70383650950561</v>
      </c>
      <c r="E120" s="18">
        <f>IF(R119&lt;&gt;1,"",IF(O119&gt;0,IF(O119&gt;CONTROL_PANEL!$B$11,CONTROL_PANEL!$B$11,O119),0))</f>
        <v>36242972.145610586</v>
      </c>
      <c r="F120" s="18">
        <f t="shared" si="80"/>
        <v>4230065.6711935746</v>
      </c>
      <c r="G120" s="18">
        <f>IF(R120&lt;&gt;1,"",DATA_INPUT!I120)</f>
        <v>1.4001686698914286</v>
      </c>
      <c r="H120" s="18">
        <f>IF(R120&lt;&gt;1,"",G120*CONTROL_PANEL!$B$5)</f>
        <v>132876.00677269656</v>
      </c>
      <c r="I120" s="18">
        <f>IF(R120&lt;&gt;1,"",DATA_INPUT!C120)</f>
        <v>26.000000000000007</v>
      </c>
      <c r="J120" s="18">
        <f t="shared" si="47"/>
        <v>109981.70745103297</v>
      </c>
      <c r="K120" s="18">
        <f>IF(R120&lt;&gt;1,"",DATA_INPUT!H120)</f>
        <v>101.78870023658827</v>
      </c>
      <c r="L120" s="18">
        <f t="shared" si="48"/>
        <v>430572.88658620528</v>
      </c>
      <c r="M120" s="18">
        <f>IF(R120&lt;&gt;1,"",H120*CONTROL_PANEL!$B$14)</f>
        <v>9301.3204740887595</v>
      </c>
      <c r="N120" s="18">
        <f>IF(R120&lt;&gt;1,"",DATA_INPUT!K120)</f>
        <v>321056.75209649204</v>
      </c>
      <c r="O120" s="18">
        <f t="shared" si="49"/>
        <v>35724898.900677525</v>
      </c>
      <c r="P120" s="18">
        <f>IF(R120&lt;&gt;1,"",IF(O120-CONTROL_PANEL!$B$11&lt;0,0,O120-CONTROL_PANEL!$B$11))</f>
        <v>0</v>
      </c>
      <c r="Q120" s="18">
        <f>IF(R120&lt;&gt;1,"",IF(N120&lt;=0,0,MIN(N120,MAX(0,CONTROL_PANEL!$B$13-O120))))</f>
        <v>0</v>
      </c>
      <c r="R120" s="18">
        <v>1</v>
      </c>
      <c r="T120" s="19">
        <f t="shared" si="76"/>
        <v>2025</v>
      </c>
      <c r="U120" s="19">
        <v>5</v>
      </c>
      <c r="V120" s="18">
        <f t="shared" si="50"/>
        <v>31</v>
      </c>
      <c r="W120" s="18">
        <f t="shared" si="86"/>
        <v>257.20578292908647</v>
      </c>
      <c r="X120" s="18">
        <f>IF(AK119&lt;&gt;1,"",IF(AH119&gt;0,IF(AH119&gt;CONTROL_PANEL!$B$11,CONTROL_PANEL!$B$11,AH119),0))</f>
        <v>23300089.419114836</v>
      </c>
      <c r="Y120" s="18">
        <f t="shared" si="81"/>
        <v>3147840.7440336258</v>
      </c>
      <c r="Z120" s="18">
        <f>IF(AK120&lt;&gt;1,"",DATA_INPUT!I120)</f>
        <v>1.4001686698914286</v>
      </c>
      <c r="AA120" s="18">
        <f>IF(AK120&lt;&gt;1,"",Z120*CONTROL_PANEL!$B$5)</f>
        <v>132876.00677269656</v>
      </c>
      <c r="AB120" s="18">
        <f>IF(AK120&lt;&gt;1,"",DATA_INPUT!$C120)</f>
        <v>26.000000000000007</v>
      </c>
      <c r="AC120" s="18">
        <f t="shared" si="52"/>
        <v>81843.85934487429</v>
      </c>
      <c r="AD120" s="18">
        <f>IF(AK120&lt;&gt;1,"",DATA_INPUT!$H120)</f>
        <v>101.78870023658827</v>
      </c>
      <c r="AE120" s="18">
        <f t="shared" si="53"/>
        <v>320414.61788695771</v>
      </c>
      <c r="AF120" s="18">
        <f>IF(AK120&lt;&gt;1,"",AA120*CONTROL_PANEL!$B$14)</f>
        <v>9301.3204740887595</v>
      </c>
      <c r="AG120" s="18">
        <f>IF(AK120&lt;&gt;1,"",DATA_INPUT!$L120)</f>
        <v>405531.53059089987</v>
      </c>
      <c r="AH120" s="18">
        <f t="shared" si="54"/>
        <v>22779561.816280458</v>
      </c>
      <c r="AI120" s="18">
        <f>IF(AK120&lt;&gt;1,"",IF(AH120-CONTROL_PANEL!$B$11&lt;0,0,AH120-CONTROL_PANEL!$B$11))</f>
        <v>0</v>
      </c>
      <c r="AJ120" s="18">
        <f>IF(AK120&lt;&gt;1,"",IF(AG120&lt;=0,0,MIN(AG120,MAX(0,CONTROL_PANEL!$B$13-AH120))))</f>
        <v>0</v>
      </c>
      <c r="AK120" s="18">
        <v>1</v>
      </c>
      <c r="AM120" s="19">
        <f t="shared" si="77"/>
        <v>2025</v>
      </c>
      <c r="AN120" s="19">
        <v>5</v>
      </c>
      <c r="AO120" s="18">
        <f t="shared" si="55"/>
        <v>31</v>
      </c>
      <c r="AP120" s="18">
        <f t="shared" si="87"/>
        <v>259.69540350691267</v>
      </c>
      <c r="AQ120" s="18">
        <f>IF(BD119&lt;&gt;1,"",IF(BA119&gt;0,IF(BA119&gt;CONTROL_PANEL!$B$11,CONTROL_PANEL!$B$11,BA119),0))</f>
        <v>32116683.961240027</v>
      </c>
      <c r="AR120" s="18">
        <f t="shared" si="82"/>
        <v>3901537.8654068313</v>
      </c>
      <c r="AS120" s="18">
        <f>IF(BD120&lt;&gt;1,"",DATA_INPUT!$I120)</f>
        <v>1.4001686698914286</v>
      </c>
      <c r="AT120" s="18">
        <f>IF(BD120&lt;&gt;1,"",AS120*CONTROL_PANEL!$B$5)</f>
        <v>132876.00677269656</v>
      </c>
      <c r="AU120" s="18">
        <f>IF(BD120&lt;&gt;1,"",DATA_INPUT!$C120)</f>
        <v>26.000000000000007</v>
      </c>
      <c r="AV120" s="18">
        <f t="shared" si="57"/>
        <v>101439.98450057764</v>
      </c>
      <c r="AW120" s="18">
        <f>IF(BD120&lt;&gt;1,"",DATA_INPUT!$H120)</f>
        <v>101.78870023658827</v>
      </c>
      <c r="AX120" s="18">
        <f t="shared" si="58"/>
        <v>397132.4682435944</v>
      </c>
      <c r="AY120" s="18">
        <f>IF(BD120&lt;&gt;1,"",AT120*CONTROL_PANEL!$B$14)</f>
        <v>9301.3204740887595</v>
      </c>
      <c r="AZ120" s="18">
        <f>IF(BD120&lt;&gt;1,"",DATA_INPUT!$M120)</f>
        <v>316923.52847483393</v>
      </c>
      <c r="BA120" s="18">
        <f t="shared" si="59"/>
        <v>31627642.635320783</v>
      </c>
      <c r="BB120" s="18">
        <f>IF(BD120&lt;&gt;1,"",IF(BA120-CONTROL_PANEL!$B$11&lt;0,0,BA120-CONTROL_PANEL!$B$11))</f>
        <v>0</v>
      </c>
      <c r="BC120" s="18">
        <f>IF(BD120&lt;&gt;1,"",IF(AZ120&lt;=0,0,MIN(AZ120,MAX(0,CONTROL_PANEL!$B$13-BA120))))</f>
        <v>0</v>
      </c>
      <c r="BD120" s="18">
        <v>1</v>
      </c>
      <c r="BF120" s="19">
        <f t="shared" si="78"/>
        <v>2025</v>
      </c>
      <c r="BG120" s="19">
        <v>5</v>
      </c>
      <c r="BH120" s="18">
        <f t="shared" si="60"/>
        <v>31</v>
      </c>
      <c r="BI120" s="18">
        <f t="shared" si="88"/>
        <v>261.08454145602644</v>
      </c>
      <c r="BJ120" s="18">
        <f>IF(BW119&lt;&gt;1,"",IF(BT119&gt;0,IF(BT119&gt;CONTROL_PANEL!$B$11,CONTROL_PANEL!$B$11,BT119),0))</f>
        <v>37888488.451957926</v>
      </c>
      <c r="BK120" s="18">
        <f t="shared" si="83"/>
        <v>4357579.5858820258</v>
      </c>
      <c r="BL120" s="18">
        <f>IF(BW120&lt;&gt;1,"",DATA_INPUT!$I120)</f>
        <v>1.4001686698914286</v>
      </c>
      <c r="BM120" s="18">
        <f>IF(BW120&lt;&gt;1,"",BL120*CONTROL_PANEL!$B$5)</f>
        <v>132876.00677269656</v>
      </c>
      <c r="BN120" s="18">
        <f>IF(BW120&lt;&gt;1,"",DATA_INPUT!$C120)</f>
        <v>26.000000000000007</v>
      </c>
      <c r="BO120" s="18">
        <f t="shared" si="62"/>
        <v>113297.0692329327</v>
      </c>
      <c r="BP120" s="18">
        <f>IF(BW120&lt;&gt;1,"",DATA_INPUT!$H120)</f>
        <v>101.78870023658827</v>
      </c>
      <c r="BQ120" s="18">
        <f t="shared" si="63"/>
        <v>443552.36222442199</v>
      </c>
      <c r="BR120" s="18">
        <f>IF(BW120&lt;&gt;1,"",BM120*CONTROL_PANEL!$B$14)</f>
        <v>9301.3204740887595</v>
      </c>
      <c r="BS120" s="18">
        <f>IF(BW120&lt;&gt;1,"",DATA_INPUT!$N120)</f>
        <v>253079.95020304402</v>
      </c>
      <c r="BT120" s="18">
        <f t="shared" si="64"/>
        <v>37428727.895062</v>
      </c>
      <c r="BU120" s="18">
        <f>IF(BW120&lt;&gt;1,"",IF(BT120-CONTROL_PANEL!$B$11&lt;0,0,BT120-CONTROL_PANEL!$B$11))</f>
        <v>0</v>
      </c>
      <c r="BV120" s="18">
        <f>IF(BW120&lt;&gt;1,"",IF(BS120&lt;=0,0,MIN(BS120,MAX(0,CONTROL_PANEL!$B$13-BT120))))</f>
        <v>0</v>
      </c>
      <c r="BW120" s="18">
        <v>1</v>
      </c>
      <c r="BY120" s="19">
        <f t="shared" si="79"/>
        <v>2025</v>
      </c>
      <c r="BZ120" s="19">
        <v>5</v>
      </c>
      <c r="CA120" s="18">
        <f t="shared" si="65"/>
        <v>31</v>
      </c>
      <c r="CB120" s="18">
        <f t="shared" si="89"/>
        <v>259.43096057851938</v>
      </c>
      <c r="CC120" s="18">
        <f>IF(CP119&lt;&gt;1,"",IF(CM119&gt;0,IF(CM119&gt;CONTROL_PANEL!$B$11,CONTROL_PANEL!$B$11,CM119),0))</f>
        <v>31089263.609877534</v>
      </c>
      <c r="CD120" s="18">
        <f t="shared" si="84"/>
        <v>3817606.3740873649</v>
      </c>
      <c r="CE120" s="18">
        <f>IF(CP120&lt;&gt;1,"",DATA_INPUT!$I120)</f>
        <v>1.4001686698914286</v>
      </c>
      <c r="CF120" s="18">
        <f>IF(CP120&lt;&gt;1,"",CE120*CONTROL_PANEL!$B$5)</f>
        <v>132876.00677269656</v>
      </c>
      <c r="CG120" s="18">
        <f>IF(CP120&lt;&gt;1,"",DATA_INPUT!$C120)</f>
        <v>26.000000000000007</v>
      </c>
      <c r="CH120" s="18">
        <f t="shared" si="67"/>
        <v>99257.765726271507</v>
      </c>
      <c r="CI120" s="18">
        <f>IF(CP120&lt;&gt;1,"",DATA_INPUT!$H120)</f>
        <v>101.78870023658827</v>
      </c>
      <c r="CJ120" s="18">
        <f t="shared" si="68"/>
        <v>388589.19083326746</v>
      </c>
      <c r="CK120" s="18">
        <f>IF(CP120&lt;&gt;1,"",CF120*CONTROL_PANEL!$B$14)</f>
        <v>9301.3204740887595</v>
      </c>
      <c r="CL120" s="18">
        <f>IF(CP120&lt;&gt;1,"",DATA_INPUT!$O120)</f>
        <v>288025.8810089</v>
      </c>
      <c r="CM120" s="18">
        <f t="shared" si="69"/>
        <v>30635480.990060247</v>
      </c>
      <c r="CN120" s="18">
        <f>IF(CP120&lt;&gt;1,"",IF(CM120-CONTROL_PANEL!$B$11&lt;0,0,CM120-CONTROL_PANEL!$B$11))</f>
        <v>0</v>
      </c>
      <c r="CO120" s="18">
        <f>IF(CP120&lt;&gt;1,"",IF(CL120&lt;=0,0,MIN(CL120,MAX(0,CONTROL_PANEL!$B$13-CM120))))</f>
        <v>0</v>
      </c>
      <c r="CP120" s="18">
        <v>1</v>
      </c>
    </row>
    <row r="121" spans="1:94" x14ac:dyDescent="0.25">
      <c r="A121" s="19">
        <f t="shared" si="75"/>
        <v>2025</v>
      </c>
      <c r="B121" s="19">
        <v>6</v>
      </c>
      <c r="C121" s="18">
        <f t="shared" si="45"/>
        <v>30</v>
      </c>
      <c r="D121" s="18">
        <f t="shared" si="85"/>
        <v>260.58158726221427</v>
      </c>
      <c r="E121" s="18">
        <f>IF(R120&lt;&gt;1,"",IF(O120&gt;0,IF(O120&gt;CONTROL_PANEL!$B$11,CONTROL_PANEL!$B$11,O120),0))</f>
        <v>35724898.900677525</v>
      </c>
      <c r="F121" s="18">
        <f t="shared" si="80"/>
        <v>4189524.8955226801</v>
      </c>
      <c r="G121" s="18">
        <f>IF(R121&lt;&gt;1,"",DATA_INPUT!I121)</f>
        <v>0.20882567987723771</v>
      </c>
      <c r="H121" s="18">
        <f>IF(R121&lt;&gt;1,"",G121*CONTROL_PANEL!$B$5)</f>
        <v>19817.557020349857</v>
      </c>
      <c r="I121" s="18">
        <f>IF(R121&lt;&gt;1,"",DATA_INPUT!C121)</f>
        <v>53.3</v>
      </c>
      <c r="J121" s="18">
        <f t="shared" si="47"/>
        <v>223301.67693135884</v>
      </c>
      <c r="K121" s="18">
        <f>IF(R121&lt;&gt;1,"",DATA_INPUT!H121)</f>
        <v>152.22441354368019</v>
      </c>
      <c r="L121" s="18">
        <f t="shared" si="48"/>
        <v>637747.970247588</v>
      </c>
      <c r="M121" s="18">
        <f>IF(R121&lt;&gt;1,"",H121*CONTROL_PANEL!$B$14)</f>
        <v>1387.2289914244902</v>
      </c>
      <c r="N121" s="18">
        <f>IF(R121&lt;&gt;1,"",DATA_INPUT!K121)</f>
        <v>1186080.9397020265</v>
      </c>
      <c r="O121" s="18">
        <f t="shared" si="49"/>
        <v>34142801.995688193</v>
      </c>
      <c r="P121" s="18">
        <f>IF(R121&lt;&gt;1,"",IF(O121-CONTROL_PANEL!$B$11&lt;0,0,O121-CONTROL_PANEL!$B$11))</f>
        <v>0</v>
      </c>
      <c r="Q121" s="18">
        <f>IF(R121&lt;&gt;1,"",IF(N121&lt;=0,0,MIN(N121,MAX(0,CONTROL_PANEL!$B$13-O121))))</f>
        <v>0</v>
      </c>
      <c r="R121" s="18">
        <v>1</v>
      </c>
      <c r="T121" s="19">
        <f t="shared" si="76"/>
        <v>2025</v>
      </c>
      <c r="U121" s="19">
        <v>6</v>
      </c>
      <c r="V121" s="18">
        <f t="shared" si="50"/>
        <v>30</v>
      </c>
      <c r="W121" s="18">
        <f t="shared" si="86"/>
        <v>257.04027505112953</v>
      </c>
      <c r="X121" s="18">
        <f>IF(AK120&lt;&gt;1,"",IF(AH120&gt;0,IF(AH120&gt;CONTROL_PANEL!$B$11,CONTROL_PANEL!$B$11,AH120),0))</f>
        <v>22779561.816280458</v>
      </c>
      <c r="Y121" s="18">
        <f t="shared" si="81"/>
        <v>3100627.6142338328</v>
      </c>
      <c r="Z121" s="18">
        <f>IF(AK121&lt;&gt;1,"",DATA_INPUT!I121)</f>
        <v>0.20882567987723771</v>
      </c>
      <c r="AA121" s="18">
        <f>IF(AK121&lt;&gt;1,"",Z121*CONTROL_PANEL!$B$5)</f>
        <v>19817.557020349857</v>
      </c>
      <c r="AB121" s="18">
        <f>IF(AK121&lt;&gt;1,"",DATA_INPUT!$C121)</f>
        <v>53.3</v>
      </c>
      <c r="AC121" s="18">
        <f t="shared" si="52"/>
        <v>165263.45183866328</v>
      </c>
      <c r="AD121" s="18">
        <f>IF(AK121&lt;&gt;1,"",DATA_INPUT!$H121)</f>
        <v>152.22441354368019</v>
      </c>
      <c r="AE121" s="18">
        <f t="shared" si="53"/>
        <v>471991.22019408544</v>
      </c>
      <c r="AF121" s="18">
        <f>IF(AK121&lt;&gt;1,"",AA121*CONTROL_PANEL!$B$14)</f>
        <v>1387.2289914244902</v>
      </c>
      <c r="AG121" s="18">
        <f>IF(AK121&lt;&gt;1,"",DATA_INPUT!$L121)</f>
        <v>1500439.8429118483</v>
      </c>
      <c r="AH121" s="18">
        <f t="shared" si="54"/>
        <v>20990824.533042114</v>
      </c>
      <c r="AI121" s="18">
        <f>IF(AK121&lt;&gt;1,"",IF(AH121-CONTROL_PANEL!$B$11&lt;0,0,AH121-CONTROL_PANEL!$B$11))</f>
        <v>0</v>
      </c>
      <c r="AJ121" s="18">
        <f>IF(AK121&lt;&gt;1,"",IF(AG121&lt;=0,0,MIN(AG121,MAX(0,CONTROL_PANEL!$B$13-AH121))))</f>
        <v>0</v>
      </c>
      <c r="AK121" s="18">
        <v>1</v>
      </c>
      <c r="AM121" s="19">
        <f t="shared" si="77"/>
        <v>2025</v>
      </c>
      <c r="AN121" s="19">
        <v>6</v>
      </c>
      <c r="AO121" s="18">
        <f t="shared" si="55"/>
        <v>30</v>
      </c>
      <c r="AP121" s="18">
        <f t="shared" si="87"/>
        <v>259.57024830665137</v>
      </c>
      <c r="AQ121" s="18">
        <f>IF(BD120&lt;&gt;1,"",IF(BA120&gt;0,IF(BA120&gt;CONTROL_PANEL!$B$11,CONTROL_PANEL!$B$11,BA120),0))</f>
        <v>31627642.635320783</v>
      </c>
      <c r="AR121" s="18">
        <f t="shared" si="82"/>
        <v>3861700.0008207806</v>
      </c>
      <c r="AS121" s="18">
        <f>IF(BD121&lt;&gt;1,"",DATA_INPUT!$I121)</f>
        <v>0.20882567987723771</v>
      </c>
      <c r="AT121" s="18">
        <f>IF(BD121&lt;&gt;1,"",AS121*CONTROL_PANEL!$B$5)</f>
        <v>19817.557020349857</v>
      </c>
      <c r="AU121" s="18">
        <f>IF(BD121&lt;&gt;1,"",DATA_INPUT!$C121)</f>
        <v>53.3</v>
      </c>
      <c r="AV121" s="18">
        <f t="shared" si="57"/>
        <v>205828.61004374761</v>
      </c>
      <c r="AW121" s="18">
        <f>IF(BD121&lt;&gt;1,"",DATA_INPUT!$H121)</f>
        <v>152.22441354368019</v>
      </c>
      <c r="AX121" s="18">
        <f t="shared" si="58"/>
        <v>587845.01790657255</v>
      </c>
      <c r="AY121" s="18">
        <f>IF(BD121&lt;&gt;1,"",AT121*CONTROL_PANEL!$B$14)</f>
        <v>1387.2289914244902</v>
      </c>
      <c r="AZ121" s="18">
        <f>IF(BD121&lt;&gt;1,"",DATA_INPUT!$M121)</f>
        <v>1267787.3923672521</v>
      </c>
      <c r="BA121" s="18">
        <f t="shared" si="59"/>
        <v>29996269.163119633</v>
      </c>
      <c r="BB121" s="18">
        <f>IF(BD121&lt;&gt;1,"",IF(BA121-CONTROL_PANEL!$B$11&lt;0,0,BA121-CONTROL_PANEL!$B$11))</f>
        <v>0</v>
      </c>
      <c r="BC121" s="18">
        <f>IF(BD121&lt;&gt;1,"",IF(AZ121&lt;=0,0,MIN(AZ121,MAX(0,CONTROL_PANEL!$B$13-BA121))))</f>
        <v>0</v>
      </c>
      <c r="BD121" s="18">
        <v>1</v>
      </c>
      <c r="BF121" s="19">
        <f t="shared" si="78"/>
        <v>2025</v>
      </c>
      <c r="BG121" s="19">
        <v>6</v>
      </c>
      <c r="BH121" s="18">
        <f t="shared" si="60"/>
        <v>30</v>
      </c>
      <c r="BI121" s="18">
        <f t="shared" si="88"/>
        <v>260.97930370721639</v>
      </c>
      <c r="BJ121" s="18">
        <f>IF(BW120&lt;&gt;1,"",IF(BT120&gt;0,IF(BT120&gt;CONTROL_PANEL!$B$11,CONTROL_PANEL!$B$11,BT120),0))</f>
        <v>37428727.895062</v>
      </c>
      <c r="BK121" s="18">
        <f t="shared" si="83"/>
        <v>4322139.8444945887</v>
      </c>
      <c r="BL121" s="18">
        <f>IF(BW121&lt;&gt;1,"",DATA_INPUT!$I121)</f>
        <v>0.20882567987723771</v>
      </c>
      <c r="BM121" s="18">
        <f>IF(BW121&lt;&gt;1,"",BL121*CONTROL_PANEL!$B$5)</f>
        <v>19817.557020349857</v>
      </c>
      <c r="BN121" s="18">
        <f>IF(BW121&lt;&gt;1,"",DATA_INPUT!$C121)</f>
        <v>53.3</v>
      </c>
      <c r="BO121" s="18">
        <f t="shared" si="62"/>
        <v>230370.05371156157</v>
      </c>
      <c r="BP121" s="18">
        <f>IF(BW121&lt;&gt;1,"",DATA_INPUT!$H121)</f>
        <v>152.22441354368019</v>
      </c>
      <c r="BQ121" s="18">
        <f t="shared" si="63"/>
        <v>657935.20308196184</v>
      </c>
      <c r="BR121" s="18">
        <f>IF(BW121&lt;&gt;1,"",BM121*CONTROL_PANEL!$B$14)</f>
        <v>1387.2289914244902</v>
      </c>
      <c r="BS121" s="18">
        <f>IF(BW121&lt;&gt;1,"",DATA_INPUT!$N121)</f>
        <v>1113980.0240993481</v>
      </c>
      <c r="BT121" s="18">
        <f t="shared" si="64"/>
        <v>35905613.04962118</v>
      </c>
      <c r="BU121" s="18">
        <f>IF(BW121&lt;&gt;1,"",IF(BT121-CONTROL_PANEL!$B$11&lt;0,0,BT121-CONTROL_PANEL!$B$11))</f>
        <v>0</v>
      </c>
      <c r="BV121" s="18">
        <f>IF(BW121&lt;&gt;1,"",IF(BS121&lt;=0,0,MIN(BS121,MAX(0,CONTROL_PANEL!$B$13-BT121))))</f>
        <v>0</v>
      </c>
      <c r="BW121" s="18">
        <v>1</v>
      </c>
      <c r="BY121" s="19">
        <f t="shared" si="79"/>
        <v>2025</v>
      </c>
      <c r="BZ121" s="19">
        <v>6</v>
      </c>
      <c r="CA121" s="18">
        <f t="shared" si="65"/>
        <v>30</v>
      </c>
      <c r="CB121" s="18">
        <f t="shared" si="89"/>
        <v>259.3123009006336</v>
      </c>
      <c r="CC121" s="18">
        <f>IF(CP120&lt;&gt;1,"",IF(CM120&gt;0,IF(CM120&gt;CONTROL_PANEL!$B$11,CONTROL_PANEL!$B$11,CM120),0))</f>
        <v>30635480.990060247</v>
      </c>
      <c r="CD121" s="18">
        <f t="shared" si="84"/>
        <v>3780244.549695645</v>
      </c>
      <c r="CE121" s="18">
        <f>IF(CP121&lt;&gt;1,"",DATA_INPUT!$I121)</f>
        <v>0.20882567987723771</v>
      </c>
      <c r="CF121" s="18">
        <f>IF(CP121&lt;&gt;1,"",CE121*CONTROL_PANEL!$B$5)</f>
        <v>19817.557020349857</v>
      </c>
      <c r="CG121" s="18">
        <f>IF(CP121&lt;&gt;1,"",DATA_INPUT!$C121)</f>
        <v>53.3</v>
      </c>
      <c r="CH121" s="18">
        <f t="shared" si="67"/>
        <v>201487.03449877788</v>
      </c>
      <c r="CI121" s="18">
        <f>IF(CP121&lt;&gt;1,"",DATA_INPUT!$H121)</f>
        <v>152.22441354368019</v>
      </c>
      <c r="CJ121" s="18">
        <f t="shared" si="68"/>
        <v>575445.5096291129</v>
      </c>
      <c r="CK121" s="18">
        <f>IF(CP121&lt;&gt;1,"",CF121*CONTROL_PANEL!$B$14)</f>
        <v>1387.2289914244902</v>
      </c>
      <c r="CL121" s="18">
        <f>IF(CP121&lt;&gt;1,"",DATA_INPUT!$O121)</f>
        <v>1270648.7627557861</v>
      </c>
      <c r="CM121" s="18">
        <f t="shared" si="69"/>
        <v>29009304.080203053</v>
      </c>
      <c r="CN121" s="18">
        <f>IF(CP121&lt;&gt;1,"",IF(CM121-CONTROL_PANEL!$B$11&lt;0,0,CM121-CONTROL_PANEL!$B$11))</f>
        <v>0</v>
      </c>
      <c r="CO121" s="18">
        <f>IF(CP121&lt;&gt;1,"",IF(CL121&lt;=0,0,MIN(CL121,MAX(0,CONTROL_PANEL!$B$13-CM121))))</f>
        <v>0</v>
      </c>
      <c r="CP121" s="18">
        <v>1</v>
      </c>
    </row>
    <row r="122" spans="1:94" x14ac:dyDescent="0.25">
      <c r="A122" s="19">
        <f t="shared" si="75"/>
        <v>2025</v>
      </c>
      <c r="B122" s="19">
        <v>7</v>
      </c>
      <c r="C122" s="18">
        <f t="shared" si="45"/>
        <v>31</v>
      </c>
      <c r="D122" s="18">
        <f t="shared" si="85"/>
        <v>260.20075953832435</v>
      </c>
      <c r="E122" s="18">
        <f>IF(R121&lt;&gt;1,"",IF(O121&gt;0,IF(O121&gt;CONTROL_PANEL!$B$11,CONTROL_PANEL!$B$11,O121),0))</f>
        <v>34142801.995688193</v>
      </c>
      <c r="F122" s="18">
        <f t="shared" si="80"/>
        <v>4064496.7796028438</v>
      </c>
      <c r="G122" s="18">
        <f>IF(R122&lt;&gt;1,"",DATA_INPUT!I122)</f>
        <v>2.8911194496632368E-2</v>
      </c>
      <c r="H122" s="18">
        <f>IF(R122&lt;&gt;1,"",G122*CONTROL_PANEL!$B$5)</f>
        <v>2743.6723577304119</v>
      </c>
      <c r="I122" s="18">
        <f>IF(R122&lt;&gt;1,"",DATA_INPUT!C122)</f>
        <v>2.1</v>
      </c>
      <c r="J122" s="18">
        <f t="shared" si="47"/>
        <v>8535.4432371659732</v>
      </c>
      <c r="K122" s="18">
        <f>IF(R122&lt;&gt;1,"",DATA_INPUT!H122)</f>
        <v>158.24453489154598</v>
      </c>
      <c r="L122" s="18">
        <f t="shared" si="48"/>
        <v>643184.40245643852</v>
      </c>
      <c r="M122" s="18">
        <f>IF(R122&lt;&gt;1,"",H122*CONTROL_PANEL!$B$14)</f>
        <v>192.05706504112885</v>
      </c>
      <c r="N122" s="18">
        <f>IF(R122&lt;&gt;1,"",DATA_INPUT!K122)</f>
        <v>1756788.791461505</v>
      </c>
      <c r="O122" s="18">
        <f t="shared" si="49"/>
        <v>31753915.860300101</v>
      </c>
      <c r="P122" s="18">
        <f>IF(R122&lt;&gt;1,"",IF(O122-CONTROL_PANEL!$B$11&lt;0,0,O122-CONTROL_PANEL!$B$11))</f>
        <v>0</v>
      </c>
      <c r="Q122" s="18">
        <f>IF(R122&lt;&gt;1,"",IF(N122&lt;=0,0,MIN(N122,MAX(0,CONTROL_PANEL!$B$13-O122))))</f>
        <v>0</v>
      </c>
      <c r="R122" s="18">
        <v>1</v>
      </c>
      <c r="T122" s="19">
        <f t="shared" si="76"/>
        <v>2025</v>
      </c>
      <c r="U122" s="19">
        <v>7</v>
      </c>
      <c r="V122" s="18">
        <f t="shared" si="50"/>
        <v>31</v>
      </c>
      <c r="W122" s="18">
        <f t="shared" si="86"/>
        <v>256.45145669365849</v>
      </c>
      <c r="X122" s="18">
        <f>IF(AK121&lt;&gt;1,"",IF(AH121&gt;0,IF(AH121&gt;CONTROL_PANEL!$B$11,CONTROL_PANEL!$B$11,AH121),0))</f>
        <v>20990824.533042114</v>
      </c>
      <c r="Y122" s="18">
        <f t="shared" si="81"/>
        <v>2935580.2964067459</v>
      </c>
      <c r="Z122" s="18">
        <f>IF(AK122&lt;&gt;1,"",DATA_INPUT!I122)</f>
        <v>2.8911194496632368E-2</v>
      </c>
      <c r="AA122" s="18">
        <f>IF(AK122&lt;&gt;1,"",Z122*CONTROL_PANEL!$B$5)</f>
        <v>2743.6723577304119</v>
      </c>
      <c r="AB122" s="18">
        <f>IF(AK122&lt;&gt;1,"",DATA_INPUT!$C122)</f>
        <v>2.1</v>
      </c>
      <c r="AC122" s="18">
        <f t="shared" si="52"/>
        <v>6164.7186224541665</v>
      </c>
      <c r="AD122" s="18">
        <f>IF(AK122&lt;&gt;1,"",DATA_INPUT!$H122)</f>
        <v>158.24453489154598</v>
      </c>
      <c r="AE122" s="18">
        <f t="shared" si="53"/>
        <v>464539.53864167217</v>
      </c>
      <c r="AF122" s="18">
        <f>IF(AK122&lt;&gt;1,"",AA122*CONTROL_PANEL!$B$14)</f>
        <v>192.05706504112885</v>
      </c>
      <c r="AG122" s="18">
        <f>IF(AK122&lt;&gt;1,"",DATA_INPUT!$L122)</f>
        <v>2226213.4477965455</v>
      </c>
      <c r="AH122" s="18">
        <f t="shared" si="54"/>
        <v>18308787.88051904</v>
      </c>
      <c r="AI122" s="18">
        <f>IF(AK122&lt;&gt;1,"",IF(AH122-CONTROL_PANEL!$B$11&lt;0,0,AH122-CONTROL_PANEL!$B$11))</f>
        <v>0</v>
      </c>
      <c r="AJ122" s="18">
        <f>IF(AK122&lt;&gt;1,"",IF(AG122&lt;=0,0,MIN(AG122,MAX(0,CONTROL_PANEL!$B$13-AH122))))</f>
        <v>0</v>
      </c>
      <c r="AK122" s="18">
        <v>1</v>
      </c>
      <c r="AM122" s="19">
        <f t="shared" si="77"/>
        <v>2025</v>
      </c>
      <c r="AN122" s="19">
        <v>7</v>
      </c>
      <c r="AO122" s="18">
        <f t="shared" si="55"/>
        <v>31</v>
      </c>
      <c r="AP122" s="18">
        <f t="shared" si="87"/>
        <v>259.1431420798246</v>
      </c>
      <c r="AQ122" s="18">
        <f>IF(BD121&lt;&gt;1,"",IF(BA121&gt;0,IF(BA121&gt;CONTROL_PANEL!$B$11,CONTROL_PANEL!$B$11,BA121),0))</f>
        <v>29996269.163119633</v>
      </c>
      <c r="AR122" s="18">
        <f t="shared" si="82"/>
        <v>3727303.0656833551</v>
      </c>
      <c r="AS122" s="18">
        <f>IF(BD122&lt;&gt;1,"",DATA_INPUT!$I122)</f>
        <v>2.8911194496632368E-2</v>
      </c>
      <c r="AT122" s="18">
        <f>IF(BD122&lt;&gt;1,"",AS122*CONTROL_PANEL!$B$5)</f>
        <v>2743.6723577304119</v>
      </c>
      <c r="AU122" s="18">
        <f>IF(BD122&lt;&gt;1,"",DATA_INPUT!$C122)</f>
        <v>2.1</v>
      </c>
      <c r="AV122" s="18">
        <f t="shared" si="57"/>
        <v>7827.336437935046</v>
      </c>
      <c r="AW122" s="18">
        <f>IF(BD122&lt;&gt;1,"",DATA_INPUT!$H122)</f>
        <v>158.24453489154598</v>
      </c>
      <c r="AX122" s="18">
        <f t="shared" si="58"/>
        <v>589825.340028896</v>
      </c>
      <c r="AY122" s="18">
        <f>IF(BD122&lt;&gt;1,"",AT122*CONTROL_PANEL!$B$14)</f>
        <v>192.05706504112885</v>
      </c>
      <c r="AZ122" s="18">
        <f>IF(BD122&lt;&gt;1,"",DATA_INPUT!$M122)</f>
        <v>1936252.6931529779</v>
      </c>
      <c r="BA122" s="18">
        <f t="shared" si="59"/>
        <v>27480570.081668384</v>
      </c>
      <c r="BB122" s="18">
        <f>IF(BD122&lt;&gt;1,"",IF(BA122-CONTROL_PANEL!$B$11&lt;0,0,BA122-CONTROL_PANEL!$B$11))</f>
        <v>0</v>
      </c>
      <c r="BC122" s="18">
        <f>IF(BD122&lt;&gt;1,"",IF(AZ122&lt;=0,0,MIN(AZ122,MAX(0,CONTROL_PANEL!$B$13-BA122))))</f>
        <v>0</v>
      </c>
      <c r="BD122" s="18">
        <v>1</v>
      </c>
      <c r="BF122" s="19">
        <f t="shared" si="78"/>
        <v>2025</v>
      </c>
      <c r="BG122" s="19">
        <v>7</v>
      </c>
      <c r="BH122" s="18">
        <f t="shared" si="60"/>
        <v>31</v>
      </c>
      <c r="BI122" s="18">
        <f t="shared" si="88"/>
        <v>260.62436407453072</v>
      </c>
      <c r="BJ122" s="18">
        <f>IF(BW121&lt;&gt;1,"",IF(BT121&gt;0,IF(BT121&gt;CONTROL_PANEL!$B$11,CONTROL_PANEL!$B$11,BT121),0))</f>
        <v>35905613.04962118</v>
      </c>
      <c r="BK122" s="18">
        <f t="shared" si="83"/>
        <v>4203688.2880511619</v>
      </c>
      <c r="BL122" s="18">
        <f>IF(BW122&lt;&gt;1,"",DATA_INPUT!$I122)</f>
        <v>2.8911194496632368E-2</v>
      </c>
      <c r="BM122" s="18">
        <f>IF(BW122&lt;&gt;1,"",BL122*CONTROL_PANEL!$B$5)</f>
        <v>2743.6723577304119</v>
      </c>
      <c r="BN122" s="18">
        <f>IF(BW122&lt;&gt;1,"",DATA_INPUT!$C122)</f>
        <v>2.1</v>
      </c>
      <c r="BO122" s="18">
        <f t="shared" si="62"/>
        <v>8827.7454049074404</v>
      </c>
      <c r="BP122" s="18">
        <f>IF(BW122&lt;&gt;1,"",DATA_INPUT!$H122)</f>
        <v>158.24453489154598</v>
      </c>
      <c r="BQ122" s="18">
        <f t="shared" si="63"/>
        <v>665210.69797169534</v>
      </c>
      <c r="BR122" s="18">
        <f>IF(BW122&lt;&gt;1,"",BM122*CONTROL_PANEL!$B$14)</f>
        <v>192.05706504112885</v>
      </c>
      <c r="BS122" s="18">
        <f>IF(BW122&lt;&gt;1,"",DATA_INPUT!$N122)</f>
        <v>1755226.6794698585</v>
      </c>
      <c r="BT122" s="18">
        <f t="shared" si="64"/>
        <v>33496555.032877222</v>
      </c>
      <c r="BU122" s="18">
        <f>IF(BW122&lt;&gt;1,"",IF(BT122-CONTROL_PANEL!$B$11&lt;0,0,BT122-CONTROL_PANEL!$B$11))</f>
        <v>0</v>
      </c>
      <c r="BV122" s="18">
        <f>IF(BW122&lt;&gt;1,"",IF(BS122&lt;=0,0,MIN(BS122,MAX(0,CONTROL_PANEL!$B$13-BT122))))</f>
        <v>0</v>
      </c>
      <c r="BW122" s="18">
        <v>1</v>
      </c>
      <c r="BY122" s="19">
        <f t="shared" si="79"/>
        <v>2025</v>
      </c>
      <c r="BZ122" s="19">
        <v>7</v>
      </c>
      <c r="CA122" s="18">
        <f t="shared" si="65"/>
        <v>31</v>
      </c>
      <c r="CB122" s="18">
        <f t="shared" si="89"/>
        <v>258.87715367334204</v>
      </c>
      <c r="CC122" s="18">
        <f>IF(CP121&lt;&gt;1,"",IF(CM121&gt;0,IF(CM121&gt;CONTROL_PANEL!$B$11,CONTROL_PANEL!$B$11,CM121),0))</f>
        <v>29009304.080203053</v>
      </c>
      <c r="CD122" s="18">
        <f t="shared" si="84"/>
        <v>3644819.3713211669</v>
      </c>
      <c r="CE122" s="18">
        <f>IF(CP122&lt;&gt;1,"",DATA_INPUT!$I122)</f>
        <v>2.8911194496632368E-2</v>
      </c>
      <c r="CF122" s="18">
        <f>IF(CP122&lt;&gt;1,"",CE122*CONTROL_PANEL!$B$5)</f>
        <v>2743.6723577304119</v>
      </c>
      <c r="CG122" s="18">
        <f>IF(CP122&lt;&gt;1,"",DATA_INPUT!$C122)</f>
        <v>2.1</v>
      </c>
      <c r="CH122" s="18">
        <f t="shared" si="67"/>
        <v>7654.1206797744508</v>
      </c>
      <c r="CI122" s="18">
        <f>IF(CP122&lt;&gt;1,"",DATA_INPUT!$H122)</f>
        <v>158.24453489154598</v>
      </c>
      <c r="CJ122" s="18">
        <f t="shared" si="68"/>
        <v>576772.74617841502</v>
      </c>
      <c r="CK122" s="18">
        <f>IF(CP122&lt;&gt;1,"",CF122*CONTROL_PANEL!$B$14)</f>
        <v>192.05706504112885</v>
      </c>
      <c r="CL122" s="18">
        <f>IF(CP122&lt;&gt;1,"",DATA_INPUT!$O122)</f>
        <v>2006781.853884002</v>
      </c>
      <c r="CM122" s="18">
        <f t="shared" si="69"/>
        <v>26435955.216113098</v>
      </c>
      <c r="CN122" s="18">
        <f>IF(CP122&lt;&gt;1,"",IF(CM122-CONTROL_PANEL!$B$11&lt;0,0,CM122-CONTROL_PANEL!$B$11))</f>
        <v>0</v>
      </c>
      <c r="CO122" s="18">
        <f>IF(CP122&lt;&gt;1,"",IF(CL122&lt;=0,0,MIN(CL122,MAX(0,CONTROL_PANEL!$B$13-CM122))))</f>
        <v>0</v>
      </c>
      <c r="CP122" s="18">
        <v>1</v>
      </c>
    </row>
    <row r="123" spans="1:94" x14ac:dyDescent="0.25">
      <c r="A123" s="19">
        <f t="shared" si="75"/>
        <v>2025</v>
      </c>
      <c r="B123" s="19">
        <v>8</v>
      </c>
      <c r="C123" s="18">
        <f t="shared" si="45"/>
        <v>31</v>
      </c>
      <c r="D123" s="18">
        <f t="shared" si="85"/>
        <v>259.60268735192562</v>
      </c>
      <c r="E123" s="18">
        <f>IF(R122&lt;&gt;1,"",IF(O122&gt;0,IF(O122&gt;CONTROL_PANEL!$B$11,CONTROL_PANEL!$B$11,O122),0))</f>
        <v>31753915.860300101</v>
      </c>
      <c r="F123" s="18">
        <f t="shared" si="80"/>
        <v>3872005.777996622</v>
      </c>
      <c r="G123" s="18">
        <f>IF(R123&lt;&gt;1,"",DATA_INPUT!I123)</f>
        <v>3.9602930730601969E-3</v>
      </c>
      <c r="H123" s="18">
        <f>IF(R123&lt;&gt;1,"",G123*CONTROL_PANEL!$B$5)</f>
        <v>375.83181263341271</v>
      </c>
      <c r="I123" s="18">
        <f>IF(R123&lt;&gt;1,"",DATA_INPUT!C123)</f>
        <v>0.7</v>
      </c>
      <c r="J123" s="18">
        <f t="shared" si="47"/>
        <v>2710.4040445976352</v>
      </c>
      <c r="K123" s="18">
        <f>IF(R123&lt;&gt;1,"",DATA_INPUT!H123)</f>
        <v>147.1229298522521</v>
      </c>
      <c r="L123" s="18">
        <f t="shared" si="48"/>
        <v>569660.83446371183</v>
      </c>
      <c r="M123" s="18">
        <f>IF(R123&lt;&gt;1,"",H123*CONTROL_PANEL!$B$14)</f>
        <v>26.308226884338893</v>
      </c>
      <c r="N123" s="18">
        <f>IF(R123&lt;&gt;1,"",DATA_INPUT!K123)</f>
        <v>2143227.5237673512</v>
      </c>
      <c r="O123" s="18">
        <f t="shared" si="49"/>
        <v>29044087.429699387</v>
      </c>
      <c r="P123" s="18">
        <f>IF(R123&lt;&gt;1,"",IF(O123-CONTROL_PANEL!$B$11&lt;0,0,O123-CONTROL_PANEL!$B$11))</f>
        <v>0</v>
      </c>
      <c r="Q123" s="18">
        <f>IF(R123&lt;&gt;1,"",IF(N123&lt;=0,0,MIN(N123,MAX(0,CONTROL_PANEL!$B$13-O123))))</f>
        <v>0</v>
      </c>
      <c r="R123" s="18">
        <v>1</v>
      </c>
      <c r="T123" s="19">
        <f t="shared" si="76"/>
        <v>2025</v>
      </c>
      <c r="U123" s="19">
        <v>8</v>
      </c>
      <c r="V123" s="18">
        <f t="shared" si="50"/>
        <v>31</v>
      </c>
      <c r="W123" s="18">
        <f t="shared" si="86"/>
        <v>255.50207792895634</v>
      </c>
      <c r="X123" s="18">
        <f>IF(AK122&lt;&gt;1,"",IF(AH122&gt;0,IF(AH122&gt;CONTROL_PANEL!$B$11,CONTROL_PANEL!$B$11,AH122),0))</f>
        <v>18308787.88051904</v>
      </c>
      <c r="Y123" s="18">
        <f t="shared" si="81"/>
        <v>2679063.2555337907</v>
      </c>
      <c r="Z123" s="18">
        <f>IF(AK123&lt;&gt;1,"",DATA_INPUT!I123)</f>
        <v>3.9602930730601969E-3</v>
      </c>
      <c r="AA123" s="18">
        <f>IF(AK123&lt;&gt;1,"",Z123*CONTROL_PANEL!$B$5)</f>
        <v>375.83181263341271</v>
      </c>
      <c r="AB123" s="18">
        <f>IF(AK123&lt;&gt;1,"",DATA_INPUT!$C123)</f>
        <v>0.7</v>
      </c>
      <c r="AC123" s="18">
        <f t="shared" si="52"/>
        <v>1875.3442788736534</v>
      </c>
      <c r="AD123" s="18">
        <f>IF(AK123&lt;&gt;1,"",DATA_INPUT!$H123)</f>
        <v>147.1229298522521</v>
      </c>
      <c r="AE123" s="18">
        <f t="shared" si="53"/>
        <v>394151.63541364402</v>
      </c>
      <c r="AF123" s="18">
        <f>IF(AK123&lt;&gt;1,"",AA123*CONTROL_PANEL!$B$14)</f>
        <v>26.308226884338893</v>
      </c>
      <c r="AG123" s="18">
        <f>IF(AK123&lt;&gt;1,"",DATA_INPUT!$L123)</f>
        <v>2721358.3760772571</v>
      </c>
      <c r="AH123" s="18">
        <f t="shared" si="54"/>
        <v>15195502.736892762</v>
      </c>
      <c r="AI123" s="18">
        <f>IF(AK123&lt;&gt;1,"",IF(AH123-CONTROL_PANEL!$B$11&lt;0,0,AH123-CONTROL_PANEL!$B$11))</f>
        <v>0</v>
      </c>
      <c r="AJ123" s="18">
        <f>IF(AK123&lt;&gt;1,"",IF(AG123&lt;=0,0,MIN(AG123,MAX(0,CONTROL_PANEL!$B$13-AH123))))</f>
        <v>0</v>
      </c>
      <c r="AK123" s="18">
        <v>1</v>
      </c>
      <c r="AM123" s="19">
        <f t="shared" si="77"/>
        <v>2025</v>
      </c>
      <c r="AN123" s="19">
        <v>8</v>
      </c>
      <c r="AO123" s="18">
        <f t="shared" si="55"/>
        <v>31</v>
      </c>
      <c r="AP123" s="18">
        <f t="shared" si="87"/>
        <v>258.45293854920749</v>
      </c>
      <c r="AQ123" s="18">
        <f>IF(BD122&lt;&gt;1,"",IF(BA122&gt;0,IF(BA122&gt;CONTROL_PANEL!$B$11,CONTROL_PANEL!$B$11,BA122),0))</f>
        <v>27480570.081668384</v>
      </c>
      <c r="AR123" s="18">
        <f t="shared" si="82"/>
        <v>3515197.4696915392</v>
      </c>
      <c r="AS123" s="18">
        <f>IF(BD123&lt;&gt;1,"",DATA_INPUT!$I123)</f>
        <v>3.9602930730601969E-3</v>
      </c>
      <c r="AT123" s="18">
        <f>IF(BD123&lt;&gt;1,"",AS123*CONTROL_PANEL!$B$5)</f>
        <v>375.83181263341271</v>
      </c>
      <c r="AU123" s="18">
        <f>IF(BD123&lt;&gt;1,"",DATA_INPUT!$C123)</f>
        <v>0.7</v>
      </c>
      <c r="AV123" s="18">
        <f t="shared" si="57"/>
        <v>2460.6382287840775</v>
      </c>
      <c r="AW123" s="18">
        <f>IF(BD123&lt;&gt;1,"",DATA_INPUT!$H123)</f>
        <v>147.1229298522521</v>
      </c>
      <c r="AX123" s="18">
        <f t="shared" si="58"/>
        <v>517166.15075024241</v>
      </c>
      <c r="AY123" s="18">
        <f>IF(BD123&lt;&gt;1,"",AT123*CONTROL_PANEL!$B$14)</f>
        <v>26.308226884338893</v>
      </c>
      <c r="AZ123" s="18">
        <f>IF(BD123&lt;&gt;1,"",DATA_INPUT!$M123)</f>
        <v>2393627.4691222832</v>
      </c>
      <c r="BA123" s="18">
        <f t="shared" si="59"/>
        <v>24572586.623610396</v>
      </c>
      <c r="BB123" s="18">
        <f>IF(BD123&lt;&gt;1,"",IF(BA123-CONTROL_PANEL!$B$11&lt;0,0,BA123-CONTROL_PANEL!$B$11))</f>
        <v>0</v>
      </c>
      <c r="BC123" s="18">
        <f>IF(BD123&lt;&gt;1,"",IF(AZ123&lt;=0,0,MIN(AZ123,MAX(0,CONTROL_PANEL!$B$13-BA123))))</f>
        <v>0</v>
      </c>
      <c r="BD123" s="18">
        <v>1</v>
      </c>
      <c r="BF123" s="19">
        <f t="shared" si="78"/>
        <v>2025</v>
      </c>
      <c r="BG123" s="19">
        <v>8</v>
      </c>
      <c r="BH123" s="18">
        <f t="shared" si="60"/>
        <v>31</v>
      </c>
      <c r="BI123" s="18">
        <f t="shared" si="88"/>
        <v>260.04180400217956</v>
      </c>
      <c r="BJ123" s="18">
        <f>IF(BW122&lt;&gt;1,"",IF(BT122&gt;0,IF(BT122&gt;CONTROL_PANEL!$B$11,CONTROL_PANEL!$B$11,BT122),0))</f>
        <v>33496555.032877222</v>
      </c>
      <c r="BK123" s="18">
        <f t="shared" si="83"/>
        <v>4012876.4321406488</v>
      </c>
      <c r="BL123" s="18">
        <f>IF(BW123&lt;&gt;1,"",DATA_INPUT!$I123)</f>
        <v>3.9602930730601969E-3</v>
      </c>
      <c r="BM123" s="18">
        <f>IF(BW123&lt;&gt;1,"",BL123*CONTROL_PANEL!$B$5)</f>
        <v>375.83181263341271</v>
      </c>
      <c r="BN123" s="18">
        <f>IF(BW123&lt;&gt;1,"",DATA_INPUT!$C123)</f>
        <v>0.7</v>
      </c>
      <c r="BO123" s="18">
        <f t="shared" si="62"/>
        <v>2809.0135024984538</v>
      </c>
      <c r="BP123" s="18">
        <f>IF(BW123&lt;&gt;1,"",DATA_INPUT!$H123)</f>
        <v>147.1229298522521</v>
      </c>
      <c r="BQ123" s="18">
        <f t="shared" si="63"/>
        <v>590386.13783158432</v>
      </c>
      <c r="BR123" s="18">
        <f>IF(BW123&lt;&gt;1,"",BM123*CONTROL_PANEL!$B$14)</f>
        <v>26.308226884338893</v>
      </c>
      <c r="BS123" s="18">
        <f>IF(BW123&lt;&gt;1,"",DATA_INPUT!$N123)</f>
        <v>2194932.6857454083</v>
      </c>
      <c r="BT123" s="18">
        <f t="shared" si="64"/>
        <v>30714394.746388476</v>
      </c>
      <c r="BU123" s="18">
        <f>IF(BW123&lt;&gt;1,"",IF(BT123-CONTROL_PANEL!$B$11&lt;0,0,BT123-CONTROL_PANEL!$B$11))</f>
        <v>0</v>
      </c>
      <c r="BV123" s="18">
        <f>IF(BW123&lt;&gt;1,"",IF(BS123&lt;=0,0,MIN(BS123,MAX(0,CONTROL_PANEL!$B$13-BT123))))</f>
        <v>0</v>
      </c>
      <c r="BW123" s="18">
        <v>1</v>
      </c>
      <c r="BY123" s="19">
        <f t="shared" si="79"/>
        <v>2025</v>
      </c>
      <c r="BZ123" s="19">
        <v>8</v>
      </c>
      <c r="CA123" s="18">
        <f t="shared" si="65"/>
        <v>31</v>
      </c>
      <c r="CB123" s="18">
        <f t="shared" si="89"/>
        <v>258.15390121691587</v>
      </c>
      <c r="CC123" s="18">
        <f>IF(CP122&lt;&gt;1,"",IF(CM122&gt;0,IF(CM122&gt;CONTROL_PANEL!$B$11,CONTROL_PANEL!$B$11,CM122),0))</f>
        <v>26435955.216113098</v>
      </c>
      <c r="CD123" s="18">
        <f t="shared" si="84"/>
        <v>3425248.510190513</v>
      </c>
      <c r="CE123" s="18">
        <f>IF(CP123&lt;&gt;1,"",DATA_INPUT!$I123)</f>
        <v>3.9602930730601969E-3</v>
      </c>
      <c r="CF123" s="18">
        <f>IF(CP123&lt;&gt;1,"",CE123*CONTROL_PANEL!$B$5)</f>
        <v>375.83181263341271</v>
      </c>
      <c r="CG123" s="18">
        <f>IF(CP123&lt;&gt;1,"",DATA_INPUT!$C123)</f>
        <v>0.7</v>
      </c>
      <c r="CH123" s="18">
        <f t="shared" si="67"/>
        <v>2397.6739571333587</v>
      </c>
      <c r="CI123" s="18">
        <f>IF(CP123&lt;&gt;1,"",DATA_INPUT!$H123)</f>
        <v>147.1229298522521</v>
      </c>
      <c r="CJ123" s="18">
        <f t="shared" si="68"/>
        <v>503932.59629128984</v>
      </c>
      <c r="CK123" s="18">
        <f>IF(CP123&lt;&gt;1,"",CF123*CONTROL_PANEL!$B$14)</f>
        <v>26.308226884338893</v>
      </c>
      <c r="CL123" s="18">
        <f>IF(CP123&lt;&gt;1,"",DATA_INPUT!$O123)</f>
        <v>2514991.2908991165</v>
      </c>
      <c r="CM123" s="18">
        <f t="shared" si="69"/>
        <v>23419778.526465572</v>
      </c>
      <c r="CN123" s="18">
        <f>IF(CP123&lt;&gt;1,"",IF(CM123-CONTROL_PANEL!$B$11&lt;0,0,CM123-CONTROL_PANEL!$B$11))</f>
        <v>0</v>
      </c>
      <c r="CO123" s="18">
        <f>IF(CP123&lt;&gt;1,"",IF(CL123&lt;=0,0,MIN(CL123,MAX(0,CONTROL_PANEL!$B$13-CM123))))</f>
        <v>0</v>
      </c>
      <c r="CP123" s="18">
        <v>1</v>
      </c>
    </row>
    <row r="124" spans="1:94" x14ac:dyDescent="0.25">
      <c r="A124" s="19">
        <f t="shared" si="75"/>
        <v>2025</v>
      </c>
      <c r="B124" s="19">
        <v>9</v>
      </c>
      <c r="C124" s="18">
        <f t="shared" si="45"/>
        <v>30</v>
      </c>
      <c r="D124" s="18">
        <f t="shared" si="85"/>
        <v>258.88662990412894</v>
      </c>
      <c r="E124" s="18">
        <f>IF(R123&lt;&gt;1,"",IF(O123&gt;0,IF(O123&gt;CONTROL_PANEL!$B$11,CONTROL_PANEL!$B$11,O123),0))</f>
        <v>29044087.429699387</v>
      </c>
      <c r="F124" s="18">
        <f t="shared" si="80"/>
        <v>3647741.9643880716</v>
      </c>
      <c r="G124" s="18">
        <f>IF(R124&lt;&gt;1,"",DATA_INPUT!I124)</f>
        <v>5.9065090605051052E-4</v>
      </c>
      <c r="H124" s="18">
        <f>IF(R124&lt;&gt;1,"",G124*CONTROL_PANEL!$B$5)</f>
        <v>56.052770984193451</v>
      </c>
      <c r="I124" s="18">
        <f>IF(R124&lt;&gt;1,"",DATA_INPUT!C124)</f>
        <v>13.6</v>
      </c>
      <c r="J124" s="18">
        <f t="shared" si="47"/>
        <v>49609.290715677773</v>
      </c>
      <c r="K124" s="18">
        <f>IF(R124&lt;&gt;1,"",DATA_INPUT!H124)</f>
        <v>98.412742039222465</v>
      </c>
      <c r="L124" s="18">
        <f t="shared" si="48"/>
        <v>358984.28896696994</v>
      </c>
      <c r="M124" s="18">
        <f>IF(R124&lt;&gt;1,"",H124*CONTROL_PANEL!$B$14)</f>
        <v>3.9236939688935419</v>
      </c>
      <c r="N124" s="18">
        <f>IF(R124&lt;&gt;1,"",DATA_INPUT!K124)</f>
        <v>864793.42322262237</v>
      </c>
      <c r="O124" s="18">
        <f t="shared" si="49"/>
        <v>27869971.137302488</v>
      </c>
      <c r="P124" s="18">
        <f>IF(R124&lt;&gt;1,"",IF(O124-CONTROL_PANEL!$B$11&lt;0,0,O124-CONTROL_PANEL!$B$11))</f>
        <v>0</v>
      </c>
      <c r="Q124" s="18">
        <f>IF(R124&lt;&gt;1,"",IF(N124&lt;=0,0,MIN(N124,MAX(0,CONTROL_PANEL!$B$13-O124))))</f>
        <v>0</v>
      </c>
      <c r="R124" s="18">
        <v>1</v>
      </c>
      <c r="T124" s="19">
        <f t="shared" si="76"/>
        <v>2025</v>
      </c>
      <c r="U124" s="19">
        <v>9</v>
      </c>
      <c r="V124" s="18">
        <f t="shared" si="50"/>
        <v>30</v>
      </c>
      <c r="W124" s="18">
        <f t="shared" si="86"/>
        <v>254.27502982639731</v>
      </c>
      <c r="X124" s="18">
        <f>IF(AK123&lt;&gt;1,"",IF(AH123&gt;0,IF(AH123&gt;CONTROL_PANEL!$B$11,CONTROL_PANEL!$B$11,AH123),0))</f>
        <v>15195502.736892762</v>
      </c>
      <c r="Y124" s="18">
        <f t="shared" si="81"/>
        <v>2365055.132015781</v>
      </c>
      <c r="Z124" s="18">
        <f>IF(AK124&lt;&gt;1,"",DATA_INPUT!I124)</f>
        <v>5.9065090605051052E-4</v>
      </c>
      <c r="AA124" s="18">
        <f>IF(AK124&lt;&gt;1,"",Z124*CONTROL_PANEL!$B$5)</f>
        <v>56.052770984193451</v>
      </c>
      <c r="AB124" s="18">
        <f>IF(AK124&lt;&gt;1,"",DATA_INPUT!$C124)</f>
        <v>13.6</v>
      </c>
      <c r="AC124" s="18">
        <f t="shared" si="52"/>
        <v>32164.74979541462</v>
      </c>
      <c r="AD124" s="18">
        <f>IF(AK124&lt;&gt;1,"",DATA_INPUT!$H124)</f>
        <v>98.412742039222465</v>
      </c>
      <c r="AE124" s="18">
        <f t="shared" si="53"/>
        <v>232751.56061560826</v>
      </c>
      <c r="AF124" s="18">
        <f>IF(AK124&lt;&gt;1,"",AA124*CONTROL_PANEL!$B$14)</f>
        <v>3.9236939688935419</v>
      </c>
      <c r="AG124" s="18">
        <f>IF(AK124&lt;&gt;1,"",DATA_INPUT!$L124)</f>
        <v>1098114.9771094767</v>
      </c>
      <c r="AH124" s="18">
        <f t="shared" si="54"/>
        <v>13896853.078040106</v>
      </c>
      <c r="AI124" s="18">
        <f>IF(AK124&lt;&gt;1,"",IF(AH124-CONTROL_PANEL!$B$11&lt;0,0,AH124-CONTROL_PANEL!$B$11))</f>
        <v>0</v>
      </c>
      <c r="AJ124" s="18">
        <f>IF(AK124&lt;&gt;1,"",IF(AG124&lt;=0,0,MIN(AG124,MAX(0,CONTROL_PANEL!$B$13-AH124))))</f>
        <v>0</v>
      </c>
      <c r="AK124" s="18">
        <v>1</v>
      </c>
      <c r="AM124" s="19">
        <f t="shared" si="77"/>
        <v>2025</v>
      </c>
      <c r="AN124" s="19">
        <v>9</v>
      </c>
      <c r="AO124" s="18">
        <f t="shared" si="55"/>
        <v>30</v>
      </c>
      <c r="AP124" s="18">
        <f t="shared" si="87"/>
        <v>257.60023077666392</v>
      </c>
      <c r="AQ124" s="18">
        <f>IF(BD123&lt;&gt;1,"",IF(BA123&gt;0,IF(BA123&gt;CONTROL_PANEL!$B$11,CONTROL_PANEL!$B$11,BA123),0))</f>
        <v>24572586.623610396</v>
      </c>
      <c r="AR124" s="18">
        <f t="shared" si="82"/>
        <v>3261814.4743437441</v>
      </c>
      <c r="AS124" s="18">
        <f>IF(BD124&lt;&gt;1,"",DATA_INPUT!$I124)</f>
        <v>5.9065090605051052E-4</v>
      </c>
      <c r="AT124" s="18">
        <f>IF(BD124&lt;&gt;1,"",AS124*CONTROL_PANEL!$B$5)</f>
        <v>56.052770984193451</v>
      </c>
      <c r="AU124" s="18">
        <f>IF(BD124&lt;&gt;1,"",DATA_INPUT!$C124)</f>
        <v>13.6</v>
      </c>
      <c r="AV124" s="18">
        <f t="shared" si="57"/>
        <v>44360.676851074917</v>
      </c>
      <c r="AW124" s="18">
        <f>IF(BD124&lt;&gt;1,"",DATA_INPUT!$H124)</f>
        <v>98.412742039222465</v>
      </c>
      <c r="AX124" s="18">
        <f t="shared" si="58"/>
        <v>321004.10644339293</v>
      </c>
      <c r="AY124" s="18">
        <f>IF(BD124&lt;&gt;1,"",AT124*CONTROL_PANEL!$B$14)</f>
        <v>3.9236939688935419</v>
      </c>
      <c r="AZ124" s="18">
        <f>IF(BD124&lt;&gt;1,"",DATA_INPUT!$M124)</f>
        <v>968154.12744636612</v>
      </c>
      <c r="BA124" s="18">
        <f t="shared" si="59"/>
        <v>23327841.195648726</v>
      </c>
      <c r="BB124" s="18">
        <f>IF(BD124&lt;&gt;1,"",IF(BA124-CONTROL_PANEL!$B$11&lt;0,0,BA124-CONTROL_PANEL!$B$11))</f>
        <v>0</v>
      </c>
      <c r="BC124" s="18">
        <f>IF(BD124&lt;&gt;1,"",IF(AZ124&lt;=0,0,MIN(AZ124,MAX(0,CONTROL_PANEL!$B$13-BA124))))</f>
        <v>0</v>
      </c>
      <c r="BD124" s="18">
        <v>1</v>
      </c>
      <c r="BF124" s="19">
        <f t="shared" si="78"/>
        <v>2025</v>
      </c>
      <c r="BG124" s="19">
        <v>9</v>
      </c>
      <c r="BH124" s="18">
        <f t="shared" si="60"/>
        <v>30</v>
      </c>
      <c r="BI124" s="18">
        <f t="shared" si="88"/>
        <v>259.33302011926253</v>
      </c>
      <c r="BJ124" s="18">
        <f>IF(BW123&lt;&gt;1,"",IF(BT123&gt;0,IF(BT123&gt;CONTROL_PANEL!$B$11,CONTROL_PANEL!$B$11,BT123),0))</f>
        <v>30714394.746388476</v>
      </c>
      <c r="BK124" s="18">
        <f t="shared" si="83"/>
        <v>3786754.9440039671</v>
      </c>
      <c r="BL124" s="18">
        <f>IF(BW124&lt;&gt;1,"",DATA_INPUT!$I124)</f>
        <v>5.9065090605051052E-4</v>
      </c>
      <c r="BM124" s="18">
        <f>IF(BW124&lt;&gt;1,"",BL124*CONTROL_PANEL!$B$5)</f>
        <v>56.052770984193451</v>
      </c>
      <c r="BN124" s="18">
        <f>IF(BW124&lt;&gt;1,"",DATA_INPUT!$C124)</f>
        <v>13.6</v>
      </c>
      <c r="BO124" s="18">
        <f t="shared" si="62"/>
        <v>51499.867238453953</v>
      </c>
      <c r="BP124" s="18">
        <f>IF(BW124&lt;&gt;1,"",DATA_INPUT!$H124)</f>
        <v>98.412742039222465</v>
      </c>
      <c r="BQ124" s="18">
        <f t="shared" si="63"/>
        <v>372664.93747001275</v>
      </c>
      <c r="BR124" s="18">
        <f>IF(BW124&lt;&gt;1,"",BM124*CONTROL_PANEL!$B$14)</f>
        <v>3.9236939688935419</v>
      </c>
      <c r="BS124" s="18">
        <f>IF(BW124&lt;&gt;1,"",DATA_INPUT!$N124)</f>
        <v>889967.2011036484</v>
      </c>
      <c r="BT124" s="18">
        <f t="shared" si="64"/>
        <v>29503314.604130283</v>
      </c>
      <c r="BU124" s="18">
        <f>IF(BW124&lt;&gt;1,"",IF(BT124-CONTROL_PANEL!$B$11&lt;0,0,BT124-CONTROL_PANEL!$B$11))</f>
        <v>0</v>
      </c>
      <c r="BV124" s="18">
        <f>IF(BW124&lt;&gt;1,"",IF(BS124&lt;=0,0,MIN(BS124,MAX(0,CONTROL_PANEL!$B$13-BT124))))</f>
        <v>0</v>
      </c>
      <c r="BW124" s="18">
        <v>1</v>
      </c>
      <c r="BY124" s="19">
        <f t="shared" si="79"/>
        <v>2025</v>
      </c>
      <c r="BZ124" s="19">
        <v>9</v>
      </c>
      <c r="CA124" s="18">
        <f t="shared" si="65"/>
        <v>30</v>
      </c>
      <c r="CB124" s="18">
        <f t="shared" si="89"/>
        <v>257.24348902573257</v>
      </c>
      <c r="CC124" s="18">
        <f>IF(CP123&lt;&gt;1,"",IF(CM123&gt;0,IF(CM123&gt;CONTROL_PANEL!$B$11,CONTROL_PANEL!$B$11,CM123),0))</f>
        <v>23419778.526465572</v>
      </c>
      <c r="CD124" s="18">
        <f t="shared" si="84"/>
        <v>3158647.2561978251</v>
      </c>
      <c r="CE124" s="18">
        <f>IF(CP124&lt;&gt;1,"",DATA_INPUT!$I124)</f>
        <v>5.9065090605051052E-4</v>
      </c>
      <c r="CF124" s="18">
        <f>IF(CP124&lt;&gt;1,"",CE124*CONTROL_PANEL!$B$5)</f>
        <v>56.052770984193451</v>
      </c>
      <c r="CG124" s="18">
        <f>IF(CP124&lt;&gt;1,"",DATA_INPUT!$C124)</f>
        <v>13.6</v>
      </c>
      <c r="CH124" s="18">
        <f t="shared" si="67"/>
        <v>42957.602684290418</v>
      </c>
      <c r="CI124" s="18">
        <f>IF(CP124&lt;&gt;1,"",DATA_INPUT!$H124)</f>
        <v>98.412742039222465</v>
      </c>
      <c r="CJ124" s="18">
        <f t="shared" si="68"/>
        <v>310851.13761709438</v>
      </c>
      <c r="CK124" s="18">
        <f>IF(CP124&lt;&gt;1,"",CF124*CONTROL_PANEL!$B$14)</f>
        <v>3.9236939688935419</v>
      </c>
      <c r="CL124" s="18">
        <f>IF(CP124&lt;&gt;1,"",DATA_INPUT!$O124)</f>
        <v>1019740.9083497172</v>
      </c>
      <c r="CM124" s="18">
        <f t="shared" si="69"/>
        <v>22132196.212260064</v>
      </c>
      <c r="CN124" s="18">
        <f>IF(CP124&lt;&gt;1,"",IF(CM124-CONTROL_PANEL!$B$11&lt;0,0,CM124-CONTROL_PANEL!$B$11))</f>
        <v>0</v>
      </c>
      <c r="CO124" s="18">
        <f>IF(CP124&lt;&gt;1,"",IF(CL124&lt;=0,0,MIN(CL124,MAX(0,CONTROL_PANEL!$B$13-CM124))))</f>
        <v>0</v>
      </c>
      <c r="CP124" s="18">
        <v>1</v>
      </c>
    </row>
    <row r="125" spans="1:94" x14ac:dyDescent="0.25">
      <c r="A125" s="19">
        <f t="shared" si="75"/>
        <v>2025</v>
      </c>
      <c r="B125" s="19">
        <f>B113</f>
        <v>10</v>
      </c>
      <c r="C125" s="18">
        <f t="shared" si="45"/>
        <v>31</v>
      </c>
      <c r="D125" s="18">
        <f t="shared" si="85"/>
        <v>258.56246394915138</v>
      </c>
      <c r="E125" s="18">
        <f>IF(R124&lt;&gt;1,"",IF(O124&gt;0,IF(O124&gt;CONTROL_PANEL!$B$11,CONTROL_PANEL!$B$11,O124),0))</f>
        <v>27869971.137302488</v>
      </c>
      <c r="F125" s="18">
        <f t="shared" si="80"/>
        <v>3548436.7675783238</v>
      </c>
      <c r="G125" s="18">
        <f>IF(R125&lt;&gt;1,"",DATA_INPUT!I125)</f>
        <v>1.4710660402282309E-2</v>
      </c>
      <c r="H125" s="18">
        <f>IF(R125&lt;&gt;1,"",G125*CONTROL_PANEL!$B$5)</f>
        <v>1396.0416721765912</v>
      </c>
      <c r="I125" s="18">
        <f>IF(R125&lt;&gt;1,"",DATA_INPUT!C125)</f>
        <v>31.1</v>
      </c>
      <c r="J125" s="18">
        <f t="shared" si="47"/>
        <v>110356.38347168587</v>
      </c>
      <c r="K125" s="18">
        <f>IF(R125&lt;&gt;1,"",DATA_INPUT!H125)</f>
        <v>58.335744616076369</v>
      </c>
      <c r="L125" s="18">
        <f t="shared" si="48"/>
        <v>207000.70105974464</v>
      </c>
      <c r="M125" s="18">
        <f>IF(R125&lt;&gt;1,"",H125*CONTROL_PANEL!$B$14)</f>
        <v>97.722917052361396</v>
      </c>
      <c r="N125" s="18">
        <f>IF(R125&lt;&gt;1,"",DATA_INPUT!K125)</f>
        <v>287875.77714133158</v>
      </c>
      <c r="O125" s="18">
        <f t="shared" si="49"/>
        <v>27486749.361328222</v>
      </c>
      <c r="P125" s="18">
        <f>IF(R125&lt;&gt;1,"",IF(O125-CONTROL_PANEL!$B$11&lt;0,0,O125-CONTROL_PANEL!$B$11))</f>
        <v>0</v>
      </c>
      <c r="Q125" s="18">
        <f>IF(R125&lt;&gt;1,"",IF(N125&lt;=0,0,MIN(N125,MAX(0,CONTROL_PANEL!$B$13-O125))))</f>
        <v>0</v>
      </c>
      <c r="R125" s="18">
        <v>1</v>
      </c>
      <c r="T125" s="19">
        <f t="shared" si="76"/>
        <v>2025</v>
      </c>
      <c r="U125" s="19">
        <f>U113</f>
        <v>10</v>
      </c>
      <c r="V125" s="18">
        <f t="shared" si="50"/>
        <v>31</v>
      </c>
      <c r="W125" s="18">
        <f t="shared" si="86"/>
        <v>253.71319046328946</v>
      </c>
      <c r="X125" s="18">
        <f>IF(AK124&lt;&gt;1,"",IF(AH124&gt;0,IF(AH124&gt;CONTROL_PANEL!$B$11,CONTROL_PANEL!$B$11,AH124),0))</f>
        <v>13896853.078040106</v>
      </c>
      <c r="Y125" s="18">
        <f t="shared" si="81"/>
        <v>2227870.1921998058</v>
      </c>
      <c r="Z125" s="18">
        <f>IF(AK125&lt;&gt;1,"",DATA_INPUT!I125)</f>
        <v>1.4710660402282309E-2</v>
      </c>
      <c r="AA125" s="18">
        <f>IF(AK125&lt;&gt;1,"",Z125*CONTROL_PANEL!$B$5)</f>
        <v>1396.0416721765912</v>
      </c>
      <c r="AB125" s="18">
        <f>IF(AK125&lt;&gt;1,"",DATA_INPUT!$C125)</f>
        <v>31.1</v>
      </c>
      <c r="AC125" s="18">
        <f t="shared" si="52"/>
        <v>69286.762977413964</v>
      </c>
      <c r="AD125" s="18">
        <f>IF(AK125&lt;&gt;1,"",DATA_INPUT!$H125)</f>
        <v>58.335744616076369</v>
      </c>
      <c r="AE125" s="18">
        <f t="shared" si="53"/>
        <v>129964.46656993685</v>
      </c>
      <c r="AF125" s="18">
        <f>IF(AK125&lt;&gt;1,"",AA125*CONTROL_PANEL!$B$14)</f>
        <v>97.722917052361396</v>
      </c>
      <c r="AG125" s="18">
        <f>IF(AK125&lt;&gt;1,"",DATA_INPUT!$L125)</f>
        <v>366227.0508126507</v>
      </c>
      <c r="AH125" s="18">
        <f t="shared" si="54"/>
        <v>13471246.642390056</v>
      </c>
      <c r="AI125" s="18">
        <f>IF(AK125&lt;&gt;1,"",IF(AH125-CONTROL_PANEL!$B$11&lt;0,0,AH125-CONTROL_PANEL!$B$11))</f>
        <v>0</v>
      </c>
      <c r="AJ125" s="18">
        <f>IF(AK125&lt;&gt;1,"",IF(AG125&lt;=0,0,MIN(AG125,MAX(0,CONTROL_PANEL!$B$13-AH125))))</f>
        <v>0</v>
      </c>
      <c r="AK125" s="18">
        <v>1</v>
      </c>
      <c r="AM125" s="19">
        <f t="shared" si="77"/>
        <v>2025</v>
      </c>
      <c r="AN125" s="19">
        <f>AN113</f>
        <v>10</v>
      </c>
      <c r="AO125" s="18">
        <f t="shared" si="55"/>
        <v>31</v>
      </c>
      <c r="AP125" s="18">
        <f t="shared" si="87"/>
        <v>257.21453718896521</v>
      </c>
      <c r="AQ125" s="18">
        <f>IF(BD124&lt;&gt;1,"",IF(BA124&gt;0,IF(BA124&gt;CONTROL_PANEL!$B$11,CONTROL_PANEL!$B$11,BA124),0))</f>
        <v>23327841.195648726</v>
      </c>
      <c r="AR125" s="18">
        <f t="shared" si="82"/>
        <v>3150348.0352365552</v>
      </c>
      <c r="AS125" s="18">
        <f>IF(BD125&lt;&gt;1,"",DATA_INPUT!$I125)</f>
        <v>1.4710660402282309E-2</v>
      </c>
      <c r="AT125" s="18">
        <f>IF(BD125&lt;&gt;1,"",AS125*CONTROL_PANEL!$B$5)</f>
        <v>1396.0416721765912</v>
      </c>
      <c r="AU125" s="18">
        <f>IF(BD125&lt;&gt;1,"",DATA_INPUT!$C125)</f>
        <v>31.1</v>
      </c>
      <c r="AV125" s="18">
        <f t="shared" si="57"/>
        <v>97975.823895856869</v>
      </c>
      <c r="AW125" s="18">
        <f>IF(BD125&lt;&gt;1,"",DATA_INPUT!$H125)</f>
        <v>58.335744616076369</v>
      </c>
      <c r="AX125" s="18">
        <f t="shared" si="58"/>
        <v>183777.89843531765</v>
      </c>
      <c r="AY125" s="18">
        <f>IF(BD125&lt;&gt;1,"",AT125*CONTROL_PANEL!$B$14)</f>
        <v>97.722917052361396</v>
      </c>
      <c r="AZ125" s="18">
        <f>IF(BD125&lt;&gt;1,"",DATA_INPUT!$M125)</f>
        <v>327862.67062796571</v>
      </c>
      <c r="BA125" s="18">
        <f t="shared" si="59"/>
        <v>22915474.769236423</v>
      </c>
      <c r="BB125" s="18">
        <f>IF(BD125&lt;&gt;1,"",IF(BA125-CONTROL_PANEL!$B$11&lt;0,0,BA125-CONTROL_PANEL!$B$11))</f>
        <v>0</v>
      </c>
      <c r="BC125" s="18">
        <f>IF(BD125&lt;&gt;1,"",IF(AZ125&lt;=0,0,MIN(AZ125,MAX(0,CONTROL_PANEL!$B$13-BA125))))</f>
        <v>0</v>
      </c>
      <c r="BD125" s="18">
        <v>1</v>
      </c>
      <c r="BF125" s="19">
        <f t="shared" si="78"/>
        <v>2025</v>
      </c>
      <c r="BG125" s="19">
        <f>BG113</f>
        <v>10</v>
      </c>
      <c r="BH125" s="18">
        <f t="shared" si="60"/>
        <v>31</v>
      </c>
      <c r="BI125" s="18">
        <f t="shared" si="88"/>
        <v>259.01103416965441</v>
      </c>
      <c r="BJ125" s="18">
        <f>IF(BW124&lt;&gt;1,"",IF(BT124&gt;0,IF(BT124&gt;CONTROL_PANEL!$B$11,CONTROL_PANEL!$B$11,BT124),0))</f>
        <v>29503314.604130283</v>
      </c>
      <c r="BK125" s="18">
        <f t="shared" si="83"/>
        <v>3686219.5600159429</v>
      </c>
      <c r="BL125" s="18">
        <f>IF(BW125&lt;&gt;1,"",DATA_INPUT!$I125)</f>
        <v>1.4710660402282309E-2</v>
      </c>
      <c r="BM125" s="18">
        <f>IF(BW125&lt;&gt;1,"",BL125*CONTROL_PANEL!$B$5)</f>
        <v>1396.0416721765912</v>
      </c>
      <c r="BN125" s="18">
        <f>IF(BW125&lt;&gt;1,"",DATA_INPUT!$C125)</f>
        <v>31.1</v>
      </c>
      <c r="BO125" s="18">
        <f t="shared" si="62"/>
        <v>114641.42831649583</v>
      </c>
      <c r="BP125" s="18">
        <f>IF(BW125&lt;&gt;1,"",DATA_INPUT!$H125)</f>
        <v>58.335744616076369</v>
      </c>
      <c r="BQ125" s="18">
        <f t="shared" si="63"/>
        <v>215038.36285187546</v>
      </c>
      <c r="BR125" s="18">
        <f>IF(BW125&lt;&gt;1,"",BM125*CONTROL_PANEL!$B$14)</f>
        <v>97.722917052361396</v>
      </c>
      <c r="BS125" s="18">
        <f>IF(BW125&lt;&gt;1,"",DATA_INPUT!$N125)</f>
        <v>306001.27361209656</v>
      </c>
      <c r="BT125" s="18">
        <f t="shared" si="64"/>
        <v>29098214.714737933</v>
      </c>
      <c r="BU125" s="18">
        <f>IF(BW125&lt;&gt;1,"",IF(BT125-CONTROL_PANEL!$B$11&lt;0,0,BT125-CONTROL_PANEL!$B$11))</f>
        <v>0</v>
      </c>
      <c r="BV125" s="18">
        <f>IF(BW125&lt;&gt;1,"",IF(BS125&lt;=0,0,MIN(BS125,MAX(0,CONTROL_PANEL!$B$13-BT125))))</f>
        <v>0</v>
      </c>
      <c r="BW125" s="18">
        <v>1</v>
      </c>
      <c r="BY125" s="19">
        <f t="shared" si="79"/>
        <v>2025</v>
      </c>
      <c r="BZ125" s="19">
        <f>BZ113</f>
        <v>10</v>
      </c>
      <c r="CA125" s="18">
        <f t="shared" si="65"/>
        <v>31</v>
      </c>
      <c r="CB125" s="18">
        <f t="shared" si="89"/>
        <v>256.83086941417787</v>
      </c>
      <c r="CC125" s="18">
        <f>IF(CP124&lt;&gt;1,"",IF(CM124&gt;0,IF(CM124&gt;CONTROL_PANEL!$B$11,CONTROL_PANEL!$B$11,CM124),0))</f>
        <v>22132196.212260064</v>
      </c>
      <c r="CD125" s="18">
        <f t="shared" si="84"/>
        <v>3041408.3551642396</v>
      </c>
      <c r="CE125" s="18">
        <f>IF(CP125&lt;&gt;1,"",DATA_INPUT!$I125)</f>
        <v>1.4710660402282309E-2</v>
      </c>
      <c r="CF125" s="18">
        <f>IF(CP125&lt;&gt;1,"",CE125*CONTROL_PANEL!$B$5)</f>
        <v>1396.0416721765912</v>
      </c>
      <c r="CG125" s="18">
        <f>IF(CP125&lt;&gt;1,"",DATA_INPUT!$C125)</f>
        <v>31.1</v>
      </c>
      <c r="CH125" s="18">
        <f t="shared" si="67"/>
        <v>94587.799845607864</v>
      </c>
      <c r="CI125" s="18">
        <f>IF(CP125&lt;&gt;1,"",DATA_INPUT!$H125)</f>
        <v>58.335744616076369</v>
      </c>
      <c r="CJ125" s="18">
        <f t="shared" si="68"/>
        <v>177422.82108006199</v>
      </c>
      <c r="CK125" s="18">
        <f>IF(CP125&lt;&gt;1,"",CF125*CONTROL_PANEL!$B$14)</f>
        <v>97.722917052361396</v>
      </c>
      <c r="CL125" s="18">
        <f>IF(CP125&lt;&gt;1,"",DATA_INPUT!$O125)</f>
        <v>351346.58094578399</v>
      </c>
      <c r="CM125" s="18">
        <f t="shared" si="69"/>
        <v>21699312.928834949</v>
      </c>
      <c r="CN125" s="18">
        <f>IF(CP125&lt;&gt;1,"",IF(CM125-CONTROL_PANEL!$B$11&lt;0,0,CM125-CONTROL_PANEL!$B$11))</f>
        <v>0</v>
      </c>
      <c r="CO125" s="18">
        <f>IF(CP125&lt;&gt;1,"",IF(CL125&lt;=0,0,MIN(CL125,MAX(0,CONTROL_PANEL!$B$13-CM125))))</f>
        <v>0</v>
      </c>
      <c r="CP125" s="18">
        <v>1</v>
      </c>
    </row>
    <row r="126" spans="1:94" x14ac:dyDescent="0.25">
      <c r="A126" s="19">
        <f t="shared" si="75"/>
        <v>2025</v>
      </c>
      <c r="B126" s="19">
        <f t="shared" ref="B126:B189" si="90">B114</f>
        <v>11</v>
      </c>
      <c r="C126" s="18">
        <f t="shared" si="45"/>
        <v>30</v>
      </c>
      <c r="D126" s="18">
        <f t="shared" si="85"/>
        <v>258.45468465188731</v>
      </c>
      <c r="E126" s="18">
        <f>IF(R125&lt;&gt;1,"",IF(O125&gt;0,IF(O125&gt;CONTROL_PANEL!$B$11,CONTROL_PANEL!$B$11,O125),0))</f>
        <v>27486749.361328222</v>
      </c>
      <c r="F126" s="18">
        <f t="shared" ref="F126:F135" si="91">IF(R126&lt;&gt;1,"",0.6*(D126-235)^2.02*10000)</f>
        <v>3515726.1463052467</v>
      </c>
      <c r="G126" s="18">
        <f>IF(R126&lt;&gt;1,"",DATA_INPUT!I126)</f>
        <v>24.410978801306662</v>
      </c>
      <c r="H126" s="18">
        <f>IF(R126&lt;&gt;1,"",G126*CONTROL_PANEL!$B$5)</f>
        <v>2316601.8882440021</v>
      </c>
      <c r="I126" s="18">
        <f>IF(R126&lt;&gt;1,"",DATA_INPUT!C126)</f>
        <v>94.999999999999986</v>
      </c>
      <c r="J126" s="18">
        <f t="shared" si="47"/>
        <v>333993.98389899835</v>
      </c>
      <c r="K126" s="18">
        <f>IF(R126&lt;&gt;1,"",DATA_INPUT!H126)</f>
        <v>29.389844830901936</v>
      </c>
      <c r="L126" s="18">
        <f t="shared" si="48"/>
        <v>103326.64590785603</v>
      </c>
      <c r="M126" s="18">
        <f>IF(R126&lt;&gt;1,"",H126*CONTROL_PANEL!$B$14)</f>
        <v>162162.13217708017</v>
      </c>
      <c r="N126" s="18">
        <f>IF(R126&lt;&gt;1,"",DATA_INPUT!K126)</f>
        <v>0</v>
      </c>
      <c r="O126" s="18">
        <f t="shared" si="49"/>
        <v>29871856.455386285</v>
      </c>
      <c r="P126" s="18">
        <f>IF(R126&lt;&gt;1,"",IF(O126-CONTROL_PANEL!$B$11&lt;0,0,O126-CONTROL_PANEL!$B$11))</f>
        <v>0</v>
      </c>
      <c r="Q126" s="18">
        <f>IF(R126&lt;&gt;1,"",IF(N126&lt;=0,0,MIN(N126,MAX(0,CONTROL_PANEL!$B$13-O126))))</f>
        <v>0</v>
      </c>
      <c r="R126" s="18">
        <v>1</v>
      </c>
      <c r="T126" s="19">
        <f t="shared" si="76"/>
        <v>2025</v>
      </c>
      <c r="U126" s="19">
        <f t="shared" ref="U126:U189" si="92">U114</f>
        <v>11</v>
      </c>
      <c r="V126" s="18">
        <f t="shared" si="50"/>
        <v>30</v>
      </c>
      <c r="W126" s="18">
        <f t="shared" si="86"/>
        <v>253.52144070273371</v>
      </c>
      <c r="X126" s="18">
        <f>IF(AK125&lt;&gt;1,"",IF(AH125&gt;0,IF(AH125&gt;CONTROL_PANEL!$B$11,CONTROL_PANEL!$B$11,AH125),0))</f>
        <v>13471246.642390056</v>
      </c>
      <c r="Y126" s="18">
        <f t="shared" ref="Y126:Y135" si="93">IF(AK126&lt;&gt;1,"",0.6*(W126-235)^2.02*10000)</f>
        <v>2181997.6413176781</v>
      </c>
      <c r="Z126" s="18">
        <f>IF(AK126&lt;&gt;1,"",DATA_INPUT!I126)</f>
        <v>24.410978801306662</v>
      </c>
      <c r="AA126" s="18">
        <f>IF(AK126&lt;&gt;1,"",Z126*CONTROL_PANEL!$B$5)</f>
        <v>2316601.8882440021</v>
      </c>
      <c r="AB126" s="18">
        <f>IF(AK126&lt;&gt;1,"",DATA_INPUT!$C126)</f>
        <v>94.999999999999986</v>
      </c>
      <c r="AC126" s="18">
        <f t="shared" si="52"/>
        <v>207289.77592517939</v>
      </c>
      <c r="AD126" s="18">
        <f>IF(AK126&lt;&gt;1,"",DATA_INPUT!$H126)</f>
        <v>29.389844830901936</v>
      </c>
      <c r="AE126" s="18">
        <f t="shared" si="53"/>
        <v>64128.572099720579</v>
      </c>
      <c r="AF126" s="18">
        <f>IF(AK126&lt;&gt;1,"",AA126*CONTROL_PANEL!$B$14)</f>
        <v>162162.13217708017</v>
      </c>
      <c r="AG126" s="18">
        <f>IF(AK126&lt;&gt;1,"",DATA_INPUT!$L126)</f>
        <v>0</v>
      </c>
      <c r="AH126" s="18">
        <f t="shared" si="54"/>
        <v>15768847.602282437</v>
      </c>
      <c r="AI126" s="18">
        <f>IF(AK126&lt;&gt;1,"",IF(AH126-CONTROL_PANEL!$B$11&lt;0,0,AH126-CONTROL_PANEL!$B$11))</f>
        <v>0</v>
      </c>
      <c r="AJ126" s="18">
        <f>IF(AK126&lt;&gt;1,"",IF(AG126&lt;=0,0,MIN(AG126,MAX(0,CONTROL_PANEL!$B$13-AH126))))</f>
        <v>0</v>
      </c>
      <c r="AK126" s="18">
        <v>1</v>
      </c>
      <c r="AM126" s="19">
        <f t="shared" si="77"/>
        <v>2025</v>
      </c>
      <c r="AN126" s="19">
        <f t="shared" ref="AN126:AN189" si="94">AN114</f>
        <v>11</v>
      </c>
      <c r="AO126" s="18">
        <f t="shared" si="55"/>
        <v>30</v>
      </c>
      <c r="AP126" s="18">
        <f t="shared" si="87"/>
        <v>257.08373217334133</v>
      </c>
      <c r="AQ126" s="18">
        <f>IF(BD125&lt;&gt;1,"",IF(BA125&gt;0,IF(BA125&gt;CONTROL_PANEL!$B$11,CONTROL_PANEL!$B$11,BA125),0))</f>
        <v>22915474.769236423</v>
      </c>
      <c r="AR126" s="18">
        <f t="shared" ref="AR126:AR135" si="95">IF(BD126&lt;&gt;1,"",0.6*(AP126-235)^2.02*10000)</f>
        <v>3112989.4063240495</v>
      </c>
      <c r="AS126" s="18">
        <f>IF(BD126&lt;&gt;1,"",DATA_INPUT!$I126)</f>
        <v>24.410978801306662</v>
      </c>
      <c r="AT126" s="18">
        <f>IF(BD126&lt;&gt;1,"",AS126*CONTROL_PANEL!$B$5)</f>
        <v>2316601.8882440021</v>
      </c>
      <c r="AU126" s="18">
        <f>IF(BD126&lt;&gt;1,"",DATA_INPUT!$C126)</f>
        <v>94.999999999999986</v>
      </c>
      <c r="AV126" s="18">
        <f t="shared" si="57"/>
        <v>295733.99360078468</v>
      </c>
      <c r="AW126" s="18">
        <f>IF(BD126&lt;&gt;1,"",DATA_INPUT!$H126)</f>
        <v>29.389844830901936</v>
      </c>
      <c r="AX126" s="18">
        <f t="shared" si="58"/>
        <v>91490.275612105354</v>
      </c>
      <c r="AY126" s="18">
        <f>IF(BD126&lt;&gt;1,"",AT126*CONTROL_PANEL!$B$14)</f>
        <v>162162.13217708017</v>
      </c>
      <c r="AZ126" s="18">
        <f>IF(BD126&lt;&gt;1,"",DATA_INPUT!$M126)</f>
        <v>0</v>
      </c>
      <c r="BA126" s="18">
        <f t="shared" si="59"/>
        <v>25274158.243292026</v>
      </c>
      <c r="BB126" s="18">
        <f>IF(BD126&lt;&gt;1,"",IF(BA126-CONTROL_PANEL!$B$11&lt;0,0,BA126-CONTROL_PANEL!$B$11))</f>
        <v>0</v>
      </c>
      <c r="BC126" s="18">
        <f>IF(BD126&lt;&gt;1,"",IF(AZ126&lt;=0,0,MIN(AZ126,MAX(0,CONTROL_PANEL!$B$13-BA126))))</f>
        <v>0</v>
      </c>
      <c r="BD126" s="18">
        <v>1</v>
      </c>
      <c r="BF126" s="19">
        <f t="shared" si="78"/>
        <v>2025</v>
      </c>
      <c r="BG126" s="19">
        <f t="shared" ref="BG126:BG189" si="96">BG114</f>
        <v>11</v>
      </c>
      <c r="BH126" s="18">
        <f t="shared" si="60"/>
        <v>30</v>
      </c>
      <c r="BI126" s="18">
        <f t="shared" si="88"/>
        <v>258.90136103072138</v>
      </c>
      <c r="BJ126" s="18">
        <f>IF(BW125&lt;&gt;1,"",IF(BT125&gt;0,IF(BT125&gt;CONTROL_PANEL!$B$11,CONTROL_PANEL!$B$11,BT125),0))</f>
        <v>29098214.714737933</v>
      </c>
      <c r="BK126" s="18">
        <f t="shared" ref="BK126:BK135" si="97">IF(BW126&lt;&gt;1,"",0.6*(BI126-235)^2.02*10000)</f>
        <v>3652287.5844605863</v>
      </c>
      <c r="BL126" s="18">
        <f>IF(BW126&lt;&gt;1,"",DATA_INPUT!$I126)</f>
        <v>24.410978801306662</v>
      </c>
      <c r="BM126" s="18">
        <f>IF(BW126&lt;&gt;1,"",BL126*CONTROL_PANEL!$B$5)</f>
        <v>2316601.8882440021</v>
      </c>
      <c r="BN126" s="18">
        <f>IF(BW126&lt;&gt;1,"",DATA_INPUT!$C126)</f>
        <v>94.999999999999986</v>
      </c>
      <c r="BO126" s="18">
        <f t="shared" si="62"/>
        <v>346967.32052375568</v>
      </c>
      <c r="BP126" s="18">
        <f>IF(BW126&lt;&gt;1,"",DATA_INPUT!$H126)</f>
        <v>29.389844830901936</v>
      </c>
      <c r="BQ126" s="18">
        <f t="shared" si="63"/>
        <v>107340.16538512628</v>
      </c>
      <c r="BR126" s="18">
        <f>IF(BW126&lt;&gt;1,"",BM126*CONTROL_PANEL!$B$14)</f>
        <v>162162.13217708017</v>
      </c>
      <c r="BS126" s="18">
        <f>IF(BW126&lt;&gt;1,"",DATA_INPUT!$N126)</f>
        <v>0</v>
      </c>
      <c r="BT126" s="18">
        <f t="shared" si="64"/>
        <v>31492281.625943486</v>
      </c>
      <c r="BU126" s="18">
        <f>IF(BW126&lt;&gt;1,"",IF(BT126-CONTROL_PANEL!$B$11&lt;0,0,BT126-CONTROL_PANEL!$B$11))</f>
        <v>0</v>
      </c>
      <c r="BV126" s="18">
        <f>IF(BW126&lt;&gt;1,"",IF(BS126&lt;=0,0,MIN(BS126,MAX(0,CONTROL_PANEL!$B$13-BT126))))</f>
        <v>0</v>
      </c>
      <c r="BW126" s="18">
        <v>1</v>
      </c>
      <c r="BY126" s="19">
        <f t="shared" si="79"/>
        <v>2025</v>
      </c>
      <c r="BZ126" s="19">
        <f t="shared" ref="BZ126:BZ189" si="98">BZ114</f>
        <v>11</v>
      </c>
      <c r="CA126" s="18">
        <f t="shared" si="65"/>
        <v>30</v>
      </c>
      <c r="CB126" s="18">
        <f t="shared" si="89"/>
        <v>256.68854707139354</v>
      </c>
      <c r="CC126" s="18">
        <f>IF(CP125&lt;&gt;1,"",IF(CM125&gt;0,IF(CM125&gt;CONTROL_PANEL!$B$11,CONTROL_PANEL!$B$11,CM125),0))</f>
        <v>21699312.928834949</v>
      </c>
      <c r="CD126" s="18">
        <f t="shared" ref="CD126:CD135" si="99">IF(CP126&lt;&gt;1,"",0.6*(CB126-235)^2.02*10000)</f>
        <v>3001489.1533406028</v>
      </c>
      <c r="CE126" s="18">
        <f>IF(CP126&lt;&gt;1,"",DATA_INPUT!$I126)</f>
        <v>24.410978801306662</v>
      </c>
      <c r="CF126" s="18">
        <f>IF(CP126&lt;&gt;1,"",CE126*CONTROL_PANEL!$B$5)</f>
        <v>2316601.8882440021</v>
      </c>
      <c r="CG126" s="18">
        <f>IF(CP126&lt;&gt;1,"",DATA_INPUT!$C126)</f>
        <v>94.999999999999986</v>
      </c>
      <c r="CH126" s="18">
        <f t="shared" si="67"/>
        <v>285141.46956735721</v>
      </c>
      <c r="CI126" s="18">
        <f>IF(CP126&lt;&gt;1,"",DATA_INPUT!$H126)</f>
        <v>29.389844830901936</v>
      </c>
      <c r="CJ126" s="18">
        <f t="shared" si="68"/>
        <v>88213.300478315548</v>
      </c>
      <c r="CK126" s="18">
        <f>IF(CP126&lt;&gt;1,"",CF126*CONTROL_PANEL!$B$14)</f>
        <v>162162.13217708017</v>
      </c>
      <c r="CL126" s="18">
        <f>IF(CP126&lt;&gt;1,"",DATA_INPUT!$O126)</f>
        <v>0</v>
      </c>
      <c r="CM126" s="18">
        <f t="shared" si="69"/>
        <v>24050680.853990916</v>
      </c>
      <c r="CN126" s="18">
        <f>IF(CP126&lt;&gt;1,"",IF(CM126-CONTROL_PANEL!$B$11&lt;0,0,CM126-CONTROL_PANEL!$B$11))</f>
        <v>0</v>
      </c>
      <c r="CO126" s="18">
        <f>IF(CP126&lt;&gt;1,"",IF(CL126&lt;=0,0,MIN(CL126,MAX(0,CONTROL_PANEL!$B$13-CM126))))</f>
        <v>0</v>
      </c>
      <c r="CP126" s="18">
        <v>1</v>
      </c>
    </row>
    <row r="127" spans="1:94" x14ac:dyDescent="0.25">
      <c r="A127" s="19">
        <f t="shared" si="75"/>
        <v>2025</v>
      </c>
      <c r="B127" s="19">
        <f t="shared" si="90"/>
        <v>12</v>
      </c>
      <c r="C127" s="18">
        <f t="shared" si="45"/>
        <v>31</v>
      </c>
      <c r="D127" s="18">
        <f t="shared" si="85"/>
        <v>259.10993828377798</v>
      </c>
      <c r="E127" s="18">
        <f>IF(R126&lt;&gt;1,"",IF(O126&gt;0,IF(O126&gt;CONTROL_PANEL!$B$11,CONTROL_PANEL!$B$11,O126),0))</f>
        <v>29871856.455386285</v>
      </c>
      <c r="F127" s="18">
        <f t="shared" si="91"/>
        <v>3716955.5687521519</v>
      </c>
      <c r="G127" s="18">
        <f>IF(R127&lt;&gt;1,"",DATA_INPUT!I127)</f>
        <v>100.21606450428607</v>
      </c>
      <c r="H127" s="18">
        <f>IF(R127&lt;&gt;1,"",G127*CONTROL_PANEL!$B$5)</f>
        <v>9510504.5214567482</v>
      </c>
      <c r="I127" s="18">
        <f>IF(R127&lt;&gt;1,"",DATA_INPUT!C127)</f>
        <v>140.39999999999998</v>
      </c>
      <c r="J127" s="18">
        <f t="shared" si="47"/>
        <v>521860.56185280206</v>
      </c>
      <c r="K127" s="18">
        <f>IF(R127&lt;&gt;1,"",DATA_INPUT!H127)</f>
        <v>18.907540131780124</v>
      </c>
      <c r="L127" s="18">
        <f t="shared" si="48"/>
        <v>70278.486584224927</v>
      </c>
      <c r="M127" s="18">
        <f>IF(R127&lt;&gt;1,"",H127*CONTROL_PANEL!$B$14)</f>
        <v>665735.3165019725</v>
      </c>
      <c r="N127" s="18">
        <f>IF(R127&lt;&gt;1,"",DATA_INPUT!K127)</f>
        <v>0</v>
      </c>
      <c r="O127" s="18">
        <f t="shared" si="49"/>
        <v>39168207.735609636</v>
      </c>
      <c r="P127" s="18">
        <f>IF(R127&lt;&gt;1,"",IF(O127-CONTROL_PANEL!$B$11&lt;0,0,O127-CONTROL_PANEL!$B$11))</f>
        <v>0</v>
      </c>
      <c r="Q127" s="18">
        <f>IF(R127&lt;&gt;1,"",IF(N127&lt;=0,0,MIN(N127,MAX(0,CONTROL_PANEL!$B$13-O127))))</f>
        <v>0</v>
      </c>
      <c r="R127" s="18">
        <v>1</v>
      </c>
      <c r="T127" s="19">
        <f t="shared" si="76"/>
        <v>2025</v>
      </c>
      <c r="U127" s="19">
        <f t="shared" si="92"/>
        <v>12</v>
      </c>
      <c r="V127" s="18">
        <f t="shared" si="50"/>
        <v>31</v>
      </c>
      <c r="W127" s="18">
        <f t="shared" si="86"/>
        <v>254.51287124609865</v>
      </c>
      <c r="X127" s="18">
        <f>IF(AK126&lt;&gt;1,"",IF(AH126&gt;0,IF(AH126&gt;CONTROL_PANEL!$B$11,CONTROL_PANEL!$B$11,AH126),0))</f>
        <v>15768847.602282437</v>
      </c>
      <c r="Y127" s="18">
        <f t="shared" si="93"/>
        <v>2424376.3109084107</v>
      </c>
      <c r="Z127" s="18">
        <f>IF(AK127&lt;&gt;1,"",DATA_INPUT!I127)</f>
        <v>100.21606450428607</v>
      </c>
      <c r="AA127" s="18">
        <f>IF(AK127&lt;&gt;1,"",Z127*CONTROL_PANEL!$B$5)</f>
        <v>9510504.5214567482</v>
      </c>
      <c r="AB127" s="18">
        <f>IF(AK127&lt;&gt;1,"",DATA_INPUT!$C127)</f>
        <v>140.39999999999998</v>
      </c>
      <c r="AC127" s="18">
        <f t="shared" si="52"/>
        <v>340382.4340515408</v>
      </c>
      <c r="AD127" s="18">
        <f>IF(AK127&lt;&gt;1,"",DATA_INPUT!$H127)</f>
        <v>18.907540131780124</v>
      </c>
      <c r="AE127" s="18">
        <f t="shared" si="53"/>
        <v>45838.992393037821</v>
      </c>
      <c r="AF127" s="18">
        <f>IF(AK127&lt;&gt;1,"",AA127*CONTROL_PANEL!$B$14)</f>
        <v>665735.3165019725</v>
      </c>
      <c r="AG127" s="18">
        <f>IF(AK127&lt;&gt;1,"",DATA_INPUT!$L127)</f>
        <v>0</v>
      </c>
      <c r="AH127" s="18">
        <f t="shared" si="54"/>
        <v>24908160.248895712</v>
      </c>
      <c r="AI127" s="18">
        <f>IF(AK127&lt;&gt;1,"",IF(AH127-CONTROL_PANEL!$B$11&lt;0,0,AH127-CONTROL_PANEL!$B$11))</f>
        <v>0</v>
      </c>
      <c r="AJ127" s="18">
        <f>IF(AK127&lt;&gt;1,"",IF(AG127&lt;=0,0,MIN(AG127,MAX(0,CONTROL_PANEL!$B$13-AH127))))</f>
        <v>0</v>
      </c>
      <c r="AK127" s="18">
        <v>1</v>
      </c>
      <c r="AM127" s="19">
        <f t="shared" si="77"/>
        <v>2025</v>
      </c>
      <c r="AN127" s="19">
        <f t="shared" si="94"/>
        <v>12</v>
      </c>
      <c r="AO127" s="18">
        <f t="shared" si="55"/>
        <v>31</v>
      </c>
      <c r="AP127" s="18">
        <f t="shared" si="87"/>
        <v>257.8118843139959</v>
      </c>
      <c r="AQ127" s="18">
        <f>IF(BD126&lt;&gt;1,"",IF(BA126&gt;0,IF(BA126&gt;CONTROL_PANEL!$B$11,CONTROL_PANEL!$B$11,BA126),0))</f>
        <v>25274158.243292026</v>
      </c>
      <c r="AR127" s="18">
        <f t="shared" si="95"/>
        <v>3323814.6260173847</v>
      </c>
      <c r="AS127" s="18">
        <f>IF(BD127&lt;&gt;1,"",DATA_INPUT!$I127)</f>
        <v>100.21606450428607</v>
      </c>
      <c r="AT127" s="18">
        <f>IF(BD127&lt;&gt;1,"",AS127*CONTROL_PANEL!$B$5)</f>
        <v>9510504.5214567482</v>
      </c>
      <c r="AU127" s="18">
        <f>IF(BD127&lt;&gt;1,"",DATA_INPUT!$C127)</f>
        <v>140.39999999999998</v>
      </c>
      <c r="AV127" s="18">
        <f t="shared" si="57"/>
        <v>466663.57349284069</v>
      </c>
      <c r="AW127" s="18">
        <f>IF(BD127&lt;&gt;1,"",DATA_INPUT!$H127)</f>
        <v>18.907540131780124</v>
      </c>
      <c r="AX127" s="18">
        <f t="shared" si="58"/>
        <v>62845.158432021446</v>
      </c>
      <c r="AY127" s="18">
        <f>IF(BD127&lt;&gt;1,"",AT127*CONTROL_PANEL!$B$14)</f>
        <v>665735.3165019725</v>
      </c>
      <c r="AZ127" s="18">
        <f>IF(BD127&lt;&gt;1,"",DATA_INPUT!$M127)</f>
        <v>0</v>
      </c>
      <c r="BA127" s="18">
        <f t="shared" si="59"/>
        <v>34522745.863307618</v>
      </c>
      <c r="BB127" s="18">
        <f>IF(BD127&lt;&gt;1,"",IF(BA127-CONTROL_PANEL!$B$11&lt;0,0,BA127-CONTROL_PANEL!$B$11))</f>
        <v>0</v>
      </c>
      <c r="BC127" s="18">
        <f>IF(BD127&lt;&gt;1,"",IF(AZ127&lt;=0,0,MIN(AZ127,MAX(0,CONTROL_PANEL!$B$13-BA127))))</f>
        <v>0</v>
      </c>
      <c r="BD127" s="18">
        <v>1</v>
      </c>
      <c r="BF127" s="19">
        <f t="shared" si="78"/>
        <v>2025</v>
      </c>
      <c r="BG127" s="19">
        <f t="shared" si="96"/>
        <v>12</v>
      </c>
      <c r="BH127" s="18">
        <f t="shared" si="60"/>
        <v>31</v>
      </c>
      <c r="BI127" s="18">
        <f t="shared" si="88"/>
        <v>259.53537830065034</v>
      </c>
      <c r="BJ127" s="18">
        <f>IF(BW126&lt;&gt;1,"",IF(BT126&gt;0,IF(BT126&gt;CONTROL_PANEL!$B$11,CONTROL_PANEL!$B$11,BT126),0))</f>
        <v>31492281.625943486</v>
      </c>
      <c r="BK127" s="18">
        <f t="shared" si="97"/>
        <v>3850637.3824823354</v>
      </c>
      <c r="BL127" s="18">
        <f>IF(BW127&lt;&gt;1,"",DATA_INPUT!$I127)</f>
        <v>100.21606450428607</v>
      </c>
      <c r="BM127" s="18">
        <f>IF(BW127&lt;&gt;1,"",BL127*CONTROL_PANEL!$B$5)</f>
        <v>9510504.5214567482</v>
      </c>
      <c r="BN127" s="18">
        <f>IF(BW127&lt;&gt;1,"",DATA_INPUT!$C127)</f>
        <v>140.39999999999998</v>
      </c>
      <c r="BO127" s="18">
        <f t="shared" si="62"/>
        <v>540629.48850051977</v>
      </c>
      <c r="BP127" s="18">
        <f>IF(BW127&lt;&gt;1,"",DATA_INPUT!$H127)</f>
        <v>18.907540131780124</v>
      </c>
      <c r="BQ127" s="18">
        <f t="shared" si="63"/>
        <v>72806.080842217518</v>
      </c>
      <c r="BR127" s="18">
        <f>IF(BW127&lt;&gt;1,"",BM127*CONTROL_PANEL!$B$14)</f>
        <v>665735.3165019725</v>
      </c>
      <c r="BS127" s="18">
        <f>IF(BW127&lt;&gt;1,"",DATA_INPUT!$N127)</f>
        <v>0</v>
      </c>
      <c r="BT127" s="18">
        <f t="shared" si="64"/>
        <v>40804874.238556564</v>
      </c>
      <c r="BU127" s="18">
        <f>IF(BW127&lt;&gt;1,"",IF(BT127-CONTROL_PANEL!$B$11&lt;0,0,BT127-CONTROL_PANEL!$B$11))</f>
        <v>0</v>
      </c>
      <c r="BV127" s="18">
        <f>IF(BW127&lt;&gt;1,"",IF(BS127&lt;=0,0,MIN(BS127,MAX(0,CONTROL_PANEL!$B$13-BT127))))</f>
        <v>0</v>
      </c>
      <c r="BW127" s="18">
        <v>1</v>
      </c>
      <c r="BY127" s="19">
        <f t="shared" si="79"/>
        <v>2025</v>
      </c>
      <c r="BZ127" s="19">
        <f t="shared" si="98"/>
        <v>12</v>
      </c>
      <c r="CA127" s="18">
        <f t="shared" si="65"/>
        <v>31</v>
      </c>
      <c r="CB127" s="18">
        <f t="shared" si="89"/>
        <v>257.4401431181243</v>
      </c>
      <c r="CC127" s="18">
        <f>IF(CP126&lt;&gt;1,"",IF(CM126&gt;0,IF(CM126&gt;CONTROL_PANEL!$B$11,CONTROL_PANEL!$B$11,CM126),0))</f>
        <v>24050680.853990916</v>
      </c>
      <c r="CD127" s="18">
        <f t="shared" si="99"/>
        <v>3215311.1583186542</v>
      </c>
      <c r="CE127" s="18">
        <f>IF(CP127&lt;&gt;1,"",DATA_INPUT!$I127)</f>
        <v>100.21606450428607</v>
      </c>
      <c r="CF127" s="18">
        <f>IF(CP127&lt;&gt;1,"",CE127*CONTROL_PANEL!$B$5)</f>
        <v>9510504.5214567482</v>
      </c>
      <c r="CG127" s="18">
        <f>IF(CP127&lt;&gt;1,"",DATA_INPUT!$C127)</f>
        <v>140.39999999999998</v>
      </c>
      <c r="CH127" s="18">
        <f t="shared" si="67"/>
        <v>451429.68662793899</v>
      </c>
      <c r="CI127" s="18">
        <f>IF(CP127&lt;&gt;1,"",DATA_INPUT!$H127)</f>
        <v>18.907540131780124</v>
      </c>
      <c r="CJ127" s="18">
        <f t="shared" si="68"/>
        <v>60793.624762070387</v>
      </c>
      <c r="CK127" s="18">
        <f>IF(CP127&lt;&gt;1,"",CF127*CONTROL_PANEL!$B$14)</f>
        <v>665735.3165019725</v>
      </c>
      <c r="CL127" s="18">
        <f>IF(CP127&lt;&gt;1,"",DATA_INPUT!$O127)</f>
        <v>0</v>
      </c>
      <c r="CM127" s="18">
        <f t="shared" si="69"/>
        <v>33286086.120811556</v>
      </c>
      <c r="CN127" s="18">
        <f>IF(CP127&lt;&gt;1,"",IF(CM127-CONTROL_PANEL!$B$11&lt;0,0,CM127-CONTROL_PANEL!$B$11))</f>
        <v>0</v>
      </c>
      <c r="CO127" s="18">
        <f>IF(CP127&lt;&gt;1,"",IF(CL127&lt;=0,0,MIN(CL127,MAX(0,CONTROL_PANEL!$B$13-CM127))))</f>
        <v>0</v>
      </c>
      <c r="CP127" s="18">
        <v>1</v>
      </c>
    </row>
    <row r="128" spans="1:94" x14ac:dyDescent="0.25">
      <c r="A128" s="19">
        <f t="shared" si="75"/>
        <v>2026</v>
      </c>
      <c r="B128" s="19">
        <f t="shared" si="90"/>
        <v>1</v>
      </c>
      <c r="C128" s="18">
        <f t="shared" si="45"/>
        <v>31</v>
      </c>
      <c r="D128" s="18">
        <f t="shared" ref="D128:D137" si="100">IF(R127&lt;&gt;1,"",235+((E128/1000/2)^(1/3.02)))</f>
        <v>261.37303838237648</v>
      </c>
      <c r="E128" s="18">
        <f>IF(R127&lt;&gt;1,"",IF(O127&gt;0,IF(O127&gt;CONTROL_PANEL!$B$11,CONTROL_PANEL!$B$11,O127),0))</f>
        <v>39168207.735609636</v>
      </c>
      <c r="F128" s="18">
        <f t="shared" si="91"/>
        <v>4455482.9634400615</v>
      </c>
      <c r="G128" s="18">
        <f>IF(R128&lt;&gt;1,"",DATA_INPUT!I128)</f>
        <v>165.03043625280884</v>
      </c>
      <c r="H128" s="18">
        <f>IF(R128&lt;&gt;1,"",G128*CONTROL_PANEL!$B$5)</f>
        <v>15661388.400391558</v>
      </c>
      <c r="I128" s="18">
        <f>IF(R128&lt;&gt;1,"",DATA_INPUT!C128)</f>
        <v>179.9</v>
      </c>
      <c r="J128" s="18">
        <f t="shared" si="47"/>
        <v>801541.38512286707</v>
      </c>
      <c r="K128" s="18">
        <f>IF(R128&lt;&gt;1,"",DATA_INPUT!H128)</f>
        <v>20.458355759036564</v>
      </c>
      <c r="L128" s="18">
        <f t="shared" si="48"/>
        <v>91151.855544383288</v>
      </c>
      <c r="M128" s="18">
        <f>IF(R128&lt;&gt;1,"",H128*CONTROL_PANEL!$B$14)</f>
        <v>1096297.1880274091</v>
      </c>
      <c r="N128" s="18">
        <f>IF(R128&lt;&gt;1,"",DATA_INPUT!K128)</f>
        <v>0</v>
      </c>
      <c r="O128" s="18">
        <f t="shared" si="49"/>
        <v>54443688.477552265</v>
      </c>
      <c r="P128" s="27">
        <f>IF(R128&lt;&gt;1,"",IF(O128-CONTROL_PANEL!$B$11&lt;0,0,O128-CONTROL_PANEL!$B$11))</f>
        <v>4443688.4775522649</v>
      </c>
      <c r="Q128" s="18">
        <f>IF(R128&lt;&gt;1,"",IF(N128&lt;=0,0,MIN(N128,MAX(0,CONTROL_PANEL!$B$13-O128))))</f>
        <v>0</v>
      </c>
      <c r="R128" s="18">
        <v>1</v>
      </c>
      <c r="T128" s="19">
        <f t="shared" si="76"/>
        <v>2026</v>
      </c>
      <c r="U128" s="19">
        <f t="shared" si="92"/>
        <v>1</v>
      </c>
      <c r="V128" s="18">
        <f t="shared" si="50"/>
        <v>31</v>
      </c>
      <c r="W128" s="18">
        <f t="shared" ref="W128:W137" si="101">IF(AK127&lt;&gt;1,"",235+((X128/1000/2)^(1/3.02)))</f>
        <v>257.70196564270788</v>
      </c>
      <c r="X128" s="18">
        <f>IF(AK127&lt;&gt;1,"",IF(AH127&gt;0,IF(AH127&gt;CONTROL_PANEL!$B$11,CONTROL_PANEL!$B$11,AH127),0))</f>
        <v>24908160.248895712</v>
      </c>
      <c r="Y128" s="18">
        <f t="shared" si="93"/>
        <v>3291542.3238114915</v>
      </c>
      <c r="Z128" s="18">
        <f>IF(AK128&lt;&gt;1,"",DATA_INPUT!I128)</f>
        <v>165.03043625280884</v>
      </c>
      <c r="AA128" s="18">
        <f>IF(AK128&lt;&gt;1,"",Z128*CONTROL_PANEL!$B$5)</f>
        <v>15661388.400391558</v>
      </c>
      <c r="AB128" s="18">
        <f>IF(AK128&lt;&gt;1,"",DATA_INPUT!$C128)</f>
        <v>179.9</v>
      </c>
      <c r="AC128" s="18">
        <f t="shared" si="52"/>
        <v>592148.46405368729</v>
      </c>
      <c r="AD128" s="18">
        <f>IF(AK128&lt;&gt;1,"",DATA_INPUT!$H128)</f>
        <v>20.458355759036564</v>
      </c>
      <c r="AE128" s="18">
        <f t="shared" si="53"/>
        <v>67339.543856461416</v>
      </c>
      <c r="AF128" s="18">
        <f>IF(AK128&lt;&gt;1,"",AA128*CONTROL_PANEL!$B$14)</f>
        <v>1096297.1880274091</v>
      </c>
      <c r="AG128" s="18">
        <f>IF(AK128&lt;&gt;1,"",DATA_INPUT!$L128)</f>
        <v>0</v>
      </c>
      <c r="AH128" s="18">
        <f t="shared" si="54"/>
        <v>39998060.38145709</v>
      </c>
      <c r="AI128" s="28">
        <f>IF(AK128&lt;&gt;1,"",IF(AH128-CONTROL_PANEL!$B$11&lt;0,0,AH128-CONTROL_PANEL!$B$11))</f>
        <v>0</v>
      </c>
      <c r="AJ128" s="18">
        <f>IF(AK128&lt;&gt;1,"",IF(AG128&lt;=0,0,MIN(AG128,MAX(0,CONTROL_PANEL!$B$13-AH128))))</f>
        <v>0</v>
      </c>
      <c r="AK128" s="18">
        <v>1</v>
      </c>
      <c r="AM128" s="19">
        <f t="shared" si="77"/>
        <v>2026</v>
      </c>
      <c r="AN128" s="19">
        <f t="shared" si="94"/>
        <v>1</v>
      </c>
      <c r="AO128" s="18">
        <f t="shared" si="55"/>
        <v>31</v>
      </c>
      <c r="AP128" s="18">
        <f t="shared" ref="AP128:AP137" si="102">IF(BD127&lt;&gt;1,"",235+((AQ128/1000/2)^(1/3.02)))</f>
        <v>260.29327570545468</v>
      </c>
      <c r="AQ128" s="18">
        <f>IF(BD127&lt;&gt;1,"",IF(BA127&gt;0,IF(BA127&gt;CONTROL_PANEL!$B$11,CONTROL_PANEL!$B$11,BA127),0))</f>
        <v>34522745.863307618</v>
      </c>
      <c r="AR128" s="18">
        <f t="shared" si="95"/>
        <v>4094694.5265609785</v>
      </c>
      <c r="AS128" s="18">
        <f>IF(BD128&lt;&gt;1,"",DATA_INPUT!$I128)</f>
        <v>165.03043625280884</v>
      </c>
      <c r="AT128" s="18">
        <f>IF(BD128&lt;&gt;1,"",AS128*CONTROL_PANEL!$B$5)</f>
        <v>15661388.400391558</v>
      </c>
      <c r="AU128" s="18">
        <f>IF(BD128&lt;&gt;1,"",DATA_INPUT!$C128)</f>
        <v>179.9</v>
      </c>
      <c r="AV128" s="18">
        <f t="shared" si="57"/>
        <v>736635.54532832</v>
      </c>
      <c r="AW128" s="18">
        <f>IF(BD128&lt;&gt;1,"",DATA_INPUT!$H128)</f>
        <v>20.458355759036564</v>
      </c>
      <c r="AX128" s="18">
        <f t="shared" si="58"/>
        <v>83770.717348964288</v>
      </c>
      <c r="AY128" s="18">
        <f>IF(BD128&lt;&gt;1,"",AT128*CONTROL_PANEL!$B$14)</f>
        <v>1096297.1880274091</v>
      </c>
      <c r="AZ128" s="18">
        <f>IF(BD128&lt;&gt;1,"",DATA_INPUT!$M128)</f>
        <v>0</v>
      </c>
      <c r="BA128" s="18">
        <f t="shared" si="59"/>
        <v>49740701.903651118</v>
      </c>
      <c r="BB128" s="28">
        <f>IF(BD128&lt;&gt;1,"",IF(BA128-CONTROL_PANEL!$B$11&lt;0,0,BA128-CONTROL_PANEL!$B$11))</f>
        <v>0</v>
      </c>
      <c r="BC128" s="18">
        <f>IF(BD128&lt;&gt;1,"",IF(AZ128&lt;=0,0,MIN(AZ128,MAX(0,CONTROL_PANEL!$B$13-BA128))))</f>
        <v>0</v>
      </c>
      <c r="BD128" s="18">
        <v>1</v>
      </c>
      <c r="BF128" s="19">
        <f t="shared" si="78"/>
        <v>2026</v>
      </c>
      <c r="BG128" s="19">
        <f t="shared" si="96"/>
        <v>1</v>
      </c>
      <c r="BH128" s="18">
        <f t="shared" si="60"/>
        <v>31</v>
      </c>
      <c r="BI128" s="18">
        <f t="shared" ref="BI128:BI137" si="103">IF(BW127&lt;&gt;1,"",235+((BJ128/1000/2)^(1/3.02)))</f>
        <v>261.73295921260762</v>
      </c>
      <c r="BJ128" s="18">
        <f>IF(BW127&lt;&gt;1,"",IF(BT127&gt;0,IF(BT127&gt;CONTROL_PANEL!$B$11,CONTROL_PANEL!$B$11,BT127),0))</f>
        <v>40804874.238556564</v>
      </c>
      <c r="BK128" s="18">
        <f t="shared" si="97"/>
        <v>4579164.6836440647</v>
      </c>
      <c r="BL128" s="18">
        <f>IF(BW128&lt;&gt;1,"",DATA_INPUT!$I128)</f>
        <v>165.03043625280884</v>
      </c>
      <c r="BM128" s="18">
        <f>IF(BW128&lt;&gt;1,"",BL128*CONTROL_PANEL!$B$5)</f>
        <v>15661388.400391558</v>
      </c>
      <c r="BN128" s="18">
        <f>IF(BW128&lt;&gt;1,"",DATA_INPUT!$C128)</f>
        <v>179.9</v>
      </c>
      <c r="BO128" s="18">
        <f t="shared" si="62"/>
        <v>823791.72658756725</v>
      </c>
      <c r="BP128" s="18">
        <f>IF(BW128&lt;&gt;1,"",DATA_INPUT!$H128)</f>
        <v>20.458355759036564</v>
      </c>
      <c r="BQ128" s="18">
        <f t="shared" si="63"/>
        <v>93682.180177206392</v>
      </c>
      <c r="BR128" s="18">
        <f>IF(BW128&lt;&gt;1,"",BM128*CONTROL_PANEL!$B$14)</f>
        <v>1096297.1880274091</v>
      </c>
      <c r="BS128" s="18">
        <f>IF(BW128&lt;&gt;1,"",DATA_INPUT!$N128)</f>
        <v>0</v>
      </c>
      <c r="BT128" s="18">
        <f t="shared" si="64"/>
        <v>56100074.997331068</v>
      </c>
      <c r="BU128" s="28">
        <f>IF(BW128&lt;&gt;1,"",IF(BT128-CONTROL_PANEL!$B$11&lt;0,0,BT128-CONTROL_PANEL!$B$11))</f>
        <v>6100074.9973310679</v>
      </c>
      <c r="BV128" s="18">
        <f>IF(BW128&lt;&gt;1,"",IF(BS128&lt;=0,0,MIN(BS128,MAX(0,CONTROL_PANEL!$B$13-BT128))))</f>
        <v>0</v>
      </c>
      <c r="BW128" s="18">
        <v>1</v>
      </c>
      <c r="BY128" s="19">
        <f t="shared" si="79"/>
        <v>2026</v>
      </c>
      <c r="BZ128" s="19">
        <f t="shared" si="98"/>
        <v>1</v>
      </c>
      <c r="CA128" s="18">
        <f t="shared" si="65"/>
        <v>31</v>
      </c>
      <c r="CB128" s="18">
        <f t="shared" ref="CB128:CB137" si="104">IF(CP127&lt;&gt;1,"",235+((CC128/1000/2)^(1/3.02)))</f>
        <v>259.98959308373014</v>
      </c>
      <c r="CC128" s="18">
        <f>IF(CP127&lt;&gt;1,"",IF(CM127&gt;0,IF(CM127&gt;CONTROL_PANEL!$B$11,CONTROL_PANEL!$B$11,CM127),0))</f>
        <v>33286086.120811556</v>
      </c>
      <c r="CD128" s="18">
        <f t="shared" si="99"/>
        <v>3995993.773401978</v>
      </c>
      <c r="CE128" s="18">
        <f>IF(CP128&lt;&gt;1,"",DATA_INPUT!$I128)</f>
        <v>165.03043625280884</v>
      </c>
      <c r="CF128" s="18">
        <f>IF(CP128&lt;&gt;1,"",CE128*CONTROL_PANEL!$B$5)</f>
        <v>15661388.400391558</v>
      </c>
      <c r="CG128" s="18">
        <f>IF(CP128&lt;&gt;1,"",DATA_INPUT!$C128)</f>
        <v>179.9</v>
      </c>
      <c r="CH128" s="18">
        <f t="shared" si="67"/>
        <v>718879.27983501588</v>
      </c>
      <c r="CI128" s="18">
        <f>IF(CP128&lt;&gt;1,"",DATA_INPUT!$H128)</f>
        <v>20.458355759036564</v>
      </c>
      <c r="CJ128" s="18">
        <f t="shared" si="68"/>
        <v>81751.462227152602</v>
      </c>
      <c r="CK128" s="18">
        <f>IF(CP128&lt;&gt;1,"",CF128*CONTROL_PANEL!$B$14)</f>
        <v>1096297.1880274091</v>
      </c>
      <c r="CL128" s="18">
        <f>IF(CP128&lt;&gt;1,"",DATA_INPUT!$O128)</f>
        <v>0</v>
      </c>
      <c r="CM128" s="18">
        <f t="shared" si="69"/>
        <v>48488305.150783569</v>
      </c>
      <c r="CN128" s="28">
        <f>IF(CP128&lt;&gt;1,"",IF(CM128-CONTROL_PANEL!$B$11&lt;0,0,CM128-CONTROL_PANEL!$B$11))</f>
        <v>0</v>
      </c>
      <c r="CO128" s="18">
        <f>IF(CP128&lt;&gt;1,"",IF(CL128&lt;=0,0,MIN(CL128,MAX(0,CONTROL_PANEL!$B$13-CM128))))</f>
        <v>0</v>
      </c>
      <c r="CP128" s="18">
        <v>1</v>
      </c>
    </row>
    <row r="129" spans="1:94" x14ac:dyDescent="0.25">
      <c r="A129" s="19">
        <f t="shared" si="75"/>
        <v>2026</v>
      </c>
      <c r="B129" s="19">
        <f t="shared" si="90"/>
        <v>2</v>
      </c>
      <c r="C129" s="18">
        <f t="shared" si="45"/>
        <v>28</v>
      </c>
      <c r="D129" s="18">
        <f t="shared" si="100"/>
        <v>263.59377701422733</v>
      </c>
      <c r="E129" s="18">
        <f>IF(R128&lt;&gt;1,"",IF(O128&gt;0,IF(O128&gt;CONTROL_PANEL!$B$11,CONTROL_PANEL!$B$11,O128),0))</f>
        <v>50000000</v>
      </c>
      <c r="F129" s="18">
        <f t="shared" si="91"/>
        <v>5245896.683231636</v>
      </c>
      <c r="G129" s="18">
        <f>IF(R129&lt;&gt;1,"",DATA_INPUT!I129)</f>
        <v>32.635261862718785</v>
      </c>
      <c r="H129" s="18">
        <f>IF(R129&lt;&gt;1,"",G129*CONTROL_PANEL!$B$5)</f>
        <v>3097086.3507720125</v>
      </c>
      <c r="I129" s="18">
        <f>IF(R129&lt;&gt;1,"",DATA_INPUT!C129)</f>
        <v>224.84999999999997</v>
      </c>
      <c r="J129" s="18">
        <f t="shared" si="47"/>
        <v>1179539.8692246333</v>
      </c>
      <c r="K129" s="18">
        <f>IF(R129&lt;&gt;1,"",DATA_INPUT!H129)</f>
        <v>27.760772902958145</v>
      </c>
      <c r="L129" s="18">
        <f t="shared" si="48"/>
        <v>145630.14649557479</v>
      </c>
      <c r="M129" s="18">
        <f>IF(R129&lt;&gt;1,"",H129*CONTROL_PANEL!$B$14)</f>
        <v>216796.04455404088</v>
      </c>
      <c r="N129" s="18">
        <f>IF(R129&lt;&gt;1,"",DATA_INPUT!K129)</f>
        <v>0</v>
      </c>
      <c r="O129" s="18">
        <f t="shared" si="49"/>
        <v>53914200.028947033</v>
      </c>
      <c r="P129" s="27">
        <f>IF(R129&lt;&gt;1,"",IF(O129-CONTROL_PANEL!$B$11&lt;0,0,O129-CONTROL_PANEL!$B$11))</f>
        <v>3914200.028947033</v>
      </c>
      <c r="Q129" s="18">
        <f>IF(R129&lt;&gt;1,"",IF(N129&lt;=0,0,MIN(N129,MAX(0,CONTROL_PANEL!$B$13-O129))))</f>
        <v>0</v>
      </c>
      <c r="R129" s="18">
        <v>1</v>
      </c>
      <c r="T129" s="19">
        <f t="shared" si="76"/>
        <v>2026</v>
      </c>
      <c r="U129" s="19">
        <f t="shared" si="92"/>
        <v>2</v>
      </c>
      <c r="V129" s="18">
        <f t="shared" si="50"/>
        <v>28</v>
      </c>
      <c r="W129" s="18">
        <f t="shared" si="101"/>
        <v>261.55676340020358</v>
      </c>
      <c r="X129" s="18">
        <f>IF(AK128&lt;&gt;1,"",IF(AH128&gt;0,IF(AH128&gt;CONTROL_PANEL!$B$11,CONTROL_PANEL!$B$11,AH128),0))</f>
        <v>39998060.38145709</v>
      </c>
      <c r="Y129" s="18">
        <f t="shared" si="93"/>
        <v>4518403.8181193229</v>
      </c>
      <c r="Z129" s="18">
        <f>IF(AK129&lt;&gt;1,"",DATA_INPUT!I129)</f>
        <v>32.635261862718785</v>
      </c>
      <c r="AA129" s="18">
        <f>IF(AK129&lt;&gt;1,"",Z129*CONTROL_PANEL!$B$5)</f>
        <v>3097086.3507720125</v>
      </c>
      <c r="AB129" s="18">
        <f>IF(AK129&lt;&gt;1,"",DATA_INPUT!$C129)</f>
        <v>224.84999999999997</v>
      </c>
      <c r="AC129" s="18">
        <f t="shared" si="52"/>
        <v>1015963.0985041297</v>
      </c>
      <c r="AD129" s="18">
        <f>IF(AK129&lt;&gt;1,"",DATA_INPUT!$H129)</f>
        <v>27.760772902958145</v>
      </c>
      <c r="AE129" s="18">
        <f t="shared" si="53"/>
        <v>125434.38227866952</v>
      </c>
      <c r="AF129" s="18">
        <f>IF(AK129&lt;&gt;1,"",AA129*CONTROL_PANEL!$B$14)</f>
        <v>216796.04455404088</v>
      </c>
      <c r="AG129" s="18">
        <f>IF(AK129&lt;&gt;1,"",DATA_INPUT!$L129)</f>
        <v>0</v>
      </c>
      <c r="AH129" s="18">
        <f t="shared" si="54"/>
        <v>43768879.403900519</v>
      </c>
      <c r="AI129" s="28">
        <f>IF(AK129&lt;&gt;1,"",IF(AH129-CONTROL_PANEL!$B$11&lt;0,0,AH129-CONTROL_PANEL!$B$11))</f>
        <v>0</v>
      </c>
      <c r="AJ129" s="18">
        <f>IF(AK129&lt;&gt;1,"",IF(AG129&lt;=0,0,MIN(AG129,MAX(0,CONTROL_PANEL!$B$13-AH129))))</f>
        <v>0</v>
      </c>
      <c r="AK129" s="18">
        <v>1</v>
      </c>
      <c r="AM129" s="19">
        <f t="shared" si="77"/>
        <v>2026</v>
      </c>
      <c r="AN129" s="19">
        <f t="shared" si="94"/>
        <v>2</v>
      </c>
      <c r="AO129" s="18">
        <f t="shared" si="55"/>
        <v>28</v>
      </c>
      <c r="AP129" s="18">
        <f t="shared" si="102"/>
        <v>263.54459020367636</v>
      </c>
      <c r="AQ129" s="18">
        <f>IF(BD128&lt;&gt;1,"",IF(BA128&gt;0,IF(BA128&gt;CONTROL_PANEL!$B$11,CONTROL_PANEL!$B$11,BA128),0))</f>
        <v>49740701.903651118</v>
      </c>
      <c r="AR129" s="18">
        <f t="shared" si="95"/>
        <v>5227684.2878527315</v>
      </c>
      <c r="AS129" s="18">
        <f>IF(BD129&lt;&gt;1,"",DATA_INPUT!$I129)</f>
        <v>32.635261862718785</v>
      </c>
      <c r="AT129" s="18">
        <f>IF(BD129&lt;&gt;1,"",AS129*CONTROL_PANEL!$B$5)</f>
        <v>3097086.3507720125</v>
      </c>
      <c r="AU129" s="18">
        <f>IF(BD129&lt;&gt;1,"",DATA_INPUT!$C129)</f>
        <v>224.84999999999997</v>
      </c>
      <c r="AV129" s="18">
        <f t="shared" si="57"/>
        <v>1175444.8121236865</v>
      </c>
      <c r="AW129" s="18">
        <f>IF(BD129&lt;&gt;1,"",DATA_INPUT!$H129)</f>
        <v>27.760772902958145</v>
      </c>
      <c r="AX129" s="18">
        <f t="shared" si="58"/>
        <v>145124.55632344217</v>
      </c>
      <c r="AY129" s="18">
        <f>IF(BD129&lt;&gt;1,"",AT129*CONTROL_PANEL!$B$14)</f>
        <v>216796.04455404088</v>
      </c>
      <c r="AZ129" s="18">
        <f>IF(BD129&lt;&gt;1,"",DATA_INPUT!$M129)</f>
        <v>0</v>
      </c>
      <c r="BA129" s="18">
        <f t="shared" si="59"/>
        <v>53651312.465669334</v>
      </c>
      <c r="BB129" s="28">
        <f>IF(BD129&lt;&gt;1,"",IF(BA129-CONTROL_PANEL!$B$11&lt;0,0,BA129-CONTROL_PANEL!$B$11))</f>
        <v>3651312.4656693339</v>
      </c>
      <c r="BC129" s="18">
        <f>IF(BD129&lt;&gt;1,"",IF(AZ129&lt;=0,0,MIN(AZ129,MAX(0,CONTROL_PANEL!$B$13-BA129))))</f>
        <v>0</v>
      </c>
      <c r="BD129" s="18">
        <v>1</v>
      </c>
      <c r="BF129" s="19">
        <f t="shared" si="78"/>
        <v>2026</v>
      </c>
      <c r="BG129" s="19">
        <f t="shared" si="96"/>
        <v>2</v>
      </c>
      <c r="BH129" s="18">
        <f t="shared" si="60"/>
        <v>28</v>
      </c>
      <c r="BI129" s="18">
        <f t="shared" si="103"/>
        <v>263.59377701422733</v>
      </c>
      <c r="BJ129" s="18">
        <f>IF(BW128&lt;&gt;1,"",IF(BT128&gt;0,IF(BT128&gt;CONTROL_PANEL!$B$11,CONTROL_PANEL!$B$11,BT128),0))</f>
        <v>50000000</v>
      </c>
      <c r="BK129" s="18">
        <f t="shared" si="97"/>
        <v>5245896.683231636</v>
      </c>
      <c r="BL129" s="18">
        <f>IF(BW129&lt;&gt;1,"",DATA_INPUT!$I129)</f>
        <v>32.635261862718785</v>
      </c>
      <c r="BM129" s="18">
        <f>IF(BW129&lt;&gt;1,"",BL129*CONTROL_PANEL!$B$5)</f>
        <v>3097086.3507720125</v>
      </c>
      <c r="BN129" s="18">
        <f>IF(BW129&lt;&gt;1,"",DATA_INPUT!$C129)</f>
        <v>224.84999999999997</v>
      </c>
      <c r="BO129" s="18">
        <f t="shared" si="62"/>
        <v>1179539.8692246333</v>
      </c>
      <c r="BP129" s="18">
        <f>IF(BW129&lt;&gt;1,"",DATA_INPUT!$H129)</f>
        <v>27.760772902958145</v>
      </c>
      <c r="BQ129" s="18">
        <f t="shared" si="63"/>
        <v>145630.14649557479</v>
      </c>
      <c r="BR129" s="18">
        <f>IF(BW129&lt;&gt;1,"",BM129*CONTROL_PANEL!$B$14)</f>
        <v>216796.04455404088</v>
      </c>
      <c r="BS129" s="18">
        <f>IF(BW129&lt;&gt;1,"",DATA_INPUT!$N129)</f>
        <v>0</v>
      </c>
      <c r="BT129" s="18">
        <f t="shared" si="64"/>
        <v>53914200.028947033</v>
      </c>
      <c r="BU129" s="28">
        <f>IF(BW129&lt;&gt;1,"",IF(BT129-CONTROL_PANEL!$B$11&lt;0,0,BT129-CONTROL_PANEL!$B$11))</f>
        <v>3914200.028947033</v>
      </c>
      <c r="BV129" s="18">
        <f>IF(BW129&lt;&gt;1,"",IF(BS129&lt;=0,0,MIN(BS129,MAX(0,CONTROL_PANEL!$B$13-BT129))))</f>
        <v>0</v>
      </c>
      <c r="BW129" s="18">
        <v>1</v>
      </c>
      <c r="BY129" s="19">
        <f t="shared" si="79"/>
        <v>2026</v>
      </c>
      <c r="BZ129" s="19">
        <f t="shared" si="98"/>
        <v>2</v>
      </c>
      <c r="CA129" s="18">
        <f t="shared" si="65"/>
        <v>28</v>
      </c>
      <c r="CB129" s="18">
        <f t="shared" si="104"/>
        <v>263.30457415880448</v>
      </c>
      <c r="CC129" s="18">
        <f>IF(CP128&lt;&gt;1,"",IF(CM128&gt;0,IF(CM128&gt;CONTROL_PANEL!$B$11,CONTROL_PANEL!$B$11,CM128),0))</f>
        <v>48488305.150783569</v>
      </c>
      <c r="CD129" s="18">
        <f t="shared" si="99"/>
        <v>5139272.3535147086</v>
      </c>
      <c r="CE129" s="18">
        <f>IF(CP129&lt;&gt;1,"",DATA_INPUT!$I129)</f>
        <v>32.635261862718785</v>
      </c>
      <c r="CF129" s="18">
        <f>IF(CP129&lt;&gt;1,"",CE129*CONTROL_PANEL!$B$5)</f>
        <v>3097086.3507720125</v>
      </c>
      <c r="CG129" s="18">
        <f>IF(CP129&lt;&gt;1,"",DATA_INPUT!$C129)</f>
        <v>224.84999999999997</v>
      </c>
      <c r="CH129" s="18">
        <f t="shared" si="67"/>
        <v>1155565.388687782</v>
      </c>
      <c r="CI129" s="18">
        <f>IF(CP129&lt;&gt;1,"",DATA_INPUT!$H129)</f>
        <v>27.760772902958145</v>
      </c>
      <c r="CJ129" s="18">
        <f t="shared" si="68"/>
        <v>142670.17269237307</v>
      </c>
      <c r="CK129" s="18">
        <f>IF(CP129&lt;&gt;1,"",CF129*CONTROL_PANEL!$B$14)</f>
        <v>216796.04455404088</v>
      </c>
      <c r="CL129" s="18">
        <f>IF(CP129&lt;&gt;1,"",DATA_INPUT!$O129)</f>
        <v>0</v>
      </c>
      <c r="CM129" s="18">
        <f t="shared" si="69"/>
        <v>52381490.672996953</v>
      </c>
      <c r="CN129" s="28">
        <f>IF(CP129&lt;&gt;1,"",IF(CM129-CONTROL_PANEL!$B$11&lt;0,0,CM129-CONTROL_PANEL!$B$11))</f>
        <v>2381490.6729969531</v>
      </c>
      <c r="CO129" s="18">
        <f>IF(CP129&lt;&gt;1,"",IF(CL129&lt;=0,0,MIN(CL129,MAX(0,CONTROL_PANEL!$B$13-CM129))))</f>
        <v>0</v>
      </c>
      <c r="CP129" s="18">
        <v>1</v>
      </c>
    </row>
    <row r="130" spans="1:94" x14ac:dyDescent="0.25">
      <c r="A130" s="19">
        <f t="shared" si="75"/>
        <v>2026</v>
      </c>
      <c r="B130" s="19">
        <f t="shared" si="90"/>
        <v>3</v>
      </c>
      <c r="C130" s="18">
        <f t="shared" si="45"/>
        <v>31</v>
      </c>
      <c r="D130" s="18">
        <f t="shared" si="100"/>
        <v>263.59377701422733</v>
      </c>
      <c r="E130" s="18">
        <f>IF(R129&lt;&gt;1,"",IF(O129&gt;0,IF(O129&gt;CONTROL_PANEL!$B$11,CONTROL_PANEL!$B$11,O129),0))</f>
        <v>50000000</v>
      </c>
      <c r="F130" s="18">
        <f t="shared" si="91"/>
        <v>5245896.683231636</v>
      </c>
      <c r="G130" s="18">
        <f>IF(R130&lt;&gt;1,"",DATA_INPUT!I130)</f>
        <v>6.6705782052691678</v>
      </c>
      <c r="H130" s="18">
        <f>IF(R130&lt;&gt;1,"",G130*CONTROL_PANEL!$B$5)</f>
        <v>633037.87168004399</v>
      </c>
      <c r="I130" s="18">
        <f>IF(R130&lt;&gt;1,"",DATA_INPUT!C130)</f>
        <v>40.35</v>
      </c>
      <c r="J130" s="18">
        <f t="shared" si="47"/>
        <v>211671.93116839652</v>
      </c>
      <c r="K130" s="18">
        <f>IF(R130&lt;&gt;1,"",DATA_INPUT!H130)</f>
        <v>39.474741881907498</v>
      </c>
      <c r="L130" s="18">
        <f t="shared" si="48"/>
        <v>207080.41750972348</v>
      </c>
      <c r="M130" s="18">
        <f>IF(R130&lt;&gt;1,"",H130*CONTROL_PANEL!$B$14)</f>
        <v>44312.651017603086</v>
      </c>
      <c r="N130" s="18">
        <f>IF(R130&lt;&gt;1,"",DATA_INPUT!K130)</f>
        <v>0</v>
      </c>
      <c r="O130" s="18">
        <f t="shared" si="49"/>
        <v>50593316.734321117</v>
      </c>
      <c r="P130" s="27">
        <f>IF(R130&lt;&gt;1,"",IF(O130-CONTROL_PANEL!$B$11&lt;0,0,O130-CONTROL_PANEL!$B$11))</f>
        <v>593316.7343211174</v>
      </c>
      <c r="Q130" s="18">
        <f>IF(R130&lt;&gt;1,"",IF(N130&lt;=0,0,MIN(N130,MAX(0,CONTROL_PANEL!$B$13-O130))))</f>
        <v>0</v>
      </c>
      <c r="R130" s="18">
        <v>1</v>
      </c>
      <c r="T130" s="19">
        <f t="shared" si="76"/>
        <v>2026</v>
      </c>
      <c r="U130" s="19">
        <f t="shared" si="92"/>
        <v>3</v>
      </c>
      <c r="V130" s="18">
        <f t="shared" si="50"/>
        <v>31</v>
      </c>
      <c r="W130" s="18">
        <f t="shared" si="101"/>
        <v>262.36093521392087</v>
      </c>
      <c r="X130" s="18">
        <f>IF(AK129&lt;&gt;1,"",IF(AH129&gt;0,IF(AH129&gt;CONTROL_PANEL!$B$11,CONTROL_PANEL!$B$11,AH129),0))</f>
        <v>43768879.403900519</v>
      </c>
      <c r="Y130" s="18">
        <f t="shared" si="93"/>
        <v>4799055.1925613536</v>
      </c>
      <c r="Z130" s="18">
        <f>IF(AK130&lt;&gt;1,"",DATA_INPUT!I130)</f>
        <v>6.6705782052691678</v>
      </c>
      <c r="AA130" s="18">
        <f>IF(AK130&lt;&gt;1,"",Z130*CONTROL_PANEL!$B$5)</f>
        <v>633037.87168004399</v>
      </c>
      <c r="AB130" s="18">
        <f>IF(AK130&lt;&gt;1,"",DATA_INPUT!$C130)</f>
        <v>40.35</v>
      </c>
      <c r="AC130" s="18">
        <f t="shared" si="52"/>
        <v>193641.87701985062</v>
      </c>
      <c r="AD130" s="18">
        <f>IF(AK130&lt;&gt;1,"",DATA_INPUT!$H130)</f>
        <v>39.474741881907498</v>
      </c>
      <c r="AE130" s="18">
        <f t="shared" si="53"/>
        <v>189441.4650033873</v>
      </c>
      <c r="AF130" s="18">
        <f>IF(AK130&lt;&gt;1,"",AA130*CONTROL_PANEL!$B$14)</f>
        <v>44312.651017603086</v>
      </c>
      <c r="AG130" s="18">
        <f>IF(AK130&lt;&gt;1,"",DATA_INPUT!$L130)</f>
        <v>0</v>
      </c>
      <c r="AH130" s="18">
        <f t="shared" si="54"/>
        <v>44361805.036579423</v>
      </c>
      <c r="AI130" s="28">
        <f>IF(AK130&lt;&gt;1,"",IF(AH130-CONTROL_PANEL!$B$11&lt;0,0,AH130-CONTROL_PANEL!$B$11))</f>
        <v>0</v>
      </c>
      <c r="AJ130" s="18">
        <f>IF(AK130&lt;&gt;1,"",IF(AG130&lt;=0,0,MIN(AG130,MAX(0,CONTROL_PANEL!$B$13-AH130))))</f>
        <v>0</v>
      </c>
      <c r="AK130" s="18">
        <v>1</v>
      </c>
      <c r="AM130" s="19">
        <f t="shared" si="77"/>
        <v>2026</v>
      </c>
      <c r="AN130" s="19">
        <f t="shared" si="94"/>
        <v>3</v>
      </c>
      <c r="AO130" s="18">
        <f t="shared" si="55"/>
        <v>31</v>
      </c>
      <c r="AP130" s="18">
        <f t="shared" si="102"/>
        <v>263.59377701422733</v>
      </c>
      <c r="AQ130" s="18">
        <f>IF(BD129&lt;&gt;1,"",IF(BA129&gt;0,IF(BA129&gt;CONTROL_PANEL!$B$11,CONTROL_PANEL!$B$11,BA129),0))</f>
        <v>50000000</v>
      </c>
      <c r="AR130" s="18">
        <f t="shared" si="95"/>
        <v>5245896.683231636</v>
      </c>
      <c r="AS130" s="18">
        <f>IF(BD130&lt;&gt;1,"",DATA_INPUT!$I130)</f>
        <v>6.6705782052691678</v>
      </c>
      <c r="AT130" s="18">
        <f>IF(BD130&lt;&gt;1,"",AS130*CONTROL_PANEL!$B$5)</f>
        <v>633037.87168004399</v>
      </c>
      <c r="AU130" s="18">
        <f>IF(BD130&lt;&gt;1,"",DATA_INPUT!$C130)</f>
        <v>40.35</v>
      </c>
      <c r="AV130" s="18">
        <f t="shared" si="57"/>
        <v>211671.93116839652</v>
      </c>
      <c r="AW130" s="18">
        <f>IF(BD130&lt;&gt;1,"",DATA_INPUT!$H130)</f>
        <v>39.474741881907498</v>
      </c>
      <c r="AX130" s="18">
        <f t="shared" si="58"/>
        <v>207080.41750972348</v>
      </c>
      <c r="AY130" s="18">
        <f>IF(BD130&lt;&gt;1,"",AT130*CONTROL_PANEL!$B$14)</f>
        <v>44312.651017603086</v>
      </c>
      <c r="AZ130" s="18">
        <f>IF(BD130&lt;&gt;1,"",DATA_INPUT!$M130)</f>
        <v>0</v>
      </c>
      <c r="BA130" s="18">
        <f t="shared" si="59"/>
        <v>50593316.734321117</v>
      </c>
      <c r="BB130" s="28">
        <f>IF(BD130&lt;&gt;1,"",IF(BA130-CONTROL_PANEL!$B$11&lt;0,0,BA130-CONTROL_PANEL!$B$11))</f>
        <v>593316.7343211174</v>
      </c>
      <c r="BC130" s="18">
        <f>IF(BD130&lt;&gt;1,"",IF(AZ130&lt;=0,0,MIN(AZ130,MAX(0,CONTROL_PANEL!$B$13-BA130))))</f>
        <v>0</v>
      </c>
      <c r="BD130" s="18">
        <v>1</v>
      </c>
      <c r="BF130" s="19">
        <f t="shared" si="78"/>
        <v>2026</v>
      </c>
      <c r="BG130" s="19">
        <f t="shared" si="96"/>
        <v>3</v>
      </c>
      <c r="BH130" s="18">
        <f t="shared" si="60"/>
        <v>31</v>
      </c>
      <c r="BI130" s="18">
        <f t="shared" si="103"/>
        <v>263.59377701422733</v>
      </c>
      <c r="BJ130" s="18">
        <f>IF(BW129&lt;&gt;1,"",IF(BT129&gt;0,IF(BT129&gt;CONTROL_PANEL!$B$11,CONTROL_PANEL!$B$11,BT129),0))</f>
        <v>50000000</v>
      </c>
      <c r="BK130" s="18">
        <f t="shared" si="97"/>
        <v>5245896.683231636</v>
      </c>
      <c r="BL130" s="18">
        <f>IF(BW130&lt;&gt;1,"",DATA_INPUT!$I130)</f>
        <v>6.6705782052691678</v>
      </c>
      <c r="BM130" s="18">
        <f>IF(BW130&lt;&gt;1,"",BL130*CONTROL_PANEL!$B$5)</f>
        <v>633037.87168004399</v>
      </c>
      <c r="BN130" s="18">
        <f>IF(BW130&lt;&gt;1,"",DATA_INPUT!$C130)</f>
        <v>40.35</v>
      </c>
      <c r="BO130" s="18">
        <f t="shared" si="62"/>
        <v>211671.93116839652</v>
      </c>
      <c r="BP130" s="18">
        <f>IF(BW130&lt;&gt;1,"",DATA_INPUT!$H130)</f>
        <v>39.474741881907498</v>
      </c>
      <c r="BQ130" s="18">
        <f t="shared" si="63"/>
        <v>207080.41750972348</v>
      </c>
      <c r="BR130" s="18">
        <f>IF(BW130&lt;&gt;1,"",BM130*CONTROL_PANEL!$B$14)</f>
        <v>44312.651017603086</v>
      </c>
      <c r="BS130" s="18">
        <f>IF(BW130&lt;&gt;1,"",DATA_INPUT!$N130)</f>
        <v>0</v>
      </c>
      <c r="BT130" s="18">
        <f t="shared" si="64"/>
        <v>50593316.734321117</v>
      </c>
      <c r="BU130" s="28">
        <f>IF(BW130&lt;&gt;1,"",IF(BT130-CONTROL_PANEL!$B$11&lt;0,0,BT130-CONTROL_PANEL!$B$11))</f>
        <v>593316.7343211174</v>
      </c>
      <c r="BV130" s="18">
        <f>IF(BW130&lt;&gt;1,"",IF(BS130&lt;=0,0,MIN(BS130,MAX(0,CONTROL_PANEL!$B$13-BT130))))</f>
        <v>0</v>
      </c>
      <c r="BW130" s="18">
        <v>1</v>
      </c>
      <c r="BY130" s="19">
        <f t="shared" si="79"/>
        <v>2026</v>
      </c>
      <c r="BZ130" s="19">
        <f t="shared" si="98"/>
        <v>3</v>
      </c>
      <c r="CA130" s="18">
        <f t="shared" si="65"/>
        <v>31</v>
      </c>
      <c r="CB130" s="18">
        <f t="shared" si="104"/>
        <v>263.59377701422733</v>
      </c>
      <c r="CC130" s="18">
        <f>IF(CP129&lt;&gt;1,"",IF(CM129&gt;0,IF(CM129&gt;CONTROL_PANEL!$B$11,CONTROL_PANEL!$B$11,CM129),0))</f>
        <v>50000000</v>
      </c>
      <c r="CD130" s="18">
        <f t="shared" si="99"/>
        <v>5245896.683231636</v>
      </c>
      <c r="CE130" s="18">
        <f>IF(CP130&lt;&gt;1,"",DATA_INPUT!$I130)</f>
        <v>6.6705782052691678</v>
      </c>
      <c r="CF130" s="18">
        <f>IF(CP130&lt;&gt;1,"",CE130*CONTROL_PANEL!$B$5)</f>
        <v>633037.87168004399</v>
      </c>
      <c r="CG130" s="18">
        <f>IF(CP130&lt;&gt;1,"",DATA_INPUT!$C130)</f>
        <v>40.35</v>
      </c>
      <c r="CH130" s="18">
        <f t="shared" si="67"/>
        <v>211671.93116839652</v>
      </c>
      <c r="CI130" s="18">
        <f>IF(CP130&lt;&gt;1,"",DATA_INPUT!$H130)</f>
        <v>39.474741881907498</v>
      </c>
      <c r="CJ130" s="18">
        <f t="shared" si="68"/>
        <v>207080.41750972348</v>
      </c>
      <c r="CK130" s="18">
        <f>IF(CP130&lt;&gt;1,"",CF130*CONTROL_PANEL!$B$14)</f>
        <v>44312.651017603086</v>
      </c>
      <c r="CL130" s="18">
        <f>IF(CP130&lt;&gt;1,"",DATA_INPUT!$O130)</f>
        <v>0</v>
      </c>
      <c r="CM130" s="18">
        <f t="shared" si="69"/>
        <v>50593316.734321117</v>
      </c>
      <c r="CN130" s="28">
        <f>IF(CP130&lt;&gt;1,"",IF(CM130-CONTROL_PANEL!$B$11&lt;0,0,CM130-CONTROL_PANEL!$B$11))</f>
        <v>593316.7343211174</v>
      </c>
      <c r="CO130" s="18">
        <f>IF(CP130&lt;&gt;1,"",IF(CL130&lt;=0,0,MIN(CL130,MAX(0,CONTROL_PANEL!$B$13-CM130))))</f>
        <v>0</v>
      </c>
      <c r="CP130" s="18">
        <v>1</v>
      </c>
    </row>
    <row r="131" spans="1:94" x14ac:dyDescent="0.25">
      <c r="A131" s="19">
        <f t="shared" si="75"/>
        <v>2026</v>
      </c>
      <c r="B131" s="19">
        <f t="shared" si="90"/>
        <v>4</v>
      </c>
      <c r="C131" s="18">
        <f t="shared" si="45"/>
        <v>30</v>
      </c>
      <c r="D131" s="18">
        <f t="shared" si="100"/>
        <v>263.59377701422733</v>
      </c>
      <c r="E131" s="18">
        <f>IF(R130&lt;&gt;1,"",IF(O130&gt;0,IF(O130&gt;CONTROL_PANEL!$B$11,CONTROL_PANEL!$B$11,O130),0))</f>
        <v>50000000</v>
      </c>
      <c r="F131" s="18">
        <f t="shared" si="91"/>
        <v>5245896.683231636</v>
      </c>
      <c r="G131" s="18">
        <f>IF(R131&lt;&gt;1,"",DATA_INPUT!I131)</f>
        <v>0.99487158857627667</v>
      </c>
      <c r="H131" s="18">
        <f>IF(R131&lt;&gt;1,"",G131*CONTROL_PANEL!$B$5)</f>
        <v>94413.313755888652</v>
      </c>
      <c r="I131" s="18">
        <f>IF(R131&lt;&gt;1,"",DATA_INPUT!C131)</f>
        <v>8.7999999999999989</v>
      </c>
      <c r="J131" s="18">
        <f t="shared" si="47"/>
        <v>46163.890812438389</v>
      </c>
      <c r="K131" s="18">
        <f>IF(R131&lt;&gt;1,"",DATA_INPUT!H131)</f>
        <v>71.154192362672035</v>
      </c>
      <c r="L131" s="18">
        <f t="shared" si="48"/>
        <v>373267.54171336704</v>
      </c>
      <c r="M131" s="18">
        <f>IF(R131&lt;&gt;1,"",H131*CONTROL_PANEL!$B$14)</f>
        <v>6608.9319629122065</v>
      </c>
      <c r="N131" s="18">
        <f>IF(R131&lt;&gt;1,"",DATA_INPUT!K131)</f>
        <v>6454.052840286623</v>
      </c>
      <c r="O131" s="18">
        <f t="shared" si="49"/>
        <v>49754246.67805177</v>
      </c>
      <c r="P131" s="18">
        <f>IF(R131&lt;&gt;1,"",IF(O131-CONTROL_PANEL!$B$11&lt;0,0,O131-CONTROL_PANEL!$B$11))</f>
        <v>0</v>
      </c>
      <c r="Q131" s="18">
        <f>IF(R131&lt;&gt;1,"",IF(N131&lt;=0,0,MIN(N131,MAX(0,CONTROL_PANEL!$B$13-O131))))</f>
        <v>0</v>
      </c>
      <c r="R131" s="18">
        <v>1</v>
      </c>
      <c r="T131" s="19">
        <f t="shared" si="76"/>
        <v>2026</v>
      </c>
      <c r="U131" s="19">
        <f t="shared" si="92"/>
        <v>4</v>
      </c>
      <c r="V131" s="18">
        <f t="shared" si="50"/>
        <v>30</v>
      </c>
      <c r="W131" s="18">
        <f t="shared" si="101"/>
        <v>262.48311560151456</v>
      </c>
      <c r="X131" s="18">
        <f>IF(AK130&lt;&gt;1,"",IF(AH130&gt;0,IF(AH130&gt;CONTROL_PANEL!$B$11,CONTROL_PANEL!$B$11,AH130),0))</f>
        <v>44361805.036579423</v>
      </c>
      <c r="Y131" s="18">
        <f t="shared" si="93"/>
        <v>4842442.7943098238</v>
      </c>
      <c r="Z131" s="18">
        <f>IF(AK131&lt;&gt;1,"",DATA_INPUT!I131)</f>
        <v>0.99487158857627667</v>
      </c>
      <c r="AA131" s="18">
        <f>IF(AK131&lt;&gt;1,"",Z131*CONTROL_PANEL!$B$5)</f>
        <v>94413.313755888652</v>
      </c>
      <c r="AB131" s="18">
        <f>IF(AK131&lt;&gt;1,"",DATA_INPUT!$C131)</f>
        <v>8.7999999999999989</v>
      </c>
      <c r="AC131" s="18">
        <f t="shared" si="52"/>
        <v>42613.496589926443</v>
      </c>
      <c r="AD131" s="18">
        <f>IF(AK131&lt;&gt;1,"",DATA_INPUT!$H131)</f>
        <v>71.154192362672035</v>
      </c>
      <c r="AE131" s="18">
        <f t="shared" si="53"/>
        <v>344560.10609155631</v>
      </c>
      <c r="AF131" s="18">
        <f>IF(AK131&lt;&gt;1,"",AA131*CONTROL_PANEL!$B$14)</f>
        <v>6608.9319629122065</v>
      </c>
      <c r="AG131" s="18">
        <f>IF(AK131&lt;&gt;1,"",DATA_INPUT!$L131)</f>
        <v>8070.0461892539333</v>
      </c>
      <c r="AH131" s="18">
        <f t="shared" si="54"/>
        <v>44139592.762681521</v>
      </c>
      <c r="AI131" s="28">
        <f>IF(AK131&lt;&gt;1,"",IF(AH131-CONTROL_PANEL!$B$11&lt;0,0,AH131-CONTROL_PANEL!$B$11))</f>
        <v>0</v>
      </c>
      <c r="AJ131" s="18">
        <f>IF(AK131&lt;&gt;1,"",IF(AG131&lt;=0,0,MIN(AG131,MAX(0,CONTROL_PANEL!$B$13-AH131))))</f>
        <v>0</v>
      </c>
      <c r="AK131" s="18">
        <v>1</v>
      </c>
      <c r="AM131" s="19">
        <f t="shared" si="77"/>
        <v>2026</v>
      </c>
      <c r="AN131" s="19">
        <f t="shared" si="94"/>
        <v>4</v>
      </c>
      <c r="AO131" s="18">
        <f t="shared" si="55"/>
        <v>30</v>
      </c>
      <c r="AP131" s="18">
        <f t="shared" si="102"/>
        <v>263.59377701422733</v>
      </c>
      <c r="AQ131" s="18">
        <f>IF(BD130&lt;&gt;1,"",IF(BA130&gt;0,IF(BA130&gt;CONTROL_PANEL!$B$11,CONTROL_PANEL!$B$11,BA130),0))</f>
        <v>50000000</v>
      </c>
      <c r="AR131" s="18">
        <f t="shared" si="95"/>
        <v>5245896.683231636</v>
      </c>
      <c r="AS131" s="18">
        <f>IF(BD131&lt;&gt;1,"",DATA_INPUT!$I131)</f>
        <v>0.99487158857627667</v>
      </c>
      <c r="AT131" s="18">
        <f>IF(BD131&lt;&gt;1,"",AS131*CONTROL_PANEL!$B$5)</f>
        <v>94413.313755888652</v>
      </c>
      <c r="AU131" s="18">
        <f>IF(BD131&lt;&gt;1,"",DATA_INPUT!$C131)</f>
        <v>8.7999999999999989</v>
      </c>
      <c r="AV131" s="18">
        <f t="shared" si="57"/>
        <v>46163.890812438389</v>
      </c>
      <c r="AW131" s="18">
        <f>IF(BD131&lt;&gt;1,"",DATA_INPUT!$H131)</f>
        <v>71.154192362672035</v>
      </c>
      <c r="AX131" s="18">
        <f t="shared" si="58"/>
        <v>373267.54171336704</v>
      </c>
      <c r="AY131" s="18">
        <f>IF(BD131&lt;&gt;1,"",AT131*CONTROL_PANEL!$B$14)</f>
        <v>6608.9319629122065</v>
      </c>
      <c r="AZ131" s="18">
        <f>IF(BD131&lt;&gt;1,"",DATA_INPUT!$M131)</f>
        <v>3851.0733599544646</v>
      </c>
      <c r="BA131" s="18">
        <f t="shared" si="59"/>
        <v>49756849.657532103</v>
      </c>
      <c r="BB131" s="28">
        <f>IF(BD131&lt;&gt;1,"",IF(BA131-CONTROL_PANEL!$B$11&lt;0,0,BA131-CONTROL_PANEL!$B$11))</f>
        <v>0</v>
      </c>
      <c r="BC131" s="18">
        <f>IF(BD131&lt;&gt;1,"",IF(AZ131&lt;=0,0,MIN(AZ131,MAX(0,CONTROL_PANEL!$B$13-BA131))))</f>
        <v>0</v>
      </c>
      <c r="BD131" s="18">
        <v>1</v>
      </c>
      <c r="BF131" s="19">
        <f t="shared" si="78"/>
        <v>2026</v>
      </c>
      <c r="BG131" s="19">
        <f t="shared" si="96"/>
        <v>4</v>
      </c>
      <c r="BH131" s="18">
        <f t="shared" si="60"/>
        <v>30</v>
      </c>
      <c r="BI131" s="18">
        <f t="shared" si="103"/>
        <v>263.59377701422733</v>
      </c>
      <c r="BJ131" s="18">
        <f>IF(BW130&lt;&gt;1,"",IF(BT130&gt;0,IF(BT130&gt;CONTROL_PANEL!$B$11,CONTROL_PANEL!$B$11,BT130),0))</f>
        <v>50000000</v>
      </c>
      <c r="BK131" s="18">
        <f t="shared" si="97"/>
        <v>5245896.683231636</v>
      </c>
      <c r="BL131" s="18">
        <f>IF(BW131&lt;&gt;1,"",DATA_INPUT!$I131)</f>
        <v>0.99487158857627667</v>
      </c>
      <c r="BM131" s="18">
        <f>IF(BW131&lt;&gt;1,"",BL131*CONTROL_PANEL!$B$5)</f>
        <v>94413.313755888652</v>
      </c>
      <c r="BN131" s="18">
        <f>IF(BW131&lt;&gt;1,"",DATA_INPUT!$C131)</f>
        <v>8.7999999999999989</v>
      </c>
      <c r="BO131" s="18">
        <f t="shared" si="62"/>
        <v>46163.890812438389</v>
      </c>
      <c r="BP131" s="18">
        <f>IF(BW131&lt;&gt;1,"",DATA_INPUT!$H131)</f>
        <v>71.154192362672035</v>
      </c>
      <c r="BQ131" s="18">
        <f t="shared" si="63"/>
        <v>373267.54171336704</v>
      </c>
      <c r="BR131" s="18">
        <f>IF(BW131&lt;&gt;1,"",BM131*CONTROL_PANEL!$B$14)</f>
        <v>6608.9319629122065</v>
      </c>
      <c r="BS131" s="18">
        <f>IF(BW131&lt;&gt;1,"",DATA_INPUT!$N131)</f>
        <v>412.49375780390233</v>
      </c>
      <c r="BT131" s="18">
        <f t="shared" si="64"/>
        <v>49760288.237134248</v>
      </c>
      <c r="BU131" s="28">
        <f>IF(BW131&lt;&gt;1,"",IF(BT131-CONTROL_PANEL!$B$11&lt;0,0,BT131-CONTROL_PANEL!$B$11))</f>
        <v>0</v>
      </c>
      <c r="BV131" s="18">
        <f>IF(BW131&lt;&gt;1,"",IF(BS131&lt;=0,0,MIN(BS131,MAX(0,CONTROL_PANEL!$B$13-BT131))))</f>
        <v>0</v>
      </c>
      <c r="BW131" s="18">
        <v>1</v>
      </c>
      <c r="BY131" s="19">
        <f t="shared" si="79"/>
        <v>2026</v>
      </c>
      <c r="BZ131" s="19">
        <f t="shared" si="98"/>
        <v>4</v>
      </c>
      <c r="CA131" s="18">
        <f t="shared" si="65"/>
        <v>30</v>
      </c>
      <c r="CB131" s="18">
        <f t="shared" si="104"/>
        <v>263.59377701422733</v>
      </c>
      <c r="CC131" s="18">
        <f>IF(CP130&lt;&gt;1,"",IF(CM130&gt;0,IF(CM130&gt;CONTROL_PANEL!$B$11,CONTROL_PANEL!$B$11,CM130),0))</f>
        <v>50000000</v>
      </c>
      <c r="CD131" s="18">
        <f t="shared" si="99"/>
        <v>5245896.683231636</v>
      </c>
      <c r="CE131" s="18">
        <f>IF(CP131&lt;&gt;1,"",DATA_INPUT!$I131)</f>
        <v>0.99487158857627667</v>
      </c>
      <c r="CF131" s="18">
        <f>IF(CP131&lt;&gt;1,"",CE131*CONTROL_PANEL!$B$5)</f>
        <v>94413.313755888652</v>
      </c>
      <c r="CG131" s="18">
        <f>IF(CP131&lt;&gt;1,"",DATA_INPUT!$C131)</f>
        <v>8.7999999999999989</v>
      </c>
      <c r="CH131" s="18">
        <f t="shared" si="67"/>
        <v>46163.890812438389</v>
      </c>
      <c r="CI131" s="18">
        <f>IF(CP131&lt;&gt;1,"",DATA_INPUT!$H131)</f>
        <v>71.154192362672035</v>
      </c>
      <c r="CJ131" s="18">
        <f t="shared" si="68"/>
        <v>373267.54171336704</v>
      </c>
      <c r="CK131" s="18">
        <f>IF(CP131&lt;&gt;1,"",CF131*CONTROL_PANEL!$B$14)</f>
        <v>6608.9319629122065</v>
      </c>
      <c r="CL131" s="18">
        <f>IF(CP131&lt;&gt;1,"",DATA_INPUT!$O131)</f>
        <v>467.70065247339869</v>
      </c>
      <c r="CM131" s="18">
        <f t="shared" si="69"/>
        <v>49760233.030239582</v>
      </c>
      <c r="CN131" s="28">
        <f>IF(CP131&lt;&gt;1,"",IF(CM131-CONTROL_PANEL!$B$11&lt;0,0,CM131-CONTROL_PANEL!$B$11))</f>
        <v>0</v>
      </c>
      <c r="CO131" s="18">
        <f>IF(CP131&lt;&gt;1,"",IF(CL131&lt;=0,0,MIN(CL131,MAX(0,CONTROL_PANEL!$B$13-CM131))))</f>
        <v>0</v>
      </c>
      <c r="CP131" s="18">
        <v>1</v>
      </c>
    </row>
    <row r="132" spans="1:94" ht="13.5" customHeight="1" x14ac:dyDescent="0.25">
      <c r="A132" s="19">
        <f t="shared" si="75"/>
        <v>2026</v>
      </c>
      <c r="B132" s="19">
        <f t="shared" si="90"/>
        <v>5</v>
      </c>
      <c r="C132" s="18">
        <f t="shared" si="45"/>
        <v>31</v>
      </c>
      <c r="D132" s="18">
        <f t="shared" si="100"/>
        <v>263.54716378080957</v>
      </c>
      <c r="E132" s="18">
        <f>IF(R131&lt;&gt;1,"",IF(O131&gt;0,IF(O131&gt;CONTROL_PANEL!$B$11,CONTROL_PANEL!$B$11,O131),0))</f>
        <v>49754246.67805177</v>
      </c>
      <c r="F132" s="18">
        <f t="shared" si="91"/>
        <v>5228636.4130679602</v>
      </c>
      <c r="G132" s="18">
        <f>IF(R132&lt;&gt;1,"",DATA_INPUT!I132)</f>
        <v>0</v>
      </c>
      <c r="H132" s="18">
        <f>IF(R132&lt;&gt;1,"",G132*CONTROL_PANEL!$B$5)</f>
        <v>0</v>
      </c>
      <c r="I132" s="18">
        <f>IF(R132&lt;&gt;1,"",DATA_INPUT!C132)</f>
        <v>5.6999999999999993</v>
      </c>
      <c r="J132" s="18">
        <f t="shared" si="47"/>
        <v>29803.22755448737</v>
      </c>
      <c r="K132" s="18">
        <f>IF(R132&lt;&gt;1,"",DATA_INPUT!H132)</f>
        <v>96.36620415493519</v>
      </c>
      <c r="L132" s="18">
        <f t="shared" si="48"/>
        <v>503863.84403363511</v>
      </c>
      <c r="M132" s="18">
        <f>IF(R132&lt;&gt;1,"",H132*CONTROL_PANEL!$B$14)</f>
        <v>0</v>
      </c>
      <c r="N132" s="18">
        <f>IF(R132&lt;&gt;1,"",DATA_INPUT!K132)</f>
        <v>321056.75209649204</v>
      </c>
      <c r="O132" s="18">
        <f t="shared" si="49"/>
        <v>48959129.30947613</v>
      </c>
      <c r="P132" s="18">
        <f>IF(R132&lt;&gt;1,"",IF(O132-CONTROL_PANEL!$B$11&lt;0,0,O132-CONTROL_PANEL!$B$11))</f>
        <v>0</v>
      </c>
      <c r="Q132" s="18">
        <f>IF(R132&lt;&gt;1,"",IF(N132&lt;=0,0,MIN(N132,MAX(0,CONTROL_PANEL!$B$13-O132))))</f>
        <v>0</v>
      </c>
      <c r="R132" s="18">
        <v>1</v>
      </c>
      <c r="T132" s="19">
        <f t="shared" si="76"/>
        <v>2026</v>
      </c>
      <c r="U132" s="19">
        <f t="shared" si="92"/>
        <v>5</v>
      </c>
      <c r="V132" s="18">
        <f t="shared" si="50"/>
        <v>31</v>
      </c>
      <c r="W132" s="18">
        <f t="shared" si="101"/>
        <v>262.43745445421769</v>
      </c>
      <c r="X132" s="18">
        <f>IF(AK131&lt;&gt;1,"",IF(AH131&gt;0,IF(AH131&gt;CONTROL_PANEL!$B$11,CONTROL_PANEL!$B$11,AH131),0))</f>
        <v>44139592.762681521</v>
      </c>
      <c r="Y132" s="18">
        <f t="shared" si="93"/>
        <v>4826204.9421894876</v>
      </c>
      <c r="Z132" s="18">
        <f>IF(AK132&lt;&gt;1,"",DATA_INPUT!I132)</f>
        <v>0</v>
      </c>
      <c r="AA132" s="18">
        <f>IF(AK132&lt;&gt;1,"",Z132*CONTROL_PANEL!$B$5)</f>
        <v>0</v>
      </c>
      <c r="AB132" s="18">
        <f>IF(AK132&lt;&gt;1,"",DATA_INPUT!$C132)</f>
        <v>5.6999999999999993</v>
      </c>
      <c r="AC132" s="18">
        <f t="shared" si="52"/>
        <v>27509.368170480077</v>
      </c>
      <c r="AD132" s="18">
        <f>IF(AK132&lt;&gt;1,"",DATA_INPUT!$H132)</f>
        <v>96.36620415493519</v>
      </c>
      <c r="AE132" s="18">
        <f t="shared" si="53"/>
        <v>465083.05075258936</v>
      </c>
      <c r="AF132" s="18">
        <f>IF(AK132&lt;&gt;1,"",AA132*CONTROL_PANEL!$B$14)</f>
        <v>0</v>
      </c>
      <c r="AG132" s="18">
        <f>IF(AK132&lt;&gt;1,"",DATA_INPUT!$L132)</f>
        <v>405531.53059089987</v>
      </c>
      <c r="AH132" s="18">
        <f t="shared" si="54"/>
        <v>43296487.549508512</v>
      </c>
      <c r="AI132" s="28">
        <f>IF(AK132&lt;&gt;1,"",IF(AH132-CONTROL_PANEL!$B$11&lt;0,0,AH132-CONTROL_PANEL!$B$11))</f>
        <v>0</v>
      </c>
      <c r="AJ132" s="18">
        <f>IF(AK132&lt;&gt;1,"",IF(AG132&lt;=0,0,MIN(AG132,MAX(0,CONTROL_PANEL!$B$13-AH132))))</f>
        <v>0</v>
      </c>
      <c r="AK132" s="18">
        <v>1</v>
      </c>
      <c r="AM132" s="19">
        <f t="shared" si="77"/>
        <v>2026</v>
      </c>
      <c r="AN132" s="19">
        <f t="shared" si="94"/>
        <v>5</v>
      </c>
      <c r="AO132" s="18">
        <f t="shared" si="55"/>
        <v>31</v>
      </c>
      <c r="AP132" s="18">
        <f t="shared" si="102"/>
        <v>263.54765830667839</v>
      </c>
      <c r="AQ132" s="18">
        <f>IF(BD131&lt;&gt;1,"",IF(BA131&gt;0,IF(BA131&gt;CONTROL_PANEL!$B$11,CONTROL_PANEL!$B$11,BA131),0))</f>
        <v>49756849.657532103</v>
      </c>
      <c r="AR132" s="18">
        <f t="shared" si="95"/>
        <v>5228819.3787746141</v>
      </c>
      <c r="AS132" s="18">
        <f>IF(BD132&lt;&gt;1,"",DATA_INPUT!$I132)</f>
        <v>0</v>
      </c>
      <c r="AT132" s="18">
        <f>IF(BD132&lt;&gt;1,"",AS132*CONTROL_PANEL!$B$5)</f>
        <v>0</v>
      </c>
      <c r="AU132" s="18">
        <f>IF(BD132&lt;&gt;1,"",DATA_INPUT!$C132)</f>
        <v>5.6999999999999993</v>
      </c>
      <c r="AV132" s="18">
        <f t="shared" si="57"/>
        <v>29804.270459015293</v>
      </c>
      <c r="AW132" s="18">
        <f>IF(BD132&lt;&gt;1,"",DATA_INPUT!$H132)</f>
        <v>96.36620415493519</v>
      </c>
      <c r="AX132" s="18">
        <f t="shared" si="58"/>
        <v>503881.47574427584</v>
      </c>
      <c r="AY132" s="18">
        <f>IF(BD132&lt;&gt;1,"",AT132*CONTROL_PANEL!$B$14)</f>
        <v>0</v>
      </c>
      <c r="AZ132" s="18">
        <f>IF(BD132&lt;&gt;1,"",DATA_INPUT!$M132)</f>
        <v>316923.52847483393</v>
      </c>
      <c r="BA132" s="18">
        <f t="shared" si="59"/>
        <v>48965848.923772015</v>
      </c>
      <c r="BB132" s="28">
        <f>IF(BD132&lt;&gt;1,"",IF(BA132-CONTROL_PANEL!$B$11&lt;0,0,BA132-CONTROL_PANEL!$B$11))</f>
        <v>0</v>
      </c>
      <c r="BC132" s="18">
        <f>IF(BD132&lt;&gt;1,"",IF(AZ132&lt;=0,0,MIN(AZ132,MAX(0,CONTROL_PANEL!$B$13-BA132))))</f>
        <v>0</v>
      </c>
      <c r="BD132" s="18">
        <v>1</v>
      </c>
      <c r="BF132" s="19">
        <f t="shared" si="78"/>
        <v>2026</v>
      </c>
      <c r="BG132" s="19">
        <f t="shared" si="96"/>
        <v>5</v>
      </c>
      <c r="BH132" s="18">
        <f t="shared" si="60"/>
        <v>31</v>
      </c>
      <c r="BI132" s="18">
        <f t="shared" si="103"/>
        <v>263.54831155712765</v>
      </c>
      <c r="BJ132" s="18">
        <f>IF(BW131&lt;&gt;1,"",IF(BT131&gt;0,IF(BT131&gt;CONTROL_PANEL!$B$11,CONTROL_PANEL!$B$11,BT131),0))</f>
        <v>49760288.237134248</v>
      </c>
      <c r="BK132" s="18">
        <f t="shared" si="97"/>
        <v>5229061.0746866455</v>
      </c>
      <c r="BL132" s="18">
        <f>IF(BW132&lt;&gt;1,"",DATA_INPUT!$I132)</f>
        <v>0</v>
      </c>
      <c r="BM132" s="18">
        <f>IF(BW132&lt;&gt;1,"",BL132*CONTROL_PANEL!$B$5)</f>
        <v>0</v>
      </c>
      <c r="BN132" s="18">
        <f>IF(BW132&lt;&gt;1,"",DATA_INPUT!$C132)</f>
        <v>5.6999999999999993</v>
      </c>
      <c r="BO132" s="18">
        <f t="shared" si="62"/>
        <v>29805.648125713877</v>
      </c>
      <c r="BP132" s="18">
        <f>IF(BW132&lt;&gt;1,"",DATA_INPUT!$H132)</f>
        <v>96.36620415493519</v>
      </c>
      <c r="BQ132" s="18">
        <f t="shared" si="63"/>
        <v>503904.76706187811</v>
      </c>
      <c r="BR132" s="18">
        <f>IF(BW132&lt;&gt;1,"",BM132*CONTROL_PANEL!$B$14)</f>
        <v>0</v>
      </c>
      <c r="BS132" s="18">
        <f>IF(BW132&lt;&gt;1,"",DATA_INPUT!$N132)</f>
        <v>253079.95020304402</v>
      </c>
      <c r="BT132" s="18">
        <f t="shared" si="64"/>
        <v>49033109.167995043</v>
      </c>
      <c r="BU132" s="28">
        <f>IF(BW132&lt;&gt;1,"",IF(BT132-CONTROL_PANEL!$B$11&lt;0,0,BT132-CONTROL_PANEL!$B$11))</f>
        <v>0</v>
      </c>
      <c r="BV132" s="18">
        <f>IF(BW132&lt;&gt;1,"",IF(BS132&lt;=0,0,MIN(BS132,MAX(0,CONTROL_PANEL!$B$13-BT132))))</f>
        <v>0</v>
      </c>
      <c r="BW132" s="18">
        <v>1</v>
      </c>
      <c r="BY132" s="19">
        <f t="shared" si="79"/>
        <v>2026</v>
      </c>
      <c r="BZ132" s="19">
        <f t="shared" si="98"/>
        <v>5</v>
      </c>
      <c r="CA132" s="18">
        <f t="shared" si="65"/>
        <v>31</v>
      </c>
      <c r="CB132" s="18">
        <f t="shared" si="104"/>
        <v>263.54830106933537</v>
      </c>
      <c r="CC132" s="18">
        <f>IF(CP131&lt;&gt;1,"",IF(CM131&gt;0,IF(CM131&gt;CONTROL_PANEL!$B$11,CONTROL_PANEL!$B$11,CM131),0))</f>
        <v>49760233.030239582</v>
      </c>
      <c r="CD132" s="18">
        <f t="shared" si="99"/>
        <v>5229057.1942673782</v>
      </c>
      <c r="CE132" s="18">
        <f>IF(CP132&lt;&gt;1,"",DATA_INPUT!$I132)</f>
        <v>0</v>
      </c>
      <c r="CF132" s="18">
        <f>IF(CP132&lt;&gt;1,"",CE132*CONTROL_PANEL!$B$5)</f>
        <v>0</v>
      </c>
      <c r="CG132" s="18">
        <f>IF(CP132&lt;&gt;1,"",DATA_INPUT!$C132)</f>
        <v>5.6999999999999993</v>
      </c>
      <c r="CH132" s="18">
        <f t="shared" si="67"/>
        <v>29805.626007324052</v>
      </c>
      <c r="CI132" s="18">
        <f>IF(CP132&lt;&gt;1,"",DATA_INPUT!$H132)</f>
        <v>96.36620415493519</v>
      </c>
      <c r="CJ132" s="18">
        <f t="shared" si="68"/>
        <v>503904.39312060276</v>
      </c>
      <c r="CK132" s="18">
        <f>IF(CP132&lt;&gt;1,"",CF132*CONTROL_PANEL!$B$14)</f>
        <v>0</v>
      </c>
      <c r="CL132" s="18">
        <f>IF(CP132&lt;&gt;1,"",DATA_INPUT!$O132)</f>
        <v>288025.8810089</v>
      </c>
      <c r="CM132" s="18">
        <f t="shared" si="69"/>
        <v>48998108.382117406</v>
      </c>
      <c r="CN132" s="28">
        <f>IF(CP132&lt;&gt;1,"",IF(CM132-CONTROL_PANEL!$B$11&lt;0,0,CM132-CONTROL_PANEL!$B$11))</f>
        <v>0</v>
      </c>
      <c r="CO132" s="18">
        <f>IF(CP132&lt;&gt;1,"",IF(CL132&lt;=0,0,MIN(CL132,MAX(0,CONTROL_PANEL!$B$13-CM132))))</f>
        <v>0</v>
      </c>
      <c r="CP132" s="18">
        <v>1</v>
      </c>
    </row>
    <row r="133" spans="1:94" x14ac:dyDescent="0.25">
      <c r="A133" s="19">
        <f t="shared" si="75"/>
        <v>2026</v>
      </c>
      <c r="B133" s="19">
        <f t="shared" si="90"/>
        <v>6</v>
      </c>
      <c r="C133" s="18" t="str">
        <f t="shared" ref="C133:C196" si="105">IF(R133&lt;&gt;1,"",DAY(DATE(A133,B133+1,)))</f>
        <v/>
      </c>
      <c r="D133" s="18">
        <f t="shared" si="100"/>
        <v>263.39528650231</v>
      </c>
      <c r="E133" s="18">
        <f>IF(R132&lt;&gt;1,"",IF(O132&gt;0,IF(O132&gt;CONTROL_PANEL!$B$11,CONTROL_PANEL!$B$11,O132),0))</f>
        <v>48959129.30947613</v>
      </c>
      <c r="F133" s="18" t="str">
        <f t="shared" si="91"/>
        <v/>
      </c>
      <c r="G133" s="18" t="str">
        <f>IF(R133&lt;&gt;1,"",DATA_INPUT!I133)</f>
        <v/>
      </c>
      <c r="H133" s="18" t="str">
        <f>IF(R133&lt;&gt;1,"",G133*CONTROL_PANEL!$B$5)</f>
        <v/>
      </c>
      <c r="I133" s="18" t="str">
        <f>IF(R133&lt;&gt;1,"",DATA_INPUT!C133)</f>
        <v/>
      </c>
      <c r="J133" s="18" t="str">
        <f t="shared" ref="J133:J196" si="106">IF(R133&lt;&gt;1,"",(I133*F133)/1000)</f>
        <v/>
      </c>
      <c r="K133" s="18" t="str">
        <f>IF(R133&lt;&gt;1,"",DATA_INPUT!H133)</f>
        <v/>
      </c>
      <c r="L133" s="18" t="str">
        <f t="shared" ref="L133:L196" si="107">IF(R133&lt;&gt;1,"",((K133*F133)/1000))</f>
        <v/>
      </c>
      <c r="M133" s="18" t="str">
        <f>IF(R133&lt;&gt;1,"",H133*CONTROL_PANEL!$B$14)</f>
        <v/>
      </c>
      <c r="N133" s="18" t="str">
        <f>IF(R133&lt;&gt;1,"",DATA_INPUT!K133)</f>
        <v/>
      </c>
      <c r="O133" s="18" t="str">
        <f t="shared" ref="O133:O196" si="108">IF(R133&lt;&gt;1,"",(E133+H133+J133)-(L133+N133+M133))</f>
        <v/>
      </c>
      <c r="P133" s="18" t="str">
        <f>IF(R133&lt;&gt;1,"",IF(O133-CONTROL_PANEL!$B$11&lt;0,0,O133-CONTROL_PANEL!$B$11))</f>
        <v/>
      </c>
      <c r="Q133" s="18" t="str">
        <f>IF(R133&lt;&gt;1,"",IF(N133&lt;=0,0,MIN(N133,MAX(0,CONTROL_PANEL!$B$13-O133))))</f>
        <v/>
      </c>
      <c r="R133" s="18"/>
      <c r="T133" s="19">
        <f t="shared" si="76"/>
        <v>2026</v>
      </c>
      <c r="U133" s="19">
        <f t="shared" si="92"/>
        <v>6</v>
      </c>
      <c r="V133" s="18" t="str">
        <f t="shared" ref="V133:V196" si="109">IF(AK133&lt;&gt;1,"",DAY(DATE(T133,U133+1,)))</f>
        <v/>
      </c>
      <c r="W133" s="18">
        <f t="shared" si="101"/>
        <v>262.26279766820198</v>
      </c>
      <c r="X133" s="18">
        <f>IF(AK132&lt;&gt;1,"",IF(AH132&gt;0,IF(AH132&gt;CONTROL_PANEL!$B$11,CONTROL_PANEL!$B$11,AH132),0))</f>
        <v>43296487.549508512</v>
      </c>
      <c r="Y133" s="18" t="str">
        <f t="shared" si="93"/>
        <v/>
      </c>
      <c r="Z133" s="18" t="str">
        <f>IF(AK133&lt;&gt;1,"",DATA_INPUT!I133)</f>
        <v/>
      </c>
      <c r="AA133" s="18" t="str">
        <f>IF(AK133&lt;&gt;1,"",Z133*CONTROL_PANEL!$B$5)</f>
        <v/>
      </c>
      <c r="AB133" s="18" t="str">
        <f>IF(AK133&lt;&gt;1,"",DATA_INPUT!$C133)</f>
        <v/>
      </c>
      <c r="AC133" s="18" t="str">
        <f t="shared" ref="AC133:AC196" si="110">IF(AK133&lt;&gt;1,"",(AB133*Y133)/1000)</f>
        <v/>
      </c>
      <c r="AD133" s="18" t="str">
        <f>IF(AK133&lt;&gt;1,"",DATA_INPUT!$H133)</f>
        <v/>
      </c>
      <c r="AE133" s="18" t="str">
        <f t="shared" ref="AE133:AE196" si="111">IF(AK133&lt;&gt;1,"",((AD133*Y133)/1000))</f>
        <v/>
      </c>
      <c r="AF133" s="18" t="str">
        <f>IF(AK133&lt;&gt;1,"",AA133*CONTROL_PANEL!$B$14)</f>
        <v/>
      </c>
      <c r="AG133" s="18" t="str">
        <f>IF(AK133&lt;&gt;1,"",DATA_INPUT!$L133)</f>
        <v/>
      </c>
      <c r="AH133" s="18" t="str">
        <f t="shared" ref="AH133:AH196" si="112">IF(AK133&lt;&gt;1,"",(X133+AA133+AC133)-(AE133+AG133+AF133))</f>
        <v/>
      </c>
      <c r="AI133" s="18" t="str">
        <f>IF(AK133&lt;&gt;1,"",IF(AH133-CONTROL_PANEL!$B$11&lt;0,0,AH133-CONTROL_PANEL!$B$11))</f>
        <v/>
      </c>
      <c r="AJ133" s="18" t="str">
        <f>IF(AK133&lt;&gt;1,"",IF(AG133&lt;=0,0,MIN(AG133,MAX(0,CONTROL_PANEL!$B$13-AH133))))</f>
        <v/>
      </c>
      <c r="AK133" s="18"/>
      <c r="AM133" s="19">
        <f t="shared" si="77"/>
        <v>2026</v>
      </c>
      <c r="AN133" s="19">
        <f t="shared" si="94"/>
        <v>6</v>
      </c>
      <c r="AO133" s="18" t="str">
        <f t="shared" ref="AO133:AO196" si="113">IF(BD133&lt;&gt;1,"",DAY(DATE(AM133,AN133+1,)))</f>
        <v/>
      </c>
      <c r="AP133" s="18">
        <f t="shared" si="102"/>
        <v>263.3965769191978</v>
      </c>
      <c r="AQ133" s="18">
        <f>IF(BD132&lt;&gt;1,"",IF(BA132&gt;0,IF(BA132&gt;CONTROL_PANEL!$B$11,CONTROL_PANEL!$B$11,BA132),0))</f>
        <v>48965848.923772015</v>
      </c>
      <c r="AR133" s="18" t="str">
        <f t="shared" si="95"/>
        <v/>
      </c>
      <c r="AS133" s="18" t="str">
        <f>IF(BD133&lt;&gt;1,"",DATA_INPUT!$I133)</f>
        <v/>
      </c>
      <c r="AT133" s="18" t="str">
        <f>IF(BD133&lt;&gt;1,"",AS133*CONTROL_PANEL!$B$5)</f>
        <v/>
      </c>
      <c r="AU133" s="18" t="str">
        <f>IF(BD133&lt;&gt;1,"",DATA_INPUT!$C133)</f>
        <v/>
      </c>
      <c r="AV133" s="18" t="str">
        <f t="shared" ref="AV133:AV196" si="114">IF(BD133&lt;&gt;1,"",(AU133*AR133)/1000)</f>
        <v/>
      </c>
      <c r="AW133" s="18" t="str">
        <f>IF(BD133&lt;&gt;1,"",DATA_INPUT!$H133)</f>
        <v/>
      </c>
      <c r="AX133" s="18" t="str">
        <f t="shared" ref="AX133:AX196" si="115">IF(BD133&lt;&gt;1,"",((AW133*AR133)/1000))</f>
        <v/>
      </c>
      <c r="AY133" s="18" t="str">
        <f>IF(BD133&lt;&gt;1,"",AT133*CONTROL_PANEL!$B$14)</f>
        <v/>
      </c>
      <c r="AZ133" s="18" t="str">
        <f>IF(BD133&lt;&gt;1,"",DATA_INPUT!$M133)</f>
        <v/>
      </c>
      <c r="BA133" s="18" t="str">
        <f t="shared" ref="BA133:BA196" si="116">IF(BD133&lt;&gt;1,"",(AQ133+AT133+AV133)-(AX133+AZ133+AY133))</f>
        <v/>
      </c>
      <c r="BB133" s="18" t="str">
        <f>IF(BD133&lt;&gt;1,"",IF(BA133-CONTROL_PANEL!$B$11&lt;0,0,BA133-CONTROL_PANEL!$B$11))</f>
        <v/>
      </c>
      <c r="BC133" s="18" t="str">
        <f>IF(BD133&lt;&gt;1,"",IF(AZ133&lt;=0,0,MIN(AZ133,MAX(0,CONTROL_PANEL!$B$13-BA133))))</f>
        <v/>
      </c>
      <c r="BD133" s="18"/>
      <c r="BF133" s="19">
        <f t="shared" si="78"/>
        <v>2026</v>
      </c>
      <c r="BG133" s="19">
        <f t="shared" si="96"/>
        <v>6</v>
      </c>
      <c r="BH133" s="18" t="str">
        <f t="shared" ref="BH133:BH196" si="117">IF(BW133&lt;&gt;1,"",DAY(DATE(BF133,BG133+1,)))</f>
        <v/>
      </c>
      <c r="BI133" s="18">
        <f t="shared" si="103"/>
        <v>263.40948687622029</v>
      </c>
      <c r="BJ133" s="18">
        <f>IF(BW132&lt;&gt;1,"",IF(BT132&gt;0,IF(BT132&gt;CONTROL_PANEL!$B$11,CONTROL_PANEL!$B$11,BT132),0))</f>
        <v>49033109.167995043</v>
      </c>
      <c r="BK133" s="18" t="str">
        <f t="shared" si="97"/>
        <v/>
      </c>
      <c r="BL133" s="18" t="str">
        <f>IF(BW133&lt;&gt;1,"",DATA_INPUT!$I133)</f>
        <v/>
      </c>
      <c r="BM133" s="18" t="str">
        <f>IF(BW133&lt;&gt;1,"",BL133*CONTROL_PANEL!$B$5)</f>
        <v/>
      </c>
      <c r="BN133" s="18" t="str">
        <f>IF(BW133&lt;&gt;1,"",DATA_INPUT!$C133)</f>
        <v/>
      </c>
      <c r="BO133" s="18" t="str">
        <f t="shared" ref="BO133:BO196" si="118">IF(BW133&lt;&gt;1,"",(BN133*BK133)/1000)</f>
        <v/>
      </c>
      <c r="BP133" s="18" t="str">
        <f>IF(BW133&lt;&gt;1,"",DATA_INPUT!$H133)</f>
        <v/>
      </c>
      <c r="BQ133" s="18" t="str">
        <f t="shared" ref="BQ133:BQ196" si="119">IF(BW133&lt;&gt;1,"",((BP133*BK133)/1000))</f>
        <v/>
      </c>
      <c r="BR133" s="18" t="str">
        <f>IF(BW133&lt;&gt;1,"",BM133*CONTROL_PANEL!$B$14)</f>
        <v/>
      </c>
      <c r="BS133" s="18" t="str">
        <f>IF(BW133&lt;&gt;1,"",DATA_INPUT!$N133)</f>
        <v/>
      </c>
      <c r="BT133" s="18" t="str">
        <f t="shared" ref="BT133:BT196" si="120">IF(BW133&lt;&gt;1,"",(BJ133+BM133+BO133)-(BQ133+BS133+BR133))</f>
        <v/>
      </c>
      <c r="BU133" s="18" t="str">
        <f>IF(BW133&lt;&gt;1,"",IF(BT133-CONTROL_PANEL!$B$11&lt;0,0,BT133-CONTROL_PANEL!$B$11))</f>
        <v/>
      </c>
      <c r="BV133" s="18" t="str">
        <f>IF(BW133&lt;&gt;1,"",IF(BS133&lt;=0,0,MIN(BS133,MAX(0,CONTROL_PANEL!$B$13-BT133))))</f>
        <v/>
      </c>
      <c r="BW133" s="18"/>
      <c r="BY133" s="19">
        <f t="shared" si="79"/>
        <v>2026</v>
      </c>
      <c r="BZ133" s="19">
        <f t="shared" si="98"/>
        <v>6</v>
      </c>
      <c r="CA133" s="18" t="str">
        <f t="shared" ref="CA133:CA196" si="121">IF(CP133&lt;&gt;1,"",DAY(DATE(BY133,BZ133+1,)))</f>
        <v/>
      </c>
      <c r="CB133" s="18">
        <f t="shared" si="104"/>
        <v>263.40277029119505</v>
      </c>
      <c r="CC133" s="18">
        <f>IF(CP132&lt;&gt;1,"",IF(CM132&gt;0,IF(CM132&gt;CONTROL_PANEL!$B$11,CONTROL_PANEL!$B$11,CM132),0))</f>
        <v>48998108.382117406</v>
      </c>
      <c r="CD133" s="18" t="str">
        <f t="shared" si="99"/>
        <v/>
      </c>
      <c r="CE133" s="18" t="str">
        <f>IF(CP133&lt;&gt;1,"",DATA_INPUT!$I133)</f>
        <v/>
      </c>
      <c r="CF133" s="18" t="str">
        <f>IF(CP133&lt;&gt;1,"",CE133*CONTROL_PANEL!$B$5)</f>
        <v/>
      </c>
      <c r="CG133" s="18" t="str">
        <f>IF(CP133&lt;&gt;1,"",DATA_INPUT!$C133)</f>
        <v/>
      </c>
      <c r="CH133" s="18" t="str">
        <f t="shared" ref="CH133:CH196" si="122">IF(CP133&lt;&gt;1,"",(CG133*CD133)/1000)</f>
        <v/>
      </c>
      <c r="CI133" s="18" t="str">
        <f>IF(CP133&lt;&gt;1,"",DATA_INPUT!$H133)</f>
        <v/>
      </c>
      <c r="CJ133" s="18" t="str">
        <f t="shared" ref="CJ133:CJ196" si="123">IF(CP133&lt;&gt;1,"",((CI133*CD133)/1000))</f>
        <v/>
      </c>
      <c r="CK133" s="18" t="str">
        <f>IF(CP133&lt;&gt;1,"",CF133*CONTROL_PANEL!$B$14)</f>
        <v/>
      </c>
      <c r="CL133" s="18" t="str">
        <f>IF(CP133&lt;&gt;1,"",DATA_INPUT!$O133)</f>
        <v/>
      </c>
      <c r="CM133" s="18" t="str">
        <f t="shared" ref="CM133:CM196" si="124">IF(CP133&lt;&gt;1,"",(CC133+CF133+CH133)-(CJ133+CL133+CK133))</f>
        <v/>
      </c>
      <c r="CN133" s="18" t="str">
        <f>IF(CP133&lt;&gt;1,"",IF(CM133-CONTROL_PANEL!$B$11&lt;0,0,CM133-CONTROL_PANEL!$B$11))</f>
        <v/>
      </c>
      <c r="CO133" s="18" t="str">
        <f>IF(CP133&lt;&gt;1,"",IF(CL133&lt;=0,0,MIN(CL133,MAX(0,CONTROL_PANEL!$B$13-CM133))))</f>
        <v/>
      </c>
      <c r="CP133" s="18"/>
    </row>
    <row r="134" spans="1:94" x14ac:dyDescent="0.25">
      <c r="A134" s="19">
        <f t="shared" si="75"/>
        <v>2026</v>
      </c>
      <c r="B134" s="19">
        <f t="shared" si="90"/>
        <v>7</v>
      </c>
      <c r="C134" s="18" t="str">
        <f t="shared" si="105"/>
        <v/>
      </c>
      <c r="D134" s="18" t="str">
        <f t="shared" si="100"/>
        <v/>
      </c>
      <c r="E134" s="18" t="str">
        <f>IF(R133&lt;&gt;1,"",IF(O133&gt;0,IF(O133&gt;CONTROL_PANEL!$B$11,CONTROL_PANEL!$B$11,O133),0))</f>
        <v/>
      </c>
      <c r="F134" s="18" t="str">
        <f t="shared" si="91"/>
        <v/>
      </c>
      <c r="G134" s="18" t="str">
        <f>IF(R134&lt;&gt;1,"",DATA_INPUT!I134)</f>
        <v/>
      </c>
      <c r="H134" s="18" t="str">
        <f>IF(R134&lt;&gt;1,"",G134*CONTROL_PANEL!$B$5)</f>
        <v/>
      </c>
      <c r="I134" s="18" t="str">
        <f>IF(R134&lt;&gt;1,"",DATA_INPUT!C134)</f>
        <v/>
      </c>
      <c r="J134" s="18" t="str">
        <f t="shared" si="106"/>
        <v/>
      </c>
      <c r="K134" s="18" t="str">
        <f>IF(R134&lt;&gt;1,"",DATA_INPUT!H134)</f>
        <v/>
      </c>
      <c r="L134" s="18" t="str">
        <f t="shared" si="107"/>
        <v/>
      </c>
      <c r="M134" s="18" t="str">
        <f>IF(R134&lt;&gt;1,"",H134*CONTROL_PANEL!$B$14)</f>
        <v/>
      </c>
      <c r="N134" s="18" t="str">
        <f>IF(R134&lt;&gt;1,"",DATA_INPUT!K134)</f>
        <v/>
      </c>
      <c r="O134" s="18" t="str">
        <f t="shared" si="108"/>
        <v/>
      </c>
      <c r="P134" s="18" t="str">
        <f>IF(R134&lt;&gt;1,"",IF(O134-CONTROL_PANEL!$B$11&lt;0,0,O134-CONTROL_PANEL!$B$11))</f>
        <v/>
      </c>
      <c r="Q134" s="18" t="str">
        <f>IF(R134&lt;&gt;1,"",IF(N134&lt;=0,0,MIN(N134,MAX(0,CONTROL_PANEL!$B$13-O134))))</f>
        <v/>
      </c>
      <c r="R134" s="18"/>
      <c r="T134" s="19">
        <f t="shared" si="76"/>
        <v>2026</v>
      </c>
      <c r="U134" s="19">
        <f t="shared" si="92"/>
        <v>7</v>
      </c>
      <c r="V134" s="18" t="str">
        <f t="shared" si="109"/>
        <v/>
      </c>
      <c r="W134" s="18" t="str">
        <f t="shared" si="101"/>
        <v/>
      </c>
      <c r="X134" s="18" t="str">
        <f>IF(AK133&lt;&gt;1,"",IF(AH133&gt;0,IF(AH133&gt;CONTROL_PANEL!$B$11,CONTROL_PANEL!$B$11,AH133),0))</f>
        <v/>
      </c>
      <c r="Y134" s="18" t="str">
        <f t="shared" si="93"/>
        <v/>
      </c>
      <c r="Z134" s="18" t="str">
        <f>IF(AK134&lt;&gt;1,"",DATA_INPUT!I134)</f>
        <v/>
      </c>
      <c r="AA134" s="18" t="str">
        <f>IF(AK134&lt;&gt;1,"",Z134*CONTROL_PANEL!$B$5)</f>
        <v/>
      </c>
      <c r="AB134" s="18" t="str">
        <f>IF(AK134&lt;&gt;1,"",DATA_INPUT!$C134)</f>
        <v/>
      </c>
      <c r="AC134" s="18" t="str">
        <f t="shared" si="110"/>
        <v/>
      </c>
      <c r="AD134" s="18" t="str">
        <f>IF(AK134&lt;&gt;1,"",DATA_INPUT!$H134)</f>
        <v/>
      </c>
      <c r="AE134" s="18" t="str">
        <f t="shared" si="111"/>
        <v/>
      </c>
      <c r="AF134" s="18" t="str">
        <f>IF(AK134&lt;&gt;1,"",AA134*CONTROL_PANEL!$B$14)</f>
        <v/>
      </c>
      <c r="AG134" s="18" t="str">
        <f>IF(AK134&lt;&gt;1,"",DATA_INPUT!$L134)</f>
        <v/>
      </c>
      <c r="AH134" s="18" t="str">
        <f t="shared" si="112"/>
        <v/>
      </c>
      <c r="AI134" s="18" t="str">
        <f>IF(AK134&lt;&gt;1,"",IF(AH134-CONTROL_PANEL!$B$11&lt;0,0,AH134-CONTROL_PANEL!$B$11))</f>
        <v/>
      </c>
      <c r="AJ134" s="18" t="str">
        <f>IF(AK134&lt;&gt;1,"",IF(AG134&lt;=0,0,MIN(AG134,MAX(0,CONTROL_PANEL!$B$13-AH134))))</f>
        <v/>
      </c>
      <c r="AK134" s="18"/>
      <c r="AM134" s="19">
        <f t="shared" si="77"/>
        <v>2026</v>
      </c>
      <c r="AN134" s="19">
        <f t="shared" si="94"/>
        <v>7</v>
      </c>
      <c r="AO134" s="18" t="str">
        <f t="shared" si="113"/>
        <v/>
      </c>
      <c r="AP134" s="18" t="str">
        <f t="shared" si="102"/>
        <v/>
      </c>
      <c r="AQ134" s="18" t="str">
        <f>IF(BD133&lt;&gt;1,"",IF(BA133&gt;0,IF(BA133&gt;CONTROL_PANEL!$B$11,CONTROL_PANEL!$B$11,BA133),0))</f>
        <v/>
      </c>
      <c r="AR134" s="18" t="str">
        <f t="shared" si="95"/>
        <v/>
      </c>
      <c r="AS134" s="18" t="str">
        <f>IF(BD134&lt;&gt;1,"",DATA_INPUT!$I134)</f>
        <v/>
      </c>
      <c r="AT134" s="18" t="str">
        <f>IF(BD134&lt;&gt;1,"",AS134*CONTROL_PANEL!$B$5)</f>
        <v/>
      </c>
      <c r="AU134" s="18" t="str">
        <f>IF(BD134&lt;&gt;1,"",DATA_INPUT!$C134)</f>
        <v/>
      </c>
      <c r="AV134" s="18" t="str">
        <f t="shared" si="114"/>
        <v/>
      </c>
      <c r="AW134" s="18" t="str">
        <f>IF(BD134&lt;&gt;1,"",DATA_INPUT!$H134)</f>
        <v/>
      </c>
      <c r="AX134" s="18" t="str">
        <f t="shared" si="115"/>
        <v/>
      </c>
      <c r="AY134" s="18" t="str">
        <f>IF(BD134&lt;&gt;1,"",AT134*CONTROL_PANEL!$B$14)</f>
        <v/>
      </c>
      <c r="AZ134" s="18" t="str">
        <f>IF(BD134&lt;&gt;1,"",DATA_INPUT!$M134)</f>
        <v/>
      </c>
      <c r="BA134" s="18" t="str">
        <f t="shared" si="116"/>
        <v/>
      </c>
      <c r="BB134" s="18" t="str">
        <f>IF(BD134&lt;&gt;1,"",IF(BA134-CONTROL_PANEL!$B$11&lt;0,0,BA134-CONTROL_PANEL!$B$11))</f>
        <v/>
      </c>
      <c r="BC134" s="18" t="str">
        <f>IF(BD134&lt;&gt;1,"",IF(AZ134&lt;=0,0,MIN(AZ134,MAX(0,CONTROL_PANEL!$B$13-BA134))))</f>
        <v/>
      </c>
      <c r="BD134" s="18"/>
      <c r="BF134" s="19">
        <f t="shared" si="78"/>
        <v>2026</v>
      </c>
      <c r="BG134" s="19">
        <f t="shared" si="96"/>
        <v>7</v>
      </c>
      <c r="BH134" s="18" t="str">
        <f t="shared" si="117"/>
        <v/>
      </c>
      <c r="BI134" s="18" t="str">
        <f t="shared" si="103"/>
        <v/>
      </c>
      <c r="BJ134" s="18" t="str">
        <f>IF(BW133&lt;&gt;1,"",IF(BT133&gt;0,IF(BT133&gt;CONTROL_PANEL!$B$11,CONTROL_PANEL!$B$11,BT133),0))</f>
        <v/>
      </c>
      <c r="BK134" s="18" t="str">
        <f t="shared" si="97"/>
        <v/>
      </c>
      <c r="BL134" s="18" t="str">
        <f>IF(BW134&lt;&gt;1,"",DATA_INPUT!$I134)</f>
        <v/>
      </c>
      <c r="BM134" s="18" t="str">
        <f>IF(BW134&lt;&gt;1,"",BL134*CONTROL_PANEL!$B$5)</f>
        <v/>
      </c>
      <c r="BN134" s="18" t="str">
        <f>IF(BW134&lt;&gt;1,"",DATA_INPUT!$C134)</f>
        <v/>
      </c>
      <c r="BO134" s="18" t="str">
        <f t="shared" si="118"/>
        <v/>
      </c>
      <c r="BP134" s="18" t="str">
        <f>IF(BW134&lt;&gt;1,"",DATA_INPUT!$H134)</f>
        <v/>
      </c>
      <c r="BQ134" s="18" t="str">
        <f t="shared" si="119"/>
        <v/>
      </c>
      <c r="BR134" s="18" t="str">
        <f>IF(BW134&lt;&gt;1,"",BM134*CONTROL_PANEL!$B$14)</f>
        <v/>
      </c>
      <c r="BS134" s="18" t="str">
        <f>IF(BW134&lt;&gt;1,"",DATA_INPUT!$N134)</f>
        <v/>
      </c>
      <c r="BT134" s="18" t="str">
        <f t="shared" si="120"/>
        <v/>
      </c>
      <c r="BU134" s="18" t="str">
        <f>IF(BW134&lt;&gt;1,"",IF(BT134-CONTROL_PANEL!$B$11&lt;0,0,BT134-CONTROL_PANEL!$B$11))</f>
        <v/>
      </c>
      <c r="BV134" s="18" t="str">
        <f>IF(BW134&lt;&gt;1,"",IF(BS134&lt;=0,0,MIN(BS134,MAX(0,CONTROL_PANEL!$B$13-BT134))))</f>
        <v/>
      </c>
      <c r="BW134" s="18"/>
      <c r="BY134" s="19">
        <f t="shared" si="79"/>
        <v>2026</v>
      </c>
      <c r="BZ134" s="19">
        <f t="shared" si="98"/>
        <v>7</v>
      </c>
      <c r="CA134" s="18" t="str">
        <f t="shared" si="121"/>
        <v/>
      </c>
      <c r="CB134" s="18" t="str">
        <f t="shared" si="104"/>
        <v/>
      </c>
      <c r="CC134" s="18" t="str">
        <f>IF(CP133&lt;&gt;1,"",IF(CM133&gt;0,IF(CM133&gt;CONTROL_PANEL!$B$11,CONTROL_PANEL!$B$11,CM133),0))</f>
        <v/>
      </c>
      <c r="CD134" s="18" t="str">
        <f t="shared" si="99"/>
        <v/>
      </c>
      <c r="CE134" s="18" t="str">
        <f>IF(CP134&lt;&gt;1,"",DATA_INPUT!$I134)</f>
        <v/>
      </c>
      <c r="CF134" s="18" t="str">
        <f>IF(CP134&lt;&gt;1,"",CE134*CONTROL_PANEL!$B$5)</f>
        <v/>
      </c>
      <c r="CG134" s="18" t="str">
        <f>IF(CP134&lt;&gt;1,"",DATA_INPUT!$C134)</f>
        <v/>
      </c>
      <c r="CH134" s="18" t="str">
        <f t="shared" si="122"/>
        <v/>
      </c>
      <c r="CI134" s="18" t="str">
        <f>IF(CP134&lt;&gt;1,"",DATA_INPUT!$H134)</f>
        <v/>
      </c>
      <c r="CJ134" s="18" t="str">
        <f t="shared" si="123"/>
        <v/>
      </c>
      <c r="CK134" s="18" t="str">
        <f>IF(CP134&lt;&gt;1,"",CF134*CONTROL_PANEL!$B$14)</f>
        <v/>
      </c>
      <c r="CL134" s="18" t="str">
        <f>IF(CP134&lt;&gt;1,"",DATA_INPUT!$O134)</f>
        <v/>
      </c>
      <c r="CM134" s="18" t="str">
        <f t="shared" si="124"/>
        <v/>
      </c>
      <c r="CN134" s="18" t="str">
        <f>IF(CP134&lt;&gt;1,"",IF(CM134-CONTROL_PANEL!$B$11&lt;0,0,CM134-CONTROL_PANEL!$B$11))</f>
        <v/>
      </c>
      <c r="CO134" s="18" t="str">
        <f>IF(CP134&lt;&gt;1,"",IF(CL134&lt;=0,0,MIN(CL134,MAX(0,CONTROL_PANEL!$B$13-CM134))))</f>
        <v/>
      </c>
      <c r="CP134" s="18"/>
    </row>
    <row r="135" spans="1:94" x14ac:dyDescent="0.25">
      <c r="A135" s="19">
        <f t="shared" si="75"/>
        <v>2026</v>
      </c>
      <c r="B135" s="19">
        <f t="shared" si="90"/>
        <v>8</v>
      </c>
      <c r="C135" s="18" t="str">
        <f t="shared" si="105"/>
        <v/>
      </c>
      <c r="D135" s="18" t="str">
        <f t="shared" si="100"/>
        <v/>
      </c>
      <c r="E135" s="18" t="str">
        <f>IF(R134&lt;&gt;1,"",IF(O134&gt;0,IF(O134&gt;CONTROL_PANEL!$B$11,CONTROL_PANEL!$B$11,O134),0))</f>
        <v/>
      </c>
      <c r="F135" s="18" t="str">
        <f t="shared" si="91"/>
        <v/>
      </c>
      <c r="G135" s="18" t="str">
        <f>IF(R135&lt;&gt;1,"",DATA_INPUT!I135)</f>
        <v/>
      </c>
      <c r="H135" s="18" t="str">
        <f>IF(R135&lt;&gt;1,"",G135*CONTROL_PANEL!$B$5)</f>
        <v/>
      </c>
      <c r="I135" s="18" t="str">
        <f>IF(R135&lt;&gt;1,"",DATA_INPUT!C135)</f>
        <v/>
      </c>
      <c r="J135" s="18" t="str">
        <f t="shared" si="106"/>
        <v/>
      </c>
      <c r="K135" s="18" t="str">
        <f>IF(R135&lt;&gt;1,"",DATA_INPUT!H135)</f>
        <v/>
      </c>
      <c r="L135" s="18" t="str">
        <f t="shared" si="107"/>
        <v/>
      </c>
      <c r="M135" s="18" t="str">
        <f>IF(R135&lt;&gt;1,"",H135*CONTROL_PANEL!$B$14)</f>
        <v/>
      </c>
      <c r="N135" s="18" t="str">
        <f>IF(R135&lt;&gt;1,"",DATA_INPUT!K135)</f>
        <v/>
      </c>
      <c r="O135" s="18" t="str">
        <f t="shared" si="108"/>
        <v/>
      </c>
      <c r="P135" s="18" t="str">
        <f>IF(R135&lt;&gt;1,"",IF(O135-CONTROL_PANEL!$B$11&lt;0,0,O135-CONTROL_PANEL!$B$11))</f>
        <v/>
      </c>
      <c r="Q135" s="18" t="str">
        <f>IF(R135&lt;&gt;1,"",IF(N135&lt;=0,0,MIN(N135,MAX(0,CONTROL_PANEL!$B$13-O135))))</f>
        <v/>
      </c>
      <c r="R135" s="18"/>
      <c r="T135" s="19">
        <f t="shared" si="76"/>
        <v>2026</v>
      </c>
      <c r="U135" s="19">
        <f t="shared" si="92"/>
        <v>8</v>
      </c>
      <c r="V135" s="18" t="str">
        <f t="shared" si="109"/>
        <v/>
      </c>
      <c r="W135" s="18" t="str">
        <f t="shared" si="101"/>
        <v/>
      </c>
      <c r="X135" s="18" t="str">
        <f>IF(AK134&lt;&gt;1,"",IF(AH134&gt;0,IF(AH134&gt;CONTROL_PANEL!$B$11,CONTROL_PANEL!$B$11,AH134),0))</f>
        <v/>
      </c>
      <c r="Y135" s="18" t="str">
        <f t="shared" si="93"/>
        <v/>
      </c>
      <c r="Z135" s="18" t="str">
        <f>IF(AK135&lt;&gt;1,"",DATA_INPUT!I135)</f>
        <v/>
      </c>
      <c r="AA135" s="18" t="str">
        <f>IF(AK135&lt;&gt;1,"",Z135*CONTROL_PANEL!$B$5)</f>
        <v/>
      </c>
      <c r="AB135" s="18" t="str">
        <f>IF(AK135&lt;&gt;1,"",DATA_INPUT!$C135)</f>
        <v/>
      </c>
      <c r="AC135" s="18" t="str">
        <f t="shared" si="110"/>
        <v/>
      </c>
      <c r="AD135" s="18" t="str">
        <f>IF(AK135&lt;&gt;1,"",DATA_INPUT!$H135)</f>
        <v/>
      </c>
      <c r="AE135" s="18" t="str">
        <f t="shared" si="111"/>
        <v/>
      </c>
      <c r="AF135" s="18" t="str">
        <f>IF(AK135&lt;&gt;1,"",AA135*CONTROL_PANEL!$B$14)</f>
        <v/>
      </c>
      <c r="AG135" s="18" t="str">
        <f>IF(AK135&lt;&gt;1,"",DATA_INPUT!$L135)</f>
        <v/>
      </c>
      <c r="AH135" s="18" t="str">
        <f t="shared" si="112"/>
        <v/>
      </c>
      <c r="AI135" s="18" t="str">
        <f>IF(AK135&lt;&gt;1,"",IF(AH135-CONTROL_PANEL!$B$11&lt;0,0,AH135-CONTROL_PANEL!$B$11))</f>
        <v/>
      </c>
      <c r="AJ135" s="18" t="str">
        <f>IF(AK135&lt;&gt;1,"",IF(AG135&lt;=0,0,MIN(AG135,MAX(0,CONTROL_PANEL!$B$13-AH135))))</f>
        <v/>
      </c>
      <c r="AK135" s="18"/>
      <c r="AM135" s="19">
        <f t="shared" si="77"/>
        <v>2026</v>
      </c>
      <c r="AN135" s="19">
        <f t="shared" si="94"/>
        <v>8</v>
      </c>
      <c r="AO135" s="18" t="str">
        <f t="shared" si="113"/>
        <v/>
      </c>
      <c r="AP135" s="18" t="str">
        <f t="shared" si="102"/>
        <v/>
      </c>
      <c r="AQ135" s="18" t="str">
        <f>IF(BD134&lt;&gt;1,"",IF(BA134&gt;0,IF(BA134&gt;CONTROL_PANEL!$B$11,CONTROL_PANEL!$B$11,BA134),0))</f>
        <v/>
      </c>
      <c r="AR135" s="18" t="str">
        <f t="shared" si="95"/>
        <v/>
      </c>
      <c r="AS135" s="18" t="str">
        <f>IF(BD135&lt;&gt;1,"",DATA_INPUT!$I135)</f>
        <v/>
      </c>
      <c r="AT135" s="18" t="str">
        <f>IF(BD135&lt;&gt;1,"",AS135*CONTROL_PANEL!$B$5)</f>
        <v/>
      </c>
      <c r="AU135" s="18" t="str">
        <f>IF(BD135&lt;&gt;1,"",DATA_INPUT!$C135)</f>
        <v/>
      </c>
      <c r="AV135" s="18" t="str">
        <f t="shared" si="114"/>
        <v/>
      </c>
      <c r="AW135" s="18" t="str">
        <f>IF(BD135&lt;&gt;1,"",DATA_INPUT!$H135)</f>
        <v/>
      </c>
      <c r="AX135" s="18" t="str">
        <f t="shared" si="115"/>
        <v/>
      </c>
      <c r="AY135" s="18" t="str">
        <f>IF(BD135&lt;&gt;1,"",AT135*CONTROL_PANEL!$B$14)</f>
        <v/>
      </c>
      <c r="AZ135" s="18" t="str">
        <f>IF(BD135&lt;&gt;1,"",DATA_INPUT!$M135)</f>
        <v/>
      </c>
      <c r="BA135" s="18" t="str">
        <f t="shared" si="116"/>
        <v/>
      </c>
      <c r="BB135" s="18" t="str">
        <f>IF(BD135&lt;&gt;1,"",IF(BA135-CONTROL_PANEL!$B$11&lt;0,0,BA135-CONTROL_PANEL!$B$11))</f>
        <v/>
      </c>
      <c r="BC135" s="18" t="str">
        <f>IF(BD135&lt;&gt;1,"",IF(AZ135&lt;=0,0,MIN(AZ135,MAX(0,CONTROL_PANEL!$B$13-BA135))))</f>
        <v/>
      </c>
      <c r="BD135" s="18"/>
      <c r="BF135" s="19">
        <f t="shared" si="78"/>
        <v>2026</v>
      </c>
      <c r="BG135" s="19">
        <f t="shared" si="96"/>
        <v>8</v>
      </c>
      <c r="BH135" s="18" t="str">
        <f t="shared" si="117"/>
        <v/>
      </c>
      <c r="BI135" s="18" t="str">
        <f t="shared" si="103"/>
        <v/>
      </c>
      <c r="BJ135" s="18" t="str">
        <f>IF(BW134&lt;&gt;1,"",IF(BT134&gt;0,IF(BT134&gt;CONTROL_PANEL!$B$11,CONTROL_PANEL!$B$11,BT134),0))</f>
        <v/>
      </c>
      <c r="BK135" s="18" t="str">
        <f t="shared" si="97"/>
        <v/>
      </c>
      <c r="BL135" s="18" t="str">
        <f>IF(BW135&lt;&gt;1,"",DATA_INPUT!$I135)</f>
        <v/>
      </c>
      <c r="BM135" s="18" t="str">
        <f>IF(BW135&lt;&gt;1,"",BL135*CONTROL_PANEL!$B$5)</f>
        <v/>
      </c>
      <c r="BN135" s="18" t="str">
        <f>IF(BW135&lt;&gt;1,"",DATA_INPUT!$C135)</f>
        <v/>
      </c>
      <c r="BO135" s="18" t="str">
        <f t="shared" si="118"/>
        <v/>
      </c>
      <c r="BP135" s="18" t="str">
        <f>IF(BW135&lt;&gt;1,"",DATA_INPUT!$H135)</f>
        <v/>
      </c>
      <c r="BQ135" s="18" t="str">
        <f t="shared" si="119"/>
        <v/>
      </c>
      <c r="BR135" s="18" t="str">
        <f>IF(BW135&lt;&gt;1,"",BM135*CONTROL_PANEL!$B$14)</f>
        <v/>
      </c>
      <c r="BS135" s="18" t="str">
        <f>IF(BW135&lt;&gt;1,"",DATA_INPUT!$N135)</f>
        <v/>
      </c>
      <c r="BT135" s="18" t="str">
        <f t="shared" si="120"/>
        <v/>
      </c>
      <c r="BU135" s="18" t="str">
        <f>IF(BW135&lt;&gt;1,"",IF(BT135-CONTROL_PANEL!$B$11&lt;0,0,BT135-CONTROL_PANEL!$B$11))</f>
        <v/>
      </c>
      <c r="BV135" s="18" t="str">
        <f>IF(BW135&lt;&gt;1,"",IF(BS135&lt;=0,0,MIN(BS135,MAX(0,CONTROL_PANEL!$B$13-BT135))))</f>
        <v/>
      </c>
      <c r="BW135" s="18"/>
      <c r="BY135" s="19">
        <f t="shared" si="79"/>
        <v>2026</v>
      </c>
      <c r="BZ135" s="19">
        <f t="shared" si="98"/>
        <v>8</v>
      </c>
      <c r="CA135" s="18" t="str">
        <f t="shared" si="121"/>
        <v/>
      </c>
      <c r="CB135" s="18" t="str">
        <f t="shared" si="104"/>
        <v/>
      </c>
      <c r="CC135" s="18" t="str">
        <f>IF(CP134&lt;&gt;1,"",IF(CM134&gt;0,IF(CM134&gt;CONTROL_PANEL!$B$11,CONTROL_PANEL!$B$11,CM134),0))</f>
        <v/>
      </c>
      <c r="CD135" s="18" t="str">
        <f t="shared" si="99"/>
        <v/>
      </c>
      <c r="CE135" s="18" t="str">
        <f>IF(CP135&lt;&gt;1,"",DATA_INPUT!$I135)</f>
        <v/>
      </c>
      <c r="CF135" s="18" t="str">
        <f>IF(CP135&lt;&gt;1,"",CE135*CONTROL_PANEL!$B$5)</f>
        <v/>
      </c>
      <c r="CG135" s="18" t="str">
        <f>IF(CP135&lt;&gt;1,"",DATA_INPUT!$C135)</f>
        <v/>
      </c>
      <c r="CH135" s="18" t="str">
        <f t="shared" si="122"/>
        <v/>
      </c>
      <c r="CI135" s="18" t="str">
        <f>IF(CP135&lt;&gt;1,"",DATA_INPUT!$H135)</f>
        <v/>
      </c>
      <c r="CJ135" s="18" t="str">
        <f t="shared" si="123"/>
        <v/>
      </c>
      <c r="CK135" s="18" t="str">
        <f>IF(CP135&lt;&gt;1,"",CF135*CONTROL_PANEL!$B$14)</f>
        <v/>
      </c>
      <c r="CL135" s="18" t="str">
        <f>IF(CP135&lt;&gt;1,"",DATA_INPUT!$O135)</f>
        <v/>
      </c>
      <c r="CM135" s="18" t="str">
        <f t="shared" si="124"/>
        <v/>
      </c>
      <c r="CN135" s="18" t="str">
        <f>IF(CP135&lt;&gt;1,"",IF(CM135-CONTROL_PANEL!$B$11&lt;0,0,CM135-CONTROL_PANEL!$B$11))</f>
        <v/>
      </c>
      <c r="CO135" s="18" t="str">
        <f>IF(CP135&lt;&gt;1,"",IF(CL135&lt;=0,0,MIN(CL135,MAX(0,CONTROL_PANEL!$B$13-CM135))))</f>
        <v/>
      </c>
      <c r="CP135" s="18"/>
    </row>
    <row r="136" spans="1:94" x14ac:dyDescent="0.25">
      <c r="A136" s="19">
        <f t="shared" si="75"/>
        <v>2026</v>
      </c>
      <c r="B136" s="19">
        <f t="shared" si="90"/>
        <v>9</v>
      </c>
      <c r="C136" s="18" t="str">
        <f t="shared" si="105"/>
        <v/>
      </c>
      <c r="D136" s="18" t="str">
        <f t="shared" si="100"/>
        <v/>
      </c>
      <c r="E136" s="18" t="str">
        <f>IF(R135&lt;&gt;1,"",IF(O135&gt;0,IF(O135&gt;CONTROL_PANEL!$B$11,CONTROL_PANEL!$B$11,O135),0))</f>
        <v/>
      </c>
      <c r="F136" s="18" t="str">
        <f t="shared" ref="F136:F199" si="125">IF(R136&lt;&gt;1,"",0.6*(D136-235)^2.02*10000)</f>
        <v/>
      </c>
      <c r="G136" s="18" t="str">
        <f>IF(R136&lt;&gt;1,"",DATA_INPUT!I136)</f>
        <v/>
      </c>
      <c r="H136" s="18" t="str">
        <f>IF(R136&lt;&gt;1,"",G136*CONTROL_PANEL!$B$5)</f>
        <v/>
      </c>
      <c r="I136" s="18" t="str">
        <f>IF(R136&lt;&gt;1,"",DATA_INPUT!C136)</f>
        <v/>
      </c>
      <c r="J136" s="18" t="str">
        <f t="shared" si="106"/>
        <v/>
      </c>
      <c r="K136" s="18" t="str">
        <f>IF(R136&lt;&gt;1,"",DATA_INPUT!H136)</f>
        <v/>
      </c>
      <c r="L136" s="18" t="str">
        <f t="shared" si="107"/>
        <v/>
      </c>
      <c r="M136" s="18" t="str">
        <f>IF(R136&lt;&gt;1,"",H136*CONTROL_PANEL!$B$14)</f>
        <v/>
      </c>
      <c r="N136" s="18" t="str">
        <f>IF(R136&lt;&gt;1,"",DATA_INPUT!K136)</f>
        <v/>
      </c>
      <c r="O136" s="18" t="str">
        <f t="shared" si="108"/>
        <v/>
      </c>
      <c r="P136" s="18" t="str">
        <f>IF(R136&lt;&gt;1,"",IF(O136-CONTROL_PANEL!$B$11&lt;0,0,O136-CONTROL_PANEL!$B$11))</f>
        <v/>
      </c>
      <c r="Q136" s="18" t="str">
        <f>IF(R136&lt;&gt;1,"",IF(N136&lt;=0,0,MIN(N136,MAX(0,CONTROL_PANEL!$B$13-O136))))</f>
        <v/>
      </c>
      <c r="R136" s="18"/>
      <c r="T136" s="19">
        <f t="shared" si="76"/>
        <v>2026</v>
      </c>
      <c r="U136" s="19">
        <f t="shared" si="92"/>
        <v>9</v>
      </c>
      <c r="V136" s="18" t="str">
        <f t="shared" si="109"/>
        <v/>
      </c>
      <c r="W136" s="18" t="str">
        <f t="shared" si="101"/>
        <v/>
      </c>
      <c r="X136" s="18" t="str">
        <f>IF(AK135&lt;&gt;1,"",IF(AH135&gt;0,IF(AH135&gt;CONTROL_PANEL!$B$11,CONTROL_PANEL!$B$11,AH135),0))</f>
        <v/>
      </c>
      <c r="Y136" s="18" t="str">
        <f t="shared" ref="Y136:Y199" si="126">IF(AK136&lt;&gt;1,"",0.6*(W136-235)^2.02*10000)</f>
        <v/>
      </c>
      <c r="Z136" s="18" t="str">
        <f>IF(AK136&lt;&gt;1,"",DATA_INPUT!I136)</f>
        <v/>
      </c>
      <c r="AA136" s="18" t="str">
        <f>IF(AK136&lt;&gt;1,"",Z136*CONTROL_PANEL!$B$5)</f>
        <v/>
      </c>
      <c r="AB136" s="18" t="str">
        <f>IF(AK136&lt;&gt;1,"",DATA_INPUT!$C136)</f>
        <v/>
      </c>
      <c r="AC136" s="18" t="str">
        <f t="shared" si="110"/>
        <v/>
      </c>
      <c r="AD136" s="18" t="str">
        <f>IF(AK136&lt;&gt;1,"",DATA_INPUT!$H136)</f>
        <v/>
      </c>
      <c r="AE136" s="18" t="str">
        <f t="shared" si="111"/>
        <v/>
      </c>
      <c r="AF136" s="18" t="str">
        <f>IF(AK136&lt;&gt;1,"",AA136*CONTROL_PANEL!$B$14)</f>
        <v/>
      </c>
      <c r="AG136" s="18" t="str">
        <f>IF(AK136&lt;&gt;1,"",DATA_INPUT!$L136)</f>
        <v/>
      </c>
      <c r="AH136" s="18" t="str">
        <f t="shared" si="112"/>
        <v/>
      </c>
      <c r="AI136" s="18" t="str">
        <f>IF(AK136&lt;&gt;1,"",IF(AH136-CONTROL_PANEL!$B$11&lt;0,0,AH136-CONTROL_PANEL!$B$11))</f>
        <v/>
      </c>
      <c r="AJ136" s="18" t="str">
        <f>IF(AK136&lt;&gt;1,"",IF(AG136&lt;=0,0,MIN(AG136,MAX(0,CONTROL_PANEL!$B$13-AH136))))</f>
        <v/>
      </c>
      <c r="AK136" s="18"/>
      <c r="AM136" s="19">
        <f t="shared" si="77"/>
        <v>2026</v>
      </c>
      <c r="AN136" s="19">
        <f t="shared" si="94"/>
        <v>9</v>
      </c>
      <c r="AO136" s="18" t="str">
        <f t="shared" si="113"/>
        <v/>
      </c>
      <c r="AP136" s="18" t="str">
        <f t="shared" si="102"/>
        <v/>
      </c>
      <c r="AQ136" s="18" t="str">
        <f>IF(BD135&lt;&gt;1,"",IF(BA135&gt;0,IF(BA135&gt;CONTROL_PANEL!$B$11,CONTROL_PANEL!$B$11,BA135),0))</f>
        <v/>
      </c>
      <c r="AR136" s="18" t="str">
        <f t="shared" ref="AR136:AR199" si="127">IF(BD136&lt;&gt;1,"",0.6*(AP136-235)^2.02*10000)</f>
        <v/>
      </c>
      <c r="AS136" s="18" t="str">
        <f>IF(BD136&lt;&gt;1,"",DATA_INPUT!$I136)</f>
        <v/>
      </c>
      <c r="AT136" s="18" t="str">
        <f>IF(BD136&lt;&gt;1,"",AS136*CONTROL_PANEL!$B$5)</f>
        <v/>
      </c>
      <c r="AU136" s="18" t="str">
        <f>IF(BD136&lt;&gt;1,"",DATA_INPUT!$C136)</f>
        <v/>
      </c>
      <c r="AV136" s="18" t="str">
        <f t="shared" si="114"/>
        <v/>
      </c>
      <c r="AW136" s="18" t="str">
        <f>IF(BD136&lt;&gt;1,"",DATA_INPUT!$H136)</f>
        <v/>
      </c>
      <c r="AX136" s="18" t="str">
        <f t="shared" si="115"/>
        <v/>
      </c>
      <c r="AY136" s="18" t="str">
        <f>IF(BD136&lt;&gt;1,"",AT136*CONTROL_PANEL!$B$14)</f>
        <v/>
      </c>
      <c r="AZ136" s="18" t="str">
        <f>IF(BD136&lt;&gt;1,"",DATA_INPUT!$M136)</f>
        <v/>
      </c>
      <c r="BA136" s="18" t="str">
        <f t="shared" si="116"/>
        <v/>
      </c>
      <c r="BB136" s="18" t="str">
        <f>IF(BD136&lt;&gt;1,"",IF(BA136-CONTROL_PANEL!$B$11&lt;0,0,BA136-CONTROL_PANEL!$B$11))</f>
        <v/>
      </c>
      <c r="BC136" s="18" t="str">
        <f>IF(BD136&lt;&gt;1,"",IF(AZ136&lt;=0,0,MIN(AZ136,MAX(0,CONTROL_PANEL!$B$13-BA136))))</f>
        <v/>
      </c>
      <c r="BD136" s="18"/>
      <c r="BF136" s="19">
        <f t="shared" si="78"/>
        <v>2026</v>
      </c>
      <c r="BG136" s="19">
        <f t="shared" si="96"/>
        <v>9</v>
      </c>
      <c r="BH136" s="18" t="str">
        <f t="shared" si="117"/>
        <v/>
      </c>
      <c r="BI136" s="18" t="str">
        <f t="shared" si="103"/>
        <v/>
      </c>
      <c r="BJ136" s="18" t="str">
        <f>IF(BW135&lt;&gt;1,"",IF(BT135&gt;0,IF(BT135&gt;CONTROL_PANEL!$B$11,CONTROL_PANEL!$B$11,BT135),0))</f>
        <v/>
      </c>
      <c r="BK136" s="18" t="str">
        <f t="shared" ref="BK136:BK199" si="128">IF(BW136&lt;&gt;1,"",0.6*(BI136-235)^2.02*10000)</f>
        <v/>
      </c>
      <c r="BL136" s="18" t="str">
        <f>IF(BW136&lt;&gt;1,"",DATA_INPUT!$I136)</f>
        <v/>
      </c>
      <c r="BM136" s="18" t="str">
        <f>IF(BW136&lt;&gt;1,"",BL136*CONTROL_PANEL!$B$5)</f>
        <v/>
      </c>
      <c r="BN136" s="18" t="str">
        <f>IF(BW136&lt;&gt;1,"",DATA_INPUT!$C136)</f>
        <v/>
      </c>
      <c r="BO136" s="18" t="str">
        <f t="shared" si="118"/>
        <v/>
      </c>
      <c r="BP136" s="18" t="str">
        <f>IF(BW136&lt;&gt;1,"",DATA_INPUT!$H136)</f>
        <v/>
      </c>
      <c r="BQ136" s="18" t="str">
        <f t="shared" si="119"/>
        <v/>
      </c>
      <c r="BR136" s="18" t="str">
        <f>IF(BW136&lt;&gt;1,"",BM136*CONTROL_PANEL!$B$14)</f>
        <v/>
      </c>
      <c r="BS136" s="18" t="str">
        <f>IF(BW136&lt;&gt;1,"",DATA_INPUT!$N136)</f>
        <v/>
      </c>
      <c r="BT136" s="18" t="str">
        <f t="shared" si="120"/>
        <v/>
      </c>
      <c r="BU136" s="18" t="str">
        <f>IF(BW136&lt;&gt;1,"",IF(BT136-CONTROL_PANEL!$B$11&lt;0,0,BT136-CONTROL_PANEL!$B$11))</f>
        <v/>
      </c>
      <c r="BV136" s="18" t="str">
        <f>IF(BW136&lt;&gt;1,"",IF(BS136&lt;=0,0,MIN(BS136,MAX(0,CONTROL_PANEL!$B$13-BT136))))</f>
        <v/>
      </c>
      <c r="BW136" s="18"/>
      <c r="BY136" s="19">
        <f t="shared" si="79"/>
        <v>2026</v>
      </c>
      <c r="BZ136" s="19">
        <f t="shared" si="98"/>
        <v>9</v>
      </c>
      <c r="CA136" s="18" t="str">
        <f t="shared" si="121"/>
        <v/>
      </c>
      <c r="CB136" s="18" t="str">
        <f t="shared" si="104"/>
        <v/>
      </c>
      <c r="CC136" s="18" t="str">
        <f>IF(CP135&lt;&gt;1,"",IF(CM135&gt;0,IF(CM135&gt;CONTROL_PANEL!$B$11,CONTROL_PANEL!$B$11,CM135),0))</f>
        <v/>
      </c>
      <c r="CD136" s="18" t="str">
        <f t="shared" ref="CD136:CD199" si="129">IF(CP136&lt;&gt;1,"",0.6*(CB136-235)^2.02*10000)</f>
        <v/>
      </c>
      <c r="CE136" s="18" t="str">
        <f>IF(CP136&lt;&gt;1,"",DATA_INPUT!$I136)</f>
        <v/>
      </c>
      <c r="CF136" s="18" t="str">
        <f>IF(CP136&lt;&gt;1,"",CE136*CONTROL_PANEL!$B$5)</f>
        <v/>
      </c>
      <c r="CG136" s="18" t="str">
        <f>IF(CP136&lt;&gt;1,"",DATA_INPUT!$C136)</f>
        <v/>
      </c>
      <c r="CH136" s="18" t="str">
        <f t="shared" si="122"/>
        <v/>
      </c>
      <c r="CI136" s="18" t="str">
        <f>IF(CP136&lt;&gt;1,"",DATA_INPUT!$H136)</f>
        <v/>
      </c>
      <c r="CJ136" s="18" t="str">
        <f t="shared" si="123"/>
        <v/>
      </c>
      <c r="CK136" s="18" t="str">
        <f>IF(CP136&lt;&gt;1,"",CF136*CONTROL_PANEL!$B$14)</f>
        <v/>
      </c>
      <c r="CL136" s="18" t="str">
        <f>IF(CP136&lt;&gt;1,"",DATA_INPUT!$O136)</f>
        <v/>
      </c>
      <c r="CM136" s="18" t="str">
        <f t="shared" si="124"/>
        <v/>
      </c>
      <c r="CN136" s="18" t="str">
        <f>IF(CP136&lt;&gt;1,"",IF(CM136-CONTROL_PANEL!$B$11&lt;0,0,CM136-CONTROL_PANEL!$B$11))</f>
        <v/>
      </c>
      <c r="CO136" s="18" t="str">
        <f>IF(CP136&lt;&gt;1,"",IF(CL136&lt;=0,0,MIN(CL136,MAX(0,CONTROL_PANEL!$B$13-CM136))))</f>
        <v/>
      </c>
      <c r="CP136" s="18"/>
    </row>
    <row r="137" spans="1:94" x14ac:dyDescent="0.25">
      <c r="A137" s="19">
        <f t="shared" si="75"/>
        <v>2026</v>
      </c>
      <c r="B137" s="19">
        <f t="shared" si="90"/>
        <v>10</v>
      </c>
      <c r="C137" s="18" t="str">
        <f t="shared" si="105"/>
        <v/>
      </c>
      <c r="D137" s="18" t="str">
        <f t="shared" si="100"/>
        <v/>
      </c>
      <c r="E137" s="18" t="str">
        <f>IF(R136&lt;&gt;1,"",IF(O136&gt;0,IF(O136&gt;CONTROL_PANEL!$B$11,CONTROL_PANEL!$B$11,O136),0))</f>
        <v/>
      </c>
      <c r="F137" s="18" t="str">
        <f t="shared" si="125"/>
        <v/>
      </c>
      <c r="G137" s="18" t="str">
        <f>IF(R137&lt;&gt;1,"",DATA_INPUT!I137)</f>
        <v/>
      </c>
      <c r="H137" s="18" t="str">
        <f>IF(R137&lt;&gt;1,"",G137*CONTROL_PANEL!$B$5)</f>
        <v/>
      </c>
      <c r="I137" s="18" t="str">
        <f>IF(R137&lt;&gt;1,"",DATA_INPUT!C137)</f>
        <v/>
      </c>
      <c r="J137" s="18" t="str">
        <f t="shared" si="106"/>
        <v/>
      </c>
      <c r="K137" s="18" t="str">
        <f>IF(R137&lt;&gt;1,"",DATA_INPUT!H137)</f>
        <v/>
      </c>
      <c r="L137" s="18" t="str">
        <f t="shared" si="107"/>
        <v/>
      </c>
      <c r="M137" s="18" t="str">
        <f>IF(R137&lt;&gt;1,"",H137*CONTROL_PANEL!$B$14)</f>
        <v/>
      </c>
      <c r="N137" s="18" t="str">
        <f>IF(R137&lt;&gt;1,"",DATA_INPUT!K137)</f>
        <v/>
      </c>
      <c r="O137" s="18" t="str">
        <f t="shared" si="108"/>
        <v/>
      </c>
      <c r="P137" s="18" t="str">
        <f>IF(R137&lt;&gt;1,"",IF(O137-CONTROL_PANEL!$B$11&lt;0,0,O137-CONTROL_PANEL!$B$11))</f>
        <v/>
      </c>
      <c r="Q137" s="18" t="str">
        <f>IF(R137&lt;&gt;1,"",IF(N137&lt;=0,0,MIN(N137,MAX(0,CONTROL_PANEL!$B$13-O137))))</f>
        <v/>
      </c>
      <c r="R137" s="18"/>
      <c r="T137" s="19">
        <f t="shared" si="76"/>
        <v>2026</v>
      </c>
      <c r="U137" s="19">
        <f t="shared" si="92"/>
        <v>10</v>
      </c>
      <c r="V137" s="18" t="str">
        <f t="shared" si="109"/>
        <v/>
      </c>
      <c r="W137" s="18" t="str">
        <f t="shared" si="101"/>
        <v/>
      </c>
      <c r="X137" s="18" t="str">
        <f>IF(AK136&lt;&gt;1,"",IF(AH136&gt;0,IF(AH136&gt;CONTROL_PANEL!$B$11,CONTROL_PANEL!$B$11,AH136),0))</f>
        <v/>
      </c>
      <c r="Y137" s="18" t="str">
        <f t="shared" si="126"/>
        <v/>
      </c>
      <c r="Z137" s="18" t="str">
        <f>IF(AK137&lt;&gt;1,"",DATA_INPUT!I137)</f>
        <v/>
      </c>
      <c r="AA137" s="18" t="str">
        <f>IF(AK137&lt;&gt;1,"",Z137*CONTROL_PANEL!$B$5)</f>
        <v/>
      </c>
      <c r="AB137" s="18" t="str">
        <f>IF(AK137&lt;&gt;1,"",DATA_INPUT!$C137)</f>
        <v/>
      </c>
      <c r="AC137" s="18" t="str">
        <f t="shared" si="110"/>
        <v/>
      </c>
      <c r="AD137" s="18" t="str">
        <f>IF(AK137&lt;&gt;1,"",DATA_INPUT!$H137)</f>
        <v/>
      </c>
      <c r="AE137" s="18" t="str">
        <f t="shared" si="111"/>
        <v/>
      </c>
      <c r="AF137" s="18" t="str">
        <f>IF(AK137&lt;&gt;1,"",AA137*CONTROL_PANEL!$B$14)</f>
        <v/>
      </c>
      <c r="AG137" s="18" t="str">
        <f>IF(AK137&lt;&gt;1,"",DATA_INPUT!$L137)</f>
        <v/>
      </c>
      <c r="AH137" s="18" t="str">
        <f t="shared" si="112"/>
        <v/>
      </c>
      <c r="AI137" s="18" t="str">
        <f>IF(AK137&lt;&gt;1,"",IF(AH137-CONTROL_PANEL!$B$11&lt;0,0,AH137-CONTROL_PANEL!$B$11))</f>
        <v/>
      </c>
      <c r="AJ137" s="18" t="str">
        <f>IF(AK137&lt;&gt;1,"",IF(AG137&lt;=0,0,MIN(AG137,MAX(0,CONTROL_PANEL!$B$13-AH137))))</f>
        <v/>
      </c>
      <c r="AK137" s="18"/>
      <c r="AM137" s="19">
        <f t="shared" si="77"/>
        <v>2026</v>
      </c>
      <c r="AN137" s="19">
        <f t="shared" si="94"/>
        <v>10</v>
      </c>
      <c r="AO137" s="18" t="str">
        <f t="shared" si="113"/>
        <v/>
      </c>
      <c r="AP137" s="18" t="str">
        <f t="shared" si="102"/>
        <v/>
      </c>
      <c r="AQ137" s="18" t="str">
        <f>IF(BD136&lt;&gt;1,"",IF(BA136&gt;0,IF(BA136&gt;CONTROL_PANEL!$B$11,CONTROL_PANEL!$B$11,BA136),0))</f>
        <v/>
      </c>
      <c r="AR137" s="18" t="str">
        <f t="shared" si="127"/>
        <v/>
      </c>
      <c r="AS137" s="18" t="str">
        <f>IF(BD137&lt;&gt;1,"",DATA_INPUT!$I137)</f>
        <v/>
      </c>
      <c r="AT137" s="18" t="str">
        <f>IF(BD137&lt;&gt;1,"",AS137*CONTROL_PANEL!$B$5)</f>
        <v/>
      </c>
      <c r="AU137" s="18" t="str">
        <f>IF(BD137&lt;&gt;1,"",DATA_INPUT!$C137)</f>
        <v/>
      </c>
      <c r="AV137" s="18" t="str">
        <f t="shared" si="114"/>
        <v/>
      </c>
      <c r="AW137" s="18" t="str">
        <f>IF(BD137&lt;&gt;1,"",DATA_INPUT!$H137)</f>
        <v/>
      </c>
      <c r="AX137" s="18" t="str">
        <f t="shared" si="115"/>
        <v/>
      </c>
      <c r="AY137" s="18" t="str">
        <f>IF(BD137&lt;&gt;1,"",AT137*CONTROL_PANEL!$B$14)</f>
        <v/>
      </c>
      <c r="AZ137" s="18" t="str">
        <f>IF(BD137&lt;&gt;1,"",DATA_INPUT!$M137)</f>
        <v/>
      </c>
      <c r="BA137" s="18" t="str">
        <f t="shared" si="116"/>
        <v/>
      </c>
      <c r="BB137" s="18" t="str">
        <f>IF(BD137&lt;&gt;1,"",IF(BA137-CONTROL_PANEL!$B$11&lt;0,0,BA137-CONTROL_PANEL!$B$11))</f>
        <v/>
      </c>
      <c r="BC137" s="18" t="str">
        <f>IF(BD137&lt;&gt;1,"",IF(AZ137&lt;=0,0,MIN(AZ137,MAX(0,CONTROL_PANEL!$B$13-BA137))))</f>
        <v/>
      </c>
      <c r="BD137" s="18"/>
      <c r="BF137" s="19">
        <f t="shared" si="78"/>
        <v>2026</v>
      </c>
      <c r="BG137" s="19">
        <f t="shared" si="96"/>
        <v>10</v>
      </c>
      <c r="BH137" s="18" t="str">
        <f t="shared" si="117"/>
        <v/>
      </c>
      <c r="BI137" s="18" t="str">
        <f t="shared" si="103"/>
        <v/>
      </c>
      <c r="BJ137" s="18" t="str">
        <f>IF(BW136&lt;&gt;1,"",IF(BT136&gt;0,IF(BT136&gt;CONTROL_PANEL!$B$11,CONTROL_PANEL!$B$11,BT136),0))</f>
        <v/>
      </c>
      <c r="BK137" s="18" t="str">
        <f t="shared" si="128"/>
        <v/>
      </c>
      <c r="BL137" s="18" t="str">
        <f>IF(BW137&lt;&gt;1,"",DATA_INPUT!$I137)</f>
        <v/>
      </c>
      <c r="BM137" s="18" t="str">
        <f>IF(BW137&lt;&gt;1,"",BL137*CONTROL_PANEL!$B$5)</f>
        <v/>
      </c>
      <c r="BN137" s="18" t="str">
        <f>IF(BW137&lt;&gt;1,"",DATA_INPUT!$C137)</f>
        <v/>
      </c>
      <c r="BO137" s="18" t="str">
        <f t="shared" si="118"/>
        <v/>
      </c>
      <c r="BP137" s="18" t="str">
        <f>IF(BW137&lt;&gt;1,"",DATA_INPUT!$H137)</f>
        <v/>
      </c>
      <c r="BQ137" s="18" t="str">
        <f t="shared" si="119"/>
        <v/>
      </c>
      <c r="BR137" s="18" t="str">
        <f>IF(BW137&lt;&gt;1,"",BM137*CONTROL_PANEL!$B$14)</f>
        <v/>
      </c>
      <c r="BS137" s="18" t="str">
        <f>IF(BW137&lt;&gt;1,"",DATA_INPUT!$N137)</f>
        <v/>
      </c>
      <c r="BT137" s="18" t="str">
        <f t="shared" si="120"/>
        <v/>
      </c>
      <c r="BU137" s="18" t="str">
        <f>IF(BW137&lt;&gt;1,"",IF(BT137-CONTROL_PANEL!$B$11&lt;0,0,BT137-CONTROL_PANEL!$B$11))</f>
        <v/>
      </c>
      <c r="BV137" s="18" t="str">
        <f>IF(BW137&lt;&gt;1,"",IF(BS137&lt;=0,0,MIN(BS137,MAX(0,CONTROL_PANEL!$B$13-BT137))))</f>
        <v/>
      </c>
      <c r="BW137" s="18"/>
      <c r="BY137" s="19">
        <f t="shared" si="79"/>
        <v>2026</v>
      </c>
      <c r="BZ137" s="19">
        <f t="shared" si="98"/>
        <v>10</v>
      </c>
      <c r="CA137" s="18" t="str">
        <f t="shared" si="121"/>
        <v/>
      </c>
      <c r="CB137" s="18" t="str">
        <f t="shared" si="104"/>
        <v/>
      </c>
      <c r="CC137" s="18" t="str">
        <f>IF(CP136&lt;&gt;1,"",IF(CM136&gt;0,IF(CM136&gt;CONTROL_PANEL!$B$11,CONTROL_PANEL!$B$11,CM136),0))</f>
        <v/>
      </c>
      <c r="CD137" s="18" t="str">
        <f t="shared" si="129"/>
        <v/>
      </c>
      <c r="CE137" s="18" t="str">
        <f>IF(CP137&lt;&gt;1,"",DATA_INPUT!$I137)</f>
        <v/>
      </c>
      <c r="CF137" s="18" t="str">
        <f>IF(CP137&lt;&gt;1,"",CE137*CONTROL_PANEL!$B$5)</f>
        <v/>
      </c>
      <c r="CG137" s="18" t="str">
        <f>IF(CP137&lt;&gt;1,"",DATA_INPUT!$C137)</f>
        <v/>
      </c>
      <c r="CH137" s="18" t="str">
        <f t="shared" si="122"/>
        <v/>
      </c>
      <c r="CI137" s="18" t="str">
        <f>IF(CP137&lt;&gt;1,"",DATA_INPUT!$H137)</f>
        <v/>
      </c>
      <c r="CJ137" s="18" t="str">
        <f t="shared" si="123"/>
        <v/>
      </c>
      <c r="CK137" s="18" t="str">
        <f>IF(CP137&lt;&gt;1,"",CF137*CONTROL_PANEL!$B$14)</f>
        <v/>
      </c>
      <c r="CL137" s="18" t="str">
        <f>IF(CP137&lt;&gt;1,"",DATA_INPUT!$O137)</f>
        <v/>
      </c>
      <c r="CM137" s="18" t="str">
        <f t="shared" si="124"/>
        <v/>
      </c>
      <c r="CN137" s="18" t="str">
        <f>IF(CP137&lt;&gt;1,"",IF(CM137-CONTROL_PANEL!$B$11&lt;0,0,CM137-CONTROL_PANEL!$B$11))</f>
        <v/>
      </c>
      <c r="CO137" s="18" t="str">
        <f>IF(CP137&lt;&gt;1,"",IF(CL137&lt;=0,0,MIN(CL137,MAX(0,CONTROL_PANEL!$B$13-CM137))))</f>
        <v/>
      </c>
      <c r="CP137" s="18"/>
    </row>
    <row r="138" spans="1:94" x14ac:dyDescent="0.25">
      <c r="A138" s="19">
        <f t="shared" si="75"/>
        <v>2026</v>
      </c>
      <c r="B138" s="19">
        <f t="shared" si="90"/>
        <v>11</v>
      </c>
      <c r="C138" s="18" t="str">
        <f t="shared" si="105"/>
        <v/>
      </c>
      <c r="D138" s="18" t="str">
        <f t="shared" ref="D138:D201" si="130">IF(R137&lt;&gt;1,"",235+((E138/1000/2)^(1/3.02)))</f>
        <v/>
      </c>
      <c r="E138" s="18" t="str">
        <f>IF(R137&lt;&gt;1,"",IF(O137&gt;0,IF(O137&gt;CONTROL_PANEL!$B$11,CONTROL_PANEL!$B$11,O137),0))</f>
        <v/>
      </c>
      <c r="F138" s="18" t="str">
        <f t="shared" si="125"/>
        <v/>
      </c>
      <c r="G138" s="18" t="str">
        <f>IF(R138&lt;&gt;1,"",DATA_INPUT!I138)</f>
        <v/>
      </c>
      <c r="H138" s="18" t="str">
        <f>IF(R138&lt;&gt;1,"",G138*CONTROL_PANEL!$B$5)</f>
        <v/>
      </c>
      <c r="I138" s="18" t="str">
        <f>IF(R138&lt;&gt;1,"",DATA_INPUT!C138)</f>
        <v/>
      </c>
      <c r="J138" s="18" t="str">
        <f t="shared" si="106"/>
        <v/>
      </c>
      <c r="K138" s="18" t="str">
        <f>IF(R138&lt;&gt;1,"",DATA_INPUT!H138)</f>
        <v/>
      </c>
      <c r="L138" s="18" t="str">
        <f t="shared" si="107"/>
        <v/>
      </c>
      <c r="M138" s="18" t="str">
        <f>IF(R138&lt;&gt;1,"",H138*CONTROL_PANEL!$B$14)</f>
        <v/>
      </c>
      <c r="N138" s="18" t="str">
        <f>IF(R138&lt;&gt;1,"",DATA_INPUT!K138)</f>
        <v/>
      </c>
      <c r="O138" s="18" t="str">
        <f t="shared" si="108"/>
        <v/>
      </c>
      <c r="P138" s="18" t="str">
        <f>IF(R138&lt;&gt;1,"",IF(O138-CONTROL_PANEL!$B$11&lt;0,0,O138-CONTROL_PANEL!$B$11))</f>
        <v/>
      </c>
      <c r="Q138" s="18" t="str">
        <f>IF(R138&lt;&gt;1,"",IF(N138&lt;=0,0,MIN(N138,MAX(0,CONTROL_PANEL!$B$13-O138))))</f>
        <v/>
      </c>
      <c r="R138" s="18"/>
      <c r="T138" s="19">
        <f t="shared" si="76"/>
        <v>2026</v>
      </c>
      <c r="U138" s="19">
        <f t="shared" si="92"/>
        <v>11</v>
      </c>
      <c r="V138" s="18" t="str">
        <f t="shared" si="109"/>
        <v/>
      </c>
      <c r="W138" s="18" t="str">
        <f t="shared" ref="W138:W201" si="131">IF(AK137&lt;&gt;1,"",235+((X138/1000/2)^(1/3.02)))</f>
        <v/>
      </c>
      <c r="X138" s="18" t="str">
        <f>IF(AK137&lt;&gt;1,"",IF(AH137&gt;0,IF(AH137&gt;CONTROL_PANEL!$B$11,CONTROL_PANEL!$B$11,AH137),0))</f>
        <v/>
      </c>
      <c r="Y138" s="18" t="str">
        <f t="shared" si="126"/>
        <v/>
      </c>
      <c r="Z138" s="18" t="str">
        <f>IF(AK138&lt;&gt;1,"",DATA_INPUT!I138)</f>
        <v/>
      </c>
      <c r="AA138" s="18" t="str">
        <f>IF(AK138&lt;&gt;1,"",Z138*CONTROL_PANEL!$B$5)</f>
        <v/>
      </c>
      <c r="AB138" s="18" t="str">
        <f>IF(AK138&lt;&gt;1,"",DATA_INPUT!$C138)</f>
        <v/>
      </c>
      <c r="AC138" s="18" t="str">
        <f t="shared" si="110"/>
        <v/>
      </c>
      <c r="AD138" s="18" t="str">
        <f>IF(AK138&lt;&gt;1,"",DATA_INPUT!$H138)</f>
        <v/>
      </c>
      <c r="AE138" s="18" t="str">
        <f t="shared" si="111"/>
        <v/>
      </c>
      <c r="AF138" s="18" t="str">
        <f>IF(AK138&lt;&gt;1,"",AA138*CONTROL_PANEL!$B$14)</f>
        <v/>
      </c>
      <c r="AG138" s="18" t="str">
        <f>IF(AK138&lt;&gt;1,"",DATA_INPUT!$L138)</f>
        <v/>
      </c>
      <c r="AH138" s="18" t="str">
        <f t="shared" si="112"/>
        <v/>
      </c>
      <c r="AI138" s="18" t="str">
        <f>IF(AK138&lt;&gt;1,"",IF(AH138-CONTROL_PANEL!$B$11&lt;0,0,AH138-CONTROL_PANEL!$B$11))</f>
        <v/>
      </c>
      <c r="AJ138" s="18" t="str">
        <f>IF(AK138&lt;&gt;1,"",IF(AG138&lt;=0,0,MIN(AG138,MAX(0,CONTROL_PANEL!$B$13-AH138))))</f>
        <v/>
      </c>
      <c r="AK138" s="18"/>
      <c r="AM138" s="19">
        <f t="shared" si="77"/>
        <v>2026</v>
      </c>
      <c r="AN138" s="19">
        <f t="shared" si="94"/>
        <v>11</v>
      </c>
      <c r="AO138" s="18" t="str">
        <f t="shared" si="113"/>
        <v/>
      </c>
      <c r="AP138" s="18" t="str">
        <f t="shared" ref="AP138:AP201" si="132">IF(BD137&lt;&gt;1,"",235+((AQ138/1000/2)^(1/3.02)))</f>
        <v/>
      </c>
      <c r="AQ138" s="18" t="str">
        <f>IF(BD137&lt;&gt;1,"",IF(BA137&gt;0,IF(BA137&gt;CONTROL_PANEL!$B$11,CONTROL_PANEL!$B$11,BA137),0))</f>
        <v/>
      </c>
      <c r="AR138" s="18" t="str">
        <f t="shared" si="127"/>
        <v/>
      </c>
      <c r="AS138" s="18" t="str">
        <f>IF(BD138&lt;&gt;1,"",DATA_INPUT!$I138)</f>
        <v/>
      </c>
      <c r="AT138" s="18" t="str">
        <f>IF(BD138&lt;&gt;1,"",AS138*CONTROL_PANEL!$B$5)</f>
        <v/>
      </c>
      <c r="AU138" s="18" t="str">
        <f>IF(BD138&lt;&gt;1,"",DATA_INPUT!$C138)</f>
        <v/>
      </c>
      <c r="AV138" s="18" t="str">
        <f t="shared" si="114"/>
        <v/>
      </c>
      <c r="AW138" s="18" t="str">
        <f>IF(BD138&lt;&gt;1,"",DATA_INPUT!$H138)</f>
        <v/>
      </c>
      <c r="AX138" s="18" t="str">
        <f t="shared" si="115"/>
        <v/>
      </c>
      <c r="AY138" s="18" t="str">
        <f>IF(BD138&lt;&gt;1,"",AT138*CONTROL_PANEL!$B$14)</f>
        <v/>
      </c>
      <c r="AZ138" s="18" t="str">
        <f>IF(BD138&lt;&gt;1,"",DATA_INPUT!$M138)</f>
        <v/>
      </c>
      <c r="BA138" s="18" t="str">
        <f t="shared" si="116"/>
        <v/>
      </c>
      <c r="BB138" s="18" t="str">
        <f>IF(BD138&lt;&gt;1,"",IF(BA138-CONTROL_PANEL!$B$11&lt;0,0,BA138-CONTROL_PANEL!$B$11))</f>
        <v/>
      </c>
      <c r="BC138" s="18" t="str">
        <f>IF(BD138&lt;&gt;1,"",IF(AZ138&lt;=0,0,MIN(AZ138,MAX(0,CONTROL_PANEL!$B$13-BA138))))</f>
        <v/>
      </c>
      <c r="BD138" s="18"/>
      <c r="BF138" s="19">
        <f t="shared" si="78"/>
        <v>2026</v>
      </c>
      <c r="BG138" s="19">
        <f t="shared" si="96"/>
        <v>11</v>
      </c>
      <c r="BH138" s="18" t="str">
        <f t="shared" si="117"/>
        <v/>
      </c>
      <c r="BI138" s="18" t="str">
        <f t="shared" ref="BI138:BI201" si="133">IF(BW137&lt;&gt;1,"",235+((BJ138/1000/2)^(1/3.02)))</f>
        <v/>
      </c>
      <c r="BJ138" s="18" t="str">
        <f>IF(BW137&lt;&gt;1,"",IF(BT137&gt;0,IF(BT137&gt;CONTROL_PANEL!$B$11,CONTROL_PANEL!$B$11,BT137),0))</f>
        <v/>
      </c>
      <c r="BK138" s="18" t="str">
        <f t="shared" si="128"/>
        <v/>
      </c>
      <c r="BL138" s="18" t="str">
        <f>IF(BW138&lt;&gt;1,"",DATA_INPUT!$I138)</f>
        <v/>
      </c>
      <c r="BM138" s="18" t="str">
        <f>IF(BW138&lt;&gt;1,"",BL138*CONTROL_PANEL!$B$5)</f>
        <v/>
      </c>
      <c r="BN138" s="18" t="str">
        <f>IF(BW138&lt;&gt;1,"",DATA_INPUT!$C138)</f>
        <v/>
      </c>
      <c r="BO138" s="18" t="str">
        <f t="shared" si="118"/>
        <v/>
      </c>
      <c r="BP138" s="18" t="str">
        <f>IF(BW138&lt;&gt;1,"",DATA_INPUT!$H138)</f>
        <v/>
      </c>
      <c r="BQ138" s="18" t="str">
        <f t="shared" si="119"/>
        <v/>
      </c>
      <c r="BR138" s="18" t="str">
        <f>IF(BW138&lt;&gt;1,"",BM138*CONTROL_PANEL!$B$14)</f>
        <v/>
      </c>
      <c r="BS138" s="18" t="str">
        <f>IF(BW138&lt;&gt;1,"",DATA_INPUT!$N138)</f>
        <v/>
      </c>
      <c r="BT138" s="18" t="str">
        <f t="shared" si="120"/>
        <v/>
      </c>
      <c r="BU138" s="18" t="str">
        <f>IF(BW138&lt;&gt;1,"",IF(BT138-CONTROL_PANEL!$B$11&lt;0,0,BT138-CONTROL_PANEL!$B$11))</f>
        <v/>
      </c>
      <c r="BV138" s="18" t="str">
        <f>IF(BW138&lt;&gt;1,"",IF(BS138&lt;=0,0,MIN(BS138,MAX(0,CONTROL_PANEL!$B$13-BT138))))</f>
        <v/>
      </c>
      <c r="BW138" s="18"/>
      <c r="BY138" s="19">
        <f t="shared" si="79"/>
        <v>2026</v>
      </c>
      <c r="BZ138" s="19">
        <f t="shared" si="98"/>
        <v>11</v>
      </c>
      <c r="CA138" s="18" t="str">
        <f t="shared" si="121"/>
        <v/>
      </c>
      <c r="CB138" s="18" t="str">
        <f t="shared" ref="CB138:CB201" si="134">IF(CP137&lt;&gt;1,"",235+((CC138/1000/2)^(1/3.02)))</f>
        <v/>
      </c>
      <c r="CC138" s="18" t="str">
        <f>IF(CP137&lt;&gt;1,"",IF(CM137&gt;0,IF(CM137&gt;CONTROL_PANEL!$B$11,CONTROL_PANEL!$B$11,CM137),0))</f>
        <v/>
      </c>
      <c r="CD138" s="18" t="str">
        <f t="shared" si="129"/>
        <v/>
      </c>
      <c r="CE138" s="18" t="str">
        <f>IF(CP138&lt;&gt;1,"",DATA_INPUT!$I138)</f>
        <v/>
      </c>
      <c r="CF138" s="18" t="str">
        <f>IF(CP138&lt;&gt;1,"",CE138*CONTROL_PANEL!$B$5)</f>
        <v/>
      </c>
      <c r="CG138" s="18" t="str">
        <f>IF(CP138&lt;&gt;1,"",DATA_INPUT!$C138)</f>
        <v/>
      </c>
      <c r="CH138" s="18" t="str">
        <f t="shared" si="122"/>
        <v/>
      </c>
      <c r="CI138" s="18" t="str">
        <f>IF(CP138&lt;&gt;1,"",DATA_INPUT!$H138)</f>
        <v/>
      </c>
      <c r="CJ138" s="18" t="str">
        <f t="shared" si="123"/>
        <v/>
      </c>
      <c r="CK138" s="18" t="str">
        <f>IF(CP138&lt;&gt;1,"",CF138*CONTROL_PANEL!$B$14)</f>
        <v/>
      </c>
      <c r="CL138" s="18" t="str">
        <f>IF(CP138&lt;&gt;1,"",DATA_INPUT!$O138)</f>
        <v/>
      </c>
      <c r="CM138" s="18" t="str">
        <f t="shared" si="124"/>
        <v/>
      </c>
      <c r="CN138" s="18" t="str">
        <f>IF(CP138&lt;&gt;1,"",IF(CM138-CONTROL_PANEL!$B$11&lt;0,0,CM138-CONTROL_PANEL!$B$11))</f>
        <v/>
      </c>
      <c r="CO138" s="18" t="str">
        <f>IF(CP138&lt;&gt;1,"",IF(CL138&lt;=0,0,MIN(CL138,MAX(0,CONTROL_PANEL!$B$13-CM138))))</f>
        <v/>
      </c>
      <c r="CP138" s="18"/>
    </row>
    <row r="139" spans="1:94" x14ac:dyDescent="0.25">
      <c r="A139" s="19">
        <f t="shared" si="75"/>
        <v>2026</v>
      </c>
      <c r="B139" s="19">
        <f t="shared" si="90"/>
        <v>12</v>
      </c>
      <c r="C139" s="18" t="str">
        <f t="shared" si="105"/>
        <v/>
      </c>
      <c r="D139" s="18" t="str">
        <f t="shared" si="130"/>
        <v/>
      </c>
      <c r="E139" s="18" t="str">
        <f>IF(R138&lt;&gt;1,"",IF(O138&gt;0,IF(O138&gt;CONTROL_PANEL!$B$11,CONTROL_PANEL!$B$11,O138),0))</f>
        <v/>
      </c>
      <c r="F139" s="18" t="str">
        <f t="shared" si="125"/>
        <v/>
      </c>
      <c r="G139" s="18" t="str">
        <f>IF(R139&lt;&gt;1,"",DATA_INPUT!I139)</f>
        <v/>
      </c>
      <c r="H139" s="18" t="str">
        <f>IF(R139&lt;&gt;1,"",G139*CONTROL_PANEL!$B$5)</f>
        <v/>
      </c>
      <c r="I139" s="18" t="str">
        <f>IF(R139&lt;&gt;1,"",DATA_INPUT!C139)</f>
        <v/>
      </c>
      <c r="J139" s="18" t="str">
        <f t="shared" si="106"/>
        <v/>
      </c>
      <c r="K139" s="18" t="str">
        <f>IF(R139&lt;&gt;1,"",DATA_INPUT!H139)</f>
        <v/>
      </c>
      <c r="L139" s="18" t="str">
        <f t="shared" si="107"/>
        <v/>
      </c>
      <c r="M139" s="18" t="str">
        <f>IF(R139&lt;&gt;1,"",H139*CONTROL_PANEL!$B$14)</f>
        <v/>
      </c>
      <c r="N139" s="18" t="str">
        <f>IF(R139&lt;&gt;1,"",DATA_INPUT!K139)</f>
        <v/>
      </c>
      <c r="O139" s="18" t="str">
        <f t="shared" si="108"/>
        <v/>
      </c>
      <c r="P139" s="18" t="str">
        <f>IF(R139&lt;&gt;1,"",IF(O139-CONTROL_PANEL!$B$11&lt;0,0,O139-CONTROL_PANEL!$B$11))</f>
        <v/>
      </c>
      <c r="Q139" s="18" t="str">
        <f>IF(R139&lt;&gt;1,"",IF(N139&lt;=0,0,MIN(N139,MAX(0,CONTROL_PANEL!$B$13-O139))))</f>
        <v/>
      </c>
      <c r="R139" s="18"/>
      <c r="T139" s="19">
        <f t="shared" si="76"/>
        <v>2026</v>
      </c>
      <c r="U139" s="19">
        <f t="shared" si="92"/>
        <v>12</v>
      </c>
      <c r="V139" s="18" t="str">
        <f t="shared" si="109"/>
        <v/>
      </c>
      <c r="W139" s="18" t="str">
        <f t="shared" si="131"/>
        <v/>
      </c>
      <c r="X139" s="18" t="str">
        <f>IF(AK138&lt;&gt;1,"",IF(AH138&gt;0,IF(AH138&gt;CONTROL_PANEL!$B$11,CONTROL_PANEL!$B$11,AH138),0))</f>
        <v/>
      </c>
      <c r="Y139" s="18" t="str">
        <f t="shared" si="126"/>
        <v/>
      </c>
      <c r="Z139" s="18" t="str">
        <f>IF(AK139&lt;&gt;1,"",DATA_INPUT!I139)</f>
        <v/>
      </c>
      <c r="AA139" s="18" t="str">
        <f>IF(AK139&lt;&gt;1,"",Z139*CONTROL_PANEL!$B$5)</f>
        <v/>
      </c>
      <c r="AB139" s="18" t="str">
        <f>IF(AK139&lt;&gt;1,"",DATA_INPUT!$C139)</f>
        <v/>
      </c>
      <c r="AC139" s="18" t="str">
        <f t="shared" si="110"/>
        <v/>
      </c>
      <c r="AD139" s="18" t="str">
        <f>IF(AK139&lt;&gt;1,"",DATA_INPUT!$H139)</f>
        <v/>
      </c>
      <c r="AE139" s="18" t="str">
        <f t="shared" si="111"/>
        <v/>
      </c>
      <c r="AF139" s="18" t="str">
        <f>IF(AK139&lt;&gt;1,"",AA139*CONTROL_PANEL!$B$14)</f>
        <v/>
      </c>
      <c r="AG139" s="18" t="str">
        <f>IF(AK139&lt;&gt;1,"",DATA_INPUT!$L139)</f>
        <v/>
      </c>
      <c r="AH139" s="18" t="str">
        <f t="shared" si="112"/>
        <v/>
      </c>
      <c r="AI139" s="18" t="str">
        <f>IF(AK139&lt;&gt;1,"",IF(AH139-CONTROL_PANEL!$B$11&lt;0,0,AH139-CONTROL_PANEL!$B$11))</f>
        <v/>
      </c>
      <c r="AJ139" s="18" t="str">
        <f>IF(AK139&lt;&gt;1,"",IF(AG139&lt;=0,0,MIN(AG139,MAX(0,CONTROL_PANEL!$B$13-AH139))))</f>
        <v/>
      </c>
      <c r="AK139" s="18"/>
      <c r="AM139" s="19">
        <f t="shared" si="77"/>
        <v>2026</v>
      </c>
      <c r="AN139" s="19">
        <f t="shared" si="94"/>
        <v>12</v>
      </c>
      <c r="AO139" s="18" t="str">
        <f t="shared" si="113"/>
        <v/>
      </c>
      <c r="AP139" s="18" t="str">
        <f t="shared" si="132"/>
        <v/>
      </c>
      <c r="AQ139" s="18" t="str">
        <f>IF(BD138&lt;&gt;1,"",IF(BA138&gt;0,IF(BA138&gt;CONTROL_PANEL!$B$11,CONTROL_PANEL!$B$11,BA138),0))</f>
        <v/>
      </c>
      <c r="AR139" s="18" t="str">
        <f t="shared" si="127"/>
        <v/>
      </c>
      <c r="AS139" s="18" t="str">
        <f>IF(BD139&lt;&gt;1,"",DATA_INPUT!$I139)</f>
        <v/>
      </c>
      <c r="AT139" s="18" t="str">
        <f>IF(BD139&lt;&gt;1,"",AS139*CONTROL_PANEL!$B$5)</f>
        <v/>
      </c>
      <c r="AU139" s="18" t="str">
        <f>IF(BD139&lt;&gt;1,"",DATA_INPUT!$C139)</f>
        <v/>
      </c>
      <c r="AV139" s="18" t="str">
        <f t="shared" si="114"/>
        <v/>
      </c>
      <c r="AW139" s="18" t="str">
        <f>IF(BD139&lt;&gt;1,"",DATA_INPUT!$H139)</f>
        <v/>
      </c>
      <c r="AX139" s="18" t="str">
        <f t="shared" si="115"/>
        <v/>
      </c>
      <c r="AY139" s="18" t="str">
        <f>IF(BD139&lt;&gt;1,"",AT139*CONTROL_PANEL!$B$14)</f>
        <v/>
      </c>
      <c r="AZ139" s="18" t="str">
        <f>IF(BD139&lt;&gt;1,"",DATA_INPUT!$M139)</f>
        <v/>
      </c>
      <c r="BA139" s="18" t="str">
        <f t="shared" si="116"/>
        <v/>
      </c>
      <c r="BB139" s="18" t="str">
        <f>IF(BD139&lt;&gt;1,"",IF(BA139-CONTROL_PANEL!$B$11&lt;0,0,BA139-CONTROL_PANEL!$B$11))</f>
        <v/>
      </c>
      <c r="BC139" s="18" t="str">
        <f>IF(BD139&lt;&gt;1,"",IF(AZ139&lt;=0,0,MIN(AZ139,MAX(0,CONTROL_PANEL!$B$13-BA139))))</f>
        <v/>
      </c>
      <c r="BD139" s="18"/>
      <c r="BF139" s="19">
        <f t="shared" si="78"/>
        <v>2026</v>
      </c>
      <c r="BG139" s="19">
        <f t="shared" si="96"/>
        <v>12</v>
      </c>
      <c r="BH139" s="18" t="str">
        <f t="shared" si="117"/>
        <v/>
      </c>
      <c r="BI139" s="18" t="str">
        <f t="shared" si="133"/>
        <v/>
      </c>
      <c r="BJ139" s="18" t="str">
        <f>IF(BW138&lt;&gt;1,"",IF(BT138&gt;0,IF(BT138&gt;CONTROL_PANEL!$B$11,CONTROL_PANEL!$B$11,BT138),0))</f>
        <v/>
      </c>
      <c r="BK139" s="18" t="str">
        <f t="shared" si="128"/>
        <v/>
      </c>
      <c r="BL139" s="18" t="str">
        <f>IF(BW139&lt;&gt;1,"",DATA_INPUT!$I139)</f>
        <v/>
      </c>
      <c r="BM139" s="18" t="str">
        <f>IF(BW139&lt;&gt;1,"",BL139*CONTROL_PANEL!$B$5)</f>
        <v/>
      </c>
      <c r="BN139" s="18" t="str">
        <f>IF(BW139&lt;&gt;1,"",DATA_INPUT!$C139)</f>
        <v/>
      </c>
      <c r="BO139" s="18" t="str">
        <f t="shared" si="118"/>
        <v/>
      </c>
      <c r="BP139" s="18" t="str">
        <f>IF(BW139&lt;&gt;1,"",DATA_INPUT!$H139)</f>
        <v/>
      </c>
      <c r="BQ139" s="18" t="str">
        <f t="shared" si="119"/>
        <v/>
      </c>
      <c r="BR139" s="18" t="str">
        <f>IF(BW139&lt;&gt;1,"",BM139*CONTROL_PANEL!$B$14)</f>
        <v/>
      </c>
      <c r="BS139" s="18" t="str">
        <f>IF(BW139&lt;&gt;1,"",DATA_INPUT!$N139)</f>
        <v/>
      </c>
      <c r="BT139" s="18" t="str">
        <f t="shared" si="120"/>
        <v/>
      </c>
      <c r="BU139" s="18" t="str">
        <f>IF(BW139&lt;&gt;1,"",IF(BT139-CONTROL_PANEL!$B$11&lt;0,0,BT139-CONTROL_PANEL!$B$11))</f>
        <v/>
      </c>
      <c r="BV139" s="18" t="str">
        <f>IF(BW139&lt;&gt;1,"",IF(BS139&lt;=0,0,MIN(BS139,MAX(0,CONTROL_PANEL!$B$13-BT139))))</f>
        <v/>
      </c>
      <c r="BW139" s="18"/>
      <c r="BY139" s="19">
        <f t="shared" si="79"/>
        <v>2026</v>
      </c>
      <c r="BZ139" s="19">
        <f t="shared" si="98"/>
        <v>12</v>
      </c>
      <c r="CA139" s="18" t="str">
        <f t="shared" si="121"/>
        <v/>
      </c>
      <c r="CB139" s="18" t="str">
        <f t="shared" si="134"/>
        <v/>
      </c>
      <c r="CC139" s="18" t="str">
        <f>IF(CP138&lt;&gt;1,"",IF(CM138&gt;0,IF(CM138&gt;CONTROL_PANEL!$B$11,CONTROL_PANEL!$B$11,CM138),0))</f>
        <v/>
      </c>
      <c r="CD139" s="18" t="str">
        <f t="shared" si="129"/>
        <v/>
      </c>
      <c r="CE139" s="18" t="str">
        <f>IF(CP139&lt;&gt;1,"",DATA_INPUT!$I139)</f>
        <v/>
      </c>
      <c r="CF139" s="18" t="str">
        <f>IF(CP139&lt;&gt;1,"",CE139*CONTROL_PANEL!$B$5)</f>
        <v/>
      </c>
      <c r="CG139" s="18" t="str">
        <f>IF(CP139&lt;&gt;1,"",DATA_INPUT!$C139)</f>
        <v/>
      </c>
      <c r="CH139" s="18" t="str">
        <f t="shared" si="122"/>
        <v/>
      </c>
      <c r="CI139" s="18" t="str">
        <f>IF(CP139&lt;&gt;1,"",DATA_INPUT!$H139)</f>
        <v/>
      </c>
      <c r="CJ139" s="18" t="str">
        <f t="shared" si="123"/>
        <v/>
      </c>
      <c r="CK139" s="18" t="str">
        <f>IF(CP139&lt;&gt;1,"",CF139*CONTROL_PANEL!$B$14)</f>
        <v/>
      </c>
      <c r="CL139" s="18" t="str">
        <f>IF(CP139&lt;&gt;1,"",DATA_INPUT!$O139)</f>
        <v/>
      </c>
      <c r="CM139" s="18" t="str">
        <f t="shared" si="124"/>
        <v/>
      </c>
      <c r="CN139" s="18" t="str">
        <f>IF(CP139&lt;&gt;1,"",IF(CM139-CONTROL_PANEL!$B$11&lt;0,0,CM139-CONTROL_PANEL!$B$11))</f>
        <v/>
      </c>
      <c r="CO139" s="18" t="str">
        <f>IF(CP139&lt;&gt;1,"",IF(CL139&lt;=0,0,MIN(CL139,MAX(0,CONTROL_PANEL!$B$13-CM139))))</f>
        <v/>
      </c>
      <c r="CP139" s="18"/>
    </row>
    <row r="140" spans="1:94" x14ac:dyDescent="0.25">
      <c r="A140" s="19">
        <f t="shared" si="75"/>
        <v>2027</v>
      </c>
      <c r="B140" s="19">
        <f t="shared" si="90"/>
        <v>1</v>
      </c>
      <c r="C140" s="18" t="str">
        <f t="shared" si="105"/>
        <v/>
      </c>
      <c r="D140" s="18" t="str">
        <f t="shared" si="130"/>
        <v/>
      </c>
      <c r="E140" s="18" t="str">
        <f>IF(R139&lt;&gt;1,"",IF(O139&gt;0,IF(O139&gt;CONTROL_PANEL!$B$11,CONTROL_PANEL!$B$11,O139),0))</f>
        <v/>
      </c>
      <c r="F140" s="18" t="str">
        <f t="shared" si="125"/>
        <v/>
      </c>
      <c r="G140" s="18" t="str">
        <f>IF(R140&lt;&gt;1,"",DATA_INPUT!I140)</f>
        <v/>
      </c>
      <c r="H140" s="18" t="str">
        <f>IF(R140&lt;&gt;1,"",G140*CONTROL_PANEL!$B$5)</f>
        <v/>
      </c>
      <c r="I140" s="18" t="str">
        <f>IF(R140&lt;&gt;1,"",DATA_INPUT!C140)</f>
        <v/>
      </c>
      <c r="J140" s="18" t="str">
        <f t="shared" si="106"/>
        <v/>
      </c>
      <c r="K140" s="18" t="str">
        <f>IF(R140&lt;&gt;1,"",DATA_INPUT!H140)</f>
        <v/>
      </c>
      <c r="L140" s="18" t="str">
        <f t="shared" si="107"/>
        <v/>
      </c>
      <c r="M140" s="18" t="str">
        <f>IF(R140&lt;&gt;1,"",H140*CONTROL_PANEL!$B$14)</f>
        <v/>
      </c>
      <c r="N140" s="18" t="str">
        <f>IF(R140&lt;&gt;1,"",DATA_INPUT!K140)</f>
        <v/>
      </c>
      <c r="O140" s="18" t="str">
        <f t="shared" si="108"/>
        <v/>
      </c>
      <c r="P140" s="18" t="str">
        <f>IF(R140&lt;&gt;1,"",IF(O140-CONTROL_PANEL!$B$11&lt;0,0,O140-CONTROL_PANEL!$B$11))</f>
        <v/>
      </c>
      <c r="Q140" s="18" t="str">
        <f>IF(R140&lt;&gt;1,"",IF(N140&lt;=0,0,MIN(N140,MAX(0,CONTROL_PANEL!$B$13-O140))))</f>
        <v/>
      </c>
      <c r="R140" s="18"/>
      <c r="T140" s="19">
        <f t="shared" si="76"/>
        <v>2027</v>
      </c>
      <c r="U140" s="19">
        <f t="shared" si="92"/>
        <v>1</v>
      </c>
      <c r="V140" s="18" t="str">
        <f t="shared" si="109"/>
        <v/>
      </c>
      <c r="W140" s="18" t="str">
        <f t="shared" si="131"/>
        <v/>
      </c>
      <c r="X140" s="18" t="str">
        <f>IF(AK139&lt;&gt;1,"",IF(AH139&gt;0,IF(AH139&gt;CONTROL_PANEL!$B$11,CONTROL_PANEL!$B$11,AH139),0))</f>
        <v/>
      </c>
      <c r="Y140" s="18" t="str">
        <f t="shared" si="126"/>
        <v/>
      </c>
      <c r="Z140" s="18" t="str">
        <f>IF(AK140&lt;&gt;1,"",DATA_INPUT!I140)</f>
        <v/>
      </c>
      <c r="AA140" s="18" t="str">
        <f>IF(AK140&lt;&gt;1,"",Z140*CONTROL_PANEL!$B$5)</f>
        <v/>
      </c>
      <c r="AB140" s="18" t="str">
        <f>IF(AK140&lt;&gt;1,"",DATA_INPUT!$C140)</f>
        <v/>
      </c>
      <c r="AC140" s="18" t="str">
        <f t="shared" si="110"/>
        <v/>
      </c>
      <c r="AD140" s="18" t="str">
        <f>IF(AK140&lt;&gt;1,"",DATA_INPUT!$H140)</f>
        <v/>
      </c>
      <c r="AE140" s="18" t="str">
        <f t="shared" si="111"/>
        <v/>
      </c>
      <c r="AF140" s="18" t="str">
        <f>IF(AK140&lt;&gt;1,"",AA140*CONTROL_PANEL!$B$14)</f>
        <v/>
      </c>
      <c r="AG140" s="18" t="str">
        <f>IF(AK140&lt;&gt;1,"",DATA_INPUT!$L140)</f>
        <v/>
      </c>
      <c r="AH140" s="18" t="str">
        <f t="shared" si="112"/>
        <v/>
      </c>
      <c r="AI140" s="18" t="str">
        <f>IF(AK140&lt;&gt;1,"",IF(AH140-CONTROL_PANEL!$B$11&lt;0,0,AH140-CONTROL_PANEL!$B$11))</f>
        <v/>
      </c>
      <c r="AJ140" s="18" t="str">
        <f>IF(AK140&lt;&gt;1,"",IF(AG140&lt;=0,0,MIN(AG140,MAX(0,CONTROL_PANEL!$B$13-AH140))))</f>
        <v/>
      </c>
      <c r="AK140" s="18"/>
      <c r="AM140" s="19">
        <f t="shared" si="77"/>
        <v>2027</v>
      </c>
      <c r="AN140" s="19">
        <f t="shared" si="94"/>
        <v>1</v>
      </c>
      <c r="AO140" s="18" t="str">
        <f t="shared" si="113"/>
        <v/>
      </c>
      <c r="AP140" s="18" t="str">
        <f t="shared" si="132"/>
        <v/>
      </c>
      <c r="AQ140" s="18" t="str">
        <f>IF(BD139&lt;&gt;1,"",IF(BA139&gt;0,IF(BA139&gt;CONTROL_PANEL!$B$11,CONTROL_PANEL!$B$11,BA139),0))</f>
        <v/>
      </c>
      <c r="AR140" s="18" t="str">
        <f t="shared" si="127"/>
        <v/>
      </c>
      <c r="AS140" s="18" t="str">
        <f>IF(BD140&lt;&gt;1,"",DATA_INPUT!$I140)</f>
        <v/>
      </c>
      <c r="AT140" s="18" t="str">
        <f>IF(BD140&lt;&gt;1,"",AS140*CONTROL_PANEL!$B$5)</f>
        <v/>
      </c>
      <c r="AU140" s="18" t="str">
        <f>IF(BD140&lt;&gt;1,"",DATA_INPUT!$C140)</f>
        <v/>
      </c>
      <c r="AV140" s="18" t="str">
        <f t="shared" si="114"/>
        <v/>
      </c>
      <c r="AW140" s="18" t="str">
        <f>IF(BD140&lt;&gt;1,"",DATA_INPUT!$H140)</f>
        <v/>
      </c>
      <c r="AX140" s="18" t="str">
        <f t="shared" si="115"/>
        <v/>
      </c>
      <c r="AY140" s="18" t="str">
        <f>IF(BD140&lt;&gt;1,"",AT140*CONTROL_PANEL!$B$14)</f>
        <v/>
      </c>
      <c r="AZ140" s="18" t="str">
        <f>IF(BD140&lt;&gt;1,"",DATA_INPUT!$M140)</f>
        <v/>
      </c>
      <c r="BA140" s="18" t="str">
        <f t="shared" si="116"/>
        <v/>
      </c>
      <c r="BB140" s="18" t="str">
        <f>IF(BD140&lt;&gt;1,"",IF(BA140-CONTROL_PANEL!$B$11&lt;0,0,BA140-CONTROL_PANEL!$B$11))</f>
        <v/>
      </c>
      <c r="BC140" s="18" t="str">
        <f>IF(BD140&lt;&gt;1,"",IF(AZ140&lt;=0,0,MIN(AZ140,MAX(0,CONTROL_PANEL!$B$13-BA140))))</f>
        <v/>
      </c>
      <c r="BD140" s="18"/>
      <c r="BF140" s="19">
        <f t="shared" si="78"/>
        <v>2027</v>
      </c>
      <c r="BG140" s="19">
        <f t="shared" si="96"/>
        <v>1</v>
      </c>
      <c r="BH140" s="18" t="str">
        <f t="shared" si="117"/>
        <v/>
      </c>
      <c r="BI140" s="18" t="str">
        <f t="shared" si="133"/>
        <v/>
      </c>
      <c r="BJ140" s="18" t="str">
        <f>IF(BW139&lt;&gt;1,"",IF(BT139&gt;0,IF(BT139&gt;CONTROL_PANEL!$B$11,CONTROL_PANEL!$B$11,BT139),0))</f>
        <v/>
      </c>
      <c r="BK140" s="18" t="str">
        <f t="shared" si="128"/>
        <v/>
      </c>
      <c r="BL140" s="18" t="str">
        <f>IF(BW140&lt;&gt;1,"",DATA_INPUT!$I140)</f>
        <v/>
      </c>
      <c r="BM140" s="18" t="str">
        <f>IF(BW140&lt;&gt;1,"",BL140*CONTROL_PANEL!$B$5)</f>
        <v/>
      </c>
      <c r="BN140" s="18" t="str">
        <f>IF(BW140&lt;&gt;1,"",DATA_INPUT!$C140)</f>
        <v/>
      </c>
      <c r="BO140" s="18" t="str">
        <f t="shared" si="118"/>
        <v/>
      </c>
      <c r="BP140" s="18" t="str">
        <f>IF(BW140&lt;&gt;1,"",DATA_INPUT!$H140)</f>
        <v/>
      </c>
      <c r="BQ140" s="18" t="str">
        <f t="shared" si="119"/>
        <v/>
      </c>
      <c r="BR140" s="18" t="str">
        <f>IF(BW140&lt;&gt;1,"",BM140*CONTROL_PANEL!$B$14)</f>
        <v/>
      </c>
      <c r="BS140" s="18" t="str">
        <f>IF(BW140&lt;&gt;1,"",DATA_INPUT!$N140)</f>
        <v/>
      </c>
      <c r="BT140" s="18" t="str">
        <f t="shared" si="120"/>
        <v/>
      </c>
      <c r="BU140" s="18" t="str">
        <f>IF(BW140&lt;&gt;1,"",IF(BT140-CONTROL_PANEL!$B$11&lt;0,0,BT140-CONTROL_PANEL!$B$11))</f>
        <v/>
      </c>
      <c r="BV140" s="18" t="str">
        <f>IF(BW140&lt;&gt;1,"",IF(BS140&lt;=0,0,MIN(BS140,MAX(0,CONTROL_PANEL!$B$13-BT140))))</f>
        <v/>
      </c>
      <c r="BW140" s="18"/>
      <c r="BY140" s="19">
        <f t="shared" si="79"/>
        <v>2027</v>
      </c>
      <c r="BZ140" s="19">
        <f t="shared" si="98"/>
        <v>1</v>
      </c>
      <c r="CA140" s="18" t="str">
        <f t="shared" si="121"/>
        <v/>
      </c>
      <c r="CB140" s="18" t="str">
        <f t="shared" si="134"/>
        <v/>
      </c>
      <c r="CC140" s="18" t="str">
        <f>IF(CP139&lt;&gt;1,"",IF(CM139&gt;0,IF(CM139&gt;CONTROL_PANEL!$B$11,CONTROL_PANEL!$B$11,CM139),0))</f>
        <v/>
      </c>
      <c r="CD140" s="18" t="str">
        <f t="shared" si="129"/>
        <v/>
      </c>
      <c r="CE140" s="18" t="str">
        <f>IF(CP140&lt;&gt;1,"",DATA_INPUT!$I140)</f>
        <v/>
      </c>
      <c r="CF140" s="18" t="str">
        <f>IF(CP140&lt;&gt;1,"",CE140*CONTROL_PANEL!$B$5)</f>
        <v/>
      </c>
      <c r="CG140" s="18" t="str">
        <f>IF(CP140&lt;&gt;1,"",DATA_INPUT!$C140)</f>
        <v/>
      </c>
      <c r="CH140" s="18" t="str">
        <f t="shared" si="122"/>
        <v/>
      </c>
      <c r="CI140" s="18" t="str">
        <f>IF(CP140&lt;&gt;1,"",DATA_INPUT!$H140)</f>
        <v/>
      </c>
      <c r="CJ140" s="18" t="str">
        <f t="shared" si="123"/>
        <v/>
      </c>
      <c r="CK140" s="18" t="str">
        <f>IF(CP140&lt;&gt;1,"",CF140*CONTROL_PANEL!$B$14)</f>
        <v/>
      </c>
      <c r="CL140" s="18" t="str">
        <f>IF(CP140&lt;&gt;1,"",DATA_INPUT!$O140)</f>
        <v/>
      </c>
      <c r="CM140" s="18" t="str">
        <f t="shared" si="124"/>
        <v/>
      </c>
      <c r="CN140" s="18" t="str">
        <f>IF(CP140&lt;&gt;1,"",IF(CM140-CONTROL_PANEL!$B$11&lt;0,0,CM140-CONTROL_PANEL!$B$11))</f>
        <v/>
      </c>
      <c r="CO140" s="18" t="str">
        <f>IF(CP140&lt;&gt;1,"",IF(CL140&lt;=0,0,MIN(CL140,MAX(0,CONTROL_PANEL!$B$13-CM140))))</f>
        <v/>
      </c>
      <c r="CP140" s="18"/>
    </row>
    <row r="141" spans="1:94" x14ac:dyDescent="0.25">
      <c r="A141" s="19">
        <f t="shared" si="75"/>
        <v>2027</v>
      </c>
      <c r="B141" s="19">
        <f t="shared" si="90"/>
        <v>2</v>
      </c>
      <c r="C141" s="18" t="str">
        <f t="shared" si="105"/>
        <v/>
      </c>
      <c r="D141" s="18" t="str">
        <f t="shared" si="130"/>
        <v/>
      </c>
      <c r="E141" s="18" t="str">
        <f>IF(R140&lt;&gt;1,"",IF(O140&gt;0,IF(O140&gt;CONTROL_PANEL!$B$11,CONTROL_PANEL!$B$11,O140),0))</f>
        <v/>
      </c>
      <c r="F141" s="18" t="str">
        <f t="shared" si="125"/>
        <v/>
      </c>
      <c r="G141" s="18" t="str">
        <f>IF(R141&lt;&gt;1,"",DATA_INPUT!I141)</f>
        <v/>
      </c>
      <c r="H141" s="18" t="str">
        <f>IF(R141&lt;&gt;1,"",G141*CONTROL_PANEL!$B$5)</f>
        <v/>
      </c>
      <c r="I141" s="18" t="str">
        <f>IF(R141&lt;&gt;1,"",DATA_INPUT!C141)</f>
        <v/>
      </c>
      <c r="J141" s="18" t="str">
        <f t="shared" si="106"/>
        <v/>
      </c>
      <c r="K141" s="18" t="str">
        <f>IF(R141&lt;&gt;1,"",DATA_INPUT!H141)</f>
        <v/>
      </c>
      <c r="L141" s="18" t="str">
        <f t="shared" si="107"/>
        <v/>
      </c>
      <c r="M141" s="18" t="str">
        <f>IF(R141&lt;&gt;1,"",H141*CONTROL_PANEL!$B$14)</f>
        <v/>
      </c>
      <c r="N141" s="18" t="str">
        <f>IF(R141&lt;&gt;1,"",DATA_INPUT!K141)</f>
        <v/>
      </c>
      <c r="O141" s="18" t="str">
        <f t="shared" si="108"/>
        <v/>
      </c>
      <c r="P141" s="18" t="str">
        <f>IF(R141&lt;&gt;1,"",IF(O141-CONTROL_PANEL!$B$11&lt;0,0,O141-CONTROL_PANEL!$B$11))</f>
        <v/>
      </c>
      <c r="Q141" s="18" t="str">
        <f>IF(R141&lt;&gt;1,"",IF(N141&lt;=0,0,MIN(N141,MAX(0,CONTROL_PANEL!$B$13-O141))))</f>
        <v/>
      </c>
      <c r="R141" s="18"/>
      <c r="T141" s="19">
        <f t="shared" si="76"/>
        <v>2027</v>
      </c>
      <c r="U141" s="19">
        <f t="shared" si="92"/>
        <v>2</v>
      </c>
      <c r="V141" s="18" t="str">
        <f t="shared" si="109"/>
        <v/>
      </c>
      <c r="W141" s="18" t="str">
        <f t="shared" si="131"/>
        <v/>
      </c>
      <c r="X141" s="18" t="str">
        <f>IF(AK140&lt;&gt;1,"",IF(AH140&gt;0,IF(AH140&gt;CONTROL_PANEL!$B$11,CONTROL_PANEL!$B$11,AH140),0))</f>
        <v/>
      </c>
      <c r="Y141" s="18" t="str">
        <f t="shared" si="126"/>
        <v/>
      </c>
      <c r="Z141" s="18" t="str">
        <f>IF(AK141&lt;&gt;1,"",DATA_INPUT!I141)</f>
        <v/>
      </c>
      <c r="AA141" s="18" t="str">
        <f>IF(AK141&lt;&gt;1,"",Z141*CONTROL_PANEL!$B$5)</f>
        <v/>
      </c>
      <c r="AB141" s="18" t="str">
        <f>IF(AK141&lt;&gt;1,"",DATA_INPUT!$C141)</f>
        <v/>
      </c>
      <c r="AC141" s="18" t="str">
        <f t="shared" si="110"/>
        <v/>
      </c>
      <c r="AD141" s="18" t="str">
        <f>IF(AK141&lt;&gt;1,"",DATA_INPUT!$H141)</f>
        <v/>
      </c>
      <c r="AE141" s="18" t="str">
        <f t="shared" si="111"/>
        <v/>
      </c>
      <c r="AF141" s="18" t="str">
        <f>IF(AK141&lt;&gt;1,"",AA141*CONTROL_PANEL!$B$14)</f>
        <v/>
      </c>
      <c r="AG141" s="18" t="str">
        <f>IF(AK141&lt;&gt;1,"",DATA_INPUT!$L141)</f>
        <v/>
      </c>
      <c r="AH141" s="18" t="str">
        <f t="shared" si="112"/>
        <v/>
      </c>
      <c r="AI141" s="18" t="str">
        <f>IF(AK141&lt;&gt;1,"",IF(AH141-CONTROL_PANEL!$B$11&lt;0,0,AH141-CONTROL_PANEL!$B$11))</f>
        <v/>
      </c>
      <c r="AJ141" s="18" t="str">
        <f>IF(AK141&lt;&gt;1,"",IF(AG141&lt;=0,0,MIN(AG141,MAX(0,CONTROL_PANEL!$B$13-AH141))))</f>
        <v/>
      </c>
      <c r="AK141" s="18"/>
      <c r="AM141" s="19">
        <f t="shared" si="77"/>
        <v>2027</v>
      </c>
      <c r="AN141" s="19">
        <f t="shared" si="94"/>
        <v>2</v>
      </c>
      <c r="AO141" s="18" t="str">
        <f t="shared" si="113"/>
        <v/>
      </c>
      <c r="AP141" s="18" t="str">
        <f t="shared" si="132"/>
        <v/>
      </c>
      <c r="AQ141" s="18" t="str">
        <f>IF(BD140&lt;&gt;1,"",IF(BA140&gt;0,IF(BA140&gt;CONTROL_PANEL!$B$11,CONTROL_PANEL!$B$11,BA140),0))</f>
        <v/>
      </c>
      <c r="AR141" s="18" t="str">
        <f t="shared" si="127"/>
        <v/>
      </c>
      <c r="AS141" s="18" t="str">
        <f>IF(BD141&lt;&gt;1,"",DATA_INPUT!$I141)</f>
        <v/>
      </c>
      <c r="AT141" s="18" t="str">
        <f>IF(BD141&lt;&gt;1,"",AS141*CONTROL_PANEL!$B$5)</f>
        <v/>
      </c>
      <c r="AU141" s="18" t="str">
        <f>IF(BD141&lt;&gt;1,"",DATA_INPUT!$C141)</f>
        <v/>
      </c>
      <c r="AV141" s="18" t="str">
        <f t="shared" si="114"/>
        <v/>
      </c>
      <c r="AW141" s="18" t="str">
        <f>IF(BD141&lt;&gt;1,"",DATA_INPUT!$H141)</f>
        <v/>
      </c>
      <c r="AX141" s="18" t="str">
        <f t="shared" si="115"/>
        <v/>
      </c>
      <c r="AY141" s="18" t="str">
        <f>IF(BD141&lt;&gt;1,"",AT141*CONTROL_PANEL!$B$14)</f>
        <v/>
      </c>
      <c r="AZ141" s="18" t="str">
        <f>IF(BD141&lt;&gt;1,"",DATA_INPUT!$M141)</f>
        <v/>
      </c>
      <c r="BA141" s="18" t="str">
        <f t="shared" si="116"/>
        <v/>
      </c>
      <c r="BB141" s="18" t="str">
        <f>IF(BD141&lt;&gt;1,"",IF(BA141-CONTROL_PANEL!$B$11&lt;0,0,BA141-CONTROL_PANEL!$B$11))</f>
        <v/>
      </c>
      <c r="BC141" s="18" t="str">
        <f>IF(BD141&lt;&gt;1,"",IF(AZ141&lt;=0,0,MIN(AZ141,MAX(0,CONTROL_PANEL!$B$13-BA141))))</f>
        <v/>
      </c>
      <c r="BD141" s="18"/>
      <c r="BF141" s="19">
        <f t="shared" si="78"/>
        <v>2027</v>
      </c>
      <c r="BG141" s="19">
        <f t="shared" si="96"/>
        <v>2</v>
      </c>
      <c r="BH141" s="18" t="str">
        <f t="shared" si="117"/>
        <v/>
      </c>
      <c r="BI141" s="18" t="str">
        <f t="shared" si="133"/>
        <v/>
      </c>
      <c r="BJ141" s="18" t="str">
        <f>IF(BW140&lt;&gt;1,"",IF(BT140&gt;0,IF(BT140&gt;CONTROL_PANEL!$B$11,CONTROL_PANEL!$B$11,BT140),0))</f>
        <v/>
      </c>
      <c r="BK141" s="18" t="str">
        <f t="shared" si="128"/>
        <v/>
      </c>
      <c r="BL141" s="18" t="str">
        <f>IF(BW141&lt;&gt;1,"",DATA_INPUT!$I141)</f>
        <v/>
      </c>
      <c r="BM141" s="18" t="str">
        <f>IF(BW141&lt;&gt;1,"",BL141*CONTROL_PANEL!$B$5)</f>
        <v/>
      </c>
      <c r="BN141" s="18" t="str">
        <f>IF(BW141&lt;&gt;1,"",DATA_INPUT!$C141)</f>
        <v/>
      </c>
      <c r="BO141" s="18" t="str">
        <f t="shared" si="118"/>
        <v/>
      </c>
      <c r="BP141" s="18" t="str">
        <f>IF(BW141&lt;&gt;1,"",DATA_INPUT!$H141)</f>
        <v/>
      </c>
      <c r="BQ141" s="18" t="str">
        <f t="shared" si="119"/>
        <v/>
      </c>
      <c r="BR141" s="18" t="str">
        <f>IF(BW141&lt;&gt;1,"",BM141*CONTROL_PANEL!$B$14)</f>
        <v/>
      </c>
      <c r="BS141" s="18" t="str">
        <f>IF(BW141&lt;&gt;1,"",DATA_INPUT!$N141)</f>
        <v/>
      </c>
      <c r="BT141" s="18" t="str">
        <f t="shared" si="120"/>
        <v/>
      </c>
      <c r="BU141" s="18" t="str">
        <f>IF(BW141&lt;&gt;1,"",IF(BT141-CONTROL_PANEL!$B$11&lt;0,0,BT141-CONTROL_PANEL!$B$11))</f>
        <v/>
      </c>
      <c r="BV141" s="18" t="str">
        <f>IF(BW141&lt;&gt;1,"",IF(BS141&lt;=0,0,MIN(BS141,MAX(0,CONTROL_PANEL!$B$13-BT141))))</f>
        <v/>
      </c>
      <c r="BW141" s="18"/>
      <c r="BY141" s="19">
        <f t="shared" si="79"/>
        <v>2027</v>
      </c>
      <c r="BZ141" s="19">
        <f t="shared" si="98"/>
        <v>2</v>
      </c>
      <c r="CA141" s="18" t="str">
        <f t="shared" si="121"/>
        <v/>
      </c>
      <c r="CB141" s="18" t="str">
        <f t="shared" si="134"/>
        <v/>
      </c>
      <c r="CC141" s="18" t="str">
        <f>IF(CP140&lt;&gt;1,"",IF(CM140&gt;0,IF(CM140&gt;CONTROL_PANEL!$B$11,CONTROL_PANEL!$B$11,CM140),0))</f>
        <v/>
      </c>
      <c r="CD141" s="18" t="str">
        <f t="shared" si="129"/>
        <v/>
      </c>
      <c r="CE141" s="18" t="str">
        <f>IF(CP141&lt;&gt;1,"",DATA_INPUT!$I141)</f>
        <v/>
      </c>
      <c r="CF141" s="18" t="str">
        <f>IF(CP141&lt;&gt;1,"",CE141*CONTROL_PANEL!$B$5)</f>
        <v/>
      </c>
      <c r="CG141" s="18" t="str">
        <f>IF(CP141&lt;&gt;1,"",DATA_INPUT!$C141)</f>
        <v/>
      </c>
      <c r="CH141" s="18" t="str">
        <f t="shared" si="122"/>
        <v/>
      </c>
      <c r="CI141" s="18" t="str">
        <f>IF(CP141&lt;&gt;1,"",DATA_INPUT!$H141)</f>
        <v/>
      </c>
      <c r="CJ141" s="18" t="str">
        <f t="shared" si="123"/>
        <v/>
      </c>
      <c r="CK141" s="18" t="str">
        <f>IF(CP141&lt;&gt;1,"",CF141*CONTROL_PANEL!$B$14)</f>
        <v/>
      </c>
      <c r="CL141" s="18" t="str">
        <f>IF(CP141&lt;&gt;1,"",DATA_INPUT!$O141)</f>
        <v/>
      </c>
      <c r="CM141" s="18" t="str">
        <f t="shared" si="124"/>
        <v/>
      </c>
      <c r="CN141" s="18" t="str">
        <f>IF(CP141&lt;&gt;1,"",IF(CM141-CONTROL_PANEL!$B$11&lt;0,0,CM141-CONTROL_PANEL!$B$11))</f>
        <v/>
      </c>
      <c r="CO141" s="18" t="str">
        <f>IF(CP141&lt;&gt;1,"",IF(CL141&lt;=0,0,MIN(CL141,MAX(0,CONTROL_PANEL!$B$13-CM141))))</f>
        <v/>
      </c>
      <c r="CP141" s="18"/>
    </row>
    <row r="142" spans="1:94" x14ac:dyDescent="0.25">
      <c r="A142" s="19">
        <f t="shared" si="75"/>
        <v>2027</v>
      </c>
      <c r="B142" s="19">
        <f t="shared" si="90"/>
        <v>3</v>
      </c>
      <c r="C142" s="18" t="str">
        <f t="shared" si="105"/>
        <v/>
      </c>
      <c r="D142" s="18" t="str">
        <f t="shared" si="130"/>
        <v/>
      </c>
      <c r="E142" s="18" t="str">
        <f>IF(R141&lt;&gt;1,"",IF(O141&gt;0,IF(O141&gt;CONTROL_PANEL!$B$11,CONTROL_PANEL!$B$11,O141),0))</f>
        <v/>
      </c>
      <c r="F142" s="18" t="str">
        <f t="shared" si="125"/>
        <v/>
      </c>
      <c r="G142" s="18" t="str">
        <f>IF(R142&lt;&gt;1,"",DATA_INPUT!I142)</f>
        <v/>
      </c>
      <c r="H142" s="18" t="str">
        <f>IF(R142&lt;&gt;1,"",G142*CONTROL_PANEL!$B$5)</f>
        <v/>
      </c>
      <c r="I142" s="18" t="str">
        <f>IF(R142&lt;&gt;1,"",DATA_INPUT!C142)</f>
        <v/>
      </c>
      <c r="J142" s="18" t="str">
        <f t="shared" si="106"/>
        <v/>
      </c>
      <c r="K142" s="18" t="str">
        <f>IF(R142&lt;&gt;1,"",DATA_INPUT!H142)</f>
        <v/>
      </c>
      <c r="L142" s="18" t="str">
        <f t="shared" si="107"/>
        <v/>
      </c>
      <c r="M142" s="18" t="str">
        <f>IF(R142&lt;&gt;1,"",H142*CONTROL_PANEL!$B$14)</f>
        <v/>
      </c>
      <c r="N142" s="18" t="str">
        <f>IF(R142&lt;&gt;1,"",DATA_INPUT!K142)</f>
        <v/>
      </c>
      <c r="O142" s="18" t="str">
        <f t="shared" si="108"/>
        <v/>
      </c>
      <c r="P142" s="18" t="str">
        <f>IF(R142&lt;&gt;1,"",IF(O142-CONTROL_PANEL!$B$11&lt;0,0,O142-CONTROL_PANEL!$B$11))</f>
        <v/>
      </c>
      <c r="Q142" s="18" t="str">
        <f>IF(R142&lt;&gt;1,"",IF(N142&lt;=0,0,MIN(N142,MAX(0,CONTROL_PANEL!$B$13-O142))))</f>
        <v/>
      </c>
      <c r="R142" s="18"/>
      <c r="T142" s="19">
        <f t="shared" si="76"/>
        <v>2027</v>
      </c>
      <c r="U142" s="19">
        <f t="shared" si="92"/>
        <v>3</v>
      </c>
      <c r="V142" s="18" t="str">
        <f t="shared" si="109"/>
        <v/>
      </c>
      <c r="W142" s="18" t="str">
        <f t="shared" si="131"/>
        <v/>
      </c>
      <c r="X142" s="18" t="str">
        <f>IF(AK141&lt;&gt;1,"",IF(AH141&gt;0,IF(AH141&gt;CONTROL_PANEL!$B$11,CONTROL_PANEL!$B$11,AH141),0))</f>
        <v/>
      </c>
      <c r="Y142" s="18" t="str">
        <f t="shared" si="126"/>
        <v/>
      </c>
      <c r="Z142" s="18" t="str">
        <f>IF(AK142&lt;&gt;1,"",DATA_INPUT!I142)</f>
        <v/>
      </c>
      <c r="AA142" s="18" t="str">
        <f>IF(AK142&lt;&gt;1,"",Z142*CONTROL_PANEL!$B$5)</f>
        <v/>
      </c>
      <c r="AB142" s="18" t="str">
        <f>IF(AK142&lt;&gt;1,"",DATA_INPUT!$C142)</f>
        <v/>
      </c>
      <c r="AC142" s="18" t="str">
        <f t="shared" si="110"/>
        <v/>
      </c>
      <c r="AD142" s="18" t="str">
        <f>IF(AK142&lt;&gt;1,"",DATA_INPUT!$H142)</f>
        <v/>
      </c>
      <c r="AE142" s="18" t="str">
        <f t="shared" si="111"/>
        <v/>
      </c>
      <c r="AF142" s="18" t="str">
        <f>IF(AK142&lt;&gt;1,"",AA142*CONTROL_PANEL!$B$14)</f>
        <v/>
      </c>
      <c r="AG142" s="18" t="str">
        <f>IF(AK142&lt;&gt;1,"",DATA_INPUT!$L142)</f>
        <v/>
      </c>
      <c r="AH142" s="18" t="str">
        <f t="shared" si="112"/>
        <v/>
      </c>
      <c r="AI142" s="18" t="str">
        <f>IF(AK142&lt;&gt;1,"",IF(AH142-CONTROL_PANEL!$B$11&lt;0,0,AH142-CONTROL_PANEL!$B$11))</f>
        <v/>
      </c>
      <c r="AJ142" s="18" t="str">
        <f>IF(AK142&lt;&gt;1,"",IF(AG142&lt;=0,0,MIN(AG142,MAX(0,CONTROL_PANEL!$B$13-AH142))))</f>
        <v/>
      </c>
      <c r="AK142" s="18"/>
      <c r="AM142" s="19">
        <f t="shared" si="77"/>
        <v>2027</v>
      </c>
      <c r="AN142" s="19">
        <f t="shared" si="94"/>
        <v>3</v>
      </c>
      <c r="AO142" s="18" t="str">
        <f t="shared" si="113"/>
        <v/>
      </c>
      <c r="AP142" s="18" t="str">
        <f t="shared" si="132"/>
        <v/>
      </c>
      <c r="AQ142" s="18" t="str">
        <f>IF(BD141&lt;&gt;1,"",IF(BA141&gt;0,IF(BA141&gt;CONTROL_PANEL!$B$11,CONTROL_PANEL!$B$11,BA141),0))</f>
        <v/>
      </c>
      <c r="AR142" s="18" t="str">
        <f t="shared" si="127"/>
        <v/>
      </c>
      <c r="AS142" s="18" t="str">
        <f>IF(BD142&lt;&gt;1,"",DATA_INPUT!$I142)</f>
        <v/>
      </c>
      <c r="AT142" s="18" t="str">
        <f>IF(BD142&lt;&gt;1,"",AS142*CONTROL_PANEL!$B$5)</f>
        <v/>
      </c>
      <c r="AU142" s="18" t="str">
        <f>IF(BD142&lt;&gt;1,"",DATA_INPUT!$C142)</f>
        <v/>
      </c>
      <c r="AV142" s="18" t="str">
        <f t="shared" si="114"/>
        <v/>
      </c>
      <c r="AW142" s="18" t="str">
        <f>IF(BD142&lt;&gt;1,"",DATA_INPUT!$H142)</f>
        <v/>
      </c>
      <c r="AX142" s="18" t="str">
        <f t="shared" si="115"/>
        <v/>
      </c>
      <c r="AY142" s="18" t="str">
        <f>IF(BD142&lt;&gt;1,"",AT142*CONTROL_PANEL!$B$14)</f>
        <v/>
      </c>
      <c r="AZ142" s="18" t="str">
        <f>IF(BD142&lt;&gt;1,"",DATA_INPUT!$M142)</f>
        <v/>
      </c>
      <c r="BA142" s="18" t="str">
        <f t="shared" si="116"/>
        <v/>
      </c>
      <c r="BB142" s="18" t="str">
        <f>IF(BD142&lt;&gt;1,"",IF(BA142-CONTROL_PANEL!$B$11&lt;0,0,BA142-CONTROL_PANEL!$B$11))</f>
        <v/>
      </c>
      <c r="BC142" s="18" t="str">
        <f>IF(BD142&lt;&gt;1,"",IF(AZ142&lt;=0,0,MIN(AZ142,MAX(0,CONTROL_PANEL!$B$13-BA142))))</f>
        <v/>
      </c>
      <c r="BD142" s="18"/>
      <c r="BF142" s="19">
        <f t="shared" si="78"/>
        <v>2027</v>
      </c>
      <c r="BG142" s="19">
        <f t="shared" si="96"/>
        <v>3</v>
      </c>
      <c r="BH142" s="18" t="str">
        <f t="shared" si="117"/>
        <v/>
      </c>
      <c r="BI142" s="18" t="str">
        <f t="shared" si="133"/>
        <v/>
      </c>
      <c r="BJ142" s="18" t="str">
        <f>IF(BW141&lt;&gt;1,"",IF(BT141&gt;0,IF(BT141&gt;CONTROL_PANEL!$B$11,CONTROL_PANEL!$B$11,BT141),0))</f>
        <v/>
      </c>
      <c r="BK142" s="18" t="str">
        <f t="shared" si="128"/>
        <v/>
      </c>
      <c r="BL142" s="18" t="str">
        <f>IF(BW142&lt;&gt;1,"",DATA_INPUT!$I142)</f>
        <v/>
      </c>
      <c r="BM142" s="18" t="str">
        <f>IF(BW142&lt;&gt;1,"",BL142*CONTROL_PANEL!$B$5)</f>
        <v/>
      </c>
      <c r="BN142" s="18" t="str">
        <f>IF(BW142&lt;&gt;1,"",DATA_INPUT!$C142)</f>
        <v/>
      </c>
      <c r="BO142" s="18" t="str">
        <f t="shared" si="118"/>
        <v/>
      </c>
      <c r="BP142" s="18" t="str">
        <f>IF(BW142&lt;&gt;1,"",DATA_INPUT!$H142)</f>
        <v/>
      </c>
      <c r="BQ142" s="18" t="str">
        <f t="shared" si="119"/>
        <v/>
      </c>
      <c r="BR142" s="18" t="str">
        <f>IF(BW142&lt;&gt;1,"",BM142*CONTROL_PANEL!$B$14)</f>
        <v/>
      </c>
      <c r="BS142" s="18" t="str">
        <f>IF(BW142&lt;&gt;1,"",DATA_INPUT!$N142)</f>
        <v/>
      </c>
      <c r="BT142" s="18" t="str">
        <f t="shared" si="120"/>
        <v/>
      </c>
      <c r="BU142" s="18" t="str">
        <f>IF(BW142&lt;&gt;1,"",IF(BT142-CONTROL_PANEL!$B$11&lt;0,0,BT142-CONTROL_PANEL!$B$11))</f>
        <v/>
      </c>
      <c r="BV142" s="18" t="str">
        <f>IF(BW142&lt;&gt;1,"",IF(BS142&lt;=0,0,MIN(BS142,MAX(0,CONTROL_PANEL!$B$13-BT142))))</f>
        <v/>
      </c>
      <c r="BW142" s="18"/>
      <c r="BY142" s="19">
        <f t="shared" si="79"/>
        <v>2027</v>
      </c>
      <c r="BZ142" s="19">
        <f t="shared" si="98"/>
        <v>3</v>
      </c>
      <c r="CA142" s="18" t="str">
        <f t="shared" si="121"/>
        <v/>
      </c>
      <c r="CB142" s="18" t="str">
        <f t="shared" si="134"/>
        <v/>
      </c>
      <c r="CC142" s="18" t="str">
        <f>IF(CP141&lt;&gt;1,"",IF(CM141&gt;0,IF(CM141&gt;CONTROL_PANEL!$B$11,CONTROL_PANEL!$B$11,CM141),0))</f>
        <v/>
      </c>
      <c r="CD142" s="18" t="str">
        <f t="shared" si="129"/>
        <v/>
      </c>
      <c r="CE142" s="18" t="str">
        <f>IF(CP142&lt;&gt;1,"",DATA_INPUT!$I142)</f>
        <v/>
      </c>
      <c r="CF142" s="18" t="str">
        <f>IF(CP142&lt;&gt;1,"",CE142*CONTROL_PANEL!$B$5)</f>
        <v/>
      </c>
      <c r="CG142" s="18" t="str">
        <f>IF(CP142&lt;&gt;1,"",DATA_INPUT!$C142)</f>
        <v/>
      </c>
      <c r="CH142" s="18" t="str">
        <f t="shared" si="122"/>
        <v/>
      </c>
      <c r="CI142" s="18" t="str">
        <f>IF(CP142&lt;&gt;1,"",DATA_INPUT!$H142)</f>
        <v/>
      </c>
      <c r="CJ142" s="18" t="str">
        <f t="shared" si="123"/>
        <v/>
      </c>
      <c r="CK142" s="18" t="str">
        <f>IF(CP142&lt;&gt;1,"",CF142*CONTROL_PANEL!$B$14)</f>
        <v/>
      </c>
      <c r="CL142" s="18" t="str">
        <f>IF(CP142&lt;&gt;1,"",DATA_INPUT!$O142)</f>
        <v/>
      </c>
      <c r="CM142" s="18" t="str">
        <f t="shared" si="124"/>
        <v/>
      </c>
      <c r="CN142" s="18" t="str">
        <f>IF(CP142&lt;&gt;1,"",IF(CM142-CONTROL_PANEL!$B$11&lt;0,0,CM142-CONTROL_PANEL!$B$11))</f>
        <v/>
      </c>
      <c r="CO142" s="18" t="str">
        <f>IF(CP142&lt;&gt;1,"",IF(CL142&lt;=0,0,MIN(CL142,MAX(0,CONTROL_PANEL!$B$13-CM142))))</f>
        <v/>
      </c>
      <c r="CP142" s="18"/>
    </row>
    <row r="143" spans="1:94" x14ac:dyDescent="0.25">
      <c r="A143" s="19">
        <f t="shared" si="75"/>
        <v>2027</v>
      </c>
      <c r="B143" s="19">
        <f t="shared" si="90"/>
        <v>4</v>
      </c>
      <c r="C143" s="18" t="str">
        <f t="shared" si="105"/>
        <v/>
      </c>
      <c r="D143" s="18" t="str">
        <f t="shared" si="130"/>
        <v/>
      </c>
      <c r="E143" s="18" t="str">
        <f>IF(R142&lt;&gt;1,"",IF(O142&gt;0,IF(O142&gt;CONTROL_PANEL!$B$11,CONTROL_PANEL!$B$11,O142),0))</f>
        <v/>
      </c>
      <c r="F143" s="18" t="str">
        <f t="shared" si="125"/>
        <v/>
      </c>
      <c r="G143" s="18" t="str">
        <f>IF(R143&lt;&gt;1,"",DATA_INPUT!I143)</f>
        <v/>
      </c>
      <c r="H143" s="18" t="str">
        <f>IF(R143&lt;&gt;1,"",G143*CONTROL_PANEL!$B$5)</f>
        <v/>
      </c>
      <c r="I143" s="18" t="str">
        <f>IF(R143&lt;&gt;1,"",DATA_INPUT!C143)</f>
        <v/>
      </c>
      <c r="J143" s="18" t="str">
        <f t="shared" si="106"/>
        <v/>
      </c>
      <c r="K143" s="18" t="str">
        <f>IF(R143&lt;&gt;1,"",DATA_INPUT!H143)</f>
        <v/>
      </c>
      <c r="L143" s="18" t="str">
        <f t="shared" si="107"/>
        <v/>
      </c>
      <c r="M143" s="18" t="str">
        <f>IF(R143&lt;&gt;1,"",H143*CONTROL_PANEL!$B$14)</f>
        <v/>
      </c>
      <c r="N143" s="18" t="str">
        <f>IF(R143&lt;&gt;1,"",DATA_INPUT!K143)</f>
        <v/>
      </c>
      <c r="O143" s="18" t="str">
        <f t="shared" si="108"/>
        <v/>
      </c>
      <c r="P143" s="18" t="str">
        <f>IF(R143&lt;&gt;1,"",IF(O143-CONTROL_PANEL!$B$11&lt;0,0,O143-CONTROL_PANEL!$B$11))</f>
        <v/>
      </c>
      <c r="Q143" s="18" t="str">
        <f>IF(R143&lt;&gt;1,"",IF(N143&lt;=0,0,MIN(N143,MAX(0,CONTROL_PANEL!$B$13-O143))))</f>
        <v/>
      </c>
      <c r="R143" s="18"/>
      <c r="T143" s="19">
        <f t="shared" si="76"/>
        <v>2027</v>
      </c>
      <c r="U143" s="19">
        <f t="shared" si="92"/>
        <v>4</v>
      </c>
      <c r="V143" s="18" t="str">
        <f t="shared" si="109"/>
        <v/>
      </c>
      <c r="W143" s="18" t="str">
        <f t="shared" si="131"/>
        <v/>
      </c>
      <c r="X143" s="18" t="str">
        <f>IF(AK142&lt;&gt;1,"",IF(AH142&gt;0,IF(AH142&gt;CONTROL_PANEL!$B$11,CONTROL_PANEL!$B$11,AH142),0))</f>
        <v/>
      </c>
      <c r="Y143" s="18" t="str">
        <f t="shared" si="126"/>
        <v/>
      </c>
      <c r="Z143" s="18" t="str">
        <f>IF(AK143&lt;&gt;1,"",DATA_INPUT!I143)</f>
        <v/>
      </c>
      <c r="AA143" s="18" t="str">
        <f>IF(AK143&lt;&gt;1,"",Z143*CONTROL_PANEL!$B$5)</f>
        <v/>
      </c>
      <c r="AB143" s="18" t="str">
        <f>IF(AK143&lt;&gt;1,"",DATA_INPUT!$C143)</f>
        <v/>
      </c>
      <c r="AC143" s="18" t="str">
        <f t="shared" si="110"/>
        <v/>
      </c>
      <c r="AD143" s="18" t="str">
        <f>IF(AK143&lt;&gt;1,"",DATA_INPUT!$H143)</f>
        <v/>
      </c>
      <c r="AE143" s="18" t="str">
        <f t="shared" si="111"/>
        <v/>
      </c>
      <c r="AF143" s="18" t="str">
        <f>IF(AK143&lt;&gt;1,"",AA143*CONTROL_PANEL!$B$14)</f>
        <v/>
      </c>
      <c r="AG143" s="18" t="str">
        <f>IF(AK143&lt;&gt;1,"",DATA_INPUT!$L143)</f>
        <v/>
      </c>
      <c r="AH143" s="18" t="str">
        <f t="shared" si="112"/>
        <v/>
      </c>
      <c r="AI143" s="18" t="str">
        <f>IF(AK143&lt;&gt;1,"",IF(AH143-CONTROL_PANEL!$B$11&lt;0,0,AH143-CONTROL_PANEL!$B$11))</f>
        <v/>
      </c>
      <c r="AJ143" s="18" t="str">
        <f>IF(AK143&lt;&gt;1,"",IF(AG143&lt;=0,0,MIN(AG143,MAX(0,CONTROL_PANEL!$B$13-AH143))))</f>
        <v/>
      </c>
      <c r="AK143" s="18"/>
      <c r="AM143" s="19">
        <f t="shared" si="77"/>
        <v>2027</v>
      </c>
      <c r="AN143" s="19">
        <f t="shared" si="94"/>
        <v>4</v>
      </c>
      <c r="AO143" s="18" t="str">
        <f t="shared" si="113"/>
        <v/>
      </c>
      <c r="AP143" s="18" t="str">
        <f t="shared" si="132"/>
        <v/>
      </c>
      <c r="AQ143" s="18" t="str">
        <f>IF(BD142&lt;&gt;1,"",IF(BA142&gt;0,IF(BA142&gt;CONTROL_PANEL!$B$11,CONTROL_PANEL!$B$11,BA142),0))</f>
        <v/>
      </c>
      <c r="AR143" s="18" t="str">
        <f t="shared" si="127"/>
        <v/>
      </c>
      <c r="AS143" s="18" t="str">
        <f>IF(BD143&lt;&gt;1,"",DATA_INPUT!$I143)</f>
        <v/>
      </c>
      <c r="AT143" s="18" t="str">
        <f>IF(BD143&lt;&gt;1,"",AS143*CONTROL_PANEL!$B$5)</f>
        <v/>
      </c>
      <c r="AU143" s="18" t="str">
        <f>IF(BD143&lt;&gt;1,"",DATA_INPUT!$C143)</f>
        <v/>
      </c>
      <c r="AV143" s="18" t="str">
        <f t="shared" si="114"/>
        <v/>
      </c>
      <c r="AW143" s="18" t="str">
        <f>IF(BD143&lt;&gt;1,"",DATA_INPUT!$H143)</f>
        <v/>
      </c>
      <c r="AX143" s="18" t="str">
        <f t="shared" si="115"/>
        <v/>
      </c>
      <c r="AY143" s="18" t="str">
        <f>IF(BD143&lt;&gt;1,"",AT143*CONTROL_PANEL!$B$14)</f>
        <v/>
      </c>
      <c r="AZ143" s="18" t="str">
        <f>IF(BD143&lt;&gt;1,"",DATA_INPUT!$M143)</f>
        <v/>
      </c>
      <c r="BA143" s="18" t="str">
        <f t="shared" si="116"/>
        <v/>
      </c>
      <c r="BB143" s="18" t="str">
        <f>IF(BD143&lt;&gt;1,"",IF(BA143-CONTROL_PANEL!$B$11&lt;0,0,BA143-CONTROL_PANEL!$B$11))</f>
        <v/>
      </c>
      <c r="BC143" s="18" t="str">
        <f>IF(BD143&lt;&gt;1,"",IF(AZ143&lt;=0,0,MIN(AZ143,MAX(0,CONTROL_PANEL!$B$13-BA143))))</f>
        <v/>
      </c>
      <c r="BD143" s="18"/>
      <c r="BF143" s="19">
        <f t="shared" si="78"/>
        <v>2027</v>
      </c>
      <c r="BG143" s="19">
        <f t="shared" si="96"/>
        <v>4</v>
      </c>
      <c r="BH143" s="18" t="str">
        <f t="shared" si="117"/>
        <v/>
      </c>
      <c r="BI143" s="18" t="str">
        <f t="shared" si="133"/>
        <v/>
      </c>
      <c r="BJ143" s="18" t="str">
        <f>IF(BW142&lt;&gt;1,"",IF(BT142&gt;0,IF(BT142&gt;CONTROL_PANEL!$B$11,CONTROL_PANEL!$B$11,BT142),0))</f>
        <v/>
      </c>
      <c r="BK143" s="18" t="str">
        <f t="shared" si="128"/>
        <v/>
      </c>
      <c r="BL143" s="18" t="str">
        <f>IF(BW143&lt;&gt;1,"",DATA_INPUT!$I143)</f>
        <v/>
      </c>
      <c r="BM143" s="18" t="str">
        <f>IF(BW143&lt;&gt;1,"",BL143*CONTROL_PANEL!$B$5)</f>
        <v/>
      </c>
      <c r="BN143" s="18" t="str">
        <f>IF(BW143&lt;&gt;1,"",DATA_INPUT!$C143)</f>
        <v/>
      </c>
      <c r="BO143" s="18" t="str">
        <f t="shared" si="118"/>
        <v/>
      </c>
      <c r="BP143" s="18" t="str">
        <f>IF(BW143&lt;&gt;1,"",DATA_INPUT!$H143)</f>
        <v/>
      </c>
      <c r="BQ143" s="18" t="str">
        <f t="shared" si="119"/>
        <v/>
      </c>
      <c r="BR143" s="18" t="str">
        <f>IF(BW143&lt;&gt;1,"",BM143*CONTROL_PANEL!$B$14)</f>
        <v/>
      </c>
      <c r="BS143" s="18" t="str">
        <f>IF(BW143&lt;&gt;1,"",DATA_INPUT!$N143)</f>
        <v/>
      </c>
      <c r="BT143" s="18" t="str">
        <f t="shared" si="120"/>
        <v/>
      </c>
      <c r="BU143" s="18" t="str">
        <f>IF(BW143&lt;&gt;1,"",IF(BT143-CONTROL_PANEL!$B$11&lt;0,0,BT143-CONTROL_PANEL!$B$11))</f>
        <v/>
      </c>
      <c r="BV143" s="18" t="str">
        <f>IF(BW143&lt;&gt;1,"",IF(BS143&lt;=0,0,MIN(BS143,MAX(0,CONTROL_PANEL!$B$13-BT143))))</f>
        <v/>
      </c>
      <c r="BW143" s="18"/>
      <c r="BY143" s="19">
        <f t="shared" si="79"/>
        <v>2027</v>
      </c>
      <c r="BZ143" s="19">
        <f t="shared" si="98"/>
        <v>4</v>
      </c>
      <c r="CA143" s="18" t="str">
        <f t="shared" si="121"/>
        <v/>
      </c>
      <c r="CB143" s="18" t="str">
        <f t="shared" si="134"/>
        <v/>
      </c>
      <c r="CC143" s="18" t="str">
        <f>IF(CP142&lt;&gt;1,"",IF(CM142&gt;0,IF(CM142&gt;CONTROL_PANEL!$B$11,CONTROL_PANEL!$B$11,CM142),0))</f>
        <v/>
      </c>
      <c r="CD143" s="18" t="str">
        <f t="shared" si="129"/>
        <v/>
      </c>
      <c r="CE143" s="18" t="str">
        <f>IF(CP143&lt;&gt;1,"",DATA_INPUT!$I143)</f>
        <v/>
      </c>
      <c r="CF143" s="18" t="str">
        <f>IF(CP143&lt;&gt;1,"",CE143*CONTROL_PANEL!$B$5)</f>
        <v/>
      </c>
      <c r="CG143" s="18" t="str">
        <f>IF(CP143&lt;&gt;1,"",DATA_INPUT!$C143)</f>
        <v/>
      </c>
      <c r="CH143" s="18" t="str">
        <f t="shared" si="122"/>
        <v/>
      </c>
      <c r="CI143" s="18" t="str">
        <f>IF(CP143&lt;&gt;1,"",DATA_INPUT!$H143)</f>
        <v/>
      </c>
      <c r="CJ143" s="18" t="str">
        <f t="shared" si="123"/>
        <v/>
      </c>
      <c r="CK143" s="18" t="str">
        <f>IF(CP143&lt;&gt;1,"",CF143*CONTROL_PANEL!$B$14)</f>
        <v/>
      </c>
      <c r="CL143" s="18" t="str">
        <f>IF(CP143&lt;&gt;1,"",DATA_INPUT!$O143)</f>
        <v/>
      </c>
      <c r="CM143" s="18" t="str">
        <f t="shared" si="124"/>
        <v/>
      </c>
      <c r="CN143" s="18" t="str">
        <f>IF(CP143&lt;&gt;1,"",IF(CM143-CONTROL_PANEL!$B$11&lt;0,0,CM143-CONTROL_PANEL!$B$11))</f>
        <v/>
      </c>
      <c r="CO143" s="18" t="str">
        <f>IF(CP143&lt;&gt;1,"",IF(CL143&lt;=0,0,MIN(CL143,MAX(0,CONTROL_PANEL!$B$13-CM143))))</f>
        <v/>
      </c>
      <c r="CP143" s="18"/>
    </row>
    <row r="144" spans="1:94" x14ac:dyDescent="0.25">
      <c r="A144" s="19">
        <f t="shared" si="75"/>
        <v>2027</v>
      </c>
      <c r="B144" s="19">
        <f t="shared" si="90"/>
        <v>5</v>
      </c>
      <c r="C144" s="18" t="str">
        <f t="shared" si="105"/>
        <v/>
      </c>
      <c r="D144" s="18" t="str">
        <f t="shared" si="130"/>
        <v/>
      </c>
      <c r="E144" s="18" t="str">
        <f>IF(R143&lt;&gt;1,"",IF(O143&gt;0,IF(O143&gt;CONTROL_PANEL!$B$11,CONTROL_PANEL!$B$11,O143),0))</f>
        <v/>
      </c>
      <c r="F144" s="18" t="str">
        <f t="shared" si="125"/>
        <v/>
      </c>
      <c r="G144" s="18" t="str">
        <f>IF(R144&lt;&gt;1,"",DATA_INPUT!I144)</f>
        <v/>
      </c>
      <c r="H144" s="18" t="str">
        <f>IF(R144&lt;&gt;1,"",G144*CONTROL_PANEL!$B$5)</f>
        <v/>
      </c>
      <c r="I144" s="18" t="str">
        <f>IF(R144&lt;&gt;1,"",DATA_INPUT!C144)</f>
        <v/>
      </c>
      <c r="J144" s="18" t="str">
        <f t="shared" si="106"/>
        <v/>
      </c>
      <c r="K144" s="18" t="str">
        <f>IF(R144&lt;&gt;1,"",DATA_INPUT!H144)</f>
        <v/>
      </c>
      <c r="L144" s="18" t="str">
        <f t="shared" si="107"/>
        <v/>
      </c>
      <c r="M144" s="18" t="str">
        <f>IF(R144&lt;&gt;1,"",H144*CONTROL_PANEL!$B$14)</f>
        <v/>
      </c>
      <c r="N144" s="18" t="str">
        <f>IF(R144&lt;&gt;1,"",DATA_INPUT!K144)</f>
        <v/>
      </c>
      <c r="O144" s="18" t="str">
        <f t="shared" si="108"/>
        <v/>
      </c>
      <c r="P144" s="18" t="str">
        <f>IF(R144&lt;&gt;1,"",IF(O144-CONTROL_PANEL!$B$11&lt;0,0,O144-CONTROL_PANEL!$B$11))</f>
        <v/>
      </c>
      <c r="Q144" s="18" t="str">
        <f>IF(R144&lt;&gt;1,"",IF(N144&lt;=0,0,MIN(N144,MAX(0,CONTROL_PANEL!$B$13-O144))))</f>
        <v/>
      </c>
      <c r="R144" s="18"/>
      <c r="T144" s="19">
        <f t="shared" si="76"/>
        <v>2027</v>
      </c>
      <c r="U144" s="19">
        <f t="shared" si="92"/>
        <v>5</v>
      </c>
      <c r="V144" s="18" t="str">
        <f t="shared" si="109"/>
        <v/>
      </c>
      <c r="W144" s="18" t="str">
        <f t="shared" si="131"/>
        <v/>
      </c>
      <c r="X144" s="18" t="str">
        <f>IF(AK143&lt;&gt;1,"",IF(AH143&gt;0,IF(AH143&gt;CONTROL_PANEL!$B$11,CONTROL_PANEL!$B$11,AH143),0))</f>
        <v/>
      </c>
      <c r="Y144" s="18" t="str">
        <f t="shared" si="126"/>
        <v/>
      </c>
      <c r="Z144" s="18" t="str">
        <f>IF(AK144&lt;&gt;1,"",DATA_INPUT!I144)</f>
        <v/>
      </c>
      <c r="AA144" s="18" t="str">
        <f>IF(AK144&lt;&gt;1,"",Z144*CONTROL_PANEL!$B$5)</f>
        <v/>
      </c>
      <c r="AB144" s="18" t="str">
        <f>IF(AK144&lt;&gt;1,"",DATA_INPUT!$C144)</f>
        <v/>
      </c>
      <c r="AC144" s="18" t="str">
        <f t="shared" si="110"/>
        <v/>
      </c>
      <c r="AD144" s="18" t="str">
        <f>IF(AK144&lt;&gt;1,"",DATA_INPUT!$H144)</f>
        <v/>
      </c>
      <c r="AE144" s="18" t="str">
        <f t="shared" si="111"/>
        <v/>
      </c>
      <c r="AF144" s="18" t="str">
        <f>IF(AK144&lt;&gt;1,"",AA144*CONTROL_PANEL!$B$14)</f>
        <v/>
      </c>
      <c r="AG144" s="18" t="str">
        <f>IF(AK144&lt;&gt;1,"",DATA_INPUT!$L144)</f>
        <v/>
      </c>
      <c r="AH144" s="18" t="str">
        <f t="shared" si="112"/>
        <v/>
      </c>
      <c r="AI144" s="18" t="str">
        <f>IF(AK144&lt;&gt;1,"",IF(AH144-CONTROL_PANEL!$B$11&lt;0,0,AH144-CONTROL_PANEL!$B$11))</f>
        <v/>
      </c>
      <c r="AJ144" s="18" t="str">
        <f>IF(AK144&lt;&gt;1,"",IF(AG144&lt;=0,0,MIN(AG144,MAX(0,CONTROL_PANEL!$B$13-AH144))))</f>
        <v/>
      </c>
      <c r="AK144" s="18"/>
      <c r="AM144" s="19">
        <f t="shared" si="77"/>
        <v>2027</v>
      </c>
      <c r="AN144" s="19">
        <f t="shared" si="94"/>
        <v>5</v>
      </c>
      <c r="AO144" s="18" t="str">
        <f t="shared" si="113"/>
        <v/>
      </c>
      <c r="AP144" s="18" t="str">
        <f t="shared" si="132"/>
        <v/>
      </c>
      <c r="AQ144" s="18" t="str">
        <f>IF(BD143&lt;&gt;1,"",IF(BA143&gt;0,IF(BA143&gt;CONTROL_PANEL!$B$11,CONTROL_PANEL!$B$11,BA143),0))</f>
        <v/>
      </c>
      <c r="AR144" s="18" t="str">
        <f t="shared" si="127"/>
        <v/>
      </c>
      <c r="AS144" s="18" t="str">
        <f>IF(BD144&lt;&gt;1,"",DATA_INPUT!$I144)</f>
        <v/>
      </c>
      <c r="AT144" s="18" t="str">
        <f>IF(BD144&lt;&gt;1,"",AS144*CONTROL_PANEL!$B$5)</f>
        <v/>
      </c>
      <c r="AU144" s="18" t="str">
        <f>IF(BD144&lt;&gt;1,"",DATA_INPUT!$C144)</f>
        <v/>
      </c>
      <c r="AV144" s="18" t="str">
        <f t="shared" si="114"/>
        <v/>
      </c>
      <c r="AW144" s="18" t="str">
        <f>IF(BD144&lt;&gt;1,"",DATA_INPUT!$H144)</f>
        <v/>
      </c>
      <c r="AX144" s="18" t="str">
        <f t="shared" si="115"/>
        <v/>
      </c>
      <c r="AY144" s="18" t="str">
        <f>IF(BD144&lt;&gt;1,"",AT144*CONTROL_PANEL!$B$14)</f>
        <v/>
      </c>
      <c r="AZ144" s="18" t="str">
        <f>IF(BD144&lt;&gt;1,"",DATA_INPUT!$M144)</f>
        <v/>
      </c>
      <c r="BA144" s="18" t="str">
        <f t="shared" si="116"/>
        <v/>
      </c>
      <c r="BB144" s="18" t="str">
        <f>IF(BD144&lt;&gt;1,"",IF(BA144-CONTROL_PANEL!$B$11&lt;0,0,BA144-CONTROL_PANEL!$B$11))</f>
        <v/>
      </c>
      <c r="BC144" s="18" t="str">
        <f>IF(BD144&lt;&gt;1,"",IF(AZ144&lt;=0,0,MIN(AZ144,MAX(0,CONTROL_PANEL!$B$13-BA144))))</f>
        <v/>
      </c>
      <c r="BD144" s="18"/>
      <c r="BF144" s="19">
        <f t="shared" si="78"/>
        <v>2027</v>
      </c>
      <c r="BG144" s="19">
        <f t="shared" si="96"/>
        <v>5</v>
      </c>
      <c r="BH144" s="18" t="str">
        <f t="shared" si="117"/>
        <v/>
      </c>
      <c r="BI144" s="18" t="str">
        <f t="shared" si="133"/>
        <v/>
      </c>
      <c r="BJ144" s="18" t="str">
        <f>IF(BW143&lt;&gt;1,"",IF(BT143&gt;0,IF(BT143&gt;CONTROL_PANEL!$B$11,CONTROL_PANEL!$B$11,BT143),0))</f>
        <v/>
      </c>
      <c r="BK144" s="18" t="str">
        <f t="shared" si="128"/>
        <v/>
      </c>
      <c r="BL144" s="18" t="str">
        <f>IF(BW144&lt;&gt;1,"",DATA_INPUT!$I144)</f>
        <v/>
      </c>
      <c r="BM144" s="18" t="str">
        <f>IF(BW144&lt;&gt;1,"",BL144*CONTROL_PANEL!$B$5)</f>
        <v/>
      </c>
      <c r="BN144" s="18" t="str">
        <f>IF(BW144&lt;&gt;1,"",DATA_INPUT!$C144)</f>
        <v/>
      </c>
      <c r="BO144" s="18" t="str">
        <f t="shared" si="118"/>
        <v/>
      </c>
      <c r="BP144" s="18" t="str">
        <f>IF(BW144&lt;&gt;1,"",DATA_INPUT!$H144)</f>
        <v/>
      </c>
      <c r="BQ144" s="18" t="str">
        <f t="shared" si="119"/>
        <v/>
      </c>
      <c r="BR144" s="18" t="str">
        <f>IF(BW144&lt;&gt;1,"",BM144*CONTROL_PANEL!$B$14)</f>
        <v/>
      </c>
      <c r="BS144" s="18" t="str">
        <f>IF(BW144&lt;&gt;1,"",DATA_INPUT!$N144)</f>
        <v/>
      </c>
      <c r="BT144" s="18" t="str">
        <f t="shared" si="120"/>
        <v/>
      </c>
      <c r="BU144" s="18" t="str">
        <f>IF(BW144&lt;&gt;1,"",IF(BT144-CONTROL_PANEL!$B$11&lt;0,0,BT144-CONTROL_PANEL!$B$11))</f>
        <v/>
      </c>
      <c r="BV144" s="18" t="str">
        <f>IF(BW144&lt;&gt;1,"",IF(BS144&lt;=0,0,MIN(BS144,MAX(0,CONTROL_PANEL!$B$13-BT144))))</f>
        <v/>
      </c>
      <c r="BW144" s="18"/>
      <c r="BY144" s="19">
        <f t="shared" si="79"/>
        <v>2027</v>
      </c>
      <c r="BZ144" s="19">
        <f t="shared" si="98"/>
        <v>5</v>
      </c>
      <c r="CA144" s="18" t="str">
        <f t="shared" si="121"/>
        <v/>
      </c>
      <c r="CB144" s="18" t="str">
        <f t="shared" si="134"/>
        <v/>
      </c>
      <c r="CC144" s="18" t="str">
        <f>IF(CP143&lt;&gt;1,"",IF(CM143&gt;0,IF(CM143&gt;CONTROL_PANEL!$B$11,CONTROL_PANEL!$B$11,CM143),0))</f>
        <v/>
      </c>
      <c r="CD144" s="18" t="str">
        <f t="shared" si="129"/>
        <v/>
      </c>
      <c r="CE144" s="18" t="str">
        <f>IF(CP144&lt;&gt;1,"",DATA_INPUT!$I144)</f>
        <v/>
      </c>
      <c r="CF144" s="18" t="str">
        <f>IF(CP144&lt;&gt;1,"",CE144*CONTROL_PANEL!$B$5)</f>
        <v/>
      </c>
      <c r="CG144" s="18" t="str">
        <f>IF(CP144&lt;&gt;1,"",DATA_INPUT!$C144)</f>
        <v/>
      </c>
      <c r="CH144" s="18" t="str">
        <f t="shared" si="122"/>
        <v/>
      </c>
      <c r="CI144" s="18" t="str">
        <f>IF(CP144&lt;&gt;1,"",DATA_INPUT!$H144)</f>
        <v/>
      </c>
      <c r="CJ144" s="18" t="str">
        <f t="shared" si="123"/>
        <v/>
      </c>
      <c r="CK144" s="18" t="str">
        <f>IF(CP144&lt;&gt;1,"",CF144*CONTROL_PANEL!$B$14)</f>
        <v/>
      </c>
      <c r="CL144" s="18" t="str">
        <f>IF(CP144&lt;&gt;1,"",DATA_INPUT!$O144)</f>
        <v/>
      </c>
      <c r="CM144" s="18" t="str">
        <f t="shared" si="124"/>
        <v/>
      </c>
      <c r="CN144" s="18" t="str">
        <f>IF(CP144&lt;&gt;1,"",IF(CM144-CONTROL_PANEL!$B$11&lt;0,0,CM144-CONTROL_PANEL!$B$11))</f>
        <v/>
      </c>
      <c r="CO144" s="18" t="str">
        <f>IF(CP144&lt;&gt;1,"",IF(CL144&lt;=0,0,MIN(CL144,MAX(0,CONTROL_PANEL!$B$13-CM144))))</f>
        <v/>
      </c>
      <c r="CP144" s="18"/>
    </row>
    <row r="145" spans="1:94" x14ac:dyDescent="0.25">
      <c r="A145" s="19">
        <f t="shared" si="75"/>
        <v>2027</v>
      </c>
      <c r="B145" s="19">
        <f t="shared" si="90"/>
        <v>6</v>
      </c>
      <c r="C145" s="18" t="str">
        <f t="shared" si="105"/>
        <v/>
      </c>
      <c r="D145" s="18" t="str">
        <f t="shared" si="130"/>
        <v/>
      </c>
      <c r="E145" s="18" t="str">
        <f>IF(R144&lt;&gt;1,"",IF(O144&gt;0,IF(O144&gt;CONTROL_PANEL!$B$11,CONTROL_PANEL!$B$11,O144),0))</f>
        <v/>
      </c>
      <c r="F145" s="18" t="str">
        <f t="shared" si="125"/>
        <v/>
      </c>
      <c r="G145" s="18" t="str">
        <f>IF(R145&lt;&gt;1,"",DATA_INPUT!I145)</f>
        <v/>
      </c>
      <c r="H145" s="18" t="str">
        <f>IF(R145&lt;&gt;1,"",G145*CONTROL_PANEL!$B$5)</f>
        <v/>
      </c>
      <c r="I145" s="18" t="str">
        <f>IF(R145&lt;&gt;1,"",DATA_INPUT!C145)</f>
        <v/>
      </c>
      <c r="J145" s="18" t="str">
        <f t="shared" si="106"/>
        <v/>
      </c>
      <c r="K145" s="18" t="str">
        <f>IF(R145&lt;&gt;1,"",DATA_INPUT!H145)</f>
        <v/>
      </c>
      <c r="L145" s="18" t="str">
        <f t="shared" si="107"/>
        <v/>
      </c>
      <c r="M145" s="18" t="str">
        <f>IF(R145&lt;&gt;1,"",H145*CONTROL_PANEL!$B$14)</f>
        <v/>
      </c>
      <c r="N145" s="18" t="str">
        <f>IF(R145&lt;&gt;1,"",DATA_INPUT!K145)</f>
        <v/>
      </c>
      <c r="O145" s="18" t="str">
        <f t="shared" si="108"/>
        <v/>
      </c>
      <c r="P145" s="18" t="str">
        <f>IF(R145&lt;&gt;1,"",IF(O145-CONTROL_PANEL!$B$11&lt;0,0,O145-CONTROL_PANEL!$B$11))</f>
        <v/>
      </c>
      <c r="Q145" s="18" t="str">
        <f>IF(R145&lt;&gt;1,"",IF(N145&lt;=0,0,MIN(N145,MAX(0,CONTROL_PANEL!$B$13-O145))))</f>
        <v/>
      </c>
      <c r="R145" s="18"/>
      <c r="T145" s="19">
        <f t="shared" si="76"/>
        <v>2027</v>
      </c>
      <c r="U145" s="19">
        <f t="shared" si="92"/>
        <v>6</v>
      </c>
      <c r="V145" s="18" t="str">
        <f t="shared" si="109"/>
        <v/>
      </c>
      <c r="W145" s="18" t="str">
        <f t="shared" si="131"/>
        <v/>
      </c>
      <c r="X145" s="18" t="str">
        <f>IF(AK144&lt;&gt;1,"",IF(AH144&gt;0,IF(AH144&gt;CONTROL_PANEL!$B$11,CONTROL_PANEL!$B$11,AH144),0))</f>
        <v/>
      </c>
      <c r="Y145" s="18" t="str">
        <f t="shared" si="126"/>
        <v/>
      </c>
      <c r="Z145" s="18" t="str">
        <f>IF(AK145&lt;&gt;1,"",DATA_INPUT!I145)</f>
        <v/>
      </c>
      <c r="AA145" s="18" t="str">
        <f>IF(AK145&lt;&gt;1,"",Z145*CONTROL_PANEL!$B$5)</f>
        <v/>
      </c>
      <c r="AB145" s="18" t="str">
        <f>IF(AK145&lt;&gt;1,"",DATA_INPUT!$C145)</f>
        <v/>
      </c>
      <c r="AC145" s="18" t="str">
        <f t="shared" si="110"/>
        <v/>
      </c>
      <c r="AD145" s="18" t="str">
        <f>IF(AK145&lt;&gt;1,"",DATA_INPUT!$H145)</f>
        <v/>
      </c>
      <c r="AE145" s="18" t="str">
        <f t="shared" si="111"/>
        <v/>
      </c>
      <c r="AF145" s="18" t="str">
        <f>IF(AK145&lt;&gt;1,"",AA145*CONTROL_PANEL!$B$14)</f>
        <v/>
      </c>
      <c r="AG145" s="18" t="str">
        <f>IF(AK145&lt;&gt;1,"",DATA_INPUT!$L145)</f>
        <v/>
      </c>
      <c r="AH145" s="18" t="str">
        <f t="shared" si="112"/>
        <v/>
      </c>
      <c r="AI145" s="18" t="str">
        <f>IF(AK145&lt;&gt;1,"",IF(AH145-CONTROL_PANEL!$B$11&lt;0,0,AH145-CONTROL_PANEL!$B$11))</f>
        <v/>
      </c>
      <c r="AJ145" s="18" t="str">
        <f>IF(AK145&lt;&gt;1,"",IF(AG145&lt;=0,0,MIN(AG145,MAX(0,CONTROL_PANEL!$B$13-AH145))))</f>
        <v/>
      </c>
      <c r="AK145" s="18"/>
      <c r="AM145" s="19">
        <f t="shared" si="77"/>
        <v>2027</v>
      </c>
      <c r="AN145" s="19">
        <f t="shared" si="94"/>
        <v>6</v>
      </c>
      <c r="AO145" s="18" t="str">
        <f t="shared" si="113"/>
        <v/>
      </c>
      <c r="AP145" s="18" t="str">
        <f t="shared" si="132"/>
        <v/>
      </c>
      <c r="AQ145" s="18" t="str">
        <f>IF(BD144&lt;&gt;1,"",IF(BA144&gt;0,IF(BA144&gt;CONTROL_PANEL!$B$11,CONTROL_PANEL!$B$11,BA144),0))</f>
        <v/>
      </c>
      <c r="AR145" s="18" t="str">
        <f t="shared" si="127"/>
        <v/>
      </c>
      <c r="AS145" s="18" t="str">
        <f>IF(BD145&lt;&gt;1,"",DATA_INPUT!$I145)</f>
        <v/>
      </c>
      <c r="AT145" s="18" t="str">
        <f>IF(BD145&lt;&gt;1,"",AS145*CONTROL_PANEL!$B$5)</f>
        <v/>
      </c>
      <c r="AU145" s="18" t="str">
        <f>IF(BD145&lt;&gt;1,"",DATA_INPUT!$C145)</f>
        <v/>
      </c>
      <c r="AV145" s="18" t="str">
        <f t="shared" si="114"/>
        <v/>
      </c>
      <c r="AW145" s="18" t="str">
        <f>IF(BD145&lt;&gt;1,"",DATA_INPUT!$H145)</f>
        <v/>
      </c>
      <c r="AX145" s="18" t="str">
        <f t="shared" si="115"/>
        <v/>
      </c>
      <c r="AY145" s="18" t="str">
        <f>IF(BD145&lt;&gt;1,"",AT145*CONTROL_PANEL!$B$14)</f>
        <v/>
      </c>
      <c r="AZ145" s="18" t="str">
        <f>IF(BD145&lt;&gt;1,"",DATA_INPUT!$M145)</f>
        <v/>
      </c>
      <c r="BA145" s="18" t="str">
        <f t="shared" si="116"/>
        <v/>
      </c>
      <c r="BB145" s="18" t="str">
        <f>IF(BD145&lt;&gt;1,"",IF(BA145-CONTROL_PANEL!$B$11&lt;0,0,BA145-CONTROL_PANEL!$B$11))</f>
        <v/>
      </c>
      <c r="BC145" s="18" t="str">
        <f>IF(BD145&lt;&gt;1,"",IF(AZ145&lt;=0,0,MIN(AZ145,MAX(0,CONTROL_PANEL!$B$13-BA145))))</f>
        <v/>
      </c>
      <c r="BD145" s="18"/>
      <c r="BF145" s="19">
        <f t="shared" si="78"/>
        <v>2027</v>
      </c>
      <c r="BG145" s="19">
        <f t="shared" si="96"/>
        <v>6</v>
      </c>
      <c r="BH145" s="18" t="str">
        <f t="shared" si="117"/>
        <v/>
      </c>
      <c r="BI145" s="18" t="str">
        <f t="shared" si="133"/>
        <v/>
      </c>
      <c r="BJ145" s="18" t="str">
        <f>IF(BW144&lt;&gt;1,"",IF(BT144&gt;0,IF(BT144&gt;CONTROL_PANEL!$B$11,CONTROL_PANEL!$B$11,BT144),0))</f>
        <v/>
      </c>
      <c r="BK145" s="18" t="str">
        <f t="shared" si="128"/>
        <v/>
      </c>
      <c r="BL145" s="18" t="str">
        <f>IF(BW145&lt;&gt;1,"",DATA_INPUT!$I145)</f>
        <v/>
      </c>
      <c r="BM145" s="18" t="str">
        <f>IF(BW145&lt;&gt;1,"",BL145*CONTROL_PANEL!$B$5)</f>
        <v/>
      </c>
      <c r="BN145" s="18" t="str">
        <f>IF(BW145&lt;&gt;1,"",DATA_INPUT!$C145)</f>
        <v/>
      </c>
      <c r="BO145" s="18" t="str">
        <f t="shared" si="118"/>
        <v/>
      </c>
      <c r="BP145" s="18" t="str">
        <f>IF(BW145&lt;&gt;1,"",DATA_INPUT!$H145)</f>
        <v/>
      </c>
      <c r="BQ145" s="18" t="str">
        <f t="shared" si="119"/>
        <v/>
      </c>
      <c r="BR145" s="18" t="str">
        <f>IF(BW145&lt;&gt;1,"",BM145*CONTROL_PANEL!$B$14)</f>
        <v/>
      </c>
      <c r="BS145" s="18" t="str">
        <f>IF(BW145&lt;&gt;1,"",DATA_INPUT!$N145)</f>
        <v/>
      </c>
      <c r="BT145" s="18" t="str">
        <f t="shared" si="120"/>
        <v/>
      </c>
      <c r="BU145" s="18" t="str">
        <f>IF(BW145&lt;&gt;1,"",IF(BT145-CONTROL_PANEL!$B$11&lt;0,0,BT145-CONTROL_PANEL!$B$11))</f>
        <v/>
      </c>
      <c r="BV145" s="18" t="str">
        <f>IF(BW145&lt;&gt;1,"",IF(BS145&lt;=0,0,MIN(BS145,MAX(0,CONTROL_PANEL!$B$13-BT145))))</f>
        <v/>
      </c>
      <c r="BW145" s="18"/>
      <c r="BY145" s="19">
        <f t="shared" si="79"/>
        <v>2027</v>
      </c>
      <c r="BZ145" s="19">
        <f t="shared" si="98"/>
        <v>6</v>
      </c>
      <c r="CA145" s="18" t="str">
        <f t="shared" si="121"/>
        <v/>
      </c>
      <c r="CB145" s="18" t="str">
        <f t="shared" si="134"/>
        <v/>
      </c>
      <c r="CC145" s="18" t="str">
        <f>IF(CP144&lt;&gt;1,"",IF(CM144&gt;0,IF(CM144&gt;CONTROL_PANEL!$B$11,CONTROL_PANEL!$B$11,CM144),0))</f>
        <v/>
      </c>
      <c r="CD145" s="18" t="str">
        <f t="shared" si="129"/>
        <v/>
      </c>
      <c r="CE145" s="18" t="str">
        <f>IF(CP145&lt;&gt;1,"",DATA_INPUT!$I145)</f>
        <v/>
      </c>
      <c r="CF145" s="18" t="str">
        <f>IF(CP145&lt;&gt;1,"",CE145*CONTROL_PANEL!$B$5)</f>
        <v/>
      </c>
      <c r="CG145" s="18" t="str">
        <f>IF(CP145&lt;&gt;1,"",DATA_INPUT!$C145)</f>
        <v/>
      </c>
      <c r="CH145" s="18" t="str">
        <f t="shared" si="122"/>
        <v/>
      </c>
      <c r="CI145" s="18" t="str">
        <f>IF(CP145&lt;&gt;1,"",DATA_INPUT!$H145)</f>
        <v/>
      </c>
      <c r="CJ145" s="18" t="str">
        <f t="shared" si="123"/>
        <v/>
      </c>
      <c r="CK145" s="18" t="str">
        <f>IF(CP145&lt;&gt;1,"",CF145*CONTROL_PANEL!$B$14)</f>
        <v/>
      </c>
      <c r="CL145" s="18" t="str">
        <f>IF(CP145&lt;&gt;1,"",DATA_INPUT!$O145)</f>
        <v/>
      </c>
      <c r="CM145" s="18" t="str">
        <f t="shared" si="124"/>
        <v/>
      </c>
      <c r="CN145" s="18" t="str">
        <f>IF(CP145&lt;&gt;1,"",IF(CM145-CONTROL_PANEL!$B$11&lt;0,0,CM145-CONTROL_PANEL!$B$11))</f>
        <v/>
      </c>
      <c r="CO145" s="18" t="str">
        <f>IF(CP145&lt;&gt;1,"",IF(CL145&lt;=0,0,MIN(CL145,MAX(0,CONTROL_PANEL!$B$13-CM145))))</f>
        <v/>
      </c>
      <c r="CP145" s="18"/>
    </row>
    <row r="146" spans="1:94" x14ac:dyDescent="0.25">
      <c r="A146" s="19">
        <f t="shared" ref="A146:A209" si="135">A134+1</f>
        <v>2027</v>
      </c>
      <c r="B146" s="19">
        <f t="shared" si="90"/>
        <v>7</v>
      </c>
      <c r="C146" s="18" t="str">
        <f t="shared" si="105"/>
        <v/>
      </c>
      <c r="D146" s="18" t="str">
        <f t="shared" si="130"/>
        <v/>
      </c>
      <c r="E146" s="18" t="str">
        <f>IF(R145&lt;&gt;1,"",IF(O145&gt;0,IF(O145&gt;CONTROL_PANEL!$B$11,CONTROL_PANEL!$B$11,O145),0))</f>
        <v/>
      </c>
      <c r="F146" s="18" t="str">
        <f t="shared" si="125"/>
        <v/>
      </c>
      <c r="G146" s="18" t="str">
        <f>IF(R146&lt;&gt;1,"",DATA_INPUT!I146)</f>
        <v/>
      </c>
      <c r="H146" s="18" t="str">
        <f>IF(R146&lt;&gt;1,"",G146*CONTROL_PANEL!$B$5)</f>
        <v/>
      </c>
      <c r="I146" s="18" t="str">
        <f>IF(R146&lt;&gt;1,"",DATA_INPUT!C146)</f>
        <v/>
      </c>
      <c r="J146" s="18" t="str">
        <f t="shared" si="106"/>
        <v/>
      </c>
      <c r="K146" s="18" t="str">
        <f>IF(R146&lt;&gt;1,"",DATA_INPUT!H146)</f>
        <v/>
      </c>
      <c r="L146" s="18" t="str">
        <f t="shared" si="107"/>
        <v/>
      </c>
      <c r="M146" s="18" t="str">
        <f>IF(R146&lt;&gt;1,"",H146*CONTROL_PANEL!$B$14)</f>
        <v/>
      </c>
      <c r="N146" s="18" t="str">
        <f>IF(R146&lt;&gt;1,"",DATA_INPUT!K146)</f>
        <v/>
      </c>
      <c r="O146" s="18" t="str">
        <f t="shared" si="108"/>
        <v/>
      </c>
      <c r="P146" s="18" t="str">
        <f>IF(R146&lt;&gt;1,"",IF(O146-CONTROL_PANEL!$B$11&lt;0,0,O146-CONTROL_PANEL!$B$11))</f>
        <v/>
      </c>
      <c r="Q146" s="18" t="str">
        <f>IF(R146&lt;&gt;1,"",IF(N146&lt;=0,0,MIN(N146,MAX(0,CONTROL_PANEL!$B$13-O146))))</f>
        <v/>
      </c>
      <c r="R146" s="18"/>
      <c r="T146" s="19">
        <f t="shared" ref="T146:T209" si="136">T134+1</f>
        <v>2027</v>
      </c>
      <c r="U146" s="19">
        <f t="shared" si="92"/>
        <v>7</v>
      </c>
      <c r="V146" s="18" t="str">
        <f t="shared" si="109"/>
        <v/>
      </c>
      <c r="W146" s="18" t="str">
        <f t="shared" si="131"/>
        <v/>
      </c>
      <c r="X146" s="18" t="str">
        <f>IF(AK145&lt;&gt;1,"",IF(AH145&gt;0,IF(AH145&gt;CONTROL_PANEL!$B$11,CONTROL_PANEL!$B$11,AH145),0))</f>
        <v/>
      </c>
      <c r="Y146" s="18" t="str">
        <f t="shared" si="126"/>
        <v/>
      </c>
      <c r="Z146" s="18" t="str">
        <f>IF(AK146&lt;&gt;1,"",DATA_INPUT!I146)</f>
        <v/>
      </c>
      <c r="AA146" s="18" t="str">
        <f>IF(AK146&lt;&gt;1,"",Z146*CONTROL_PANEL!$B$5)</f>
        <v/>
      </c>
      <c r="AB146" s="18" t="str">
        <f>IF(AK146&lt;&gt;1,"",DATA_INPUT!$C146)</f>
        <v/>
      </c>
      <c r="AC146" s="18" t="str">
        <f t="shared" si="110"/>
        <v/>
      </c>
      <c r="AD146" s="18" t="str">
        <f>IF(AK146&lt;&gt;1,"",DATA_INPUT!$H146)</f>
        <v/>
      </c>
      <c r="AE146" s="18" t="str">
        <f t="shared" si="111"/>
        <v/>
      </c>
      <c r="AF146" s="18" t="str">
        <f>IF(AK146&lt;&gt;1,"",AA146*CONTROL_PANEL!$B$14)</f>
        <v/>
      </c>
      <c r="AG146" s="18" t="str">
        <f>IF(AK146&lt;&gt;1,"",DATA_INPUT!$L146)</f>
        <v/>
      </c>
      <c r="AH146" s="18" t="str">
        <f t="shared" si="112"/>
        <v/>
      </c>
      <c r="AI146" s="18" t="str">
        <f>IF(AK146&lt;&gt;1,"",IF(AH146-CONTROL_PANEL!$B$11&lt;0,0,AH146-CONTROL_PANEL!$B$11))</f>
        <v/>
      </c>
      <c r="AJ146" s="18" t="str">
        <f>IF(AK146&lt;&gt;1,"",IF(AG146&lt;=0,0,MIN(AG146,MAX(0,CONTROL_PANEL!$B$13-AH146))))</f>
        <v/>
      </c>
      <c r="AK146" s="18"/>
      <c r="AM146" s="19">
        <f t="shared" ref="AM146:AM209" si="137">AM134+1</f>
        <v>2027</v>
      </c>
      <c r="AN146" s="19">
        <f t="shared" si="94"/>
        <v>7</v>
      </c>
      <c r="AO146" s="18" t="str">
        <f t="shared" si="113"/>
        <v/>
      </c>
      <c r="AP146" s="18" t="str">
        <f t="shared" si="132"/>
        <v/>
      </c>
      <c r="AQ146" s="18" t="str">
        <f>IF(BD145&lt;&gt;1,"",IF(BA145&gt;0,IF(BA145&gt;CONTROL_PANEL!$B$11,CONTROL_PANEL!$B$11,BA145),0))</f>
        <v/>
      </c>
      <c r="AR146" s="18" t="str">
        <f t="shared" si="127"/>
        <v/>
      </c>
      <c r="AS146" s="18" t="str">
        <f>IF(BD146&lt;&gt;1,"",DATA_INPUT!$I146)</f>
        <v/>
      </c>
      <c r="AT146" s="18" t="str">
        <f>IF(BD146&lt;&gt;1,"",AS146*CONTROL_PANEL!$B$5)</f>
        <v/>
      </c>
      <c r="AU146" s="18" t="str">
        <f>IF(BD146&lt;&gt;1,"",DATA_INPUT!$C146)</f>
        <v/>
      </c>
      <c r="AV146" s="18" t="str">
        <f t="shared" si="114"/>
        <v/>
      </c>
      <c r="AW146" s="18" t="str">
        <f>IF(BD146&lt;&gt;1,"",DATA_INPUT!$H146)</f>
        <v/>
      </c>
      <c r="AX146" s="18" t="str">
        <f t="shared" si="115"/>
        <v/>
      </c>
      <c r="AY146" s="18" t="str">
        <f>IF(BD146&lt;&gt;1,"",AT146*CONTROL_PANEL!$B$14)</f>
        <v/>
      </c>
      <c r="AZ146" s="18" t="str">
        <f>IF(BD146&lt;&gt;1,"",DATA_INPUT!$M146)</f>
        <v/>
      </c>
      <c r="BA146" s="18" t="str">
        <f t="shared" si="116"/>
        <v/>
      </c>
      <c r="BB146" s="18" t="str">
        <f>IF(BD146&lt;&gt;1,"",IF(BA146-CONTROL_PANEL!$B$11&lt;0,0,BA146-CONTROL_PANEL!$B$11))</f>
        <v/>
      </c>
      <c r="BC146" s="18" t="str">
        <f>IF(BD146&lt;&gt;1,"",IF(AZ146&lt;=0,0,MIN(AZ146,MAX(0,CONTROL_PANEL!$B$13-BA146))))</f>
        <v/>
      </c>
      <c r="BD146" s="18"/>
      <c r="BF146" s="19">
        <f t="shared" ref="BF146:BF209" si="138">BF134+1</f>
        <v>2027</v>
      </c>
      <c r="BG146" s="19">
        <f t="shared" si="96"/>
        <v>7</v>
      </c>
      <c r="BH146" s="18" t="str">
        <f t="shared" si="117"/>
        <v/>
      </c>
      <c r="BI146" s="18" t="str">
        <f t="shared" si="133"/>
        <v/>
      </c>
      <c r="BJ146" s="18" t="str">
        <f>IF(BW145&lt;&gt;1,"",IF(BT145&gt;0,IF(BT145&gt;CONTROL_PANEL!$B$11,CONTROL_PANEL!$B$11,BT145),0))</f>
        <v/>
      </c>
      <c r="BK146" s="18" t="str">
        <f t="shared" si="128"/>
        <v/>
      </c>
      <c r="BL146" s="18" t="str">
        <f>IF(BW146&lt;&gt;1,"",DATA_INPUT!$I146)</f>
        <v/>
      </c>
      <c r="BM146" s="18" t="str">
        <f>IF(BW146&lt;&gt;1,"",BL146*CONTROL_PANEL!$B$5)</f>
        <v/>
      </c>
      <c r="BN146" s="18" t="str">
        <f>IF(BW146&lt;&gt;1,"",DATA_INPUT!$C146)</f>
        <v/>
      </c>
      <c r="BO146" s="18" t="str">
        <f t="shared" si="118"/>
        <v/>
      </c>
      <c r="BP146" s="18" t="str">
        <f>IF(BW146&lt;&gt;1,"",DATA_INPUT!$H146)</f>
        <v/>
      </c>
      <c r="BQ146" s="18" t="str">
        <f t="shared" si="119"/>
        <v/>
      </c>
      <c r="BR146" s="18" t="str">
        <f>IF(BW146&lt;&gt;1,"",BM146*CONTROL_PANEL!$B$14)</f>
        <v/>
      </c>
      <c r="BS146" s="18" t="str">
        <f>IF(BW146&lt;&gt;1,"",DATA_INPUT!$N146)</f>
        <v/>
      </c>
      <c r="BT146" s="18" t="str">
        <f t="shared" si="120"/>
        <v/>
      </c>
      <c r="BU146" s="18" t="str">
        <f>IF(BW146&lt;&gt;1,"",IF(BT146-CONTROL_PANEL!$B$11&lt;0,0,BT146-CONTROL_PANEL!$B$11))</f>
        <v/>
      </c>
      <c r="BV146" s="18" t="str">
        <f>IF(BW146&lt;&gt;1,"",IF(BS146&lt;=0,0,MIN(BS146,MAX(0,CONTROL_PANEL!$B$13-BT146))))</f>
        <v/>
      </c>
      <c r="BW146" s="18"/>
      <c r="BY146" s="19">
        <f t="shared" ref="BY146:BY209" si="139">BY134+1</f>
        <v>2027</v>
      </c>
      <c r="BZ146" s="19">
        <f t="shared" si="98"/>
        <v>7</v>
      </c>
      <c r="CA146" s="18" t="str">
        <f t="shared" si="121"/>
        <v/>
      </c>
      <c r="CB146" s="18" t="str">
        <f t="shared" si="134"/>
        <v/>
      </c>
      <c r="CC146" s="18" t="str">
        <f>IF(CP145&lt;&gt;1,"",IF(CM145&gt;0,IF(CM145&gt;CONTROL_PANEL!$B$11,CONTROL_PANEL!$B$11,CM145),0))</f>
        <v/>
      </c>
      <c r="CD146" s="18" t="str">
        <f t="shared" si="129"/>
        <v/>
      </c>
      <c r="CE146" s="18" t="str">
        <f>IF(CP146&lt;&gt;1,"",DATA_INPUT!$I146)</f>
        <v/>
      </c>
      <c r="CF146" s="18" t="str">
        <f>IF(CP146&lt;&gt;1,"",CE146*CONTROL_PANEL!$B$5)</f>
        <v/>
      </c>
      <c r="CG146" s="18" t="str">
        <f>IF(CP146&lt;&gt;1,"",DATA_INPUT!$C146)</f>
        <v/>
      </c>
      <c r="CH146" s="18" t="str">
        <f t="shared" si="122"/>
        <v/>
      </c>
      <c r="CI146" s="18" t="str">
        <f>IF(CP146&lt;&gt;1,"",DATA_INPUT!$H146)</f>
        <v/>
      </c>
      <c r="CJ146" s="18" t="str">
        <f t="shared" si="123"/>
        <v/>
      </c>
      <c r="CK146" s="18" t="str">
        <f>IF(CP146&lt;&gt;1,"",CF146*CONTROL_PANEL!$B$14)</f>
        <v/>
      </c>
      <c r="CL146" s="18" t="str">
        <f>IF(CP146&lt;&gt;1,"",DATA_INPUT!$O146)</f>
        <v/>
      </c>
      <c r="CM146" s="18" t="str">
        <f t="shared" si="124"/>
        <v/>
      </c>
      <c r="CN146" s="18" t="str">
        <f>IF(CP146&lt;&gt;1,"",IF(CM146-CONTROL_PANEL!$B$11&lt;0,0,CM146-CONTROL_PANEL!$B$11))</f>
        <v/>
      </c>
      <c r="CO146" s="18" t="str">
        <f>IF(CP146&lt;&gt;1,"",IF(CL146&lt;=0,0,MIN(CL146,MAX(0,CONTROL_PANEL!$B$13-CM146))))</f>
        <v/>
      </c>
      <c r="CP146" s="18"/>
    </row>
    <row r="147" spans="1:94" x14ac:dyDescent="0.25">
      <c r="A147" s="19">
        <f t="shared" si="135"/>
        <v>2027</v>
      </c>
      <c r="B147" s="19">
        <f t="shared" si="90"/>
        <v>8</v>
      </c>
      <c r="C147" s="18" t="str">
        <f t="shared" si="105"/>
        <v/>
      </c>
      <c r="D147" s="18" t="str">
        <f t="shared" si="130"/>
        <v/>
      </c>
      <c r="E147" s="18" t="str">
        <f>IF(R146&lt;&gt;1,"",IF(O146&gt;0,IF(O146&gt;CONTROL_PANEL!$B$11,CONTROL_PANEL!$B$11,O146),0))</f>
        <v/>
      </c>
      <c r="F147" s="18" t="str">
        <f t="shared" si="125"/>
        <v/>
      </c>
      <c r="G147" s="18" t="str">
        <f>IF(R147&lt;&gt;1,"",DATA_INPUT!I147)</f>
        <v/>
      </c>
      <c r="H147" s="18" t="str">
        <f>IF(R147&lt;&gt;1,"",G147*CONTROL_PANEL!$B$5)</f>
        <v/>
      </c>
      <c r="I147" s="18" t="str">
        <f>IF(R147&lt;&gt;1,"",DATA_INPUT!C147)</f>
        <v/>
      </c>
      <c r="J147" s="18" t="str">
        <f t="shared" si="106"/>
        <v/>
      </c>
      <c r="K147" s="18" t="str">
        <f>IF(R147&lt;&gt;1,"",DATA_INPUT!H147)</f>
        <v/>
      </c>
      <c r="L147" s="18" t="str">
        <f t="shared" si="107"/>
        <v/>
      </c>
      <c r="M147" s="18" t="str">
        <f>IF(R147&lt;&gt;1,"",H147*CONTROL_PANEL!$B$14)</f>
        <v/>
      </c>
      <c r="N147" s="18" t="str">
        <f>IF(R147&lt;&gt;1,"",DATA_INPUT!K147)</f>
        <v/>
      </c>
      <c r="O147" s="18" t="str">
        <f t="shared" si="108"/>
        <v/>
      </c>
      <c r="P147" s="18" t="str">
        <f>IF(R147&lt;&gt;1,"",IF(O147-CONTROL_PANEL!$B$11&lt;0,0,O147-CONTROL_PANEL!$B$11))</f>
        <v/>
      </c>
      <c r="Q147" s="18" t="str">
        <f>IF(R147&lt;&gt;1,"",IF(N147&lt;=0,0,MIN(N147,MAX(0,CONTROL_PANEL!$B$13-O147))))</f>
        <v/>
      </c>
      <c r="R147" s="18"/>
      <c r="T147" s="19">
        <f t="shared" si="136"/>
        <v>2027</v>
      </c>
      <c r="U147" s="19">
        <f t="shared" si="92"/>
        <v>8</v>
      </c>
      <c r="V147" s="18" t="str">
        <f t="shared" si="109"/>
        <v/>
      </c>
      <c r="W147" s="18" t="str">
        <f t="shared" si="131"/>
        <v/>
      </c>
      <c r="X147" s="18" t="str">
        <f>IF(AK146&lt;&gt;1,"",IF(AH146&gt;0,IF(AH146&gt;CONTROL_PANEL!$B$11,CONTROL_PANEL!$B$11,AH146),0))</f>
        <v/>
      </c>
      <c r="Y147" s="18" t="str">
        <f t="shared" si="126"/>
        <v/>
      </c>
      <c r="Z147" s="18" t="str">
        <f>IF(AK147&lt;&gt;1,"",DATA_INPUT!I147)</f>
        <v/>
      </c>
      <c r="AA147" s="18" t="str">
        <f>IF(AK147&lt;&gt;1,"",Z147*CONTROL_PANEL!$B$5)</f>
        <v/>
      </c>
      <c r="AB147" s="18" t="str">
        <f>IF(AK147&lt;&gt;1,"",DATA_INPUT!$C147)</f>
        <v/>
      </c>
      <c r="AC147" s="18" t="str">
        <f t="shared" si="110"/>
        <v/>
      </c>
      <c r="AD147" s="18" t="str">
        <f>IF(AK147&lt;&gt;1,"",DATA_INPUT!$H147)</f>
        <v/>
      </c>
      <c r="AE147" s="18" t="str">
        <f t="shared" si="111"/>
        <v/>
      </c>
      <c r="AF147" s="18" t="str">
        <f>IF(AK147&lt;&gt;1,"",AA147*CONTROL_PANEL!$B$14)</f>
        <v/>
      </c>
      <c r="AG147" s="18" t="str">
        <f>IF(AK147&lt;&gt;1,"",DATA_INPUT!$L147)</f>
        <v/>
      </c>
      <c r="AH147" s="18" t="str">
        <f t="shared" si="112"/>
        <v/>
      </c>
      <c r="AI147" s="18" t="str">
        <f>IF(AK147&lt;&gt;1,"",IF(AH147-CONTROL_PANEL!$B$11&lt;0,0,AH147-CONTROL_PANEL!$B$11))</f>
        <v/>
      </c>
      <c r="AJ147" s="18" t="str">
        <f>IF(AK147&lt;&gt;1,"",IF(AG147&lt;=0,0,MIN(AG147,MAX(0,CONTROL_PANEL!$B$13-AH147))))</f>
        <v/>
      </c>
      <c r="AK147" s="18"/>
      <c r="AM147" s="19">
        <f t="shared" si="137"/>
        <v>2027</v>
      </c>
      <c r="AN147" s="19">
        <f t="shared" si="94"/>
        <v>8</v>
      </c>
      <c r="AO147" s="18" t="str">
        <f t="shared" si="113"/>
        <v/>
      </c>
      <c r="AP147" s="18" t="str">
        <f t="shared" si="132"/>
        <v/>
      </c>
      <c r="AQ147" s="18" t="str">
        <f>IF(BD146&lt;&gt;1,"",IF(BA146&gt;0,IF(BA146&gt;CONTROL_PANEL!$B$11,CONTROL_PANEL!$B$11,BA146),0))</f>
        <v/>
      </c>
      <c r="AR147" s="18" t="str">
        <f t="shared" si="127"/>
        <v/>
      </c>
      <c r="AS147" s="18" t="str">
        <f>IF(BD147&lt;&gt;1,"",DATA_INPUT!$I147)</f>
        <v/>
      </c>
      <c r="AT147" s="18" t="str">
        <f>IF(BD147&lt;&gt;1,"",AS147*CONTROL_PANEL!$B$5)</f>
        <v/>
      </c>
      <c r="AU147" s="18" t="str">
        <f>IF(BD147&lt;&gt;1,"",DATA_INPUT!$C147)</f>
        <v/>
      </c>
      <c r="AV147" s="18" t="str">
        <f t="shared" si="114"/>
        <v/>
      </c>
      <c r="AW147" s="18" t="str">
        <f>IF(BD147&lt;&gt;1,"",DATA_INPUT!$H147)</f>
        <v/>
      </c>
      <c r="AX147" s="18" t="str">
        <f t="shared" si="115"/>
        <v/>
      </c>
      <c r="AY147" s="18" t="str">
        <f>IF(BD147&lt;&gt;1,"",AT147*CONTROL_PANEL!$B$14)</f>
        <v/>
      </c>
      <c r="AZ147" s="18" t="str">
        <f>IF(BD147&lt;&gt;1,"",DATA_INPUT!$M147)</f>
        <v/>
      </c>
      <c r="BA147" s="18" t="str">
        <f t="shared" si="116"/>
        <v/>
      </c>
      <c r="BB147" s="18" t="str">
        <f>IF(BD147&lt;&gt;1,"",IF(BA147-CONTROL_PANEL!$B$11&lt;0,0,BA147-CONTROL_PANEL!$B$11))</f>
        <v/>
      </c>
      <c r="BC147" s="18" t="str">
        <f>IF(BD147&lt;&gt;1,"",IF(AZ147&lt;=0,0,MIN(AZ147,MAX(0,CONTROL_PANEL!$B$13-BA147))))</f>
        <v/>
      </c>
      <c r="BD147" s="18"/>
      <c r="BF147" s="19">
        <f t="shared" si="138"/>
        <v>2027</v>
      </c>
      <c r="BG147" s="19">
        <f t="shared" si="96"/>
        <v>8</v>
      </c>
      <c r="BH147" s="18" t="str">
        <f t="shared" si="117"/>
        <v/>
      </c>
      <c r="BI147" s="18" t="str">
        <f t="shared" si="133"/>
        <v/>
      </c>
      <c r="BJ147" s="18" t="str">
        <f>IF(BW146&lt;&gt;1,"",IF(BT146&gt;0,IF(BT146&gt;CONTROL_PANEL!$B$11,CONTROL_PANEL!$B$11,BT146),0))</f>
        <v/>
      </c>
      <c r="BK147" s="18" t="str">
        <f t="shared" si="128"/>
        <v/>
      </c>
      <c r="BL147" s="18" t="str">
        <f>IF(BW147&lt;&gt;1,"",DATA_INPUT!$I147)</f>
        <v/>
      </c>
      <c r="BM147" s="18" t="str">
        <f>IF(BW147&lt;&gt;1,"",BL147*CONTROL_PANEL!$B$5)</f>
        <v/>
      </c>
      <c r="BN147" s="18" t="str">
        <f>IF(BW147&lt;&gt;1,"",DATA_INPUT!$C147)</f>
        <v/>
      </c>
      <c r="BO147" s="18" t="str">
        <f t="shared" si="118"/>
        <v/>
      </c>
      <c r="BP147" s="18" t="str">
        <f>IF(BW147&lt;&gt;1,"",DATA_INPUT!$H147)</f>
        <v/>
      </c>
      <c r="BQ147" s="18" t="str">
        <f t="shared" si="119"/>
        <v/>
      </c>
      <c r="BR147" s="18" t="str">
        <f>IF(BW147&lt;&gt;1,"",BM147*CONTROL_PANEL!$B$14)</f>
        <v/>
      </c>
      <c r="BS147" s="18" t="str">
        <f>IF(BW147&lt;&gt;1,"",DATA_INPUT!$N147)</f>
        <v/>
      </c>
      <c r="BT147" s="18" t="str">
        <f t="shared" si="120"/>
        <v/>
      </c>
      <c r="BU147" s="18" t="str">
        <f>IF(BW147&lt;&gt;1,"",IF(BT147-CONTROL_PANEL!$B$11&lt;0,0,BT147-CONTROL_PANEL!$B$11))</f>
        <v/>
      </c>
      <c r="BV147" s="18" t="str">
        <f>IF(BW147&lt;&gt;1,"",IF(BS147&lt;=0,0,MIN(BS147,MAX(0,CONTROL_PANEL!$B$13-BT147))))</f>
        <v/>
      </c>
      <c r="BW147" s="18"/>
      <c r="BY147" s="19">
        <f t="shared" si="139"/>
        <v>2027</v>
      </c>
      <c r="BZ147" s="19">
        <f t="shared" si="98"/>
        <v>8</v>
      </c>
      <c r="CA147" s="18" t="str">
        <f t="shared" si="121"/>
        <v/>
      </c>
      <c r="CB147" s="18" t="str">
        <f t="shared" si="134"/>
        <v/>
      </c>
      <c r="CC147" s="18" t="str">
        <f>IF(CP146&lt;&gt;1,"",IF(CM146&gt;0,IF(CM146&gt;CONTROL_PANEL!$B$11,CONTROL_PANEL!$B$11,CM146),0))</f>
        <v/>
      </c>
      <c r="CD147" s="18" t="str">
        <f t="shared" si="129"/>
        <v/>
      </c>
      <c r="CE147" s="18" t="str">
        <f>IF(CP147&lt;&gt;1,"",DATA_INPUT!$I147)</f>
        <v/>
      </c>
      <c r="CF147" s="18" t="str">
        <f>IF(CP147&lt;&gt;1,"",CE147*CONTROL_PANEL!$B$5)</f>
        <v/>
      </c>
      <c r="CG147" s="18" t="str">
        <f>IF(CP147&lt;&gt;1,"",DATA_INPUT!$C147)</f>
        <v/>
      </c>
      <c r="CH147" s="18" t="str">
        <f t="shared" si="122"/>
        <v/>
      </c>
      <c r="CI147" s="18" t="str">
        <f>IF(CP147&lt;&gt;1,"",DATA_INPUT!$H147)</f>
        <v/>
      </c>
      <c r="CJ147" s="18" t="str">
        <f t="shared" si="123"/>
        <v/>
      </c>
      <c r="CK147" s="18" t="str">
        <f>IF(CP147&lt;&gt;1,"",CF147*CONTROL_PANEL!$B$14)</f>
        <v/>
      </c>
      <c r="CL147" s="18" t="str">
        <f>IF(CP147&lt;&gt;1,"",DATA_INPUT!$O147)</f>
        <v/>
      </c>
      <c r="CM147" s="18" t="str">
        <f t="shared" si="124"/>
        <v/>
      </c>
      <c r="CN147" s="18" t="str">
        <f>IF(CP147&lt;&gt;1,"",IF(CM147-CONTROL_PANEL!$B$11&lt;0,0,CM147-CONTROL_PANEL!$B$11))</f>
        <v/>
      </c>
      <c r="CO147" s="18" t="str">
        <f>IF(CP147&lt;&gt;1,"",IF(CL147&lt;=0,0,MIN(CL147,MAX(0,CONTROL_PANEL!$B$13-CM147))))</f>
        <v/>
      </c>
      <c r="CP147" s="18"/>
    </row>
    <row r="148" spans="1:94" x14ac:dyDescent="0.25">
      <c r="A148" s="19">
        <f t="shared" si="135"/>
        <v>2027</v>
      </c>
      <c r="B148" s="19">
        <f t="shared" si="90"/>
        <v>9</v>
      </c>
      <c r="C148" s="18" t="str">
        <f t="shared" si="105"/>
        <v/>
      </c>
      <c r="D148" s="18" t="str">
        <f t="shared" si="130"/>
        <v/>
      </c>
      <c r="E148" s="18" t="str">
        <f>IF(R147&lt;&gt;1,"",IF(O147&gt;0,IF(O147&gt;CONTROL_PANEL!$B$11,CONTROL_PANEL!$B$11,O147),0))</f>
        <v/>
      </c>
      <c r="F148" s="18" t="str">
        <f t="shared" si="125"/>
        <v/>
      </c>
      <c r="G148" s="18" t="str">
        <f>IF(R148&lt;&gt;1,"",DATA_INPUT!I148)</f>
        <v/>
      </c>
      <c r="H148" s="18" t="str">
        <f>IF(R148&lt;&gt;1,"",G148*CONTROL_PANEL!$B$5)</f>
        <v/>
      </c>
      <c r="I148" s="18" t="str">
        <f>IF(R148&lt;&gt;1,"",DATA_INPUT!C148)</f>
        <v/>
      </c>
      <c r="J148" s="18" t="str">
        <f t="shared" si="106"/>
        <v/>
      </c>
      <c r="K148" s="18" t="str">
        <f>IF(R148&lt;&gt;1,"",DATA_INPUT!H148)</f>
        <v/>
      </c>
      <c r="L148" s="18" t="str">
        <f t="shared" si="107"/>
        <v/>
      </c>
      <c r="M148" s="18" t="str">
        <f>IF(R148&lt;&gt;1,"",H148*CONTROL_PANEL!$B$14)</f>
        <v/>
      </c>
      <c r="N148" s="18" t="str">
        <f>IF(R148&lt;&gt;1,"",DATA_INPUT!K148)</f>
        <v/>
      </c>
      <c r="O148" s="18" t="str">
        <f t="shared" si="108"/>
        <v/>
      </c>
      <c r="P148" s="18" t="str">
        <f>IF(R148&lt;&gt;1,"",IF(O148-CONTROL_PANEL!$B$11&lt;0,0,O148-CONTROL_PANEL!$B$11))</f>
        <v/>
      </c>
      <c r="Q148" s="18" t="str">
        <f>IF(R148&lt;&gt;1,"",IF(N148&lt;=0,0,MIN(N148,MAX(0,CONTROL_PANEL!$B$13-O148))))</f>
        <v/>
      </c>
      <c r="R148" s="18"/>
      <c r="T148" s="19">
        <f t="shared" si="136"/>
        <v>2027</v>
      </c>
      <c r="U148" s="19">
        <f t="shared" si="92"/>
        <v>9</v>
      </c>
      <c r="V148" s="18" t="str">
        <f t="shared" si="109"/>
        <v/>
      </c>
      <c r="W148" s="18" t="str">
        <f t="shared" si="131"/>
        <v/>
      </c>
      <c r="X148" s="18" t="str">
        <f>IF(AK147&lt;&gt;1,"",IF(AH147&gt;0,IF(AH147&gt;CONTROL_PANEL!$B$11,CONTROL_PANEL!$B$11,AH147),0))</f>
        <v/>
      </c>
      <c r="Y148" s="18" t="str">
        <f t="shared" si="126"/>
        <v/>
      </c>
      <c r="Z148" s="18" t="str">
        <f>IF(AK148&lt;&gt;1,"",DATA_INPUT!I148)</f>
        <v/>
      </c>
      <c r="AA148" s="18" t="str">
        <f>IF(AK148&lt;&gt;1,"",Z148*CONTROL_PANEL!$B$5)</f>
        <v/>
      </c>
      <c r="AB148" s="18" t="str">
        <f>IF(AK148&lt;&gt;1,"",DATA_INPUT!$C148)</f>
        <v/>
      </c>
      <c r="AC148" s="18" t="str">
        <f t="shared" si="110"/>
        <v/>
      </c>
      <c r="AD148" s="18" t="str">
        <f>IF(AK148&lt;&gt;1,"",DATA_INPUT!$H148)</f>
        <v/>
      </c>
      <c r="AE148" s="18" t="str">
        <f t="shared" si="111"/>
        <v/>
      </c>
      <c r="AF148" s="18" t="str">
        <f>IF(AK148&lt;&gt;1,"",AA148*CONTROL_PANEL!$B$14)</f>
        <v/>
      </c>
      <c r="AG148" s="18" t="str">
        <f>IF(AK148&lt;&gt;1,"",DATA_INPUT!$L148)</f>
        <v/>
      </c>
      <c r="AH148" s="18" t="str">
        <f t="shared" si="112"/>
        <v/>
      </c>
      <c r="AI148" s="18" t="str">
        <f>IF(AK148&lt;&gt;1,"",IF(AH148-CONTROL_PANEL!$B$11&lt;0,0,AH148-CONTROL_PANEL!$B$11))</f>
        <v/>
      </c>
      <c r="AJ148" s="18" t="str">
        <f>IF(AK148&lt;&gt;1,"",IF(AG148&lt;=0,0,MIN(AG148,MAX(0,CONTROL_PANEL!$B$13-AH148))))</f>
        <v/>
      </c>
      <c r="AK148" s="18"/>
      <c r="AM148" s="19">
        <f t="shared" si="137"/>
        <v>2027</v>
      </c>
      <c r="AN148" s="19">
        <f t="shared" si="94"/>
        <v>9</v>
      </c>
      <c r="AO148" s="18" t="str">
        <f t="shared" si="113"/>
        <v/>
      </c>
      <c r="AP148" s="18" t="str">
        <f t="shared" si="132"/>
        <v/>
      </c>
      <c r="AQ148" s="18" t="str">
        <f>IF(BD147&lt;&gt;1,"",IF(BA147&gt;0,IF(BA147&gt;CONTROL_PANEL!$B$11,CONTROL_PANEL!$B$11,BA147),0))</f>
        <v/>
      </c>
      <c r="AR148" s="18" t="str">
        <f t="shared" si="127"/>
        <v/>
      </c>
      <c r="AS148" s="18" t="str">
        <f>IF(BD148&lt;&gt;1,"",DATA_INPUT!$I148)</f>
        <v/>
      </c>
      <c r="AT148" s="18" t="str">
        <f>IF(BD148&lt;&gt;1,"",AS148*CONTROL_PANEL!$B$5)</f>
        <v/>
      </c>
      <c r="AU148" s="18" t="str">
        <f>IF(BD148&lt;&gt;1,"",DATA_INPUT!$C148)</f>
        <v/>
      </c>
      <c r="AV148" s="18" t="str">
        <f t="shared" si="114"/>
        <v/>
      </c>
      <c r="AW148" s="18" t="str">
        <f>IF(BD148&lt;&gt;1,"",DATA_INPUT!$H148)</f>
        <v/>
      </c>
      <c r="AX148" s="18" t="str">
        <f t="shared" si="115"/>
        <v/>
      </c>
      <c r="AY148" s="18" t="str">
        <f>IF(BD148&lt;&gt;1,"",AT148*CONTROL_PANEL!$B$14)</f>
        <v/>
      </c>
      <c r="AZ148" s="18" t="str">
        <f>IF(BD148&lt;&gt;1,"",DATA_INPUT!$M148)</f>
        <v/>
      </c>
      <c r="BA148" s="18" t="str">
        <f t="shared" si="116"/>
        <v/>
      </c>
      <c r="BB148" s="18" t="str">
        <f>IF(BD148&lt;&gt;1,"",IF(BA148-CONTROL_PANEL!$B$11&lt;0,0,BA148-CONTROL_PANEL!$B$11))</f>
        <v/>
      </c>
      <c r="BC148" s="18" t="str">
        <f>IF(BD148&lt;&gt;1,"",IF(AZ148&lt;=0,0,MIN(AZ148,MAX(0,CONTROL_PANEL!$B$13-BA148))))</f>
        <v/>
      </c>
      <c r="BD148" s="18"/>
      <c r="BF148" s="19">
        <f t="shared" si="138"/>
        <v>2027</v>
      </c>
      <c r="BG148" s="19">
        <f t="shared" si="96"/>
        <v>9</v>
      </c>
      <c r="BH148" s="18" t="str">
        <f t="shared" si="117"/>
        <v/>
      </c>
      <c r="BI148" s="18" t="str">
        <f t="shared" si="133"/>
        <v/>
      </c>
      <c r="BJ148" s="18" t="str">
        <f>IF(BW147&lt;&gt;1,"",IF(BT147&gt;0,IF(BT147&gt;CONTROL_PANEL!$B$11,CONTROL_PANEL!$B$11,BT147),0))</f>
        <v/>
      </c>
      <c r="BK148" s="18" t="str">
        <f t="shared" si="128"/>
        <v/>
      </c>
      <c r="BL148" s="18" t="str">
        <f>IF(BW148&lt;&gt;1,"",DATA_INPUT!$I148)</f>
        <v/>
      </c>
      <c r="BM148" s="18" t="str">
        <f>IF(BW148&lt;&gt;1,"",BL148*CONTROL_PANEL!$B$5)</f>
        <v/>
      </c>
      <c r="BN148" s="18" t="str">
        <f>IF(BW148&lt;&gt;1,"",DATA_INPUT!$C148)</f>
        <v/>
      </c>
      <c r="BO148" s="18" t="str">
        <f t="shared" si="118"/>
        <v/>
      </c>
      <c r="BP148" s="18" t="str">
        <f>IF(BW148&lt;&gt;1,"",DATA_INPUT!$H148)</f>
        <v/>
      </c>
      <c r="BQ148" s="18" t="str">
        <f t="shared" si="119"/>
        <v/>
      </c>
      <c r="BR148" s="18" t="str">
        <f>IF(BW148&lt;&gt;1,"",BM148*CONTROL_PANEL!$B$14)</f>
        <v/>
      </c>
      <c r="BS148" s="18" t="str">
        <f>IF(BW148&lt;&gt;1,"",DATA_INPUT!$N148)</f>
        <v/>
      </c>
      <c r="BT148" s="18" t="str">
        <f t="shared" si="120"/>
        <v/>
      </c>
      <c r="BU148" s="18" t="str">
        <f>IF(BW148&lt;&gt;1,"",IF(BT148-CONTROL_PANEL!$B$11&lt;0,0,BT148-CONTROL_PANEL!$B$11))</f>
        <v/>
      </c>
      <c r="BV148" s="18" t="str">
        <f>IF(BW148&lt;&gt;1,"",IF(BS148&lt;=0,0,MIN(BS148,MAX(0,CONTROL_PANEL!$B$13-BT148))))</f>
        <v/>
      </c>
      <c r="BW148" s="18"/>
      <c r="BY148" s="19">
        <f t="shared" si="139"/>
        <v>2027</v>
      </c>
      <c r="BZ148" s="19">
        <f t="shared" si="98"/>
        <v>9</v>
      </c>
      <c r="CA148" s="18" t="str">
        <f t="shared" si="121"/>
        <v/>
      </c>
      <c r="CB148" s="18" t="str">
        <f t="shared" si="134"/>
        <v/>
      </c>
      <c r="CC148" s="18" t="str">
        <f>IF(CP147&lt;&gt;1,"",IF(CM147&gt;0,IF(CM147&gt;CONTROL_PANEL!$B$11,CONTROL_PANEL!$B$11,CM147),0))</f>
        <v/>
      </c>
      <c r="CD148" s="18" t="str">
        <f t="shared" si="129"/>
        <v/>
      </c>
      <c r="CE148" s="18" t="str">
        <f>IF(CP148&lt;&gt;1,"",DATA_INPUT!$I148)</f>
        <v/>
      </c>
      <c r="CF148" s="18" t="str">
        <f>IF(CP148&lt;&gt;1,"",CE148*CONTROL_PANEL!$B$5)</f>
        <v/>
      </c>
      <c r="CG148" s="18" t="str">
        <f>IF(CP148&lt;&gt;1,"",DATA_INPUT!$C148)</f>
        <v/>
      </c>
      <c r="CH148" s="18" t="str">
        <f t="shared" si="122"/>
        <v/>
      </c>
      <c r="CI148" s="18" t="str">
        <f>IF(CP148&lt;&gt;1,"",DATA_INPUT!$H148)</f>
        <v/>
      </c>
      <c r="CJ148" s="18" t="str">
        <f t="shared" si="123"/>
        <v/>
      </c>
      <c r="CK148" s="18" t="str">
        <f>IF(CP148&lt;&gt;1,"",CF148*CONTROL_PANEL!$B$14)</f>
        <v/>
      </c>
      <c r="CL148" s="18" t="str">
        <f>IF(CP148&lt;&gt;1,"",DATA_INPUT!$O148)</f>
        <v/>
      </c>
      <c r="CM148" s="18" t="str">
        <f t="shared" si="124"/>
        <v/>
      </c>
      <c r="CN148" s="18" t="str">
        <f>IF(CP148&lt;&gt;1,"",IF(CM148-CONTROL_PANEL!$B$11&lt;0,0,CM148-CONTROL_PANEL!$B$11))</f>
        <v/>
      </c>
      <c r="CO148" s="18" t="str">
        <f>IF(CP148&lt;&gt;1,"",IF(CL148&lt;=0,0,MIN(CL148,MAX(0,CONTROL_PANEL!$B$13-CM148))))</f>
        <v/>
      </c>
      <c r="CP148" s="18"/>
    </row>
    <row r="149" spans="1:94" x14ac:dyDescent="0.25">
      <c r="A149" s="19">
        <f t="shared" si="135"/>
        <v>2027</v>
      </c>
      <c r="B149" s="19">
        <f t="shared" si="90"/>
        <v>10</v>
      </c>
      <c r="C149" s="18" t="str">
        <f t="shared" si="105"/>
        <v/>
      </c>
      <c r="D149" s="18" t="str">
        <f t="shared" si="130"/>
        <v/>
      </c>
      <c r="E149" s="18" t="str">
        <f>IF(R148&lt;&gt;1,"",IF(O148&gt;0,IF(O148&gt;CONTROL_PANEL!$B$11,CONTROL_PANEL!$B$11,O148),0))</f>
        <v/>
      </c>
      <c r="F149" s="18" t="str">
        <f t="shared" si="125"/>
        <v/>
      </c>
      <c r="G149" s="18" t="str">
        <f>IF(R149&lt;&gt;1,"",DATA_INPUT!I149)</f>
        <v/>
      </c>
      <c r="H149" s="18" t="str">
        <f>IF(R149&lt;&gt;1,"",G149*CONTROL_PANEL!$B$5)</f>
        <v/>
      </c>
      <c r="I149" s="18" t="str">
        <f>IF(R149&lt;&gt;1,"",DATA_INPUT!C149)</f>
        <v/>
      </c>
      <c r="J149" s="18" t="str">
        <f t="shared" si="106"/>
        <v/>
      </c>
      <c r="K149" s="18" t="str">
        <f>IF(R149&lt;&gt;1,"",DATA_INPUT!H149)</f>
        <v/>
      </c>
      <c r="L149" s="18" t="str">
        <f t="shared" si="107"/>
        <v/>
      </c>
      <c r="M149" s="18" t="str">
        <f>IF(R149&lt;&gt;1,"",H149*CONTROL_PANEL!$B$14)</f>
        <v/>
      </c>
      <c r="N149" s="18" t="str">
        <f>IF(R149&lt;&gt;1,"",DATA_INPUT!K149)</f>
        <v/>
      </c>
      <c r="O149" s="18" t="str">
        <f t="shared" si="108"/>
        <v/>
      </c>
      <c r="P149" s="18" t="str">
        <f>IF(R149&lt;&gt;1,"",IF(O149-CONTROL_PANEL!$B$11&lt;0,0,O149-CONTROL_PANEL!$B$11))</f>
        <v/>
      </c>
      <c r="Q149" s="18" t="str">
        <f>IF(R149&lt;&gt;1,"",IF(N149&lt;=0,0,MIN(N149,MAX(0,CONTROL_PANEL!$B$13-O149))))</f>
        <v/>
      </c>
      <c r="R149" s="18"/>
      <c r="T149" s="19">
        <f t="shared" si="136"/>
        <v>2027</v>
      </c>
      <c r="U149" s="19">
        <f t="shared" si="92"/>
        <v>10</v>
      </c>
      <c r="V149" s="18" t="str">
        <f t="shared" si="109"/>
        <v/>
      </c>
      <c r="W149" s="18" t="str">
        <f t="shared" si="131"/>
        <v/>
      </c>
      <c r="X149" s="18" t="str">
        <f>IF(AK148&lt;&gt;1,"",IF(AH148&gt;0,IF(AH148&gt;CONTROL_PANEL!$B$11,CONTROL_PANEL!$B$11,AH148),0))</f>
        <v/>
      </c>
      <c r="Y149" s="18" t="str">
        <f t="shared" si="126"/>
        <v/>
      </c>
      <c r="Z149" s="18" t="str">
        <f>IF(AK149&lt;&gt;1,"",DATA_INPUT!I149)</f>
        <v/>
      </c>
      <c r="AA149" s="18" t="str">
        <f>IF(AK149&lt;&gt;1,"",Z149*CONTROL_PANEL!$B$5)</f>
        <v/>
      </c>
      <c r="AB149" s="18" t="str">
        <f>IF(AK149&lt;&gt;1,"",DATA_INPUT!$C149)</f>
        <v/>
      </c>
      <c r="AC149" s="18" t="str">
        <f t="shared" si="110"/>
        <v/>
      </c>
      <c r="AD149" s="18" t="str">
        <f>IF(AK149&lt;&gt;1,"",DATA_INPUT!$H149)</f>
        <v/>
      </c>
      <c r="AE149" s="18" t="str">
        <f t="shared" si="111"/>
        <v/>
      </c>
      <c r="AF149" s="18" t="str">
        <f>IF(AK149&lt;&gt;1,"",AA149*CONTROL_PANEL!$B$14)</f>
        <v/>
      </c>
      <c r="AG149" s="18" t="str">
        <f>IF(AK149&lt;&gt;1,"",DATA_INPUT!$L149)</f>
        <v/>
      </c>
      <c r="AH149" s="18" t="str">
        <f t="shared" si="112"/>
        <v/>
      </c>
      <c r="AI149" s="18" t="str">
        <f>IF(AK149&lt;&gt;1,"",IF(AH149-CONTROL_PANEL!$B$11&lt;0,0,AH149-CONTROL_PANEL!$B$11))</f>
        <v/>
      </c>
      <c r="AJ149" s="18" t="str">
        <f>IF(AK149&lt;&gt;1,"",IF(AG149&lt;=0,0,MIN(AG149,MAX(0,CONTROL_PANEL!$B$13-AH149))))</f>
        <v/>
      </c>
      <c r="AK149" s="18"/>
      <c r="AM149" s="19">
        <f t="shared" si="137"/>
        <v>2027</v>
      </c>
      <c r="AN149" s="19">
        <f t="shared" si="94"/>
        <v>10</v>
      </c>
      <c r="AO149" s="18" t="str">
        <f t="shared" si="113"/>
        <v/>
      </c>
      <c r="AP149" s="18" t="str">
        <f t="shared" si="132"/>
        <v/>
      </c>
      <c r="AQ149" s="18" t="str">
        <f>IF(BD148&lt;&gt;1,"",IF(BA148&gt;0,IF(BA148&gt;CONTROL_PANEL!$B$11,CONTROL_PANEL!$B$11,BA148),0))</f>
        <v/>
      </c>
      <c r="AR149" s="18" t="str">
        <f t="shared" si="127"/>
        <v/>
      </c>
      <c r="AS149" s="18" t="str">
        <f>IF(BD149&lt;&gt;1,"",DATA_INPUT!$I149)</f>
        <v/>
      </c>
      <c r="AT149" s="18" t="str">
        <f>IF(BD149&lt;&gt;1,"",AS149*CONTROL_PANEL!$B$5)</f>
        <v/>
      </c>
      <c r="AU149" s="18" t="str">
        <f>IF(BD149&lt;&gt;1,"",DATA_INPUT!$C149)</f>
        <v/>
      </c>
      <c r="AV149" s="18" t="str">
        <f t="shared" si="114"/>
        <v/>
      </c>
      <c r="AW149" s="18" t="str">
        <f>IF(BD149&lt;&gt;1,"",DATA_INPUT!$H149)</f>
        <v/>
      </c>
      <c r="AX149" s="18" t="str">
        <f t="shared" si="115"/>
        <v/>
      </c>
      <c r="AY149" s="18" t="str">
        <f>IF(BD149&lt;&gt;1,"",AT149*CONTROL_PANEL!$B$14)</f>
        <v/>
      </c>
      <c r="AZ149" s="18" t="str">
        <f>IF(BD149&lt;&gt;1,"",DATA_INPUT!$M149)</f>
        <v/>
      </c>
      <c r="BA149" s="18" t="str">
        <f t="shared" si="116"/>
        <v/>
      </c>
      <c r="BB149" s="18" t="str">
        <f>IF(BD149&lt;&gt;1,"",IF(BA149-CONTROL_PANEL!$B$11&lt;0,0,BA149-CONTROL_PANEL!$B$11))</f>
        <v/>
      </c>
      <c r="BC149" s="18" t="str">
        <f>IF(BD149&lt;&gt;1,"",IF(AZ149&lt;=0,0,MIN(AZ149,MAX(0,CONTROL_PANEL!$B$13-BA149))))</f>
        <v/>
      </c>
      <c r="BD149" s="18"/>
      <c r="BF149" s="19">
        <f t="shared" si="138"/>
        <v>2027</v>
      </c>
      <c r="BG149" s="19">
        <f t="shared" si="96"/>
        <v>10</v>
      </c>
      <c r="BH149" s="18" t="str">
        <f t="shared" si="117"/>
        <v/>
      </c>
      <c r="BI149" s="18" t="str">
        <f t="shared" si="133"/>
        <v/>
      </c>
      <c r="BJ149" s="18" t="str">
        <f>IF(BW148&lt;&gt;1,"",IF(BT148&gt;0,IF(BT148&gt;CONTROL_PANEL!$B$11,CONTROL_PANEL!$B$11,BT148),0))</f>
        <v/>
      </c>
      <c r="BK149" s="18" t="str">
        <f t="shared" si="128"/>
        <v/>
      </c>
      <c r="BL149" s="18" t="str">
        <f>IF(BW149&lt;&gt;1,"",DATA_INPUT!$I149)</f>
        <v/>
      </c>
      <c r="BM149" s="18" t="str">
        <f>IF(BW149&lt;&gt;1,"",BL149*CONTROL_PANEL!$B$5)</f>
        <v/>
      </c>
      <c r="BN149" s="18" t="str">
        <f>IF(BW149&lt;&gt;1,"",DATA_INPUT!$C149)</f>
        <v/>
      </c>
      <c r="BO149" s="18" t="str">
        <f t="shared" si="118"/>
        <v/>
      </c>
      <c r="BP149" s="18" t="str">
        <f>IF(BW149&lt;&gt;1,"",DATA_INPUT!$H149)</f>
        <v/>
      </c>
      <c r="BQ149" s="18" t="str">
        <f t="shared" si="119"/>
        <v/>
      </c>
      <c r="BR149" s="18" t="str">
        <f>IF(BW149&lt;&gt;1,"",BM149*CONTROL_PANEL!$B$14)</f>
        <v/>
      </c>
      <c r="BS149" s="18" t="str">
        <f>IF(BW149&lt;&gt;1,"",DATA_INPUT!$N149)</f>
        <v/>
      </c>
      <c r="BT149" s="18" t="str">
        <f t="shared" si="120"/>
        <v/>
      </c>
      <c r="BU149" s="18" t="str">
        <f>IF(BW149&lt;&gt;1,"",IF(BT149-CONTROL_PANEL!$B$11&lt;0,0,BT149-CONTROL_PANEL!$B$11))</f>
        <v/>
      </c>
      <c r="BV149" s="18" t="str">
        <f>IF(BW149&lt;&gt;1,"",IF(BS149&lt;=0,0,MIN(BS149,MAX(0,CONTROL_PANEL!$B$13-BT149))))</f>
        <v/>
      </c>
      <c r="BW149" s="18"/>
      <c r="BY149" s="19">
        <f t="shared" si="139"/>
        <v>2027</v>
      </c>
      <c r="BZ149" s="19">
        <f t="shared" si="98"/>
        <v>10</v>
      </c>
      <c r="CA149" s="18" t="str">
        <f t="shared" si="121"/>
        <v/>
      </c>
      <c r="CB149" s="18" t="str">
        <f t="shared" si="134"/>
        <v/>
      </c>
      <c r="CC149" s="18" t="str">
        <f>IF(CP148&lt;&gt;1,"",IF(CM148&gt;0,IF(CM148&gt;CONTROL_PANEL!$B$11,CONTROL_PANEL!$B$11,CM148),0))</f>
        <v/>
      </c>
      <c r="CD149" s="18" t="str">
        <f t="shared" si="129"/>
        <v/>
      </c>
      <c r="CE149" s="18" t="str">
        <f>IF(CP149&lt;&gt;1,"",DATA_INPUT!$I149)</f>
        <v/>
      </c>
      <c r="CF149" s="18" t="str">
        <f>IF(CP149&lt;&gt;1,"",CE149*CONTROL_PANEL!$B$5)</f>
        <v/>
      </c>
      <c r="CG149" s="18" t="str">
        <f>IF(CP149&lt;&gt;1,"",DATA_INPUT!$C149)</f>
        <v/>
      </c>
      <c r="CH149" s="18" t="str">
        <f t="shared" si="122"/>
        <v/>
      </c>
      <c r="CI149" s="18" t="str">
        <f>IF(CP149&lt;&gt;1,"",DATA_INPUT!$H149)</f>
        <v/>
      </c>
      <c r="CJ149" s="18" t="str">
        <f t="shared" si="123"/>
        <v/>
      </c>
      <c r="CK149" s="18" t="str">
        <f>IF(CP149&lt;&gt;1,"",CF149*CONTROL_PANEL!$B$14)</f>
        <v/>
      </c>
      <c r="CL149" s="18" t="str">
        <f>IF(CP149&lt;&gt;1,"",DATA_INPUT!$O149)</f>
        <v/>
      </c>
      <c r="CM149" s="18" t="str">
        <f t="shared" si="124"/>
        <v/>
      </c>
      <c r="CN149" s="18" t="str">
        <f>IF(CP149&lt;&gt;1,"",IF(CM149-CONTROL_PANEL!$B$11&lt;0,0,CM149-CONTROL_PANEL!$B$11))</f>
        <v/>
      </c>
      <c r="CO149" s="18" t="str">
        <f>IF(CP149&lt;&gt;1,"",IF(CL149&lt;=0,0,MIN(CL149,MAX(0,CONTROL_PANEL!$B$13-CM149))))</f>
        <v/>
      </c>
      <c r="CP149" s="18"/>
    </row>
    <row r="150" spans="1:94" x14ac:dyDescent="0.25">
      <c r="A150" s="19">
        <f t="shared" si="135"/>
        <v>2027</v>
      </c>
      <c r="B150" s="19">
        <f t="shared" si="90"/>
        <v>11</v>
      </c>
      <c r="C150" s="18" t="str">
        <f t="shared" si="105"/>
        <v/>
      </c>
      <c r="D150" s="18" t="str">
        <f t="shared" si="130"/>
        <v/>
      </c>
      <c r="E150" s="18" t="str">
        <f>IF(R149&lt;&gt;1,"",IF(O149&gt;0,IF(O149&gt;CONTROL_PANEL!$B$11,CONTROL_PANEL!$B$11,O149),0))</f>
        <v/>
      </c>
      <c r="F150" s="18" t="str">
        <f t="shared" si="125"/>
        <v/>
      </c>
      <c r="G150" s="18" t="str">
        <f>IF(R150&lt;&gt;1,"",DATA_INPUT!I150)</f>
        <v/>
      </c>
      <c r="H150" s="18" t="str">
        <f>IF(R150&lt;&gt;1,"",G150*CONTROL_PANEL!$B$5)</f>
        <v/>
      </c>
      <c r="I150" s="18" t="str">
        <f>IF(R150&lt;&gt;1,"",DATA_INPUT!C150)</f>
        <v/>
      </c>
      <c r="J150" s="18" t="str">
        <f t="shared" si="106"/>
        <v/>
      </c>
      <c r="K150" s="18" t="str">
        <f>IF(R150&lt;&gt;1,"",DATA_INPUT!H150)</f>
        <v/>
      </c>
      <c r="L150" s="18" t="str">
        <f t="shared" si="107"/>
        <v/>
      </c>
      <c r="M150" s="18" t="str">
        <f>IF(R150&lt;&gt;1,"",H150*CONTROL_PANEL!$B$14)</f>
        <v/>
      </c>
      <c r="N150" s="18" t="str">
        <f>IF(R150&lt;&gt;1,"",DATA_INPUT!K150)</f>
        <v/>
      </c>
      <c r="O150" s="18" t="str">
        <f t="shared" si="108"/>
        <v/>
      </c>
      <c r="P150" s="18" t="str">
        <f>IF(R150&lt;&gt;1,"",IF(O150-CONTROL_PANEL!$B$11&lt;0,0,O150-CONTROL_PANEL!$B$11))</f>
        <v/>
      </c>
      <c r="Q150" s="18" t="str">
        <f>IF(R150&lt;&gt;1,"",IF(N150&lt;=0,0,MIN(N150,MAX(0,CONTROL_PANEL!$B$13-O150))))</f>
        <v/>
      </c>
      <c r="R150" s="18"/>
      <c r="T150" s="19">
        <f t="shared" si="136"/>
        <v>2027</v>
      </c>
      <c r="U150" s="19">
        <f t="shared" si="92"/>
        <v>11</v>
      </c>
      <c r="V150" s="18" t="str">
        <f t="shared" si="109"/>
        <v/>
      </c>
      <c r="W150" s="18" t="str">
        <f t="shared" si="131"/>
        <v/>
      </c>
      <c r="X150" s="18" t="str">
        <f>IF(AK149&lt;&gt;1,"",IF(AH149&gt;0,IF(AH149&gt;CONTROL_PANEL!$B$11,CONTROL_PANEL!$B$11,AH149),0))</f>
        <v/>
      </c>
      <c r="Y150" s="18" t="str">
        <f t="shared" si="126"/>
        <v/>
      </c>
      <c r="Z150" s="18" t="str">
        <f>IF(AK150&lt;&gt;1,"",DATA_INPUT!I150)</f>
        <v/>
      </c>
      <c r="AA150" s="18" t="str">
        <f>IF(AK150&lt;&gt;1,"",Z150*CONTROL_PANEL!$B$5)</f>
        <v/>
      </c>
      <c r="AB150" s="18" t="str">
        <f>IF(AK150&lt;&gt;1,"",DATA_INPUT!$C150)</f>
        <v/>
      </c>
      <c r="AC150" s="18" t="str">
        <f t="shared" si="110"/>
        <v/>
      </c>
      <c r="AD150" s="18" t="str">
        <f>IF(AK150&lt;&gt;1,"",DATA_INPUT!$H150)</f>
        <v/>
      </c>
      <c r="AE150" s="18" t="str">
        <f t="shared" si="111"/>
        <v/>
      </c>
      <c r="AF150" s="18" t="str">
        <f>IF(AK150&lt;&gt;1,"",AA150*CONTROL_PANEL!$B$14)</f>
        <v/>
      </c>
      <c r="AG150" s="18" t="str">
        <f>IF(AK150&lt;&gt;1,"",DATA_INPUT!$L150)</f>
        <v/>
      </c>
      <c r="AH150" s="18" t="str">
        <f t="shared" si="112"/>
        <v/>
      </c>
      <c r="AI150" s="18" t="str">
        <f>IF(AK150&lt;&gt;1,"",IF(AH150-CONTROL_PANEL!$B$11&lt;0,0,AH150-CONTROL_PANEL!$B$11))</f>
        <v/>
      </c>
      <c r="AJ150" s="18" t="str">
        <f>IF(AK150&lt;&gt;1,"",IF(AG150&lt;=0,0,MIN(AG150,MAX(0,CONTROL_PANEL!$B$13-AH150))))</f>
        <v/>
      </c>
      <c r="AK150" s="18"/>
      <c r="AM150" s="19">
        <f t="shared" si="137"/>
        <v>2027</v>
      </c>
      <c r="AN150" s="19">
        <f t="shared" si="94"/>
        <v>11</v>
      </c>
      <c r="AO150" s="18" t="str">
        <f t="shared" si="113"/>
        <v/>
      </c>
      <c r="AP150" s="18" t="str">
        <f t="shared" si="132"/>
        <v/>
      </c>
      <c r="AQ150" s="18" t="str">
        <f>IF(BD149&lt;&gt;1,"",IF(BA149&gt;0,IF(BA149&gt;CONTROL_PANEL!$B$11,CONTROL_PANEL!$B$11,BA149),0))</f>
        <v/>
      </c>
      <c r="AR150" s="18" t="str">
        <f t="shared" si="127"/>
        <v/>
      </c>
      <c r="AS150" s="18" t="str">
        <f>IF(BD150&lt;&gt;1,"",DATA_INPUT!$I150)</f>
        <v/>
      </c>
      <c r="AT150" s="18" t="str">
        <f>IF(BD150&lt;&gt;1,"",AS150*CONTROL_PANEL!$B$5)</f>
        <v/>
      </c>
      <c r="AU150" s="18" t="str">
        <f>IF(BD150&lt;&gt;1,"",DATA_INPUT!$C150)</f>
        <v/>
      </c>
      <c r="AV150" s="18" t="str">
        <f t="shared" si="114"/>
        <v/>
      </c>
      <c r="AW150" s="18" t="str">
        <f>IF(BD150&lt;&gt;1,"",DATA_INPUT!$H150)</f>
        <v/>
      </c>
      <c r="AX150" s="18" t="str">
        <f t="shared" si="115"/>
        <v/>
      </c>
      <c r="AY150" s="18" t="str">
        <f>IF(BD150&lt;&gt;1,"",AT150*CONTROL_PANEL!$B$14)</f>
        <v/>
      </c>
      <c r="AZ150" s="18" t="str">
        <f>IF(BD150&lt;&gt;1,"",DATA_INPUT!$M150)</f>
        <v/>
      </c>
      <c r="BA150" s="18" t="str">
        <f t="shared" si="116"/>
        <v/>
      </c>
      <c r="BB150" s="18" t="str">
        <f>IF(BD150&lt;&gt;1,"",IF(BA150-CONTROL_PANEL!$B$11&lt;0,0,BA150-CONTROL_PANEL!$B$11))</f>
        <v/>
      </c>
      <c r="BC150" s="18" t="str">
        <f>IF(BD150&lt;&gt;1,"",IF(AZ150&lt;=0,0,MIN(AZ150,MAX(0,CONTROL_PANEL!$B$13-BA150))))</f>
        <v/>
      </c>
      <c r="BD150" s="18"/>
      <c r="BF150" s="19">
        <f t="shared" si="138"/>
        <v>2027</v>
      </c>
      <c r="BG150" s="19">
        <f t="shared" si="96"/>
        <v>11</v>
      </c>
      <c r="BH150" s="18" t="str">
        <f t="shared" si="117"/>
        <v/>
      </c>
      <c r="BI150" s="18" t="str">
        <f t="shared" si="133"/>
        <v/>
      </c>
      <c r="BJ150" s="18" t="str">
        <f>IF(BW149&lt;&gt;1,"",IF(BT149&gt;0,IF(BT149&gt;CONTROL_PANEL!$B$11,CONTROL_PANEL!$B$11,BT149),0))</f>
        <v/>
      </c>
      <c r="BK150" s="18" t="str">
        <f t="shared" si="128"/>
        <v/>
      </c>
      <c r="BL150" s="18" t="str">
        <f>IF(BW150&lt;&gt;1,"",DATA_INPUT!$I150)</f>
        <v/>
      </c>
      <c r="BM150" s="18" t="str">
        <f>IF(BW150&lt;&gt;1,"",BL150*CONTROL_PANEL!$B$5)</f>
        <v/>
      </c>
      <c r="BN150" s="18" t="str">
        <f>IF(BW150&lt;&gt;1,"",DATA_INPUT!$C150)</f>
        <v/>
      </c>
      <c r="BO150" s="18" t="str">
        <f t="shared" si="118"/>
        <v/>
      </c>
      <c r="BP150" s="18" t="str">
        <f>IF(BW150&lt;&gt;1,"",DATA_INPUT!$H150)</f>
        <v/>
      </c>
      <c r="BQ150" s="18" t="str">
        <f t="shared" si="119"/>
        <v/>
      </c>
      <c r="BR150" s="18" t="str">
        <f>IF(BW150&lt;&gt;1,"",BM150*CONTROL_PANEL!$B$14)</f>
        <v/>
      </c>
      <c r="BS150" s="18" t="str">
        <f>IF(BW150&lt;&gt;1,"",DATA_INPUT!$N150)</f>
        <v/>
      </c>
      <c r="BT150" s="18" t="str">
        <f t="shared" si="120"/>
        <v/>
      </c>
      <c r="BU150" s="18" t="str">
        <f>IF(BW150&lt;&gt;1,"",IF(BT150-CONTROL_PANEL!$B$11&lt;0,0,BT150-CONTROL_PANEL!$B$11))</f>
        <v/>
      </c>
      <c r="BV150" s="18" t="str">
        <f>IF(BW150&lt;&gt;1,"",IF(BS150&lt;=0,0,MIN(BS150,MAX(0,CONTROL_PANEL!$B$13-BT150))))</f>
        <v/>
      </c>
      <c r="BW150" s="18"/>
      <c r="BY150" s="19">
        <f t="shared" si="139"/>
        <v>2027</v>
      </c>
      <c r="BZ150" s="19">
        <f t="shared" si="98"/>
        <v>11</v>
      </c>
      <c r="CA150" s="18" t="str">
        <f t="shared" si="121"/>
        <v/>
      </c>
      <c r="CB150" s="18" t="str">
        <f t="shared" si="134"/>
        <v/>
      </c>
      <c r="CC150" s="18" t="str">
        <f>IF(CP149&lt;&gt;1,"",IF(CM149&gt;0,IF(CM149&gt;CONTROL_PANEL!$B$11,CONTROL_PANEL!$B$11,CM149),0))</f>
        <v/>
      </c>
      <c r="CD150" s="18" t="str">
        <f t="shared" si="129"/>
        <v/>
      </c>
      <c r="CE150" s="18" t="str">
        <f>IF(CP150&lt;&gt;1,"",DATA_INPUT!$I150)</f>
        <v/>
      </c>
      <c r="CF150" s="18" t="str">
        <f>IF(CP150&lt;&gt;1,"",CE150*CONTROL_PANEL!$B$5)</f>
        <v/>
      </c>
      <c r="CG150" s="18" t="str">
        <f>IF(CP150&lt;&gt;1,"",DATA_INPUT!$C150)</f>
        <v/>
      </c>
      <c r="CH150" s="18" t="str">
        <f t="shared" si="122"/>
        <v/>
      </c>
      <c r="CI150" s="18" t="str">
        <f>IF(CP150&lt;&gt;1,"",DATA_INPUT!$H150)</f>
        <v/>
      </c>
      <c r="CJ150" s="18" t="str">
        <f t="shared" si="123"/>
        <v/>
      </c>
      <c r="CK150" s="18" t="str">
        <f>IF(CP150&lt;&gt;1,"",CF150*CONTROL_PANEL!$B$14)</f>
        <v/>
      </c>
      <c r="CL150" s="18" t="str">
        <f>IF(CP150&lt;&gt;1,"",DATA_INPUT!$O150)</f>
        <v/>
      </c>
      <c r="CM150" s="18" t="str">
        <f t="shared" si="124"/>
        <v/>
      </c>
      <c r="CN150" s="18" t="str">
        <f>IF(CP150&lt;&gt;1,"",IF(CM150-CONTROL_PANEL!$B$11&lt;0,0,CM150-CONTROL_PANEL!$B$11))</f>
        <v/>
      </c>
      <c r="CO150" s="18" t="str">
        <f>IF(CP150&lt;&gt;1,"",IF(CL150&lt;=0,0,MIN(CL150,MAX(0,CONTROL_PANEL!$B$13-CM150))))</f>
        <v/>
      </c>
      <c r="CP150" s="18"/>
    </row>
    <row r="151" spans="1:94" x14ac:dyDescent="0.25">
      <c r="A151" s="19">
        <f t="shared" si="135"/>
        <v>2027</v>
      </c>
      <c r="B151" s="19">
        <f t="shared" si="90"/>
        <v>12</v>
      </c>
      <c r="C151" s="18" t="str">
        <f t="shared" si="105"/>
        <v/>
      </c>
      <c r="D151" s="18" t="str">
        <f t="shared" si="130"/>
        <v/>
      </c>
      <c r="E151" s="18" t="str">
        <f>IF(R150&lt;&gt;1,"",IF(O150&gt;0,IF(O150&gt;CONTROL_PANEL!$B$11,CONTROL_PANEL!$B$11,O150),0))</f>
        <v/>
      </c>
      <c r="F151" s="18" t="str">
        <f t="shared" si="125"/>
        <v/>
      </c>
      <c r="G151" s="18" t="str">
        <f>IF(R151&lt;&gt;1,"",DATA_INPUT!I151)</f>
        <v/>
      </c>
      <c r="H151" s="18" t="str">
        <f>IF(R151&lt;&gt;1,"",G151*CONTROL_PANEL!$B$5)</f>
        <v/>
      </c>
      <c r="I151" s="18" t="str">
        <f>IF(R151&lt;&gt;1,"",DATA_INPUT!C151)</f>
        <v/>
      </c>
      <c r="J151" s="18" t="str">
        <f t="shared" si="106"/>
        <v/>
      </c>
      <c r="K151" s="18" t="str">
        <f>IF(R151&lt;&gt;1,"",DATA_INPUT!H151)</f>
        <v/>
      </c>
      <c r="L151" s="18" t="str">
        <f t="shared" si="107"/>
        <v/>
      </c>
      <c r="M151" s="18" t="str">
        <f>IF(R151&lt;&gt;1,"",H151*CONTROL_PANEL!$B$14)</f>
        <v/>
      </c>
      <c r="N151" s="18" t="str">
        <f>IF(R151&lt;&gt;1,"",DATA_INPUT!K151)</f>
        <v/>
      </c>
      <c r="O151" s="18" t="str">
        <f t="shared" si="108"/>
        <v/>
      </c>
      <c r="P151" s="18" t="str">
        <f>IF(R151&lt;&gt;1,"",IF(O151-CONTROL_PANEL!$B$11&lt;0,0,O151-CONTROL_PANEL!$B$11))</f>
        <v/>
      </c>
      <c r="Q151" s="18" t="str">
        <f>IF(R151&lt;&gt;1,"",IF(N151&lt;=0,0,MIN(N151,MAX(0,CONTROL_PANEL!$B$13-O151))))</f>
        <v/>
      </c>
      <c r="R151" s="18"/>
      <c r="T151" s="19">
        <f t="shared" si="136"/>
        <v>2027</v>
      </c>
      <c r="U151" s="19">
        <f t="shared" si="92"/>
        <v>12</v>
      </c>
      <c r="V151" s="18" t="str">
        <f t="shared" si="109"/>
        <v/>
      </c>
      <c r="W151" s="18" t="str">
        <f t="shared" si="131"/>
        <v/>
      </c>
      <c r="X151" s="18" t="str">
        <f>IF(AK150&lt;&gt;1,"",IF(AH150&gt;0,IF(AH150&gt;CONTROL_PANEL!$B$11,CONTROL_PANEL!$B$11,AH150),0))</f>
        <v/>
      </c>
      <c r="Y151" s="18" t="str">
        <f t="shared" si="126"/>
        <v/>
      </c>
      <c r="Z151" s="18" t="str">
        <f>IF(AK151&lt;&gt;1,"",DATA_INPUT!I151)</f>
        <v/>
      </c>
      <c r="AA151" s="18" t="str">
        <f>IF(AK151&lt;&gt;1,"",Z151*CONTROL_PANEL!$B$5)</f>
        <v/>
      </c>
      <c r="AB151" s="18" t="str">
        <f>IF(AK151&lt;&gt;1,"",DATA_INPUT!$C151)</f>
        <v/>
      </c>
      <c r="AC151" s="18" t="str">
        <f t="shared" si="110"/>
        <v/>
      </c>
      <c r="AD151" s="18" t="str">
        <f>IF(AK151&lt;&gt;1,"",DATA_INPUT!$H151)</f>
        <v/>
      </c>
      <c r="AE151" s="18" t="str">
        <f t="shared" si="111"/>
        <v/>
      </c>
      <c r="AF151" s="18" t="str">
        <f>IF(AK151&lt;&gt;1,"",AA151*CONTROL_PANEL!$B$14)</f>
        <v/>
      </c>
      <c r="AG151" s="18" t="str">
        <f>IF(AK151&lt;&gt;1,"",DATA_INPUT!$L151)</f>
        <v/>
      </c>
      <c r="AH151" s="18" t="str">
        <f t="shared" si="112"/>
        <v/>
      </c>
      <c r="AI151" s="18" t="str">
        <f>IF(AK151&lt;&gt;1,"",IF(AH151-CONTROL_PANEL!$B$11&lt;0,0,AH151-CONTROL_PANEL!$B$11))</f>
        <v/>
      </c>
      <c r="AJ151" s="18" t="str">
        <f>IF(AK151&lt;&gt;1,"",IF(AG151&lt;=0,0,MIN(AG151,MAX(0,CONTROL_PANEL!$B$13-AH151))))</f>
        <v/>
      </c>
      <c r="AK151" s="18"/>
      <c r="AM151" s="19">
        <f t="shared" si="137"/>
        <v>2027</v>
      </c>
      <c r="AN151" s="19">
        <f t="shared" si="94"/>
        <v>12</v>
      </c>
      <c r="AO151" s="18" t="str">
        <f t="shared" si="113"/>
        <v/>
      </c>
      <c r="AP151" s="18" t="str">
        <f t="shared" si="132"/>
        <v/>
      </c>
      <c r="AQ151" s="18" t="str">
        <f>IF(BD150&lt;&gt;1,"",IF(BA150&gt;0,IF(BA150&gt;CONTROL_PANEL!$B$11,CONTROL_PANEL!$B$11,BA150),0))</f>
        <v/>
      </c>
      <c r="AR151" s="18" t="str">
        <f t="shared" si="127"/>
        <v/>
      </c>
      <c r="AS151" s="18" t="str">
        <f>IF(BD151&lt;&gt;1,"",DATA_INPUT!$I151)</f>
        <v/>
      </c>
      <c r="AT151" s="18" t="str">
        <f>IF(BD151&lt;&gt;1,"",AS151*CONTROL_PANEL!$B$5)</f>
        <v/>
      </c>
      <c r="AU151" s="18" t="str">
        <f>IF(BD151&lt;&gt;1,"",DATA_INPUT!$C151)</f>
        <v/>
      </c>
      <c r="AV151" s="18" t="str">
        <f t="shared" si="114"/>
        <v/>
      </c>
      <c r="AW151" s="18" t="str">
        <f>IF(BD151&lt;&gt;1,"",DATA_INPUT!$H151)</f>
        <v/>
      </c>
      <c r="AX151" s="18" t="str">
        <f t="shared" si="115"/>
        <v/>
      </c>
      <c r="AY151" s="18" t="str">
        <f>IF(BD151&lt;&gt;1,"",AT151*CONTROL_PANEL!$B$14)</f>
        <v/>
      </c>
      <c r="AZ151" s="18" t="str">
        <f>IF(BD151&lt;&gt;1,"",DATA_INPUT!$M151)</f>
        <v/>
      </c>
      <c r="BA151" s="18" t="str">
        <f t="shared" si="116"/>
        <v/>
      </c>
      <c r="BB151" s="18" t="str">
        <f>IF(BD151&lt;&gt;1,"",IF(BA151-CONTROL_PANEL!$B$11&lt;0,0,BA151-CONTROL_PANEL!$B$11))</f>
        <v/>
      </c>
      <c r="BC151" s="18" t="str">
        <f>IF(BD151&lt;&gt;1,"",IF(AZ151&lt;=0,0,MIN(AZ151,MAX(0,CONTROL_PANEL!$B$13-BA151))))</f>
        <v/>
      </c>
      <c r="BD151" s="18"/>
      <c r="BF151" s="19">
        <f t="shared" si="138"/>
        <v>2027</v>
      </c>
      <c r="BG151" s="19">
        <f t="shared" si="96"/>
        <v>12</v>
      </c>
      <c r="BH151" s="18" t="str">
        <f t="shared" si="117"/>
        <v/>
      </c>
      <c r="BI151" s="18" t="str">
        <f t="shared" si="133"/>
        <v/>
      </c>
      <c r="BJ151" s="18" t="str">
        <f>IF(BW150&lt;&gt;1,"",IF(BT150&gt;0,IF(BT150&gt;CONTROL_PANEL!$B$11,CONTROL_PANEL!$B$11,BT150),0))</f>
        <v/>
      </c>
      <c r="BK151" s="18" t="str">
        <f t="shared" si="128"/>
        <v/>
      </c>
      <c r="BL151" s="18" t="str">
        <f>IF(BW151&lt;&gt;1,"",DATA_INPUT!$I151)</f>
        <v/>
      </c>
      <c r="BM151" s="18" t="str">
        <f>IF(BW151&lt;&gt;1,"",BL151*CONTROL_PANEL!$B$5)</f>
        <v/>
      </c>
      <c r="BN151" s="18" t="str">
        <f>IF(BW151&lt;&gt;1,"",DATA_INPUT!$C151)</f>
        <v/>
      </c>
      <c r="BO151" s="18" t="str">
        <f t="shared" si="118"/>
        <v/>
      </c>
      <c r="BP151" s="18" t="str">
        <f>IF(BW151&lt;&gt;1,"",DATA_INPUT!$H151)</f>
        <v/>
      </c>
      <c r="BQ151" s="18" t="str">
        <f t="shared" si="119"/>
        <v/>
      </c>
      <c r="BR151" s="18" t="str">
        <f>IF(BW151&lt;&gt;1,"",BM151*CONTROL_PANEL!$B$14)</f>
        <v/>
      </c>
      <c r="BS151" s="18" t="str">
        <f>IF(BW151&lt;&gt;1,"",DATA_INPUT!$N151)</f>
        <v/>
      </c>
      <c r="BT151" s="18" t="str">
        <f t="shared" si="120"/>
        <v/>
      </c>
      <c r="BU151" s="18" t="str">
        <f>IF(BW151&lt;&gt;1,"",IF(BT151-CONTROL_PANEL!$B$11&lt;0,0,BT151-CONTROL_PANEL!$B$11))</f>
        <v/>
      </c>
      <c r="BV151" s="18" t="str">
        <f>IF(BW151&lt;&gt;1,"",IF(BS151&lt;=0,0,MIN(BS151,MAX(0,CONTROL_PANEL!$B$13-BT151))))</f>
        <v/>
      </c>
      <c r="BW151" s="18"/>
      <c r="BY151" s="19">
        <f t="shared" si="139"/>
        <v>2027</v>
      </c>
      <c r="BZ151" s="19">
        <f t="shared" si="98"/>
        <v>12</v>
      </c>
      <c r="CA151" s="18" t="str">
        <f t="shared" si="121"/>
        <v/>
      </c>
      <c r="CB151" s="18" t="str">
        <f t="shared" si="134"/>
        <v/>
      </c>
      <c r="CC151" s="18" t="str">
        <f>IF(CP150&lt;&gt;1,"",IF(CM150&gt;0,IF(CM150&gt;CONTROL_PANEL!$B$11,CONTROL_PANEL!$B$11,CM150),0))</f>
        <v/>
      </c>
      <c r="CD151" s="18" t="str">
        <f t="shared" si="129"/>
        <v/>
      </c>
      <c r="CE151" s="18" t="str">
        <f>IF(CP151&lt;&gt;1,"",DATA_INPUT!$I151)</f>
        <v/>
      </c>
      <c r="CF151" s="18" t="str">
        <f>IF(CP151&lt;&gt;1,"",CE151*CONTROL_PANEL!$B$5)</f>
        <v/>
      </c>
      <c r="CG151" s="18" t="str">
        <f>IF(CP151&lt;&gt;1,"",DATA_INPUT!$C151)</f>
        <v/>
      </c>
      <c r="CH151" s="18" t="str">
        <f t="shared" si="122"/>
        <v/>
      </c>
      <c r="CI151" s="18" t="str">
        <f>IF(CP151&lt;&gt;1,"",DATA_INPUT!$H151)</f>
        <v/>
      </c>
      <c r="CJ151" s="18" t="str">
        <f t="shared" si="123"/>
        <v/>
      </c>
      <c r="CK151" s="18" t="str">
        <f>IF(CP151&lt;&gt;1,"",CF151*CONTROL_PANEL!$B$14)</f>
        <v/>
      </c>
      <c r="CL151" s="18" t="str">
        <f>IF(CP151&lt;&gt;1,"",DATA_INPUT!$O151)</f>
        <v/>
      </c>
      <c r="CM151" s="18" t="str">
        <f t="shared" si="124"/>
        <v/>
      </c>
      <c r="CN151" s="18" t="str">
        <f>IF(CP151&lt;&gt;1,"",IF(CM151-CONTROL_PANEL!$B$11&lt;0,0,CM151-CONTROL_PANEL!$B$11))</f>
        <v/>
      </c>
      <c r="CO151" s="18" t="str">
        <f>IF(CP151&lt;&gt;1,"",IF(CL151&lt;=0,0,MIN(CL151,MAX(0,CONTROL_PANEL!$B$13-CM151))))</f>
        <v/>
      </c>
      <c r="CP151" s="18"/>
    </row>
    <row r="152" spans="1:94" x14ac:dyDescent="0.25">
      <c r="A152" s="19">
        <f t="shared" si="135"/>
        <v>2028</v>
      </c>
      <c r="B152" s="19">
        <f t="shared" si="90"/>
        <v>1</v>
      </c>
      <c r="C152" s="18" t="str">
        <f t="shared" si="105"/>
        <v/>
      </c>
      <c r="D152" s="18" t="str">
        <f t="shared" si="130"/>
        <v/>
      </c>
      <c r="E152" s="18" t="str">
        <f>IF(R151&lt;&gt;1,"",IF(O151&gt;0,IF(O151&gt;CONTROL_PANEL!$B$11,CONTROL_PANEL!$B$11,O151),0))</f>
        <v/>
      </c>
      <c r="F152" s="18" t="str">
        <f t="shared" si="125"/>
        <v/>
      </c>
      <c r="G152" s="18" t="str">
        <f>IF(R152&lt;&gt;1,"",DATA_INPUT!I152)</f>
        <v/>
      </c>
      <c r="H152" s="18" t="str">
        <f>IF(R152&lt;&gt;1,"",G152*CONTROL_PANEL!$B$5)</f>
        <v/>
      </c>
      <c r="I152" s="18" t="str">
        <f>IF(R152&lt;&gt;1,"",DATA_INPUT!C152)</f>
        <v/>
      </c>
      <c r="J152" s="18" t="str">
        <f t="shared" si="106"/>
        <v/>
      </c>
      <c r="K152" s="18" t="str">
        <f>IF(R152&lt;&gt;1,"",DATA_INPUT!H152)</f>
        <v/>
      </c>
      <c r="L152" s="18" t="str">
        <f t="shared" si="107"/>
        <v/>
      </c>
      <c r="M152" s="18" t="str">
        <f>IF(R152&lt;&gt;1,"",H152*CONTROL_PANEL!$B$14)</f>
        <v/>
      </c>
      <c r="N152" s="18" t="str">
        <f>IF(R152&lt;&gt;1,"",DATA_INPUT!K152)</f>
        <v/>
      </c>
      <c r="O152" s="18" t="str">
        <f t="shared" si="108"/>
        <v/>
      </c>
      <c r="P152" s="18" t="str">
        <f>IF(R152&lt;&gt;1,"",IF(O152-CONTROL_PANEL!$B$11&lt;0,0,O152-CONTROL_PANEL!$B$11))</f>
        <v/>
      </c>
      <c r="Q152" s="18" t="str">
        <f>IF(R152&lt;&gt;1,"",IF(N152&lt;=0,0,MIN(N152,MAX(0,CONTROL_PANEL!$B$13-O152))))</f>
        <v/>
      </c>
      <c r="R152" s="18"/>
      <c r="T152" s="19">
        <f t="shared" si="136"/>
        <v>2028</v>
      </c>
      <c r="U152" s="19">
        <f t="shared" si="92"/>
        <v>1</v>
      </c>
      <c r="V152" s="18" t="str">
        <f t="shared" si="109"/>
        <v/>
      </c>
      <c r="W152" s="18" t="str">
        <f t="shared" si="131"/>
        <v/>
      </c>
      <c r="X152" s="18" t="str">
        <f>IF(AK151&lt;&gt;1,"",IF(AH151&gt;0,IF(AH151&gt;CONTROL_PANEL!$B$11,CONTROL_PANEL!$B$11,AH151),0))</f>
        <v/>
      </c>
      <c r="Y152" s="18" t="str">
        <f t="shared" si="126"/>
        <v/>
      </c>
      <c r="Z152" s="18" t="str">
        <f>IF(AK152&lt;&gt;1,"",DATA_INPUT!I152)</f>
        <v/>
      </c>
      <c r="AA152" s="18" t="str">
        <f>IF(AK152&lt;&gt;1,"",Z152*CONTROL_PANEL!$B$5)</f>
        <v/>
      </c>
      <c r="AB152" s="18" t="str">
        <f>IF(AK152&lt;&gt;1,"",DATA_INPUT!$C152)</f>
        <v/>
      </c>
      <c r="AC152" s="18" t="str">
        <f t="shared" si="110"/>
        <v/>
      </c>
      <c r="AD152" s="18" t="str">
        <f>IF(AK152&lt;&gt;1,"",DATA_INPUT!$H152)</f>
        <v/>
      </c>
      <c r="AE152" s="18" t="str">
        <f t="shared" si="111"/>
        <v/>
      </c>
      <c r="AF152" s="18" t="str">
        <f>IF(AK152&lt;&gt;1,"",AA152*CONTROL_PANEL!$B$14)</f>
        <v/>
      </c>
      <c r="AG152" s="18" t="str">
        <f>IF(AK152&lt;&gt;1,"",DATA_INPUT!$L152)</f>
        <v/>
      </c>
      <c r="AH152" s="18" t="str">
        <f t="shared" si="112"/>
        <v/>
      </c>
      <c r="AI152" s="18" t="str">
        <f>IF(AK152&lt;&gt;1,"",IF(AH152-CONTROL_PANEL!$B$11&lt;0,0,AH152-CONTROL_PANEL!$B$11))</f>
        <v/>
      </c>
      <c r="AJ152" s="18" t="str">
        <f>IF(AK152&lt;&gt;1,"",IF(AG152&lt;=0,0,MIN(AG152,MAX(0,CONTROL_PANEL!$B$13-AH152))))</f>
        <v/>
      </c>
      <c r="AK152" s="18"/>
      <c r="AM152" s="19">
        <f t="shared" si="137"/>
        <v>2028</v>
      </c>
      <c r="AN152" s="19">
        <f t="shared" si="94"/>
        <v>1</v>
      </c>
      <c r="AO152" s="18" t="str">
        <f t="shared" si="113"/>
        <v/>
      </c>
      <c r="AP152" s="18" t="str">
        <f t="shared" si="132"/>
        <v/>
      </c>
      <c r="AQ152" s="18" t="str">
        <f>IF(BD151&lt;&gt;1,"",IF(BA151&gt;0,IF(BA151&gt;CONTROL_PANEL!$B$11,CONTROL_PANEL!$B$11,BA151),0))</f>
        <v/>
      </c>
      <c r="AR152" s="18" t="str">
        <f t="shared" si="127"/>
        <v/>
      </c>
      <c r="AS152" s="18" t="str">
        <f>IF(BD152&lt;&gt;1,"",DATA_INPUT!$I152)</f>
        <v/>
      </c>
      <c r="AT152" s="18" t="str">
        <f>IF(BD152&lt;&gt;1,"",AS152*CONTROL_PANEL!$B$5)</f>
        <v/>
      </c>
      <c r="AU152" s="18" t="str">
        <f>IF(BD152&lt;&gt;1,"",DATA_INPUT!$C152)</f>
        <v/>
      </c>
      <c r="AV152" s="18" t="str">
        <f t="shared" si="114"/>
        <v/>
      </c>
      <c r="AW152" s="18" t="str">
        <f>IF(BD152&lt;&gt;1,"",DATA_INPUT!$H152)</f>
        <v/>
      </c>
      <c r="AX152" s="18" t="str">
        <f t="shared" si="115"/>
        <v/>
      </c>
      <c r="AY152" s="18" t="str">
        <f>IF(BD152&lt;&gt;1,"",AT152*CONTROL_PANEL!$B$14)</f>
        <v/>
      </c>
      <c r="AZ152" s="18" t="str">
        <f>IF(BD152&lt;&gt;1,"",DATA_INPUT!$M152)</f>
        <v/>
      </c>
      <c r="BA152" s="18" t="str">
        <f t="shared" si="116"/>
        <v/>
      </c>
      <c r="BB152" s="18" t="str">
        <f>IF(BD152&lt;&gt;1,"",IF(BA152-CONTROL_PANEL!$B$11&lt;0,0,BA152-CONTROL_PANEL!$B$11))</f>
        <v/>
      </c>
      <c r="BC152" s="18" t="str">
        <f>IF(BD152&lt;&gt;1,"",IF(AZ152&lt;=0,0,MIN(AZ152,MAX(0,CONTROL_PANEL!$B$13-BA152))))</f>
        <v/>
      </c>
      <c r="BD152" s="18"/>
      <c r="BF152" s="19">
        <f t="shared" si="138"/>
        <v>2028</v>
      </c>
      <c r="BG152" s="19">
        <f t="shared" si="96"/>
        <v>1</v>
      </c>
      <c r="BH152" s="18" t="str">
        <f t="shared" si="117"/>
        <v/>
      </c>
      <c r="BI152" s="18" t="str">
        <f t="shared" si="133"/>
        <v/>
      </c>
      <c r="BJ152" s="18" t="str">
        <f>IF(BW151&lt;&gt;1,"",IF(BT151&gt;0,IF(BT151&gt;CONTROL_PANEL!$B$11,CONTROL_PANEL!$B$11,BT151),0))</f>
        <v/>
      </c>
      <c r="BK152" s="18" t="str">
        <f t="shared" si="128"/>
        <v/>
      </c>
      <c r="BL152" s="18" t="str">
        <f>IF(BW152&lt;&gt;1,"",DATA_INPUT!$I152)</f>
        <v/>
      </c>
      <c r="BM152" s="18" t="str">
        <f>IF(BW152&lt;&gt;1,"",BL152*CONTROL_PANEL!$B$5)</f>
        <v/>
      </c>
      <c r="BN152" s="18" t="str">
        <f>IF(BW152&lt;&gt;1,"",DATA_INPUT!$C152)</f>
        <v/>
      </c>
      <c r="BO152" s="18" t="str">
        <f t="shared" si="118"/>
        <v/>
      </c>
      <c r="BP152" s="18" t="str">
        <f>IF(BW152&lt;&gt;1,"",DATA_INPUT!$H152)</f>
        <v/>
      </c>
      <c r="BQ152" s="18" t="str">
        <f t="shared" si="119"/>
        <v/>
      </c>
      <c r="BR152" s="18" t="str">
        <f>IF(BW152&lt;&gt;1,"",BM152*CONTROL_PANEL!$B$14)</f>
        <v/>
      </c>
      <c r="BS152" s="18" t="str">
        <f>IF(BW152&lt;&gt;1,"",DATA_INPUT!$N152)</f>
        <v/>
      </c>
      <c r="BT152" s="18" t="str">
        <f t="shared" si="120"/>
        <v/>
      </c>
      <c r="BU152" s="18" t="str">
        <f>IF(BW152&lt;&gt;1,"",IF(BT152-CONTROL_PANEL!$B$11&lt;0,0,BT152-CONTROL_PANEL!$B$11))</f>
        <v/>
      </c>
      <c r="BV152" s="18" t="str">
        <f>IF(BW152&lt;&gt;1,"",IF(BS152&lt;=0,0,MIN(BS152,MAX(0,CONTROL_PANEL!$B$13-BT152))))</f>
        <v/>
      </c>
      <c r="BW152" s="18"/>
      <c r="BY152" s="19">
        <f t="shared" si="139"/>
        <v>2028</v>
      </c>
      <c r="BZ152" s="19">
        <f t="shared" si="98"/>
        <v>1</v>
      </c>
      <c r="CA152" s="18" t="str">
        <f t="shared" si="121"/>
        <v/>
      </c>
      <c r="CB152" s="18" t="str">
        <f t="shared" si="134"/>
        <v/>
      </c>
      <c r="CC152" s="18" t="str">
        <f>IF(CP151&lt;&gt;1,"",IF(CM151&gt;0,IF(CM151&gt;CONTROL_PANEL!$B$11,CONTROL_PANEL!$B$11,CM151),0))</f>
        <v/>
      </c>
      <c r="CD152" s="18" t="str">
        <f t="shared" si="129"/>
        <v/>
      </c>
      <c r="CE152" s="18" t="str">
        <f>IF(CP152&lt;&gt;1,"",DATA_INPUT!$I152)</f>
        <v/>
      </c>
      <c r="CF152" s="18" t="str">
        <f>IF(CP152&lt;&gt;1,"",CE152*CONTROL_PANEL!$B$5)</f>
        <v/>
      </c>
      <c r="CG152" s="18" t="str">
        <f>IF(CP152&lt;&gt;1,"",DATA_INPUT!$C152)</f>
        <v/>
      </c>
      <c r="CH152" s="18" t="str">
        <f t="shared" si="122"/>
        <v/>
      </c>
      <c r="CI152" s="18" t="str">
        <f>IF(CP152&lt;&gt;1,"",DATA_INPUT!$H152)</f>
        <v/>
      </c>
      <c r="CJ152" s="18" t="str">
        <f t="shared" si="123"/>
        <v/>
      </c>
      <c r="CK152" s="18" t="str">
        <f>IF(CP152&lt;&gt;1,"",CF152*CONTROL_PANEL!$B$14)</f>
        <v/>
      </c>
      <c r="CL152" s="18" t="str">
        <f>IF(CP152&lt;&gt;1,"",DATA_INPUT!$O152)</f>
        <v/>
      </c>
      <c r="CM152" s="18" t="str">
        <f t="shared" si="124"/>
        <v/>
      </c>
      <c r="CN152" s="18" t="str">
        <f>IF(CP152&lt;&gt;1,"",IF(CM152-CONTROL_PANEL!$B$11&lt;0,0,CM152-CONTROL_PANEL!$B$11))</f>
        <v/>
      </c>
      <c r="CO152" s="18" t="str">
        <f>IF(CP152&lt;&gt;1,"",IF(CL152&lt;=0,0,MIN(CL152,MAX(0,CONTROL_PANEL!$B$13-CM152))))</f>
        <v/>
      </c>
      <c r="CP152" s="18"/>
    </row>
    <row r="153" spans="1:94" x14ac:dyDescent="0.25">
      <c r="A153" s="19">
        <f t="shared" si="135"/>
        <v>2028</v>
      </c>
      <c r="B153" s="19">
        <f t="shared" si="90"/>
        <v>2</v>
      </c>
      <c r="C153" s="18" t="str">
        <f t="shared" si="105"/>
        <v/>
      </c>
      <c r="D153" s="18" t="str">
        <f t="shared" si="130"/>
        <v/>
      </c>
      <c r="E153" s="18" t="str">
        <f>IF(R152&lt;&gt;1,"",IF(O152&gt;0,IF(O152&gt;CONTROL_PANEL!$B$11,CONTROL_PANEL!$B$11,O152),0))</f>
        <v/>
      </c>
      <c r="F153" s="18" t="str">
        <f t="shared" si="125"/>
        <v/>
      </c>
      <c r="G153" s="18" t="str">
        <f>IF(R153&lt;&gt;1,"",DATA_INPUT!I153)</f>
        <v/>
      </c>
      <c r="H153" s="18" t="str">
        <f>IF(R153&lt;&gt;1,"",G153*CONTROL_PANEL!$B$5)</f>
        <v/>
      </c>
      <c r="I153" s="18" t="str">
        <f>IF(R153&lt;&gt;1,"",DATA_INPUT!C153)</f>
        <v/>
      </c>
      <c r="J153" s="18" t="str">
        <f t="shared" si="106"/>
        <v/>
      </c>
      <c r="K153" s="18" t="str">
        <f>IF(R153&lt;&gt;1,"",DATA_INPUT!H153)</f>
        <v/>
      </c>
      <c r="L153" s="18" t="str">
        <f t="shared" si="107"/>
        <v/>
      </c>
      <c r="M153" s="18" t="str">
        <f>IF(R153&lt;&gt;1,"",H153*CONTROL_PANEL!$B$14)</f>
        <v/>
      </c>
      <c r="N153" s="18" t="str">
        <f>IF(R153&lt;&gt;1,"",DATA_INPUT!K153)</f>
        <v/>
      </c>
      <c r="O153" s="18" t="str">
        <f t="shared" si="108"/>
        <v/>
      </c>
      <c r="P153" s="18" t="str">
        <f>IF(R153&lt;&gt;1,"",IF(O153-CONTROL_PANEL!$B$11&lt;0,0,O153-CONTROL_PANEL!$B$11))</f>
        <v/>
      </c>
      <c r="Q153" s="18" t="str">
        <f>IF(R153&lt;&gt;1,"",IF(N153&lt;=0,0,MIN(N153,MAX(0,CONTROL_PANEL!$B$13-O153))))</f>
        <v/>
      </c>
      <c r="R153" s="18"/>
      <c r="T153" s="19">
        <f t="shared" si="136"/>
        <v>2028</v>
      </c>
      <c r="U153" s="19">
        <f t="shared" si="92"/>
        <v>2</v>
      </c>
      <c r="V153" s="18" t="str">
        <f t="shared" si="109"/>
        <v/>
      </c>
      <c r="W153" s="18" t="str">
        <f t="shared" si="131"/>
        <v/>
      </c>
      <c r="X153" s="18" t="str">
        <f>IF(AK152&lt;&gt;1,"",IF(AH152&gt;0,IF(AH152&gt;CONTROL_PANEL!$B$11,CONTROL_PANEL!$B$11,AH152),0))</f>
        <v/>
      </c>
      <c r="Y153" s="18" t="str">
        <f t="shared" si="126"/>
        <v/>
      </c>
      <c r="Z153" s="18" t="str">
        <f>IF(AK153&lt;&gt;1,"",DATA_INPUT!I153)</f>
        <v/>
      </c>
      <c r="AA153" s="18" t="str">
        <f>IF(AK153&lt;&gt;1,"",Z153*CONTROL_PANEL!$B$5)</f>
        <v/>
      </c>
      <c r="AB153" s="18" t="str">
        <f>IF(AK153&lt;&gt;1,"",DATA_INPUT!$C153)</f>
        <v/>
      </c>
      <c r="AC153" s="18" t="str">
        <f t="shared" si="110"/>
        <v/>
      </c>
      <c r="AD153" s="18" t="str">
        <f>IF(AK153&lt;&gt;1,"",DATA_INPUT!$H153)</f>
        <v/>
      </c>
      <c r="AE153" s="18" t="str">
        <f t="shared" si="111"/>
        <v/>
      </c>
      <c r="AF153" s="18" t="str">
        <f>IF(AK153&lt;&gt;1,"",AA153*CONTROL_PANEL!$B$14)</f>
        <v/>
      </c>
      <c r="AG153" s="18" t="str">
        <f>IF(AK153&lt;&gt;1,"",DATA_INPUT!$L153)</f>
        <v/>
      </c>
      <c r="AH153" s="18" t="str">
        <f t="shared" si="112"/>
        <v/>
      </c>
      <c r="AI153" s="18" t="str">
        <f>IF(AK153&lt;&gt;1,"",IF(AH153-CONTROL_PANEL!$B$11&lt;0,0,AH153-CONTROL_PANEL!$B$11))</f>
        <v/>
      </c>
      <c r="AJ153" s="18" t="str">
        <f>IF(AK153&lt;&gt;1,"",IF(AG153&lt;=0,0,MIN(AG153,MAX(0,CONTROL_PANEL!$B$13-AH153))))</f>
        <v/>
      </c>
      <c r="AK153" s="18"/>
      <c r="AM153" s="19">
        <f t="shared" si="137"/>
        <v>2028</v>
      </c>
      <c r="AN153" s="19">
        <f t="shared" si="94"/>
        <v>2</v>
      </c>
      <c r="AO153" s="18" t="str">
        <f t="shared" si="113"/>
        <v/>
      </c>
      <c r="AP153" s="18" t="str">
        <f t="shared" si="132"/>
        <v/>
      </c>
      <c r="AQ153" s="18" t="str">
        <f>IF(BD152&lt;&gt;1,"",IF(BA152&gt;0,IF(BA152&gt;CONTROL_PANEL!$B$11,CONTROL_PANEL!$B$11,BA152),0))</f>
        <v/>
      </c>
      <c r="AR153" s="18" t="str">
        <f t="shared" si="127"/>
        <v/>
      </c>
      <c r="AS153" s="18" t="str">
        <f>IF(BD153&lt;&gt;1,"",DATA_INPUT!$I153)</f>
        <v/>
      </c>
      <c r="AT153" s="18" t="str">
        <f>IF(BD153&lt;&gt;1,"",AS153*CONTROL_PANEL!$B$5)</f>
        <v/>
      </c>
      <c r="AU153" s="18" t="str">
        <f>IF(BD153&lt;&gt;1,"",DATA_INPUT!$C153)</f>
        <v/>
      </c>
      <c r="AV153" s="18" t="str">
        <f t="shared" si="114"/>
        <v/>
      </c>
      <c r="AW153" s="18" t="str">
        <f>IF(BD153&lt;&gt;1,"",DATA_INPUT!$H153)</f>
        <v/>
      </c>
      <c r="AX153" s="18" t="str">
        <f t="shared" si="115"/>
        <v/>
      </c>
      <c r="AY153" s="18" t="str">
        <f>IF(BD153&lt;&gt;1,"",AT153*CONTROL_PANEL!$B$14)</f>
        <v/>
      </c>
      <c r="AZ153" s="18" t="str">
        <f>IF(BD153&lt;&gt;1,"",DATA_INPUT!$M153)</f>
        <v/>
      </c>
      <c r="BA153" s="18" t="str">
        <f t="shared" si="116"/>
        <v/>
      </c>
      <c r="BB153" s="18" t="str">
        <f>IF(BD153&lt;&gt;1,"",IF(BA153-CONTROL_PANEL!$B$11&lt;0,0,BA153-CONTROL_PANEL!$B$11))</f>
        <v/>
      </c>
      <c r="BC153" s="18" t="str">
        <f>IF(BD153&lt;&gt;1,"",IF(AZ153&lt;=0,0,MIN(AZ153,MAX(0,CONTROL_PANEL!$B$13-BA153))))</f>
        <v/>
      </c>
      <c r="BD153" s="18"/>
      <c r="BF153" s="19">
        <f t="shared" si="138"/>
        <v>2028</v>
      </c>
      <c r="BG153" s="19">
        <f t="shared" si="96"/>
        <v>2</v>
      </c>
      <c r="BH153" s="18" t="str">
        <f t="shared" si="117"/>
        <v/>
      </c>
      <c r="BI153" s="18" t="str">
        <f t="shared" si="133"/>
        <v/>
      </c>
      <c r="BJ153" s="18" t="str">
        <f>IF(BW152&lt;&gt;1,"",IF(BT152&gt;0,IF(BT152&gt;CONTROL_PANEL!$B$11,CONTROL_PANEL!$B$11,BT152),0))</f>
        <v/>
      </c>
      <c r="BK153" s="18" t="str">
        <f t="shared" si="128"/>
        <v/>
      </c>
      <c r="BL153" s="18" t="str">
        <f>IF(BW153&lt;&gt;1,"",DATA_INPUT!$I153)</f>
        <v/>
      </c>
      <c r="BM153" s="18" t="str">
        <f>IF(BW153&lt;&gt;1,"",BL153*CONTROL_PANEL!$B$5)</f>
        <v/>
      </c>
      <c r="BN153" s="18" t="str">
        <f>IF(BW153&lt;&gt;1,"",DATA_INPUT!$C153)</f>
        <v/>
      </c>
      <c r="BO153" s="18" t="str">
        <f t="shared" si="118"/>
        <v/>
      </c>
      <c r="BP153" s="18" t="str">
        <f>IF(BW153&lt;&gt;1,"",DATA_INPUT!$H153)</f>
        <v/>
      </c>
      <c r="BQ153" s="18" t="str">
        <f t="shared" si="119"/>
        <v/>
      </c>
      <c r="BR153" s="18" t="str">
        <f>IF(BW153&lt;&gt;1,"",BM153*CONTROL_PANEL!$B$14)</f>
        <v/>
      </c>
      <c r="BS153" s="18" t="str">
        <f>IF(BW153&lt;&gt;1,"",DATA_INPUT!$N153)</f>
        <v/>
      </c>
      <c r="BT153" s="18" t="str">
        <f t="shared" si="120"/>
        <v/>
      </c>
      <c r="BU153" s="18" t="str">
        <f>IF(BW153&lt;&gt;1,"",IF(BT153-CONTROL_PANEL!$B$11&lt;0,0,BT153-CONTROL_PANEL!$B$11))</f>
        <v/>
      </c>
      <c r="BV153" s="18" t="str">
        <f>IF(BW153&lt;&gt;1,"",IF(BS153&lt;=0,0,MIN(BS153,MAX(0,CONTROL_PANEL!$B$13-BT153))))</f>
        <v/>
      </c>
      <c r="BW153" s="18"/>
      <c r="BY153" s="19">
        <f t="shared" si="139"/>
        <v>2028</v>
      </c>
      <c r="BZ153" s="19">
        <f t="shared" si="98"/>
        <v>2</v>
      </c>
      <c r="CA153" s="18" t="str">
        <f t="shared" si="121"/>
        <v/>
      </c>
      <c r="CB153" s="18" t="str">
        <f t="shared" si="134"/>
        <v/>
      </c>
      <c r="CC153" s="18" t="str">
        <f>IF(CP152&lt;&gt;1,"",IF(CM152&gt;0,IF(CM152&gt;CONTROL_PANEL!$B$11,CONTROL_PANEL!$B$11,CM152),0))</f>
        <v/>
      </c>
      <c r="CD153" s="18" t="str">
        <f t="shared" si="129"/>
        <v/>
      </c>
      <c r="CE153" s="18" t="str">
        <f>IF(CP153&lt;&gt;1,"",DATA_INPUT!$I153)</f>
        <v/>
      </c>
      <c r="CF153" s="18" t="str">
        <f>IF(CP153&lt;&gt;1,"",CE153*CONTROL_PANEL!$B$5)</f>
        <v/>
      </c>
      <c r="CG153" s="18" t="str">
        <f>IF(CP153&lt;&gt;1,"",DATA_INPUT!$C153)</f>
        <v/>
      </c>
      <c r="CH153" s="18" t="str">
        <f t="shared" si="122"/>
        <v/>
      </c>
      <c r="CI153" s="18" t="str">
        <f>IF(CP153&lt;&gt;1,"",DATA_INPUT!$H153)</f>
        <v/>
      </c>
      <c r="CJ153" s="18" t="str">
        <f t="shared" si="123"/>
        <v/>
      </c>
      <c r="CK153" s="18" t="str">
        <f>IF(CP153&lt;&gt;1,"",CF153*CONTROL_PANEL!$B$14)</f>
        <v/>
      </c>
      <c r="CL153" s="18" t="str">
        <f>IF(CP153&lt;&gt;1,"",DATA_INPUT!$O153)</f>
        <v/>
      </c>
      <c r="CM153" s="18" t="str">
        <f t="shared" si="124"/>
        <v/>
      </c>
      <c r="CN153" s="18" t="str">
        <f>IF(CP153&lt;&gt;1,"",IF(CM153-CONTROL_PANEL!$B$11&lt;0,0,CM153-CONTROL_PANEL!$B$11))</f>
        <v/>
      </c>
      <c r="CO153" s="18" t="str">
        <f>IF(CP153&lt;&gt;1,"",IF(CL153&lt;=0,0,MIN(CL153,MAX(0,CONTROL_PANEL!$B$13-CM153))))</f>
        <v/>
      </c>
      <c r="CP153" s="18"/>
    </row>
    <row r="154" spans="1:94" x14ac:dyDescent="0.25">
      <c r="A154" s="19">
        <f t="shared" si="135"/>
        <v>2028</v>
      </c>
      <c r="B154" s="19">
        <f t="shared" si="90"/>
        <v>3</v>
      </c>
      <c r="C154" s="18" t="str">
        <f t="shared" si="105"/>
        <v/>
      </c>
      <c r="D154" s="18" t="str">
        <f t="shared" si="130"/>
        <v/>
      </c>
      <c r="E154" s="18" t="str">
        <f>IF(R153&lt;&gt;1,"",IF(O153&gt;0,IF(O153&gt;CONTROL_PANEL!$B$11,CONTROL_PANEL!$B$11,O153),0))</f>
        <v/>
      </c>
      <c r="F154" s="18" t="str">
        <f t="shared" si="125"/>
        <v/>
      </c>
      <c r="G154" s="18" t="str">
        <f>IF(R154&lt;&gt;1,"",DATA_INPUT!I154)</f>
        <v/>
      </c>
      <c r="H154" s="18" t="str">
        <f>IF(R154&lt;&gt;1,"",G154*CONTROL_PANEL!$B$5)</f>
        <v/>
      </c>
      <c r="I154" s="18" t="str">
        <f>IF(R154&lt;&gt;1,"",DATA_INPUT!C154)</f>
        <v/>
      </c>
      <c r="J154" s="18" t="str">
        <f t="shared" si="106"/>
        <v/>
      </c>
      <c r="K154" s="18" t="str">
        <f>IF(R154&lt;&gt;1,"",DATA_INPUT!H154)</f>
        <v/>
      </c>
      <c r="L154" s="18" t="str">
        <f t="shared" si="107"/>
        <v/>
      </c>
      <c r="M154" s="18" t="str">
        <f>IF(R154&lt;&gt;1,"",H154*CONTROL_PANEL!$B$14)</f>
        <v/>
      </c>
      <c r="N154" s="18" t="str">
        <f>IF(R154&lt;&gt;1,"",DATA_INPUT!K154)</f>
        <v/>
      </c>
      <c r="O154" s="18" t="str">
        <f t="shared" si="108"/>
        <v/>
      </c>
      <c r="P154" s="18" t="str">
        <f>IF(R154&lt;&gt;1,"",IF(O154-CONTROL_PANEL!$B$11&lt;0,0,O154-CONTROL_PANEL!$B$11))</f>
        <v/>
      </c>
      <c r="Q154" s="18" t="str">
        <f>IF(R154&lt;&gt;1,"",IF(N154&lt;=0,0,MIN(N154,MAX(0,CONTROL_PANEL!$B$13-O154))))</f>
        <v/>
      </c>
      <c r="R154" s="18"/>
      <c r="T154" s="19">
        <f t="shared" si="136"/>
        <v>2028</v>
      </c>
      <c r="U154" s="19">
        <f t="shared" si="92"/>
        <v>3</v>
      </c>
      <c r="V154" s="18" t="str">
        <f t="shared" si="109"/>
        <v/>
      </c>
      <c r="W154" s="18" t="str">
        <f t="shared" si="131"/>
        <v/>
      </c>
      <c r="X154" s="18" t="str">
        <f>IF(AK153&lt;&gt;1,"",IF(AH153&gt;0,IF(AH153&gt;CONTROL_PANEL!$B$11,CONTROL_PANEL!$B$11,AH153),0))</f>
        <v/>
      </c>
      <c r="Y154" s="18" t="str">
        <f t="shared" si="126"/>
        <v/>
      </c>
      <c r="Z154" s="18" t="str">
        <f>IF(AK154&lt;&gt;1,"",DATA_INPUT!I154)</f>
        <v/>
      </c>
      <c r="AA154" s="18" t="str">
        <f>IF(AK154&lt;&gt;1,"",Z154*CONTROL_PANEL!$B$5)</f>
        <v/>
      </c>
      <c r="AB154" s="18" t="str">
        <f>IF(AK154&lt;&gt;1,"",DATA_INPUT!$C154)</f>
        <v/>
      </c>
      <c r="AC154" s="18" t="str">
        <f t="shared" si="110"/>
        <v/>
      </c>
      <c r="AD154" s="18" t="str">
        <f>IF(AK154&lt;&gt;1,"",DATA_INPUT!$H154)</f>
        <v/>
      </c>
      <c r="AE154" s="18" t="str">
        <f t="shared" si="111"/>
        <v/>
      </c>
      <c r="AF154" s="18" t="str">
        <f>IF(AK154&lt;&gt;1,"",AA154*CONTROL_PANEL!$B$14)</f>
        <v/>
      </c>
      <c r="AG154" s="18" t="str">
        <f>IF(AK154&lt;&gt;1,"",DATA_INPUT!$L154)</f>
        <v/>
      </c>
      <c r="AH154" s="18" t="str">
        <f t="shared" si="112"/>
        <v/>
      </c>
      <c r="AI154" s="18" t="str">
        <f>IF(AK154&lt;&gt;1,"",IF(AH154-CONTROL_PANEL!$B$11&lt;0,0,AH154-CONTROL_PANEL!$B$11))</f>
        <v/>
      </c>
      <c r="AJ154" s="18" t="str">
        <f>IF(AK154&lt;&gt;1,"",IF(AG154&lt;=0,0,MIN(AG154,MAX(0,CONTROL_PANEL!$B$13-AH154))))</f>
        <v/>
      </c>
      <c r="AK154" s="18"/>
      <c r="AM154" s="19">
        <f t="shared" si="137"/>
        <v>2028</v>
      </c>
      <c r="AN154" s="19">
        <f t="shared" si="94"/>
        <v>3</v>
      </c>
      <c r="AO154" s="18" t="str">
        <f t="shared" si="113"/>
        <v/>
      </c>
      <c r="AP154" s="18" t="str">
        <f t="shared" si="132"/>
        <v/>
      </c>
      <c r="AQ154" s="18" t="str">
        <f>IF(BD153&lt;&gt;1,"",IF(BA153&gt;0,IF(BA153&gt;CONTROL_PANEL!$B$11,CONTROL_PANEL!$B$11,BA153),0))</f>
        <v/>
      </c>
      <c r="AR154" s="18" t="str">
        <f t="shared" si="127"/>
        <v/>
      </c>
      <c r="AS154" s="18" t="str">
        <f>IF(BD154&lt;&gt;1,"",DATA_INPUT!$I154)</f>
        <v/>
      </c>
      <c r="AT154" s="18" t="str">
        <f>IF(BD154&lt;&gt;1,"",AS154*CONTROL_PANEL!$B$5)</f>
        <v/>
      </c>
      <c r="AU154" s="18" t="str">
        <f>IF(BD154&lt;&gt;1,"",DATA_INPUT!$C154)</f>
        <v/>
      </c>
      <c r="AV154" s="18" t="str">
        <f t="shared" si="114"/>
        <v/>
      </c>
      <c r="AW154" s="18" t="str">
        <f>IF(BD154&lt;&gt;1,"",DATA_INPUT!$H154)</f>
        <v/>
      </c>
      <c r="AX154" s="18" t="str">
        <f t="shared" si="115"/>
        <v/>
      </c>
      <c r="AY154" s="18" t="str">
        <f>IF(BD154&lt;&gt;1,"",AT154*CONTROL_PANEL!$B$14)</f>
        <v/>
      </c>
      <c r="AZ154" s="18" t="str">
        <f>IF(BD154&lt;&gt;1,"",DATA_INPUT!$M154)</f>
        <v/>
      </c>
      <c r="BA154" s="18" t="str">
        <f t="shared" si="116"/>
        <v/>
      </c>
      <c r="BB154" s="18" t="str">
        <f>IF(BD154&lt;&gt;1,"",IF(BA154-CONTROL_PANEL!$B$11&lt;0,0,BA154-CONTROL_PANEL!$B$11))</f>
        <v/>
      </c>
      <c r="BC154" s="18" t="str">
        <f>IF(BD154&lt;&gt;1,"",IF(AZ154&lt;=0,0,MIN(AZ154,MAX(0,CONTROL_PANEL!$B$13-BA154))))</f>
        <v/>
      </c>
      <c r="BD154" s="18"/>
      <c r="BF154" s="19">
        <f t="shared" si="138"/>
        <v>2028</v>
      </c>
      <c r="BG154" s="19">
        <f t="shared" si="96"/>
        <v>3</v>
      </c>
      <c r="BH154" s="18" t="str">
        <f t="shared" si="117"/>
        <v/>
      </c>
      <c r="BI154" s="18" t="str">
        <f t="shared" si="133"/>
        <v/>
      </c>
      <c r="BJ154" s="18" t="str">
        <f>IF(BW153&lt;&gt;1,"",IF(BT153&gt;0,IF(BT153&gt;CONTROL_PANEL!$B$11,CONTROL_PANEL!$B$11,BT153),0))</f>
        <v/>
      </c>
      <c r="BK154" s="18" t="str">
        <f t="shared" si="128"/>
        <v/>
      </c>
      <c r="BL154" s="18" t="str">
        <f>IF(BW154&lt;&gt;1,"",DATA_INPUT!$I154)</f>
        <v/>
      </c>
      <c r="BM154" s="18" t="str">
        <f>IF(BW154&lt;&gt;1,"",BL154*CONTROL_PANEL!$B$5)</f>
        <v/>
      </c>
      <c r="BN154" s="18" t="str">
        <f>IF(BW154&lt;&gt;1,"",DATA_INPUT!$C154)</f>
        <v/>
      </c>
      <c r="BO154" s="18" t="str">
        <f t="shared" si="118"/>
        <v/>
      </c>
      <c r="BP154" s="18" t="str">
        <f>IF(BW154&lt;&gt;1,"",DATA_INPUT!$H154)</f>
        <v/>
      </c>
      <c r="BQ154" s="18" t="str">
        <f t="shared" si="119"/>
        <v/>
      </c>
      <c r="BR154" s="18" t="str">
        <f>IF(BW154&lt;&gt;1,"",BM154*CONTROL_PANEL!$B$14)</f>
        <v/>
      </c>
      <c r="BS154" s="18" t="str">
        <f>IF(BW154&lt;&gt;1,"",DATA_INPUT!$N154)</f>
        <v/>
      </c>
      <c r="BT154" s="18" t="str">
        <f t="shared" si="120"/>
        <v/>
      </c>
      <c r="BU154" s="18" t="str">
        <f>IF(BW154&lt;&gt;1,"",IF(BT154-CONTROL_PANEL!$B$11&lt;0,0,BT154-CONTROL_PANEL!$B$11))</f>
        <v/>
      </c>
      <c r="BV154" s="18" t="str">
        <f>IF(BW154&lt;&gt;1,"",IF(BS154&lt;=0,0,MIN(BS154,MAX(0,CONTROL_PANEL!$B$13-BT154))))</f>
        <v/>
      </c>
      <c r="BW154" s="18"/>
      <c r="BY154" s="19">
        <f t="shared" si="139"/>
        <v>2028</v>
      </c>
      <c r="BZ154" s="19">
        <f t="shared" si="98"/>
        <v>3</v>
      </c>
      <c r="CA154" s="18" t="str">
        <f t="shared" si="121"/>
        <v/>
      </c>
      <c r="CB154" s="18" t="str">
        <f t="shared" si="134"/>
        <v/>
      </c>
      <c r="CC154" s="18" t="str">
        <f>IF(CP153&lt;&gt;1,"",IF(CM153&gt;0,IF(CM153&gt;CONTROL_PANEL!$B$11,CONTROL_PANEL!$B$11,CM153),0))</f>
        <v/>
      </c>
      <c r="CD154" s="18" t="str">
        <f t="shared" si="129"/>
        <v/>
      </c>
      <c r="CE154" s="18" t="str">
        <f>IF(CP154&lt;&gt;1,"",DATA_INPUT!$I154)</f>
        <v/>
      </c>
      <c r="CF154" s="18" t="str">
        <f>IF(CP154&lt;&gt;1,"",CE154*CONTROL_PANEL!$B$5)</f>
        <v/>
      </c>
      <c r="CG154" s="18" t="str">
        <f>IF(CP154&lt;&gt;1,"",DATA_INPUT!$C154)</f>
        <v/>
      </c>
      <c r="CH154" s="18" t="str">
        <f t="shared" si="122"/>
        <v/>
      </c>
      <c r="CI154" s="18" t="str">
        <f>IF(CP154&lt;&gt;1,"",DATA_INPUT!$H154)</f>
        <v/>
      </c>
      <c r="CJ154" s="18" t="str">
        <f t="shared" si="123"/>
        <v/>
      </c>
      <c r="CK154" s="18" t="str">
        <f>IF(CP154&lt;&gt;1,"",CF154*CONTROL_PANEL!$B$14)</f>
        <v/>
      </c>
      <c r="CL154" s="18" t="str">
        <f>IF(CP154&lt;&gt;1,"",DATA_INPUT!$O154)</f>
        <v/>
      </c>
      <c r="CM154" s="18" t="str">
        <f t="shared" si="124"/>
        <v/>
      </c>
      <c r="CN154" s="18" t="str">
        <f>IF(CP154&lt;&gt;1,"",IF(CM154-CONTROL_PANEL!$B$11&lt;0,0,CM154-CONTROL_PANEL!$B$11))</f>
        <v/>
      </c>
      <c r="CO154" s="18" t="str">
        <f>IF(CP154&lt;&gt;1,"",IF(CL154&lt;=0,0,MIN(CL154,MAX(0,CONTROL_PANEL!$B$13-CM154))))</f>
        <v/>
      </c>
      <c r="CP154" s="18"/>
    </row>
    <row r="155" spans="1:94" x14ac:dyDescent="0.25">
      <c r="A155" s="19">
        <f t="shared" si="135"/>
        <v>2028</v>
      </c>
      <c r="B155" s="19">
        <f t="shared" si="90"/>
        <v>4</v>
      </c>
      <c r="C155" s="18" t="str">
        <f t="shared" si="105"/>
        <v/>
      </c>
      <c r="D155" s="18" t="str">
        <f t="shared" si="130"/>
        <v/>
      </c>
      <c r="E155" s="18" t="str">
        <f>IF(R154&lt;&gt;1,"",IF(O154&gt;0,IF(O154&gt;CONTROL_PANEL!$B$11,CONTROL_PANEL!$B$11,O154),0))</f>
        <v/>
      </c>
      <c r="F155" s="18" t="str">
        <f t="shared" si="125"/>
        <v/>
      </c>
      <c r="G155" s="18" t="str">
        <f>IF(R155&lt;&gt;1,"",DATA_INPUT!I155)</f>
        <v/>
      </c>
      <c r="H155" s="18" t="str">
        <f>IF(R155&lt;&gt;1,"",G155*CONTROL_PANEL!$B$5)</f>
        <v/>
      </c>
      <c r="I155" s="18" t="str">
        <f>IF(R155&lt;&gt;1,"",DATA_INPUT!C155)</f>
        <v/>
      </c>
      <c r="J155" s="18" t="str">
        <f t="shared" si="106"/>
        <v/>
      </c>
      <c r="K155" s="18" t="str">
        <f>IF(R155&lt;&gt;1,"",DATA_INPUT!H155)</f>
        <v/>
      </c>
      <c r="L155" s="18" t="str">
        <f t="shared" si="107"/>
        <v/>
      </c>
      <c r="M155" s="18" t="str">
        <f>IF(R155&lt;&gt;1,"",H155*CONTROL_PANEL!$B$14)</f>
        <v/>
      </c>
      <c r="N155" s="18" t="str">
        <f>IF(R155&lt;&gt;1,"",DATA_INPUT!K155)</f>
        <v/>
      </c>
      <c r="O155" s="18" t="str">
        <f t="shared" si="108"/>
        <v/>
      </c>
      <c r="P155" s="18" t="str">
        <f>IF(R155&lt;&gt;1,"",IF(O155-CONTROL_PANEL!$B$11&lt;0,0,O155-CONTROL_PANEL!$B$11))</f>
        <v/>
      </c>
      <c r="Q155" s="18" t="str">
        <f>IF(R155&lt;&gt;1,"",IF(N155&lt;=0,0,MIN(N155,MAX(0,CONTROL_PANEL!$B$13-O155))))</f>
        <v/>
      </c>
      <c r="R155" s="18"/>
      <c r="T155" s="19">
        <f t="shared" si="136"/>
        <v>2028</v>
      </c>
      <c r="U155" s="19">
        <f t="shared" si="92"/>
        <v>4</v>
      </c>
      <c r="V155" s="18" t="str">
        <f t="shared" si="109"/>
        <v/>
      </c>
      <c r="W155" s="18" t="str">
        <f t="shared" si="131"/>
        <v/>
      </c>
      <c r="X155" s="18" t="str">
        <f>IF(AK154&lt;&gt;1,"",IF(AH154&gt;0,IF(AH154&gt;CONTROL_PANEL!$B$11,CONTROL_PANEL!$B$11,AH154),0))</f>
        <v/>
      </c>
      <c r="Y155" s="18" t="str">
        <f t="shared" si="126"/>
        <v/>
      </c>
      <c r="Z155" s="18" t="str">
        <f>IF(AK155&lt;&gt;1,"",DATA_INPUT!I155)</f>
        <v/>
      </c>
      <c r="AA155" s="18" t="str">
        <f>IF(AK155&lt;&gt;1,"",Z155*CONTROL_PANEL!$B$5)</f>
        <v/>
      </c>
      <c r="AB155" s="18" t="str">
        <f>IF(AK155&lt;&gt;1,"",DATA_INPUT!$C155)</f>
        <v/>
      </c>
      <c r="AC155" s="18" t="str">
        <f t="shared" si="110"/>
        <v/>
      </c>
      <c r="AD155" s="18" t="str">
        <f>IF(AK155&lt;&gt;1,"",DATA_INPUT!$H155)</f>
        <v/>
      </c>
      <c r="AE155" s="18" t="str">
        <f t="shared" si="111"/>
        <v/>
      </c>
      <c r="AF155" s="18" t="str">
        <f>IF(AK155&lt;&gt;1,"",AA155*CONTROL_PANEL!$B$14)</f>
        <v/>
      </c>
      <c r="AG155" s="18" t="str">
        <f>IF(AK155&lt;&gt;1,"",DATA_INPUT!$L155)</f>
        <v/>
      </c>
      <c r="AH155" s="18" t="str">
        <f t="shared" si="112"/>
        <v/>
      </c>
      <c r="AI155" s="18" t="str">
        <f>IF(AK155&lt;&gt;1,"",IF(AH155-CONTROL_PANEL!$B$11&lt;0,0,AH155-CONTROL_PANEL!$B$11))</f>
        <v/>
      </c>
      <c r="AJ155" s="18" t="str">
        <f>IF(AK155&lt;&gt;1,"",IF(AG155&lt;=0,0,MIN(AG155,MAX(0,CONTROL_PANEL!$B$13-AH155))))</f>
        <v/>
      </c>
      <c r="AK155" s="18"/>
      <c r="AM155" s="19">
        <f t="shared" si="137"/>
        <v>2028</v>
      </c>
      <c r="AN155" s="19">
        <f t="shared" si="94"/>
        <v>4</v>
      </c>
      <c r="AO155" s="18" t="str">
        <f t="shared" si="113"/>
        <v/>
      </c>
      <c r="AP155" s="18" t="str">
        <f t="shared" si="132"/>
        <v/>
      </c>
      <c r="AQ155" s="18" t="str">
        <f>IF(BD154&lt;&gt;1,"",IF(BA154&gt;0,IF(BA154&gt;CONTROL_PANEL!$B$11,CONTROL_PANEL!$B$11,BA154),0))</f>
        <v/>
      </c>
      <c r="AR155" s="18" t="str">
        <f t="shared" si="127"/>
        <v/>
      </c>
      <c r="AS155" s="18" t="str">
        <f>IF(BD155&lt;&gt;1,"",DATA_INPUT!$I155)</f>
        <v/>
      </c>
      <c r="AT155" s="18" t="str">
        <f>IF(BD155&lt;&gt;1,"",AS155*CONTROL_PANEL!$B$5)</f>
        <v/>
      </c>
      <c r="AU155" s="18" t="str">
        <f>IF(BD155&lt;&gt;1,"",DATA_INPUT!$C155)</f>
        <v/>
      </c>
      <c r="AV155" s="18" t="str">
        <f t="shared" si="114"/>
        <v/>
      </c>
      <c r="AW155" s="18" t="str">
        <f>IF(BD155&lt;&gt;1,"",DATA_INPUT!$H155)</f>
        <v/>
      </c>
      <c r="AX155" s="18" t="str">
        <f t="shared" si="115"/>
        <v/>
      </c>
      <c r="AY155" s="18" t="str">
        <f>IF(BD155&lt;&gt;1,"",AT155*CONTROL_PANEL!$B$14)</f>
        <v/>
      </c>
      <c r="AZ155" s="18" t="str">
        <f>IF(BD155&lt;&gt;1,"",DATA_INPUT!$M155)</f>
        <v/>
      </c>
      <c r="BA155" s="18" t="str">
        <f t="shared" si="116"/>
        <v/>
      </c>
      <c r="BB155" s="18" t="str">
        <f>IF(BD155&lt;&gt;1,"",IF(BA155-CONTROL_PANEL!$B$11&lt;0,0,BA155-CONTROL_PANEL!$B$11))</f>
        <v/>
      </c>
      <c r="BC155" s="18" t="str">
        <f>IF(BD155&lt;&gt;1,"",IF(AZ155&lt;=0,0,MIN(AZ155,MAX(0,CONTROL_PANEL!$B$13-BA155))))</f>
        <v/>
      </c>
      <c r="BD155" s="18"/>
      <c r="BF155" s="19">
        <f t="shared" si="138"/>
        <v>2028</v>
      </c>
      <c r="BG155" s="19">
        <f t="shared" si="96"/>
        <v>4</v>
      </c>
      <c r="BH155" s="18" t="str">
        <f t="shared" si="117"/>
        <v/>
      </c>
      <c r="BI155" s="18" t="str">
        <f t="shared" si="133"/>
        <v/>
      </c>
      <c r="BJ155" s="18" t="str">
        <f>IF(BW154&lt;&gt;1,"",IF(BT154&gt;0,IF(BT154&gt;CONTROL_PANEL!$B$11,CONTROL_PANEL!$B$11,BT154),0))</f>
        <v/>
      </c>
      <c r="BK155" s="18" t="str">
        <f t="shared" si="128"/>
        <v/>
      </c>
      <c r="BL155" s="18" t="str">
        <f>IF(BW155&lt;&gt;1,"",DATA_INPUT!$I155)</f>
        <v/>
      </c>
      <c r="BM155" s="18" t="str">
        <f>IF(BW155&lt;&gt;1,"",BL155*CONTROL_PANEL!$B$5)</f>
        <v/>
      </c>
      <c r="BN155" s="18" t="str">
        <f>IF(BW155&lt;&gt;1,"",DATA_INPUT!$C155)</f>
        <v/>
      </c>
      <c r="BO155" s="18" t="str">
        <f t="shared" si="118"/>
        <v/>
      </c>
      <c r="BP155" s="18" t="str">
        <f>IF(BW155&lt;&gt;1,"",DATA_INPUT!$H155)</f>
        <v/>
      </c>
      <c r="BQ155" s="18" t="str">
        <f t="shared" si="119"/>
        <v/>
      </c>
      <c r="BR155" s="18" t="str">
        <f>IF(BW155&lt;&gt;1,"",BM155*CONTROL_PANEL!$B$14)</f>
        <v/>
      </c>
      <c r="BS155" s="18" t="str">
        <f>IF(BW155&lt;&gt;1,"",DATA_INPUT!$N155)</f>
        <v/>
      </c>
      <c r="BT155" s="18" t="str">
        <f t="shared" si="120"/>
        <v/>
      </c>
      <c r="BU155" s="18" t="str">
        <f>IF(BW155&lt;&gt;1,"",IF(BT155-CONTROL_PANEL!$B$11&lt;0,0,BT155-CONTROL_PANEL!$B$11))</f>
        <v/>
      </c>
      <c r="BV155" s="18" t="str">
        <f>IF(BW155&lt;&gt;1,"",IF(BS155&lt;=0,0,MIN(BS155,MAX(0,CONTROL_PANEL!$B$13-BT155))))</f>
        <v/>
      </c>
      <c r="BW155" s="18"/>
      <c r="BY155" s="19">
        <f t="shared" si="139"/>
        <v>2028</v>
      </c>
      <c r="BZ155" s="19">
        <f t="shared" si="98"/>
        <v>4</v>
      </c>
      <c r="CA155" s="18" t="str">
        <f t="shared" si="121"/>
        <v/>
      </c>
      <c r="CB155" s="18" t="str">
        <f t="shared" si="134"/>
        <v/>
      </c>
      <c r="CC155" s="18" t="str">
        <f>IF(CP154&lt;&gt;1,"",IF(CM154&gt;0,IF(CM154&gt;CONTROL_PANEL!$B$11,CONTROL_PANEL!$B$11,CM154),0))</f>
        <v/>
      </c>
      <c r="CD155" s="18" t="str">
        <f t="shared" si="129"/>
        <v/>
      </c>
      <c r="CE155" s="18" t="str">
        <f>IF(CP155&lt;&gt;1,"",DATA_INPUT!$I155)</f>
        <v/>
      </c>
      <c r="CF155" s="18" t="str">
        <f>IF(CP155&lt;&gt;1,"",CE155*CONTROL_PANEL!$B$5)</f>
        <v/>
      </c>
      <c r="CG155" s="18" t="str">
        <f>IF(CP155&lt;&gt;1,"",DATA_INPUT!$C155)</f>
        <v/>
      </c>
      <c r="CH155" s="18" t="str">
        <f t="shared" si="122"/>
        <v/>
      </c>
      <c r="CI155" s="18" t="str">
        <f>IF(CP155&lt;&gt;1,"",DATA_INPUT!$H155)</f>
        <v/>
      </c>
      <c r="CJ155" s="18" t="str">
        <f t="shared" si="123"/>
        <v/>
      </c>
      <c r="CK155" s="18" t="str">
        <f>IF(CP155&lt;&gt;1,"",CF155*CONTROL_PANEL!$B$14)</f>
        <v/>
      </c>
      <c r="CL155" s="18" t="str">
        <f>IF(CP155&lt;&gt;1,"",DATA_INPUT!$O155)</f>
        <v/>
      </c>
      <c r="CM155" s="18" t="str">
        <f t="shared" si="124"/>
        <v/>
      </c>
      <c r="CN155" s="18" t="str">
        <f>IF(CP155&lt;&gt;1,"",IF(CM155-CONTROL_PANEL!$B$11&lt;0,0,CM155-CONTROL_PANEL!$B$11))</f>
        <v/>
      </c>
      <c r="CO155" s="18" t="str">
        <f>IF(CP155&lt;&gt;1,"",IF(CL155&lt;=0,0,MIN(CL155,MAX(0,CONTROL_PANEL!$B$13-CM155))))</f>
        <v/>
      </c>
      <c r="CP155" s="18"/>
    </row>
    <row r="156" spans="1:94" x14ac:dyDescent="0.25">
      <c r="A156" s="19">
        <f t="shared" si="135"/>
        <v>2028</v>
      </c>
      <c r="B156" s="19">
        <f t="shared" si="90"/>
        <v>5</v>
      </c>
      <c r="C156" s="18" t="str">
        <f t="shared" si="105"/>
        <v/>
      </c>
      <c r="D156" s="18" t="str">
        <f t="shared" si="130"/>
        <v/>
      </c>
      <c r="E156" s="18" t="str">
        <f>IF(R155&lt;&gt;1,"",IF(O155&gt;0,IF(O155&gt;CONTROL_PANEL!$B$11,CONTROL_PANEL!$B$11,O155),0))</f>
        <v/>
      </c>
      <c r="F156" s="18" t="str">
        <f t="shared" si="125"/>
        <v/>
      </c>
      <c r="G156" s="18" t="str">
        <f>IF(R156&lt;&gt;1,"",DATA_INPUT!I156)</f>
        <v/>
      </c>
      <c r="H156" s="18" t="str">
        <f>IF(R156&lt;&gt;1,"",G156*CONTROL_PANEL!$B$5)</f>
        <v/>
      </c>
      <c r="I156" s="18" t="str">
        <f>IF(R156&lt;&gt;1,"",DATA_INPUT!C156)</f>
        <v/>
      </c>
      <c r="J156" s="18" t="str">
        <f t="shared" si="106"/>
        <v/>
      </c>
      <c r="K156" s="18" t="str">
        <f>IF(R156&lt;&gt;1,"",DATA_INPUT!H156)</f>
        <v/>
      </c>
      <c r="L156" s="18" t="str">
        <f t="shared" si="107"/>
        <v/>
      </c>
      <c r="M156" s="18" t="str">
        <f>IF(R156&lt;&gt;1,"",H156*CONTROL_PANEL!$B$14)</f>
        <v/>
      </c>
      <c r="N156" s="18" t="str">
        <f>IF(R156&lt;&gt;1,"",DATA_INPUT!K156)</f>
        <v/>
      </c>
      <c r="O156" s="18" t="str">
        <f t="shared" si="108"/>
        <v/>
      </c>
      <c r="P156" s="18" t="str">
        <f>IF(R156&lt;&gt;1,"",IF(O156-CONTROL_PANEL!$B$11&lt;0,0,O156-CONTROL_PANEL!$B$11))</f>
        <v/>
      </c>
      <c r="Q156" s="18" t="str">
        <f>IF(R156&lt;&gt;1,"",IF(N156&lt;=0,0,MIN(N156,MAX(0,CONTROL_PANEL!$B$13-O156))))</f>
        <v/>
      </c>
      <c r="R156" s="18"/>
      <c r="T156" s="19">
        <f t="shared" si="136"/>
        <v>2028</v>
      </c>
      <c r="U156" s="19">
        <f t="shared" si="92"/>
        <v>5</v>
      </c>
      <c r="V156" s="18" t="str">
        <f t="shared" si="109"/>
        <v/>
      </c>
      <c r="W156" s="18" t="str">
        <f t="shared" si="131"/>
        <v/>
      </c>
      <c r="X156" s="18" t="str">
        <f>IF(AK155&lt;&gt;1,"",IF(AH155&gt;0,IF(AH155&gt;CONTROL_PANEL!$B$11,CONTROL_PANEL!$B$11,AH155),0))</f>
        <v/>
      </c>
      <c r="Y156" s="18" t="str">
        <f t="shared" si="126"/>
        <v/>
      </c>
      <c r="Z156" s="18" t="str">
        <f>IF(AK156&lt;&gt;1,"",DATA_INPUT!I156)</f>
        <v/>
      </c>
      <c r="AA156" s="18" t="str">
        <f>IF(AK156&lt;&gt;1,"",Z156*CONTROL_PANEL!$B$5)</f>
        <v/>
      </c>
      <c r="AB156" s="18" t="str">
        <f>IF(AK156&lt;&gt;1,"",DATA_INPUT!$C156)</f>
        <v/>
      </c>
      <c r="AC156" s="18" t="str">
        <f t="shared" si="110"/>
        <v/>
      </c>
      <c r="AD156" s="18" t="str">
        <f>IF(AK156&lt;&gt;1,"",DATA_INPUT!$H156)</f>
        <v/>
      </c>
      <c r="AE156" s="18" t="str">
        <f t="shared" si="111"/>
        <v/>
      </c>
      <c r="AF156" s="18" t="str">
        <f>IF(AK156&lt;&gt;1,"",AA156*CONTROL_PANEL!$B$14)</f>
        <v/>
      </c>
      <c r="AG156" s="18" t="str">
        <f>IF(AK156&lt;&gt;1,"",DATA_INPUT!$L156)</f>
        <v/>
      </c>
      <c r="AH156" s="18" t="str">
        <f t="shared" si="112"/>
        <v/>
      </c>
      <c r="AI156" s="18" t="str">
        <f>IF(AK156&lt;&gt;1,"",IF(AH156-CONTROL_PANEL!$B$11&lt;0,0,AH156-CONTROL_PANEL!$B$11))</f>
        <v/>
      </c>
      <c r="AJ156" s="18" t="str">
        <f>IF(AK156&lt;&gt;1,"",IF(AG156&lt;=0,0,MIN(AG156,MAX(0,CONTROL_PANEL!$B$13-AH156))))</f>
        <v/>
      </c>
      <c r="AK156" s="18"/>
      <c r="AM156" s="19">
        <f t="shared" si="137"/>
        <v>2028</v>
      </c>
      <c r="AN156" s="19">
        <f t="shared" si="94"/>
        <v>5</v>
      </c>
      <c r="AO156" s="18" t="str">
        <f t="shared" si="113"/>
        <v/>
      </c>
      <c r="AP156" s="18" t="str">
        <f t="shared" si="132"/>
        <v/>
      </c>
      <c r="AQ156" s="18" t="str">
        <f>IF(BD155&lt;&gt;1,"",IF(BA155&gt;0,IF(BA155&gt;CONTROL_PANEL!$B$11,CONTROL_PANEL!$B$11,BA155),0))</f>
        <v/>
      </c>
      <c r="AR156" s="18" t="str">
        <f t="shared" si="127"/>
        <v/>
      </c>
      <c r="AS156" s="18" t="str">
        <f>IF(BD156&lt;&gt;1,"",DATA_INPUT!$I156)</f>
        <v/>
      </c>
      <c r="AT156" s="18" t="str">
        <f>IF(BD156&lt;&gt;1,"",AS156*CONTROL_PANEL!$B$5)</f>
        <v/>
      </c>
      <c r="AU156" s="18" t="str">
        <f>IF(BD156&lt;&gt;1,"",DATA_INPUT!$C156)</f>
        <v/>
      </c>
      <c r="AV156" s="18" t="str">
        <f t="shared" si="114"/>
        <v/>
      </c>
      <c r="AW156" s="18" t="str">
        <f>IF(BD156&lt;&gt;1,"",DATA_INPUT!$H156)</f>
        <v/>
      </c>
      <c r="AX156" s="18" t="str">
        <f t="shared" si="115"/>
        <v/>
      </c>
      <c r="AY156" s="18" t="str">
        <f>IF(BD156&lt;&gt;1,"",AT156*CONTROL_PANEL!$B$14)</f>
        <v/>
      </c>
      <c r="AZ156" s="18" t="str">
        <f>IF(BD156&lt;&gt;1,"",DATA_INPUT!$M156)</f>
        <v/>
      </c>
      <c r="BA156" s="18" t="str">
        <f t="shared" si="116"/>
        <v/>
      </c>
      <c r="BB156" s="18" t="str">
        <f>IF(BD156&lt;&gt;1,"",IF(BA156-CONTROL_PANEL!$B$11&lt;0,0,BA156-CONTROL_PANEL!$B$11))</f>
        <v/>
      </c>
      <c r="BC156" s="18" t="str">
        <f>IF(BD156&lt;&gt;1,"",IF(AZ156&lt;=0,0,MIN(AZ156,MAX(0,CONTROL_PANEL!$B$13-BA156))))</f>
        <v/>
      </c>
      <c r="BD156" s="18"/>
      <c r="BF156" s="19">
        <f t="shared" si="138"/>
        <v>2028</v>
      </c>
      <c r="BG156" s="19">
        <f t="shared" si="96"/>
        <v>5</v>
      </c>
      <c r="BH156" s="18" t="str">
        <f t="shared" si="117"/>
        <v/>
      </c>
      <c r="BI156" s="18" t="str">
        <f t="shared" si="133"/>
        <v/>
      </c>
      <c r="BJ156" s="18" t="str">
        <f>IF(BW155&lt;&gt;1,"",IF(BT155&gt;0,IF(BT155&gt;CONTROL_PANEL!$B$11,CONTROL_PANEL!$B$11,BT155),0))</f>
        <v/>
      </c>
      <c r="BK156" s="18" t="str">
        <f t="shared" si="128"/>
        <v/>
      </c>
      <c r="BL156" s="18" t="str">
        <f>IF(BW156&lt;&gt;1,"",DATA_INPUT!$I156)</f>
        <v/>
      </c>
      <c r="BM156" s="18" t="str">
        <f>IF(BW156&lt;&gt;1,"",BL156*CONTROL_PANEL!$B$5)</f>
        <v/>
      </c>
      <c r="BN156" s="18" t="str">
        <f>IF(BW156&lt;&gt;1,"",DATA_INPUT!$C156)</f>
        <v/>
      </c>
      <c r="BO156" s="18" t="str">
        <f t="shared" si="118"/>
        <v/>
      </c>
      <c r="BP156" s="18" t="str">
        <f>IF(BW156&lt;&gt;1,"",DATA_INPUT!$H156)</f>
        <v/>
      </c>
      <c r="BQ156" s="18" t="str">
        <f t="shared" si="119"/>
        <v/>
      </c>
      <c r="BR156" s="18" t="str">
        <f>IF(BW156&lt;&gt;1,"",BM156*CONTROL_PANEL!$B$14)</f>
        <v/>
      </c>
      <c r="BS156" s="18" t="str">
        <f>IF(BW156&lt;&gt;1,"",DATA_INPUT!$N156)</f>
        <v/>
      </c>
      <c r="BT156" s="18" t="str">
        <f t="shared" si="120"/>
        <v/>
      </c>
      <c r="BU156" s="18" t="str">
        <f>IF(BW156&lt;&gt;1,"",IF(BT156-CONTROL_PANEL!$B$11&lt;0,0,BT156-CONTROL_PANEL!$B$11))</f>
        <v/>
      </c>
      <c r="BV156" s="18" t="str">
        <f>IF(BW156&lt;&gt;1,"",IF(BS156&lt;=0,0,MIN(BS156,MAX(0,CONTROL_PANEL!$B$13-BT156))))</f>
        <v/>
      </c>
      <c r="BW156" s="18"/>
      <c r="BY156" s="19">
        <f t="shared" si="139"/>
        <v>2028</v>
      </c>
      <c r="BZ156" s="19">
        <f t="shared" si="98"/>
        <v>5</v>
      </c>
      <c r="CA156" s="18" t="str">
        <f t="shared" si="121"/>
        <v/>
      </c>
      <c r="CB156" s="18" t="str">
        <f t="shared" si="134"/>
        <v/>
      </c>
      <c r="CC156" s="18" t="str">
        <f>IF(CP155&lt;&gt;1,"",IF(CM155&gt;0,IF(CM155&gt;CONTROL_PANEL!$B$11,CONTROL_PANEL!$B$11,CM155),0))</f>
        <v/>
      </c>
      <c r="CD156" s="18" t="str">
        <f t="shared" si="129"/>
        <v/>
      </c>
      <c r="CE156" s="18" t="str">
        <f>IF(CP156&lt;&gt;1,"",DATA_INPUT!$I156)</f>
        <v/>
      </c>
      <c r="CF156" s="18" t="str">
        <f>IF(CP156&lt;&gt;1,"",CE156*CONTROL_PANEL!$B$5)</f>
        <v/>
      </c>
      <c r="CG156" s="18" t="str">
        <f>IF(CP156&lt;&gt;1,"",DATA_INPUT!$C156)</f>
        <v/>
      </c>
      <c r="CH156" s="18" t="str">
        <f t="shared" si="122"/>
        <v/>
      </c>
      <c r="CI156" s="18" t="str">
        <f>IF(CP156&lt;&gt;1,"",DATA_INPUT!$H156)</f>
        <v/>
      </c>
      <c r="CJ156" s="18" t="str">
        <f t="shared" si="123"/>
        <v/>
      </c>
      <c r="CK156" s="18" t="str">
        <f>IF(CP156&lt;&gt;1,"",CF156*CONTROL_PANEL!$B$14)</f>
        <v/>
      </c>
      <c r="CL156" s="18" t="str">
        <f>IF(CP156&lt;&gt;1,"",DATA_INPUT!$O156)</f>
        <v/>
      </c>
      <c r="CM156" s="18" t="str">
        <f t="shared" si="124"/>
        <v/>
      </c>
      <c r="CN156" s="18" t="str">
        <f>IF(CP156&lt;&gt;1,"",IF(CM156-CONTROL_PANEL!$B$11&lt;0,0,CM156-CONTROL_PANEL!$B$11))</f>
        <v/>
      </c>
      <c r="CO156" s="18" t="str">
        <f>IF(CP156&lt;&gt;1,"",IF(CL156&lt;=0,0,MIN(CL156,MAX(0,CONTROL_PANEL!$B$13-CM156))))</f>
        <v/>
      </c>
      <c r="CP156" s="18"/>
    </row>
    <row r="157" spans="1:94" x14ac:dyDescent="0.25">
      <c r="A157" s="19">
        <f t="shared" si="135"/>
        <v>2028</v>
      </c>
      <c r="B157" s="19">
        <f t="shared" si="90"/>
        <v>6</v>
      </c>
      <c r="C157" s="18" t="str">
        <f t="shared" si="105"/>
        <v/>
      </c>
      <c r="D157" s="18" t="str">
        <f t="shared" si="130"/>
        <v/>
      </c>
      <c r="E157" s="18" t="str">
        <f>IF(R156&lt;&gt;1,"",IF(O156&gt;0,IF(O156&gt;CONTROL_PANEL!$B$11,CONTROL_PANEL!$B$11,O156),0))</f>
        <v/>
      </c>
      <c r="F157" s="18" t="str">
        <f t="shared" si="125"/>
        <v/>
      </c>
      <c r="G157" s="18" t="str">
        <f>IF(R157&lt;&gt;1,"",DATA_INPUT!I157)</f>
        <v/>
      </c>
      <c r="H157" s="18" t="str">
        <f>IF(R157&lt;&gt;1,"",G157*CONTROL_PANEL!$B$5)</f>
        <v/>
      </c>
      <c r="I157" s="18" t="str">
        <f>IF(R157&lt;&gt;1,"",DATA_INPUT!C157)</f>
        <v/>
      </c>
      <c r="J157" s="18" t="str">
        <f t="shared" si="106"/>
        <v/>
      </c>
      <c r="K157" s="18" t="str">
        <f>IF(R157&lt;&gt;1,"",DATA_INPUT!H157)</f>
        <v/>
      </c>
      <c r="L157" s="18" t="str">
        <f t="shared" si="107"/>
        <v/>
      </c>
      <c r="M157" s="18" t="str">
        <f>IF(R157&lt;&gt;1,"",H157*CONTROL_PANEL!$B$14)</f>
        <v/>
      </c>
      <c r="N157" s="18" t="str">
        <f>IF(R157&lt;&gt;1,"",DATA_INPUT!K157)</f>
        <v/>
      </c>
      <c r="O157" s="18" t="str">
        <f t="shared" si="108"/>
        <v/>
      </c>
      <c r="P157" s="18" t="str">
        <f>IF(R157&lt;&gt;1,"",IF(O157-CONTROL_PANEL!$B$11&lt;0,0,O157-CONTROL_PANEL!$B$11))</f>
        <v/>
      </c>
      <c r="Q157" s="18" t="str">
        <f>IF(R157&lt;&gt;1,"",IF(N157&lt;=0,0,MIN(N157,MAX(0,CONTROL_PANEL!$B$13-O157))))</f>
        <v/>
      </c>
      <c r="R157" s="18"/>
      <c r="T157" s="19">
        <f t="shared" si="136"/>
        <v>2028</v>
      </c>
      <c r="U157" s="19">
        <f t="shared" si="92"/>
        <v>6</v>
      </c>
      <c r="V157" s="18" t="str">
        <f t="shared" si="109"/>
        <v/>
      </c>
      <c r="W157" s="18" t="str">
        <f t="shared" si="131"/>
        <v/>
      </c>
      <c r="X157" s="18" t="str">
        <f>IF(AK156&lt;&gt;1,"",IF(AH156&gt;0,IF(AH156&gt;CONTROL_PANEL!$B$11,CONTROL_PANEL!$B$11,AH156),0))</f>
        <v/>
      </c>
      <c r="Y157" s="18" t="str">
        <f t="shared" si="126"/>
        <v/>
      </c>
      <c r="Z157" s="18" t="str">
        <f>IF(AK157&lt;&gt;1,"",DATA_INPUT!I157)</f>
        <v/>
      </c>
      <c r="AA157" s="18" t="str">
        <f>IF(AK157&lt;&gt;1,"",Z157*CONTROL_PANEL!$B$5)</f>
        <v/>
      </c>
      <c r="AB157" s="18" t="str">
        <f>IF(AK157&lt;&gt;1,"",DATA_INPUT!$C157)</f>
        <v/>
      </c>
      <c r="AC157" s="18" t="str">
        <f t="shared" si="110"/>
        <v/>
      </c>
      <c r="AD157" s="18" t="str">
        <f>IF(AK157&lt;&gt;1,"",DATA_INPUT!$H157)</f>
        <v/>
      </c>
      <c r="AE157" s="18" t="str">
        <f t="shared" si="111"/>
        <v/>
      </c>
      <c r="AF157" s="18" t="str">
        <f>IF(AK157&lt;&gt;1,"",AA157*CONTROL_PANEL!$B$14)</f>
        <v/>
      </c>
      <c r="AG157" s="18" t="str">
        <f>IF(AK157&lt;&gt;1,"",DATA_INPUT!$L157)</f>
        <v/>
      </c>
      <c r="AH157" s="18" t="str">
        <f t="shared" si="112"/>
        <v/>
      </c>
      <c r="AI157" s="18" t="str">
        <f>IF(AK157&lt;&gt;1,"",IF(AH157-CONTROL_PANEL!$B$11&lt;0,0,AH157-CONTROL_PANEL!$B$11))</f>
        <v/>
      </c>
      <c r="AJ157" s="18" t="str">
        <f>IF(AK157&lt;&gt;1,"",IF(AG157&lt;=0,0,MIN(AG157,MAX(0,CONTROL_PANEL!$B$13-AH157))))</f>
        <v/>
      </c>
      <c r="AK157" s="18"/>
      <c r="AM157" s="19">
        <f t="shared" si="137"/>
        <v>2028</v>
      </c>
      <c r="AN157" s="19">
        <f t="shared" si="94"/>
        <v>6</v>
      </c>
      <c r="AO157" s="18" t="str">
        <f t="shared" si="113"/>
        <v/>
      </c>
      <c r="AP157" s="18" t="str">
        <f t="shared" si="132"/>
        <v/>
      </c>
      <c r="AQ157" s="18" t="str">
        <f>IF(BD156&lt;&gt;1,"",IF(BA156&gt;0,IF(BA156&gt;CONTROL_PANEL!$B$11,CONTROL_PANEL!$B$11,BA156),0))</f>
        <v/>
      </c>
      <c r="AR157" s="18" t="str">
        <f t="shared" si="127"/>
        <v/>
      </c>
      <c r="AS157" s="18" t="str">
        <f>IF(BD157&lt;&gt;1,"",DATA_INPUT!$I157)</f>
        <v/>
      </c>
      <c r="AT157" s="18" t="str">
        <f>IF(BD157&lt;&gt;1,"",AS157*CONTROL_PANEL!$B$5)</f>
        <v/>
      </c>
      <c r="AU157" s="18" t="str">
        <f>IF(BD157&lt;&gt;1,"",DATA_INPUT!$C157)</f>
        <v/>
      </c>
      <c r="AV157" s="18" t="str">
        <f t="shared" si="114"/>
        <v/>
      </c>
      <c r="AW157" s="18" t="str">
        <f>IF(BD157&lt;&gt;1,"",DATA_INPUT!$H157)</f>
        <v/>
      </c>
      <c r="AX157" s="18" t="str">
        <f t="shared" si="115"/>
        <v/>
      </c>
      <c r="AY157" s="18" t="str">
        <f>IF(BD157&lt;&gt;1,"",AT157*CONTROL_PANEL!$B$14)</f>
        <v/>
      </c>
      <c r="AZ157" s="18" t="str">
        <f>IF(BD157&lt;&gt;1,"",DATA_INPUT!$M157)</f>
        <v/>
      </c>
      <c r="BA157" s="18" t="str">
        <f t="shared" si="116"/>
        <v/>
      </c>
      <c r="BB157" s="18" t="str">
        <f>IF(BD157&lt;&gt;1,"",IF(BA157-CONTROL_PANEL!$B$11&lt;0,0,BA157-CONTROL_PANEL!$B$11))</f>
        <v/>
      </c>
      <c r="BC157" s="18" t="str">
        <f>IF(BD157&lt;&gt;1,"",IF(AZ157&lt;=0,0,MIN(AZ157,MAX(0,CONTROL_PANEL!$B$13-BA157))))</f>
        <v/>
      </c>
      <c r="BD157" s="18"/>
      <c r="BF157" s="19">
        <f t="shared" si="138"/>
        <v>2028</v>
      </c>
      <c r="BG157" s="19">
        <f t="shared" si="96"/>
        <v>6</v>
      </c>
      <c r="BH157" s="18" t="str">
        <f t="shared" si="117"/>
        <v/>
      </c>
      <c r="BI157" s="18" t="str">
        <f t="shared" si="133"/>
        <v/>
      </c>
      <c r="BJ157" s="18" t="str">
        <f>IF(BW156&lt;&gt;1,"",IF(BT156&gt;0,IF(BT156&gt;CONTROL_PANEL!$B$11,CONTROL_PANEL!$B$11,BT156),0))</f>
        <v/>
      </c>
      <c r="BK157" s="18" t="str">
        <f t="shared" si="128"/>
        <v/>
      </c>
      <c r="BL157" s="18" t="str">
        <f>IF(BW157&lt;&gt;1,"",DATA_INPUT!$I157)</f>
        <v/>
      </c>
      <c r="BM157" s="18" t="str">
        <f>IF(BW157&lt;&gt;1,"",BL157*CONTROL_PANEL!$B$5)</f>
        <v/>
      </c>
      <c r="BN157" s="18" t="str">
        <f>IF(BW157&lt;&gt;1,"",DATA_INPUT!$C157)</f>
        <v/>
      </c>
      <c r="BO157" s="18" t="str">
        <f t="shared" si="118"/>
        <v/>
      </c>
      <c r="BP157" s="18" t="str">
        <f>IF(BW157&lt;&gt;1,"",DATA_INPUT!$H157)</f>
        <v/>
      </c>
      <c r="BQ157" s="18" t="str">
        <f t="shared" si="119"/>
        <v/>
      </c>
      <c r="BR157" s="18" t="str">
        <f>IF(BW157&lt;&gt;1,"",BM157*CONTROL_PANEL!$B$14)</f>
        <v/>
      </c>
      <c r="BS157" s="18" t="str">
        <f>IF(BW157&lt;&gt;1,"",DATA_INPUT!$N157)</f>
        <v/>
      </c>
      <c r="BT157" s="18" t="str">
        <f t="shared" si="120"/>
        <v/>
      </c>
      <c r="BU157" s="18" t="str">
        <f>IF(BW157&lt;&gt;1,"",IF(BT157-CONTROL_PANEL!$B$11&lt;0,0,BT157-CONTROL_PANEL!$B$11))</f>
        <v/>
      </c>
      <c r="BV157" s="18" t="str">
        <f>IF(BW157&lt;&gt;1,"",IF(BS157&lt;=0,0,MIN(BS157,MAX(0,CONTROL_PANEL!$B$13-BT157))))</f>
        <v/>
      </c>
      <c r="BW157" s="18"/>
      <c r="BY157" s="19">
        <f t="shared" si="139"/>
        <v>2028</v>
      </c>
      <c r="BZ157" s="19">
        <f t="shared" si="98"/>
        <v>6</v>
      </c>
      <c r="CA157" s="18" t="str">
        <f t="shared" si="121"/>
        <v/>
      </c>
      <c r="CB157" s="18" t="str">
        <f t="shared" si="134"/>
        <v/>
      </c>
      <c r="CC157" s="18" t="str">
        <f>IF(CP156&lt;&gt;1,"",IF(CM156&gt;0,IF(CM156&gt;CONTROL_PANEL!$B$11,CONTROL_PANEL!$B$11,CM156),0))</f>
        <v/>
      </c>
      <c r="CD157" s="18" t="str">
        <f t="shared" si="129"/>
        <v/>
      </c>
      <c r="CE157" s="18" t="str">
        <f>IF(CP157&lt;&gt;1,"",DATA_INPUT!$I157)</f>
        <v/>
      </c>
      <c r="CF157" s="18" t="str">
        <f>IF(CP157&lt;&gt;1,"",CE157*CONTROL_PANEL!$B$5)</f>
        <v/>
      </c>
      <c r="CG157" s="18" t="str">
        <f>IF(CP157&lt;&gt;1,"",DATA_INPUT!$C157)</f>
        <v/>
      </c>
      <c r="CH157" s="18" t="str">
        <f t="shared" si="122"/>
        <v/>
      </c>
      <c r="CI157" s="18" t="str">
        <f>IF(CP157&lt;&gt;1,"",DATA_INPUT!$H157)</f>
        <v/>
      </c>
      <c r="CJ157" s="18" t="str">
        <f t="shared" si="123"/>
        <v/>
      </c>
      <c r="CK157" s="18" t="str">
        <f>IF(CP157&lt;&gt;1,"",CF157*CONTROL_PANEL!$B$14)</f>
        <v/>
      </c>
      <c r="CL157" s="18" t="str">
        <f>IF(CP157&lt;&gt;1,"",DATA_INPUT!$O157)</f>
        <v/>
      </c>
      <c r="CM157" s="18" t="str">
        <f t="shared" si="124"/>
        <v/>
      </c>
      <c r="CN157" s="18" t="str">
        <f>IF(CP157&lt;&gt;1,"",IF(CM157-CONTROL_PANEL!$B$11&lt;0,0,CM157-CONTROL_PANEL!$B$11))</f>
        <v/>
      </c>
      <c r="CO157" s="18" t="str">
        <f>IF(CP157&lt;&gt;1,"",IF(CL157&lt;=0,0,MIN(CL157,MAX(0,CONTROL_PANEL!$B$13-CM157))))</f>
        <v/>
      </c>
      <c r="CP157" s="18"/>
    </row>
    <row r="158" spans="1:94" x14ac:dyDescent="0.25">
      <c r="A158" s="19">
        <f t="shared" si="135"/>
        <v>2028</v>
      </c>
      <c r="B158" s="19">
        <f t="shared" si="90"/>
        <v>7</v>
      </c>
      <c r="C158" s="18" t="str">
        <f t="shared" si="105"/>
        <v/>
      </c>
      <c r="D158" s="18" t="str">
        <f t="shared" si="130"/>
        <v/>
      </c>
      <c r="E158" s="18" t="str">
        <f>IF(R157&lt;&gt;1,"",IF(O157&gt;0,IF(O157&gt;CONTROL_PANEL!$B$11,CONTROL_PANEL!$B$11,O157),0))</f>
        <v/>
      </c>
      <c r="F158" s="18" t="str">
        <f t="shared" si="125"/>
        <v/>
      </c>
      <c r="G158" s="18" t="str">
        <f>IF(R158&lt;&gt;1,"",DATA_INPUT!I158)</f>
        <v/>
      </c>
      <c r="H158" s="18" t="str">
        <f>IF(R158&lt;&gt;1,"",G158*CONTROL_PANEL!$B$5)</f>
        <v/>
      </c>
      <c r="I158" s="18" t="str">
        <f>IF(R158&lt;&gt;1,"",DATA_INPUT!C158)</f>
        <v/>
      </c>
      <c r="J158" s="18" t="str">
        <f t="shared" si="106"/>
        <v/>
      </c>
      <c r="K158" s="18" t="str">
        <f>IF(R158&lt;&gt;1,"",DATA_INPUT!H158)</f>
        <v/>
      </c>
      <c r="L158" s="18" t="str">
        <f t="shared" si="107"/>
        <v/>
      </c>
      <c r="M158" s="18" t="str">
        <f>IF(R158&lt;&gt;1,"",H158*CONTROL_PANEL!$B$14)</f>
        <v/>
      </c>
      <c r="N158" s="18" t="str">
        <f>IF(R158&lt;&gt;1,"",DATA_INPUT!K158)</f>
        <v/>
      </c>
      <c r="O158" s="18" t="str">
        <f t="shared" si="108"/>
        <v/>
      </c>
      <c r="P158" s="18" t="str">
        <f>IF(R158&lt;&gt;1,"",IF(O158-CONTROL_PANEL!$B$11&lt;0,0,O158-CONTROL_PANEL!$B$11))</f>
        <v/>
      </c>
      <c r="Q158" s="18" t="str">
        <f>IF(R158&lt;&gt;1,"",IF(N158&lt;=0,0,MIN(N158,MAX(0,CONTROL_PANEL!$B$13-O158))))</f>
        <v/>
      </c>
      <c r="R158" s="18"/>
      <c r="T158" s="19">
        <f t="shared" si="136"/>
        <v>2028</v>
      </c>
      <c r="U158" s="19">
        <f t="shared" si="92"/>
        <v>7</v>
      </c>
      <c r="V158" s="18" t="str">
        <f t="shared" si="109"/>
        <v/>
      </c>
      <c r="W158" s="18" t="str">
        <f t="shared" si="131"/>
        <v/>
      </c>
      <c r="X158" s="18" t="str">
        <f>IF(AK157&lt;&gt;1,"",IF(AH157&gt;0,IF(AH157&gt;CONTROL_PANEL!$B$11,CONTROL_PANEL!$B$11,AH157),0))</f>
        <v/>
      </c>
      <c r="Y158" s="18" t="str">
        <f t="shared" si="126"/>
        <v/>
      </c>
      <c r="Z158" s="18" t="str">
        <f>IF(AK158&lt;&gt;1,"",DATA_INPUT!I158)</f>
        <v/>
      </c>
      <c r="AA158" s="18" t="str">
        <f>IF(AK158&lt;&gt;1,"",Z158*CONTROL_PANEL!$B$5)</f>
        <v/>
      </c>
      <c r="AB158" s="18" t="str">
        <f>IF(AK158&lt;&gt;1,"",DATA_INPUT!$C158)</f>
        <v/>
      </c>
      <c r="AC158" s="18" t="str">
        <f t="shared" si="110"/>
        <v/>
      </c>
      <c r="AD158" s="18" t="str">
        <f>IF(AK158&lt;&gt;1,"",DATA_INPUT!$H158)</f>
        <v/>
      </c>
      <c r="AE158" s="18" t="str">
        <f t="shared" si="111"/>
        <v/>
      </c>
      <c r="AF158" s="18" t="str">
        <f>IF(AK158&lt;&gt;1,"",AA158*CONTROL_PANEL!$B$14)</f>
        <v/>
      </c>
      <c r="AG158" s="18" t="str">
        <f>IF(AK158&lt;&gt;1,"",DATA_INPUT!$L158)</f>
        <v/>
      </c>
      <c r="AH158" s="18" t="str">
        <f t="shared" si="112"/>
        <v/>
      </c>
      <c r="AI158" s="18" t="str">
        <f>IF(AK158&lt;&gt;1,"",IF(AH158-CONTROL_PANEL!$B$11&lt;0,0,AH158-CONTROL_PANEL!$B$11))</f>
        <v/>
      </c>
      <c r="AJ158" s="18" t="str">
        <f>IF(AK158&lt;&gt;1,"",IF(AG158&lt;=0,0,MIN(AG158,MAX(0,CONTROL_PANEL!$B$13-AH158))))</f>
        <v/>
      </c>
      <c r="AK158" s="18"/>
      <c r="AM158" s="19">
        <f t="shared" si="137"/>
        <v>2028</v>
      </c>
      <c r="AN158" s="19">
        <f t="shared" si="94"/>
        <v>7</v>
      </c>
      <c r="AO158" s="18" t="str">
        <f t="shared" si="113"/>
        <v/>
      </c>
      <c r="AP158" s="18" t="str">
        <f t="shared" si="132"/>
        <v/>
      </c>
      <c r="AQ158" s="18" t="str">
        <f>IF(BD157&lt;&gt;1,"",IF(BA157&gt;0,IF(BA157&gt;CONTROL_PANEL!$B$11,CONTROL_PANEL!$B$11,BA157),0))</f>
        <v/>
      </c>
      <c r="AR158" s="18" t="str">
        <f t="shared" si="127"/>
        <v/>
      </c>
      <c r="AS158" s="18" t="str">
        <f>IF(BD158&lt;&gt;1,"",DATA_INPUT!$I158)</f>
        <v/>
      </c>
      <c r="AT158" s="18" t="str">
        <f>IF(BD158&lt;&gt;1,"",AS158*CONTROL_PANEL!$B$5)</f>
        <v/>
      </c>
      <c r="AU158" s="18" t="str">
        <f>IF(BD158&lt;&gt;1,"",DATA_INPUT!$C158)</f>
        <v/>
      </c>
      <c r="AV158" s="18" t="str">
        <f t="shared" si="114"/>
        <v/>
      </c>
      <c r="AW158" s="18" t="str">
        <f>IF(BD158&lt;&gt;1,"",DATA_INPUT!$H158)</f>
        <v/>
      </c>
      <c r="AX158" s="18" t="str">
        <f t="shared" si="115"/>
        <v/>
      </c>
      <c r="AY158" s="18" t="str">
        <f>IF(BD158&lt;&gt;1,"",AT158*CONTROL_PANEL!$B$14)</f>
        <v/>
      </c>
      <c r="AZ158" s="18" t="str">
        <f>IF(BD158&lt;&gt;1,"",DATA_INPUT!$M158)</f>
        <v/>
      </c>
      <c r="BA158" s="18" t="str">
        <f t="shared" si="116"/>
        <v/>
      </c>
      <c r="BB158" s="18" t="str">
        <f>IF(BD158&lt;&gt;1,"",IF(BA158-CONTROL_PANEL!$B$11&lt;0,0,BA158-CONTROL_PANEL!$B$11))</f>
        <v/>
      </c>
      <c r="BC158" s="18" t="str">
        <f>IF(BD158&lt;&gt;1,"",IF(AZ158&lt;=0,0,MIN(AZ158,MAX(0,CONTROL_PANEL!$B$13-BA158))))</f>
        <v/>
      </c>
      <c r="BD158" s="18"/>
      <c r="BF158" s="19">
        <f t="shared" si="138"/>
        <v>2028</v>
      </c>
      <c r="BG158" s="19">
        <f t="shared" si="96"/>
        <v>7</v>
      </c>
      <c r="BH158" s="18" t="str">
        <f t="shared" si="117"/>
        <v/>
      </c>
      <c r="BI158" s="18" t="str">
        <f t="shared" si="133"/>
        <v/>
      </c>
      <c r="BJ158" s="18" t="str">
        <f>IF(BW157&lt;&gt;1,"",IF(BT157&gt;0,IF(BT157&gt;CONTROL_PANEL!$B$11,CONTROL_PANEL!$B$11,BT157),0))</f>
        <v/>
      </c>
      <c r="BK158" s="18" t="str">
        <f t="shared" si="128"/>
        <v/>
      </c>
      <c r="BL158" s="18" t="str">
        <f>IF(BW158&lt;&gt;1,"",DATA_INPUT!$I158)</f>
        <v/>
      </c>
      <c r="BM158" s="18" t="str">
        <f>IF(BW158&lt;&gt;1,"",BL158*CONTROL_PANEL!$B$5)</f>
        <v/>
      </c>
      <c r="BN158" s="18" t="str">
        <f>IF(BW158&lt;&gt;1,"",DATA_INPUT!$C158)</f>
        <v/>
      </c>
      <c r="BO158" s="18" t="str">
        <f t="shared" si="118"/>
        <v/>
      </c>
      <c r="BP158" s="18" t="str">
        <f>IF(BW158&lt;&gt;1,"",DATA_INPUT!$H158)</f>
        <v/>
      </c>
      <c r="BQ158" s="18" t="str">
        <f t="shared" si="119"/>
        <v/>
      </c>
      <c r="BR158" s="18" t="str">
        <f>IF(BW158&lt;&gt;1,"",BM158*CONTROL_PANEL!$B$14)</f>
        <v/>
      </c>
      <c r="BS158" s="18" t="str">
        <f>IF(BW158&lt;&gt;1,"",DATA_INPUT!$N158)</f>
        <v/>
      </c>
      <c r="BT158" s="18" t="str">
        <f t="shared" si="120"/>
        <v/>
      </c>
      <c r="BU158" s="18" t="str">
        <f>IF(BW158&lt;&gt;1,"",IF(BT158-CONTROL_PANEL!$B$11&lt;0,0,BT158-CONTROL_PANEL!$B$11))</f>
        <v/>
      </c>
      <c r="BV158" s="18" t="str">
        <f>IF(BW158&lt;&gt;1,"",IF(BS158&lt;=0,0,MIN(BS158,MAX(0,CONTROL_PANEL!$B$13-BT158))))</f>
        <v/>
      </c>
      <c r="BW158" s="18"/>
      <c r="BY158" s="19">
        <f t="shared" si="139"/>
        <v>2028</v>
      </c>
      <c r="BZ158" s="19">
        <f t="shared" si="98"/>
        <v>7</v>
      </c>
      <c r="CA158" s="18" t="str">
        <f t="shared" si="121"/>
        <v/>
      </c>
      <c r="CB158" s="18" t="str">
        <f t="shared" si="134"/>
        <v/>
      </c>
      <c r="CC158" s="18" t="str">
        <f>IF(CP157&lt;&gt;1,"",IF(CM157&gt;0,IF(CM157&gt;CONTROL_PANEL!$B$11,CONTROL_PANEL!$B$11,CM157),0))</f>
        <v/>
      </c>
      <c r="CD158" s="18" t="str">
        <f t="shared" si="129"/>
        <v/>
      </c>
      <c r="CE158" s="18" t="str">
        <f>IF(CP158&lt;&gt;1,"",DATA_INPUT!$I158)</f>
        <v/>
      </c>
      <c r="CF158" s="18" t="str">
        <f>IF(CP158&lt;&gt;1,"",CE158*CONTROL_PANEL!$B$5)</f>
        <v/>
      </c>
      <c r="CG158" s="18" t="str">
        <f>IF(CP158&lt;&gt;1,"",DATA_INPUT!$C158)</f>
        <v/>
      </c>
      <c r="CH158" s="18" t="str">
        <f t="shared" si="122"/>
        <v/>
      </c>
      <c r="CI158" s="18" t="str">
        <f>IF(CP158&lt;&gt;1,"",DATA_INPUT!$H158)</f>
        <v/>
      </c>
      <c r="CJ158" s="18" t="str">
        <f t="shared" si="123"/>
        <v/>
      </c>
      <c r="CK158" s="18" t="str">
        <f>IF(CP158&lt;&gt;1,"",CF158*CONTROL_PANEL!$B$14)</f>
        <v/>
      </c>
      <c r="CL158" s="18" t="str">
        <f>IF(CP158&lt;&gt;1,"",DATA_INPUT!$O158)</f>
        <v/>
      </c>
      <c r="CM158" s="18" t="str">
        <f t="shared" si="124"/>
        <v/>
      </c>
      <c r="CN158" s="18" t="str">
        <f>IF(CP158&lt;&gt;1,"",IF(CM158-CONTROL_PANEL!$B$11&lt;0,0,CM158-CONTROL_PANEL!$B$11))</f>
        <v/>
      </c>
      <c r="CO158" s="18" t="str">
        <f>IF(CP158&lt;&gt;1,"",IF(CL158&lt;=0,0,MIN(CL158,MAX(0,CONTROL_PANEL!$B$13-CM158))))</f>
        <v/>
      </c>
      <c r="CP158" s="18"/>
    </row>
    <row r="159" spans="1:94" x14ac:dyDescent="0.25">
      <c r="A159" s="19">
        <f t="shared" si="135"/>
        <v>2028</v>
      </c>
      <c r="B159" s="19">
        <f t="shared" si="90"/>
        <v>8</v>
      </c>
      <c r="C159" s="18" t="str">
        <f t="shared" si="105"/>
        <v/>
      </c>
      <c r="D159" s="18" t="str">
        <f t="shared" si="130"/>
        <v/>
      </c>
      <c r="E159" s="18" t="str">
        <f>IF(R158&lt;&gt;1,"",IF(O158&gt;0,IF(O158&gt;CONTROL_PANEL!$B$11,CONTROL_PANEL!$B$11,O158),0))</f>
        <v/>
      </c>
      <c r="F159" s="18" t="str">
        <f t="shared" si="125"/>
        <v/>
      </c>
      <c r="G159" s="18" t="str">
        <f>IF(R159&lt;&gt;1,"",DATA_INPUT!I159)</f>
        <v/>
      </c>
      <c r="H159" s="18" t="str">
        <f>IF(R159&lt;&gt;1,"",G159*CONTROL_PANEL!$B$5)</f>
        <v/>
      </c>
      <c r="I159" s="18" t="str">
        <f>IF(R159&lt;&gt;1,"",DATA_INPUT!C159)</f>
        <v/>
      </c>
      <c r="J159" s="18" t="str">
        <f t="shared" si="106"/>
        <v/>
      </c>
      <c r="K159" s="18" t="str">
        <f>IF(R159&lt;&gt;1,"",DATA_INPUT!H159)</f>
        <v/>
      </c>
      <c r="L159" s="18" t="str">
        <f t="shared" si="107"/>
        <v/>
      </c>
      <c r="M159" s="18" t="str">
        <f>IF(R159&lt;&gt;1,"",H159*CONTROL_PANEL!$B$14)</f>
        <v/>
      </c>
      <c r="N159" s="18" t="str">
        <f>IF(R159&lt;&gt;1,"",DATA_INPUT!K159)</f>
        <v/>
      </c>
      <c r="O159" s="18" t="str">
        <f t="shared" si="108"/>
        <v/>
      </c>
      <c r="P159" s="18" t="str">
        <f>IF(R159&lt;&gt;1,"",IF(O159-CONTROL_PANEL!$B$11&lt;0,0,O159-CONTROL_PANEL!$B$11))</f>
        <v/>
      </c>
      <c r="Q159" s="18" t="str">
        <f>IF(R159&lt;&gt;1,"",IF(N159&lt;=0,0,MIN(N159,MAX(0,CONTROL_PANEL!$B$13-O159))))</f>
        <v/>
      </c>
      <c r="R159" s="18"/>
      <c r="T159" s="19">
        <f t="shared" si="136"/>
        <v>2028</v>
      </c>
      <c r="U159" s="19">
        <f t="shared" si="92"/>
        <v>8</v>
      </c>
      <c r="V159" s="18" t="str">
        <f t="shared" si="109"/>
        <v/>
      </c>
      <c r="W159" s="18" t="str">
        <f t="shared" si="131"/>
        <v/>
      </c>
      <c r="X159" s="18" t="str">
        <f>IF(AK158&lt;&gt;1,"",IF(AH158&gt;0,IF(AH158&gt;CONTROL_PANEL!$B$11,CONTROL_PANEL!$B$11,AH158),0))</f>
        <v/>
      </c>
      <c r="Y159" s="18" t="str">
        <f t="shared" si="126"/>
        <v/>
      </c>
      <c r="Z159" s="18" t="str">
        <f>IF(AK159&lt;&gt;1,"",DATA_INPUT!I159)</f>
        <v/>
      </c>
      <c r="AA159" s="18" t="str">
        <f>IF(AK159&lt;&gt;1,"",Z159*CONTROL_PANEL!$B$5)</f>
        <v/>
      </c>
      <c r="AB159" s="18" t="str">
        <f>IF(AK159&lt;&gt;1,"",DATA_INPUT!$C159)</f>
        <v/>
      </c>
      <c r="AC159" s="18" t="str">
        <f t="shared" si="110"/>
        <v/>
      </c>
      <c r="AD159" s="18" t="str">
        <f>IF(AK159&lt;&gt;1,"",DATA_INPUT!$H159)</f>
        <v/>
      </c>
      <c r="AE159" s="18" t="str">
        <f t="shared" si="111"/>
        <v/>
      </c>
      <c r="AF159" s="18" t="str">
        <f>IF(AK159&lt;&gt;1,"",AA159*CONTROL_PANEL!$B$14)</f>
        <v/>
      </c>
      <c r="AG159" s="18" t="str">
        <f>IF(AK159&lt;&gt;1,"",DATA_INPUT!$L159)</f>
        <v/>
      </c>
      <c r="AH159" s="18" t="str">
        <f t="shared" si="112"/>
        <v/>
      </c>
      <c r="AI159" s="18" t="str">
        <f>IF(AK159&lt;&gt;1,"",IF(AH159-CONTROL_PANEL!$B$11&lt;0,0,AH159-CONTROL_PANEL!$B$11))</f>
        <v/>
      </c>
      <c r="AJ159" s="18" t="str">
        <f>IF(AK159&lt;&gt;1,"",IF(AG159&lt;=0,0,MIN(AG159,MAX(0,CONTROL_PANEL!$B$13-AH159))))</f>
        <v/>
      </c>
      <c r="AK159" s="18"/>
      <c r="AM159" s="19">
        <f t="shared" si="137"/>
        <v>2028</v>
      </c>
      <c r="AN159" s="19">
        <f t="shared" si="94"/>
        <v>8</v>
      </c>
      <c r="AO159" s="18" t="str">
        <f t="shared" si="113"/>
        <v/>
      </c>
      <c r="AP159" s="18" t="str">
        <f t="shared" si="132"/>
        <v/>
      </c>
      <c r="AQ159" s="18" t="str">
        <f>IF(BD158&lt;&gt;1,"",IF(BA158&gt;0,IF(BA158&gt;CONTROL_PANEL!$B$11,CONTROL_PANEL!$B$11,BA158),0))</f>
        <v/>
      </c>
      <c r="AR159" s="18" t="str">
        <f t="shared" si="127"/>
        <v/>
      </c>
      <c r="AS159" s="18" t="str">
        <f>IF(BD159&lt;&gt;1,"",DATA_INPUT!$I159)</f>
        <v/>
      </c>
      <c r="AT159" s="18" t="str">
        <f>IF(BD159&lt;&gt;1,"",AS159*CONTROL_PANEL!$B$5)</f>
        <v/>
      </c>
      <c r="AU159" s="18" t="str">
        <f>IF(BD159&lt;&gt;1,"",DATA_INPUT!$C159)</f>
        <v/>
      </c>
      <c r="AV159" s="18" t="str">
        <f t="shared" si="114"/>
        <v/>
      </c>
      <c r="AW159" s="18" t="str">
        <f>IF(BD159&lt;&gt;1,"",DATA_INPUT!$H159)</f>
        <v/>
      </c>
      <c r="AX159" s="18" t="str">
        <f t="shared" si="115"/>
        <v/>
      </c>
      <c r="AY159" s="18" t="str">
        <f>IF(BD159&lt;&gt;1,"",AT159*CONTROL_PANEL!$B$14)</f>
        <v/>
      </c>
      <c r="AZ159" s="18" t="str">
        <f>IF(BD159&lt;&gt;1,"",DATA_INPUT!$M159)</f>
        <v/>
      </c>
      <c r="BA159" s="18" t="str">
        <f t="shared" si="116"/>
        <v/>
      </c>
      <c r="BB159" s="18" t="str">
        <f>IF(BD159&lt;&gt;1,"",IF(BA159-CONTROL_PANEL!$B$11&lt;0,0,BA159-CONTROL_PANEL!$B$11))</f>
        <v/>
      </c>
      <c r="BC159" s="18" t="str">
        <f>IF(BD159&lt;&gt;1,"",IF(AZ159&lt;=0,0,MIN(AZ159,MAX(0,CONTROL_PANEL!$B$13-BA159))))</f>
        <v/>
      </c>
      <c r="BD159" s="18"/>
      <c r="BF159" s="19">
        <f t="shared" si="138"/>
        <v>2028</v>
      </c>
      <c r="BG159" s="19">
        <f t="shared" si="96"/>
        <v>8</v>
      </c>
      <c r="BH159" s="18" t="str">
        <f t="shared" si="117"/>
        <v/>
      </c>
      <c r="BI159" s="18" t="str">
        <f t="shared" si="133"/>
        <v/>
      </c>
      <c r="BJ159" s="18" t="str">
        <f>IF(BW158&lt;&gt;1,"",IF(BT158&gt;0,IF(BT158&gt;CONTROL_PANEL!$B$11,CONTROL_PANEL!$B$11,BT158),0))</f>
        <v/>
      </c>
      <c r="BK159" s="18" t="str">
        <f t="shared" si="128"/>
        <v/>
      </c>
      <c r="BL159" s="18" t="str">
        <f>IF(BW159&lt;&gt;1,"",DATA_INPUT!$I159)</f>
        <v/>
      </c>
      <c r="BM159" s="18" t="str">
        <f>IF(BW159&lt;&gt;1,"",BL159*CONTROL_PANEL!$B$5)</f>
        <v/>
      </c>
      <c r="BN159" s="18" t="str">
        <f>IF(BW159&lt;&gt;1,"",DATA_INPUT!$C159)</f>
        <v/>
      </c>
      <c r="BO159" s="18" t="str">
        <f t="shared" si="118"/>
        <v/>
      </c>
      <c r="BP159" s="18" t="str">
        <f>IF(BW159&lt;&gt;1,"",DATA_INPUT!$H159)</f>
        <v/>
      </c>
      <c r="BQ159" s="18" t="str">
        <f t="shared" si="119"/>
        <v/>
      </c>
      <c r="BR159" s="18" t="str">
        <f>IF(BW159&lt;&gt;1,"",BM159*CONTROL_PANEL!$B$14)</f>
        <v/>
      </c>
      <c r="BS159" s="18" t="str">
        <f>IF(BW159&lt;&gt;1,"",DATA_INPUT!$N159)</f>
        <v/>
      </c>
      <c r="BT159" s="18" t="str">
        <f t="shared" si="120"/>
        <v/>
      </c>
      <c r="BU159" s="18" t="str">
        <f>IF(BW159&lt;&gt;1,"",IF(BT159-CONTROL_PANEL!$B$11&lt;0,0,BT159-CONTROL_PANEL!$B$11))</f>
        <v/>
      </c>
      <c r="BV159" s="18" t="str">
        <f>IF(BW159&lt;&gt;1,"",IF(BS159&lt;=0,0,MIN(BS159,MAX(0,CONTROL_PANEL!$B$13-BT159))))</f>
        <v/>
      </c>
      <c r="BW159" s="18"/>
      <c r="BY159" s="19">
        <f t="shared" si="139"/>
        <v>2028</v>
      </c>
      <c r="BZ159" s="19">
        <f t="shared" si="98"/>
        <v>8</v>
      </c>
      <c r="CA159" s="18" t="str">
        <f t="shared" si="121"/>
        <v/>
      </c>
      <c r="CB159" s="18" t="str">
        <f t="shared" si="134"/>
        <v/>
      </c>
      <c r="CC159" s="18" t="str">
        <f>IF(CP158&lt;&gt;1,"",IF(CM158&gt;0,IF(CM158&gt;CONTROL_PANEL!$B$11,CONTROL_PANEL!$B$11,CM158),0))</f>
        <v/>
      </c>
      <c r="CD159" s="18" t="str">
        <f t="shared" si="129"/>
        <v/>
      </c>
      <c r="CE159" s="18" t="str">
        <f>IF(CP159&lt;&gt;1,"",DATA_INPUT!$I159)</f>
        <v/>
      </c>
      <c r="CF159" s="18" t="str">
        <f>IF(CP159&lt;&gt;1,"",CE159*CONTROL_PANEL!$B$5)</f>
        <v/>
      </c>
      <c r="CG159" s="18" t="str">
        <f>IF(CP159&lt;&gt;1,"",DATA_INPUT!$C159)</f>
        <v/>
      </c>
      <c r="CH159" s="18" t="str">
        <f t="shared" si="122"/>
        <v/>
      </c>
      <c r="CI159" s="18" t="str">
        <f>IF(CP159&lt;&gt;1,"",DATA_INPUT!$H159)</f>
        <v/>
      </c>
      <c r="CJ159" s="18" t="str">
        <f t="shared" si="123"/>
        <v/>
      </c>
      <c r="CK159" s="18" t="str">
        <f>IF(CP159&lt;&gt;1,"",CF159*CONTROL_PANEL!$B$14)</f>
        <v/>
      </c>
      <c r="CL159" s="18" t="str">
        <f>IF(CP159&lt;&gt;1,"",DATA_INPUT!$O159)</f>
        <v/>
      </c>
      <c r="CM159" s="18" t="str">
        <f t="shared" si="124"/>
        <v/>
      </c>
      <c r="CN159" s="18" t="str">
        <f>IF(CP159&lt;&gt;1,"",IF(CM159-CONTROL_PANEL!$B$11&lt;0,0,CM159-CONTROL_PANEL!$B$11))</f>
        <v/>
      </c>
      <c r="CO159" s="18" t="str">
        <f>IF(CP159&lt;&gt;1,"",IF(CL159&lt;=0,0,MIN(CL159,MAX(0,CONTROL_PANEL!$B$13-CM159))))</f>
        <v/>
      </c>
      <c r="CP159" s="18"/>
    </row>
    <row r="160" spans="1:94" x14ac:dyDescent="0.25">
      <c r="A160" s="19">
        <f t="shared" si="135"/>
        <v>2028</v>
      </c>
      <c r="B160" s="19">
        <f t="shared" si="90"/>
        <v>9</v>
      </c>
      <c r="C160" s="18" t="str">
        <f t="shared" si="105"/>
        <v/>
      </c>
      <c r="D160" s="18" t="str">
        <f t="shared" si="130"/>
        <v/>
      </c>
      <c r="E160" s="18" t="str">
        <f>IF(R159&lt;&gt;1,"",IF(O159&gt;0,IF(O159&gt;CONTROL_PANEL!$B$11,CONTROL_PANEL!$B$11,O159),0))</f>
        <v/>
      </c>
      <c r="F160" s="18" t="str">
        <f t="shared" si="125"/>
        <v/>
      </c>
      <c r="G160" s="18" t="str">
        <f>IF(R160&lt;&gt;1,"",DATA_INPUT!I160)</f>
        <v/>
      </c>
      <c r="H160" s="18" t="str">
        <f>IF(R160&lt;&gt;1,"",G160*CONTROL_PANEL!$B$5)</f>
        <v/>
      </c>
      <c r="I160" s="18" t="str">
        <f>IF(R160&lt;&gt;1,"",DATA_INPUT!C160)</f>
        <v/>
      </c>
      <c r="J160" s="18" t="str">
        <f t="shared" si="106"/>
        <v/>
      </c>
      <c r="K160" s="18" t="str">
        <f>IF(R160&lt;&gt;1,"",DATA_INPUT!H160)</f>
        <v/>
      </c>
      <c r="L160" s="18" t="str">
        <f t="shared" si="107"/>
        <v/>
      </c>
      <c r="M160" s="18" t="str">
        <f>IF(R160&lt;&gt;1,"",H160*CONTROL_PANEL!$B$14)</f>
        <v/>
      </c>
      <c r="N160" s="18" t="str">
        <f>IF(R160&lt;&gt;1,"",DATA_INPUT!K160)</f>
        <v/>
      </c>
      <c r="O160" s="18" t="str">
        <f t="shared" si="108"/>
        <v/>
      </c>
      <c r="P160" s="18" t="str">
        <f>IF(R160&lt;&gt;1,"",IF(O160-CONTROL_PANEL!$B$11&lt;0,0,O160-CONTROL_PANEL!$B$11))</f>
        <v/>
      </c>
      <c r="Q160" s="18" t="str">
        <f>IF(R160&lt;&gt;1,"",IF(N160&lt;=0,0,MIN(N160,MAX(0,CONTROL_PANEL!$B$13-O160))))</f>
        <v/>
      </c>
      <c r="R160" s="18"/>
      <c r="T160" s="19">
        <f t="shared" si="136"/>
        <v>2028</v>
      </c>
      <c r="U160" s="19">
        <f t="shared" si="92"/>
        <v>9</v>
      </c>
      <c r="V160" s="18" t="str">
        <f t="shared" si="109"/>
        <v/>
      </c>
      <c r="W160" s="18" t="str">
        <f t="shared" si="131"/>
        <v/>
      </c>
      <c r="X160" s="18" t="str">
        <f>IF(AK159&lt;&gt;1,"",IF(AH159&gt;0,IF(AH159&gt;CONTROL_PANEL!$B$11,CONTROL_PANEL!$B$11,AH159),0))</f>
        <v/>
      </c>
      <c r="Y160" s="18" t="str">
        <f t="shared" si="126"/>
        <v/>
      </c>
      <c r="Z160" s="18" t="str">
        <f>IF(AK160&lt;&gt;1,"",DATA_INPUT!I160)</f>
        <v/>
      </c>
      <c r="AA160" s="18" t="str">
        <f>IF(AK160&lt;&gt;1,"",Z160*CONTROL_PANEL!$B$5)</f>
        <v/>
      </c>
      <c r="AB160" s="18" t="str">
        <f>IF(AK160&lt;&gt;1,"",DATA_INPUT!$C160)</f>
        <v/>
      </c>
      <c r="AC160" s="18" t="str">
        <f t="shared" si="110"/>
        <v/>
      </c>
      <c r="AD160" s="18" t="str">
        <f>IF(AK160&lt;&gt;1,"",DATA_INPUT!$H160)</f>
        <v/>
      </c>
      <c r="AE160" s="18" t="str">
        <f t="shared" si="111"/>
        <v/>
      </c>
      <c r="AF160" s="18" t="str">
        <f>IF(AK160&lt;&gt;1,"",AA160*CONTROL_PANEL!$B$14)</f>
        <v/>
      </c>
      <c r="AG160" s="18" t="str">
        <f>IF(AK160&lt;&gt;1,"",DATA_INPUT!$L160)</f>
        <v/>
      </c>
      <c r="AH160" s="18" t="str">
        <f t="shared" si="112"/>
        <v/>
      </c>
      <c r="AI160" s="18" t="str">
        <f>IF(AK160&lt;&gt;1,"",IF(AH160-CONTROL_PANEL!$B$11&lt;0,0,AH160-CONTROL_PANEL!$B$11))</f>
        <v/>
      </c>
      <c r="AJ160" s="18" t="str">
        <f>IF(AK160&lt;&gt;1,"",IF(AG160&lt;=0,0,MIN(AG160,MAX(0,CONTROL_PANEL!$B$13-AH160))))</f>
        <v/>
      </c>
      <c r="AK160" s="18"/>
      <c r="AM160" s="19">
        <f t="shared" si="137"/>
        <v>2028</v>
      </c>
      <c r="AN160" s="19">
        <f t="shared" si="94"/>
        <v>9</v>
      </c>
      <c r="AO160" s="18" t="str">
        <f t="shared" si="113"/>
        <v/>
      </c>
      <c r="AP160" s="18" t="str">
        <f t="shared" si="132"/>
        <v/>
      </c>
      <c r="AQ160" s="18" t="str">
        <f>IF(BD159&lt;&gt;1,"",IF(BA159&gt;0,IF(BA159&gt;CONTROL_PANEL!$B$11,CONTROL_PANEL!$B$11,BA159),0))</f>
        <v/>
      </c>
      <c r="AR160" s="18" t="str">
        <f t="shared" si="127"/>
        <v/>
      </c>
      <c r="AS160" s="18" t="str">
        <f>IF(BD160&lt;&gt;1,"",DATA_INPUT!$I160)</f>
        <v/>
      </c>
      <c r="AT160" s="18" t="str">
        <f>IF(BD160&lt;&gt;1,"",AS160*CONTROL_PANEL!$B$5)</f>
        <v/>
      </c>
      <c r="AU160" s="18" t="str">
        <f>IF(BD160&lt;&gt;1,"",DATA_INPUT!$C160)</f>
        <v/>
      </c>
      <c r="AV160" s="18" t="str">
        <f t="shared" si="114"/>
        <v/>
      </c>
      <c r="AW160" s="18" t="str">
        <f>IF(BD160&lt;&gt;1,"",DATA_INPUT!$H160)</f>
        <v/>
      </c>
      <c r="AX160" s="18" t="str">
        <f t="shared" si="115"/>
        <v/>
      </c>
      <c r="AY160" s="18" t="str">
        <f>IF(BD160&lt;&gt;1,"",AT160*CONTROL_PANEL!$B$14)</f>
        <v/>
      </c>
      <c r="AZ160" s="18" t="str">
        <f>IF(BD160&lt;&gt;1,"",DATA_INPUT!$M160)</f>
        <v/>
      </c>
      <c r="BA160" s="18" t="str">
        <f t="shared" si="116"/>
        <v/>
      </c>
      <c r="BB160" s="18" t="str">
        <f>IF(BD160&lt;&gt;1,"",IF(BA160-CONTROL_PANEL!$B$11&lt;0,0,BA160-CONTROL_PANEL!$B$11))</f>
        <v/>
      </c>
      <c r="BC160" s="18" t="str">
        <f>IF(BD160&lt;&gt;1,"",IF(AZ160&lt;=0,0,MIN(AZ160,MAX(0,CONTROL_PANEL!$B$13-BA160))))</f>
        <v/>
      </c>
      <c r="BD160" s="18"/>
      <c r="BF160" s="19">
        <f t="shared" si="138"/>
        <v>2028</v>
      </c>
      <c r="BG160" s="19">
        <f t="shared" si="96"/>
        <v>9</v>
      </c>
      <c r="BH160" s="18" t="str">
        <f t="shared" si="117"/>
        <v/>
      </c>
      <c r="BI160" s="18" t="str">
        <f t="shared" si="133"/>
        <v/>
      </c>
      <c r="BJ160" s="18" t="str">
        <f>IF(BW159&lt;&gt;1,"",IF(BT159&gt;0,IF(BT159&gt;CONTROL_PANEL!$B$11,CONTROL_PANEL!$B$11,BT159),0))</f>
        <v/>
      </c>
      <c r="BK160" s="18" t="str">
        <f t="shared" si="128"/>
        <v/>
      </c>
      <c r="BL160" s="18" t="str">
        <f>IF(BW160&lt;&gt;1,"",DATA_INPUT!$I160)</f>
        <v/>
      </c>
      <c r="BM160" s="18" t="str">
        <f>IF(BW160&lt;&gt;1,"",BL160*CONTROL_PANEL!$B$5)</f>
        <v/>
      </c>
      <c r="BN160" s="18" t="str">
        <f>IF(BW160&lt;&gt;1,"",DATA_INPUT!$C160)</f>
        <v/>
      </c>
      <c r="BO160" s="18" t="str">
        <f t="shared" si="118"/>
        <v/>
      </c>
      <c r="BP160" s="18" t="str">
        <f>IF(BW160&lt;&gt;1,"",DATA_INPUT!$H160)</f>
        <v/>
      </c>
      <c r="BQ160" s="18" t="str">
        <f t="shared" si="119"/>
        <v/>
      </c>
      <c r="BR160" s="18" t="str">
        <f>IF(BW160&lt;&gt;1,"",BM160*CONTROL_PANEL!$B$14)</f>
        <v/>
      </c>
      <c r="BS160" s="18" t="str">
        <f>IF(BW160&lt;&gt;1,"",DATA_INPUT!$N160)</f>
        <v/>
      </c>
      <c r="BT160" s="18" t="str">
        <f t="shared" si="120"/>
        <v/>
      </c>
      <c r="BU160" s="18" t="str">
        <f>IF(BW160&lt;&gt;1,"",IF(BT160-CONTROL_PANEL!$B$11&lt;0,0,BT160-CONTROL_PANEL!$B$11))</f>
        <v/>
      </c>
      <c r="BV160" s="18" t="str">
        <f>IF(BW160&lt;&gt;1,"",IF(BS160&lt;=0,0,MIN(BS160,MAX(0,CONTROL_PANEL!$B$13-BT160))))</f>
        <v/>
      </c>
      <c r="BW160" s="18"/>
      <c r="BY160" s="19">
        <f t="shared" si="139"/>
        <v>2028</v>
      </c>
      <c r="BZ160" s="19">
        <f t="shared" si="98"/>
        <v>9</v>
      </c>
      <c r="CA160" s="18" t="str">
        <f t="shared" si="121"/>
        <v/>
      </c>
      <c r="CB160" s="18" t="str">
        <f t="shared" si="134"/>
        <v/>
      </c>
      <c r="CC160" s="18" t="str">
        <f>IF(CP159&lt;&gt;1,"",IF(CM159&gt;0,IF(CM159&gt;CONTROL_PANEL!$B$11,CONTROL_PANEL!$B$11,CM159),0))</f>
        <v/>
      </c>
      <c r="CD160" s="18" t="str">
        <f t="shared" si="129"/>
        <v/>
      </c>
      <c r="CE160" s="18" t="str">
        <f>IF(CP160&lt;&gt;1,"",DATA_INPUT!$I160)</f>
        <v/>
      </c>
      <c r="CF160" s="18" t="str">
        <f>IF(CP160&lt;&gt;1,"",CE160*CONTROL_PANEL!$B$5)</f>
        <v/>
      </c>
      <c r="CG160" s="18" t="str">
        <f>IF(CP160&lt;&gt;1,"",DATA_INPUT!$C160)</f>
        <v/>
      </c>
      <c r="CH160" s="18" t="str">
        <f t="shared" si="122"/>
        <v/>
      </c>
      <c r="CI160" s="18" t="str">
        <f>IF(CP160&lt;&gt;1,"",DATA_INPUT!$H160)</f>
        <v/>
      </c>
      <c r="CJ160" s="18" t="str">
        <f t="shared" si="123"/>
        <v/>
      </c>
      <c r="CK160" s="18" t="str">
        <f>IF(CP160&lt;&gt;1,"",CF160*CONTROL_PANEL!$B$14)</f>
        <v/>
      </c>
      <c r="CL160" s="18" t="str">
        <f>IF(CP160&lt;&gt;1,"",DATA_INPUT!$O160)</f>
        <v/>
      </c>
      <c r="CM160" s="18" t="str">
        <f t="shared" si="124"/>
        <v/>
      </c>
      <c r="CN160" s="18" t="str">
        <f>IF(CP160&lt;&gt;1,"",IF(CM160-CONTROL_PANEL!$B$11&lt;0,0,CM160-CONTROL_PANEL!$B$11))</f>
        <v/>
      </c>
      <c r="CO160" s="18" t="str">
        <f>IF(CP160&lt;&gt;1,"",IF(CL160&lt;=0,0,MIN(CL160,MAX(0,CONTROL_PANEL!$B$13-CM160))))</f>
        <v/>
      </c>
      <c r="CP160" s="18"/>
    </row>
    <row r="161" spans="1:94" x14ac:dyDescent="0.25">
      <c r="A161" s="19">
        <f t="shared" si="135"/>
        <v>2028</v>
      </c>
      <c r="B161" s="19">
        <f t="shared" si="90"/>
        <v>10</v>
      </c>
      <c r="C161" s="18" t="str">
        <f t="shared" si="105"/>
        <v/>
      </c>
      <c r="D161" s="18" t="str">
        <f t="shared" si="130"/>
        <v/>
      </c>
      <c r="E161" s="18" t="str">
        <f>IF(R160&lt;&gt;1,"",IF(O160&gt;0,IF(O160&gt;CONTROL_PANEL!$B$11,CONTROL_PANEL!$B$11,O160),0))</f>
        <v/>
      </c>
      <c r="F161" s="18" t="str">
        <f t="shared" si="125"/>
        <v/>
      </c>
      <c r="G161" s="18" t="str">
        <f>IF(R161&lt;&gt;1,"",DATA_INPUT!I161)</f>
        <v/>
      </c>
      <c r="H161" s="18" t="str">
        <f>IF(R161&lt;&gt;1,"",G161*CONTROL_PANEL!$B$5)</f>
        <v/>
      </c>
      <c r="I161" s="18" t="str">
        <f>IF(R161&lt;&gt;1,"",DATA_INPUT!C161)</f>
        <v/>
      </c>
      <c r="J161" s="18" t="str">
        <f t="shared" si="106"/>
        <v/>
      </c>
      <c r="K161" s="18" t="str">
        <f>IF(R161&lt;&gt;1,"",DATA_INPUT!H161)</f>
        <v/>
      </c>
      <c r="L161" s="18" t="str">
        <f t="shared" si="107"/>
        <v/>
      </c>
      <c r="M161" s="18" t="str">
        <f>IF(R161&lt;&gt;1,"",H161*CONTROL_PANEL!$B$14)</f>
        <v/>
      </c>
      <c r="N161" s="18" t="str">
        <f>IF(R161&lt;&gt;1,"",DATA_INPUT!K161)</f>
        <v/>
      </c>
      <c r="O161" s="18" t="str">
        <f t="shared" si="108"/>
        <v/>
      </c>
      <c r="P161" s="18" t="str">
        <f>IF(R161&lt;&gt;1,"",IF(O161-CONTROL_PANEL!$B$11&lt;0,0,O161-CONTROL_PANEL!$B$11))</f>
        <v/>
      </c>
      <c r="Q161" s="18" t="str">
        <f>IF(R161&lt;&gt;1,"",IF(N161&lt;=0,0,MIN(N161,MAX(0,CONTROL_PANEL!$B$13-O161))))</f>
        <v/>
      </c>
      <c r="R161" s="18"/>
      <c r="T161" s="19">
        <f t="shared" si="136"/>
        <v>2028</v>
      </c>
      <c r="U161" s="19">
        <f t="shared" si="92"/>
        <v>10</v>
      </c>
      <c r="V161" s="18" t="str">
        <f t="shared" si="109"/>
        <v/>
      </c>
      <c r="W161" s="18" t="str">
        <f t="shared" si="131"/>
        <v/>
      </c>
      <c r="X161" s="18" t="str">
        <f>IF(AK160&lt;&gt;1,"",IF(AH160&gt;0,IF(AH160&gt;CONTROL_PANEL!$B$11,CONTROL_PANEL!$B$11,AH160),0))</f>
        <v/>
      </c>
      <c r="Y161" s="18" t="str">
        <f t="shared" si="126"/>
        <v/>
      </c>
      <c r="Z161" s="18" t="str">
        <f>IF(AK161&lt;&gt;1,"",DATA_INPUT!I161)</f>
        <v/>
      </c>
      <c r="AA161" s="18" t="str">
        <f>IF(AK161&lt;&gt;1,"",Z161*CONTROL_PANEL!$B$5)</f>
        <v/>
      </c>
      <c r="AB161" s="18" t="str">
        <f>IF(AK161&lt;&gt;1,"",DATA_INPUT!$C161)</f>
        <v/>
      </c>
      <c r="AC161" s="18" t="str">
        <f t="shared" si="110"/>
        <v/>
      </c>
      <c r="AD161" s="18" t="str">
        <f>IF(AK161&lt;&gt;1,"",DATA_INPUT!$H161)</f>
        <v/>
      </c>
      <c r="AE161" s="18" t="str">
        <f t="shared" si="111"/>
        <v/>
      </c>
      <c r="AF161" s="18" t="str">
        <f>IF(AK161&lt;&gt;1,"",AA161*CONTROL_PANEL!$B$14)</f>
        <v/>
      </c>
      <c r="AG161" s="18" t="str">
        <f>IF(AK161&lt;&gt;1,"",DATA_INPUT!$L161)</f>
        <v/>
      </c>
      <c r="AH161" s="18" t="str">
        <f t="shared" si="112"/>
        <v/>
      </c>
      <c r="AI161" s="18" t="str">
        <f>IF(AK161&lt;&gt;1,"",IF(AH161-CONTROL_PANEL!$B$11&lt;0,0,AH161-CONTROL_PANEL!$B$11))</f>
        <v/>
      </c>
      <c r="AJ161" s="18" t="str">
        <f>IF(AK161&lt;&gt;1,"",IF(AG161&lt;=0,0,MIN(AG161,MAX(0,CONTROL_PANEL!$B$13-AH161))))</f>
        <v/>
      </c>
      <c r="AK161" s="18"/>
      <c r="AM161" s="19">
        <f t="shared" si="137"/>
        <v>2028</v>
      </c>
      <c r="AN161" s="19">
        <f t="shared" si="94"/>
        <v>10</v>
      </c>
      <c r="AO161" s="18" t="str">
        <f t="shared" si="113"/>
        <v/>
      </c>
      <c r="AP161" s="18" t="str">
        <f t="shared" si="132"/>
        <v/>
      </c>
      <c r="AQ161" s="18" t="str">
        <f>IF(BD160&lt;&gt;1,"",IF(BA160&gt;0,IF(BA160&gt;CONTROL_PANEL!$B$11,CONTROL_PANEL!$B$11,BA160),0))</f>
        <v/>
      </c>
      <c r="AR161" s="18" t="str">
        <f t="shared" si="127"/>
        <v/>
      </c>
      <c r="AS161" s="18" t="str">
        <f>IF(BD161&lt;&gt;1,"",DATA_INPUT!$I161)</f>
        <v/>
      </c>
      <c r="AT161" s="18" t="str">
        <f>IF(BD161&lt;&gt;1,"",AS161*CONTROL_PANEL!$B$5)</f>
        <v/>
      </c>
      <c r="AU161" s="18" t="str">
        <f>IF(BD161&lt;&gt;1,"",DATA_INPUT!$C161)</f>
        <v/>
      </c>
      <c r="AV161" s="18" t="str">
        <f t="shared" si="114"/>
        <v/>
      </c>
      <c r="AW161" s="18" t="str">
        <f>IF(BD161&lt;&gt;1,"",DATA_INPUT!$H161)</f>
        <v/>
      </c>
      <c r="AX161" s="18" t="str">
        <f t="shared" si="115"/>
        <v/>
      </c>
      <c r="AY161" s="18" t="str">
        <f>IF(BD161&lt;&gt;1,"",AT161*CONTROL_PANEL!$B$14)</f>
        <v/>
      </c>
      <c r="AZ161" s="18" t="str">
        <f>IF(BD161&lt;&gt;1,"",DATA_INPUT!$M161)</f>
        <v/>
      </c>
      <c r="BA161" s="18" t="str">
        <f t="shared" si="116"/>
        <v/>
      </c>
      <c r="BB161" s="18" t="str">
        <f>IF(BD161&lt;&gt;1,"",IF(BA161-CONTROL_PANEL!$B$11&lt;0,0,BA161-CONTROL_PANEL!$B$11))</f>
        <v/>
      </c>
      <c r="BC161" s="18" t="str">
        <f>IF(BD161&lt;&gt;1,"",IF(AZ161&lt;=0,0,MIN(AZ161,MAX(0,CONTROL_PANEL!$B$13-BA161))))</f>
        <v/>
      </c>
      <c r="BD161" s="18"/>
      <c r="BF161" s="19">
        <f t="shared" si="138"/>
        <v>2028</v>
      </c>
      <c r="BG161" s="19">
        <f t="shared" si="96"/>
        <v>10</v>
      </c>
      <c r="BH161" s="18" t="str">
        <f t="shared" si="117"/>
        <v/>
      </c>
      <c r="BI161" s="18" t="str">
        <f t="shared" si="133"/>
        <v/>
      </c>
      <c r="BJ161" s="18" t="str">
        <f>IF(BW160&lt;&gt;1,"",IF(BT160&gt;0,IF(BT160&gt;CONTROL_PANEL!$B$11,CONTROL_PANEL!$B$11,BT160),0))</f>
        <v/>
      </c>
      <c r="BK161" s="18" t="str">
        <f t="shared" si="128"/>
        <v/>
      </c>
      <c r="BL161" s="18" t="str">
        <f>IF(BW161&lt;&gt;1,"",DATA_INPUT!$I161)</f>
        <v/>
      </c>
      <c r="BM161" s="18" t="str">
        <f>IF(BW161&lt;&gt;1,"",BL161*CONTROL_PANEL!$B$5)</f>
        <v/>
      </c>
      <c r="BN161" s="18" t="str">
        <f>IF(BW161&lt;&gt;1,"",DATA_INPUT!$C161)</f>
        <v/>
      </c>
      <c r="BO161" s="18" t="str">
        <f t="shared" si="118"/>
        <v/>
      </c>
      <c r="BP161" s="18" t="str">
        <f>IF(BW161&lt;&gt;1,"",DATA_INPUT!$H161)</f>
        <v/>
      </c>
      <c r="BQ161" s="18" t="str">
        <f t="shared" si="119"/>
        <v/>
      </c>
      <c r="BR161" s="18" t="str">
        <f>IF(BW161&lt;&gt;1,"",BM161*CONTROL_PANEL!$B$14)</f>
        <v/>
      </c>
      <c r="BS161" s="18" t="str">
        <f>IF(BW161&lt;&gt;1,"",DATA_INPUT!$N161)</f>
        <v/>
      </c>
      <c r="BT161" s="18" t="str">
        <f t="shared" si="120"/>
        <v/>
      </c>
      <c r="BU161" s="18" t="str">
        <f>IF(BW161&lt;&gt;1,"",IF(BT161-CONTROL_PANEL!$B$11&lt;0,0,BT161-CONTROL_PANEL!$B$11))</f>
        <v/>
      </c>
      <c r="BV161" s="18" t="str">
        <f>IF(BW161&lt;&gt;1,"",IF(BS161&lt;=0,0,MIN(BS161,MAX(0,CONTROL_PANEL!$B$13-BT161))))</f>
        <v/>
      </c>
      <c r="BW161" s="18"/>
      <c r="BY161" s="19">
        <f t="shared" si="139"/>
        <v>2028</v>
      </c>
      <c r="BZ161" s="19">
        <f t="shared" si="98"/>
        <v>10</v>
      </c>
      <c r="CA161" s="18" t="str">
        <f t="shared" si="121"/>
        <v/>
      </c>
      <c r="CB161" s="18" t="str">
        <f t="shared" si="134"/>
        <v/>
      </c>
      <c r="CC161" s="18" t="str">
        <f>IF(CP160&lt;&gt;1,"",IF(CM160&gt;0,IF(CM160&gt;CONTROL_PANEL!$B$11,CONTROL_PANEL!$B$11,CM160),0))</f>
        <v/>
      </c>
      <c r="CD161" s="18" t="str">
        <f t="shared" si="129"/>
        <v/>
      </c>
      <c r="CE161" s="18" t="str">
        <f>IF(CP161&lt;&gt;1,"",DATA_INPUT!$I161)</f>
        <v/>
      </c>
      <c r="CF161" s="18" t="str">
        <f>IF(CP161&lt;&gt;1,"",CE161*CONTROL_PANEL!$B$5)</f>
        <v/>
      </c>
      <c r="CG161" s="18" t="str">
        <f>IF(CP161&lt;&gt;1,"",DATA_INPUT!$C161)</f>
        <v/>
      </c>
      <c r="CH161" s="18" t="str">
        <f t="shared" si="122"/>
        <v/>
      </c>
      <c r="CI161" s="18" t="str">
        <f>IF(CP161&lt;&gt;1,"",DATA_INPUT!$H161)</f>
        <v/>
      </c>
      <c r="CJ161" s="18" t="str">
        <f t="shared" si="123"/>
        <v/>
      </c>
      <c r="CK161" s="18" t="str">
        <f>IF(CP161&lt;&gt;1,"",CF161*CONTROL_PANEL!$B$14)</f>
        <v/>
      </c>
      <c r="CL161" s="18" t="str">
        <f>IF(CP161&lt;&gt;1,"",DATA_INPUT!$O161)</f>
        <v/>
      </c>
      <c r="CM161" s="18" t="str">
        <f t="shared" si="124"/>
        <v/>
      </c>
      <c r="CN161" s="18" t="str">
        <f>IF(CP161&lt;&gt;1,"",IF(CM161-CONTROL_PANEL!$B$11&lt;0,0,CM161-CONTROL_PANEL!$B$11))</f>
        <v/>
      </c>
      <c r="CO161" s="18" t="str">
        <f>IF(CP161&lt;&gt;1,"",IF(CL161&lt;=0,0,MIN(CL161,MAX(0,CONTROL_PANEL!$B$13-CM161))))</f>
        <v/>
      </c>
      <c r="CP161" s="18"/>
    </row>
    <row r="162" spans="1:94" x14ac:dyDescent="0.25">
      <c r="A162" s="19">
        <f t="shared" si="135"/>
        <v>2028</v>
      </c>
      <c r="B162" s="19">
        <f t="shared" si="90"/>
        <v>11</v>
      </c>
      <c r="C162" s="18" t="str">
        <f t="shared" si="105"/>
        <v/>
      </c>
      <c r="D162" s="18" t="str">
        <f t="shared" si="130"/>
        <v/>
      </c>
      <c r="E162" s="18" t="str">
        <f>IF(R161&lt;&gt;1,"",IF(O161&gt;0,IF(O161&gt;CONTROL_PANEL!$B$11,CONTROL_PANEL!$B$11,O161),0))</f>
        <v/>
      </c>
      <c r="F162" s="18" t="str">
        <f t="shared" si="125"/>
        <v/>
      </c>
      <c r="G162" s="18" t="str">
        <f>IF(R162&lt;&gt;1,"",DATA_INPUT!I162)</f>
        <v/>
      </c>
      <c r="H162" s="18" t="str">
        <f>IF(R162&lt;&gt;1,"",G162*CONTROL_PANEL!$B$5)</f>
        <v/>
      </c>
      <c r="I162" s="18" t="str">
        <f>IF(R162&lt;&gt;1,"",DATA_INPUT!C162)</f>
        <v/>
      </c>
      <c r="J162" s="18" t="str">
        <f t="shared" si="106"/>
        <v/>
      </c>
      <c r="K162" s="18" t="str">
        <f>IF(R162&lt;&gt;1,"",DATA_INPUT!H162)</f>
        <v/>
      </c>
      <c r="L162" s="18" t="str">
        <f t="shared" si="107"/>
        <v/>
      </c>
      <c r="M162" s="18" t="str">
        <f>IF(R162&lt;&gt;1,"",H162*CONTROL_PANEL!$B$14)</f>
        <v/>
      </c>
      <c r="N162" s="18" t="str">
        <f>IF(R162&lt;&gt;1,"",DATA_INPUT!K162)</f>
        <v/>
      </c>
      <c r="O162" s="18" t="str">
        <f t="shared" si="108"/>
        <v/>
      </c>
      <c r="P162" s="18" t="str">
        <f>IF(R162&lt;&gt;1,"",IF(O162-CONTROL_PANEL!$B$11&lt;0,0,O162-CONTROL_PANEL!$B$11))</f>
        <v/>
      </c>
      <c r="Q162" s="18" t="str">
        <f>IF(R162&lt;&gt;1,"",IF(N162&lt;=0,0,MIN(N162,MAX(0,CONTROL_PANEL!$B$13-O162))))</f>
        <v/>
      </c>
      <c r="R162" s="18"/>
      <c r="T162" s="19">
        <f t="shared" si="136"/>
        <v>2028</v>
      </c>
      <c r="U162" s="19">
        <f t="shared" si="92"/>
        <v>11</v>
      </c>
      <c r="V162" s="18" t="str">
        <f t="shared" si="109"/>
        <v/>
      </c>
      <c r="W162" s="18" t="str">
        <f t="shared" si="131"/>
        <v/>
      </c>
      <c r="X162" s="18" t="str">
        <f>IF(AK161&lt;&gt;1,"",IF(AH161&gt;0,IF(AH161&gt;CONTROL_PANEL!$B$11,CONTROL_PANEL!$B$11,AH161),0))</f>
        <v/>
      </c>
      <c r="Y162" s="18" t="str">
        <f t="shared" si="126"/>
        <v/>
      </c>
      <c r="Z162" s="18" t="str">
        <f>IF(AK162&lt;&gt;1,"",DATA_INPUT!I162)</f>
        <v/>
      </c>
      <c r="AA162" s="18" t="str">
        <f>IF(AK162&lt;&gt;1,"",Z162*CONTROL_PANEL!$B$5)</f>
        <v/>
      </c>
      <c r="AB162" s="18" t="str">
        <f>IF(AK162&lt;&gt;1,"",DATA_INPUT!$C162)</f>
        <v/>
      </c>
      <c r="AC162" s="18" t="str">
        <f t="shared" si="110"/>
        <v/>
      </c>
      <c r="AD162" s="18" t="str">
        <f>IF(AK162&lt;&gt;1,"",DATA_INPUT!$H162)</f>
        <v/>
      </c>
      <c r="AE162" s="18" t="str">
        <f t="shared" si="111"/>
        <v/>
      </c>
      <c r="AF162" s="18" t="str">
        <f>IF(AK162&lt;&gt;1,"",AA162*CONTROL_PANEL!$B$14)</f>
        <v/>
      </c>
      <c r="AG162" s="18" t="str">
        <f>IF(AK162&lt;&gt;1,"",DATA_INPUT!$L162)</f>
        <v/>
      </c>
      <c r="AH162" s="18" t="str">
        <f t="shared" si="112"/>
        <v/>
      </c>
      <c r="AI162" s="18" t="str">
        <f>IF(AK162&lt;&gt;1,"",IF(AH162-CONTROL_PANEL!$B$11&lt;0,0,AH162-CONTROL_PANEL!$B$11))</f>
        <v/>
      </c>
      <c r="AJ162" s="18" t="str">
        <f>IF(AK162&lt;&gt;1,"",IF(AG162&lt;=0,0,MIN(AG162,MAX(0,CONTROL_PANEL!$B$13-AH162))))</f>
        <v/>
      </c>
      <c r="AK162" s="18"/>
      <c r="AM162" s="19">
        <f t="shared" si="137"/>
        <v>2028</v>
      </c>
      <c r="AN162" s="19">
        <f t="shared" si="94"/>
        <v>11</v>
      </c>
      <c r="AO162" s="18" t="str">
        <f t="shared" si="113"/>
        <v/>
      </c>
      <c r="AP162" s="18" t="str">
        <f t="shared" si="132"/>
        <v/>
      </c>
      <c r="AQ162" s="18" t="str">
        <f>IF(BD161&lt;&gt;1,"",IF(BA161&gt;0,IF(BA161&gt;CONTROL_PANEL!$B$11,CONTROL_PANEL!$B$11,BA161),0))</f>
        <v/>
      </c>
      <c r="AR162" s="18" t="str">
        <f t="shared" si="127"/>
        <v/>
      </c>
      <c r="AS162" s="18" t="str">
        <f>IF(BD162&lt;&gt;1,"",DATA_INPUT!$I162)</f>
        <v/>
      </c>
      <c r="AT162" s="18" t="str">
        <f>IF(BD162&lt;&gt;1,"",AS162*CONTROL_PANEL!$B$5)</f>
        <v/>
      </c>
      <c r="AU162" s="18" t="str">
        <f>IF(BD162&lt;&gt;1,"",DATA_INPUT!$C162)</f>
        <v/>
      </c>
      <c r="AV162" s="18" t="str">
        <f t="shared" si="114"/>
        <v/>
      </c>
      <c r="AW162" s="18" t="str">
        <f>IF(BD162&lt;&gt;1,"",DATA_INPUT!$H162)</f>
        <v/>
      </c>
      <c r="AX162" s="18" t="str">
        <f t="shared" si="115"/>
        <v/>
      </c>
      <c r="AY162" s="18" t="str">
        <f>IF(BD162&lt;&gt;1,"",AT162*CONTROL_PANEL!$B$14)</f>
        <v/>
      </c>
      <c r="AZ162" s="18" t="str">
        <f>IF(BD162&lt;&gt;1,"",DATA_INPUT!$M162)</f>
        <v/>
      </c>
      <c r="BA162" s="18" t="str">
        <f t="shared" si="116"/>
        <v/>
      </c>
      <c r="BB162" s="18" t="str">
        <f>IF(BD162&lt;&gt;1,"",IF(BA162-CONTROL_PANEL!$B$11&lt;0,0,BA162-CONTROL_PANEL!$B$11))</f>
        <v/>
      </c>
      <c r="BC162" s="18" t="str">
        <f>IF(BD162&lt;&gt;1,"",IF(AZ162&lt;=0,0,MIN(AZ162,MAX(0,CONTROL_PANEL!$B$13-BA162))))</f>
        <v/>
      </c>
      <c r="BD162" s="18"/>
      <c r="BF162" s="19">
        <f t="shared" si="138"/>
        <v>2028</v>
      </c>
      <c r="BG162" s="19">
        <f t="shared" si="96"/>
        <v>11</v>
      </c>
      <c r="BH162" s="18" t="str">
        <f t="shared" si="117"/>
        <v/>
      </c>
      <c r="BI162" s="18" t="str">
        <f t="shared" si="133"/>
        <v/>
      </c>
      <c r="BJ162" s="18" t="str">
        <f>IF(BW161&lt;&gt;1,"",IF(BT161&gt;0,IF(BT161&gt;CONTROL_PANEL!$B$11,CONTROL_PANEL!$B$11,BT161),0))</f>
        <v/>
      </c>
      <c r="BK162" s="18" t="str">
        <f t="shared" si="128"/>
        <v/>
      </c>
      <c r="BL162" s="18" t="str">
        <f>IF(BW162&lt;&gt;1,"",DATA_INPUT!$I162)</f>
        <v/>
      </c>
      <c r="BM162" s="18" t="str">
        <f>IF(BW162&lt;&gt;1,"",BL162*CONTROL_PANEL!$B$5)</f>
        <v/>
      </c>
      <c r="BN162" s="18" t="str">
        <f>IF(BW162&lt;&gt;1,"",DATA_INPUT!$C162)</f>
        <v/>
      </c>
      <c r="BO162" s="18" t="str">
        <f t="shared" si="118"/>
        <v/>
      </c>
      <c r="BP162" s="18" t="str">
        <f>IF(BW162&lt;&gt;1,"",DATA_INPUT!$H162)</f>
        <v/>
      </c>
      <c r="BQ162" s="18" t="str">
        <f t="shared" si="119"/>
        <v/>
      </c>
      <c r="BR162" s="18" t="str">
        <f>IF(BW162&lt;&gt;1,"",BM162*CONTROL_PANEL!$B$14)</f>
        <v/>
      </c>
      <c r="BS162" s="18" t="str">
        <f>IF(BW162&lt;&gt;1,"",DATA_INPUT!$N162)</f>
        <v/>
      </c>
      <c r="BT162" s="18" t="str">
        <f t="shared" si="120"/>
        <v/>
      </c>
      <c r="BU162" s="18" t="str">
        <f>IF(BW162&lt;&gt;1,"",IF(BT162-CONTROL_PANEL!$B$11&lt;0,0,BT162-CONTROL_PANEL!$B$11))</f>
        <v/>
      </c>
      <c r="BV162" s="18" t="str">
        <f>IF(BW162&lt;&gt;1,"",IF(BS162&lt;=0,0,MIN(BS162,MAX(0,CONTROL_PANEL!$B$13-BT162))))</f>
        <v/>
      </c>
      <c r="BW162" s="18"/>
      <c r="BY162" s="19">
        <f t="shared" si="139"/>
        <v>2028</v>
      </c>
      <c r="BZ162" s="19">
        <f t="shared" si="98"/>
        <v>11</v>
      </c>
      <c r="CA162" s="18" t="str">
        <f t="shared" si="121"/>
        <v/>
      </c>
      <c r="CB162" s="18" t="str">
        <f t="shared" si="134"/>
        <v/>
      </c>
      <c r="CC162" s="18" t="str">
        <f>IF(CP161&lt;&gt;1,"",IF(CM161&gt;0,IF(CM161&gt;CONTROL_PANEL!$B$11,CONTROL_PANEL!$B$11,CM161),0))</f>
        <v/>
      </c>
      <c r="CD162" s="18" t="str">
        <f t="shared" si="129"/>
        <v/>
      </c>
      <c r="CE162" s="18" t="str">
        <f>IF(CP162&lt;&gt;1,"",DATA_INPUT!$I162)</f>
        <v/>
      </c>
      <c r="CF162" s="18" t="str">
        <f>IF(CP162&lt;&gt;1,"",CE162*CONTROL_PANEL!$B$5)</f>
        <v/>
      </c>
      <c r="CG162" s="18" t="str">
        <f>IF(CP162&lt;&gt;1,"",DATA_INPUT!$C162)</f>
        <v/>
      </c>
      <c r="CH162" s="18" t="str">
        <f t="shared" si="122"/>
        <v/>
      </c>
      <c r="CI162" s="18" t="str">
        <f>IF(CP162&lt;&gt;1,"",DATA_INPUT!$H162)</f>
        <v/>
      </c>
      <c r="CJ162" s="18" t="str">
        <f t="shared" si="123"/>
        <v/>
      </c>
      <c r="CK162" s="18" t="str">
        <f>IF(CP162&lt;&gt;1,"",CF162*CONTROL_PANEL!$B$14)</f>
        <v/>
      </c>
      <c r="CL162" s="18" t="str">
        <f>IF(CP162&lt;&gt;1,"",DATA_INPUT!$O162)</f>
        <v/>
      </c>
      <c r="CM162" s="18" t="str">
        <f t="shared" si="124"/>
        <v/>
      </c>
      <c r="CN162" s="18" t="str">
        <f>IF(CP162&lt;&gt;1,"",IF(CM162-CONTROL_PANEL!$B$11&lt;0,0,CM162-CONTROL_PANEL!$B$11))</f>
        <v/>
      </c>
      <c r="CO162" s="18" t="str">
        <f>IF(CP162&lt;&gt;1,"",IF(CL162&lt;=0,0,MIN(CL162,MAX(0,CONTROL_PANEL!$B$13-CM162))))</f>
        <v/>
      </c>
      <c r="CP162" s="18"/>
    </row>
    <row r="163" spans="1:94" x14ac:dyDescent="0.25">
      <c r="A163" s="19">
        <f t="shared" si="135"/>
        <v>2028</v>
      </c>
      <c r="B163" s="19">
        <f t="shared" si="90"/>
        <v>12</v>
      </c>
      <c r="C163" s="18" t="str">
        <f t="shared" si="105"/>
        <v/>
      </c>
      <c r="D163" s="18" t="str">
        <f t="shared" si="130"/>
        <v/>
      </c>
      <c r="E163" s="18" t="str">
        <f>IF(R162&lt;&gt;1,"",IF(O162&gt;0,IF(O162&gt;CONTROL_PANEL!$B$11,CONTROL_PANEL!$B$11,O162),0))</f>
        <v/>
      </c>
      <c r="F163" s="18" t="str">
        <f t="shared" si="125"/>
        <v/>
      </c>
      <c r="G163" s="18" t="str">
        <f>IF(R163&lt;&gt;1,"",DATA_INPUT!I163)</f>
        <v/>
      </c>
      <c r="H163" s="18" t="str">
        <f>IF(R163&lt;&gt;1,"",G163*CONTROL_PANEL!$B$5)</f>
        <v/>
      </c>
      <c r="I163" s="18" t="str">
        <f>IF(R163&lt;&gt;1,"",DATA_INPUT!C163)</f>
        <v/>
      </c>
      <c r="J163" s="18" t="str">
        <f t="shared" si="106"/>
        <v/>
      </c>
      <c r="K163" s="18" t="str">
        <f>IF(R163&lt;&gt;1,"",DATA_INPUT!H163)</f>
        <v/>
      </c>
      <c r="L163" s="18" t="str">
        <f t="shared" si="107"/>
        <v/>
      </c>
      <c r="M163" s="18" t="str">
        <f>IF(R163&lt;&gt;1,"",H163*CONTROL_PANEL!$B$14)</f>
        <v/>
      </c>
      <c r="N163" s="18" t="str">
        <f>IF(R163&lt;&gt;1,"",DATA_INPUT!K163)</f>
        <v/>
      </c>
      <c r="O163" s="18" t="str">
        <f t="shared" si="108"/>
        <v/>
      </c>
      <c r="P163" s="18" t="str">
        <f>IF(R163&lt;&gt;1,"",IF(O163-CONTROL_PANEL!$B$11&lt;0,0,O163-CONTROL_PANEL!$B$11))</f>
        <v/>
      </c>
      <c r="Q163" s="18" t="str">
        <f>IF(R163&lt;&gt;1,"",IF(N163&lt;=0,0,MIN(N163,MAX(0,CONTROL_PANEL!$B$13-O163))))</f>
        <v/>
      </c>
      <c r="R163" s="18"/>
      <c r="T163" s="19">
        <f t="shared" si="136"/>
        <v>2028</v>
      </c>
      <c r="U163" s="19">
        <f t="shared" si="92"/>
        <v>12</v>
      </c>
      <c r="V163" s="18" t="str">
        <f t="shared" si="109"/>
        <v/>
      </c>
      <c r="W163" s="18" t="str">
        <f t="shared" si="131"/>
        <v/>
      </c>
      <c r="X163" s="18" t="str">
        <f>IF(AK162&lt;&gt;1,"",IF(AH162&gt;0,IF(AH162&gt;CONTROL_PANEL!$B$11,CONTROL_PANEL!$B$11,AH162),0))</f>
        <v/>
      </c>
      <c r="Y163" s="18" t="str">
        <f t="shared" si="126"/>
        <v/>
      </c>
      <c r="Z163" s="18" t="str">
        <f>IF(AK163&lt;&gt;1,"",DATA_INPUT!I163)</f>
        <v/>
      </c>
      <c r="AA163" s="18" t="str">
        <f>IF(AK163&lt;&gt;1,"",Z163*CONTROL_PANEL!$B$5)</f>
        <v/>
      </c>
      <c r="AB163" s="18" t="str">
        <f>IF(AK163&lt;&gt;1,"",DATA_INPUT!$C163)</f>
        <v/>
      </c>
      <c r="AC163" s="18" t="str">
        <f t="shared" si="110"/>
        <v/>
      </c>
      <c r="AD163" s="18" t="str">
        <f>IF(AK163&lt;&gt;1,"",DATA_INPUT!$H163)</f>
        <v/>
      </c>
      <c r="AE163" s="18" t="str">
        <f t="shared" si="111"/>
        <v/>
      </c>
      <c r="AF163" s="18" t="str">
        <f>IF(AK163&lt;&gt;1,"",AA163*CONTROL_PANEL!$B$14)</f>
        <v/>
      </c>
      <c r="AG163" s="18" t="str">
        <f>IF(AK163&lt;&gt;1,"",DATA_INPUT!$L163)</f>
        <v/>
      </c>
      <c r="AH163" s="18" t="str">
        <f t="shared" si="112"/>
        <v/>
      </c>
      <c r="AI163" s="18" t="str">
        <f>IF(AK163&lt;&gt;1,"",IF(AH163-CONTROL_PANEL!$B$11&lt;0,0,AH163-CONTROL_PANEL!$B$11))</f>
        <v/>
      </c>
      <c r="AJ163" s="18" t="str">
        <f>IF(AK163&lt;&gt;1,"",IF(AG163&lt;=0,0,MIN(AG163,MAX(0,CONTROL_PANEL!$B$13-AH163))))</f>
        <v/>
      </c>
      <c r="AK163" s="18"/>
      <c r="AM163" s="19">
        <f t="shared" si="137"/>
        <v>2028</v>
      </c>
      <c r="AN163" s="19">
        <f t="shared" si="94"/>
        <v>12</v>
      </c>
      <c r="AO163" s="18" t="str">
        <f t="shared" si="113"/>
        <v/>
      </c>
      <c r="AP163" s="18" t="str">
        <f t="shared" si="132"/>
        <v/>
      </c>
      <c r="AQ163" s="18" t="str">
        <f>IF(BD162&lt;&gt;1,"",IF(BA162&gt;0,IF(BA162&gt;CONTROL_PANEL!$B$11,CONTROL_PANEL!$B$11,BA162),0))</f>
        <v/>
      </c>
      <c r="AR163" s="18" t="str">
        <f t="shared" si="127"/>
        <v/>
      </c>
      <c r="AS163" s="18" t="str">
        <f>IF(BD163&lt;&gt;1,"",DATA_INPUT!$I163)</f>
        <v/>
      </c>
      <c r="AT163" s="18" t="str">
        <f>IF(BD163&lt;&gt;1,"",AS163*CONTROL_PANEL!$B$5)</f>
        <v/>
      </c>
      <c r="AU163" s="18" t="str">
        <f>IF(BD163&lt;&gt;1,"",DATA_INPUT!$C163)</f>
        <v/>
      </c>
      <c r="AV163" s="18" t="str">
        <f t="shared" si="114"/>
        <v/>
      </c>
      <c r="AW163" s="18" t="str">
        <f>IF(BD163&lt;&gt;1,"",DATA_INPUT!$H163)</f>
        <v/>
      </c>
      <c r="AX163" s="18" t="str">
        <f t="shared" si="115"/>
        <v/>
      </c>
      <c r="AY163" s="18" t="str">
        <f>IF(BD163&lt;&gt;1,"",AT163*CONTROL_PANEL!$B$14)</f>
        <v/>
      </c>
      <c r="AZ163" s="18" t="str">
        <f>IF(BD163&lt;&gt;1,"",DATA_INPUT!$M163)</f>
        <v/>
      </c>
      <c r="BA163" s="18" t="str">
        <f t="shared" si="116"/>
        <v/>
      </c>
      <c r="BB163" s="18" t="str">
        <f>IF(BD163&lt;&gt;1,"",IF(BA163-CONTROL_PANEL!$B$11&lt;0,0,BA163-CONTROL_PANEL!$B$11))</f>
        <v/>
      </c>
      <c r="BC163" s="18" t="str">
        <f>IF(BD163&lt;&gt;1,"",IF(AZ163&lt;=0,0,MIN(AZ163,MAX(0,CONTROL_PANEL!$B$13-BA163))))</f>
        <v/>
      </c>
      <c r="BD163" s="18"/>
      <c r="BF163" s="19">
        <f t="shared" si="138"/>
        <v>2028</v>
      </c>
      <c r="BG163" s="19">
        <f t="shared" si="96"/>
        <v>12</v>
      </c>
      <c r="BH163" s="18" t="str">
        <f t="shared" si="117"/>
        <v/>
      </c>
      <c r="BI163" s="18" t="str">
        <f t="shared" si="133"/>
        <v/>
      </c>
      <c r="BJ163" s="18" t="str">
        <f>IF(BW162&lt;&gt;1,"",IF(BT162&gt;0,IF(BT162&gt;CONTROL_PANEL!$B$11,CONTROL_PANEL!$B$11,BT162),0))</f>
        <v/>
      </c>
      <c r="BK163" s="18" t="str">
        <f t="shared" si="128"/>
        <v/>
      </c>
      <c r="BL163" s="18" t="str">
        <f>IF(BW163&lt;&gt;1,"",DATA_INPUT!$I163)</f>
        <v/>
      </c>
      <c r="BM163" s="18" t="str">
        <f>IF(BW163&lt;&gt;1,"",BL163*CONTROL_PANEL!$B$5)</f>
        <v/>
      </c>
      <c r="BN163" s="18" t="str">
        <f>IF(BW163&lt;&gt;1,"",DATA_INPUT!$C163)</f>
        <v/>
      </c>
      <c r="BO163" s="18" t="str">
        <f t="shared" si="118"/>
        <v/>
      </c>
      <c r="BP163" s="18" t="str">
        <f>IF(BW163&lt;&gt;1,"",DATA_INPUT!$H163)</f>
        <v/>
      </c>
      <c r="BQ163" s="18" t="str">
        <f t="shared" si="119"/>
        <v/>
      </c>
      <c r="BR163" s="18" t="str">
        <f>IF(BW163&lt;&gt;1,"",BM163*CONTROL_PANEL!$B$14)</f>
        <v/>
      </c>
      <c r="BS163" s="18" t="str">
        <f>IF(BW163&lt;&gt;1,"",DATA_INPUT!$N163)</f>
        <v/>
      </c>
      <c r="BT163" s="18" t="str">
        <f t="shared" si="120"/>
        <v/>
      </c>
      <c r="BU163" s="18" t="str">
        <f>IF(BW163&lt;&gt;1,"",IF(BT163-CONTROL_PANEL!$B$11&lt;0,0,BT163-CONTROL_PANEL!$B$11))</f>
        <v/>
      </c>
      <c r="BV163" s="18" t="str">
        <f>IF(BW163&lt;&gt;1,"",IF(BS163&lt;=0,0,MIN(BS163,MAX(0,CONTROL_PANEL!$B$13-BT163))))</f>
        <v/>
      </c>
      <c r="BW163" s="18"/>
      <c r="BY163" s="19">
        <f t="shared" si="139"/>
        <v>2028</v>
      </c>
      <c r="BZ163" s="19">
        <f t="shared" si="98"/>
        <v>12</v>
      </c>
      <c r="CA163" s="18" t="str">
        <f t="shared" si="121"/>
        <v/>
      </c>
      <c r="CB163" s="18" t="str">
        <f t="shared" si="134"/>
        <v/>
      </c>
      <c r="CC163" s="18" t="str">
        <f>IF(CP162&lt;&gt;1,"",IF(CM162&gt;0,IF(CM162&gt;CONTROL_PANEL!$B$11,CONTROL_PANEL!$B$11,CM162),0))</f>
        <v/>
      </c>
      <c r="CD163" s="18" t="str">
        <f t="shared" si="129"/>
        <v/>
      </c>
      <c r="CE163" s="18" t="str">
        <f>IF(CP163&lt;&gt;1,"",DATA_INPUT!$I163)</f>
        <v/>
      </c>
      <c r="CF163" s="18" t="str">
        <f>IF(CP163&lt;&gt;1,"",CE163*CONTROL_PANEL!$B$5)</f>
        <v/>
      </c>
      <c r="CG163" s="18" t="str">
        <f>IF(CP163&lt;&gt;1,"",DATA_INPUT!$C163)</f>
        <v/>
      </c>
      <c r="CH163" s="18" t="str">
        <f t="shared" si="122"/>
        <v/>
      </c>
      <c r="CI163" s="18" t="str">
        <f>IF(CP163&lt;&gt;1,"",DATA_INPUT!$H163)</f>
        <v/>
      </c>
      <c r="CJ163" s="18" t="str">
        <f t="shared" si="123"/>
        <v/>
      </c>
      <c r="CK163" s="18" t="str">
        <f>IF(CP163&lt;&gt;1,"",CF163*CONTROL_PANEL!$B$14)</f>
        <v/>
      </c>
      <c r="CL163" s="18" t="str">
        <f>IF(CP163&lt;&gt;1,"",DATA_INPUT!$O163)</f>
        <v/>
      </c>
      <c r="CM163" s="18" t="str">
        <f t="shared" si="124"/>
        <v/>
      </c>
      <c r="CN163" s="18" t="str">
        <f>IF(CP163&lt;&gt;1,"",IF(CM163-CONTROL_PANEL!$B$11&lt;0,0,CM163-CONTROL_PANEL!$B$11))</f>
        <v/>
      </c>
      <c r="CO163" s="18" t="str">
        <f>IF(CP163&lt;&gt;1,"",IF(CL163&lt;=0,0,MIN(CL163,MAX(0,CONTROL_PANEL!$B$13-CM163))))</f>
        <v/>
      </c>
      <c r="CP163" s="18"/>
    </row>
    <row r="164" spans="1:94" x14ac:dyDescent="0.25">
      <c r="A164" s="19">
        <f t="shared" si="135"/>
        <v>2029</v>
      </c>
      <c r="B164" s="19">
        <f t="shared" si="90"/>
        <v>1</v>
      </c>
      <c r="C164" s="18" t="str">
        <f t="shared" si="105"/>
        <v/>
      </c>
      <c r="D164" s="18" t="str">
        <f t="shared" si="130"/>
        <v/>
      </c>
      <c r="E164" s="18" t="str">
        <f>IF(R163&lt;&gt;1,"",IF(O163&gt;0,IF(O163&gt;CONTROL_PANEL!$B$11,CONTROL_PANEL!$B$11,O163),0))</f>
        <v/>
      </c>
      <c r="F164" s="18" t="str">
        <f t="shared" si="125"/>
        <v/>
      </c>
      <c r="G164" s="18" t="str">
        <f>IF(R164&lt;&gt;1,"",DATA_INPUT!I164)</f>
        <v/>
      </c>
      <c r="H164" s="18" t="str">
        <f>IF(R164&lt;&gt;1,"",G164*CONTROL_PANEL!$B$5)</f>
        <v/>
      </c>
      <c r="I164" s="18" t="str">
        <f>IF(R164&lt;&gt;1,"",DATA_INPUT!C164)</f>
        <v/>
      </c>
      <c r="J164" s="18" t="str">
        <f t="shared" si="106"/>
        <v/>
      </c>
      <c r="K164" s="18" t="str">
        <f>IF(R164&lt;&gt;1,"",DATA_INPUT!H164)</f>
        <v/>
      </c>
      <c r="L164" s="18" t="str">
        <f t="shared" si="107"/>
        <v/>
      </c>
      <c r="M164" s="18" t="str">
        <f>IF(R164&lt;&gt;1,"",H164*CONTROL_PANEL!$B$14)</f>
        <v/>
      </c>
      <c r="N164" s="18" t="str">
        <f>IF(R164&lt;&gt;1,"",DATA_INPUT!K164)</f>
        <v/>
      </c>
      <c r="O164" s="18" t="str">
        <f t="shared" si="108"/>
        <v/>
      </c>
      <c r="P164" s="18" t="str">
        <f>IF(R164&lt;&gt;1,"",IF(O164-CONTROL_PANEL!$B$11&lt;0,0,O164-CONTROL_PANEL!$B$11))</f>
        <v/>
      </c>
      <c r="Q164" s="18" t="str">
        <f>IF(R164&lt;&gt;1,"",IF(N164&lt;=0,0,MIN(N164,MAX(0,CONTROL_PANEL!$B$13-O164))))</f>
        <v/>
      </c>
      <c r="R164" s="18"/>
      <c r="T164" s="19">
        <f t="shared" si="136"/>
        <v>2029</v>
      </c>
      <c r="U164" s="19">
        <f t="shared" si="92"/>
        <v>1</v>
      </c>
      <c r="V164" s="18" t="str">
        <f t="shared" si="109"/>
        <v/>
      </c>
      <c r="W164" s="18" t="str">
        <f t="shared" si="131"/>
        <v/>
      </c>
      <c r="X164" s="18" t="str">
        <f>IF(AK163&lt;&gt;1,"",IF(AH163&gt;0,IF(AH163&gt;CONTROL_PANEL!$B$11,CONTROL_PANEL!$B$11,AH163),0))</f>
        <v/>
      </c>
      <c r="Y164" s="18" t="str">
        <f t="shared" si="126"/>
        <v/>
      </c>
      <c r="Z164" s="18" t="str">
        <f>IF(AK164&lt;&gt;1,"",DATA_INPUT!I164)</f>
        <v/>
      </c>
      <c r="AA164" s="18" t="str">
        <f>IF(AK164&lt;&gt;1,"",Z164*CONTROL_PANEL!$B$5)</f>
        <v/>
      </c>
      <c r="AB164" s="18" t="str">
        <f>IF(AK164&lt;&gt;1,"",DATA_INPUT!$C164)</f>
        <v/>
      </c>
      <c r="AC164" s="18" t="str">
        <f t="shared" si="110"/>
        <v/>
      </c>
      <c r="AD164" s="18" t="str">
        <f>IF(AK164&lt;&gt;1,"",DATA_INPUT!$H164)</f>
        <v/>
      </c>
      <c r="AE164" s="18" t="str">
        <f t="shared" si="111"/>
        <v/>
      </c>
      <c r="AF164" s="18" t="str">
        <f>IF(AK164&lt;&gt;1,"",AA164*CONTROL_PANEL!$B$14)</f>
        <v/>
      </c>
      <c r="AG164" s="18" t="str">
        <f>IF(AK164&lt;&gt;1,"",DATA_INPUT!$L164)</f>
        <v/>
      </c>
      <c r="AH164" s="18" t="str">
        <f t="shared" si="112"/>
        <v/>
      </c>
      <c r="AI164" s="18" t="str">
        <f>IF(AK164&lt;&gt;1,"",IF(AH164-CONTROL_PANEL!$B$11&lt;0,0,AH164-CONTROL_PANEL!$B$11))</f>
        <v/>
      </c>
      <c r="AJ164" s="18" t="str">
        <f>IF(AK164&lt;&gt;1,"",IF(AG164&lt;=0,0,MIN(AG164,MAX(0,CONTROL_PANEL!$B$13-AH164))))</f>
        <v/>
      </c>
      <c r="AK164" s="18"/>
      <c r="AM164" s="19">
        <f t="shared" si="137"/>
        <v>2029</v>
      </c>
      <c r="AN164" s="19">
        <f t="shared" si="94"/>
        <v>1</v>
      </c>
      <c r="AO164" s="18" t="str">
        <f t="shared" si="113"/>
        <v/>
      </c>
      <c r="AP164" s="18" t="str">
        <f t="shared" si="132"/>
        <v/>
      </c>
      <c r="AQ164" s="18" t="str">
        <f>IF(BD163&lt;&gt;1,"",IF(BA163&gt;0,IF(BA163&gt;CONTROL_PANEL!$B$11,CONTROL_PANEL!$B$11,BA163),0))</f>
        <v/>
      </c>
      <c r="AR164" s="18" t="str">
        <f t="shared" si="127"/>
        <v/>
      </c>
      <c r="AS164" s="18" t="str">
        <f>IF(BD164&lt;&gt;1,"",DATA_INPUT!$I164)</f>
        <v/>
      </c>
      <c r="AT164" s="18" t="str">
        <f>IF(BD164&lt;&gt;1,"",AS164*CONTROL_PANEL!$B$5)</f>
        <v/>
      </c>
      <c r="AU164" s="18" t="str">
        <f>IF(BD164&lt;&gt;1,"",DATA_INPUT!$C164)</f>
        <v/>
      </c>
      <c r="AV164" s="18" t="str">
        <f t="shared" si="114"/>
        <v/>
      </c>
      <c r="AW164" s="18" t="str">
        <f>IF(BD164&lt;&gt;1,"",DATA_INPUT!$H164)</f>
        <v/>
      </c>
      <c r="AX164" s="18" t="str">
        <f t="shared" si="115"/>
        <v/>
      </c>
      <c r="AY164" s="18" t="str">
        <f>IF(BD164&lt;&gt;1,"",AT164*CONTROL_PANEL!$B$14)</f>
        <v/>
      </c>
      <c r="AZ164" s="18" t="str">
        <f>IF(BD164&lt;&gt;1,"",DATA_INPUT!$M164)</f>
        <v/>
      </c>
      <c r="BA164" s="18" t="str">
        <f t="shared" si="116"/>
        <v/>
      </c>
      <c r="BB164" s="18" t="str">
        <f>IF(BD164&lt;&gt;1,"",IF(BA164-CONTROL_PANEL!$B$11&lt;0,0,BA164-CONTROL_PANEL!$B$11))</f>
        <v/>
      </c>
      <c r="BC164" s="18" t="str">
        <f>IF(BD164&lt;&gt;1,"",IF(AZ164&lt;=0,0,MIN(AZ164,MAX(0,CONTROL_PANEL!$B$13-BA164))))</f>
        <v/>
      </c>
      <c r="BD164" s="18"/>
      <c r="BF164" s="19">
        <f t="shared" si="138"/>
        <v>2029</v>
      </c>
      <c r="BG164" s="19">
        <f t="shared" si="96"/>
        <v>1</v>
      </c>
      <c r="BH164" s="18" t="str">
        <f t="shared" si="117"/>
        <v/>
      </c>
      <c r="BI164" s="18" t="str">
        <f t="shared" si="133"/>
        <v/>
      </c>
      <c r="BJ164" s="18" t="str">
        <f>IF(BW163&lt;&gt;1,"",IF(BT163&gt;0,IF(BT163&gt;CONTROL_PANEL!$B$11,CONTROL_PANEL!$B$11,BT163),0))</f>
        <v/>
      </c>
      <c r="BK164" s="18" t="str">
        <f t="shared" si="128"/>
        <v/>
      </c>
      <c r="BL164" s="18" t="str">
        <f>IF(BW164&lt;&gt;1,"",DATA_INPUT!$I164)</f>
        <v/>
      </c>
      <c r="BM164" s="18" t="str">
        <f>IF(BW164&lt;&gt;1,"",BL164*CONTROL_PANEL!$B$5)</f>
        <v/>
      </c>
      <c r="BN164" s="18" t="str">
        <f>IF(BW164&lt;&gt;1,"",DATA_INPUT!$C164)</f>
        <v/>
      </c>
      <c r="BO164" s="18" t="str">
        <f t="shared" si="118"/>
        <v/>
      </c>
      <c r="BP164" s="18" t="str">
        <f>IF(BW164&lt;&gt;1,"",DATA_INPUT!$H164)</f>
        <v/>
      </c>
      <c r="BQ164" s="18" t="str">
        <f t="shared" si="119"/>
        <v/>
      </c>
      <c r="BR164" s="18" t="str">
        <f>IF(BW164&lt;&gt;1,"",BM164*CONTROL_PANEL!$B$14)</f>
        <v/>
      </c>
      <c r="BS164" s="18" t="str">
        <f>IF(BW164&lt;&gt;1,"",DATA_INPUT!$N164)</f>
        <v/>
      </c>
      <c r="BT164" s="18" t="str">
        <f t="shared" si="120"/>
        <v/>
      </c>
      <c r="BU164" s="18" t="str">
        <f>IF(BW164&lt;&gt;1,"",IF(BT164-CONTROL_PANEL!$B$11&lt;0,0,BT164-CONTROL_PANEL!$B$11))</f>
        <v/>
      </c>
      <c r="BV164" s="18" t="str">
        <f>IF(BW164&lt;&gt;1,"",IF(BS164&lt;=0,0,MIN(BS164,MAX(0,CONTROL_PANEL!$B$13-BT164))))</f>
        <v/>
      </c>
      <c r="BW164" s="18"/>
      <c r="BY164" s="19">
        <f t="shared" si="139"/>
        <v>2029</v>
      </c>
      <c r="BZ164" s="19">
        <f t="shared" si="98"/>
        <v>1</v>
      </c>
      <c r="CA164" s="18" t="str">
        <f t="shared" si="121"/>
        <v/>
      </c>
      <c r="CB164" s="18" t="str">
        <f t="shared" si="134"/>
        <v/>
      </c>
      <c r="CC164" s="18" t="str">
        <f>IF(CP163&lt;&gt;1,"",IF(CM163&gt;0,IF(CM163&gt;CONTROL_PANEL!$B$11,CONTROL_PANEL!$B$11,CM163),0))</f>
        <v/>
      </c>
      <c r="CD164" s="18" t="str">
        <f t="shared" si="129"/>
        <v/>
      </c>
      <c r="CE164" s="18" t="str">
        <f>IF(CP164&lt;&gt;1,"",DATA_INPUT!$I164)</f>
        <v/>
      </c>
      <c r="CF164" s="18" t="str">
        <f>IF(CP164&lt;&gt;1,"",CE164*CONTROL_PANEL!$B$5)</f>
        <v/>
      </c>
      <c r="CG164" s="18" t="str">
        <f>IF(CP164&lt;&gt;1,"",DATA_INPUT!$C164)</f>
        <v/>
      </c>
      <c r="CH164" s="18" t="str">
        <f t="shared" si="122"/>
        <v/>
      </c>
      <c r="CI164" s="18" t="str">
        <f>IF(CP164&lt;&gt;1,"",DATA_INPUT!$H164)</f>
        <v/>
      </c>
      <c r="CJ164" s="18" t="str">
        <f t="shared" si="123"/>
        <v/>
      </c>
      <c r="CK164" s="18" t="str">
        <f>IF(CP164&lt;&gt;1,"",CF164*CONTROL_PANEL!$B$14)</f>
        <v/>
      </c>
      <c r="CL164" s="18" t="str">
        <f>IF(CP164&lt;&gt;1,"",DATA_INPUT!$O164)</f>
        <v/>
      </c>
      <c r="CM164" s="18" t="str">
        <f t="shared" si="124"/>
        <v/>
      </c>
      <c r="CN164" s="18" t="str">
        <f>IF(CP164&lt;&gt;1,"",IF(CM164-CONTROL_PANEL!$B$11&lt;0,0,CM164-CONTROL_PANEL!$B$11))</f>
        <v/>
      </c>
      <c r="CO164" s="18" t="str">
        <f>IF(CP164&lt;&gt;1,"",IF(CL164&lt;=0,0,MIN(CL164,MAX(0,CONTROL_PANEL!$B$13-CM164))))</f>
        <v/>
      </c>
      <c r="CP164" s="18"/>
    </row>
    <row r="165" spans="1:94" x14ac:dyDescent="0.25">
      <c r="A165" s="19">
        <f t="shared" si="135"/>
        <v>2029</v>
      </c>
      <c r="B165" s="19">
        <f t="shared" si="90"/>
        <v>2</v>
      </c>
      <c r="C165" s="18" t="str">
        <f t="shared" si="105"/>
        <v/>
      </c>
      <c r="D165" s="18" t="str">
        <f t="shared" si="130"/>
        <v/>
      </c>
      <c r="E165" s="18" t="str">
        <f>IF(R164&lt;&gt;1,"",IF(O164&gt;0,IF(O164&gt;CONTROL_PANEL!$B$11,CONTROL_PANEL!$B$11,O164),0))</f>
        <v/>
      </c>
      <c r="F165" s="18" t="str">
        <f t="shared" si="125"/>
        <v/>
      </c>
      <c r="G165" s="18" t="str">
        <f>IF(R165&lt;&gt;1,"",DATA_INPUT!I165)</f>
        <v/>
      </c>
      <c r="H165" s="18" t="str">
        <f>IF(R165&lt;&gt;1,"",G165*CONTROL_PANEL!$B$5)</f>
        <v/>
      </c>
      <c r="I165" s="18" t="str">
        <f>IF(R165&lt;&gt;1,"",DATA_INPUT!C165)</f>
        <v/>
      </c>
      <c r="J165" s="18" t="str">
        <f t="shared" si="106"/>
        <v/>
      </c>
      <c r="K165" s="18" t="str">
        <f>IF(R165&lt;&gt;1,"",DATA_INPUT!H165)</f>
        <v/>
      </c>
      <c r="L165" s="18" t="str">
        <f t="shared" si="107"/>
        <v/>
      </c>
      <c r="M165" s="18" t="str">
        <f>IF(R165&lt;&gt;1,"",H165*CONTROL_PANEL!$B$14)</f>
        <v/>
      </c>
      <c r="N165" s="18" t="str">
        <f>IF(R165&lt;&gt;1,"",DATA_INPUT!K165)</f>
        <v/>
      </c>
      <c r="O165" s="18" t="str">
        <f t="shared" si="108"/>
        <v/>
      </c>
      <c r="P165" s="18" t="str">
        <f>IF(R165&lt;&gt;1,"",IF(O165-CONTROL_PANEL!$B$11&lt;0,0,O165-CONTROL_PANEL!$B$11))</f>
        <v/>
      </c>
      <c r="Q165" s="18" t="str">
        <f>IF(R165&lt;&gt;1,"",IF(N165&lt;=0,0,MIN(N165,MAX(0,CONTROL_PANEL!$B$13-O165))))</f>
        <v/>
      </c>
      <c r="R165" s="18"/>
      <c r="T165" s="19">
        <f t="shared" si="136"/>
        <v>2029</v>
      </c>
      <c r="U165" s="19">
        <f t="shared" si="92"/>
        <v>2</v>
      </c>
      <c r="V165" s="18" t="str">
        <f t="shared" si="109"/>
        <v/>
      </c>
      <c r="W165" s="18" t="str">
        <f t="shared" si="131"/>
        <v/>
      </c>
      <c r="X165" s="18" t="str">
        <f>IF(AK164&lt;&gt;1,"",IF(AH164&gt;0,IF(AH164&gt;CONTROL_PANEL!$B$11,CONTROL_PANEL!$B$11,AH164),0))</f>
        <v/>
      </c>
      <c r="Y165" s="18" t="str">
        <f t="shared" si="126"/>
        <v/>
      </c>
      <c r="Z165" s="18" t="str">
        <f>IF(AK165&lt;&gt;1,"",DATA_INPUT!I165)</f>
        <v/>
      </c>
      <c r="AA165" s="18" t="str">
        <f>IF(AK165&lt;&gt;1,"",Z165*CONTROL_PANEL!$B$5)</f>
        <v/>
      </c>
      <c r="AB165" s="18" t="str">
        <f>IF(AK165&lt;&gt;1,"",DATA_INPUT!$C165)</f>
        <v/>
      </c>
      <c r="AC165" s="18" t="str">
        <f t="shared" si="110"/>
        <v/>
      </c>
      <c r="AD165" s="18" t="str">
        <f>IF(AK165&lt;&gt;1,"",DATA_INPUT!$H165)</f>
        <v/>
      </c>
      <c r="AE165" s="18" t="str">
        <f t="shared" si="111"/>
        <v/>
      </c>
      <c r="AF165" s="18" t="str">
        <f>IF(AK165&lt;&gt;1,"",AA165*CONTROL_PANEL!$B$14)</f>
        <v/>
      </c>
      <c r="AG165" s="18" t="str">
        <f>IF(AK165&lt;&gt;1,"",DATA_INPUT!$L165)</f>
        <v/>
      </c>
      <c r="AH165" s="18" t="str">
        <f t="shared" si="112"/>
        <v/>
      </c>
      <c r="AI165" s="18" t="str">
        <f>IF(AK165&lt;&gt;1,"",IF(AH165-CONTROL_PANEL!$B$11&lt;0,0,AH165-CONTROL_PANEL!$B$11))</f>
        <v/>
      </c>
      <c r="AJ165" s="18" t="str">
        <f>IF(AK165&lt;&gt;1,"",IF(AG165&lt;=0,0,MIN(AG165,MAX(0,CONTROL_PANEL!$B$13-AH165))))</f>
        <v/>
      </c>
      <c r="AK165" s="18"/>
      <c r="AM165" s="19">
        <f t="shared" si="137"/>
        <v>2029</v>
      </c>
      <c r="AN165" s="19">
        <f t="shared" si="94"/>
        <v>2</v>
      </c>
      <c r="AO165" s="18" t="str">
        <f t="shared" si="113"/>
        <v/>
      </c>
      <c r="AP165" s="18" t="str">
        <f t="shared" si="132"/>
        <v/>
      </c>
      <c r="AQ165" s="18" t="str">
        <f>IF(BD164&lt;&gt;1,"",IF(BA164&gt;0,IF(BA164&gt;CONTROL_PANEL!$B$11,CONTROL_PANEL!$B$11,BA164),0))</f>
        <v/>
      </c>
      <c r="AR165" s="18" t="str">
        <f t="shared" si="127"/>
        <v/>
      </c>
      <c r="AS165" s="18" t="str">
        <f>IF(BD165&lt;&gt;1,"",DATA_INPUT!$I165)</f>
        <v/>
      </c>
      <c r="AT165" s="18" t="str">
        <f>IF(BD165&lt;&gt;1,"",AS165*CONTROL_PANEL!$B$5)</f>
        <v/>
      </c>
      <c r="AU165" s="18" t="str">
        <f>IF(BD165&lt;&gt;1,"",DATA_INPUT!$C165)</f>
        <v/>
      </c>
      <c r="AV165" s="18" t="str">
        <f t="shared" si="114"/>
        <v/>
      </c>
      <c r="AW165" s="18" t="str">
        <f>IF(BD165&lt;&gt;1,"",DATA_INPUT!$H165)</f>
        <v/>
      </c>
      <c r="AX165" s="18" t="str">
        <f t="shared" si="115"/>
        <v/>
      </c>
      <c r="AY165" s="18" t="str">
        <f>IF(BD165&lt;&gt;1,"",AT165*CONTROL_PANEL!$B$14)</f>
        <v/>
      </c>
      <c r="AZ165" s="18" t="str">
        <f>IF(BD165&lt;&gt;1,"",DATA_INPUT!$M165)</f>
        <v/>
      </c>
      <c r="BA165" s="18" t="str">
        <f t="shared" si="116"/>
        <v/>
      </c>
      <c r="BB165" s="18" t="str">
        <f>IF(BD165&lt;&gt;1,"",IF(BA165-CONTROL_PANEL!$B$11&lt;0,0,BA165-CONTROL_PANEL!$B$11))</f>
        <v/>
      </c>
      <c r="BC165" s="18" t="str">
        <f>IF(BD165&lt;&gt;1,"",IF(AZ165&lt;=0,0,MIN(AZ165,MAX(0,CONTROL_PANEL!$B$13-BA165))))</f>
        <v/>
      </c>
      <c r="BD165" s="18"/>
      <c r="BF165" s="19">
        <f t="shared" si="138"/>
        <v>2029</v>
      </c>
      <c r="BG165" s="19">
        <f t="shared" si="96"/>
        <v>2</v>
      </c>
      <c r="BH165" s="18" t="str">
        <f t="shared" si="117"/>
        <v/>
      </c>
      <c r="BI165" s="18" t="str">
        <f t="shared" si="133"/>
        <v/>
      </c>
      <c r="BJ165" s="18" t="str">
        <f>IF(BW164&lt;&gt;1,"",IF(BT164&gt;0,IF(BT164&gt;CONTROL_PANEL!$B$11,CONTROL_PANEL!$B$11,BT164),0))</f>
        <v/>
      </c>
      <c r="BK165" s="18" t="str">
        <f t="shared" si="128"/>
        <v/>
      </c>
      <c r="BL165" s="18" t="str">
        <f>IF(BW165&lt;&gt;1,"",DATA_INPUT!$I165)</f>
        <v/>
      </c>
      <c r="BM165" s="18" t="str">
        <f>IF(BW165&lt;&gt;1,"",BL165*CONTROL_PANEL!$B$5)</f>
        <v/>
      </c>
      <c r="BN165" s="18" t="str">
        <f>IF(BW165&lt;&gt;1,"",DATA_INPUT!$C165)</f>
        <v/>
      </c>
      <c r="BO165" s="18" t="str">
        <f t="shared" si="118"/>
        <v/>
      </c>
      <c r="BP165" s="18" t="str">
        <f>IF(BW165&lt;&gt;1,"",DATA_INPUT!$H165)</f>
        <v/>
      </c>
      <c r="BQ165" s="18" t="str">
        <f t="shared" si="119"/>
        <v/>
      </c>
      <c r="BR165" s="18" t="str">
        <f>IF(BW165&lt;&gt;1,"",BM165*CONTROL_PANEL!$B$14)</f>
        <v/>
      </c>
      <c r="BS165" s="18" t="str">
        <f>IF(BW165&lt;&gt;1,"",DATA_INPUT!$N165)</f>
        <v/>
      </c>
      <c r="BT165" s="18" t="str">
        <f t="shared" si="120"/>
        <v/>
      </c>
      <c r="BU165" s="18" t="str">
        <f>IF(BW165&lt;&gt;1,"",IF(BT165-CONTROL_PANEL!$B$11&lt;0,0,BT165-CONTROL_PANEL!$B$11))</f>
        <v/>
      </c>
      <c r="BV165" s="18" t="str">
        <f>IF(BW165&lt;&gt;1,"",IF(BS165&lt;=0,0,MIN(BS165,MAX(0,CONTROL_PANEL!$B$13-BT165))))</f>
        <v/>
      </c>
      <c r="BW165" s="18"/>
      <c r="BY165" s="19">
        <f t="shared" si="139"/>
        <v>2029</v>
      </c>
      <c r="BZ165" s="19">
        <f t="shared" si="98"/>
        <v>2</v>
      </c>
      <c r="CA165" s="18" t="str">
        <f t="shared" si="121"/>
        <v/>
      </c>
      <c r="CB165" s="18" t="str">
        <f t="shared" si="134"/>
        <v/>
      </c>
      <c r="CC165" s="18" t="str">
        <f>IF(CP164&lt;&gt;1,"",IF(CM164&gt;0,IF(CM164&gt;CONTROL_PANEL!$B$11,CONTROL_PANEL!$B$11,CM164),0))</f>
        <v/>
      </c>
      <c r="CD165" s="18" t="str">
        <f t="shared" si="129"/>
        <v/>
      </c>
      <c r="CE165" s="18" t="str">
        <f>IF(CP165&lt;&gt;1,"",DATA_INPUT!$I165)</f>
        <v/>
      </c>
      <c r="CF165" s="18" t="str">
        <f>IF(CP165&lt;&gt;1,"",CE165*CONTROL_PANEL!$B$5)</f>
        <v/>
      </c>
      <c r="CG165" s="18" t="str">
        <f>IF(CP165&lt;&gt;1,"",DATA_INPUT!$C165)</f>
        <v/>
      </c>
      <c r="CH165" s="18" t="str">
        <f t="shared" si="122"/>
        <v/>
      </c>
      <c r="CI165" s="18" t="str">
        <f>IF(CP165&lt;&gt;1,"",DATA_INPUT!$H165)</f>
        <v/>
      </c>
      <c r="CJ165" s="18" t="str">
        <f t="shared" si="123"/>
        <v/>
      </c>
      <c r="CK165" s="18" t="str">
        <f>IF(CP165&lt;&gt;1,"",CF165*CONTROL_PANEL!$B$14)</f>
        <v/>
      </c>
      <c r="CL165" s="18" t="str">
        <f>IF(CP165&lt;&gt;1,"",DATA_INPUT!$O165)</f>
        <v/>
      </c>
      <c r="CM165" s="18" t="str">
        <f t="shared" si="124"/>
        <v/>
      </c>
      <c r="CN165" s="18" t="str">
        <f>IF(CP165&lt;&gt;1,"",IF(CM165-CONTROL_PANEL!$B$11&lt;0,0,CM165-CONTROL_PANEL!$B$11))</f>
        <v/>
      </c>
      <c r="CO165" s="18" t="str">
        <f>IF(CP165&lt;&gt;1,"",IF(CL165&lt;=0,0,MIN(CL165,MAX(0,CONTROL_PANEL!$B$13-CM165))))</f>
        <v/>
      </c>
      <c r="CP165" s="18"/>
    </row>
    <row r="166" spans="1:94" x14ac:dyDescent="0.25">
      <c r="A166" s="19">
        <f t="shared" si="135"/>
        <v>2029</v>
      </c>
      <c r="B166" s="19">
        <f t="shared" si="90"/>
        <v>3</v>
      </c>
      <c r="C166" s="18" t="str">
        <f t="shared" si="105"/>
        <v/>
      </c>
      <c r="D166" s="18" t="str">
        <f t="shared" si="130"/>
        <v/>
      </c>
      <c r="E166" s="18" t="str">
        <f>IF(R165&lt;&gt;1,"",IF(O165&gt;0,IF(O165&gt;CONTROL_PANEL!$B$11,CONTROL_PANEL!$B$11,O165),0))</f>
        <v/>
      </c>
      <c r="F166" s="18" t="str">
        <f t="shared" si="125"/>
        <v/>
      </c>
      <c r="G166" s="18" t="str">
        <f>IF(R166&lt;&gt;1,"",DATA_INPUT!I166)</f>
        <v/>
      </c>
      <c r="H166" s="18" t="str">
        <f>IF(R166&lt;&gt;1,"",G166*CONTROL_PANEL!$B$5)</f>
        <v/>
      </c>
      <c r="I166" s="18" t="str">
        <f>IF(R166&lt;&gt;1,"",DATA_INPUT!C166)</f>
        <v/>
      </c>
      <c r="J166" s="18" t="str">
        <f t="shared" si="106"/>
        <v/>
      </c>
      <c r="K166" s="18" t="str">
        <f>IF(R166&lt;&gt;1,"",DATA_INPUT!H166)</f>
        <v/>
      </c>
      <c r="L166" s="18" t="str">
        <f t="shared" si="107"/>
        <v/>
      </c>
      <c r="M166" s="18" t="str">
        <f>IF(R166&lt;&gt;1,"",H166*CONTROL_PANEL!$B$14)</f>
        <v/>
      </c>
      <c r="N166" s="18" t="str">
        <f>IF(R166&lt;&gt;1,"",DATA_INPUT!K166)</f>
        <v/>
      </c>
      <c r="O166" s="18" t="str">
        <f t="shared" si="108"/>
        <v/>
      </c>
      <c r="P166" s="18" t="str">
        <f>IF(R166&lt;&gt;1,"",IF(O166-CONTROL_PANEL!$B$11&lt;0,0,O166-CONTROL_PANEL!$B$11))</f>
        <v/>
      </c>
      <c r="Q166" s="18" t="str">
        <f>IF(R166&lt;&gt;1,"",IF(N166&lt;=0,0,MIN(N166,MAX(0,CONTROL_PANEL!$B$13-O166))))</f>
        <v/>
      </c>
      <c r="R166" s="18"/>
      <c r="T166" s="19">
        <f t="shared" si="136"/>
        <v>2029</v>
      </c>
      <c r="U166" s="19">
        <f t="shared" si="92"/>
        <v>3</v>
      </c>
      <c r="V166" s="18" t="str">
        <f t="shared" si="109"/>
        <v/>
      </c>
      <c r="W166" s="18" t="str">
        <f t="shared" si="131"/>
        <v/>
      </c>
      <c r="X166" s="18" t="str">
        <f>IF(AK165&lt;&gt;1,"",IF(AH165&gt;0,IF(AH165&gt;CONTROL_PANEL!$B$11,CONTROL_PANEL!$B$11,AH165),0))</f>
        <v/>
      </c>
      <c r="Y166" s="18" t="str">
        <f t="shared" si="126"/>
        <v/>
      </c>
      <c r="Z166" s="18" t="str">
        <f>IF(AK166&lt;&gt;1,"",DATA_INPUT!I166)</f>
        <v/>
      </c>
      <c r="AA166" s="18" t="str">
        <f>IF(AK166&lt;&gt;1,"",Z166*CONTROL_PANEL!$B$5)</f>
        <v/>
      </c>
      <c r="AB166" s="18" t="str">
        <f>IF(AK166&lt;&gt;1,"",DATA_INPUT!$C166)</f>
        <v/>
      </c>
      <c r="AC166" s="18" t="str">
        <f t="shared" si="110"/>
        <v/>
      </c>
      <c r="AD166" s="18" t="str">
        <f>IF(AK166&lt;&gt;1,"",DATA_INPUT!$H166)</f>
        <v/>
      </c>
      <c r="AE166" s="18" t="str">
        <f t="shared" si="111"/>
        <v/>
      </c>
      <c r="AF166" s="18" t="str">
        <f>IF(AK166&lt;&gt;1,"",AA166*CONTROL_PANEL!$B$14)</f>
        <v/>
      </c>
      <c r="AG166" s="18" t="str">
        <f>IF(AK166&lt;&gt;1,"",DATA_INPUT!$L166)</f>
        <v/>
      </c>
      <c r="AH166" s="18" t="str">
        <f t="shared" si="112"/>
        <v/>
      </c>
      <c r="AI166" s="18" t="str">
        <f>IF(AK166&lt;&gt;1,"",IF(AH166-CONTROL_PANEL!$B$11&lt;0,0,AH166-CONTROL_PANEL!$B$11))</f>
        <v/>
      </c>
      <c r="AJ166" s="18" t="str">
        <f>IF(AK166&lt;&gt;1,"",IF(AG166&lt;=0,0,MIN(AG166,MAX(0,CONTROL_PANEL!$B$13-AH166))))</f>
        <v/>
      </c>
      <c r="AK166" s="18"/>
      <c r="AM166" s="19">
        <f t="shared" si="137"/>
        <v>2029</v>
      </c>
      <c r="AN166" s="19">
        <f t="shared" si="94"/>
        <v>3</v>
      </c>
      <c r="AO166" s="18" t="str">
        <f t="shared" si="113"/>
        <v/>
      </c>
      <c r="AP166" s="18" t="str">
        <f t="shared" si="132"/>
        <v/>
      </c>
      <c r="AQ166" s="18" t="str">
        <f>IF(BD165&lt;&gt;1,"",IF(BA165&gt;0,IF(BA165&gt;CONTROL_PANEL!$B$11,CONTROL_PANEL!$B$11,BA165),0))</f>
        <v/>
      </c>
      <c r="AR166" s="18" t="str">
        <f t="shared" si="127"/>
        <v/>
      </c>
      <c r="AS166" s="18" t="str">
        <f>IF(BD166&lt;&gt;1,"",DATA_INPUT!$I166)</f>
        <v/>
      </c>
      <c r="AT166" s="18" t="str">
        <f>IF(BD166&lt;&gt;1,"",AS166*CONTROL_PANEL!$B$5)</f>
        <v/>
      </c>
      <c r="AU166" s="18" t="str">
        <f>IF(BD166&lt;&gt;1,"",DATA_INPUT!$C166)</f>
        <v/>
      </c>
      <c r="AV166" s="18" t="str">
        <f t="shared" si="114"/>
        <v/>
      </c>
      <c r="AW166" s="18" t="str">
        <f>IF(BD166&lt;&gt;1,"",DATA_INPUT!$H166)</f>
        <v/>
      </c>
      <c r="AX166" s="18" t="str">
        <f t="shared" si="115"/>
        <v/>
      </c>
      <c r="AY166" s="18" t="str">
        <f>IF(BD166&lt;&gt;1,"",AT166*CONTROL_PANEL!$B$14)</f>
        <v/>
      </c>
      <c r="AZ166" s="18" t="str">
        <f>IF(BD166&lt;&gt;1,"",DATA_INPUT!$M166)</f>
        <v/>
      </c>
      <c r="BA166" s="18" t="str">
        <f t="shared" si="116"/>
        <v/>
      </c>
      <c r="BB166" s="18" t="str">
        <f>IF(BD166&lt;&gt;1,"",IF(BA166-CONTROL_PANEL!$B$11&lt;0,0,BA166-CONTROL_PANEL!$B$11))</f>
        <v/>
      </c>
      <c r="BC166" s="18" t="str">
        <f>IF(BD166&lt;&gt;1,"",IF(AZ166&lt;=0,0,MIN(AZ166,MAX(0,CONTROL_PANEL!$B$13-BA166))))</f>
        <v/>
      </c>
      <c r="BD166" s="18"/>
      <c r="BF166" s="19">
        <f t="shared" si="138"/>
        <v>2029</v>
      </c>
      <c r="BG166" s="19">
        <f t="shared" si="96"/>
        <v>3</v>
      </c>
      <c r="BH166" s="18" t="str">
        <f t="shared" si="117"/>
        <v/>
      </c>
      <c r="BI166" s="18" t="str">
        <f t="shared" si="133"/>
        <v/>
      </c>
      <c r="BJ166" s="18" t="str">
        <f>IF(BW165&lt;&gt;1,"",IF(BT165&gt;0,IF(BT165&gt;CONTROL_PANEL!$B$11,CONTROL_PANEL!$B$11,BT165),0))</f>
        <v/>
      </c>
      <c r="BK166" s="18" t="str">
        <f t="shared" si="128"/>
        <v/>
      </c>
      <c r="BL166" s="18" t="str">
        <f>IF(BW166&lt;&gt;1,"",DATA_INPUT!$I166)</f>
        <v/>
      </c>
      <c r="BM166" s="18" t="str">
        <f>IF(BW166&lt;&gt;1,"",BL166*CONTROL_PANEL!$B$5)</f>
        <v/>
      </c>
      <c r="BN166" s="18" t="str">
        <f>IF(BW166&lt;&gt;1,"",DATA_INPUT!$C166)</f>
        <v/>
      </c>
      <c r="BO166" s="18" t="str">
        <f t="shared" si="118"/>
        <v/>
      </c>
      <c r="BP166" s="18" t="str">
        <f>IF(BW166&lt;&gt;1,"",DATA_INPUT!$H166)</f>
        <v/>
      </c>
      <c r="BQ166" s="18" t="str">
        <f t="shared" si="119"/>
        <v/>
      </c>
      <c r="BR166" s="18" t="str">
        <f>IF(BW166&lt;&gt;1,"",BM166*CONTROL_PANEL!$B$14)</f>
        <v/>
      </c>
      <c r="BS166" s="18" t="str">
        <f>IF(BW166&lt;&gt;1,"",DATA_INPUT!$N166)</f>
        <v/>
      </c>
      <c r="BT166" s="18" t="str">
        <f t="shared" si="120"/>
        <v/>
      </c>
      <c r="BU166" s="18" t="str">
        <f>IF(BW166&lt;&gt;1,"",IF(BT166-CONTROL_PANEL!$B$11&lt;0,0,BT166-CONTROL_PANEL!$B$11))</f>
        <v/>
      </c>
      <c r="BV166" s="18" t="str">
        <f>IF(BW166&lt;&gt;1,"",IF(BS166&lt;=0,0,MIN(BS166,MAX(0,CONTROL_PANEL!$B$13-BT166))))</f>
        <v/>
      </c>
      <c r="BW166" s="18"/>
      <c r="BY166" s="19">
        <f t="shared" si="139"/>
        <v>2029</v>
      </c>
      <c r="BZ166" s="19">
        <f t="shared" si="98"/>
        <v>3</v>
      </c>
      <c r="CA166" s="18" t="str">
        <f t="shared" si="121"/>
        <v/>
      </c>
      <c r="CB166" s="18" t="str">
        <f t="shared" si="134"/>
        <v/>
      </c>
      <c r="CC166" s="18" t="str">
        <f>IF(CP165&lt;&gt;1,"",IF(CM165&gt;0,IF(CM165&gt;CONTROL_PANEL!$B$11,CONTROL_PANEL!$B$11,CM165),0))</f>
        <v/>
      </c>
      <c r="CD166" s="18" t="str">
        <f t="shared" si="129"/>
        <v/>
      </c>
      <c r="CE166" s="18" t="str">
        <f>IF(CP166&lt;&gt;1,"",DATA_INPUT!$I166)</f>
        <v/>
      </c>
      <c r="CF166" s="18" t="str">
        <f>IF(CP166&lt;&gt;1,"",CE166*CONTROL_PANEL!$B$5)</f>
        <v/>
      </c>
      <c r="CG166" s="18" t="str">
        <f>IF(CP166&lt;&gt;1,"",DATA_INPUT!$C166)</f>
        <v/>
      </c>
      <c r="CH166" s="18" t="str">
        <f t="shared" si="122"/>
        <v/>
      </c>
      <c r="CI166" s="18" t="str">
        <f>IF(CP166&lt;&gt;1,"",DATA_INPUT!$H166)</f>
        <v/>
      </c>
      <c r="CJ166" s="18" t="str">
        <f t="shared" si="123"/>
        <v/>
      </c>
      <c r="CK166" s="18" t="str">
        <f>IF(CP166&lt;&gt;1,"",CF166*CONTROL_PANEL!$B$14)</f>
        <v/>
      </c>
      <c r="CL166" s="18" t="str">
        <f>IF(CP166&lt;&gt;1,"",DATA_INPUT!$O166)</f>
        <v/>
      </c>
      <c r="CM166" s="18" t="str">
        <f t="shared" si="124"/>
        <v/>
      </c>
      <c r="CN166" s="18" t="str">
        <f>IF(CP166&lt;&gt;1,"",IF(CM166-CONTROL_PANEL!$B$11&lt;0,0,CM166-CONTROL_PANEL!$B$11))</f>
        <v/>
      </c>
      <c r="CO166" s="18" t="str">
        <f>IF(CP166&lt;&gt;1,"",IF(CL166&lt;=0,0,MIN(CL166,MAX(0,CONTROL_PANEL!$B$13-CM166))))</f>
        <v/>
      </c>
      <c r="CP166" s="18"/>
    </row>
    <row r="167" spans="1:94" x14ac:dyDescent="0.25">
      <c r="A167" s="19">
        <f t="shared" si="135"/>
        <v>2029</v>
      </c>
      <c r="B167" s="19">
        <f t="shared" si="90"/>
        <v>4</v>
      </c>
      <c r="C167" s="18" t="str">
        <f t="shared" si="105"/>
        <v/>
      </c>
      <c r="D167" s="18" t="str">
        <f t="shared" si="130"/>
        <v/>
      </c>
      <c r="E167" s="18" t="str">
        <f>IF(R166&lt;&gt;1,"",IF(O166&gt;0,IF(O166&gt;CONTROL_PANEL!$B$11,CONTROL_PANEL!$B$11,O166),0))</f>
        <v/>
      </c>
      <c r="F167" s="18" t="str">
        <f t="shared" si="125"/>
        <v/>
      </c>
      <c r="G167" s="18" t="str">
        <f>IF(R167&lt;&gt;1,"",DATA_INPUT!I167)</f>
        <v/>
      </c>
      <c r="H167" s="18" t="str">
        <f>IF(R167&lt;&gt;1,"",G167*CONTROL_PANEL!$B$5)</f>
        <v/>
      </c>
      <c r="I167" s="18" t="str">
        <f>IF(R167&lt;&gt;1,"",DATA_INPUT!C167)</f>
        <v/>
      </c>
      <c r="J167" s="18" t="str">
        <f t="shared" si="106"/>
        <v/>
      </c>
      <c r="K167" s="18" t="str">
        <f>IF(R167&lt;&gt;1,"",DATA_INPUT!H167)</f>
        <v/>
      </c>
      <c r="L167" s="18" t="str">
        <f t="shared" si="107"/>
        <v/>
      </c>
      <c r="M167" s="18" t="str">
        <f>IF(R167&lt;&gt;1,"",H167*CONTROL_PANEL!$B$14)</f>
        <v/>
      </c>
      <c r="N167" s="18" t="str">
        <f>IF(R167&lt;&gt;1,"",DATA_INPUT!K167)</f>
        <v/>
      </c>
      <c r="O167" s="18" t="str">
        <f t="shared" si="108"/>
        <v/>
      </c>
      <c r="P167" s="18" t="str">
        <f>IF(R167&lt;&gt;1,"",IF(O167-CONTROL_PANEL!$B$11&lt;0,0,O167-CONTROL_PANEL!$B$11))</f>
        <v/>
      </c>
      <c r="Q167" s="18" t="str">
        <f>IF(R167&lt;&gt;1,"",IF(N167&lt;=0,0,MIN(N167,MAX(0,CONTROL_PANEL!$B$13-O167))))</f>
        <v/>
      </c>
      <c r="R167" s="18"/>
      <c r="T167" s="19">
        <f t="shared" si="136"/>
        <v>2029</v>
      </c>
      <c r="U167" s="19">
        <f t="shared" si="92"/>
        <v>4</v>
      </c>
      <c r="V167" s="18" t="str">
        <f t="shared" si="109"/>
        <v/>
      </c>
      <c r="W167" s="18" t="str">
        <f t="shared" si="131"/>
        <v/>
      </c>
      <c r="X167" s="18" t="str">
        <f>IF(AK166&lt;&gt;1,"",IF(AH166&gt;0,IF(AH166&gt;CONTROL_PANEL!$B$11,CONTROL_PANEL!$B$11,AH166),0))</f>
        <v/>
      </c>
      <c r="Y167" s="18" t="str">
        <f t="shared" si="126"/>
        <v/>
      </c>
      <c r="Z167" s="18" t="str">
        <f>IF(AK167&lt;&gt;1,"",DATA_INPUT!I167)</f>
        <v/>
      </c>
      <c r="AA167" s="18" t="str">
        <f>IF(AK167&lt;&gt;1,"",Z167*CONTROL_PANEL!$B$5)</f>
        <v/>
      </c>
      <c r="AB167" s="18" t="str">
        <f>IF(AK167&lt;&gt;1,"",DATA_INPUT!$C167)</f>
        <v/>
      </c>
      <c r="AC167" s="18" t="str">
        <f t="shared" si="110"/>
        <v/>
      </c>
      <c r="AD167" s="18" t="str">
        <f>IF(AK167&lt;&gt;1,"",DATA_INPUT!$H167)</f>
        <v/>
      </c>
      <c r="AE167" s="18" t="str">
        <f t="shared" si="111"/>
        <v/>
      </c>
      <c r="AF167" s="18" t="str">
        <f>IF(AK167&lt;&gt;1,"",AA167*CONTROL_PANEL!$B$14)</f>
        <v/>
      </c>
      <c r="AG167" s="18" t="str">
        <f>IF(AK167&lt;&gt;1,"",DATA_INPUT!$L167)</f>
        <v/>
      </c>
      <c r="AH167" s="18" t="str">
        <f t="shared" si="112"/>
        <v/>
      </c>
      <c r="AI167" s="18" t="str">
        <f>IF(AK167&lt;&gt;1,"",IF(AH167-CONTROL_PANEL!$B$11&lt;0,0,AH167-CONTROL_PANEL!$B$11))</f>
        <v/>
      </c>
      <c r="AJ167" s="18" t="str">
        <f>IF(AK167&lt;&gt;1,"",IF(AG167&lt;=0,0,MIN(AG167,MAX(0,CONTROL_PANEL!$B$13-AH167))))</f>
        <v/>
      </c>
      <c r="AK167" s="18"/>
      <c r="AM167" s="19">
        <f t="shared" si="137"/>
        <v>2029</v>
      </c>
      <c r="AN167" s="19">
        <f t="shared" si="94"/>
        <v>4</v>
      </c>
      <c r="AO167" s="18" t="str">
        <f t="shared" si="113"/>
        <v/>
      </c>
      <c r="AP167" s="18" t="str">
        <f t="shared" si="132"/>
        <v/>
      </c>
      <c r="AQ167" s="18" t="str">
        <f>IF(BD166&lt;&gt;1,"",IF(BA166&gt;0,IF(BA166&gt;CONTROL_PANEL!$B$11,CONTROL_PANEL!$B$11,BA166),0))</f>
        <v/>
      </c>
      <c r="AR167" s="18" t="str">
        <f t="shared" si="127"/>
        <v/>
      </c>
      <c r="AS167" s="18" t="str">
        <f>IF(BD167&lt;&gt;1,"",DATA_INPUT!$I167)</f>
        <v/>
      </c>
      <c r="AT167" s="18" t="str">
        <f>IF(BD167&lt;&gt;1,"",AS167*CONTROL_PANEL!$B$5)</f>
        <v/>
      </c>
      <c r="AU167" s="18" t="str">
        <f>IF(BD167&lt;&gt;1,"",DATA_INPUT!$C167)</f>
        <v/>
      </c>
      <c r="AV167" s="18" t="str">
        <f t="shared" si="114"/>
        <v/>
      </c>
      <c r="AW167" s="18" t="str">
        <f>IF(BD167&lt;&gt;1,"",DATA_INPUT!$H167)</f>
        <v/>
      </c>
      <c r="AX167" s="18" t="str">
        <f t="shared" si="115"/>
        <v/>
      </c>
      <c r="AY167" s="18" t="str">
        <f>IF(BD167&lt;&gt;1,"",AT167*CONTROL_PANEL!$B$14)</f>
        <v/>
      </c>
      <c r="AZ167" s="18" t="str">
        <f>IF(BD167&lt;&gt;1,"",DATA_INPUT!$M167)</f>
        <v/>
      </c>
      <c r="BA167" s="18" t="str">
        <f t="shared" si="116"/>
        <v/>
      </c>
      <c r="BB167" s="18" t="str">
        <f>IF(BD167&lt;&gt;1,"",IF(BA167-CONTROL_PANEL!$B$11&lt;0,0,BA167-CONTROL_PANEL!$B$11))</f>
        <v/>
      </c>
      <c r="BC167" s="18" t="str">
        <f>IF(BD167&lt;&gt;1,"",IF(AZ167&lt;=0,0,MIN(AZ167,MAX(0,CONTROL_PANEL!$B$13-BA167))))</f>
        <v/>
      </c>
      <c r="BD167" s="18"/>
      <c r="BF167" s="19">
        <f t="shared" si="138"/>
        <v>2029</v>
      </c>
      <c r="BG167" s="19">
        <f t="shared" si="96"/>
        <v>4</v>
      </c>
      <c r="BH167" s="18" t="str">
        <f t="shared" si="117"/>
        <v/>
      </c>
      <c r="BI167" s="18" t="str">
        <f t="shared" si="133"/>
        <v/>
      </c>
      <c r="BJ167" s="18" t="str">
        <f>IF(BW166&lt;&gt;1,"",IF(BT166&gt;0,IF(BT166&gt;CONTROL_PANEL!$B$11,CONTROL_PANEL!$B$11,BT166),0))</f>
        <v/>
      </c>
      <c r="BK167" s="18" t="str">
        <f t="shared" si="128"/>
        <v/>
      </c>
      <c r="BL167" s="18" t="str">
        <f>IF(BW167&lt;&gt;1,"",DATA_INPUT!$I167)</f>
        <v/>
      </c>
      <c r="BM167" s="18" t="str">
        <f>IF(BW167&lt;&gt;1,"",BL167*CONTROL_PANEL!$B$5)</f>
        <v/>
      </c>
      <c r="BN167" s="18" t="str">
        <f>IF(BW167&lt;&gt;1,"",DATA_INPUT!$C167)</f>
        <v/>
      </c>
      <c r="BO167" s="18" t="str">
        <f t="shared" si="118"/>
        <v/>
      </c>
      <c r="BP167" s="18" t="str">
        <f>IF(BW167&lt;&gt;1,"",DATA_INPUT!$H167)</f>
        <v/>
      </c>
      <c r="BQ167" s="18" t="str">
        <f t="shared" si="119"/>
        <v/>
      </c>
      <c r="BR167" s="18" t="str">
        <f>IF(BW167&lt;&gt;1,"",BM167*CONTROL_PANEL!$B$14)</f>
        <v/>
      </c>
      <c r="BS167" s="18" t="str">
        <f>IF(BW167&lt;&gt;1,"",DATA_INPUT!$N167)</f>
        <v/>
      </c>
      <c r="BT167" s="18" t="str">
        <f t="shared" si="120"/>
        <v/>
      </c>
      <c r="BU167" s="18" t="str">
        <f>IF(BW167&lt;&gt;1,"",IF(BT167-CONTROL_PANEL!$B$11&lt;0,0,BT167-CONTROL_PANEL!$B$11))</f>
        <v/>
      </c>
      <c r="BV167" s="18" t="str">
        <f>IF(BW167&lt;&gt;1,"",IF(BS167&lt;=0,0,MIN(BS167,MAX(0,CONTROL_PANEL!$B$13-BT167))))</f>
        <v/>
      </c>
      <c r="BW167" s="18"/>
      <c r="BY167" s="19">
        <f t="shared" si="139"/>
        <v>2029</v>
      </c>
      <c r="BZ167" s="19">
        <f t="shared" si="98"/>
        <v>4</v>
      </c>
      <c r="CA167" s="18" t="str">
        <f t="shared" si="121"/>
        <v/>
      </c>
      <c r="CB167" s="18" t="str">
        <f t="shared" si="134"/>
        <v/>
      </c>
      <c r="CC167" s="18" t="str">
        <f>IF(CP166&lt;&gt;1,"",IF(CM166&gt;0,IF(CM166&gt;CONTROL_PANEL!$B$11,CONTROL_PANEL!$B$11,CM166),0))</f>
        <v/>
      </c>
      <c r="CD167" s="18" t="str">
        <f t="shared" si="129"/>
        <v/>
      </c>
      <c r="CE167" s="18" t="str">
        <f>IF(CP167&lt;&gt;1,"",DATA_INPUT!$I167)</f>
        <v/>
      </c>
      <c r="CF167" s="18" t="str">
        <f>IF(CP167&lt;&gt;1,"",CE167*CONTROL_PANEL!$B$5)</f>
        <v/>
      </c>
      <c r="CG167" s="18" t="str">
        <f>IF(CP167&lt;&gt;1,"",DATA_INPUT!$C167)</f>
        <v/>
      </c>
      <c r="CH167" s="18" t="str">
        <f t="shared" si="122"/>
        <v/>
      </c>
      <c r="CI167" s="18" t="str">
        <f>IF(CP167&lt;&gt;1,"",DATA_INPUT!$H167)</f>
        <v/>
      </c>
      <c r="CJ167" s="18" t="str">
        <f t="shared" si="123"/>
        <v/>
      </c>
      <c r="CK167" s="18" t="str">
        <f>IF(CP167&lt;&gt;1,"",CF167*CONTROL_PANEL!$B$14)</f>
        <v/>
      </c>
      <c r="CL167" s="18" t="str">
        <f>IF(CP167&lt;&gt;1,"",DATA_INPUT!$O167)</f>
        <v/>
      </c>
      <c r="CM167" s="18" t="str">
        <f t="shared" si="124"/>
        <v/>
      </c>
      <c r="CN167" s="18" t="str">
        <f>IF(CP167&lt;&gt;1,"",IF(CM167-CONTROL_PANEL!$B$11&lt;0,0,CM167-CONTROL_PANEL!$B$11))</f>
        <v/>
      </c>
      <c r="CO167" s="18" t="str">
        <f>IF(CP167&lt;&gt;1,"",IF(CL167&lt;=0,0,MIN(CL167,MAX(0,CONTROL_PANEL!$B$13-CM167))))</f>
        <v/>
      </c>
      <c r="CP167" s="18"/>
    </row>
    <row r="168" spans="1:94" x14ac:dyDescent="0.25">
      <c r="A168" s="19">
        <f t="shared" si="135"/>
        <v>2029</v>
      </c>
      <c r="B168" s="19">
        <f t="shared" si="90"/>
        <v>5</v>
      </c>
      <c r="C168" s="18" t="str">
        <f t="shared" si="105"/>
        <v/>
      </c>
      <c r="D168" s="18" t="str">
        <f t="shared" si="130"/>
        <v/>
      </c>
      <c r="E168" s="18" t="str">
        <f>IF(R167&lt;&gt;1,"",IF(O167&gt;0,IF(O167&gt;CONTROL_PANEL!$B$11,CONTROL_PANEL!$B$11,O167),0))</f>
        <v/>
      </c>
      <c r="F168" s="18" t="str">
        <f t="shared" si="125"/>
        <v/>
      </c>
      <c r="G168" s="18" t="str">
        <f>IF(R168&lt;&gt;1,"",DATA_INPUT!I168)</f>
        <v/>
      </c>
      <c r="H168" s="18" t="str">
        <f>IF(R168&lt;&gt;1,"",G168*CONTROL_PANEL!$B$5)</f>
        <v/>
      </c>
      <c r="I168" s="18" t="str">
        <f>IF(R168&lt;&gt;1,"",DATA_INPUT!C168)</f>
        <v/>
      </c>
      <c r="J168" s="18" t="str">
        <f t="shared" si="106"/>
        <v/>
      </c>
      <c r="K168" s="18" t="str">
        <f>IF(R168&lt;&gt;1,"",DATA_INPUT!H168)</f>
        <v/>
      </c>
      <c r="L168" s="18" t="str">
        <f t="shared" si="107"/>
        <v/>
      </c>
      <c r="M168" s="18" t="str">
        <f>IF(R168&lt;&gt;1,"",H168*CONTROL_PANEL!$B$14)</f>
        <v/>
      </c>
      <c r="N168" s="18" t="str">
        <f>IF(R168&lt;&gt;1,"",DATA_INPUT!K168)</f>
        <v/>
      </c>
      <c r="O168" s="18" t="str">
        <f t="shared" si="108"/>
        <v/>
      </c>
      <c r="P168" s="18" t="str">
        <f>IF(R168&lt;&gt;1,"",IF(O168-CONTROL_PANEL!$B$11&lt;0,0,O168-CONTROL_PANEL!$B$11))</f>
        <v/>
      </c>
      <c r="Q168" s="18" t="str">
        <f>IF(R168&lt;&gt;1,"",IF(N168&lt;=0,0,MIN(N168,MAX(0,CONTROL_PANEL!$B$13-O168))))</f>
        <v/>
      </c>
      <c r="R168" s="18"/>
      <c r="T168" s="19">
        <f t="shared" si="136"/>
        <v>2029</v>
      </c>
      <c r="U168" s="19">
        <f t="shared" si="92"/>
        <v>5</v>
      </c>
      <c r="V168" s="18" t="str">
        <f t="shared" si="109"/>
        <v/>
      </c>
      <c r="W168" s="18" t="str">
        <f t="shared" si="131"/>
        <v/>
      </c>
      <c r="X168" s="18" t="str">
        <f>IF(AK167&lt;&gt;1,"",IF(AH167&gt;0,IF(AH167&gt;CONTROL_PANEL!$B$11,CONTROL_PANEL!$B$11,AH167),0))</f>
        <v/>
      </c>
      <c r="Y168" s="18" t="str">
        <f t="shared" si="126"/>
        <v/>
      </c>
      <c r="Z168" s="18" t="str">
        <f>IF(AK168&lt;&gt;1,"",DATA_INPUT!I168)</f>
        <v/>
      </c>
      <c r="AA168" s="18" t="str">
        <f>IF(AK168&lt;&gt;1,"",Z168*CONTROL_PANEL!$B$5)</f>
        <v/>
      </c>
      <c r="AB168" s="18" t="str">
        <f>IF(AK168&lt;&gt;1,"",DATA_INPUT!$C168)</f>
        <v/>
      </c>
      <c r="AC168" s="18" t="str">
        <f t="shared" si="110"/>
        <v/>
      </c>
      <c r="AD168" s="18" t="str">
        <f>IF(AK168&lt;&gt;1,"",DATA_INPUT!$H168)</f>
        <v/>
      </c>
      <c r="AE168" s="18" t="str">
        <f t="shared" si="111"/>
        <v/>
      </c>
      <c r="AF168" s="18" t="str">
        <f>IF(AK168&lt;&gt;1,"",AA168*CONTROL_PANEL!$B$14)</f>
        <v/>
      </c>
      <c r="AG168" s="18" t="str">
        <f>IF(AK168&lt;&gt;1,"",DATA_INPUT!$L168)</f>
        <v/>
      </c>
      <c r="AH168" s="18" t="str">
        <f t="shared" si="112"/>
        <v/>
      </c>
      <c r="AI168" s="18" t="str">
        <f>IF(AK168&lt;&gt;1,"",IF(AH168-CONTROL_PANEL!$B$11&lt;0,0,AH168-CONTROL_PANEL!$B$11))</f>
        <v/>
      </c>
      <c r="AJ168" s="18" t="str">
        <f>IF(AK168&lt;&gt;1,"",IF(AG168&lt;=0,0,MIN(AG168,MAX(0,CONTROL_PANEL!$B$13-AH168))))</f>
        <v/>
      </c>
      <c r="AK168" s="18"/>
      <c r="AM168" s="19">
        <f t="shared" si="137"/>
        <v>2029</v>
      </c>
      <c r="AN168" s="19">
        <f t="shared" si="94"/>
        <v>5</v>
      </c>
      <c r="AO168" s="18" t="str">
        <f t="shared" si="113"/>
        <v/>
      </c>
      <c r="AP168" s="18" t="str">
        <f t="shared" si="132"/>
        <v/>
      </c>
      <c r="AQ168" s="18" t="str">
        <f>IF(BD167&lt;&gt;1,"",IF(BA167&gt;0,IF(BA167&gt;CONTROL_PANEL!$B$11,CONTROL_PANEL!$B$11,BA167),0))</f>
        <v/>
      </c>
      <c r="AR168" s="18" t="str">
        <f t="shared" si="127"/>
        <v/>
      </c>
      <c r="AS168" s="18" t="str">
        <f>IF(BD168&lt;&gt;1,"",DATA_INPUT!$I168)</f>
        <v/>
      </c>
      <c r="AT168" s="18" t="str">
        <f>IF(BD168&lt;&gt;1,"",AS168*CONTROL_PANEL!$B$5)</f>
        <v/>
      </c>
      <c r="AU168" s="18" t="str">
        <f>IF(BD168&lt;&gt;1,"",DATA_INPUT!$C168)</f>
        <v/>
      </c>
      <c r="AV168" s="18" t="str">
        <f t="shared" si="114"/>
        <v/>
      </c>
      <c r="AW168" s="18" t="str">
        <f>IF(BD168&lt;&gt;1,"",DATA_INPUT!$H168)</f>
        <v/>
      </c>
      <c r="AX168" s="18" t="str">
        <f t="shared" si="115"/>
        <v/>
      </c>
      <c r="AY168" s="18" t="str">
        <f>IF(BD168&lt;&gt;1,"",AT168*CONTROL_PANEL!$B$14)</f>
        <v/>
      </c>
      <c r="AZ168" s="18" t="str">
        <f>IF(BD168&lt;&gt;1,"",DATA_INPUT!$M168)</f>
        <v/>
      </c>
      <c r="BA168" s="18" t="str">
        <f t="shared" si="116"/>
        <v/>
      </c>
      <c r="BB168" s="18" t="str">
        <f>IF(BD168&lt;&gt;1,"",IF(BA168-CONTROL_PANEL!$B$11&lt;0,0,BA168-CONTROL_PANEL!$B$11))</f>
        <v/>
      </c>
      <c r="BC168" s="18" t="str">
        <f>IF(BD168&lt;&gt;1,"",IF(AZ168&lt;=0,0,MIN(AZ168,MAX(0,CONTROL_PANEL!$B$13-BA168))))</f>
        <v/>
      </c>
      <c r="BD168" s="18"/>
      <c r="BF168" s="19">
        <f t="shared" si="138"/>
        <v>2029</v>
      </c>
      <c r="BG168" s="19">
        <f t="shared" si="96"/>
        <v>5</v>
      </c>
      <c r="BH168" s="18" t="str">
        <f t="shared" si="117"/>
        <v/>
      </c>
      <c r="BI168" s="18" t="str">
        <f t="shared" si="133"/>
        <v/>
      </c>
      <c r="BJ168" s="18" t="str">
        <f>IF(BW167&lt;&gt;1,"",IF(BT167&gt;0,IF(BT167&gt;CONTROL_PANEL!$B$11,CONTROL_PANEL!$B$11,BT167),0))</f>
        <v/>
      </c>
      <c r="BK168" s="18" t="str">
        <f t="shared" si="128"/>
        <v/>
      </c>
      <c r="BL168" s="18" t="str">
        <f>IF(BW168&lt;&gt;1,"",DATA_INPUT!$I168)</f>
        <v/>
      </c>
      <c r="BM168" s="18" t="str">
        <f>IF(BW168&lt;&gt;1,"",BL168*CONTROL_PANEL!$B$5)</f>
        <v/>
      </c>
      <c r="BN168" s="18" t="str">
        <f>IF(BW168&lt;&gt;1,"",DATA_INPUT!$C168)</f>
        <v/>
      </c>
      <c r="BO168" s="18" t="str">
        <f t="shared" si="118"/>
        <v/>
      </c>
      <c r="BP168" s="18" t="str">
        <f>IF(BW168&lt;&gt;1,"",DATA_INPUT!$H168)</f>
        <v/>
      </c>
      <c r="BQ168" s="18" t="str">
        <f t="shared" si="119"/>
        <v/>
      </c>
      <c r="BR168" s="18" t="str">
        <f>IF(BW168&lt;&gt;1,"",BM168*CONTROL_PANEL!$B$14)</f>
        <v/>
      </c>
      <c r="BS168" s="18" t="str">
        <f>IF(BW168&lt;&gt;1,"",DATA_INPUT!$N168)</f>
        <v/>
      </c>
      <c r="BT168" s="18" t="str">
        <f t="shared" si="120"/>
        <v/>
      </c>
      <c r="BU168" s="18" t="str">
        <f>IF(BW168&lt;&gt;1,"",IF(BT168-CONTROL_PANEL!$B$11&lt;0,0,BT168-CONTROL_PANEL!$B$11))</f>
        <v/>
      </c>
      <c r="BV168" s="18" t="str">
        <f>IF(BW168&lt;&gt;1,"",IF(BS168&lt;=0,0,MIN(BS168,MAX(0,CONTROL_PANEL!$B$13-BT168))))</f>
        <v/>
      </c>
      <c r="BW168" s="18"/>
      <c r="BY168" s="19">
        <f t="shared" si="139"/>
        <v>2029</v>
      </c>
      <c r="BZ168" s="19">
        <f t="shared" si="98"/>
        <v>5</v>
      </c>
      <c r="CA168" s="18" t="str">
        <f t="shared" si="121"/>
        <v/>
      </c>
      <c r="CB168" s="18" t="str">
        <f t="shared" si="134"/>
        <v/>
      </c>
      <c r="CC168" s="18" t="str">
        <f>IF(CP167&lt;&gt;1,"",IF(CM167&gt;0,IF(CM167&gt;CONTROL_PANEL!$B$11,CONTROL_PANEL!$B$11,CM167),0))</f>
        <v/>
      </c>
      <c r="CD168" s="18" t="str">
        <f t="shared" si="129"/>
        <v/>
      </c>
      <c r="CE168" s="18" t="str">
        <f>IF(CP168&lt;&gt;1,"",DATA_INPUT!$I168)</f>
        <v/>
      </c>
      <c r="CF168" s="18" t="str">
        <f>IF(CP168&lt;&gt;1,"",CE168*CONTROL_PANEL!$B$5)</f>
        <v/>
      </c>
      <c r="CG168" s="18" t="str">
        <f>IF(CP168&lt;&gt;1,"",DATA_INPUT!$C168)</f>
        <v/>
      </c>
      <c r="CH168" s="18" t="str">
        <f t="shared" si="122"/>
        <v/>
      </c>
      <c r="CI168" s="18" t="str">
        <f>IF(CP168&lt;&gt;1,"",DATA_INPUT!$H168)</f>
        <v/>
      </c>
      <c r="CJ168" s="18" t="str">
        <f t="shared" si="123"/>
        <v/>
      </c>
      <c r="CK168" s="18" t="str">
        <f>IF(CP168&lt;&gt;1,"",CF168*CONTROL_PANEL!$B$14)</f>
        <v/>
      </c>
      <c r="CL168" s="18" t="str">
        <f>IF(CP168&lt;&gt;1,"",DATA_INPUT!$O168)</f>
        <v/>
      </c>
      <c r="CM168" s="18" t="str">
        <f t="shared" si="124"/>
        <v/>
      </c>
      <c r="CN168" s="18" t="str">
        <f>IF(CP168&lt;&gt;1,"",IF(CM168-CONTROL_PANEL!$B$11&lt;0,0,CM168-CONTROL_PANEL!$B$11))</f>
        <v/>
      </c>
      <c r="CO168" s="18" t="str">
        <f>IF(CP168&lt;&gt;1,"",IF(CL168&lt;=0,0,MIN(CL168,MAX(0,CONTROL_PANEL!$B$13-CM168))))</f>
        <v/>
      </c>
      <c r="CP168" s="18"/>
    </row>
    <row r="169" spans="1:94" x14ac:dyDescent="0.25">
      <c r="A169" s="19">
        <f t="shared" si="135"/>
        <v>2029</v>
      </c>
      <c r="B169" s="19">
        <f t="shared" si="90"/>
        <v>6</v>
      </c>
      <c r="C169" s="18" t="str">
        <f t="shared" si="105"/>
        <v/>
      </c>
      <c r="D169" s="18" t="str">
        <f t="shared" si="130"/>
        <v/>
      </c>
      <c r="E169" s="18" t="str">
        <f>IF(R168&lt;&gt;1,"",IF(O168&gt;0,IF(O168&gt;CONTROL_PANEL!$B$11,CONTROL_PANEL!$B$11,O168),0))</f>
        <v/>
      </c>
      <c r="F169" s="18" t="str">
        <f t="shared" si="125"/>
        <v/>
      </c>
      <c r="G169" s="18" t="str">
        <f>IF(R169&lt;&gt;1,"",DATA_INPUT!I169)</f>
        <v/>
      </c>
      <c r="H169" s="18" t="str">
        <f>IF(R169&lt;&gt;1,"",G169*CONTROL_PANEL!$B$5)</f>
        <v/>
      </c>
      <c r="I169" s="18" t="str">
        <f>IF(R169&lt;&gt;1,"",DATA_INPUT!C169)</f>
        <v/>
      </c>
      <c r="J169" s="18" t="str">
        <f t="shared" si="106"/>
        <v/>
      </c>
      <c r="K169" s="18" t="str">
        <f>IF(R169&lt;&gt;1,"",DATA_INPUT!H169)</f>
        <v/>
      </c>
      <c r="L169" s="18" t="str">
        <f t="shared" si="107"/>
        <v/>
      </c>
      <c r="M169" s="18" t="str">
        <f>IF(R169&lt;&gt;1,"",H169*CONTROL_PANEL!$B$14)</f>
        <v/>
      </c>
      <c r="N169" s="18" t="str">
        <f>IF(R169&lt;&gt;1,"",DATA_INPUT!K169)</f>
        <v/>
      </c>
      <c r="O169" s="18" t="str">
        <f t="shared" si="108"/>
        <v/>
      </c>
      <c r="P169" s="18" t="str">
        <f>IF(R169&lt;&gt;1,"",IF(O169-CONTROL_PANEL!$B$11&lt;0,0,O169-CONTROL_PANEL!$B$11))</f>
        <v/>
      </c>
      <c r="Q169" s="18" t="str">
        <f>IF(R169&lt;&gt;1,"",IF(N169&lt;=0,0,MIN(N169,MAX(0,CONTROL_PANEL!$B$13-O169))))</f>
        <v/>
      </c>
      <c r="R169" s="18"/>
      <c r="T169" s="19">
        <f t="shared" si="136"/>
        <v>2029</v>
      </c>
      <c r="U169" s="19">
        <f t="shared" si="92"/>
        <v>6</v>
      </c>
      <c r="V169" s="18" t="str">
        <f t="shared" si="109"/>
        <v/>
      </c>
      <c r="W169" s="18" t="str">
        <f t="shared" si="131"/>
        <v/>
      </c>
      <c r="X169" s="18" t="str">
        <f>IF(AK168&lt;&gt;1,"",IF(AH168&gt;0,IF(AH168&gt;CONTROL_PANEL!$B$11,CONTROL_PANEL!$B$11,AH168),0))</f>
        <v/>
      </c>
      <c r="Y169" s="18" t="str">
        <f t="shared" si="126"/>
        <v/>
      </c>
      <c r="Z169" s="18" t="str">
        <f>IF(AK169&lt;&gt;1,"",DATA_INPUT!I169)</f>
        <v/>
      </c>
      <c r="AA169" s="18" t="str">
        <f>IF(AK169&lt;&gt;1,"",Z169*CONTROL_PANEL!$B$5)</f>
        <v/>
      </c>
      <c r="AB169" s="18" t="str">
        <f>IF(AK169&lt;&gt;1,"",DATA_INPUT!$C169)</f>
        <v/>
      </c>
      <c r="AC169" s="18" t="str">
        <f t="shared" si="110"/>
        <v/>
      </c>
      <c r="AD169" s="18" t="str">
        <f>IF(AK169&lt;&gt;1,"",DATA_INPUT!$H169)</f>
        <v/>
      </c>
      <c r="AE169" s="18" t="str">
        <f t="shared" si="111"/>
        <v/>
      </c>
      <c r="AF169" s="18" t="str">
        <f>IF(AK169&lt;&gt;1,"",AA169*CONTROL_PANEL!$B$14)</f>
        <v/>
      </c>
      <c r="AG169" s="18" t="str">
        <f>IF(AK169&lt;&gt;1,"",DATA_INPUT!$L169)</f>
        <v/>
      </c>
      <c r="AH169" s="18" t="str">
        <f t="shared" si="112"/>
        <v/>
      </c>
      <c r="AI169" s="18" t="str">
        <f>IF(AK169&lt;&gt;1,"",IF(AH169-CONTROL_PANEL!$B$11&lt;0,0,AH169-CONTROL_PANEL!$B$11))</f>
        <v/>
      </c>
      <c r="AJ169" s="18" t="str">
        <f>IF(AK169&lt;&gt;1,"",IF(AG169&lt;=0,0,MIN(AG169,MAX(0,CONTROL_PANEL!$B$13-AH169))))</f>
        <v/>
      </c>
      <c r="AK169" s="18"/>
      <c r="AM169" s="19">
        <f t="shared" si="137"/>
        <v>2029</v>
      </c>
      <c r="AN169" s="19">
        <f t="shared" si="94"/>
        <v>6</v>
      </c>
      <c r="AO169" s="18" t="str">
        <f t="shared" si="113"/>
        <v/>
      </c>
      <c r="AP169" s="18" t="str">
        <f t="shared" si="132"/>
        <v/>
      </c>
      <c r="AQ169" s="18" t="str">
        <f>IF(BD168&lt;&gt;1,"",IF(BA168&gt;0,IF(BA168&gt;CONTROL_PANEL!$B$11,CONTROL_PANEL!$B$11,BA168),0))</f>
        <v/>
      </c>
      <c r="AR169" s="18" t="str">
        <f t="shared" si="127"/>
        <v/>
      </c>
      <c r="AS169" s="18" t="str">
        <f>IF(BD169&lt;&gt;1,"",DATA_INPUT!$I169)</f>
        <v/>
      </c>
      <c r="AT169" s="18" t="str">
        <f>IF(BD169&lt;&gt;1,"",AS169*CONTROL_PANEL!$B$5)</f>
        <v/>
      </c>
      <c r="AU169" s="18" t="str">
        <f>IF(BD169&lt;&gt;1,"",DATA_INPUT!$C169)</f>
        <v/>
      </c>
      <c r="AV169" s="18" t="str">
        <f t="shared" si="114"/>
        <v/>
      </c>
      <c r="AW169" s="18" t="str">
        <f>IF(BD169&lt;&gt;1,"",DATA_INPUT!$H169)</f>
        <v/>
      </c>
      <c r="AX169" s="18" t="str">
        <f t="shared" si="115"/>
        <v/>
      </c>
      <c r="AY169" s="18" t="str">
        <f>IF(BD169&lt;&gt;1,"",AT169*CONTROL_PANEL!$B$14)</f>
        <v/>
      </c>
      <c r="AZ169" s="18" t="str">
        <f>IF(BD169&lt;&gt;1,"",DATA_INPUT!$M169)</f>
        <v/>
      </c>
      <c r="BA169" s="18" t="str">
        <f t="shared" si="116"/>
        <v/>
      </c>
      <c r="BB169" s="18" t="str">
        <f>IF(BD169&lt;&gt;1,"",IF(BA169-CONTROL_PANEL!$B$11&lt;0,0,BA169-CONTROL_PANEL!$B$11))</f>
        <v/>
      </c>
      <c r="BC169" s="18" t="str">
        <f>IF(BD169&lt;&gt;1,"",IF(AZ169&lt;=0,0,MIN(AZ169,MAX(0,CONTROL_PANEL!$B$13-BA169))))</f>
        <v/>
      </c>
      <c r="BD169" s="18"/>
      <c r="BF169" s="19">
        <f t="shared" si="138"/>
        <v>2029</v>
      </c>
      <c r="BG169" s="19">
        <f t="shared" si="96"/>
        <v>6</v>
      </c>
      <c r="BH169" s="18" t="str">
        <f t="shared" si="117"/>
        <v/>
      </c>
      <c r="BI169" s="18" t="str">
        <f t="shared" si="133"/>
        <v/>
      </c>
      <c r="BJ169" s="18" t="str">
        <f>IF(BW168&lt;&gt;1,"",IF(BT168&gt;0,IF(BT168&gt;CONTROL_PANEL!$B$11,CONTROL_PANEL!$B$11,BT168),0))</f>
        <v/>
      </c>
      <c r="BK169" s="18" t="str">
        <f t="shared" si="128"/>
        <v/>
      </c>
      <c r="BL169" s="18" t="str">
        <f>IF(BW169&lt;&gt;1,"",DATA_INPUT!$I169)</f>
        <v/>
      </c>
      <c r="BM169" s="18" t="str">
        <f>IF(BW169&lt;&gt;1,"",BL169*CONTROL_PANEL!$B$5)</f>
        <v/>
      </c>
      <c r="BN169" s="18" t="str">
        <f>IF(BW169&lt;&gt;1,"",DATA_INPUT!$C169)</f>
        <v/>
      </c>
      <c r="BO169" s="18" t="str">
        <f t="shared" si="118"/>
        <v/>
      </c>
      <c r="BP169" s="18" t="str">
        <f>IF(BW169&lt;&gt;1,"",DATA_INPUT!$H169)</f>
        <v/>
      </c>
      <c r="BQ169" s="18" t="str">
        <f t="shared" si="119"/>
        <v/>
      </c>
      <c r="BR169" s="18" t="str">
        <f>IF(BW169&lt;&gt;1,"",BM169*CONTROL_PANEL!$B$14)</f>
        <v/>
      </c>
      <c r="BS169" s="18" t="str">
        <f>IF(BW169&lt;&gt;1,"",DATA_INPUT!$N169)</f>
        <v/>
      </c>
      <c r="BT169" s="18" t="str">
        <f t="shared" si="120"/>
        <v/>
      </c>
      <c r="BU169" s="18" t="str">
        <f>IF(BW169&lt;&gt;1,"",IF(BT169-CONTROL_PANEL!$B$11&lt;0,0,BT169-CONTROL_PANEL!$B$11))</f>
        <v/>
      </c>
      <c r="BV169" s="18" t="str">
        <f>IF(BW169&lt;&gt;1,"",IF(BS169&lt;=0,0,MIN(BS169,MAX(0,CONTROL_PANEL!$B$13-BT169))))</f>
        <v/>
      </c>
      <c r="BW169" s="18"/>
      <c r="BY169" s="19">
        <f t="shared" si="139"/>
        <v>2029</v>
      </c>
      <c r="BZ169" s="19">
        <f t="shared" si="98"/>
        <v>6</v>
      </c>
      <c r="CA169" s="18" t="str">
        <f t="shared" si="121"/>
        <v/>
      </c>
      <c r="CB169" s="18" t="str">
        <f t="shared" si="134"/>
        <v/>
      </c>
      <c r="CC169" s="18" t="str">
        <f>IF(CP168&lt;&gt;1,"",IF(CM168&gt;0,IF(CM168&gt;CONTROL_PANEL!$B$11,CONTROL_PANEL!$B$11,CM168),0))</f>
        <v/>
      </c>
      <c r="CD169" s="18" t="str">
        <f t="shared" si="129"/>
        <v/>
      </c>
      <c r="CE169" s="18" t="str">
        <f>IF(CP169&lt;&gt;1,"",DATA_INPUT!$I169)</f>
        <v/>
      </c>
      <c r="CF169" s="18" t="str">
        <f>IF(CP169&lt;&gt;1,"",CE169*CONTROL_PANEL!$B$5)</f>
        <v/>
      </c>
      <c r="CG169" s="18" t="str">
        <f>IF(CP169&lt;&gt;1,"",DATA_INPUT!$C169)</f>
        <v/>
      </c>
      <c r="CH169" s="18" t="str">
        <f t="shared" si="122"/>
        <v/>
      </c>
      <c r="CI169" s="18" t="str">
        <f>IF(CP169&lt;&gt;1,"",DATA_INPUT!$H169)</f>
        <v/>
      </c>
      <c r="CJ169" s="18" t="str">
        <f t="shared" si="123"/>
        <v/>
      </c>
      <c r="CK169" s="18" t="str">
        <f>IF(CP169&lt;&gt;1,"",CF169*CONTROL_PANEL!$B$14)</f>
        <v/>
      </c>
      <c r="CL169" s="18" t="str">
        <f>IF(CP169&lt;&gt;1,"",DATA_INPUT!$O169)</f>
        <v/>
      </c>
      <c r="CM169" s="18" t="str">
        <f t="shared" si="124"/>
        <v/>
      </c>
      <c r="CN169" s="18" t="str">
        <f>IF(CP169&lt;&gt;1,"",IF(CM169-CONTROL_PANEL!$B$11&lt;0,0,CM169-CONTROL_PANEL!$B$11))</f>
        <v/>
      </c>
      <c r="CO169" s="18" t="str">
        <f>IF(CP169&lt;&gt;1,"",IF(CL169&lt;=0,0,MIN(CL169,MAX(0,CONTROL_PANEL!$B$13-CM169))))</f>
        <v/>
      </c>
      <c r="CP169" s="18"/>
    </row>
    <row r="170" spans="1:94" x14ac:dyDescent="0.25">
      <c r="A170" s="19">
        <f t="shared" si="135"/>
        <v>2029</v>
      </c>
      <c r="B170" s="19">
        <f t="shared" si="90"/>
        <v>7</v>
      </c>
      <c r="C170" s="18" t="str">
        <f t="shared" si="105"/>
        <v/>
      </c>
      <c r="D170" s="18" t="str">
        <f t="shared" si="130"/>
        <v/>
      </c>
      <c r="E170" s="18" t="str">
        <f>IF(R169&lt;&gt;1,"",IF(O169&gt;0,IF(O169&gt;CONTROL_PANEL!$B$11,CONTROL_PANEL!$B$11,O169),0))</f>
        <v/>
      </c>
      <c r="F170" s="18" t="str">
        <f t="shared" si="125"/>
        <v/>
      </c>
      <c r="G170" s="18" t="str">
        <f>IF(R170&lt;&gt;1,"",DATA_INPUT!I170)</f>
        <v/>
      </c>
      <c r="H170" s="18" t="str">
        <f>IF(R170&lt;&gt;1,"",G170*CONTROL_PANEL!$B$5)</f>
        <v/>
      </c>
      <c r="I170" s="18" t="str">
        <f>IF(R170&lt;&gt;1,"",DATA_INPUT!C170)</f>
        <v/>
      </c>
      <c r="J170" s="18" t="str">
        <f t="shared" si="106"/>
        <v/>
      </c>
      <c r="K170" s="18" t="str">
        <f>IF(R170&lt;&gt;1,"",DATA_INPUT!H170)</f>
        <v/>
      </c>
      <c r="L170" s="18" t="str">
        <f t="shared" si="107"/>
        <v/>
      </c>
      <c r="M170" s="18" t="str">
        <f>IF(R170&lt;&gt;1,"",H170*CONTROL_PANEL!$B$14)</f>
        <v/>
      </c>
      <c r="N170" s="18" t="str">
        <f>IF(R170&lt;&gt;1,"",DATA_INPUT!K170)</f>
        <v/>
      </c>
      <c r="O170" s="18" t="str">
        <f t="shared" si="108"/>
        <v/>
      </c>
      <c r="P170" s="18" t="str">
        <f>IF(R170&lt;&gt;1,"",IF(O170-CONTROL_PANEL!$B$11&lt;0,0,O170-CONTROL_PANEL!$B$11))</f>
        <v/>
      </c>
      <c r="Q170" s="18" t="str">
        <f>IF(R170&lt;&gt;1,"",IF(N170&lt;=0,0,MIN(N170,MAX(0,CONTROL_PANEL!$B$13-O170))))</f>
        <v/>
      </c>
      <c r="R170" s="18"/>
      <c r="T170" s="19">
        <f t="shared" si="136"/>
        <v>2029</v>
      </c>
      <c r="U170" s="19">
        <f t="shared" si="92"/>
        <v>7</v>
      </c>
      <c r="V170" s="18" t="str">
        <f t="shared" si="109"/>
        <v/>
      </c>
      <c r="W170" s="18" t="str">
        <f t="shared" si="131"/>
        <v/>
      </c>
      <c r="X170" s="18" t="str">
        <f>IF(AK169&lt;&gt;1,"",IF(AH169&gt;0,IF(AH169&gt;CONTROL_PANEL!$B$11,CONTROL_PANEL!$B$11,AH169),0))</f>
        <v/>
      </c>
      <c r="Y170" s="18" t="str">
        <f t="shared" si="126"/>
        <v/>
      </c>
      <c r="Z170" s="18" t="str">
        <f>IF(AK170&lt;&gt;1,"",DATA_INPUT!I170)</f>
        <v/>
      </c>
      <c r="AA170" s="18" t="str">
        <f>IF(AK170&lt;&gt;1,"",Z170*CONTROL_PANEL!$B$5)</f>
        <v/>
      </c>
      <c r="AB170" s="18" t="str">
        <f>IF(AK170&lt;&gt;1,"",DATA_INPUT!$C170)</f>
        <v/>
      </c>
      <c r="AC170" s="18" t="str">
        <f t="shared" si="110"/>
        <v/>
      </c>
      <c r="AD170" s="18" t="str">
        <f>IF(AK170&lt;&gt;1,"",DATA_INPUT!$H170)</f>
        <v/>
      </c>
      <c r="AE170" s="18" t="str">
        <f t="shared" si="111"/>
        <v/>
      </c>
      <c r="AF170" s="18" t="str">
        <f>IF(AK170&lt;&gt;1,"",AA170*CONTROL_PANEL!$B$14)</f>
        <v/>
      </c>
      <c r="AG170" s="18" t="str">
        <f>IF(AK170&lt;&gt;1,"",DATA_INPUT!$L170)</f>
        <v/>
      </c>
      <c r="AH170" s="18" t="str">
        <f t="shared" si="112"/>
        <v/>
      </c>
      <c r="AI170" s="18" t="str">
        <f>IF(AK170&lt;&gt;1,"",IF(AH170-CONTROL_PANEL!$B$11&lt;0,0,AH170-CONTROL_PANEL!$B$11))</f>
        <v/>
      </c>
      <c r="AJ170" s="18" t="str">
        <f>IF(AK170&lt;&gt;1,"",IF(AG170&lt;=0,0,MIN(AG170,MAX(0,CONTROL_PANEL!$B$13-AH170))))</f>
        <v/>
      </c>
      <c r="AK170" s="18"/>
      <c r="AM170" s="19">
        <f t="shared" si="137"/>
        <v>2029</v>
      </c>
      <c r="AN170" s="19">
        <f t="shared" si="94"/>
        <v>7</v>
      </c>
      <c r="AO170" s="18" t="str">
        <f t="shared" si="113"/>
        <v/>
      </c>
      <c r="AP170" s="18" t="str">
        <f t="shared" si="132"/>
        <v/>
      </c>
      <c r="AQ170" s="18" t="str">
        <f>IF(BD169&lt;&gt;1,"",IF(BA169&gt;0,IF(BA169&gt;CONTROL_PANEL!$B$11,CONTROL_PANEL!$B$11,BA169),0))</f>
        <v/>
      </c>
      <c r="AR170" s="18" t="str">
        <f t="shared" si="127"/>
        <v/>
      </c>
      <c r="AS170" s="18" t="str">
        <f>IF(BD170&lt;&gt;1,"",DATA_INPUT!$I170)</f>
        <v/>
      </c>
      <c r="AT170" s="18" t="str">
        <f>IF(BD170&lt;&gt;1,"",AS170*CONTROL_PANEL!$B$5)</f>
        <v/>
      </c>
      <c r="AU170" s="18" t="str">
        <f>IF(BD170&lt;&gt;1,"",DATA_INPUT!$C170)</f>
        <v/>
      </c>
      <c r="AV170" s="18" t="str">
        <f t="shared" si="114"/>
        <v/>
      </c>
      <c r="AW170" s="18" t="str">
        <f>IF(BD170&lt;&gt;1,"",DATA_INPUT!$H170)</f>
        <v/>
      </c>
      <c r="AX170" s="18" t="str">
        <f t="shared" si="115"/>
        <v/>
      </c>
      <c r="AY170" s="18" t="str">
        <f>IF(BD170&lt;&gt;1,"",AT170*CONTROL_PANEL!$B$14)</f>
        <v/>
      </c>
      <c r="AZ170" s="18" t="str">
        <f>IF(BD170&lt;&gt;1,"",DATA_INPUT!$M170)</f>
        <v/>
      </c>
      <c r="BA170" s="18" t="str">
        <f t="shared" si="116"/>
        <v/>
      </c>
      <c r="BB170" s="18" t="str">
        <f>IF(BD170&lt;&gt;1,"",IF(BA170-CONTROL_PANEL!$B$11&lt;0,0,BA170-CONTROL_PANEL!$B$11))</f>
        <v/>
      </c>
      <c r="BC170" s="18" t="str">
        <f>IF(BD170&lt;&gt;1,"",IF(AZ170&lt;=0,0,MIN(AZ170,MAX(0,CONTROL_PANEL!$B$13-BA170))))</f>
        <v/>
      </c>
      <c r="BD170" s="18"/>
      <c r="BF170" s="19">
        <f t="shared" si="138"/>
        <v>2029</v>
      </c>
      <c r="BG170" s="19">
        <f t="shared" si="96"/>
        <v>7</v>
      </c>
      <c r="BH170" s="18" t="str">
        <f t="shared" si="117"/>
        <v/>
      </c>
      <c r="BI170" s="18" t="str">
        <f t="shared" si="133"/>
        <v/>
      </c>
      <c r="BJ170" s="18" t="str">
        <f>IF(BW169&lt;&gt;1,"",IF(BT169&gt;0,IF(BT169&gt;CONTROL_PANEL!$B$11,CONTROL_PANEL!$B$11,BT169),0))</f>
        <v/>
      </c>
      <c r="BK170" s="18" t="str">
        <f t="shared" si="128"/>
        <v/>
      </c>
      <c r="BL170" s="18" t="str">
        <f>IF(BW170&lt;&gt;1,"",DATA_INPUT!$I170)</f>
        <v/>
      </c>
      <c r="BM170" s="18" t="str">
        <f>IF(BW170&lt;&gt;1,"",BL170*CONTROL_PANEL!$B$5)</f>
        <v/>
      </c>
      <c r="BN170" s="18" t="str">
        <f>IF(BW170&lt;&gt;1,"",DATA_INPUT!$C170)</f>
        <v/>
      </c>
      <c r="BO170" s="18" t="str">
        <f t="shared" si="118"/>
        <v/>
      </c>
      <c r="BP170" s="18" t="str">
        <f>IF(BW170&lt;&gt;1,"",DATA_INPUT!$H170)</f>
        <v/>
      </c>
      <c r="BQ170" s="18" t="str">
        <f t="shared" si="119"/>
        <v/>
      </c>
      <c r="BR170" s="18" t="str">
        <f>IF(BW170&lt;&gt;1,"",BM170*CONTROL_PANEL!$B$14)</f>
        <v/>
      </c>
      <c r="BS170" s="18" t="str">
        <f>IF(BW170&lt;&gt;1,"",DATA_INPUT!$N170)</f>
        <v/>
      </c>
      <c r="BT170" s="18" t="str">
        <f t="shared" si="120"/>
        <v/>
      </c>
      <c r="BU170" s="18" t="str">
        <f>IF(BW170&lt;&gt;1,"",IF(BT170-CONTROL_PANEL!$B$11&lt;0,0,BT170-CONTROL_PANEL!$B$11))</f>
        <v/>
      </c>
      <c r="BV170" s="18" t="str">
        <f>IF(BW170&lt;&gt;1,"",IF(BS170&lt;=0,0,MIN(BS170,MAX(0,CONTROL_PANEL!$B$13-BT170))))</f>
        <v/>
      </c>
      <c r="BW170" s="18"/>
      <c r="BY170" s="19">
        <f t="shared" si="139"/>
        <v>2029</v>
      </c>
      <c r="BZ170" s="19">
        <f t="shared" si="98"/>
        <v>7</v>
      </c>
      <c r="CA170" s="18" t="str">
        <f t="shared" si="121"/>
        <v/>
      </c>
      <c r="CB170" s="18" t="str">
        <f t="shared" si="134"/>
        <v/>
      </c>
      <c r="CC170" s="18" t="str">
        <f>IF(CP169&lt;&gt;1,"",IF(CM169&gt;0,IF(CM169&gt;CONTROL_PANEL!$B$11,CONTROL_PANEL!$B$11,CM169),0))</f>
        <v/>
      </c>
      <c r="CD170" s="18" t="str">
        <f t="shared" si="129"/>
        <v/>
      </c>
      <c r="CE170" s="18" t="str">
        <f>IF(CP170&lt;&gt;1,"",DATA_INPUT!$I170)</f>
        <v/>
      </c>
      <c r="CF170" s="18" t="str">
        <f>IF(CP170&lt;&gt;1,"",CE170*CONTROL_PANEL!$B$5)</f>
        <v/>
      </c>
      <c r="CG170" s="18" t="str">
        <f>IF(CP170&lt;&gt;1,"",DATA_INPUT!$C170)</f>
        <v/>
      </c>
      <c r="CH170" s="18" t="str">
        <f t="shared" si="122"/>
        <v/>
      </c>
      <c r="CI170" s="18" t="str">
        <f>IF(CP170&lt;&gt;1,"",DATA_INPUT!$H170)</f>
        <v/>
      </c>
      <c r="CJ170" s="18" t="str">
        <f t="shared" si="123"/>
        <v/>
      </c>
      <c r="CK170" s="18" t="str">
        <f>IF(CP170&lt;&gt;1,"",CF170*CONTROL_PANEL!$B$14)</f>
        <v/>
      </c>
      <c r="CL170" s="18" t="str">
        <f>IF(CP170&lt;&gt;1,"",DATA_INPUT!$O170)</f>
        <v/>
      </c>
      <c r="CM170" s="18" t="str">
        <f t="shared" si="124"/>
        <v/>
      </c>
      <c r="CN170" s="18" t="str">
        <f>IF(CP170&lt;&gt;1,"",IF(CM170-CONTROL_PANEL!$B$11&lt;0,0,CM170-CONTROL_PANEL!$B$11))</f>
        <v/>
      </c>
      <c r="CO170" s="18" t="str">
        <f>IF(CP170&lt;&gt;1,"",IF(CL170&lt;=0,0,MIN(CL170,MAX(0,CONTROL_PANEL!$B$13-CM170))))</f>
        <v/>
      </c>
      <c r="CP170" s="18"/>
    </row>
    <row r="171" spans="1:94" x14ac:dyDescent="0.25">
      <c r="A171" s="19">
        <f t="shared" si="135"/>
        <v>2029</v>
      </c>
      <c r="B171" s="19">
        <f t="shared" si="90"/>
        <v>8</v>
      </c>
      <c r="C171" s="18" t="str">
        <f t="shared" si="105"/>
        <v/>
      </c>
      <c r="D171" s="18" t="str">
        <f t="shared" si="130"/>
        <v/>
      </c>
      <c r="E171" s="18" t="str">
        <f>IF(R170&lt;&gt;1,"",IF(O170&gt;0,IF(O170&gt;CONTROL_PANEL!$B$11,CONTROL_PANEL!$B$11,O170),0))</f>
        <v/>
      </c>
      <c r="F171" s="18" t="str">
        <f t="shared" si="125"/>
        <v/>
      </c>
      <c r="G171" s="18" t="str">
        <f>IF(R171&lt;&gt;1,"",DATA_INPUT!I171)</f>
        <v/>
      </c>
      <c r="H171" s="18" t="str">
        <f>IF(R171&lt;&gt;1,"",G171*CONTROL_PANEL!$B$5)</f>
        <v/>
      </c>
      <c r="I171" s="18" t="str">
        <f>IF(R171&lt;&gt;1,"",DATA_INPUT!C171)</f>
        <v/>
      </c>
      <c r="J171" s="18" t="str">
        <f t="shared" si="106"/>
        <v/>
      </c>
      <c r="K171" s="18" t="str">
        <f>IF(R171&lt;&gt;1,"",DATA_INPUT!H171)</f>
        <v/>
      </c>
      <c r="L171" s="18" t="str">
        <f t="shared" si="107"/>
        <v/>
      </c>
      <c r="M171" s="18" t="str">
        <f>IF(R171&lt;&gt;1,"",H171*CONTROL_PANEL!$B$14)</f>
        <v/>
      </c>
      <c r="N171" s="18" t="str">
        <f>IF(R171&lt;&gt;1,"",DATA_INPUT!K171)</f>
        <v/>
      </c>
      <c r="O171" s="18" t="str">
        <f t="shared" si="108"/>
        <v/>
      </c>
      <c r="P171" s="18" t="str">
        <f>IF(R171&lt;&gt;1,"",IF(O171-CONTROL_PANEL!$B$11&lt;0,0,O171-CONTROL_PANEL!$B$11))</f>
        <v/>
      </c>
      <c r="Q171" s="18" t="str">
        <f>IF(R171&lt;&gt;1,"",IF(N171&lt;=0,0,MIN(N171,MAX(0,CONTROL_PANEL!$B$13-O171))))</f>
        <v/>
      </c>
      <c r="R171" s="18"/>
      <c r="T171" s="19">
        <f t="shared" si="136"/>
        <v>2029</v>
      </c>
      <c r="U171" s="19">
        <f t="shared" si="92"/>
        <v>8</v>
      </c>
      <c r="V171" s="18" t="str">
        <f t="shared" si="109"/>
        <v/>
      </c>
      <c r="W171" s="18" t="str">
        <f t="shared" si="131"/>
        <v/>
      </c>
      <c r="X171" s="18" t="str">
        <f>IF(AK170&lt;&gt;1,"",IF(AH170&gt;0,IF(AH170&gt;CONTROL_PANEL!$B$11,CONTROL_PANEL!$B$11,AH170),0))</f>
        <v/>
      </c>
      <c r="Y171" s="18" t="str">
        <f t="shared" si="126"/>
        <v/>
      </c>
      <c r="Z171" s="18" t="str">
        <f>IF(AK171&lt;&gt;1,"",DATA_INPUT!I171)</f>
        <v/>
      </c>
      <c r="AA171" s="18" t="str">
        <f>IF(AK171&lt;&gt;1,"",Z171*CONTROL_PANEL!$B$5)</f>
        <v/>
      </c>
      <c r="AB171" s="18" t="str">
        <f>IF(AK171&lt;&gt;1,"",DATA_INPUT!$C171)</f>
        <v/>
      </c>
      <c r="AC171" s="18" t="str">
        <f t="shared" si="110"/>
        <v/>
      </c>
      <c r="AD171" s="18" t="str">
        <f>IF(AK171&lt;&gt;1,"",DATA_INPUT!$H171)</f>
        <v/>
      </c>
      <c r="AE171" s="18" t="str">
        <f t="shared" si="111"/>
        <v/>
      </c>
      <c r="AF171" s="18" t="str">
        <f>IF(AK171&lt;&gt;1,"",AA171*CONTROL_PANEL!$B$14)</f>
        <v/>
      </c>
      <c r="AG171" s="18" t="str">
        <f>IF(AK171&lt;&gt;1,"",DATA_INPUT!$L171)</f>
        <v/>
      </c>
      <c r="AH171" s="18" t="str">
        <f t="shared" si="112"/>
        <v/>
      </c>
      <c r="AI171" s="18" t="str">
        <f>IF(AK171&lt;&gt;1,"",IF(AH171-CONTROL_PANEL!$B$11&lt;0,0,AH171-CONTROL_PANEL!$B$11))</f>
        <v/>
      </c>
      <c r="AJ171" s="18" t="str">
        <f>IF(AK171&lt;&gt;1,"",IF(AG171&lt;=0,0,MIN(AG171,MAX(0,CONTROL_PANEL!$B$13-AH171))))</f>
        <v/>
      </c>
      <c r="AK171" s="18"/>
      <c r="AM171" s="19">
        <f t="shared" si="137"/>
        <v>2029</v>
      </c>
      <c r="AN171" s="19">
        <f t="shared" si="94"/>
        <v>8</v>
      </c>
      <c r="AO171" s="18" t="str">
        <f t="shared" si="113"/>
        <v/>
      </c>
      <c r="AP171" s="18" t="str">
        <f t="shared" si="132"/>
        <v/>
      </c>
      <c r="AQ171" s="18" t="str">
        <f>IF(BD170&lt;&gt;1,"",IF(BA170&gt;0,IF(BA170&gt;CONTROL_PANEL!$B$11,CONTROL_PANEL!$B$11,BA170),0))</f>
        <v/>
      </c>
      <c r="AR171" s="18" t="str">
        <f t="shared" si="127"/>
        <v/>
      </c>
      <c r="AS171" s="18" t="str">
        <f>IF(BD171&lt;&gt;1,"",DATA_INPUT!$I171)</f>
        <v/>
      </c>
      <c r="AT171" s="18" t="str">
        <f>IF(BD171&lt;&gt;1,"",AS171*CONTROL_PANEL!$B$5)</f>
        <v/>
      </c>
      <c r="AU171" s="18" t="str">
        <f>IF(BD171&lt;&gt;1,"",DATA_INPUT!$C171)</f>
        <v/>
      </c>
      <c r="AV171" s="18" t="str">
        <f t="shared" si="114"/>
        <v/>
      </c>
      <c r="AW171" s="18" t="str">
        <f>IF(BD171&lt;&gt;1,"",DATA_INPUT!$H171)</f>
        <v/>
      </c>
      <c r="AX171" s="18" t="str">
        <f t="shared" si="115"/>
        <v/>
      </c>
      <c r="AY171" s="18" t="str">
        <f>IF(BD171&lt;&gt;1,"",AT171*CONTROL_PANEL!$B$14)</f>
        <v/>
      </c>
      <c r="AZ171" s="18" t="str">
        <f>IF(BD171&lt;&gt;1,"",DATA_INPUT!$M171)</f>
        <v/>
      </c>
      <c r="BA171" s="18" t="str">
        <f t="shared" si="116"/>
        <v/>
      </c>
      <c r="BB171" s="18" t="str">
        <f>IF(BD171&lt;&gt;1,"",IF(BA171-CONTROL_PANEL!$B$11&lt;0,0,BA171-CONTROL_PANEL!$B$11))</f>
        <v/>
      </c>
      <c r="BC171" s="18" t="str">
        <f>IF(BD171&lt;&gt;1,"",IF(AZ171&lt;=0,0,MIN(AZ171,MAX(0,CONTROL_PANEL!$B$13-BA171))))</f>
        <v/>
      </c>
      <c r="BD171" s="18"/>
      <c r="BF171" s="19">
        <f t="shared" si="138"/>
        <v>2029</v>
      </c>
      <c r="BG171" s="19">
        <f t="shared" si="96"/>
        <v>8</v>
      </c>
      <c r="BH171" s="18" t="str">
        <f t="shared" si="117"/>
        <v/>
      </c>
      <c r="BI171" s="18" t="str">
        <f t="shared" si="133"/>
        <v/>
      </c>
      <c r="BJ171" s="18" t="str">
        <f>IF(BW170&lt;&gt;1,"",IF(BT170&gt;0,IF(BT170&gt;CONTROL_PANEL!$B$11,CONTROL_PANEL!$B$11,BT170),0))</f>
        <v/>
      </c>
      <c r="BK171" s="18" t="str">
        <f t="shared" si="128"/>
        <v/>
      </c>
      <c r="BL171" s="18" t="str">
        <f>IF(BW171&lt;&gt;1,"",DATA_INPUT!$I171)</f>
        <v/>
      </c>
      <c r="BM171" s="18" t="str">
        <f>IF(BW171&lt;&gt;1,"",BL171*CONTROL_PANEL!$B$5)</f>
        <v/>
      </c>
      <c r="BN171" s="18" t="str">
        <f>IF(BW171&lt;&gt;1,"",DATA_INPUT!$C171)</f>
        <v/>
      </c>
      <c r="BO171" s="18" t="str">
        <f t="shared" si="118"/>
        <v/>
      </c>
      <c r="BP171" s="18" t="str">
        <f>IF(BW171&lt;&gt;1,"",DATA_INPUT!$H171)</f>
        <v/>
      </c>
      <c r="BQ171" s="18" t="str">
        <f t="shared" si="119"/>
        <v/>
      </c>
      <c r="BR171" s="18" t="str">
        <f>IF(BW171&lt;&gt;1,"",BM171*CONTROL_PANEL!$B$14)</f>
        <v/>
      </c>
      <c r="BS171" s="18" t="str">
        <f>IF(BW171&lt;&gt;1,"",DATA_INPUT!$N171)</f>
        <v/>
      </c>
      <c r="BT171" s="18" t="str">
        <f t="shared" si="120"/>
        <v/>
      </c>
      <c r="BU171" s="18" t="str">
        <f>IF(BW171&lt;&gt;1,"",IF(BT171-CONTROL_PANEL!$B$11&lt;0,0,BT171-CONTROL_PANEL!$B$11))</f>
        <v/>
      </c>
      <c r="BV171" s="18" t="str">
        <f>IF(BW171&lt;&gt;1,"",IF(BS171&lt;=0,0,MIN(BS171,MAX(0,CONTROL_PANEL!$B$13-BT171))))</f>
        <v/>
      </c>
      <c r="BW171" s="18"/>
      <c r="BY171" s="19">
        <f t="shared" si="139"/>
        <v>2029</v>
      </c>
      <c r="BZ171" s="19">
        <f t="shared" si="98"/>
        <v>8</v>
      </c>
      <c r="CA171" s="18" t="str">
        <f t="shared" si="121"/>
        <v/>
      </c>
      <c r="CB171" s="18" t="str">
        <f t="shared" si="134"/>
        <v/>
      </c>
      <c r="CC171" s="18" t="str">
        <f>IF(CP170&lt;&gt;1,"",IF(CM170&gt;0,IF(CM170&gt;CONTROL_PANEL!$B$11,CONTROL_PANEL!$B$11,CM170),0))</f>
        <v/>
      </c>
      <c r="CD171" s="18" t="str">
        <f t="shared" si="129"/>
        <v/>
      </c>
      <c r="CE171" s="18" t="str">
        <f>IF(CP171&lt;&gt;1,"",DATA_INPUT!$I171)</f>
        <v/>
      </c>
      <c r="CF171" s="18" t="str">
        <f>IF(CP171&lt;&gt;1,"",CE171*CONTROL_PANEL!$B$5)</f>
        <v/>
      </c>
      <c r="CG171" s="18" t="str">
        <f>IF(CP171&lt;&gt;1,"",DATA_INPUT!$C171)</f>
        <v/>
      </c>
      <c r="CH171" s="18" t="str">
        <f t="shared" si="122"/>
        <v/>
      </c>
      <c r="CI171" s="18" t="str">
        <f>IF(CP171&lt;&gt;1,"",DATA_INPUT!$H171)</f>
        <v/>
      </c>
      <c r="CJ171" s="18" t="str">
        <f t="shared" si="123"/>
        <v/>
      </c>
      <c r="CK171" s="18" t="str">
        <f>IF(CP171&lt;&gt;1,"",CF171*CONTROL_PANEL!$B$14)</f>
        <v/>
      </c>
      <c r="CL171" s="18" t="str">
        <f>IF(CP171&lt;&gt;1,"",DATA_INPUT!$O171)</f>
        <v/>
      </c>
      <c r="CM171" s="18" t="str">
        <f t="shared" si="124"/>
        <v/>
      </c>
      <c r="CN171" s="18" t="str">
        <f>IF(CP171&lt;&gt;1,"",IF(CM171-CONTROL_PANEL!$B$11&lt;0,0,CM171-CONTROL_PANEL!$B$11))</f>
        <v/>
      </c>
      <c r="CO171" s="18" t="str">
        <f>IF(CP171&lt;&gt;1,"",IF(CL171&lt;=0,0,MIN(CL171,MAX(0,CONTROL_PANEL!$B$13-CM171))))</f>
        <v/>
      </c>
      <c r="CP171" s="18"/>
    </row>
    <row r="172" spans="1:94" x14ac:dyDescent="0.25">
      <c r="A172" s="19">
        <f t="shared" si="135"/>
        <v>2029</v>
      </c>
      <c r="B172" s="19">
        <f t="shared" si="90"/>
        <v>9</v>
      </c>
      <c r="C172" s="18" t="str">
        <f t="shared" si="105"/>
        <v/>
      </c>
      <c r="D172" s="18" t="str">
        <f t="shared" si="130"/>
        <v/>
      </c>
      <c r="E172" s="18" t="str">
        <f>IF(R171&lt;&gt;1,"",IF(O171&gt;0,IF(O171&gt;CONTROL_PANEL!$B$11,CONTROL_PANEL!$B$11,O171),0))</f>
        <v/>
      </c>
      <c r="F172" s="18" t="str">
        <f t="shared" si="125"/>
        <v/>
      </c>
      <c r="G172" s="18" t="str">
        <f>IF(R172&lt;&gt;1,"",DATA_INPUT!I172)</f>
        <v/>
      </c>
      <c r="H172" s="18" t="str">
        <f>IF(R172&lt;&gt;1,"",G172*CONTROL_PANEL!$B$5)</f>
        <v/>
      </c>
      <c r="I172" s="18" t="str">
        <f>IF(R172&lt;&gt;1,"",DATA_INPUT!C172)</f>
        <v/>
      </c>
      <c r="J172" s="18" t="str">
        <f t="shared" si="106"/>
        <v/>
      </c>
      <c r="K172" s="18" t="str">
        <f>IF(R172&lt;&gt;1,"",DATA_INPUT!H172)</f>
        <v/>
      </c>
      <c r="L172" s="18" t="str">
        <f t="shared" si="107"/>
        <v/>
      </c>
      <c r="M172" s="18" t="str">
        <f>IF(R172&lt;&gt;1,"",H172*CONTROL_PANEL!$B$14)</f>
        <v/>
      </c>
      <c r="N172" s="18" t="str">
        <f>IF(R172&lt;&gt;1,"",DATA_INPUT!K172)</f>
        <v/>
      </c>
      <c r="O172" s="18" t="str">
        <f t="shared" si="108"/>
        <v/>
      </c>
      <c r="P172" s="18" t="str">
        <f>IF(R172&lt;&gt;1,"",IF(O172-CONTROL_PANEL!$B$11&lt;0,0,O172-CONTROL_PANEL!$B$11))</f>
        <v/>
      </c>
      <c r="Q172" s="18" t="str">
        <f>IF(R172&lt;&gt;1,"",IF(N172&lt;=0,0,MIN(N172,MAX(0,CONTROL_PANEL!$B$13-O172))))</f>
        <v/>
      </c>
      <c r="R172" s="18"/>
      <c r="T172" s="19">
        <f t="shared" si="136"/>
        <v>2029</v>
      </c>
      <c r="U172" s="19">
        <f t="shared" si="92"/>
        <v>9</v>
      </c>
      <c r="V172" s="18" t="str">
        <f t="shared" si="109"/>
        <v/>
      </c>
      <c r="W172" s="18" t="str">
        <f t="shared" si="131"/>
        <v/>
      </c>
      <c r="X172" s="18" t="str">
        <f>IF(AK171&lt;&gt;1,"",IF(AH171&gt;0,IF(AH171&gt;CONTROL_PANEL!$B$11,CONTROL_PANEL!$B$11,AH171),0))</f>
        <v/>
      </c>
      <c r="Y172" s="18" t="str">
        <f t="shared" si="126"/>
        <v/>
      </c>
      <c r="Z172" s="18" t="str">
        <f>IF(AK172&lt;&gt;1,"",DATA_INPUT!I172)</f>
        <v/>
      </c>
      <c r="AA172" s="18" t="str">
        <f>IF(AK172&lt;&gt;1,"",Z172*CONTROL_PANEL!$B$5)</f>
        <v/>
      </c>
      <c r="AB172" s="18" t="str">
        <f>IF(AK172&lt;&gt;1,"",DATA_INPUT!$C172)</f>
        <v/>
      </c>
      <c r="AC172" s="18" t="str">
        <f t="shared" si="110"/>
        <v/>
      </c>
      <c r="AD172" s="18" t="str">
        <f>IF(AK172&lt;&gt;1,"",DATA_INPUT!$H172)</f>
        <v/>
      </c>
      <c r="AE172" s="18" t="str">
        <f t="shared" si="111"/>
        <v/>
      </c>
      <c r="AF172" s="18" t="str">
        <f>IF(AK172&lt;&gt;1,"",AA172*CONTROL_PANEL!$B$14)</f>
        <v/>
      </c>
      <c r="AG172" s="18" t="str">
        <f>IF(AK172&lt;&gt;1,"",DATA_INPUT!$L172)</f>
        <v/>
      </c>
      <c r="AH172" s="18" t="str">
        <f t="shared" si="112"/>
        <v/>
      </c>
      <c r="AI172" s="18" t="str">
        <f>IF(AK172&lt;&gt;1,"",IF(AH172-CONTROL_PANEL!$B$11&lt;0,0,AH172-CONTROL_PANEL!$B$11))</f>
        <v/>
      </c>
      <c r="AJ172" s="18" t="str">
        <f>IF(AK172&lt;&gt;1,"",IF(AG172&lt;=0,0,MIN(AG172,MAX(0,CONTROL_PANEL!$B$13-AH172))))</f>
        <v/>
      </c>
      <c r="AK172" s="18"/>
      <c r="AM172" s="19">
        <f t="shared" si="137"/>
        <v>2029</v>
      </c>
      <c r="AN172" s="19">
        <f t="shared" si="94"/>
        <v>9</v>
      </c>
      <c r="AO172" s="18" t="str">
        <f t="shared" si="113"/>
        <v/>
      </c>
      <c r="AP172" s="18" t="str">
        <f t="shared" si="132"/>
        <v/>
      </c>
      <c r="AQ172" s="18" t="str">
        <f>IF(BD171&lt;&gt;1,"",IF(BA171&gt;0,IF(BA171&gt;CONTROL_PANEL!$B$11,CONTROL_PANEL!$B$11,BA171),0))</f>
        <v/>
      </c>
      <c r="AR172" s="18" t="str">
        <f t="shared" si="127"/>
        <v/>
      </c>
      <c r="AS172" s="18" t="str">
        <f>IF(BD172&lt;&gt;1,"",DATA_INPUT!$I172)</f>
        <v/>
      </c>
      <c r="AT172" s="18" t="str">
        <f>IF(BD172&lt;&gt;1,"",AS172*CONTROL_PANEL!$B$5)</f>
        <v/>
      </c>
      <c r="AU172" s="18" t="str">
        <f>IF(BD172&lt;&gt;1,"",DATA_INPUT!$C172)</f>
        <v/>
      </c>
      <c r="AV172" s="18" t="str">
        <f t="shared" si="114"/>
        <v/>
      </c>
      <c r="AW172" s="18" t="str">
        <f>IF(BD172&lt;&gt;1,"",DATA_INPUT!$H172)</f>
        <v/>
      </c>
      <c r="AX172" s="18" t="str">
        <f t="shared" si="115"/>
        <v/>
      </c>
      <c r="AY172" s="18" t="str">
        <f>IF(BD172&lt;&gt;1,"",AT172*CONTROL_PANEL!$B$14)</f>
        <v/>
      </c>
      <c r="AZ172" s="18" t="str">
        <f>IF(BD172&lt;&gt;1,"",DATA_INPUT!$M172)</f>
        <v/>
      </c>
      <c r="BA172" s="18" t="str">
        <f t="shared" si="116"/>
        <v/>
      </c>
      <c r="BB172" s="18" t="str">
        <f>IF(BD172&lt;&gt;1,"",IF(BA172-CONTROL_PANEL!$B$11&lt;0,0,BA172-CONTROL_PANEL!$B$11))</f>
        <v/>
      </c>
      <c r="BC172" s="18" t="str">
        <f>IF(BD172&lt;&gt;1,"",IF(AZ172&lt;=0,0,MIN(AZ172,MAX(0,CONTROL_PANEL!$B$13-BA172))))</f>
        <v/>
      </c>
      <c r="BD172" s="18"/>
      <c r="BF172" s="19">
        <f t="shared" si="138"/>
        <v>2029</v>
      </c>
      <c r="BG172" s="19">
        <f t="shared" si="96"/>
        <v>9</v>
      </c>
      <c r="BH172" s="18" t="str">
        <f t="shared" si="117"/>
        <v/>
      </c>
      <c r="BI172" s="18" t="str">
        <f t="shared" si="133"/>
        <v/>
      </c>
      <c r="BJ172" s="18" t="str">
        <f>IF(BW171&lt;&gt;1,"",IF(BT171&gt;0,IF(BT171&gt;CONTROL_PANEL!$B$11,CONTROL_PANEL!$B$11,BT171),0))</f>
        <v/>
      </c>
      <c r="BK172" s="18" t="str">
        <f t="shared" si="128"/>
        <v/>
      </c>
      <c r="BL172" s="18" t="str">
        <f>IF(BW172&lt;&gt;1,"",DATA_INPUT!$I172)</f>
        <v/>
      </c>
      <c r="BM172" s="18" t="str">
        <f>IF(BW172&lt;&gt;1,"",BL172*CONTROL_PANEL!$B$5)</f>
        <v/>
      </c>
      <c r="BN172" s="18" t="str">
        <f>IF(BW172&lt;&gt;1,"",DATA_INPUT!$C172)</f>
        <v/>
      </c>
      <c r="BO172" s="18" t="str">
        <f t="shared" si="118"/>
        <v/>
      </c>
      <c r="BP172" s="18" t="str">
        <f>IF(BW172&lt;&gt;1,"",DATA_INPUT!$H172)</f>
        <v/>
      </c>
      <c r="BQ172" s="18" t="str">
        <f t="shared" si="119"/>
        <v/>
      </c>
      <c r="BR172" s="18" t="str">
        <f>IF(BW172&lt;&gt;1,"",BM172*CONTROL_PANEL!$B$14)</f>
        <v/>
      </c>
      <c r="BS172" s="18" t="str">
        <f>IF(BW172&lt;&gt;1,"",DATA_INPUT!$N172)</f>
        <v/>
      </c>
      <c r="BT172" s="18" t="str">
        <f t="shared" si="120"/>
        <v/>
      </c>
      <c r="BU172" s="18" t="str">
        <f>IF(BW172&lt;&gt;1,"",IF(BT172-CONTROL_PANEL!$B$11&lt;0,0,BT172-CONTROL_PANEL!$B$11))</f>
        <v/>
      </c>
      <c r="BV172" s="18" t="str">
        <f>IF(BW172&lt;&gt;1,"",IF(BS172&lt;=0,0,MIN(BS172,MAX(0,CONTROL_PANEL!$B$13-BT172))))</f>
        <v/>
      </c>
      <c r="BW172" s="18"/>
      <c r="BY172" s="19">
        <f t="shared" si="139"/>
        <v>2029</v>
      </c>
      <c r="BZ172" s="19">
        <f t="shared" si="98"/>
        <v>9</v>
      </c>
      <c r="CA172" s="18" t="str">
        <f t="shared" si="121"/>
        <v/>
      </c>
      <c r="CB172" s="18" t="str">
        <f t="shared" si="134"/>
        <v/>
      </c>
      <c r="CC172" s="18" t="str">
        <f>IF(CP171&lt;&gt;1,"",IF(CM171&gt;0,IF(CM171&gt;CONTROL_PANEL!$B$11,CONTROL_PANEL!$B$11,CM171),0))</f>
        <v/>
      </c>
      <c r="CD172" s="18" t="str">
        <f t="shared" si="129"/>
        <v/>
      </c>
      <c r="CE172" s="18" t="str">
        <f>IF(CP172&lt;&gt;1,"",DATA_INPUT!$I172)</f>
        <v/>
      </c>
      <c r="CF172" s="18" t="str">
        <f>IF(CP172&lt;&gt;1,"",CE172*CONTROL_PANEL!$B$5)</f>
        <v/>
      </c>
      <c r="CG172" s="18" t="str">
        <f>IF(CP172&lt;&gt;1,"",DATA_INPUT!$C172)</f>
        <v/>
      </c>
      <c r="CH172" s="18" t="str">
        <f t="shared" si="122"/>
        <v/>
      </c>
      <c r="CI172" s="18" t="str">
        <f>IF(CP172&lt;&gt;1,"",DATA_INPUT!$H172)</f>
        <v/>
      </c>
      <c r="CJ172" s="18" t="str">
        <f t="shared" si="123"/>
        <v/>
      </c>
      <c r="CK172" s="18" t="str">
        <f>IF(CP172&lt;&gt;1,"",CF172*CONTROL_PANEL!$B$14)</f>
        <v/>
      </c>
      <c r="CL172" s="18" t="str">
        <f>IF(CP172&lt;&gt;1,"",DATA_INPUT!$O172)</f>
        <v/>
      </c>
      <c r="CM172" s="18" t="str">
        <f t="shared" si="124"/>
        <v/>
      </c>
      <c r="CN172" s="18" t="str">
        <f>IF(CP172&lt;&gt;1,"",IF(CM172-CONTROL_PANEL!$B$11&lt;0,0,CM172-CONTROL_PANEL!$B$11))</f>
        <v/>
      </c>
      <c r="CO172" s="18" t="str">
        <f>IF(CP172&lt;&gt;1,"",IF(CL172&lt;=0,0,MIN(CL172,MAX(0,CONTROL_PANEL!$B$13-CM172))))</f>
        <v/>
      </c>
      <c r="CP172" s="18"/>
    </row>
    <row r="173" spans="1:94" x14ac:dyDescent="0.25">
      <c r="A173" s="19">
        <f t="shared" si="135"/>
        <v>2029</v>
      </c>
      <c r="B173" s="19">
        <f t="shared" si="90"/>
        <v>10</v>
      </c>
      <c r="C173" s="18" t="str">
        <f t="shared" si="105"/>
        <v/>
      </c>
      <c r="D173" s="18" t="str">
        <f t="shared" si="130"/>
        <v/>
      </c>
      <c r="E173" s="18" t="str">
        <f>IF(R172&lt;&gt;1,"",IF(O172&gt;0,IF(O172&gt;CONTROL_PANEL!$B$11,CONTROL_PANEL!$B$11,O172),0))</f>
        <v/>
      </c>
      <c r="F173" s="18" t="str">
        <f t="shared" si="125"/>
        <v/>
      </c>
      <c r="G173" s="18" t="str">
        <f>IF(R173&lt;&gt;1,"",DATA_INPUT!I173)</f>
        <v/>
      </c>
      <c r="H173" s="18" t="str">
        <f>IF(R173&lt;&gt;1,"",G173*CONTROL_PANEL!$B$5)</f>
        <v/>
      </c>
      <c r="I173" s="18" t="str">
        <f>IF(R173&lt;&gt;1,"",DATA_INPUT!C173)</f>
        <v/>
      </c>
      <c r="J173" s="18" t="str">
        <f t="shared" si="106"/>
        <v/>
      </c>
      <c r="K173" s="18" t="str">
        <f>IF(R173&lt;&gt;1,"",DATA_INPUT!H173)</f>
        <v/>
      </c>
      <c r="L173" s="18" t="str">
        <f t="shared" si="107"/>
        <v/>
      </c>
      <c r="M173" s="18" t="str">
        <f>IF(R173&lt;&gt;1,"",H173*CONTROL_PANEL!$B$14)</f>
        <v/>
      </c>
      <c r="N173" s="18" t="str">
        <f>IF(R173&lt;&gt;1,"",DATA_INPUT!K173)</f>
        <v/>
      </c>
      <c r="O173" s="18" t="str">
        <f t="shared" si="108"/>
        <v/>
      </c>
      <c r="P173" s="18" t="str">
        <f>IF(R173&lt;&gt;1,"",IF(O173-CONTROL_PANEL!$B$11&lt;0,0,O173-CONTROL_PANEL!$B$11))</f>
        <v/>
      </c>
      <c r="Q173" s="18" t="str">
        <f>IF(R173&lt;&gt;1,"",IF(N173&lt;=0,0,MIN(N173,MAX(0,CONTROL_PANEL!$B$13-O173))))</f>
        <v/>
      </c>
      <c r="R173" s="18"/>
      <c r="T173" s="19">
        <f t="shared" si="136"/>
        <v>2029</v>
      </c>
      <c r="U173" s="19">
        <f t="shared" si="92"/>
        <v>10</v>
      </c>
      <c r="V173" s="18" t="str">
        <f t="shared" si="109"/>
        <v/>
      </c>
      <c r="W173" s="18" t="str">
        <f t="shared" si="131"/>
        <v/>
      </c>
      <c r="X173" s="18" t="str">
        <f>IF(AK172&lt;&gt;1,"",IF(AH172&gt;0,IF(AH172&gt;CONTROL_PANEL!$B$11,CONTROL_PANEL!$B$11,AH172),0))</f>
        <v/>
      </c>
      <c r="Y173" s="18" t="str">
        <f t="shared" si="126"/>
        <v/>
      </c>
      <c r="Z173" s="18" t="str">
        <f>IF(AK173&lt;&gt;1,"",DATA_INPUT!I173)</f>
        <v/>
      </c>
      <c r="AA173" s="18" t="str">
        <f>IF(AK173&lt;&gt;1,"",Z173*CONTROL_PANEL!$B$5)</f>
        <v/>
      </c>
      <c r="AB173" s="18" t="str">
        <f>IF(AK173&lt;&gt;1,"",DATA_INPUT!$C173)</f>
        <v/>
      </c>
      <c r="AC173" s="18" t="str">
        <f t="shared" si="110"/>
        <v/>
      </c>
      <c r="AD173" s="18" t="str">
        <f>IF(AK173&lt;&gt;1,"",DATA_INPUT!$H173)</f>
        <v/>
      </c>
      <c r="AE173" s="18" t="str">
        <f t="shared" si="111"/>
        <v/>
      </c>
      <c r="AF173" s="18" t="str">
        <f>IF(AK173&lt;&gt;1,"",AA173*CONTROL_PANEL!$B$14)</f>
        <v/>
      </c>
      <c r="AG173" s="18" t="str">
        <f>IF(AK173&lt;&gt;1,"",DATA_INPUT!$L173)</f>
        <v/>
      </c>
      <c r="AH173" s="18" t="str">
        <f t="shared" si="112"/>
        <v/>
      </c>
      <c r="AI173" s="18" t="str">
        <f>IF(AK173&lt;&gt;1,"",IF(AH173-CONTROL_PANEL!$B$11&lt;0,0,AH173-CONTROL_PANEL!$B$11))</f>
        <v/>
      </c>
      <c r="AJ173" s="18" t="str">
        <f>IF(AK173&lt;&gt;1,"",IF(AG173&lt;=0,0,MIN(AG173,MAX(0,CONTROL_PANEL!$B$13-AH173))))</f>
        <v/>
      </c>
      <c r="AK173" s="18"/>
      <c r="AM173" s="19">
        <f t="shared" si="137"/>
        <v>2029</v>
      </c>
      <c r="AN173" s="19">
        <f t="shared" si="94"/>
        <v>10</v>
      </c>
      <c r="AO173" s="18" t="str">
        <f t="shared" si="113"/>
        <v/>
      </c>
      <c r="AP173" s="18" t="str">
        <f t="shared" si="132"/>
        <v/>
      </c>
      <c r="AQ173" s="18" t="str">
        <f>IF(BD172&lt;&gt;1,"",IF(BA172&gt;0,IF(BA172&gt;CONTROL_PANEL!$B$11,CONTROL_PANEL!$B$11,BA172),0))</f>
        <v/>
      </c>
      <c r="AR173" s="18" t="str">
        <f t="shared" si="127"/>
        <v/>
      </c>
      <c r="AS173" s="18" t="str">
        <f>IF(BD173&lt;&gt;1,"",DATA_INPUT!$I173)</f>
        <v/>
      </c>
      <c r="AT173" s="18" t="str">
        <f>IF(BD173&lt;&gt;1,"",AS173*CONTROL_PANEL!$B$5)</f>
        <v/>
      </c>
      <c r="AU173" s="18" t="str">
        <f>IF(BD173&lt;&gt;1,"",DATA_INPUT!$C173)</f>
        <v/>
      </c>
      <c r="AV173" s="18" t="str">
        <f t="shared" si="114"/>
        <v/>
      </c>
      <c r="AW173" s="18" t="str">
        <f>IF(BD173&lt;&gt;1,"",DATA_INPUT!$H173)</f>
        <v/>
      </c>
      <c r="AX173" s="18" t="str">
        <f t="shared" si="115"/>
        <v/>
      </c>
      <c r="AY173" s="18" t="str">
        <f>IF(BD173&lt;&gt;1,"",AT173*CONTROL_PANEL!$B$14)</f>
        <v/>
      </c>
      <c r="AZ173" s="18" t="str">
        <f>IF(BD173&lt;&gt;1,"",DATA_INPUT!$M173)</f>
        <v/>
      </c>
      <c r="BA173" s="18" t="str">
        <f t="shared" si="116"/>
        <v/>
      </c>
      <c r="BB173" s="18" t="str">
        <f>IF(BD173&lt;&gt;1,"",IF(BA173-CONTROL_PANEL!$B$11&lt;0,0,BA173-CONTROL_PANEL!$B$11))</f>
        <v/>
      </c>
      <c r="BC173" s="18" t="str">
        <f>IF(BD173&lt;&gt;1,"",IF(AZ173&lt;=0,0,MIN(AZ173,MAX(0,CONTROL_PANEL!$B$13-BA173))))</f>
        <v/>
      </c>
      <c r="BD173" s="18"/>
      <c r="BF173" s="19">
        <f t="shared" si="138"/>
        <v>2029</v>
      </c>
      <c r="BG173" s="19">
        <f t="shared" si="96"/>
        <v>10</v>
      </c>
      <c r="BH173" s="18" t="str">
        <f t="shared" si="117"/>
        <v/>
      </c>
      <c r="BI173" s="18" t="str">
        <f t="shared" si="133"/>
        <v/>
      </c>
      <c r="BJ173" s="18" t="str">
        <f>IF(BW172&lt;&gt;1,"",IF(BT172&gt;0,IF(BT172&gt;CONTROL_PANEL!$B$11,CONTROL_PANEL!$B$11,BT172),0))</f>
        <v/>
      </c>
      <c r="BK173" s="18" t="str">
        <f t="shared" si="128"/>
        <v/>
      </c>
      <c r="BL173" s="18" t="str">
        <f>IF(BW173&lt;&gt;1,"",DATA_INPUT!$I173)</f>
        <v/>
      </c>
      <c r="BM173" s="18" t="str">
        <f>IF(BW173&lt;&gt;1,"",BL173*CONTROL_PANEL!$B$5)</f>
        <v/>
      </c>
      <c r="BN173" s="18" t="str">
        <f>IF(BW173&lt;&gt;1,"",DATA_INPUT!$C173)</f>
        <v/>
      </c>
      <c r="BO173" s="18" t="str">
        <f t="shared" si="118"/>
        <v/>
      </c>
      <c r="BP173" s="18" t="str">
        <f>IF(BW173&lt;&gt;1,"",DATA_INPUT!$H173)</f>
        <v/>
      </c>
      <c r="BQ173" s="18" t="str">
        <f t="shared" si="119"/>
        <v/>
      </c>
      <c r="BR173" s="18" t="str">
        <f>IF(BW173&lt;&gt;1,"",BM173*CONTROL_PANEL!$B$14)</f>
        <v/>
      </c>
      <c r="BS173" s="18" t="str">
        <f>IF(BW173&lt;&gt;1,"",DATA_INPUT!$N173)</f>
        <v/>
      </c>
      <c r="BT173" s="18" t="str">
        <f t="shared" si="120"/>
        <v/>
      </c>
      <c r="BU173" s="18" t="str">
        <f>IF(BW173&lt;&gt;1,"",IF(BT173-CONTROL_PANEL!$B$11&lt;0,0,BT173-CONTROL_PANEL!$B$11))</f>
        <v/>
      </c>
      <c r="BV173" s="18" t="str">
        <f>IF(BW173&lt;&gt;1,"",IF(BS173&lt;=0,0,MIN(BS173,MAX(0,CONTROL_PANEL!$B$13-BT173))))</f>
        <v/>
      </c>
      <c r="BW173" s="18"/>
      <c r="BY173" s="19">
        <f t="shared" si="139"/>
        <v>2029</v>
      </c>
      <c r="BZ173" s="19">
        <f t="shared" si="98"/>
        <v>10</v>
      </c>
      <c r="CA173" s="18" t="str">
        <f t="shared" si="121"/>
        <v/>
      </c>
      <c r="CB173" s="18" t="str">
        <f t="shared" si="134"/>
        <v/>
      </c>
      <c r="CC173" s="18" t="str">
        <f>IF(CP172&lt;&gt;1,"",IF(CM172&gt;0,IF(CM172&gt;CONTROL_PANEL!$B$11,CONTROL_PANEL!$B$11,CM172),0))</f>
        <v/>
      </c>
      <c r="CD173" s="18" t="str">
        <f t="shared" si="129"/>
        <v/>
      </c>
      <c r="CE173" s="18" t="str">
        <f>IF(CP173&lt;&gt;1,"",DATA_INPUT!$I173)</f>
        <v/>
      </c>
      <c r="CF173" s="18" t="str">
        <f>IF(CP173&lt;&gt;1,"",CE173*CONTROL_PANEL!$B$5)</f>
        <v/>
      </c>
      <c r="CG173" s="18" t="str">
        <f>IF(CP173&lt;&gt;1,"",DATA_INPUT!$C173)</f>
        <v/>
      </c>
      <c r="CH173" s="18" t="str">
        <f t="shared" si="122"/>
        <v/>
      </c>
      <c r="CI173" s="18" t="str">
        <f>IF(CP173&lt;&gt;1,"",DATA_INPUT!$H173)</f>
        <v/>
      </c>
      <c r="CJ173" s="18" t="str">
        <f t="shared" si="123"/>
        <v/>
      </c>
      <c r="CK173" s="18" t="str">
        <f>IF(CP173&lt;&gt;1,"",CF173*CONTROL_PANEL!$B$14)</f>
        <v/>
      </c>
      <c r="CL173" s="18" t="str">
        <f>IF(CP173&lt;&gt;1,"",DATA_INPUT!$O173)</f>
        <v/>
      </c>
      <c r="CM173" s="18" t="str">
        <f t="shared" si="124"/>
        <v/>
      </c>
      <c r="CN173" s="18" t="str">
        <f>IF(CP173&lt;&gt;1,"",IF(CM173-CONTROL_PANEL!$B$11&lt;0,0,CM173-CONTROL_PANEL!$B$11))</f>
        <v/>
      </c>
      <c r="CO173" s="18" t="str">
        <f>IF(CP173&lt;&gt;1,"",IF(CL173&lt;=0,0,MIN(CL173,MAX(0,CONTROL_PANEL!$B$13-CM173))))</f>
        <v/>
      </c>
      <c r="CP173" s="18"/>
    </row>
    <row r="174" spans="1:94" x14ac:dyDescent="0.25">
      <c r="A174" s="19">
        <f t="shared" si="135"/>
        <v>2029</v>
      </c>
      <c r="B174" s="19">
        <f t="shared" si="90"/>
        <v>11</v>
      </c>
      <c r="C174" s="18" t="str">
        <f t="shared" si="105"/>
        <v/>
      </c>
      <c r="D174" s="18" t="str">
        <f t="shared" si="130"/>
        <v/>
      </c>
      <c r="E174" s="18" t="str">
        <f>IF(R173&lt;&gt;1,"",IF(O173&gt;0,IF(O173&gt;CONTROL_PANEL!$B$11,CONTROL_PANEL!$B$11,O173),0))</f>
        <v/>
      </c>
      <c r="F174" s="18" t="str">
        <f t="shared" si="125"/>
        <v/>
      </c>
      <c r="G174" s="18" t="str">
        <f>IF(R174&lt;&gt;1,"",DATA_INPUT!I174)</f>
        <v/>
      </c>
      <c r="H174" s="18" t="str">
        <f>IF(R174&lt;&gt;1,"",G174*CONTROL_PANEL!$B$5)</f>
        <v/>
      </c>
      <c r="I174" s="18" t="str">
        <f>IF(R174&lt;&gt;1,"",DATA_INPUT!C174)</f>
        <v/>
      </c>
      <c r="J174" s="18" t="str">
        <f t="shared" si="106"/>
        <v/>
      </c>
      <c r="K174" s="18" t="str">
        <f>IF(R174&lt;&gt;1,"",DATA_INPUT!H174)</f>
        <v/>
      </c>
      <c r="L174" s="18" t="str">
        <f t="shared" si="107"/>
        <v/>
      </c>
      <c r="M174" s="18" t="str">
        <f>IF(R174&lt;&gt;1,"",H174*CONTROL_PANEL!$B$14)</f>
        <v/>
      </c>
      <c r="N174" s="18" t="str">
        <f>IF(R174&lt;&gt;1,"",DATA_INPUT!K174)</f>
        <v/>
      </c>
      <c r="O174" s="18" t="str">
        <f t="shared" si="108"/>
        <v/>
      </c>
      <c r="P174" s="18" t="str">
        <f>IF(R174&lt;&gt;1,"",IF(O174-CONTROL_PANEL!$B$11&lt;0,0,O174-CONTROL_PANEL!$B$11))</f>
        <v/>
      </c>
      <c r="Q174" s="18" t="str">
        <f>IF(R174&lt;&gt;1,"",IF(N174&lt;=0,0,MIN(N174,MAX(0,CONTROL_PANEL!$B$13-O174))))</f>
        <v/>
      </c>
      <c r="R174" s="18"/>
      <c r="T174" s="19">
        <f t="shared" si="136"/>
        <v>2029</v>
      </c>
      <c r="U174" s="19">
        <f t="shared" si="92"/>
        <v>11</v>
      </c>
      <c r="V174" s="18" t="str">
        <f t="shared" si="109"/>
        <v/>
      </c>
      <c r="W174" s="18" t="str">
        <f t="shared" si="131"/>
        <v/>
      </c>
      <c r="X174" s="18" t="str">
        <f>IF(AK173&lt;&gt;1,"",IF(AH173&gt;0,IF(AH173&gt;CONTROL_PANEL!$B$11,CONTROL_PANEL!$B$11,AH173),0))</f>
        <v/>
      </c>
      <c r="Y174" s="18" t="str">
        <f t="shared" si="126"/>
        <v/>
      </c>
      <c r="Z174" s="18" t="str">
        <f>IF(AK174&lt;&gt;1,"",DATA_INPUT!I174)</f>
        <v/>
      </c>
      <c r="AA174" s="18" t="str">
        <f>IF(AK174&lt;&gt;1,"",Z174*CONTROL_PANEL!$B$5)</f>
        <v/>
      </c>
      <c r="AB174" s="18" t="str">
        <f>IF(AK174&lt;&gt;1,"",DATA_INPUT!$C174)</f>
        <v/>
      </c>
      <c r="AC174" s="18" t="str">
        <f t="shared" si="110"/>
        <v/>
      </c>
      <c r="AD174" s="18" t="str">
        <f>IF(AK174&lt;&gt;1,"",DATA_INPUT!$H174)</f>
        <v/>
      </c>
      <c r="AE174" s="18" t="str">
        <f t="shared" si="111"/>
        <v/>
      </c>
      <c r="AF174" s="18" t="str">
        <f>IF(AK174&lt;&gt;1,"",AA174*CONTROL_PANEL!$B$14)</f>
        <v/>
      </c>
      <c r="AG174" s="18" t="str">
        <f>IF(AK174&lt;&gt;1,"",DATA_INPUT!$L174)</f>
        <v/>
      </c>
      <c r="AH174" s="18" t="str">
        <f t="shared" si="112"/>
        <v/>
      </c>
      <c r="AI174" s="18" t="str">
        <f>IF(AK174&lt;&gt;1,"",IF(AH174-CONTROL_PANEL!$B$11&lt;0,0,AH174-CONTROL_PANEL!$B$11))</f>
        <v/>
      </c>
      <c r="AJ174" s="18" t="str">
        <f>IF(AK174&lt;&gt;1,"",IF(AG174&lt;=0,0,MIN(AG174,MAX(0,CONTROL_PANEL!$B$13-AH174))))</f>
        <v/>
      </c>
      <c r="AK174" s="18"/>
      <c r="AM174" s="19">
        <f t="shared" si="137"/>
        <v>2029</v>
      </c>
      <c r="AN174" s="19">
        <f t="shared" si="94"/>
        <v>11</v>
      </c>
      <c r="AO174" s="18" t="str">
        <f t="shared" si="113"/>
        <v/>
      </c>
      <c r="AP174" s="18" t="str">
        <f t="shared" si="132"/>
        <v/>
      </c>
      <c r="AQ174" s="18" t="str">
        <f>IF(BD173&lt;&gt;1,"",IF(BA173&gt;0,IF(BA173&gt;CONTROL_PANEL!$B$11,CONTROL_PANEL!$B$11,BA173),0))</f>
        <v/>
      </c>
      <c r="AR174" s="18" t="str">
        <f t="shared" si="127"/>
        <v/>
      </c>
      <c r="AS174" s="18" t="str">
        <f>IF(BD174&lt;&gt;1,"",DATA_INPUT!$I174)</f>
        <v/>
      </c>
      <c r="AT174" s="18" t="str">
        <f>IF(BD174&lt;&gt;1,"",AS174*CONTROL_PANEL!$B$5)</f>
        <v/>
      </c>
      <c r="AU174" s="18" t="str">
        <f>IF(BD174&lt;&gt;1,"",DATA_INPUT!$C174)</f>
        <v/>
      </c>
      <c r="AV174" s="18" t="str">
        <f t="shared" si="114"/>
        <v/>
      </c>
      <c r="AW174" s="18" t="str">
        <f>IF(BD174&lt;&gt;1,"",DATA_INPUT!$H174)</f>
        <v/>
      </c>
      <c r="AX174" s="18" t="str">
        <f t="shared" si="115"/>
        <v/>
      </c>
      <c r="AY174" s="18" t="str">
        <f>IF(BD174&lt;&gt;1,"",AT174*CONTROL_PANEL!$B$14)</f>
        <v/>
      </c>
      <c r="AZ174" s="18" t="str">
        <f>IF(BD174&lt;&gt;1,"",DATA_INPUT!$M174)</f>
        <v/>
      </c>
      <c r="BA174" s="18" t="str">
        <f t="shared" si="116"/>
        <v/>
      </c>
      <c r="BB174" s="18" t="str">
        <f>IF(BD174&lt;&gt;1,"",IF(BA174-CONTROL_PANEL!$B$11&lt;0,0,BA174-CONTROL_PANEL!$B$11))</f>
        <v/>
      </c>
      <c r="BC174" s="18" t="str">
        <f>IF(BD174&lt;&gt;1,"",IF(AZ174&lt;=0,0,MIN(AZ174,MAX(0,CONTROL_PANEL!$B$13-BA174))))</f>
        <v/>
      </c>
      <c r="BD174" s="18"/>
      <c r="BF174" s="19">
        <f t="shared" si="138"/>
        <v>2029</v>
      </c>
      <c r="BG174" s="19">
        <f t="shared" si="96"/>
        <v>11</v>
      </c>
      <c r="BH174" s="18" t="str">
        <f t="shared" si="117"/>
        <v/>
      </c>
      <c r="BI174" s="18" t="str">
        <f t="shared" si="133"/>
        <v/>
      </c>
      <c r="BJ174" s="18" t="str">
        <f>IF(BW173&lt;&gt;1,"",IF(BT173&gt;0,IF(BT173&gt;CONTROL_PANEL!$B$11,CONTROL_PANEL!$B$11,BT173),0))</f>
        <v/>
      </c>
      <c r="BK174" s="18" t="str">
        <f t="shared" si="128"/>
        <v/>
      </c>
      <c r="BL174" s="18" t="str">
        <f>IF(BW174&lt;&gt;1,"",DATA_INPUT!$I174)</f>
        <v/>
      </c>
      <c r="BM174" s="18" t="str">
        <f>IF(BW174&lt;&gt;1,"",BL174*CONTROL_PANEL!$B$5)</f>
        <v/>
      </c>
      <c r="BN174" s="18" t="str">
        <f>IF(BW174&lt;&gt;1,"",DATA_INPUT!$C174)</f>
        <v/>
      </c>
      <c r="BO174" s="18" t="str">
        <f t="shared" si="118"/>
        <v/>
      </c>
      <c r="BP174" s="18" t="str">
        <f>IF(BW174&lt;&gt;1,"",DATA_INPUT!$H174)</f>
        <v/>
      </c>
      <c r="BQ174" s="18" t="str">
        <f t="shared" si="119"/>
        <v/>
      </c>
      <c r="BR174" s="18" t="str">
        <f>IF(BW174&lt;&gt;1,"",BM174*CONTROL_PANEL!$B$14)</f>
        <v/>
      </c>
      <c r="BS174" s="18" t="str">
        <f>IF(BW174&lt;&gt;1,"",DATA_INPUT!$N174)</f>
        <v/>
      </c>
      <c r="BT174" s="18" t="str">
        <f t="shared" si="120"/>
        <v/>
      </c>
      <c r="BU174" s="18" t="str">
        <f>IF(BW174&lt;&gt;1,"",IF(BT174-CONTROL_PANEL!$B$11&lt;0,0,BT174-CONTROL_PANEL!$B$11))</f>
        <v/>
      </c>
      <c r="BV174" s="18" t="str">
        <f>IF(BW174&lt;&gt;1,"",IF(BS174&lt;=0,0,MIN(BS174,MAX(0,CONTROL_PANEL!$B$13-BT174))))</f>
        <v/>
      </c>
      <c r="BW174" s="18"/>
      <c r="BY174" s="19">
        <f t="shared" si="139"/>
        <v>2029</v>
      </c>
      <c r="BZ174" s="19">
        <f t="shared" si="98"/>
        <v>11</v>
      </c>
      <c r="CA174" s="18" t="str">
        <f t="shared" si="121"/>
        <v/>
      </c>
      <c r="CB174" s="18" t="str">
        <f t="shared" si="134"/>
        <v/>
      </c>
      <c r="CC174" s="18" t="str">
        <f>IF(CP173&lt;&gt;1,"",IF(CM173&gt;0,IF(CM173&gt;CONTROL_PANEL!$B$11,CONTROL_PANEL!$B$11,CM173),0))</f>
        <v/>
      </c>
      <c r="CD174" s="18" t="str">
        <f t="shared" si="129"/>
        <v/>
      </c>
      <c r="CE174" s="18" t="str">
        <f>IF(CP174&lt;&gt;1,"",DATA_INPUT!$I174)</f>
        <v/>
      </c>
      <c r="CF174" s="18" t="str">
        <f>IF(CP174&lt;&gt;1,"",CE174*CONTROL_PANEL!$B$5)</f>
        <v/>
      </c>
      <c r="CG174" s="18" t="str">
        <f>IF(CP174&lt;&gt;1,"",DATA_INPUT!$C174)</f>
        <v/>
      </c>
      <c r="CH174" s="18" t="str">
        <f t="shared" si="122"/>
        <v/>
      </c>
      <c r="CI174" s="18" t="str">
        <f>IF(CP174&lt;&gt;1,"",DATA_INPUT!$H174)</f>
        <v/>
      </c>
      <c r="CJ174" s="18" t="str">
        <f t="shared" si="123"/>
        <v/>
      </c>
      <c r="CK174" s="18" t="str">
        <f>IF(CP174&lt;&gt;1,"",CF174*CONTROL_PANEL!$B$14)</f>
        <v/>
      </c>
      <c r="CL174" s="18" t="str">
        <f>IF(CP174&lt;&gt;1,"",DATA_INPUT!$O174)</f>
        <v/>
      </c>
      <c r="CM174" s="18" t="str">
        <f t="shared" si="124"/>
        <v/>
      </c>
      <c r="CN174" s="18" t="str">
        <f>IF(CP174&lt;&gt;1,"",IF(CM174-CONTROL_PANEL!$B$11&lt;0,0,CM174-CONTROL_PANEL!$B$11))</f>
        <v/>
      </c>
      <c r="CO174" s="18" t="str">
        <f>IF(CP174&lt;&gt;1,"",IF(CL174&lt;=0,0,MIN(CL174,MAX(0,CONTROL_PANEL!$B$13-CM174))))</f>
        <v/>
      </c>
      <c r="CP174" s="18"/>
    </row>
    <row r="175" spans="1:94" x14ac:dyDescent="0.25">
      <c r="A175" s="19">
        <f t="shared" si="135"/>
        <v>2029</v>
      </c>
      <c r="B175" s="19">
        <f t="shared" si="90"/>
        <v>12</v>
      </c>
      <c r="C175" s="18" t="str">
        <f t="shared" si="105"/>
        <v/>
      </c>
      <c r="D175" s="18" t="str">
        <f t="shared" si="130"/>
        <v/>
      </c>
      <c r="E175" s="18" t="str">
        <f>IF(R174&lt;&gt;1,"",IF(O174&gt;0,IF(O174&gt;CONTROL_PANEL!$B$11,CONTROL_PANEL!$B$11,O174),0))</f>
        <v/>
      </c>
      <c r="F175" s="18" t="str">
        <f t="shared" si="125"/>
        <v/>
      </c>
      <c r="G175" s="18" t="str">
        <f>IF(R175&lt;&gt;1,"",DATA_INPUT!I175)</f>
        <v/>
      </c>
      <c r="H175" s="18" t="str">
        <f>IF(R175&lt;&gt;1,"",G175*CONTROL_PANEL!$B$5)</f>
        <v/>
      </c>
      <c r="I175" s="18" t="str">
        <f>IF(R175&lt;&gt;1,"",DATA_INPUT!C175)</f>
        <v/>
      </c>
      <c r="J175" s="18" t="str">
        <f t="shared" si="106"/>
        <v/>
      </c>
      <c r="K175" s="18" t="str">
        <f>IF(R175&lt;&gt;1,"",DATA_INPUT!H175)</f>
        <v/>
      </c>
      <c r="L175" s="18" t="str">
        <f t="shared" si="107"/>
        <v/>
      </c>
      <c r="M175" s="18" t="str">
        <f>IF(R175&lt;&gt;1,"",H175*CONTROL_PANEL!$B$14)</f>
        <v/>
      </c>
      <c r="N175" s="18" t="str">
        <f>IF(R175&lt;&gt;1,"",DATA_INPUT!K175)</f>
        <v/>
      </c>
      <c r="O175" s="18" t="str">
        <f t="shared" si="108"/>
        <v/>
      </c>
      <c r="P175" s="18" t="str">
        <f>IF(R175&lt;&gt;1,"",IF(O175-CONTROL_PANEL!$B$11&lt;0,0,O175-CONTROL_PANEL!$B$11))</f>
        <v/>
      </c>
      <c r="Q175" s="18" t="str">
        <f>IF(R175&lt;&gt;1,"",IF(N175&lt;=0,0,MIN(N175,MAX(0,CONTROL_PANEL!$B$13-O175))))</f>
        <v/>
      </c>
      <c r="R175" s="18"/>
      <c r="T175" s="19">
        <f t="shared" si="136"/>
        <v>2029</v>
      </c>
      <c r="U175" s="19">
        <f t="shared" si="92"/>
        <v>12</v>
      </c>
      <c r="V175" s="18" t="str">
        <f t="shared" si="109"/>
        <v/>
      </c>
      <c r="W175" s="18" t="str">
        <f t="shared" si="131"/>
        <v/>
      </c>
      <c r="X175" s="18" t="str">
        <f>IF(AK174&lt;&gt;1,"",IF(AH174&gt;0,IF(AH174&gt;CONTROL_PANEL!$B$11,CONTROL_PANEL!$B$11,AH174),0))</f>
        <v/>
      </c>
      <c r="Y175" s="18" t="str">
        <f t="shared" si="126"/>
        <v/>
      </c>
      <c r="Z175" s="18" t="str">
        <f>IF(AK175&lt;&gt;1,"",DATA_INPUT!I175)</f>
        <v/>
      </c>
      <c r="AA175" s="18" t="str">
        <f>IF(AK175&lt;&gt;1,"",Z175*CONTROL_PANEL!$B$5)</f>
        <v/>
      </c>
      <c r="AB175" s="18" t="str">
        <f>IF(AK175&lt;&gt;1,"",DATA_INPUT!$C175)</f>
        <v/>
      </c>
      <c r="AC175" s="18" t="str">
        <f t="shared" si="110"/>
        <v/>
      </c>
      <c r="AD175" s="18" t="str">
        <f>IF(AK175&lt;&gt;1,"",DATA_INPUT!$H175)</f>
        <v/>
      </c>
      <c r="AE175" s="18" t="str">
        <f t="shared" si="111"/>
        <v/>
      </c>
      <c r="AF175" s="18" t="str">
        <f>IF(AK175&lt;&gt;1,"",AA175*CONTROL_PANEL!$B$14)</f>
        <v/>
      </c>
      <c r="AG175" s="18" t="str">
        <f>IF(AK175&lt;&gt;1,"",DATA_INPUT!$L175)</f>
        <v/>
      </c>
      <c r="AH175" s="18" t="str">
        <f t="shared" si="112"/>
        <v/>
      </c>
      <c r="AI175" s="18" t="str">
        <f>IF(AK175&lt;&gt;1,"",IF(AH175-CONTROL_PANEL!$B$11&lt;0,0,AH175-CONTROL_PANEL!$B$11))</f>
        <v/>
      </c>
      <c r="AJ175" s="18" t="str">
        <f>IF(AK175&lt;&gt;1,"",IF(AG175&lt;=0,0,MIN(AG175,MAX(0,CONTROL_PANEL!$B$13-AH175))))</f>
        <v/>
      </c>
      <c r="AK175" s="18"/>
      <c r="AM175" s="19">
        <f t="shared" si="137"/>
        <v>2029</v>
      </c>
      <c r="AN175" s="19">
        <f t="shared" si="94"/>
        <v>12</v>
      </c>
      <c r="AO175" s="18" t="str">
        <f t="shared" si="113"/>
        <v/>
      </c>
      <c r="AP175" s="18" t="str">
        <f t="shared" si="132"/>
        <v/>
      </c>
      <c r="AQ175" s="18" t="str">
        <f>IF(BD174&lt;&gt;1,"",IF(BA174&gt;0,IF(BA174&gt;CONTROL_PANEL!$B$11,CONTROL_PANEL!$B$11,BA174),0))</f>
        <v/>
      </c>
      <c r="AR175" s="18" t="str">
        <f t="shared" si="127"/>
        <v/>
      </c>
      <c r="AS175" s="18" t="str">
        <f>IF(BD175&lt;&gt;1,"",DATA_INPUT!$I175)</f>
        <v/>
      </c>
      <c r="AT175" s="18" t="str">
        <f>IF(BD175&lt;&gt;1,"",AS175*CONTROL_PANEL!$B$5)</f>
        <v/>
      </c>
      <c r="AU175" s="18" t="str">
        <f>IF(BD175&lt;&gt;1,"",DATA_INPUT!$C175)</f>
        <v/>
      </c>
      <c r="AV175" s="18" t="str">
        <f t="shared" si="114"/>
        <v/>
      </c>
      <c r="AW175" s="18" t="str">
        <f>IF(BD175&lt;&gt;1,"",DATA_INPUT!$H175)</f>
        <v/>
      </c>
      <c r="AX175" s="18" t="str">
        <f t="shared" si="115"/>
        <v/>
      </c>
      <c r="AY175" s="18" t="str">
        <f>IF(BD175&lt;&gt;1,"",AT175*CONTROL_PANEL!$B$14)</f>
        <v/>
      </c>
      <c r="AZ175" s="18" t="str">
        <f>IF(BD175&lt;&gt;1,"",DATA_INPUT!$M175)</f>
        <v/>
      </c>
      <c r="BA175" s="18" t="str">
        <f t="shared" si="116"/>
        <v/>
      </c>
      <c r="BB175" s="18" t="str">
        <f>IF(BD175&lt;&gt;1,"",IF(BA175-CONTROL_PANEL!$B$11&lt;0,0,BA175-CONTROL_PANEL!$B$11))</f>
        <v/>
      </c>
      <c r="BC175" s="18" t="str">
        <f>IF(BD175&lt;&gt;1,"",IF(AZ175&lt;=0,0,MIN(AZ175,MAX(0,CONTROL_PANEL!$B$13-BA175))))</f>
        <v/>
      </c>
      <c r="BD175" s="18"/>
      <c r="BF175" s="19">
        <f t="shared" si="138"/>
        <v>2029</v>
      </c>
      <c r="BG175" s="19">
        <f t="shared" si="96"/>
        <v>12</v>
      </c>
      <c r="BH175" s="18" t="str">
        <f t="shared" si="117"/>
        <v/>
      </c>
      <c r="BI175" s="18" t="str">
        <f t="shared" si="133"/>
        <v/>
      </c>
      <c r="BJ175" s="18" t="str">
        <f>IF(BW174&lt;&gt;1,"",IF(BT174&gt;0,IF(BT174&gt;CONTROL_PANEL!$B$11,CONTROL_PANEL!$B$11,BT174),0))</f>
        <v/>
      </c>
      <c r="BK175" s="18" t="str">
        <f t="shared" si="128"/>
        <v/>
      </c>
      <c r="BL175" s="18" t="str">
        <f>IF(BW175&lt;&gt;1,"",DATA_INPUT!$I175)</f>
        <v/>
      </c>
      <c r="BM175" s="18" t="str">
        <f>IF(BW175&lt;&gt;1,"",BL175*CONTROL_PANEL!$B$5)</f>
        <v/>
      </c>
      <c r="BN175" s="18" t="str">
        <f>IF(BW175&lt;&gt;1,"",DATA_INPUT!$C175)</f>
        <v/>
      </c>
      <c r="BO175" s="18" t="str">
        <f t="shared" si="118"/>
        <v/>
      </c>
      <c r="BP175" s="18" t="str">
        <f>IF(BW175&lt;&gt;1,"",DATA_INPUT!$H175)</f>
        <v/>
      </c>
      <c r="BQ175" s="18" t="str">
        <f t="shared" si="119"/>
        <v/>
      </c>
      <c r="BR175" s="18" t="str">
        <f>IF(BW175&lt;&gt;1,"",BM175*CONTROL_PANEL!$B$14)</f>
        <v/>
      </c>
      <c r="BS175" s="18" t="str">
        <f>IF(BW175&lt;&gt;1,"",DATA_INPUT!$N175)</f>
        <v/>
      </c>
      <c r="BT175" s="18" t="str">
        <f t="shared" si="120"/>
        <v/>
      </c>
      <c r="BU175" s="18" t="str">
        <f>IF(BW175&lt;&gt;1,"",IF(BT175-CONTROL_PANEL!$B$11&lt;0,0,BT175-CONTROL_PANEL!$B$11))</f>
        <v/>
      </c>
      <c r="BV175" s="18" t="str">
        <f>IF(BW175&lt;&gt;1,"",IF(BS175&lt;=0,0,MIN(BS175,MAX(0,CONTROL_PANEL!$B$13-BT175))))</f>
        <v/>
      </c>
      <c r="BW175" s="18"/>
      <c r="BY175" s="19">
        <f t="shared" si="139"/>
        <v>2029</v>
      </c>
      <c r="BZ175" s="19">
        <f t="shared" si="98"/>
        <v>12</v>
      </c>
      <c r="CA175" s="18" t="str">
        <f t="shared" si="121"/>
        <v/>
      </c>
      <c r="CB175" s="18" t="str">
        <f t="shared" si="134"/>
        <v/>
      </c>
      <c r="CC175" s="18" t="str">
        <f>IF(CP174&lt;&gt;1,"",IF(CM174&gt;0,IF(CM174&gt;CONTROL_PANEL!$B$11,CONTROL_PANEL!$B$11,CM174),0))</f>
        <v/>
      </c>
      <c r="CD175" s="18" t="str">
        <f t="shared" si="129"/>
        <v/>
      </c>
      <c r="CE175" s="18" t="str">
        <f>IF(CP175&lt;&gt;1,"",DATA_INPUT!$I175)</f>
        <v/>
      </c>
      <c r="CF175" s="18" t="str">
        <f>IF(CP175&lt;&gt;1,"",CE175*CONTROL_PANEL!$B$5)</f>
        <v/>
      </c>
      <c r="CG175" s="18" t="str">
        <f>IF(CP175&lt;&gt;1,"",DATA_INPUT!$C175)</f>
        <v/>
      </c>
      <c r="CH175" s="18" t="str">
        <f t="shared" si="122"/>
        <v/>
      </c>
      <c r="CI175" s="18" t="str">
        <f>IF(CP175&lt;&gt;1,"",DATA_INPUT!$H175)</f>
        <v/>
      </c>
      <c r="CJ175" s="18" t="str">
        <f t="shared" si="123"/>
        <v/>
      </c>
      <c r="CK175" s="18" t="str">
        <f>IF(CP175&lt;&gt;1,"",CF175*CONTROL_PANEL!$B$14)</f>
        <v/>
      </c>
      <c r="CL175" s="18" t="str">
        <f>IF(CP175&lt;&gt;1,"",DATA_INPUT!$O175)</f>
        <v/>
      </c>
      <c r="CM175" s="18" t="str">
        <f t="shared" si="124"/>
        <v/>
      </c>
      <c r="CN175" s="18" t="str">
        <f>IF(CP175&lt;&gt;1,"",IF(CM175-CONTROL_PANEL!$B$11&lt;0,0,CM175-CONTROL_PANEL!$B$11))</f>
        <v/>
      </c>
      <c r="CO175" s="18" t="str">
        <f>IF(CP175&lt;&gt;1,"",IF(CL175&lt;=0,0,MIN(CL175,MAX(0,CONTROL_PANEL!$B$13-CM175))))</f>
        <v/>
      </c>
      <c r="CP175" s="18"/>
    </row>
    <row r="176" spans="1:94" x14ac:dyDescent="0.25">
      <c r="A176" s="19">
        <f t="shared" si="135"/>
        <v>2030</v>
      </c>
      <c r="B176" s="19">
        <f t="shared" si="90"/>
        <v>1</v>
      </c>
      <c r="C176" s="18" t="str">
        <f t="shared" si="105"/>
        <v/>
      </c>
      <c r="D176" s="18" t="str">
        <f t="shared" si="130"/>
        <v/>
      </c>
      <c r="E176" s="18" t="str">
        <f>IF(R175&lt;&gt;1,"",IF(O175&gt;0,IF(O175&gt;CONTROL_PANEL!$B$11,CONTROL_PANEL!$B$11,O175),0))</f>
        <v/>
      </c>
      <c r="F176" s="18" t="str">
        <f t="shared" si="125"/>
        <v/>
      </c>
      <c r="G176" s="18" t="str">
        <f>IF(R176&lt;&gt;1,"",DATA_INPUT!I176)</f>
        <v/>
      </c>
      <c r="H176" s="18" t="str">
        <f>IF(R176&lt;&gt;1,"",G176*CONTROL_PANEL!$B$5)</f>
        <v/>
      </c>
      <c r="I176" s="18" t="str">
        <f>IF(R176&lt;&gt;1,"",DATA_INPUT!C176)</f>
        <v/>
      </c>
      <c r="J176" s="18" t="str">
        <f t="shared" si="106"/>
        <v/>
      </c>
      <c r="K176" s="18" t="str">
        <f>IF(R176&lt;&gt;1,"",DATA_INPUT!H176)</f>
        <v/>
      </c>
      <c r="L176" s="18" t="str">
        <f t="shared" si="107"/>
        <v/>
      </c>
      <c r="M176" s="18" t="str">
        <f>IF(R176&lt;&gt;1,"",H176*CONTROL_PANEL!$B$14)</f>
        <v/>
      </c>
      <c r="N176" s="18" t="str">
        <f>IF(R176&lt;&gt;1,"",DATA_INPUT!K176)</f>
        <v/>
      </c>
      <c r="O176" s="18" t="str">
        <f t="shared" si="108"/>
        <v/>
      </c>
      <c r="P176" s="18" t="str">
        <f>IF(R176&lt;&gt;1,"",IF(O176-CONTROL_PANEL!$B$11&lt;0,0,O176-CONTROL_PANEL!$B$11))</f>
        <v/>
      </c>
      <c r="Q176" s="18" t="str">
        <f>IF(R176&lt;&gt;1,"",IF(N176&lt;=0,0,MIN(N176,MAX(0,CONTROL_PANEL!$B$13-O176))))</f>
        <v/>
      </c>
      <c r="R176" s="18"/>
      <c r="T176" s="19">
        <f t="shared" si="136"/>
        <v>2030</v>
      </c>
      <c r="U176" s="19">
        <f t="shared" si="92"/>
        <v>1</v>
      </c>
      <c r="V176" s="18" t="str">
        <f t="shared" si="109"/>
        <v/>
      </c>
      <c r="W176" s="18" t="str">
        <f t="shared" si="131"/>
        <v/>
      </c>
      <c r="X176" s="18" t="str">
        <f>IF(AK175&lt;&gt;1,"",IF(AH175&gt;0,IF(AH175&gt;CONTROL_PANEL!$B$11,CONTROL_PANEL!$B$11,AH175),0))</f>
        <v/>
      </c>
      <c r="Y176" s="18" t="str">
        <f t="shared" si="126"/>
        <v/>
      </c>
      <c r="Z176" s="18" t="str">
        <f>IF(AK176&lt;&gt;1,"",DATA_INPUT!I176)</f>
        <v/>
      </c>
      <c r="AA176" s="18" t="str">
        <f>IF(AK176&lt;&gt;1,"",Z176*CONTROL_PANEL!$B$5)</f>
        <v/>
      </c>
      <c r="AB176" s="18" t="str">
        <f>IF(AK176&lt;&gt;1,"",DATA_INPUT!$C176)</f>
        <v/>
      </c>
      <c r="AC176" s="18" t="str">
        <f t="shared" si="110"/>
        <v/>
      </c>
      <c r="AD176" s="18" t="str">
        <f>IF(AK176&lt;&gt;1,"",DATA_INPUT!$H176)</f>
        <v/>
      </c>
      <c r="AE176" s="18" t="str">
        <f t="shared" si="111"/>
        <v/>
      </c>
      <c r="AF176" s="18" t="str">
        <f>IF(AK176&lt;&gt;1,"",AA176*CONTROL_PANEL!$B$14)</f>
        <v/>
      </c>
      <c r="AG176" s="18" t="str">
        <f>IF(AK176&lt;&gt;1,"",DATA_INPUT!$L176)</f>
        <v/>
      </c>
      <c r="AH176" s="18" t="str">
        <f t="shared" si="112"/>
        <v/>
      </c>
      <c r="AI176" s="18" t="str">
        <f>IF(AK176&lt;&gt;1,"",IF(AH176-CONTROL_PANEL!$B$11&lt;0,0,AH176-CONTROL_PANEL!$B$11))</f>
        <v/>
      </c>
      <c r="AJ176" s="18" t="str">
        <f>IF(AK176&lt;&gt;1,"",IF(AG176&lt;=0,0,MIN(AG176,MAX(0,CONTROL_PANEL!$B$13-AH176))))</f>
        <v/>
      </c>
      <c r="AK176" s="18"/>
      <c r="AM176" s="19">
        <f t="shared" si="137"/>
        <v>2030</v>
      </c>
      <c r="AN176" s="19">
        <f t="shared" si="94"/>
        <v>1</v>
      </c>
      <c r="AO176" s="18" t="str">
        <f t="shared" si="113"/>
        <v/>
      </c>
      <c r="AP176" s="18" t="str">
        <f t="shared" si="132"/>
        <v/>
      </c>
      <c r="AQ176" s="18" t="str">
        <f>IF(BD175&lt;&gt;1,"",IF(BA175&gt;0,IF(BA175&gt;CONTROL_PANEL!$B$11,CONTROL_PANEL!$B$11,BA175),0))</f>
        <v/>
      </c>
      <c r="AR176" s="18" t="str">
        <f t="shared" si="127"/>
        <v/>
      </c>
      <c r="AS176" s="18" t="str">
        <f>IF(BD176&lt;&gt;1,"",DATA_INPUT!$I176)</f>
        <v/>
      </c>
      <c r="AT176" s="18" t="str">
        <f>IF(BD176&lt;&gt;1,"",AS176*CONTROL_PANEL!$B$5)</f>
        <v/>
      </c>
      <c r="AU176" s="18" t="str">
        <f>IF(BD176&lt;&gt;1,"",DATA_INPUT!$C176)</f>
        <v/>
      </c>
      <c r="AV176" s="18" t="str">
        <f t="shared" si="114"/>
        <v/>
      </c>
      <c r="AW176" s="18" t="str">
        <f>IF(BD176&lt;&gt;1,"",DATA_INPUT!$H176)</f>
        <v/>
      </c>
      <c r="AX176" s="18" t="str">
        <f t="shared" si="115"/>
        <v/>
      </c>
      <c r="AY176" s="18" t="str">
        <f>IF(BD176&lt;&gt;1,"",AT176*CONTROL_PANEL!$B$14)</f>
        <v/>
      </c>
      <c r="AZ176" s="18" t="str">
        <f>IF(BD176&lt;&gt;1,"",DATA_INPUT!$M176)</f>
        <v/>
      </c>
      <c r="BA176" s="18" t="str">
        <f t="shared" si="116"/>
        <v/>
      </c>
      <c r="BB176" s="18" t="str">
        <f>IF(BD176&lt;&gt;1,"",IF(BA176-CONTROL_PANEL!$B$11&lt;0,0,BA176-CONTROL_PANEL!$B$11))</f>
        <v/>
      </c>
      <c r="BC176" s="18" t="str">
        <f>IF(BD176&lt;&gt;1,"",IF(AZ176&lt;=0,0,MIN(AZ176,MAX(0,CONTROL_PANEL!$B$13-BA176))))</f>
        <v/>
      </c>
      <c r="BD176" s="18"/>
      <c r="BF176" s="19">
        <f t="shared" si="138"/>
        <v>2030</v>
      </c>
      <c r="BG176" s="19">
        <f t="shared" si="96"/>
        <v>1</v>
      </c>
      <c r="BH176" s="18" t="str">
        <f t="shared" si="117"/>
        <v/>
      </c>
      <c r="BI176" s="18" t="str">
        <f t="shared" si="133"/>
        <v/>
      </c>
      <c r="BJ176" s="18" t="str">
        <f>IF(BW175&lt;&gt;1,"",IF(BT175&gt;0,IF(BT175&gt;CONTROL_PANEL!$B$11,CONTROL_PANEL!$B$11,BT175),0))</f>
        <v/>
      </c>
      <c r="BK176" s="18" t="str">
        <f t="shared" si="128"/>
        <v/>
      </c>
      <c r="BL176" s="18" t="str">
        <f>IF(BW176&lt;&gt;1,"",DATA_INPUT!$I176)</f>
        <v/>
      </c>
      <c r="BM176" s="18" t="str">
        <f>IF(BW176&lt;&gt;1,"",BL176*CONTROL_PANEL!$B$5)</f>
        <v/>
      </c>
      <c r="BN176" s="18" t="str">
        <f>IF(BW176&lt;&gt;1,"",DATA_INPUT!$C176)</f>
        <v/>
      </c>
      <c r="BO176" s="18" t="str">
        <f t="shared" si="118"/>
        <v/>
      </c>
      <c r="BP176" s="18" t="str">
        <f>IF(BW176&lt;&gt;1,"",DATA_INPUT!$H176)</f>
        <v/>
      </c>
      <c r="BQ176" s="18" t="str">
        <f t="shared" si="119"/>
        <v/>
      </c>
      <c r="BR176" s="18" t="str">
        <f>IF(BW176&lt;&gt;1,"",BM176*CONTROL_PANEL!$B$14)</f>
        <v/>
      </c>
      <c r="BS176" s="18" t="str">
        <f>IF(BW176&lt;&gt;1,"",DATA_INPUT!$N176)</f>
        <v/>
      </c>
      <c r="BT176" s="18" t="str">
        <f t="shared" si="120"/>
        <v/>
      </c>
      <c r="BU176" s="18" t="str">
        <f>IF(BW176&lt;&gt;1,"",IF(BT176-CONTROL_PANEL!$B$11&lt;0,0,BT176-CONTROL_PANEL!$B$11))</f>
        <v/>
      </c>
      <c r="BV176" s="18" t="str">
        <f>IF(BW176&lt;&gt;1,"",IF(BS176&lt;=0,0,MIN(BS176,MAX(0,CONTROL_PANEL!$B$13-BT176))))</f>
        <v/>
      </c>
      <c r="BW176" s="18"/>
      <c r="BY176" s="19">
        <f t="shared" si="139"/>
        <v>2030</v>
      </c>
      <c r="BZ176" s="19">
        <f t="shared" si="98"/>
        <v>1</v>
      </c>
      <c r="CA176" s="18" t="str">
        <f t="shared" si="121"/>
        <v/>
      </c>
      <c r="CB176" s="18" t="str">
        <f t="shared" si="134"/>
        <v/>
      </c>
      <c r="CC176" s="18" t="str">
        <f>IF(CP175&lt;&gt;1,"",IF(CM175&gt;0,IF(CM175&gt;CONTROL_PANEL!$B$11,CONTROL_PANEL!$B$11,CM175),0))</f>
        <v/>
      </c>
      <c r="CD176" s="18" t="str">
        <f t="shared" si="129"/>
        <v/>
      </c>
      <c r="CE176" s="18" t="str">
        <f>IF(CP176&lt;&gt;1,"",DATA_INPUT!$I176)</f>
        <v/>
      </c>
      <c r="CF176" s="18" t="str">
        <f>IF(CP176&lt;&gt;1,"",CE176*CONTROL_PANEL!$B$5)</f>
        <v/>
      </c>
      <c r="CG176" s="18" t="str">
        <f>IF(CP176&lt;&gt;1,"",DATA_INPUT!$C176)</f>
        <v/>
      </c>
      <c r="CH176" s="18" t="str">
        <f t="shared" si="122"/>
        <v/>
      </c>
      <c r="CI176" s="18" t="str">
        <f>IF(CP176&lt;&gt;1,"",DATA_INPUT!$H176)</f>
        <v/>
      </c>
      <c r="CJ176" s="18" t="str">
        <f t="shared" si="123"/>
        <v/>
      </c>
      <c r="CK176" s="18" t="str">
        <f>IF(CP176&lt;&gt;1,"",CF176*CONTROL_PANEL!$B$14)</f>
        <v/>
      </c>
      <c r="CL176" s="18" t="str">
        <f>IF(CP176&lt;&gt;1,"",DATA_INPUT!$O176)</f>
        <v/>
      </c>
      <c r="CM176" s="18" t="str">
        <f t="shared" si="124"/>
        <v/>
      </c>
      <c r="CN176" s="18" t="str">
        <f>IF(CP176&lt;&gt;1,"",IF(CM176-CONTROL_PANEL!$B$11&lt;0,0,CM176-CONTROL_PANEL!$B$11))</f>
        <v/>
      </c>
      <c r="CO176" s="18" t="str">
        <f>IF(CP176&lt;&gt;1,"",IF(CL176&lt;=0,0,MIN(CL176,MAX(0,CONTROL_PANEL!$B$13-CM176))))</f>
        <v/>
      </c>
      <c r="CP176" s="18"/>
    </row>
    <row r="177" spans="1:94" x14ac:dyDescent="0.25">
      <c r="A177" s="19">
        <f t="shared" si="135"/>
        <v>2030</v>
      </c>
      <c r="B177" s="19">
        <f t="shared" si="90"/>
        <v>2</v>
      </c>
      <c r="C177" s="18" t="str">
        <f t="shared" si="105"/>
        <v/>
      </c>
      <c r="D177" s="18" t="str">
        <f t="shared" si="130"/>
        <v/>
      </c>
      <c r="E177" s="18" t="str">
        <f>IF(R176&lt;&gt;1,"",IF(O176&gt;0,IF(O176&gt;CONTROL_PANEL!$B$11,CONTROL_PANEL!$B$11,O176),0))</f>
        <v/>
      </c>
      <c r="F177" s="18" t="str">
        <f t="shared" si="125"/>
        <v/>
      </c>
      <c r="G177" s="18" t="str">
        <f>IF(R177&lt;&gt;1,"",DATA_INPUT!I177)</f>
        <v/>
      </c>
      <c r="H177" s="18" t="str">
        <f>IF(R177&lt;&gt;1,"",G177*CONTROL_PANEL!$B$5)</f>
        <v/>
      </c>
      <c r="I177" s="18" t="str">
        <f>IF(R177&lt;&gt;1,"",DATA_INPUT!C177)</f>
        <v/>
      </c>
      <c r="J177" s="18" t="str">
        <f t="shared" si="106"/>
        <v/>
      </c>
      <c r="K177" s="18" t="str">
        <f>IF(R177&lt;&gt;1,"",DATA_INPUT!H177)</f>
        <v/>
      </c>
      <c r="L177" s="18" t="str">
        <f t="shared" si="107"/>
        <v/>
      </c>
      <c r="M177" s="18" t="str">
        <f>IF(R177&lt;&gt;1,"",H177*CONTROL_PANEL!$B$14)</f>
        <v/>
      </c>
      <c r="N177" s="18" t="str">
        <f>IF(R177&lt;&gt;1,"",DATA_INPUT!K177)</f>
        <v/>
      </c>
      <c r="O177" s="18" t="str">
        <f t="shared" si="108"/>
        <v/>
      </c>
      <c r="P177" s="18" t="str">
        <f>IF(R177&lt;&gt;1,"",IF(O177-CONTROL_PANEL!$B$11&lt;0,0,O177-CONTROL_PANEL!$B$11))</f>
        <v/>
      </c>
      <c r="Q177" s="18" t="str">
        <f>IF(R177&lt;&gt;1,"",IF(N177&lt;=0,0,MIN(N177,MAX(0,CONTROL_PANEL!$B$13-O177))))</f>
        <v/>
      </c>
      <c r="R177" s="18"/>
      <c r="T177" s="19">
        <f t="shared" si="136"/>
        <v>2030</v>
      </c>
      <c r="U177" s="19">
        <f t="shared" si="92"/>
        <v>2</v>
      </c>
      <c r="V177" s="18" t="str">
        <f t="shared" si="109"/>
        <v/>
      </c>
      <c r="W177" s="18" t="str">
        <f t="shared" si="131"/>
        <v/>
      </c>
      <c r="X177" s="18" t="str">
        <f>IF(AK176&lt;&gt;1,"",IF(AH176&gt;0,IF(AH176&gt;CONTROL_PANEL!$B$11,CONTROL_PANEL!$B$11,AH176),0))</f>
        <v/>
      </c>
      <c r="Y177" s="18" t="str">
        <f t="shared" si="126"/>
        <v/>
      </c>
      <c r="Z177" s="18" t="str">
        <f>IF(AK177&lt;&gt;1,"",DATA_INPUT!I177)</f>
        <v/>
      </c>
      <c r="AA177" s="18" t="str">
        <f>IF(AK177&lt;&gt;1,"",Z177*CONTROL_PANEL!$B$5)</f>
        <v/>
      </c>
      <c r="AB177" s="18" t="str">
        <f>IF(AK177&lt;&gt;1,"",DATA_INPUT!$C177)</f>
        <v/>
      </c>
      <c r="AC177" s="18" t="str">
        <f t="shared" si="110"/>
        <v/>
      </c>
      <c r="AD177" s="18" t="str">
        <f>IF(AK177&lt;&gt;1,"",DATA_INPUT!$H177)</f>
        <v/>
      </c>
      <c r="AE177" s="18" t="str">
        <f t="shared" si="111"/>
        <v/>
      </c>
      <c r="AF177" s="18" t="str">
        <f>IF(AK177&lt;&gt;1,"",AA177*CONTROL_PANEL!$B$14)</f>
        <v/>
      </c>
      <c r="AG177" s="18" t="str">
        <f>IF(AK177&lt;&gt;1,"",DATA_INPUT!$L177)</f>
        <v/>
      </c>
      <c r="AH177" s="18" t="str">
        <f t="shared" si="112"/>
        <v/>
      </c>
      <c r="AI177" s="18" t="str">
        <f>IF(AK177&lt;&gt;1,"",IF(AH177-CONTROL_PANEL!$B$11&lt;0,0,AH177-CONTROL_PANEL!$B$11))</f>
        <v/>
      </c>
      <c r="AJ177" s="18" t="str">
        <f>IF(AK177&lt;&gt;1,"",IF(AG177&lt;=0,0,MIN(AG177,MAX(0,CONTROL_PANEL!$B$13-AH177))))</f>
        <v/>
      </c>
      <c r="AK177" s="18"/>
      <c r="AM177" s="19">
        <f t="shared" si="137"/>
        <v>2030</v>
      </c>
      <c r="AN177" s="19">
        <f t="shared" si="94"/>
        <v>2</v>
      </c>
      <c r="AO177" s="18" t="str">
        <f t="shared" si="113"/>
        <v/>
      </c>
      <c r="AP177" s="18" t="str">
        <f t="shared" si="132"/>
        <v/>
      </c>
      <c r="AQ177" s="18" t="str">
        <f>IF(BD176&lt;&gt;1,"",IF(BA176&gt;0,IF(BA176&gt;CONTROL_PANEL!$B$11,CONTROL_PANEL!$B$11,BA176),0))</f>
        <v/>
      </c>
      <c r="AR177" s="18" t="str">
        <f t="shared" si="127"/>
        <v/>
      </c>
      <c r="AS177" s="18" t="str">
        <f>IF(BD177&lt;&gt;1,"",DATA_INPUT!$I177)</f>
        <v/>
      </c>
      <c r="AT177" s="18" t="str">
        <f>IF(BD177&lt;&gt;1,"",AS177*CONTROL_PANEL!$B$5)</f>
        <v/>
      </c>
      <c r="AU177" s="18" t="str">
        <f>IF(BD177&lt;&gt;1,"",DATA_INPUT!$C177)</f>
        <v/>
      </c>
      <c r="AV177" s="18" t="str">
        <f t="shared" si="114"/>
        <v/>
      </c>
      <c r="AW177" s="18" t="str">
        <f>IF(BD177&lt;&gt;1,"",DATA_INPUT!$H177)</f>
        <v/>
      </c>
      <c r="AX177" s="18" t="str">
        <f t="shared" si="115"/>
        <v/>
      </c>
      <c r="AY177" s="18" t="str">
        <f>IF(BD177&lt;&gt;1,"",AT177*CONTROL_PANEL!$B$14)</f>
        <v/>
      </c>
      <c r="AZ177" s="18" t="str">
        <f>IF(BD177&lt;&gt;1,"",DATA_INPUT!$M177)</f>
        <v/>
      </c>
      <c r="BA177" s="18" t="str">
        <f t="shared" si="116"/>
        <v/>
      </c>
      <c r="BB177" s="18" t="str">
        <f>IF(BD177&lt;&gt;1,"",IF(BA177-CONTROL_PANEL!$B$11&lt;0,0,BA177-CONTROL_PANEL!$B$11))</f>
        <v/>
      </c>
      <c r="BC177" s="18" t="str">
        <f>IF(BD177&lt;&gt;1,"",IF(AZ177&lt;=0,0,MIN(AZ177,MAX(0,CONTROL_PANEL!$B$13-BA177))))</f>
        <v/>
      </c>
      <c r="BD177" s="18"/>
      <c r="BF177" s="19">
        <f t="shared" si="138"/>
        <v>2030</v>
      </c>
      <c r="BG177" s="19">
        <f t="shared" si="96"/>
        <v>2</v>
      </c>
      <c r="BH177" s="18" t="str">
        <f t="shared" si="117"/>
        <v/>
      </c>
      <c r="BI177" s="18" t="str">
        <f t="shared" si="133"/>
        <v/>
      </c>
      <c r="BJ177" s="18" t="str">
        <f>IF(BW176&lt;&gt;1,"",IF(BT176&gt;0,IF(BT176&gt;CONTROL_PANEL!$B$11,CONTROL_PANEL!$B$11,BT176),0))</f>
        <v/>
      </c>
      <c r="BK177" s="18" t="str">
        <f t="shared" si="128"/>
        <v/>
      </c>
      <c r="BL177" s="18" t="str">
        <f>IF(BW177&lt;&gt;1,"",DATA_INPUT!$I177)</f>
        <v/>
      </c>
      <c r="BM177" s="18" t="str">
        <f>IF(BW177&lt;&gt;1,"",BL177*CONTROL_PANEL!$B$5)</f>
        <v/>
      </c>
      <c r="BN177" s="18" t="str">
        <f>IF(BW177&lt;&gt;1,"",DATA_INPUT!$C177)</f>
        <v/>
      </c>
      <c r="BO177" s="18" t="str">
        <f t="shared" si="118"/>
        <v/>
      </c>
      <c r="BP177" s="18" t="str">
        <f>IF(BW177&lt;&gt;1,"",DATA_INPUT!$H177)</f>
        <v/>
      </c>
      <c r="BQ177" s="18" t="str">
        <f t="shared" si="119"/>
        <v/>
      </c>
      <c r="BR177" s="18" t="str">
        <f>IF(BW177&lt;&gt;1,"",BM177*CONTROL_PANEL!$B$14)</f>
        <v/>
      </c>
      <c r="BS177" s="18" t="str">
        <f>IF(BW177&lt;&gt;1,"",DATA_INPUT!$N177)</f>
        <v/>
      </c>
      <c r="BT177" s="18" t="str">
        <f t="shared" si="120"/>
        <v/>
      </c>
      <c r="BU177" s="18" t="str">
        <f>IF(BW177&lt;&gt;1,"",IF(BT177-CONTROL_PANEL!$B$11&lt;0,0,BT177-CONTROL_PANEL!$B$11))</f>
        <v/>
      </c>
      <c r="BV177" s="18" t="str">
        <f>IF(BW177&lt;&gt;1,"",IF(BS177&lt;=0,0,MIN(BS177,MAX(0,CONTROL_PANEL!$B$13-BT177))))</f>
        <v/>
      </c>
      <c r="BW177" s="18"/>
      <c r="BY177" s="19">
        <f t="shared" si="139"/>
        <v>2030</v>
      </c>
      <c r="BZ177" s="19">
        <f t="shared" si="98"/>
        <v>2</v>
      </c>
      <c r="CA177" s="18" t="str">
        <f t="shared" si="121"/>
        <v/>
      </c>
      <c r="CB177" s="18" t="str">
        <f t="shared" si="134"/>
        <v/>
      </c>
      <c r="CC177" s="18" t="str">
        <f>IF(CP176&lt;&gt;1,"",IF(CM176&gt;0,IF(CM176&gt;CONTROL_PANEL!$B$11,CONTROL_PANEL!$B$11,CM176),0))</f>
        <v/>
      </c>
      <c r="CD177" s="18" t="str">
        <f t="shared" si="129"/>
        <v/>
      </c>
      <c r="CE177" s="18" t="str">
        <f>IF(CP177&lt;&gt;1,"",DATA_INPUT!$I177)</f>
        <v/>
      </c>
      <c r="CF177" s="18" t="str">
        <f>IF(CP177&lt;&gt;1,"",CE177*CONTROL_PANEL!$B$5)</f>
        <v/>
      </c>
      <c r="CG177" s="18" t="str">
        <f>IF(CP177&lt;&gt;1,"",DATA_INPUT!$C177)</f>
        <v/>
      </c>
      <c r="CH177" s="18" t="str">
        <f t="shared" si="122"/>
        <v/>
      </c>
      <c r="CI177" s="18" t="str">
        <f>IF(CP177&lt;&gt;1,"",DATA_INPUT!$H177)</f>
        <v/>
      </c>
      <c r="CJ177" s="18" t="str">
        <f t="shared" si="123"/>
        <v/>
      </c>
      <c r="CK177" s="18" t="str">
        <f>IF(CP177&lt;&gt;1,"",CF177*CONTROL_PANEL!$B$14)</f>
        <v/>
      </c>
      <c r="CL177" s="18" t="str">
        <f>IF(CP177&lt;&gt;1,"",DATA_INPUT!$O177)</f>
        <v/>
      </c>
      <c r="CM177" s="18" t="str">
        <f t="shared" si="124"/>
        <v/>
      </c>
      <c r="CN177" s="18" t="str">
        <f>IF(CP177&lt;&gt;1,"",IF(CM177-CONTROL_PANEL!$B$11&lt;0,0,CM177-CONTROL_PANEL!$B$11))</f>
        <v/>
      </c>
      <c r="CO177" s="18" t="str">
        <f>IF(CP177&lt;&gt;1,"",IF(CL177&lt;=0,0,MIN(CL177,MAX(0,CONTROL_PANEL!$B$13-CM177))))</f>
        <v/>
      </c>
      <c r="CP177" s="18"/>
    </row>
    <row r="178" spans="1:94" x14ac:dyDescent="0.25">
      <c r="A178" s="19">
        <f t="shared" si="135"/>
        <v>2030</v>
      </c>
      <c r="B178" s="19">
        <f t="shared" si="90"/>
        <v>3</v>
      </c>
      <c r="C178" s="18" t="str">
        <f t="shared" si="105"/>
        <v/>
      </c>
      <c r="D178" s="18" t="str">
        <f t="shared" si="130"/>
        <v/>
      </c>
      <c r="E178" s="18" t="str">
        <f>IF(R177&lt;&gt;1,"",IF(O177&gt;0,IF(O177&gt;CONTROL_PANEL!$B$11,CONTROL_PANEL!$B$11,O177),0))</f>
        <v/>
      </c>
      <c r="F178" s="18" t="str">
        <f t="shared" si="125"/>
        <v/>
      </c>
      <c r="G178" s="18" t="str">
        <f>IF(R178&lt;&gt;1,"",DATA_INPUT!I178)</f>
        <v/>
      </c>
      <c r="H178" s="18" t="str">
        <f>IF(R178&lt;&gt;1,"",G178*CONTROL_PANEL!$B$5)</f>
        <v/>
      </c>
      <c r="I178" s="18" t="str">
        <f>IF(R178&lt;&gt;1,"",DATA_INPUT!C178)</f>
        <v/>
      </c>
      <c r="J178" s="18" t="str">
        <f t="shared" si="106"/>
        <v/>
      </c>
      <c r="K178" s="18" t="str">
        <f>IF(R178&lt;&gt;1,"",DATA_INPUT!H178)</f>
        <v/>
      </c>
      <c r="L178" s="18" t="str">
        <f t="shared" si="107"/>
        <v/>
      </c>
      <c r="M178" s="18" t="str">
        <f>IF(R178&lt;&gt;1,"",H178*CONTROL_PANEL!$B$14)</f>
        <v/>
      </c>
      <c r="N178" s="18" t="str">
        <f>IF(R178&lt;&gt;1,"",DATA_INPUT!K178)</f>
        <v/>
      </c>
      <c r="O178" s="18" t="str">
        <f t="shared" si="108"/>
        <v/>
      </c>
      <c r="P178" s="18" t="str">
        <f>IF(R178&lt;&gt;1,"",IF(O178-CONTROL_PANEL!$B$11&lt;0,0,O178-CONTROL_PANEL!$B$11))</f>
        <v/>
      </c>
      <c r="Q178" s="18" t="str">
        <f>IF(R178&lt;&gt;1,"",IF(N178&lt;=0,0,MIN(N178,MAX(0,CONTROL_PANEL!$B$13-O178))))</f>
        <v/>
      </c>
      <c r="R178" s="18"/>
      <c r="T178" s="19">
        <f t="shared" si="136"/>
        <v>2030</v>
      </c>
      <c r="U178" s="19">
        <f t="shared" si="92"/>
        <v>3</v>
      </c>
      <c r="V178" s="18" t="str">
        <f t="shared" si="109"/>
        <v/>
      </c>
      <c r="W178" s="18" t="str">
        <f t="shared" si="131"/>
        <v/>
      </c>
      <c r="X178" s="18" t="str">
        <f>IF(AK177&lt;&gt;1,"",IF(AH177&gt;0,IF(AH177&gt;CONTROL_PANEL!$B$11,CONTROL_PANEL!$B$11,AH177),0))</f>
        <v/>
      </c>
      <c r="Y178" s="18" t="str">
        <f t="shared" si="126"/>
        <v/>
      </c>
      <c r="Z178" s="18" t="str">
        <f>IF(AK178&lt;&gt;1,"",DATA_INPUT!I178)</f>
        <v/>
      </c>
      <c r="AA178" s="18" t="str">
        <f>IF(AK178&lt;&gt;1,"",Z178*CONTROL_PANEL!$B$5)</f>
        <v/>
      </c>
      <c r="AB178" s="18" t="str">
        <f>IF(AK178&lt;&gt;1,"",DATA_INPUT!$C178)</f>
        <v/>
      </c>
      <c r="AC178" s="18" t="str">
        <f t="shared" si="110"/>
        <v/>
      </c>
      <c r="AD178" s="18" t="str">
        <f>IF(AK178&lt;&gt;1,"",DATA_INPUT!$H178)</f>
        <v/>
      </c>
      <c r="AE178" s="18" t="str">
        <f t="shared" si="111"/>
        <v/>
      </c>
      <c r="AF178" s="18" t="str">
        <f>IF(AK178&lt;&gt;1,"",AA178*CONTROL_PANEL!$B$14)</f>
        <v/>
      </c>
      <c r="AG178" s="18" t="str">
        <f>IF(AK178&lt;&gt;1,"",DATA_INPUT!$L178)</f>
        <v/>
      </c>
      <c r="AH178" s="18" t="str">
        <f t="shared" si="112"/>
        <v/>
      </c>
      <c r="AI178" s="18" t="str">
        <f>IF(AK178&lt;&gt;1,"",IF(AH178-CONTROL_PANEL!$B$11&lt;0,0,AH178-CONTROL_PANEL!$B$11))</f>
        <v/>
      </c>
      <c r="AJ178" s="18" t="str">
        <f>IF(AK178&lt;&gt;1,"",IF(AG178&lt;=0,0,MIN(AG178,MAX(0,CONTROL_PANEL!$B$13-AH178))))</f>
        <v/>
      </c>
      <c r="AK178" s="18"/>
      <c r="AM178" s="19">
        <f t="shared" si="137"/>
        <v>2030</v>
      </c>
      <c r="AN178" s="19">
        <f t="shared" si="94"/>
        <v>3</v>
      </c>
      <c r="AO178" s="18" t="str">
        <f t="shared" si="113"/>
        <v/>
      </c>
      <c r="AP178" s="18" t="str">
        <f t="shared" si="132"/>
        <v/>
      </c>
      <c r="AQ178" s="18" t="str">
        <f>IF(BD177&lt;&gt;1,"",IF(BA177&gt;0,IF(BA177&gt;CONTROL_PANEL!$B$11,CONTROL_PANEL!$B$11,BA177),0))</f>
        <v/>
      </c>
      <c r="AR178" s="18" t="str">
        <f t="shared" si="127"/>
        <v/>
      </c>
      <c r="AS178" s="18" t="str">
        <f>IF(BD178&lt;&gt;1,"",DATA_INPUT!$I178)</f>
        <v/>
      </c>
      <c r="AT178" s="18" t="str">
        <f>IF(BD178&lt;&gt;1,"",AS178*CONTROL_PANEL!$B$5)</f>
        <v/>
      </c>
      <c r="AU178" s="18" t="str">
        <f>IF(BD178&lt;&gt;1,"",DATA_INPUT!$C178)</f>
        <v/>
      </c>
      <c r="AV178" s="18" t="str">
        <f t="shared" si="114"/>
        <v/>
      </c>
      <c r="AW178" s="18" t="str">
        <f>IF(BD178&lt;&gt;1,"",DATA_INPUT!$H178)</f>
        <v/>
      </c>
      <c r="AX178" s="18" t="str">
        <f t="shared" si="115"/>
        <v/>
      </c>
      <c r="AY178" s="18" t="str">
        <f>IF(BD178&lt;&gt;1,"",AT178*CONTROL_PANEL!$B$14)</f>
        <v/>
      </c>
      <c r="AZ178" s="18" t="str">
        <f>IF(BD178&lt;&gt;1,"",DATA_INPUT!$M178)</f>
        <v/>
      </c>
      <c r="BA178" s="18" t="str">
        <f t="shared" si="116"/>
        <v/>
      </c>
      <c r="BB178" s="18" t="str">
        <f>IF(BD178&lt;&gt;1,"",IF(BA178-CONTROL_PANEL!$B$11&lt;0,0,BA178-CONTROL_PANEL!$B$11))</f>
        <v/>
      </c>
      <c r="BC178" s="18" t="str">
        <f>IF(BD178&lt;&gt;1,"",IF(AZ178&lt;=0,0,MIN(AZ178,MAX(0,CONTROL_PANEL!$B$13-BA178))))</f>
        <v/>
      </c>
      <c r="BD178" s="18"/>
      <c r="BF178" s="19">
        <f t="shared" si="138"/>
        <v>2030</v>
      </c>
      <c r="BG178" s="19">
        <f t="shared" si="96"/>
        <v>3</v>
      </c>
      <c r="BH178" s="18" t="str">
        <f t="shared" si="117"/>
        <v/>
      </c>
      <c r="BI178" s="18" t="str">
        <f t="shared" si="133"/>
        <v/>
      </c>
      <c r="BJ178" s="18" t="str">
        <f>IF(BW177&lt;&gt;1,"",IF(BT177&gt;0,IF(BT177&gt;CONTROL_PANEL!$B$11,CONTROL_PANEL!$B$11,BT177),0))</f>
        <v/>
      </c>
      <c r="BK178" s="18" t="str">
        <f t="shared" si="128"/>
        <v/>
      </c>
      <c r="BL178" s="18" t="str">
        <f>IF(BW178&lt;&gt;1,"",DATA_INPUT!$I178)</f>
        <v/>
      </c>
      <c r="BM178" s="18" t="str">
        <f>IF(BW178&lt;&gt;1,"",BL178*CONTROL_PANEL!$B$5)</f>
        <v/>
      </c>
      <c r="BN178" s="18" t="str">
        <f>IF(BW178&lt;&gt;1,"",DATA_INPUT!$C178)</f>
        <v/>
      </c>
      <c r="BO178" s="18" t="str">
        <f t="shared" si="118"/>
        <v/>
      </c>
      <c r="BP178" s="18" t="str">
        <f>IF(BW178&lt;&gt;1,"",DATA_INPUT!$H178)</f>
        <v/>
      </c>
      <c r="BQ178" s="18" t="str">
        <f t="shared" si="119"/>
        <v/>
      </c>
      <c r="BR178" s="18" t="str">
        <f>IF(BW178&lt;&gt;1,"",BM178*CONTROL_PANEL!$B$14)</f>
        <v/>
      </c>
      <c r="BS178" s="18" t="str">
        <f>IF(BW178&lt;&gt;1,"",DATA_INPUT!$N178)</f>
        <v/>
      </c>
      <c r="BT178" s="18" t="str">
        <f t="shared" si="120"/>
        <v/>
      </c>
      <c r="BU178" s="18" t="str">
        <f>IF(BW178&lt;&gt;1,"",IF(BT178-CONTROL_PANEL!$B$11&lt;0,0,BT178-CONTROL_PANEL!$B$11))</f>
        <v/>
      </c>
      <c r="BV178" s="18" t="str">
        <f>IF(BW178&lt;&gt;1,"",IF(BS178&lt;=0,0,MIN(BS178,MAX(0,CONTROL_PANEL!$B$13-BT178))))</f>
        <v/>
      </c>
      <c r="BW178" s="18"/>
      <c r="BY178" s="19">
        <f t="shared" si="139"/>
        <v>2030</v>
      </c>
      <c r="BZ178" s="19">
        <f t="shared" si="98"/>
        <v>3</v>
      </c>
      <c r="CA178" s="18" t="str">
        <f t="shared" si="121"/>
        <v/>
      </c>
      <c r="CB178" s="18" t="str">
        <f t="shared" si="134"/>
        <v/>
      </c>
      <c r="CC178" s="18" t="str">
        <f>IF(CP177&lt;&gt;1,"",IF(CM177&gt;0,IF(CM177&gt;CONTROL_PANEL!$B$11,CONTROL_PANEL!$B$11,CM177),0))</f>
        <v/>
      </c>
      <c r="CD178" s="18" t="str">
        <f t="shared" si="129"/>
        <v/>
      </c>
      <c r="CE178" s="18" t="str">
        <f>IF(CP178&lt;&gt;1,"",DATA_INPUT!$I178)</f>
        <v/>
      </c>
      <c r="CF178" s="18" t="str">
        <f>IF(CP178&lt;&gt;1,"",CE178*CONTROL_PANEL!$B$5)</f>
        <v/>
      </c>
      <c r="CG178" s="18" t="str">
        <f>IF(CP178&lt;&gt;1,"",DATA_INPUT!$C178)</f>
        <v/>
      </c>
      <c r="CH178" s="18" t="str">
        <f t="shared" si="122"/>
        <v/>
      </c>
      <c r="CI178" s="18" t="str">
        <f>IF(CP178&lt;&gt;1,"",DATA_INPUT!$H178)</f>
        <v/>
      </c>
      <c r="CJ178" s="18" t="str">
        <f t="shared" si="123"/>
        <v/>
      </c>
      <c r="CK178" s="18" t="str">
        <f>IF(CP178&lt;&gt;1,"",CF178*CONTROL_PANEL!$B$14)</f>
        <v/>
      </c>
      <c r="CL178" s="18" t="str">
        <f>IF(CP178&lt;&gt;1,"",DATA_INPUT!$O178)</f>
        <v/>
      </c>
      <c r="CM178" s="18" t="str">
        <f t="shared" si="124"/>
        <v/>
      </c>
      <c r="CN178" s="18" t="str">
        <f>IF(CP178&lt;&gt;1,"",IF(CM178-CONTROL_PANEL!$B$11&lt;0,0,CM178-CONTROL_PANEL!$B$11))</f>
        <v/>
      </c>
      <c r="CO178" s="18" t="str">
        <f>IF(CP178&lt;&gt;1,"",IF(CL178&lt;=0,0,MIN(CL178,MAX(0,CONTROL_PANEL!$B$13-CM178))))</f>
        <v/>
      </c>
      <c r="CP178" s="18"/>
    </row>
    <row r="179" spans="1:94" x14ac:dyDescent="0.25">
      <c r="A179" s="19">
        <f t="shared" si="135"/>
        <v>2030</v>
      </c>
      <c r="B179" s="19">
        <f t="shared" si="90"/>
        <v>4</v>
      </c>
      <c r="C179" s="18" t="str">
        <f t="shared" si="105"/>
        <v/>
      </c>
      <c r="D179" s="18" t="str">
        <f t="shared" si="130"/>
        <v/>
      </c>
      <c r="E179" s="18" t="str">
        <f>IF(R178&lt;&gt;1,"",IF(O178&gt;0,IF(O178&gt;CONTROL_PANEL!$B$11,CONTROL_PANEL!$B$11,O178),0))</f>
        <v/>
      </c>
      <c r="F179" s="18" t="str">
        <f t="shared" si="125"/>
        <v/>
      </c>
      <c r="G179" s="18" t="str">
        <f>IF(R179&lt;&gt;1,"",DATA_INPUT!I179)</f>
        <v/>
      </c>
      <c r="H179" s="18" t="str">
        <f>IF(R179&lt;&gt;1,"",G179*CONTROL_PANEL!$B$5)</f>
        <v/>
      </c>
      <c r="I179" s="18" t="str">
        <f>IF(R179&lt;&gt;1,"",DATA_INPUT!C179)</f>
        <v/>
      </c>
      <c r="J179" s="18" t="str">
        <f t="shared" si="106"/>
        <v/>
      </c>
      <c r="K179" s="18" t="str">
        <f>IF(R179&lt;&gt;1,"",DATA_INPUT!H179)</f>
        <v/>
      </c>
      <c r="L179" s="18" t="str">
        <f t="shared" si="107"/>
        <v/>
      </c>
      <c r="M179" s="18" t="str">
        <f>IF(R179&lt;&gt;1,"",H179*CONTROL_PANEL!$B$14)</f>
        <v/>
      </c>
      <c r="N179" s="18" t="str">
        <f>IF(R179&lt;&gt;1,"",DATA_INPUT!K179)</f>
        <v/>
      </c>
      <c r="O179" s="18" t="str">
        <f t="shared" si="108"/>
        <v/>
      </c>
      <c r="P179" s="18" t="str">
        <f>IF(R179&lt;&gt;1,"",IF(O179-CONTROL_PANEL!$B$11&lt;0,0,O179-CONTROL_PANEL!$B$11))</f>
        <v/>
      </c>
      <c r="Q179" s="18" t="str">
        <f>IF(R179&lt;&gt;1,"",IF(N179&lt;=0,0,MIN(N179,MAX(0,CONTROL_PANEL!$B$13-O179))))</f>
        <v/>
      </c>
      <c r="R179" s="18"/>
      <c r="T179" s="19">
        <f t="shared" si="136"/>
        <v>2030</v>
      </c>
      <c r="U179" s="19">
        <f t="shared" si="92"/>
        <v>4</v>
      </c>
      <c r="V179" s="18" t="str">
        <f t="shared" si="109"/>
        <v/>
      </c>
      <c r="W179" s="18" t="str">
        <f t="shared" si="131"/>
        <v/>
      </c>
      <c r="X179" s="18" t="str">
        <f>IF(AK178&lt;&gt;1,"",IF(AH178&gt;0,IF(AH178&gt;CONTROL_PANEL!$B$11,CONTROL_PANEL!$B$11,AH178),0))</f>
        <v/>
      </c>
      <c r="Y179" s="18" t="str">
        <f t="shared" si="126"/>
        <v/>
      </c>
      <c r="Z179" s="18" t="str">
        <f>IF(AK179&lt;&gt;1,"",DATA_INPUT!I179)</f>
        <v/>
      </c>
      <c r="AA179" s="18" t="str">
        <f>IF(AK179&lt;&gt;1,"",Z179*CONTROL_PANEL!$B$5)</f>
        <v/>
      </c>
      <c r="AB179" s="18" t="str">
        <f>IF(AK179&lt;&gt;1,"",DATA_INPUT!$C179)</f>
        <v/>
      </c>
      <c r="AC179" s="18" t="str">
        <f t="shared" si="110"/>
        <v/>
      </c>
      <c r="AD179" s="18" t="str">
        <f>IF(AK179&lt;&gt;1,"",DATA_INPUT!$H179)</f>
        <v/>
      </c>
      <c r="AE179" s="18" t="str">
        <f t="shared" si="111"/>
        <v/>
      </c>
      <c r="AF179" s="18" t="str">
        <f>IF(AK179&lt;&gt;1,"",AA179*CONTROL_PANEL!$B$14)</f>
        <v/>
      </c>
      <c r="AG179" s="18" t="str">
        <f>IF(AK179&lt;&gt;1,"",DATA_INPUT!$L179)</f>
        <v/>
      </c>
      <c r="AH179" s="18" t="str">
        <f t="shared" si="112"/>
        <v/>
      </c>
      <c r="AI179" s="18" t="str">
        <f>IF(AK179&lt;&gt;1,"",IF(AH179-CONTROL_PANEL!$B$11&lt;0,0,AH179-CONTROL_PANEL!$B$11))</f>
        <v/>
      </c>
      <c r="AJ179" s="18" t="str">
        <f>IF(AK179&lt;&gt;1,"",IF(AG179&lt;=0,0,MIN(AG179,MAX(0,CONTROL_PANEL!$B$13-AH179))))</f>
        <v/>
      </c>
      <c r="AK179" s="18"/>
      <c r="AM179" s="19">
        <f t="shared" si="137"/>
        <v>2030</v>
      </c>
      <c r="AN179" s="19">
        <f t="shared" si="94"/>
        <v>4</v>
      </c>
      <c r="AO179" s="18" t="str">
        <f t="shared" si="113"/>
        <v/>
      </c>
      <c r="AP179" s="18" t="str">
        <f t="shared" si="132"/>
        <v/>
      </c>
      <c r="AQ179" s="18" t="str">
        <f>IF(BD178&lt;&gt;1,"",IF(BA178&gt;0,IF(BA178&gt;CONTROL_PANEL!$B$11,CONTROL_PANEL!$B$11,BA178),0))</f>
        <v/>
      </c>
      <c r="AR179" s="18" t="str">
        <f t="shared" si="127"/>
        <v/>
      </c>
      <c r="AS179" s="18" t="str">
        <f>IF(BD179&lt;&gt;1,"",DATA_INPUT!$I179)</f>
        <v/>
      </c>
      <c r="AT179" s="18" t="str">
        <f>IF(BD179&lt;&gt;1,"",AS179*CONTROL_PANEL!$B$5)</f>
        <v/>
      </c>
      <c r="AU179" s="18" t="str">
        <f>IF(BD179&lt;&gt;1,"",DATA_INPUT!$C179)</f>
        <v/>
      </c>
      <c r="AV179" s="18" t="str">
        <f t="shared" si="114"/>
        <v/>
      </c>
      <c r="AW179" s="18" t="str">
        <f>IF(BD179&lt;&gt;1,"",DATA_INPUT!$H179)</f>
        <v/>
      </c>
      <c r="AX179" s="18" t="str">
        <f t="shared" si="115"/>
        <v/>
      </c>
      <c r="AY179" s="18" t="str">
        <f>IF(BD179&lt;&gt;1,"",AT179*CONTROL_PANEL!$B$14)</f>
        <v/>
      </c>
      <c r="AZ179" s="18" t="str">
        <f>IF(BD179&lt;&gt;1,"",DATA_INPUT!$M179)</f>
        <v/>
      </c>
      <c r="BA179" s="18" t="str">
        <f t="shared" si="116"/>
        <v/>
      </c>
      <c r="BB179" s="18" t="str">
        <f>IF(BD179&lt;&gt;1,"",IF(BA179-CONTROL_PANEL!$B$11&lt;0,0,BA179-CONTROL_PANEL!$B$11))</f>
        <v/>
      </c>
      <c r="BC179" s="18" t="str">
        <f>IF(BD179&lt;&gt;1,"",IF(AZ179&lt;=0,0,MIN(AZ179,MAX(0,CONTROL_PANEL!$B$13-BA179))))</f>
        <v/>
      </c>
      <c r="BD179" s="18"/>
      <c r="BF179" s="19">
        <f t="shared" si="138"/>
        <v>2030</v>
      </c>
      <c r="BG179" s="19">
        <f t="shared" si="96"/>
        <v>4</v>
      </c>
      <c r="BH179" s="18" t="str">
        <f t="shared" si="117"/>
        <v/>
      </c>
      <c r="BI179" s="18" t="str">
        <f t="shared" si="133"/>
        <v/>
      </c>
      <c r="BJ179" s="18" t="str">
        <f>IF(BW178&lt;&gt;1,"",IF(BT178&gt;0,IF(BT178&gt;CONTROL_PANEL!$B$11,CONTROL_PANEL!$B$11,BT178),0))</f>
        <v/>
      </c>
      <c r="BK179" s="18" t="str">
        <f t="shared" si="128"/>
        <v/>
      </c>
      <c r="BL179" s="18" t="str">
        <f>IF(BW179&lt;&gt;1,"",DATA_INPUT!$I179)</f>
        <v/>
      </c>
      <c r="BM179" s="18" t="str">
        <f>IF(BW179&lt;&gt;1,"",BL179*CONTROL_PANEL!$B$5)</f>
        <v/>
      </c>
      <c r="BN179" s="18" t="str">
        <f>IF(BW179&lt;&gt;1,"",DATA_INPUT!$C179)</f>
        <v/>
      </c>
      <c r="BO179" s="18" t="str">
        <f t="shared" si="118"/>
        <v/>
      </c>
      <c r="BP179" s="18" t="str">
        <f>IF(BW179&lt;&gt;1,"",DATA_INPUT!$H179)</f>
        <v/>
      </c>
      <c r="BQ179" s="18" t="str">
        <f t="shared" si="119"/>
        <v/>
      </c>
      <c r="BR179" s="18" t="str">
        <f>IF(BW179&lt;&gt;1,"",BM179*CONTROL_PANEL!$B$14)</f>
        <v/>
      </c>
      <c r="BS179" s="18" t="str">
        <f>IF(BW179&lt;&gt;1,"",DATA_INPUT!$N179)</f>
        <v/>
      </c>
      <c r="BT179" s="18" t="str">
        <f t="shared" si="120"/>
        <v/>
      </c>
      <c r="BU179" s="18" t="str">
        <f>IF(BW179&lt;&gt;1,"",IF(BT179-CONTROL_PANEL!$B$11&lt;0,0,BT179-CONTROL_PANEL!$B$11))</f>
        <v/>
      </c>
      <c r="BV179" s="18" t="str">
        <f>IF(BW179&lt;&gt;1,"",IF(BS179&lt;=0,0,MIN(BS179,MAX(0,CONTROL_PANEL!$B$13-BT179))))</f>
        <v/>
      </c>
      <c r="BW179" s="18"/>
      <c r="BY179" s="19">
        <f t="shared" si="139"/>
        <v>2030</v>
      </c>
      <c r="BZ179" s="19">
        <f t="shared" si="98"/>
        <v>4</v>
      </c>
      <c r="CA179" s="18" t="str">
        <f t="shared" si="121"/>
        <v/>
      </c>
      <c r="CB179" s="18" t="str">
        <f t="shared" si="134"/>
        <v/>
      </c>
      <c r="CC179" s="18" t="str">
        <f>IF(CP178&lt;&gt;1,"",IF(CM178&gt;0,IF(CM178&gt;CONTROL_PANEL!$B$11,CONTROL_PANEL!$B$11,CM178),0))</f>
        <v/>
      </c>
      <c r="CD179" s="18" t="str">
        <f t="shared" si="129"/>
        <v/>
      </c>
      <c r="CE179" s="18" t="str">
        <f>IF(CP179&lt;&gt;1,"",DATA_INPUT!$I179)</f>
        <v/>
      </c>
      <c r="CF179" s="18" t="str">
        <f>IF(CP179&lt;&gt;1,"",CE179*CONTROL_PANEL!$B$5)</f>
        <v/>
      </c>
      <c r="CG179" s="18" t="str">
        <f>IF(CP179&lt;&gt;1,"",DATA_INPUT!$C179)</f>
        <v/>
      </c>
      <c r="CH179" s="18" t="str">
        <f t="shared" si="122"/>
        <v/>
      </c>
      <c r="CI179" s="18" t="str">
        <f>IF(CP179&lt;&gt;1,"",DATA_INPUT!$H179)</f>
        <v/>
      </c>
      <c r="CJ179" s="18" t="str">
        <f t="shared" si="123"/>
        <v/>
      </c>
      <c r="CK179" s="18" t="str">
        <f>IF(CP179&lt;&gt;1,"",CF179*CONTROL_PANEL!$B$14)</f>
        <v/>
      </c>
      <c r="CL179" s="18" t="str">
        <f>IF(CP179&lt;&gt;1,"",DATA_INPUT!$O179)</f>
        <v/>
      </c>
      <c r="CM179" s="18" t="str">
        <f t="shared" si="124"/>
        <v/>
      </c>
      <c r="CN179" s="18" t="str">
        <f>IF(CP179&lt;&gt;1,"",IF(CM179-CONTROL_PANEL!$B$11&lt;0,0,CM179-CONTROL_PANEL!$B$11))</f>
        <v/>
      </c>
      <c r="CO179" s="18" t="str">
        <f>IF(CP179&lt;&gt;1,"",IF(CL179&lt;=0,0,MIN(CL179,MAX(0,CONTROL_PANEL!$B$13-CM179))))</f>
        <v/>
      </c>
      <c r="CP179" s="18"/>
    </row>
    <row r="180" spans="1:94" x14ac:dyDescent="0.25">
      <c r="A180" s="19">
        <f t="shared" si="135"/>
        <v>2030</v>
      </c>
      <c r="B180" s="19">
        <f t="shared" si="90"/>
        <v>5</v>
      </c>
      <c r="C180" s="18" t="str">
        <f t="shared" si="105"/>
        <v/>
      </c>
      <c r="D180" s="18" t="str">
        <f t="shared" si="130"/>
        <v/>
      </c>
      <c r="E180" s="18" t="str">
        <f>IF(R179&lt;&gt;1,"",IF(O179&gt;0,IF(O179&gt;CONTROL_PANEL!$B$11,CONTROL_PANEL!$B$11,O179),0))</f>
        <v/>
      </c>
      <c r="F180" s="18" t="str">
        <f t="shared" si="125"/>
        <v/>
      </c>
      <c r="G180" s="18" t="str">
        <f>IF(R180&lt;&gt;1,"",DATA_INPUT!I180)</f>
        <v/>
      </c>
      <c r="H180" s="18" t="str">
        <f>IF(R180&lt;&gt;1,"",G180*CONTROL_PANEL!$B$5)</f>
        <v/>
      </c>
      <c r="I180" s="18" t="str">
        <f>IF(R180&lt;&gt;1,"",DATA_INPUT!C180)</f>
        <v/>
      </c>
      <c r="J180" s="18" t="str">
        <f t="shared" si="106"/>
        <v/>
      </c>
      <c r="K180" s="18" t="str">
        <f>IF(R180&lt;&gt;1,"",DATA_INPUT!H180)</f>
        <v/>
      </c>
      <c r="L180" s="18" t="str">
        <f t="shared" si="107"/>
        <v/>
      </c>
      <c r="M180" s="18" t="str">
        <f>IF(R180&lt;&gt;1,"",H180*CONTROL_PANEL!$B$14)</f>
        <v/>
      </c>
      <c r="N180" s="18" t="str">
        <f>IF(R180&lt;&gt;1,"",DATA_INPUT!K180)</f>
        <v/>
      </c>
      <c r="O180" s="18" t="str">
        <f t="shared" si="108"/>
        <v/>
      </c>
      <c r="P180" s="18" t="str">
        <f>IF(R180&lt;&gt;1,"",IF(O180-CONTROL_PANEL!$B$11&lt;0,0,O180-CONTROL_PANEL!$B$11))</f>
        <v/>
      </c>
      <c r="Q180" s="18" t="str">
        <f>IF(R180&lt;&gt;1,"",IF(N180&lt;=0,0,MIN(N180,MAX(0,CONTROL_PANEL!$B$13-O180))))</f>
        <v/>
      </c>
      <c r="R180" s="18"/>
      <c r="T180" s="19">
        <f t="shared" si="136"/>
        <v>2030</v>
      </c>
      <c r="U180" s="19">
        <f t="shared" si="92"/>
        <v>5</v>
      </c>
      <c r="V180" s="18" t="str">
        <f t="shared" si="109"/>
        <v/>
      </c>
      <c r="W180" s="18" t="str">
        <f t="shared" si="131"/>
        <v/>
      </c>
      <c r="X180" s="18" t="str">
        <f>IF(AK179&lt;&gt;1,"",IF(AH179&gt;0,IF(AH179&gt;CONTROL_PANEL!$B$11,CONTROL_PANEL!$B$11,AH179),0))</f>
        <v/>
      </c>
      <c r="Y180" s="18" t="str">
        <f t="shared" si="126"/>
        <v/>
      </c>
      <c r="Z180" s="18" t="str">
        <f>IF(AK180&lt;&gt;1,"",DATA_INPUT!I180)</f>
        <v/>
      </c>
      <c r="AA180" s="18" t="str">
        <f>IF(AK180&lt;&gt;1,"",Z180*CONTROL_PANEL!$B$5)</f>
        <v/>
      </c>
      <c r="AB180" s="18" t="str">
        <f>IF(AK180&lt;&gt;1,"",DATA_INPUT!$C180)</f>
        <v/>
      </c>
      <c r="AC180" s="18" t="str">
        <f t="shared" si="110"/>
        <v/>
      </c>
      <c r="AD180" s="18" t="str">
        <f>IF(AK180&lt;&gt;1,"",DATA_INPUT!$H180)</f>
        <v/>
      </c>
      <c r="AE180" s="18" t="str">
        <f t="shared" si="111"/>
        <v/>
      </c>
      <c r="AF180" s="18" t="str">
        <f>IF(AK180&lt;&gt;1,"",AA180*CONTROL_PANEL!$B$14)</f>
        <v/>
      </c>
      <c r="AG180" s="18" t="str">
        <f>IF(AK180&lt;&gt;1,"",DATA_INPUT!$L180)</f>
        <v/>
      </c>
      <c r="AH180" s="18" t="str">
        <f t="shared" si="112"/>
        <v/>
      </c>
      <c r="AI180" s="18" t="str">
        <f>IF(AK180&lt;&gt;1,"",IF(AH180-CONTROL_PANEL!$B$11&lt;0,0,AH180-CONTROL_PANEL!$B$11))</f>
        <v/>
      </c>
      <c r="AJ180" s="18" t="str">
        <f>IF(AK180&lt;&gt;1,"",IF(AG180&lt;=0,0,MIN(AG180,MAX(0,CONTROL_PANEL!$B$13-AH180))))</f>
        <v/>
      </c>
      <c r="AK180" s="18"/>
      <c r="AM180" s="19">
        <f t="shared" si="137"/>
        <v>2030</v>
      </c>
      <c r="AN180" s="19">
        <f t="shared" si="94"/>
        <v>5</v>
      </c>
      <c r="AO180" s="18" t="str">
        <f t="shared" si="113"/>
        <v/>
      </c>
      <c r="AP180" s="18" t="str">
        <f t="shared" si="132"/>
        <v/>
      </c>
      <c r="AQ180" s="18" t="str">
        <f>IF(BD179&lt;&gt;1,"",IF(BA179&gt;0,IF(BA179&gt;CONTROL_PANEL!$B$11,CONTROL_PANEL!$B$11,BA179),0))</f>
        <v/>
      </c>
      <c r="AR180" s="18" t="str">
        <f t="shared" si="127"/>
        <v/>
      </c>
      <c r="AS180" s="18" t="str">
        <f>IF(BD180&lt;&gt;1,"",DATA_INPUT!$I180)</f>
        <v/>
      </c>
      <c r="AT180" s="18" t="str">
        <f>IF(BD180&lt;&gt;1,"",AS180*CONTROL_PANEL!$B$5)</f>
        <v/>
      </c>
      <c r="AU180" s="18" t="str">
        <f>IF(BD180&lt;&gt;1,"",DATA_INPUT!$C180)</f>
        <v/>
      </c>
      <c r="AV180" s="18" t="str">
        <f t="shared" si="114"/>
        <v/>
      </c>
      <c r="AW180" s="18" t="str">
        <f>IF(BD180&lt;&gt;1,"",DATA_INPUT!$H180)</f>
        <v/>
      </c>
      <c r="AX180" s="18" t="str">
        <f t="shared" si="115"/>
        <v/>
      </c>
      <c r="AY180" s="18" t="str">
        <f>IF(BD180&lt;&gt;1,"",AT180*CONTROL_PANEL!$B$14)</f>
        <v/>
      </c>
      <c r="AZ180" s="18" t="str">
        <f>IF(BD180&lt;&gt;1,"",DATA_INPUT!$M180)</f>
        <v/>
      </c>
      <c r="BA180" s="18" t="str">
        <f t="shared" si="116"/>
        <v/>
      </c>
      <c r="BB180" s="18" t="str">
        <f>IF(BD180&lt;&gt;1,"",IF(BA180-CONTROL_PANEL!$B$11&lt;0,0,BA180-CONTROL_PANEL!$B$11))</f>
        <v/>
      </c>
      <c r="BC180" s="18" t="str">
        <f>IF(BD180&lt;&gt;1,"",IF(AZ180&lt;=0,0,MIN(AZ180,MAX(0,CONTROL_PANEL!$B$13-BA180))))</f>
        <v/>
      </c>
      <c r="BD180" s="18"/>
      <c r="BF180" s="19">
        <f t="shared" si="138"/>
        <v>2030</v>
      </c>
      <c r="BG180" s="19">
        <f t="shared" si="96"/>
        <v>5</v>
      </c>
      <c r="BH180" s="18" t="str">
        <f t="shared" si="117"/>
        <v/>
      </c>
      <c r="BI180" s="18" t="str">
        <f t="shared" si="133"/>
        <v/>
      </c>
      <c r="BJ180" s="18" t="str">
        <f>IF(BW179&lt;&gt;1,"",IF(BT179&gt;0,IF(BT179&gt;CONTROL_PANEL!$B$11,CONTROL_PANEL!$B$11,BT179),0))</f>
        <v/>
      </c>
      <c r="BK180" s="18" t="str">
        <f t="shared" si="128"/>
        <v/>
      </c>
      <c r="BL180" s="18" t="str">
        <f>IF(BW180&lt;&gt;1,"",DATA_INPUT!$I180)</f>
        <v/>
      </c>
      <c r="BM180" s="18" t="str">
        <f>IF(BW180&lt;&gt;1,"",BL180*CONTROL_PANEL!$B$5)</f>
        <v/>
      </c>
      <c r="BN180" s="18" t="str">
        <f>IF(BW180&lt;&gt;1,"",DATA_INPUT!$C180)</f>
        <v/>
      </c>
      <c r="BO180" s="18" t="str">
        <f t="shared" si="118"/>
        <v/>
      </c>
      <c r="BP180" s="18" t="str">
        <f>IF(BW180&lt;&gt;1,"",DATA_INPUT!$H180)</f>
        <v/>
      </c>
      <c r="BQ180" s="18" t="str">
        <f t="shared" si="119"/>
        <v/>
      </c>
      <c r="BR180" s="18" t="str">
        <f>IF(BW180&lt;&gt;1,"",BM180*CONTROL_PANEL!$B$14)</f>
        <v/>
      </c>
      <c r="BS180" s="18" t="str">
        <f>IF(BW180&lt;&gt;1,"",DATA_INPUT!$N180)</f>
        <v/>
      </c>
      <c r="BT180" s="18" t="str">
        <f t="shared" si="120"/>
        <v/>
      </c>
      <c r="BU180" s="18" t="str">
        <f>IF(BW180&lt;&gt;1,"",IF(BT180-CONTROL_PANEL!$B$11&lt;0,0,BT180-CONTROL_PANEL!$B$11))</f>
        <v/>
      </c>
      <c r="BV180" s="18" t="str">
        <f>IF(BW180&lt;&gt;1,"",IF(BS180&lt;=0,0,MIN(BS180,MAX(0,CONTROL_PANEL!$B$13-BT180))))</f>
        <v/>
      </c>
      <c r="BW180" s="18"/>
      <c r="BY180" s="19">
        <f t="shared" si="139"/>
        <v>2030</v>
      </c>
      <c r="BZ180" s="19">
        <f t="shared" si="98"/>
        <v>5</v>
      </c>
      <c r="CA180" s="18" t="str">
        <f t="shared" si="121"/>
        <v/>
      </c>
      <c r="CB180" s="18" t="str">
        <f t="shared" si="134"/>
        <v/>
      </c>
      <c r="CC180" s="18" t="str">
        <f>IF(CP179&lt;&gt;1,"",IF(CM179&gt;0,IF(CM179&gt;CONTROL_PANEL!$B$11,CONTROL_PANEL!$B$11,CM179),0))</f>
        <v/>
      </c>
      <c r="CD180" s="18" t="str">
        <f t="shared" si="129"/>
        <v/>
      </c>
      <c r="CE180" s="18" t="str">
        <f>IF(CP180&lt;&gt;1,"",DATA_INPUT!$I180)</f>
        <v/>
      </c>
      <c r="CF180" s="18" t="str">
        <f>IF(CP180&lt;&gt;1,"",CE180*CONTROL_PANEL!$B$5)</f>
        <v/>
      </c>
      <c r="CG180" s="18" t="str">
        <f>IF(CP180&lt;&gt;1,"",DATA_INPUT!$C180)</f>
        <v/>
      </c>
      <c r="CH180" s="18" t="str">
        <f t="shared" si="122"/>
        <v/>
      </c>
      <c r="CI180" s="18" t="str">
        <f>IF(CP180&lt;&gt;1,"",DATA_INPUT!$H180)</f>
        <v/>
      </c>
      <c r="CJ180" s="18" t="str">
        <f t="shared" si="123"/>
        <v/>
      </c>
      <c r="CK180" s="18" t="str">
        <f>IF(CP180&lt;&gt;1,"",CF180*CONTROL_PANEL!$B$14)</f>
        <v/>
      </c>
      <c r="CL180" s="18" t="str">
        <f>IF(CP180&lt;&gt;1,"",DATA_INPUT!$O180)</f>
        <v/>
      </c>
      <c r="CM180" s="18" t="str">
        <f t="shared" si="124"/>
        <v/>
      </c>
      <c r="CN180" s="18" t="str">
        <f>IF(CP180&lt;&gt;1,"",IF(CM180-CONTROL_PANEL!$B$11&lt;0,0,CM180-CONTROL_PANEL!$B$11))</f>
        <v/>
      </c>
      <c r="CO180" s="18" t="str">
        <f>IF(CP180&lt;&gt;1,"",IF(CL180&lt;=0,0,MIN(CL180,MAX(0,CONTROL_PANEL!$B$13-CM180))))</f>
        <v/>
      </c>
      <c r="CP180" s="18"/>
    </row>
    <row r="181" spans="1:94" x14ac:dyDescent="0.25">
      <c r="A181" s="19">
        <f t="shared" si="135"/>
        <v>2030</v>
      </c>
      <c r="B181" s="19">
        <f t="shared" si="90"/>
        <v>6</v>
      </c>
      <c r="C181" s="18" t="str">
        <f t="shared" si="105"/>
        <v/>
      </c>
      <c r="D181" s="18" t="str">
        <f t="shared" si="130"/>
        <v/>
      </c>
      <c r="E181" s="18" t="str">
        <f>IF(R180&lt;&gt;1,"",IF(O180&gt;0,IF(O180&gt;CONTROL_PANEL!$B$11,CONTROL_PANEL!$B$11,O180),0))</f>
        <v/>
      </c>
      <c r="F181" s="18" t="str">
        <f t="shared" si="125"/>
        <v/>
      </c>
      <c r="G181" s="18" t="str">
        <f>IF(R181&lt;&gt;1,"",DATA_INPUT!I181)</f>
        <v/>
      </c>
      <c r="H181" s="18" t="str">
        <f>IF(R181&lt;&gt;1,"",G181*CONTROL_PANEL!$B$5)</f>
        <v/>
      </c>
      <c r="I181" s="18" t="str">
        <f>IF(R181&lt;&gt;1,"",DATA_INPUT!C181)</f>
        <v/>
      </c>
      <c r="J181" s="18" t="str">
        <f t="shared" si="106"/>
        <v/>
      </c>
      <c r="K181" s="18" t="str">
        <f>IF(R181&lt;&gt;1,"",DATA_INPUT!H181)</f>
        <v/>
      </c>
      <c r="L181" s="18" t="str">
        <f t="shared" si="107"/>
        <v/>
      </c>
      <c r="M181" s="18" t="str">
        <f>IF(R181&lt;&gt;1,"",H181*CONTROL_PANEL!$B$14)</f>
        <v/>
      </c>
      <c r="N181" s="18" t="str">
        <f>IF(R181&lt;&gt;1,"",DATA_INPUT!K181)</f>
        <v/>
      </c>
      <c r="O181" s="18" t="str">
        <f t="shared" si="108"/>
        <v/>
      </c>
      <c r="P181" s="18" t="str">
        <f>IF(R181&lt;&gt;1,"",IF(O181-CONTROL_PANEL!$B$11&lt;0,0,O181-CONTROL_PANEL!$B$11))</f>
        <v/>
      </c>
      <c r="Q181" s="18" t="str">
        <f>IF(R181&lt;&gt;1,"",IF(N181&lt;=0,0,MIN(N181,MAX(0,CONTROL_PANEL!$B$13-O181))))</f>
        <v/>
      </c>
      <c r="R181" s="18"/>
      <c r="T181" s="19">
        <f t="shared" si="136"/>
        <v>2030</v>
      </c>
      <c r="U181" s="19">
        <f t="shared" si="92"/>
        <v>6</v>
      </c>
      <c r="V181" s="18" t="str">
        <f t="shared" si="109"/>
        <v/>
      </c>
      <c r="W181" s="18" t="str">
        <f t="shared" si="131"/>
        <v/>
      </c>
      <c r="X181" s="18" t="str">
        <f>IF(AK180&lt;&gt;1,"",IF(AH180&gt;0,IF(AH180&gt;CONTROL_PANEL!$B$11,CONTROL_PANEL!$B$11,AH180),0))</f>
        <v/>
      </c>
      <c r="Y181" s="18" t="str">
        <f t="shared" si="126"/>
        <v/>
      </c>
      <c r="Z181" s="18" t="str">
        <f>IF(AK181&lt;&gt;1,"",DATA_INPUT!I181)</f>
        <v/>
      </c>
      <c r="AA181" s="18" t="str">
        <f>IF(AK181&lt;&gt;1,"",Z181*CONTROL_PANEL!$B$5)</f>
        <v/>
      </c>
      <c r="AB181" s="18" t="str">
        <f>IF(AK181&lt;&gt;1,"",DATA_INPUT!$C181)</f>
        <v/>
      </c>
      <c r="AC181" s="18" t="str">
        <f t="shared" si="110"/>
        <v/>
      </c>
      <c r="AD181" s="18" t="str">
        <f>IF(AK181&lt;&gt;1,"",DATA_INPUT!$H181)</f>
        <v/>
      </c>
      <c r="AE181" s="18" t="str">
        <f t="shared" si="111"/>
        <v/>
      </c>
      <c r="AF181" s="18" t="str">
        <f>IF(AK181&lt;&gt;1,"",AA181*CONTROL_PANEL!$B$14)</f>
        <v/>
      </c>
      <c r="AG181" s="18" t="str">
        <f>IF(AK181&lt;&gt;1,"",DATA_INPUT!$L181)</f>
        <v/>
      </c>
      <c r="AH181" s="18" t="str">
        <f t="shared" si="112"/>
        <v/>
      </c>
      <c r="AI181" s="18" t="str">
        <f>IF(AK181&lt;&gt;1,"",IF(AH181-CONTROL_PANEL!$B$11&lt;0,0,AH181-CONTROL_PANEL!$B$11))</f>
        <v/>
      </c>
      <c r="AJ181" s="18" t="str">
        <f>IF(AK181&lt;&gt;1,"",IF(AG181&lt;=0,0,MIN(AG181,MAX(0,CONTROL_PANEL!$B$13-AH181))))</f>
        <v/>
      </c>
      <c r="AK181" s="18"/>
      <c r="AM181" s="19">
        <f t="shared" si="137"/>
        <v>2030</v>
      </c>
      <c r="AN181" s="19">
        <f t="shared" si="94"/>
        <v>6</v>
      </c>
      <c r="AO181" s="18" t="str">
        <f t="shared" si="113"/>
        <v/>
      </c>
      <c r="AP181" s="18" t="str">
        <f t="shared" si="132"/>
        <v/>
      </c>
      <c r="AQ181" s="18" t="str">
        <f>IF(BD180&lt;&gt;1,"",IF(BA180&gt;0,IF(BA180&gt;CONTROL_PANEL!$B$11,CONTROL_PANEL!$B$11,BA180),0))</f>
        <v/>
      </c>
      <c r="AR181" s="18" t="str">
        <f t="shared" si="127"/>
        <v/>
      </c>
      <c r="AS181" s="18" t="str">
        <f>IF(BD181&lt;&gt;1,"",DATA_INPUT!$I181)</f>
        <v/>
      </c>
      <c r="AT181" s="18" t="str">
        <f>IF(BD181&lt;&gt;1,"",AS181*CONTROL_PANEL!$B$5)</f>
        <v/>
      </c>
      <c r="AU181" s="18" t="str">
        <f>IF(BD181&lt;&gt;1,"",DATA_INPUT!$C181)</f>
        <v/>
      </c>
      <c r="AV181" s="18" t="str">
        <f t="shared" si="114"/>
        <v/>
      </c>
      <c r="AW181" s="18" t="str">
        <f>IF(BD181&lt;&gt;1,"",DATA_INPUT!$H181)</f>
        <v/>
      </c>
      <c r="AX181" s="18" t="str">
        <f t="shared" si="115"/>
        <v/>
      </c>
      <c r="AY181" s="18" t="str">
        <f>IF(BD181&lt;&gt;1,"",AT181*CONTROL_PANEL!$B$14)</f>
        <v/>
      </c>
      <c r="AZ181" s="18" t="str">
        <f>IF(BD181&lt;&gt;1,"",DATA_INPUT!$M181)</f>
        <v/>
      </c>
      <c r="BA181" s="18" t="str">
        <f t="shared" si="116"/>
        <v/>
      </c>
      <c r="BB181" s="18" t="str">
        <f>IF(BD181&lt;&gt;1,"",IF(BA181-CONTROL_PANEL!$B$11&lt;0,0,BA181-CONTROL_PANEL!$B$11))</f>
        <v/>
      </c>
      <c r="BC181" s="18" t="str">
        <f>IF(BD181&lt;&gt;1,"",IF(AZ181&lt;=0,0,MIN(AZ181,MAX(0,CONTROL_PANEL!$B$13-BA181))))</f>
        <v/>
      </c>
      <c r="BD181" s="18"/>
      <c r="BF181" s="19">
        <f t="shared" si="138"/>
        <v>2030</v>
      </c>
      <c r="BG181" s="19">
        <f t="shared" si="96"/>
        <v>6</v>
      </c>
      <c r="BH181" s="18" t="str">
        <f t="shared" si="117"/>
        <v/>
      </c>
      <c r="BI181" s="18" t="str">
        <f t="shared" si="133"/>
        <v/>
      </c>
      <c r="BJ181" s="18" t="str">
        <f>IF(BW180&lt;&gt;1,"",IF(BT180&gt;0,IF(BT180&gt;CONTROL_PANEL!$B$11,CONTROL_PANEL!$B$11,BT180),0))</f>
        <v/>
      </c>
      <c r="BK181" s="18" t="str">
        <f t="shared" si="128"/>
        <v/>
      </c>
      <c r="BL181" s="18" t="str">
        <f>IF(BW181&lt;&gt;1,"",DATA_INPUT!$I181)</f>
        <v/>
      </c>
      <c r="BM181" s="18" t="str">
        <f>IF(BW181&lt;&gt;1,"",BL181*CONTROL_PANEL!$B$5)</f>
        <v/>
      </c>
      <c r="BN181" s="18" t="str">
        <f>IF(BW181&lt;&gt;1,"",DATA_INPUT!$C181)</f>
        <v/>
      </c>
      <c r="BO181" s="18" t="str">
        <f t="shared" si="118"/>
        <v/>
      </c>
      <c r="BP181" s="18" t="str">
        <f>IF(BW181&lt;&gt;1,"",DATA_INPUT!$H181)</f>
        <v/>
      </c>
      <c r="BQ181" s="18" t="str">
        <f t="shared" si="119"/>
        <v/>
      </c>
      <c r="BR181" s="18" t="str">
        <f>IF(BW181&lt;&gt;1,"",BM181*CONTROL_PANEL!$B$14)</f>
        <v/>
      </c>
      <c r="BS181" s="18" t="str">
        <f>IF(BW181&lt;&gt;1,"",DATA_INPUT!$N181)</f>
        <v/>
      </c>
      <c r="BT181" s="18" t="str">
        <f t="shared" si="120"/>
        <v/>
      </c>
      <c r="BU181" s="18" t="str">
        <f>IF(BW181&lt;&gt;1,"",IF(BT181-CONTROL_PANEL!$B$11&lt;0,0,BT181-CONTROL_PANEL!$B$11))</f>
        <v/>
      </c>
      <c r="BV181" s="18" t="str">
        <f>IF(BW181&lt;&gt;1,"",IF(BS181&lt;=0,0,MIN(BS181,MAX(0,CONTROL_PANEL!$B$13-BT181))))</f>
        <v/>
      </c>
      <c r="BW181" s="18"/>
      <c r="BY181" s="19">
        <f t="shared" si="139"/>
        <v>2030</v>
      </c>
      <c r="BZ181" s="19">
        <f t="shared" si="98"/>
        <v>6</v>
      </c>
      <c r="CA181" s="18" t="str">
        <f t="shared" si="121"/>
        <v/>
      </c>
      <c r="CB181" s="18" t="str">
        <f t="shared" si="134"/>
        <v/>
      </c>
      <c r="CC181" s="18" t="str">
        <f>IF(CP180&lt;&gt;1,"",IF(CM180&gt;0,IF(CM180&gt;CONTROL_PANEL!$B$11,CONTROL_PANEL!$B$11,CM180),0))</f>
        <v/>
      </c>
      <c r="CD181" s="18" t="str">
        <f t="shared" si="129"/>
        <v/>
      </c>
      <c r="CE181" s="18" t="str">
        <f>IF(CP181&lt;&gt;1,"",DATA_INPUT!$I181)</f>
        <v/>
      </c>
      <c r="CF181" s="18" t="str">
        <f>IF(CP181&lt;&gt;1,"",CE181*CONTROL_PANEL!$B$5)</f>
        <v/>
      </c>
      <c r="CG181" s="18" t="str">
        <f>IF(CP181&lt;&gt;1,"",DATA_INPUT!$C181)</f>
        <v/>
      </c>
      <c r="CH181" s="18" t="str">
        <f t="shared" si="122"/>
        <v/>
      </c>
      <c r="CI181" s="18" t="str">
        <f>IF(CP181&lt;&gt;1,"",DATA_INPUT!$H181)</f>
        <v/>
      </c>
      <c r="CJ181" s="18" t="str">
        <f t="shared" si="123"/>
        <v/>
      </c>
      <c r="CK181" s="18" t="str">
        <f>IF(CP181&lt;&gt;1,"",CF181*CONTROL_PANEL!$B$14)</f>
        <v/>
      </c>
      <c r="CL181" s="18" t="str">
        <f>IF(CP181&lt;&gt;1,"",DATA_INPUT!$O181)</f>
        <v/>
      </c>
      <c r="CM181" s="18" t="str">
        <f t="shared" si="124"/>
        <v/>
      </c>
      <c r="CN181" s="18" t="str">
        <f>IF(CP181&lt;&gt;1,"",IF(CM181-CONTROL_PANEL!$B$11&lt;0,0,CM181-CONTROL_PANEL!$B$11))</f>
        <v/>
      </c>
      <c r="CO181" s="18" t="str">
        <f>IF(CP181&lt;&gt;1,"",IF(CL181&lt;=0,0,MIN(CL181,MAX(0,CONTROL_PANEL!$B$13-CM181))))</f>
        <v/>
      </c>
      <c r="CP181" s="18"/>
    </row>
    <row r="182" spans="1:94" x14ac:dyDescent="0.25">
      <c r="A182" s="19">
        <f t="shared" si="135"/>
        <v>2030</v>
      </c>
      <c r="B182" s="19">
        <f t="shared" si="90"/>
        <v>7</v>
      </c>
      <c r="C182" s="18" t="str">
        <f t="shared" si="105"/>
        <v/>
      </c>
      <c r="D182" s="18" t="str">
        <f t="shared" si="130"/>
        <v/>
      </c>
      <c r="E182" s="18" t="str">
        <f>IF(R181&lt;&gt;1,"",IF(O181&gt;0,IF(O181&gt;CONTROL_PANEL!$B$11,CONTROL_PANEL!$B$11,O181),0))</f>
        <v/>
      </c>
      <c r="F182" s="18" t="str">
        <f t="shared" si="125"/>
        <v/>
      </c>
      <c r="G182" s="18" t="str">
        <f>IF(R182&lt;&gt;1,"",DATA_INPUT!I182)</f>
        <v/>
      </c>
      <c r="H182" s="18" t="str">
        <f>IF(R182&lt;&gt;1,"",G182*CONTROL_PANEL!$B$5)</f>
        <v/>
      </c>
      <c r="I182" s="18" t="str">
        <f>IF(R182&lt;&gt;1,"",DATA_INPUT!C182)</f>
        <v/>
      </c>
      <c r="J182" s="18" t="str">
        <f t="shared" si="106"/>
        <v/>
      </c>
      <c r="K182" s="18" t="str">
        <f>IF(R182&lt;&gt;1,"",DATA_INPUT!H182)</f>
        <v/>
      </c>
      <c r="L182" s="18" t="str">
        <f t="shared" si="107"/>
        <v/>
      </c>
      <c r="M182" s="18" t="str">
        <f>IF(R182&lt;&gt;1,"",H182*CONTROL_PANEL!$B$14)</f>
        <v/>
      </c>
      <c r="N182" s="18" t="str">
        <f>IF(R182&lt;&gt;1,"",DATA_INPUT!K182)</f>
        <v/>
      </c>
      <c r="O182" s="18" t="str">
        <f t="shared" si="108"/>
        <v/>
      </c>
      <c r="P182" s="18" t="str">
        <f>IF(R182&lt;&gt;1,"",IF(O182-CONTROL_PANEL!$B$11&lt;0,0,O182-CONTROL_PANEL!$B$11))</f>
        <v/>
      </c>
      <c r="Q182" s="18" t="str">
        <f>IF(R182&lt;&gt;1,"",IF(N182&lt;=0,0,MIN(N182,MAX(0,CONTROL_PANEL!$B$13-O182))))</f>
        <v/>
      </c>
      <c r="R182" s="18"/>
      <c r="T182" s="19">
        <f t="shared" si="136"/>
        <v>2030</v>
      </c>
      <c r="U182" s="19">
        <f t="shared" si="92"/>
        <v>7</v>
      </c>
      <c r="V182" s="18" t="str">
        <f t="shared" si="109"/>
        <v/>
      </c>
      <c r="W182" s="18" t="str">
        <f t="shared" si="131"/>
        <v/>
      </c>
      <c r="X182" s="18" t="str">
        <f>IF(AK181&lt;&gt;1,"",IF(AH181&gt;0,IF(AH181&gt;CONTROL_PANEL!$B$11,CONTROL_PANEL!$B$11,AH181),0))</f>
        <v/>
      </c>
      <c r="Y182" s="18" t="str">
        <f t="shared" si="126"/>
        <v/>
      </c>
      <c r="Z182" s="18" t="str">
        <f>IF(AK182&lt;&gt;1,"",DATA_INPUT!I182)</f>
        <v/>
      </c>
      <c r="AA182" s="18" t="str">
        <f>IF(AK182&lt;&gt;1,"",Z182*CONTROL_PANEL!$B$5)</f>
        <v/>
      </c>
      <c r="AB182" s="18" t="str">
        <f>IF(AK182&lt;&gt;1,"",DATA_INPUT!$C182)</f>
        <v/>
      </c>
      <c r="AC182" s="18" t="str">
        <f t="shared" si="110"/>
        <v/>
      </c>
      <c r="AD182" s="18" t="str">
        <f>IF(AK182&lt;&gt;1,"",DATA_INPUT!$H182)</f>
        <v/>
      </c>
      <c r="AE182" s="18" t="str">
        <f t="shared" si="111"/>
        <v/>
      </c>
      <c r="AF182" s="18" t="str">
        <f>IF(AK182&lt;&gt;1,"",AA182*CONTROL_PANEL!$B$14)</f>
        <v/>
      </c>
      <c r="AG182" s="18" t="str">
        <f>IF(AK182&lt;&gt;1,"",DATA_INPUT!$L182)</f>
        <v/>
      </c>
      <c r="AH182" s="18" t="str">
        <f t="shared" si="112"/>
        <v/>
      </c>
      <c r="AI182" s="18" t="str">
        <f>IF(AK182&lt;&gt;1,"",IF(AH182-CONTROL_PANEL!$B$11&lt;0,0,AH182-CONTROL_PANEL!$B$11))</f>
        <v/>
      </c>
      <c r="AJ182" s="18" t="str">
        <f>IF(AK182&lt;&gt;1,"",IF(AG182&lt;=0,0,MIN(AG182,MAX(0,CONTROL_PANEL!$B$13-AH182))))</f>
        <v/>
      </c>
      <c r="AK182" s="18"/>
      <c r="AM182" s="19">
        <f t="shared" si="137"/>
        <v>2030</v>
      </c>
      <c r="AN182" s="19">
        <f t="shared" si="94"/>
        <v>7</v>
      </c>
      <c r="AO182" s="18" t="str">
        <f t="shared" si="113"/>
        <v/>
      </c>
      <c r="AP182" s="18" t="str">
        <f t="shared" si="132"/>
        <v/>
      </c>
      <c r="AQ182" s="18" t="str">
        <f>IF(BD181&lt;&gt;1,"",IF(BA181&gt;0,IF(BA181&gt;CONTROL_PANEL!$B$11,CONTROL_PANEL!$B$11,BA181),0))</f>
        <v/>
      </c>
      <c r="AR182" s="18" t="str">
        <f t="shared" si="127"/>
        <v/>
      </c>
      <c r="AS182" s="18" t="str">
        <f>IF(BD182&lt;&gt;1,"",DATA_INPUT!$I182)</f>
        <v/>
      </c>
      <c r="AT182" s="18" t="str">
        <f>IF(BD182&lt;&gt;1,"",AS182*CONTROL_PANEL!$B$5)</f>
        <v/>
      </c>
      <c r="AU182" s="18" t="str">
        <f>IF(BD182&lt;&gt;1,"",DATA_INPUT!$C182)</f>
        <v/>
      </c>
      <c r="AV182" s="18" t="str">
        <f t="shared" si="114"/>
        <v/>
      </c>
      <c r="AW182" s="18" t="str">
        <f>IF(BD182&lt;&gt;1,"",DATA_INPUT!$H182)</f>
        <v/>
      </c>
      <c r="AX182" s="18" t="str">
        <f t="shared" si="115"/>
        <v/>
      </c>
      <c r="AY182" s="18" t="str">
        <f>IF(BD182&lt;&gt;1,"",AT182*CONTROL_PANEL!$B$14)</f>
        <v/>
      </c>
      <c r="AZ182" s="18" t="str">
        <f>IF(BD182&lt;&gt;1,"",DATA_INPUT!$M182)</f>
        <v/>
      </c>
      <c r="BA182" s="18" t="str">
        <f t="shared" si="116"/>
        <v/>
      </c>
      <c r="BB182" s="18" t="str">
        <f>IF(BD182&lt;&gt;1,"",IF(BA182-CONTROL_PANEL!$B$11&lt;0,0,BA182-CONTROL_PANEL!$B$11))</f>
        <v/>
      </c>
      <c r="BC182" s="18" t="str">
        <f>IF(BD182&lt;&gt;1,"",IF(AZ182&lt;=0,0,MIN(AZ182,MAX(0,CONTROL_PANEL!$B$13-BA182))))</f>
        <v/>
      </c>
      <c r="BD182" s="18"/>
      <c r="BF182" s="19">
        <f t="shared" si="138"/>
        <v>2030</v>
      </c>
      <c r="BG182" s="19">
        <f t="shared" si="96"/>
        <v>7</v>
      </c>
      <c r="BH182" s="18" t="str">
        <f t="shared" si="117"/>
        <v/>
      </c>
      <c r="BI182" s="18" t="str">
        <f t="shared" si="133"/>
        <v/>
      </c>
      <c r="BJ182" s="18" t="str">
        <f>IF(BW181&lt;&gt;1,"",IF(BT181&gt;0,IF(BT181&gt;CONTROL_PANEL!$B$11,CONTROL_PANEL!$B$11,BT181),0))</f>
        <v/>
      </c>
      <c r="BK182" s="18" t="str">
        <f t="shared" si="128"/>
        <v/>
      </c>
      <c r="BL182" s="18" t="str">
        <f>IF(BW182&lt;&gt;1,"",DATA_INPUT!$I182)</f>
        <v/>
      </c>
      <c r="BM182" s="18" t="str">
        <f>IF(BW182&lt;&gt;1,"",BL182*CONTROL_PANEL!$B$5)</f>
        <v/>
      </c>
      <c r="BN182" s="18" t="str">
        <f>IF(BW182&lt;&gt;1,"",DATA_INPUT!$C182)</f>
        <v/>
      </c>
      <c r="BO182" s="18" t="str">
        <f t="shared" si="118"/>
        <v/>
      </c>
      <c r="BP182" s="18" t="str">
        <f>IF(BW182&lt;&gt;1,"",DATA_INPUT!$H182)</f>
        <v/>
      </c>
      <c r="BQ182" s="18" t="str">
        <f t="shared" si="119"/>
        <v/>
      </c>
      <c r="BR182" s="18" t="str">
        <f>IF(BW182&lt;&gt;1,"",BM182*CONTROL_PANEL!$B$14)</f>
        <v/>
      </c>
      <c r="BS182" s="18" t="str">
        <f>IF(BW182&lt;&gt;1,"",DATA_INPUT!$N182)</f>
        <v/>
      </c>
      <c r="BT182" s="18" t="str">
        <f t="shared" si="120"/>
        <v/>
      </c>
      <c r="BU182" s="18" t="str">
        <f>IF(BW182&lt;&gt;1,"",IF(BT182-CONTROL_PANEL!$B$11&lt;0,0,BT182-CONTROL_PANEL!$B$11))</f>
        <v/>
      </c>
      <c r="BV182" s="18" t="str">
        <f>IF(BW182&lt;&gt;1,"",IF(BS182&lt;=0,0,MIN(BS182,MAX(0,CONTROL_PANEL!$B$13-BT182))))</f>
        <v/>
      </c>
      <c r="BW182" s="18"/>
      <c r="BY182" s="19">
        <f t="shared" si="139"/>
        <v>2030</v>
      </c>
      <c r="BZ182" s="19">
        <f t="shared" si="98"/>
        <v>7</v>
      </c>
      <c r="CA182" s="18" t="str">
        <f t="shared" si="121"/>
        <v/>
      </c>
      <c r="CB182" s="18" t="str">
        <f t="shared" si="134"/>
        <v/>
      </c>
      <c r="CC182" s="18" t="str">
        <f>IF(CP181&lt;&gt;1,"",IF(CM181&gt;0,IF(CM181&gt;CONTROL_PANEL!$B$11,CONTROL_PANEL!$B$11,CM181),0))</f>
        <v/>
      </c>
      <c r="CD182" s="18" t="str">
        <f t="shared" si="129"/>
        <v/>
      </c>
      <c r="CE182" s="18" t="str">
        <f>IF(CP182&lt;&gt;1,"",DATA_INPUT!$I182)</f>
        <v/>
      </c>
      <c r="CF182" s="18" t="str">
        <f>IF(CP182&lt;&gt;1,"",CE182*CONTROL_PANEL!$B$5)</f>
        <v/>
      </c>
      <c r="CG182" s="18" t="str">
        <f>IF(CP182&lt;&gt;1,"",DATA_INPUT!$C182)</f>
        <v/>
      </c>
      <c r="CH182" s="18" t="str">
        <f t="shared" si="122"/>
        <v/>
      </c>
      <c r="CI182" s="18" t="str">
        <f>IF(CP182&lt;&gt;1,"",DATA_INPUT!$H182)</f>
        <v/>
      </c>
      <c r="CJ182" s="18" t="str">
        <f t="shared" si="123"/>
        <v/>
      </c>
      <c r="CK182" s="18" t="str">
        <f>IF(CP182&lt;&gt;1,"",CF182*CONTROL_PANEL!$B$14)</f>
        <v/>
      </c>
      <c r="CL182" s="18" t="str">
        <f>IF(CP182&lt;&gt;1,"",DATA_INPUT!$O182)</f>
        <v/>
      </c>
      <c r="CM182" s="18" t="str">
        <f t="shared" si="124"/>
        <v/>
      </c>
      <c r="CN182" s="18" t="str">
        <f>IF(CP182&lt;&gt;1,"",IF(CM182-CONTROL_PANEL!$B$11&lt;0,0,CM182-CONTROL_PANEL!$B$11))</f>
        <v/>
      </c>
      <c r="CO182" s="18" t="str">
        <f>IF(CP182&lt;&gt;1,"",IF(CL182&lt;=0,0,MIN(CL182,MAX(0,CONTROL_PANEL!$B$13-CM182))))</f>
        <v/>
      </c>
      <c r="CP182" s="18"/>
    </row>
    <row r="183" spans="1:94" x14ac:dyDescent="0.25">
      <c r="A183" s="19">
        <f t="shared" si="135"/>
        <v>2030</v>
      </c>
      <c r="B183" s="19">
        <f t="shared" si="90"/>
        <v>8</v>
      </c>
      <c r="C183" s="18" t="str">
        <f t="shared" si="105"/>
        <v/>
      </c>
      <c r="D183" s="18" t="str">
        <f t="shared" si="130"/>
        <v/>
      </c>
      <c r="E183" s="18" t="str">
        <f>IF(R182&lt;&gt;1,"",IF(O182&gt;0,IF(O182&gt;CONTROL_PANEL!$B$11,CONTROL_PANEL!$B$11,O182),0))</f>
        <v/>
      </c>
      <c r="F183" s="18" t="str">
        <f t="shared" si="125"/>
        <v/>
      </c>
      <c r="G183" s="18" t="str">
        <f>IF(R183&lt;&gt;1,"",DATA_INPUT!I183)</f>
        <v/>
      </c>
      <c r="H183" s="18" t="str">
        <f>IF(R183&lt;&gt;1,"",G183*CONTROL_PANEL!$B$5)</f>
        <v/>
      </c>
      <c r="I183" s="18" t="str">
        <f>IF(R183&lt;&gt;1,"",DATA_INPUT!C183)</f>
        <v/>
      </c>
      <c r="J183" s="18" t="str">
        <f t="shared" si="106"/>
        <v/>
      </c>
      <c r="K183" s="18" t="str">
        <f>IF(R183&lt;&gt;1,"",DATA_INPUT!H183)</f>
        <v/>
      </c>
      <c r="L183" s="18" t="str">
        <f t="shared" si="107"/>
        <v/>
      </c>
      <c r="M183" s="18" t="str">
        <f>IF(R183&lt;&gt;1,"",H183*CONTROL_PANEL!$B$14)</f>
        <v/>
      </c>
      <c r="N183" s="18" t="str">
        <f>IF(R183&lt;&gt;1,"",DATA_INPUT!K183)</f>
        <v/>
      </c>
      <c r="O183" s="18" t="str">
        <f t="shared" si="108"/>
        <v/>
      </c>
      <c r="P183" s="18" t="str">
        <f>IF(R183&lt;&gt;1,"",IF(O183-CONTROL_PANEL!$B$11&lt;0,0,O183-CONTROL_PANEL!$B$11))</f>
        <v/>
      </c>
      <c r="Q183" s="18" t="str">
        <f>IF(R183&lt;&gt;1,"",IF(N183&lt;=0,0,MIN(N183,MAX(0,CONTROL_PANEL!$B$13-O183))))</f>
        <v/>
      </c>
      <c r="R183" s="18"/>
      <c r="T183" s="19">
        <f t="shared" si="136"/>
        <v>2030</v>
      </c>
      <c r="U183" s="19">
        <f t="shared" si="92"/>
        <v>8</v>
      </c>
      <c r="V183" s="18" t="str">
        <f t="shared" si="109"/>
        <v/>
      </c>
      <c r="W183" s="18" t="str">
        <f t="shared" si="131"/>
        <v/>
      </c>
      <c r="X183" s="18" t="str">
        <f>IF(AK182&lt;&gt;1,"",IF(AH182&gt;0,IF(AH182&gt;CONTROL_PANEL!$B$11,CONTROL_PANEL!$B$11,AH182),0))</f>
        <v/>
      </c>
      <c r="Y183" s="18" t="str">
        <f t="shared" si="126"/>
        <v/>
      </c>
      <c r="Z183" s="18" t="str">
        <f>IF(AK183&lt;&gt;1,"",DATA_INPUT!I183)</f>
        <v/>
      </c>
      <c r="AA183" s="18" t="str">
        <f>IF(AK183&lt;&gt;1,"",Z183*CONTROL_PANEL!$B$5)</f>
        <v/>
      </c>
      <c r="AB183" s="18" t="str">
        <f>IF(AK183&lt;&gt;1,"",DATA_INPUT!$C183)</f>
        <v/>
      </c>
      <c r="AC183" s="18" t="str">
        <f t="shared" si="110"/>
        <v/>
      </c>
      <c r="AD183" s="18" t="str">
        <f>IF(AK183&lt;&gt;1,"",DATA_INPUT!$H183)</f>
        <v/>
      </c>
      <c r="AE183" s="18" t="str">
        <f t="shared" si="111"/>
        <v/>
      </c>
      <c r="AF183" s="18" t="str">
        <f>IF(AK183&lt;&gt;1,"",AA183*CONTROL_PANEL!$B$14)</f>
        <v/>
      </c>
      <c r="AG183" s="18" t="str">
        <f>IF(AK183&lt;&gt;1,"",DATA_INPUT!$L183)</f>
        <v/>
      </c>
      <c r="AH183" s="18" t="str">
        <f t="shared" si="112"/>
        <v/>
      </c>
      <c r="AI183" s="18" t="str">
        <f>IF(AK183&lt;&gt;1,"",IF(AH183-CONTROL_PANEL!$B$11&lt;0,0,AH183-CONTROL_PANEL!$B$11))</f>
        <v/>
      </c>
      <c r="AJ183" s="18" t="str">
        <f>IF(AK183&lt;&gt;1,"",IF(AG183&lt;=0,0,MIN(AG183,MAX(0,CONTROL_PANEL!$B$13-AH183))))</f>
        <v/>
      </c>
      <c r="AK183" s="18"/>
      <c r="AM183" s="19">
        <f t="shared" si="137"/>
        <v>2030</v>
      </c>
      <c r="AN183" s="19">
        <f t="shared" si="94"/>
        <v>8</v>
      </c>
      <c r="AO183" s="18" t="str">
        <f t="shared" si="113"/>
        <v/>
      </c>
      <c r="AP183" s="18" t="str">
        <f t="shared" si="132"/>
        <v/>
      </c>
      <c r="AQ183" s="18" t="str">
        <f>IF(BD182&lt;&gt;1,"",IF(BA182&gt;0,IF(BA182&gt;CONTROL_PANEL!$B$11,CONTROL_PANEL!$B$11,BA182),0))</f>
        <v/>
      </c>
      <c r="AR183" s="18" t="str">
        <f t="shared" si="127"/>
        <v/>
      </c>
      <c r="AS183" s="18" t="str">
        <f>IF(BD183&lt;&gt;1,"",DATA_INPUT!$I183)</f>
        <v/>
      </c>
      <c r="AT183" s="18" t="str">
        <f>IF(BD183&lt;&gt;1,"",AS183*CONTROL_PANEL!$B$5)</f>
        <v/>
      </c>
      <c r="AU183" s="18" t="str">
        <f>IF(BD183&lt;&gt;1,"",DATA_INPUT!$C183)</f>
        <v/>
      </c>
      <c r="AV183" s="18" t="str">
        <f t="shared" si="114"/>
        <v/>
      </c>
      <c r="AW183" s="18" t="str">
        <f>IF(BD183&lt;&gt;1,"",DATA_INPUT!$H183)</f>
        <v/>
      </c>
      <c r="AX183" s="18" t="str">
        <f t="shared" si="115"/>
        <v/>
      </c>
      <c r="AY183" s="18" t="str">
        <f>IF(BD183&lt;&gt;1,"",AT183*CONTROL_PANEL!$B$14)</f>
        <v/>
      </c>
      <c r="AZ183" s="18" t="str">
        <f>IF(BD183&lt;&gt;1,"",DATA_INPUT!$M183)</f>
        <v/>
      </c>
      <c r="BA183" s="18" t="str">
        <f t="shared" si="116"/>
        <v/>
      </c>
      <c r="BB183" s="18" t="str">
        <f>IF(BD183&lt;&gt;1,"",IF(BA183-CONTROL_PANEL!$B$11&lt;0,0,BA183-CONTROL_PANEL!$B$11))</f>
        <v/>
      </c>
      <c r="BC183" s="18" t="str">
        <f>IF(BD183&lt;&gt;1,"",IF(AZ183&lt;=0,0,MIN(AZ183,MAX(0,CONTROL_PANEL!$B$13-BA183))))</f>
        <v/>
      </c>
      <c r="BD183" s="18"/>
      <c r="BF183" s="19">
        <f t="shared" si="138"/>
        <v>2030</v>
      </c>
      <c r="BG183" s="19">
        <f t="shared" si="96"/>
        <v>8</v>
      </c>
      <c r="BH183" s="18" t="str">
        <f t="shared" si="117"/>
        <v/>
      </c>
      <c r="BI183" s="18" t="str">
        <f t="shared" si="133"/>
        <v/>
      </c>
      <c r="BJ183" s="18" t="str">
        <f>IF(BW182&lt;&gt;1,"",IF(BT182&gt;0,IF(BT182&gt;CONTROL_PANEL!$B$11,CONTROL_PANEL!$B$11,BT182),0))</f>
        <v/>
      </c>
      <c r="BK183" s="18" t="str">
        <f t="shared" si="128"/>
        <v/>
      </c>
      <c r="BL183" s="18" t="str">
        <f>IF(BW183&lt;&gt;1,"",DATA_INPUT!$I183)</f>
        <v/>
      </c>
      <c r="BM183" s="18" t="str">
        <f>IF(BW183&lt;&gt;1,"",BL183*CONTROL_PANEL!$B$5)</f>
        <v/>
      </c>
      <c r="BN183" s="18" t="str">
        <f>IF(BW183&lt;&gt;1,"",DATA_INPUT!$C183)</f>
        <v/>
      </c>
      <c r="BO183" s="18" t="str">
        <f t="shared" si="118"/>
        <v/>
      </c>
      <c r="BP183" s="18" t="str">
        <f>IF(BW183&lt;&gt;1,"",DATA_INPUT!$H183)</f>
        <v/>
      </c>
      <c r="BQ183" s="18" t="str">
        <f t="shared" si="119"/>
        <v/>
      </c>
      <c r="BR183" s="18" t="str">
        <f>IF(BW183&lt;&gt;1,"",BM183*CONTROL_PANEL!$B$14)</f>
        <v/>
      </c>
      <c r="BS183" s="18" t="str">
        <f>IF(BW183&lt;&gt;1,"",DATA_INPUT!$N183)</f>
        <v/>
      </c>
      <c r="BT183" s="18" t="str">
        <f t="shared" si="120"/>
        <v/>
      </c>
      <c r="BU183" s="18" t="str">
        <f>IF(BW183&lt;&gt;1,"",IF(BT183-CONTROL_PANEL!$B$11&lt;0,0,BT183-CONTROL_PANEL!$B$11))</f>
        <v/>
      </c>
      <c r="BV183" s="18" t="str">
        <f>IF(BW183&lt;&gt;1,"",IF(BS183&lt;=0,0,MIN(BS183,MAX(0,CONTROL_PANEL!$B$13-BT183))))</f>
        <v/>
      </c>
      <c r="BW183" s="18"/>
      <c r="BY183" s="19">
        <f t="shared" si="139"/>
        <v>2030</v>
      </c>
      <c r="BZ183" s="19">
        <f t="shared" si="98"/>
        <v>8</v>
      </c>
      <c r="CA183" s="18" t="str">
        <f t="shared" si="121"/>
        <v/>
      </c>
      <c r="CB183" s="18" t="str">
        <f t="shared" si="134"/>
        <v/>
      </c>
      <c r="CC183" s="18" t="str">
        <f>IF(CP182&lt;&gt;1,"",IF(CM182&gt;0,IF(CM182&gt;CONTROL_PANEL!$B$11,CONTROL_PANEL!$B$11,CM182),0))</f>
        <v/>
      </c>
      <c r="CD183" s="18" t="str">
        <f t="shared" si="129"/>
        <v/>
      </c>
      <c r="CE183" s="18" t="str">
        <f>IF(CP183&lt;&gt;1,"",DATA_INPUT!$I183)</f>
        <v/>
      </c>
      <c r="CF183" s="18" t="str">
        <f>IF(CP183&lt;&gt;1,"",CE183*CONTROL_PANEL!$B$5)</f>
        <v/>
      </c>
      <c r="CG183" s="18" t="str">
        <f>IF(CP183&lt;&gt;1,"",DATA_INPUT!$C183)</f>
        <v/>
      </c>
      <c r="CH183" s="18" t="str">
        <f t="shared" si="122"/>
        <v/>
      </c>
      <c r="CI183" s="18" t="str">
        <f>IF(CP183&lt;&gt;1,"",DATA_INPUT!$H183)</f>
        <v/>
      </c>
      <c r="CJ183" s="18" t="str">
        <f t="shared" si="123"/>
        <v/>
      </c>
      <c r="CK183" s="18" t="str">
        <f>IF(CP183&lt;&gt;1,"",CF183*CONTROL_PANEL!$B$14)</f>
        <v/>
      </c>
      <c r="CL183" s="18" t="str">
        <f>IF(CP183&lt;&gt;1,"",DATA_INPUT!$O183)</f>
        <v/>
      </c>
      <c r="CM183" s="18" t="str">
        <f t="shared" si="124"/>
        <v/>
      </c>
      <c r="CN183" s="18" t="str">
        <f>IF(CP183&lt;&gt;1,"",IF(CM183-CONTROL_PANEL!$B$11&lt;0,0,CM183-CONTROL_PANEL!$B$11))</f>
        <v/>
      </c>
      <c r="CO183" s="18" t="str">
        <f>IF(CP183&lt;&gt;1,"",IF(CL183&lt;=0,0,MIN(CL183,MAX(0,CONTROL_PANEL!$B$13-CM183))))</f>
        <v/>
      </c>
      <c r="CP183" s="18"/>
    </row>
    <row r="184" spans="1:94" x14ac:dyDescent="0.25">
      <c r="A184" s="19">
        <f t="shared" si="135"/>
        <v>2030</v>
      </c>
      <c r="B184" s="19">
        <f t="shared" si="90"/>
        <v>9</v>
      </c>
      <c r="C184" s="18" t="str">
        <f t="shared" si="105"/>
        <v/>
      </c>
      <c r="D184" s="18" t="str">
        <f t="shared" si="130"/>
        <v/>
      </c>
      <c r="E184" s="18" t="str">
        <f>IF(R183&lt;&gt;1,"",IF(O183&gt;0,IF(O183&gt;CONTROL_PANEL!$B$11,CONTROL_PANEL!$B$11,O183),0))</f>
        <v/>
      </c>
      <c r="F184" s="18" t="str">
        <f t="shared" si="125"/>
        <v/>
      </c>
      <c r="G184" s="18" t="str">
        <f>IF(R184&lt;&gt;1,"",DATA_INPUT!I184)</f>
        <v/>
      </c>
      <c r="H184" s="18" t="str">
        <f>IF(R184&lt;&gt;1,"",G184*CONTROL_PANEL!$B$5)</f>
        <v/>
      </c>
      <c r="I184" s="18" t="str">
        <f>IF(R184&lt;&gt;1,"",DATA_INPUT!C184)</f>
        <v/>
      </c>
      <c r="J184" s="18" t="str">
        <f t="shared" si="106"/>
        <v/>
      </c>
      <c r="K184" s="18" t="str">
        <f>IF(R184&lt;&gt;1,"",DATA_INPUT!H184)</f>
        <v/>
      </c>
      <c r="L184" s="18" t="str">
        <f t="shared" si="107"/>
        <v/>
      </c>
      <c r="M184" s="18" t="str">
        <f>IF(R184&lt;&gt;1,"",H184*CONTROL_PANEL!$B$14)</f>
        <v/>
      </c>
      <c r="N184" s="18" t="str">
        <f>IF(R184&lt;&gt;1,"",DATA_INPUT!K184)</f>
        <v/>
      </c>
      <c r="O184" s="18" t="str">
        <f t="shared" si="108"/>
        <v/>
      </c>
      <c r="P184" s="18" t="str">
        <f>IF(R184&lt;&gt;1,"",IF(O184-CONTROL_PANEL!$B$11&lt;0,0,O184-CONTROL_PANEL!$B$11))</f>
        <v/>
      </c>
      <c r="Q184" s="18" t="str">
        <f>IF(R184&lt;&gt;1,"",IF(N184&lt;=0,0,MIN(N184,MAX(0,CONTROL_PANEL!$B$13-O184))))</f>
        <v/>
      </c>
      <c r="R184" s="18"/>
      <c r="T184" s="19">
        <f t="shared" si="136"/>
        <v>2030</v>
      </c>
      <c r="U184" s="19">
        <f t="shared" si="92"/>
        <v>9</v>
      </c>
      <c r="V184" s="18" t="str">
        <f t="shared" si="109"/>
        <v/>
      </c>
      <c r="W184" s="18" t="str">
        <f t="shared" si="131"/>
        <v/>
      </c>
      <c r="X184" s="18" t="str">
        <f>IF(AK183&lt;&gt;1,"",IF(AH183&gt;0,IF(AH183&gt;CONTROL_PANEL!$B$11,CONTROL_PANEL!$B$11,AH183),0))</f>
        <v/>
      </c>
      <c r="Y184" s="18" t="str">
        <f t="shared" si="126"/>
        <v/>
      </c>
      <c r="Z184" s="18" t="str">
        <f>IF(AK184&lt;&gt;1,"",DATA_INPUT!I184)</f>
        <v/>
      </c>
      <c r="AA184" s="18" t="str">
        <f>IF(AK184&lt;&gt;1,"",Z184*CONTROL_PANEL!$B$5)</f>
        <v/>
      </c>
      <c r="AB184" s="18" t="str">
        <f>IF(AK184&lt;&gt;1,"",DATA_INPUT!$C184)</f>
        <v/>
      </c>
      <c r="AC184" s="18" t="str">
        <f t="shared" si="110"/>
        <v/>
      </c>
      <c r="AD184" s="18" t="str">
        <f>IF(AK184&lt;&gt;1,"",DATA_INPUT!$H184)</f>
        <v/>
      </c>
      <c r="AE184" s="18" t="str">
        <f t="shared" si="111"/>
        <v/>
      </c>
      <c r="AF184" s="18" t="str">
        <f>IF(AK184&lt;&gt;1,"",AA184*CONTROL_PANEL!$B$14)</f>
        <v/>
      </c>
      <c r="AG184" s="18" t="str">
        <f>IF(AK184&lt;&gt;1,"",DATA_INPUT!$L184)</f>
        <v/>
      </c>
      <c r="AH184" s="18" t="str">
        <f t="shared" si="112"/>
        <v/>
      </c>
      <c r="AI184" s="18" t="str">
        <f>IF(AK184&lt;&gt;1,"",IF(AH184-CONTROL_PANEL!$B$11&lt;0,0,AH184-CONTROL_PANEL!$B$11))</f>
        <v/>
      </c>
      <c r="AJ184" s="18" t="str">
        <f>IF(AK184&lt;&gt;1,"",IF(AG184&lt;=0,0,MIN(AG184,MAX(0,CONTROL_PANEL!$B$13-AH184))))</f>
        <v/>
      </c>
      <c r="AK184" s="18"/>
      <c r="AM184" s="19">
        <f t="shared" si="137"/>
        <v>2030</v>
      </c>
      <c r="AN184" s="19">
        <f t="shared" si="94"/>
        <v>9</v>
      </c>
      <c r="AO184" s="18" t="str">
        <f t="shared" si="113"/>
        <v/>
      </c>
      <c r="AP184" s="18" t="str">
        <f t="shared" si="132"/>
        <v/>
      </c>
      <c r="AQ184" s="18" t="str">
        <f>IF(BD183&lt;&gt;1,"",IF(BA183&gt;0,IF(BA183&gt;CONTROL_PANEL!$B$11,CONTROL_PANEL!$B$11,BA183),0))</f>
        <v/>
      </c>
      <c r="AR184" s="18" t="str">
        <f t="shared" si="127"/>
        <v/>
      </c>
      <c r="AS184" s="18" t="str">
        <f>IF(BD184&lt;&gt;1,"",DATA_INPUT!$I184)</f>
        <v/>
      </c>
      <c r="AT184" s="18" t="str">
        <f>IF(BD184&lt;&gt;1,"",AS184*CONTROL_PANEL!$B$5)</f>
        <v/>
      </c>
      <c r="AU184" s="18" t="str">
        <f>IF(BD184&lt;&gt;1,"",DATA_INPUT!$C184)</f>
        <v/>
      </c>
      <c r="AV184" s="18" t="str">
        <f t="shared" si="114"/>
        <v/>
      </c>
      <c r="AW184" s="18" t="str">
        <f>IF(BD184&lt;&gt;1,"",DATA_INPUT!$H184)</f>
        <v/>
      </c>
      <c r="AX184" s="18" t="str">
        <f t="shared" si="115"/>
        <v/>
      </c>
      <c r="AY184" s="18" t="str">
        <f>IF(BD184&lt;&gt;1,"",AT184*CONTROL_PANEL!$B$14)</f>
        <v/>
      </c>
      <c r="AZ184" s="18" t="str">
        <f>IF(BD184&lt;&gt;1,"",DATA_INPUT!$M184)</f>
        <v/>
      </c>
      <c r="BA184" s="18" t="str">
        <f t="shared" si="116"/>
        <v/>
      </c>
      <c r="BB184" s="18" t="str">
        <f>IF(BD184&lt;&gt;1,"",IF(BA184-CONTROL_PANEL!$B$11&lt;0,0,BA184-CONTROL_PANEL!$B$11))</f>
        <v/>
      </c>
      <c r="BC184" s="18" t="str">
        <f>IF(BD184&lt;&gt;1,"",IF(AZ184&lt;=0,0,MIN(AZ184,MAX(0,CONTROL_PANEL!$B$13-BA184))))</f>
        <v/>
      </c>
      <c r="BD184" s="18"/>
      <c r="BF184" s="19">
        <f t="shared" si="138"/>
        <v>2030</v>
      </c>
      <c r="BG184" s="19">
        <f t="shared" si="96"/>
        <v>9</v>
      </c>
      <c r="BH184" s="18" t="str">
        <f t="shared" si="117"/>
        <v/>
      </c>
      <c r="BI184" s="18" t="str">
        <f t="shared" si="133"/>
        <v/>
      </c>
      <c r="BJ184" s="18" t="str">
        <f>IF(BW183&lt;&gt;1,"",IF(BT183&gt;0,IF(BT183&gt;CONTROL_PANEL!$B$11,CONTROL_PANEL!$B$11,BT183),0))</f>
        <v/>
      </c>
      <c r="BK184" s="18" t="str">
        <f t="shared" si="128"/>
        <v/>
      </c>
      <c r="BL184" s="18" t="str">
        <f>IF(BW184&lt;&gt;1,"",DATA_INPUT!$I184)</f>
        <v/>
      </c>
      <c r="BM184" s="18" t="str">
        <f>IF(BW184&lt;&gt;1,"",BL184*CONTROL_PANEL!$B$5)</f>
        <v/>
      </c>
      <c r="BN184" s="18" t="str">
        <f>IF(BW184&lt;&gt;1,"",DATA_INPUT!$C184)</f>
        <v/>
      </c>
      <c r="BO184" s="18" t="str">
        <f t="shared" si="118"/>
        <v/>
      </c>
      <c r="BP184" s="18" t="str">
        <f>IF(BW184&lt;&gt;1,"",DATA_INPUT!$H184)</f>
        <v/>
      </c>
      <c r="BQ184" s="18" t="str">
        <f t="shared" si="119"/>
        <v/>
      </c>
      <c r="BR184" s="18" t="str">
        <f>IF(BW184&lt;&gt;1,"",BM184*CONTROL_PANEL!$B$14)</f>
        <v/>
      </c>
      <c r="BS184" s="18" t="str">
        <f>IF(BW184&lt;&gt;1,"",DATA_INPUT!$N184)</f>
        <v/>
      </c>
      <c r="BT184" s="18" t="str">
        <f t="shared" si="120"/>
        <v/>
      </c>
      <c r="BU184" s="18" t="str">
        <f>IF(BW184&lt;&gt;1,"",IF(BT184-CONTROL_PANEL!$B$11&lt;0,0,BT184-CONTROL_PANEL!$B$11))</f>
        <v/>
      </c>
      <c r="BV184" s="18" t="str">
        <f>IF(BW184&lt;&gt;1,"",IF(BS184&lt;=0,0,MIN(BS184,MAX(0,CONTROL_PANEL!$B$13-BT184))))</f>
        <v/>
      </c>
      <c r="BW184" s="18"/>
      <c r="BY184" s="19">
        <f t="shared" si="139"/>
        <v>2030</v>
      </c>
      <c r="BZ184" s="19">
        <f t="shared" si="98"/>
        <v>9</v>
      </c>
      <c r="CA184" s="18" t="str">
        <f t="shared" si="121"/>
        <v/>
      </c>
      <c r="CB184" s="18" t="str">
        <f t="shared" si="134"/>
        <v/>
      </c>
      <c r="CC184" s="18" t="str">
        <f>IF(CP183&lt;&gt;1,"",IF(CM183&gt;0,IF(CM183&gt;CONTROL_PANEL!$B$11,CONTROL_PANEL!$B$11,CM183),0))</f>
        <v/>
      </c>
      <c r="CD184" s="18" t="str">
        <f t="shared" si="129"/>
        <v/>
      </c>
      <c r="CE184" s="18" t="str">
        <f>IF(CP184&lt;&gt;1,"",DATA_INPUT!$I184)</f>
        <v/>
      </c>
      <c r="CF184" s="18" t="str">
        <f>IF(CP184&lt;&gt;1,"",CE184*CONTROL_PANEL!$B$5)</f>
        <v/>
      </c>
      <c r="CG184" s="18" t="str">
        <f>IF(CP184&lt;&gt;1,"",DATA_INPUT!$C184)</f>
        <v/>
      </c>
      <c r="CH184" s="18" t="str">
        <f t="shared" si="122"/>
        <v/>
      </c>
      <c r="CI184" s="18" t="str">
        <f>IF(CP184&lt;&gt;1,"",DATA_INPUT!$H184)</f>
        <v/>
      </c>
      <c r="CJ184" s="18" t="str">
        <f t="shared" si="123"/>
        <v/>
      </c>
      <c r="CK184" s="18" t="str">
        <f>IF(CP184&lt;&gt;1,"",CF184*CONTROL_PANEL!$B$14)</f>
        <v/>
      </c>
      <c r="CL184" s="18" t="str">
        <f>IF(CP184&lt;&gt;1,"",DATA_INPUT!$O184)</f>
        <v/>
      </c>
      <c r="CM184" s="18" t="str">
        <f t="shared" si="124"/>
        <v/>
      </c>
      <c r="CN184" s="18" t="str">
        <f>IF(CP184&lt;&gt;1,"",IF(CM184-CONTROL_PANEL!$B$11&lt;0,0,CM184-CONTROL_PANEL!$B$11))</f>
        <v/>
      </c>
      <c r="CO184" s="18" t="str">
        <f>IF(CP184&lt;&gt;1,"",IF(CL184&lt;=0,0,MIN(CL184,MAX(0,CONTROL_PANEL!$B$13-CM184))))</f>
        <v/>
      </c>
      <c r="CP184" s="18"/>
    </row>
    <row r="185" spans="1:94" x14ac:dyDescent="0.25">
      <c r="A185" s="19">
        <f t="shared" si="135"/>
        <v>2030</v>
      </c>
      <c r="B185" s="19">
        <f t="shared" si="90"/>
        <v>10</v>
      </c>
      <c r="C185" s="18" t="str">
        <f t="shared" si="105"/>
        <v/>
      </c>
      <c r="D185" s="18" t="str">
        <f t="shared" si="130"/>
        <v/>
      </c>
      <c r="E185" s="18" t="str">
        <f>IF(R184&lt;&gt;1,"",IF(O184&gt;0,IF(O184&gt;CONTROL_PANEL!$B$11,CONTROL_PANEL!$B$11,O184),0))</f>
        <v/>
      </c>
      <c r="F185" s="18" t="str">
        <f t="shared" si="125"/>
        <v/>
      </c>
      <c r="G185" s="18" t="str">
        <f>IF(R185&lt;&gt;1,"",DATA_INPUT!I185)</f>
        <v/>
      </c>
      <c r="H185" s="18" t="str">
        <f>IF(R185&lt;&gt;1,"",G185*CONTROL_PANEL!$B$5)</f>
        <v/>
      </c>
      <c r="I185" s="18" t="str">
        <f>IF(R185&lt;&gt;1,"",DATA_INPUT!C185)</f>
        <v/>
      </c>
      <c r="J185" s="18" t="str">
        <f t="shared" si="106"/>
        <v/>
      </c>
      <c r="K185" s="18" t="str">
        <f>IF(R185&lt;&gt;1,"",DATA_INPUT!H185)</f>
        <v/>
      </c>
      <c r="L185" s="18" t="str">
        <f t="shared" si="107"/>
        <v/>
      </c>
      <c r="M185" s="18" t="str">
        <f>IF(R185&lt;&gt;1,"",H185*CONTROL_PANEL!$B$14)</f>
        <v/>
      </c>
      <c r="N185" s="18" t="str">
        <f>IF(R185&lt;&gt;1,"",DATA_INPUT!K185)</f>
        <v/>
      </c>
      <c r="O185" s="18" t="str">
        <f t="shared" si="108"/>
        <v/>
      </c>
      <c r="P185" s="18" t="str">
        <f>IF(R185&lt;&gt;1,"",IF(O185-CONTROL_PANEL!$B$11&lt;0,0,O185-CONTROL_PANEL!$B$11))</f>
        <v/>
      </c>
      <c r="Q185" s="18" t="str">
        <f>IF(R185&lt;&gt;1,"",IF(N185&lt;=0,0,MIN(N185,MAX(0,CONTROL_PANEL!$B$13-O185))))</f>
        <v/>
      </c>
      <c r="R185" s="18"/>
      <c r="T185" s="19">
        <f t="shared" si="136"/>
        <v>2030</v>
      </c>
      <c r="U185" s="19">
        <f t="shared" si="92"/>
        <v>10</v>
      </c>
      <c r="V185" s="18" t="str">
        <f t="shared" si="109"/>
        <v/>
      </c>
      <c r="W185" s="18" t="str">
        <f t="shared" si="131"/>
        <v/>
      </c>
      <c r="X185" s="18" t="str">
        <f>IF(AK184&lt;&gt;1,"",IF(AH184&gt;0,IF(AH184&gt;CONTROL_PANEL!$B$11,CONTROL_PANEL!$B$11,AH184),0))</f>
        <v/>
      </c>
      <c r="Y185" s="18" t="str">
        <f t="shared" si="126"/>
        <v/>
      </c>
      <c r="Z185" s="18" t="str">
        <f>IF(AK185&lt;&gt;1,"",DATA_INPUT!I185)</f>
        <v/>
      </c>
      <c r="AA185" s="18" t="str">
        <f>IF(AK185&lt;&gt;1,"",Z185*CONTROL_PANEL!$B$5)</f>
        <v/>
      </c>
      <c r="AB185" s="18" t="str">
        <f>IF(AK185&lt;&gt;1,"",DATA_INPUT!$C185)</f>
        <v/>
      </c>
      <c r="AC185" s="18" t="str">
        <f t="shared" si="110"/>
        <v/>
      </c>
      <c r="AD185" s="18" t="str">
        <f>IF(AK185&lt;&gt;1,"",DATA_INPUT!$H185)</f>
        <v/>
      </c>
      <c r="AE185" s="18" t="str">
        <f t="shared" si="111"/>
        <v/>
      </c>
      <c r="AF185" s="18" t="str">
        <f>IF(AK185&lt;&gt;1,"",AA185*CONTROL_PANEL!$B$14)</f>
        <v/>
      </c>
      <c r="AG185" s="18" t="str">
        <f>IF(AK185&lt;&gt;1,"",DATA_INPUT!$L185)</f>
        <v/>
      </c>
      <c r="AH185" s="18" t="str">
        <f t="shared" si="112"/>
        <v/>
      </c>
      <c r="AI185" s="18" t="str">
        <f>IF(AK185&lt;&gt;1,"",IF(AH185-CONTROL_PANEL!$B$11&lt;0,0,AH185-CONTROL_PANEL!$B$11))</f>
        <v/>
      </c>
      <c r="AJ185" s="18" t="str">
        <f>IF(AK185&lt;&gt;1,"",IF(AG185&lt;=0,0,MIN(AG185,MAX(0,CONTROL_PANEL!$B$13-AH185))))</f>
        <v/>
      </c>
      <c r="AK185" s="18"/>
      <c r="AM185" s="19">
        <f t="shared" si="137"/>
        <v>2030</v>
      </c>
      <c r="AN185" s="19">
        <f t="shared" si="94"/>
        <v>10</v>
      </c>
      <c r="AO185" s="18" t="str">
        <f t="shared" si="113"/>
        <v/>
      </c>
      <c r="AP185" s="18" t="str">
        <f t="shared" si="132"/>
        <v/>
      </c>
      <c r="AQ185" s="18" t="str">
        <f>IF(BD184&lt;&gt;1,"",IF(BA184&gt;0,IF(BA184&gt;CONTROL_PANEL!$B$11,CONTROL_PANEL!$B$11,BA184),0))</f>
        <v/>
      </c>
      <c r="AR185" s="18" t="str">
        <f t="shared" si="127"/>
        <v/>
      </c>
      <c r="AS185" s="18" t="str">
        <f>IF(BD185&lt;&gt;1,"",DATA_INPUT!$I185)</f>
        <v/>
      </c>
      <c r="AT185" s="18" t="str">
        <f>IF(BD185&lt;&gt;1,"",AS185*CONTROL_PANEL!$B$5)</f>
        <v/>
      </c>
      <c r="AU185" s="18" t="str">
        <f>IF(BD185&lt;&gt;1,"",DATA_INPUT!$C185)</f>
        <v/>
      </c>
      <c r="AV185" s="18" t="str">
        <f t="shared" si="114"/>
        <v/>
      </c>
      <c r="AW185" s="18" t="str">
        <f>IF(BD185&lt;&gt;1,"",DATA_INPUT!$H185)</f>
        <v/>
      </c>
      <c r="AX185" s="18" t="str">
        <f t="shared" si="115"/>
        <v/>
      </c>
      <c r="AY185" s="18" t="str">
        <f>IF(BD185&lt;&gt;1,"",AT185*CONTROL_PANEL!$B$14)</f>
        <v/>
      </c>
      <c r="AZ185" s="18" t="str">
        <f>IF(BD185&lt;&gt;1,"",DATA_INPUT!$M185)</f>
        <v/>
      </c>
      <c r="BA185" s="18" t="str">
        <f t="shared" si="116"/>
        <v/>
      </c>
      <c r="BB185" s="18" t="str">
        <f>IF(BD185&lt;&gt;1,"",IF(BA185-CONTROL_PANEL!$B$11&lt;0,0,BA185-CONTROL_PANEL!$B$11))</f>
        <v/>
      </c>
      <c r="BC185" s="18" t="str">
        <f>IF(BD185&lt;&gt;1,"",IF(AZ185&lt;=0,0,MIN(AZ185,MAX(0,CONTROL_PANEL!$B$13-BA185))))</f>
        <v/>
      </c>
      <c r="BD185" s="18"/>
      <c r="BF185" s="19">
        <f t="shared" si="138"/>
        <v>2030</v>
      </c>
      <c r="BG185" s="19">
        <f t="shared" si="96"/>
        <v>10</v>
      </c>
      <c r="BH185" s="18" t="str">
        <f t="shared" si="117"/>
        <v/>
      </c>
      <c r="BI185" s="18" t="str">
        <f t="shared" si="133"/>
        <v/>
      </c>
      <c r="BJ185" s="18" t="str">
        <f>IF(BW184&lt;&gt;1,"",IF(BT184&gt;0,IF(BT184&gt;CONTROL_PANEL!$B$11,CONTROL_PANEL!$B$11,BT184),0))</f>
        <v/>
      </c>
      <c r="BK185" s="18" t="str">
        <f t="shared" si="128"/>
        <v/>
      </c>
      <c r="BL185" s="18" t="str">
        <f>IF(BW185&lt;&gt;1,"",DATA_INPUT!$I185)</f>
        <v/>
      </c>
      <c r="BM185" s="18" t="str">
        <f>IF(BW185&lt;&gt;1,"",BL185*CONTROL_PANEL!$B$5)</f>
        <v/>
      </c>
      <c r="BN185" s="18" t="str">
        <f>IF(BW185&lt;&gt;1,"",DATA_INPUT!$C185)</f>
        <v/>
      </c>
      <c r="BO185" s="18" t="str">
        <f t="shared" si="118"/>
        <v/>
      </c>
      <c r="BP185" s="18" t="str">
        <f>IF(BW185&lt;&gt;1,"",DATA_INPUT!$H185)</f>
        <v/>
      </c>
      <c r="BQ185" s="18" t="str">
        <f t="shared" si="119"/>
        <v/>
      </c>
      <c r="BR185" s="18" t="str">
        <f>IF(BW185&lt;&gt;1,"",BM185*CONTROL_PANEL!$B$14)</f>
        <v/>
      </c>
      <c r="BS185" s="18" t="str">
        <f>IF(BW185&lt;&gt;1,"",DATA_INPUT!$N185)</f>
        <v/>
      </c>
      <c r="BT185" s="18" t="str">
        <f t="shared" si="120"/>
        <v/>
      </c>
      <c r="BU185" s="18" t="str">
        <f>IF(BW185&lt;&gt;1,"",IF(BT185-CONTROL_PANEL!$B$11&lt;0,0,BT185-CONTROL_PANEL!$B$11))</f>
        <v/>
      </c>
      <c r="BV185" s="18" t="str">
        <f>IF(BW185&lt;&gt;1,"",IF(BS185&lt;=0,0,MIN(BS185,MAX(0,CONTROL_PANEL!$B$13-BT185))))</f>
        <v/>
      </c>
      <c r="BW185" s="18"/>
      <c r="BY185" s="19">
        <f t="shared" si="139"/>
        <v>2030</v>
      </c>
      <c r="BZ185" s="19">
        <f t="shared" si="98"/>
        <v>10</v>
      </c>
      <c r="CA185" s="18" t="str">
        <f t="shared" si="121"/>
        <v/>
      </c>
      <c r="CB185" s="18" t="str">
        <f t="shared" si="134"/>
        <v/>
      </c>
      <c r="CC185" s="18" t="str">
        <f>IF(CP184&lt;&gt;1,"",IF(CM184&gt;0,IF(CM184&gt;CONTROL_PANEL!$B$11,CONTROL_PANEL!$B$11,CM184),0))</f>
        <v/>
      </c>
      <c r="CD185" s="18" t="str">
        <f t="shared" si="129"/>
        <v/>
      </c>
      <c r="CE185" s="18" t="str">
        <f>IF(CP185&lt;&gt;1,"",DATA_INPUT!$I185)</f>
        <v/>
      </c>
      <c r="CF185" s="18" t="str">
        <f>IF(CP185&lt;&gt;1,"",CE185*CONTROL_PANEL!$B$5)</f>
        <v/>
      </c>
      <c r="CG185" s="18" t="str">
        <f>IF(CP185&lt;&gt;1,"",DATA_INPUT!$C185)</f>
        <v/>
      </c>
      <c r="CH185" s="18" t="str">
        <f t="shared" si="122"/>
        <v/>
      </c>
      <c r="CI185" s="18" t="str">
        <f>IF(CP185&lt;&gt;1,"",DATA_INPUT!$H185)</f>
        <v/>
      </c>
      <c r="CJ185" s="18" t="str">
        <f t="shared" si="123"/>
        <v/>
      </c>
      <c r="CK185" s="18" t="str">
        <f>IF(CP185&lt;&gt;1,"",CF185*CONTROL_PANEL!$B$14)</f>
        <v/>
      </c>
      <c r="CL185" s="18" t="str">
        <f>IF(CP185&lt;&gt;1,"",DATA_INPUT!$O185)</f>
        <v/>
      </c>
      <c r="CM185" s="18" t="str">
        <f t="shared" si="124"/>
        <v/>
      </c>
      <c r="CN185" s="18" t="str">
        <f>IF(CP185&lt;&gt;1,"",IF(CM185-CONTROL_PANEL!$B$11&lt;0,0,CM185-CONTROL_PANEL!$B$11))</f>
        <v/>
      </c>
      <c r="CO185" s="18" t="str">
        <f>IF(CP185&lt;&gt;1,"",IF(CL185&lt;=0,0,MIN(CL185,MAX(0,CONTROL_PANEL!$B$13-CM185))))</f>
        <v/>
      </c>
      <c r="CP185" s="18"/>
    </row>
    <row r="186" spans="1:94" x14ac:dyDescent="0.25">
      <c r="A186" s="19">
        <f t="shared" si="135"/>
        <v>2030</v>
      </c>
      <c r="B186" s="19">
        <f t="shared" si="90"/>
        <v>11</v>
      </c>
      <c r="C186" s="18" t="str">
        <f t="shared" si="105"/>
        <v/>
      </c>
      <c r="D186" s="18" t="str">
        <f t="shared" si="130"/>
        <v/>
      </c>
      <c r="E186" s="18" t="str">
        <f>IF(R185&lt;&gt;1,"",IF(O185&gt;0,IF(O185&gt;CONTROL_PANEL!$B$11,CONTROL_PANEL!$B$11,O185),0))</f>
        <v/>
      </c>
      <c r="F186" s="18" t="str">
        <f t="shared" si="125"/>
        <v/>
      </c>
      <c r="G186" s="18" t="str">
        <f>IF(R186&lt;&gt;1,"",DATA_INPUT!I186)</f>
        <v/>
      </c>
      <c r="H186" s="18" t="str">
        <f>IF(R186&lt;&gt;1,"",G186*CONTROL_PANEL!$B$5)</f>
        <v/>
      </c>
      <c r="I186" s="18" t="str">
        <f>IF(R186&lt;&gt;1,"",DATA_INPUT!C186)</f>
        <v/>
      </c>
      <c r="J186" s="18" t="str">
        <f t="shared" si="106"/>
        <v/>
      </c>
      <c r="K186" s="18" t="str">
        <f>IF(R186&lt;&gt;1,"",DATA_INPUT!H186)</f>
        <v/>
      </c>
      <c r="L186" s="18" t="str">
        <f t="shared" si="107"/>
        <v/>
      </c>
      <c r="M186" s="18" t="str">
        <f>IF(R186&lt;&gt;1,"",H186*CONTROL_PANEL!$B$14)</f>
        <v/>
      </c>
      <c r="N186" s="18" t="str">
        <f>IF(R186&lt;&gt;1,"",DATA_INPUT!K186)</f>
        <v/>
      </c>
      <c r="O186" s="18" t="str">
        <f t="shared" si="108"/>
        <v/>
      </c>
      <c r="P186" s="18" t="str">
        <f>IF(R186&lt;&gt;1,"",IF(O186-CONTROL_PANEL!$B$11&lt;0,0,O186-CONTROL_PANEL!$B$11))</f>
        <v/>
      </c>
      <c r="Q186" s="18" t="str">
        <f>IF(R186&lt;&gt;1,"",IF(N186&lt;=0,0,MIN(N186,MAX(0,CONTROL_PANEL!$B$13-O186))))</f>
        <v/>
      </c>
      <c r="R186" s="18"/>
      <c r="T186" s="19">
        <f t="shared" si="136"/>
        <v>2030</v>
      </c>
      <c r="U186" s="19">
        <f t="shared" si="92"/>
        <v>11</v>
      </c>
      <c r="V186" s="18" t="str">
        <f t="shared" si="109"/>
        <v/>
      </c>
      <c r="W186" s="18" t="str">
        <f t="shared" si="131"/>
        <v/>
      </c>
      <c r="X186" s="18" t="str">
        <f>IF(AK185&lt;&gt;1,"",IF(AH185&gt;0,IF(AH185&gt;CONTROL_PANEL!$B$11,CONTROL_PANEL!$B$11,AH185),0))</f>
        <v/>
      </c>
      <c r="Y186" s="18" t="str">
        <f t="shared" si="126"/>
        <v/>
      </c>
      <c r="Z186" s="18" t="str">
        <f>IF(AK186&lt;&gt;1,"",DATA_INPUT!I186)</f>
        <v/>
      </c>
      <c r="AA186" s="18" t="str">
        <f>IF(AK186&lt;&gt;1,"",Z186*CONTROL_PANEL!$B$5)</f>
        <v/>
      </c>
      <c r="AB186" s="18" t="str">
        <f>IF(AK186&lt;&gt;1,"",DATA_INPUT!$C186)</f>
        <v/>
      </c>
      <c r="AC186" s="18" t="str">
        <f t="shared" si="110"/>
        <v/>
      </c>
      <c r="AD186" s="18" t="str">
        <f>IF(AK186&lt;&gt;1,"",DATA_INPUT!$H186)</f>
        <v/>
      </c>
      <c r="AE186" s="18" t="str">
        <f t="shared" si="111"/>
        <v/>
      </c>
      <c r="AF186" s="18" t="str">
        <f>IF(AK186&lt;&gt;1,"",AA186*CONTROL_PANEL!$B$14)</f>
        <v/>
      </c>
      <c r="AG186" s="18" t="str">
        <f>IF(AK186&lt;&gt;1,"",DATA_INPUT!$L186)</f>
        <v/>
      </c>
      <c r="AH186" s="18" t="str">
        <f t="shared" si="112"/>
        <v/>
      </c>
      <c r="AI186" s="18" t="str">
        <f>IF(AK186&lt;&gt;1,"",IF(AH186-CONTROL_PANEL!$B$11&lt;0,0,AH186-CONTROL_PANEL!$B$11))</f>
        <v/>
      </c>
      <c r="AJ186" s="18" t="str">
        <f>IF(AK186&lt;&gt;1,"",IF(AG186&lt;=0,0,MIN(AG186,MAX(0,CONTROL_PANEL!$B$13-AH186))))</f>
        <v/>
      </c>
      <c r="AK186" s="18"/>
      <c r="AM186" s="19">
        <f t="shared" si="137"/>
        <v>2030</v>
      </c>
      <c r="AN186" s="19">
        <f t="shared" si="94"/>
        <v>11</v>
      </c>
      <c r="AO186" s="18" t="str">
        <f t="shared" si="113"/>
        <v/>
      </c>
      <c r="AP186" s="18" t="str">
        <f t="shared" si="132"/>
        <v/>
      </c>
      <c r="AQ186" s="18" t="str">
        <f>IF(BD185&lt;&gt;1,"",IF(BA185&gt;0,IF(BA185&gt;CONTROL_PANEL!$B$11,CONTROL_PANEL!$B$11,BA185),0))</f>
        <v/>
      </c>
      <c r="AR186" s="18" t="str">
        <f t="shared" si="127"/>
        <v/>
      </c>
      <c r="AS186" s="18" t="str">
        <f>IF(BD186&lt;&gt;1,"",DATA_INPUT!$I186)</f>
        <v/>
      </c>
      <c r="AT186" s="18" t="str">
        <f>IF(BD186&lt;&gt;1,"",AS186*CONTROL_PANEL!$B$5)</f>
        <v/>
      </c>
      <c r="AU186" s="18" t="str">
        <f>IF(BD186&lt;&gt;1,"",DATA_INPUT!$C186)</f>
        <v/>
      </c>
      <c r="AV186" s="18" t="str">
        <f t="shared" si="114"/>
        <v/>
      </c>
      <c r="AW186" s="18" t="str">
        <f>IF(BD186&lt;&gt;1,"",DATA_INPUT!$H186)</f>
        <v/>
      </c>
      <c r="AX186" s="18" t="str">
        <f t="shared" si="115"/>
        <v/>
      </c>
      <c r="AY186" s="18" t="str">
        <f>IF(BD186&lt;&gt;1,"",AT186*CONTROL_PANEL!$B$14)</f>
        <v/>
      </c>
      <c r="AZ186" s="18" t="str">
        <f>IF(BD186&lt;&gt;1,"",DATA_INPUT!$M186)</f>
        <v/>
      </c>
      <c r="BA186" s="18" t="str">
        <f t="shared" si="116"/>
        <v/>
      </c>
      <c r="BB186" s="18" t="str">
        <f>IF(BD186&lt;&gt;1,"",IF(BA186-CONTROL_PANEL!$B$11&lt;0,0,BA186-CONTROL_PANEL!$B$11))</f>
        <v/>
      </c>
      <c r="BC186" s="18" t="str">
        <f>IF(BD186&lt;&gt;1,"",IF(AZ186&lt;=0,0,MIN(AZ186,MAX(0,CONTROL_PANEL!$B$13-BA186))))</f>
        <v/>
      </c>
      <c r="BD186" s="18"/>
      <c r="BF186" s="19">
        <f t="shared" si="138"/>
        <v>2030</v>
      </c>
      <c r="BG186" s="19">
        <f t="shared" si="96"/>
        <v>11</v>
      </c>
      <c r="BH186" s="18" t="str">
        <f t="shared" si="117"/>
        <v/>
      </c>
      <c r="BI186" s="18" t="str">
        <f t="shared" si="133"/>
        <v/>
      </c>
      <c r="BJ186" s="18" t="str">
        <f>IF(BW185&lt;&gt;1,"",IF(BT185&gt;0,IF(BT185&gt;CONTROL_PANEL!$B$11,CONTROL_PANEL!$B$11,BT185),0))</f>
        <v/>
      </c>
      <c r="BK186" s="18" t="str">
        <f t="shared" si="128"/>
        <v/>
      </c>
      <c r="BL186" s="18" t="str">
        <f>IF(BW186&lt;&gt;1,"",DATA_INPUT!$I186)</f>
        <v/>
      </c>
      <c r="BM186" s="18" t="str">
        <f>IF(BW186&lt;&gt;1,"",BL186*CONTROL_PANEL!$B$5)</f>
        <v/>
      </c>
      <c r="BN186" s="18" t="str">
        <f>IF(BW186&lt;&gt;1,"",DATA_INPUT!$C186)</f>
        <v/>
      </c>
      <c r="BO186" s="18" t="str">
        <f t="shared" si="118"/>
        <v/>
      </c>
      <c r="BP186" s="18" t="str">
        <f>IF(BW186&lt;&gt;1,"",DATA_INPUT!$H186)</f>
        <v/>
      </c>
      <c r="BQ186" s="18" t="str">
        <f t="shared" si="119"/>
        <v/>
      </c>
      <c r="BR186" s="18" t="str">
        <f>IF(BW186&lt;&gt;1,"",BM186*CONTROL_PANEL!$B$14)</f>
        <v/>
      </c>
      <c r="BS186" s="18" t="str">
        <f>IF(BW186&lt;&gt;1,"",DATA_INPUT!$N186)</f>
        <v/>
      </c>
      <c r="BT186" s="18" t="str">
        <f t="shared" si="120"/>
        <v/>
      </c>
      <c r="BU186" s="18" t="str">
        <f>IF(BW186&lt;&gt;1,"",IF(BT186-CONTROL_PANEL!$B$11&lt;0,0,BT186-CONTROL_PANEL!$B$11))</f>
        <v/>
      </c>
      <c r="BV186" s="18" t="str">
        <f>IF(BW186&lt;&gt;1,"",IF(BS186&lt;=0,0,MIN(BS186,MAX(0,CONTROL_PANEL!$B$13-BT186))))</f>
        <v/>
      </c>
      <c r="BW186" s="18"/>
      <c r="BY186" s="19">
        <f t="shared" si="139"/>
        <v>2030</v>
      </c>
      <c r="BZ186" s="19">
        <f t="shared" si="98"/>
        <v>11</v>
      </c>
      <c r="CA186" s="18" t="str">
        <f t="shared" si="121"/>
        <v/>
      </c>
      <c r="CB186" s="18" t="str">
        <f t="shared" si="134"/>
        <v/>
      </c>
      <c r="CC186" s="18" t="str">
        <f>IF(CP185&lt;&gt;1,"",IF(CM185&gt;0,IF(CM185&gt;CONTROL_PANEL!$B$11,CONTROL_PANEL!$B$11,CM185),0))</f>
        <v/>
      </c>
      <c r="CD186" s="18" t="str">
        <f t="shared" si="129"/>
        <v/>
      </c>
      <c r="CE186" s="18" t="str">
        <f>IF(CP186&lt;&gt;1,"",DATA_INPUT!$I186)</f>
        <v/>
      </c>
      <c r="CF186" s="18" t="str">
        <f>IF(CP186&lt;&gt;1,"",CE186*CONTROL_PANEL!$B$5)</f>
        <v/>
      </c>
      <c r="CG186" s="18" t="str">
        <f>IF(CP186&lt;&gt;1,"",DATA_INPUT!$C186)</f>
        <v/>
      </c>
      <c r="CH186" s="18" t="str">
        <f t="shared" si="122"/>
        <v/>
      </c>
      <c r="CI186" s="18" t="str">
        <f>IF(CP186&lt;&gt;1,"",DATA_INPUT!$H186)</f>
        <v/>
      </c>
      <c r="CJ186" s="18" t="str">
        <f t="shared" si="123"/>
        <v/>
      </c>
      <c r="CK186" s="18" t="str">
        <f>IF(CP186&lt;&gt;1,"",CF186*CONTROL_PANEL!$B$14)</f>
        <v/>
      </c>
      <c r="CL186" s="18" t="str">
        <f>IF(CP186&lt;&gt;1,"",DATA_INPUT!$O186)</f>
        <v/>
      </c>
      <c r="CM186" s="18" t="str">
        <f t="shared" si="124"/>
        <v/>
      </c>
      <c r="CN186" s="18" t="str">
        <f>IF(CP186&lt;&gt;1,"",IF(CM186-CONTROL_PANEL!$B$11&lt;0,0,CM186-CONTROL_PANEL!$B$11))</f>
        <v/>
      </c>
      <c r="CO186" s="18" t="str">
        <f>IF(CP186&lt;&gt;1,"",IF(CL186&lt;=0,0,MIN(CL186,MAX(0,CONTROL_PANEL!$B$13-CM186))))</f>
        <v/>
      </c>
      <c r="CP186" s="18"/>
    </row>
    <row r="187" spans="1:94" x14ac:dyDescent="0.25">
      <c r="A187" s="19">
        <f t="shared" si="135"/>
        <v>2030</v>
      </c>
      <c r="B187" s="19">
        <f t="shared" si="90"/>
        <v>12</v>
      </c>
      <c r="C187" s="18" t="str">
        <f t="shared" si="105"/>
        <v/>
      </c>
      <c r="D187" s="18" t="str">
        <f t="shared" si="130"/>
        <v/>
      </c>
      <c r="E187" s="18" t="str">
        <f>IF(R186&lt;&gt;1,"",IF(O186&gt;0,IF(O186&gt;CONTROL_PANEL!$B$11,CONTROL_PANEL!$B$11,O186),0))</f>
        <v/>
      </c>
      <c r="F187" s="18" t="str">
        <f t="shared" si="125"/>
        <v/>
      </c>
      <c r="G187" s="18" t="str">
        <f>IF(R187&lt;&gt;1,"",DATA_INPUT!I187)</f>
        <v/>
      </c>
      <c r="H187" s="18" t="str">
        <f>IF(R187&lt;&gt;1,"",G187*CONTROL_PANEL!$B$5)</f>
        <v/>
      </c>
      <c r="I187" s="18" t="str">
        <f>IF(R187&lt;&gt;1,"",DATA_INPUT!C187)</f>
        <v/>
      </c>
      <c r="J187" s="18" t="str">
        <f t="shared" si="106"/>
        <v/>
      </c>
      <c r="K187" s="18" t="str">
        <f>IF(R187&lt;&gt;1,"",DATA_INPUT!H187)</f>
        <v/>
      </c>
      <c r="L187" s="18" t="str">
        <f t="shared" si="107"/>
        <v/>
      </c>
      <c r="M187" s="18" t="str">
        <f>IF(R187&lt;&gt;1,"",H187*CONTROL_PANEL!$B$14)</f>
        <v/>
      </c>
      <c r="N187" s="18" t="str">
        <f>IF(R187&lt;&gt;1,"",DATA_INPUT!K187)</f>
        <v/>
      </c>
      <c r="O187" s="18" t="str">
        <f t="shared" si="108"/>
        <v/>
      </c>
      <c r="P187" s="18" t="str">
        <f>IF(R187&lt;&gt;1,"",IF(O187-CONTROL_PANEL!$B$11&lt;0,0,O187-CONTROL_PANEL!$B$11))</f>
        <v/>
      </c>
      <c r="Q187" s="18" t="str">
        <f>IF(R187&lt;&gt;1,"",IF(N187&lt;=0,0,MIN(N187,MAX(0,CONTROL_PANEL!$B$13-O187))))</f>
        <v/>
      </c>
      <c r="R187" s="18"/>
      <c r="T187" s="19">
        <f t="shared" si="136"/>
        <v>2030</v>
      </c>
      <c r="U187" s="19">
        <f t="shared" si="92"/>
        <v>12</v>
      </c>
      <c r="V187" s="18" t="str">
        <f t="shared" si="109"/>
        <v/>
      </c>
      <c r="W187" s="18" t="str">
        <f t="shared" si="131"/>
        <v/>
      </c>
      <c r="X187" s="18" t="str">
        <f>IF(AK186&lt;&gt;1,"",IF(AH186&gt;0,IF(AH186&gt;CONTROL_PANEL!$B$11,CONTROL_PANEL!$B$11,AH186),0))</f>
        <v/>
      </c>
      <c r="Y187" s="18" t="str">
        <f t="shared" si="126"/>
        <v/>
      </c>
      <c r="Z187" s="18" t="str">
        <f>IF(AK187&lt;&gt;1,"",DATA_INPUT!I187)</f>
        <v/>
      </c>
      <c r="AA187" s="18" t="str">
        <f>IF(AK187&lt;&gt;1,"",Z187*CONTROL_PANEL!$B$5)</f>
        <v/>
      </c>
      <c r="AB187" s="18" t="str">
        <f>IF(AK187&lt;&gt;1,"",DATA_INPUT!$C187)</f>
        <v/>
      </c>
      <c r="AC187" s="18" t="str">
        <f t="shared" si="110"/>
        <v/>
      </c>
      <c r="AD187" s="18" t="str">
        <f>IF(AK187&lt;&gt;1,"",DATA_INPUT!$H187)</f>
        <v/>
      </c>
      <c r="AE187" s="18" t="str">
        <f t="shared" si="111"/>
        <v/>
      </c>
      <c r="AF187" s="18" t="str">
        <f>IF(AK187&lt;&gt;1,"",AA187*CONTROL_PANEL!$B$14)</f>
        <v/>
      </c>
      <c r="AG187" s="18" t="str">
        <f>IF(AK187&lt;&gt;1,"",DATA_INPUT!$L187)</f>
        <v/>
      </c>
      <c r="AH187" s="18" t="str">
        <f t="shared" si="112"/>
        <v/>
      </c>
      <c r="AI187" s="18" t="str">
        <f>IF(AK187&lt;&gt;1,"",IF(AH187-CONTROL_PANEL!$B$11&lt;0,0,AH187-CONTROL_PANEL!$B$11))</f>
        <v/>
      </c>
      <c r="AJ187" s="18" t="str">
        <f>IF(AK187&lt;&gt;1,"",IF(AG187&lt;=0,0,MIN(AG187,MAX(0,CONTROL_PANEL!$B$13-AH187))))</f>
        <v/>
      </c>
      <c r="AK187" s="18"/>
      <c r="AM187" s="19">
        <f t="shared" si="137"/>
        <v>2030</v>
      </c>
      <c r="AN187" s="19">
        <f t="shared" si="94"/>
        <v>12</v>
      </c>
      <c r="AO187" s="18" t="str">
        <f t="shared" si="113"/>
        <v/>
      </c>
      <c r="AP187" s="18" t="str">
        <f t="shared" si="132"/>
        <v/>
      </c>
      <c r="AQ187" s="18" t="str">
        <f>IF(BD186&lt;&gt;1,"",IF(BA186&gt;0,IF(BA186&gt;CONTROL_PANEL!$B$11,CONTROL_PANEL!$B$11,BA186),0))</f>
        <v/>
      </c>
      <c r="AR187" s="18" t="str">
        <f t="shared" si="127"/>
        <v/>
      </c>
      <c r="AS187" s="18" t="str">
        <f>IF(BD187&lt;&gt;1,"",DATA_INPUT!$I187)</f>
        <v/>
      </c>
      <c r="AT187" s="18" t="str">
        <f>IF(BD187&lt;&gt;1,"",AS187*CONTROL_PANEL!$B$5)</f>
        <v/>
      </c>
      <c r="AU187" s="18" t="str">
        <f>IF(BD187&lt;&gt;1,"",DATA_INPUT!$C187)</f>
        <v/>
      </c>
      <c r="AV187" s="18" t="str">
        <f t="shared" si="114"/>
        <v/>
      </c>
      <c r="AW187" s="18" t="str">
        <f>IF(BD187&lt;&gt;1,"",DATA_INPUT!$H187)</f>
        <v/>
      </c>
      <c r="AX187" s="18" t="str">
        <f t="shared" si="115"/>
        <v/>
      </c>
      <c r="AY187" s="18" t="str">
        <f>IF(BD187&lt;&gt;1,"",AT187*CONTROL_PANEL!$B$14)</f>
        <v/>
      </c>
      <c r="AZ187" s="18" t="str">
        <f>IF(BD187&lt;&gt;1,"",DATA_INPUT!$M187)</f>
        <v/>
      </c>
      <c r="BA187" s="18" t="str">
        <f t="shared" si="116"/>
        <v/>
      </c>
      <c r="BB187" s="18" t="str">
        <f>IF(BD187&lt;&gt;1,"",IF(BA187-CONTROL_PANEL!$B$11&lt;0,0,BA187-CONTROL_PANEL!$B$11))</f>
        <v/>
      </c>
      <c r="BC187" s="18" t="str">
        <f>IF(BD187&lt;&gt;1,"",IF(AZ187&lt;=0,0,MIN(AZ187,MAX(0,CONTROL_PANEL!$B$13-BA187))))</f>
        <v/>
      </c>
      <c r="BD187" s="18"/>
      <c r="BF187" s="19">
        <f t="shared" si="138"/>
        <v>2030</v>
      </c>
      <c r="BG187" s="19">
        <f t="shared" si="96"/>
        <v>12</v>
      </c>
      <c r="BH187" s="18" t="str">
        <f t="shared" si="117"/>
        <v/>
      </c>
      <c r="BI187" s="18" t="str">
        <f t="shared" si="133"/>
        <v/>
      </c>
      <c r="BJ187" s="18" t="str">
        <f>IF(BW186&lt;&gt;1,"",IF(BT186&gt;0,IF(BT186&gt;CONTROL_PANEL!$B$11,CONTROL_PANEL!$B$11,BT186),0))</f>
        <v/>
      </c>
      <c r="BK187" s="18" t="str">
        <f t="shared" si="128"/>
        <v/>
      </c>
      <c r="BL187" s="18" t="str">
        <f>IF(BW187&lt;&gt;1,"",DATA_INPUT!$I187)</f>
        <v/>
      </c>
      <c r="BM187" s="18" t="str">
        <f>IF(BW187&lt;&gt;1,"",BL187*CONTROL_PANEL!$B$5)</f>
        <v/>
      </c>
      <c r="BN187" s="18" t="str">
        <f>IF(BW187&lt;&gt;1,"",DATA_INPUT!$C187)</f>
        <v/>
      </c>
      <c r="BO187" s="18" t="str">
        <f t="shared" si="118"/>
        <v/>
      </c>
      <c r="BP187" s="18" t="str">
        <f>IF(BW187&lt;&gt;1,"",DATA_INPUT!$H187)</f>
        <v/>
      </c>
      <c r="BQ187" s="18" t="str">
        <f t="shared" si="119"/>
        <v/>
      </c>
      <c r="BR187" s="18" t="str">
        <f>IF(BW187&lt;&gt;1,"",BM187*CONTROL_PANEL!$B$14)</f>
        <v/>
      </c>
      <c r="BS187" s="18" t="str">
        <f>IF(BW187&lt;&gt;1,"",DATA_INPUT!$N187)</f>
        <v/>
      </c>
      <c r="BT187" s="18" t="str">
        <f t="shared" si="120"/>
        <v/>
      </c>
      <c r="BU187" s="18" t="str">
        <f>IF(BW187&lt;&gt;1,"",IF(BT187-CONTROL_PANEL!$B$11&lt;0,0,BT187-CONTROL_PANEL!$B$11))</f>
        <v/>
      </c>
      <c r="BV187" s="18" t="str">
        <f>IF(BW187&lt;&gt;1,"",IF(BS187&lt;=0,0,MIN(BS187,MAX(0,CONTROL_PANEL!$B$13-BT187))))</f>
        <v/>
      </c>
      <c r="BW187" s="18"/>
      <c r="BY187" s="19">
        <f t="shared" si="139"/>
        <v>2030</v>
      </c>
      <c r="BZ187" s="19">
        <f t="shared" si="98"/>
        <v>12</v>
      </c>
      <c r="CA187" s="18" t="str">
        <f t="shared" si="121"/>
        <v/>
      </c>
      <c r="CB187" s="18" t="str">
        <f t="shared" si="134"/>
        <v/>
      </c>
      <c r="CC187" s="18" t="str">
        <f>IF(CP186&lt;&gt;1,"",IF(CM186&gt;0,IF(CM186&gt;CONTROL_PANEL!$B$11,CONTROL_PANEL!$B$11,CM186),0))</f>
        <v/>
      </c>
      <c r="CD187" s="18" t="str">
        <f t="shared" si="129"/>
        <v/>
      </c>
      <c r="CE187" s="18" t="str">
        <f>IF(CP187&lt;&gt;1,"",DATA_INPUT!$I187)</f>
        <v/>
      </c>
      <c r="CF187" s="18" t="str">
        <f>IF(CP187&lt;&gt;1,"",CE187*CONTROL_PANEL!$B$5)</f>
        <v/>
      </c>
      <c r="CG187" s="18" t="str">
        <f>IF(CP187&lt;&gt;1,"",DATA_INPUT!$C187)</f>
        <v/>
      </c>
      <c r="CH187" s="18" t="str">
        <f t="shared" si="122"/>
        <v/>
      </c>
      <c r="CI187" s="18" t="str">
        <f>IF(CP187&lt;&gt;1,"",DATA_INPUT!$H187)</f>
        <v/>
      </c>
      <c r="CJ187" s="18" t="str">
        <f t="shared" si="123"/>
        <v/>
      </c>
      <c r="CK187" s="18" t="str">
        <f>IF(CP187&lt;&gt;1,"",CF187*CONTROL_PANEL!$B$14)</f>
        <v/>
      </c>
      <c r="CL187" s="18" t="str">
        <f>IF(CP187&lt;&gt;1,"",DATA_INPUT!$O187)</f>
        <v/>
      </c>
      <c r="CM187" s="18" t="str">
        <f t="shared" si="124"/>
        <v/>
      </c>
      <c r="CN187" s="18" t="str">
        <f>IF(CP187&lt;&gt;1,"",IF(CM187-CONTROL_PANEL!$B$11&lt;0,0,CM187-CONTROL_PANEL!$B$11))</f>
        <v/>
      </c>
      <c r="CO187" s="18" t="str">
        <f>IF(CP187&lt;&gt;1,"",IF(CL187&lt;=0,0,MIN(CL187,MAX(0,CONTROL_PANEL!$B$13-CM187))))</f>
        <v/>
      </c>
      <c r="CP187" s="18"/>
    </row>
    <row r="188" spans="1:94" x14ac:dyDescent="0.25">
      <c r="A188" s="19">
        <f t="shared" si="135"/>
        <v>2031</v>
      </c>
      <c r="B188" s="19">
        <f t="shared" si="90"/>
        <v>1</v>
      </c>
      <c r="C188" s="18" t="str">
        <f t="shared" si="105"/>
        <v/>
      </c>
      <c r="D188" s="18" t="str">
        <f t="shared" si="130"/>
        <v/>
      </c>
      <c r="E188" s="18" t="str">
        <f>IF(R187&lt;&gt;1,"",IF(O187&gt;0,IF(O187&gt;CONTROL_PANEL!$B$11,CONTROL_PANEL!$B$11,O187),0))</f>
        <v/>
      </c>
      <c r="F188" s="18" t="str">
        <f t="shared" si="125"/>
        <v/>
      </c>
      <c r="G188" s="18" t="str">
        <f>IF(R188&lt;&gt;1,"",DATA_INPUT!I188)</f>
        <v/>
      </c>
      <c r="H188" s="18" t="str">
        <f>IF(R188&lt;&gt;1,"",G188*CONTROL_PANEL!$B$5)</f>
        <v/>
      </c>
      <c r="I188" s="18" t="str">
        <f>IF(R188&lt;&gt;1,"",DATA_INPUT!C188)</f>
        <v/>
      </c>
      <c r="J188" s="18" t="str">
        <f t="shared" si="106"/>
        <v/>
      </c>
      <c r="K188" s="18" t="str">
        <f>IF(R188&lt;&gt;1,"",DATA_INPUT!H188)</f>
        <v/>
      </c>
      <c r="L188" s="18" t="str">
        <f t="shared" si="107"/>
        <v/>
      </c>
      <c r="M188" s="18" t="str">
        <f>IF(R188&lt;&gt;1,"",H188*CONTROL_PANEL!$B$14)</f>
        <v/>
      </c>
      <c r="N188" s="18" t="str">
        <f>IF(R188&lt;&gt;1,"",DATA_INPUT!K188)</f>
        <v/>
      </c>
      <c r="O188" s="18" t="str">
        <f t="shared" si="108"/>
        <v/>
      </c>
      <c r="P188" s="18" t="str">
        <f>IF(R188&lt;&gt;1,"",IF(O188-CONTROL_PANEL!$B$11&lt;0,0,O188-CONTROL_PANEL!$B$11))</f>
        <v/>
      </c>
      <c r="Q188" s="18" t="str">
        <f>IF(R188&lt;&gt;1,"",IF(N188&lt;=0,0,MIN(N188,MAX(0,CONTROL_PANEL!$B$13-O188))))</f>
        <v/>
      </c>
      <c r="R188" s="18"/>
      <c r="T188" s="19">
        <f t="shared" si="136"/>
        <v>2031</v>
      </c>
      <c r="U188" s="19">
        <f t="shared" si="92"/>
        <v>1</v>
      </c>
      <c r="V188" s="18" t="str">
        <f t="shared" si="109"/>
        <v/>
      </c>
      <c r="W188" s="18" t="str">
        <f t="shared" si="131"/>
        <v/>
      </c>
      <c r="X188" s="18" t="str">
        <f>IF(AK187&lt;&gt;1,"",IF(AH187&gt;0,IF(AH187&gt;CONTROL_PANEL!$B$11,CONTROL_PANEL!$B$11,AH187),0))</f>
        <v/>
      </c>
      <c r="Y188" s="18" t="str">
        <f t="shared" si="126"/>
        <v/>
      </c>
      <c r="Z188" s="18" t="str">
        <f>IF(AK188&lt;&gt;1,"",DATA_INPUT!I188)</f>
        <v/>
      </c>
      <c r="AA188" s="18" t="str">
        <f>IF(AK188&lt;&gt;1,"",Z188*CONTROL_PANEL!$B$5)</f>
        <v/>
      </c>
      <c r="AB188" s="18" t="str">
        <f>IF(AK188&lt;&gt;1,"",DATA_INPUT!$C188)</f>
        <v/>
      </c>
      <c r="AC188" s="18" t="str">
        <f t="shared" si="110"/>
        <v/>
      </c>
      <c r="AD188" s="18" t="str">
        <f>IF(AK188&lt;&gt;1,"",DATA_INPUT!$H188)</f>
        <v/>
      </c>
      <c r="AE188" s="18" t="str">
        <f t="shared" si="111"/>
        <v/>
      </c>
      <c r="AF188" s="18" t="str">
        <f>IF(AK188&lt;&gt;1,"",AA188*CONTROL_PANEL!$B$14)</f>
        <v/>
      </c>
      <c r="AG188" s="18" t="str">
        <f>IF(AK188&lt;&gt;1,"",DATA_INPUT!$L188)</f>
        <v/>
      </c>
      <c r="AH188" s="18" t="str">
        <f t="shared" si="112"/>
        <v/>
      </c>
      <c r="AI188" s="18" t="str">
        <f>IF(AK188&lt;&gt;1,"",IF(AH188-CONTROL_PANEL!$B$11&lt;0,0,AH188-CONTROL_PANEL!$B$11))</f>
        <v/>
      </c>
      <c r="AJ188" s="18" t="str">
        <f>IF(AK188&lt;&gt;1,"",IF(AG188&lt;=0,0,MIN(AG188,MAX(0,CONTROL_PANEL!$B$13-AH188))))</f>
        <v/>
      </c>
      <c r="AK188" s="18"/>
      <c r="AM188" s="19">
        <f t="shared" si="137"/>
        <v>2031</v>
      </c>
      <c r="AN188" s="19">
        <f t="shared" si="94"/>
        <v>1</v>
      </c>
      <c r="AO188" s="18" t="str">
        <f t="shared" si="113"/>
        <v/>
      </c>
      <c r="AP188" s="18" t="str">
        <f t="shared" si="132"/>
        <v/>
      </c>
      <c r="AQ188" s="18" t="str">
        <f>IF(BD187&lt;&gt;1,"",IF(BA187&gt;0,IF(BA187&gt;CONTROL_PANEL!$B$11,CONTROL_PANEL!$B$11,BA187),0))</f>
        <v/>
      </c>
      <c r="AR188" s="18" t="str">
        <f t="shared" si="127"/>
        <v/>
      </c>
      <c r="AS188" s="18" t="str">
        <f>IF(BD188&lt;&gt;1,"",DATA_INPUT!$I188)</f>
        <v/>
      </c>
      <c r="AT188" s="18" t="str">
        <f>IF(BD188&lt;&gt;1,"",AS188*CONTROL_PANEL!$B$5)</f>
        <v/>
      </c>
      <c r="AU188" s="18" t="str">
        <f>IF(BD188&lt;&gt;1,"",DATA_INPUT!$C188)</f>
        <v/>
      </c>
      <c r="AV188" s="18" t="str">
        <f t="shared" si="114"/>
        <v/>
      </c>
      <c r="AW188" s="18" t="str">
        <f>IF(BD188&lt;&gt;1,"",DATA_INPUT!$H188)</f>
        <v/>
      </c>
      <c r="AX188" s="18" t="str">
        <f t="shared" si="115"/>
        <v/>
      </c>
      <c r="AY188" s="18" t="str">
        <f>IF(BD188&lt;&gt;1,"",AT188*CONTROL_PANEL!$B$14)</f>
        <v/>
      </c>
      <c r="AZ188" s="18" t="str">
        <f>IF(BD188&lt;&gt;1,"",DATA_INPUT!$M188)</f>
        <v/>
      </c>
      <c r="BA188" s="18" t="str">
        <f t="shared" si="116"/>
        <v/>
      </c>
      <c r="BB188" s="18" t="str">
        <f>IF(BD188&lt;&gt;1,"",IF(BA188-CONTROL_PANEL!$B$11&lt;0,0,BA188-CONTROL_PANEL!$B$11))</f>
        <v/>
      </c>
      <c r="BC188" s="18" t="str">
        <f>IF(BD188&lt;&gt;1,"",IF(AZ188&lt;=0,0,MIN(AZ188,MAX(0,CONTROL_PANEL!$B$13-BA188))))</f>
        <v/>
      </c>
      <c r="BD188" s="18"/>
      <c r="BF188" s="19">
        <f t="shared" si="138"/>
        <v>2031</v>
      </c>
      <c r="BG188" s="19">
        <f t="shared" si="96"/>
        <v>1</v>
      </c>
      <c r="BH188" s="18" t="str">
        <f t="shared" si="117"/>
        <v/>
      </c>
      <c r="BI188" s="18" t="str">
        <f t="shared" si="133"/>
        <v/>
      </c>
      <c r="BJ188" s="18" t="str">
        <f>IF(BW187&lt;&gt;1,"",IF(BT187&gt;0,IF(BT187&gt;CONTROL_PANEL!$B$11,CONTROL_PANEL!$B$11,BT187),0))</f>
        <v/>
      </c>
      <c r="BK188" s="18" t="str">
        <f t="shared" si="128"/>
        <v/>
      </c>
      <c r="BL188" s="18" t="str">
        <f>IF(BW188&lt;&gt;1,"",DATA_INPUT!$I188)</f>
        <v/>
      </c>
      <c r="BM188" s="18" t="str">
        <f>IF(BW188&lt;&gt;1,"",BL188*CONTROL_PANEL!$B$5)</f>
        <v/>
      </c>
      <c r="BN188" s="18" t="str">
        <f>IF(BW188&lt;&gt;1,"",DATA_INPUT!$C188)</f>
        <v/>
      </c>
      <c r="BO188" s="18" t="str">
        <f t="shared" si="118"/>
        <v/>
      </c>
      <c r="BP188" s="18" t="str">
        <f>IF(BW188&lt;&gt;1,"",DATA_INPUT!$H188)</f>
        <v/>
      </c>
      <c r="BQ188" s="18" t="str">
        <f t="shared" si="119"/>
        <v/>
      </c>
      <c r="BR188" s="18" t="str">
        <f>IF(BW188&lt;&gt;1,"",BM188*CONTROL_PANEL!$B$14)</f>
        <v/>
      </c>
      <c r="BS188" s="18" t="str">
        <f>IF(BW188&lt;&gt;1,"",DATA_INPUT!$N188)</f>
        <v/>
      </c>
      <c r="BT188" s="18" t="str">
        <f t="shared" si="120"/>
        <v/>
      </c>
      <c r="BU188" s="18" t="str">
        <f>IF(BW188&lt;&gt;1,"",IF(BT188-CONTROL_PANEL!$B$11&lt;0,0,BT188-CONTROL_PANEL!$B$11))</f>
        <v/>
      </c>
      <c r="BV188" s="18" t="str">
        <f>IF(BW188&lt;&gt;1,"",IF(BS188&lt;=0,0,MIN(BS188,MAX(0,CONTROL_PANEL!$B$13-BT188))))</f>
        <v/>
      </c>
      <c r="BW188" s="18"/>
      <c r="BY188" s="19">
        <f t="shared" si="139"/>
        <v>2031</v>
      </c>
      <c r="BZ188" s="19">
        <f t="shared" si="98"/>
        <v>1</v>
      </c>
      <c r="CA188" s="18" t="str">
        <f t="shared" si="121"/>
        <v/>
      </c>
      <c r="CB188" s="18" t="str">
        <f t="shared" si="134"/>
        <v/>
      </c>
      <c r="CC188" s="18" t="str">
        <f>IF(CP187&lt;&gt;1,"",IF(CM187&gt;0,IF(CM187&gt;CONTROL_PANEL!$B$11,CONTROL_PANEL!$B$11,CM187),0))</f>
        <v/>
      </c>
      <c r="CD188" s="18" t="str">
        <f t="shared" si="129"/>
        <v/>
      </c>
      <c r="CE188" s="18" t="str">
        <f>IF(CP188&lt;&gt;1,"",DATA_INPUT!$I188)</f>
        <v/>
      </c>
      <c r="CF188" s="18" t="str">
        <f>IF(CP188&lt;&gt;1,"",CE188*CONTROL_PANEL!$B$5)</f>
        <v/>
      </c>
      <c r="CG188" s="18" t="str">
        <f>IF(CP188&lt;&gt;1,"",DATA_INPUT!$C188)</f>
        <v/>
      </c>
      <c r="CH188" s="18" t="str">
        <f t="shared" si="122"/>
        <v/>
      </c>
      <c r="CI188" s="18" t="str">
        <f>IF(CP188&lt;&gt;1,"",DATA_INPUT!$H188)</f>
        <v/>
      </c>
      <c r="CJ188" s="18" t="str">
        <f t="shared" si="123"/>
        <v/>
      </c>
      <c r="CK188" s="18" t="str">
        <f>IF(CP188&lt;&gt;1,"",CF188*CONTROL_PANEL!$B$14)</f>
        <v/>
      </c>
      <c r="CL188" s="18" t="str">
        <f>IF(CP188&lt;&gt;1,"",DATA_INPUT!$O188)</f>
        <v/>
      </c>
      <c r="CM188" s="18" t="str">
        <f t="shared" si="124"/>
        <v/>
      </c>
      <c r="CN188" s="18" t="str">
        <f>IF(CP188&lt;&gt;1,"",IF(CM188-CONTROL_PANEL!$B$11&lt;0,0,CM188-CONTROL_PANEL!$B$11))</f>
        <v/>
      </c>
      <c r="CO188" s="18" t="str">
        <f>IF(CP188&lt;&gt;1,"",IF(CL188&lt;=0,0,MIN(CL188,MAX(0,CONTROL_PANEL!$B$13-CM188))))</f>
        <v/>
      </c>
      <c r="CP188" s="18"/>
    </row>
    <row r="189" spans="1:94" x14ac:dyDescent="0.25">
      <c r="A189" s="19">
        <f t="shared" si="135"/>
        <v>2031</v>
      </c>
      <c r="B189" s="19">
        <f t="shared" si="90"/>
        <v>2</v>
      </c>
      <c r="C189" s="18" t="str">
        <f t="shared" si="105"/>
        <v/>
      </c>
      <c r="D189" s="18" t="str">
        <f t="shared" si="130"/>
        <v/>
      </c>
      <c r="E189" s="18" t="str">
        <f>IF(R188&lt;&gt;1,"",IF(O188&gt;0,IF(O188&gt;CONTROL_PANEL!$B$11,CONTROL_PANEL!$B$11,O188),0))</f>
        <v/>
      </c>
      <c r="F189" s="18" t="str">
        <f t="shared" si="125"/>
        <v/>
      </c>
      <c r="G189" s="18" t="str">
        <f>IF(R189&lt;&gt;1,"",DATA_INPUT!I189)</f>
        <v/>
      </c>
      <c r="H189" s="18" t="str">
        <f>IF(R189&lt;&gt;1,"",G189*CONTROL_PANEL!$B$5)</f>
        <v/>
      </c>
      <c r="I189" s="18" t="str">
        <f>IF(R189&lt;&gt;1,"",DATA_INPUT!C189)</f>
        <v/>
      </c>
      <c r="J189" s="18" t="str">
        <f t="shared" si="106"/>
        <v/>
      </c>
      <c r="K189" s="18" t="str">
        <f>IF(R189&lt;&gt;1,"",DATA_INPUT!H189)</f>
        <v/>
      </c>
      <c r="L189" s="18" t="str">
        <f t="shared" si="107"/>
        <v/>
      </c>
      <c r="M189" s="18" t="str">
        <f>IF(R189&lt;&gt;1,"",H189*CONTROL_PANEL!$B$14)</f>
        <v/>
      </c>
      <c r="N189" s="18" t="str">
        <f>IF(R189&lt;&gt;1,"",DATA_INPUT!K189)</f>
        <v/>
      </c>
      <c r="O189" s="18" t="str">
        <f t="shared" si="108"/>
        <v/>
      </c>
      <c r="P189" s="18" t="str">
        <f>IF(R189&lt;&gt;1,"",IF(O189-CONTROL_PANEL!$B$11&lt;0,0,O189-CONTROL_PANEL!$B$11))</f>
        <v/>
      </c>
      <c r="Q189" s="18" t="str">
        <f>IF(R189&lt;&gt;1,"",IF(N189&lt;=0,0,MIN(N189,MAX(0,CONTROL_PANEL!$B$13-O189))))</f>
        <v/>
      </c>
      <c r="R189" s="18"/>
      <c r="T189" s="19">
        <f t="shared" si="136"/>
        <v>2031</v>
      </c>
      <c r="U189" s="19">
        <f t="shared" si="92"/>
        <v>2</v>
      </c>
      <c r="V189" s="18" t="str">
        <f t="shared" si="109"/>
        <v/>
      </c>
      <c r="W189" s="18" t="str">
        <f t="shared" si="131"/>
        <v/>
      </c>
      <c r="X189" s="18" t="str">
        <f>IF(AK188&lt;&gt;1,"",IF(AH188&gt;0,IF(AH188&gt;CONTROL_PANEL!$B$11,CONTROL_PANEL!$B$11,AH188),0))</f>
        <v/>
      </c>
      <c r="Y189" s="18" t="str">
        <f t="shared" si="126"/>
        <v/>
      </c>
      <c r="Z189" s="18" t="str">
        <f>IF(AK189&lt;&gt;1,"",DATA_INPUT!I189)</f>
        <v/>
      </c>
      <c r="AA189" s="18" t="str">
        <f>IF(AK189&lt;&gt;1,"",Z189*CONTROL_PANEL!$B$5)</f>
        <v/>
      </c>
      <c r="AB189" s="18" t="str">
        <f>IF(AK189&lt;&gt;1,"",DATA_INPUT!$C189)</f>
        <v/>
      </c>
      <c r="AC189" s="18" t="str">
        <f t="shared" si="110"/>
        <v/>
      </c>
      <c r="AD189" s="18" t="str">
        <f>IF(AK189&lt;&gt;1,"",DATA_INPUT!$H189)</f>
        <v/>
      </c>
      <c r="AE189" s="18" t="str">
        <f t="shared" si="111"/>
        <v/>
      </c>
      <c r="AF189" s="18" t="str">
        <f>IF(AK189&lt;&gt;1,"",AA189*CONTROL_PANEL!$B$14)</f>
        <v/>
      </c>
      <c r="AG189" s="18" t="str">
        <f>IF(AK189&lt;&gt;1,"",DATA_INPUT!$L189)</f>
        <v/>
      </c>
      <c r="AH189" s="18" t="str">
        <f t="shared" si="112"/>
        <v/>
      </c>
      <c r="AI189" s="18" t="str">
        <f>IF(AK189&lt;&gt;1,"",IF(AH189-CONTROL_PANEL!$B$11&lt;0,0,AH189-CONTROL_PANEL!$B$11))</f>
        <v/>
      </c>
      <c r="AJ189" s="18" t="str">
        <f>IF(AK189&lt;&gt;1,"",IF(AG189&lt;=0,0,MIN(AG189,MAX(0,CONTROL_PANEL!$B$13-AH189))))</f>
        <v/>
      </c>
      <c r="AK189" s="18"/>
      <c r="AM189" s="19">
        <f t="shared" si="137"/>
        <v>2031</v>
      </c>
      <c r="AN189" s="19">
        <f t="shared" si="94"/>
        <v>2</v>
      </c>
      <c r="AO189" s="18" t="str">
        <f t="shared" si="113"/>
        <v/>
      </c>
      <c r="AP189" s="18" t="str">
        <f t="shared" si="132"/>
        <v/>
      </c>
      <c r="AQ189" s="18" t="str">
        <f>IF(BD188&lt;&gt;1,"",IF(BA188&gt;0,IF(BA188&gt;CONTROL_PANEL!$B$11,CONTROL_PANEL!$B$11,BA188),0))</f>
        <v/>
      </c>
      <c r="AR189" s="18" t="str">
        <f t="shared" si="127"/>
        <v/>
      </c>
      <c r="AS189" s="18" t="str">
        <f>IF(BD189&lt;&gt;1,"",DATA_INPUT!$I189)</f>
        <v/>
      </c>
      <c r="AT189" s="18" t="str">
        <f>IF(BD189&lt;&gt;1,"",AS189*CONTROL_PANEL!$B$5)</f>
        <v/>
      </c>
      <c r="AU189" s="18" t="str">
        <f>IF(BD189&lt;&gt;1,"",DATA_INPUT!$C189)</f>
        <v/>
      </c>
      <c r="AV189" s="18" t="str">
        <f t="shared" si="114"/>
        <v/>
      </c>
      <c r="AW189" s="18" t="str">
        <f>IF(BD189&lt;&gt;1,"",DATA_INPUT!$H189)</f>
        <v/>
      </c>
      <c r="AX189" s="18" t="str">
        <f t="shared" si="115"/>
        <v/>
      </c>
      <c r="AY189" s="18" t="str">
        <f>IF(BD189&lt;&gt;1,"",AT189*CONTROL_PANEL!$B$14)</f>
        <v/>
      </c>
      <c r="AZ189" s="18" t="str">
        <f>IF(BD189&lt;&gt;1,"",DATA_INPUT!$M189)</f>
        <v/>
      </c>
      <c r="BA189" s="18" t="str">
        <f t="shared" si="116"/>
        <v/>
      </c>
      <c r="BB189" s="18" t="str">
        <f>IF(BD189&lt;&gt;1,"",IF(BA189-CONTROL_PANEL!$B$11&lt;0,0,BA189-CONTROL_PANEL!$B$11))</f>
        <v/>
      </c>
      <c r="BC189" s="18" t="str">
        <f>IF(BD189&lt;&gt;1,"",IF(AZ189&lt;=0,0,MIN(AZ189,MAX(0,CONTROL_PANEL!$B$13-BA189))))</f>
        <v/>
      </c>
      <c r="BD189" s="18"/>
      <c r="BF189" s="19">
        <f t="shared" si="138"/>
        <v>2031</v>
      </c>
      <c r="BG189" s="19">
        <f t="shared" si="96"/>
        <v>2</v>
      </c>
      <c r="BH189" s="18" t="str">
        <f t="shared" si="117"/>
        <v/>
      </c>
      <c r="BI189" s="18" t="str">
        <f t="shared" si="133"/>
        <v/>
      </c>
      <c r="BJ189" s="18" t="str">
        <f>IF(BW188&lt;&gt;1,"",IF(BT188&gt;0,IF(BT188&gt;CONTROL_PANEL!$B$11,CONTROL_PANEL!$B$11,BT188),0))</f>
        <v/>
      </c>
      <c r="BK189" s="18" t="str">
        <f t="shared" si="128"/>
        <v/>
      </c>
      <c r="BL189" s="18" t="str">
        <f>IF(BW189&lt;&gt;1,"",DATA_INPUT!$I189)</f>
        <v/>
      </c>
      <c r="BM189" s="18" t="str">
        <f>IF(BW189&lt;&gt;1,"",BL189*CONTROL_PANEL!$B$5)</f>
        <v/>
      </c>
      <c r="BN189" s="18" t="str">
        <f>IF(BW189&lt;&gt;1,"",DATA_INPUT!$C189)</f>
        <v/>
      </c>
      <c r="BO189" s="18" t="str">
        <f t="shared" si="118"/>
        <v/>
      </c>
      <c r="BP189" s="18" t="str">
        <f>IF(BW189&lt;&gt;1,"",DATA_INPUT!$H189)</f>
        <v/>
      </c>
      <c r="BQ189" s="18" t="str">
        <f t="shared" si="119"/>
        <v/>
      </c>
      <c r="BR189" s="18" t="str">
        <f>IF(BW189&lt;&gt;1,"",BM189*CONTROL_PANEL!$B$14)</f>
        <v/>
      </c>
      <c r="BS189" s="18" t="str">
        <f>IF(BW189&lt;&gt;1,"",DATA_INPUT!$N189)</f>
        <v/>
      </c>
      <c r="BT189" s="18" t="str">
        <f t="shared" si="120"/>
        <v/>
      </c>
      <c r="BU189" s="18" t="str">
        <f>IF(BW189&lt;&gt;1,"",IF(BT189-CONTROL_PANEL!$B$11&lt;0,0,BT189-CONTROL_PANEL!$B$11))</f>
        <v/>
      </c>
      <c r="BV189" s="18" t="str">
        <f>IF(BW189&lt;&gt;1,"",IF(BS189&lt;=0,0,MIN(BS189,MAX(0,CONTROL_PANEL!$B$13-BT189))))</f>
        <v/>
      </c>
      <c r="BW189" s="18"/>
      <c r="BY189" s="19">
        <f t="shared" si="139"/>
        <v>2031</v>
      </c>
      <c r="BZ189" s="19">
        <f t="shared" si="98"/>
        <v>2</v>
      </c>
      <c r="CA189" s="18" t="str">
        <f t="shared" si="121"/>
        <v/>
      </c>
      <c r="CB189" s="18" t="str">
        <f t="shared" si="134"/>
        <v/>
      </c>
      <c r="CC189" s="18" t="str">
        <f>IF(CP188&lt;&gt;1,"",IF(CM188&gt;0,IF(CM188&gt;CONTROL_PANEL!$B$11,CONTROL_PANEL!$B$11,CM188),0))</f>
        <v/>
      </c>
      <c r="CD189" s="18" t="str">
        <f t="shared" si="129"/>
        <v/>
      </c>
      <c r="CE189" s="18" t="str">
        <f>IF(CP189&lt;&gt;1,"",DATA_INPUT!$I189)</f>
        <v/>
      </c>
      <c r="CF189" s="18" t="str">
        <f>IF(CP189&lt;&gt;1,"",CE189*CONTROL_PANEL!$B$5)</f>
        <v/>
      </c>
      <c r="CG189" s="18" t="str">
        <f>IF(CP189&lt;&gt;1,"",DATA_INPUT!$C189)</f>
        <v/>
      </c>
      <c r="CH189" s="18" t="str">
        <f t="shared" si="122"/>
        <v/>
      </c>
      <c r="CI189" s="18" t="str">
        <f>IF(CP189&lt;&gt;1,"",DATA_INPUT!$H189)</f>
        <v/>
      </c>
      <c r="CJ189" s="18" t="str">
        <f t="shared" si="123"/>
        <v/>
      </c>
      <c r="CK189" s="18" t="str">
        <f>IF(CP189&lt;&gt;1,"",CF189*CONTROL_PANEL!$B$14)</f>
        <v/>
      </c>
      <c r="CL189" s="18" t="str">
        <f>IF(CP189&lt;&gt;1,"",DATA_INPUT!$O189)</f>
        <v/>
      </c>
      <c r="CM189" s="18" t="str">
        <f t="shared" si="124"/>
        <v/>
      </c>
      <c r="CN189" s="18" t="str">
        <f>IF(CP189&lt;&gt;1,"",IF(CM189-CONTROL_PANEL!$B$11&lt;0,0,CM189-CONTROL_PANEL!$B$11))</f>
        <v/>
      </c>
      <c r="CO189" s="18" t="str">
        <f>IF(CP189&lt;&gt;1,"",IF(CL189&lt;=0,0,MIN(CL189,MAX(0,CONTROL_PANEL!$B$13-CM189))))</f>
        <v/>
      </c>
      <c r="CP189" s="18"/>
    </row>
    <row r="190" spans="1:94" x14ac:dyDescent="0.25">
      <c r="A190" s="19">
        <f t="shared" si="135"/>
        <v>2031</v>
      </c>
      <c r="B190" s="19">
        <f t="shared" ref="B190:B253" si="140">B178</f>
        <v>3</v>
      </c>
      <c r="C190" s="18" t="str">
        <f t="shared" si="105"/>
        <v/>
      </c>
      <c r="D190" s="18" t="str">
        <f t="shared" si="130"/>
        <v/>
      </c>
      <c r="E190" s="18" t="str">
        <f>IF(R189&lt;&gt;1,"",IF(O189&gt;0,IF(O189&gt;CONTROL_PANEL!$B$11,CONTROL_PANEL!$B$11,O189),0))</f>
        <v/>
      </c>
      <c r="F190" s="18" t="str">
        <f t="shared" si="125"/>
        <v/>
      </c>
      <c r="G190" s="18" t="str">
        <f>IF(R190&lt;&gt;1,"",DATA_INPUT!I190)</f>
        <v/>
      </c>
      <c r="H190" s="18" t="str">
        <f>IF(R190&lt;&gt;1,"",G190*CONTROL_PANEL!$B$5)</f>
        <v/>
      </c>
      <c r="I190" s="18" t="str">
        <f>IF(R190&lt;&gt;1,"",DATA_INPUT!C190)</f>
        <v/>
      </c>
      <c r="J190" s="18" t="str">
        <f t="shared" si="106"/>
        <v/>
      </c>
      <c r="K190" s="18" t="str">
        <f>IF(R190&lt;&gt;1,"",DATA_INPUT!H190)</f>
        <v/>
      </c>
      <c r="L190" s="18" t="str">
        <f t="shared" si="107"/>
        <v/>
      </c>
      <c r="M190" s="18" t="str">
        <f>IF(R190&lt;&gt;1,"",H190*CONTROL_PANEL!$B$14)</f>
        <v/>
      </c>
      <c r="N190" s="18" t="str">
        <f>IF(R190&lt;&gt;1,"",DATA_INPUT!K190)</f>
        <v/>
      </c>
      <c r="O190" s="18" t="str">
        <f t="shared" si="108"/>
        <v/>
      </c>
      <c r="P190" s="18" t="str">
        <f>IF(R190&lt;&gt;1,"",IF(O190-CONTROL_PANEL!$B$11&lt;0,0,O190-CONTROL_PANEL!$B$11))</f>
        <v/>
      </c>
      <c r="Q190" s="18" t="str">
        <f>IF(R190&lt;&gt;1,"",IF(N190&lt;=0,0,MIN(N190,MAX(0,CONTROL_PANEL!$B$13-O190))))</f>
        <v/>
      </c>
      <c r="R190" s="18"/>
      <c r="T190" s="19">
        <f t="shared" si="136"/>
        <v>2031</v>
      </c>
      <c r="U190" s="19">
        <f t="shared" ref="U190:U253" si="141">U178</f>
        <v>3</v>
      </c>
      <c r="V190" s="18" t="str">
        <f t="shared" si="109"/>
        <v/>
      </c>
      <c r="W190" s="18" t="str">
        <f t="shared" si="131"/>
        <v/>
      </c>
      <c r="X190" s="18" t="str">
        <f>IF(AK189&lt;&gt;1,"",IF(AH189&gt;0,IF(AH189&gt;CONTROL_PANEL!$B$11,CONTROL_PANEL!$B$11,AH189),0))</f>
        <v/>
      </c>
      <c r="Y190" s="18" t="str">
        <f t="shared" si="126"/>
        <v/>
      </c>
      <c r="Z190" s="18" t="str">
        <f>IF(AK190&lt;&gt;1,"",DATA_INPUT!I190)</f>
        <v/>
      </c>
      <c r="AA190" s="18" t="str">
        <f>IF(AK190&lt;&gt;1,"",Z190*CONTROL_PANEL!$B$5)</f>
        <v/>
      </c>
      <c r="AB190" s="18" t="str">
        <f>IF(AK190&lt;&gt;1,"",DATA_INPUT!$C190)</f>
        <v/>
      </c>
      <c r="AC190" s="18" t="str">
        <f t="shared" si="110"/>
        <v/>
      </c>
      <c r="AD190" s="18" t="str">
        <f>IF(AK190&lt;&gt;1,"",DATA_INPUT!$H190)</f>
        <v/>
      </c>
      <c r="AE190" s="18" t="str">
        <f t="shared" si="111"/>
        <v/>
      </c>
      <c r="AF190" s="18" t="str">
        <f>IF(AK190&lt;&gt;1,"",AA190*CONTROL_PANEL!$B$14)</f>
        <v/>
      </c>
      <c r="AG190" s="18" t="str">
        <f>IF(AK190&lt;&gt;1,"",DATA_INPUT!$L190)</f>
        <v/>
      </c>
      <c r="AH190" s="18" t="str">
        <f t="shared" si="112"/>
        <v/>
      </c>
      <c r="AI190" s="18" t="str">
        <f>IF(AK190&lt;&gt;1,"",IF(AH190-CONTROL_PANEL!$B$11&lt;0,0,AH190-CONTROL_PANEL!$B$11))</f>
        <v/>
      </c>
      <c r="AJ190" s="18" t="str">
        <f>IF(AK190&lt;&gt;1,"",IF(AG190&lt;=0,0,MIN(AG190,MAX(0,CONTROL_PANEL!$B$13-AH190))))</f>
        <v/>
      </c>
      <c r="AK190" s="18"/>
      <c r="AM190" s="19">
        <f t="shared" si="137"/>
        <v>2031</v>
      </c>
      <c r="AN190" s="19">
        <f t="shared" ref="AN190:AN253" si="142">AN178</f>
        <v>3</v>
      </c>
      <c r="AO190" s="18" t="str">
        <f t="shared" si="113"/>
        <v/>
      </c>
      <c r="AP190" s="18" t="str">
        <f t="shared" si="132"/>
        <v/>
      </c>
      <c r="AQ190" s="18" t="str">
        <f>IF(BD189&lt;&gt;1,"",IF(BA189&gt;0,IF(BA189&gt;CONTROL_PANEL!$B$11,CONTROL_PANEL!$B$11,BA189),0))</f>
        <v/>
      </c>
      <c r="AR190" s="18" t="str">
        <f t="shared" si="127"/>
        <v/>
      </c>
      <c r="AS190" s="18" t="str">
        <f>IF(BD190&lt;&gt;1,"",DATA_INPUT!$I190)</f>
        <v/>
      </c>
      <c r="AT190" s="18" t="str">
        <f>IF(BD190&lt;&gt;1,"",AS190*CONTROL_PANEL!$B$5)</f>
        <v/>
      </c>
      <c r="AU190" s="18" t="str">
        <f>IF(BD190&lt;&gt;1,"",DATA_INPUT!$C190)</f>
        <v/>
      </c>
      <c r="AV190" s="18" t="str">
        <f t="shared" si="114"/>
        <v/>
      </c>
      <c r="AW190" s="18" t="str">
        <f>IF(BD190&lt;&gt;1,"",DATA_INPUT!$H190)</f>
        <v/>
      </c>
      <c r="AX190" s="18" t="str">
        <f t="shared" si="115"/>
        <v/>
      </c>
      <c r="AY190" s="18" t="str">
        <f>IF(BD190&lt;&gt;1,"",AT190*CONTROL_PANEL!$B$14)</f>
        <v/>
      </c>
      <c r="AZ190" s="18" t="str">
        <f>IF(BD190&lt;&gt;1,"",DATA_INPUT!$M190)</f>
        <v/>
      </c>
      <c r="BA190" s="18" t="str">
        <f t="shared" si="116"/>
        <v/>
      </c>
      <c r="BB190" s="18" t="str">
        <f>IF(BD190&lt;&gt;1,"",IF(BA190-CONTROL_PANEL!$B$11&lt;0,0,BA190-CONTROL_PANEL!$B$11))</f>
        <v/>
      </c>
      <c r="BC190" s="18" t="str">
        <f>IF(BD190&lt;&gt;1,"",IF(AZ190&lt;=0,0,MIN(AZ190,MAX(0,CONTROL_PANEL!$B$13-BA190))))</f>
        <v/>
      </c>
      <c r="BD190" s="18"/>
      <c r="BF190" s="19">
        <f t="shared" si="138"/>
        <v>2031</v>
      </c>
      <c r="BG190" s="19">
        <f t="shared" ref="BG190:BG253" si="143">BG178</f>
        <v>3</v>
      </c>
      <c r="BH190" s="18" t="str">
        <f t="shared" si="117"/>
        <v/>
      </c>
      <c r="BI190" s="18" t="str">
        <f t="shared" si="133"/>
        <v/>
      </c>
      <c r="BJ190" s="18" t="str">
        <f>IF(BW189&lt;&gt;1,"",IF(BT189&gt;0,IF(BT189&gt;CONTROL_PANEL!$B$11,CONTROL_PANEL!$B$11,BT189),0))</f>
        <v/>
      </c>
      <c r="BK190" s="18" t="str">
        <f t="shared" si="128"/>
        <v/>
      </c>
      <c r="BL190" s="18" t="str">
        <f>IF(BW190&lt;&gt;1,"",DATA_INPUT!$I190)</f>
        <v/>
      </c>
      <c r="BM190" s="18" t="str">
        <f>IF(BW190&lt;&gt;1,"",BL190*CONTROL_PANEL!$B$5)</f>
        <v/>
      </c>
      <c r="BN190" s="18" t="str">
        <f>IF(BW190&lt;&gt;1,"",DATA_INPUT!$C190)</f>
        <v/>
      </c>
      <c r="BO190" s="18" t="str">
        <f t="shared" si="118"/>
        <v/>
      </c>
      <c r="BP190" s="18" t="str">
        <f>IF(BW190&lt;&gt;1,"",DATA_INPUT!$H190)</f>
        <v/>
      </c>
      <c r="BQ190" s="18" t="str">
        <f t="shared" si="119"/>
        <v/>
      </c>
      <c r="BR190" s="18" t="str">
        <f>IF(BW190&lt;&gt;1,"",BM190*CONTROL_PANEL!$B$14)</f>
        <v/>
      </c>
      <c r="BS190" s="18" t="str">
        <f>IF(BW190&lt;&gt;1,"",DATA_INPUT!$N190)</f>
        <v/>
      </c>
      <c r="BT190" s="18" t="str">
        <f t="shared" si="120"/>
        <v/>
      </c>
      <c r="BU190" s="18" t="str">
        <f>IF(BW190&lt;&gt;1,"",IF(BT190-CONTROL_PANEL!$B$11&lt;0,0,BT190-CONTROL_PANEL!$B$11))</f>
        <v/>
      </c>
      <c r="BV190" s="18" t="str">
        <f>IF(BW190&lt;&gt;1,"",IF(BS190&lt;=0,0,MIN(BS190,MAX(0,CONTROL_PANEL!$B$13-BT190))))</f>
        <v/>
      </c>
      <c r="BW190" s="18"/>
      <c r="BY190" s="19">
        <f t="shared" si="139"/>
        <v>2031</v>
      </c>
      <c r="BZ190" s="19">
        <f t="shared" ref="BZ190:BZ253" si="144">BZ178</f>
        <v>3</v>
      </c>
      <c r="CA190" s="18" t="str">
        <f t="shared" si="121"/>
        <v/>
      </c>
      <c r="CB190" s="18" t="str">
        <f t="shared" si="134"/>
        <v/>
      </c>
      <c r="CC190" s="18" t="str">
        <f>IF(CP189&lt;&gt;1,"",IF(CM189&gt;0,IF(CM189&gt;CONTROL_PANEL!$B$11,CONTROL_PANEL!$B$11,CM189),0))</f>
        <v/>
      </c>
      <c r="CD190" s="18" t="str">
        <f t="shared" si="129"/>
        <v/>
      </c>
      <c r="CE190" s="18" t="str">
        <f>IF(CP190&lt;&gt;1,"",DATA_INPUT!$I190)</f>
        <v/>
      </c>
      <c r="CF190" s="18" t="str">
        <f>IF(CP190&lt;&gt;1,"",CE190*CONTROL_PANEL!$B$5)</f>
        <v/>
      </c>
      <c r="CG190" s="18" t="str">
        <f>IF(CP190&lt;&gt;1,"",DATA_INPUT!$C190)</f>
        <v/>
      </c>
      <c r="CH190" s="18" t="str">
        <f t="shared" si="122"/>
        <v/>
      </c>
      <c r="CI190" s="18" t="str">
        <f>IF(CP190&lt;&gt;1,"",DATA_INPUT!$H190)</f>
        <v/>
      </c>
      <c r="CJ190" s="18" t="str">
        <f t="shared" si="123"/>
        <v/>
      </c>
      <c r="CK190" s="18" t="str">
        <f>IF(CP190&lt;&gt;1,"",CF190*CONTROL_PANEL!$B$14)</f>
        <v/>
      </c>
      <c r="CL190" s="18" t="str">
        <f>IF(CP190&lt;&gt;1,"",DATA_INPUT!$O190)</f>
        <v/>
      </c>
      <c r="CM190" s="18" t="str">
        <f t="shared" si="124"/>
        <v/>
      </c>
      <c r="CN190" s="18" t="str">
        <f>IF(CP190&lt;&gt;1,"",IF(CM190-CONTROL_PANEL!$B$11&lt;0,0,CM190-CONTROL_PANEL!$B$11))</f>
        <v/>
      </c>
      <c r="CO190" s="18" t="str">
        <f>IF(CP190&lt;&gt;1,"",IF(CL190&lt;=0,0,MIN(CL190,MAX(0,CONTROL_PANEL!$B$13-CM190))))</f>
        <v/>
      </c>
      <c r="CP190" s="18"/>
    </row>
    <row r="191" spans="1:94" x14ac:dyDescent="0.25">
      <c r="A191" s="19">
        <f t="shared" si="135"/>
        <v>2031</v>
      </c>
      <c r="B191" s="19">
        <f t="shared" si="140"/>
        <v>4</v>
      </c>
      <c r="C191" s="18" t="str">
        <f t="shared" si="105"/>
        <v/>
      </c>
      <c r="D191" s="18" t="str">
        <f t="shared" si="130"/>
        <v/>
      </c>
      <c r="E191" s="18" t="str">
        <f>IF(R190&lt;&gt;1,"",IF(O190&gt;0,IF(O190&gt;CONTROL_PANEL!$B$11,CONTROL_PANEL!$B$11,O190),0))</f>
        <v/>
      </c>
      <c r="F191" s="18" t="str">
        <f t="shared" si="125"/>
        <v/>
      </c>
      <c r="G191" s="18" t="str">
        <f>IF(R191&lt;&gt;1,"",DATA_INPUT!I191)</f>
        <v/>
      </c>
      <c r="H191" s="18" t="str">
        <f>IF(R191&lt;&gt;1,"",G191*CONTROL_PANEL!$B$5)</f>
        <v/>
      </c>
      <c r="I191" s="18" t="str">
        <f>IF(R191&lt;&gt;1,"",DATA_INPUT!C191)</f>
        <v/>
      </c>
      <c r="J191" s="18" t="str">
        <f t="shared" si="106"/>
        <v/>
      </c>
      <c r="K191" s="18" t="str">
        <f>IF(R191&lt;&gt;1,"",DATA_INPUT!H191)</f>
        <v/>
      </c>
      <c r="L191" s="18" t="str">
        <f t="shared" si="107"/>
        <v/>
      </c>
      <c r="M191" s="18" t="str">
        <f>IF(R191&lt;&gt;1,"",H191*CONTROL_PANEL!$B$14)</f>
        <v/>
      </c>
      <c r="N191" s="18" t="str">
        <f>IF(R191&lt;&gt;1,"",DATA_INPUT!K191)</f>
        <v/>
      </c>
      <c r="O191" s="18" t="str">
        <f t="shared" si="108"/>
        <v/>
      </c>
      <c r="P191" s="18" t="str">
        <f>IF(R191&lt;&gt;1,"",IF(O191-CONTROL_PANEL!$B$11&lt;0,0,O191-CONTROL_PANEL!$B$11))</f>
        <v/>
      </c>
      <c r="Q191" s="18" t="str">
        <f>IF(R191&lt;&gt;1,"",IF(N191&lt;=0,0,MIN(N191,MAX(0,CONTROL_PANEL!$B$13-O191))))</f>
        <v/>
      </c>
      <c r="R191" s="18"/>
      <c r="T191" s="19">
        <f t="shared" si="136"/>
        <v>2031</v>
      </c>
      <c r="U191" s="19">
        <f t="shared" si="141"/>
        <v>4</v>
      </c>
      <c r="V191" s="18" t="str">
        <f t="shared" si="109"/>
        <v/>
      </c>
      <c r="W191" s="18" t="str">
        <f t="shared" si="131"/>
        <v/>
      </c>
      <c r="X191" s="18" t="str">
        <f>IF(AK190&lt;&gt;1,"",IF(AH190&gt;0,IF(AH190&gt;CONTROL_PANEL!$B$11,CONTROL_PANEL!$B$11,AH190),0))</f>
        <v/>
      </c>
      <c r="Y191" s="18" t="str">
        <f t="shared" si="126"/>
        <v/>
      </c>
      <c r="Z191" s="18" t="str">
        <f>IF(AK191&lt;&gt;1,"",DATA_INPUT!I191)</f>
        <v/>
      </c>
      <c r="AA191" s="18" t="str">
        <f>IF(AK191&lt;&gt;1,"",Z191*CONTROL_PANEL!$B$5)</f>
        <v/>
      </c>
      <c r="AB191" s="18" t="str">
        <f>IF(AK191&lt;&gt;1,"",DATA_INPUT!$C191)</f>
        <v/>
      </c>
      <c r="AC191" s="18" t="str">
        <f t="shared" si="110"/>
        <v/>
      </c>
      <c r="AD191" s="18" t="str">
        <f>IF(AK191&lt;&gt;1,"",DATA_INPUT!$H191)</f>
        <v/>
      </c>
      <c r="AE191" s="18" t="str">
        <f t="shared" si="111"/>
        <v/>
      </c>
      <c r="AF191" s="18" t="str">
        <f>IF(AK191&lt;&gt;1,"",AA191*CONTROL_PANEL!$B$14)</f>
        <v/>
      </c>
      <c r="AG191" s="18" t="str">
        <f>IF(AK191&lt;&gt;1,"",DATA_INPUT!$L191)</f>
        <v/>
      </c>
      <c r="AH191" s="18" t="str">
        <f t="shared" si="112"/>
        <v/>
      </c>
      <c r="AI191" s="18" t="str">
        <f>IF(AK191&lt;&gt;1,"",IF(AH191-CONTROL_PANEL!$B$11&lt;0,0,AH191-CONTROL_PANEL!$B$11))</f>
        <v/>
      </c>
      <c r="AJ191" s="18" t="str">
        <f>IF(AK191&lt;&gt;1,"",IF(AG191&lt;=0,0,MIN(AG191,MAX(0,CONTROL_PANEL!$B$13-AH191))))</f>
        <v/>
      </c>
      <c r="AK191" s="18"/>
      <c r="AM191" s="19">
        <f t="shared" si="137"/>
        <v>2031</v>
      </c>
      <c r="AN191" s="19">
        <f t="shared" si="142"/>
        <v>4</v>
      </c>
      <c r="AO191" s="18" t="str">
        <f t="shared" si="113"/>
        <v/>
      </c>
      <c r="AP191" s="18" t="str">
        <f t="shared" si="132"/>
        <v/>
      </c>
      <c r="AQ191" s="18" t="str">
        <f>IF(BD190&lt;&gt;1,"",IF(BA190&gt;0,IF(BA190&gt;CONTROL_PANEL!$B$11,CONTROL_PANEL!$B$11,BA190),0))</f>
        <v/>
      </c>
      <c r="AR191" s="18" t="str">
        <f t="shared" si="127"/>
        <v/>
      </c>
      <c r="AS191" s="18" t="str">
        <f>IF(BD191&lt;&gt;1,"",DATA_INPUT!$I191)</f>
        <v/>
      </c>
      <c r="AT191" s="18" t="str">
        <f>IF(BD191&lt;&gt;1,"",AS191*CONTROL_PANEL!$B$5)</f>
        <v/>
      </c>
      <c r="AU191" s="18" t="str">
        <f>IF(BD191&lt;&gt;1,"",DATA_INPUT!$C191)</f>
        <v/>
      </c>
      <c r="AV191" s="18" t="str">
        <f t="shared" si="114"/>
        <v/>
      </c>
      <c r="AW191" s="18" t="str">
        <f>IF(BD191&lt;&gt;1,"",DATA_INPUT!$H191)</f>
        <v/>
      </c>
      <c r="AX191" s="18" t="str">
        <f t="shared" si="115"/>
        <v/>
      </c>
      <c r="AY191" s="18" t="str">
        <f>IF(BD191&lt;&gt;1,"",AT191*CONTROL_PANEL!$B$14)</f>
        <v/>
      </c>
      <c r="AZ191" s="18" t="str">
        <f>IF(BD191&lt;&gt;1,"",DATA_INPUT!$M191)</f>
        <v/>
      </c>
      <c r="BA191" s="18" t="str">
        <f t="shared" si="116"/>
        <v/>
      </c>
      <c r="BB191" s="18" t="str">
        <f>IF(BD191&lt;&gt;1,"",IF(BA191-CONTROL_PANEL!$B$11&lt;0,0,BA191-CONTROL_PANEL!$B$11))</f>
        <v/>
      </c>
      <c r="BC191" s="18" t="str">
        <f>IF(BD191&lt;&gt;1,"",IF(AZ191&lt;=0,0,MIN(AZ191,MAX(0,CONTROL_PANEL!$B$13-BA191))))</f>
        <v/>
      </c>
      <c r="BD191" s="18"/>
      <c r="BF191" s="19">
        <f t="shared" si="138"/>
        <v>2031</v>
      </c>
      <c r="BG191" s="19">
        <f t="shared" si="143"/>
        <v>4</v>
      </c>
      <c r="BH191" s="18" t="str">
        <f t="shared" si="117"/>
        <v/>
      </c>
      <c r="BI191" s="18" t="str">
        <f t="shared" si="133"/>
        <v/>
      </c>
      <c r="BJ191" s="18" t="str">
        <f>IF(BW190&lt;&gt;1,"",IF(BT190&gt;0,IF(BT190&gt;CONTROL_PANEL!$B$11,CONTROL_PANEL!$B$11,BT190),0))</f>
        <v/>
      </c>
      <c r="BK191" s="18" t="str">
        <f t="shared" si="128"/>
        <v/>
      </c>
      <c r="BL191" s="18" t="str">
        <f>IF(BW191&lt;&gt;1,"",DATA_INPUT!$I191)</f>
        <v/>
      </c>
      <c r="BM191" s="18" t="str">
        <f>IF(BW191&lt;&gt;1,"",BL191*CONTROL_PANEL!$B$5)</f>
        <v/>
      </c>
      <c r="BN191" s="18" t="str">
        <f>IF(BW191&lt;&gt;1,"",DATA_INPUT!$C191)</f>
        <v/>
      </c>
      <c r="BO191" s="18" t="str">
        <f t="shared" si="118"/>
        <v/>
      </c>
      <c r="BP191" s="18" t="str">
        <f>IF(BW191&lt;&gt;1,"",DATA_INPUT!$H191)</f>
        <v/>
      </c>
      <c r="BQ191" s="18" t="str">
        <f t="shared" si="119"/>
        <v/>
      </c>
      <c r="BR191" s="18" t="str">
        <f>IF(BW191&lt;&gt;1,"",BM191*CONTROL_PANEL!$B$14)</f>
        <v/>
      </c>
      <c r="BS191" s="18" t="str">
        <f>IF(BW191&lt;&gt;1,"",DATA_INPUT!$N191)</f>
        <v/>
      </c>
      <c r="BT191" s="18" t="str">
        <f t="shared" si="120"/>
        <v/>
      </c>
      <c r="BU191" s="18" t="str">
        <f>IF(BW191&lt;&gt;1,"",IF(BT191-CONTROL_PANEL!$B$11&lt;0,0,BT191-CONTROL_PANEL!$B$11))</f>
        <v/>
      </c>
      <c r="BV191" s="18" t="str">
        <f>IF(BW191&lt;&gt;1,"",IF(BS191&lt;=0,0,MIN(BS191,MAX(0,CONTROL_PANEL!$B$13-BT191))))</f>
        <v/>
      </c>
      <c r="BW191" s="18"/>
      <c r="BY191" s="19">
        <f t="shared" si="139"/>
        <v>2031</v>
      </c>
      <c r="BZ191" s="19">
        <f t="shared" si="144"/>
        <v>4</v>
      </c>
      <c r="CA191" s="18" t="str">
        <f t="shared" si="121"/>
        <v/>
      </c>
      <c r="CB191" s="18" t="str">
        <f t="shared" si="134"/>
        <v/>
      </c>
      <c r="CC191" s="18" t="str">
        <f>IF(CP190&lt;&gt;1,"",IF(CM190&gt;0,IF(CM190&gt;CONTROL_PANEL!$B$11,CONTROL_PANEL!$B$11,CM190),0))</f>
        <v/>
      </c>
      <c r="CD191" s="18" t="str">
        <f t="shared" si="129"/>
        <v/>
      </c>
      <c r="CE191" s="18" t="str">
        <f>IF(CP191&lt;&gt;1,"",DATA_INPUT!$I191)</f>
        <v/>
      </c>
      <c r="CF191" s="18" t="str">
        <f>IF(CP191&lt;&gt;1,"",CE191*CONTROL_PANEL!$B$5)</f>
        <v/>
      </c>
      <c r="CG191" s="18" t="str">
        <f>IF(CP191&lt;&gt;1,"",DATA_INPUT!$C191)</f>
        <v/>
      </c>
      <c r="CH191" s="18" t="str">
        <f t="shared" si="122"/>
        <v/>
      </c>
      <c r="CI191" s="18" t="str">
        <f>IF(CP191&lt;&gt;1,"",DATA_INPUT!$H191)</f>
        <v/>
      </c>
      <c r="CJ191" s="18" t="str">
        <f t="shared" si="123"/>
        <v/>
      </c>
      <c r="CK191" s="18" t="str">
        <f>IF(CP191&lt;&gt;1,"",CF191*CONTROL_PANEL!$B$14)</f>
        <v/>
      </c>
      <c r="CL191" s="18" t="str">
        <f>IF(CP191&lt;&gt;1,"",DATA_INPUT!$O191)</f>
        <v/>
      </c>
      <c r="CM191" s="18" t="str">
        <f t="shared" si="124"/>
        <v/>
      </c>
      <c r="CN191" s="18" t="str">
        <f>IF(CP191&lt;&gt;1,"",IF(CM191-CONTROL_PANEL!$B$11&lt;0,0,CM191-CONTROL_PANEL!$B$11))</f>
        <v/>
      </c>
      <c r="CO191" s="18" t="str">
        <f>IF(CP191&lt;&gt;1,"",IF(CL191&lt;=0,0,MIN(CL191,MAX(0,CONTROL_PANEL!$B$13-CM191))))</f>
        <v/>
      </c>
      <c r="CP191" s="18"/>
    </row>
    <row r="192" spans="1:94" x14ac:dyDescent="0.25">
      <c r="A192" s="19">
        <f t="shared" si="135"/>
        <v>2031</v>
      </c>
      <c r="B192" s="19">
        <f t="shared" si="140"/>
        <v>5</v>
      </c>
      <c r="C192" s="18" t="str">
        <f t="shared" si="105"/>
        <v/>
      </c>
      <c r="D192" s="18" t="str">
        <f t="shared" si="130"/>
        <v/>
      </c>
      <c r="E192" s="18" t="str">
        <f>IF(R191&lt;&gt;1,"",IF(O191&gt;0,IF(O191&gt;CONTROL_PANEL!$B$11,CONTROL_PANEL!$B$11,O191),0))</f>
        <v/>
      </c>
      <c r="F192" s="18" t="str">
        <f t="shared" si="125"/>
        <v/>
      </c>
      <c r="G192" s="18" t="str">
        <f>IF(R192&lt;&gt;1,"",DATA_INPUT!I192)</f>
        <v/>
      </c>
      <c r="H192" s="18" t="str">
        <f>IF(R192&lt;&gt;1,"",G192*CONTROL_PANEL!$B$5)</f>
        <v/>
      </c>
      <c r="I192" s="18" t="str">
        <f>IF(R192&lt;&gt;1,"",DATA_INPUT!C192)</f>
        <v/>
      </c>
      <c r="J192" s="18" t="str">
        <f t="shared" si="106"/>
        <v/>
      </c>
      <c r="K192" s="18" t="str">
        <f>IF(R192&lt;&gt;1,"",DATA_INPUT!H192)</f>
        <v/>
      </c>
      <c r="L192" s="18" t="str">
        <f t="shared" si="107"/>
        <v/>
      </c>
      <c r="M192" s="18" t="str">
        <f>IF(R192&lt;&gt;1,"",H192*CONTROL_PANEL!$B$14)</f>
        <v/>
      </c>
      <c r="N192" s="18" t="str">
        <f>IF(R192&lt;&gt;1,"",DATA_INPUT!K192)</f>
        <v/>
      </c>
      <c r="O192" s="18" t="str">
        <f t="shared" si="108"/>
        <v/>
      </c>
      <c r="P192" s="18" t="str">
        <f>IF(R192&lt;&gt;1,"",IF(O192-CONTROL_PANEL!$B$11&lt;0,0,O192-CONTROL_PANEL!$B$11))</f>
        <v/>
      </c>
      <c r="Q192" s="18" t="str">
        <f>IF(R192&lt;&gt;1,"",IF(N192&lt;=0,0,MIN(N192,MAX(0,CONTROL_PANEL!$B$13-O192))))</f>
        <v/>
      </c>
      <c r="R192" s="18"/>
      <c r="T192" s="19">
        <f t="shared" si="136"/>
        <v>2031</v>
      </c>
      <c r="U192" s="19">
        <f t="shared" si="141"/>
        <v>5</v>
      </c>
      <c r="V192" s="18" t="str">
        <f t="shared" si="109"/>
        <v/>
      </c>
      <c r="W192" s="18" t="str">
        <f t="shared" si="131"/>
        <v/>
      </c>
      <c r="X192" s="18" t="str">
        <f>IF(AK191&lt;&gt;1,"",IF(AH191&gt;0,IF(AH191&gt;CONTROL_PANEL!$B$11,CONTROL_PANEL!$B$11,AH191),0))</f>
        <v/>
      </c>
      <c r="Y192" s="18" t="str">
        <f t="shared" si="126"/>
        <v/>
      </c>
      <c r="Z192" s="18" t="str">
        <f>IF(AK192&lt;&gt;1,"",DATA_INPUT!I192)</f>
        <v/>
      </c>
      <c r="AA192" s="18" t="str">
        <f>IF(AK192&lt;&gt;1,"",Z192*CONTROL_PANEL!$B$5)</f>
        <v/>
      </c>
      <c r="AB192" s="18" t="str">
        <f>IF(AK192&lt;&gt;1,"",DATA_INPUT!$C192)</f>
        <v/>
      </c>
      <c r="AC192" s="18" t="str">
        <f t="shared" si="110"/>
        <v/>
      </c>
      <c r="AD192" s="18" t="str">
        <f>IF(AK192&lt;&gt;1,"",DATA_INPUT!$H192)</f>
        <v/>
      </c>
      <c r="AE192" s="18" t="str">
        <f t="shared" si="111"/>
        <v/>
      </c>
      <c r="AF192" s="18" t="str">
        <f>IF(AK192&lt;&gt;1,"",AA192*CONTROL_PANEL!$B$14)</f>
        <v/>
      </c>
      <c r="AG192" s="18" t="str">
        <f>IF(AK192&lt;&gt;1,"",DATA_INPUT!$L192)</f>
        <v/>
      </c>
      <c r="AH192" s="18" t="str">
        <f t="shared" si="112"/>
        <v/>
      </c>
      <c r="AI192" s="18" t="str">
        <f>IF(AK192&lt;&gt;1,"",IF(AH192-CONTROL_PANEL!$B$11&lt;0,0,AH192-CONTROL_PANEL!$B$11))</f>
        <v/>
      </c>
      <c r="AJ192" s="18" t="str">
        <f>IF(AK192&lt;&gt;1,"",IF(AG192&lt;=0,0,MIN(AG192,MAX(0,CONTROL_PANEL!$B$13-AH192))))</f>
        <v/>
      </c>
      <c r="AK192" s="18"/>
      <c r="AM192" s="19">
        <f t="shared" si="137"/>
        <v>2031</v>
      </c>
      <c r="AN192" s="19">
        <f t="shared" si="142"/>
        <v>5</v>
      </c>
      <c r="AO192" s="18" t="str">
        <f t="shared" si="113"/>
        <v/>
      </c>
      <c r="AP192" s="18" t="str">
        <f t="shared" si="132"/>
        <v/>
      </c>
      <c r="AQ192" s="18" t="str">
        <f>IF(BD191&lt;&gt;1,"",IF(BA191&gt;0,IF(BA191&gt;CONTROL_PANEL!$B$11,CONTROL_PANEL!$B$11,BA191),0))</f>
        <v/>
      </c>
      <c r="AR192" s="18" t="str">
        <f t="shared" si="127"/>
        <v/>
      </c>
      <c r="AS192" s="18" t="str">
        <f>IF(BD192&lt;&gt;1,"",DATA_INPUT!$I192)</f>
        <v/>
      </c>
      <c r="AT192" s="18" t="str">
        <f>IF(BD192&lt;&gt;1,"",AS192*CONTROL_PANEL!$B$5)</f>
        <v/>
      </c>
      <c r="AU192" s="18" t="str">
        <f>IF(BD192&lt;&gt;1,"",DATA_INPUT!$C192)</f>
        <v/>
      </c>
      <c r="AV192" s="18" t="str">
        <f t="shared" si="114"/>
        <v/>
      </c>
      <c r="AW192" s="18" t="str">
        <f>IF(BD192&lt;&gt;1,"",DATA_INPUT!$H192)</f>
        <v/>
      </c>
      <c r="AX192" s="18" t="str">
        <f t="shared" si="115"/>
        <v/>
      </c>
      <c r="AY192" s="18" t="str">
        <f>IF(BD192&lt;&gt;1,"",AT192*CONTROL_PANEL!$B$14)</f>
        <v/>
      </c>
      <c r="AZ192" s="18" t="str">
        <f>IF(BD192&lt;&gt;1,"",DATA_INPUT!$M192)</f>
        <v/>
      </c>
      <c r="BA192" s="18" t="str">
        <f t="shared" si="116"/>
        <v/>
      </c>
      <c r="BB192" s="18" t="str">
        <f>IF(BD192&lt;&gt;1,"",IF(BA192-CONTROL_PANEL!$B$11&lt;0,0,BA192-CONTROL_PANEL!$B$11))</f>
        <v/>
      </c>
      <c r="BC192" s="18" t="str">
        <f>IF(BD192&lt;&gt;1,"",IF(AZ192&lt;=0,0,MIN(AZ192,MAX(0,CONTROL_PANEL!$B$13-BA192))))</f>
        <v/>
      </c>
      <c r="BD192" s="18"/>
      <c r="BF192" s="19">
        <f t="shared" si="138"/>
        <v>2031</v>
      </c>
      <c r="BG192" s="19">
        <f t="shared" si="143"/>
        <v>5</v>
      </c>
      <c r="BH192" s="18" t="str">
        <f t="shared" si="117"/>
        <v/>
      </c>
      <c r="BI192" s="18" t="str">
        <f t="shared" si="133"/>
        <v/>
      </c>
      <c r="BJ192" s="18" t="str">
        <f>IF(BW191&lt;&gt;1,"",IF(BT191&gt;0,IF(BT191&gt;CONTROL_PANEL!$B$11,CONTROL_PANEL!$B$11,BT191),0))</f>
        <v/>
      </c>
      <c r="BK192" s="18" t="str">
        <f t="shared" si="128"/>
        <v/>
      </c>
      <c r="BL192" s="18" t="str">
        <f>IF(BW192&lt;&gt;1,"",DATA_INPUT!$I192)</f>
        <v/>
      </c>
      <c r="BM192" s="18" t="str">
        <f>IF(BW192&lt;&gt;1,"",BL192*CONTROL_PANEL!$B$5)</f>
        <v/>
      </c>
      <c r="BN192" s="18" t="str">
        <f>IF(BW192&lt;&gt;1,"",DATA_INPUT!$C192)</f>
        <v/>
      </c>
      <c r="BO192" s="18" t="str">
        <f t="shared" si="118"/>
        <v/>
      </c>
      <c r="BP192" s="18" t="str">
        <f>IF(BW192&lt;&gt;1,"",DATA_INPUT!$H192)</f>
        <v/>
      </c>
      <c r="BQ192" s="18" t="str">
        <f t="shared" si="119"/>
        <v/>
      </c>
      <c r="BR192" s="18" t="str">
        <f>IF(BW192&lt;&gt;1,"",BM192*CONTROL_PANEL!$B$14)</f>
        <v/>
      </c>
      <c r="BS192" s="18" t="str">
        <f>IF(BW192&lt;&gt;1,"",DATA_INPUT!$N192)</f>
        <v/>
      </c>
      <c r="BT192" s="18" t="str">
        <f t="shared" si="120"/>
        <v/>
      </c>
      <c r="BU192" s="18" t="str">
        <f>IF(BW192&lt;&gt;1,"",IF(BT192-CONTROL_PANEL!$B$11&lt;0,0,BT192-CONTROL_PANEL!$B$11))</f>
        <v/>
      </c>
      <c r="BV192" s="18" t="str">
        <f>IF(BW192&lt;&gt;1,"",IF(BS192&lt;=0,0,MIN(BS192,MAX(0,CONTROL_PANEL!$B$13-BT192))))</f>
        <v/>
      </c>
      <c r="BW192" s="18"/>
      <c r="BY192" s="19">
        <f t="shared" si="139"/>
        <v>2031</v>
      </c>
      <c r="BZ192" s="19">
        <f t="shared" si="144"/>
        <v>5</v>
      </c>
      <c r="CA192" s="18" t="str">
        <f t="shared" si="121"/>
        <v/>
      </c>
      <c r="CB192" s="18" t="str">
        <f t="shared" si="134"/>
        <v/>
      </c>
      <c r="CC192" s="18" t="str">
        <f>IF(CP191&lt;&gt;1,"",IF(CM191&gt;0,IF(CM191&gt;CONTROL_PANEL!$B$11,CONTROL_PANEL!$B$11,CM191),0))</f>
        <v/>
      </c>
      <c r="CD192" s="18" t="str">
        <f t="shared" si="129"/>
        <v/>
      </c>
      <c r="CE192" s="18" t="str">
        <f>IF(CP192&lt;&gt;1,"",DATA_INPUT!$I192)</f>
        <v/>
      </c>
      <c r="CF192" s="18" t="str">
        <f>IF(CP192&lt;&gt;1,"",CE192*CONTROL_PANEL!$B$5)</f>
        <v/>
      </c>
      <c r="CG192" s="18" t="str">
        <f>IF(CP192&lt;&gt;1,"",DATA_INPUT!$C192)</f>
        <v/>
      </c>
      <c r="CH192" s="18" t="str">
        <f t="shared" si="122"/>
        <v/>
      </c>
      <c r="CI192" s="18" t="str">
        <f>IF(CP192&lt;&gt;1,"",DATA_INPUT!$H192)</f>
        <v/>
      </c>
      <c r="CJ192" s="18" t="str">
        <f t="shared" si="123"/>
        <v/>
      </c>
      <c r="CK192" s="18" t="str">
        <f>IF(CP192&lt;&gt;1,"",CF192*CONTROL_PANEL!$B$14)</f>
        <v/>
      </c>
      <c r="CL192" s="18" t="str">
        <f>IF(CP192&lt;&gt;1,"",DATA_INPUT!$O192)</f>
        <v/>
      </c>
      <c r="CM192" s="18" t="str">
        <f t="shared" si="124"/>
        <v/>
      </c>
      <c r="CN192" s="18" t="str">
        <f>IF(CP192&lt;&gt;1,"",IF(CM192-CONTROL_PANEL!$B$11&lt;0,0,CM192-CONTROL_PANEL!$B$11))</f>
        <v/>
      </c>
      <c r="CO192" s="18" t="str">
        <f>IF(CP192&lt;&gt;1,"",IF(CL192&lt;=0,0,MIN(CL192,MAX(0,CONTROL_PANEL!$B$13-CM192))))</f>
        <v/>
      </c>
      <c r="CP192" s="18"/>
    </row>
    <row r="193" spans="1:94" x14ac:dyDescent="0.25">
      <c r="A193" s="19">
        <f t="shared" si="135"/>
        <v>2031</v>
      </c>
      <c r="B193" s="19">
        <f t="shared" si="140"/>
        <v>6</v>
      </c>
      <c r="C193" s="18" t="str">
        <f t="shared" si="105"/>
        <v/>
      </c>
      <c r="D193" s="18" t="str">
        <f t="shared" si="130"/>
        <v/>
      </c>
      <c r="E193" s="18" t="str">
        <f>IF(R192&lt;&gt;1,"",IF(O192&gt;0,IF(O192&gt;CONTROL_PANEL!$B$11,CONTROL_PANEL!$B$11,O192),0))</f>
        <v/>
      </c>
      <c r="F193" s="18" t="str">
        <f t="shared" si="125"/>
        <v/>
      </c>
      <c r="G193" s="18" t="str">
        <f>IF(R193&lt;&gt;1,"",DATA_INPUT!I193)</f>
        <v/>
      </c>
      <c r="H193" s="18" t="str">
        <f>IF(R193&lt;&gt;1,"",G193*CONTROL_PANEL!$B$5)</f>
        <v/>
      </c>
      <c r="I193" s="18" t="str">
        <f>IF(R193&lt;&gt;1,"",DATA_INPUT!C193)</f>
        <v/>
      </c>
      <c r="J193" s="18" t="str">
        <f t="shared" si="106"/>
        <v/>
      </c>
      <c r="K193" s="18" t="str">
        <f>IF(R193&lt;&gt;1,"",DATA_INPUT!H193)</f>
        <v/>
      </c>
      <c r="L193" s="18" t="str">
        <f t="shared" si="107"/>
        <v/>
      </c>
      <c r="M193" s="18" t="str">
        <f>IF(R193&lt;&gt;1,"",H193*CONTROL_PANEL!$B$14)</f>
        <v/>
      </c>
      <c r="N193" s="18" t="str">
        <f>IF(R193&lt;&gt;1,"",DATA_INPUT!K193)</f>
        <v/>
      </c>
      <c r="O193" s="18" t="str">
        <f t="shared" si="108"/>
        <v/>
      </c>
      <c r="P193" s="18" t="str">
        <f>IF(R193&lt;&gt;1,"",IF(O193-CONTROL_PANEL!$B$11&lt;0,0,O193-CONTROL_PANEL!$B$11))</f>
        <v/>
      </c>
      <c r="Q193" s="18" t="str">
        <f>IF(R193&lt;&gt;1,"",IF(N193&lt;=0,0,MIN(N193,MAX(0,CONTROL_PANEL!$B$13-O193))))</f>
        <v/>
      </c>
      <c r="R193" s="18"/>
      <c r="T193" s="19">
        <f t="shared" si="136"/>
        <v>2031</v>
      </c>
      <c r="U193" s="19">
        <f t="shared" si="141"/>
        <v>6</v>
      </c>
      <c r="V193" s="18" t="str">
        <f t="shared" si="109"/>
        <v/>
      </c>
      <c r="W193" s="18" t="str">
        <f t="shared" si="131"/>
        <v/>
      </c>
      <c r="X193" s="18" t="str">
        <f>IF(AK192&lt;&gt;1,"",IF(AH192&gt;0,IF(AH192&gt;CONTROL_PANEL!$B$11,CONTROL_PANEL!$B$11,AH192),0))</f>
        <v/>
      </c>
      <c r="Y193" s="18" t="str">
        <f t="shared" si="126"/>
        <v/>
      </c>
      <c r="Z193" s="18" t="str">
        <f>IF(AK193&lt;&gt;1,"",DATA_INPUT!I193)</f>
        <v/>
      </c>
      <c r="AA193" s="18" t="str">
        <f>IF(AK193&lt;&gt;1,"",Z193*CONTROL_PANEL!$B$5)</f>
        <v/>
      </c>
      <c r="AB193" s="18" t="str">
        <f>IF(AK193&lt;&gt;1,"",DATA_INPUT!$C193)</f>
        <v/>
      </c>
      <c r="AC193" s="18" t="str">
        <f t="shared" si="110"/>
        <v/>
      </c>
      <c r="AD193" s="18" t="str">
        <f>IF(AK193&lt;&gt;1,"",DATA_INPUT!$H193)</f>
        <v/>
      </c>
      <c r="AE193" s="18" t="str">
        <f t="shared" si="111"/>
        <v/>
      </c>
      <c r="AF193" s="18" t="str">
        <f>IF(AK193&lt;&gt;1,"",AA193*CONTROL_PANEL!$B$14)</f>
        <v/>
      </c>
      <c r="AG193" s="18" t="str">
        <f>IF(AK193&lt;&gt;1,"",DATA_INPUT!$L193)</f>
        <v/>
      </c>
      <c r="AH193" s="18" t="str">
        <f t="shared" si="112"/>
        <v/>
      </c>
      <c r="AI193" s="18" t="str">
        <f>IF(AK193&lt;&gt;1,"",IF(AH193-CONTROL_PANEL!$B$11&lt;0,0,AH193-CONTROL_PANEL!$B$11))</f>
        <v/>
      </c>
      <c r="AJ193" s="18" t="str">
        <f>IF(AK193&lt;&gt;1,"",IF(AG193&lt;=0,0,MIN(AG193,MAX(0,CONTROL_PANEL!$B$13-AH193))))</f>
        <v/>
      </c>
      <c r="AK193" s="18"/>
      <c r="AM193" s="19">
        <f t="shared" si="137"/>
        <v>2031</v>
      </c>
      <c r="AN193" s="19">
        <f t="shared" si="142"/>
        <v>6</v>
      </c>
      <c r="AO193" s="18" t="str">
        <f t="shared" si="113"/>
        <v/>
      </c>
      <c r="AP193" s="18" t="str">
        <f t="shared" si="132"/>
        <v/>
      </c>
      <c r="AQ193" s="18" t="str">
        <f>IF(BD192&lt;&gt;1,"",IF(BA192&gt;0,IF(BA192&gt;CONTROL_PANEL!$B$11,CONTROL_PANEL!$B$11,BA192),0))</f>
        <v/>
      </c>
      <c r="AR193" s="18" t="str">
        <f t="shared" si="127"/>
        <v/>
      </c>
      <c r="AS193" s="18" t="str">
        <f>IF(BD193&lt;&gt;1,"",DATA_INPUT!$I193)</f>
        <v/>
      </c>
      <c r="AT193" s="18" t="str">
        <f>IF(BD193&lt;&gt;1,"",AS193*CONTROL_PANEL!$B$5)</f>
        <v/>
      </c>
      <c r="AU193" s="18" t="str">
        <f>IF(BD193&lt;&gt;1,"",DATA_INPUT!$C193)</f>
        <v/>
      </c>
      <c r="AV193" s="18" t="str">
        <f t="shared" si="114"/>
        <v/>
      </c>
      <c r="AW193" s="18" t="str">
        <f>IF(BD193&lt;&gt;1,"",DATA_INPUT!$H193)</f>
        <v/>
      </c>
      <c r="AX193" s="18" t="str">
        <f t="shared" si="115"/>
        <v/>
      </c>
      <c r="AY193" s="18" t="str">
        <f>IF(BD193&lt;&gt;1,"",AT193*CONTROL_PANEL!$B$14)</f>
        <v/>
      </c>
      <c r="AZ193" s="18" t="str">
        <f>IF(BD193&lt;&gt;1,"",DATA_INPUT!$M193)</f>
        <v/>
      </c>
      <c r="BA193" s="18" t="str">
        <f t="shared" si="116"/>
        <v/>
      </c>
      <c r="BB193" s="18" t="str">
        <f>IF(BD193&lt;&gt;1,"",IF(BA193-CONTROL_PANEL!$B$11&lt;0,0,BA193-CONTROL_PANEL!$B$11))</f>
        <v/>
      </c>
      <c r="BC193" s="18" t="str">
        <f>IF(BD193&lt;&gt;1,"",IF(AZ193&lt;=0,0,MIN(AZ193,MAX(0,CONTROL_PANEL!$B$13-BA193))))</f>
        <v/>
      </c>
      <c r="BD193" s="18"/>
      <c r="BF193" s="19">
        <f t="shared" si="138"/>
        <v>2031</v>
      </c>
      <c r="BG193" s="19">
        <f t="shared" si="143"/>
        <v>6</v>
      </c>
      <c r="BH193" s="18" t="str">
        <f t="shared" si="117"/>
        <v/>
      </c>
      <c r="BI193" s="18" t="str">
        <f t="shared" si="133"/>
        <v/>
      </c>
      <c r="BJ193" s="18" t="str">
        <f>IF(BW192&lt;&gt;1,"",IF(BT192&gt;0,IF(BT192&gt;CONTROL_PANEL!$B$11,CONTROL_PANEL!$B$11,BT192),0))</f>
        <v/>
      </c>
      <c r="BK193" s="18" t="str">
        <f t="shared" si="128"/>
        <v/>
      </c>
      <c r="BL193" s="18" t="str">
        <f>IF(BW193&lt;&gt;1,"",DATA_INPUT!$I193)</f>
        <v/>
      </c>
      <c r="BM193" s="18" t="str">
        <f>IF(BW193&lt;&gt;1,"",BL193*CONTROL_PANEL!$B$5)</f>
        <v/>
      </c>
      <c r="BN193" s="18" t="str">
        <f>IF(BW193&lt;&gt;1,"",DATA_INPUT!$C193)</f>
        <v/>
      </c>
      <c r="BO193" s="18" t="str">
        <f t="shared" si="118"/>
        <v/>
      </c>
      <c r="BP193" s="18" t="str">
        <f>IF(BW193&lt;&gt;1,"",DATA_INPUT!$H193)</f>
        <v/>
      </c>
      <c r="BQ193" s="18" t="str">
        <f t="shared" si="119"/>
        <v/>
      </c>
      <c r="BR193" s="18" t="str">
        <f>IF(BW193&lt;&gt;1,"",BM193*CONTROL_PANEL!$B$14)</f>
        <v/>
      </c>
      <c r="BS193" s="18" t="str">
        <f>IF(BW193&lt;&gt;1,"",DATA_INPUT!$N193)</f>
        <v/>
      </c>
      <c r="BT193" s="18" t="str">
        <f t="shared" si="120"/>
        <v/>
      </c>
      <c r="BU193" s="18" t="str">
        <f>IF(BW193&lt;&gt;1,"",IF(BT193-CONTROL_PANEL!$B$11&lt;0,0,BT193-CONTROL_PANEL!$B$11))</f>
        <v/>
      </c>
      <c r="BV193" s="18" t="str">
        <f>IF(BW193&lt;&gt;1,"",IF(BS193&lt;=0,0,MIN(BS193,MAX(0,CONTROL_PANEL!$B$13-BT193))))</f>
        <v/>
      </c>
      <c r="BW193" s="18"/>
      <c r="BY193" s="19">
        <f t="shared" si="139"/>
        <v>2031</v>
      </c>
      <c r="BZ193" s="19">
        <f t="shared" si="144"/>
        <v>6</v>
      </c>
      <c r="CA193" s="18" t="str">
        <f t="shared" si="121"/>
        <v/>
      </c>
      <c r="CB193" s="18" t="str">
        <f t="shared" si="134"/>
        <v/>
      </c>
      <c r="CC193" s="18" t="str">
        <f>IF(CP192&lt;&gt;1,"",IF(CM192&gt;0,IF(CM192&gt;CONTROL_PANEL!$B$11,CONTROL_PANEL!$B$11,CM192),0))</f>
        <v/>
      </c>
      <c r="CD193" s="18" t="str">
        <f t="shared" si="129"/>
        <v/>
      </c>
      <c r="CE193" s="18" t="str">
        <f>IF(CP193&lt;&gt;1,"",DATA_INPUT!$I193)</f>
        <v/>
      </c>
      <c r="CF193" s="18" t="str">
        <f>IF(CP193&lt;&gt;1,"",CE193*CONTROL_PANEL!$B$5)</f>
        <v/>
      </c>
      <c r="CG193" s="18" t="str">
        <f>IF(CP193&lt;&gt;1,"",DATA_INPUT!$C193)</f>
        <v/>
      </c>
      <c r="CH193" s="18" t="str">
        <f t="shared" si="122"/>
        <v/>
      </c>
      <c r="CI193" s="18" t="str">
        <f>IF(CP193&lt;&gt;1,"",DATA_INPUT!$H193)</f>
        <v/>
      </c>
      <c r="CJ193" s="18" t="str">
        <f t="shared" si="123"/>
        <v/>
      </c>
      <c r="CK193" s="18" t="str">
        <f>IF(CP193&lt;&gt;1,"",CF193*CONTROL_PANEL!$B$14)</f>
        <v/>
      </c>
      <c r="CL193" s="18" t="str">
        <f>IF(CP193&lt;&gt;1,"",DATA_INPUT!$O193)</f>
        <v/>
      </c>
      <c r="CM193" s="18" t="str">
        <f t="shared" si="124"/>
        <v/>
      </c>
      <c r="CN193" s="18" t="str">
        <f>IF(CP193&lt;&gt;1,"",IF(CM193-CONTROL_PANEL!$B$11&lt;0,0,CM193-CONTROL_PANEL!$B$11))</f>
        <v/>
      </c>
      <c r="CO193" s="18" t="str">
        <f>IF(CP193&lt;&gt;1,"",IF(CL193&lt;=0,0,MIN(CL193,MAX(0,CONTROL_PANEL!$B$13-CM193))))</f>
        <v/>
      </c>
      <c r="CP193" s="18"/>
    </row>
    <row r="194" spans="1:94" x14ac:dyDescent="0.25">
      <c r="A194" s="19">
        <f t="shared" si="135"/>
        <v>2031</v>
      </c>
      <c r="B194" s="19">
        <f t="shared" si="140"/>
        <v>7</v>
      </c>
      <c r="C194" s="18" t="str">
        <f t="shared" si="105"/>
        <v/>
      </c>
      <c r="D194" s="18" t="str">
        <f t="shared" si="130"/>
        <v/>
      </c>
      <c r="E194" s="18" t="str">
        <f>IF(R193&lt;&gt;1,"",IF(O193&gt;0,IF(O193&gt;CONTROL_PANEL!$B$11,CONTROL_PANEL!$B$11,O193),0))</f>
        <v/>
      </c>
      <c r="F194" s="18" t="str">
        <f t="shared" si="125"/>
        <v/>
      </c>
      <c r="G194" s="18" t="str">
        <f>IF(R194&lt;&gt;1,"",DATA_INPUT!I194)</f>
        <v/>
      </c>
      <c r="H194" s="18" t="str">
        <f>IF(R194&lt;&gt;1,"",G194*CONTROL_PANEL!$B$5)</f>
        <v/>
      </c>
      <c r="I194" s="18" t="str">
        <f>IF(R194&lt;&gt;1,"",DATA_INPUT!C194)</f>
        <v/>
      </c>
      <c r="J194" s="18" t="str">
        <f t="shared" si="106"/>
        <v/>
      </c>
      <c r="K194" s="18" t="str">
        <f>IF(R194&lt;&gt;1,"",DATA_INPUT!H194)</f>
        <v/>
      </c>
      <c r="L194" s="18" t="str">
        <f t="shared" si="107"/>
        <v/>
      </c>
      <c r="M194" s="18" t="str">
        <f>IF(R194&lt;&gt;1,"",H194*CONTROL_PANEL!$B$14)</f>
        <v/>
      </c>
      <c r="N194" s="18" t="str">
        <f>IF(R194&lt;&gt;1,"",DATA_INPUT!K194)</f>
        <v/>
      </c>
      <c r="O194" s="18" t="str">
        <f t="shared" si="108"/>
        <v/>
      </c>
      <c r="P194" s="18" t="str">
        <f>IF(R194&lt;&gt;1,"",IF(O194-CONTROL_PANEL!$B$11&lt;0,0,O194-CONTROL_PANEL!$B$11))</f>
        <v/>
      </c>
      <c r="Q194" s="18" t="str">
        <f>IF(R194&lt;&gt;1,"",IF(N194&lt;=0,0,MIN(N194,MAX(0,CONTROL_PANEL!$B$13-O194))))</f>
        <v/>
      </c>
      <c r="R194" s="18"/>
      <c r="T194" s="19">
        <f t="shared" si="136"/>
        <v>2031</v>
      </c>
      <c r="U194" s="19">
        <f t="shared" si="141"/>
        <v>7</v>
      </c>
      <c r="V194" s="18" t="str">
        <f t="shared" si="109"/>
        <v/>
      </c>
      <c r="W194" s="18" t="str">
        <f t="shared" si="131"/>
        <v/>
      </c>
      <c r="X194" s="18" t="str">
        <f>IF(AK193&lt;&gt;1,"",IF(AH193&gt;0,IF(AH193&gt;CONTROL_PANEL!$B$11,CONTROL_PANEL!$B$11,AH193),0))</f>
        <v/>
      </c>
      <c r="Y194" s="18" t="str">
        <f t="shared" si="126"/>
        <v/>
      </c>
      <c r="Z194" s="18" t="str">
        <f>IF(AK194&lt;&gt;1,"",DATA_INPUT!I194)</f>
        <v/>
      </c>
      <c r="AA194" s="18" t="str">
        <f>IF(AK194&lt;&gt;1,"",Z194*CONTROL_PANEL!$B$5)</f>
        <v/>
      </c>
      <c r="AB194" s="18" t="str">
        <f>IF(AK194&lt;&gt;1,"",DATA_INPUT!$C194)</f>
        <v/>
      </c>
      <c r="AC194" s="18" t="str">
        <f t="shared" si="110"/>
        <v/>
      </c>
      <c r="AD194" s="18" t="str">
        <f>IF(AK194&lt;&gt;1,"",DATA_INPUT!$H194)</f>
        <v/>
      </c>
      <c r="AE194" s="18" t="str">
        <f t="shared" si="111"/>
        <v/>
      </c>
      <c r="AF194" s="18" t="str">
        <f>IF(AK194&lt;&gt;1,"",AA194*CONTROL_PANEL!$B$14)</f>
        <v/>
      </c>
      <c r="AG194" s="18" t="str">
        <f>IF(AK194&lt;&gt;1,"",DATA_INPUT!$L194)</f>
        <v/>
      </c>
      <c r="AH194" s="18" t="str">
        <f t="shared" si="112"/>
        <v/>
      </c>
      <c r="AI194" s="18" t="str">
        <f>IF(AK194&lt;&gt;1,"",IF(AH194-CONTROL_PANEL!$B$11&lt;0,0,AH194-CONTROL_PANEL!$B$11))</f>
        <v/>
      </c>
      <c r="AJ194" s="18" t="str">
        <f>IF(AK194&lt;&gt;1,"",IF(AG194&lt;=0,0,MIN(AG194,MAX(0,CONTROL_PANEL!$B$13-AH194))))</f>
        <v/>
      </c>
      <c r="AK194" s="18"/>
      <c r="AM194" s="19">
        <f t="shared" si="137"/>
        <v>2031</v>
      </c>
      <c r="AN194" s="19">
        <f t="shared" si="142"/>
        <v>7</v>
      </c>
      <c r="AO194" s="18" t="str">
        <f t="shared" si="113"/>
        <v/>
      </c>
      <c r="AP194" s="18" t="str">
        <f t="shared" si="132"/>
        <v/>
      </c>
      <c r="AQ194" s="18" t="str">
        <f>IF(BD193&lt;&gt;1,"",IF(BA193&gt;0,IF(BA193&gt;CONTROL_PANEL!$B$11,CONTROL_PANEL!$B$11,BA193),0))</f>
        <v/>
      </c>
      <c r="AR194" s="18" t="str">
        <f t="shared" si="127"/>
        <v/>
      </c>
      <c r="AS194" s="18" t="str">
        <f>IF(BD194&lt;&gt;1,"",DATA_INPUT!$I194)</f>
        <v/>
      </c>
      <c r="AT194" s="18" t="str">
        <f>IF(BD194&lt;&gt;1,"",AS194*CONTROL_PANEL!$B$5)</f>
        <v/>
      </c>
      <c r="AU194" s="18" t="str">
        <f>IF(BD194&lt;&gt;1,"",DATA_INPUT!$C194)</f>
        <v/>
      </c>
      <c r="AV194" s="18" t="str">
        <f t="shared" si="114"/>
        <v/>
      </c>
      <c r="AW194" s="18" t="str">
        <f>IF(BD194&lt;&gt;1,"",DATA_INPUT!$H194)</f>
        <v/>
      </c>
      <c r="AX194" s="18" t="str">
        <f t="shared" si="115"/>
        <v/>
      </c>
      <c r="AY194" s="18" t="str">
        <f>IF(BD194&lt;&gt;1,"",AT194*CONTROL_PANEL!$B$14)</f>
        <v/>
      </c>
      <c r="AZ194" s="18" t="str">
        <f>IF(BD194&lt;&gt;1,"",DATA_INPUT!$M194)</f>
        <v/>
      </c>
      <c r="BA194" s="18" t="str">
        <f t="shared" si="116"/>
        <v/>
      </c>
      <c r="BB194" s="18" t="str">
        <f>IF(BD194&lt;&gt;1,"",IF(BA194-CONTROL_PANEL!$B$11&lt;0,0,BA194-CONTROL_PANEL!$B$11))</f>
        <v/>
      </c>
      <c r="BC194" s="18" t="str">
        <f>IF(BD194&lt;&gt;1,"",IF(AZ194&lt;=0,0,MIN(AZ194,MAX(0,CONTROL_PANEL!$B$13-BA194))))</f>
        <v/>
      </c>
      <c r="BD194" s="18"/>
      <c r="BF194" s="19">
        <f t="shared" si="138"/>
        <v>2031</v>
      </c>
      <c r="BG194" s="19">
        <f t="shared" si="143"/>
        <v>7</v>
      </c>
      <c r="BH194" s="18" t="str">
        <f t="shared" si="117"/>
        <v/>
      </c>
      <c r="BI194" s="18" t="str">
        <f t="shared" si="133"/>
        <v/>
      </c>
      <c r="BJ194" s="18" t="str">
        <f>IF(BW193&lt;&gt;1,"",IF(BT193&gt;0,IF(BT193&gt;CONTROL_PANEL!$B$11,CONTROL_PANEL!$B$11,BT193),0))</f>
        <v/>
      </c>
      <c r="BK194" s="18" t="str">
        <f t="shared" si="128"/>
        <v/>
      </c>
      <c r="BL194" s="18" t="str">
        <f>IF(BW194&lt;&gt;1,"",DATA_INPUT!$I194)</f>
        <v/>
      </c>
      <c r="BM194" s="18" t="str">
        <f>IF(BW194&lt;&gt;1,"",BL194*CONTROL_PANEL!$B$5)</f>
        <v/>
      </c>
      <c r="BN194" s="18" t="str">
        <f>IF(BW194&lt;&gt;1,"",DATA_INPUT!$C194)</f>
        <v/>
      </c>
      <c r="BO194" s="18" t="str">
        <f t="shared" si="118"/>
        <v/>
      </c>
      <c r="BP194" s="18" t="str">
        <f>IF(BW194&lt;&gt;1,"",DATA_INPUT!$H194)</f>
        <v/>
      </c>
      <c r="BQ194" s="18" t="str">
        <f t="shared" si="119"/>
        <v/>
      </c>
      <c r="BR194" s="18" t="str">
        <f>IF(BW194&lt;&gt;1,"",BM194*CONTROL_PANEL!$B$14)</f>
        <v/>
      </c>
      <c r="BS194" s="18" t="str">
        <f>IF(BW194&lt;&gt;1,"",DATA_INPUT!$N194)</f>
        <v/>
      </c>
      <c r="BT194" s="18" t="str">
        <f t="shared" si="120"/>
        <v/>
      </c>
      <c r="BU194" s="18" t="str">
        <f>IF(BW194&lt;&gt;1,"",IF(BT194-CONTROL_PANEL!$B$11&lt;0,0,BT194-CONTROL_PANEL!$B$11))</f>
        <v/>
      </c>
      <c r="BV194" s="18" t="str">
        <f>IF(BW194&lt;&gt;1,"",IF(BS194&lt;=0,0,MIN(BS194,MAX(0,CONTROL_PANEL!$B$13-BT194))))</f>
        <v/>
      </c>
      <c r="BW194" s="18"/>
      <c r="BY194" s="19">
        <f t="shared" si="139"/>
        <v>2031</v>
      </c>
      <c r="BZ194" s="19">
        <f t="shared" si="144"/>
        <v>7</v>
      </c>
      <c r="CA194" s="18" t="str">
        <f t="shared" si="121"/>
        <v/>
      </c>
      <c r="CB194" s="18" t="str">
        <f t="shared" si="134"/>
        <v/>
      </c>
      <c r="CC194" s="18" t="str">
        <f>IF(CP193&lt;&gt;1,"",IF(CM193&gt;0,IF(CM193&gt;CONTROL_PANEL!$B$11,CONTROL_PANEL!$B$11,CM193),0))</f>
        <v/>
      </c>
      <c r="CD194" s="18" t="str">
        <f t="shared" si="129"/>
        <v/>
      </c>
      <c r="CE194" s="18" t="str">
        <f>IF(CP194&lt;&gt;1,"",DATA_INPUT!$I194)</f>
        <v/>
      </c>
      <c r="CF194" s="18" t="str">
        <f>IF(CP194&lt;&gt;1,"",CE194*CONTROL_PANEL!$B$5)</f>
        <v/>
      </c>
      <c r="CG194" s="18" t="str">
        <f>IF(CP194&lt;&gt;1,"",DATA_INPUT!$C194)</f>
        <v/>
      </c>
      <c r="CH194" s="18" t="str">
        <f t="shared" si="122"/>
        <v/>
      </c>
      <c r="CI194" s="18" t="str">
        <f>IF(CP194&lt;&gt;1,"",DATA_INPUT!$H194)</f>
        <v/>
      </c>
      <c r="CJ194" s="18" t="str">
        <f t="shared" si="123"/>
        <v/>
      </c>
      <c r="CK194" s="18" t="str">
        <f>IF(CP194&lt;&gt;1,"",CF194*CONTROL_PANEL!$B$14)</f>
        <v/>
      </c>
      <c r="CL194" s="18" t="str">
        <f>IF(CP194&lt;&gt;1,"",DATA_INPUT!$O194)</f>
        <v/>
      </c>
      <c r="CM194" s="18" t="str">
        <f t="shared" si="124"/>
        <v/>
      </c>
      <c r="CN194" s="18" t="str">
        <f>IF(CP194&lt;&gt;1,"",IF(CM194-CONTROL_PANEL!$B$11&lt;0,0,CM194-CONTROL_PANEL!$B$11))</f>
        <v/>
      </c>
      <c r="CO194" s="18" t="str">
        <f>IF(CP194&lt;&gt;1,"",IF(CL194&lt;=0,0,MIN(CL194,MAX(0,CONTROL_PANEL!$B$13-CM194))))</f>
        <v/>
      </c>
      <c r="CP194" s="18"/>
    </row>
    <row r="195" spans="1:94" x14ac:dyDescent="0.25">
      <c r="A195" s="19">
        <f t="shared" si="135"/>
        <v>2031</v>
      </c>
      <c r="B195" s="19">
        <f t="shared" si="140"/>
        <v>8</v>
      </c>
      <c r="C195" s="18" t="str">
        <f t="shared" si="105"/>
        <v/>
      </c>
      <c r="D195" s="18" t="str">
        <f t="shared" si="130"/>
        <v/>
      </c>
      <c r="E195" s="18" t="str">
        <f>IF(R194&lt;&gt;1,"",IF(O194&gt;0,IF(O194&gt;CONTROL_PANEL!$B$11,CONTROL_PANEL!$B$11,O194),0))</f>
        <v/>
      </c>
      <c r="F195" s="18" t="str">
        <f t="shared" si="125"/>
        <v/>
      </c>
      <c r="G195" s="18" t="str">
        <f>IF(R195&lt;&gt;1,"",DATA_INPUT!I195)</f>
        <v/>
      </c>
      <c r="H195" s="18" t="str">
        <f>IF(R195&lt;&gt;1,"",G195*CONTROL_PANEL!$B$5)</f>
        <v/>
      </c>
      <c r="I195" s="18" t="str">
        <f>IF(R195&lt;&gt;1,"",DATA_INPUT!C195)</f>
        <v/>
      </c>
      <c r="J195" s="18" t="str">
        <f t="shared" si="106"/>
        <v/>
      </c>
      <c r="K195" s="18" t="str">
        <f>IF(R195&lt;&gt;1,"",DATA_INPUT!H195)</f>
        <v/>
      </c>
      <c r="L195" s="18" t="str">
        <f t="shared" si="107"/>
        <v/>
      </c>
      <c r="M195" s="18" t="str">
        <f>IF(R195&lt;&gt;1,"",H195*CONTROL_PANEL!$B$14)</f>
        <v/>
      </c>
      <c r="N195" s="18" t="str">
        <f>IF(R195&lt;&gt;1,"",DATA_INPUT!K195)</f>
        <v/>
      </c>
      <c r="O195" s="18" t="str">
        <f t="shared" si="108"/>
        <v/>
      </c>
      <c r="P195" s="18" t="str">
        <f>IF(R195&lt;&gt;1,"",IF(O195-CONTROL_PANEL!$B$11&lt;0,0,O195-CONTROL_PANEL!$B$11))</f>
        <v/>
      </c>
      <c r="Q195" s="18" t="str">
        <f>IF(R195&lt;&gt;1,"",IF(N195&lt;=0,0,MIN(N195,MAX(0,CONTROL_PANEL!$B$13-O195))))</f>
        <v/>
      </c>
      <c r="R195" s="18"/>
      <c r="T195" s="19">
        <f t="shared" si="136"/>
        <v>2031</v>
      </c>
      <c r="U195" s="19">
        <f t="shared" si="141"/>
        <v>8</v>
      </c>
      <c r="V195" s="18" t="str">
        <f t="shared" si="109"/>
        <v/>
      </c>
      <c r="W195" s="18" t="str">
        <f t="shared" si="131"/>
        <v/>
      </c>
      <c r="X195" s="18" t="str">
        <f>IF(AK194&lt;&gt;1,"",IF(AH194&gt;0,IF(AH194&gt;CONTROL_PANEL!$B$11,CONTROL_PANEL!$B$11,AH194),0))</f>
        <v/>
      </c>
      <c r="Y195" s="18" t="str">
        <f t="shared" si="126"/>
        <v/>
      </c>
      <c r="Z195" s="18" t="str">
        <f>IF(AK195&lt;&gt;1,"",DATA_INPUT!I195)</f>
        <v/>
      </c>
      <c r="AA195" s="18" t="str">
        <f>IF(AK195&lt;&gt;1,"",Z195*CONTROL_PANEL!$B$5)</f>
        <v/>
      </c>
      <c r="AB195" s="18" t="str">
        <f>IF(AK195&lt;&gt;1,"",DATA_INPUT!$C195)</f>
        <v/>
      </c>
      <c r="AC195" s="18" t="str">
        <f t="shared" si="110"/>
        <v/>
      </c>
      <c r="AD195" s="18" t="str">
        <f>IF(AK195&lt;&gt;1,"",DATA_INPUT!$H195)</f>
        <v/>
      </c>
      <c r="AE195" s="18" t="str">
        <f t="shared" si="111"/>
        <v/>
      </c>
      <c r="AF195" s="18" t="str">
        <f>IF(AK195&lt;&gt;1,"",AA195*CONTROL_PANEL!$B$14)</f>
        <v/>
      </c>
      <c r="AG195" s="18" t="str">
        <f>IF(AK195&lt;&gt;1,"",DATA_INPUT!$L195)</f>
        <v/>
      </c>
      <c r="AH195" s="18" t="str">
        <f t="shared" si="112"/>
        <v/>
      </c>
      <c r="AI195" s="18" t="str">
        <f>IF(AK195&lt;&gt;1,"",IF(AH195-CONTROL_PANEL!$B$11&lt;0,0,AH195-CONTROL_PANEL!$B$11))</f>
        <v/>
      </c>
      <c r="AJ195" s="18" t="str">
        <f>IF(AK195&lt;&gt;1,"",IF(AG195&lt;=0,0,MIN(AG195,MAX(0,CONTROL_PANEL!$B$13-AH195))))</f>
        <v/>
      </c>
      <c r="AK195" s="18"/>
      <c r="AM195" s="19">
        <f t="shared" si="137"/>
        <v>2031</v>
      </c>
      <c r="AN195" s="19">
        <f t="shared" si="142"/>
        <v>8</v>
      </c>
      <c r="AO195" s="18" t="str">
        <f t="shared" si="113"/>
        <v/>
      </c>
      <c r="AP195" s="18" t="str">
        <f t="shared" si="132"/>
        <v/>
      </c>
      <c r="AQ195" s="18" t="str">
        <f>IF(BD194&lt;&gt;1,"",IF(BA194&gt;0,IF(BA194&gt;CONTROL_PANEL!$B$11,CONTROL_PANEL!$B$11,BA194),0))</f>
        <v/>
      </c>
      <c r="AR195" s="18" t="str">
        <f t="shared" si="127"/>
        <v/>
      </c>
      <c r="AS195" s="18" t="str">
        <f>IF(BD195&lt;&gt;1,"",DATA_INPUT!$I195)</f>
        <v/>
      </c>
      <c r="AT195" s="18" t="str">
        <f>IF(BD195&lt;&gt;1,"",AS195*CONTROL_PANEL!$B$5)</f>
        <v/>
      </c>
      <c r="AU195" s="18" t="str">
        <f>IF(BD195&lt;&gt;1,"",DATA_INPUT!$C195)</f>
        <v/>
      </c>
      <c r="AV195" s="18" t="str">
        <f t="shared" si="114"/>
        <v/>
      </c>
      <c r="AW195" s="18" t="str">
        <f>IF(BD195&lt;&gt;1,"",DATA_INPUT!$H195)</f>
        <v/>
      </c>
      <c r="AX195" s="18" t="str">
        <f t="shared" si="115"/>
        <v/>
      </c>
      <c r="AY195" s="18" t="str">
        <f>IF(BD195&lt;&gt;1,"",AT195*CONTROL_PANEL!$B$14)</f>
        <v/>
      </c>
      <c r="AZ195" s="18" t="str">
        <f>IF(BD195&lt;&gt;1,"",DATA_INPUT!$M195)</f>
        <v/>
      </c>
      <c r="BA195" s="18" t="str">
        <f t="shared" si="116"/>
        <v/>
      </c>
      <c r="BB195" s="18" t="str">
        <f>IF(BD195&lt;&gt;1,"",IF(BA195-CONTROL_PANEL!$B$11&lt;0,0,BA195-CONTROL_PANEL!$B$11))</f>
        <v/>
      </c>
      <c r="BC195" s="18" t="str">
        <f>IF(BD195&lt;&gt;1,"",IF(AZ195&lt;=0,0,MIN(AZ195,MAX(0,CONTROL_PANEL!$B$13-BA195))))</f>
        <v/>
      </c>
      <c r="BD195" s="18"/>
      <c r="BF195" s="19">
        <f t="shared" si="138"/>
        <v>2031</v>
      </c>
      <c r="BG195" s="19">
        <f t="shared" si="143"/>
        <v>8</v>
      </c>
      <c r="BH195" s="18" t="str">
        <f t="shared" si="117"/>
        <v/>
      </c>
      <c r="BI195" s="18" t="str">
        <f t="shared" si="133"/>
        <v/>
      </c>
      <c r="BJ195" s="18" t="str">
        <f>IF(BW194&lt;&gt;1,"",IF(BT194&gt;0,IF(BT194&gt;CONTROL_PANEL!$B$11,CONTROL_PANEL!$B$11,BT194),0))</f>
        <v/>
      </c>
      <c r="BK195" s="18" t="str">
        <f t="shared" si="128"/>
        <v/>
      </c>
      <c r="BL195" s="18" t="str">
        <f>IF(BW195&lt;&gt;1,"",DATA_INPUT!$I195)</f>
        <v/>
      </c>
      <c r="BM195" s="18" t="str">
        <f>IF(BW195&lt;&gt;1,"",BL195*CONTROL_PANEL!$B$5)</f>
        <v/>
      </c>
      <c r="BN195" s="18" t="str">
        <f>IF(BW195&lt;&gt;1,"",DATA_INPUT!$C195)</f>
        <v/>
      </c>
      <c r="BO195" s="18" t="str">
        <f t="shared" si="118"/>
        <v/>
      </c>
      <c r="BP195" s="18" t="str">
        <f>IF(BW195&lt;&gt;1,"",DATA_INPUT!$H195)</f>
        <v/>
      </c>
      <c r="BQ195" s="18" t="str">
        <f t="shared" si="119"/>
        <v/>
      </c>
      <c r="BR195" s="18" t="str">
        <f>IF(BW195&lt;&gt;1,"",BM195*CONTROL_PANEL!$B$14)</f>
        <v/>
      </c>
      <c r="BS195" s="18" t="str">
        <f>IF(BW195&lt;&gt;1,"",DATA_INPUT!$N195)</f>
        <v/>
      </c>
      <c r="BT195" s="18" t="str">
        <f t="shared" si="120"/>
        <v/>
      </c>
      <c r="BU195" s="18" t="str">
        <f>IF(BW195&lt;&gt;1,"",IF(BT195-CONTROL_PANEL!$B$11&lt;0,0,BT195-CONTROL_PANEL!$B$11))</f>
        <v/>
      </c>
      <c r="BV195" s="18" t="str">
        <f>IF(BW195&lt;&gt;1,"",IF(BS195&lt;=0,0,MIN(BS195,MAX(0,CONTROL_PANEL!$B$13-BT195))))</f>
        <v/>
      </c>
      <c r="BW195" s="18"/>
      <c r="BY195" s="19">
        <f t="shared" si="139"/>
        <v>2031</v>
      </c>
      <c r="BZ195" s="19">
        <f t="shared" si="144"/>
        <v>8</v>
      </c>
      <c r="CA195" s="18" t="str">
        <f t="shared" si="121"/>
        <v/>
      </c>
      <c r="CB195" s="18" t="str">
        <f t="shared" si="134"/>
        <v/>
      </c>
      <c r="CC195" s="18" t="str">
        <f>IF(CP194&lt;&gt;1,"",IF(CM194&gt;0,IF(CM194&gt;CONTROL_PANEL!$B$11,CONTROL_PANEL!$B$11,CM194),0))</f>
        <v/>
      </c>
      <c r="CD195" s="18" t="str">
        <f t="shared" si="129"/>
        <v/>
      </c>
      <c r="CE195" s="18" t="str">
        <f>IF(CP195&lt;&gt;1,"",DATA_INPUT!$I195)</f>
        <v/>
      </c>
      <c r="CF195" s="18" t="str">
        <f>IF(CP195&lt;&gt;1,"",CE195*CONTROL_PANEL!$B$5)</f>
        <v/>
      </c>
      <c r="CG195" s="18" t="str">
        <f>IF(CP195&lt;&gt;1,"",DATA_INPUT!$C195)</f>
        <v/>
      </c>
      <c r="CH195" s="18" t="str">
        <f t="shared" si="122"/>
        <v/>
      </c>
      <c r="CI195" s="18" t="str">
        <f>IF(CP195&lt;&gt;1,"",DATA_INPUT!$H195)</f>
        <v/>
      </c>
      <c r="CJ195" s="18" t="str">
        <f t="shared" si="123"/>
        <v/>
      </c>
      <c r="CK195" s="18" t="str">
        <f>IF(CP195&lt;&gt;1,"",CF195*CONTROL_PANEL!$B$14)</f>
        <v/>
      </c>
      <c r="CL195" s="18" t="str">
        <f>IF(CP195&lt;&gt;1,"",DATA_INPUT!$O195)</f>
        <v/>
      </c>
      <c r="CM195" s="18" t="str">
        <f t="shared" si="124"/>
        <v/>
      </c>
      <c r="CN195" s="18" t="str">
        <f>IF(CP195&lt;&gt;1,"",IF(CM195-CONTROL_PANEL!$B$11&lt;0,0,CM195-CONTROL_PANEL!$B$11))</f>
        <v/>
      </c>
      <c r="CO195" s="18" t="str">
        <f>IF(CP195&lt;&gt;1,"",IF(CL195&lt;=0,0,MIN(CL195,MAX(0,CONTROL_PANEL!$B$13-CM195))))</f>
        <v/>
      </c>
      <c r="CP195" s="18"/>
    </row>
    <row r="196" spans="1:94" x14ac:dyDescent="0.25">
      <c r="A196" s="19">
        <f t="shared" si="135"/>
        <v>2031</v>
      </c>
      <c r="B196" s="19">
        <f t="shared" si="140"/>
        <v>9</v>
      </c>
      <c r="C196" s="18" t="str">
        <f t="shared" si="105"/>
        <v/>
      </c>
      <c r="D196" s="18" t="str">
        <f t="shared" si="130"/>
        <v/>
      </c>
      <c r="E196" s="18" t="str">
        <f>IF(R195&lt;&gt;1,"",IF(O195&gt;0,IF(O195&gt;CONTROL_PANEL!$B$11,CONTROL_PANEL!$B$11,O195),0))</f>
        <v/>
      </c>
      <c r="F196" s="18" t="str">
        <f t="shared" si="125"/>
        <v/>
      </c>
      <c r="G196" s="18" t="str">
        <f>IF(R196&lt;&gt;1,"",DATA_INPUT!I196)</f>
        <v/>
      </c>
      <c r="H196" s="18" t="str">
        <f>IF(R196&lt;&gt;1,"",G196*CONTROL_PANEL!$B$5)</f>
        <v/>
      </c>
      <c r="I196" s="18" t="str">
        <f>IF(R196&lt;&gt;1,"",DATA_INPUT!C196)</f>
        <v/>
      </c>
      <c r="J196" s="18" t="str">
        <f t="shared" si="106"/>
        <v/>
      </c>
      <c r="K196" s="18" t="str">
        <f>IF(R196&lt;&gt;1,"",DATA_INPUT!H196)</f>
        <v/>
      </c>
      <c r="L196" s="18" t="str">
        <f t="shared" si="107"/>
        <v/>
      </c>
      <c r="M196" s="18" t="str">
        <f>IF(R196&lt;&gt;1,"",H196*CONTROL_PANEL!$B$14)</f>
        <v/>
      </c>
      <c r="N196" s="18" t="str">
        <f>IF(R196&lt;&gt;1,"",DATA_INPUT!K196)</f>
        <v/>
      </c>
      <c r="O196" s="18" t="str">
        <f t="shared" si="108"/>
        <v/>
      </c>
      <c r="P196" s="18" t="str">
        <f>IF(R196&lt;&gt;1,"",IF(O196-CONTROL_PANEL!$B$11&lt;0,0,O196-CONTROL_PANEL!$B$11))</f>
        <v/>
      </c>
      <c r="Q196" s="18" t="str">
        <f>IF(R196&lt;&gt;1,"",IF(N196&lt;=0,0,MIN(N196,MAX(0,CONTROL_PANEL!$B$13-O196))))</f>
        <v/>
      </c>
      <c r="R196" s="18"/>
      <c r="T196" s="19">
        <f t="shared" si="136"/>
        <v>2031</v>
      </c>
      <c r="U196" s="19">
        <f t="shared" si="141"/>
        <v>9</v>
      </c>
      <c r="V196" s="18" t="str">
        <f t="shared" si="109"/>
        <v/>
      </c>
      <c r="W196" s="18" t="str">
        <f t="shared" si="131"/>
        <v/>
      </c>
      <c r="X196" s="18" t="str">
        <f>IF(AK195&lt;&gt;1,"",IF(AH195&gt;0,IF(AH195&gt;CONTROL_PANEL!$B$11,CONTROL_PANEL!$B$11,AH195),0))</f>
        <v/>
      </c>
      <c r="Y196" s="18" t="str">
        <f t="shared" si="126"/>
        <v/>
      </c>
      <c r="Z196" s="18" t="str">
        <f>IF(AK196&lt;&gt;1,"",DATA_INPUT!I196)</f>
        <v/>
      </c>
      <c r="AA196" s="18" t="str">
        <f>IF(AK196&lt;&gt;1,"",Z196*CONTROL_PANEL!$B$5)</f>
        <v/>
      </c>
      <c r="AB196" s="18" t="str">
        <f>IF(AK196&lt;&gt;1,"",DATA_INPUT!$C196)</f>
        <v/>
      </c>
      <c r="AC196" s="18" t="str">
        <f t="shared" si="110"/>
        <v/>
      </c>
      <c r="AD196" s="18" t="str">
        <f>IF(AK196&lt;&gt;1,"",DATA_INPUT!$H196)</f>
        <v/>
      </c>
      <c r="AE196" s="18" t="str">
        <f t="shared" si="111"/>
        <v/>
      </c>
      <c r="AF196" s="18" t="str">
        <f>IF(AK196&lt;&gt;1,"",AA196*CONTROL_PANEL!$B$14)</f>
        <v/>
      </c>
      <c r="AG196" s="18" t="str">
        <f>IF(AK196&lt;&gt;1,"",DATA_INPUT!$L196)</f>
        <v/>
      </c>
      <c r="AH196" s="18" t="str">
        <f t="shared" si="112"/>
        <v/>
      </c>
      <c r="AI196" s="18" t="str">
        <f>IF(AK196&lt;&gt;1,"",IF(AH196-CONTROL_PANEL!$B$11&lt;0,0,AH196-CONTROL_PANEL!$B$11))</f>
        <v/>
      </c>
      <c r="AJ196" s="18" t="str">
        <f>IF(AK196&lt;&gt;1,"",IF(AG196&lt;=0,0,MIN(AG196,MAX(0,CONTROL_PANEL!$B$13-AH196))))</f>
        <v/>
      </c>
      <c r="AK196" s="18"/>
      <c r="AM196" s="19">
        <f t="shared" si="137"/>
        <v>2031</v>
      </c>
      <c r="AN196" s="19">
        <f t="shared" si="142"/>
        <v>9</v>
      </c>
      <c r="AO196" s="18" t="str">
        <f t="shared" si="113"/>
        <v/>
      </c>
      <c r="AP196" s="18" t="str">
        <f t="shared" si="132"/>
        <v/>
      </c>
      <c r="AQ196" s="18" t="str">
        <f>IF(BD195&lt;&gt;1,"",IF(BA195&gt;0,IF(BA195&gt;CONTROL_PANEL!$B$11,CONTROL_PANEL!$B$11,BA195),0))</f>
        <v/>
      </c>
      <c r="AR196" s="18" t="str">
        <f t="shared" si="127"/>
        <v/>
      </c>
      <c r="AS196" s="18" t="str">
        <f>IF(BD196&lt;&gt;1,"",DATA_INPUT!$I196)</f>
        <v/>
      </c>
      <c r="AT196" s="18" t="str">
        <f>IF(BD196&lt;&gt;1,"",AS196*CONTROL_PANEL!$B$5)</f>
        <v/>
      </c>
      <c r="AU196" s="18" t="str">
        <f>IF(BD196&lt;&gt;1,"",DATA_INPUT!$C196)</f>
        <v/>
      </c>
      <c r="AV196" s="18" t="str">
        <f t="shared" si="114"/>
        <v/>
      </c>
      <c r="AW196" s="18" t="str">
        <f>IF(BD196&lt;&gt;1,"",DATA_INPUT!$H196)</f>
        <v/>
      </c>
      <c r="AX196" s="18" t="str">
        <f t="shared" si="115"/>
        <v/>
      </c>
      <c r="AY196" s="18" t="str">
        <f>IF(BD196&lt;&gt;1,"",AT196*CONTROL_PANEL!$B$14)</f>
        <v/>
      </c>
      <c r="AZ196" s="18" t="str">
        <f>IF(BD196&lt;&gt;1,"",DATA_INPUT!$M196)</f>
        <v/>
      </c>
      <c r="BA196" s="18" t="str">
        <f t="shared" si="116"/>
        <v/>
      </c>
      <c r="BB196" s="18" t="str">
        <f>IF(BD196&lt;&gt;1,"",IF(BA196-CONTROL_PANEL!$B$11&lt;0,0,BA196-CONTROL_PANEL!$B$11))</f>
        <v/>
      </c>
      <c r="BC196" s="18" t="str">
        <f>IF(BD196&lt;&gt;1,"",IF(AZ196&lt;=0,0,MIN(AZ196,MAX(0,CONTROL_PANEL!$B$13-BA196))))</f>
        <v/>
      </c>
      <c r="BD196" s="18"/>
      <c r="BF196" s="19">
        <f t="shared" si="138"/>
        <v>2031</v>
      </c>
      <c r="BG196" s="19">
        <f t="shared" si="143"/>
        <v>9</v>
      </c>
      <c r="BH196" s="18" t="str">
        <f t="shared" si="117"/>
        <v/>
      </c>
      <c r="BI196" s="18" t="str">
        <f t="shared" si="133"/>
        <v/>
      </c>
      <c r="BJ196" s="18" t="str">
        <f>IF(BW195&lt;&gt;1,"",IF(BT195&gt;0,IF(BT195&gt;CONTROL_PANEL!$B$11,CONTROL_PANEL!$B$11,BT195),0))</f>
        <v/>
      </c>
      <c r="BK196" s="18" t="str">
        <f t="shared" si="128"/>
        <v/>
      </c>
      <c r="BL196" s="18" t="str">
        <f>IF(BW196&lt;&gt;1,"",DATA_INPUT!$I196)</f>
        <v/>
      </c>
      <c r="BM196" s="18" t="str">
        <f>IF(BW196&lt;&gt;1,"",BL196*CONTROL_PANEL!$B$5)</f>
        <v/>
      </c>
      <c r="BN196" s="18" t="str">
        <f>IF(BW196&lt;&gt;1,"",DATA_INPUT!$C196)</f>
        <v/>
      </c>
      <c r="BO196" s="18" t="str">
        <f t="shared" si="118"/>
        <v/>
      </c>
      <c r="BP196" s="18" t="str">
        <f>IF(BW196&lt;&gt;1,"",DATA_INPUT!$H196)</f>
        <v/>
      </c>
      <c r="BQ196" s="18" t="str">
        <f t="shared" si="119"/>
        <v/>
      </c>
      <c r="BR196" s="18" t="str">
        <f>IF(BW196&lt;&gt;1,"",BM196*CONTROL_PANEL!$B$14)</f>
        <v/>
      </c>
      <c r="BS196" s="18" t="str">
        <f>IF(BW196&lt;&gt;1,"",DATA_INPUT!$N196)</f>
        <v/>
      </c>
      <c r="BT196" s="18" t="str">
        <f t="shared" si="120"/>
        <v/>
      </c>
      <c r="BU196" s="18" t="str">
        <f>IF(BW196&lt;&gt;1,"",IF(BT196-CONTROL_PANEL!$B$11&lt;0,0,BT196-CONTROL_PANEL!$B$11))</f>
        <v/>
      </c>
      <c r="BV196" s="18" t="str">
        <f>IF(BW196&lt;&gt;1,"",IF(BS196&lt;=0,0,MIN(BS196,MAX(0,CONTROL_PANEL!$B$13-BT196))))</f>
        <v/>
      </c>
      <c r="BW196" s="18"/>
      <c r="BY196" s="19">
        <f t="shared" si="139"/>
        <v>2031</v>
      </c>
      <c r="BZ196" s="19">
        <f t="shared" si="144"/>
        <v>9</v>
      </c>
      <c r="CA196" s="18" t="str">
        <f t="shared" si="121"/>
        <v/>
      </c>
      <c r="CB196" s="18" t="str">
        <f t="shared" si="134"/>
        <v/>
      </c>
      <c r="CC196" s="18" t="str">
        <f>IF(CP195&lt;&gt;1,"",IF(CM195&gt;0,IF(CM195&gt;CONTROL_PANEL!$B$11,CONTROL_PANEL!$B$11,CM195),0))</f>
        <v/>
      </c>
      <c r="CD196" s="18" t="str">
        <f t="shared" si="129"/>
        <v/>
      </c>
      <c r="CE196" s="18" t="str">
        <f>IF(CP196&lt;&gt;1,"",DATA_INPUT!$I196)</f>
        <v/>
      </c>
      <c r="CF196" s="18" t="str">
        <f>IF(CP196&lt;&gt;1,"",CE196*CONTROL_PANEL!$B$5)</f>
        <v/>
      </c>
      <c r="CG196" s="18" t="str">
        <f>IF(CP196&lt;&gt;1,"",DATA_INPUT!$C196)</f>
        <v/>
      </c>
      <c r="CH196" s="18" t="str">
        <f t="shared" si="122"/>
        <v/>
      </c>
      <c r="CI196" s="18" t="str">
        <f>IF(CP196&lt;&gt;1,"",DATA_INPUT!$H196)</f>
        <v/>
      </c>
      <c r="CJ196" s="18" t="str">
        <f t="shared" si="123"/>
        <v/>
      </c>
      <c r="CK196" s="18" t="str">
        <f>IF(CP196&lt;&gt;1,"",CF196*CONTROL_PANEL!$B$14)</f>
        <v/>
      </c>
      <c r="CL196" s="18" t="str">
        <f>IF(CP196&lt;&gt;1,"",DATA_INPUT!$O196)</f>
        <v/>
      </c>
      <c r="CM196" s="18" t="str">
        <f t="shared" si="124"/>
        <v/>
      </c>
      <c r="CN196" s="18" t="str">
        <f>IF(CP196&lt;&gt;1,"",IF(CM196-CONTROL_PANEL!$B$11&lt;0,0,CM196-CONTROL_PANEL!$B$11))</f>
        <v/>
      </c>
      <c r="CO196" s="18" t="str">
        <f>IF(CP196&lt;&gt;1,"",IF(CL196&lt;=0,0,MIN(CL196,MAX(0,CONTROL_PANEL!$B$13-CM196))))</f>
        <v/>
      </c>
      <c r="CP196" s="18"/>
    </row>
    <row r="197" spans="1:94" x14ac:dyDescent="0.25">
      <c r="A197" s="19">
        <f t="shared" si="135"/>
        <v>2031</v>
      </c>
      <c r="B197" s="19">
        <f t="shared" si="140"/>
        <v>10</v>
      </c>
      <c r="C197" s="18" t="str">
        <f t="shared" ref="C197:C260" si="145">IF(R197&lt;&gt;1,"",DAY(DATE(A197,B197+1,)))</f>
        <v/>
      </c>
      <c r="D197" s="18" t="str">
        <f t="shared" si="130"/>
        <v/>
      </c>
      <c r="E197" s="18" t="str">
        <f>IF(R196&lt;&gt;1,"",IF(O196&gt;0,IF(O196&gt;CONTROL_PANEL!$B$11,CONTROL_PANEL!$B$11,O196),0))</f>
        <v/>
      </c>
      <c r="F197" s="18" t="str">
        <f t="shared" si="125"/>
        <v/>
      </c>
      <c r="G197" s="18" t="str">
        <f>IF(R197&lt;&gt;1,"",DATA_INPUT!I197)</f>
        <v/>
      </c>
      <c r="H197" s="18" t="str">
        <f>IF(R197&lt;&gt;1,"",G197*CONTROL_PANEL!$B$5)</f>
        <v/>
      </c>
      <c r="I197" s="18" t="str">
        <f>IF(R197&lt;&gt;1,"",DATA_INPUT!C197)</f>
        <v/>
      </c>
      <c r="J197" s="18" t="str">
        <f t="shared" ref="J197:J260" si="146">IF(R197&lt;&gt;1,"",(I197*F197)/1000)</f>
        <v/>
      </c>
      <c r="K197" s="18" t="str">
        <f>IF(R197&lt;&gt;1,"",DATA_INPUT!H197)</f>
        <v/>
      </c>
      <c r="L197" s="18" t="str">
        <f t="shared" ref="L197:L260" si="147">IF(R197&lt;&gt;1,"",((K197*F197)/1000))</f>
        <v/>
      </c>
      <c r="M197" s="18" t="str">
        <f>IF(R197&lt;&gt;1,"",H197*CONTROL_PANEL!$B$14)</f>
        <v/>
      </c>
      <c r="N197" s="18" t="str">
        <f>IF(R197&lt;&gt;1,"",DATA_INPUT!K197)</f>
        <v/>
      </c>
      <c r="O197" s="18" t="str">
        <f t="shared" ref="O197:O260" si="148">IF(R197&lt;&gt;1,"",(E197+H197+J197)-(L197+N197+M197))</f>
        <v/>
      </c>
      <c r="P197" s="18" t="str">
        <f>IF(R197&lt;&gt;1,"",IF(O197-CONTROL_PANEL!$B$11&lt;0,0,O197-CONTROL_PANEL!$B$11))</f>
        <v/>
      </c>
      <c r="Q197" s="18" t="str">
        <f>IF(R197&lt;&gt;1,"",IF(N197&lt;=0,0,MIN(N197,MAX(0,CONTROL_PANEL!$B$13-O197))))</f>
        <v/>
      </c>
      <c r="R197" s="18"/>
      <c r="T197" s="19">
        <f t="shared" si="136"/>
        <v>2031</v>
      </c>
      <c r="U197" s="19">
        <f t="shared" si="141"/>
        <v>10</v>
      </c>
      <c r="V197" s="18" t="str">
        <f t="shared" ref="V197:V260" si="149">IF(AK197&lt;&gt;1,"",DAY(DATE(T197,U197+1,)))</f>
        <v/>
      </c>
      <c r="W197" s="18" t="str">
        <f t="shared" si="131"/>
        <v/>
      </c>
      <c r="X197" s="18" t="str">
        <f>IF(AK196&lt;&gt;1,"",IF(AH196&gt;0,IF(AH196&gt;CONTROL_PANEL!$B$11,CONTROL_PANEL!$B$11,AH196),0))</f>
        <v/>
      </c>
      <c r="Y197" s="18" t="str">
        <f t="shared" si="126"/>
        <v/>
      </c>
      <c r="Z197" s="18" t="str">
        <f>IF(AK197&lt;&gt;1,"",DATA_INPUT!I197)</f>
        <v/>
      </c>
      <c r="AA197" s="18" t="str">
        <f>IF(AK197&lt;&gt;1,"",Z197*CONTROL_PANEL!$B$5)</f>
        <v/>
      </c>
      <c r="AB197" s="18" t="str">
        <f>IF(AK197&lt;&gt;1,"",DATA_INPUT!$C197)</f>
        <v/>
      </c>
      <c r="AC197" s="18" t="str">
        <f t="shared" ref="AC197:AC260" si="150">IF(AK197&lt;&gt;1,"",(AB197*Y197)/1000)</f>
        <v/>
      </c>
      <c r="AD197" s="18" t="str">
        <f>IF(AK197&lt;&gt;1,"",DATA_INPUT!$H197)</f>
        <v/>
      </c>
      <c r="AE197" s="18" t="str">
        <f t="shared" ref="AE197:AE260" si="151">IF(AK197&lt;&gt;1,"",((AD197*Y197)/1000))</f>
        <v/>
      </c>
      <c r="AF197" s="18" t="str">
        <f>IF(AK197&lt;&gt;1,"",AA197*CONTROL_PANEL!$B$14)</f>
        <v/>
      </c>
      <c r="AG197" s="18" t="str">
        <f>IF(AK197&lt;&gt;1,"",DATA_INPUT!$L197)</f>
        <v/>
      </c>
      <c r="AH197" s="18" t="str">
        <f t="shared" ref="AH197:AH260" si="152">IF(AK197&lt;&gt;1,"",(X197+AA197+AC197)-(AE197+AG197+AF197))</f>
        <v/>
      </c>
      <c r="AI197" s="18" t="str">
        <f>IF(AK197&lt;&gt;1,"",IF(AH197-CONTROL_PANEL!$B$11&lt;0,0,AH197-CONTROL_PANEL!$B$11))</f>
        <v/>
      </c>
      <c r="AJ197" s="18" t="str">
        <f>IF(AK197&lt;&gt;1,"",IF(AG197&lt;=0,0,MIN(AG197,MAX(0,CONTROL_PANEL!$B$13-AH197))))</f>
        <v/>
      </c>
      <c r="AK197" s="18"/>
      <c r="AM197" s="19">
        <f t="shared" si="137"/>
        <v>2031</v>
      </c>
      <c r="AN197" s="19">
        <f t="shared" si="142"/>
        <v>10</v>
      </c>
      <c r="AO197" s="18" t="str">
        <f t="shared" ref="AO197:AO260" si="153">IF(BD197&lt;&gt;1,"",DAY(DATE(AM197,AN197+1,)))</f>
        <v/>
      </c>
      <c r="AP197" s="18" t="str">
        <f t="shared" si="132"/>
        <v/>
      </c>
      <c r="AQ197" s="18" t="str">
        <f>IF(BD196&lt;&gt;1,"",IF(BA196&gt;0,IF(BA196&gt;CONTROL_PANEL!$B$11,CONTROL_PANEL!$B$11,BA196),0))</f>
        <v/>
      </c>
      <c r="AR197" s="18" t="str">
        <f t="shared" si="127"/>
        <v/>
      </c>
      <c r="AS197" s="18" t="str">
        <f>IF(BD197&lt;&gt;1,"",DATA_INPUT!$I197)</f>
        <v/>
      </c>
      <c r="AT197" s="18" t="str">
        <f>IF(BD197&lt;&gt;1,"",AS197*CONTROL_PANEL!$B$5)</f>
        <v/>
      </c>
      <c r="AU197" s="18" t="str">
        <f>IF(BD197&lt;&gt;1,"",DATA_INPUT!$C197)</f>
        <v/>
      </c>
      <c r="AV197" s="18" t="str">
        <f t="shared" ref="AV197:AV260" si="154">IF(BD197&lt;&gt;1,"",(AU197*AR197)/1000)</f>
        <v/>
      </c>
      <c r="AW197" s="18" t="str">
        <f>IF(BD197&lt;&gt;1,"",DATA_INPUT!$H197)</f>
        <v/>
      </c>
      <c r="AX197" s="18" t="str">
        <f t="shared" ref="AX197:AX260" si="155">IF(BD197&lt;&gt;1,"",((AW197*AR197)/1000))</f>
        <v/>
      </c>
      <c r="AY197" s="18" t="str">
        <f>IF(BD197&lt;&gt;1,"",AT197*CONTROL_PANEL!$B$14)</f>
        <v/>
      </c>
      <c r="AZ197" s="18" t="str">
        <f>IF(BD197&lt;&gt;1,"",DATA_INPUT!$M197)</f>
        <v/>
      </c>
      <c r="BA197" s="18" t="str">
        <f t="shared" ref="BA197:BA260" si="156">IF(BD197&lt;&gt;1,"",(AQ197+AT197+AV197)-(AX197+AZ197+AY197))</f>
        <v/>
      </c>
      <c r="BB197" s="18" t="str">
        <f>IF(BD197&lt;&gt;1,"",IF(BA197-CONTROL_PANEL!$B$11&lt;0,0,BA197-CONTROL_PANEL!$B$11))</f>
        <v/>
      </c>
      <c r="BC197" s="18" t="str">
        <f>IF(BD197&lt;&gt;1,"",IF(AZ197&lt;=0,0,MIN(AZ197,MAX(0,CONTROL_PANEL!$B$13-BA197))))</f>
        <v/>
      </c>
      <c r="BD197" s="18"/>
      <c r="BF197" s="19">
        <f t="shared" si="138"/>
        <v>2031</v>
      </c>
      <c r="BG197" s="19">
        <f t="shared" si="143"/>
        <v>10</v>
      </c>
      <c r="BH197" s="18" t="str">
        <f t="shared" ref="BH197:BH260" si="157">IF(BW197&lt;&gt;1,"",DAY(DATE(BF197,BG197+1,)))</f>
        <v/>
      </c>
      <c r="BI197" s="18" t="str">
        <f t="shared" si="133"/>
        <v/>
      </c>
      <c r="BJ197" s="18" t="str">
        <f>IF(BW196&lt;&gt;1,"",IF(BT196&gt;0,IF(BT196&gt;CONTROL_PANEL!$B$11,CONTROL_PANEL!$B$11,BT196),0))</f>
        <v/>
      </c>
      <c r="BK197" s="18" t="str">
        <f t="shared" si="128"/>
        <v/>
      </c>
      <c r="BL197" s="18" t="str">
        <f>IF(BW197&lt;&gt;1,"",DATA_INPUT!$I197)</f>
        <v/>
      </c>
      <c r="BM197" s="18" t="str">
        <f>IF(BW197&lt;&gt;1,"",BL197*CONTROL_PANEL!$B$5)</f>
        <v/>
      </c>
      <c r="BN197" s="18" t="str">
        <f>IF(BW197&lt;&gt;1,"",DATA_INPUT!$C197)</f>
        <v/>
      </c>
      <c r="BO197" s="18" t="str">
        <f t="shared" ref="BO197:BO260" si="158">IF(BW197&lt;&gt;1,"",(BN197*BK197)/1000)</f>
        <v/>
      </c>
      <c r="BP197" s="18" t="str">
        <f>IF(BW197&lt;&gt;1,"",DATA_INPUT!$H197)</f>
        <v/>
      </c>
      <c r="BQ197" s="18" t="str">
        <f t="shared" ref="BQ197:BQ260" si="159">IF(BW197&lt;&gt;1,"",((BP197*BK197)/1000))</f>
        <v/>
      </c>
      <c r="BR197" s="18" t="str">
        <f>IF(BW197&lt;&gt;1,"",BM197*CONTROL_PANEL!$B$14)</f>
        <v/>
      </c>
      <c r="BS197" s="18" t="str">
        <f>IF(BW197&lt;&gt;1,"",DATA_INPUT!$N197)</f>
        <v/>
      </c>
      <c r="BT197" s="18" t="str">
        <f t="shared" ref="BT197:BT260" si="160">IF(BW197&lt;&gt;1,"",(BJ197+BM197+BO197)-(BQ197+BS197+BR197))</f>
        <v/>
      </c>
      <c r="BU197" s="18" t="str">
        <f>IF(BW197&lt;&gt;1,"",IF(BT197-CONTROL_PANEL!$B$11&lt;0,0,BT197-CONTROL_PANEL!$B$11))</f>
        <v/>
      </c>
      <c r="BV197" s="18" t="str">
        <f>IF(BW197&lt;&gt;1,"",IF(BS197&lt;=0,0,MIN(BS197,MAX(0,CONTROL_PANEL!$B$13-BT197))))</f>
        <v/>
      </c>
      <c r="BW197" s="18"/>
      <c r="BY197" s="19">
        <f t="shared" si="139"/>
        <v>2031</v>
      </c>
      <c r="BZ197" s="19">
        <f t="shared" si="144"/>
        <v>10</v>
      </c>
      <c r="CA197" s="18" t="str">
        <f t="shared" ref="CA197:CA260" si="161">IF(CP197&lt;&gt;1,"",DAY(DATE(BY197,BZ197+1,)))</f>
        <v/>
      </c>
      <c r="CB197" s="18" t="str">
        <f t="shared" si="134"/>
        <v/>
      </c>
      <c r="CC197" s="18" t="str">
        <f>IF(CP196&lt;&gt;1,"",IF(CM196&gt;0,IF(CM196&gt;CONTROL_PANEL!$B$11,CONTROL_PANEL!$B$11,CM196),0))</f>
        <v/>
      </c>
      <c r="CD197" s="18" t="str">
        <f t="shared" si="129"/>
        <v/>
      </c>
      <c r="CE197" s="18" t="str">
        <f>IF(CP197&lt;&gt;1,"",DATA_INPUT!$I197)</f>
        <v/>
      </c>
      <c r="CF197" s="18" t="str">
        <f>IF(CP197&lt;&gt;1,"",CE197*CONTROL_PANEL!$B$5)</f>
        <v/>
      </c>
      <c r="CG197" s="18" t="str">
        <f>IF(CP197&lt;&gt;1,"",DATA_INPUT!$C197)</f>
        <v/>
      </c>
      <c r="CH197" s="18" t="str">
        <f t="shared" ref="CH197:CH260" si="162">IF(CP197&lt;&gt;1,"",(CG197*CD197)/1000)</f>
        <v/>
      </c>
      <c r="CI197" s="18" t="str">
        <f>IF(CP197&lt;&gt;1,"",DATA_INPUT!$H197)</f>
        <v/>
      </c>
      <c r="CJ197" s="18" t="str">
        <f t="shared" ref="CJ197:CJ260" si="163">IF(CP197&lt;&gt;1,"",((CI197*CD197)/1000))</f>
        <v/>
      </c>
      <c r="CK197" s="18" t="str">
        <f>IF(CP197&lt;&gt;1,"",CF197*CONTROL_PANEL!$B$14)</f>
        <v/>
      </c>
      <c r="CL197" s="18" t="str">
        <f>IF(CP197&lt;&gt;1,"",DATA_INPUT!$O197)</f>
        <v/>
      </c>
      <c r="CM197" s="18" t="str">
        <f t="shared" ref="CM197:CM260" si="164">IF(CP197&lt;&gt;1,"",(CC197+CF197+CH197)-(CJ197+CL197+CK197))</f>
        <v/>
      </c>
      <c r="CN197" s="18" t="str">
        <f>IF(CP197&lt;&gt;1,"",IF(CM197-CONTROL_PANEL!$B$11&lt;0,0,CM197-CONTROL_PANEL!$B$11))</f>
        <v/>
      </c>
      <c r="CO197" s="18" t="str">
        <f>IF(CP197&lt;&gt;1,"",IF(CL197&lt;=0,0,MIN(CL197,MAX(0,CONTROL_PANEL!$B$13-CM197))))</f>
        <v/>
      </c>
      <c r="CP197" s="18"/>
    </row>
    <row r="198" spans="1:94" x14ac:dyDescent="0.25">
      <c r="A198" s="19">
        <f t="shared" si="135"/>
        <v>2031</v>
      </c>
      <c r="B198" s="19">
        <f t="shared" si="140"/>
        <v>11</v>
      </c>
      <c r="C198" s="18" t="str">
        <f t="shared" si="145"/>
        <v/>
      </c>
      <c r="D198" s="18" t="str">
        <f t="shared" si="130"/>
        <v/>
      </c>
      <c r="E198" s="18" t="str">
        <f>IF(R197&lt;&gt;1,"",IF(O197&gt;0,IF(O197&gt;CONTROL_PANEL!$B$11,CONTROL_PANEL!$B$11,O197),0))</f>
        <v/>
      </c>
      <c r="F198" s="18" t="str">
        <f t="shared" si="125"/>
        <v/>
      </c>
      <c r="G198" s="18" t="str">
        <f>IF(R198&lt;&gt;1,"",DATA_INPUT!I198)</f>
        <v/>
      </c>
      <c r="H198" s="18" t="str">
        <f>IF(R198&lt;&gt;1,"",G198*CONTROL_PANEL!$B$5)</f>
        <v/>
      </c>
      <c r="I198" s="18" t="str">
        <f>IF(R198&lt;&gt;1,"",DATA_INPUT!C198)</f>
        <v/>
      </c>
      <c r="J198" s="18" t="str">
        <f t="shared" si="146"/>
        <v/>
      </c>
      <c r="K198" s="18" t="str">
        <f>IF(R198&lt;&gt;1,"",DATA_INPUT!H198)</f>
        <v/>
      </c>
      <c r="L198" s="18" t="str">
        <f t="shared" si="147"/>
        <v/>
      </c>
      <c r="M198" s="18" t="str">
        <f>IF(R198&lt;&gt;1,"",H198*CONTROL_PANEL!$B$14)</f>
        <v/>
      </c>
      <c r="N198" s="18" t="str">
        <f>IF(R198&lt;&gt;1,"",DATA_INPUT!K198)</f>
        <v/>
      </c>
      <c r="O198" s="18" t="str">
        <f t="shared" si="148"/>
        <v/>
      </c>
      <c r="P198" s="18" t="str">
        <f>IF(R198&lt;&gt;1,"",IF(O198-CONTROL_PANEL!$B$11&lt;0,0,O198-CONTROL_PANEL!$B$11))</f>
        <v/>
      </c>
      <c r="Q198" s="18" t="str">
        <f>IF(R198&lt;&gt;1,"",IF(N198&lt;=0,0,MIN(N198,MAX(0,CONTROL_PANEL!$B$13-O198))))</f>
        <v/>
      </c>
      <c r="R198" s="18"/>
      <c r="T198" s="19">
        <f t="shared" si="136"/>
        <v>2031</v>
      </c>
      <c r="U198" s="19">
        <f t="shared" si="141"/>
        <v>11</v>
      </c>
      <c r="V198" s="18" t="str">
        <f t="shared" si="149"/>
        <v/>
      </c>
      <c r="W198" s="18" t="str">
        <f t="shared" si="131"/>
        <v/>
      </c>
      <c r="X198" s="18" t="str">
        <f>IF(AK197&lt;&gt;1,"",IF(AH197&gt;0,IF(AH197&gt;CONTROL_PANEL!$B$11,CONTROL_PANEL!$B$11,AH197),0))</f>
        <v/>
      </c>
      <c r="Y198" s="18" t="str">
        <f t="shared" si="126"/>
        <v/>
      </c>
      <c r="Z198" s="18" t="str">
        <f>IF(AK198&lt;&gt;1,"",DATA_INPUT!I198)</f>
        <v/>
      </c>
      <c r="AA198" s="18" t="str">
        <f>IF(AK198&lt;&gt;1,"",Z198*CONTROL_PANEL!$B$5)</f>
        <v/>
      </c>
      <c r="AB198" s="18" t="str">
        <f>IF(AK198&lt;&gt;1,"",DATA_INPUT!$C198)</f>
        <v/>
      </c>
      <c r="AC198" s="18" t="str">
        <f t="shared" si="150"/>
        <v/>
      </c>
      <c r="AD198" s="18" t="str">
        <f>IF(AK198&lt;&gt;1,"",DATA_INPUT!$H198)</f>
        <v/>
      </c>
      <c r="AE198" s="18" t="str">
        <f t="shared" si="151"/>
        <v/>
      </c>
      <c r="AF198" s="18" t="str">
        <f>IF(AK198&lt;&gt;1,"",AA198*CONTROL_PANEL!$B$14)</f>
        <v/>
      </c>
      <c r="AG198" s="18" t="str">
        <f>IF(AK198&lt;&gt;1,"",DATA_INPUT!$L198)</f>
        <v/>
      </c>
      <c r="AH198" s="18" t="str">
        <f t="shared" si="152"/>
        <v/>
      </c>
      <c r="AI198" s="18" t="str">
        <f>IF(AK198&lt;&gt;1,"",IF(AH198-CONTROL_PANEL!$B$11&lt;0,0,AH198-CONTROL_PANEL!$B$11))</f>
        <v/>
      </c>
      <c r="AJ198" s="18" t="str">
        <f>IF(AK198&lt;&gt;1,"",IF(AG198&lt;=0,0,MIN(AG198,MAX(0,CONTROL_PANEL!$B$13-AH198))))</f>
        <v/>
      </c>
      <c r="AK198" s="18"/>
      <c r="AM198" s="19">
        <f t="shared" si="137"/>
        <v>2031</v>
      </c>
      <c r="AN198" s="19">
        <f t="shared" si="142"/>
        <v>11</v>
      </c>
      <c r="AO198" s="18" t="str">
        <f t="shared" si="153"/>
        <v/>
      </c>
      <c r="AP198" s="18" t="str">
        <f t="shared" si="132"/>
        <v/>
      </c>
      <c r="AQ198" s="18" t="str">
        <f>IF(BD197&lt;&gt;1,"",IF(BA197&gt;0,IF(BA197&gt;CONTROL_PANEL!$B$11,CONTROL_PANEL!$B$11,BA197),0))</f>
        <v/>
      </c>
      <c r="AR198" s="18" t="str">
        <f t="shared" si="127"/>
        <v/>
      </c>
      <c r="AS198" s="18" t="str">
        <f>IF(BD198&lt;&gt;1,"",DATA_INPUT!$I198)</f>
        <v/>
      </c>
      <c r="AT198" s="18" t="str">
        <f>IF(BD198&lt;&gt;1,"",AS198*CONTROL_PANEL!$B$5)</f>
        <v/>
      </c>
      <c r="AU198" s="18" t="str">
        <f>IF(BD198&lt;&gt;1,"",DATA_INPUT!$C198)</f>
        <v/>
      </c>
      <c r="AV198" s="18" t="str">
        <f t="shared" si="154"/>
        <v/>
      </c>
      <c r="AW198" s="18" t="str">
        <f>IF(BD198&lt;&gt;1,"",DATA_INPUT!$H198)</f>
        <v/>
      </c>
      <c r="AX198" s="18" t="str">
        <f t="shared" si="155"/>
        <v/>
      </c>
      <c r="AY198" s="18" t="str">
        <f>IF(BD198&lt;&gt;1,"",AT198*CONTROL_PANEL!$B$14)</f>
        <v/>
      </c>
      <c r="AZ198" s="18" t="str">
        <f>IF(BD198&lt;&gt;1,"",DATA_INPUT!$M198)</f>
        <v/>
      </c>
      <c r="BA198" s="18" t="str">
        <f t="shared" si="156"/>
        <v/>
      </c>
      <c r="BB198" s="18" t="str">
        <f>IF(BD198&lt;&gt;1,"",IF(BA198-CONTROL_PANEL!$B$11&lt;0,0,BA198-CONTROL_PANEL!$B$11))</f>
        <v/>
      </c>
      <c r="BC198" s="18" t="str">
        <f>IF(BD198&lt;&gt;1,"",IF(AZ198&lt;=0,0,MIN(AZ198,MAX(0,CONTROL_PANEL!$B$13-BA198))))</f>
        <v/>
      </c>
      <c r="BD198" s="18"/>
      <c r="BF198" s="19">
        <f t="shared" si="138"/>
        <v>2031</v>
      </c>
      <c r="BG198" s="19">
        <f t="shared" si="143"/>
        <v>11</v>
      </c>
      <c r="BH198" s="18" t="str">
        <f t="shared" si="157"/>
        <v/>
      </c>
      <c r="BI198" s="18" t="str">
        <f t="shared" si="133"/>
        <v/>
      </c>
      <c r="BJ198" s="18" t="str">
        <f>IF(BW197&lt;&gt;1,"",IF(BT197&gt;0,IF(BT197&gt;CONTROL_PANEL!$B$11,CONTROL_PANEL!$B$11,BT197),0))</f>
        <v/>
      </c>
      <c r="BK198" s="18" t="str">
        <f t="shared" si="128"/>
        <v/>
      </c>
      <c r="BL198" s="18" t="str">
        <f>IF(BW198&lt;&gt;1,"",DATA_INPUT!$I198)</f>
        <v/>
      </c>
      <c r="BM198" s="18" t="str">
        <f>IF(BW198&lt;&gt;1,"",BL198*CONTROL_PANEL!$B$5)</f>
        <v/>
      </c>
      <c r="BN198" s="18" t="str">
        <f>IF(BW198&lt;&gt;1,"",DATA_INPUT!$C198)</f>
        <v/>
      </c>
      <c r="BO198" s="18" t="str">
        <f t="shared" si="158"/>
        <v/>
      </c>
      <c r="BP198" s="18" t="str">
        <f>IF(BW198&lt;&gt;1,"",DATA_INPUT!$H198)</f>
        <v/>
      </c>
      <c r="BQ198" s="18" t="str">
        <f t="shared" si="159"/>
        <v/>
      </c>
      <c r="BR198" s="18" t="str">
        <f>IF(BW198&lt;&gt;1,"",BM198*CONTROL_PANEL!$B$14)</f>
        <v/>
      </c>
      <c r="BS198" s="18" t="str">
        <f>IF(BW198&lt;&gt;1,"",DATA_INPUT!$N198)</f>
        <v/>
      </c>
      <c r="BT198" s="18" t="str">
        <f t="shared" si="160"/>
        <v/>
      </c>
      <c r="BU198" s="18" t="str">
        <f>IF(BW198&lt;&gt;1,"",IF(BT198-CONTROL_PANEL!$B$11&lt;0,0,BT198-CONTROL_PANEL!$B$11))</f>
        <v/>
      </c>
      <c r="BV198" s="18" t="str">
        <f>IF(BW198&lt;&gt;1,"",IF(BS198&lt;=0,0,MIN(BS198,MAX(0,CONTROL_PANEL!$B$13-BT198))))</f>
        <v/>
      </c>
      <c r="BW198" s="18"/>
      <c r="BY198" s="19">
        <f t="shared" si="139"/>
        <v>2031</v>
      </c>
      <c r="BZ198" s="19">
        <f t="shared" si="144"/>
        <v>11</v>
      </c>
      <c r="CA198" s="18" t="str">
        <f t="shared" si="161"/>
        <v/>
      </c>
      <c r="CB198" s="18" t="str">
        <f t="shared" si="134"/>
        <v/>
      </c>
      <c r="CC198" s="18" t="str">
        <f>IF(CP197&lt;&gt;1,"",IF(CM197&gt;0,IF(CM197&gt;CONTROL_PANEL!$B$11,CONTROL_PANEL!$B$11,CM197),0))</f>
        <v/>
      </c>
      <c r="CD198" s="18" t="str">
        <f t="shared" si="129"/>
        <v/>
      </c>
      <c r="CE198" s="18" t="str">
        <f>IF(CP198&lt;&gt;1,"",DATA_INPUT!$I198)</f>
        <v/>
      </c>
      <c r="CF198" s="18" t="str">
        <f>IF(CP198&lt;&gt;1,"",CE198*CONTROL_PANEL!$B$5)</f>
        <v/>
      </c>
      <c r="CG198" s="18" t="str">
        <f>IF(CP198&lt;&gt;1,"",DATA_INPUT!$C198)</f>
        <v/>
      </c>
      <c r="CH198" s="18" t="str">
        <f t="shared" si="162"/>
        <v/>
      </c>
      <c r="CI198" s="18" t="str">
        <f>IF(CP198&lt;&gt;1,"",DATA_INPUT!$H198)</f>
        <v/>
      </c>
      <c r="CJ198" s="18" t="str">
        <f t="shared" si="163"/>
        <v/>
      </c>
      <c r="CK198" s="18" t="str">
        <f>IF(CP198&lt;&gt;1,"",CF198*CONTROL_PANEL!$B$14)</f>
        <v/>
      </c>
      <c r="CL198" s="18" t="str">
        <f>IF(CP198&lt;&gt;1,"",DATA_INPUT!$O198)</f>
        <v/>
      </c>
      <c r="CM198" s="18" t="str">
        <f t="shared" si="164"/>
        <v/>
      </c>
      <c r="CN198" s="18" t="str">
        <f>IF(CP198&lt;&gt;1,"",IF(CM198-CONTROL_PANEL!$B$11&lt;0,0,CM198-CONTROL_PANEL!$B$11))</f>
        <v/>
      </c>
      <c r="CO198" s="18" t="str">
        <f>IF(CP198&lt;&gt;1,"",IF(CL198&lt;=0,0,MIN(CL198,MAX(0,CONTROL_PANEL!$B$13-CM198))))</f>
        <v/>
      </c>
      <c r="CP198" s="18"/>
    </row>
    <row r="199" spans="1:94" x14ac:dyDescent="0.25">
      <c r="A199" s="19">
        <f t="shared" si="135"/>
        <v>2031</v>
      </c>
      <c r="B199" s="19">
        <f t="shared" si="140"/>
        <v>12</v>
      </c>
      <c r="C199" s="18" t="str">
        <f t="shared" si="145"/>
        <v/>
      </c>
      <c r="D199" s="18" t="str">
        <f t="shared" si="130"/>
        <v/>
      </c>
      <c r="E199" s="18" t="str">
        <f>IF(R198&lt;&gt;1,"",IF(O198&gt;0,IF(O198&gt;CONTROL_PANEL!$B$11,CONTROL_PANEL!$B$11,O198),0))</f>
        <v/>
      </c>
      <c r="F199" s="18" t="str">
        <f t="shared" si="125"/>
        <v/>
      </c>
      <c r="G199" s="18" t="str">
        <f>IF(R199&lt;&gt;1,"",DATA_INPUT!I199)</f>
        <v/>
      </c>
      <c r="H199" s="18" t="str">
        <f>IF(R199&lt;&gt;1,"",G199*CONTROL_PANEL!$B$5)</f>
        <v/>
      </c>
      <c r="I199" s="18" t="str">
        <f>IF(R199&lt;&gt;1,"",DATA_INPUT!C199)</f>
        <v/>
      </c>
      <c r="J199" s="18" t="str">
        <f t="shared" si="146"/>
        <v/>
      </c>
      <c r="K199" s="18" t="str">
        <f>IF(R199&lt;&gt;1,"",DATA_INPUT!H199)</f>
        <v/>
      </c>
      <c r="L199" s="18" t="str">
        <f t="shared" si="147"/>
        <v/>
      </c>
      <c r="M199" s="18" t="str">
        <f>IF(R199&lt;&gt;1,"",H199*CONTROL_PANEL!$B$14)</f>
        <v/>
      </c>
      <c r="N199" s="18" t="str">
        <f>IF(R199&lt;&gt;1,"",DATA_INPUT!K199)</f>
        <v/>
      </c>
      <c r="O199" s="18" t="str">
        <f t="shared" si="148"/>
        <v/>
      </c>
      <c r="P199" s="18" t="str">
        <f>IF(R199&lt;&gt;1,"",IF(O199-CONTROL_PANEL!$B$11&lt;0,0,O199-CONTROL_PANEL!$B$11))</f>
        <v/>
      </c>
      <c r="Q199" s="18" t="str">
        <f>IF(R199&lt;&gt;1,"",IF(N199&lt;=0,0,MIN(N199,MAX(0,CONTROL_PANEL!$B$13-O199))))</f>
        <v/>
      </c>
      <c r="R199" s="18"/>
      <c r="T199" s="19">
        <f t="shared" si="136"/>
        <v>2031</v>
      </c>
      <c r="U199" s="19">
        <f t="shared" si="141"/>
        <v>12</v>
      </c>
      <c r="V199" s="18" t="str">
        <f t="shared" si="149"/>
        <v/>
      </c>
      <c r="W199" s="18" t="str">
        <f t="shared" si="131"/>
        <v/>
      </c>
      <c r="X199" s="18" t="str">
        <f>IF(AK198&lt;&gt;1,"",IF(AH198&gt;0,IF(AH198&gt;CONTROL_PANEL!$B$11,CONTROL_PANEL!$B$11,AH198),0))</f>
        <v/>
      </c>
      <c r="Y199" s="18" t="str">
        <f t="shared" si="126"/>
        <v/>
      </c>
      <c r="Z199" s="18" t="str">
        <f>IF(AK199&lt;&gt;1,"",DATA_INPUT!I199)</f>
        <v/>
      </c>
      <c r="AA199" s="18" t="str">
        <f>IF(AK199&lt;&gt;1,"",Z199*CONTROL_PANEL!$B$5)</f>
        <v/>
      </c>
      <c r="AB199" s="18" t="str">
        <f>IF(AK199&lt;&gt;1,"",DATA_INPUT!$C199)</f>
        <v/>
      </c>
      <c r="AC199" s="18" t="str">
        <f t="shared" si="150"/>
        <v/>
      </c>
      <c r="AD199" s="18" t="str">
        <f>IF(AK199&lt;&gt;1,"",DATA_INPUT!$H199)</f>
        <v/>
      </c>
      <c r="AE199" s="18" t="str">
        <f t="shared" si="151"/>
        <v/>
      </c>
      <c r="AF199" s="18" t="str">
        <f>IF(AK199&lt;&gt;1,"",AA199*CONTROL_PANEL!$B$14)</f>
        <v/>
      </c>
      <c r="AG199" s="18" t="str">
        <f>IF(AK199&lt;&gt;1,"",DATA_INPUT!$L199)</f>
        <v/>
      </c>
      <c r="AH199" s="18" t="str">
        <f t="shared" si="152"/>
        <v/>
      </c>
      <c r="AI199" s="18" t="str">
        <f>IF(AK199&lt;&gt;1,"",IF(AH199-CONTROL_PANEL!$B$11&lt;0,0,AH199-CONTROL_PANEL!$B$11))</f>
        <v/>
      </c>
      <c r="AJ199" s="18" t="str">
        <f>IF(AK199&lt;&gt;1,"",IF(AG199&lt;=0,0,MIN(AG199,MAX(0,CONTROL_PANEL!$B$13-AH199))))</f>
        <v/>
      </c>
      <c r="AK199" s="18"/>
      <c r="AM199" s="19">
        <f t="shared" si="137"/>
        <v>2031</v>
      </c>
      <c r="AN199" s="19">
        <f t="shared" si="142"/>
        <v>12</v>
      </c>
      <c r="AO199" s="18" t="str">
        <f t="shared" si="153"/>
        <v/>
      </c>
      <c r="AP199" s="18" t="str">
        <f t="shared" si="132"/>
        <v/>
      </c>
      <c r="AQ199" s="18" t="str">
        <f>IF(BD198&lt;&gt;1,"",IF(BA198&gt;0,IF(BA198&gt;CONTROL_PANEL!$B$11,CONTROL_PANEL!$B$11,BA198),0))</f>
        <v/>
      </c>
      <c r="AR199" s="18" t="str">
        <f t="shared" si="127"/>
        <v/>
      </c>
      <c r="AS199" s="18" t="str">
        <f>IF(BD199&lt;&gt;1,"",DATA_INPUT!$I199)</f>
        <v/>
      </c>
      <c r="AT199" s="18" t="str">
        <f>IF(BD199&lt;&gt;1,"",AS199*CONTROL_PANEL!$B$5)</f>
        <v/>
      </c>
      <c r="AU199" s="18" t="str">
        <f>IF(BD199&lt;&gt;1,"",DATA_INPUT!$C199)</f>
        <v/>
      </c>
      <c r="AV199" s="18" t="str">
        <f t="shared" si="154"/>
        <v/>
      </c>
      <c r="AW199" s="18" t="str">
        <f>IF(BD199&lt;&gt;1,"",DATA_INPUT!$H199)</f>
        <v/>
      </c>
      <c r="AX199" s="18" t="str">
        <f t="shared" si="155"/>
        <v/>
      </c>
      <c r="AY199" s="18" t="str">
        <f>IF(BD199&lt;&gt;1,"",AT199*CONTROL_PANEL!$B$14)</f>
        <v/>
      </c>
      <c r="AZ199" s="18" t="str">
        <f>IF(BD199&lt;&gt;1,"",DATA_INPUT!$M199)</f>
        <v/>
      </c>
      <c r="BA199" s="18" t="str">
        <f t="shared" si="156"/>
        <v/>
      </c>
      <c r="BB199" s="18" t="str">
        <f>IF(BD199&lt;&gt;1,"",IF(BA199-CONTROL_PANEL!$B$11&lt;0,0,BA199-CONTROL_PANEL!$B$11))</f>
        <v/>
      </c>
      <c r="BC199" s="18" t="str">
        <f>IF(BD199&lt;&gt;1,"",IF(AZ199&lt;=0,0,MIN(AZ199,MAX(0,CONTROL_PANEL!$B$13-BA199))))</f>
        <v/>
      </c>
      <c r="BD199" s="18"/>
      <c r="BF199" s="19">
        <f t="shared" si="138"/>
        <v>2031</v>
      </c>
      <c r="BG199" s="19">
        <f t="shared" si="143"/>
        <v>12</v>
      </c>
      <c r="BH199" s="18" t="str">
        <f t="shared" si="157"/>
        <v/>
      </c>
      <c r="BI199" s="18" t="str">
        <f t="shared" si="133"/>
        <v/>
      </c>
      <c r="BJ199" s="18" t="str">
        <f>IF(BW198&lt;&gt;1,"",IF(BT198&gt;0,IF(BT198&gt;CONTROL_PANEL!$B$11,CONTROL_PANEL!$B$11,BT198),0))</f>
        <v/>
      </c>
      <c r="BK199" s="18" t="str">
        <f t="shared" si="128"/>
        <v/>
      </c>
      <c r="BL199" s="18" t="str">
        <f>IF(BW199&lt;&gt;1,"",DATA_INPUT!$I199)</f>
        <v/>
      </c>
      <c r="BM199" s="18" t="str">
        <f>IF(BW199&lt;&gt;1,"",BL199*CONTROL_PANEL!$B$5)</f>
        <v/>
      </c>
      <c r="BN199" s="18" t="str">
        <f>IF(BW199&lt;&gt;1,"",DATA_INPUT!$C199)</f>
        <v/>
      </c>
      <c r="BO199" s="18" t="str">
        <f t="shared" si="158"/>
        <v/>
      </c>
      <c r="BP199" s="18" t="str">
        <f>IF(BW199&lt;&gt;1,"",DATA_INPUT!$H199)</f>
        <v/>
      </c>
      <c r="BQ199" s="18" t="str">
        <f t="shared" si="159"/>
        <v/>
      </c>
      <c r="BR199" s="18" t="str">
        <f>IF(BW199&lt;&gt;1,"",BM199*CONTROL_PANEL!$B$14)</f>
        <v/>
      </c>
      <c r="BS199" s="18" t="str">
        <f>IF(BW199&lt;&gt;1,"",DATA_INPUT!$N199)</f>
        <v/>
      </c>
      <c r="BT199" s="18" t="str">
        <f t="shared" si="160"/>
        <v/>
      </c>
      <c r="BU199" s="18" t="str">
        <f>IF(BW199&lt;&gt;1,"",IF(BT199-CONTROL_PANEL!$B$11&lt;0,0,BT199-CONTROL_PANEL!$B$11))</f>
        <v/>
      </c>
      <c r="BV199" s="18" t="str">
        <f>IF(BW199&lt;&gt;1,"",IF(BS199&lt;=0,0,MIN(BS199,MAX(0,CONTROL_PANEL!$B$13-BT199))))</f>
        <v/>
      </c>
      <c r="BW199" s="18"/>
      <c r="BY199" s="19">
        <f t="shared" si="139"/>
        <v>2031</v>
      </c>
      <c r="BZ199" s="19">
        <f t="shared" si="144"/>
        <v>12</v>
      </c>
      <c r="CA199" s="18" t="str">
        <f t="shared" si="161"/>
        <v/>
      </c>
      <c r="CB199" s="18" t="str">
        <f t="shared" si="134"/>
        <v/>
      </c>
      <c r="CC199" s="18" t="str">
        <f>IF(CP198&lt;&gt;1,"",IF(CM198&gt;0,IF(CM198&gt;CONTROL_PANEL!$B$11,CONTROL_PANEL!$B$11,CM198),0))</f>
        <v/>
      </c>
      <c r="CD199" s="18" t="str">
        <f t="shared" si="129"/>
        <v/>
      </c>
      <c r="CE199" s="18" t="str">
        <f>IF(CP199&lt;&gt;1,"",DATA_INPUT!$I199)</f>
        <v/>
      </c>
      <c r="CF199" s="18" t="str">
        <f>IF(CP199&lt;&gt;1,"",CE199*CONTROL_PANEL!$B$5)</f>
        <v/>
      </c>
      <c r="CG199" s="18" t="str">
        <f>IF(CP199&lt;&gt;1,"",DATA_INPUT!$C199)</f>
        <v/>
      </c>
      <c r="CH199" s="18" t="str">
        <f t="shared" si="162"/>
        <v/>
      </c>
      <c r="CI199" s="18" t="str">
        <f>IF(CP199&lt;&gt;1,"",DATA_INPUT!$H199)</f>
        <v/>
      </c>
      <c r="CJ199" s="18" t="str">
        <f t="shared" si="163"/>
        <v/>
      </c>
      <c r="CK199" s="18" t="str">
        <f>IF(CP199&lt;&gt;1,"",CF199*CONTROL_PANEL!$B$14)</f>
        <v/>
      </c>
      <c r="CL199" s="18" t="str">
        <f>IF(CP199&lt;&gt;1,"",DATA_INPUT!$O199)</f>
        <v/>
      </c>
      <c r="CM199" s="18" t="str">
        <f t="shared" si="164"/>
        <v/>
      </c>
      <c r="CN199" s="18" t="str">
        <f>IF(CP199&lt;&gt;1,"",IF(CM199-CONTROL_PANEL!$B$11&lt;0,0,CM199-CONTROL_PANEL!$B$11))</f>
        <v/>
      </c>
      <c r="CO199" s="18" t="str">
        <f>IF(CP199&lt;&gt;1,"",IF(CL199&lt;=0,0,MIN(CL199,MAX(0,CONTROL_PANEL!$B$13-CM199))))</f>
        <v/>
      </c>
      <c r="CP199" s="18"/>
    </row>
    <row r="200" spans="1:94" x14ac:dyDescent="0.25">
      <c r="A200" s="19">
        <f t="shared" si="135"/>
        <v>2032</v>
      </c>
      <c r="B200" s="19">
        <f t="shared" si="140"/>
        <v>1</v>
      </c>
      <c r="C200" s="18" t="str">
        <f t="shared" si="145"/>
        <v/>
      </c>
      <c r="D200" s="18" t="str">
        <f t="shared" si="130"/>
        <v/>
      </c>
      <c r="E200" s="18" t="str">
        <f>IF(R199&lt;&gt;1,"",IF(O199&gt;0,IF(O199&gt;CONTROL_PANEL!$B$11,CONTROL_PANEL!$B$11,O199),0))</f>
        <v/>
      </c>
      <c r="F200" s="18" t="str">
        <f t="shared" ref="F200:F263" si="165">IF(R200&lt;&gt;1,"",0.6*(D200-235)^2.02*10000)</f>
        <v/>
      </c>
      <c r="G200" s="18" t="str">
        <f>IF(R200&lt;&gt;1,"",DATA_INPUT!I200)</f>
        <v/>
      </c>
      <c r="H200" s="18" t="str">
        <f>IF(R200&lt;&gt;1,"",G200*CONTROL_PANEL!$B$5)</f>
        <v/>
      </c>
      <c r="I200" s="18" t="str">
        <f>IF(R200&lt;&gt;1,"",DATA_INPUT!C200)</f>
        <v/>
      </c>
      <c r="J200" s="18" t="str">
        <f t="shared" si="146"/>
        <v/>
      </c>
      <c r="K200" s="18" t="str">
        <f>IF(R200&lt;&gt;1,"",DATA_INPUT!H200)</f>
        <v/>
      </c>
      <c r="L200" s="18" t="str">
        <f t="shared" si="147"/>
        <v/>
      </c>
      <c r="M200" s="18" t="str">
        <f>IF(R200&lt;&gt;1,"",H200*CONTROL_PANEL!$B$14)</f>
        <v/>
      </c>
      <c r="N200" s="18" t="str">
        <f>IF(R200&lt;&gt;1,"",DATA_INPUT!K200)</f>
        <v/>
      </c>
      <c r="O200" s="18" t="str">
        <f t="shared" si="148"/>
        <v/>
      </c>
      <c r="P200" s="18" t="str">
        <f>IF(R200&lt;&gt;1,"",IF(O200-CONTROL_PANEL!$B$11&lt;0,0,O200-CONTROL_PANEL!$B$11))</f>
        <v/>
      </c>
      <c r="Q200" s="18" t="str">
        <f>IF(R200&lt;&gt;1,"",IF(N200&lt;=0,0,MIN(N200,MAX(0,CONTROL_PANEL!$B$13-O200))))</f>
        <v/>
      </c>
      <c r="R200" s="18"/>
      <c r="T200" s="19">
        <f t="shared" si="136"/>
        <v>2032</v>
      </c>
      <c r="U200" s="19">
        <f t="shared" si="141"/>
        <v>1</v>
      </c>
      <c r="V200" s="18" t="str">
        <f t="shared" si="149"/>
        <v/>
      </c>
      <c r="W200" s="18" t="str">
        <f t="shared" si="131"/>
        <v/>
      </c>
      <c r="X200" s="18" t="str">
        <f>IF(AK199&lt;&gt;1,"",IF(AH199&gt;0,IF(AH199&gt;CONTROL_PANEL!$B$11,CONTROL_PANEL!$B$11,AH199),0))</f>
        <v/>
      </c>
      <c r="Y200" s="18" t="str">
        <f t="shared" ref="Y200:Y263" si="166">IF(AK200&lt;&gt;1,"",0.6*(W200-235)^2.02*10000)</f>
        <v/>
      </c>
      <c r="Z200" s="18" t="str">
        <f>IF(AK200&lt;&gt;1,"",DATA_INPUT!I200)</f>
        <v/>
      </c>
      <c r="AA200" s="18" t="str">
        <f>IF(AK200&lt;&gt;1,"",Z200*CONTROL_PANEL!$B$5)</f>
        <v/>
      </c>
      <c r="AB200" s="18" t="str">
        <f>IF(AK200&lt;&gt;1,"",DATA_INPUT!$C200)</f>
        <v/>
      </c>
      <c r="AC200" s="18" t="str">
        <f t="shared" si="150"/>
        <v/>
      </c>
      <c r="AD200" s="18" t="str">
        <f>IF(AK200&lt;&gt;1,"",DATA_INPUT!$H200)</f>
        <v/>
      </c>
      <c r="AE200" s="18" t="str">
        <f t="shared" si="151"/>
        <v/>
      </c>
      <c r="AF200" s="18" t="str">
        <f>IF(AK200&lt;&gt;1,"",AA200*CONTROL_PANEL!$B$14)</f>
        <v/>
      </c>
      <c r="AG200" s="18" t="str">
        <f>IF(AK200&lt;&gt;1,"",DATA_INPUT!$L200)</f>
        <v/>
      </c>
      <c r="AH200" s="18" t="str">
        <f t="shared" si="152"/>
        <v/>
      </c>
      <c r="AI200" s="18" t="str">
        <f>IF(AK200&lt;&gt;1,"",IF(AH200-CONTROL_PANEL!$B$11&lt;0,0,AH200-CONTROL_PANEL!$B$11))</f>
        <v/>
      </c>
      <c r="AJ200" s="18" t="str">
        <f>IF(AK200&lt;&gt;1,"",IF(AG200&lt;=0,0,MIN(AG200,MAX(0,CONTROL_PANEL!$B$13-AH200))))</f>
        <v/>
      </c>
      <c r="AK200" s="18"/>
      <c r="AM200" s="19">
        <f t="shared" si="137"/>
        <v>2032</v>
      </c>
      <c r="AN200" s="19">
        <f t="shared" si="142"/>
        <v>1</v>
      </c>
      <c r="AO200" s="18" t="str">
        <f t="shared" si="153"/>
        <v/>
      </c>
      <c r="AP200" s="18" t="str">
        <f t="shared" si="132"/>
        <v/>
      </c>
      <c r="AQ200" s="18" t="str">
        <f>IF(BD199&lt;&gt;1,"",IF(BA199&gt;0,IF(BA199&gt;CONTROL_PANEL!$B$11,CONTROL_PANEL!$B$11,BA199),0))</f>
        <v/>
      </c>
      <c r="AR200" s="18" t="str">
        <f t="shared" ref="AR200:AR263" si="167">IF(BD200&lt;&gt;1,"",0.6*(AP200-235)^2.02*10000)</f>
        <v/>
      </c>
      <c r="AS200" s="18" t="str">
        <f>IF(BD200&lt;&gt;1,"",DATA_INPUT!$I200)</f>
        <v/>
      </c>
      <c r="AT200" s="18" t="str">
        <f>IF(BD200&lt;&gt;1,"",AS200*CONTROL_PANEL!$B$5)</f>
        <v/>
      </c>
      <c r="AU200" s="18" t="str">
        <f>IF(BD200&lt;&gt;1,"",DATA_INPUT!$C200)</f>
        <v/>
      </c>
      <c r="AV200" s="18" t="str">
        <f t="shared" si="154"/>
        <v/>
      </c>
      <c r="AW200" s="18" t="str">
        <f>IF(BD200&lt;&gt;1,"",DATA_INPUT!$H200)</f>
        <v/>
      </c>
      <c r="AX200" s="18" t="str">
        <f t="shared" si="155"/>
        <v/>
      </c>
      <c r="AY200" s="18" t="str">
        <f>IF(BD200&lt;&gt;1,"",AT200*CONTROL_PANEL!$B$14)</f>
        <v/>
      </c>
      <c r="AZ200" s="18" t="str">
        <f>IF(BD200&lt;&gt;1,"",DATA_INPUT!$M200)</f>
        <v/>
      </c>
      <c r="BA200" s="18" t="str">
        <f t="shared" si="156"/>
        <v/>
      </c>
      <c r="BB200" s="18" t="str">
        <f>IF(BD200&lt;&gt;1,"",IF(BA200-CONTROL_PANEL!$B$11&lt;0,0,BA200-CONTROL_PANEL!$B$11))</f>
        <v/>
      </c>
      <c r="BC200" s="18" t="str">
        <f>IF(BD200&lt;&gt;1,"",IF(AZ200&lt;=0,0,MIN(AZ200,MAX(0,CONTROL_PANEL!$B$13-BA200))))</f>
        <v/>
      </c>
      <c r="BD200" s="18"/>
      <c r="BF200" s="19">
        <f t="shared" si="138"/>
        <v>2032</v>
      </c>
      <c r="BG200" s="19">
        <f t="shared" si="143"/>
        <v>1</v>
      </c>
      <c r="BH200" s="18" t="str">
        <f t="shared" si="157"/>
        <v/>
      </c>
      <c r="BI200" s="18" t="str">
        <f t="shared" si="133"/>
        <v/>
      </c>
      <c r="BJ200" s="18" t="str">
        <f>IF(BW199&lt;&gt;1,"",IF(BT199&gt;0,IF(BT199&gt;CONTROL_PANEL!$B$11,CONTROL_PANEL!$B$11,BT199),0))</f>
        <v/>
      </c>
      <c r="BK200" s="18" t="str">
        <f t="shared" ref="BK200:BK263" si="168">IF(BW200&lt;&gt;1,"",0.6*(BI200-235)^2.02*10000)</f>
        <v/>
      </c>
      <c r="BL200" s="18" t="str">
        <f>IF(BW200&lt;&gt;1,"",DATA_INPUT!$I200)</f>
        <v/>
      </c>
      <c r="BM200" s="18" t="str">
        <f>IF(BW200&lt;&gt;1,"",BL200*CONTROL_PANEL!$B$5)</f>
        <v/>
      </c>
      <c r="BN200" s="18" t="str">
        <f>IF(BW200&lt;&gt;1,"",DATA_INPUT!$C200)</f>
        <v/>
      </c>
      <c r="BO200" s="18" t="str">
        <f t="shared" si="158"/>
        <v/>
      </c>
      <c r="BP200" s="18" t="str">
        <f>IF(BW200&lt;&gt;1,"",DATA_INPUT!$H200)</f>
        <v/>
      </c>
      <c r="BQ200" s="18" t="str">
        <f t="shared" si="159"/>
        <v/>
      </c>
      <c r="BR200" s="18" t="str">
        <f>IF(BW200&lt;&gt;1,"",BM200*CONTROL_PANEL!$B$14)</f>
        <v/>
      </c>
      <c r="BS200" s="18" t="str">
        <f>IF(BW200&lt;&gt;1,"",DATA_INPUT!$N200)</f>
        <v/>
      </c>
      <c r="BT200" s="18" t="str">
        <f t="shared" si="160"/>
        <v/>
      </c>
      <c r="BU200" s="18" t="str">
        <f>IF(BW200&lt;&gt;1,"",IF(BT200-CONTROL_PANEL!$B$11&lt;0,0,BT200-CONTROL_PANEL!$B$11))</f>
        <v/>
      </c>
      <c r="BV200" s="18" t="str">
        <f>IF(BW200&lt;&gt;1,"",IF(BS200&lt;=0,0,MIN(BS200,MAX(0,CONTROL_PANEL!$B$13-BT200))))</f>
        <v/>
      </c>
      <c r="BW200" s="18"/>
      <c r="BY200" s="19">
        <f t="shared" si="139"/>
        <v>2032</v>
      </c>
      <c r="BZ200" s="19">
        <f t="shared" si="144"/>
        <v>1</v>
      </c>
      <c r="CA200" s="18" t="str">
        <f t="shared" si="161"/>
        <v/>
      </c>
      <c r="CB200" s="18" t="str">
        <f t="shared" si="134"/>
        <v/>
      </c>
      <c r="CC200" s="18" t="str">
        <f>IF(CP199&lt;&gt;1,"",IF(CM199&gt;0,IF(CM199&gt;CONTROL_PANEL!$B$11,CONTROL_PANEL!$B$11,CM199),0))</f>
        <v/>
      </c>
      <c r="CD200" s="18" t="str">
        <f t="shared" ref="CD200:CD263" si="169">IF(CP200&lt;&gt;1,"",0.6*(CB200-235)^2.02*10000)</f>
        <v/>
      </c>
      <c r="CE200" s="18" t="str">
        <f>IF(CP200&lt;&gt;1,"",DATA_INPUT!$I200)</f>
        <v/>
      </c>
      <c r="CF200" s="18" t="str">
        <f>IF(CP200&lt;&gt;1,"",CE200*CONTROL_PANEL!$B$5)</f>
        <v/>
      </c>
      <c r="CG200" s="18" t="str">
        <f>IF(CP200&lt;&gt;1,"",DATA_INPUT!$C200)</f>
        <v/>
      </c>
      <c r="CH200" s="18" t="str">
        <f t="shared" si="162"/>
        <v/>
      </c>
      <c r="CI200" s="18" t="str">
        <f>IF(CP200&lt;&gt;1,"",DATA_INPUT!$H200)</f>
        <v/>
      </c>
      <c r="CJ200" s="18" t="str">
        <f t="shared" si="163"/>
        <v/>
      </c>
      <c r="CK200" s="18" t="str">
        <f>IF(CP200&lt;&gt;1,"",CF200*CONTROL_PANEL!$B$14)</f>
        <v/>
      </c>
      <c r="CL200" s="18" t="str">
        <f>IF(CP200&lt;&gt;1,"",DATA_INPUT!$O200)</f>
        <v/>
      </c>
      <c r="CM200" s="18" t="str">
        <f t="shared" si="164"/>
        <v/>
      </c>
      <c r="CN200" s="18" t="str">
        <f>IF(CP200&lt;&gt;1,"",IF(CM200-CONTROL_PANEL!$B$11&lt;0,0,CM200-CONTROL_PANEL!$B$11))</f>
        <v/>
      </c>
      <c r="CO200" s="18" t="str">
        <f>IF(CP200&lt;&gt;1,"",IF(CL200&lt;=0,0,MIN(CL200,MAX(0,CONTROL_PANEL!$B$13-CM200))))</f>
        <v/>
      </c>
      <c r="CP200" s="18"/>
    </row>
    <row r="201" spans="1:94" x14ac:dyDescent="0.25">
      <c r="A201" s="19">
        <f t="shared" si="135"/>
        <v>2032</v>
      </c>
      <c r="B201" s="19">
        <f t="shared" si="140"/>
        <v>2</v>
      </c>
      <c r="C201" s="18" t="str">
        <f t="shared" si="145"/>
        <v/>
      </c>
      <c r="D201" s="18" t="str">
        <f t="shared" si="130"/>
        <v/>
      </c>
      <c r="E201" s="18" t="str">
        <f>IF(R200&lt;&gt;1,"",IF(O200&gt;0,IF(O200&gt;CONTROL_PANEL!$B$11,CONTROL_PANEL!$B$11,O200),0))</f>
        <v/>
      </c>
      <c r="F201" s="18" t="str">
        <f t="shared" si="165"/>
        <v/>
      </c>
      <c r="G201" s="18" t="str">
        <f>IF(R201&lt;&gt;1,"",DATA_INPUT!I201)</f>
        <v/>
      </c>
      <c r="H201" s="18" t="str">
        <f>IF(R201&lt;&gt;1,"",G201*CONTROL_PANEL!$B$5)</f>
        <v/>
      </c>
      <c r="I201" s="18" t="str">
        <f>IF(R201&lt;&gt;1,"",DATA_INPUT!C201)</f>
        <v/>
      </c>
      <c r="J201" s="18" t="str">
        <f t="shared" si="146"/>
        <v/>
      </c>
      <c r="K201" s="18" t="str">
        <f>IF(R201&lt;&gt;1,"",DATA_INPUT!H201)</f>
        <v/>
      </c>
      <c r="L201" s="18" t="str">
        <f t="shared" si="147"/>
        <v/>
      </c>
      <c r="M201" s="18" t="str">
        <f>IF(R201&lt;&gt;1,"",H201*CONTROL_PANEL!$B$14)</f>
        <v/>
      </c>
      <c r="N201" s="18" t="str">
        <f>IF(R201&lt;&gt;1,"",DATA_INPUT!K201)</f>
        <v/>
      </c>
      <c r="O201" s="18" t="str">
        <f t="shared" si="148"/>
        <v/>
      </c>
      <c r="P201" s="18" t="str">
        <f>IF(R201&lt;&gt;1,"",IF(O201-CONTROL_PANEL!$B$11&lt;0,0,O201-CONTROL_PANEL!$B$11))</f>
        <v/>
      </c>
      <c r="Q201" s="18" t="str">
        <f>IF(R201&lt;&gt;1,"",IF(N201&lt;=0,0,MIN(N201,MAX(0,CONTROL_PANEL!$B$13-O201))))</f>
        <v/>
      </c>
      <c r="R201" s="18"/>
      <c r="T201" s="19">
        <f t="shared" si="136"/>
        <v>2032</v>
      </c>
      <c r="U201" s="19">
        <f t="shared" si="141"/>
        <v>2</v>
      </c>
      <c r="V201" s="18" t="str">
        <f t="shared" si="149"/>
        <v/>
      </c>
      <c r="W201" s="18" t="str">
        <f t="shared" si="131"/>
        <v/>
      </c>
      <c r="X201" s="18" t="str">
        <f>IF(AK200&lt;&gt;1,"",IF(AH200&gt;0,IF(AH200&gt;CONTROL_PANEL!$B$11,CONTROL_PANEL!$B$11,AH200),0))</f>
        <v/>
      </c>
      <c r="Y201" s="18" t="str">
        <f t="shared" si="166"/>
        <v/>
      </c>
      <c r="Z201" s="18" t="str">
        <f>IF(AK201&lt;&gt;1,"",DATA_INPUT!I201)</f>
        <v/>
      </c>
      <c r="AA201" s="18" t="str">
        <f>IF(AK201&lt;&gt;1,"",Z201*CONTROL_PANEL!$B$5)</f>
        <v/>
      </c>
      <c r="AB201" s="18" t="str">
        <f>IF(AK201&lt;&gt;1,"",DATA_INPUT!$C201)</f>
        <v/>
      </c>
      <c r="AC201" s="18" t="str">
        <f t="shared" si="150"/>
        <v/>
      </c>
      <c r="AD201" s="18" t="str">
        <f>IF(AK201&lt;&gt;1,"",DATA_INPUT!$H201)</f>
        <v/>
      </c>
      <c r="AE201" s="18" t="str">
        <f t="shared" si="151"/>
        <v/>
      </c>
      <c r="AF201" s="18" t="str">
        <f>IF(AK201&lt;&gt;1,"",AA201*CONTROL_PANEL!$B$14)</f>
        <v/>
      </c>
      <c r="AG201" s="18" t="str">
        <f>IF(AK201&lt;&gt;1,"",DATA_INPUT!$L201)</f>
        <v/>
      </c>
      <c r="AH201" s="18" t="str">
        <f t="shared" si="152"/>
        <v/>
      </c>
      <c r="AI201" s="18" t="str">
        <f>IF(AK201&lt;&gt;1,"",IF(AH201-CONTROL_PANEL!$B$11&lt;0,0,AH201-CONTROL_PANEL!$B$11))</f>
        <v/>
      </c>
      <c r="AJ201" s="18" t="str">
        <f>IF(AK201&lt;&gt;1,"",IF(AG201&lt;=0,0,MIN(AG201,MAX(0,CONTROL_PANEL!$B$13-AH201))))</f>
        <v/>
      </c>
      <c r="AK201" s="18"/>
      <c r="AM201" s="19">
        <f t="shared" si="137"/>
        <v>2032</v>
      </c>
      <c r="AN201" s="19">
        <f t="shared" si="142"/>
        <v>2</v>
      </c>
      <c r="AO201" s="18" t="str">
        <f t="shared" si="153"/>
        <v/>
      </c>
      <c r="AP201" s="18" t="str">
        <f t="shared" si="132"/>
        <v/>
      </c>
      <c r="AQ201" s="18" t="str">
        <f>IF(BD200&lt;&gt;1,"",IF(BA200&gt;0,IF(BA200&gt;CONTROL_PANEL!$B$11,CONTROL_PANEL!$B$11,BA200),0))</f>
        <v/>
      </c>
      <c r="AR201" s="18" t="str">
        <f t="shared" si="167"/>
        <v/>
      </c>
      <c r="AS201" s="18" t="str">
        <f>IF(BD201&lt;&gt;1,"",DATA_INPUT!$I201)</f>
        <v/>
      </c>
      <c r="AT201" s="18" t="str">
        <f>IF(BD201&lt;&gt;1,"",AS201*CONTROL_PANEL!$B$5)</f>
        <v/>
      </c>
      <c r="AU201" s="18" t="str">
        <f>IF(BD201&lt;&gt;1,"",DATA_INPUT!$C201)</f>
        <v/>
      </c>
      <c r="AV201" s="18" t="str">
        <f t="shared" si="154"/>
        <v/>
      </c>
      <c r="AW201" s="18" t="str">
        <f>IF(BD201&lt;&gt;1,"",DATA_INPUT!$H201)</f>
        <v/>
      </c>
      <c r="AX201" s="18" t="str">
        <f t="shared" si="155"/>
        <v/>
      </c>
      <c r="AY201" s="18" t="str">
        <f>IF(BD201&lt;&gt;1,"",AT201*CONTROL_PANEL!$B$14)</f>
        <v/>
      </c>
      <c r="AZ201" s="18" t="str">
        <f>IF(BD201&lt;&gt;1,"",DATA_INPUT!$M201)</f>
        <v/>
      </c>
      <c r="BA201" s="18" t="str">
        <f t="shared" si="156"/>
        <v/>
      </c>
      <c r="BB201" s="18" t="str">
        <f>IF(BD201&lt;&gt;1,"",IF(BA201-CONTROL_PANEL!$B$11&lt;0,0,BA201-CONTROL_PANEL!$B$11))</f>
        <v/>
      </c>
      <c r="BC201" s="18" t="str">
        <f>IF(BD201&lt;&gt;1,"",IF(AZ201&lt;=0,0,MIN(AZ201,MAX(0,CONTROL_PANEL!$B$13-BA201))))</f>
        <v/>
      </c>
      <c r="BD201" s="18"/>
      <c r="BF201" s="19">
        <f t="shared" si="138"/>
        <v>2032</v>
      </c>
      <c r="BG201" s="19">
        <f t="shared" si="143"/>
        <v>2</v>
      </c>
      <c r="BH201" s="18" t="str">
        <f t="shared" si="157"/>
        <v/>
      </c>
      <c r="BI201" s="18" t="str">
        <f t="shared" si="133"/>
        <v/>
      </c>
      <c r="BJ201" s="18" t="str">
        <f>IF(BW200&lt;&gt;1,"",IF(BT200&gt;0,IF(BT200&gt;CONTROL_PANEL!$B$11,CONTROL_PANEL!$B$11,BT200),0))</f>
        <v/>
      </c>
      <c r="BK201" s="18" t="str">
        <f t="shared" si="168"/>
        <v/>
      </c>
      <c r="BL201" s="18" t="str">
        <f>IF(BW201&lt;&gt;1,"",DATA_INPUT!$I201)</f>
        <v/>
      </c>
      <c r="BM201" s="18" t="str">
        <f>IF(BW201&lt;&gt;1,"",BL201*CONTROL_PANEL!$B$5)</f>
        <v/>
      </c>
      <c r="BN201" s="18" t="str">
        <f>IF(BW201&lt;&gt;1,"",DATA_INPUT!$C201)</f>
        <v/>
      </c>
      <c r="BO201" s="18" t="str">
        <f t="shared" si="158"/>
        <v/>
      </c>
      <c r="BP201" s="18" t="str">
        <f>IF(BW201&lt;&gt;1,"",DATA_INPUT!$H201)</f>
        <v/>
      </c>
      <c r="BQ201" s="18" t="str">
        <f t="shared" si="159"/>
        <v/>
      </c>
      <c r="BR201" s="18" t="str">
        <f>IF(BW201&lt;&gt;1,"",BM201*CONTROL_PANEL!$B$14)</f>
        <v/>
      </c>
      <c r="BS201" s="18" t="str">
        <f>IF(BW201&lt;&gt;1,"",DATA_INPUT!$N201)</f>
        <v/>
      </c>
      <c r="BT201" s="18" t="str">
        <f t="shared" si="160"/>
        <v/>
      </c>
      <c r="BU201" s="18" t="str">
        <f>IF(BW201&lt;&gt;1,"",IF(BT201-CONTROL_PANEL!$B$11&lt;0,0,BT201-CONTROL_PANEL!$B$11))</f>
        <v/>
      </c>
      <c r="BV201" s="18" t="str">
        <f>IF(BW201&lt;&gt;1,"",IF(BS201&lt;=0,0,MIN(BS201,MAX(0,CONTROL_PANEL!$B$13-BT201))))</f>
        <v/>
      </c>
      <c r="BW201" s="18"/>
      <c r="BY201" s="19">
        <f t="shared" si="139"/>
        <v>2032</v>
      </c>
      <c r="BZ201" s="19">
        <f t="shared" si="144"/>
        <v>2</v>
      </c>
      <c r="CA201" s="18" t="str">
        <f t="shared" si="161"/>
        <v/>
      </c>
      <c r="CB201" s="18" t="str">
        <f t="shared" si="134"/>
        <v/>
      </c>
      <c r="CC201" s="18" t="str">
        <f>IF(CP200&lt;&gt;1,"",IF(CM200&gt;0,IF(CM200&gt;CONTROL_PANEL!$B$11,CONTROL_PANEL!$B$11,CM200),0))</f>
        <v/>
      </c>
      <c r="CD201" s="18" t="str">
        <f t="shared" si="169"/>
        <v/>
      </c>
      <c r="CE201" s="18" t="str">
        <f>IF(CP201&lt;&gt;1,"",DATA_INPUT!$I201)</f>
        <v/>
      </c>
      <c r="CF201" s="18" t="str">
        <f>IF(CP201&lt;&gt;1,"",CE201*CONTROL_PANEL!$B$5)</f>
        <v/>
      </c>
      <c r="CG201" s="18" t="str">
        <f>IF(CP201&lt;&gt;1,"",DATA_INPUT!$C201)</f>
        <v/>
      </c>
      <c r="CH201" s="18" t="str">
        <f t="shared" si="162"/>
        <v/>
      </c>
      <c r="CI201" s="18" t="str">
        <f>IF(CP201&lt;&gt;1,"",DATA_INPUT!$H201)</f>
        <v/>
      </c>
      <c r="CJ201" s="18" t="str">
        <f t="shared" si="163"/>
        <v/>
      </c>
      <c r="CK201" s="18" t="str">
        <f>IF(CP201&lt;&gt;1,"",CF201*CONTROL_PANEL!$B$14)</f>
        <v/>
      </c>
      <c r="CL201" s="18" t="str">
        <f>IF(CP201&lt;&gt;1,"",DATA_INPUT!$O201)</f>
        <v/>
      </c>
      <c r="CM201" s="18" t="str">
        <f t="shared" si="164"/>
        <v/>
      </c>
      <c r="CN201" s="18" t="str">
        <f>IF(CP201&lt;&gt;1,"",IF(CM201-CONTROL_PANEL!$B$11&lt;0,0,CM201-CONTROL_PANEL!$B$11))</f>
        <v/>
      </c>
      <c r="CO201" s="18" t="str">
        <f>IF(CP201&lt;&gt;1,"",IF(CL201&lt;=0,0,MIN(CL201,MAX(0,CONTROL_PANEL!$B$13-CM201))))</f>
        <v/>
      </c>
      <c r="CP201" s="18"/>
    </row>
    <row r="202" spans="1:94" x14ac:dyDescent="0.25">
      <c r="A202" s="19">
        <f t="shared" si="135"/>
        <v>2032</v>
      </c>
      <c r="B202" s="19">
        <f t="shared" si="140"/>
        <v>3</v>
      </c>
      <c r="C202" s="18" t="str">
        <f t="shared" si="145"/>
        <v/>
      </c>
      <c r="D202" s="18" t="str">
        <f t="shared" ref="D202:D265" si="170">IF(R201&lt;&gt;1,"",235+((E202/1000/2)^(1/3.02)))</f>
        <v/>
      </c>
      <c r="E202" s="18" t="str">
        <f>IF(R201&lt;&gt;1,"",IF(O201&gt;0,IF(O201&gt;CONTROL_PANEL!$B$11,CONTROL_PANEL!$B$11,O201),0))</f>
        <v/>
      </c>
      <c r="F202" s="18" t="str">
        <f t="shared" si="165"/>
        <v/>
      </c>
      <c r="G202" s="18" t="str">
        <f>IF(R202&lt;&gt;1,"",DATA_INPUT!I202)</f>
        <v/>
      </c>
      <c r="H202" s="18" t="str">
        <f>IF(R202&lt;&gt;1,"",G202*CONTROL_PANEL!$B$5)</f>
        <v/>
      </c>
      <c r="I202" s="18" t="str">
        <f>IF(R202&lt;&gt;1,"",DATA_INPUT!C202)</f>
        <v/>
      </c>
      <c r="J202" s="18" t="str">
        <f t="shared" si="146"/>
        <v/>
      </c>
      <c r="K202" s="18" t="str">
        <f>IF(R202&lt;&gt;1,"",DATA_INPUT!H202)</f>
        <v/>
      </c>
      <c r="L202" s="18" t="str">
        <f t="shared" si="147"/>
        <v/>
      </c>
      <c r="M202" s="18" t="str">
        <f>IF(R202&lt;&gt;1,"",H202*CONTROL_PANEL!$B$14)</f>
        <v/>
      </c>
      <c r="N202" s="18" t="str">
        <f>IF(R202&lt;&gt;1,"",DATA_INPUT!K202)</f>
        <v/>
      </c>
      <c r="O202" s="18" t="str">
        <f t="shared" si="148"/>
        <v/>
      </c>
      <c r="P202" s="18" t="str">
        <f>IF(R202&lt;&gt;1,"",IF(O202-CONTROL_PANEL!$B$11&lt;0,0,O202-CONTROL_PANEL!$B$11))</f>
        <v/>
      </c>
      <c r="Q202" s="18" t="str">
        <f>IF(R202&lt;&gt;1,"",IF(N202&lt;=0,0,MIN(N202,MAX(0,CONTROL_PANEL!$B$13-O202))))</f>
        <v/>
      </c>
      <c r="R202" s="18"/>
      <c r="T202" s="19">
        <f t="shared" si="136"/>
        <v>2032</v>
      </c>
      <c r="U202" s="19">
        <f t="shared" si="141"/>
        <v>3</v>
      </c>
      <c r="V202" s="18" t="str">
        <f t="shared" si="149"/>
        <v/>
      </c>
      <c r="W202" s="18" t="str">
        <f t="shared" ref="W202:W265" si="171">IF(AK201&lt;&gt;1,"",235+((X202/1000/2)^(1/3.02)))</f>
        <v/>
      </c>
      <c r="X202" s="18" t="str">
        <f>IF(AK201&lt;&gt;1,"",IF(AH201&gt;0,IF(AH201&gt;CONTROL_PANEL!$B$11,CONTROL_PANEL!$B$11,AH201),0))</f>
        <v/>
      </c>
      <c r="Y202" s="18" t="str">
        <f t="shared" si="166"/>
        <v/>
      </c>
      <c r="Z202" s="18" t="str">
        <f>IF(AK202&lt;&gt;1,"",DATA_INPUT!I202)</f>
        <v/>
      </c>
      <c r="AA202" s="18" t="str">
        <f>IF(AK202&lt;&gt;1,"",Z202*CONTROL_PANEL!$B$5)</f>
        <v/>
      </c>
      <c r="AB202" s="18" t="str">
        <f>IF(AK202&lt;&gt;1,"",DATA_INPUT!$C202)</f>
        <v/>
      </c>
      <c r="AC202" s="18" t="str">
        <f t="shared" si="150"/>
        <v/>
      </c>
      <c r="AD202" s="18" t="str">
        <f>IF(AK202&lt;&gt;1,"",DATA_INPUT!$H202)</f>
        <v/>
      </c>
      <c r="AE202" s="18" t="str">
        <f t="shared" si="151"/>
        <v/>
      </c>
      <c r="AF202" s="18" t="str">
        <f>IF(AK202&lt;&gt;1,"",AA202*CONTROL_PANEL!$B$14)</f>
        <v/>
      </c>
      <c r="AG202" s="18" t="str">
        <f>IF(AK202&lt;&gt;1,"",DATA_INPUT!$L202)</f>
        <v/>
      </c>
      <c r="AH202" s="18" t="str">
        <f t="shared" si="152"/>
        <v/>
      </c>
      <c r="AI202" s="18" t="str">
        <f>IF(AK202&lt;&gt;1,"",IF(AH202-CONTROL_PANEL!$B$11&lt;0,0,AH202-CONTROL_PANEL!$B$11))</f>
        <v/>
      </c>
      <c r="AJ202" s="18" t="str">
        <f>IF(AK202&lt;&gt;1,"",IF(AG202&lt;=0,0,MIN(AG202,MAX(0,CONTROL_PANEL!$B$13-AH202))))</f>
        <v/>
      </c>
      <c r="AK202" s="18"/>
      <c r="AM202" s="19">
        <f t="shared" si="137"/>
        <v>2032</v>
      </c>
      <c r="AN202" s="19">
        <f t="shared" si="142"/>
        <v>3</v>
      </c>
      <c r="AO202" s="18" t="str">
        <f t="shared" si="153"/>
        <v/>
      </c>
      <c r="AP202" s="18" t="str">
        <f t="shared" ref="AP202:AP265" si="172">IF(BD201&lt;&gt;1,"",235+((AQ202/1000/2)^(1/3.02)))</f>
        <v/>
      </c>
      <c r="AQ202" s="18" t="str">
        <f>IF(BD201&lt;&gt;1,"",IF(BA201&gt;0,IF(BA201&gt;CONTROL_PANEL!$B$11,CONTROL_PANEL!$B$11,BA201),0))</f>
        <v/>
      </c>
      <c r="AR202" s="18" t="str">
        <f t="shared" si="167"/>
        <v/>
      </c>
      <c r="AS202" s="18" t="str">
        <f>IF(BD202&lt;&gt;1,"",DATA_INPUT!$I202)</f>
        <v/>
      </c>
      <c r="AT202" s="18" t="str">
        <f>IF(BD202&lt;&gt;1,"",AS202*CONTROL_PANEL!$B$5)</f>
        <v/>
      </c>
      <c r="AU202" s="18" t="str">
        <f>IF(BD202&lt;&gt;1,"",DATA_INPUT!$C202)</f>
        <v/>
      </c>
      <c r="AV202" s="18" t="str">
        <f t="shared" si="154"/>
        <v/>
      </c>
      <c r="AW202" s="18" t="str">
        <f>IF(BD202&lt;&gt;1,"",DATA_INPUT!$H202)</f>
        <v/>
      </c>
      <c r="AX202" s="18" t="str">
        <f t="shared" si="155"/>
        <v/>
      </c>
      <c r="AY202" s="18" t="str">
        <f>IF(BD202&lt;&gt;1,"",AT202*CONTROL_PANEL!$B$14)</f>
        <v/>
      </c>
      <c r="AZ202" s="18" t="str">
        <f>IF(BD202&lt;&gt;1,"",DATA_INPUT!$M202)</f>
        <v/>
      </c>
      <c r="BA202" s="18" t="str">
        <f t="shared" si="156"/>
        <v/>
      </c>
      <c r="BB202" s="18" t="str">
        <f>IF(BD202&lt;&gt;1,"",IF(BA202-CONTROL_PANEL!$B$11&lt;0,0,BA202-CONTROL_PANEL!$B$11))</f>
        <v/>
      </c>
      <c r="BC202" s="18" t="str">
        <f>IF(BD202&lt;&gt;1,"",IF(AZ202&lt;=0,0,MIN(AZ202,MAX(0,CONTROL_PANEL!$B$13-BA202))))</f>
        <v/>
      </c>
      <c r="BD202" s="18"/>
      <c r="BF202" s="19">
        <f t="shared" si="138"/>
        <v>2032</v>
      </c>
      <c r="BG202" s="19">
        <f t="shared" si="143"/>
        <v>3</v>
      </c>
      <c r="BH202" s="18" t="str">
        <f t="shared" si="157"/>
        <v/>
      </c>
      <c r="BI202" s="18" t="str">
        <f t="shared" ref="BI202:BI265" si="173">IF(BW201&lt;&gt;1,"",235+((BJ202/1000/2)^(1/3.02)))</f>
        <v/>
      </c>
      <c r="BJ202" s="18" t="str">
        <f>IF(BW201&lt;&gt;1,"",IF(BT201&gt;0,IF(BT201&gt;CONTROL_PANEL!$B$11,CONTROL_PANEL!$B$11,BT201),0))</f>
        <v/>
      </c>
      <c r="BK202" s="18" t="str">
        <f t="shared" si="168"/>
        <v/>
      </c>
      <c r="BL202" s="18" t="str">
        <f>IF(BW202&lt;&gt;1,"",DATA_INPUT!$I202)</f>
        <v/>
      </c>
      <c r="BM202" s="18" t="str">
        <f>IF(BW202&lt;&gt;1,"",BL202*CONTROL_PANEL!$B$5)</f>
        <v/>
      </c>
      <c r="BN202" s="18" t="str">
        <f>IF(BW202&lt;&gt;1,"",DATA_INPUT!$C202)</f>
        <v/>
      </c>
      <c r="BO202" s="18" t="str">
        <f t="shared" si="158"/>
        <v/>
      </c>
      <c r="BP202" s="18" t="str">
        <f>IF(BW202&lt;&gt;1,"",DATA_INPUT!$H202)</f>
        <v/>
      </c>
      <c r="BQ202" s="18" t="str">
        <f t="shared" si="159"/>
        <v/>
      </c>
      <c r="BR202" s="18" t="str">
        <f>IF(BW202&lt;&gt;1,"",BM202*CONTROL_PANEL!$B$14)</f>
        <v/>
      </c>
      <c r="BS202" s="18" t="str">
        <f>IF(BW202&lt;&gt;1,"",DATA_INPUT!$N202)</f>
        <v/>
      </c>
      <c r="BT202" s="18" t="str">
        <f t="shared" si="160"/>
        <v/>
      </c>
      <c r="BU202" s="18" t="str">
        <f>IF(BW202&lt;&gt;1,"",IF(BT202-CONTROL_PANEL!$B$11&lt;0,0,BT202-CONTROL_PANEL!$B$11))</f>
        <v/>
      </c>
      <c r="BV202" s="18" t="str">
        <f>IF(BW202&lt;&gt;1,"",IF(BS202&lt;=0,0,MIN(BS202,MAX(0,CONTROL_PANEL!$B$13-BT202))))</f>
        <v/>
      </c>
      <c r="BW202" s="18"/>
      <c r="BY202" s="19">
        <f t="shared" si="139"/>
        <v>2032</v>
      </c>
      <c r="BZ202" s="19">
        <f t="shared" si="144"/>
        <v>3</v>
      </c>
      <c r="CA202" s="18" t="str">
        <f t="shared" si="161"/>
        <v/>
      </c>
      <c r="CB202" s="18" t="str">
        <f t="shared" ref="CB202:CB265" si="174">IF(CP201&lt;&gt;1,"",235+((CC202/1000/2)^(1/3.02)))</f>
        <v/>
      </c>
      <c r="CC202" s="18" t="str">
        <f>IF(CP201&lt;&gt;1,"",IF(CM201&gt;0,IF(CM201&gt;CONTROL_PANEL!$B$11,CONTROL_PANEL!$B$11,CM201),0))</f>
        <v/>
      </c>
      <c r="CD202" s="18" t="str">
        <f t="shared" si="169"/>
        <v/>
      </c>
      <c r="CE202" s="18" t="str">
        <f>IF(CP202&lt;&gt;1,"",DATA_INPUT!$I202)</f>
        <v/>
      </c>
      <c r="CF202" s="18" t="str">
        <f>IF(CP202&lt;&gt;1,"",CE202*CONTROL_PANEL!$B$5)</f>
        <v/>
      </c>
      <c r="CG202" s="18" t="str">
        <f>IF(CP202&lt;&gt;1,"",DATA_INPUT!$C202)</f>
        <v/>
      </c>
      <c r="CH202" s="18" t="str">
        <f t="shared" si="162"/>
        <v/>
      </c>
      <c r="CI202" s="18" t="str">
        <f>IF(CP202&lt;&gt;1,"",DATA_INPUT!$H202)</f>
        <v/>
      </c>
      <c r="CJ202" s="18" t="str">
        <f t="shared" si="163"/>
        <v/>
      </c>
      <c r="CK202" s="18" t="str">
        <f>IF(CP202&lt;&gt;1,"",CF202*CONTROL_PANEL!$B$14)</f>
        <v/>
      </c>
      <c r="CL202" s="18" t="str">
        <f>IF(CP202&lt;&gt;1,"",DATA_INPUT!$O202)</f>
        <v/>
      </c>
      <c r="CM202" s="18" t="str">
        <f t="shared" si="164"/>
        <v/>
      </c>
      <c r="CN202" s="18" t="str">
        <f>IF(CP202&lt;&gt;1,"",IF(CM202-CONTROL_PANEL!$B$11&lt;0,0,CM202-CONTROL_PANEL!$B$11))</f>
        <v/>
      </c>
      <c r="CO202" s="18" t="str">
        <f>IF(CP202&lt;&gt;1,"",IF(CL202&lt;=0,0,MIN(CL202,MAX(0,CONTROL_PANEL!$B$13-CM202))))</f>
        <v/>
      </c>
      <c r="CP202" s="18"/>
    </row>
    <row r="203" spans="1:94" x14ac:dyDescent="0.25">
      <c r="A203" s="19">
        <f t="shared" si="135"/>
        <v>2032</v>
      </c>
      <c r="B203" s="19">
        <f t="shared" si="140"/>
        <v>4</v>
      </c>
      <c r="C203" s="18" t="str">
        <f t="shared" si="145"/>
        <v/>
      </c>
      <c r="D203" s="18" t="str">
        <f t="shared" si="170"/>
        <v/>
      </c>
      <c r="E203" s="18" t="str">
        <f>IF(R202&lt;&gt;1,"",IF(O202&gt;0,IF(O202&gt;CONTROL_PANEL!$B$11,CONTROL_PANEL!$B$11,O202),0))</f>
        <v/>
      </c>
      <c r="F203" s="18" t="str">
        <f t="shared" si="165"/>
        <v/>
      </c>
      <c r="G203" s="18" t="str">
        <f>IF(R203&lt;&gt;1,"",DATA_INPUT!I203)</f>
        <v/>
      </c>
      <c r="H203" s="18" t="str">
        <f>IF(R203&lt;&gt;1,"",G203*CONTROL_PANEL!$B$5)</f>
        <v/>
      </c>
      <c r="I203" s="18" t="str">
        <f>IF(R203&lt;&gt;1,"",DATA_INPUT!C203)</f>
        <v/>
      </c>
      <c r="J203" s="18" t="str">
        <f t="shared" si="146"/>
        <v/>
      </c>
      <c r="K203" s="18" t="str">
        <f>IF(R203&lt;&gt;1,"",DATA_INPUT!H203)</f>
        <v/>
      </c>
      <c r="L203" s="18" t="str">
        <f t="shared" si="147"/>
        <v/>
      </c>
      <c r="M203" s="18" t="str">
        <f>IF(R203&lt;&gt;1,"",H203*CONTROL_PANEL!$B$14)</f>
        <v/>
      </c>
      <c r="N203" s="18" t="str">
        <f>IF(R203&lt;&gt;1,"",DATA_INPUT!K203)</f>
        <v/>
      </c>
      <c r="O203" s="18" t="str">
        <f t="shared" si="148"/>
        <v/>
      </c>
      <c r="P203" s="18" t="str">
        <f>IF(R203&lt;&gt;1,"",IF(O203-CONTROL_PANEL!$B$11&lt;0,0,O203-CONTROL_PANEL!$B$11))</f>
        <v/>
      </c>
      <c r="Q203" s="18" t="str">
        <f>IF(R203&lt;&gt;1,"",IF(N203&lt;=0,0,MIN(N203,MAX(0,CONTROL_PANEL!$B$13-O203))))</f>
        <v/>
      </c>
      <c r="R203" s="18"/>
      <c r="T203" s="19">
        <f t="shared" si="136"/>
        <v>2032</v>
      </c>
      <c r="U203" s="19">
        <f t="shared" si="141"/>
        <v>4</v>
      </c>
      <c r="V203" s="18" t="str">
        <f t="shared" si="149"/>
        <v/>
      </c>
      <c r="W203" s="18" t="str">
        <f t="shared" si="171"/>
        <v/>
      </c>
      <c r="X203" s="18" t="str">
        <f>IF(AK202&lt;&gt;1,"",IF(AH202&gt;0,IF(AH202&gt;CONTROL_PANEL!$B$11,CONTROL_PANEL!$B$11,AH202),0))</f>
        <v/>
      </c>
      <c r="Y203" s="18" t="str">
        <f t="shared" si="166"/>
        <v/>
      </c>
      <c r="Z203" s="18" t="str">
        <f>IF(AK203&lt;&gt;1,"",DATA_INPUT!I203)</f>
        <v/>
      </c>
      <c r="AA203" s="18" t="str">
        <f>IF(AK203&lt;&gt;1,"",Z203*CONTROL_PANEL!$B$5)</f>
        <v/>
      </c>
      <c r="AB203" s="18" t="str">
        <f>IF(AK203&lt;&gt;1,"",DATA_INPUT!$C203)</f>
        <v/>
      </c>
      <c r="AC203" s="18" t="str">
        <f t="shared" si="150"/>
        <v/>
      </c>
      <c r="AD203" s="18" t="str">
        <f>IF(AK203&lt;&gt;1,"",DATA_INPUT!$H203)</f>
        <v/>
      </c>
      <c r="AE203" s="18" t="str">
        <f t="shared" si="151"/>
        <v/>
      </c>
      <c r="AF203" s="18" t="str">
        <f>IF(AK203&lt;&gt;1,"",AA203*CONTROL_PANEL!$B$14)</f>
        <v/>
      </c>
      <c r="AG203" s="18" t="str">
        <f>IF(AK203&lt;&gt;1,"",DATA_INPUT!$L203)</f>
        <v/>
      </c>
      <c r="AH203" s="18" t="str">
        <f t="shared" si="152"/>
        <v/>
      </c>
      <c r="AI203" s="18" t="str">
        <f>IF(AK203&lt;&gt;1,"",IF(AH203-CONTROL_PANEL!$B$11&lt;0,0,AH203-CONTROL_PANEL!$B$11))</f>
        <v/>
      </c>
      <c r="AJ203" s="18" t="str">
        <f>IF(AK203&lt;&gt;1,"",IF(AG203&lt;=0,0,MIN(AG203,MAX(0,CONTROL_PANEL!$B$13-AH203))))</f>
        <v/>
      </c>
      <c r="AK203" s="18"/>
      <c r="AM203" s="19">
        <f t="shared" si="137"/>
        <v>2032</v>
      </c>
      <c r="AN203" s="19">
        <f t="shared" si="142"/>
        <v>4</v>
      </c>
      <c r="AO203" s="18" t="str">
        <f t="shared" si="153"/>
        <v/>
      </c>
      <c r="AP203" s="18" t="str">
        <f t="shared" si="172"/>
        <v/>
      </c>
      <c r="AQ203" s="18" t="str">
        <f>IF(BD202&lt;&gt;1,"",IF(BA202&gt;0,IF(BA202&gt;CONTROL_PANEL!$B$11,CONTROL_PANEL!$B$11,BA202),0))</f>
        <v/>
      </c>
      <c r="AR203" s="18" t="str">
        <f t="shared" si="167"/>
        <v/>
      </c>
      <c r="AS203" s="18" t="str">
        <f>IF(BD203&lt;&gt;1,"",DATA_INPUT!$I203)</f>
        <v/>
      </c>
      <c r="AT203" s="18" t="str">
        <f>IF(BD203&lt;&gt;1,"",AS203*CONTROL_PANEL!$B$5)</f>
        <v/>
      </c>
      <c r="AU203" s="18" t="str">
        <f>IF(BD203&lt;&gt;1,"",DATA_INPUT!$C203)</f>
        <v/>
      </c>
      <c r="AV203" s="18" t="str">
        <f t="shared" si="154"/>
        <v/>
      </c>
      <c r="AW203" s="18" t="str">
        <f>IF(BD203&lt;&gt;1,"",DATA_INPUT!$H203)</f>
        <v/>
      </c>
      <c r="AX203" s="18" t="str">
        <f t="shared" si="155"/>
        <v/>
      </c>
      <c r="AY203" s="18" t="str">
        <f>IF(BD203&lt;&gt;1,"",AT203*CONTROL_PANEL!$B$14)</f>
        <v/>
      </c>
      <c r="AZ203" s="18" t="str">
        <f>IF(BD203&lt;&gt;1,"",DATA_INPUT!$M203)</f>
        <v/>
      </c>
      <c r="BA203" s="18" t="str">
        <f t="shared" si="156"/>
        <v/>
      </c>
      <c r="BB203" s="18" t="str">
        <f>IF(BD203&lt;&gt;1,"",IF(BA203-CONTROL_PANEL!$B$11&lt;0,0,BA203-CONTROL_PANEL!$B$11))</f>
        <v/>
      </c>
      <c r="BC203" s="18" t="str">
        <f>IF(BD203&lt;&gt;1,"",IF(AZ203&lt;=0,0,MIN(AZ203,MAX(0,CONTROL_PANEL!$B$13-BA203))))</f>
        <v/>
      </c>
      <c r="BD203" s="18"/>
      <c r="BF203" s="19">
        <f t="shared" si="138"/>
        <v>2032</v>
      </c>
      <c r="BG203" s="19">
        <f t="shared" si="143"/>
        <v>4</v>
      </c>
      <c r="BH203" s="18" t="str">
        <f t="shared" si="157"/>
        <v/>
      </c>
      <c r="BI203" s="18" t="str">
        <f t="shared" si="173"/>
        <v/>
      </c>
      <c r="BJ203" s="18" t="str">
        <f>IF(BW202&lt;&gt;1,"",IF(BT202&gt;0,IF(BT202&gt;CONTROL_PANEL!$B$11,CONTROL_PANEL!$B$11,BT202),0))</f>
        <v/>
      </c>
      <c r="BK203" s="18" t="str">
        <f t="shared" si="168"/>
        <v/>
      </c>
      <c r="BL203" s="18" t="str">
        <f>IF(BW203&lt;&gt;1,"",DATA_INPUT!$I203)</f>
        <v/>
      </c>
      <c r="BM203" s="18" t="str">
        <f>IF(BW203&lt;&gt;1,"",BL203*CONTROL_PANEL!$B$5)</f>
        <v/>
      </c>
      <c r="BN203" s="18" t="str">
        <f>IF(BW203&lt;&gt;1,"",DATA_INPUT!$C203)</f>
        <v/>
      </c>
      <c r="BO203" s="18" t="str">
        <f t="shared" si="158"/>
        <v/>
      </c>
      <c r="BP203" s="18" t="str">
        <f>IF(BW203&lt;&gt;1,"",DATA_INPUT!$H203)</f>
        <v/>
      </c>
      <c r="BQ203" s="18" t="str">
        <f t="shared" si="159"/>
        <v/>
      </c>
      <c r="BR203" s="18" t="str">
        <f>IF(BW203&lt;&gt;1,"",BM203*CONTROL_PANEL!$B$14)</f>
        <v/>
      </c>
      <c r="BS203" s="18" t="str">
        <f>IF(BW203&lt;&gt;1,"",DATA_INPUT!$N203)</f>
        <v/>
      </c>
      <c r="BT203" s="18" t="str">
        <f t="shared" si="160"/>
        <v/>
      </c>
      <c r="BU203" s="18" t="str">
        <f>IF(BW203&lt;&gt;1,"",IF(BT203-CONTROL_PANEL!$B$11&lt;0,0,BT203-CONTROL_PANEL!$B$11))</f>
        <v/>
      </c>
      <c r="BV203" s="18" t="str">
        <f>IF(BW203&lt;&gt;1,"",IF(BS203&lt;=0,0,MIN(BS203,MAX(0,CONTROL_PANEL!$B$13-BT203))))</f>
        <v/>
      </c>
      <c r="BW203" s="18"/>
      <c r="BY203" s="19">
        <f t="shared" si="139"/>
        <v>2032</v>
      </c>
      <c r="BZ203" s="19">
        <f t="shared" si="144"/>
        <v>4</v>
      </c>
      <c r="CA203" s="18" t="str">
        <f t="shared" si="161"/>
        <v/>
      </c>
      <c r="CB203" s="18" t="str">
        <f t="shared" si="174"/>
        <v/>
      </c>
      <c r="CC203" s="18" t="str">
        <f>IF(CP202&lt;&gt;1,"",IF(CM202&gt;0,IF(CM202&gt;CONTROL_PANEL!$B$11,CONTROL_PANEL!$B$11,CM202),0))</f>
        <v/>
      </c>
      <c r="CD203" s="18" t="str">
        <f t="shared" si="169"/>
        <v/>
      </c>
      <c r="CE203" s="18" t="str">
        <f>IF(CP203&lt;&gt;1,"",DATA_INPUT!$I203)</f>
        <v/>
      </c>
      <c r="CF203" s="18" t="str">
        <f>IF(CP203&lt;&gt;1,"",CE203*CONTROL_PANEL!$B$5)</f>
        <v/>
      </c>
      <c r="CG203" s="18" t="str">
        <f>IF(CP203&lt;&gt;1,"",DATA_INPUT!$C203)</f>
        <v/>
      </c>
      <c r="CH203" s="18" t="str">
        <f t="shared" si="162"/>
        <v/>
      </c>
      <c r="CI203" s="18" t="str">
        <f>IF(CP203&lt;&gt;1,"",DATA_INPUT!$H203)</f>
        <v/>
      </c>
      <c r="CJ203" s="18" t="str">
        <f t="shared" si="163"/>
        <v/>
      </c>
      <c r="CK203" s="18" t="str">
        <f>IF(CP203&lt;&gt;1,"",CF203*CONTROL_PANEL!$B$14)</f>
        <v/>
      </c>
      <c r="CL203" s="18" t="str">
        <f>IF(CP203&lt;&gt;1,"",DATA_INPUT!$O203)</f>
        <v/>
      </c>
      <c r="CM203" s="18" t="str">
        <f t="shared" si="164"/>
        <v/>
      </c>
      <c r="CN203" s="18" t="str">
        <f>IF(CP203&lt;&gt;1,"",IF(CM203-CONTROL_PANEL!$B$11&lt;0,0,CM203-CONTROL_PANEL!$B$11))</f>
        <v/>
      </c>
      <c r="CO203" s="18" t="str">
        <f>IF(CP203&lt;&gt;1,"",IF(CL203&lt;=0,0,MIN(CL203,MAX(0,CONTROL_PANEL!$B$13-CM203))))</f>
        <v/>
      </c>
      <c r="CP203" s="18"/>
    </row>
    <row r="204" spans="1:94" x14ac:dyDescent="0.25">
      <c r="A204" s="19">
        <f t="shared" si="135"/>
        <v>2032</v>
      </c>
      <c r="B204" s="19">
        <f t="shared" si="140"/>
        <v>5</v>
      </c>
      <c r="C204" s="18" t="str">
        <f t="shared" si="145"/>
        <v/>
      </c>
      <c r="D204" s="18" t="str">
        <f t="shared" si="170"/>
        <v/>
      </c>
      <c r="E204" s="18" t="str">
        <f>IF(R203&lt;&gt;1,"",IF(O203&gt;0,IF(O203&gt;CONTROL_PANEL!$B$11,CONTROL_PANEL!$B$11,O203),0))</f>
        <v/>
      </c>
      <c r="F204" s="18" t="str">
        <f t="shared" si="165"/>
        <v/>
      </c>
      <c r="G204" s="18" t="str">
        <f>IF(R204&lt;&gt;1,"",DATA_INPUT!I204)</f>
        <v/>
      </c>
      <c r="H204" s="18" t="str">
        <f>IF(R204&lt;&gt;1,"",G204*CONTROL_PANEL!$B$5)</f>
        <v/>
      </c>
      <c r="I204" s="18" t="str">
        <f>IF(R204&lt;&gt;1,"",DATA_INPUT!C204)</f>
        <v/>
      </c>
      <c r="J204" s="18" t="str">
        <f t="shared" si="146"/>
        <v/>
      </c>
      <c r="K204" s="18" t="str">
        <f>IF(R204&lt;&gt;1,"",DATA_INPUT!H204)</f>
        <v/>
      </c>
      <c r="L204" s="18" t="str">
        <f t="shared" si="147"/>
        <v/>
      </c>
      <c r="M204" s="18" t="str">
        <f>IF(R204&lt;&gt;1,"",H204*CONTROL_PANEL!$B$14)</f>
        <v/>
      </c>
      <c r="N204" s="18" t="str">
        <f>IF(R204&lt;&gt;1,"",DATA_INPUT!K204)</f>
        <v/>
      </c>
      <c r="O204" s="18" t="str">
        <f t="shared" si="148"/>
        <v/>
      </c>
      <c r="P204" s="18" t="str">
        <f>IF(R204&lt;&gt;1,"",IF(O204-CONTROL_PANEL!$B$11&lt;0,0,O204-CONTROL_PANEL!$B$11))</f>
        <v/>
      </c>
      <c r="Q204" s="18" t="str">
        <f>IF(R204&lt;&gt;1,"",IF(N204&lt;=0,0,MIN(N204,MAX(0,CONTROL_PANEL!$B$13-O204))))</f>
        <v/>
      </c>
      <c r="R204" s="18"/>
      <c r="T204" s="19">
        <f t="shared" si="136"/>
        <v>2032</v>
      </c>
      <c r="U204" s="19">
        <f t="shared" si="141"/>
        <v>5</v>
      </c>
      <c r="V204" s="18" t="str">
        <f t="shared" si="149"/>
        <v/>
      </c>
      <c r="W204" s="18" t="str">
        <f t="shared" si="171"/>
        <v/>
      </c>
      <c r="X204" s="18" t="str">
        <f>IF(AK203&lt;&gt;1,"",IF(AH203&gt;0,IF(AH203&gt;CONTROL_PANEL!$B$11,CONTROL_PANEL!$B$11,AH203),0))</f>
        <v/>
      </c>
      <c r="Y204" s="18" t="str">
        <f t="shared" si="166"/>
        <v/>
      </c>
      <c r="Z204" s="18" t="str">
        <f>IF(AK204&lt;&gt;1,"",DATA_INPUT!I204)</f>
        <v/>
      </c>
      <c r="AA204" s="18" t="str">
        <f>IF(AK204&lt;&gt;1,"",Z204*CONTROL_PANEL!$B$5)</f>
        <v/>
      </c>
      <c r="AB204" s="18" t="str">
        <f>IF(AK204&lt;&gt;1,"",DATA_INPUT!$C204)</f>
        <v/>
      </c>
      <c r="AC204" s="18" t="str">
        <f t="shared" si="150"/>
        <v/>
      </c>
      <c r="AD204" s="18" t="str">
        <f>IF(AK204&lt;&gt;1,"",DATA_INPUT!$H204)</f>
        <v/>
      </c>
      <c r="AE204" s="18" t="str">
        <f t="shared" si="151"/>
        <v/>
      </c>
      <c r="AF204" s="18" t="str">
        <f>IF(AK204&lt;&gt;1,"",AA204*CONTROL_PANEL!$B$14)</f>
        <v/>
      </c>
      <c r="AG204" s="18" t="str">
        <f>IF(AK204&lt;&gt;1,"",DATA_INPUT!$L204)</f>
        <v/>
      </c>
      <c r="AH204" s="18" t="str">
        <f t="shared" si="152"/>
        <v/>
      </c>
      <c r="AI204" s="18" t="str">
        <f>IF(AK204&lt;&gt;1,"",IF(AH204-CONTROL_PANEL!$B$11&lt;0,0,AH204-CONTROL_PANEL!$B$11))</f>
        <v/>
      </c>
      <c r="AJ204" s="18" t="str">
        <f>IF(AK204&lt;&gt;1,"",IF(AG204&lt;=0,0,MIN(AG204,MAX(0,CONTROL_PANEL!$B$13-AH204))))</f>
        <v/>
      </c>
      <c r="AK204" s="18"/>
      <c r="AM204" s="19">
        <f t="shared" si="137"/>
        <v>2032</v>
      </c>
      <c r="AN204" s="19">
        <f t="shared" si="142"/>
        <v>5</v>
      </c>
      <c r="AO204" s="18" t="str">
        <f t="shared" si="153"/>
        <v/>
      </c>
      <c r="AP204" s="18" t="str">
        <f t="shared" si="172"/>
        <v/>
      </c>
      <c r="AQ204" s="18" t="str">
        <f>IF(BD203&lt;&gt;1,"",IF(BA203&gt;0,IF(BA203&gt;CONTROL_PANEL!$B$11,CONTROL_PANEL!$B$11,BA203),0))</f>
        <v/>
      </c>
      <c r="AR204" s="18" t="str">
        <f t="shared" si="167"/>
        <v/>
      </c>
      <c r="AS204" s="18" t="str">
        <f>IF(BD204&lt;&gt;1,"",DATA_INPUT!$I204)</f>
        <v/>
      </c>
      <c r="AT204" s="18" t="str">
        <f>IF(BD204&lt;&gt;1,"",AS204*CONTROL_PANEL!$B$5)</f>
        <v/>
      </c>
      <c r="AU204" s="18" t="str">
        <f>IF(BD204&lt;&gt;1,"",DATA_INPUT!$C204)</f>
        <v/>
      </c>
      <c r="AV204" s="18" t="str">
        <f t="shared" si="154"/>
        <v/>
      </c>
      <c r="AW204" s="18" t="str">
        <f>IF(BD204&lt;&gt;1,"",DATA_INPUT!$H204)</f>
        <v/>
      </c>
      <c r="AX204" s="18" t="str">
        <f t="shared" si="155"/>
        <v/>
      </c>
      <c r="AY204" s="18" t="str">
        <f>IF(BD204&lt;&gt;1,"",AT204*CONTROL_PANEL!$B$14)</f>
        <v/>
      </c>
      <c r="AZ204" s="18" t="str">
        <f>IF(BD204&lt;&gt;1,"",DATA_INPUT!$M204)</f>
        <v/>
      </c>
      <c r="BA204" s="18" t="str">
        <f t="shared" si="156"/>
        <v/>
      </c>
      <c r="BB204" s="18" t="str">
        <f>IF(BD204&lt;&gt;1,"",IF(BA204-CONTROL_PANEL!$B$11&lt;0,0,BA204-CONTROL_PANEL!$B$11))</f>
        <v/>
      </c>
      <c r="BC204" s="18" t="str">
        <f>IF(BD204&lt;&gt;1,"",IF(AZ204&lt;=0,0,MIN(AZ204,MAX(0,CONTROL_PANEL!$B$13-BA204))))</f>
        <v/>
      </c>
      <c r="BD204" s="18"/>
      <c r="BF204" s="19">
        <f t="shared" si="138"/>
        <v>2032</v>
      </c>
      <c r="BG204" s="19">
        <f t="shared" si="143"/>
        <v>5</v>
      </c>
      <c r="BH204" s="18" t="str">
        <f t="shared" si="157"/>
        <v/>
      </c>
      <c r="BI204" s="18" t="str">
        <f t="shared" si="173"/>
        <v/>
      </c>
      <c r="BJ204" s="18" t="str">
        <f>IF(BW203&lt;&gt;1,"",IF(BT203&gt;0,IF(BT203&gt;CONTROL_PANEL!$B$11,CONTROL_PANEL!$B$11,BT203),0))</f>
        <v/>
      </c>
      <c r="BK204" s="18" t="str">
        <f t="shared" si="168"/>
        <v/>
      </c>
      <c r="BL204" s="18" t="str">
        <f>IF(BW204&lt;&gt;1,"",DATA_INPUT!$I204)</f>
        <v/>
      </c>
      <c r="BM204" s="18" t="str">
        <f>IF(BW204&lt;&gt;1,"",BL204*CONTROL_PANEL!$B$5)</f>
        <v/>
      </c>
      <c r="BN204" s="18" t="str">
        <f>IF(BW204&lt;&gt;1,"",DATA_INPUT!$C204)</f>
        <v/>
      </c>
      <c r="BO204" s="18" t="str">
        <f t="shared" si="158"/>
        <v/>
      </c>
      <c r="BP204" s="18" t="str">
        <f>IF(BW204&lt;&gt;1,"",DATA_INPUT!$H204)</f>
        <v/>
      </c>
      <c r="BQ204" s="18" t="str">
        <f t="shared" si="159"/>
        <v/>
      </c>
      <c r="BR204" s="18" t="str">
        <f>IF(BW204&lt;&gt;1,"",BM204*CONTROL_PANEL!$B$14)</f>
        <v/>
      </c>
      <c r="BS204" s="18" t="str">
        <f>IF(BW204&lt;&gt;1,"",DATA_INPUT!$N204)</f>
        <v/>
      </c>
      <c r="BT204" s="18" t="str">
        <f t="shared" si="160"/>
        <v/>
      </c>
      <c r="BU204" s="18" t="str">
        <f>IF(BW204&lt;&gt;1,"",IF(BT204-CONTROL_PANEL!$B$11&lt;0,0,BT204-CONTROL_PANEL!$B$11))</f>
        <v/>
      </c>
      <c r="BV204" s="18" t="str">
        <f>IF(BW204&lt;&gt;1,"",IF(BS204&lt;=0,0,MIN(BS204,MAX(0,CONTROL_PANEL!$B$13-BT204))))</f>
        <v/>
      </c>
      <c r="BW204" s="18"/>
      <c r="BY204" s="19">
        <f t="shared" si="139"/>
        <v>2032</v>
      </c>
      <c r="BZ204" s="19">
        <f t="shared" si="144"/>
        <v>5</v>
      </c>
      <c r="CA204" s="18" t="str">
        <f t="shared" si="161"/>
        <v/>
      </c>
      <c r="CB204" s="18" t="str">
        <f t="shared" si="174"/>
        <v/>
      </c>
      <c r="CC204" s="18" t="str">
        <f>IF(CP203&lt;&gt;1,"",IF(CM203&gt;0,IF(CM203&gt;CONTROL_PANEL!$B$11,CONTROL_PANEL!$B$11,CM203),0))</f>
        <v/>
      </c>
      <c r="CD204" s="18" t="str">
        <f t="shared" si="169"/>
        <v/>
      </c>
      <c r="CE204" s="18" t="str">
        <f>IF(CP204&lt;&gt;1,"",DATA_INPUT!$I204)</f>
        <v/>
      </c>
      <c r="CF204" s="18" t="str">
        <f>IF(CP204&lt;&gt;1,"",CE204*CONTROL_PANEL!$B$5)</f>
        <v/>
      </c>
      <c r="CG204" s="18" t="str">
        <f>IF(CP204&lt;&gt;1,"",DATA_INPUT!$C204)</f>
        <v/>
      </c>
      <c r="CH204" s="18" t="str">
        <f t="shared" si="162"/>
        <v/>
      </c>
      <c r="CI204" s="18" t="str">
        <f>IF(CP204&lt;&gt;1,"",DATA_INPUT!$H204)</f>
        <v/>
      </c>
      <c r="CJ204" s="18" t="str">
        <f t="shared" si="163"/>
        <v/>
      </c>
      <c r="CK204" s="18" t="str">
        <f>IF(CP204&lt;&gt;1,"",CF204*CONTROL_PANEL!$B$14)</f>
        <v/>
      </c>
      <c r="CL204" s="18" t="str">
        <f>IF(CP204&lt;&gt;1,"",DATA_INPUT!$O204)</f>
        <v/>
      </c>
      <c r="CM204" s="18" t="str">
        <f t="shared" si="164"/>
        <v/>
      </c>
      <c r="CN204" s="18" t="str">
        <f>IF(CP204&lt;&gt;1,"",IF(CM204-CONTROL_PANEL!$B$11&lt;0,0,CM204-CONTROL_PANEL!$B$11))</f>
        <v/>
      </c>
      <c r="CO204" s="18" t="str">
        <f>IF(CP204&lt;&gt;1,"",IF(CL204&lt;=0,0,MIN(CL204,MAX(0,CONTROL_PANEL!$B$13-CM204))))</f>
        <v/>
      </c>
      <c r="CP204" s="18"/>
    </row>
    <row r="205" spans="1:94" x14ac:dyDescent="0.25">
      <c r="A205" s="19">
        <f t="shared" si="135"/>
        <v>2032</v>
      </c>
      <c r="B205" s="19">
        <f t="shared" si="140"/>
        <v>6</v>
      </c>
      <c r="C205" s="18" t="str">
        <f t="shared" si="145"/>
        <v/>
      </c>
      <c r="D205" s="18" t="str">
        <f t="shared" si="170"/>
        <v/>
      </c>
      <c r="E205" s="18" t="str">
        <f>IF(R204&lt;&gt;1,"",IF(O204&gt;0,IF(O204&gt;CONTROL_PANEL!$B$11,CONTROL_PANEL!$B$11,O204),0))</f>
        <v/>
      </c>
      <c r="F205" s="18" t="str">
        <f t="shared" si="165"/>
        <v/>
      </c>
      <c r="G205" s="18" t="str">
        <f>IF(R205&lt;&gt;1,"",DATA_INPUT!I205)</f>
        <v/>
      </c>
      <c r="H205" s="18" t="str">
        <f>IF(R205&lt;&gt;1,"",G205*CONTROL_PANEL!$B$5)</f>
        <v/>
      </c>
      <c r="I205" s="18" t="str">
        <f>IF(R205&lt;&gt;1,"",DATA_INPUT!C205)</f>
        <v/>
      </c>
      <c r="J205" s="18" t="str">
        <f t="shared" si="146"/>
        <v/>
      </c>
      <c r="K205" s="18" t="str">
        <f>IF(R205&lt;&gt;1,"",DATA_INPUT!H205)</f>
        <v/>
      </c>
      <c r="L205" s="18" t="str">
        <f t="shared" si="147"/>
        <v/>
      </c>
      <c r="M205" s="18" t="str">
        <f>IF(R205&lt;&gt;1,"",H205*CONTROL_PANEL!$B$14)</f>
        <v/>
      </c>
      <c r="N205" s="18" t="str">
        <f>IF(R205&lt;&gt;1,"",DATA_INPUT!K205)</f>
        <v/>
      </c>
      <c r="O205" s="18" t="str">
        <f t="shared" si="148"/>
        <v/>
      </c>
      <c r="P205" s="18" t="str">
        <f>IF(R205&lt;&gt;1,"",IF(O205-CONTROL_PANEL!$B$11&lt;0,0,O205-CONTROL_PANEL!$B$11))</f>
        <v/>
      </c>
      <c r="Q205" s="18" t="str">
        <f>IF(R205&lt;&gt;1,"",IF(N205&lt;=0,0,MIN(N205,MAX(0,CONTROL_PANEL!$B$13-O205))))</f>
        <v/>
      </c>
      <c r="R205" s="18"/>
      <c r="T205" s="19">
        <f t="shared" si="136"/>
        <v>2032</v>
      </c>
      <c r="U205" s="19">
        <f t="shared" si="141"/>
        <v>6</v>
      </c>
      <c r="V205" s="18" t="str">
        <f t="shared" si="149"/>
        <v/>
      </c>
      <c r="W205" s="18" t="str">
        <f t="shared" si="171"/>
        <v/>
      </c>
      <c r="X205" s="18" t="str">
        <f>IF(AK204&lt;&gt;1,"",IF(AH204&gt;0,IF(AH204&gt;CONTROL_PANEL!$B$11,CONTROL_PANEL!$B$11,AH204),0))</f>
        <v/>
      </c>
      <c r="Y205" s="18" t="str">
        <f t="shared" si="166"/>
        <v/>
      </c>
      <c r="Z205" s="18" t="str">
        <f>IF(AK205&lt;&gt;1,"",DATA_INPUT!I205)</f>
        <v/>
      </c>
      <c r="AA205" s="18" t="str">
        <f>IF(AK205&lt;&gt;1,"",Z205*CONTROL_PANEL!$B$5)</f>
        <v/>
      </c>
      <c r="AB205" s="18" t="str">
        <f>IF(AK205&lt;&gt;1,"",DATA_INPUT!$C205)</f>
        <v/>
      </c>
      <c r="AC205" s="18" t="str">
        <f t="shared" si="150"/>
        <v/>
      </c>
      <c r="AD205" s="18" t="str">
        <f>IF(AK205&lt;&gt;1,"",DATA_INPUT!$H205)</f>
        <v/>
      </c>
      <c r="AE205" s="18" t="str">
        <f t="shared" si="151"/>
        <v/>
      </c>
      <c r="AF205" s="18" t="str">
        <f>IF(AK205&lt;&gt;1,"",AA205*CONTROL_PANEL!$B$14)</f>
        <v/>
      </c>
      <c r="AG205" s="18" t="str">
        <f>IF(AK205&lt;&gt;1,"",DATA_INPUT!$L205)</f>
        <v/>
      </c>
      <c r="AH205" s="18" t="str">
        <f t="shared" si="152"/>
        <v/>
      </c>
      <c r="AI205" s="18" t="str">
        <f>IF(AK205&lt;&gt;1,"",IF(AH205-CONTROL_PANEL!$B$11&lt;0,0,AH205-CONTROL_PANEL!$B$11))</f>
        <v/>
      </c>
      <c r="AJ205" s="18" t="str">
        <f>IF(AK205&lt;&gt;1,"",IF(AG205&lt;=0,0,MIN(AG205,MAX(0,CONTROL_PANEL!$B$13-AH205))))</f>
        <v/>
      </c>
      <c r="AK205" s="18"/>
      <c r="AM205" s="19">
        <f t="shared" si="137"/>
        <v>2032</v>
      </c>
      <c r="AN205" s="19">
        <f t="shared" si="142"/>
        <v>6</v>
      </c>
      <c r="AO205" s="18" t="str">
        <f t="shared" si="153"/>
        <v/>
      </c>
      <c r="AP205" s="18" t="str">
        <f t="shared" si="172"/>
        <v/>
      </c>
      <c r="AQ205" s="18" t="str">
        <f>IF(BD204&lt;&gt;1,"",IF(BA204&gt;0,IF(BA204&gt;CONTROL_PANEL!$B$11,CONTROL_PANEL!$B$11,BA204),0))</f>
        <v/>
      </c>
      <c r="AR205" s="18" t="str">
        <f t="shared" si="167"/>
        <v/>
      </c>
      <c r="AS205" s="18" t="str">
        <f>IF(BD205&lt;&gt;1,"",DATA_INPUT!$I205)</f>
        <v/>
      </c>
      <c r="AT205" s="18" t="str">
        <f>IF(BD205&lt;&gt;1,"",AS205*CONTROL_PANEL!$B$5)</f>
        <v/>
      </c>
      <c r="AU205" s="18" t="str">
        <f>IF(BD205&lt;&gt;1,"",DATA_INPUT!$C205)</f>
        <v/>
      </c>
      <c r="AV205" s="18" t="str">
        <f t="shared" si="154"/>
        <v/>
      </c>
      <c r="AW205" s="18" t="str">
        <f>IF(BD205&lt;&gt;1,"",DATA_INPUT!$H205)</f>
        <v/>
      </c>
      <c r="AX205" s="18" t="str">
        <f t="shared" si="155"/>
        <v/>
      </c>
      <c r="AY205" s="18" t="str">
        <f>IF(BD205&lt;&gt;1,"",AT205*CONTROL_PANEL!$B$14)</f>
        <v/>
      </c>
      <c r="AZ205" s="18" t="str">
        <f>IF(BD205&lt;&gt;1,"",DATA_INPUT!$M205)</f>
        <v/>
      </c>
      <c r="BA205" s="18" t="str">
        <f t="shared" si="156"/>
        <v/>
      </c>
      <c r="BB205" s="18" t="str">
        <f>IF(BD205&lt;&gt;1,"",IF(BA205-CONTROL_PANEL!$B$11&lt;0,0,BA205-CONTROL_PANEL!$B$11))</f>
        <v/>
      </c>
      <c r="BC205" s="18" t="str">
        <f>IF(BD205&lt;&gt;1,"",IF(AZ205&lt;=0,0,MIN(AZ205,MAX(0,CONTROL_PANEL!$B$13-BA205))))</f>
        <v/>
      </c>
      <c r="BD205" s="18"/>
      <c r="BF205" s="19">
        <f t="shared" si="138"/>
        <v>2032</v>
      </c>
      <c r="BG205" s="19">
        <f t="shared" si="143"/>
        <v>6</v>
      </c>
      <c r="BH205" s="18" t="str">
        <f t="shared" si="157"/>
        <v/>
      </c>
      <c r="BI205" s="18" t="str">
        <f t="shared" si="173"/>
        <v/>
      </c>
      <c r="BJ205" s="18" t="str">
        <f>IF(BW204&lt;&gt;1,"",IF(BT204&gt;0,IF(BT204&gt;CONTROL_PANEL!$B$11,CONTROL_PANEL!$B$11,BT204),0))</f>
        <v/>
      </c>
      <c r="BK205" s="18" t="str">
        <f t="shared" si="168"/>
        <v/>
      </c>
      <c r="BL205" s="18" t="str">
        <f>IF(BW205&lt;&gt;1,"",DATA_INPUT!$I205)</f>
        <v/>
      </c>
      <c r="BM205" s="18" t="str">
        <f>IF(BW205&lt;&gt;1,"",BL205*CONTROL_PANEL!$B$5)</f>
        <v/>
      </c>
      <c r="BN205" s="18" t="str">
        <f>IF(BW205&lt;&gt;1,"",DATA_INPUT!$C205)</f>
        <v/>
      </c>
      <c r="BO205" s="18" t="str">
        <f t="shared" si="158"/>
        <v/>
      </c>
      <c r="BP205" s="18" t="str">
        <f>IF(BW205&lt;&gt;1,"",DATA_INPUT!$H205)</f>
        <v/>
      </c>
      <c r="BQ205" s="18" t="str">
        <f t="shared" si="159"/>
        <v/>
      </c>
      <c r="BR205" s="18" t="str">
        <f>IF(BW205&lt;&gt;1,"",BM205*CONTROL_PANEL!$B$14)</f>
        <v/>
      </c>
      <c r="BS205" s="18" t="str">
        <f>IF(BW205&lt;&gt;1,"",DATA_INPUT!$N205)</f>
        <v/>
      </c>
      <c r="BT205" s="18" t="str">
        <f t="shared" si="160"/>
        <v/>
      </c>
      <c r="BU205" s="18" t="str">
        <f>IF(BW205&lt;&gt;1,"",IF(BT205-CONTROL_PANEL!$B$11&lt;0,0,BT205-CONTROL_PANEL!$B$11))</f>
        <v/>
      </c>
      <c r="BV205" s="18" t="str">
        <f>IF(BW205&lt;&gt;1,"",IF(BS205&lt;=0,0,MIN(BS205,MAX(0,CONTROL_PANEL!$B$13-BT205))))</f>
        <v/>
      </c>
      <c r="BW205" s="18"/>
      <c r="BY205" s="19">
        <f t="shared" si="139"/>
        <v>2032</v>
      </c>
      <c r="BZ205" s="19">
        <f t="shared" si="144"/>
        <v>6</v>
      </c>
      <c r="CA205" s="18" t="str">
        <f t="shared" si="161"/>
        <v/>
      </c>
      <c r="CB205" s="18" t="str">
        <f t="shared" si="174"/>
        <v/>
      </c>
      <c r="CC205" s="18" t="str">
        <f>IF(CP204&lt;&gt;1,"",IF(CM204&gt;0,IF(CM204&gt;CONTROL_PANEL!$B$11,CONTROL_PANEL!$B$11,CM204),0))</f>
        <v/>
      </c>
      <c r="CD205" s="18" t="str">
        <f t="shared" si="169"/>
        <v/>
      </c>
      <c r="CE205" s="18" t="str">
        <f>IF(CP205&lt;&gt;1,"",DATA_INPUT!$I205)</f>
        <v/>
      </c>
      <c r="CF205" s="18" t="str">
        <f>IF(CP205&lt;&gt;1,"",CE205*CONTROL_PANEL!$B$5)</f>
        <v/>
      </c>
      <c r="CG205" s="18" t="str">
        <f>IF(CP205&lt;&gt;1,"",DATA_INPUT!$C205)</f>
        <v/>
      </c>
      <c r="CH205" s="18" t="str">
        <f t="shared" si="162"/>
        <v/>
      </c>
      <c r="CI205" s="18" t="str">
        <f>IF(CP205&lt;&gt;1,"",DATA_INPUT!$H205)</f>
        <v/>
      </c>
      <c r="CJ205" s="18" t="str">
        <f t="shared" si="163"/>
        <v/>
      </c>
      <c r="CK205" s="18" t="str">
        <f>IF(CP205&lt;&gt;1,"",CF205*CONTROL_PANEL!$B$14)</f>
        <v/>
      </c>
      <c r="CL205" s="18" t="str">
        <f>IF(CP205&lt;&gt;1,"",DATA_INPUT!$O205)</f>
        <v/>
      </c>
      <c r="CM205" s="18" t="str">
        <f t="shared" si="164"/>
        <v/>
      </c>
      <c r="CN205" s="18" t="str">
        <f>IF(CP205&lt;&gt;1,"",IF(CM205-CONTROL_PANEL!$B$11&lt;0,0,CM205-CONTROL_PANEL!$B$11))</f>
        <v/>
      </c>
      <c r="CO205" s="18" t="str">
        <f>IF(CP205&lt;&gt;1,"",IF(CL205&lt;=0,0,MIN(CL205,MAX(0,CONTROL_PANEL!$B$13-CM205))))</f>
        <v/>
      </c>
      <c r="CP205" s="18"/>
    </row>
    <row r="206" spans="1:94" x14ac:dyDescent="0.25">
      <c r="A206" s="19">
        <f t="shared" si="135"/>
        <v>2032</v>
      </c>
      <c r="B206" s="19">
        <f t="shared" si="140"/>
        <v>7</v>
      </c>
      <c r="C206" s="18" t="str">
        <f t="shared" si="145"/>
        <v/>
      </c>
      <c r="D206" s="18" t="str">
        <f t="shared" si="170"/>
        <v/>
      </c>
      <c r="E206" s="18" t="str">
        <f>IF(R205&lt;&gt;1,"",IF(O205&gt;0,IF(O205&gt;CONTROL_PANEL!$B$11,CONTROL_PANEL!$B$11,O205),0))</f>
        <v/>
      </c>
      <c r="F206" s="18" t="str">
        <f t="shared" si="165"/>
        <v/>
      </c>
      <c r="G206" s="18" t="str">
        <f>IF(R206&lt;&gt;1,"",DATA_INPUT!I206)</f>
        <v/>
      </c>
      <c r="H206" s="18" t="str">
        <f>IF(R206&lt;&gt;1,"",G206*CONTROL_PANEL!$B$5)</f>
        <v/>
      </c>
      <c r="I206" s="18" t="str">
        <f>IF(R206&lt;&gt;1,"",DATA_INPUT!C206)</f>
        <v/>
      </c>
      <c r="J206" s="18" t="str">
        <f t="shared" si="146"/>
        <v/>
      </c>
      <c r="K206" s="18" t="str">
        <f>IF(R206&lt;&gt;1,"",DATA_INPUT!H206)</f>
        <v/>
      </c>
      <c r="L206" s="18" t="str">
        <f t="shared" si="147"/>
        <v/>
      </c>
      <c r="M206" s="18" t="str">
        <f>IF(R206&lt;&gt;1,"",H206*CONTROL_PANEL!$B$14)</f>
        <v/>
      </c>
      <c r="N206" s="18" t="str">
        <f>IF(R206&lt;&gt;1,"",DATA_INPUT!K206)</f>
        <v/>
      </c>
      <c r="O206" s="18" t="str">
        <f t="shared" si="148"/>
        <v/>
      </c>
      <c r="P206" s="18" t="str">
        <f>IF(R206&lt;&gt;1,"",IF(O206-CONTROL_PANEL!$B$11&lt;0,0,O206-CONTROL_PANEL!$B$11))</f>
        <v/>
      </c>
      <c r="Q206" s="18" t="str">
        <f>IF(R206&lt;&gt;1,"",IF(N206&lt;=0,0,MIN(N206,MAX(0,CONTROL_PANEL!$B$13-O206))))</f>
        <v/>
      </c>
      <c r="R206" s="18"/>
      <c r="T206" s="19">
        <f t="shared" si="136"/>
        <v>2032</v>
      </c>
      <c r="U206" s="19">
        <f t="shared" si="141"/>
        <v>7</v>
      </c>
      <c r="V206" s="18" t="str">
        <f t="shared" si="149"/>
        <v/>
      </c>
      <c r="W206" s="18" t="str">
        <f t="shared" si="171"/>
        <v/>
      </c>
      <c r="X206" s="18" t="str">
        <f>IF(AK205&lt;&gt;1,"",IF(AH205&gt;0,IF(AH205&gt;CONTROL_PANEL!$B$11,CONTROL_PANEL!$B$11,AH205),0))</f>
        <v/>
      </c>
      <c r="Y206" s="18" t="str">
        <f t="shared" si="166"/>
        <v/>
      </c>
      <c r="Z206" s="18" t="str">
        <f>IF(AK206&lt;&gt;1,"",DATA_INPUT!I206)</f>
        <v/>
      </c>
      <c r="AA206" s="18" t="str">
        <f>IF(AK206&lt;&gt;1,"",Z206*CONTROL_PANEL!$B$5)</f>
        <v/>
      </c>
      <c r="AB206" s="18" t="str">
        <f>IF(AK206&lt;&gt;1,"",DATA_INPUT!$C206)</f>
        <v/>
      </c>
      <c r="AC206" s="18" t="str">
        <f t="shared" si="150"/>
        <v/>
      </c>
      <c r="AD206" s="18" t="str">
        <f>IF(AK206&lt;&gt;1,"",DATA_INPUT!$H206)</f>
        <v/>
      </c>
      <c r="AE206" s="18" t="str">
        <f t="shared" si="151"/>
        <v/>
      </c>
      <c r="AF206" s="18" t="str">
        <f>IF(AK206&lt;&gt;1,"",AA206*CONTROL_PANEL!$B$14)</f>
        <v/>
      </c>
      <c r="AG206" s="18" t="str">
        <f>IF(AK206&lt;&gt;1,"",DATA_INPUT!$L206)</f>
        <v/>
      </c>
      <c r="AH206" s="18" t="str">
        <f t="shared" si="152"/>
        <v/>
      </c>
      <c r="AI206" s="18" t="str">
        <f>IF(AK206&lt;&gt;1,"",IF(AH206-CONTROL_PANEL!$B$11&lt;0,0,AH206-CONTROL_PANEL!$B$11))</f>
        <v/>
      </c>
      <c r="AJ206" s="18" t="str">
        <f>IF(AK206&lt;&gt;1,"",IF(AG206&lt;=0,0,MIN(AG206,MAX(0,CONTROL_PANEL!$B$13-AH206))))</f>
        <v/>
      </c>
      <c r="AK206" s="18"/>
      <c r="AM206" s="19">
        <f t="shared" si="137"/>
        <v>2032</v>
      </c>
      <c r="AN206" s="19">
        <f t="shared" si="142"/>
        <v>7</v>
      </c>
      <c r="AO206" s="18" t="str">
        <f t="shared" si="153"/>
        <v/>
      </c>
      <c r="AP206" s="18" t="str">
        <f t="shared" si="172"/>
        <v/>
      </c>
      <c r="AQ206" s="18" t="str">
        <f>IF(BD205&lt;&gt;1,"",IF(BA205&gt;0,IF(BA205&gt;CONTROL_PANEL!$B$11,CONTROL_PANEL!$B$11,BA205),0))</f>
        <v/>
      </c>
      <c r="AR206" s="18" t="str">
        <f t="shared" si="167"/>
        <v/>
      </c>
      <c r="AS206" s="18" t="str">
        <f>IF(BD206&lt;&gt;1,"",DATA_INPUT!$I206)</f>
        <v/>
      </c>
      <c r="AT206" s="18" t="str">
        <f>IF(BD206&lt;&gt;1,"",AS206*CONTROL_PANEL!$B$5)</f>
        <v/>
      </c>
      <c r="AU206" s="18" t="str">
        <f>IF(BD206&lt;&gt;1,"",DATA_INPUT!$C206)</f>
        <v/>
      </c>
      <c r="AV206" s="18" t="str">
        <f t="shared" si="154"/>
        <v/>
      </c>
      <c r="AW206" s="18" t="str">
        <f>IF(BD206&lt;&gt;1,"",DATA_INPUT!$H206)</f>
        <v/>
      </c>
      <c r="AX206" s="18" t="str">
        <f t="shared" si="155"/>
        <v/>
      </c>
      <c r="AY206" s="18" t="str">
        <f>IF(BD206&lt;&gt;1,"",AT206*CONTROL_PANEL!$B$14)</f>
        <v/>
      </c>
      <c r="AZ206" s="18" t="str">
        <f>IF(BD206&lt;&gt;1,"",DATA_INPUT!$M206)</f>
        <v/>
      </c>
      <c r="BA206" s="18" t="str">
        <f t="shared" si="156"/>
        <v/>
      </c>
      <c r="BB206" s="18" t="str">
        <f>IF(BD206&lt;&gt;1,"",IF(BA206-CONTROL_PANEL!$B$11&lt;0,0,BA206-CONTROL_PANEL!$B$11))</f>
        <v/>
      </c>
      <c r="BC206" s="18" t="str">
        <f>IF(BD206&lt;&gt;1,"",IF(AZ206&lt;=0,0,MIN(AZ206,MAX(0,CONTROL_PANEL!$B$13-BA206))))</f>
        <v/>
      </c>
      <c r="BD206" s="18"/>
      <c r="BF206" s="19">
        <f t="shared" si="138"/>
        <v>2032</v>
      </c>
      <c r="BG206" s="19">
        <f t="shared" si="143"/>
        <v>7</v>
      </c>
      <c r="BH206" s="18" t="str">
        <f t="shared" si="157"/>
        <v/>
      </c>
      <c r="BI206" s="18" t="str">
        <f t="shared" si="173"/>
        <v/>
      </c>
      <c r="BJ206" s="18" t="str">
        <f>IF(BW205&lt;&gt;1,"",IF(BT205&gt;0,IF(BT205&gt;CONTROL_PANEL!$B$11,CONTROL_PANEL!$B$11,BT205),0))</f>
        <v/>
      </c>
      <c r="BK206" s="18" t="str">
        <f t="shared" si="168"/>
        <v/>
      </c>
      <c r="BL206" s="18" t="str">
        <f>IF(BW206&lt;&gt;1,"",DATA_INPUT!$I206)</f>
        <v/>
      </c>
      <c r="BM206" s="18" t="str">
        <f>IF(BW206&lt;&gt;1,"",BL206*CONTROL_PANEL!$B$5)</f>
        <v/>
      </c>
      <c r="BN206" s="18" t="str">
        <f>IF(BW206&lt;&gt;1,"",DATA_INPUT!$C206)</f>
        <v/>
      </c>
      <c r="BO206" s="18" t="str">
        <f t="shared" si="158"/>
        <v/>
      </c>
      <c r="BP206" s="18" t="str">
        <f>IF(BW206&lt;&gt;1,"",DATA_INPUT!$H206)</f>
        <v/>
      </c>
      <c r="BQ206" s="18" t="str">
        <f t="shared" si="159"/>
        <v/>
      </c>
      <c r="BR206" s="18" t="str">
        <f>IF(BW206&lt;&gt;1,"",BM206*CONTROL_PANEL!$B$14)</f>
        <v/>
      </c>
      <c r="BS206" s="18" t="str">
        <f>IF(BW206&lt;&gt;1,"",DATA_INPUT!$N206)</f>
        <v/>
      </c>
      <c r="BT206" s="18" t="str">
        <f t="shared" si="160"/>
        <v/>
      </c>
      <c r="BU206" s="18" t="str">
        <f>IF(BW206&lt;&gt;1,"",IF(BT206-CONTROL_PANEL!$B$11&lt;0,0,BT206-CONTROL_PANEL!$B$11))</f>
        <v/>
      </c>
      <c r="BV206" s="18" t="str">
        <f>IF(BW206&lt;&gt;1,"",IF(BS206&lt;=0,0,MIN(BS206,MAX(0,CONTROL_PANEL!$B$13-BT206))))</f>
        <v/>
      </c>
      <c r="BW206" s="18"/>
      <c r="BY206" s="19">
        <f t="shared" si="139"/>
        <v>2032</v>
      </c>
      <c r="BZ206" s="19">
        <f t="shared" si="144"/>
        <v>7</v>
      </c>
      <c r="CA206" s="18" t="str">
        <f t="shared" si="161"/>
        <v/>
      </c>
      <c r="CB206" s="18" t="str">
        <f t="shared" si="174"/>
        <v/>
      </c>
      <c r="CC206" s="18" t="str">
        <f>IF(CP205&lt;&gt;1,"",IF(CM205&gt;0,IF(CM205&gt;CONTROL_PANEL!$B$11,CONTROL_PANEL!$B$11,CM205),0))</f>
        <v/>
      </c>
      <c r="CD206" s="18" t="str">
        <f t="shared" si="169"/>
        <v/>
      </c>
      <c r="CE206" s="18" t="str">
        <f>IF(CP206&lt;&gt;1,"",DATA_INPUT!$I206)</f>
        <v/>
      </c>
      <c r="CF206" s="18" t="str">
        <f>IF(CP206&lt;&gt;1,"",CE206*CONTROL_PANEL!$B$5)</f>
        <v/>
      </c>
      <c r="CG206" s="18" t="str">
        <f>IF(CP206&lt;&gt;1,"",DATA_INPUT!$C206)</f>
        <v/>
      </c>
      <c r="CH206" s="18" t="str">
        <f t="shared" si="162"/>
        <v/>
      </c>
      <c r="CI206" s="18" t="str">
        <f>IF(CP206&lt;&gt;1,"",DATA_INPUT!$H206)</f>
        <v/>
      </c>
      <c r="CJ206" s="18" t="str">
        <f t="shared" si="163"/>
        <v/>
      </c>
      <c r="CK206" s="18" t="str">
        <f>IF(CP206&lt;&gt;1,"",CF206*CONTROL_PANEL!$B$14)</f>
        <v/>
      </c>
      <c r="CL206" s="18" t="str">
        <f>IF(CP206&lt;&gt;1,"",DATA_INPUT!$O206)</f>
        <v/>
      </c>
      <c r="CM206" s="18" t="str">
        <f t="shared" si="164"/>
        <v/>
      </c>
      <c r="CN206" s="18" t="str">
        <f>IF(CP206&lt;&gt;1,"",IF(CM206-CONTROL_PANEL!$B$11&lt;0,0,CM206-CONTROL_PANEL!$B$11))</f>
        <v/>
      </c>
      <c r="CO206" s="18" t="str">
        <f>IF(CP206&lt;&gt;1,"",IF(CL206&lt;=0,0,MIN(CL206,MAX(0,CONTROL_PANEL!$B$13-CM206))))</f>
        <v/>
      </c>
      <c r="CP206" s="18"/>
    </row>
    <row r="207" spans="1:94" x14ac:dyDescent="0.25">
      <c r="A207" s="19">
        <f t="shared" si="135"/>
        <v>2032</v>
      </c>
      <c r="B207" s="19">
        <f t="shared" si="140"/>
        <v>8</v>
      </c>
      <c r="C207" s="18" t="str">
        <f t="shared" si="145"/>
        <v/>
      </c>
      <c r="D207" s="18" t="str">
        <f t="shared" si="170"/>
        <v/>
      </c>
      <c r="E207" s="18" t="str">
        <f>IF(R206&lt;&gt;1,"",IF(O206&gt;0,IF(O206&gt;CONTROL_PANEL!$B$11,CONTROL_PANEL!$B$11,O206),0))</f>
        <v/>
      </c>
      <c r="F207" s="18" t="str">
        <f t="shared" si="165"/>
        <v/>
      </c>
      <c r="G207" s="18" t="str">
        <f>IF(R207&lt;&gt;1,"",DATA_INPUT!I207)</f>
        <v/>
      </c>
      <c r="H207" s="18" t="str">
        <f>IF(R207&lt;&gt;1,"",G207*CONTROL_PANEL!$B$5)</f>
        <v/>
      </c>
      <c r="I207" s="18" t="str">
        <f>IF(R207&lt;&gt;1,"",DATA_INPUT!C207)</f>
        <v/>
      </c>
      <c r="J207" s="18" t="str">
        <f t="shared" si="146"/>
        <v/>
      </c>
      <c r="K207" s="18" t="str">
        <f>IF(R207&lt;&gt;1,"",DATA_INPUT!H207)</f>
        <v/>
      </c>
      <c r="L207" s="18" t="str">
        <f t="shared" si="147"/>
        <v/>
      </c>
      <c r="M207" s="18" t="str">
        <f>IF(R207&lt;&gt;1,"",H207*CONTROL_PANEL!$B$14)</f>
        <v/>
      </c>
      <c r="N207" s="18" t="str">
        <f>IF(R207&lt;&gt;1,"",DATA_INPUT!K207)</f>
        <v/>
      </c>
      <c r="O207" s="18" t="str">
        <f t="shared" si="148"/>
        <v/>
      </c>
      <c r="P207" s="18" t="str">
        <f>IF(R207&lt;&gt;1,"",IF(O207-CONTROL_PANEL!$B$11&lt;0,0,O207-CONTROL_PANEL!$B$11))</f>
        <v/>
      </c>
      <c r="Q207" s="18" t="str">
        <f>IF(R207&lt;&gt;1,"",IF(N207&lt;=0,0,MIN(N207,MAX(0,CONTROL_PANEL!$B$13-O207))))</f>
        <v/>
      </c>
      <c r="R207" s="18"/>
      <c r="T207" s="19">
        <f t="shared" si="136"/>
        <v>2032</v>
      </c>
      <c r="U207" s="19">
        <f t="shared" si="141"/>
        <v>8</v>
      </c>
      <c r="V207" s="18" t="str">
        <f t="shared" si="149"/>
        <v/>
      </c>
      <c r="W207" s="18" t="str">
        <f t="shared" si="171"/>
        <v/>
      </c>
      <c r="X207" s="18" t="str">
        <f>IF(AK206&lt;&gt;1,"",IF(AH206&gt;0,IF(AH206&gt;CONTROL_PANEL!$B$11,CONTROL_PANEL!$B$11,AH206),0))</f>
        <v/>
      </c>
      <c r="Y207" s="18" t="str">
        <f t="shared" si="166"/>
        <v/>
      </c>
      <c r="Z207" s="18" t="str">
        <f>IF(AK207&lt;&gt;1,"",DATA_INPUT!I207)</f>
        <v/>
      </c>
      <c r="AA207" s="18" t="str">
        <f>IF(AK207&lt;&gt;1,"",Z207*CONTROL_PANEL!$B$5)</f>
        <v/>
      </c>
      <c r="AB207" s="18" t="str">
        <f>IF(AK207&lt;&gt;1,"",DATA_INPUT!$C207)</f>
        <v/>
      </c>
      <c r="AC207" s="18" t="str">
        <f t="shared" si="150"/>
        <v/>
      </c>
      <c r="AD207" s="18" t="str">
        <f>IF(AK207&lt;&gt;1,"",DATA_INPUT!$H207)</f>
        <v/>
      </c>
      <c r="AE207" s="18" t="str">
        <f t="shared" si="151"/>
        <v/>
      </c>
      <c r="AF207" s="18" t="str">
        <f>IF(AK207&lt;&gt;1,"",AA207*CONTROL_PANEL!$B$14)</f>
        <v/>
      </c>
      <c r="AG207" s="18" t="str">
        <f>IF(AK207&lt;&gt;1,"",DATA_INPUT!$L207)</f>
        <v/>
      </c>
      <c r="AH207" s="18" t="str">
        <f t="shared" si="152"/>
        <v/>
      </c>
      <c r="AI207" s="18" t="str">
        <f>IF(AK207&lt;&gt;1,"",IF(AH207-CONTROL_PANEL!$B$11&lt;0,0,AH207-CONTROL_PANEL!$B$11))</f>
        <v/>
      </c>
      <c r="AJ207" s="18" t="str">
        <f>IF(AK207&lt;&gt;1,"",IF(AG207&lt;=0,0,MIN(AG207,MAX(0,CONTROL_PANEL!$B$13-AH207))))</f>
        <v/>
      </c>
      <c r="AK207" s="18"/>
      <c r="AM207" s="19">
        <f t="shared" si="137"/>
        <v>2032</v>
      </c>
      <c r="AN207" s="19">
        <f t="shared" si="142"/>
        <v>8</v>
      </c>
      <c r="AO207" s="18" t="str">
        <f t="shared" si="153"/>
        <v/>
      </c>
      <c r="AP207" s="18" t="str">
        <f t="shared" si="172"/>
        <v/>
      </c>
      <c r="AQ207" s="18" t="str">
        <f>IF(BD206&lt;&gt;1,"",IF(BA206&gt;0,IF(BA206&gt;CONTROL_PANEL!$B$11,CONTROL_PANEL!$B$11,BA206),0))</f>
        <v/>
      </c>
      <c r="AR207" s="18" t="str">
        <f t="shared" si="167"/>
        <v/>
      </c>
      <c r="AS207" s="18" t="str">
        <f>IF(BD207&lt;&gt;1,"",DATA_INPUT!$I207)</f>
        <v/>
      </c>
      <c r="AT207" s="18" t="str">
        <f>IF(BD207&lt;&gt;1,"",AS207*CONTROL_PANEL!$B$5)</f>
        <v/>
      </c>
      <c r="AU207" s="18" t="str">
        <f>IF(BD207&lt;&gt;1,"",DATA_INPUT!$C207)</f>
        <v/>
      </c>
      <c r="AV207" s="18" t="str">
        <f t="shared" si="154"/>
        <v/>
      </c>
      <c r="AW207" s="18" t="str">
        <f>IF(BD207&lt;&gt;1,"",DATA_INPUT!$H207)</f>
        <v/>
      </c>
      <c r="AX207" s="18" t="str">
        <f t="shared" si="155"/>
        <v/>
      </c>
      <c r="AY207" s="18" t="str">
        <f>IF(BD207&lt;&gt;1,"",AT207*CONTROL_PANEL!$B$14)</f>
        <v/>
      </c>
      <c r="AZ207" s="18" t="str">
        <f>IF(BD207&lt;&gt;1,"",DATA_INPUT!$M207)</f>
        <v/>
      </c>
      <c r="BA207" s="18" t="str">
        <f t="shared" si="156"/>
        <v/>
      </c>
      <c r="BB207" s="18" t="str">
        <f>IF(BD207&lt;&gt;1,"",IF(BA207-CONTROL_PANEL!$B$11&lt;0,0,BA207-CONTROL_PANEL!$B$11))</f>
        <v/>
      </c>
      <c r="BC207" s="18" t="str">
        <f>IF(BD207&lt;&gt;1,"",IF(AZ207&lt;=0,0,MIN(AZ207,MAX(0,CONTROL_PANEL!$B$13-BA207))))</f>
        <v/>
      </c>
      <c r="BD207" s="18"/>
      <c r="BF207" s="19">
        <f t="shared" si="138"/>
        <v>2032</v>
      </c>
      <c r="BG207" s="19">
        <f t="shared" si="143"/>
        <v>8</v>
      </c>
      <c r="BH207" s="18" t="str">
        <f t="shared" si="157"/>
        <v/>
      </c>
      <c r="BI207" s="18" t="str">
        <f t="shared" si="173"/>
        <v/>
      </c>
      <c r="BJ207" s="18" t="str">
        <f>IF(BW206&lt;&gt;1,"",IF(BT206&gt;0,IF(BT206&gt;CONTROL_PANEL!$B$11,CONTROL_PANEL!$B$11,BT206),0))</f>
        <v/>
      </c>
      <c r="BK207" s="18" t="str">
        <f t="shared" si="168"/>
        <v/>
      </c>
      <c r="BL207" s="18" t="str">
        <f>IF(BW207&lt;&gt;1,"",DATA_INPUT!$I207)</f>
        <v/>
      </c>
      <c r="BM207" s="18" t="str">
        <f>IF(BW207&lt;&gt;1,"",BL207*CONTROL_PANEL!$B$5)</f>
        <v/>
      </c>
      <c r="BN207" s="18" t="str">
        <f>IF(BW207&lt;&gt;1,"",DATA_INPUT!$C207)</f>
        <v/>
      </c>
      <c r="BO207" s="18" t="str">
        <f t="shared" si="158"/>
        <v/>
      </c>
      <c r="BP207" s="18" t="str">
        <f>IF(BW207&lt;&gt;1,"",DATA_INPUT!$H207)</f>
        <v/>
      </c>
      <c r="BQ207" s="18" t="str">
        <f t="shared" si="159"/>
        <v/>
      </c>
      <c r="BR207" s="18" t="str">
        <f>IF(BW207&lt;&gt;1,"",BM207*CONTROL_PANEL!$B$14)</f>
        <v/>
      </c>
      <c r="BS207" s="18" t="str">
        <f>IF(BW207&lt;&gt;1,"",DATA_INPUT!$N207)</f>
        <v/>
      </c>
      <c r="BT207" s="18" t="str">
        <f t="shared" si="160"/>
        <v/>
      </c>
      <c r="BU207" s="18" t="str">
        <f>IF(BW207&lt;&gt;1,"",IF(BT207-CONTROL_PANEL!$B$11&lt;0,0,BT207-CONTROL_PANEL!$B$11))</f>
        <v/>
      </c>
      <c r="BV207" s="18" t="str">
        <f>IF(BW207&lt;&gt;1,"",IF(BS207&lt;=0,0,MIN(BS207,MAX(0,CONTROL_PANEL!$B$13-BT207))))</f>
        <v/>
      </c>
      <c r="BW207" s="18"/>
      <c r="BY207" s="19">
        <f t="shared" si="139"/>
        <v>2032</v>
      </c>
      <c r="BZ207" s="19">
        <f t="shared" si="144"/>
        <v>8</v>
      </c>
      <c r="CA207" s="18" t="str">
        <f t="shared" si="161"/>
        <v/>
      </c>
      <c r="CB207" s="18" t="str">
        <f t="shared" si="174"/>
        <v/>
      </c>
      <c r="CC207" s="18" t="str">
        <f>IF(CP206&lt;&gt;1,"",IF(CM206&gt;0,IF(CM206&gt;CONTROL_PANEL!$B$11,CONTROL_PANEL!$B$11,CM206),0))</f>
        <v/>
      </c>
      <c r="CD207" s="18" t="str">
        <f t="shared" si="169"/>
        <v/>
      </c>
      <c r="CE207" s="18" t="str">
        <f>IF(CP207&lt;&gt;1,"",DATA_INPUT!$I207)</f>
        <v/>
      </c>
      <c r="CF207" s="18" t="str">
        <f>IF(CP207&lt;&gt;1,"",CE207*CONTROL_PANEL!$B$5)</f>
        <v/>
      </c>
      <c r="CG207" s="18" t="str">
        <f>IF(CP207&lt;&gt;1,"",DATA_INPUT!$C207)</f>
        <v/>
      </c>
      <c r="CH207" s="18" t="str">
        <f t="shared" si="162"/>
        <v/>
      </c>
      <c r="CI207" s="18" t="str">
        <f>IF(CP207&lt;&gt;1,"",DATA_INPUT!$H207)</f>
        <v/>
      </c>
      <c r="CJ207" s="18" t="str">
        <f t="shared" si="163"/>
        <v/>
      </c>
      <c r="CK207" s="18" t="str">
        <f>IF(CP207&lt;&gt;1,"",CF207*CONTROL_PANEL!$B$14)</f>
        <v/>
      </c>
      <c r="CL207" s="18" t="str">
        <f>IF(CP207&lt;&gt;1,"",DATA_INPUT!$O207)</f>
        <v/>
      </c>
      <c r="CM207" s="18" t="str">
        <f t="shared" si="164"/>
        <v/>
      </c>
      <c r="CN207" s="18" t="str">
        <f>IF(CP207&lt;&gt;1,"",IF(CM207-CONTROL_PANEL!$B$11&lt;0,0,CM207-CONTROL_PANEL!$B$11))</f>
        <v/>
      </c>
      <c r="CO207" s="18" t="str">
        <f>IF(CP207&lt;&gt;1,"",IF(CL207&lt;=0,0,MIN(CL207,MAX(0,CONTROL_PANEL!$B$13-CM207))))</f>
        <v/>
      </c>
      <c r="CP207" s="18"/>
    </row>
    <row r="208" spans="1:94" x14ac:dyDescent="0.25">
      <c r="A208" s="19">
        <f t="shared" si="135"/>
        <v>2032</v>
      </c>
      <c r="B208" s="19">
        <f t="shared" si="140"/>
        <v>9</v>
      </c>
      <c r="C208" s="18" t="str">
        <f t="shared" si="145"/>
        <v/>
      </c>
      <c r="D208" s="18" t="str">
        <f t="shared" si="170"/>
        <v/>
      </c>
      <c r="E208" s="18" t="str">
        <f>IF(R207&lt;&gt;1,"",IF(O207&gt;0,IF(O207&gt;CONTROL_PANEL!$B$11,CONTROL_PANEL!$B$11,O207),0))</f>
        <v/>
      </c>
      <c r="F208" s="18" t="str">
        <f t="shared" si="165"/>
        <v/>
      </c>
      <c r="G208" s="18" t="str">
        <f>IF(R208&lt;&gt;1,"",DATA_INPUT!I208)</f>
        <v/>
      </c>
      <c r="H208" s="18" t="str">
        <f>IF(R208&lt;&gt;1,"",G208*CONTROL_PANEL!$B$5)</f>
        <v/>
      </c>
      <c r="I208" s="18" t="str">
        <f>IF(R208&lt;&gt;1,"",DATA_INPUT!C208)</f>
        <v/>
      </c>
      <c r="J208" s="18" t="str">
        <f t="shared" si="146"/>
        <v/>
      </c>
      <c r="K208" s="18" t="str">
        <f>IF(R208&lt;&gt;1,"",DATA_INPUT!H208)</f>
        <v/>
      </c>
      <c r="L208" s="18" t="str">
        <f t="shared" si="147"/>
        <v/>
      </c>
      <c r="M208" s="18" t="str">
        <f>IF(R208&lt;&gt;1,"",H208*CONTROL_PANEL!$B$14)</f>
        <v/>
      </c>
      <c r="N208" s="18" t="str">
        <f>IF(R208&lt;&gt;1,"",DATA_INPUT!K208)</f>
        <v/>
      </c>
      <c r="O208" s="18" t="str">
        <f t="shared" si="148"/>
        <v/>
      </c>
      <c r="P208" s="18" t="str">
        <f>IF(R208&lt;&gt;1,"",IF(O208-CONTROL_PANEL!$B$11&lt;0,0,O208-CONTROL_PANEL!$B$11))</f>
        <v/>
      </c>
      <c r="Q208" s="18" t="str">
        <f>IF(R208&lt;&gt;1,"",IF(N208&lt;=0,0,MIN(N208,MAX(0,CONTROL_PANEL!$B$13-O208))))</f>
        <v/>
      </c>
      <c r="R208" s="18"/>
      <c r="T208" s="19">
        <f t="shared" si="136"/>
        <v>2032</v>
      </c>
      <c r="U208" s="19">
        <f t="shared" si="141"/>
        <v>9</v>
      </c>
      <c r="V208" s="18" t="str">
        <f t="shared" si="149"/>
        <v/>
      </c>
      <c r="W208" s="18" t="str">
        <f t="shared" si="171"/>
        <v/>
      </c>
      <c r="X208" s="18" t="str">
        <f>IF(AK207&lt;&gt;1,"",IF(AH207&gt;0,IF(AH207&gt;CONTROL_PANEL!$B$11,CONTROL_PANEL!$B$11,AH207),0))</f>
        <v/>
      </c>
      <c r="Y208" s="18" t="str">
        <f t="shared" si="166"/>
        <v/>
      </c>
      <c r="Z208" s="18" t="str">
        <f>IF(AK208&lt;&gt;1,"",DATA_INPUT!I208)</f>
        <v/>
      </c>
      <c r="AA208" s="18" t="str">
        <f>IF(AK208&lt;&gt;1,"",Z208*CONTROL_PANEL!$B$5)</f>
        <v/>
      </c>
      <c r="AB208" s="18" t="str">
        <f>IF(AK208&lt;&gt;1,"",DATA_INPUT!$C208)</f>
        <v/>
      </c>
      <c r="AC208" s="18" t="str">
        <f t="shared" si="150"/>
        <v/>
      </c>
      <c r="AD208" s="18" t="str">
        <f>IF(AK208&lt;&gt;1,"",DATA_INPUT!$H208)</f>
        <v/>
      </c>
      <c r="AE208" s="18" t="str">
        <f t="shared" si="151"/>
        <v/>
      </c>
      <c r="AF208" s="18" t="str">
        <f>IF(AK208&lt;&gt;1,"",AA208*CONTROL_PANEL!$B$14)</f>
        <v/>
      </c>
      <c r="AG208" s="18" t="str">
        <f>IF(AK208&lt;&gt;1,"",DATA_INPUT!$L208)</f>
        <v/>
      </c>
      <c r="AH208" s="18" t="str">
        <f t="shared" si="152"/>
        <v/>
      </c>
      <c r="AI208" s="18" t="str">
        <f>IF(AK208&lt;&gt;1,"",IF(AH208-CONTROL_PANEL!$B$11&lt;0,0,AH208-CONTROL_PANEL!$B$11))</f>
        <v/>
      </c>
      <c r="AJ208" s="18" t="str">
        <f>IF(AK208&lt;&gt;1,"",IF(AG208&lt;=0,0,MIN(AG208,MAX(0,CONTROL_PANEL!$B$13-AH208))))</f>
        <v/>
      </c>
      <c r="AK208" s="18"/>
      <c r="AM208" s="19">
        <f t="shared" si="137"/>
        <v>2032</v>
      </c>
      <c r="AN208" s="19">
        <f t="shared" si="142"/>
        <v>9</v>
      </c>
      <c r="AO208" s="18" t="str">
        <f t="shared" si="153"/>
        <v/>
      </c>
      <c r="AP208" s="18" t="str">
        <f t="shared" si="172"/>
        <v/>
      </c>
      <c r="AQ208" s="18" t="str">
        <f>IF(BD207&lt;&gt;1,"",IF(BA207&gt;0,IF(BA207&gt;CONTROL_PANEL!$B$11,CONTROL_PANEL!$B$11,BA207),0))</f>
        <v/>
      </c>
      <c r="AR208" s="18" t="str">
        <f t="shared" si="167"/>
        <v/>
      </c>
      <c r="AS208" s="18" t="str">
        <f>IF(BD208&lt;&gt;1,"",DATA_INPUT!$I208)</f>
        <v/>
      </c>
      <c r="AT208" s="18" t="str">
        <f>IF(BD208&lt;&gt;1,"",AS208*CONTROL_PANEL!$B$5)</f>
        <v/>
      </c>
      <c r="AU208" s="18" t="str">
        <f>IF(BD208&lt;&gt;1,"",DATA_INPUT!$C208)</f>
        <v/>
      </c>
      <c r="AV208" s="18" t="str">
        <f t="shared" si="154"/>
        <v/>
      </c>
      <c r="AW208" s="18" t="str">
        <f>IF(BD208&lt;&gt;1,"",DATA_INPUT!$H208)</f>
        <v/>
      </c>
      <c r="AX208" s="18" t="str">
        <f t="shared" si="155"/>
        <v/>
      </c>
      <c r="AY208" s="18" t="str">
        <f>IF(BD208&lt;&gt;1,"",AT208*CONTROL_PANEL!$B$14)</f>
        <v/>
      </c>
      <c r="AZ208" s="18" t="str">
        <f>IF(BD208&lt;&gt;1,"",DATA_INPUT!$M208)</f>
        <v/>
      </c>
      <c r="BA208" s="18" t="str">
        <f t="shared" si="156"/>
        <v/>
      </c>
      <c r="BB208" s="18" t="str">
        <f>IF(BD208&lt;&gt;1,"",IF(BA208-CONTROL_PANEL!$B$11&lt;0,0,BA208-CONTROL_PANEL!$B$11))</f>
        <v/>
      </c>
      <c r="BC208" s="18" t="str">
        <f>IF(BD208&lt;&gt;1,"",IF(AZ208&lt;=0,0,MIN(AZ208,MAX(0,CONTROL_PANEL!$B$13-BA208))))</f>
        <v/>
      </c>
      <c r="BD208" s="18"/>
      <c r="BF208" s="19">
        <f t="shared" si="138"/>
        <v>2032</v>
      </c>
      <c r="BG208" s="19">
        <f t="shared" si="143"/>
        <v>9</v>
      </c>
      <c r="BH208" s="18" t="str">
        <f t="shared" si="157"/>
        <v/>
      </c>
      <c r="BI208" s="18" t="str">
        <f t="shared" si="173"/>
        <v/>
      </c>
      <c r="BJ208" s="18" t="str">
        <f>IF(BW207&lt;&gt;1,"",IF(BT207&gt;0,IF(BT207&gt;CONTROL_PANEL!$B$11,CONTROL_PANEL!$B$11,BT207),0))</f>
        <v/>
      </c>
      <c r="BK208" s="18" t="str">
        <f t="shared" si="168"/>
        <v/>
      </c>
      <c r="BL208" s="18" t="str">
        <f>IF(BW208&lt;&gt;1,"",DATA_INPUT!$I208)</f>
        <v/>
      </c>
      <c r="BM208" s="18" t="str">
        <f>IF(BW208&lt;&gt;1,"",BL208*CONTROL_PANEL!$B$5)</f>
        <v/>
      </c>
      <c r="BN208" s="18" t="str">
        <f>IF(BW208&lt;&gt;1,"",DATA_INPUT!$C208)</f>
        <v/>
      </c>
      <c r="BO208" s="18" t="str">
        <f t="shared" si="158"/>
        <v/>
      </c>
      <c r="BP208" s="18" t="str">
        <f>IF(BW208&lt;&gt;1,"",DATA_INPUT!$H208)</f>
        <v/>
      </c>
      <c r="BQ208" s="18" t="str">
        <f t="shared" si="159"/>
        <v/>
      </c>
      <c r="BR208" s="18" t="str">
        <f>IF(BW208&lt;&gt;1,"",BM208*CONTROL_PANEL!$B$14)</f>
        <v/>
      </c>
      <c r="BS208" s="18" t="str">
        <f>IF(BW208&lt;&gt;1,"",DATA_INPUT!$N208)</f>
        <v/>
      </c>
      <c r="BT208" s="18" t="str">
        <f t="shared" si="160"/>
        <v/>
      </c>
      <c r="BU208" s="18" t="str">
        <f>IF(BW208&lt;&gt;1,"",IF(BT208-CONTROL_PANEL!$B$11&lt;0,0,BT208-CONTROL_PANEL!$B$11))</f>
        <v/>
      </c>
      <c r="BV208" s="18" t="str">
        <f>IF(BW208&lt;&gt;1,"",IF(BS208&lt;=0,0,MIN(BS208,MAX(0,CONTROL_PANEL!$B$13-BT208))))</f>
        <v/>
      </c>
      <c r="BW208" s="18"/>
      <c r="BY208" s="19">
        <f t="shared" si="139"/>
        <v>2032</v>
      </c>
      <c r="BZ208" s="19">
        <f t="shared" si="144"/>
        <v>9</v>
      </c>
      <c r="CA208" s="18" t="str">
        <f t="shared" si="161"/>
        <v/>
      </c>
      <c r="CB208" s="18" t="str">
        <f t="shared" si="174"/>
        <v/>
      </c>
      <c r="CC208" s="18" t="str">
        <f>IF(CP207&lt;&gt;1,"",IF(CM207&gt;0,IF(CM207&gt;CONTROL_PANEL!$B$11,CONTROL_PANEL!$B$11,CM207),0))</f>
        <v/>
      </c>
      <c r="CD208" s="18" t="str">
        <f t="shared" si="169"/>
        <v/>
      </c>
      <c r="CE208" s="18" t="str">
        <f>IF(CP208&lt;&gt;1,"",DATA_INPUT!$I208)</f>
        <v/>
      </c>
      <c r="CF208" s="18" t="str">
        <f>IF(CP208&lt;&gt;1,"",CE208*CONTROL_PANEL!$B$5)</f>
        <v/>
      </c>
      <c r="CG208" s="18" t="str">
        <f>IF(CP208&lt;&gt;1,"",DATA_INPUT!$C208)</f>
        <v/>
      </c>
      <c r="CH208" s="18" t="str">
        <f t="shared" si="162"/>
        <v/>
      </c>
      <c r="CI208" s="18" t="str">
        <f>IF(CP208&lt;&gt;1,"",DATA_INPUT!$H208)</f>
        <v/>
      </c>
      <c r="CJ208" s="18" t="str">
        <f t="shared" si="163"/>
        <v/>
      </c>
      <c r="CK208" s="18" t="str">
        <f>IF(CP208&lt;&gt;1,"",CF208*CONTROL_PANEL!$B$14)</f>
        <v/>
      </c>
      <c r="CL208" s="18" t="str">
        <f>IF(CP208&lt;&gt;1,"",DATA_INPUT!$O208)</f>
        <v/>
      </c>
      <c r="CM208" s="18" t="str">
        <f t="shared" si="164"/>
        <v/>
      </c>
      <c r="CN208" s="18" t="str">
        <f>IF(CP208&lt;&gt;1,"",IF(CM208-CONTROL_PANEL!$B$11&lt;0,0,CM208-CONTROL_PANEL!$B$11))</f>
        <v/>
      </c>
      <c r="CO208" s="18" t="str">
        <f>IF(CP208&lt;&gt;1,"",IF(CL208&lt;=0,0,MIN(CL208,MAX(0,CONTROL_PANEL!$B$13-CM208))))</f>
        <v/>
      </c>
      <c r="CP208" s="18"/>
    </row>
    <row r="209" spans="1:94" x14ac:dyDescent="0.25">
      <c r="A209" s="19">
        <f t="shared" si="135"/>
        <v>2032</v>
      </c>
      <c r="B209" s="19">
        <f t="shared" si="140"/>
        <v>10</v>
      </c>
      <c r="C209" s="18" t="str">
        <f t="shared" si="145"/>
        <v/>
      </c>
      <c r="D209" s="18" t="str">
        <f t="shared" si="170"/>
        <v/>
      </c>
      <c r="E209" s="18" t="str">
        <f>IF(R208&lt;&gt;1,"",IF(O208&gt;0,IF(O208&gt;CONTROL_PANEL!$B$11,CONTROL_PANEL!$B$11,O208),0))</f>
        <v/>
      </c>
      <c r="F209" s="18" t="str">
        <f t="shared" si="165"/>
        <v/>
      </c>
      <c r="G209" s="18" t="str">
        <f>IF(R209&lt;&gt;1,"",DATA_INPUT!I209)</f>
        <v/>
      </c>
      <c r="H209" s="18" t="str">
        <f>IF(R209&lt;&gt;1,"",G209*CONTROL_PANEL!$B$5)</f>
        <v/>
      </c>
      <c r="I209" s="18" t="str">
        <f>IF(R209&lt;&gt;1,"",DATA_INPUT!C209)</f>
        <v/>
      </c>
      <c r="J209" s="18" t="str">
        <f t="shared" si="146"/>
        <v/>
      </c>
      <c r="K209" s="18" t="str">
        <f>IF(R209&lt;&gt;1,"",DATA_INPUT!H209)</f>
        <v/>
      </c>
      <c r="L209" s="18" t="str">
        <f t="shared" si="147"/>
        <v/>
      </c>
      <c r="M209" s="18" t="str">
        <f>IF(R209&lt;&gt;1,"",H209*CONTROL_PANEL!$B$14)</f>
        <v/>
      </c>
      <c r="N209" s="18" t="str">
        <f>IF(R209&lt;&gt;1,"",DATA_INPUT!K209)</f>
        <v/>
      </c>
      <c r="O209" s="18" t="str">
        <f t="shared" si="148"/>
        <v/>
      </c>
      <c r="P209" s="18" t="str">
        <f>IF(R209&lt;&gt;1,"",IF(O209-CONTROL_PANEL!$B$11&lt;0,0,O209-CONTROL_PANEL!$B$11))</f>
        <v/>
      </c>
      <c r="Q209" s="18" t="str">
        <f>IF(R209&lt;&gt;1,"",IF(N209&lt;=0,0,MIN(N209,MAX(0,CONTROL_PANEL!$B$13-O209))))</f>
        <v/>
      </c>
      <c r="R209" s="18"/>
      <c r="T209" s="19">
        <f t="shared" si="136"/>
        <v>2032</v>
      </c>
      <c r="U209" s="19">
        <f t="shared" si="141"/>
        <v>10</v>
      </c>
      <c r="V209" s="18" t="str">
        <f t="shared" si="149"/>
        <v/>
      </c>
      <c r="W209" s="18" t="str">
        <f t="shared" si="171"/>
        <v/>
      </c>
      <c r="X209" s="18" t="str">
        <f>IF(AK208&lt;&gt;1,"",IF(AH208&gt;0,IF(AH208&gt;CONTROL_PANEL!$B$11,CONTROL_PANEL!$B$11,AH208),0))</f>
        <v/>
      </c>
      <c r="Y209" s="18" t="str">
        <f t="shared" si="166"/>
        <v/>
      </c>
      <c r="Z209" s="18" t="str">
        <f>IF(AK209&lt;&gt;1,"",DATA_INPUT!I209)</f>
        <v/>
      </c>
      <c r="AA209" s="18" t="str">
        <f>IF(AK209&lt;&gt;1,"",Z209*CONTROL_PANEL!$B$5)</f>
        <v/>
      </c>
      <c r="AB209" s="18" t="str">
        <f>IF(AK209&lt;&gt;1,"",DATA_INPUT!$C209)</f>
        <v/>
      </c>
      <c r="AC209" s="18" t="str">
        <f t="shared" si="150"/>
        <v/>
      </c>
      <c r="AD209" s="18" t="str">
        <f>IF(AK209&lt;&gt;1,"",DATA_INPUT!$H209)</f>
        <v/>
      </c>
      <c r="AE209" s="18" t="str">
        <f t="shared" si="151"/>
        <v/>
      </c>
      <c r="AF209" s="18" t="str">
        <f>IF(AK209&lt;&gt;1,"",AA209*CONTROL_PANEL!$B$14)</f>
        <v/>
      </c>
      <c r="AG209" s="18" t="str">
        <f>IF(AK209&lt;&gt;1,"",DATA_INPUT!$L209)</f>
        <v/>
      </c>
      <c r="AH209" s="18" t="str">
        <f t="shared" si="152"/>
        <v/>
      </c>
      <c r="AI209" s="18" t="str">
        <f>IF(AK209&lt;&gt;1,"",IF(AH209-CONTROL_PANEL!$B$11&lt;0,0,AH209-CONTROL_PANEL!$B$11))</f>
        <v/>
      </c>
      <c r="AJ209" s="18" t="str">
        <f>IF(AK209&lt;&gt;1,"",IF(AG209&lt;=0,0,MIN(AG209,MAX(0,CONTROL_PANEL!$B$13-AH209))))</f>
        <v/>
      </c>
      <c r="AK209" s="18"/>
      <c r="AM209" s="19">
        <f t="shared" si="137"/>
        <v>2032</v>
      </c>
      <c r="AN209" s="19">
        <f t="shared" si="142"/>
        <v>10</v>
      </c>
      <c r="AO209" s="18" t="str">
        <f t="shared" si="153"/>
        <v/>
      </c>
      <c r="AP209" s="18" t="str">
        <f t="shared" si="172"/>
        <v/>
      </c>
      <c r="AQ209" s="18" t="str">
        <f>IF(BD208&lt;&gt;1,"",IF(BA208&gt;0,IF(BA208&gt;CONTROL_PANEL!$B$11,CONTROL_PANEL!$B$11,BA208),0))</f>
        <v/>
      </c>
      <c r="AR209" s="18" t="str">
        <f t="shared" si="167"/>
        <v/>
      </c>
      <c r="AS209" s="18" t="str">
        <f>IF(BD209&lt;&gt;1,"",DATA_INPUT!$I209)</f>
        <v/>
      </c>
      <c r="AT209" s="18" t="str">
        <f>IF(BD209&lt;&gt;1,"",AS209*CONTROL_PANEL!$B$5)</f>
        <v/>
      </c>
      <c r="AU209" s="18" t="str">
        <f>IF(BD209&lt;&gt;1,"",DATA_INPUT!$C209)</f>
        <v/>
      </c>
      <c r="AV209" s="18" t="str">
        <f t="shared" si="154"/>
        <v/>
      </c>
      <c r="AW209" s="18" t="str">
        <f>IF(BD209&lt;&gt;1,"",DATA_INPUT!$H209)</f>
        <v/>
      </c>
      <c r="AX209" s="18" t="str">
        <f t="shared" si="155"/>
        <v/>
      </c>
      <c r="AY209" s="18" t="str">
        <f>IF(BD209&lt;&gt;1,"",AT209*CONTROL_PANEL!$B$14)</f>
        <v/>
      </c>
      <c r="AZ209" s="18" t="str">
        <f>IF(BD209&lt;&gt;1,"",DATA_INPUT!$M209)</f>
        <v/>
      </c>
      <c r="BA209" s="18" t="str">
        <f t="shared" si="156"/>
        <v/>
      </c>
      <c r="BB209" s="18" t="str">
        <f>IF(BD209&lt;&gt;1,"",IF(BA209-CONTROL_PANEL!$B$11&lt;0,0,BA209-CONTROL_PANEL!$B$11))</f>
        <v/>
      </c>
      <c r="BC209" s="18" t="str">
        <f>IF(BD209&lt;&gt;1,"",IF(AZ209&lt;=0,0,MIN(AZ209,MAX(0,CONTROL_PANEL!$B$13-BA209))))</f>
        <v/>
      </c>
      <c r="BD209" s="18"/>
      <c r="BF209" s="19">
        <f t="shared" si="138"/>
        <v>2032</v>
      </c>
      <c r="BG209" s="19">
        <f t="shared" si="143"/>
        <v>10</v>
      </c>
      <c r="BH209" s="18" t="str">
        <f t="shared" si="157"/>
        <v/>
      </c>
      <c r="BI209" s="18" t="str">
        <f t="shared" si="173"/>
        <v/>
      </c>
      <c r="BJ209" s="18" t="str">
        <f>IF(BW208&lt;&gt;1,"",IF(BT208&gt;0,IF(BT208&gt;CONTROL_PANEL!$B$11,CONTROL_PANEL!$B$11,BT208),0))</f>
        <v/>
      </c>
      <c r="BK209" s="18" t="str">
        <f t="shared" si="168"/>
        <v/>
      </c>
      <c r="BL209" s="18" t="str">
        <f>IF(BW209&lt;&gt;1,"",DATA_INPUT!$I209)</f>
        <v/>
      </c>
      <c r="BM209" s="18" t="str">
        <f>IF(BW209&lt;&gt;1,"",BL209*CONTROL_PANEL!$B$5)</f>
        <v/>
      </c>
      <c r="BN209" s="18" t="str">
        <f>IF(BW209&lt;&gt;1,"",DATA_INPUT!$C209)</f>
        <v/>
      </c>
      <c r="BO209" s="18" t="str">
        <f t="shared" si="158"/>
        <v/>
      </c>
      <c r="BP209" s="18" t="str">
        <f>IF(BW209&lt;&gt;1,"",DATA_INPUT!$H209)</f>
        <v/>
      </c>
      <c r="BQ209" s="18" t="str">
        <f t="shared" si="159"/>
        <v/>
      </c>
      <c r="BR209" s="18" t="str">
        <f>IF(BW209&lt;&gt;1,"",BM209*CONTROL_PANEL!$B$14)</f>
        <v/>
      </c>
      <c r="BS209" s="18" t="str">
        <f>IF(BW209&lt;&gt;1,"",DATA_INPUT!$N209)</f>
        <v/>
      </c>
      <c r="BT209" s="18" t="str">
        <f t="shared" si="160"/>
        <v/>
      </c>
      <c r="BU209" s="18" t="str">
        <f>IF(BW209&lt;&gt;1,"",IF(BT209-CONTROL_PANEL!$B$11&lt;0,0,BT209-CONTROL_PANEL!$B$11))</f>
        <v/>
      </c>
      <c r="BV209" s="18" t="str">
        <f>IF(BW209&lt;&gt;1,"",IF(BS209&lt;=0,0,MIN(BS209,MAX(0,CONTROL_PANEL!$B$13-BT209))))</f>
        <v/>
      </c>
      <c r="BW209" s="18"/>
      <c r="BY209" s="19">
        <f t="shared" si="139"/>
        <v>2032</v>
      </c>
      <c r="BZ209" s="19">
        <f t="shared" si="144"/>
        <v>10</v>
      </c>
      <c r="CA209" s="18" t="str">
        <f t="shared" si="161"/>
        <v/>
      </c>
      <c r="CB209" s="18" t="str">
        <f t="shared" si="174"/>
        <v/>
      </c>
      <c r="CC209" s="18" t="str">
        <f>IF(CP208&lt;&gt;1,"",IF(CM208&gt;0,IF(CM208&gt;CONTROL_PANEL!$B$11,CONTROL_PANEL!$B$11,CM208),0))</f>
        <v/>
      </c>
      <c r="CD209" s="18" t="str">
        <f t="shared" si="169"/>
        <v/>
      </c>
      <c r="CE209" s="18" t="str">
        <f>IF(CP209&lt;&gt;1,"",DATA_INPUT!$I209)</f>
        <v/>
      </c>
      <c r="CF209" s="18" t="str">
        <f>IF(CP209&lt;&gt;1,"",CE209*CONTROL_PANEL!$B$5)</f>
        <v/>
      </c>
      <c r="CG209" s="18" t="str">
        <f>IF(CP209&lt;&gt;1,"",DATA_INPUT!$C209)</f>
        <v/>
      </c>
      <c r="CH209" s="18" t="str">
        <f t="shared" si="162"/>
        <v/>
      </c>
      <c r="CI209" s="18" t="str">
        <f>IF(CP209&lt;&gt;1,"",DATA_INPUT!$H209)</f>
        <v/>
      </c>
      <c r="CJ209" s="18" t="str">
        <f t="shared" si="163"/>
        <v/>
      </c>
      <c r="CK209" s="18" t="str">
        <f>IF(CP209&lt;&gt;1,"",CF209*CONTROL_PANEL!$B$14)</f>
        <v/>
      </c>
      <c r="CL209" s="18" t="str">
        <f>IF(CP209&lt;&gt;1,"",DATA_INPUT!$O209)</f>
        <v/>
      </c>
      <c r="CM209" s="18" t="str">
        <f t="shared" si="164"/>
        <v/>
      </c>
      <c r="CN209" s="18" t="str">
        <f>IF(CP209&lt;&gt;1,"",IF(CM209-CONTROL_PANEL!$B$11&lt;0,0,CM209-CONTROL_PANEL!$B$11))</f>
        <v/>
      </c>
      <c r="CO209" s="18" t="str">
        <f>IF(CP209&lt;&gt;1,"",IF(CL209&lt;=0,0,MIN(CL209,MAX(0,CONTROL_PANEL!$B$13-CM209))))</f>
        <v/>
      </c>
      <c r="CP209" s="18"/>
    </row>
    <row r="210" spans="1:94" x14ac:dyDescent="0.25">
      <c r="A210" s="19">
        <f t="shared" ref="A210:A273" si="175">A198+1</f>
        <v>2032</v>
      </c>
      <c r="B210" s="19">
        <f t="shared" si="140"/>
        <v>11</v>
      </c>
      <c r="C210" s="18" t="str">
        <f t="shared" si="145"/>
        <v/>
      </c>
      <c r="D210" s="18" t="str">
        <f t="shared" si="170"/>
        <v/>
      </c>
      <c r="E210" s="18" t="str">
        <f>IF(R209&lt;&gt;1,"",IF(O209&gt;0,IF(O209&gt;CONTROL_PANEL!$B$11,CONTROL_PANEL!$B$11,O209),0))</f>
        <v/>
      </c>
      <c r="F210" s="18" t="str">
        <f t="shared" si="165"/>
        <v/>
      </c>
      <c r="G210" s="18" t="str">
        <f>IF(R210&lt;&gt;1,"",DATA_INPUT!I210)</f>
        <v/>
      </c>
      <c r="H210" s="18" t="str">
        <f>IF(R210&lt;&gt;1,"",G210*CONTROL_PANEL!$B$5)</f>
        <v/>
      </c>
      <c r="I210" s="18" t="str">
        <f>IF(R210&lt;&gt;1,"",DATA_INPUT!C210)</f>
        <v/>
      </c>
      <c r="J210" s="18" t="str">
        <f t="shared" si="146"/>
        <v/>
      </c>
      <c r="K210" s="18" t="str">
        <f>IF(R210&lt;&gt;1,"",DATA_INPUT!H210)</f>
        <v/>
      </c>
      <c r="L210" s="18" t="str">
        <f t="shared" si="147"/>
        <v/>
      </c>
      <c r="M210" s="18" t="str">
        <f>IF(R210&lt;&gt;1,"",H210*CONTROL_PANEL!$B$14)</f>
        <v/>
      </c>
      <c r="N210" s="18" t="str">
        <f>IF(R210&lt;&gt;1,"",DATA_INPUT!K210)</f>
        <v/>
      </c>
      <c r="O210" s="18" t="str">
        <f t="shared" si="148"/>
        <v/>
      </c>
      <c r="P210" s="18" t="str">
        <f>IF(R210&lt;&gt;1,"",IF(O210-CONTROL_PANEL!$B$11&lt;0,0,O210-CONTROL_PANEL!$B$11))</f>
        <v/>
      </c>
      <c r="Q210" s="18" t="str">
        <f>IF(R210&lt;&gt;1,"",IF(N210&lt;=0,0,MIN(N210,MAX(0,CONTROL_PANEL!$B$13-O210))))</f>
        <v/>
      </c>
      <c r="R210" s="18"/>
      <c r="T210" s="19">
        <f t="shared" ref="T210:T273" si="176">T198+1</f>
        <v>2032</v>
      </c>
      <c r="U210" s="19">
        <f t="shared" si="141"/>
        <v>11</v>
      </c>
      <c r="V210" s="18" t="str">
        <f t="shared" si="149"/>
        <v/>
      </c>
      <c r="W210" s="18" t="str">
        <f t="shared" si="171"/>
        <v/>
      </c>
      <c r="X210" s="18" t="str">
        <f>IF(AK209&lt;&gt;1,"",IF(AH209&gt;0,IF(AH209&gt;CONTROL_PANEL!$B$11,CONTROL_PANEL!$B$11,AH209),0))</f>
        <v/>
      </c>
      <c r="Y210" s="18" t="str">
        <f t="shared" si="166"/>
        <v/>
      </c>
      <c r="Z210" s="18" t="str">
        <f>IF(AK210&lt;&gt;1,"",DATA_INPUT!I210)</f>
        <v/>
      </c>
      <c r="AA210" s="18" t="str">
        <f>IF(AK210&lt;&gt;1,"",Z210*CONTROL_PANEL!$B$5)</f>
        <v/>
      </c>
      <c r="AB210" s="18" t="str">
        <f>IF(AK210&lt;&gt;1,"",DATA_INPUT!$C210)</f>
        <v/>
      </c>
      <c r="AC210" s="18" t="str">
        <f t="shared" si="150"/>
        <v/>
      </c>
      <c r="AD210" s="18" t="str">
        <f>IF(AK210&lt;&gt;1,"",DATA_INPUT!$H210)</f>
        <v/>
      </c>
      <c r="AE210" s="18" t="str">
        <f t="shared" si="151"/>
        <v/>
      </c>
      <c r="AF210" s="18" t="str">
        <f>IF(AK210&lt;&gt;1,"",AA210*CONTROL_PANEL!$B$14)</f>
        <v/>
      </c>
      <c r="AG210" s="18" t="str">
        <f>IF(AK210&lt;&gt;1,"",DATA_INPUT!$L210)</f>
        <v/>
      </c>
      <c r="AH210" s="18" t="str">
        <f t="shared" si="152"/>
        <v/>
      </c>
      <c r="AI210" s="18" t="str">
        <f>IF(AK210&lt;&gt;1,"",IF(AH210-CONTROL_PANEL!$B$11&lt;0,0,AH210-CONTROL_PANEL!$B$11))</f>
        <v/>
      </c>
      <c r="AJ210" s="18" t="str">
        <f>IF(AK210&lt;&gt;1,"",IF(AG210&lt;=0,0,MIN(AG210,MAX(0,CONTROL_PANEL!$B$13-AH210))))</f>
        <v/>
      </c>
      <c r="AK210" s="18"/>
      <c r="AM210" s="19">
        <f t="shared" ref="AM210:AM273" si="177">AM198+1</f>
        <v>2032</v>
      </c>
      <c r="AN210" s="19">
        <f t="shared" si="142"/>
        <v>11</v>
      </c>
      <c r="AO210" s="18" t="str">
        <f t="shared" si="153"/>
        <v/>
      </c>
      <c r="AP210" s="18" t="str">
        <f t="shared" si="172"/>
        <v/>
      </c>
      <c r="AQ210" s="18" t="str">
        <f>IF(BD209&lt;&gt;1,"",IF(BA209&gt;0,IF(BA209&gt;CONTROL_PANEL!$B$11,CONTROL_PANEL!$B$11,BA209),0))</f>
        <v/>
      </c>
      <c r="AR210" s="18" t="str">
        <f t="shared" si="167"/>
        <v/>
      </c>
      <c r="AS210" s="18" t="str">
        <f>IF(BD210&lt;&gt;1,"",DATA_INPUT!$I210)</f>
        <v/>
      </c>
      <c r="AT210" s="18" t="str">
        <f>IF(BD210&lt;&gt;1,"",AS210*CONTROL_PANEL!$B$5)</f>
        <v/>
      </c>
      <c r="AU210" s="18" t="str">
        <f>IF(BD210&lt;&gt;1,"",DATA_INPUT!$C210)</f>
        <v/>
      </c>
      <c r="AV210" s="18" t="str">
        <f t="shared" si="154"/>
        <v/>
      </c>
      <c r="AW210" s="18" t="str">
        <f>IF(BD210&lt;&gt;1,"",DATA_INPUT!$H210)</f>
        <v/>
      </c>
      <c r="AX210" s="18" t="str">
        <f t="shared" si="155"/>
        <v/>
      </c>
      <c r="AY210" s="18" t="str">
        <f>IF(BD210&lt;&gt;1,"",AT210*CONTROL_PANEL!$B$14)</f>
        <v/>
      </c>
      <c r="AZ210" s="18" t="str">
        <f>IF(BD210&lt;&gt;1,"",DATA_INPUT!$M210)</f>
        <v/>
      </c>
      <c r="BA210" s="18" t="str">
        <f t="shared" si="156"/>
        <v/>
      </c>
      <c r="BB210" s="18" t="str">
        <f>IF(BD210&lt;&gt;1,"",IF(BA210-CONTROL_PANEL!$B$11&lt;0,0,BA210-CONTROL_PANEL!$B$11))</f>
        <v/>
      </c>
      <c r="BC210" s="18" t="str">
        <f>IF(BD210&lt;&gt;1,"",IF(AZ210&lt;=0,0,MIN(AZ210,MAX(0,CONTROL_PANEL!$B$13-BA210))))</f>
        <v/>
      </c>
      <c r="BD210" s="18"/>
      <c r="BF210" s="19">
        <f t="shared" ref="BF210:BF273" si="178">BF198+1</f>
        <v>2032</v>
      </c>
      <c r="BG210" s="19">
        <f t="shared" si="143"/>
        <v>11</v>
      </c>
      <c r="BH210" s="18" t="str">
        <f t="shared" si="157"/>
        <v/>
      </c>
      <c r="BI210" s="18" t="str">
        <f t="shared" si="173"/>
        <v/>
      </c>
      <c r="BJ210" s="18" t="str">
        <f>IF(BW209&lt;&gt;1,"",IF(BT209&gt;0,IF(BT209&gt;CONTROL_PANEL!$B$11,CONTROL_PANEL!$B$11,BT209),0))</f>
        <v/>
      </c>
      <c r="BK210" s="18" t="str">
        <f t="shared" si="168"/>
        <v/>
      </c>
      <c r="BL210" s="18" t="str">
        <f>IF(BW210&lt;&gt;1,"",DATA_INPUT!$I210)</f>
        <v/>
      </c>
      <c r="BM210" s="18" t="str">
        <f>IF(BW210&lt;&gt;1,"",BL210*CONTROL_PANEL!$B$5)</f>
        <v/>
      </c>
      <c r="BN210" s="18" t="str">
        <f>IF(BW210&lt;&gt;1,"",DATA_INPUT!$C210)</f>
        <v/>
      </c>
      <c r="BO210" s="18" t="str">
        <f t="shared" si="158"/>
        <v/>
      </c>
      <c r="BP210" s="18" t="str">
        <f>IF(BW210&lt;&gt;1,"",DATA_INPUT!$H210)</f>
        <v/>
      </c>
      <c r="BQ210" s="18" t="str">
        <f t="shared" si="159"/>
        <v/>
      </c>
      <c r="BR210" s="18" t="str">
        <f>IF(BW210&lt;&gt;1,"",BM210*CONTROL_PANEL!$B$14)</f>
        <v/>
      </c>
      <c r="BS210" s="18" t="str">
        <f>IF(BW210&lt;&gt;1,"",DATA_INPUT!$N210)</f>
        <v/>
      </c>
      <c r="BT210" s="18" t="str">
        <f t="shared" si="160"/>
        <v/>
      </c>
      <c r="BU210" s="18" t="str">
        <f>IF(BW210&lt;&gt;1,"",IF(BT210-CONTROL_PANEL!$B$11&lt;0,0,BT210-CONTROL_PANEL!$B$11))</f>
        <v/>
      </c>
      <c r="BV210" s="18" t="str">
        <f>IF(BW210&lt;&gt;1,"",IF(BS210&lt;=0,0,MIN(BS210,MAX(0,CONTROL_PANEL!$B$13-BT210))))</f>
        <v/>
      </c>
      <c r="BW210" s="18"/>
      <c r="BY210" s="19">
        <f t="shared" ref="BY210:BY273" si="179">BY198+1</f>
        <v>2032</v>
      </c>
      <c r="BZ210" s="19">
        <f t="shared" si="144"/>
        <v>11</v>
      </c>
      <c r="CA210" s="18" t="str">
        <f t="shared" si="161"/>
        <v/>
      </c>
      <c r="CB210" s="18" t="str">
        <f t="shared" si="174"/>
        <v/>
      </c>
      <c r="CC210" s="18" t="str">
        <f>IF(CP209&lt;&gt;1,"",IF(CM209&gt;0,IF(CM209&gt;CONTROL_PANEL!$B$11,CONTROL_PANEL!$B$11,CM209),0))</f>
        <v/>
      </c>
      <c r="CD210" s="18" t="str">
        <f t="shared" si="169"/>
        <v/>
      </c>
      <c r="CE210" s="18" t="str">
        <f>IF(CP210&lt;&gt;1,"",DATA_INPUT!$I210)</f>
        <v/>
      </c>
      <c r="CF210" s="18" t="str">
        <f>IF(CP210&lt;&gt;1,"",CE210*CONTROL_PANEL!$B$5)</f>
        <v/>
      </c>
      <c r="CG210" s="18" t="str">
        <f>IF(CP210&lt;&gt;1,"",DATA_INPUT!$C210)</f>
        <v/>
      </c>
      <c r="CH210" s="18" t="str">
        <f t="shared" si="162"/>
        <v/>
      </c>
      <c r="CI210" s="18" t="str">
        <f>IF(CP210&lt;&gt;1,"",DATA_INPUT!$H210)</f>
        <v/>
      </c>
      <c r="CJ210" s="18" t="str">
        <f t="shared" si="163"/>
        <v/>
      </c>
      <c r="CK210" s="18" t="str">
        <f>IF(CP210&lt;&gt;1,"",CF210*CONTROL_PANEL!$B$14)</f>
        <v/>
      </c>
      <c r="CL210" s="18" t="str">
        <f>IF(CP210&lt;&gt;1,"",DATA_INPUT!$O210)</f>
        <v/>
      </c>
      <c r="CM210" s="18" t="str">
        <f t="shared" si="164"/>
        <v/>
      </c>
      <c r="CN210" s="18" t="str">
        <f>IF(CP210&lt;&gt;1,"",IF(CM210-CONTROL_PANEL!$B$11&lt;0,0,CM210-CONTROL_PANEL!$B$11))</f>
        <v/>
      </c>
      <c r="CO210" s="18" t="str">
        <f>IF(CP210&lt;&gt;1,"",IF(CL210&lt;=0,0,MIN(CL210,MAX(0,CONTROL_PANEL!$B$13-CM210))))</f>
        <v/>
      </c>
      <c r="CP210" s="18"/>
    </row>
    <row r="211" spans="1:94" x14ac:dyDescent="0.25">
      <c r="A211" s="19">
        <f t="shared" si="175"/>
        <v>2032</v>
      </c>
      <c r="B211" s="19">
        <f t="shared" si="140"/>
        <v>12</v>
      </c>
      <c r="C211" s="18" t="str">
        <f t="shared" si="145"/>
        <v/>
      </c>
      <c r="D211" s="18" t="str">
        <f t="shared" si="170"/>
        <v/>
      </c>
      <c r="E211" s="18" t="str">
        <f>IF(R210&lt;&gt;1,"",IF(O210&gt;0,IF(O210&gt;CONTROL_PANEL!$B$11,CONTROL_PANEL!$B$11,O210),0))</f>
        <v/>
      </c>
      <c r="F211" s="18" t="str">
        <f t="shared" si="165"/>
        <v/>
      </c>
      <c r="G211" s="18" t="str">
        <f>IF(R211&lt;&gt;1,"",DATA_INPUT!I211)</f>
        <v/>
      </c>
      <c r="H211" s="18" t="str">
        <f>IF(R211&lt;&gt;1,"",G211*CONTROL_PANEL!$B$5)</f>
        <v/>
      </c>
      <c r="I211" s="18" t="str">
        <f>IF(R211&lt;&gt;1,"",DATA_INPUT!C211)</f>
        <v/>
      </c>
      <c r="J211" s="18" t="str">
        <f t="shared" si="146"/>
        <v/>
      </c>
      <c r="K211" s="18" t="str">
        <f>IF(R211&lt;&gt;1,"",DATA_INPUT!H211)</f>
        <v/>
      </c>
      <c r="L211" s="18" t="str">
        <f t="shared" si="147"/>
        <v/>
      </c>
      <c r="M211" s="18" t="str">
        <f>IF(R211&lt;&gt;1,"",H211*CONTROL_PANEL!$B$14)</f>
        <v/>
      </c>
      <c r="N211" s="18" t="str">
        <f>IF(R211&lt;&gt;1,"",DATA_INPUT!K211)</f>
        <v/>
      </c>
      <c r="O211" s="18" t="str">
        <f t="shared" si="148"/>
        <v/>
      </c>
      <c r="P211" s="18" t="str">
        <f>IF(R211&lt;&gt;1,"",IF(O211-CONTROL_PANEL!$B$11&lt;0,0,O211-CONTROL_PANEL!$B$11))</f>
        <v/>
      </c>
      <c r="Q211" s="18" t="str">
        <f>IF(R211&lt;&gt;1,"",IF(N211&lt;=0,0,MIN(N211,MAX(0,CONTROL_PANEL!$B$13-O211))))</f>
        <v/>
      </c>
      <c r="R211" s="18"/>
      <c r="T211" s="19">
        <f t="shared" si="176"/>
        <v>2032</v>
      </c>
      <c r="U211" s="19">
        <f t="shared" si="141"/>
        <v>12</v>
      </c>
      <c r="V211" s="18" t="str">
        <f t="shared" si="149"/>
        <v/>
      </c>
      <c r="W211" s="18" t="str">
        <f t="shared" si="171"/>
        <v/>
      </c>
      <c r="X211" s="18" t="str">
        <f>IF(AK210&lt;&gt;1,"",IF(AH210&gt;0,IF(AH210&gt;CONTROL_PANEL!$B$11,CONTROL_PANEL!$B$11,AH210),0))</f>
        <v/>
      </c>
      <c r="Y211" s="18" t="str">
        <f t="shared" si="166"/>
        <v/>
      </c>
      <c r="Z211" s="18" t="str">
        <f>IF(AK211&lt;&gt;1,"",DATA_INPUT!I211)</f>
        <v/>
      </c>
      <c r="AA211" s="18" t="str">
        <f>IF(AK211&lt;&gt;1,"",Z211*CONTROL_PANEL!$B$5)</f>
        <v/>
      </c>
      <c r="AB211" s="18" t="str">
        <f>IF(AK211&lt;&gt;1,"",DATA_INPUT!$C211)</f>
        <v/>
      </c>
      <c r="AC211" s="18" t="str">
        <f t="shared" si="150"/>
        <v/>
      </c>
      <c r="AD211" s="18" t="str">
        <f>IF(AK211&lt;&gt;1,"",DATA_INPUT!$H211)</f>
        <v/>
      </c>
      <c r="AE211" s="18" t="str">
        <f t="shared" si="151"/>
        <v/>
      </c>
      <c r="AF211" s="18" t="str">
        <f>IF(AK211&lt;&gt;1,"",AA211*CONTROL_PANEL!$B$14)</f>
        <v/>
      </c>
      <c r="AG211" s="18" t="str">
        <f>IF(AK211&lt;&gt;1,"",DATA_INPUT!$L211)</f>
        <v/>
      </c>
      <c r="AH211" s="18" t="str">
        <f t="shared" si="152"/>
        <v/>
      </c>
      <c r="AI211" s="18" t="str">
        <f>IF(AK211&lt;&gt;1,"",IF(AH211-CONTROL_PANEL!$B$11&lt;0,0,AH211-CONTROL_PANEL!$B$11))</f>
        <v/>
      </c>
      <c r="AJ211" s="18" t="str">
        <f>IF(AK211&lt;&gt;1,"",IF(AG211&lt;=0,0,MIN(AG211,MAX(0,CONTROL_PANEL!$B$13-AH211))))</f>
        <v/>
      </c>
      <c r="AK211" s="18"/>
      <c r="AM211" s="19">
        <f t="shared" si="177"/>
        <v>2032</v>
      </c>
      <c r="AN211" s="19">
        <f t="shared" si="142"/>
        <v>12</v>
      </c>
      <c r="AO211" s="18" t="str">
        <f t="shared" si="153"/>
        <v/>
      </c>
      <c r="AP211" s="18" t="str">
        <f t="shared" si="172"/>
        <v/>
      </c>
      <c r="AQ211" s="18" t="str">
        <f>IF(BD210&lt;&gt;1,"",IF(BA210&gt;0,IF(BA210&gt;CONTROL_PANEL!$B$11,CONTROL_PANEL!$B$11,BA210),0))</f>
        <v/>
      </c>
      <c r="AR211" s="18" t="str">
        <f t="shared" si="167"/>
        <v/>
      </c>
      <c r="AS211" s="18" t="str">
        <f>IF(BD211&lt;&gt;1,"",DATA_INPUT!$I211)</f>
        <v/>
      </c>
      <c r="AT211" s="18" t="str">
        <f>IF(BD211&lt;&gt;1,"",AS211*CONTROL_PANEL!$B$5)</f>
        <v/>
      </c>
      <c r="AU211" s="18" t="str">
        <f>IF(BD211&lt;&gt;1,"",DATA_INPUT!$C211)</f>
        <v/>
      </c>
      <c r="AV211" s="18" t="str">
        <f t="shared" si="154"/>
        <v/>
      </c>
      <c r="AW211" s="18" t="str">
        <f>IF(BD211&lt;&gt;1,"",DATA_INPUT!$H211)</f>
        <v/>
      </c>
      <c r="AX211" s="18" t="str">
        <f t="shared" si="155"/>
        <v/>
      </c>
      <c r="AY211" s="18" t="str">
        <f>IF(BD211&lt;&gt;1,"",AT211*CONTROL_PANEL!$B$14)</f>
        <v/>
      </c>
      <c r="AZ211" s="18" t="str">
        <f>IF(BD211&lt;&gt;1,"",DATA_INPUT!$M211)</f>
        <v/>
      </c>
      <c r="BA211" s="18" t="str">
        <f t="shared" si="156"/>
        <v/>
      </c>
      <c r="BB211" s="18" t="str">
        <f>IF(BD211&lt;&gt;1,"",IF(BA211-CONTROL_PANEL!$B$11&lt;0,0,BA211-CONTROL_PANEL!$B$11))</f>
        <v/>
      </c>
      <c r="BC211" s="18" t="str">
        <f>IF(BD211&lt;&gt;1,"",IF(AZ211&lt;=0,0,MIN(AZ211,MAX(0,CONTROL_PANEL!$B$13-BA211))))</f>
        <v/>
      </c>
      <c r="BD211" s="18"/>
      <c r="BF211" s="19">
        <f t="shared" si="178"/>
        <v>2032</v>
      </c>
      <c r="BG211" s="19">
        <f t="shared" si="143"/>
        <v>12</v>
      </c>
      <c r="BH211" s="18" t="str">
        <f t="shared" si="157"/>
        <v/>
      </c>
      <c r="BI211" s="18" t="str">
        <f t="shared" si="173"/>
        <v/>
      </c>
      <c r="BJ211" s="18" t="str">
        <f>IF(BW210&lt;&gt;1,"",IF(BT210&gt;0,IF(BT210&gt;CONTROL_PANEL!$B$11,CONTROL_PANEL!$B$11,BT210),0))</f>
        <v/>
      </c>
      <c r="BK211" s="18" t="str">
        <f t="shared" si="168"/>
        <v/>
      </c>
      <c r="BL211" s="18" t="str">
        <f>IF(BW211&lt;&gt;1,"",DATA_INPUT!$I211)</f>
        <v/>
      </c>
      <c r="BM211" s="18" t="str">
        <f>IF(BW211&lt;&gt;1,"",BL211*CONTROL_PANEL!$B$5)</f>
        <v/>
      </c>
      <c r="BN211" s="18" t="str">
        <f>IF(BW211&lt;&gt;1,"",DATA_INPUT!$C211)</f>
        <v/>
      </c>
      <c r="BO211" s="18" t="str">
        <f t="shared" si="158"/>
        <v/>
      </c>
      <c r="BP211" s="18" t="str">
        <f>IF(BW211&lt;&gt;1,"",DATA_INPUT!$H211)</f>
        <v/>
      </c>
      <c r="BQ211" s="18" t="str">
        <f t="shared" si="159"/>
        <v/>
      </c>
      <c r="BR211" s="18" t="str">
        <f>IF(BW211&lt;&gt;1,"",BM211*CONTROL_PANEL!$B$14)</f>
        <v/>
      </c>
      <c r="BS211" s="18" t="str">
        <f>IF(BW211&lt;&gt;1,"",DATA_INPUT!$N211)</f>
        <v/>
      </c>
      <c r="BT211" s="18" t="str">
        <f t="shared" si="160"/>
        <v/>
      </c>
      <c r="BU211" s="18" t="str">
        <f>IF(BW211&lt;&gt;1,"",IF(BT211-CONTROL_PANEL!$B$11&lt;0,0,BT211-CONTROL_PANEL!$B$11))</f>
        <v/>
      </c>
      <c r="BV211" s="18" t="str">
        <f>IF(BW211&lt;&gt;1,"",IF(BS211&lt;=0,0,MIN(BS211,MAX(0,CONTROL_PANEL!$B$13-BT211))))</f>
        <v/>
      </c>
      <c r="BW211" s="18"/>
      <c r="BY211" s="19">
        <f t="shared" si="179"/>
        <v>2032</v>
      </c>
      <c r="BZ211" s="19">
        <f t="shared" si="144"/>
        <v>12</v>
      </c>
      <c r="CA211" s="18" t="str">
        <f t="shared" si="161"/>
        <v/>
      </c>
      <c r="CB211" s="18" t="str">
        <f t="shared" si="174"/>
        <v/>
      </c>
      <c r="CC211" s="18" t="str">
        <f>IF(CP210&lt;&gt;1,"",IF(CM210&gt;0,IF(CM210&gt;CONTROL_PANEL!$B$11,CONTROL_PANEL!$B$11,CM210),0))</f>
        <v/>
      </c>
      <c r="CD211" s="18" t="str">
        <f t="shared" si="169"/>
        <v/>
      </c>
      <c r="CE211" s="18" t="str">
        <f>IF(CP211&lt;&gt;1,"",DATA_INPUT!$I211)</f>
        <v/>
      </c>
      <c r="CF211" s="18" t="str">
        <f>IF(CP211&lt;&gt;1,"",CE211*CONTROL_PANEL!$B$5)</f>
        <v/>
      </c>
      <c r="CG211" s="18" t="str">
        <f>IF(CP211&lt;&gt;1,"",DATA_INPUT!$C211)</f>
        <v/>
      </c>
      <c r="CH211" s="18" t="str">
        <f t="shared" si="162"/>
        <v/>
      </c>
      <c r="CI211" s="18" t="str">
        <f>IF(CP211&lt;&gt;1,"",DATA_INPUT!$H211)</f>
        <v/>
      </c>
      <c r="CJ211" s="18" t="str">
        <f t="shared" si="163"/>
        <v/>
      </c>
      <c r="CK211" s="18" t="str">
        <f>IF(CP211&lt;&gt;1,"",CF211*CONTROL_PANEL!$B$14)</f>
        <v/>
      </c>
      <c r="CL211" s="18" t="str">
        <f>IF(CP211&lt;&gt;1,"",DATA_INPUT!$O211)</f>
        <v/>
      </c>
      <c r="CM211" s="18" t="str">
        <f t="shared" si="164"/>
        <v/>
      </c>
      <c r="CN211" s="18" t="str">
        <f>IF(CP211&lt;&gt;1,"",IF(CM211-CONTROL_PANEL!$B$11&lt;0,0,CM211-CONTROL_PANEL!$B$11))</f>
        <v/>
      </c>
      <c r="CO211" s="18" t="str">
        <f>IF(CP211&lt;&gt;1,"",IF(CL211&lt;=0,0,MIN(CL211,MAX(0,CONTROL_PANEL!$B$13-CM211))))</f>
        <v/>
      </c>
      <c r="CP211" s="18"/>
    </row>
    <row r="212" spans="1:94" x14ac:dyDescent="0.25">
      <c r="A212" s="19">
        <f t="shared" si="175"/>
        <v>2033</v>
      </c>
      <c r="B212" s="19">
        <f t="shared" si="140"/>
        <v>1</v>
      </c>
      <c r="C212" s="18" t="str">
        <f t="shared" si="145"/>
        <v/>
      </c>
      <c r="D212" s="18" t="str">
        <f t="shared" si="170"/>
        <v/>
      </c>
      <c r="E212" s="18" t="str">
        <f>IF(R211&lt;&gt;1,"",IF(O211&gt;0,IF(O211&gt;CONTROL_PANEL!$B$11,CONTROL_PANEL!$B$11,O211),0))</f>
        <v/>
      </c>
      <c r="F212" s="18" t="str">
        <f t="shared" si="165"/>
        <v/>
      </c>
      <c r="G212" s="18" t="str">
        <f>IF(R212&lt;&gt;1,"",DATA_INPUT!I212)</f>
        <v/>
      </c>
      <c r="H212" s="18" t="str">
        <f>IF(R212&lt;&gt;1,"",G212*CONTROL_PANEL!$B$5)</f>
        <v/>
      </c>
      <c r="I212" s="18" t="str">
        <f>IF(R212&lt;&gt;1,"",DATA_INPUT!C212)</f>
        <v/>
      </c>
      <c r="J212" s="18" t="str">
        <f t="shared" si="146"/>
        <v/>
      </c>
      <c r="K212" s="18" t="str">
        <f>IF(R212&lt;&gt;1,"",DATA_INPUT!H212)</f>
        <v/>
      </c>
      <c r="L212" s="18" t="str">
        <f t="shared" si="147"/>
        <v/>
      </c>
      <c r="M212" s="18" t="str">
        <f>IF(R212&lt;&gt;1,"",H212*CONTROL_PANEL!$B$14)</f>
        <v/>
      </c>
      <c r="N212" s="18" t="str">
        <f>IF(R212&lt;&gt;1,"",DATA_INPUT!K212)</f>
        <v/>
      </c>
      <c r="O212" s="18" t="str">
        <f t="shared" si="148"/>
        <v/>
      </c>
      <c r="P212" s="18" t="str">
        <f>IF(R212&lt;&gt;1,"",IF(O212-CONTROL_PANEL!$B$11&lt;0,0,O212-CONTROL_PANEL!$B$11))</f>
        <v/>
      </c>
      <c r="Q212" s="18" t="str">
        <f>IF(R212&lt;&gt;1,"",IF(N212&lt;=0,0,MIN(N212,MAX(0,CONTROL_PANEL!$B$13-O212))))</f>
        <v/>
      </c>
      <c r="R212" s="18"/>
      <c r="T212" s="19">
        <f t="shared" si="176"/>
        <v>2033</v>
      </c>
      <c r="U212" s="19">
        <f t="shared" si="141"/>
        <v>1</v>
      </c>
      <c r="V212" s="18" t="str">
        <f t="shared" si="149"/>
        <v/>
      </c>
      <c r="W212" s="18" t="str">
        <f t="shared" si="171"/>
        <v/>
      </c>
      <c r="X212" s="18" t="str">
        <f>IF(AK211&lt;&gt;1,"",IF(AH211&gt;0,IF(AH211&gt;CONTROL_PANEL!$B$11,CONTROL_PANEL!$B$11,AH211),0))</f>
        <v/>
      </c>
      <c r="Y212" s="18" t="str">
        <f t="shared" si="166"/>
        <v/>
      </c>
      <c r="Z212" s="18" t="str">
        <f>IF(AK212&lt;&gt;1,"",DATA_INPUT!I212)</f>
        <v/>
      </c>
      <c r="AA212" s="18" t="str">
        <f>IF(AK212&lt;&gt;1,"",Z212*CONTROL_PANEL!$B$5)</f>
        <v/>
      </c>
      <c r="AB212" s="18" t="str">
        <f>IF(AK212&lt;&gt;1,"",DATA_INPUT!$C212)</f>
        <v/>
      </c>
      <c r="AC212" s="18" t="str">
        <f t="shared" si="150"/>
        <v/>
      </c>
      <c r="AD212" s="18" t="str">
        <f>IF(AK212&lt;&gt;1,"",DATA_INPUT!$H212)</f>
        <v/>
      </c>
      <c r="AE212" s="18" t="str">
        <f t="shared" si="151"/>
        <v/>
      </c>
      <c r="AF212" s="18" t="str">
        <f>IF(AK212&lt;&gt;1,"",AA212*CONTROL_PANEL!$B$14)</f>
        <v/>
      </c>
      <c r="AG212" s="18" t="str">
        <f>IF(AK212&lt;&gt;1,"",DATA_INPUT!$L212)</f>
        <v/>
      </c>
      <c r="AH212" s="18" t="str">
        <f t="shared" si="152"/>
        <v/>
      </c>
      <c r="AI212" s="18" t="str">
        <f>IF(AK212&lt;&gt;1,"",IF(AH212-CONTROL_PANEL!$B$11&lt;0,0,AH212-CONTROL_PANEL!$B$11))</f>
        <v/>
      </c>
      <c r="AJ212" s="18" t="str">
        <f>IF(AK212&lt;&gt;1,"",IF(AG212&lt;=0,0,MIN(AG212,MAX(0,CONTROL_PANEL!$B$13-AH212))))</f>
        <v/>
      </c>
      <c r="AK212" s="18"/>
      <c r="AM212" s="19">
        <f t="shared" si="177"/>
        <v>2033</v>
      </c>
      <c r="AN212" s="19">
        <f t="shared" si="142"/>
        <v>1</v>
      </c>
      <c r="AO212" s="18" t="str">
        <f t="shared" si="153"/>
        <v/>
      </c>
      <c r="AP212" s="18" t="str">
        <f t="shared" si="172"/>
        <v/>
      </c>
      <c r="AQ212" s="18" t="str">
        <f>IF(BD211&lt;&gt;1,"",IF(BA211&gt;0,IF(BA211&gt;CONTROL_PANEL!$B$11,CONTROL_PANEL!$B$11,BA211),0))</f>
        <v/>
      </c>
      <c r="AR212" s="18" t="str">
        <f t="shared" si="167"/>
        <v/>
      </c>
      <c r="AS212" s="18" t="str">
        <f>IF(BD212&lt;&gt;1,"",DATA_INPUT!$I212)</f>
        <v/>
      </c>
      <c r="AT212" s="18" t="str">
        <f>IF(BD212&lt;&gt;1,"",AS212*CONTROL_PANEL!$B$5)</f>
        <v/>
      </c>
      <c r="AU212" s="18" t="str">
        <f>IF(BD212&lt;&gt;1,"",DATA_INPUT!$C212)</f>
        <v/>
      </c>
      <c r="AV212" s="18" t="str">
        <f t="shared" si="154"/>
        <v/>
      </c>
      <c r="AW212" s="18" t="str">
        <f>IF(BD212&lt;&gt;1,"",DATA_INPUT!$H212)</f>
        <v/>
      </c>
      <c r="AX212" s="18" t="str">
        <f t="shared" si="155"/>
        <v/>
      </c>
      <c r="AY212" s="18" t="str">
        <f>IF(BD212&lt;&gt;1,"",AT212*CONTROL_PANEL!$B$14)</f>
        <v/>
      </c>
      <c r="AZ212" s="18" t="str">
        <f>IF(BD212&lt;&gt;1,"",DATA_INPUT!$M212)</f>
        <v/>
      </c>
      <c r="BA212" s="18" t="str">
        <f t="shared" si="156"/>
        <v/>
      </c>
      <c r="BB212" s="18" t="str">
        <f>IF(BD212&lt;&gt;1,"",IF(BA212-CONTROL_PANEL!$B$11&lt;0,0,BA212-CONTROL_PANEL!$B$11))</f>
        <v/>
      </c>
      <c r="BC212" s="18" t="str">
        <f>IF(BD212&lt;&gt;1,"",IF(AZ212&lt;=0,0,MIN(AZ212,MAX(0,CONTROL_PANEL!$B$13-BA212))))</f>
        <v/>
      </c>
      <c r="BD212" s="18"/>
      <c r="BF212" s="19">
        <f t="shared" si="178"/>
        <v>2033</v>
      </c>
      <c r="BG212" s="19">
        <f t="shared" si="143"/>
        <v>1</v>
      </c>
      <c r="BH212" s="18" t="str">
        <f t="shared" si="157"/>
        <v/>
      </c>
      <c r="BI212" s="18" t="str">
        <f t="shared" si="173"/>
        <v/>
      </c>
      <c r="BJ212" s="18" t="str">
        <f>IF(BW211&lt;&gt;1,"",IF(BT211&gt;0,IF(BT211&gt;CONTROL_PANEL!$B$11,CONTROL_PANEL!$B$11,BT211),0))</f>
        <v/>
      </c>
      <c r="BK212" s="18" t="str">
        <f t="shared" si="168"/>
        <v/>
      </c>
      <c r="BL212" s="18" t="str">
        <f>IF(BW212&lt;&gt;1,"",DATA_INPUT!$I212)</f>
        <v/>
      </c>
      <c r="BM212" s="18" t="str">
        <f>IF(BW212&lt;&gt;1,"",BL212*CONTROL_PANEL!$B$5)</f>
        <v/>
      </c>
      <c r="BN212" s="18" t="str">
        <f>IF(BW212&lt;&gt;1,"",DATA_INPUT!$C212)</f>
        <v/>
      </c>
      <c r="BO212" s="18" t="str">
        <f t="shared" si="158"/>
        <v/>
      </c>
      <c r="BP212" s="18" t="str">
        <f>IF(BW212&lt;&gt;1,"",DATA_INPUT!$H212)</f>
        <v/>
      </c>
      <c r="BQ212" s="18" t="str">
        <f t="shared" si="159"/>
        <v/>
      </c>
      <c r="BR212" s="18" t="str">
        <f>IF(BW212&lt;&gt;1,"",BM212*CONTROL_PANEL!$B$14)</f>
        <v/>
      </c>
      <c r="BS212" s="18" t="str">
        <f>IF(BW212&lt;&gt;1,"",DATA_INPUT!$N212)</f>
        <v/>
      </c>
      <c r="BT212" s="18" t="str">
        <f t="shared" si="160"/>
        <v/>
      </c>
      <c r="BU212" s="18" t="str">
        <f>IF(BW212&lt;&gt;1,"",IF(BT212-CONTROL_PANEL!$B$11&lt;0,0,BT212-CONTROL_PANEL!$B$11))</f>
        <v/>
      </c>
      <c r="BV212" s="18" t="str">
        <f>IF(BW212&lt;&gt;1,"",IF(BS212&lt;=0,0,MIN(BS212,MAX(0,CONTROL_PANEL!$B$13-BT212))))</f>
        <v/>
      </c>
      <c r="BW212" s="18"/>
      <c r="BY212" s="19">
        <f t="shared" si="179"/>
        <v>2033</v>
      </c>
      <c r="BZ212" s="19">
        <f t="shared" si="144"/>
        <v>1</v>
      </c>
      <c r="CA212" s="18" t="str">
        <f t="shared" si="161"/>
        <v/>
      </c>
      <c r="CB212" s="18" t="str">
        <f t="shared" si="174"/>
        <v/>
      </c>
      <c r="CC212" s="18" t="str">
        <f>IF(CP211&lt;&gt;1,"",IF(CM211&gt;0,IF(CM211&gt;CONTROL_PANEL!$B$11,CONTROL_PANEL!$B$11,CM211),0))</f>
        <v/>
      </c>
      <c r="CD212" s="18" t="str">
        <f t="shared" si="169"/>
        <v/>
      </c>
      <c r="CE212" s="18" t="str">
        <f>IF(CP212&lt;&gt;1,"",DATA_INPUT!$I212)</f>
        <v/>
      </c>
      <c r="CF212" s="18" t="str">
        <f>IF(CP212&lt;&gt;1,"",CE212*CONTROL_PANEL!$B$5)</f>
        <v/>
      </c>
      <c r="CG212" s="18" t="str">
        <f>IF(CP212&lt;&gt;1,"",DATA_INPUT!$C212)</f>
        <v/>
      </c>
      <c r="CH212" s="18" t="str">
        <f t="shared" si="162"/>
        <v/>
      </c>
      <c r="CI212" s="18" t="str">
        <f>IF(CP212&lt;&gt;1,"",DATA_INPUT!$H212)</f>
        <v/>
      </c>
      <c r="CJ212" s="18" t="str">
        <f t="shared" si="163"/>
        <v/>
      </c>
      <c r="CK212" s="18" t="str">
        <f>IF(CP212&lt;&gt;1,"",CF212*CONTROL_PANEL!$B$14)</f>
        <v/>
      </c>
      <c r="CL212" s="18" t="str">
        <f>IF(CP212&lt;&gt;1,"",DATA_INPUT!$O212)</f>
        <v/>
      </c>
      <c r="CM212" s="18" t="str">
        <f t="shared" si="164"/>
        <v/>
      </c>
      <c r="CN212" s="18" t="str">
        <f>IF(CP212&lt;&gt;1,"",IF(CM212-CONTROL_PANEL!$B$11&lt;0,0,CM212-CONTROL_PANEL!$B$11))</f>
        <v/>
      </c>
      <c r="CO212" s="18" t="str">
        <f>IF(CP212&lt;&gt;1,"",IF(CL212&lt;=0,0,MIN(CL212,MAX(0,CONTROL_PANEL!$B$13-CM212))))</f>
        <v/>
      </c>
      <c r="CP212" s="18"/>
    </row>
    <row r="213" spans="1:94" x14ac:dyDescent="0.25">
      <c r="A213" s="19">
        <f t="shared" si="175"/>
        <v>2033</v>
      </c>
      <c r="B213" s="19">
        <f t="shared" si="140"/>
        <v>2</v>
      </c>
      <c r="C213" s="18" t="str">
        <f t="shared" si="145"/>
        <v/>
      </c>
      <c r="D213" s="18" t="str">
        <f t="shared" si="170"/>
        <v/>
      </c>
      <c r="E213" s="18" t="str">
        <f>IF(R212&lt;&gt;1,"",IF(O212&gt;0,IF(O212&gt;CONTROL_PANEL!$B$11,CONTROL_PANEL!$B$11,O212),0))</f>
        <v/>
      </c>
      <c r="F213" s="18" t="str">
        <f t="shared" si="165"/>
        <v/>
      </c>
      <c r="G213" s="18" t="str">
        <f>IF(R213&lt;&gt;1,"",DATA_INPUT!I213)</f>
        <v/>
      </c>
      <c r="H213" s="18" t="str">
        <f>IF(R213&lt;&gt;1,"",G213*CONTROL_PANEL!$B$5)</f>
        <v/>
      </c>
      <c r="I213" s="18" t="str">
        <f>IF(R213&lt;&gt;1,"",DATA_INPUT!C213)</f>
        <v/>
      </c>
      <c r="J213" s="18" t="str">
        <f t="shared" si="146"/>
        <v/>
      </c>
      <c r="K213" s="18" t="str">
        <f>IF(R213&lt;&gt;1,"",DATA_INPUT!H213)</f>
        <v/>
      </c>
      <c r="L213" s="18" t="str">
        <f t="shared" si="147"/>
        <v/>
      </c>
      <c r="M213" s="18" t="str">
        <f>IF(R213&lt;&gt;1,"",H213*CONTROL_PANEL!$B$14)</f>
        <v/>
      </c>
      <c r="N213" s="18" t="str">
        <f>IF(R213&lt;&gt;1,"",DATA_INPUT!K213)</f>
        <v/>
      </c>
      <c r="O213" s="18" t="str">
        <f t="shared" si="148"/>
        <v/>
      </c>
      <c r="P213" s="18" t="str">
        <f>IF(R213&lt;&gt;1,"",IF(O213-CONTROL_PANEL!$B$11&lt;0,0,O213-CONTROL_PANEL!$B$11))</f>
        <v/>
      </c>
      <c r="Q213" s="18" t="str">
        <f>IF(R213&lt;&gt;1,"",IF(N213&lt;=0,0,MIN(N213,MAX(0,CONTROL_PANEL!$B$13-O213))))</f>
        <v/>
      </c>
      <c r="R213" s="18"/>
      <c r="T213" s="19">
        <f t="shared" si="176"/>
        <v>2033</v>
      </c>
      <c r="U213" s="19">
        <f t="shared" si="141"/>
        <v>2</v>
      </c>
      <c r="V213" s="18" t="str">
        <f t="shared" si="149"/>
        <v/>
      </c>
      <c r="W213" s="18" t="str">
        <f t="shared" si="171"/>
        <v/>
      </c>
      <c r="X213" s="18" t="str">
        <f>IF(AK212&lt;&gt;1,"",IF(AH212&gt;0,IF(AH212&gt;CONTROL_PANEL!$B$11,CONTROL_PANEL!$B$11,AH212),0))</f>
        <v/>
      </c>
      <c r="Y213" s="18" t="str">
        <f t="shared" si="166"/>
        <v/>
      </c>
      <c r="Z213" s="18" t="str">
        <f>IF(AK213&lt;&gt;1,"",DATA_INPUT!I213)</f>
        <v/>
      </c>
      <c r="AA213" s="18" t="str">
        <f>IF(AK213&lt;&gt;1,"",Z213*CONTROL_PANEL!$B$5)</f>
        <v/>
      </c>
      <c r="AB213" s="18" t="str">
        <f>IF(AK213&lt;&gt;1,"",DATA_INPUT!$C213)</f>
        <v/>
      </c>
      <c r="AC213" s="18" t="str">
        <f t="shared" si="150"/>
        <v/>
      </c>
      <c r="AD213" s="18" t="str">
        <f>IF(AK213&lt;&gt;1,"",DATA_INPUT!$H213)</f>
        <v/>
      </c>
      <c r="AE213" s="18" t="str">
        <f t="shared" si="151"/>
        <v/>
      </c>
      <c r="AF213" s="18" t="str">
        <f>IF(AK213&lt;&gt;1,"",AA213*CONTROL_PANEL!$B$14)</f>
        <v/>
      </c>
      <c r="AG213" s="18" t="str">
        <f>IF(AK213&lt;&gt;1,"",DATA_INPUT!$L213)</f>
        <v/>
      </c>
      <c r="AH213" s="18" t="str">
        <f t="shared" si="152"/>
        <v/>
      </c>
      <c r="AI213" s="18" t="str">
        <f>IF(AK213&lt;&gt;1,"",IF(AH213-CONTROL_PANEL!$B$11&lt;0,0,AH213-CONTROL_PANEL!$B$11))</f>
        <v/>
      </c>
      <c r="AJ213" s="18" t="str">
        <f>IF(AK213&lt;&gt;1,"",IF(AG213&lt;=0,0,MIN(AG213,MAX(0,CONTROL_PANEL!$B$13-AH213))))</f>
        <v/>
      </c>
      <c r="AK213" s="18"/>
      <c r="AM213" s="19">
        <f t="shared" si="177"/>
        <v>2033</v>
      </c>
      <c r="AN213" s="19">
        <f t="shared" si="142"/>
        <v>2</v>
      </c>
      <c r="AO213" s="18" t="str">
        <f t="shared" si="153"/>
        <v/>
      </c>
      <c r="AP213" s="18" t="str">
        <f t="shared" si="172"/>
        <v/>
      </c>
      <c r="AQ213" s="18" t="str">
        <f>IF(BD212&lt;&gt;1,"",IF(BA212&gt;0,IF(BA212&gt;CONTROL_PANEL!$B$11,CONTROL_PANEL!$B$11,BA212),0))</f>
        <v/>
      </c>
      <c r="AR213" s="18" t="str">
        <f t="shared" si="167"/>
        <v/>
      </c>
      <c r="AS213" s="18" t="str">
        <f>IF(BD213&lt;&gt;1,"",DATA_INPUT!$I213)</f>
        <v/>
      </c>
      <c r="AT213" s="18" t="str">
        <f>IF(BD213&lt;&gt;1,"",AS213*CONTROL_PANEL!$B$5)</f>
        <v/>
      </c>
      <c r="AU213" s="18" t="str">
        <f>IF(BD213&lt;&gt;1,"",DATA_INPUT!$C213)</f>
        <v/>
      </c>
      <c r="AV213" s="18" t="str">
        <f t="shared" si="154"/>
        <v/>
      </c>
      <c r="AW213" s="18" t="str">
        <f>IF(BD213&lt;&gt;1,"",DATA_INPUT!$H213)</f>
        <v/>
      </c>
      <c r="AX213" s="18" t="str">
        <f t="shared" si="155"/>
        <v/>
      </c>
      <c r="AY213" s="18" t="str">
        <f>IF(BD213&lt;&gt;1,"",AT213*CONTROL_PANEL!$B$14)</f>
        <v/>
      </c>
      <c r="AZ213" s="18" t="str">
        <f>IF(BD213&lt;&gt;1,"",DATA_INPUT!$M213)</f>
        <v/>
      </c>
      <c r="BA213" s="18" t="str">
        <f t="shared" si="156"/>
        <v/>
      </c>
      <c r="BB213" s="18" t="str">
        <f>IF(BD213&lt;&gt;1,"",IF(BA213-CONTROL_PANEL!$B$11&lt;0,0,BA213-CONTROL_PANEL!$B$11))</f>
        <v/>
      </c>
      <c r="BC213" s="18" t="str">
        <f>IF(BD213&lt;&gt;1,"",IF(AZ213&lt;=0,0,MIN(AZ213,MAX(0,CONTROL_PANEL!$B$13-BA213))))</f>
        <v/>
      </c>
      <c r="BD213" s="18"/>
      <c r="BF213" s="19">
        <f t="shared" si="178"/>
        <v>2033</v>
      </c>
      <c r="BG213" s="19">
        <f t="shared" si="143"/>
        <v>2</v>
      </c>
      <c r="BH213" s="18" t="str">
        <f t="shared" si="157"/>
        <v/>
      </c>
      <c r="BI213" s="18" t="str">
        <f t="shared" si="173"/>
        <v/>
      </c>
      <c r="BJ213" s="18" t="str">
        <f>IF(BW212&lt;&gt;1,"",IF(BT212&gt;0,IF(BT212&gt;CONTROL_PANEL!$B$11,CONTROL_PANEL!$B$11,BT212),0))</f>
        <v/>
      </c>
      <c r="BK213" s="18" t="str">
        <f t="shared" si="168"/>
        <v/>
      </c>
      <c r="BL213" s="18" t="str">
        <f>IF(BW213&lt;&gt;1,"",DATA_INPUT!$I213)</f>
        <v/>
      </c>
      <c r="BM213" s="18" t="str">
        <f>IF(BW213&lt;&gt;1,"",BL213*CONTROL_PANEL!$B$5)</f>
        <v/>
      </c>
      <c r="BN213" s="18" t="str">
        <f>IF(BW213&lt;&gt;1,"",DATA_INPUT!$C213)</f>
        <v/>
      </c>
      <c r="BO213" s="18" t="str">
        <f t="shared" si="158"/>
        <v/>
      </c>
      <c r="BP213" s="18" t="str">
        <f>IF(BW213&lt;&gt;1,"",DATA_INPUT!$H213)</f>
        <v/>
      </c>
      <c r="BQ213" s="18" t="str">
        <f t="shared" si="159"/>
        <v/>
      </c>
      <c r="BR213" s="18" t="str">
        <f>IF(BW213&lt;&gt;1,"",BM213*CONTROL_PANEL!$B$14)</f>
        <v/>
      </c>
      <c r="BS213" s="18" t="str">
        <f>IF(BW213&lt;&gt;1,"",DATA_INPUT!$N213)</f>
        <v/>
      </c>
      <c r="BT213" s="18" t="str">
        <f t="shared" si="160"/>
        <v/>
      </c>
      <c r="BU213" s="18" t="str">
        <f>IF(BW213&lt;&gt;1,"",IF(BT213-CONTROL_PANEL!$B$11&lt;0,0,BT213-CONTROL_PANEL!$B$11))</f>
        <v/>
      </c>
      <c r="BV213" s="18" t="str">
        <f>IF(BW213&lt;&gt;1,"",IF(BS213&lt;=0,0,MIN(BS213,MAX(0,CONTROL_PANEL!$B$13-BT213))))</f>
        <v/>
      </c>
      <c r="BW213" s="18"/>
      <c r="BY213" s="19">
        <f t="shared" si="179"/>
        <v>2033</v>
      </c>
      <c r="BZ213" s="19">
        <f t="shared" si="144"/>
        <v>2</v>
      </c>
      <c r="CA213" s="18" t="str">
        <f t="shared" si="161"/>
        <v/>
      </c>
      <c r="CB213" s="18" t="str">
        <f t="shared" si="174"/>
        <v/>
      </c>
      <c r="CC213" s="18" t="str">
        <f>IF(CP212&lt;&gt;1,"",IF(CM212&gt;0,IF(CM212&gt;CONTROL_PANEL!$B$11,CONTROL_PANEL!$B$11,CM212),0))</f>
        <v/>
      </c>
      <c r="CD213" s="18" t="str">
        <f t="shared" si="169"/>
        <v/>
      </c>
      <c r="CE213" s="18" t="str">
        <f>IF(CP213&lt;&gt;1,"",DATA_INPUT!$I213)</f>
        <v/>
      </c>
      <c r="CF213" s="18" t="str">
        <f>IF(CP213&lt;&gt;1,"",CE213*CONTROL_PANEL!$B$5)</f>
        <v/>
      </c>
      <c r="CG213" s="18" t="str">
        <f>IF(CP213&lt;&gt;1,"",DATA_INPUT!$C213)</f>
        <v/>
      </c>
      <c r="CH213" s="18" t="str">
        <f t="shared" si="162"/>
        <v/>
      </c>
      <c r="CI213" s="18" t="str">
        <f>IF(CP213&lt;&gt;1,"",DATA_INPUT!$H213)</f>
        <v/>
      </c>
      <c r="CJ213" s="18" t="str">
        <f t="shared" si="163"/>
        <v/>
      </c>
      <c r="CK213" s="18" t="str">
        <f>IF(CP213&lt;&gt;1,"",CF213*CONTROL_PANEL!$B$14)</f>
        <v/>
      </c>
      <c r="CL213" s="18" t="str">
        <f>IF(CP213&lt;&gt;1,"",DATA_INPUT!$O213)</f>
        <v/>
      </c>
      <c r="CM213" s="18" t="str">
        <f t="shared" si="164"/>
        <v/>
      </c>
      <c r="CN213" s="18" t="str">
        <f>IF(CP213&lt;&gt;1,"",IF(CM213-CONTROL_PANEL!$B$11&lt;0,0,CM213-CONTROL_PANEL!$B$11))</f>
        <v/>
      </c>
      <c r="CO213" s="18" t="str">
        <f>IF(CP213&lt;&gt;1,"",IF(CL213&lt;=0,0,MIN(CL213,MAX(0,CONTROL_PANEL!$B$13-CM213))))</f>
        <v/>
      </c>
      <c r="CP213" s="18"/>
    </row>
    <row r="214" spans="1:94" x14ac:dyDescent="0.25">
      <c r="A214" s="19">
        <f t="shared" si="175"/>
        <v>2033</v>
      </c>
      <c r="B214" s="19">
        <f t="shared" si="140"/>
        <v>3</v>
      </c>
      <c r="C214" s="18" t="str">
        <f t="shared" si="145"/>
        <v/>
      </c>
      <c r="D214" s="18" t="str">
        <f t="shared" si="170"/>
        <v/>
      </c>
      <c r="E214" s="18" t="str">
        <f>IF(R213&lt;&gt;1,"",IF(O213&gt;0,IF(O213&gt;CONTROL_PANEL!$B$11,CONTROL_PANEL!$B$11,O213),0))</f>
        <v/>
      </c>
      <c r="F214" s="18" t="str">
        <f t="shared" si="165"/>
        <v/>
      </c>
      <c r="G214" s="18" t="str">
        <f>IF(R214&lt;&gt;1,"",DATA_INPUT!I214)</f>
        <v/>
      </c>
      <c r="H214" s="18" t="str">
        <f>IF(R214&lt;&gt;1,"",G214*CONTROL_PANEL!$B$5)</f>
        <v/>
      </c>
      <c r="I214" s="18" t="str">
        <f>IF(R214&lt;&gt;1,"",DATA_INPUT!C214)</f>
        <v/>
      </c>
      <c r="J214" s="18" t="str">
        <f t="shared" si="146"/>
        <v/>
      </c>
      <c r="K214" s="18" t="str">
        <f>IF(R214&lt;&gt;1,"",DATA_INPUT!H214)</f>
        <v/>
      </c>
      <c r="L214" s="18" t="str">
        <f t="shared" si="147"/>
        <v/>
      </c>
      <c r="M214" s="18" t="str">
        <f>IF(R214&lt;&gt;1,"",H214*CONTROL_PANEL!$B$14)</f>
        <v/>
      </c>
      <c r="N214" s="18" t="str">
        <f>IF(R214&lt;&gt;1,"",DATA_INPUT!K214)</f>
        <v/>
      </c>
      <c r="O214" s="18" t="str">
        <f t="shared" si="148"/>
        <v/>
      </c>
      <c r="P214" s="18" t="str">
        <f>IF(R214&lt;&gt;1,"",IF(O214-CONTROL_PANEL!$B$11&lt;0,0,O214-CONTROL_PANEL!$B$11))</f>
        <v/>
      </c>
      <c r="Q214" s="18" t="str">
        <f>IF(R214&lt;&gt;1,"",IF(N214&lt;=0,0,MIN(N214,MAX(0,CONTROL_PANEL!$B$13-O214))))</f>
        <v/>
      </c>
      <c r="R214" s="18"/>
      <c r="T214" s="19">
        <f t="shared" si="176"/>
        <v>2033</v>
      </c>
      <c r="U214" s="19">
        <f t="shared" si="141"/>
        <v>3</v>
      </c>
      <c r="V214" s="18" t="str">
        <f t="shared" si="149"/>
        <v/>
      </c>
      <c r="W214" s="18" t="str">
        <f t="shared" si="171"/>
        <v/>
      </c>
      <c r="X214" s="18" t="str">
        <f>IF(AK213&lt;&gt;1,"",IF(AH213&gt;0,IF(AH213&gt;CONTROL_PANEL!$B$11,CONTROL_PANEL!$B$11,AH213),0))</f>
        <v/>
      </c>
      <c r="Y214" s="18" t="str">
        <f t="shared" si="166"/>
        <v/>
      </c>
      <c r="Z214" s="18" t="str">
        <f>IF(AK214&lt;&gt;1,"",DATA_INPUT!I214)</f>
        <v/>
      </c>
      <c r="AA214" s="18" t="str">
        <f>IF(AK214&lt;&gt;1,"",Z214*CONTROL_PANEL!$B$5)</f>
        <v/>
      </c>
      <c r="AB214" s="18" t="str">
        <f>IF(AK214&lt;&gt;1,"",DATA_INPUT!$C214)</f>
        <v/>
      </c>
      <c r="AC214" s="18" t="str">
        <f t="shared" si="150"/>
        <v/>
      </c>
      <c r="AD214" s="18" t="str">
        <f>IF(AK214&lt;&gt;1,"",DATA_INPUT!$H214)</f>
        <v/>
      </c>
      <c r="AE214" s="18" t="str">
        <f t="shared" si="151"/>
        <v/>
      </c>
      <c r="AF214" s="18" t="str">
        <f>IF(AK214&lt;&gt;1,"",AA214*CONTROL_PANEL!$B$14)</f>
        <v/>
      </c>
      <c r="AG214" s="18" t="str">
        <f>IF(AK214&lt;&gt;1,"",DATA_INPUT!$L214)</f>
        <v/>
      </c>
      <c r="AH214" s="18" t="str">
        <f t="shared" si="152"/>
        <v/>
      </c>
      <c r="AI214" s="18" t="str">
        <f>IF(AK214&lt;&gt;1,"",IF(AH214-CONTROL_PANEL!$B$11&lt;0,0,AH214-CONTROL_PANEL!$B$11))</f>
        <v/>
      </c>
      <c r="AJ214" s="18" t="str">
        <f>IF(AK214&lt;&gt;1,"",IF(AG214&lt;=0,0,MIN(AG214,MAX(0,CONTROL_PANEL!$B$13-AH214))))</f>
        <v/>
      </c>
      <c r="AK214" s="18"/>
      <c r="AM214" s="19">
        <f t="shared" si="177"/>
        <v>2033</v>
      </c>
      <c r="AN214" s="19">
        <f t="shared" si="142"/>
        <v>3</v>
      </c>
      <c r="AO214" s="18" t="str">
        <f t="shared" si="153"/>
        <v/>
      </c>
      <c r="AP214" s="18" t="str">
        <f t="shared" si="172"/>
        <v/>
      </c>
      <c r="AQ214" s="18" t="str">
        <f>IF(BD213&lt;&gt;1,"",IF(BA213&gt;0,IF(BA213&gt;CONTROL_PANEL!$B$11,CONTROL_PANEL!$B$11,BA213),0))</f>
        <v/>
      </c>
      <c r="AR214" s="18" t="str">
        <f t="shared" si="167"/>
        <v/>
      </c>
      <c r="AS214" s="18" t="str">
        <f>IF(BD214&lt;&gt;1,"",DATA_INPUT!$I214)</f>
        <v/>
      </c>
      <c r="AT214" s="18" t="str">
        <f>IF(BD214&lt;&gt;1,"",AS214*CONTROL_PANEL!$B$5)</f>
        <v/>
      </c>
      <c r="AU214" s="18" t="str">
        <f>IF(BD214&lt;&gt;1,"",DATA_INPUT!$C214)</f>
        <v/>
      </c>
      <c r="AV214" s="18" t="str">
        <f t="shared" si="154"/>
        <v/>
      </c>
      <c r="AW214" s="18" t="str">
        <f>IF(BD214&lt;&gt;1,"",DATA_INPUT!$H214)</f>
        <v/>
      </c>
      <c r="AX214" s="18" t="str">
        <f t="shared" si="155"/>
        <v/>
      </c>
      <c r="AY214" s="18" t="str">
        <f>IF(BD214&lt;&gt;1,"",AT214*CONTROL_PANEL!$B$14)</f>
        <v/>
      </c>
      <c r="AZ214" s="18" t="str">
        <f>IF(BD214&lt;&gt;1,"",DATA_INPUT!$M214)</f>
        <v/>
      </c>
      <c r="BA214" s="18" t="str">
        <f t="shared" si="156"/>
        <v/>
      </c>
      <c r="BB214" s="18" t="str">
        <f>IF(BD214&lt;&gt;1,"",IF(BA214-CONTROL_PANEL!$B$11&lt;0,0,BA214-CONTROL_PANEL!$B$11))</f>
        <v/>
      </c>
      <c r="BC214" s="18" t="str">
        <f>IF(BD214&lt;&gt;1,"",IF(AZ214&lt;=0,0,MIN(AZ214,MAX(0,CONTROL_PANEL!$B$13-BA214))))</f>
        <v/>
      </c>
      <c r="BD214" s="18"/>
      <c r="BF214" s="19">
        <f t="shared" si="178"/>
        <v>2033</v>
      </c>
      <c r="BG214" s="19">
        <f t="shared" si="143"/>
        <v>3</v>
      </c>
      <c r="BH214" s="18" t="str">
        <f t="shared" si="157"/>
        <v/>
      </c>
      <c r="BI214" s="18" t="str">
        <f t="shared" si="173"/>
        <v/>
      </c>
      <c r="BJ214" s="18" t="str">
        <f>IF(BW213&lt;&gt;1,"",IF(BT213&gt;0,IF(BT213&gt;CONTROL_PANEL!$B$11,CONTROL_PANEL!$B$11,BT213),0))</f>
        <v/>
      </c>
      <c r="BK214" s="18" t="str">
        <f t="shared" si="168"/>
        <v/>
      </c>
      <c r="BL214" s="18" t="str">
        <f>IF(BW214&lt;&gt;1,"",DATA_INPUT!$I214)</f>
        <v/>
      </c>
      <c r="BM214" s="18" t="str">
        <f>IF(BW214&lt;&gt;1,"",BL214*CONTROL_PANEL!$B$5)</f>
        <v/>
      </c>
      <c r="BN214" s="18" t="str">
        <f>IF(BW214&lt;&gt;1,"",DATA_INPUT!$C214)</f>
        <v/>
      </c>
      <c r="BO214" s="18" t="str">
        <f t="shared" si="158"/>
        <v/>
      </c>
      <c r="BP214" s="18" t="str">
        <f>IF(BW214&lt;&gt;1,"",DATA_INPUT!$H214)</f>
        <v/>
      </c>
      <c r="BQ214" s="18" t="str">
        <f t="shared" si="159"/>
        <v/>
      </c>
      <c r="BR214" s="18" t="str">
        <f>IF(BW214&lt;&gt;1,"",BM214*CONTROL_PANEL!$B$14)</f>
        <v/>
      </c>
      <c r="BS214" s="18" t="str">
        <f>IF(BW214&lt;&gt;1,"",DATA_INPUT!$N214)</f>
        <v/>
      </c>
      <c r="BT214" s="18" t="str">
        <f t="shared" si="160"/>
        <v/>
      </c>
      <c r="BU214" s="18" t="str">
        <f>IF(BW214&lt;&gt;1,"",IF(BT214-CONTROL_PANEL!$B$11&lt;0,0,BT214-CONTROL_PANEL!$B$11))</f>
        <v/>
      </c>
      <c r="BV214" s="18" t="str">
        <f>IF(BW214&lt;&gt;1,"",IF(BS214&lt;=0,0,MIN(BS214,MAX(0,CONTROL_PANEL!$B$13-BT214))))</f>
        <v/>
      </c>
      <c r="BW214" s="18"/>
      <c r="BY214" s="19">
        <f t="shared" si="179"/>
        <v>2033</v>
      </c>
      <c r="BZ214" s="19">
        <f t="shared" si="144"/>
        <v>3</v>
      </c>
      <c r="CA214" s="18" t="str">
        <f t="shared" si="161"/>
        <v/>
      </c>
      <c r="CB214" s="18" t="str">
        <f t="shared" si="174"/>
        <v/>
      </c>
      <c r="CC214" s="18" t="str">
        <f>IF(CP213&lt;&gt;1,"",IF(CM213&gt;0,IF(CM213&gt;CONTROL_PANEL!$B$11,CONTROL_PANEL!$B$11,CM213),0))</f>
        <v/>
      </c>
      <c r="CD214" s="18" t="str">
        <f t="shared" si="169"/>
        <v/>
      </c>
      <c r="CE214" s="18" t="str">
        <f>IF(CP214&lt;&gt;1,"",DATA_INPUT!$I214)</f>
        <v/>
      </c>
      <c r="CF214" s="18" t="str">
        <f>IF(CP214&lt;&gt;1,"",CE214*CONTROL_PANEL!$B$5)</f>
        <v/>
      </c>
      <c r="CG214" s="18" t="str">
        <f>IF(CP214&lt;&gt;1,"",DATA_INPUT!$C214)</f>
        <v/>
      </c>
      <c r="CH214" s="18" t="str">
        <f t="shared" si="162"/>
        <v/>
      </c>
      <c r="CI214" s="18" t="str">
        <f>IF(CP214&lt;&gt;1,"",DATA_INPUT!$H214)</f>
        <v/>
      </c>
      <c r="CJ214" s="18" t="str">
        <f t="shared" si="163"/>
        <v/>
      </c>
      <c r="CK214" s="18" t="str">
        <f>IF(CP214&lt;&gt;1,"",CF214*CONTROL_PANEL!$B$14)</f>
        <v/>
      </c>
      <c r="CL214" s="18" t="str">
        <f>IF(CP214&lt;&gt;1,"",DATA_INPUT!$O214)</f>
        <v/>
      </c>
      <c r="CM214" s="18" t="str">
        <f t="shared" si="164"/>
        <v/>
      </c>
      <c r="CN214" s="18" t="str">
        <f>IF(CP214&lt;&gt;1,"",IF(CM214-CONTROL_PANEL!$B$11&lt;0,0,CM214-CONTROL_PANEL!$B$11))</f>
        <v/>
      </c>
      <c r="CO214" s="18" t="str">
        <f>IF(CP214&lt;&gt;1,"",IF(CL214&lt;=0,0,MIN(CL214,MAX(0,CONTROL_PANEL!$B$13-CM214))))</f>
        <v/>
      </c>
      <c r="CP214" s="18"/>
    </row>
    <row r="215" spans="1:94" x14ac:dyDescent="0.25">
      <c r="A215" s="19">
        <f t="shared" si="175"/>
        <v>2033</v>
      </c>
      <c r="B215" s="19">
        <f t="shared" si="140"/>
        <v>4</v>
      </c>
      <c r="C215" s="18" t="str">
        <f t="shared" si="145"/>
        <v/>
      </c>
      <c r="D215" s="18" t="str">
        <f t="shared" si="170"/>
        <v/>
      </c>
      <c r="E215" s="18" t="str">
        <f>IF(R214&lt;&gt;1,"",IF(O214&gt;0,IF(O214&gt;CONTROL_PANEL!$B$11,CONTROL_PANEL!$B$11,O214),0))</f>
        <v/>
      </c>
      <c r="F215" s="18" t="str">
        <f t="shared" si="165"/>
        <v/>
      </c>
      <c r="G215" s="18" t="str">
        <f>IF(R215&lt;&gt;1,"",DATA_INPUT!I215)</f>
        <v/>
      </c>
      <c r="H215" s="18" t="str">
        <f>IF(R215&lt;&gt;1,"",G215*CONTROL_PANEL!$B$5)</f>
        <v/>
      </c>
      <c r="I215" s="18" t="str">
        <f>IF(R215&lt;&gt;1,"",DATA_INPUT!C215)</f>
        <v/>
      </c>
      <c r="J215" s="18" t="str">
        <f t="shared" si="146"/>
        <v/>
      </c>
      <c r="K215" s="18" t="str">
        <f>IF(R215&lt;&gt;1,"",DATA_INPUT!H215)</f>
        <v/>
      </c>
      <c r="L215" s="18" t="str">
        <f t="shared" si="147"/>
        <v/>
      </c>
      <c r="M215" s="18" t="str">
        <f>IF(R215&lt;&gt;1,"",H215*CONTROL_PANEL!$B$14)</f>
        <v/>
      </c>
      <c r="N215" s="18" t="str">
        <f>IF(R215&lt;&gt;1,"",DATA_INPUT!K215)</f>
        <v/>
      </c>
      <c r="O215" s="18" t="str">
        <f t="shared" si="148"/>
        <v/>
      </c>
      <c r="P215" s="18" t="str">
        <f>IF(R215&lt;&gt;1,"",IF(O215-CONTROL_PANEL!$B$11&lt;0,0,O215-CONTROL_PANEL!$B$11))</f>
        <v/>
      </c>
      <c r="Q215" s="18" t="str">
        <f>IF(R215&lt;&gt;1,"",IF(N215&lt;=0,0,MIN(N215,MAX(0,CONTROL_PANEL!$B$13-O215))))</f>
        <v/>
      </c>
      <c r="R215" s="18"/>
      <c r="T215" s="19">
        <f t="shared" si="176"/>
        <v>2033</v>
      </c>
      <c r="U215" s="19">
        <f t="shared" si="141"/>
        <v>4</v>
      </c>
      <c r="V215" s="18" t="str">
        <f t="shared" si="149"/>
        <v/>
      </c>
      <c r="W215" s="18" t="str">
        <f t="shared" si="171"/>
        <v/>
      </c>
      <c r="X215" s="18" t="str">
        <f>IF(AK214&lt;&gt;1,"",IF(AH214&gt;0,IF(AH214&gt;CONTROL_PANEL!$B$11,CONTROL_PANEL!$B$11,AH214),0))</f>
        <v/>
      </c>
      <c r="Y215" s="18" t="str">
        <f t="shared" si="166"/>
        <v/>
      </c>
      <c r="Z215" s="18" t="str">
        <f>IF(AK215&lt;&gt;1,"",DATA_INPUT!I215)</f>
        <v/>
      </c>
      <c r="AA215" s="18" t="str">
        <f>IF(AK215&lt;&gt;1,"",Z215*CONTROL_PANEL!$B$5)</f>
        <v/>
      </c>
      <c r="AB215" s="18" t="str">
        <f>IF(AK215&lt;&gt;1,"",DATA_INPUT!$C215)</f>
        <v/>
      </c>
      <c r="AC215" s="18" t="str">
        <f t="shared" si="150"/>
        <v/>
      </c>
      <c r="AD215" s="18" t="str">
        <f>IF(AK215&lt;&gt;1,"",DATA_INPUT!$H215)</f>
        <v/>
      </c>
      <c r="AE215" s="18" t="str">
        <f t="shared" si="151"/>
        <v/>
      </c>
      <c r="AF215" s="18" t="str">
        <f>IF(AK215&lt;&gt;1,"",AA215*CONTROL_PANEL!$B$14)</f>
        <v/>
      </c>
      <c r="AG215" s="18" t="str">
        <f>IF(AK215&lt;&gt;1,"",DATA_INPUT!$L215)</f>
        <v/>
      </c>
      <c r="AH215" s="18" t="str">
        <f t="shared" si="152"/>
        <v/>
      </c>
      <c r="AI215" s="18" t="str">
        <f>IF(AK215&lt;&gt;1,"",IF(AH215-CONTROL_PANEL!$B$11&lt;0,0,AH215-CONTROL_PANEL!$B$11))</f>
        <v/>
      </c>
      <c r="AJ215" s="18" t="str">
        <f>IF(AK215&lt;&gt;1,"",IF(AG215&lt;=0,0,MIN(AG215,MAX(0,CONTROL_PANEL!$B$13-AH215))))</f>
        <v/>
      </c>
      <c r="AK215" s="18"/>
      <c r="AM215" s="19">
        <f t="shared" si="177"/>
        <v>2033</v>
      </c>
      <c r="AN215" s="19">
        <f t="shared" si="142"/>
        <v>4</v>
      </c>
      <c r="AO215" s="18" t="str">
        <f t="shared" si="153"/>
        <v/>
      </c>
      <c r="AP215" s="18" t="str">
        <f t="shared" si="172"/>
        <v/>
      </c>
      <c r="AQ215" s="18" t="str">
        <f>IF(BD214&lt;&gt;1,"",IF(BA214&gt;0,IF(BA214&gt;CONTROL_PANEL!$B$11,CONTROL_PANEL!$B$11,BA214),0))</f>
        <v/>
      </c>
      <c r="AR215" s="18" t="str">
        <f t="shared" si="167"/>
        <v/>
      </c>
      <c r="AS215" s="18" t="str">
        <f>IF(BD215&lt;&gt;1,"",DATA_INPUT!$I215)</f>
        <v/>
      </c>
      <c r="AT215" s="18" t="str">
        <f>IF(BD215&lt;&gt;1,"",AS215*CONTROL_PANEL!$B$5)</f>
        <v/>
      </c>
      <c r="AU215" s="18" t="str">
        <f>IF(BD215&lt;&gt;1,"",DATA_INPUT!$C215)</f>
        <v/>
      </c>
      <c r="AV215" s="18" t="str">
        <f t="shared" si="154"/>
        <v/>
      </c>
      <c r="AW215" s="18" t="str">
        <f>IF(BD215&lt;&gt;1,"",DATA_INPUT!$H215)</f>
        <v/>
      </c>
      <c r="AX215" s="18" t="str">
        <f t="shared" si="155"/>
        <v/>
      </c>
      <c r="AY215" s="18" t="str">
        <f>IF(BD215&lt;&gt;1,"",AT215*CONTROL_PANEL!$B$14)</f>
        <v/>
      </c>
      <c r="AZ215" s="18" t="str">
        <f>IF(BD215&lt;&gt;1,"",DATA_INPUT!$M215)</f>
        <v/>
      </c>
      <c r="BA215" s="18" t="str">
        <f t="shared" si="156"/>
        <v/>
      </c>
      <c r="BB215" s="18" t="str">
        <f>IF(BD215&lt;&gt;1,"",IF(BA215-CONTROL_PANEL!$B$11&lt;0,0,BA215-CONTROL_PANEL!$B$11))</f>
        <v/>
      </c>
      <c r="BC215" s="18" t="str">
        <f>IF(BD215&lt;&gt;1,"",IF(AZ215&lt;=0,0,MIN(AZ215,MAX(0,CONTROL_PANEL!$B$13-BA215))))</f>
        <v/>
      </c>
      <c r="BD215" s="18"/>
      <c r="BF215" s="19">
        <f t="shared" si="178"/>
        <v>2033</v>
      </c>
      <c r="BG215" s="19">
        <f t="shared" si="143"/>
        <v>4</v>
      </c>
      <c r="BH215" s="18" t="str">
        <f t="shared" si="157"/>
        <v/>
      </c>
      <c r="BI215" s="18" t="str">
        <f t="shared" si="173"/>
        <v/>
      </c>
      <c r="BJ215" s="18" t="str">
        <f>IF(BW214&lt;&gt;1,"",IF(BT214&gt;0,IF(BT214&gt;CONTROL_PANEL!$B$11,CONTROL_PANEL!$B$11,BT214),0))</f>
        <v/>
      </c>
      <c r="BK215" s="18" t="str">
        <f t="shared" si="168"/>
        <v/>
      </c>
      <c r="BL215" s="18" t="str">
        <f>IF(BW215&lt;&gt;1,"",DATA_INPUT!$I215)</f>
        <v/>
      </c>
      <c r="BM215" s="18" t="str">
        <f>IF(BW215&lt;&gt;1,"",BL215*CONTROL_PANEL!$B$5)</f>
        <v/>
      </c>
      <c r="BN215" s="18" t="str">
        <f>IF(BW215&lt;&gt;1,"",DATA_INPUT!$C215)</f>
        <v/>
      </c>
      <c r="BO215" s="18" t="str">
        <f t="shared" si="158"/>
        <v/>
      </c>
      <c r="BP215" s="18" t="str">
        <f>IF(BW215&lt;&gt;1,"",DATA_INPUT!$H215)</f>
        <v/>
      </c>
      <c r="BQ215" s="18" t="str">
        <f t="shared" si="159"/>
        <v/>
      </c>
      <c r="BR215" s="18" t="str">
        <f>IF(BW215&lt;&gt;1,"",BM215*CONTROL_PANEL!$B$14)</f>
        <v/>
      </c>
      <c r="BS215" s="18" t="str">
        <f>IF(BW215&lt;&gt;1,"",DATA_INPUT!$N215)</f>
        <v/>
      </c>
      <c r="BT215" s="18" t="str">
        <f t="shared" si="160"/>
        <v/>
      </c>
      <c r="BU215" s="18" t="str">
        <f>IF(BW215&lt;&gt;1,"",IF(BT215-CONTROL_PANEL!$B$11&lt;0,0,BT215-CONTROL_PANEL!$B$11))</f>
        <v/>
      </c>
      <c r="BV215" s="18" t="str">
        <f>IF(BW215&lt;&gt;1,"",IF(BS215&lt;=0,0,MIN(BS215,MAX(0,CONTROL_PANEL!$B$13-BT215))))</f>
        <v/>
      </c>
      <c r="BW215" s="18"/>
      <c r="BY215" s="19">
        <f t="shared" si="179"/>
        <v>2033</v>
      </c>
      <c r="BZ215" s="19">
        <f t="shared" si="144"/>
        <v>4</v>
      </c>
      <c r="CA215" s="18" t="str">
        <f t="shared" si="161"/>
        <v/>
      </c>
      <c r="CB215" s="18" t="str">
        <f t="shared" si="174"/>
        <v/>
      </c>
      <c r="CC215" s="18" t="str">
        <f>IF(CP214&lt;&gt;1,"",IF(CM214&gt;0,IF(CM214&gt;CONTROL_PANEL!$B$11,CONTROL_PANEL!$B$11,CM214),0))</f>
        <v/>
      </c>
      <c r="CD215" s="18" t="str">
        <f t="shared" si="169"/>
        <v/>
      </c>
      <c r="CE215" s="18" t="str">
        <f>IF(CP215&lt;&gt;1,"",DATA_INPUT!$I215)</f>
        <v/>
      </c>
      <c r="CF215" s="18" t="str">
        <f>IF(CP215&lt;&gt;1,"",CE215*CONTROL_PANEL!$B$5)</f>
        <v/>
      </c>
      <c r="CG215" s="18" t="str">
        <f>IF(CP215&lt;&gt;1,"",DATA_INPUT!$C215)</f>
        <v/>
      </c>
      <c r="CH215" s="18" t="str">
        <f t="shared" si="162"/>
        <v/>
      </c>
      <c r="CI215" s="18" t="str">
        <f>IF(CP215&lt;&gt;1,"",DATA_INPUT!$H215)</f>
        <v/>
      </c>
      <c r="CJ215" s="18" t="str">
        <f t="shared" si="163"/>
        <v/>
      </c>
      <c r="CK215" s="18" t="str">
        <f>IF(CP215&lt;&gt;1,"",CF215*CONTROL_PANEL!$B$14)</f>
        <v/>
      </c>
      <c r="CL215" s="18" t="str">
        <f>IF(CP215&lt;&gt;1,"",DATA_INPUT!$O215)</f>
        <v/>
      </c>
      <c r="CM215" s="18" t="str">
        <f t="shared" si="164"/>
        <v/>
      </c>
      <c r="CN215" s="18" t="str">
        <f>IF(CP215&lt;&gt;1,"",IF(CM215-CONTROL_PANEL!$B$11&lt;0,0,CM215-CONTROL_PANEL!$B$11))</f>
        <v/>
      </c>
      <c r="CO215" s="18" t="str">
        <f>IF(CP215&lt;&gt;1,"",IF(CL215&lt;=0,0,MIN(CL215,MAX(0,CONTROL_PANEL!$B$13-CM215))))</f>
        <v/>
      </c>
      <c r="CP215" s="18"/>
    </row>
    <row r="216" spans="1:94" x14ac:dyDescent="0.25">
      <c r="A216" s="19">
        <f t="shared" si="175"/>
        <v>2033</v>
      </c>
      <c r="B216" s="19">
        <f t="shared" si="140"/>
        <v>5</v>
      </c>
      <c r="C216" s="18" t="str">
        <f t="shared" si="145"/>
        <v/>
      </c>
      <c r="D216" s="18" t="str">
        <f t="shared" si="170"/>
        <v/>
      </c>
      <c r="E216" s="18" t="str">
        <f>IF(R215&lt;&gt;1,"",IF(O215&gt;0,IF(O215&gt;CONTROL_PANEL!$B$11,CONTROL_PANEL!$B$11,O215),0))</f>
        <v/>
      </c>
      <c r="F216" s="18" t="str">
        <f t="shared" si="165"/>
        <v/>
      </c>
      <c r="G216" s="18" t="str">
        <f>IF(R216&lt;&gt;1,"",DATA_INPUT!I216)</f>
        <v/>
      </c>
      <c r="H216" s="18" t="str">
        <f>IF(R216&lt;&gt;1,"",G216*CONTROL_PANEL!$B$5)</f>
        <v/>
      </c>
      <c r="I216" s="18" t="str">
        <f>IF(R216&lt;&gt;1,"",DATA_INPUT!C216)</f>
        <v/>
      </c>
      <c r="J216" s="18" t="str">
        <f t="shared" si="146"/>
        <v/>
      </c>
      <c r="K216" s="18" t="str">
        <f>IF(R216&lt;&gt;1,"",DATA_INPUT!H216)</f>
        <v/>
      </c>
      <c r="L216" s="18" t="str">
        <f t="shared" si="147"/>
        <v/>
      </c>
      <c r="M216" s="18" t="str">
        <f>IF(R216&lt;&gt;1,"",H216*CONTROL_PANEL!$B$14)</f>
        <v/>
      </c>
      <c r="N216" s="18" t="str">
        <f>IF(R216&lt;&gt;1,"",DATA_INPUT!K216)</f>
        <v/>
      </c>
      <c r="O216" s="18" t="str">
        <f t="shared" si="148"/>
        <v/>
      </c>
      <c r="P216" s="18" t="str">
        <f>IF(R216&lt;&gt;1,"",IF(O216-CONTROL_PANEL!$B$11&lt;0,0,O216-CONTROL_PANEL!$B$11))</f>
        <v/>
      </c>
      <c r="Q216" s="18" t="str">
        <f>IF(R216&lt;&gt;1,"",IF(N216&lt;=0,0,MIN(N216,MAX(0,CONTROL_PANEL!$B$13-O216))))</f>
        <v/>
      </c>
      <c r="R216" s="18"/>
      <c r="T216" s="19">
        <f t="shared" si="176"/>
        <v>2033</v>
      </c>
      <c r="U216" s="19">
        <f t="shared" si="141"/>
        <v>5</v>
      </c>
      <c r="V216" s="18" t="str">
        <f t="shared" si="149"/>
        <v/>
      </c>
      <c r="W216" s="18" t="str">
        <f t="shared" si="171"/>
        <v/>
      </c>
      <c r="X216" s="18" t="str">
        <f>IF(AK215&lt;&gt;1,"",IF(AH215&gt;0,IF(AH215&gt;CONTROL_PANEL!$B$11,CONTROL_PANEL!$B$11,AH215),0))</f>
        <v/>
      </c>
      <c r="Y216" s="18" t="str">
        <f t="shared" si="166"/>
        <v/>
      </c>
      <c r="Z216" s="18" t="str">
        <f>IF(AK216&lt;&gt;1,"",DATA_INPUT!I216)</f>
        <v/>
      </c>
      <c r="AA216" s="18" t="str">
        <f>IF(AK216&lt;&gt;1,"",Z216*CONTROL_PANEL!$B$5)</f>
        <v/>
      </c>
      <c r="AB216" s="18" t="str">
        <f>IF(AK216&lt;&gt;1,"",DATA_INPUT!$C216)</f>
        <v/>
      </c>
      <c r="AC216" s="18" t="str">
        <f t="shared" si="150"/>
        <v/>
      </c>
      <c r="AD216" s="18" t="str">
        <f>IF(AK216&lt;&gt;1,"",DATA_INPUT!$H216)</f>
        <v/>
      </c>
      <c r="AE216" s="18" t="str">
        <f t="shared" si="151"/>
        <v/>
      </c>
      <c r="AF216" s="18" t="str">
        <f>IF(AK216&lt;&gt;1,"",AA216*CONTROL_PANEL!$B$14)</f>
        <v/>
      </c>
      <c r="AG216" s="18" t="str">
        <f>IF(AK216&lt;&gt;1,"",DATA_INPUT!$L216)</f>
        <v/>
      </c>
      <c r="AH216" s="18" t="str">
        <f t="shared" si="152"/>
        <v/>
      </c>
      <c r="AI216" s="18" t="str">
        <f>IF(AK216&lt;&gt;1,"",IF(AH216-CONTROL_PANEL!$B$11&lt;0,0,AH216-CONTROL_PANEL!$B$11))</f>
        <v/>
      </c>
      <c r="AJ216" s="18" t="str">
        <f>IF(AK216&lt;&gt;1,"",IF(AG216&lt;=0,0,MIN(AG216,MAX(0,CONTROL_PANEL!$B$13-AH216))))</f>
        <v/>
      </c>
      <c r="AK216" s="18"/>
      <c r="AM216" s="19">
        <f t="shared" si="177"/>
        <v>2033</v>
      </c>
      <c r="AN216" s="19">
        <f t="shared" si="142"/>
        <v>5</v>
      </c>
      <c r="AO216" s="18" t="str">
        <f t="shared" si="153"/>
        <v/>
      </c>
      <c r="AP216" s="18" t="str">
        <f t="shared" si="172"/>
        <v/>
      </c>
      <c r="AQ216" s="18" t="str">
        <f>IF(BD215&lt;&gt;1,"",IF(BA215&gt;0,IF(BA215&gt;CONTROL_PANEL!$B$11,CONTROL_PANEL!$B$11,BA215),0))</f>
        <v/>
      </c>
      <c r="AR216" s="18" t="str">
        <f t="shared" si="167"/>
        <v/>
      </c>
      <c r="AS216" s="18" t="str">
        <f>IF(BD216&lt;&gt;1,"",DATA_INPUT!$I216)</f>
        <v/>
      </c>
      <c r="AT216" s="18" t="str">
        <f>IF(BD216&lt;&gt;1,"",AS216*CONTROL_PANEL!$B$5)</f>
        <v/>
      </c>
      <c r="AU216" s="18" t="str">
        <f>IF(BD216&lt;&gt;1,"",DATA_INPUT!$C216)</f>
        <v/>
      </c>
      <c r="AV216" s="18" t="str">
        <f t="shared" si="154"/>
        <v/>
      </c>
      <c r="AW216" s="18" t="str">
        <f>IF(BD216&lt;&gt;1,"",DATA_INPUT!$H216)</f>
        <v/>
      </c>
      <c r="AX216" s="18" t="str">
        <f t="shared" si="155"/>
        <v/>
      </c>
      <c r="AY216" s="18" t="str">
        <f>IF(BD216&lt;&gt;1,"",AT216*CONTROL_PANEL!$B$14)</f>
        <v/>
      </c>
      <c r="AZ216" s="18" t="str">
        <f>IF(BD216&lt;&gt;1,"",DATA_INPUT!$M216)</f>
        <v/>
      </c>
      <c r="BA216" s="18" t="str">
        <f t="shared" si="156"/>
        <v/>
      </c>
      <c r="BB216" s="18" t="str">
        <f>IF(BD216&lt;&gt;1,"",IF(BA216-CONTROL_PANEL!$B$11&lt;0,0,BA216-CONTROL_PANEL!$B$11))</f>
        <v/>
      </c>
      <c r="BC216" s="18" t="str">
        <f>IF(BD216&lt;&gt;1,"",IF(AZ216&lt;=0,0,MIN(AZ216,MAX(0,CONTROL_PANEL!$B$13-BA216))))</f>
        <v/>
      </c>
      <c r="BD216" s="18"/>
      <c r="BF216" s="19">
        <f t="shared" si="178"/>
        <v>2033</v>
      </c>
      <c r="BG216" s="19">
        <f t="shared" si="143"/>
        <v>5</v>
      </c>
      <c r="BH216" s="18" t="str">
        <f t="shared" si="157"/>
        <v/>
      </c>
      <c r="BI216" s="18" t="str">
        <f t="shared" si="173"/>
        <v/>
      </c>
      <c r="BJ216" s="18" t="str">
        <f>IF(BW215&lt;&gt;1,"",IF(BT215&gt;0,IF(BT215&gt;CONTROL_PANEL!$B$11,CONTROL_PANEL!$B$11,BT215),0))</f>
        <v/>
      </c>
      <c r="BK216" s="18" t="str">
        <f t="shared" si="168"/>
        <v/>
      </c>
      <c r="BL216" s="18" t="str">
        <f>IF(BW216&lt;&gt;1,"",DATA_INPUT!$I216)</f>
        <v/>
      </c>
      <c r="BM216" s="18" t="str">
        <f>IF(BW216&lt;&gt;1,"",BL216*CONTROL_PANEL!$B$5)</f>
        <v/>
      </c>
      <c r="BN216" s="18" t="str">
        <f>IF(BW216&lt;&gt;1,"",DATA_INPUT!$C216)</f>
        <v/>
      </c>
      <c r="BO216" s="18" t="str">
        <f t="shared" si="158"/>
        <v/>
      </c>
      <c r="BP216" s="18" t="str">
        <f>IF(BW216&lt;&gt;1,"",DATA_INPUT!$H216)</f>
        <v/>
      </c>
      <c r="BQ216" s="18" t="str">
        <f t="shared" si="159"/>
        <v/>
      </c>
      <c r="BR216" s="18" t="str">
        <f>IF(BW216&lt;&gt;1,"",BM216*CONTROL_PANEL!$B$14)</f>
        <v/>
      </c>
      <c r="BS216" s="18" t="str">
        <f>IF(BW216&lt;&gt;1,"",DATA_INPUT!$N216)</f>
        <v/>
      </c>
      <c r="BT216" s="18" t="str">
        <f t="shared" si="160"/>
        <v/>
      </c>
      <c r="BU216" s="18" t="str">
        <f>IF(BW216&lt;&gt;1,"",IF(BT216-CONTROL_PANEL!$B$11&lt;0,0,BT216-CONTROL_PANEL!$B$11))</f>
        <v/>
      </c>
      <c r="BV216" s="18" t="str">
        <f>IF(BW216&lt;&gt;1,"",IF(BS216&lt;=0,0,MIN(BS216,MAX(0,CONTROL_PANEL!$B$13-BT216))))</f>
        <v/>
      </c>
      <c r="BW216" s="18"/>
      <c r="BY216" s="19">
        <f t="shared" si="179"/>
        <v>2033</v>
      </c>
      <c r="BZ216" s="19">
        <f t="shared" si="144"/>
        <v>5</v>
      </c>
      <c r="CA216" s="18" t="str">
        <f t="shared" si="161"/>
        <v/>
      </c>
      <c r="CB216" s="18" t="str">
        <f t="shared" si="174"/>
        <v/>
      </c>
      <c r="CC216" s="18" t="str">
        <f>IF(CP215&lt;&gt;1,"",IF(CM215&gt;0,IF(CM215&gt;CONTROL_PANEL!$B$11,CONTROL_PANEL!$B$11,CM215),0))</f>
        <v/>
      </c>
      <c r="CD216" s="18" t="str">
        <f t="shared" si="169"/>
        <v/>
      </c>
      <c r="CE216" s="18" t="str">
        <f>IF(CP216&lt;&gt;1,"",DATA_INPUT!$I216)</f>
        <v/>
      </c>
      <c r="CF216" s="18" t="str">
        <f>IF(CP216&lt;&gt;1,"",CE216*CONTROL_PANEL!$B$5)</f>
        <v/>
      </c>
      <c r="CG216" s="18" t="str">
        <f>IF(CP216&lt;&gt;1,"",DATA_INPUT!$C216)</f>
        <v/>
      </c>
      <c r="CH216" s="18" t="str">
        <f t="shared" si="162"/>
        <v/>
      </c>
      <c r="CI216" s="18" t="str">
        <f>IF(CP216&lt;&gt;1,"",DATA_INPUT!$H216)</f>
        <v/>
      </c>
      <c r="CJ216" s="18" t="str">
        <f t="shared" si="163"/>
        <v/>
      </c>
      <c r="CK216" s="18" t="str">
        <f>IF(CP216&lt;&gt;1,"",CF216*CONTROL_PANEL!$B$14)</f>
        <v/>
      </c>
      <c r="CL216" s="18" t="str">
        <f>IF(CP216&lt;&gt;1,"",DATA_INPUT!$O216)</f>
        <v/>
      </c>
      <c r="CM216" s="18" t="str">
        <f t="shared" si="164"/>
        <v/>
      </c>
      <c r="CN216" s="18" t="str">
        <f>IF(CP216&lt;&gt;1,"",IF(CM216-CONTROL_PANEL!$B$11&lt;0,0,CM216-CONTROL_PANEL!$B$11))</f>
        <v/>
      </c>
      <c r="CO216" s="18" t="str">
        <f>IF(CP216&lt;&gt;1,"",IF(CL216&lt;=0,0,MIN(CL216,MAX(0,CONTROL_PANEL!$B$13-CM216))))</f>
        <v/>
      </c>
      <c r="CP216" s="18"/>
    </row>
    <row r="217" spans="1:94" x14ac:dyDescent="0.25">
      <c r="A217" s="19">
        <f t="shared" si="175"/>
        <v>2033</v>
      </c>
      <c r="B217" s="19">
        <f t="shared" si="140"/>
        <v>6</v>
      </c>
      <c r="C217" s="18" t="str">
        <f t="shared" si="145"/>
        <v/>
      </c>
      <c r="D217" s="18" t="str">
        <f t="shared" si="170"/>
        <v/>
      </c>
      <c r="E217" s="18" t="str">
        <f>IF(R216&lt;&gt;1,"",IF(O216&gt;0,IF(O216&gt;CONTROL_PANEL!$B$11,CONTROL_PANEL!$B$11,O216),0))</f>
        <v/>
      </c>
      <c r="F217" s="18" t="str">
        <f t="shared" si="165"/>
        <v/>
      </c>
      <c r="G217" s="18" t="str">
        <f>IF(R217&lt;&gt;1,"",DATA_INPUT!I217)</f>
        <v/>
      </c>
      <c r="H217" s="18" t="str">
        <f>IF(R217&lt;&gt;1,"",G217*CONTROL_PANEL!$B$5)</f>
        <v/>
      </c>
      <c r="I217" s="18" t="str">
        <f>IF(R217&lt;&gt;1,"",DATA_INPUT!C217)</f>
        <v/>
      </c>
      <c r="J217" s="18" t="str">
        <f t="shared" si="146"/>
        <v/>
      </c>
      <c r="K217" s="18" t="str">
        <f>IF(R217&lt;&gt;1,"",DATA_INPUT!H217)</f>
        <v/>
      </c>
      <c r="L217" s="18" t="str">
        <f t="shared" si="147"/>
        <v/>
      </c>
      <c r="M217" s="18" t="str">
        <f>IF(R217&lt;&gt;1,"",H217*CONTROL_PANEL!$B$14)</f>
        <v/>
      </c>
      <c r="N217" s="18" t="str">
        <f>IF(R217&lt;&gt;1,"",DATA_INPUT!K217)</f>
        <v/>
      </c>
      <c r="O217" s="18" t="str">
        <f t="shared" si="148"/>
        <v/>
      </c>
      <c r="P217" s="18" t="str">
        <f>IF(R217&lt;&gt;1,"",IF(O217-CONTROL_PANEL!$B$11&lt;0,0,O217-CONTROL_PANEL!$B$11))</f>
        <v/>
      </c>
      <c r="Q217" s="18" t="str">
        <f>IF(R217&lt;&gt;1,"",IF(N217&lt;=0,0,MIN(N217,MAX(0,CONTROL_PANEL!$B$13-O217))))</f>
        <v/>
      </c>
      <c r="R217" s="18"/>
      <c r="T217" s="19">
        <f t="shared" si="176"/>
        <v>2033</v>
      </c>
      <c r="U217" s="19">
        <f t="shared" si="141"/>
        <v>6</v>
      </c>
      <c r="V217" s="18" t="str">
        <f t="shared" si="149"/>
        <v/>
      </c>
      <c r="W217" s="18" t="str">
        <f t="shared" si="171"/>
        <v/>
      </c>
      <c r="X217" s="18" t="str">
        <f>IF(AK216&lt;&gt;1,"",IF(AH216&gt;0,IF(AH216&gt;CONTROL_PANEL!$B$11,CONTROL_PANEL!$B$11,AH216),0))</f>
        <v/>
      </c>
      <c r="Y217" s="18" t="str">
        <f t="shared" si="166"/>
        <v/>
      </c>
      <c r="Z217" s="18" t="str">
        <f>IF(AK217&lt;&gt;1,"",DATA_INPUT!I217)</f>
        <v/>
      </c>
      <c r="AA217" s="18" t="str">
        <f>IF(AK217&lt;&gt;1,"",Z217*CONTROL_PANEL!$B$5)</f>
        <v/>
      </c>
      <c r="AB217" s="18" t="str">
        <f>IF(AK217&lt;&gt;1,"",DATA_INPUT!$C217)</f>
        <v/>
      </c>
      <c r="AC217" s="18" t="str">
        <f t="shared" si="150"/>
        <v/>
      </c>
      <c r="AD217" s="18" t="str">
        <f>IF(AK217&lt;&gt;1,"",DATA_INPUT!$H217)</f>
        <v/>
      </c>
      <c r="AE217" s="18" t="str">
        <f t="shared" si="151"/>
        <v/>
      </c>
      <c r="AF217" s="18" t="str">
        <f>IF(AK217&lt;&gt;1,"",AA217*CONTROL_PANEL!$B$14)</f>
        <v/>
      </c>
      <c r="AG217" s="18" t="str">
        <f>IF(AK217&lt;&gt;1,"",DATA_INPUT!$L217)</f>
        <v/>
      </c>
      <c r="AH217" s="18" t="str">
        <f t="shared" si="152"/>
        <v/>
      </c>
      <c r="AI217" s="18" t="str">
        <f>IF(AK217&lt;&gt;1,"",IF(AH217-CONTROL_PANEL!$B$11&lt;0,0,AH217-CONTROL_PANEL!$B$11))</f>
        <v/>
      </c>
      <c r="AJ217" s="18" t="str">
        <f>IF(AK217&lt;&gt;1,"",IF(AG217&lt;=0,0,MIN(AG217,MAX(0,CONTROL_PANEL!$B$13-AH217))))</f>
        <v/>
      </c>
      <c r="AK217" s="18"/>
      <c r="AM217" s="19">
        <f t="shared" si="177"/>
        <v>2033</v>
      </c>
      <c r="AN217" s="19">
        <f t="shared" si="142"/>
        <v>6</v>
      </c>
      <c r="AO217" s="18" t="str">
        <f t="shared" si="153"/>
        <v/>
      </c>
      <c r="AP217" s="18" t="str">
        <f t="shared" si="172"/>
        <v/>
      </c>
      <c r="AQ217" s="18" t="str">
        <f>IF(BD216&lt;&gt;1,"",IF(BA216&gt;0,IF(BA216&gt;CONTROL_PANEL!$B$11,CONTROL_PANEL!$B$11,BA216),0))</f>
        <v/>
      </c>
      <c r="AR217" s="18" t="str">
        <f t="shared" si="167"/>
        <v/>
      </c>
      <c r="AS217" s="18" t="str">
        <f>IF(BD217&lt;&gt;1,"",DATA_INPUT!$I217)</f>
        <v/>
      </c>
      <c r="AT217" s="18" t="str">
        <f>IF(BD217&lt;&gt;1,"",AS217*CONTROL_PANEL!$B$5)</f>
        <v/>
      </c>
      <c r="AU217" s="18" t="str">
        <f>IF(BD217&lt;&gt;1,"",DATA_INPUT!$C217)</f>
        <v/>
      </c>
      <c r="AV217" s="18" t="str">
        <f t="shared" si="154"/>
        <v/>
      </c>
      <c r="AW217" s="18" t="str">
        <f>IF(BD217&lt;&gt;1,"",DATA_INPUT!$H217)</f>
        <v/>
      </c>
      <c r="AX217" s="18" t="str">
        <f t="shared" si="155"/>
        <v/>
      </c>
      <c r="AY217" s="18" t="str">
        <f>IF(BD217&lt;&gt;1,"",AT217*CONTROL_PANEL!$B$14)</f>
        <v/>
      </c>
      <c r="AZ217" s="18" t="str">
        <f>IF(BD217&lt;&gt;1,"",DATA_INPUT!$M217)</f>
        <v/>
      </c>
      <c r="BA217" s="18" t="str">
        <f t="shared" si="156"/>
        <v/>
      </c>
      <c r="BB217" s="18" t="str">
        <f>IF(BD217&lt;&gt;1,"",IF(BA217-CONTROL_PANEL!$B$11&lt;0,0,BA217-CONTROL_PANEL!$B$11))</f>
        <v/>
      </c>
      <c r="BC217" s="18" t="str">
        <f>IF(BD217&lt;&gt;1,"",IF(AZ217&lt;=0,0,MIN(AZ217,MAX(0,CONTROL_PANEL!$B$13-BA217))))</f>
        <v/>
      </c>
      <c r="BD217" s="18"/>
      <c r="BF217" s="19">
        <f t="shared" si="178"/>
        <v>2033</v>
      </c>
      <c r="BG217" s="19">
        <f t="shared" si="143"/>
        <v>6</v>
      </c>
      <c r="BH217" s="18" t="str">
        <f t="shared" si="157"/>
        <v/>
      </c>
      <c r="BI217" s="18" t="str">
        <f t="shared" si="173"/>
        <v/>
      </c>
      <c r="BJ217" s="18" t="str">
        <f>IF(BW216&lt;&gt;1,"",IF(BT216&gt;0,IF(BT216&gt;CONTROL_PANEL!$B$11,CONTROL_PANEL!$B$11,BT216),0))</f>
        <v/>
      </c>
      <c r="BK217" s="18" t="str">
        <f t="shared" si="168"/>
        <v/>
      </c>
      <c r="BL217" s="18" t="str">
        <f>IF(BW217&lt;&gt;1,"",DATA_INPUT!$I217)</f>
        <v/>
      </c>
      <c r="BM217" s="18" t="str">
        <f>IF(BW217&lt;&gt;1,"",BL217*CONTROL_PANEL!$B$5)</f>
        <v/>
      </c>
      <c r="BN217" s="18" t="str">
        <f>IF(BW217&lt;&gt;1,"",DATA_INPUT!$C217)</f>
        <v/>
      </c>
      <c r="BO217" s="18" t="str">
        <f t="shared" si="158"/>
        <v/>
      </c>
      <c r="BP217" s="18" t="str">
        <f>IF(BW217&lt;&gt;1,"",DATA_INPUT!$H217)</f>
        <v/>
      </c>
      <c r="BQ217" s="18" t="str">
        <f t="shared" si="159"/>
        <v/>
      </c>
      <c r="BR217" s="18" t="str">
        <f>IF(BW217&lt;&gt;1,"",BM217*CONTROL_PANEL!$B$14)</f>
        <v/>
      </c>
      <c r="BS217" s="18" t="str">
        <f>IF(BW217&lt;&gt;1,"",DATA_INPUT!$N217)</f>
        <v/>
      </c>
      <c r="BT217" s="18" t="str">
        <f t="shared" si="160"/>
        <v/>
      </c>
      <c r="BU217" s="18" t="str">
        <f>IF(BW217&lt;&gt;1,"",IF(BT217-CONTROL_PANEL!$B$11&lt;0,0,BT217-CONTROL_PANEL!$B$11))</f>
        <v/>
      </c>
      <c r="BV217" s="18" t="str">
        <f>IF(BW217&lt;&gt;1,"",IF(BS217&lt;=0,0,MIN(BS217,MAX(0,CONTROL_PANEL!$B$13-BT217))))</f>
        <v/>
      </c>
      <c r="BW217" s="18"/>
      <c r="BY217" s="19">
        <f t="shared" si="179"/>
        <v>2033</v>
      </c>
      <c r="BZ217" s="19">
        <f t="shared" si="144"/>
        <v>6</v>
      </c>
      <c r="CA217" s="18" t="str">
        <f t="shared" si="161"/>
        <v/>
      </c>
      <c r="CB217" s="18" t="str">
        <f t="shared" si="174"/>
        <v/>
      </c>
      <c r="CC217" s="18" t="str">
        <f>IF(CP216&lt;&gt;1,"",IF(CM216&gt;0,IF(CM216&gt;CONTROL_PANEL!$B$11,CONTROL_PANEL!$B$11,CM216),0))</f>
        <v/>
      </c>
      <c r="CD217" s="18" t="str">
        <f t="shared" si="169"/>
        <v/>
      </c>
      <c r="CE217" s="18" t="str">
        <f>IF(CP217&lt;&gt;1,"",DATA_INPUT!$I217)</f>
        <v/>
      </c>
      <c r="CF217" s="18" t="str">
        <f>IF(CP217&lt;&gt;1,"",CE217*CONTROL_PANEL!$B$5)</f>
        <v/>
      </c>
      <c r="CG217" s="18" t="str">
        <f>IF(CP217&lt;&gt;1,"",DATA_INPUT!$C217)</f>
        <v/>
      </c>
      <c r="CH217" s="18" t="str">
        <f t="shared" si="162"/>
        <v/>
      </c>
      <c r="CI217" s="18" t="str">
        <f>IF(CP217&lt;&gt;1,"",DATA_INPUT!$H217)</f>
        <v/>
      </c>
      <c r="CJ217" s="18" t="str">
        <f t="shared" si="163"/>
        <v/>
      </c>
      <c r="CK217" s="18" t="str">
        <f>IF(CP217&lt;&gt;1,"",CF217*CONTROL_PANEL!$B$14)</f>
        <v/>
      </c>
      <c r="CL217" s="18" t="str">
        <f>IF(CP217&lt;&gt;1,"",DATA_INPUT!$O217)</f>
        <v/>
      </c>
      <c r="CM217" s="18" t="str">
        <f t="shared" si="164"/>
        <v/>
      </c>
      <c r="CN217" s="18" t="str">
        <f>IF(CP217&lt;&gt;1,"",IF(CM217-CONTROL_PANEL!$B$11&lt;0,0,CM217-CONTROL_PANEL!$B$11))</f>
        <v/>
      </c>
      <c r="CO217" s="18" t="str">
        <f>IF(CP217&lt;&gt;1,"",IF(CL217&lt;=0,0,MIN(CL217,MAX(0,CONTROL_PANEL!$B$13-CM217))))</f>
        <v/>
      </c>
      <c r="CP217" s="18"/>
    </row>
    <row r="218" spans="1:94" x14ac:dyDescent="0.25">
      <c r="A218" s="19">
        <f t="shared" si="175"/>
        <v>2033</v>
      </c>
      <c r="B218" s="19">
        <f t="shared" si="140"/>
        <v>7</v>
      </c>
      <c r="C218" s="18" t="str">
        <f t="shared" si="145"/>
        <v/>
      </c>
      <c r="D218" s="18" t="str">
        <f t="shared" si="170"/>
        <v/>
      </c>
      <c r="E218" s="18" t="str">
        <f>IF(R217&lt;&gt;1,"",IF(O217&gt;0,IF(O217&gt;CONTROL_PANEL!$B$11,CONTROL_PANEL!$B$11,O217),0))</f>
        <v/>
      </c>
      <c r="F218" s="18" t="str">
        <f t="shared" si="165"/>
        <v/>
      </c>
      <c r="G218" s="18" t="str">
        <f>IF(R218&lt;&gt;1,"",DATA_INPUT!I218)</f>
        <v/>
      </c>
      <c r="H218" s="18" t="str">
        <f>IF(R218&lt;&gt;1,"",G218*CONTROL_PANEL!$B$5)</f>
        <v/>
      </c>
      <c r="I218" s="18" t="str">
        <f>IF(R218&lt;&gt;1,"",DATA_INPUT!C218)</f>
        <v/>
      </c>
      <c r="J218" s="18" t="str">
        <f t="shared" si="146"/>
        <v/>
      </c>
      <c r="K218" s="18" t="str">
        <f>IF(R218&lt;&gt;1,"",DATA_INPUT!H218)</f>
        <v/>
      </c>
      <c r="L218" s="18" t="str">
        <f t="shared" si="147"/>
        <v/>
      </c>
      <c r="M218" s="18" t="str">
        <f>IF(R218&lt;&gt;1,"",H218*CONTROL_PANEL!$B$14)</f>
        <v/>
      </c>
      <c r="N218" s="18" t="str">
        <f>IF(R218&lt;&gt;1,"",DATA_INPUT!K218)</f>
        <v/>
      </c>
      <c r="O218" s="18" t="str">
        <f t="shared" si="148"/>
        <v/>
      </c>
      <c r="P218" s="18" t="str">
        <f>IF(R218&lt;&gt;1,"",IF(O218-CONTROL_PANEL!$B$11&lt;0,0,O218-CONTROL_PANEL!$B$11))</f>
        <v/>
      </c>
      <c r="Q218" s="18" t="str">
        <f>IF(R218&lt;&gt;1,"",IF(N218&lt;=0,0,MIN(N218,MAX(0,CONTROL_PANEL!$B$13-O218))))</f>
        <v/>
      </c>
      <c r="R218" s="18"/>
      <c r="T218" s="19">
        <f t="shared" si="176"/>
        <v>2033</v>
      </c>
      <c r="U218" s="19">
        <f t="shared" si="141"/>
        <v>7</v>
      </c>
      <c r="V218" s="18" t="str">
        <f t="shared" si="149"/>
        <v/>
      </c>
      <c r="W218" s="18" t="str">
        <f t="shared" si="171"/>
        <v/>
      </c>
      <c r="X218" s="18" t="str">
        <f>IF(AK217&lt;&gt;1,"",IF(AH217&gt;0,IF(AH217&gt;CONTROL_PANEL!$B$11,CONTROL_PANEL!$B$11,AH217),0))</f>
        <v/>
      </c>
      <c r="Y218" s="18" t="str">
        <f t="shared" si="166"/>
        <v/>
      </c>
      <c r="Z218" s="18" t="str">
        <f>IF(AK218&lt;&gt;1,"",DATA_INPUT!I218)</f>
        <v/>
      </c>
      <c r="AA218" s="18" t="str">
        <f>IF(AK218&lt;&gt;1,"",Z218*CONTROL_PANEL!$B$5)</f>
        <v/>
      </c>
      <c r="AB218" s="18" t="str">
        <f>IF(AK218&lt;&gt;1,"",DATA_INPUT!$C218)</f>
        <v/>
      </c>
      <c r="AC218" s="18" t="str">
        <f t="shared" si="150"/>
        <v/>
      </c>
      <c r="AD218" s="18" t="str">
        <f>IF(AK218&lt;&gt;1,"",DATA_INPUT!$H218)</f>
        <v/>
      </c>
      <c r="AE218" s="18" t="str">
        <f t="shared" si="151"/>
        <v/>
      </c>
      <c r="AF218" s="18" t="str">
        <f>IF(AK218&lt;&gt;1,"",AA218*CONTROL_PANEL!$B$14)</f>
        <v/>
      </c>
      <c r="AG218" s="18" t="str">
        <f>IF(AK218&lt;&gt;1,"",DATA_INPUT!$L218)</f>
        <v/>
      </c>
      <c r="AH218" s="18" t="str">
        <f t="shared" si="152"/>
        <v/>
      </c>
      <c r="AI218" s="18" t="str">
        <f>IF(AK218&lt;&gt;1,"",IF(AH218-CONTROL_PANEL!$B$11&lt;0,0,AH218-CONTROL_PANEL!$B$11))</f>
        <v/>
      </c>
      <c r="AJ218" s="18" t="str">
        <f>IF(AK218&lt;&gt;1,"",IF(AG218&lt;=0,0,MIN(AG218,MAX(0,CONTROL_PANEL!$B$13-AH218))))</f>
        <v/>
      </c>
      <c r="AK218" s="18"/>
      <c r="AM218" s="19">
        <f t="shared" si="177"/>
        <v>2033</v>
      </c>
      <c r="AN218" s="19">
        <f t="shared" si="142"/>
        <v>7</v>
      </c>
      <c r="AO218" s="18" t="str">
        <f t="shared" si="153"/>
        <v/>
      </c>
      <c r="AP218" s="18" t="str">
        <f t="shared" si="172"/>
        <v/>
      </c>
      <c r="AQ218" s="18" t="str">
        <f>IF(BD217&lt;&gt;1,"",IF(BA217&gt;0,IF(BA217&gt;CONTROL_PANEL!$B$11,CONTROL_PANEL!$B$11,BA217),0))</f>
        <v/>
      </c>
      <c r="AR218" s="18" t="str">
        <f t="shared" si="167"/>
        <v/>
      </c>
      <c r="AS218" s="18" t="str">
        <f>IF(BD218&lt;&gt;1,"",DATA_INPUT!$I218)</f>
        <v/>
      </c>
      <c r="AT218" s="18" t="str">
        <f>IF(BD218&lt;&gt;1,"",AS218*CONTROL_PANEL!$B$5)</f>
        <v/>
      </c>
      <c r="AU218" s="18" t="str">
        <f>IF(BD218&lt;&gt;1,"",DATA_INPUT!$C218)</f>
        <v/>
      </c>
      <c r="AV218" s="18" t="str">
        <f t="shared" si="154"/>
        <v/>
      </c>
      <c r="AW218" s="18" t="str">
        <f>IF(BD218&lt;&gt;1,"",DATA_INPUT!$H218)</f>
        <v/>
      </c>
      <c r="AX218" s="18" t="str">
        <f t="shared" si="155"/>
        <v/>
      </c>
      <c r="AY218" s="18" t="str">
        <f>IF(BD218&lt;&gt;1,"",AT218*CONTROL_PANEL!$B$14)</f>
        <v/>
      </c>
      <c r="AZ218" s="18" t="str">
        <f>IF(BD218&lt;&gt;1,"",DATA_INPUT!$M218)</f>
        <v/>
      </c>
      <c r="BA218" s="18" t="str">
        <f t="shared" si="156"/>
        <v/>
      </c>
      <c r="BB218" s="18" t="str">
        <f>IF(BD218&lt;&gt;1,"",IF(BA218-CONTROL_PANEL!$B$11&lt;0,0,BA218-CONTROL_PANEL!$B$11))</f>
        <v/>
      </c>
      <c r="BC218" s="18" t="str">
        <f>IF(BD218&lt;&gt;1,"",IF(AZ218&lt;=0,0,MIN(AZ218,MAX(0,CONTROL_PANEL!$B$13-BA218))))</f>
        <v/>
      </c>
      <c r="BD218" s="18"/>
      <c r="BF218" s="19">
        <f t="shared" si="178"/>
        <v>2033</v>
      </c>
      <c r="BG218" s="19">
        <f t="shared" si="143"/>
        <v>7</v>
      </c>
      <c r="BH218" s="18" t="str">
        <f t="shared" si="157"/>
        <v/>
      </c>
      <c r="BI218" s="18" t="str">
        <f t="shared" si="173"/>
        <v/>
      </c>
      <c r="BJ218" s="18" t="str">
        <f>IF(BW217&lt;&gt;1,"",IF(BT217&gt;0,IF(BT217&gt;CONTROL_PANEL!$B$11,CONTROL_PANEL!$B$11,BT217),0))</f>
        <v/>
      </c>
      <c r="BK218" s="18" t="str">
        <f t="shared" si="168"/>
        <v/>
      </c>
      <c r="BL218" s="18" t="str">
        <f>IF(BW218&lt;&gt;1,"",DATA_INPUT!$I218)</f>
        <v/>
      </c>
      <c r="BM218" s="18" t="str">
        <f>IF(BW218&lt;&gt;1,"",BL218*CONTROL_PANEL!$B$5)</f>
        <v/>
      </c>
      <c r="BN218" s="18" t="str">
        <f>IF(BW218&lt;&gt;1,"",DATA_INPUT!$C218)</f>
        <v/>
      </c>
      <c r="BO218" s="18" t="str">
        <f t="shared" si="158"/>
        <v/>
      </c>
      <c r="BP218" s="18" t="str">
        <f>IF(BW218&lt;&gt;1,"",DATA_INPUT!$H218)</f>
        <v/>
      </c>
      <c r="BQ218" s="18" t="str">
        <f t="shared" si="159"/>
        <v/>
      </c>
      <c r="BR218" s="18" t="str">
        <f>IF(BW218&lt;&gt;1,"",BM218*CONTROL_PANEL!$B$14)</f>
        <v/>
      </c>
      <c r="BS218" s="18" t="str">
        <f>IF(BW218&lt;&gt;1,"",DATA_INPUT!$N218)</f>
        <v/>
      </c>
      <c r="BT218" s="18" t="str">
        <f t="shared" si="160"/>
        <v/>
      </c>
      <c r="BU218" s="18" t="str">
        <f>IF(BW218&lt;&gt;1,"",IF(BT218-CONTROL_PANEL!$B$11&lt;0,0,BT218-CONTROL_PANEL!$B$11))</f>
        <v/>
      </c>
      <c r="BV218" s="18" t="str">
        <f>IF(BW218&lt;&gt;1,"",IF(BS218&lt;=0,0,MIN(BS218,MAX(0,CONTROL_PANEL!$B$13-BT218))))</f>
        <v/>
      </c>
      <c r="BW218" s="18"/>
      <c r="BY218" s="19">
        <f t="shared" si="179"/>
        <v>2033</v>
      </c>
      <c r="BZ218" s="19">
        <f t="shared" si="144"/>
        <v>7</v>
      </c>
      <c r="CA218" s="18" t="str">
        <f t="shared" si="161"/>
        <v/>
      </c>
      <c r="CB218" s="18" t="str">
        <f t="shared" si="174"/>
        <v/>
      </c>
      <c r="CC218" s="18" t="str">
        <f>IF(CP217&lt;&gt;1,"",IF(CM217&gt;0,IF(CM217&gt;CONTROL_PANEL!$B$11,CONTROL_PANEL!$B$11,CM217),0))</f>
        <v/>
      </c>
      <c r="CD218" s="18" t="str">
        <f t="shared" si="169"/>
        <v/>
      </c>
      <c r="CE218" s="18" t="str">
        <f>IF(CP218&lt;&gt;1,"",DATA_INPUT!$I218)</f>
        <v/>
      </c>
      <c r="CF218" s="18" t="str">
        <f>IF(CP218&lt;&gt;1,"",CE218*CONTROL_PANEL!$B$5)</f>
        <v/>
      </c>
      <c r="CG218" s="18" t="str">
        <f>IF(CP218&lt;&gt;1,"",DATA_INPUT!$C218)</f>
        <v/>
      </c>
      <c r="CH218" s="18" t="str">
        <f t="shared" si="162"/>
        <v/>
      </c>
      <c r="CI218" s="18" t="str">
        <f>IF(CP218&lt;&gt;1,"",DATA_INPUT!$H218)</f>
        <v/>
      </c>
      <c r="CJ218" s="18" t="str">
        <f t="shared" si="163"/>
        <v/>
      </c>
      <c r="CK218" s="18" t="str">
        <f>IF(CP218&lt;&gt;1,"",CF218*CONTROL_PANEL!$B$14)</f>
        <v/>
      </c>
      <c r="CL218" s="18" t="str">
        <f>IF(CP218&lt;&gt;1,"",DATA_INPUT!$O218)</f>
        <v/>
      </c>
      <c r="CM218" s="18" t="str">
        <f t="shared" si="164"/>
        <v/>
      </c>
      <c r="CN218" s="18" t="str">
        <f>IF(CP218&lt;&gt;1,"",IF(CM218-CONTROL_PANEL!$B$11&lt;0,0,CM218-CONTROL_PANEL!$B$11))</f>
        <v/>
      </c>
      <c r="CO218" s="18" t="str">
        <f>IF(CP218&lt;&gt;1,"",IF(CL218&lt;=0,0,MIN(CL218,MAX(0,CONTROL_PANEL!$B$13-CM218))))</f>
        <v/>
      </c>
      <c r="CP218" s="18"/>
    </row>
    <row r="219" spans="1:94" x14ac:dyDescent="0.25">
      <c r="A219" s="19">
        <f t="shared" si="175"/>
        <v>2033</v>
      </c>
      <c r="B219" s="19">
        <f t="shared" si="140"/>
        <v>8</v>
      </c>
      <c r="C219" s="18" t="str">
        <f t="shared" si="145"/>
        <v/>
      </c>
      <c r="D219" s="18" t="str">
        <f t="shared" si="170"/>
        <v/>
      </c>
      <c r="E219" s="18" t="str">
        <f>IF(R218&lt;&gt;1,"",IF(O218&gt;0,IF(O218&gt;CONTROL_PANEL!$B$11,CONTROL_PANEL!$B$11,O218),0))</f>
        <v/>
      </c>
      <c r="F219" s="18" t="str">
        <f t="shared" si="165"/>
        <v/>
      </c>
      <c r="G219" s="18" t="str">
        <f>IF(R219&lt;&gt;1,"",DATA_INPUT!I219)</f>
        <v/>
      </c>
      <c r="H219" s="18" t="str">
        <f>IF(R219&lt;&gt;1,"",G219*CONTROL_PANEL!$B$5)</f>
        <v/>
      </c>
      <c r="I219" s="18" t="str">
        <f>IF(R219&lt;&gt;1,"",DATA_INPUT!C219)</f>
        <v/>
      </c>
      <c r="J219" s="18" t="str">
        <f t="shared" si="146"/>
        <v/>
      </c>
      <c r="K219" s="18" t="str">
        <f>IF(R219&lt;&gt;1,"",DATA_INPUT!H219)</f>
        <v/>
      </c>
      <c r="L219" s="18" t="str">
        <f t="shared" si="147"/>
        <v/>
      </c>
      <c r="M219" s="18" t="str">
        <f>IF(R219&lt;&gt;1,"",H219*CONTROL_PANEL!$B$14)</f>
        <v/>
      </c>
      <c r="N219" s="18" t="str">
        <f>IF(R219&lt;&gt;1,"",DATA_INPUT!K219)</f>
        <v/>
      </c>
      <c r="O219" s="18" t="str">
        <f t="shared" si="148"/>
        <v/>
      </c>
      <c r="P219" s="18" t="str">
        <f>IF(R219&lt;&gt;1,"",IF(O219-CONTROL_PANEL!$B$11&lt;0,0,O219-CONTROL_PANEL!$B$11))</f>
        <v/>
      </c>
      <c r="Q219" s="18" t="str">
        <f>IF(R219&lt;&gt;1,"",IF(N219&lt;=0,0,MIN(N219,MAX(0,CONTROL_PANEL!$B$13-O219))))</f>
        <v/>
      </c>
      <c r="R219" s="18"/>
      <c r="T219" s="19">
        <f t="shared" si="176"/>
        <v>2033</v>
      </c>
      <c r="U219" s="19">
        <f t="shared" si="141"/>
        <v>8</v>
      </c>
      <c r="V219" s="18" t="str">
        <f t="shared" si="149"/>
        <v/>
      </c>
      <c r="W219" s="18" t="str">
        <f t="shared" si="171"/>
        <v/>
      </c>
      <c r="X219" s="18" t="str">
        <f>IF(AK218&lt;&gt;1,"",IF(AH218&gt;0,IF(AH218&gt;CONTROL_PANEL!$B$11,CONTROL_PANEL!$B$11,AH218),0))</f>
        <v/>
      </c>
      <c r="Y219" s="18" t="str">
        <f t="shared" si="166"/>
        <v/>
      </c>
      <c r="Z219" s="18" t="str">
        <f>IF(AK219&lt;&gt;1,"",DATA_INPUT!I219)</f>
        <v/>
      </c>
      <c r="AA219" s="18" t="str">
        <f>IF(AK219&lt;&gt;1,"",Z219*CONTROL_PANEL!$B$5)</f>
        <v/>
      </c>
      <c r="AB219" s="18" t="str">
        <f>IF(AK219&lt;&gt;1,"",DATA_INPUT!$C219)</f>
        <v/>
      </c>
      <c r="AC219" s="18" t="str">
        <f t="shared" si="150"/>
        <v/>
      </c>
      <c r="AD219" s="18" t="str">
        <f>IF(AK219&lt;&gt;1,"",DATA_INPUT!$H219)</f>
        <v/>
      </c>
      <c r="AE219" s="18" t="str">
        <f t="shared" si="151"/>
        <v/>
      </c>
      <c r="AF219" s="18" t="str">
        <f>IF(AK219&lt;&gt;1,"",AA219*CONTROL_PANEL!$B$14)</f>
        <v/>
      </c>
      <c r="AG219" s="18" t="str">
        <f>IF(AK219&lt;&gt;1,"",DATA_INPUT!$L219)</f>
        <v/>
      </c>
      <c r="AH219" s="18" t="str">
        <f t="shared" si="152"/>
        <v/>
      </c>
      <c r="AI219" s="18" t="str">
        <f>IF(AK219&lt;&gt;1,"",IF(AH219-CONTROL_PANEL!$B$11&lt;0,0,AH219-CONTROL_PANEL!$B$11))</f>
        <v/>
      </c>
      <c r="AJ219" s="18" t="str">
        <f>IF(AK219&lt;&gt;1,"",IF(AG219&lt;=0,0,MIN(AG219,MAX(0,CONTROL_PANEL!$B$13-AH219))))</f>
        <v/>
      </c>
      <c r="AK219" s="18"/>
      <c r="AM219" s="19">
        <f t="shared" si="177"/>
        <v>2033</v>
      </c>
      <c r="AN219" s="19">
        <f t="shared" si="142"/>
        <v>8</v>
      </c>
      <c r="AO219" s="18" t="str">
        <f t="shared" si="153"/>
        <v/>
      </c>
      <c r="AP219" s="18" t="str">
        <f t="shared" si="172"/>
        <v/>
      </c>
      <c r="AQ219" s="18" t="str">
        <f>IF(BD218&lt;&gt;1,"",IF(BA218&gt;0,IF(BA218&gt;CONTROL_PANEL!$B$11,CONTROL_PANEL!$B$11,BA218),0))</f>
        <v/>
      </c>
      <c r="AR219" s="18" t="str">
        <f t="shared" si="167"/>
        <v/>
      </c>
      <c r="AS219" s="18" t="str">
        <f>IF(BD219&lt;&gt;1,"",DATA_INPUT!$I219)</f>
        <v/>
      </c>
      <c r="AT219" s="18" t="str">
        <f>IF(BD219&lt;&gt;1,"",AS219*CONTROL_PANEL!$B$5)</f>
        <v/>
      </c>
      <c r="AU219" s="18" t="str">
        <f>IF(BD219&lt;&gt;1,"",DATA_INPUT!$C219)</f>
        <v/>
      </c>
      <c r="AV219" s="18" t="str">
        <f t="shared" si="154"/>
        <v/>
      </c>
      <c r="AW219" s="18" t="str">
        <f>IF(BD219&lt;&gt;1,"",DATA_INPUT!$H219)</f>
        <v/>
      </c>
      <c r="AX219" s="18" t="str">
        <f t="shared" si="155"/>
        <v/>
      </c>
      <c r="AY219" s="18" t="str">
        <f>IF(BD219&lt;&gt;1,"",AT219*CONTROL_PANEL!$B$14)</f>
        <v/>
      </c>
      <c r="AZ219" s="18" t="str">
        <f>IF(BD219&lt;&gt;1,"",DATA_INPUT!$M219)</f>
        <v/>
      </c>
      <c r="BA219" s="18" t="str">
        <f t="shared" si="156"/>
        <v/>
      </c>
      <c r="BB219" s="18" t="str">
        <f>IF(BD219&lt;&gt;1,"",IF(BA219-CONTROL_PANEL!$B$11&lt;0,0,BA219-CONTROL_PANEL!$B$11))</f>
        <v/>
      </c>
      <c r="BC219" s="18" t="str">
        <f>IF(BD219&lt;&gt;1,"",IF(AZ219&lt;=0,0,MIN(AZ219,MAX(0,CONTROL_PANEL!$B$13-BA219))))</f>
        <v/>
      </c>
      <c r="BD219" s="18"/>
      <c r="BF219" s="19">
        <f t="shared" si="178"/>
        <v>2033</v>
      </c>
      <c r="BG219" s="19">
        <f t="shared" si="143"/>
        <v>8</v>
      </c>
      <c r="BH219" s="18" t="str">
        <f t="shared" si="157"/>
        <v/>
      </c>
      <c r="BI219" s="18" t="str">
        <f t="shared" si="173"/>
        <v/>
      </c>
      <c r="BJ219" s="18" t="str">
        <f>IF(BW218&lt;&gt;1,"",IF(BT218&gt;0,IF(BT218&gt;CONTROL_PANEL!$B$11,CONTROL_PANEL!$B$11,BT218),0))</f>
        <v/>
      </c>
      <c r="BK219" s="18" t="str">
        <f t="shared" si="168"/>
        <v/>
      </c>
      <c r="BL219" s="18" t="str">
        <f>IF(BW219&lt;&gt;1,"",DATA_INPUT!$I219)</f>
        <v/>
      </c>
      <c r="BM219" s="18" t="str">
        <f>IF(BW219&lt;&gt;1,"",BL219*CONTROL_PANEL!$B$5)</f>
        <v/>
      </c>
      <c r="BN219" s="18" t="str">
        <f>IF(BW219&lt;&gt;1,"",DATA_INPUT!$C219)</f>
        <v/>
      </c>
      <c r="BO219" s="18" t="str">
        <f t="shared" si="158"/>
        <v/>
      </c>
      <c r="BP219" s="18" t="str">
        <f>IF(BW219&lt;&gt;1,"",DATA_INPUT!$H219)</f>
        <v/>
      </c>
      <c r="BQ219" s="18" t="str">
        <f t="shared" si="159"/>
        <v/>
      </c>
      <c r="BR219" s="18" t="str">
        <f>IF(BW219&lt;&gt;1,"",BM219*CONTROL_PANEL!$B$14)</f>
        <v/>
      </c>
      <c r="BS219" s="18" t="str">
        <f>IF(BW219&lt;&gt;1,"",DATA_INPUT!$N219)</f>
        <v/>
      </c>
      <c r="BT219" s="18" t="str">
        <f t="shared" si="160"/>
        <v/>
      </c>
      <c r="BU219" s="18" t="str">
        <f>IF(BW219&lt;&gt;1,"",IF(BT219-CONTROL_PANEL!$B$11&lt;0,0,BT219-CONTROL_PANEL!$B$11))</f>
        <v/>
      </c>
      <c r="BV219" s="18" t="str">
        <f>IF(BW219&lt;&gt;1,"",IF(BS219&lt;=0,0,MIN(BS219,MAX(0,CONTROL_PANEL!$B$13-BT219))))</f>
        <v/>
      </c>
      <c r="BW219" s="18"/>
      <c r="BY219" s="19">
        <f t="shared" si="179"/>
        <v>2033</v>
      </c>
      <c r="BZ219" s="19">
        <f t="shared" si="144"/>
        <v>8</v>
      </c>
      <c r="CA219" s="18" t="str">
        <f t="shared" si="161"/>
        <v/>
      </c>
      <c r="CB219" s="18" t="str">
        <f t="shared" si="174"/>
        <v/>
      </c>
      <c r="CC219" s="18" t="str">
        <f>IF(CP218&lt;&gt;1,"",IF(CM218&gt;0,IF(CM218&gt;CONTROL_PANEL!$B$11,CONTROL_PANEL!$B$11,CM218),0))</f>
        <v/>
      </c>
      <c r="CD219" s="18" t="str">
        <f t="shared" si="169"/>
        <v/>
      </c>
      <c r="CE219" s="18" t="str">
        <f>IF(CP219&lt;&gt;1,"",DATA_INPUT!$I219)</f>
        <v/>
      </c>
      <c r="CF219" s="18" t="str">
        <f>IF(CP219&lt;&gt;1,"",CE219*CONTROL_PANEL!$B$5)</f>
        <v/>
      </c>
      <c r="CG219" s="18" t="str">
        <f>IF(CP219&lt;&gt;1,"",DATA_INPUT!$C219)</f>
        <v/>
      </c>
      <c r="CH219" s="18" t="str">
        <f t="shared" si="162"/>
        <v/>
      </c>
      <c r="CI219" s="18" t="str">
        <f>IF(CP219&lt;&gt;1,"",DATA_INPUT!$H219)</f>
        <v/>
      </c>
      <c r="CJ219" s="18" t="str">
        <f t="shared" si="163"/>
        <v/>
      </c>
      <c r="CK219" s="18" t="str">
        <f>IF(CP219&lt;&gt;1,"",CF219*CONTROL_PANEL!$B$14)</f>
        <v/>
      </c>
      <c r="CL219" s="18" t="str">
        <f>IF(CP219&lt;&gt;1,"",DATA_INPUT!$O219)</f>
        <v/>
      </c>
      <c r="CM219" s="18" t="str">
        <f t="shared" si="164"/>
        <v/>
      </c>
      <c r="CN219" s="18" t="str">
        <f>IF(CP219&lt;&gt;1,"",IF(CM219-CONTROL_PANEL!$B$11&lt;0,0,CM219-CONTROL_PANEL!$B$11))</f>
        <v/>
      </c>
      <c r="CO219" s="18" t="str">
        <f>IF(CP219&lt;&gt;1,"",IF(CL219&lt;=0,0,MIN(CL219,MAX(0,CONTROL_PANEL!$B$13-CM219))))</f>
        <v/>
      </c>
      <c r="CP219" s="18"/>
    </row>
    <row r="220" spans="1:94" x14ac:dyDescent="0.25">
      <c r="A220" s="19">
        <f t="shared" si="175"/>
        <v>2033</v>
      </c>
      <c r="B220" s="19">
        <f t="shared" si="140"/>
        <v>9</v>
      </c>
      <c r="C220" s="18" t="str">
        <f t="shared" si="145"/>
        <v/>
      </c>
      <c r="D220" s="18" t="str">
        <f t="shared" si="170"/>
        <v/>
      </c>
      <c r="E220" s="18" t="str">
        <f>IF(R219&lt;&gt;1,"",IF(O219&gt;0,IF(O219&gt;CONTROL_PANEL!$B$11,CONTROL_PANEL!$B$11,O219),0))</f>
        <v/>
      </c>
      <c r="F220" s="18" t="str">
        <f t="shared" si="165"/>
        <v/>
      </c>
      <c r="G220" s="18" t="str">
        <f>IF(R220&lt;&gt;1,"",DATA_INPUT!I220)</f>
        <v/>
      </c>
      <c r="H220" s="18" t="str">
        <f>IF(R220&lt;&gt;1,"",G220*CONTROL_PANEL!$B$5)</f>
        <v/>
      </c>
      <c r="I220" s="18" t="str">
        <f>IF(R220&lt;&gt;1,"",DATA_INPUT!C220)</f>
        <v/>
      </c>
      <c r="J220" s="18" t="str">
        <f t="shared" si="146"/>
        <v/>
      </c>
      <c r="K220" s="18" t="str">
        <f>IF(R220&lt;&gt;1,"",DATA_INPUT!H220)</f>
        <v/>
      </c>
      <c r="L220" s="18" t="str">
        <f t="shared" si="147"/>
        <v/>
      </c>
      <c r="M220" s="18" t="str">
        <f>IF(R220&lt;&gt;1,"",H220*CONTROL_PANEL!$B$14)</f>
        <v/>
      </c>
      <c r="N220" s="18" t="str">
        <f>IF(R220&lt;&gt;1,"",DATA_INPUT!K220)</f>
        <v/>
      </c>
      <c r="O220" s="18" t="str">
        <f t="shared" si="148"/>
        <v/>
      </c>
      <c r="P220" s="18" t="str">
        <f>IF(R220&lt;&gt;1,"",IF(O220-CONTROL_PANEL!$B$11&lt;0,0,O220-CONTROL_PANEL!$B$11))</f>
        <v/>
      </c>
      <c r="Q220" s="18" t="str">
        <f>IF(R220&lt;&gt;1,"",IF(N220&lt;=0,0,MIN(N220,MAX(0,CONTROL_PANEL!$B$13-O220))))</f>
        <v/>
      </c>
      <c r="R220" s="18"/>
      <c r="T220" s="19">
        <f t="shared" si="176"/>
        <v>2033</v>
      </c>
      <c r="U220" s="19">
        <f t="shared" si="141"/>
        <v>9</v>
      </c>
      <c r="V220" s="18" t="str">
        <f t="shared" si="149"/>
        <v/>
      </c>
      <c r="W220" s="18" t="str">
        <f t="shared" si="171"/>
        <v/>
      </c>
      <c r="X220" s="18" t="str">
        <f>IF(AK219&lt;&gt;1,"",IF(AH219&gt;0,IF(AH219&gt;CONTROL_PANEL!$B$11,CONTROL_PANEL!$B$11,AH219),0))</f>
        <v/>
      </c>
      <c r="Y220" s="18" t="str">
        <f t="shared" si="166"/>
        <v/>
      </c>
      <c r="Z220" s="18" t="str">
        <f>IF(AK220&lt;&gt;1,"",DATA_INPUT!I220)</f>
        <v/>
      </c>
      <c r="AA220" s="18" t="str">
        <f>IF(AK220&lt;&gt;1,"",Z220*CONTROL_PANEL!$B$5)</f>
        <v/>
      </c>
      <c r="AB220" s="18" t="str">
        <f>IF(AK220&lt;&gt;1,"",DATA_INPUT!$C220)</f>
        <v/>
      </c>
      <c r="AC220" s="18" t="str">
        <f t="shared" si="150"/>
        <v/>
      </c>
      <c r="AD220" s="18" t="str">
        <f>IF(AK220&lt;&gt;1,"",DATA_INPUT!$H220)</f>
        <v/>
      </c>
      <c r="AE220" s="18" t="str">
        <f t="shared" si="151"/>
        <v/>
      </c>
      <c r="AF220" s="18" t="str">
        <f>IF(AK220&lt;&gt;1,"",AA220*CONTROL_PANEL!$B$14)</f>
        <v/>
      </c>
      <c r="AG220" s="18" t="str">
        <f>IF(AK220&lt;&gt;1,"",DATA_INPUT!$L220)</f>
        <v/>
      </c>
      <c r="AH220" s="18" t="str">
        <f t="shared" si="152"/>
        <v/>
      </c>
      <c r="AI220" s="18" t="str">
        <f>IF(AK220&lt;&gt;1,"",IF(AH220-CONTROL_PANEL!$B$11&lt;0,0,AH220-CONTROL_PANEL!$B$11))</f>
        <v/>
      </c>
      <c r="AJ220" s="18" t="str">
        <f>IF(AK220&lt;&gt;1,"",IF(AG220&lt;=0,0,MIN(AG220,MAX(0,CONTROL_PANEL!$B$13-AH220))))</f>
        <v/>
      </c>
      <c r="AK220" s="18"/>
      <c r="AM220" s="19">
        <f t="shared" si="177"/>
        <v>2033</v>
      </c>
      <c r="AN220" s="19">
        <f t="shared" si="142"/>
        <v>9</v>
      </c>
      <c r="AO220" s="18" t="str">
        <f t="shared" si="153"/>
        <v/>
      </c>
      <c r="AP220" s="18" t="str">
        <f t="shared" si="172"/>
        <v/>
      </c>
      <c r="AQ220" s="18" t="str">
        <f>IF(BD219&lt;&gt;1,"",IF(BA219&gt;0,IF(BA219&gt;CONTROL_PANEL!$B$11,CONTROL_PANEL!$B$11,BA219),0))</f>
        <v/>
      </c>
      <c r="AR220" s="18" t="str">
        <f t="shared" si="167"/>
        <v/>
      </c>
      <c r="AS220" s="18" t="str">
        <f>IF(BD220&lt;&gt;1,"",DATA_INPUT!$I220)</f>
        <v/>
      </c>
      <c r="AT220" s="18" t="str">
        <f>IF(BD220&lt;&gt;1,"",AS220*CONTROL_PANEL!$B$5)</f>
        <v/>
      </c>
      <c r="AU220" s="18" t="str">
        <f>IF(BD220&lt;&gt;1,"",DATA_INPUT!$C220)</f>
        <v/>
      </c>
      <c r="AV220" s="18" t="str">
        <f t="shared" si="154"/>
        <v/>
      </c>
      <c r="AW220" s="18" t="str">
        <f>IF(BD220&lt;&gt;1,"",DATA_INPUT!$H220)</f>
        <v/>
      </c>
      <c r="AX220" s="18" t="str">
        <f t="shared" si="155"/>
        <v/>
      </c>
      <c r="AY220" s="18" t="str">
        <f>IF(BD220&lt;&gt;1,"",AT220*CONTROL_PANEL!$B$14)</f>
        <v/>
      </c>
      <c r="AZ220" s="18" t="str">
        <f>IF(BD220&lt;&gt;1,"",DATA_INPUT!$M220)</f>
        <v/>
      </c>
      <c r="BA220" s="18" t="str">
        <f t="shared" si="156"/>
        <v/>
      </c>
      <c r="BB220" s="18" t="str">
        <f>IF(BD220&lt;&gt;1,"",IF(BA220-CONTROL_PANEL!$B$11&lt;0,0,BA220-CONTROL_PANEL!$B$11))</f>
        <v/>
      </c>
      <c r="BC220" s="18" t="str">
        <f>IF(BD220&lt;&gt;1,"",IF(AZ220&lt;=0,0,MIN(AZ220,MAX(0,CONTROL_PANEL!$B$13-BA220))))</f>
        <v/>
      </c>
      <c r="BD220" s="18"/>
      <c r="BF220" s="19">
        <f t="shared" si="178"/>
        <v>2033</v>
      </c>
      <c r="BG220" s="19">
        <f t="shared" si="143"/>
        <v>9</v>
      </c>
      <c r="BH220" s="18" t="str">
        <f t="shared" si="157"/>
        <v/>
      </c>
      <c r="BI220" s="18" t="str">
        <f t="shared" si="173"/>
        <v/>
      </c>
      <c r="BJ220" s="18" t="str">
        <f>IF(BW219&lt;&gt;1,"",IF(BT219&gt;0,IF(BT219&gt;CONTROL_PANEL!$B$11,CONTROL_PANEL!$B$11,BT219),0))</f>
        <v/>
      </c>
      <c r="BK220" s="18" t="str">
        <f t="shared" si="168"/>
        <v/>
      </c>
      <c r="BL220" s="18" t="str">
        <f>IF(BW220&lt;&gt;1,"",DATA_INPUT!$I220)</f>
        <v/>
      </c>
      <c r="BM220" s="18" t="str">
        <f>IF(BW220&lt;&gt;1,"",BL220*CONTROL_PANEL!$B$5)</f>
        <v/>
      </c>
      <c r="BN220" s="18" t="str">
        <f>IF(BW220&lt;&gt;1,"",DATA_INPUT!$C220)</f>
        <v/>
      </c>
      <c r="BO220" s="18" t="str">
        <f t="shared" si="158"/>
        <v/>
      </c>
      <c r="BP220" s="18" t="str">
        <f>IF(BW220&lt;&gt;1,"",DATA_INPUT!$H220)</f>
        <v/>
      </c>
      <c r="BQ220" s="18" t="str">
        <f t="shared" si="159"/>
        <v/>
      </c>
      <c r="BR220" s="18" t="str">
        <f>IF(BW220&lt;&gt;1,"",BM220*CONTROL_PANEL!$B$14)</f>
        <v/>
      </c>
      <c r="BS220" s="18" t="str">
        <f>IF(BW220&lt;&gt;1,"",DATA_INPUT!$N220)</f>
        <v/>
      </c>
      <c r="BT220" s="18" t="str">
        <f t="shared" si="160"/>
        <v/>
      </c>
      <c r="BU220" s="18" t="str">
        <f>IF(BW220&lt;&gt;1,"",IF(BT220-CONTROL_PANEL!$B$11&lt;0,0,BT220-CONTROL_PANEL!$B$11))</f>
        <v/>
      </c>
      <c r="BV220" s="18" t="str">
        <f>IF(BW220&lt;&gt;1,"",IF(BS220&lt;=0,0,MIN(BS220,MAX(0,CONTROL_PANEL!$B$13-BT220))))</f>
        <v/>
      </c>
      <c r="BW220" s="18"/>
      <c r="BY220" s="19">
        <f t="shared" si="179"/>
        <v>2033</v>
      </c>
      <c r="BZ220" s="19">
        <f t="shared" si="144"/>
        <v>9</v>
      </c>
      <c r="CA220" s="18" t="str">
        <f t="shared" si="161"/>
        <v/>
      </c>
      <c r="CB220" s="18" t="str">
        <f t="shared" si="174"/>
        <v/>
      </c>
      <c r="CC220" s="18" t="str">
        <f>IF(CP219&lt;&gt;1,"",IF(CM219&gt;0,IF(CM219&gt;CONTROL_PANEL!$B$11,CONTROL_PANEL!$B$11,CM219),0))</f>
        <v/>
      </c>
      <c r="CD220" s="18" t="str">
        <f t="shared" si="169"/>
        <v/>
      </c>
      <c r="CE220" s="18" t="str">
        <f>IF(CP220&lt;&gt;1,"",DATA_INPUT!$I220)</f>
        <v/>
      </c>
      <c r="CF220" s="18" t="str">
        <f>IF(CP220&lt;&gt;1,"",CE220*CONTROL_PANEL!$B$5)</f>
        <v/>
      </c>
      <c r="CG220" s="18" t="str">
        <f>IF(CP220&lt;&gt;1,"",DATA_INPUT!$C220)</f>
        <v/>
      </c>
      <c r="CH220" s="18" t="str">
        <f t="shared" si="162"/>
        <v/>
      </c>
      <c r="CI220" s="18" t="str">
        <f>IF(CP220&lt;&gt;1,"",DATA_INPUT!$H220)</f>
        <v/>
      </c>
      <c r="CJ220" s="18" t="str">
        <f t="shared" si="163"/>
        <v/>
      </c>
      <c r="CK220" s="18" t="str">
        <f>IF(CP220&lt;&gt;1,"",CF220*CONTROL_PANEL!$B$14)</f>
        <v/>
      </c>
      <c r="CL220" s="18" t="str">
        <f>IF(CP220&lt;&gt;1,"",DATA_INPUT!$O220)</f>
        <v/>
      </c>
      <c r="CM220" s="18" t="str">
        <f t="shared" si="164"/>
        <v/>
      </c>
      <c r="CN220" s="18" t="str">
        <f>IF(CP220&lt;&gt;1,"",IF(CM220-CONTROL_PANEL!$B$11&lt;0,0,CM220-CONTROL_PANEL!$B$11))</f>
        <v/>
      </c>
      <c r="CO220" s="18" t="str">
        <f>IF(CP220&lt;&gt;1,"",IF(CL220&lt;=0,0,MIN(CL220,MAX(0,CONTROL_PANEL!$B$13-CM220))))</f>
        <v/>
      </c>
      <c r="CP220" s="18"/>
    </row>
    <row r="221" spans="1:94" x14ac:dyDescent="0.25">
      <c r="A221" s="19">
        <f t="shared" si="175"/>
        <v>2033</v>
      </c>
      <c r="B221" s="19">
        <f t="shared" si="140"/>
        <v>10</v>
      </c>
      <c r="C221" s="18" t="str">
        <f t="shared" si="145"/>
        <v/>
      </c>
      <c r="D221" s="18" t="str">
        <f t="shared" si="170"/>
        <v/>
      </c>
      <c r="E221" s="18" t="str">
        <f>IF(R220&lt;&gt;1,"",IF(O220&gt;0,IF(O220&gt;CONTROL_PANEL!$B$11,CONTROL_PANEL!$B$11,O220),0))</f>
        <v/>
      </c>
      <c r="F221" s="18" t="str">
        <f t="shared" si="165"/>
        <v/>
      </c>
      <c r="G221" s="18" t="str">
        <f>IF(R221&lt;&gt;1,"",DATA_INPUT!I221)</f>
        <v/>
      </c>
      <c r="H221" s="18" t="str">
        <f>IF(R221&lt;&gt;1,"",G221*CONTROL_PANEL!$B$5)</f>
        <v/>
      </c>
      <c r="I221" s="18" t="str">
        <f>IF(R221&lt;&gt;1,"",DATA_INPUT!C221)</f>
        <v/>
      </c>
      <c r="J221" s="18" t="str">
        <f t="shared" si="146"/>
        <v/>
      </c>
      <c r="K221" s="18" t="str">
        <f>IF(R221&lt;&gt;1,"",DATA_INPUT!H221)</f>
        <v/>
      </c>
      <c r="L221" s="18" t="str">
        <f t="shared" si="147"/>
        <v/>
      </c>
      <c r="M221" s="18" t="str">
        <f>IF(R221&lt;&gt;1,"",H221*CONTROL_PANEL!$B$14)</f>
        <v/>
      </c>
      <c r="N221" s="18" t="str">
        <f>IF(R221&lt;&gt;1,"",DATA_INPUT!K221)</f>
        <v/>
      </c>
      <c r="O221" s="18" t="str">
        <f t="shared" si="148"/>
        <v/>
      </c>
      <c r="P221" s="18" t="str">
        <f>IF(R221&lt;&gt;1,"",IF(O221-CONTROL_PANEL!$B$11&lt;0,0,O221-CONTROL_PANEL!$B$11))</f>
        <v/>
      </c>
      <c r="Q221" s="18" t="str">
        <f>IF(R221&lt;&gt;1,"",IF(N221&lt;=0,0,MIN(N221,MAX(0,CONTROL_PANEL!$B$13-O221))))</f>
        <v/>
      </c>
      <c r="R221" s="18"/>
      <c r="T221" s="19">
        <f t="shared" si="176"/>
        <v>2033</v>
      </c>
      <c r="U221" s="19">
        <f t="shared" si="141"/>
        <v>10</v>
      </c>
      <c r="V221" s="18" t="str">
        <f t="shared" si="149"/>
        <v/>
      </c>
      <c r="W221" s="18" t="str">
        <f t="shared" si="171"/>
        <v/>
      </c>
      <c r="X221" s="18" t="str">
        <f>IF(AK220&lt;&gt;1,"",IF(AH220&gt;0,IF(AH220&gt;CONTROL_PANEL!$B$11,CONTROL_PANEL!$B$11,AH220),0))</f>
        <v/>
      </c>
      <c r="Y221" s="18" t="str">
        <f t="shared" si="166"/>
        <v/>
      </c>
      <c r="Z221" s="18" t="str">
        <f>IF(AK221&lt;&gt;1,"",DATA_INPUT!I221)</f>
        <v/>
      </c>
      <c r="AA221" s="18" t="str">
        <f>IF(AK221&lt;&gt;1,"",Z221*CONTROL_PANEL!$B$5)</f>
        <v/>
      </c>
      <c r="AB221" s="18" t="str">
        <f>IF(AK221&lt;&gt;1,"",DATA_INPUT!$C221)</f>
        <v/>
      </c>
      <c r="AC221" s="18" t="str">
        <f t="shared" si="150"/>
        <v/>
      </c>
      <c r="AD221" s="18" t="str">
        <f>IF(AK221&lt;&gt;1,"",DATA_INPUT!$H221)</f>
        <v/>
      </c>
      <c r="AE221" s="18" t="str">
        <f t="shared" si="151"/>
        <v/>
      </c>
      <c r="AF221" s="18" t="str">
        <f>IF(AK221&lt;&gt;1,"",AA221*CONTROL_PANEL!$B$14)</f>
        <v/>
      </c>
      <c r="AG221" s="18" t="str">
        <f>IF(AK221&lt;&gt;1,"",DATA_INPUT!$L221)</f>
        <v/>
      </c>
      <c r="AH221" s="18" t="str">
        <f t="shared" si="152"/>
        <v/>
      </c>
      <c r="AI221" s="18" t="str">
        <f>IF(AK221&lt;&gt;1,"",IF(AH221-CONTROL_PANEL!$B$11&lt;0,0,AH221-CONTROL_PANEL!$B$11))</f>
        <v/>
      </c>
      <c r="AJ221" s="18" t="str">
        <f>IF(AK221&lt;&gt;1,"",IF(AG221&lt;=0,0,MIN(AG221,MAX(0,CONTROL_PANEL!$B$13-AH221))))</f>
        <v/>
      </c>
      <c r="AK221" s="18"/>
      <c r="AM221" s="19">
        <f t="shared" si="177"/>
        <v>2033</v>
      </c>
      <c r="AN221" s="19">
        <f t="shared" si="142"/>
        <v>10</v>
      </c>
      <c r="AO221" s="18" t="str">
        <f t="shared" si="153"/>
        <v/>
      </c>
      <c r="AP221" s="18" t="str">
        <f t="shared" si="172"/>
        <v/>
      </c>
      <c r="AQ221" s="18" t="str">
        <f>IF(BD220&lt;&gt;1,"",IF(BA220&gt;0,IF(BA220&gt;CONTROL_PANEL!$B$11,CONTROL_PANEL!$B$11,BA220),0))</f>
        <v/>
      </c>
      <c r="AR221" s="18" t="str">
        <f t="shared" si="167"/>
        <v/>
      </c>
      <c r="AS221" s="18" t="str">
        <f>IF(BD221&lt;&gt;1,"",DATA_INPUT!$I221)</f>
        <v/>
      </c>
      <c r="AT221" s="18" t="str">
        <f>IF(BD221&lt;&gt;1,"",AS221*CONTROL_PANEL!$B$5)</f>
        <v/>
      </c>
      <c r="AU221" s="18" t="str">
        <f>IF(BD221&lt;&gt;1,"",DATA_INPUT!$C221)</f>
        <v/>
      </c>
      <c r="AV221" s="18" t="str">
        <f t="shared" si="154"/>
        <v/>
      </c>
      <c r="AW221" s="18" t="str">
        <f>IF(BD221&lt;&gt;1,"",DATA_INPUT!$H221)</f>
        <v/>
      </c>
      <c r="AX221" s="18" t="str">
        <f t="shared" si="155"/>
        <v/>
      </c>
      <c r="AY221" s="18" t="str">
        <f>IF(BD221&lt;&gt;1,"",AT221*CONTROL_PANEL!$B$14)</f>
        <v/>
      </c>
      <c r="AZ221" s="18" t="str">
        <f>IF(BD221&lt;&gt;1,"",DATA_INPUT!$M221)</f>
        <v/>
      </c>
      <c r="BA221" s="18" t="str">
        <f t="shared" si="156"/>
        <v/>
      </c>
      <c r="BB221" s="18" t="str">
        <f>IF(BD221&lt;&gt;1,"",IF(BA221-CONTROL_PANEL!$B$11&lt;0,0,BA221-CONTROL_PANEL!$B$11))</f>
        <v/>
      </c>
      <c r="BC221" s="18" t="str">
        <f>IF(BD221&lt;&gt;1,"",IF(AZ221&lt;=0,0,MIN(AZ221,MAX(0,CONTROL_PANEL!$B$13-BA221))))</f>
        <v/>
      </c>
      <c r="BD221" s="18"/>
      <c r="BF221" s="19">
        <f t="shared" si="178"/>
        <v>2033</v>
      </c>
      <c r="BG221" s="19">
        <f t="shared" si="143"/>
        <v>10</v>
      </c>
      <c r="BH221" s="18" t="str">
        <f t="shared" si="157"/>
        <v/>
      </c>
      <c r="BI221" s="18" t="str">
        <f t="shared" si="173"/>
        <v/>
      </c>
      <c r="BJ221" s="18" t="str">
        <f>IF(BW220&lt;&gt;1,"",IF(BT220&gt;0,IF(BT220&gt;CONTROL_PANEL!$B$11,CONTROL_PANEL!$B$11,BT220),0))</f>
        <v/>
      </c>
      <c r="BK221" s="18" t="str">
        <f t="shared" si="168"/>
        <v/>
      </c>
      <c r="BL221" s="18" t="str">
        <f>IF(BW221&lt;&gt;1,"",DATA_INPUT!$I221)</f>
        <v/>
      </c>
      <c r="BM221" s="18" t="str">
        <f>IF(BW221&lt;&gt;1,"",BL221*CONTROL_PANEL!$B$5)</f>
        <v/>
      </c>
      <c r="BN221" s="18" t="str">
        <f>IF(BW221&lt;&gt;1,"",DATA_INPUT!$C221)</f>
        <v/>
      </c>
      <c r="BO221" s="18" t="str">
        <f t="shared" si="158"/>
        <v/>
      </c>
      <c r="BP221" s="18" t="str">
        <f>IF(BW221&lt;&gt;1,"",DATA_INPUT!$H221)</f>
        <v/>
      </c>
      <c r="BQ221" s="18" t="str">
        <f t="shared" si="159"/>
        <v/>
      </c>
      <c r="BR221" s="18" t="str">
        <f>IF(BW221&lt;&gt;1,"",BM221*CONTROL_PANEL!$B$14)</f>
        <v/>
      </c>
      <c r="BS221" s="18" t="str">
        <f>IF(BW221&lt;&gt;1,"",DATA_INPUT!$N221)</f>
        <v/>
      </c>
      <c r="BT221" s="18" t="str">
        <f t="shared" si="160"/>
        <v/>
      </c>
      <c r="BU221" s="18" t="str">
        <f>IF(BW221&lt;&gt;1,"",IF(BT221-CONTROL_PANEL!$B$11&lt;0,0,BT221-CONTROL_PANEL!$B$11))</f>
        <v/>
      </c>
      <c r="BV221" s="18" t="str">
        <f>IF(BW221&lt;&gt;1,"",IF(BS221&lt;=0,0,MIN(BS221,MAX(0,CONTROL_PANEL!$B$13-BT221))))</f>
        <v/>
      </c>
      <c r="BW221" s="18"/>
      <c r="BY221" s="19">
        <f t="shared" si="179"/>
        <v>2033</v>
      </c>
      <c r="BZ221" s="19">
        <f t="shared" si="144"/>
        <v>10</v>
      </c>
      <c r="CA221" s="18" t="str">
        <f t="shared" si="161"/>
        <v/>
      </c>
      <c r="CB221" s="18" t="str">
        <f t="shared" si="174"/>
        <v/>
      </c>
      <c r="CC221" s="18" t="str">
        <f>IF(CP220&lt;&gt;1,"",IF(CM220&gt;0,IF(CM220&gt;CONTROL_PANEL!$B$11,CONTROL_PANEL!$B$11,CM220),0))</f>
        <v/>
      </c>
      <c r="CD221" s="18" t="str">
        <f t="shared" si="169"/>
        <v/>
      </c>
      <c r="CE221" s="18" t="str">
        <f>IF(CP221&lt;&gt;1,"",DATA_INPUT!$I221)</f>
        <v/>
      </c>
      <c r="CF221" s="18" t="str">
        <f>IF(CP221&lt;&gt;1,"",CE221*CONTROL_PANEL!$B$5)</f>
        <v/>
      </c>
      <c r="CG221" s="18" t="str">
        <f>IF(CP221&lt;&gt;1,"",DATA_INPUT!$C221)</f>
        <v/>
      </c>
      <c r="CH221" s="18" t="str">
        <f t="shared" si="162"/>
        <v/>
      </c>
      <c r="CI221" s="18" t="str">
        <f>IF(CP221&lt;&gt;1,"",DATA_INPUT!$H221)</f>
        <v/>
      </c>
      <c r="CJ221" s="18" t="str">
        <f t="shared" si="163"/>
        <v/>
      </c>
      <c r="CK221" s="18" t="str">
        <f>IF(CP221&lt;&gt;1,"",CF221*CONTROL_PANEL!$B$14)</f>
        <v/>
      </c>
      <c r="CL221" s="18" t="str">
        <f>IF(CP221&lt;&gt;1,"",DATA_INPUT!$O221)</f>
        <v/>
      </c>
      <c r="CM221" s="18" t="str">
        <f t="shared" si="164"/>
        <v/>
      </c>
      <c r="CN221" s="18" t="str">
        <f>IF(CP221&lt;&gt;1,"",IF(CM221-CONTROL_PANEL!$B$11&lt;0,0,CM221-CONTROL_PANEL!$B$11))</f>
        <v/>
      </c>
      <c r="CO221" s="18" t="str">
        <f>IF(CP221&lt;&gt;1,"",IF(CL221&lt;=0,0,MIN(CL221,MAX(0,CONTROL_PANEL!$B$13-CM221))))</f>
        <v/>
      </c>
      <c r="CP221" s="18"/>
    </row>
    <row r="222" spans="1:94" x14ac:dyDescent="0.25">
      <c r="A222" s="19">
        <f t="shared" si="175"/>
        <v>2033</v>
      </c>
      <c r="B222" s="19">
        <f t="shared" si="140"/>
        <v>11</v>
      </c>
      <c r="C222" s="18" t="str">
        <f t="shared" si="145"/>
        <v/>
      </c>
      <c r="D222" s="18" t="str">
        <f t="shared" si="170"/>
        <v/>
      </c>
      <c r="E222" s="18" t="str">
        <f>IF(R221&lt;&gt;1,"",IF(O221&gt;0,IF(O221&gt;CONTROL_PANEL!$B$11,CONTROL_PANEL!$B$11,O221),0))</f>
        <v/>
      </c>
      <c r="F222" s="18" t="str">
        <f t="shared" si="165"/>
        <v/>
      </c>
      <c r="G222" s="18" t="str">
        <f>IF(R222&lt;&gt;1,"",DATA_INPUT!I222)</f>
        <v/>
      </c>
      <c r="H222" s="18" t="str">
        <f>IF(R222&lt;&gt;1,"",G222*CONTROL_PANEL!$B$5)</f>
        <v/>
      </c>
      <c r="I222" s="18" t="str">
        <f>IF(R222&lt;&gt;1,"",DATA_INPUT!C222)</f>
        <v/>
      </c>
      <c r="J222" s="18" t="str">
        <f t="shared" si="146"/>
        <v/>
      </c>
      <c r="K222" s="18" t="str">
        <f>IF(R222&lt;&gt;1,"",DATA_INPUT!H222)</f>
        <v/>
      </c>
      <c r="L222" s="18" t="str">
        <f t="shared" si="147"/>
        <v/>
      </c>
      <c r="M222" s="18" t="str">
        <f>IF(R222&lt;&gt;1,"",H222*CONTROL_PANEL!$B$14)</f>
        <v/>
      </c>
      <c r="N222" s="18" t="str">
        <f>IF(R222&lt;&gt;1,"",DATA_INPUT!K222)</f>
        <v/>
      </c>
      <c r="O222" s="18" t="str">
        <f t="shared" si="148"/>
        <v/>
      </c>
      <c r="P222" s="18" t="str">
        <f>IF(R222&lt;&gt;1,"",IF(O222-CONTROL_PANEL!$B$11&lt;0,0,O222-CONTROL_PANEL!$B$11))</f>
        <v/>
      </c>
      <c r="Q222" s="18" t="str">
        <f>IF(R222&lt;&gt;1,"",IF(N222&lt;=0,0,MIN(N222,MAX(0,CONTROL_PANEL!$B$13-O222))))</f>
        <v/>
      </c>
      <c r="R222" s="18"/>
      <c r="T222" s="19">
        <f t="shared" si="176"/>
        <v>2033</v>
      </c>
      <c r="U222" s="19">
        <f t="shared" si="141"/>
        <v>11</v>
      </c>
      <c r="V222" s="18" t="str">
        <f t="shared" si="149"/>
        <v/>
      </c>
      <c r="W222" s="18" t="str">
        <f t="shared" si="171"/>
        <v/>
      </c>
      <c r="X222" s="18" t="str">
        <f>IF(AK221&lt;&gt;1,"",IF(AH221&gt;0,IF(AH221&gt;CONTROL_PANEL!$B$11,CONTROL_PANEL!$B$11,AH221),0))</f>
        <v/>
      </c>
      <c r="Y222" s="18" t="str">
        <f t="shared" si="166"/>
        <v/>
      </c>
      <c r="Z222" s="18" t="str">
        <f>IF(AK222&lt;&gt;1,"",DATA_INPUT!I222)</f>
        <v/>
      </c>
      <c r="AA222" s="18" t="str">
        <f>IF(AK222&lt;&gt;1,"",Z222*CONTROL_PANEL!$B$5)</f>
        <v/>
      </c>
      <c r="AB222" s="18" t="str">
        <f>IF(AK222&lt;&gt;1,"",DATA_INPUT!$C222)</f>
        <v/>
      </c>
      <c r="AC222" s="18" t="str">
        <f t="shared" si="150"/>
        <v/>
      </c>
      <c r="AD222" s="18" t="str">
        <f>IF(AK222&lt;&gt;1,"",DATA_INPUT!$H222)</f>
        <v/>
      </c>
      <c r="AE222" s="18" t="str">
        <f t="shared" si="151"/>
        <v/>
      </c>
      <c r="AF222" s="18" t="str">
        <f>IF(AK222&lt;&gt;1,"",AA222*CONTROL_PANEL!$B$14)</f>
        <v/>
      </c>
      <c r="AG222" s="18" t="str">
        <f>IF(AK222&lt;&gt;1,"",DATA_INPUT!$L222)</f>
        <v/>
      </c>
      <c r="AH222" s="18" t="str">
        <f t="shared" si="152"/>
        <v/>
      </c>
      <c r="AI222" s="18" t="str">
        <f>IF(AK222&lt;&gt;1,"",IF(AH222-CONTROL_PANEL!$B$11&lt;0,0,AH222-CONTROL_PANEL!$B$11))</f>
        <v/>
      </c>
      <c r="AJ222" s="18" t="str">
        <f>IF(AK222&lt;&gt;1,"",IF(AG222&lt;=0,0,MIN(AG222,MAX(0,CONTROL_PANEL!$B$13-AH222))))</f>
        <v/>
      </c>
      <c r="AK222" s="18"/>
      <c r="AM222" s="19">
        <f t="shared" si="177"/>
        <v>2033</v>
      </c>
      <c r="AN222" s="19">
        <f t="shared" si="142"/>
        <v>11</v>
      </c>
      <c r="AO222" s="18" t="str">
        <f t="shared" si="153"/>
        <v/>
      </c>
      <c r="AP222" s="18" t="str">
        <f t="shared" si="172"/>
        <v/>
      </c>
      <c r="AQ222" s="18" t="str">
        <f>IF(BD221&lt;&gt;1,"",IF(BA221&gt;0,IF(BA221&gt;CONTROL_PANEL!$B$11,CONTROL_PANEL!$B$11,BA221),0))</f>
        <v/>
      </c>
      <c r="AR222" s="18" t="str">
        <f t="shared" si="167"/>
        <v/>
      </c>
      <c r="AS222" s="18" t="str">
        <f>IF(BD222&lt;&gt;1,"",DATA_INPUT!$I222)</f>
        <v/>
      </c>
      <c r="AT222" s="18" t="str">
        <f>IF(BD222&lt;&gt;1,"",AS222*CONTROL_PANEL!$B$5)</f>
        <v/>
      </c>
      <c r="AU222" s="18" t="str">
        <f>IF(BD222&lt;&gt;1,"",DATA_INPUT!$C222)</f>
        <v/>
      </c>
      <c r="AV222" s="18" t="str">
        <f t="shared" si="154"/>
        <v/>
      </c>
      <c r="AW222" s="18" t="str">
        <f>IF(BD222&lt;&gt;1,"",DATA_INPUT!$H222)</f>
        <v/>
      </c>
      <c r="AX222" s="18" t="str">
        <f t="shared" si="155"/>
        <v/>
      </c>
      <c r="AY222" s="18" t="str">
        <f>IF(BD222&lt;&gt;1,"",AT222*CONTROL_PANEL!$B$14)</f>
        <v/>
      </c>
      <c r="AZ222" s="18" t="str">
        <f>IF(BD222&lt;&gt;1,"",DATA_INPUT!$M222)</f>
        <v/>
      </c>
      <c r="BA222" s="18" t="str">
        <f t="shared" si="156"/>
        <v/>
      </c>
      <c r="BB222" s="18" t="str">
        <f>IF(BD222&lt;&gt;1,"",IF(BA222-CONTROL_PANEL!$B$11&lt;0,0,BA222-CONTROL_PANEL!$B$11))</f>
        <v/>
      </c>
      <c r="BC222" s="18" t="str">
        <f>IF(BD222&lt;&gt;1,"",IF(AZ222&lt;=0,0,MIN(AZ222,MAX(0,CONTROL_PANEL!$B$13-BA222))))</f>
        <v/>
      </c>
      <c r="BD222" s="18"/>
      <c r="BF222" s="19">
        <f t="shared" si="178"/>
        <v>2033</v>
      </c>
      <c r="BG222" s="19">
        <f t="shared" si="143"/>
        <v>11</v>
      </c>
      <c r="BH222" s="18" t="str">
        <f t="shared" si="157"/>
        <v/>
      </c>
      <c r="BI222" s="18" t="str">
        <f t="shared" si="173"/>
        <v/>
      </c>
      <c r="BJ222" s="18" t="str">
        <f>IF(BW221&lt;&gt;1,"",IF(BT221&gt;0,IF(BT221&gt;CONTROL_PANEL!$B$11,CONTROL_PANEL!$B$11,BT221),0))</f>
        <v/>
      </c>
      <c r="BK222" s="18" t="str">
        <f t="shared" si="168"/>
        <v/>
      </c>
      <c r="BL222" s="18" t="str">
        <f>IF(BW222&lt;&gt;1,"",DATA_INPUT!$I222)</f>
        <v/>
      </c>
      <c r="BM222" s="18" t="str">
        <f>IF(BW222&lt;&gt;1,"",BL222*CONTROL_PANEL!$B$5)</f>
        <v/>
      </c>
      <c r="BN222" s="18" t="str">
        <f>IF(BW222&lt;&gt;1,"",DATA_INPUT!$C222)</f>
        <v/>
      </c>
      <c r="BO222" s="18" t="str">
        <f t="shared" si="158"/>
        <v/>
      </c>
      <c r="BP222" s="18" t="str">
        <f>IF(BW222&lt;&gt;1,"",DATA_INPUT!$H222)</f>
        <v/>
      </c>
      <c r="BQ222" s="18" t="str">
        <f t="shared" si="159"/>
        <v/>
      </c>
      <c r="BR222" s="18" t="str">
        <f>IF(BW222&lt;&gt;1,"",BM222*CONTROL_PANEL!$B$14)</f>
        <v/>
      </c>
      <c r="BS222" s="18" t="str">
        <f>IF(BW222&lt;&gt;1,"",DATA_INPUT!$N222)</f>
        <v/>
      </c>
      <c r="BT222" s="18" t="str">
        <f t="shared" si="160"/>
        <v/>
      </c>
      <c r="BU222" s="18" t="str">
        <f>IF(BW222&lt;&gt;1,"",IF(BT222-CONTROL_PANEL!$B$11&lt;0,0,BT222-CONTROL_PANEL!$B$11))</f>
        <v/>
      </c>
      <c r="BV222" s="18" t="str">
        <f>IF(BW222&lt;&gt;1,"",IF(BS222&lt;=0,0,MIN(BS222,MAX(0,CONTROL_PANEL!$B$13-BT222))))</f>
        <v/>
      </c>
      <c r="BW222" s="18"/>
      <c r="BY222" s="19">
        <f t="shared" si="179"/>
        <v>2033</v>
      </c>
      <c r="BZ222" s="19">
        <f t="shared" si="144"/>
        <v>11</v>
      </c>
      <c r="CA222" s="18" t="str">
        <f t="shared" si="161"/>
        <v/>
      </c>
      <c r="CB222" s="18" t="str">
        <f t="shared" si="174"/>
        <v/>
      </c>
      <c r="CC222" s="18" t="str">
        <f>IF(CP221&lt;&gt;1,"",IF(CM221&gt;0,IF(CM221&gt;CONTROL_PANEL!$B$11,CONTROL_PANEL!$B$11,CM221),0))</f>
        <v/>
      </c>
      <c r="CD222" s="18" t="str">
        <f t="shared" si="169"/>
        <v/>
      </c>
      <c r="CE222" s="18" t="str">
        <f>IF(CP222&lt;&gt;1,"",DATA_INPUT!$I222)</f>
        <v/>
      </c>
      <c r="CF222" s="18" t="str">
        <f>IF(CP222&lt;&gt;1,"",CE222*CONTROL_PANEL!$B$5)</f>
        <v/>
      </c>
      <c r="CG222" s="18" t="str">
        <f>IF(CP222&lt;&gt;1,"",DATA_INPUT!$C222)</f>
        <v/>
      </c>
      <c r="CH222" s="18" t="str">
        <f t="shared" si="162"/>
        <v/>
      </c>
      <c r="CI222" s="18" t="str">
        <f>IF(CP222&lt;&gt;1,"",DATA_INPUT!$H222)</f>
        <v/>
      </c>
      <c r="CJ222" s="18" t="str">
        <f t="shared" si="163"/>
        <v/>
      </c>
      <c r="CK222" s="18" t="str">
        <f>IF(CP222&lt;&gt;1,"",CF222*CONTROL_PANEL!$B$14)</f>
        <v/>
      </c>
      <c r="CL222" s="18" t="str">
        <f>IF(CP222&lt;&gt;1,"",DATA_INPUT!$O222)</f>
        <v/>
      </c>
      <c r="CM222" s="18" t="str">
        <f t="shared" si="164"/>
        <v/>
      </c>
      <c r="CN222" s="18" t="str">
        <f>IF(CP222&lt;&gt;1,"",IF(CM222-CONTROL_PANEL!$B$11&lt;0,0,CM222-CONTROL_PANEL!$B$11))</f>
        <v/>
      </c>
      <c r="CO222" s="18" t="str">
        <f>IF(CP222&lt;&gt;1,"",IF(CL222&lt;=0,0,MIN(CL222,MAX(0,CONTROL_PANEL!$B$13-CM222))))</f>
        <v/>
      </c>
      <c r="CP222" s="18"/>
    </row>
    <row r="223" spans="1:94" x14ac:dyDescent="0.25">
      <c r="A223" s="19">
        <f t="shared" si="175"/>
        <v>2033</v>
      </c>
      <c r="B223" s="19">
        <f t="shared" si="140"/>
        <v>12</v>
      </c>
      <c r="C223" s="18" t="str">
        <f t="shared" si="145"/>
        <v/>
      </c>
      <c r="D223" s="18" t="str">
        <f t="shared" si="170"/>
        <v/>
      </c>
      <c r="E223" s="18" t="str">
        <f>IF(R222&lt;&gt;1,"",IF(O222&gt;0,IF(O222&gt;CONTROL_PANEL!$B$11,CONTROL_PANEL!$B$11,O222),0))</f>
        <v/>
      </c>
      <c r="F223" s="18" t="str">
        <f t="shared" si="165"/>
        <v/>
      </c>
      <c r="G223" s="18" t="str">
        <f>IF(R223&lt;&gt;1,"",DATA_INPUT!I223)</f>
        <v/>
      </c>
      <c r="H223" s="18" t="str">
        <f>IF(R223&lt;&gt;1,"",G223*CONTROL_PANEL!$B$5)</f>
        <v/>
      </c>
      <c r="I223" s="18" t="str">
        <f>IF(R223&lt;&gt;1,"",DATA_INPUT!C223)</f>
        <v/>
      </c>
      <c r="J223" s="18" t="str">
        <f t="shared" si="146"/>
        <v/>
      </c>
      <c r="K223" s="18" t="str">
        <f>IF(R223&lt;&gt;1,"",DATA_INPUT!H223)</f>
        <v/>
      </c>
      <c r="L223" s="18" t="str">
        <f t="shared" si="147"/>
        <v/>
      </c>
      <c r="M223" s="18" t="str">
        <f>IF(R223&lt;&gt;1,"",H223*CONTROL_PANEL!$B$14)</f>
        <v/>
      </c>
      <c r="N223" s="18" t="str">
        <f>IF(R223&lt;&gt;1,"",DATA_INPUT!K223)</f>
        <v/>
      </c>
      <c r="O223" s="18" t="str">
        <f t="shared" si="148"/>
        <v/>
      </c>
      <c r="P223" s="18" t="str">
        <f>IF(R223&lt;&gt;1,"",IF(O223-CONTROL_PANEL!$B$11&lt;0,0,O223-CONTROL_PANEL!$B$11))</f>
        <v/>
      </c>
      <c r="Q223" s="18" t="str">
        <f>IF(R223&lt;&gt;1,"",IF(N223&lt;=0,0,MIN(N223,MAX(0,CONTROL_PANEL!$B$13-O223))))</f>
        <v/>
      </c>
      <c r="R223" s="18"/>
      <c r="T223" s="19">
        <f t="shared" si="176"/>
        <v>2033</v>
      </c>
      <c r="U223" s="19">
        <f t="shared" si="141"/>
        <v>12</v>
      </c>
      <c r="V223" s="18" t="str">
        <f t="shared" si="149"/>
        <v/>
      </c>
      <c r="W223" s="18" t="str">
        <f t="shared" si="171"/>
        <v/>
      </c>
      <c r="X223" s="18" t="str">
        <f>IF(AK222&lt;&gt;1,"",IF(AH222&gt;0,IF(AH222&gt;CONTROL_PANEL!$B$11,CONTROL_PANEL!$B$11,AH222),0))</f>
        <v/>
      </c>
      <c r="Y223" s="18" t="str">
        <f t="shared" si="166"/>
        <v/>
      </c>
      <c r="Z223" s="18" t="str">
        <f>IF(AK223&lt;&gt;1,"",DATA_INPUT!I223)</f>
        <v/>
      </c>
      <c r="AA223" s="18" t="str">
        <f>IF(AK223&lt;&gt;1,"",Z223*CONTROL_PANEL!$B$5)</f>
        <v/>
      </c>
      <c r="AB223" s="18" t="str">
        <f>IF(AK223&lt;&gt;1,"",DATA_INPUT!$C223)</f>
        <v/>
      </c>
      <c r="AC223" s="18" t="str">
        <f t="shared" si="150"/>
        <v/>
      </c>
      <c r="AD223" s="18" t="str">
        <f>IF(AK223&lt;&gt;1,"",DATA_INPUT!$H223)</f>
        <v/>
      </c>
      <c r="AE223" s="18" t="str">
        <f t="shared" si="151"/>
        <v/>
      </c>
      <c r="AF223" s="18" t="str">
        <f>IF(AK223&lt;&gt;1,"",AA223*CONTROL_PANEL!$B$14)</f>
        <v/>
      </c>
      <c r="AG223" s="18" t="str">
        <f>IF(AK223&lt;&gt;1,"",DATA_INPUT!$L223)</f>
        <v/>
      </c>
      <c r="AH223" s="18" t="str">
        <f t="shared" si="152"/>
        <v/>
      </c>
      <c r="AI223" s="18" t="str">
        <f>IF(AK223&lt;&gt;1,"",IF(AH223-CONTROL_PANEL!$B$11&lt;0,0,AH223-CONTROL_PANEL!$B$11))</f>
        <v/>
      </c>
      <c r="AJ223" s="18" t="str">
        <f>IF(AK223&lt;&gt;1,"",IF(AG223&lt;=0,0,MIN(AG223,MAX(0,CONTROL_PANEL!$B$13-AH223))))</f>
        <v/>
      </c>
      <c r="AK223" s="18"/>
      <c r="AM223" s="19">
        <f t="shared" si="177"/>
        <v>2033</v>
      </c>
      <c r="AN223" s="19">
        <f t="shared" si="142"/>
        <v>12</v>
      </c>
      <c r="AO223" s="18" t="str">
        <f t="shared" si="153"/>
        <v/>
      </c>
      <c r="AP223" s="18" t="str">
        <f t="shared" si="172"/>
        <v/>
      </c>
      <c r="AQ223" s="18" t="str">
        <f>IF(BD222&lt;&gt;1,"",IF(BA222&gt;0,IF(BA222&gt;CONTROL_PANEL!$B$11,CONTROL_PANEL!$B$11,BA222),0))</f>
        <v/>
      </c>
      <c r="AR223" s="18" t="str">
        <f t="shared" si="167"/>
        <v/>
      </c>
      <c r="AS223" s="18" t="str">
        <f>IF(BD223&lt;&gt;1,"",DATA_INPUT!$I223)</f>
        <v/>
      </c>
      <c r="AT223" s="18" t="str">
        <f>IF(BD223&lt;&gt;1,"",AS223*CONTROL_PANEL!$B$5)</f>
        <v/>
      </c>
      <c r="AU223" s="18" t="str">
        <f>IF(BD223&lt;&gt;1,"",DATA_INPUT!$C223)</f>
        <v/>
      </c>
      <c r="AV223" s="18" t="str">
        <f t="shared" si="154"/>
        <v/>
      </c>
      <c r="AW223" s="18" t="str">
        <f>IF(BD223&lt;&gt;1,"",DATA_INPUT!$H223)</f>
        <v/>
      </c>
      <c r="AX223" s="18" t="str">
        <f t="shared" si="155"/>
        <v/>
      </c>
      <c r="AY223" s="18" t="str">
        <f>IF(BD223&lt;&gt;1,"",AT223*CONTROL_PANEL!$B$14)</f>
        <v/>
      </c>
      <c r="AZ223" s="18" t="str">
        <f>IF(BD223&lt;&gt;1,"",DATA_INPUT!$M223)</f>
        <v/>
      </c>
      <c r="BA223" s="18" t="str">
        <f t="shared" si="156"/>
        <v/>
      </c>
      <c r="BB223" s="18" t="str">
        <f>IF(BD223&lt;&gt;1,"",IF(BA223-CONTROL_PANEL!$B$11&lt;0,0,BA223-CONTROL_PANEL!$B$11))</f>
        <v/>
      </c>
      <c r="BC223" s="18" t="str">
        <f>IF(BD223&lt;&gt;1,"",IF(AZ223&lt;=0,0,MIN(AZ223,MAX(0,CONTROL_PANEL!$B$13-BA223))))</f>
        <v/>
      </c>
      <c r="BD223" s="18"/>
      <c r="BF223" s="19">
        <f t="shared" si="178"/>
        <v>2033</v>
      </c>
      <c r="BG223" s="19">
        <f t="shared" si="143"/>
        <v>12</v>
      </c>
      <c r="BH223" s="18" t="str">
        <f t="shared" si="157"/>
        <v/>
      </c>
      <c r="BI223" s="18" t="str">
        <f t="shared" si="173"/>
        <v/>
      </c>
      <c r="BJ223" s="18" t="str">
        <f>IF(BW222&lt;&gt;1,"",IF(BT222&gt;0,IF(BT222&gt;CONTROL_PANEL!$B$11,CONTROL_PANEL!$B$11,BT222),0))</f>
        <v/>
      </c>
      <c r="BK223" s="18" t="str">
        <f t="shared" si="168"/>
        <v/>
      </c>
      <c r="BL223" s="18" t="str">
        <f>IF(BW223&lt;&gt;1,"",DATA_INPUT!$I223)</f>
        <v/>
      </c>
      <c r="BM223" s="18" t="str">
        <f>IF(BW223&lt;&gt;1,"",BL223*CONTROL_PANEL!$B$5)</f>
        <v/>
      </c>
      <c r="BN223" s="18" t="str">
        <f>IF(BW223&lt;&gt;1,"",DATA_INPUT!$C223)</f>
        <v/>
      </c>
      <c r="BO223" s="18" t="str">
        <f t="shared" si="158"/>
        <v/>
      </c>
      <c r="BP223" s="18" t="str">
        <f>IF(BW223&lt;&gt;1,"",DATA_INPUT!$H223)</f>
        <v/>
      </c>
      <c r="BQ223" s="18" t="str">
        <f t="shared" si="159"/>
        <v/>
      </c>
      <c r="BR223" s="18" t="str">
        <f>IF(BW223&lt;&gt;1,"",BM223*CONTROL_PANEL!$B$14)</f>
        <v/>
      </c>
      <c r="BS223" s="18" t="str">
        <f>IF(BW223&lt;&gt;1,"",DATA_INPUT!$N223)</f>
        <v/>
      </c>
      <c r="BT223" s="18" t="str">
        <f t="shared" si="160"/>
        <v/>
      </c>
      <c r="BU223" s="18" t="str">
        <f>IF(BW223&lt;&gt;1,"",IF(BT223-CONTROL_PANEL!$B$11&lt;0,0,BT223-CONTROL_PANEL!$B$11))</f>
        <v/>
      </c>
      <c r="BV223" s="18" t="str">
        <f>IF(BW223&lt;&gt;1,"",IF(BS223&lt;=0,0,MIN(BS223,MAX(0,CONTROL_PANEL!$B$13-BT223))))</f>
        <v/>
      </c>
      <c r="BW223" s="18"/>
      <c r="BY223" s="19">
        <f t="shared" si="179"/>
        <v>2033</v>
      </c>
      <c r="BZ223" s="19">
        <f t="shared" si="144"/>
        <v>12</v>
      </c>
      <c r="CA223" s="18" t="str">
        <f t="shared" si="161"/>
        <v/>
      </c>
      <c r="CB223" s="18" t="str">
        <f t="shared" si="174"/>
        <v/>
      </c>
      <c r="CC223" s="18" t="str">
        <f>IF(CP222&lt;&gt;1,"",IF(CM222&gt;0,IF(CM222&gt;CONTROL_PANEL!$B$11,CONTROL_PANEL!$B$11,CM222),0))</f>
        <v/>
      </c>
      <c r="CD223" s="18" t="str">
        <f t="shared" si="169"/>
        <v/>
      </c>
      <c r="CE223" s="18" t="str">
        <f>IF(CP223&lt;&gt;1,"",DATA_INPUT!$I223)</f>
        <v/>
      </c>
      <c r="CF223" s="18" t="str">
        <f>IF(CP223&lt;&gt;1,"",CE223*CONTROL_PANEL!$B$5)</f>
        <v/>
      </c>
      <c r="CG223" s="18" t="str">
        <f>IF(CP223&lt;&gt;1,"",DATA_INPUT!$C223)</f>
        <v/>
      </c>
      <c r="CH223" s="18" t="str">
        <f t="shared" si="162"/>
        <v/>
      </c>
      <c r="CI223" s="18" t="str">
        <f>IF(CP223&lt;&gt;1,"",DATA_INPUT!$H223)</f>
        <v/>
      </c>
      <c r="CJ223" s="18" t="str">
        <f t="shared" si="163"/>
        <v/>
      </c>
      <c r="CK223" s="18" t="str">
        <f>IF(CP223&lt;&gt;1,"",CF223*CONTROL_PANEL!$B$14)</f>
        <v/>
      </c>
      <c r="CL223" s="18" t="str">
        <f>IF(CP223&lt;&gt;1,"",DATA_INPUT!$O223)</f>
        <v/>
      </c>
      <c r="CM223" s="18" t="str">
        <f t="shared" si="164"/>
        <v/>
      </c>
      <c r="CN223" s="18" t="str">
        <f>IF(CP223&lt;&gt;1,"",IF(CM223-CONTROL_PANEL!$B$11&lt;0,0,CM223-CONTROL_PANEL!$B$11))</f>
        <v/>
      </c>
      <c r="CO223" s="18" t="str">
        <f>IF(CP223&lt;&gt;1,"",IF(CL223&lt;=0,0,MIN(CL223,MAX(0,CONTROL_PANEL!$B$13-CM223))))</f>
        <v/>
      </c>
      <c r="CP223" s="18"/>
    </row>
    <row r="224" spans="1:94" x14ac:dyDescent="0.25">
      <c r="A224" s="19">
        <f t="shared" si="175"/>
        <v>2034</v>
      </c>
      <c r="B224" s="19">
        <f t="shared" si="140"/>
        <v>1</v>
      </c>
      <c r="C224" s="18" t="str">
        <f t="shared" si="145"/>
        <v/>
      </c>
      <c r="D224" s="18" t="str">
        <f t="shared" si="170"/>
        <v/>
      </c>
      <c r="E224" s="18" t="str">
        <f>IF(R223&lt;&gt;1,"",IF(O223&gt;0,IF(O223&gt;CONTROL_PANEL!$B$11,CONTROL_PANEL!$B$11,O223),0))</f>
        <v/>
      </c>
      <c r="F224" s="18" t="str">
        <f t="shared" si="165"/>
        <v/>
      </c>
      <c r="G224" s="18" t="str">
        <f>IF(R224&lt;&gt;1,"",DATA_INPUT!I224)</f>
        <v/>
      </c>
      <c r="H224" s="18" t="str">
        <f>IF(R224&lt;&gt;1,"",G224*CONTROL_PANEL!$B$5)</f>
        <v/>
      </c>
      <c r="I224" s="18" t="str">
        <f>IF(R224&lt;&gt;1,"",DATA_INPUT!C224)</f>
        <v/>
      </c>
      <c r="J224" s="18" t="str">
        <f t="shared" si="146"/>
        <v/>
      </c>
      <c r="K224" s="18" t="str">
        <f>IF(R224&lt;&gt;1,"",DATA_INPUT!H224)</f>
        <v/>
      </c>
      <c r="L224" s="18" t="str">
        <f t="shared" si="147"/>
        <v/>
      </c>
      <c r="M224" s="18" t="str">
        <f>IF(R224&lt;&gt;1,"",H224*CONTROL_PANEL!$B$14)</f>
        <v/>
      </c>
      <c r="N224" s="18" t="str">
        <f>IF(R224&lt;&gt;1,"",DATA_INPUT!K224)</f>
        <v/>
      </c>
      <c r="O224" s="18" t="str">
        <f t="shared" si="148"/>
        <v/>
      </c>
      <c r="P224" s="18" t="str">
        <f>IF(R224&lt;&gt;1,"",IF(O224-CONTROL_PANEL!$B$11&lt;0,0,O224-CONTROL_PANEL!$B$11))</f>
        <v/>
      </c>
      <c r="Q224" s="18" t="str">
        <f>IF(R224&lt;&gt;1,"",IF(N224&lt;=0,0,MIN(N224,MAX(0,CONTROL_PANEL!$B$13-O224))))</f>
        <v/>
      </c>
      <c r="R224" s="18"/>
      <c r="T224" s="19">
        <f t="shared" si="176"/>
        <v>2034</v>
      </c>
      <c r="U224" s="19">
        <f t="shared" si="141"/>
        <v>1</v>
      </c>
      <c r="V224" s="18" t="str">
        <f t="shared" si="149"/>
        <v/>
      </c>
      <c r="W224" s="18" t="str">
        <f t="shared" si="171"/>
        <v/>
      </c>
      <c r="X224" s="18" t="str">
        <f>IF(AK223&lt;&gt;1,"",IF(AH223&gt;0,IF(AH223&gt;CONTROL_PANEL!$B$11,CONTROL_PANEL!$B$11,AH223),0))</f>
        <v/>
      </c>
      <c r="Y224" s="18" t="str">
        <f t="shared" si="166"/>
        <v/>
      </c>
      <c r="Z224" s="18" t="str">
        <f>IF(AK224&lt;&gt;1,"",DATA_INPUT!I224)</f>
        <v/>
      </c>
      <c r="AA224" s="18" t="str">
        <f>IF(AK224&lt;&gt;1,"",Z224*CONTROL_PANEL!$B$5)</f>
        <v/>
      </c>
      <c r="AB224" s="18" t="str">
        <f>IF(AK224&lt;&gt;1,"",DATA_INPUT!$C224)</f>
        <v/>
      </c>
      <c r="AC224" s="18" t="str">
        <f t="shared" si="150"/>
        <v/>
      </c>
      <c r="AD224" s="18" t="str">
        <f>IF(AK224&lt;&gt;1,"",DATA_INPUT!$H224)</f>
        <v/>
      </c>
      <c r="AE224" s="18" t="str">
        <f t="shared" si="151"/>
        <v/>
      </c>
      <c r="AF224" s="18" t="str">
        <f>IF(AK224&lt;&gt;1,"",AA224*CONTROL_PANEL!$B$14)</f>
        <v/>
      </c>
      <c r="AG224" s="18" t="str">
        <f>IF(AK224&lt;&gt;1,"",DATA_INPUT!$L224)</f>
        <v/>
      </c>
      <c r="AH224" s="18" t="str">
        <f t="shared" si="152"/>
        <v/>
      </c>
      <c r="AI224" s="18" t="str">
        <f>IF(AK224&lt;&gt;1,"",IF(AH224-CONTROL_PANEL!$B$11&lt;0,0,AH224-CONTROL_PANEL!$B$11))</f>
        <v/>
      </c>
      <c r="AJ224" s="18" t="str">
        <f>IF(AK224&lt;&gt;1,"",IF(AG224&lt;=0,0,MIN(AG224,MAX(0,CONTROL_PANEL!$B$13-AH224))))</f>
        <v/>
      </c>
      <c r="AK224" s="18"/>
      <c r="AM224" s="19">
        <f t="shared" si="177"/>
        <v>2034</v>
      </c>
      <c r="AN224" s="19">
        <f t="shared" si="142"/>
        <v>1</v>
      </c>
      <c r="AO224" s="18" t="str">
        <f t="shared" si="153"/>
        <v/>
      </c>
      <c r="AP224" s="18" t="str">
        <f t="shared" si="172"/>
        <v/>
      </c>
      <c r="AQ224" s="18" t="str">
        <f>IF(BD223&lt;&gt;1,"",IF(BA223&gt;0,IF(BA223&gt;CONTROL_PANEL!$B$11,CONTROL_PANEL!$B$11,BA223),0))</f>
        <v/>
      </c>
      <c r="AR224" s="18" t="str">
        <f t="shared" si="167"/>
        <v/>
      </c>
      <c r="AS224" s="18" t="str">
        <f>IF(BD224&lt;&gt;1,"",DATA_INPUT!$I224)</f>
        <v/>
      </c>
      <c r="AT224" s="18" t="str">
        <f>IF(BD224&lt;&gt;1,"",AS224*CONTROL_PANEL!$B$5)</f>
        <v/>
      </c>
      <c r="AU224" s="18" t="str">
        <f>IF(BD224&lt;&gt;1,"",DATA_INPUT!$C224)</f>
        <v/>
      </c>
      <c r="AV224" s="18" t="str">
        <f t="shared" si="154"/>
        <v/>
      </c>
      <c r="AW224" s="18" t="str">
        <f>IF(BD224&lt;&gt;1,"",DATA_INPUT!$H224)</f>
        <v/>
      </c>
      <c r="AX224" s="18" t="str">
        <f t="shared" si="155"/>
        <v/>
      </c>
      <c r="AY224" s="18" t="str">
        <f>IF(BD224&lt;&gt;1,"",AT224*CONTROL_PANEL!$B$14)</f>
        <v/>
      </c>
      <c r="AZ224" s="18" t="str">
        <f>IF(BD224&lt;&gt;1,"",DATA_INPUT!$M224)</f>
        <v/>
      </c>
      <c r="BA224" s="18" t="str">
        <f t="shared" si="156"/>
        <v/>
      </c>
      <c r="BB224" s="18" t="str">
        <f>IF(BD224&lt;&gt;1,"",IF(BA224-CONTROL_PANEL!$B$11&lt;0,0,BA224-CONTROL_PANEL!$B$11))</f>
        <v/>
      </c>
      <c r="BC224" s="18" t="str">
        <f>IF(BD224&lt;&gt;1,"",IF(AZ224&lt;=0,0,MIN(AZ224,MAX(0,CONTROL_PANEL!$B$13-BA224))))</f>
        <v/>
      </c>
      <c r="BD224" s="18"/>
      <c r="BF224" s="19">
        <f t="shared" si="178"/>
        <v>2034</v>
      </c>
      <c r="BG224" s="19">
        <f t="shared" si="143"/>
        <v>1</v>
      </c>
      <c r="BH224" s="18" t="str">
        <f t="shared" si="157"/>
        <v/>
      </c>
      <c r="BI224" s="18" t="str">
        <f t="shared" si="173"/>
        <v/>
      </c>
      <c r="BJ224" s="18" t="str">
        <f>IF(BW223&lt;&gt;1,"",IF(BT223&gt;0,IF(BT223&gt;CONTROL_PANEL!$B$11,CONTROL_PANEL!$B$11,BT223),0))</f>
        <v/>
      </c>
      <c r="BK224" s="18" t="str">
        <f t="shared" si="168"/>
        <v/>
      </c>
      <c r="BL224" s="18" t="str">
        <f>IF(BW224&lt;&gt;1,"",DATA_INPUT!$I224)</f>
        <v/>
      </c>
      <c r="BM224" s="18" t="str">
        <f>IF(BW224&lt;&gt;1,"",BL224*CONTROL_PANEL!$B$5)</f>
        <v/>
      </c>
      <c r="BN224" s="18" t="str">
        <f>IF(BW224&lt;&gt;1,"",DATA_INPUT!$C224)</f>
        <v/>
      </c>
      <c r="BO224" s="18" t="str">
        <f t="shared" si="158"/>
        <v/>
      </c>
      <c r="BP224" s="18" t="str">
        <f>IF(BW224&lt;&gt;1,"",DATA_INPUT!$H224)</f>
        <v/>
      </c>
      <c r="BQ224" s="18" t="str">
        <f t="shared" si="159"/>
        <v/>
      </c>
      <c r="BR224" s="18" t="str">
        <f>IF(BW224&lt;&gt;1,"",BM224*CONTROL_PANEL!$B$14)</f>
        <v/>
      </c>
      <c r="BS224" s="18" t="str">
        <f>IF(BW224&lt;&gt;1,"",DATA_INPUT!$N224)</f>
        <v/>
      </c>
      <c r="BT224" s="18" t="str">
        <f t="shared" si="160"/>
        <v/>
      </c>
      <c r="BU224" s="18" t="str">
        <f>IF(BW224&lt;&gt;1,"",IF(BT224-CONTROL_PANEL!$B$11&lt;0,0,BT224-CONTROL_PANEL!$B$11))</f>
        <v/>
      </c>
      <c r="BV224" s="18" t="str">
        <f>IF(BW224&lt;&gt;1,"",IF(BS224&lt;=0,0,MIN(BS224,MAX(0,CONTROL_PANEL!$B$13-BT224))))</f>
        <v/>
      </c>
      <c r="BW224" s="18"/>
      <c r="BY224" s="19">
        <f t="shared" si="179"/>
        <v>2034</v>
      </c>
      <c r="BZ224" s="19">
        <f t="shared" si="144"/>
        <v>1</v>
      </c>
      <c r="CA224" s="18" t="str">
        <f t="shared" si="161"/>
        <v/>
      </c>
      <c r="CB224" s="18" t="str">
        <f t="shared" si="174"/>
        <v/>
      </c>
      <c r="CC224" s="18" t="str">
        <f>IF(CP223&lt;&gt;1,"",IF(CM223&gt;0,IF(CM223&gt;CONTROL_PANEL!$B$11,CONTROL_PANEL!$B$11,CM223),0))</f>
        <v/>
      </c>
      <c r="CD224" s="18" t="str">
        <f t="shared" si="169"/>
        <v/>
      </c>
      <c r="CE224" s="18" t="str">
        <f>IF(CP224&lt;&gt;1,"",DATA_INPUT!$I224)</f>
        <v/>
      </c>
      <c r="CF224" s="18" t="str">
        <f>IF(CP224&lt;&gt;1,"",CE224*CONTROL_PANEL!$B$5)</f>
        <v/>
      </c>
      <c r="CG224" s="18" t="str">
        <f>IF(CP224&lt;&gt;1,"",DATA_INPUT!$C224)</f>
        <v/>
      </c>
      <c r="CH224" s="18" t="str">
        <f t="shared" si="162"/>
        <v/>
      </c>
      <c r="CI224" s="18" t="str">
        <f>IF(CP224&lt;&gt;1,"",DATA_INPUT!$H224)</f>
        <v/>
      </c>
      <c r="CJ224" s="18" t="str">
        <f t="shared" si="163"/>
        <v/>
      </c>
      <c r="CK224" s="18" t="str">
        <f>IF(CP224&lt;&gt;1,"",CF224*CONTROL_PANEL!$B$14)</f>
        <v/>
      </c>
      <c r="CL224" s="18" t="str">
        <f>IF(CP224&lt;&gt;1,"",DATA_INPUT!$O224)</f>
        <v/>
      </c>
      <c r="CM224" s="18" t="str">
        <f t="shared" si="164"/>
        <v/>
      </c>
      <c r="CN224" s="18" t="str">
        <f>IF(CP224&lt;&gt;1,"",IF(CM224-CONTROL_PANEL!$B$11&lt;0,0,CM224-CONTROL_PANEL!$B$11))</f>
        <v/>
      </c>
      <c r="CO224" s="18" t="str">
        <f>IF(CP224&lt;&gt;1,"",IF(CL224&lt;=0,0,MIN(CL224,MAX(0,CONTROL_PANEL!$B$13-CM224))))</f>
        <v/>
      </c>
      <c r="CP224" s="18"/>
    </row>
    <row r="225" spans="1:94" x14ac:dyDescent="0.25">
      <c r="A225" s="19">
        <f t="shared" si="175"/>
        <v>2034</v>
      </c>
      <c r="B225" s="19">
        <f t="shared" si="140"/>
        <v>2</v>
      </c>
      <c r="C225" s="18" t="str">
        <f t="shared" si="145"/>
        <v/>
      </c>
      <c r="D225" s="18" t="str">
        <f t="shared" si="170"/>
        <v/>
      </c>
      <c r="E225" s="18" t="str">
        <f>IF(R224&lt;&gt;1,"",IF(O224&gt;0,IF(O224&gt;CONTROL_PANEL!$B$11,CONTROL_PANEL!$B$11,O224),0))</f>
        <v/>
      </c>
      <c r="F225" s="18" t="str">
        <f t="shared" si="165"/>
        <v/>
      </c>
      <c r="G225" s="18" t="str">
        <f>IF(R225&lt;&gt;1,"",DATA_INPUT!I225)</f>
        <v/>
      </c>
      <c r="H225" s="18" t="str">
        <f>IF(R225&lt;&gt;1,"",G225*CONTROL_PANEL!$B$5)</f>
        <v/>
      </c>
      <c r="I225" s="18" t="str">
        <f>IF(R225&lt;&gt;1,"",DATA_INPUT!C225)</f>
        <v/>
      </c>
      <c r="J225" s="18" t="str">
        <f t="shared" si="146"/>
        <v/>
      </c>
      <c r="K225" s="18" t="str">
        <f>IF(R225&lt;&gt;1,"",DATA_INPUT!H225)</f>
        <v/>
      </c>
      <c r="L225" s="18" t="str">
        <f t="shared" si="147"/>
        <v/>
      </c>
      <c r="M225" s="18" t="str">
        <f>IF(R225&lt;&gt;1,"",H225*CONTROL_PANEL!$B$14)</f>
        <v/>
      </c>
      <c r="N225" s="18" t="str">
        <f>IF(R225&lt;&gt;1,"",DATA_INPUT!K225)</f>
        <v/>
      </c>
      <c r="O225" s="18" t="str">
        <f t="shared" si="148"/>
        <v/>
      </c>
      <c r="P225" s="18" t="str">
        <f>IF(R225&lt;&gt;1,"",IF(O225-CONTROL_PANEL!$B$11&lt;0,0,O225-CONTROL_PANEL!$B$11))</f>
        <v/>
      </c>
      <c r="Q225" s="18" t="str">
        <f>IF(R225&lt;&gt;1,"",IF(N225&lt;=0,0,MIN(N225,MAX(0,CONTROL_PANEL!$B$13-O225))))</f>
        <v/>
      </c>
      <c r="R225" s="18"/>
      <c r="T225" s="19">
        <f t="shared" si="176"/>
        <v>2034</v>
      </c>
      <c r="U225" s="19">
        <f t="shared" si="141"/>
        <v>2</v>
      </c>
      <c r="V225" s="18" t="str">
        <f t="shared" si="149"/>
        <v/>
      </c>
      <c r="W225" s="18" t="str">
        <f t="shared" si="171"/>
        <v/>
      </c>
      <c r="X225" s="18" t="str">
        <f>IF(AK224&lt;&gt;1,"",IF(AH224&gt;0,IF(AH224&gt;CONTROL_PANEL!$B$11,CONTROL_PANEL!$B$11,AH224),0))</f>
        <v/>
      </c>
      <c r="Y225" s="18" t="str">
        <f t="shared" si="166"/>
        <v/>
      </c>
      <c r="Z225" s="18" t="str">
        <f>IF(AK225&lt;&gt;1,"",DATA_INPUT!I225)</f>
        <v/>
      </c>
      <c r="AA225" s="18" t="str">
        <f>IF(AK225&lt;&gt;1,"",Z225*CONTROL_PANEL!$B$5)</f>
        <v/>
      </c>
      <c r="AB225" s="18" t="str">
        <f>IF(AK225&lt;&gt;1,"",DATA_INPUT!$C225)</f>
        <v/>
      </c>
      <c r="AC225" s="18" t="str">
        <f t="shared" si="150"/>
        <v/>
      </c>
      <c r="AD225" s="18" t="str">
        <f>IF(AK225&lt;&gt;1,"",DATA_INPUT!$H225)</f>
        <v/>
      </c>
      <c r="AE225" s="18" t="str">
        <f t="shared" si="151"/>
        <v/>
      </c>
      <c r="AF225" s="18" t="str">
        <f>IF(AK225&lt;&gt;1,"",AA225*CONTROL_PANEL!$B$14)</f>
        <v/>
      </c>
      <c r="AG225" s="18" t="str">
        <f>IF(AK225&lt;&gt;1,"",DATA_INPUT!$L225)</f>
        <v/>
      </c>
      <c r="AH225" s="18" t="str">
        <f t="shared" si="152"/>
        <v/>
      </c>
      <c r="AI225" s="18" t="str">
        <f>IF(AK225&lt;&gt;1,"",IF(AH225-CONTROL_PANEL!$B$11&lt;0,0,AH225-CONTROL_PANEL!$B$11))</f>
        <v/>
      </c>
      <c r="AJ225" s="18" t="str">
        <f>IF(AK225&lt;&gt;1,"",IF(AG225&lt;=0,0,MIN(AG225,MAX(0,CONTROL_PANEL!$B$13-AH225))))</f>
        <v/>
      </c>
      <c r="AK225" s="18"/>
      <c r="AM225" s="19">
        <f t="shared" si="177"/>
        <v>2034</v>
      </c>
      <c r="AN225" s="19">
        <f t="shared" si="142"/>
        <v>2</v>
      </c>
      <c r="AO225" s="18" t="str">
        <f t="shared" si="153"/>
        <v/>
      </c>
      <c r="AP225" s="18" t="str">
        <f t="shared" si="172"/>
        <v/>
      </c>
      <c r="AQ225" s="18" t="str">
        <f>IF(BD224&lt;&gt;1,"",IF(BA224&gt;0,IF(BA224&gt;CONTROL_PANEL!$B$11,CONTROL_PANEL!$B$11,BA224),0))</f>
        <v/>
      </c>
      <c r="AR225" s="18" t="str">
        <f t="shared" si="167"/>
        <v/>
      </c>
      <c r="AS225" s="18" t="str">
        <f>IF(BD225&lt;&gt;1,"",DATA_INPUT!$I225)</f>
        <v/>
      </c>
      <c r="AT225" s="18" t="str">
        <f>IF(BD225&lt;&gt;1,"",AS225*CONTROL_PANEL!$B$5)</f>
        <v/>
      </c>
      <c r="AU225" s="18" t="str">
        <f>IF(BD225&lt;&gt;1,"",DATA_INPUT!$C225)</f>
        <v/>
      </c>
      <c r="AV225" s="18" t="str">
        <f t="shared" si="154"/>
        <v/>
      </c>
      <c r="AW225" s="18" t="str">
        <f>IF(BD225&lt;&gt;1,"",DATA_INPUT!$H225)</f>
        <v/>
      </c>
      <c r="AX225" s="18" t="str">
        <f t="shared" si="155"/>
        <v/>
      </c>
      <c r="AY225" s="18" t="str">
        <f>IF(BD225&lt;&gt;1,"",AT225*CONTROL_PANEL!$B$14)</f>
        <v/>
      </c>
      <c r="AZ225" s="18" t="str">
        <f>IF(BD225&lt;&gt;1,"",DATA_INPUT!$M225)</f>
        <v/>
      </c>
      <c r="BA225" s="18" t="str">
        <f t="shared" si="156"/>
        <v/>
      </c>
      <c r="BB225" s="18" t="str">
        <f>IF(BD225&lt;&gt;1,"",IF(BA225-CONTROL_PANEL!$B$11&lt;0,0,BA225-CONTROL_PANEL!$B$11))</f>
        <v/>
      </c>
      <c r="BC225" s="18" t="str">
        <f>IF(BD225&lt;&gt;1,"",IF(AZ225&lt;=0,0,MIN(AZ225,MAX(0,CONTROL_PANEL!$B$13-BA225))))</f>
        <v/>
      </c>
      <c r="BD225" s="18"/>
      <c r="BF225" s="19">
        <f t="shared" si="178"/>
        <v>2034</v>
      </c>
      <c r="BG225" s="19">
        <f t="shared" si="143"/>
        <v>2</v>
      </c>
      <c r="BH225" s="18" t="str">
        <f t="shared" si="157"/>
        <v/>
      </c>
      <c r="BI225" s="18" t="str">
        <f t="shared" si="173"/>
        <v/>
      </c>
      <c r="BJ225" s="18" t="str">
        <f>IF(BW224&lt;&gt;1,"",IF(BT224&gt;0,IF(BT224&gt;CONTROL_PANEL!$B$11,CONTROL_PANEL!$B$11,BT224),0))</f>
        <v/>
      </c>
      <c r="BK225" s="18" t="str">
        <f t="shared" si="168"/>
        <v/>
      </c>
      <c r="BL225" s="18" t="str">
        <f>IF(BW225&lt;&gt;1,"",DATA_INPUT!$I225)</f>
        <v/>
      </c>
      <c r="BM225" s="18" t="str">
        <f>IF(BW225&lt;&gt;1,"",BL225*CONTROL_PANEL!$B$5)</f>
        <v/>
      </c>
      <c r="BN225" s="18" t="str">
        <f>IF(BW225&lt;&gt;1,"",DATA_INPUT!$C225)</f>
        <v/>
      </c>
      <c r="BO225" s="18" t="str">
        <f t="shared" si="158"/>
        <v/>
      </c>
      <c r="BP225" s="18" t="str">
        <f>IF(BW225&lt;&gt;1,"",DATA_INPUT!$H225)</f>
        <v/>
      </c>
      <c r="BQ225" s="18" t="str">
        <f t="shared" si="159"/>
        <v/>
      </c>
      <c r="BR225" s="18" t="str">
        <f>IF(BW225&lt;&gt;1,"",BM225*CONTROL_PANEL!$B$14)</f>
        <v/>
      </c>
      <c r="BS225" s="18" t="str">
        <f>IF(BW225&lt;&gt;1,"",DATA_INPUT!$N225)</f>
        <v/>
      </c>
      <c r="BT225" s="18" t="str">
        <f t="shared" si="160"/>
        <v/>
      </c>
      <c r="BU225" s="18" t="str">
        <f>IF(BW225&lt;&gt;1,"",IF(BT225-CONTROL_PANEL!$B$11&lt;0,0,BT225-CONTROL_PANEL!$B$11))</f>
        <v/>
      </c>
      <c r="BV225" s="18" t="str">
        <f>IF(BW225&lt;&gt;1,"",IF(BS225&lt;=0,0,MIN(BS225,MAX(0,CONTROL_PANEL!$B$13-BT225))))</f>
        <v/>
      </c>
      <c r="BW225" s="18"/>
      <c r="BY225" s="19">
        <f t="shared" si="179"/>
        <v>2034</v>
      </c>
      <c r="BZ225" s="19">
        <f t="shared" si="144"/>
        <v>2</v>
      </c>
      <c r="CA225" s="18" t="str">
        <f t="shared" si="161"/>
        <v/>
      </c>
      <c r="CB225" s="18" t="str">
        <f t="shared" si="174"/>
        <v/>
      </c>
      <c r="CC225" s="18" t="str">
        <f>IF(CP224&lt;&gt;1,"",IF(CM224&gt;0,IF(CM224&gt;CONTROL_PANEL!$B$11,CONTROL_PANEL!$B$11,CM224),0))</f>
        <v/>
      </c>
      <c r="CD225" s="18" t="str">
        <f t="shared" si="169"/>
        <v/>
      </c>
      <c r="CE225" s="18" t="str">
        <f>IF(CP225&lt;&gt;1,"",DATA_INPUT!$I225)</f>
        <v/>
      </c>
      <c r="CF225" s="18" t="str">
        <f>IF(CP225&lt;&gt;1,"",CE225*CONTROL_PANEL!$B$5)</f>
        <v/>
      </c>
      <c r="CG225" s="18" t="str">
        <f>IF(CP225&lt;&gt;1,"",DATA_INPUT!$C225)</f>
        <v/>
      </c>
      <c r="CH225" s="18" t="str">
        <f t="shared" si="162"/>
        <v/>
      </c>
      <c r="CI225" s="18" t="str">
        <f>IF(CP225&lt;&gt;1,"",DATA_INPUT!$H225)</f>
        <v/>
      </c>
      <c r="CJ225" s="18" t="str">
        <f t="shared" si="163"/>
        <v/>
      </c>
      <c r="CK225" s="18" t="str">
        <f>IF(CP225&lt;&gt;1,"",CF225*CONTROL_PANEL!$B$14)</f>
        <v/>
      </c>
      <c r="CL225" s="18" t="str">
        <f>IF(CP225&lt;&gt;1,"",DATA_INPUT!$O225)</f>
        <v/>
      </c>
      <c r="CM225" s="18" t="str">
        <f t="shared" si="164"/>
        <v/>
      </c>
      <c r="CN225" s="18" t="str">
        <f>IF(CP225&lt;&gt;1,"",IF(CM225-CONTROL_PANEL!$B$11&lt;0,0,CM225-CONTROL_PANEL!$B$11))</f>
        <v/>
      </c>
      <c r="CO225" s="18" t="str">
        <f>IF(CP225&lt;&gt;1,"",IF(CL225&lt;=0,0,MIN(CL225,MAX(0,CONTROL_PANEL!$B$13-CM225))))</f>
        <v/>
      </c>
      <c r="CP225" s="18"/>
    </row>
    <row r="226" spans="1:94" x14ac:dyDescent="0.25">
      <c r="A226" s="19">
        <f t="shared" si="175"/>
        <v>2034</v>
      </c>
      <c r="B226" s="19">
        <f t="shared" si="140"/>
        <v>3</v>
      </c>
      <c r="C226" s="18" t="str">
        <f t="shared" si="145"/>
        <v/>
      </c>
      <c r="D226" s="18" t="str">
        <f t="shared" si="170"/>
        <v/>
      </c>
      <c r="E226" s="18" t="str">
        <f>IF(R225&lt;&gt;1,"",IF(O225&gt;0,IF(O225&gt;CONTROL_PANEL!$B$11,CONTROL_PANEL!$B$11,O225),0))</f>
        <v/>
      </c>
      <c r="F226" s="18" t="str">
        <f t="shared" si="165"/>
        <v/>
      </c>
      <c r="G226" s="18" t="str">
        <f>IF(R226&lt;&gt;1,"",DATA_INPUT!I226)</f>
        <v/>
      </c>
      <c r="H226" s="18" t="str">
        <f>IF(R226&lt;&gt;1,"",G226*CONTROL_PANEL!$B$5)</f>
        <v/>
      </c>
      <c r="I226" s="18" t="str">
        <f>IF(R226&lt;&gt;1,"",DATA_INPUT!C226)</f>
        <v/>
      </c>
      <c r="J226" s="18" t="str">
        <f t="shared" si="146"/>
        <v/>
      </c>
      <c r="K226" s="18" t="str">
        <f>IF(R226&lt;&gt;1,"",DATA_INPUT!H226)</f>
        <v/>
      </c>
      <c r="L226" s="18" t="str">
        <f t="shared" si="147"/>
        <v/>
      </c>
      <c r="M226" s="18" t="str">
        <f>IF(R226&lt;&gt;1,"",H226*CONTROL_PANEL!$B$14)</f>
        <v/>
      </c>
      <c r="N226" s="18" t="str">
        <f>IF(R226&lt;&gt;1,"",DATA_INPUT!K226)</f>
        <v/>
      </c>
      <c r="O226" s="18" t="str">
        <f t="shared" si="148"/>
        <v/>
      </c>
      <c r="P226" s="18" t="str">
        <f>IF(R226&lt;&gt;1,"",IF(O226-CONTROL_PANEL!$B$11&lt;0,0,O226-CONTROL_PANEL!$B$11))</f>
        <v/>
      </c>
      <c r="Q226" s="18" t="str">
        <f>IF(R226&lt;&gt;1,"",IF(N226&lt;=0,0,MIN(N226,MAX(0,CONTROL_PANEL!$B$13-O226))))</f>
        <v/>
      </c>
      <c r="R226" s="18"/>
      <c r="T226" s="19">
        <f t="shared" si="176"/>
        <v>2034</v>
      </c>
      <c r="U226" s="19">
        <f t="shared" si="141"/>
        <v>3</v>
      </c>
      <c r="V226" s="18" t="str">
        <f t="shared" si="149"/>
        <v/>
      </c>
      <c r="W226" s="18" t="str">
        <f t="shared" si="171"/>
        <v/>
      </c>
      <c r="X226" s="18" t="str">
        <f>IF(AK225&lt;&gt;1,"",IF(AH225&gt;0,IF(AH225&gt;CONTROL_PANEL!$B$11,CONTROL_PANEL!$B$11,AH225),0))</f>
        <v/>
      </c>
      <c r="Y226" s="18" t="str">
        <f t="shared" si="166"/>
        <v/>
      </c>
      <c r="Z226" s="18" t="str">
        <f>IF(AK226&lt;&gt;1,"",DATA_INPUT!I226)</f>
        <v/>
      </c>
      <c r="AA226" s="18" t="str">
        <f>IF(AK226&lt;&gt;1,"",Z226*CONTROL_PANEL!$B$5)</f>
        <v/>
      </c>
      <c r="AB226" s="18" t="str">
        <f>IF(AK226&lt;&gt;1,"",DATA_INPUT!$C226)</f>
        <v/>
      </c>
      <c r="AC226" s="18" t="str">
        <f t="shared" si="150"/>
        <v/>
      </c>
      <c r="AD226" s="18" t="str">
        <f>IF(AK226&lt;&gt;1,"",DATA_INPUT!$H226)</f>
        <v/>
      </c>
      <c r="AE226" s="18" t="str">
        <f t="shared" si="151"/>
        <v/>
      </c>
      <c r="AF226" s="18" t="str">
        <f>IF(AK226&lt;&gt;1,"",AA226*CONTROL_PANEL!$B$14)</f>
        <v/>
      </c>
      <c r="AG226" s="18" t="str">
        <f>IF(AK226&lt;&gt;1,"",DATA_INPUT!$L226)</f>
        <v/>
      </c>
      <c r="AH226" s="18" t="str">
        <f t="shared" si="152"/>
        <v/>
      </c>
      <c r="AI226" s="18" t="str">
        <f>IF(AK226&lt;&gt;1,"",IF(AH226-CONTROL_PANEL!$B$11&lt;0,0,AH226-CONTROL_PANEL!$B$11))</f>
        <v/>
      </c>
      <c r="AJ226" s="18" t="str">
        <f>IF(AK226&lt;&gt;1,"",IF(AG226&lt;=0,0,MIN(AG226,MAX(0,CONTROL_PANEL!$B$13-AH226))))</f>
        <v/>
      </c>
      <c r="AK226" s="18"/>
      <c r="AM226" s="19">
        <f t="shared" si="177"/>
        <v>2034</v>
      </c>
      <c r="AN226" s="19">
        <f t="shared" si="142"/>
        <v>3</v>
      </c>
      <c r="AO226" s="18" t="str">
        <f t="shared" si="153"/>
        <v/>
      </c>
      <c r="AP226" s="18" t="str">
        <f t="shared" si="172"/>
        <v/>
      </c>
      <c r="AQ226" s="18" t="str">
        <f>IF(BD225&lt;&gt;1,"",IF(BA225&gt;0,IF(BA225&gt;CONTROL_PANEL!$B$11,CONTROL_PANEL!$B$11,BA225),0))</f>
        <v/>
      </c>
      <c r="AR226" s="18" t="str">
        <f t="shared" si="167"/>
        <v/>
      </c>
      <c r="AS226" s="18" t="str">
        <f>IF(BD226&lt;&gt;1,"",DATA_INPUT!$I226)</f>
        <v/>
      </c>
      <c r="AT226" s="18" t="str">
        <f>IF(BD226&lt;&gt;1,"",AS226*CONTROL_PANEL!$B$5)</f>
        <v/>
      </c>
      <c r="AU226" s="18" t="str">
        <f>IF(BD226&lt;&gt;1,"",DATA_INPUT!$C226)</f>
        <v/>
      </c>
      <c r="AV226" s="18" t="str">
        <f t="shared" si="154"/>
        <v/>
      </c>
      <c r="AW226" s="18" t="str">
        <f>IF(BD226&lt;&gt;1,"",DATA_INPUT!$H226)</f>
        <v/>
      </c>
      <c r="AX226" s="18" t="str">
        <f t="shared" si="155"/>
        <v/>
      </c>
      <c r="AY226" s="18" t="str">
        <f>IF(BD226&lt;&gt;1,"",AT226*CONTROL_PANEL!$B$14)</f>
        <v/>
      </c>
      <c r="AZ226" s="18" t="str">
        <f>IF(BD226&lt;&gt;1,"",DATA_INPUT!$M226)</f>
        <v/>
      </c>
      <c r="BA226" s="18" t="str">
        <f t="shared" si="156"/>
        <v/>
      </c>
      <c r="BB226" s="18" t="str">
        <f>IF(BD226&lt;&gt;1,"",IF(BA226-CONTROL_PANEL!$B$11&lt;0,0,BA226-CONTROL_PANEL!$B$11))</f>
        <v/>
      </c>
      <c r="BC226" s="18" t="str">
        <f>IF(BD226&lt;&gt;1,"",IF(AZ226&lt;=0,0,MIN(AZ226,MAX(0,CONTROL_PANEL!$B$13-BA226))))</f>
        <v/>
      </c>
      <c r="BD226" s="18"/>
      <c r="BF226" s="19">
        <f t="shared" si="178"/>
        <v>2034</v>
      </c>
      <c r="BG226" s="19">
        <f t="shared" si="143"/>
        <v>3</v>
      </c>
      <c r="BH226" s="18" t="str">
        <f t="shared" si="157"/>
        <v/>
      </c>
      <c r="BI226" s="18" t="str">
        <f t="shared" si="173"/>
        <v/>
      </c>
      <c r="BJ226" s="18" t="str">
        <f>IF(BW225&lt;&gt;1,"",IF(BT225&gt;0,IF(BT225&gt;CONTROL_PANEL!$B$11,CONTROL_PANEL!$B$11,BT225),0))</f>
        <v/>
      </c>
      <c r="BK226" s="18" t="str">
        <f t="shared" si="168"/>
        <v/>
      </c>
      <c r="BL226" s="18" t="str">
        <f>IF(BW226&lt;&gt;1,"",DATA_INPUT!$I226)</f>
        <v/>
      </c>
      <c r="BM226" s="18" t="str">
        <f>IF(BW226&lt;&gt;1,"",BL226*CONTROL_PANEL!$B$5)</f>
        <v/>
      </c>
      <c r="BN226" s="18" t="str">
        <f>IF(BW226&lt;&gt;1,"",DATA_INPUT!$C226)</f>
        <v/>
      </c>
      <c r="BO226" s="18" t="str">
        <f t="shared" si="158"/>
        <v/>
      </c>
      <c r="BP226" s="18" t="str">
        <f>IF(BW226&lt;&gt;1,"",DATA_INPUT!$H226)</f>
        <v/>
      </c>
      <c r="BQ226" s="18" t="str">
        <f t="shared" si="159"/>
        <v/>
      </c>
      <c r="BR226" s="18" t="str">
        <f>IF(BW226&lt;&gt;1,"",BM226*CONTROL_PANEL!$B$14)</f>
        <v/>
      </c>
      <c r="BS226" s="18" t="str">
        <f>IF(BW226&lt;&gt;1,"",DATA_INPUT!$N226)</f>
        <v/>
      </c>
      <c r="BT226" s="18" t="str">
        <f t="shared" si="160"/>
        <v/>
      </c>
      <c r="BU226" s="18" t="str">
        <f>IF(BW226&lt;&gt;1,"",IF(BT226-CONTROL_PANEL!$B$11&lt;0,0,BT226-CONTROL_PANEL!$B$11))</f>
        <v/>
      </c>
      <c r="BV226" s="18" t="str">
        <f>IF(BW226&lt;&gt;1,"",IF(BS226&lt;=0,0,MIN(BS226,MAX(0,CONTROL_PANEL!$B$13-BT226))))</f>
        <v/>
      </c>
      <c r="BW226" s="18"/>
      <c r="BY226" s="19">
        <f t="shared" si="179"/>
        <v>2034</v>
      </c>
      <c r="BZ226" s="19">
        <f t="shared" si="144"/>
        <v>3</v>
      </c>
      <c r="CA226" s="18" t="str">
        <f t="shared" si="161"/>
        <v/>
      </c>
      <c r="CB226" s="18" t="str">
        <f t="shared" si="174"/>
        <v/>
      </c>
      <c r="CC226" s="18" t="str">
        <f>IF(CP225&lt;&gt;1,"",IF(CM225&gt;0,IF(CM225&gt;CONTROL_PANEL!$B$11,CONTROL_PANEL!$B$11,CM225),0))</f>
        <v/>
      </c>
      <c r="CD226" s="18" t="str">
        <f t="shared" si="169"/>
        <v/>
      </c>
      <c r="CE226" s="18" t="str">
        <f>IF(CP226&lt;&gt;1,"",DATA_INPUT!$I226)</f>
        <v/>
      </c>
      <c r="CF226" s="18" t="str">
        <f>IF(CP226&lt;&gt;1,"",CE226*CONTROL_PANEL!$B$5)</f>
        <v/>
      </c>
      <c r="CG226" s="18" t="str">
        <f>IF(CP226&lt;&gt;1,"",DATA_INPUT!$C226)</f>
        <v/>
      </c>
      <c r="CH226" s="18" t="str">
        <f t="shared" si="162"/>
        <v/>
      </c>
      <c r="CI226" s="18" t="str">
        <f>IF(CP226&lt;&gt;1,"",DATA_INPUT!$H226)</f>
        <v/>
      </c>
      <c r="CJ226" s="18" t="str">
        <f t="shared" si="163"/>
        <v/>
      </c>
      <c r="CK226" s="18" t="str">
        <f>IF(CP226&lt;&gt;1,"",CF226*CONTROL_PANEL!$B$14)</f>
        <v/>
      </c>
      <c r="CL226" s="18" t="str">
        <f>IF(CP226&lt;&gt;1,"",DATA_INPUT!$O226)</f>
        <v/>
      </c>
      <c r="CM226" s="18" t="str">
        <f t="shared" si="164"/>
        <v/>
      </c>
      <c r="CN226" s="18" t="str">
        <f>IF(CP226&lt;&gt;1,"",IF(CM226-CONTROL_PANEL!$B$11&lt;0,0,CM226-CONTROL_PANEL!$B$11))</f>
        <v/>
      </c>
      <c r="CO226" s="18" t="str">
        <f>IF(CP226&lt;&gt;1,"",IF(CL226&lt;=0,0,MIN(CL226,MAX(0,CONTROL_PANEL!$B$13-CM226))))</f>
        <v/>
      </c>
      <c r="CP226" s="18"/>
    </row>
    <row r="227" spans="1:94" x14ac:dyDescent="0.25">
      <c r="A227" s="19">
        <f t="shared" si="175"/>
        <v>2034</v>
      </c>
      <c r="B227" s="19">
        <f t="shared" si="140"/>
        <v>4</v>
      </c>
      <c r="C227" s="18" t="str">
        <f t="shared" si="145"/>
        <v/>
      </c>
      <c r="D227" s="18" t="str">
        <f t="shared" si="170"/>
        <v/>
      </c>
      <c r="E227" s="18" t="str">
        <f>IF(R226&lt;&gt;1,"",IF(O226&gt;0,IF(O226&gt;CONTROL_PANEL!$B$11,CONTROL_PANEL!$B$11,O226),0))</f>
        <v/>
      </c>
      <c r="F227" s="18" t="str">
        <f t="shared" si="165"/>
        <v/>
      </c>
      <c r="G227" s="18" t="str">
        <f>IF(R227&lt;&gt;1,"",DATA_INPUT!I227)</f>
        <v/>
      </c>
      <c r="H227" s="18" t="str">
        <f>IF(R227&lt;&gt;1,"",G227*CONTROL_PANEL!$B$5)</f>
        <v/>
      </c>
      <c r="I227" s="18" t="str">
        <f>IF(R227&lt;&gt;1,"",DATA_INPUT!C227)</f>
        <v/>
      </c>
      <c r="J227" s="18" t="str">
        <f t="shared" si="146"/>
        <v/>
      </c>
      <c r="K227" s="18" t="str">
        <f>IF(R227&lt;&gt;1,"",DATA_INPUT!H227)</f>
        <v/>
      </c>
      <c r="L227" s="18" t="str">
        <f t="shared" si="147"/>
        <v/>
      </c>
      <c r="M227" s="18" t="str">
        <f>IF(R227&lt;&gt;1,"",H227*CONTROL_PANEL!$B$14)</f>
        <v/>
      </c>
      <c r="N227" s="18" t="str">
        <f>IF(R227&lt;&gt;1,"",DATA_INPUT!K227)</f>
        <v/>
      </c>
      <c r="O227" s="18" t="str">
        <f t="shared" si="148"/>
        <v/>
      </c>
      <c r="P227" s="18" t="str">
        <f>IF(R227&lt;&gt;1,"",IF(O227-CONTROL_PANEL!$B$11&lt;0,0,O227-CONTROL_PANEL!$B$11))</f>
        <v/>
      </c>
      <c r="Q227" s="18" t="str">
        <f>IF(R227&lt;&gt;1,"",IF(N227&lt;=0,0,MIN(N227,MAX(0,CONTROL_PANEL!$B$13-O227))))</f>
        <v/>
      </c>
      <c r="R227" s="18"/>
      <c r="T227" s="19">
        <f t="shared" si="176"/>
        <v>2034</v>
      </c>
      <c r="U227" s="19">
        <f t="shared" si="141"/>
        <v>4</v>
      </c>
      <c r="V227" s="18" t="str">
        <f t="shared" si="149"/>
        <v/>
      </c>
      <c r="W227" s="18" t="str">
        <f t="shared" si="171"/>
        <v/>
      </c>
      <c r="X227" s="18" t="str">
        <f>IF(AK226&lt;&gt;1,"",IF(AH226&gt;0,IF(AH226&gt;CONTROL_PANEL!$B$11,CONTROL_PANEL!$B$11,AH226),0))</f>
        <v/>
      </c>
      <c r="Y227" s="18" t="str">
        <f t="shared" si="166"/>
        <v/>
      </c>
      <c r="Z227" s="18" t="str">
        <f>IF(AK227&lt;&gt;1,"",DATA_INPUT!I227)</f>
        <v/>
      </c>
      <c r="AA227" s="18" t="str">
        <f>IF(AK227&lt;&gt;1,"",Z227*CONTROL_PANEL!$B$5)</f>
        <v/>
      </c>
      <c r="AB227" s="18" t="str">
        <f>IF(AK227&lt;&gt;1,"",DATA_INPUT!$C227)</f>
        <v/>
      </c>
      <c r="AC227" s="18" t="str">
        <f t="shared" si="150"/>
        <v/>
      </c>
      <c r="AD227" s="18" t="str">
        <f>IF(AK227&lt;&gt;1,"",DATA_INPUT!$H227)</f>
        <v/>
      </c>
      <c r="AE227" s="18" t="str">
        <f t="shared" si="151"/>
        <v/>
      </c>
      <c r="AF227" s="18" t="str">
        <f>IF(AK227&lt;&gt;1,"",AA227*CONTROL_PANEL!$B$14)</f>
        <v/>
      </c>
      <c r="AG227" s="18" t="str">
        <f>IF(AK227&lt;&gt;1,"",DATA_INPUT!$L227)</f>
        <v/>
      </c>
      <c r="AH227" s="18" t="str">
        <f t="shared" si="152"/>
        <v/>
      </c>
      <c r="AI227" s="18" t="str">
        <f>IF(AK227&lt;&gt;1,"",IF(AH227-CONTROL_PANEL!$B$11&lt;0,0,AH227-CONTROL_PANEL!$B$11))</f>
        <v/>
      </c>
      <c r="AJ227" s="18" t="str">
        <f>IF(AK227&lt;&gt;1,"",IF(AG227&lt;=0,0,MIN(AG227,MAX(0,CONTROL_PANEL!$B$13-AH227))))</f>
        <v/>
      </c>
      <c r="AK227" s="18"/>
      <c r="AM227" s="19">
        <f t="shared" si="177"/>
        <v>2034</v>
      </c>
      <c r="AN227" s="19">
        <f t="shared" si="142"/>
        <v>4</v>
      </c>
      <c r="AO227" s="18" t="str">
        <f t="shared" si="153"/>
        <v/>
      </c>
      <c r="AP227" s="18" t="str">
        <f t="shared" si="172"/>
        <v/>
      </c>
      <c r="AQ227" s="18" t="str">
        <f>IF(BD226&lt;&gt;1,"",IF(BA226&gt;0,IF(BA226&gt;CONTROL_PANEL!$B$11,CONTROL_PANEL!$B$11,BA226),0))</f>
        <v/>
      </c>
      <c r="AR227" s="18" t="str">
        <f t="shared" si="167"/>
        <v/>
      </c>
      <c r="AS227" s="18" t="str">
        <f>IF(BD227&lt;&gt;1,"",DATA_INPUT!$I227)</f>
        <v/>
      </c>
      <c r="AT227" s="18" t="str">
        <f>IF(BD227&lt;&gt;1,"",AS227*CONTROL_PANEL!$B$5)</f>
        <v/>
      </c>
      <c r="AU227" s="18" t="str">
        <f>IF(BD227&lt;&gt;1,"",DATA_INPUT!$C227)</f>
        <v/>
      </c>
      <c r="AV227" s="18" t="str">
        <f t="shared" si="154"/>
        <v/>
      </c>
      <c r="AW227" s="18" t="str">
        <f>IF(BD227&lt;&gt;1,"",DATA_INPUT!$H227)</f>
        <v/>
      </c>
      <c r="AX227" s="18" t="str">
        <f t="shared" si="155"/>
        <v/>
      </c>
      <c r="AY227" s="18" t="str">
        <f>IF(BD227&lt;&gt;1,"",AT227*CONTROL_PANEL!$B$14)</f>
        <v/>
      </c>
      <c r="AZ227" s="18" t="str">
        <f>IF(BD227&lt;&gt;1,"",DATA_INPUT!$M227)</f>
        <v/>
      </c>
      <c r="BA227" s="18" t="str">
        <f t="shared" si="156"/>
        <v/>
      </c>
      <c r="BB227" s="18" t="str">
        <f>IF(BD227&lt;&gt;1,"",IF(BA227-CONTROL_PANEL!$B$11&lt;0,0,BA227-CONTROL_PANEL!$B$11))</f>
        <v/>
      </c>
      <c r="BC227" s="18" t="str">
        <f>IF(BD227&lt;&gt;1,"",IF(AZ227&lt;=0,0,MIN(AZ227,MAX(0,CONTROL_PANEL!$B$13-BA227))))</f>
        <v/>
      </c>
      <c r="BD227" s="18"/>
      <c r="BF227" s="19">
        <f t="shared" si="178"/>
        <v>2034</v>
      </c>
      <c r="BG227" s="19">
        <f t="shared" si="143"/>
        <v>4</v>
      </c>
      <c r="BH227" s="18" t="str">
        <f t="shared" si="157"/>
        <v/>
      </c>
      <c r="BI227" s="18" t="str">
        <f t="shared" si="173"/>
        <v/>
      </c>
      <c r="BJ227" s="18" t="str">
        <f>IF(BW226&lt;&gt;1,"",IF(BT226&gt;0,IF(BT226&gt;CONTROL_PANEL!$B$11,CONTROL_PANEL!$B$11,BT226),0))</f>
        <v/>
      </c>
      <c r="BK227" s="18" t="str">
        <f t="shared" si="168"/>
        <v/>
      </c>
      <c r="BL227" s="18" t="str">
        <f>IF(BW227&lt;&gt;1,"",DATA_INPUT!$I227)</f>
        <v/>
      </c>
      <c r="BM227" s="18" t="str">
        <f>IF(BW227&lt;&gt;1,"",BL227*CONTROL_PANEL!$B$5)</f>
        <v/>
      </c>
      <c r="BN227" s="18" t="str">
        <f>IF(BW227&lt;&gt;1,"",DATA_INPUT!$C227)</f>
        <v/>
      </c>
      <c r="BO227" s="18" t="str">
        <f t="shared" si="158"/>
        <v/>
      </c>
      <c r="BP227" s="18" t="str">
        <f>IF(BW227&lt;&gt;1,"",DATA_INPUT!$H227)</f>
        <v/>
      </c>
      <c r="BQ227" s="18" t="str">
        <f t="shared" si="159"/>
        <v/>
      </c>
      <c r="BR227" s="18" t="str">
        <f>IF(BW227&lt;&gt;1,"",BM227*CONTROL_PANEL!$B$14)</f>
        <v/>
      </c>
      <c r="BS227" s="18" t="str">
        <f>IF(BW227&lt;&gt;1,"",DATA_INPUT!$N227)</f>
        <v/>
      </c>
      <c r="BT227" s="18" t="str">
        <f t="shared" si="160"/>
        <v/>
      </c>
      <c r="BU227" s="18" t="str">
        <f>IF(BW227&lt;&gt;1,"",IF(BT227-CONTROL_PANEL!$B$11&lt;0,0,BT227-CONTROL_PANEL!$B$11))</f>
        <v/>
      </c>
      <c r="BV227" s="18" t="str">
        <f>IF(BW227&lt;&gt;1,"",IF(BS227&lt;=0,0,MIN(BS227,MAX(0,CONTROL_PANEL!$B$13-BT227))))</f>
        <v/>
      </c>
      <c r="BW227" s="18"/>
      <c r="BY227" s="19">
        <f t="shared" si="179"/>
        <v>2034</v>
      </c>
      <c r="BZ227" s="19">
        <f t="shared" si="144"/>
        <v>4</v>
      </c>
      <c r="CA227" s="18" t="str">
        <f t="shared" si="161"/>
        <v/>
      </c>
      <c r="CB227" s="18" t="str">
        <f t="shared" si="174"/>
        <v/>
      </c>
      <c r="CC227" s="18" t="str">
        <f>IF(CP226&lt;&gt;1,"",IF(CM226&gt;0,IF(CM226&gt;CONTROL_PANEL!$B$11,CONTROL_PANEL!$B$11,CM226),0))</f>
        <v/>
      </c>
      <c r="CD227" s="18" t="str">
        <f t="shared" si="169"/>
        <v/>
      </c>
      <c r="CE227" s="18" t="str">
        <f>IF(CP227&lt;&gt;1,"",DATA_INPUT!$I227)</f>
        <v/>
      </c>
      <c r="CF227" s="18" t="str">
        <f>IF(CP227&lt;&gt;1,"",CE227*CONTROL_PANEL!$B$5)</f>
        <v/>
      </c>
      <c r="CG227" s="18" t="str">
        <f>IF(CP227&lt;&gt;1,"",DATA_INPUT!$C227)</f>
        <v/>
      </c>
      <c r="CH227" s="18" t="str">
        <f t="shared" si="162"/>
        <v/>
      </c>
      <c r="CI227" s="18" t="str">
        <f>IF(CP227&lt;&gt;1,"",DATA_INPUT!$H227)</f>
        <v/>
      </c>
      <c r="CJ227" s="18" t="str">
        <f t="shared" si="163"/>
        <v/>
      </c>
      <c r="CK227" s="18" t="str">
        <f>IF(CP227&lt;&gt;1,"",CF227*CONTROL_PANEL!$B$14)</f>
        <v/>
      </c>
      <c r="CL227" s="18" t="str">
        <f>IF(CP227&lt;&gt;1,"",DATA_INPUT!$O227)</f>
        <v/>
      </c>
      <c r="CM227" s="18" t="str">
        <f t="shared" si="164"/>
        <v/>
      </c>
      <c r="CN227" s="18" t="str">
        <f>IF(CP227&lt;&gt;1,"",IF(CM227-CONTROL_PANEL!$B$11&lt;0,0,CM227-CONTROL_PANEL!$B$11))</f>
        <v/>
      </c>
      <c r="CO227" s="18" t="str">
        <f>IF(CP227&lt;&gt;1,"",IF(CL227&lt;=0,0,MIN(CL227,MAX(0,CONTROL_PANEL!$B$13-CM227))))</f>
        <v/>
      </c>
      <c r="CP227" s="18"/>
    </row>
    <row r="228" spans="1:94" x14ac:dyDescent="0.25">
      <c r="A228" s="19">
        <f t="shared" si="175"/>
        <v>2034</v>
      </c>
      <c r="B228" s="19">
        <f t="shared" si="140"/>
        <v>5</v>
      </c>
      <c r="C228" s="18" t="str">
        <f t="shared" si="145"/>
        <v/>
      </c>
      <c r="D228" s="18" t="str">
        <f t="shared" si="170"/>
        <v/>
      </c>
      <c r="E228" s="18" t="str">
        <f>IF(R227&lt;&gt;1,"",IF(O227&gt;0,IF(O227&gt;CONTROL_PANEL!$B$11,CONTROL_PANEL!$B$11,O227),0))</f>
        <v/>
      </c>
      <c r="F228" s="18" t="str">
        <f t="shared" si="165"/>
        <v/>
      </c>
      <c r="G228" s="18" t="str">
        <f>IF(R228&lt;&gt;1,"",DATA_INPUT!I228)</f>
        <v/>
      </c>
      <c r="H228" s="18" t="str">
        <f>IF(R228&lt;&gt;1,"",G228*CONTROL_PANEL!$B$5)</f>
        <v/>
      </c>
      <c r="I228" s="18" t="str">
        <f>IF(R228&lt;&gt;1,"",DATA_INPUT!C228)</f>
        <v/>
      </c>
      <c r="J228" s="18" t="str">
        <f t="shared" si="146"/>
        <v/>
      </c>
      <c r="K228" s="18" t="str">
        <f>IF(R228&lt;&gt;1,"",DATA_INPUT!H228)</f>
        <v/>
      </c>
      <c r="L228" s="18" t="str">
        <f t="shared" si="147"/>
        <v/>
      </c>
      <c r="M228" s="18" t="str">
        <f>IF(R228&lt;&gt;1,"",H228*CONTROL_PANEL!$B$14)</f>
        <v/>
      </c>
      <c r="N228" s="18" t="str">
        <f>IF(R228&lt;&gt;1,"",DATA_INPUT!K228)</f>
        <v/>
      </c>
      <c r="O228" s="18" t="str">
        <f t="shared" si="148"/>
        <v/>
      </c>
      <c r="P228" s="18" t="str">
        <f>IF(R228&lt;&gt;1,"",IF(O228-CONTROL_PANEL!$B$11&lt;0,0,O228-CONTROL_PANEL!$B$11))</f>
        <v/>
      </c>
      <c r="Q228" s="18" t="str">
        <f>IF(R228&lt;&gt;1,"",IF(N228&lt;=0,0,MIN(N228,MAX(0,CONTROL_PANEL!$B$13-O228))))</f>
        <v/>
      </c>
      <c r="R228" s="18"/>
      <c r="T228" s="19">
        <f t="shared" si="176"/>
        <v>2034</v>
      </c>
      <c r="U228" s="19">
        <f t="shared" si="141"/>
        <v>5</v>
      </c>
      <c r="V228" s="18" t="str">
        <f t="shared" si="149"/>
        <v/>
      </c>
      <c r="W228" s="18" t="str">
        <f t="shared" si="171"/>
        <v/>
      </c>
      <c r="X228" s="18" t="str">
        <f>IF(AK227&lt;&gt;1,"",IF(AH227&gt;0,IF(AH227&gt;CONTROL_PANEL!$B$11,CONTROL_PANEL!$B$11,AH227),0))</f>
        <v/>
      </c>
      <c r="Y228" s="18" t="str">
        <f t="shared" si="166"/>
        <v/>
      </c>
      <c r="Z228" s="18" t="str">
        <f>IF(AK228&lt;&gt;1,"",DATA_INPUT!I228)</f>
        <v/>
      </c>
      <c r="AA228" s="18" t="str">
        <f>IF(AK228&lt;&gt;1,"",Z228*CONTROL_PANEL!$B$5)</f>
        <v/>
      </c>
      <c r="AB228" s="18" t="str">
        <f>IF(AK228&lt;&gt;1,"",DATA_INPUT!$C228)</f>
        <v/>
      </c>
      <c r="AC228" s="18" t="str">
        <f t="shared" si="150"/>
        <v/>
      </c>
      <c r="AD228" s="18" t="str">
        <f>IF(AK228&lt;&gt;1,"",DATA_INPUT!$H228)</f>
        <v/>
      </c>
      <c r="AE228" s="18" t="str">
        <f t="shared" si="151"/>
        <v/>
      </c>
      <c r="AF228" s="18" t="str">
        <f>IF(AK228&lt;&gt;1,"",AA228*CONTROL_PANEL!$B$14)</f>
        <v/>
      </c>
      <c r="AG228" s="18" t="str">
        <f>IF(AK228&lt;&gt;1,"",DATA_INPUT!$L228)</f>
        <v/>
      </c>
      <c r="AH228" s="18" t="str">
        <f t="shared" si="152"/>
        <v/>
      </c>
      <c r="AI228" s="18" t="str">
        <f>IF(AK228&lt;&gt;1,"",IF(AH228-CONTROL_PANEL!$B$11&lt;0,0,AH228-CONTROL_PANEL!$B$11))</f>
        <v/>
      </c>
      <c r="AJ228" s="18" t="str">
        <f>IF(AK228&lt;&gt;1,"",IF(AG228&lt;=0,0,MIN(AG228,MAX(0,CONTROL_PANEL!$B$13-AH228))))</f>
        <v/>
      </c>
      <c r="AK228" s="18"/>
      <c r="AM228" s="19">
        <f t="shared" si="177"/>
        <v>2034</v>
      </c>
      <c r="AN228" s="19">
        <f t="shared" si="142"/>
        <v>5</v>
      </c>
      <c r="AO228" s="18" t="str">
        <f t="shared" si="153"/>
        <v/>
      </c>
      <c r="AP228" s="18" t="str">
        <f t="shared" si="172"/>
        <v/>
      </c>
      <c r="AQ228" s="18" t="str">
        <f>IF(BD227&lt;&gt;1,"",IF(BA227&gt;0,IF(BA227&gt;CONTROL_PANEL!$B$11,CONTROL_PANEL!$B$11,BA227),0))</f>
        <v/>
      </c>
      <c r="AR228" s="18" t="str">
        <f t="shared" si="167"/>
        <v/>
      </c>
      <c r="AS228" s="18" t="str">
        <f>IF(BD228&lt;&gt;1,"",DATA_INPUT!$I228)</f>
        <v/>
      </c>
      <c r="AT228" s="18" t="str">
        <f>IF(BD228&lt;&gt;1,"",AS228*CONTROL_PANEL!$B$5)</f>
        <v/>
      </c>
      <c r="AU228" s="18" t="str">
        <f>IF(BD228&lt;&gt;1,"",DATA_INPUT!$C228)</f>
        <v/>
      </c>
      <c r="AV228" s="18" t="str">
        <f t="shared" si="154"/>
        <v/>
      </c>
      <c r="AW228" s="18" t="str">
        <f>IF(BD228&lt;&gt;1,"",DATA_INPUT!$H228)</f>
        <v/>
      </c>
      <c r="AX228" s="18" t="str">
        <f t="shared" si="155"/>
        <v/>
      </c>
      <c r="AY228" s="18" t="str">
        <f>IF(BD228&lt;&gt;1,"",AT228*CONTROL_PANEL!$B$14)</f>
        <v/>
      </c>
      <c r="AZ228" s="18" t="str">
        <f>IF(BD228&lt;&gt;1,"",DATA_INPUT!$M228)</f>
        <v/>
      </c>
      <c r="BA228" s="18" t="str">
        <f t="shared" si="156"/>
        <v/>
      </c>
      <c r="BB228" s="18" t="str">
        <f>IF(BD228&lt;&gt;1,"",IF(BA228-CONTROL_PANEL!$B$11&lt;0,0,BA228-CONTROL_PANEL!$B$11))</f>
        <v/>
      </c>
      <c r="BC228" s="18" t="str">
        <f>IF(BD228&lt;&gt;1,"",IF(AZ228&lt;=0,0,MIN(AZ228,MAX(0,CONTROL_PANEL!$B$13-BA228))))</f>
        <v/>
      </c>
      <c r="BD228" s="18"/>
      <c r="BF228" s="19">
        <f t="shared" si="178"/>
        <v>2034</v>
      </c>
      <c r="BG228" s="19">
        <f t="shared" si="143"/>
        <v>5</v>
      </c>
      <c r="BH228" s="18" t="str">
        <f t="shared" si="157"/>
        <v/>
      </c>
      <c r="BI228" s="18" t="str">
        <f t="shared" si="173"/>
        <v/>
      </c>
      <c r="BJ228" s="18" t="str">
        <f>IF(BW227&lt;&gt;1,"",IF(BT227&gt;0,IF(BT227&gt;CONTROL_PANEL!$B$11,CONTROL_PANEL!$B$11,BT227),0))</f>
        <v/>
      </c>
      <c r="BK228" s="18" t="str">
        <f t="shared" si="168"/>
        <v/>
      </c>
      <c r="BL228" s="18" t="str">
        <f>IF(BW228&lt;&gt;1,"",DATA_INPUT!$I228)</f>
        <v/>
      </c>
      <c r="BM228" s="18" t="str">
        <f>IF(BW228&lt;&gt;1,"",BL228*CONTROL_PANEL!$B$5)</f>
        <v/>
      </c>
      <c r="BN228" s="18" t="str">
        <f>IF(BW228&lt;&gt;1,"",DATA_INPUT!$C228)</f>
        <v/>
      </c>
      <c r="BO228" s="18" t="str">
        <f t="shared" si="158"/>
        <v/>
      </c>
      <c r="BP228" s="18" t="str">
        <f>IF(BW228&lt;&gt;1,"",DATA_INPUT!$H228)</f>
        <v/>
      </c>
      <c r="BQ228" s="18" t="str">
        <f t="shared" si="159"/>
        <v/>
      </c>
      <c r="BR228" s="18" t="str">
        <f>IF(BW228&lt;&gt;1,"",BM228*CONTROL_PANEL!$B$14)</f>
        <v/>
      </c>
      <c r="BS228" s="18" t="str">
        <f>IF(BW228&lt;&gt;1,"",DATA_INPUT!$N228)</f>
        <v/>
      </c>
      <c r="BT228" s="18" t="str">
        <f t="shared" si="160"/>
        <v/>
      </c>
      <c r="BU228" s="18" t="str">
        <f>IF(BW228&lt;&gt;1,"",IF(BT228-CONTROL_PANEL!$B$11&lt;0,0,BT228-CONTROL_PANEL!$B$11))</f>
        <v/>
      </c>
      <c r="BV228" s="18" t="str">
        <f>IF(BW228&lt;&gt;1,"",IF(BS228&lt;=0,0,MIN(BS228,MAX(0,CONTROL_PANEL!$B$13-BT228))))</f>
        <v/>
      </c>
      <c r="BW228" s="18"/>
      <c r="BY228" s="19">
        <f t="shared" si="179"/>
        <v>2034</v>
      </c>
      <c r="BZ228" s="19">
        <f t="shared" si="144"/>
        <v>5</v>
      </c>
      <c r="CA228" s="18" t="str">
        <f t="shared" si="161"/>
        <v/>
      </c>
      <c r="CB228" s="18" t="str">
        <f t="shared" si="174"/>
        <v/>
      </c>
      <c r="CC228" s="18" t="str">
        <f>IF(CP227&lt;&gt;1,"",IF(CM227&gt;0,IF(CM227&gt;CONTROL_PANEL!$B$11,CONTROL_PANEL!$B$11,CM227),0))</f>
        <v/>
      </c>
      <c r="CD228" s="18" t="str">
        <f t="shared" si="169"/>
        <v/>
      </c>
      <c r="CE228" s="18" t="str">
        <f>IF(CP228&lt;&gt;1,"",DATA_INPUT!$I228)</f>
        <v/>
      </c>
      <c r="CF228" s="18" t="str">
        <f>IF(CP228&lt;&gt;1,"",CE228*CONTROL_PANEL!$B$5)</f>
        <v/>
      </c>
      <c r="CG228" s="18" t="str">
        <f>IF(CP228&lt;&gt;1,"",DATA_INPUT!$C228)</f>
        <v/>
      </c>
      <c r="CH228" s="18" t="str">
        <f t="shared" si="162"/>
        <v/>
      </c>
      <c r="CI228" s="18" t="str">
        <f>IF(CP228&lt;&gt;1,"",DATA_INPUT!$H228)</f>
        <v/>
      </c>
      <c r="CJ228" s="18" t="str">
        <f t="shared" si="163"/>
        <v/>
      </c>
      <c r="CK228" s="18" t="str">
        <f>IF(CP228&lt;&gt;1,"",CF228*CONTROL_PANEL!$B$14)</f>
        <v/>
      </c>
      <c r="CL228" s="18" t="str">
        <f>IF(CP228&lt;&gt;1,"",DATA_INPUT!$O228)</f>
        <v/>
      </c>
      <c r="CM228" s="18" t="str">
        <f t="shared" si="164"/>
        <v/>
      </c>
      <c r="CN228" s="18" t="str">
        <f>IF(CP228&lt;&gt;1,"",IF(CM228-CONTROL_PANEL!$B$11&lt;0,0,CM228-CONTROL_PANEL!$B$11))</f>
        <v/>
      </c>
      <c r="CO228" s="18" t="str">
        <f>IF(CP228&lt;&gt;1,"",IF(CL228&lt;=0,0,MIN(CL228,MAX(0,CONTROL_PANEL!$B$13-CM228))))</f>
        <v/>
      </c>
      <c r="CP228" s="18"/>
    </row>
    <row r="229" spans="1:94" x14ac:dyDescent="0.25">
      <c r="A229" s="19">
        <f t="shared" si="175"/>
        <v>2034</v>
      </c>
      <c r="B229" s="19">
        <f t="shared" si="140"/>
        <v>6</v>
      </c>
      <c r="C229" s="18" t="str">
        <f t="shared" si="145"/>
        <v/>
      </c>
      <c r="D229" s="18" t="str">
        <f t="shared" si="170"/>
        <v/>
      </c>
      <c r="E229" s="18" t="str">
        <f>IF(R228&lt;&gt;1,"",IF(O228&gt;0,IF(O228&gt;CONTROL_PANEL!$B$11,CONTROL_PANEL!$B$11,O228),0))</f>
        <v/>
      </c>
      <c r="F229" s="18" t="str">
        <f t="shared" si="165"/>
        <v/>
      </c>
      <c r="G229" s="18" t="str">
        <f>IF(R229&lt;&gt;1,"",DATA_INPUT!I229)</f>
        <v/>
      </c>
      <c r="H229" s="18" t="str">
        <f>IF(R229&lt;&gt;1,"",G229*CONTROL_PANEL!$B$5)</f>
        <v/>
      </c>
      <c r="I229" s="18" t="str">
        <f>IF(R229&lt;&gt;1,"",DATA_INPUT!C229)</f>
        <v/>
      </c>
      <c r="J229" s="18" t="str">
        <f t="shared" si="146"/>
        <v/>
      </c>
      <c r="K229" s="18" t="str">
        <f>IF(R229&lt;&gt;1,"",DATA_INPUT!H229)</f>
        <v/>
      </c>
      <c r="L229" s="18" t="str">
        <f t="shared" si="147"/>
        <v/>
      </c>
      <c r="M229" s="18" t="str">
        <f>IF(R229&lt;&gt;1,"",H229*CONTROL_PANEL!$B$14)</f>
        <v/>
      </c>
      <c r="N229" s="18" t="str">
        <f>IF(R229&lt;&gt;1,"",DATA_INPUT!K229)</f>
        <v/>
      </c>
      <c r="O229" s="18" t="str">
        <f t="shared" si="148"/>
        <v/>
      </c>
      <c r="P229" s="18" t="str">
        <f>IF(R229&lt;&gt;1,"",IF(O229-CONTROL_PANEL!$B$11&lt;0,0,O229-CONTROL_PANEL!$B$11))</f>
        <v/>
      </c>
      <c r="Q229" s="18" t="str">
        <f>IF(R229&lt;&gt;1,"",IF(N229&lt;=0,0,MIN(N229,MAX(0,CONTROL_PANEL!$B$13-O229))))</f>
        <v/>
      </c>
      <c r="R229" s="18"/>
      <c r="T229" s="19">
        <f t="shared" si="176"/>
        <v>2034</v>
      </c>
      <c r="U229" s="19">
        <f t="shared" si="141"/>
        <v>6</v>
      </c>
      <c r="V229" s="18" t="str">
        <f t="shared" si="149"/>
        <v/>
      </c>
      <c r="W229" s="18" t="str">
        <f t="shared" si="171"/>
        <v/>
      </c>
      <c r="X229" s="18" t="str">
        <f>IF(AK228&lt;&gt;1,"",IF(AH228&gt;0,IF(AH228&gt;CONTROL_PANEL!$B$11,CONTROL_PANEL!$B$11,AH228),0))</f>
        <v/>
      </c>
      <c r="Y229" s="18" t="str">
        <f t="shared" si="166"/>
        <v/>
      </c>
      <c r="Z229" s="18" t="str">
        <f>IF(AK229&lt;&gt;1,"",DATA_INPUT!I229)</f>
        <v/>
      </c>
      <c r="AA229" s="18" t="str">
        <f>IF(AK229&lt;&gt;1,"",Z229*CONTROL_PANEL!$B$5)</f>
        <v/>
      </c>
      <c r="AB229" s="18" t="str">
        <f>IF(AK229&lt;&gt;1,"",DATA_INPUT!$C229)</f>
        <v/>
      </c>
      <c r="AC229" s="18" t="str">
        <f t="shared" si="150"/>
        <v/>
      </c>
      <c r="AD229" s="18" t="str">
        <f>IF(AK229&lt;&gt;1,"",DATA_INPUT!$H229)</f>
        <v/>
      </c>
      <c r="AE229" s="18" t="str">
        <f t="shared" si="151"/>
        <v/>
      </c>
      <c r="AF229" s="18" t="str">
        <f>IF(AK229&lt;&gt;1,"",AA229*CONTROL_PANEL!$B$14)</f>
        <v/>
      </c>
      <c r="AG229" s="18" t="str">
        <f>IF(AK229&lt;&gt;1,"",DATA_INPUT!$L229)</f>
        <v/>
      </c>
      <c r="AH229" s="18" t="str">
        <f t="shared" si="152"/>
        <v/>
      </c>
      <c r="AI229" s="18" t="str">
        <f>IF(AK229&lt;&gt;1,"",IF(AH229-CONTROL_PANEL!$B$11&lt;0,0,AH229-CONTROL_PANEL!$B$11))</f>
        <v/>
      </c>
      <c r="AJ229" s="18" t="str">
        <f>IF(AK229&lt;&gt;1,"",IF(AG229&lt;=0,0,MIN(AG229,MAX(0,CONTROL_PANEL!$B$13-AH229))))</f>
        <v/>
      </c>
      <c r="AK229" s="18"/>
      <c r="AM229" s="19">
        <f t="shared" si="177"/>
        <v>2034</v>
      </c>
      <c r="AN229" s="19">
        <f t="shared" si="142"/>
        <v>6</v>
      </c>
      <c r="AO229" s="18" t="str">
        <f t="shared" si="153"/>
        <v/>
      </c>
      <c r="AP229" s="18" t="str">
        <f t="shared" si="172"/>
        <v/>
      </c>
      <c r="AQ229" s="18" t="str">
        <f>IF(BD228&lt;&gt;1,"",IF(BA228&gt;0,IF(BA228&gt;CONTROL_PANEL!$B$11,CONTROL_PANEL!$B$11,BA228),0))</f>
        <v/>
      </c>
      <c r="AR229" s="18" t="str">
        <f t="shared" si="167"/>
        <v/>
      </c>
      <c r="AS229" s="18" t="str">
        <f>IF(BD229&lt;&gt;1,"",DATA_INPUT!$I229)</f>
        <v/>
      </c>
      <c r="AT229" s="18" t="str">
        <f>IF(BD229&lt;&gt;1,"",AS229*CONTROL_PANEL!$B$5)</f>
        <v/>
      </c>
      <c r="AU229" s="18" t="str">
        <f>IF(BD229&lt;&gt;1,"",DATA_INPUT!$C229)</f>
        <v/>
      </c>
      <c r="AV229" s="18" t="str">
        <f t="shared" si="154"/>
        <v/>
      </c>
      <c r="AW229" s="18" t="str">
        <f>IF(BD229&lt;&gt;1,"",DATA_INPUT!$H229)</f>
        <v/>
      </c>
      <c r="AX229" s="18" t="str">
        <f t="shared" si="155"/>
        <v/>
      </c>
      <c r="AY229" s="18" t="str">
        <f>IF(BD229&lt;&gt;1,"",AT229*CONTROL_PANEL!$B$14)</f>
        <v/>
      </c>
      <c r="AZ229" s="18" t="str">
        <f>IF(BD229&lt;&gt;1,"",DATA_INPUT!$M229)</f>
        <v/>
      </c>
      <c r="BA229" s="18" t="str">
        <f t="shared" si="156"/>
        <v/>
      </c>
      <c r="BB229" s="18" t="str">
        <f>IF(BD229&lt;&gt;1,"",IF(BA229-CONTROL_PANEL!$B$11&lt;0,0,BA229-CONTROL_PANEL!$B$11))</f>
        <v/>
      </c>
      <c r="BC229" s="18" t="str">
        <f>IF(BD229&lt;&gt;1,"",IF(AZ229&lt;=0,0,MIN(AZ229,MAX(0,CONTROL_PANEL!$B$13-BA229))))</f>
        <v/>
      </c>
      <c r="BD229" s="18"/>
      <c r="BF229" s="19">
        <f t="shared" si="178"/>
        <v>2034</v>
      </c>
      <c r="BG229" s="19">
        <f t="shared" si="143"/>
        <v>6</v>
      </c>
      <c r="BH229" s="18" t="str">
        <f t="shared" si="157"/>
        <v/>
      </c>
      <c r="BI229" s="18" t="str">
        <f t="shared" si="173"/>
        <v/>
      </c>
      <c r="BJ229" s="18" t="str">
        <f>IF(BW228&lt;&gt;1,"",IF(BT228&gt;0,IF(BT228&gt;CONTROL_PANEL!$B$11,CONTROL_PANEL!$B$11,BT228),0))</f>
        <v/>
      </c>
      <c r="BK229" s="18" t="str">
        <f t="shared" si="168"/>
        <v/>
      </c>
      <c r="BL229" s="18" t="str">
        <f>IF(BW229&lt;&gt;1,"",DATA_INPUT!$I229)</f>
        <v/>
      </c>
      <c r="BM229" s="18" t="str">
        <f>IF(BW229&lt;&gt;1,"",BL229*CONTROL_PANEL!$B$5)</f>
        <v/>
      </c>
      <c r="BN229" s="18" t="str">
        <f>IF(BW229&lt;&gt;1,"",DATA_INPUT!$C229)</f>
        <v/>
      </c>
      <c r="BO229" s="18" t="str">
        <f t="shared" si="158"/>
        <v/>
      </c>
      <c r="BP229" s="18" t="str">
        <f>IF(BW229&lt;&gt;1,"",DATA_INPUT!$H229)</f>
        <v/>
      </c>
      <c r="BQ229" s="18" t="str">
        <f t="shared" si="159"/>
        <v/>
      </c>
      <c r="BR229" s="18" t="str">
        <f>IF(BW229&lt;&gt;1,"",BM229*CONTROL_PANEL!$B$14)</f>
        <v/>
      </c>
      <c r="BS229" s="18" t="str">
        <f>IF(BW229&lt;&gt;1,"",DATA_INPUT!$N229)</f>
        <v/>
      </c>
      <c r="BT229" s="18" t="str">
        <f t="shared" si="160"/>
        <v/>
      </c>
      <c r="BU229" s="18" t="str">
        <f>IF(BW229&lt;&gt;1,"",IF(BT229-CONTROL_PANEL!$B$11&lt;0,0,BT229-CONTROL_PANEL!$B$11))</f>
        <v/>
      </c>
      <c r="BV229" s="18" t="str">
        <f>IF(BW229&lt;&gt;1,"",IF(BS229&lt;=0,0,MIN(BS229,MAX(0,CONTROL_PANEL!$B$13-BT229))))</f>
        <v/>
      </c>
      <c r="BW229" s="18"/>
      <c r="BY229" s="19">
        <f t="shared" si="179"/>
        <v>2034</v>
      </c>
      <c r="BZ229" s="19">
        <f t="shared" si="144"/>
        <v>6</v>
      </c>
      <c r="CA229" s="18" t="str">
        <f t="shared" si="161"/>
        <v/>
      </c>
      <c r="CB229" s="18" t="str">
        <f t="shared" si="174"/>
        <v/>
      </c>
      <c r="CC229" s="18" t="str">
        <f>IF(CP228&lt;&gt;1,"",IF(CM228&gt;0,IF(CM228&gt;CONTROL_PANEL!$B$11,CONTROL_PANEL!$B$11,CM228),0))</f>
        <v/>
      </c>
      <c r="CD229" s="18" t="str">
        <f t="shared" si="169"/>
        <v/>
      </c>
      <c r="CE229" s="18" t="str">
        <f>IF(CP229&lt;&gt;1,"",DATA_INPUT!$I229)</f>
        <v/>
      </c>
      <c r="CF229" s="18" t="str">
        <f>IF(CP229&lt;&gt;1,"",CE229*CONTROL_PANEL!$B$5)</f>
        <v/>
      </c>
      <c r="CG229" s="18" t="str">
        <f>IF(CP229&lt;&gt;1,"",DATA_INPUT!$C229)</f>
        <v/>
      </c>
      <c r="CH229" s="18" t="str">
        <f t="shared" si="162"/>
        <v/>
      </c>
      <c r="CI229" s="18" t="str">
        <f>IF(CP229&lt;&gt;1,"",DATA_INPUT!$H229)</f>
        <v/>
      </c>
      <c r="CJ229" s="18" t="str">
        <f t="shared" si="163"/>
        <v/>
      </c>
      <c r="CK229" s="18" t="str">
        <f>IF(CP229&lt;&gt;1,"",CF229*CONTROL_PANEL!$B$14)</f>
        <v/>
      </c>
      <c r="CL229" s="18" t="str">
        <f>IF(CP229&lt;&gt;1,"",DATA_INPUT!$O229)</f>
        <v/>
      </c>
      <c r="CM229" s="18" t="str">
        <f t="shared" si="164"/>
        <v/>
      </c>
      <c r="CN229" s="18" t="str">
        <f>IF(CP229&lt;&gt;1,"",IF(CM229-CONTROL_PANEL!$B$11&lt;0,0,CM229-CONTROL_PANEL!$B$11))</f>
        <v/>
      </c>
      <c r="CO229" s="18" t="str">
        <f>IF(CP229&lt;&gt;1,"",IF(CL229&lt;=0,0,MIN(CL229,MAX(0,CONTROL_PANEL!$B$13-CM229))))</f>
        <v/>
      </c>
      <c r="CP229" s="18"/>
    </row>
    <row r="230" spans="1:94" x14ac:dyDescent="0.25">
      <c r="A230" s="19">
        <f t="shared" si="175"/>
        <v>2034</v>
      </c>
      <c r="B230" s="19">
        <f t="shared" si="140"/>
        <v>7</v>
      </c>
      <c r="C230" s="18" t="str">
        <f t="shared" si="145"/>
        <v/>
      </c>
      <c r="D230" s="18" t="str">
        <f t="shared" si="170"/>
        <v/>
      </c>
      <c r="E230" s="18" t="str">
        <f>IF(R229&lt;&gt;1,"",IF(O229&gt;0,IF(O229&gt;CONTROL_PANEL!$B$11,CONTROL_PANEL!$B$11,O229),0))</f>
        <v/>
      </c>
      <c r="F230" s="18" t="str">
        <f t="shared" si="165"/>
        <v/>
      </c>
      <c r="G230" s="18" t="str">
        <f>IF(R230&lt;&gt;1,"",DATA_INPUT!I230)</f>
        <v/>
      </c>
      <c r="H230" s="18" t="str">
        <f>IF(R230&lt;&gt;1,"",G230*CONTROL_PANEL!$B$5)</f>
        <v/>
      </c>
      <c r="I230" s="18" t="str">
        <f>IF(R230&lt;&gt;1,"",DATA_INPUT!C230)</f>
        <v/>
      </c>
      <c r="J230" s="18" t="str">
        <f t="shared" si="146"/>
        <v/>
      </c>
      <c r="K230" s="18" t="str">
        <f>IF(R230&lt;&gt;1,"",DATA_INPUT!H230)</f>
        <v/>
      </c>
      <c r="L230" s="18" t="str">
        <f t="shared" si="147"/>
        <v/>
      </c>
      <c r="M230" s="18" t="str">
        <f>IF(R230&lt;&gt;1,"",H230*CONTROL_PANEL!$B$14)</f>
        <v/>
      </c>
      <c r="N230" s="18" t="str">
        <f>IF(R230&lt;&gt;1,"",DATA_INPUT!K230)</f>
        <v/>
      </c>
      <c r="O230" s="18" t="str">
        <f t="shared" si="148"/>
        <v/>
      </c>
      <c r="P230" s="18" t="str">
        <f>IF(R230&lt;&gt;1,"",IF(O230-CONTROL_PANEL!$B$11&lt;0,0,O230-CONTROL_PANEL!$B$11))</f>
        <v/>
      </c>
      <c r="Q230" s="18" t="str">
        <f>IF(R230&lt;&gt;1,"",IF(N230&lt;=0,0,MIN(N230,MAX(0,CONTROL_PANEL!$B$13-O230))))</f>
        <v/>
      </c>
      <c r="R230" s="18"/>
      <c r="T230" s="19">
        <f t="shared" si="176"/>
        <v>2034</v>
      </c>
      <c r="U230" s="19">
        <f t="shared" si="141"/>
        <v>7</v>
      </c>
      <c r="V230" s="18" t="str">
        <f t="shared" si="149"/>
        <v/>
      </c>
      <c r="W230" s="18" t="str">
        <f t="shared" si="171"/>
        <v/>
      </c>
      <c r="X230" s="18" t="str">
        <f>IF(AK229&lt;&gt;1,"",IF(AH229&gt;0,IF(AH229&gt;CONTROL_PANEL!$B$11,CONTROL_PANEL!$B$11,AH229),0))</f>
        <v/>
      </c>
      <c r="Y230" s="18" t="str">
        <f t="shared" si="166"/>
        <v/>
      </c>
      <c r="Z230" s="18" t="str">
        <f>IF(AK230&lt;&gt;1,"",DATA_INPUT!I230)</f>
        <v/>
      </c>
      <c r="AA230" s="18" t="str">
        <f>IF(AK230&lt;&gt;1,"",Z230*CONTROL_PANEL!$B$5)</f>
        <v/>
      </c>
      <c r="AB230" s="18" t="str">
        <f>IF(AK230&lt;&gt;1,"",DATA_INPUT!$C230)</f>
        <v/>
      </c>
      <c r="AC230" s="18" t="str">
        <f t="shared" si="150"/>
        <v/>
      </c>
      <c r="AD230" s="18" t="str">
        <f>IF(AK230&lt;&gt;1,"",DATA_INPUT!$H230)</f>
        <v/>
      </c>
      <c r="AE230" s="18" t="str">
        <f t="shared" si="151"/>
        <v/>
      </c>
      <c r="AF230" s="18" t="str">
        <f>IF(AK230&lt;&gt;1,"",AA230*CONTROL_PANEL!$B$14)</f>
        <v/>
      </c>
      <c r="AG230" s="18" t="str">
        <f>IF(AK230&lt;&gt;1,"",DATA_INPUT!$L230)</f>
        <v/>
      </c>
      <c r="AH230" s="18" t="str">
        <f t="shared" si="152"/>
        <v/>
      </c>
      <c r="AI230" s="18" t="str">
        <f>IF(AK230&lt;&gt;1,"",IF(AH230-CONTROL_PANEL!$B$11&lt;0,0,AH230-CONTROL_PANEL!$B$11))</f>
        <v/>
      </c>
      <c r="AJ230" s="18" t="str">
        <f>IF(AK230&lt;&gt;1,"",IF(AG230&lt;=0,0,MIN(AG230,MAX(0,CONTROL_PANEL!$B$13-AH230))))</f>
        <v/>
      </c>
      <c r="AK230" s="18"/>
      <c r="AM230" s="19">
        <f t="shared" si="177"/>
        <v>2034</v>
      </c>
      <c r="AN230" s="19">
        <f t="shared" si="142"/>
        <v>7</v>
      </c>
      <c r="AO230" s="18" t="str">
        <f t="shared" si="153"/>
        <v/>
      </c>
      <c r="AP230" s="18" t="str">
        <f t="shared" si="172"/>
        <v/>
      </c>
      <c r="AQ230" s="18" t="str">
        <f>IF(BD229&lt;&gt;1,"",IF(BA229&gt;0,IF(BA229&gt;CONTROL_PANEL!$B$11,CONTROL_PANEL!$B$11,BA229),0))</f>
        <v/>
      </c>
      <c r="AR230" s="18" t="str">
        <f t="shared" si="167"/>
        <v/>
      </c>
      <c r="AS230" s="18" t="str">
        <f>IF(BD230&lt;&gt;1,"",DATA_INPUT!$I230)</f>
        <v/>
      </c>
      <c r="AT230" s="18" t="str">
        <f>IF(BD230&lt;&gt;1,"",AS230*CONTROL_PANEL!$B$5)</f>
        <v/>
      </c>
      <c r="AU230" s="18" t="str">
        <f>IF(BD230&lt;&gt;1,"",DATA_INPUT!$C230)</f>
        <v/>
      </c>
      <c r="AV230" s="18" t="str">
        <f t="shared" si="154"/>
        <v/>
      </c>
      <c r="AW230" s="18" t="str">
        <f>IF(BD230&lt;&gt;1,"",DATA_INPUT!$H230)</f>
        <v/>
      </c>
      <c r="AX230" s="18" t="str">
        <f t="shared" si="155"/>
        <v/>
      </c>
      <c r="AY230" s="18" t="str">
        <f>IF(BD230&lt;&gt;1,"",AT230*CONTROL_PANEL!$B$14)</f>
        <v/>
      </c>
      <c r="AZ230" s="18" t="str">
        <f>IF(BD230&lt;&gt;1,"",DATA_INPUT!$M230)</f>
        <v/>
      </c>
      <c r="BA230" s="18" t="str">
        <f t="shared" si="156"/>
        <v/>
      </c>
      <c r="BB230" s="18" t="str">
        <f>IF(BD230&lt;&gt;1,"",IF(BA230-CONTROL_PANEL!$B$11&lt;0,0,BA230-CONTROL_PANEL!$B$11))</f>
        <v/>
      </c>
      <c r="BC230" s="18" t="str">
        <f>IF(BD230&lt;&gt;1,"",IF(AZ230&lt;=0,0,MIN(AZ230,MAX(0,CONTROL_PANEL!$B$13-BA230))))</f>
        <v/>
      </c>
      <c r="BD230" s="18"/>
      <c r="BF230" s="19">
        <f t="shared" si="178"/>
        <v>2034</v>
      </c>
      <c r="BG230" s="19">
        <f t="shared" si="143"/>
        <v>7</v>
      </c>
      <c r="BH230" s="18" t="str">
        <f t="shared" si="157"/>
        <v/>
      </c>
      <c r="BI230" s="18" t="str">
        <f t="shared" si="173"/>
        <v/>
      </c>
      <c r="BJ230" s="18" t="str">
        <f>IF(BW229&lt;&gt;1,"",IF(BT229&gt;0,IF(BT229&gt;CONTROL_PANEL!$B$11,CONTROL_PANEL!$B$11,BT229),0))</f>
        <v/>
      </c>
      <c r="BK230" s="18" t="str">
        <f t="shared" si="168"/>
        <v/>
      </c>
      <c r="BL230" s="18" t="str">
        <f>IF(BW230&lt;&gt;1,"",DATA_INPUT!$I230)</f>
        <v/>
      </c>
      <c r="BM230" s="18" t="str">
        <f>IF(BW230&lt;&gt;1,"",BL230*CONTROL_PANEL!$B$5)</f>
        <v/>
      </c>
      <c r="BN230" s="18" t="str">
        <f>IF(BW230&lt;&gt;1,"",DATA_INPUT!$C230)</f>
        <v/>
      </c>
      <c r="BO230" s="18" t="str">
        <f t="shared" si="158"/>
        <v/>
      </c>
      <c r="BP230" s="18" t="str">
        <f>IF(BW230&lt;&gt;1,"",DATA_INPUT!$H230)</f>
        <v/>
      </c>
      <c r="BQ230" s="18" t="str">
        <f t="shared" si="159"/>
        <v/>
      </c>
      <c r="BR230" s="18" t="str">
        <f>IF(BW230&lt;&gt;1,"",BM230*CONTROL_PANEL!$B$14)</f>
        <v/>
      </c>
      <c r="BS230" s="18" t="str">
        <f>IF(BW230&lt;&gt;1,"",DATA_INPUT!$N230)</f>
        <v/>
      </c>
      <c r="BT230" s="18" t="str">
        <f t="shared" si="160"/>
        <v/>
      </c>
      <c r="BU230" s="18" t="str">
        <f>IF(BW230&lt;&gt;1,"",IF(BT230-CONTROL_PANEL!$B$11&lt;0,0,BT230-CONTROL_PANEL!$B$11))</f>
        <v/>
      </c>
      <c r="BV230" s="18" t="str">
        <f>IF(BW230&lt;&gt;1,"",IF(BS230&lt;=0,0,MIN(BS230,MAX(0,CONTROL_PANEL!$B$13-BT230))))</f>
        <v/>
      </c>
      <c r="BW230" s="18"/>
      <c r="BY230" s="19">
        <f t="shared" si="179"/>
        <v>2034</v>
      </c>
      <c r="BZ230" s="19">
        <f t="shared" si="144"/>
        <v>7</v>
      </c>
      <c r="CA230" s="18" t="str">
        <f t="shared" si="161"/>
        <v/>
      </c>
      <c r="CB230" s="18" t="str">
        <f t="shared" si="174"/>
        <v/>
      </c>
      <c r="CC230" s="18" t="str">
        <f>IF(CP229&lt;&gt;1,"",IF(CM229&gt;0,IF(CM229&gt;CONTROL_PANEL!$B$11,CONTROL_PANEL!$B$11,CM229),0))</f>
        <v/>
      </c>
      <c r="CD230" s="18" t="str">
        <f t="shared" si="169"/>
        <v/>
      </c>
      <c r="CE230" s="18" t="str">
        <f>IF(CP230&lt;&gt;1,"",DATA_INPUT!$I230)</f>
        <v/>
      </c>
      <c r="CF230" s="18" t="str">
        <f>IF(CP230&lt;&gt;1,"",CE230*CONTROL_PANEL!$B$5)</f>
        <v/>
      </c>
      <c r="CG230" s="18" t="str">
        <f>IF(CP230&lt;&gt;1,"",DATA_INPUT!$C230)</f>
        <v/>
      </c>
      <c r="CH230" s="18" t="str">
        <f t="shared" si="162"/>
        <v/>
      </c>
      <c r="CI230" s="18" t="str">
        <f>IF(CP230&lt;&gt;1,"",DATA_INPUT!$H230)</f>
        <v/>
      </c>
      <c r="CJ230" s="18" t="str">
        <f t="shared" si="163"/>
        <v/>
      </c>
      <c r="CK230" s="18" t="str">
        <f>IF(CP230&lt;&gt;1,"",CF230*CONTROL_PANEL!$B$14)</f>
        <v/>
      </c>
      <c r="CL230" s="18" t="str">
        <f>IF(CP230&lt;&gt;1,"",DATA_INPUT!$O230)</f>
        <v/>
      </c>
      <c r="CM230" s="18" t="str">
        <f t="shared" si="164"/>
        <v/>
      </c>
      <c r="CN230" s="18" t="str">
        <f>IF(CP230&lt;&gt;1,"",IF(CM230-CONTROL_PANEL!$B$11&lt;0,0,CM230-CONTROL_PANEL!$B$11))</f>
        <v/>
      </c>
      <c r="CO230" s="18" t="str">
        <f>IF(CP230&lt;&gt;1,"",IF(CL230&lt;=0,0,MIN(CL230,MAX(0,CONTROL_PANEL!$B$13-CM230))))</f>
        <v/>
      </c>
      <c r="CP230" s="18"/>
    </row>
    <row r="231" spans="1:94" x14ac:dyDescent="0.25">
      <c r="A231" s="19">
        <f t="shared" si="175"/>
        <v>2034</v>
      </c>
      <c r="B231" s="19">
        <f t="shared" si="140"/>
        <v>8</v>
      </c>
      <c r="C231" s="18" t="str">
        <f t="shared" si="145"/>
        <v/>
      </c>
      <c r="D231" s="18" t="str">
        <f t="shared" si="170"/>
        <v/>
      </c>
      <c r="E231" s="18" t="str">
        <f>IF(R230&lt;&gt;1,"",IF(O230&gt;0,IF(O230&gt;CONTROL_PANEL!$B$11,CONTROL_PANEL!$B$11,O230),0))</f>
        <v/>
      </c>
      <c r="F231" s="18" t="str">
        <f t="shared" si="165"/>
        <v/>
      </c>
      <c r="G231" s="18" t="str">
        <f>IF(R231&lt;&gt;1,"",DATA_INPUT!I231)</f>
        <v/>
      </c>
      <c r="H231" s="18" t="str">
        <f>IF(R231&lt;&gt;1,"",G231*CONTROL_PANEL!$B$5)</f>
        <v/>
      </c>
      <c r="I231" s="18" t="str">
        <f>IF(R231&lt;&gt;1,"",DATA_INPUT!C231)</f>
        <v/>
      </c>
      <c r="J231" s="18" t="str">
        <f t="shared" si="146"/>
        <v/>
      </c>
      <c r="K231" s="18" t="str">
        <f>IF(R231&lt;&gt;1,"",DATA_INPUT!H231)</f>
        <v/>
      </c>
      <c r="L231" s="18" t="str">
        <f t="shared" si="147"/>
        <v/>
      </c>
      <c r="M231" s="18" t="str">
        <f>IF(R231&lt;&gt;1,"",H231*CONTROL_PANEL!$B$14)</f>
        <v/>
      </c>
      <c r="N231" s="18" t="str">
        <f>IF(R231&lt;&gt;1,"",DATA_INPUT!K231)</f>
        <v/>
      </c>
      <c r="O231" s="18" t="str">
        <f t="shared" si="148"/>
        <v/>
      </c>
      <c r="P231" s="18" t="str">
        <f>IF(R231&lt;&gt;1,"",IF(O231-CONTROL_PANEL!$B$11&lt;0,0,O231-CONTROL_PANEL!$B$11))</f>
        <v/>
      </c>
      <c r="Q231" s="18" t="str">
        <f>IF(R231&lt;&gt;1,"",IF(N231&lt;=0,0,MIN(N231,MAX(0,CONTROL_PANEL!$B$13-O231))))</f>
        <v/>
      </c>
      <c r="R231" s="18"/>
      <c r="T231" s="19">
        <f t="shared" si="176"/>
        <v>2034</v>
      </c>
      <c r="U231" s="19">
        <f t="shared" si="141"/>
        <v>8</v>
      </c>
      <c r="V231" s="18" t="str">
        <f t="shared" si="149"/>
        <v/>
      </c>
      <c r="W231" s="18" t="str">
        <f t="shared" si="171"/>
        <v/>
      </c>
      <c r="X231" s="18" t="str">
        <f>IF(AK230&lt;&gt;1,"",IF(AH230&gt;0,IF(AH230&gt;CONTROL_PANEL!$B$11,CONTROL_PANEL!$B$11,AH230),0))</f>
        <v/>
      </c>
      <c r="Y231" s="18" t="str">
        <f t="shared" si="166"/>
        <v/>
      </c>
      <c r="Z231" s="18" t="str">
        <f>IF(AK231&lt;&gt;1,"",DATA_INPUT!I231)</f>
        <v/>
      </c>
      <c r="AA231" s="18" t="str">
        <f>IF(AK231&lt;&gt;1,"",Z231*CONTROL_PANEL!$B$5)</f>
        <v/>
      </c>
      <c r="AB231" s="18" t="str">
        <f>IF(AK231&lt;&gt;1,"",DATA_INPUT!$C231)</f>
        <v/>
      </c>
      <c r="AC231" s="18" t="str">
        <f t="shared" si="150"/>
        <v/>
      </c>
      <c r="AD231" s="18" t="str">
        <f>IF(AK231&lt;&gt;1,"",DATA_INPUT!$H231)</f>
        <v/>
      </c>
      <c r="AE231" s="18" t="str">
        <f t="shared" si="151"/>
        <v/>
      </c>
      <c r="AF231" s="18" t="str">
        <f>IF(AK231&lt;&gt;1,"",AA231*CONTROL_PANEL!$B$14)</f>
        <v/>
      </c>
      <c r="AG231" s="18" t="str">
        <f>IF(AK231&lt;&gt;1,"",DATA_INPUT!$L231)</f>
        <v/>
      </c>
      <c r="AH231" s="18" t="str">
        <f t="shared" si="152"/>
        <v/>
      </c>
      <c r="AI231" s="18" t="str">
        <f>IF(AK231&lt;&gt;1,"",IF(AH231-CONTROL_PANEL!$B$11&lt;0,0,AH231-CONTROL_PANEL!$B$11))</f>
        <v/>
      </c>
      <c r="AJ231" s="18" t="str">
        <f>IF(AK231&lt;&gt;1,"",IF(AG231&lt;=0,0,MIN(AG231,MAX(0,CONTROL_PANEL!$B$13-AH231))))</f>
        <v/>
      </c>
      <c r="AK231" s="18"/>
      <c r="AM231" s="19">
        <f t="shared" si="177"/>
        <v>2034</v>
      </c>
      <c r="AN231" s="19">
        <f t="shared" si="142"/>
        <v>8</v>
      </c>
      <c r="AO231" s="18" t="str">
        <f t="shared" si="153"/>
        <v/>
      </c>
      <c r="AP231" s="18" t="str">
        <f t="shared" si="172"/>
        <v/>
      </c>
      <c r="AQ231" s="18" t="str">
        <f>IF(BD230&lt;&gt;1,"",IF(BA230&gt;0,IF(BA230&gt;CONTROL_PANEL!$B$11,CONTROL_PANEL!$B$11,BA230),0))</f>
        <v/>
      </c>
      <c r="AR231" s="18" t="str">
        <f t="shared" si="167"/>
        <v/>
      </c>
      <c r="AS231" s="18" t="str">
        <f>IF(BD231&lt;&gt;1,"",DATA_INPUT!$I231)</f>
        <v/>
      </c>
      <c r="AT231" s="18" t="str">
        <f>IF(BD231&lt;&gt;1,"",AS231*CONTROL_PANEL!$B$5)</f>
        <v/>
      </c>
      <c r="AU231" s="18" t="str">
        <f>IF(BD231&lt;&gt;1,"",DATA_INPUT!$C231)</f>
        <v/>
      </c>
      <c r="AV231" s="18" t="str">
        <f t="shared" si="154"/>
        <v/>
      </c>
      <c r="AW231" s="18" t="str">
        <f>IF(BD231&lt;&gt;1,"",DATA_INPUT!$H231)</f>
        <v/>
      </c>
      <c r="AX231" s="18" t="str">
        <f t="shared" si="155"/>
        <v/>
      </c>
      <c r="AY231" s="18" t="str">
        <f>IF(BD231&lt;&gt;1,"",AT231*CONTROL_PANEL!$B$14)</f>
        <v/>
      </c>
      <c r="AZ231" s="18" t="str">
        <f>IF(BD231&lt;&gt;1,"",DATA_INPUT!$M231)</f>
        <v/>
      </c>
      <c r="BA231" s="18" t="str">
        <f t="shared" si="156"/>
        <v/>
      </c>
      <c r="BB231" s="18" t="str">
        <f>IF(BD231&lt;&gt;1,"",IF(BA231-CONTROL_PANEL!$B$11&lt;0,0,BA231-CONTROL_PANEL!$B$11))</f>
        <v/>
      </c>
      <c r="BC231" s="18" t="str">
        <f>IF(BD231&lt;&gt;1,"",IF(AZ231&lt;=0,0,MIN(AZ231,MAX(0,CONTROL_PANEL!$B$13-BA231))))</f>
        <v/>
      </c>
      <c r="BD231" s="18"/>
      <c r="BF231" s="19">
        <f t="shared" si="178"/>
        <v>2034</v>
      </c>
      <c r="BG231" s="19">
        <f t="shared" si="143"/>
        <v>8</v>
      </c>
      <c r="BH231" s="18" t="str">
        <f t="shared" si="157"/>
        <v/>
      </c>
      <c r="BI231" s="18" t="str">
        <f t="shared" si="173"/>
        <v/>
      </c>
      <c r="BJ231" s="18" t="str">
        <f>IF(BW230&lt;&gt;1,"",IF(BT230&gt;0,IF(BT230&gt;CONTROL_PANEL!$B$11,CONTROL_PANEL!$B$11,BT230),0))</f>
        <v/>
      </c>
      <c r="BK231" s="18" t="str">
        <f t="shared" si="168"/>
        <v/>
      </c>
      <c r="BL231" s="18" t="str">
        <f>IF(BW231&lt;&gt;1,"",DATA_INPUT!$I231)</f>
        <v/>
      </c>
      <c r="BM231" s="18" t="str">
        <f>IF(BW231&lt;&gt;1,"",BL231*CONTROL_PANEL!$B$5)</f>
        <v/>
      </c>
      <c r="BN231" s="18" t="str">
        <f>IF(BW231&lt;&gt;1,"",DATA_INPUT!$C231)</f>
        <v/>
      </c>
      <c r="BO231" s="18" t="str">
        <f t="shared" si="158"/>
        <v/>
      </c>
      <c r="BP231" s="18" t="str">
        <f>IF(BW231&lt;&gt;1,"",DATA_INPUT!$H231)</f>
        <v/>
      </c>
      <c r="BQ231" s="18" t="str">
        <f t="shared" si="159"/>
        <v/>
      </c>
      <c r="BR231" s="18" t="str">
        <f>IF(BW231&lt;&gt;1,"",BM231*CONTROL_PANEL!$B$14)</f>
        <v/>
      </c>
      <c r="BS231" s="18" t="str">
        <f>IF(BW231&lt;&gt;1,"",DATA_INPUT!$N231)</f>
        <v/>
      </c>
      <c r="BT231" s="18" t="str">
        <f t="shared" si="160"/>
        <v/>
      </c>
      <c r="BU231" s="18" t="str">
        <f>IF(BW231&lt;&gt;1,"",IF(BT231-CONTROL_PANEL!$B$11&lt;0,0,BT231-CONTROL_PANEL!$B$11))</f>
        <v/>
      </c>
      <c r="BV231" s="18" t="str">
        <f>IF(BW231&lt;&gt;1,"",IF(BS231&lt;=0,0,MIN(BS231,MAX(0,CONTROL_PANEL!$B$13-BT231))))</f>
        <v/>
      </c>
      <c r="BW231" s="18"/>
      <c r="BY231" s="19">
        <f t="shared" si="179"/>
        <v>2034</v>
      </c>
      <c r="BZ231" s="19">
        <f t="shared" si="144"/>
        <v>8</v>
      </c>
      <c r="CA231" s="18" t="str">
        <f t="shared" si="161"/>
        <v/>
      </c>
      <c r="CB231" s="18" t="str">
        <f t="shared" si="174"/>
        <v/>
      </c>
      <c r="CC231" s="18" t="str">
        <f>IF(CP230&lt;&gt;1,"",IF(CM230&gt;0,IF(CM230&gt;CONTROL_PANEL!$B$11,CONTROL_PANEL!$B$11,CM230),0))</f>
        <v/>
      </c>
      <c r="CD231" s="18" t="str">
        <f t="shared" si="169"/>
        <v/>
      </c>
      <c r="CE231" s="18" t="str">
        <f>IF(CP231&lt;&gt;1,"",DATA_INPUT!$I231)</f>
        <v/>
      </c>
      <c r="CF231" s="18" t="str">
        <f>IF(CP231&lt;&gt;1,"",CE231*CONTROL_PANEL!$B$5)</f>
        <v/>
      </c>
      <c r="CG231" s="18" t="str">
        <f>IF(CP231&lt;&gt;1,"",DATA_INPUT!$C231)</f>
        <v/>
      </c>
      <c r="CH231" s="18" t="str">
        <f t="shared" si="162"/>
        <v/>
      </c>
      <c r="CI231" s="18" t="str">
        <f>IF(CP231&lt;&gt;1,"",DATA_INPUT!$H231)</f>
        <v/>
      </c>
      <c r="CJ231" s="18" t="str">
        <f t="shared" si="163"/>
        <v/>
      </c>
      <c r="CK231" s="18" t="str">
        <f>IF(CP231&lt;&gt;1,"",CF231*CONTROL_PANEL!$B$14)</f>
        <v/>
      </c>
      <c r="CL231" s="18" t="str">
        <f>IF(CP231&lt;&gt;1,"",DATA_INPUT!$O231)</f>
        <v/>
      </c>
      <c r="CM231" s="18" t="str">
        <f t="shared" si="164"/>
        <v/>
      </c>
      <c r="CN231" s="18" t="str">
        <f>IF(CP231&lt;&gt;1,"",IF(CM231-CONTROL_PANEL!$B$11&lt;0,0,CM231-CONTROL_PANEL!$B$11))</f>
        <v/>
      </c>
      <c r="CO231" s="18" t="str">
        <f>IF(CP231&lt;&gt;1,"",IF(CL231&lt;=0,0,MIN(CL231,MAX(0,CONTROL_PANEL!$B$13-CM231))))</f>
        <v/>
      </c>
      <c r="CP231" s="18"/>
    </row>
    <row r="232" spans="1:94" x14ac:dyDescent="0.25">
      <c r="A232" s="19">
        <f t="shared" si="175"/>
        <v>2034</v>
      </c>
      <c r="B232" s="19">
        <f t="shared" si="140"/>
        <v>9</v>
      </c>
      <c r="C232" s="18" t="str">
        <f t="shared" si="145"/>
        <v/>
      </c>
      <c r="D232" s="18" t="str">
        <f t="shared" si="170"/>
        <v/>
      </c>
      <c r="E232" s="18" t="str">
        <f>IF(R231&lt;&gt;1,"",IF(O231&gt;0,IF(O231&gt;CONTROL_PANEL!$B$11,CONTROL_PANEL!$B$11,O231),0))</f>
        <v/>
      </c>
      <c r="F232" s="18" t="str">
        <f t="shared" si="165"/>
        <v/>
      </c>
      <c r="G232" s="18" t="str">
        <f>IF(R232&lt;&gt;1,"",DATA_INPUT!I232)</f>
        <v/>
      </c>
      <c r="H232" s="18" t="str">
        <f>IF(R232&lt;&gt;1,"",G232*CONTROL_PANEL!$B$5)</f>
        <v/>
      </c>
      <c r="I232" s="18" t="str">
        <f>IF(R232&lt;&gt;1,"",DATA_INPUT!C232)</f>
        <v/>
      </c>
      <c r="J232" s="18" t="str">
        <f t="shared" si="146"/>
        <v/>
      </c>
      <c r="K232" s="18" t="str">
        <f>IF(R232&lt;&gt;1,"",DATA_INPUT!H232)</f>
        <v/>
      </c>
      <c r="L232" s="18" t="str">
        <f t="shared" si="147"/>
        <v/>
      </c>
      <c r="M232" s="18" t="str">
        <f>IF(R232&lt;&gt;1,"",H232*CONTROL_PANEL!$B$14)</f>
        <v/>
      </c>
      <c r="N232" s="18" t="str">
        <f>IF(R232&lt;&gt;1,"",DATA_INPUT!K232)</f>
        <v/>
      </c>
      <c r="O232" s="18" t="str">
        <f t="shared" si="148"/>
        <v/>
      </c>
      <c r="P232" s="18" t="str">
        <f>IF(R232&lt;&gt;1,"",IF(O232-CONTROL_PANEL!$B$11&lt;0,0,O232-CONTROL_PANEL!$B$11))</f>
        <v/>
      </c>
      <c r="Q232" s="18" t="str">
        <f>IF(R232&lt;&gt;1,"",IF(N232&lt;=0,0,MIN(N232,MAX(0,CONTROL_PANEL!$B$13-O232))))</f>
        <v/>
      </c>
      <c r="R232" s="18"/>
      <c r="T232" s="19">
        <f t="shared" si="176"/>
        <v>2034</v>
      </c>
      <c r="U232" s="19">
        <f t="shared" si="141"/>
        <v>9</v>
      </c>
      <c r="V232" s="18" t="str">
        <f t="shared" si="149"/>
        <v/>
      </c>
      <c r="W232" s="18" t="str">
        <f t="shared" si="171"/>
        <v/>
      </c>
      <c r="X232" s="18" t="str">
        <f>IF(AK231&lt;&gt;1,"",IF(AH231&gt;0,IF(AH231&gt;CONTROL_PANEL!$B$11,CONTROL_PANEL!$B$11,AH231),0))</f>
        <v/>
      </c>
      <c r="Y232" s="18" t="str">
        <f t="shared" si="166"/>
        <v/>
      </c>
      <c r="Z232" s="18" t="str">
        <f>IF(AK232&lt;&gt;1,"",DATA_INPUT!I232)</f>
        <v/>
      </c>
      <c r="AA232" s="18" t="str">
        <f>IF(AK232&lt;&gt;1,"",Z232*CONTROL_PANEL!$B$5)</f>
        <v/>
      </c>
      <c r="AB232" s="18" t="str">
        <f>IF(AK232&lt;&gt;1,"",DATA_INPUT!$C232)</f>
        <v/>
      </c>
      <c r="AC232" s="18" t="str">
        <f t="shared" si="150"/>
        <v/>
      </c>
      <c r="AD232" s="18" t="str">
        <f>IF(AK232&lt;&gt;1,"",DATA_INPUT!$H232)</f>
        <v/>
      </c>
      <c r="AE232" s="18" t="str">
        <f t="shared" si="151"/>
        <v/>
      </c>
      <c r="AF232" s="18" t="str">
        <f>IF(AK232&lt;&gt;1,"",AA232*CONTROL_PANEL!$B$14)</f>
        <v/>
      </c>
      <c r="AG232" s="18" t="str">
        <f>IF(AK232&lt;&gt;1,"",DATA_INPUT!$L232)</f>
        <v/>
      </c>
      <c r="AH232" s="18" t="str">
        <f t="shared" si="152"/>
        <v/>
      </c>
      <c r="AI232" s="18" t="str">
        <f>IF(AK232&lt;&gt;1,"",IF(AH232-CONTROL_PANEL!$B$11&lt;0,0,AH232-CONTROL_PANEL!$B$11))</f>
        <v/>
      </c>
      <c r="AJ232" s="18" t="str">
        <f>IF(AK232&lt;&gt;1,"",IF(AG232&lt;=0,0,MIN(AG232,MAX(0,CONTROL_PANEL!$B$13-AH232))))</f>
        <v/>
      </c>
      <c r="AK232" s="18"/>
      <c r="AM232" s="19">
        <f t="shared" si="177"/>
        <v>2034</v>
      </c>
      <c r="AN232" s="19">
        <f t="shared" si="142"/>
        <v>9</v>
      </c>
      <c r="AO232" s="18" t="str">
        <f t="shared" si="153"/>
        <v/>
      </c>
      <c r="AP232" s="18" t="str">
        <f t="shared" si="172"/>
        <v/>
      </c>
      <c r="AQ232" s="18" t="str">
        <f>IF(BD231&lt;&gt;1,"",IF(BA231&gt;0,IF(BA231&gt;CONTROL_PANEL!$B$11,CONTROL_PANEL!$B$11,BA231),0))</f>
        <v/>
      </c>
      <c r="AR232" s="18" t="str">
        <f t="shared" si="167"/>
        <v/>
      </c>
      <c r="AS232" s="18" t="str">
        <f>IF(BD232&lt;&gt;1,"",DATA_INPUT!$I232)</f>
        <v/>
      </c>
      <c r="AT232" s="18" t="str">
        <f>IF(BD232&lt;&gt;1,"",AS232*CONTROL_PANEL!$B$5)</f>
        <v/>
      </c>
      <c r="AU232" s="18" t="str">
        <f>IF(BD232&lt;&gt;1,"",DATA_INPUT!$C232)</f>
        <v/>
      </c>
      <c r="AV232" s="18" t="str">
        <f t="shared" si="154"/>
        <v/>
      </c>
      <c r="AW232" s="18" t="str">
        <f>IF(BD232&lt;&gt;1,"",DATA_INPUT!$H232)</f>
        <v/>
      </c>
      <c r="AX232" s="18" t="str">
        <f t="shared" si="155"/>
        <v/>
      </c>
      <c r="AY232" s="18" t="str">
        <f>IF(BD232&lt;&gt;1,"",AT232*CONTROL_PANEL!$B$14)</f>
        <v/>
      </c>
      <c r="AZ232" s="18" t="str">
        <f>IF(BD232&lt;&gt;1,"",DATA_INPUT!$M232)</f>
        <v/>
      </c>
      <c r="BA232" s="18" t="str">
        <f t="shared" si="156"/>
        <v/>
      </c>
      <c r="BB232" s="18" t="str">
        <f>IF(BD232&lt;&gt;1,"",IF(BA232-CONTROL_PANEL!$B$11&lt;0,0,BA232-CONTROL_PANEL!$B$11))</f>
        <v/>
      </c>
      <c r="BC232" s="18" t="str">
        <f>IF(BD232&lt;&gt;1,"",IF(AZ232&lt;=0,0,MIN(AZ232,MAX(0,CONTROL_PANEL!$B$13-BA232))))</f>
        <v/>
      </c>
      <c r="BD232" s="18"/>
      <c r="BF232" s="19">
        <f t="shared" si="178"/>
        <v>2034</v>
      </c>
      <c r="BG232" s="19">
        <f t="shared" si="143"/>
        <v>9</v>
      </c>
      <c r="BH232" s="18" t="str">
        <f t="shared" si="157"/>
        <v/>
      </c>
      <c r="BI232" s="18" t="str">
        <f t="shared" si="173"/>
        <v/>
      </c>
      <c r="BJ232" s="18" t="str">
        <f>IF(BW231&lt;&gt;1,"",IF(BT231&gt;0,IF(BT231&gt;CONTROL_PANEL!$B$11,CONTROL_PANEL!$B$11,BT231),0))</f>
        <v/>
      </c>
      <c r="BK232" s="18" t="str">
        <f t="shared" si="168"/>
        <v/>
      </c>
      <c r="BL232" s="18" t="str">
        <f>IF(BW232&lt;&gt;1,"",DATA_INPUT!$I232)</f>
        <v/>
      </c>
      <c r="BM232" s="18" t="str">
        <f>IF(BW232&lt;&gt;1,"",BL232*CONTROL_PANEL!$B$5)</f>
        <v/>
      </c>
      <c r="BN232" s="18" t="str">
        <f>IF(BW232&lt;&gt;1,"",DATA_INPUT!$C232)</f>
        <v/>
      </c>
      <c r="BO232" s="18" t="str">
        <f t="shared" si="158"/>
        <v/>
      </c>
      <c r="BP232" s="18" t="str">
        <f>IF(BW232&lt;&gt;1,"",DATA_INPUT!$H232)</f>
        <v/>
      </c>
      <c r="BQ232" s="18" t="str">
        <f t="shared" si="159"/>
        <v/>
      </c>
      <c r="BR232" s="18" t="str">
        <f>IF(BW232&lt;&gt;1,"",BM232*CONTROL_PANEL!$B$14)</f>
        <v/>
      </c>
      <c r="BS232" s="18" t="str">
        <f>IF(BW232&lt;&gt;1,"",DATA_INPUT!$N232)</f>
        <v/>
      </c>
      <c r="BT232" s="18" t="str">
        <f t="shared" si="160"/>
        <v/>
      </c>
      <c r="BU232" s="18" t="str">
        <f>IF(BW232&lt;&gt;1,"",IF(BT232-CONTROL_PANEL!$B$11&lt;0,0,BT232-CONTROL_PANEL!$B$11))</f>
        <v/>
      </c>
      <c r="BV232" s="18" t="str">
        <f>IF(BW232&lt;&gt;1,"",IF(BS232&lt;=0,0,MIN(BS232,MAX(0,CONTROL_PANEL!$B$13-BT232))))</f>
        <v/>
      </c>
      <c r="BW232" s="18"/>
      <c r="BY232" s="19">
        <f t="shared" si="179"/>
        <v>2034</v>
      </c>
      <c r="BZ232" s="19">
        <f t="shared" si="144"/>
        <v>9</v>
      </c>
      <c r="CA232" s="18" t="str">
        <f t="shared" si="161"/>
        <v/>
      </c>
      <c r="CB232" s="18" t="str">
        <f t="shared" si="174"/>
        <v/>
      </c>
      <c r="CC232" s="18" t="str">
        <f>IF(CP231&lt;&gt;1,"",IF(CM231&gt;0,IF(CM231&gt;CONTROL_PANEL!$B$11,CONTROL_PANEL!$B$11,CM231),0))</f>
        <v/>
      </c>
      <c r="CD232" s="18" t="str">
        <f t="shared" si="169"/>
        <v/>
      </c>
      <c r="CE232" s="18" t="str">
        <f>IF(CP232&lt;&gt;1,"",DATA_INPUT!$I232)</f>
        <v/>
      </c>
      <c r="CF232" s="18" t="str">
        <f>IF(CP232&lt;&gt;1,"",CE232*CONTROL_PANEL!$B$5)</f>
        <v/>
      </c>
      <c r="CG232" s="18" t="str">
        <f>IF(CP232&lt;&gt;1,"",DATA_INPUT!$C232)</f>
        <v/>
      </c>
      <c r="CH232" s="18" t="str">
        <f t="shared" si="162"/>
        <v/>
      </c>
      <c r="CI232" s="18" t="str">
        <f>IF(CP232&lt;&gt;1,"",DATA_INPUT!$H232)</f>
        <v/>
      </c>
      <c r="CJ232" s="18" t="str">
        <f t="shared" si="163"/>
        <v/>
      </c>
      <c r="CK232" s="18" t="str">
        <f>IF(CP232&lt;&gt;1,"",CF232*CONTROL_PANEL!$B$14)</f>
        <v/>
      </c>
      <c r="CL232" s="18" t="str">
        <f>IF(CP232&lt;&gt;1,"",DATA_INPUT!$O232)</f>
        <v/>
      </c>
      <c r="CM232" s="18" t="str">
        <f t="shared" si="164"/>
        <v/>
      </c>
      <c r="CN232" s="18" t="str">
        <f>IF(CP232&lt;&gt;1,"",IF(CM232-CONTROL_PANEL!$B$11&lt;0,0,CM232-CONTROL_PANEL!$B$11))</f>
        <v/>
      </c>
      <c r="CO232" s="18" t="str">
        <f>IF(CP232&lt;&gt;1,"",IF(CL232&lt;=0,0,MIN(CL232,MAX(0,CONTROL_PANEL!$B$13-CM232))))</f>
        <v/>
      </c>
      <c r="CP232" s="18"/>
    </row>
    <row r="233" spans="1:94" x14ac:dyDescent="0.25">
      <c r="A233" s="19">
        <f t="shared" si="175"/>
        <v>2034</v>
      </c>
      <c r="B233" s="19">
        <f t="shared" si="140"/>
        <v>10</v>
      </c>
      <c r="C233" s="18" t="str">
        <f t="shared" si="145"/>
        <v/>
      </c>
      <c r="D233" s="18" t="str">
        <f t="shared" si="170"/>
        <v/>
      </c>
      <c r="E233" s="18" t="str">
        <f>IF(R232&lt;&gt;1,"",IF(O232&gt;0,IF(O232&gt;CONTROL_PANEL!$B$11,CONTROL_PANEL!$B$11,O232),0))</f>
        <v/>
      </c>
      <c r="F233" s="18" t="str">
        <f t="shared" si="165"/>
        <v/>
      </c>
      <c r="G233" s="18" t="str">
        <f>IF(R233&lt;&gt;1,"",DATA_INPUT!I233)</f>
        <v/>
      </c>
      <c r="H233" s="18" t="str">
        <f>IF(R233&lt;&gt;1,"",G233*CONTROL_PANEL!$B$5)</f>
        <v/>
      </c>
      <c r="I233" s="18" t="str">
        <f>IF(R233&lt;&gt;1,"",DATA_INPUT!C233)</f>
        <v/>
      </c>
      <c r="J233" s="18" t="str">
        <f t="shared" si="146"/>
        <v/>
      </c>
      <c r="K233" s="18" t="str">
        <f>IF(R233&lt;&gt;1,"",DATA_INPUT!H233)</f>
        <v/>
      </c>
      <c r="L233" s="18" t="str">
        <f t="shared" si="147"/>
        <v/>
      </c>
      <c r="M233" s="18" t="str">
        <f>IF(R233&lt;&gt;1,"",H233*CONTROL_PANEL!$B$14)</f>
        <v/>
      </c>
      <c r="N233" s="18" t="str">
        <f>IF(R233&lt;&gt;1,"",DATA_INPUT!K233)</f>
        <v/>
      </c>
      <c r="O233" s="18" t="str">
        <f t="shared" si="148"/>
        <v/>
      </c>
      <c r="P233" s="18" t="str">
        <f>IF(R233&lt;&gt;1,"",IF(O233-CONTROL_PANEL!$B$11&lt;0,0,O233-CONTROL_PANEL!$B$11))</f>
        <v/>
      </c>
      <c r="Q233" s="18" t="str">
        <f>IF(R233&lt;&gt;1,"",IF(N233&lt;=0,0,MIN(N233,MAX(0,CONTROL_PANEL!$B$13-O233))))</f>
        <v/>
      </c>
      <c r="R233" s="18"/>
      <c r="T233" s="19">
        <f t="shared" si="176"/>
        <v>2034</v>
      </c>
      <c r="U233" s="19">
        <f t="shared" si="141"/>
        <v>10</v>
      </c>
      <c r="V233" s="18" t="str">
        <f t="shared" si="149"/>
        <v/>
      </c>
      <c r="W233" s="18" t="str">
        <f t="shared" si="171"/>
        <v/>
      </c>
      <c r="X233" s="18" t="str">
        <f>IF(AK232&lt;&gt;1,"",IF(AH232&gt;0,IF(AH232&gt;CONTROL_PANEL!$B$11,CONTROL_PANEL!$B$11,AH232),0))</f>
        <v/>
      </c>
      <c r="Y233" s="18" t="str">
        <f t="shared" si="166"/>
        <v/>
      </c>
      <c r="Z233" s="18" t="str">
        <f>IF(AK233&lt;&gt;1,"",DATA_INPUT!I233)</f>
        <v/>
      </c>
      <c r="AA233" s="18" t="str">
        <f>IF(AK233&lt;&gt;1,"",Z233*CONTROL_PANEL!$B$5)</f>
        <v/>
      </c>
      <c r="AB233" s="18" t="str">
        <f>IF(AK233&lt;&gt;1,"",DATA_INPUT!$C233)</f>
        <v/>
      </c>
      <c r="AC233" s="18" t="str">
        <f t="shared" si="150"/>
        <v/>
      </c>
      <c r="AD233" s="18" t="str">
        <f>IF(AK233&lt;&gt;1,"",DATA_INPUT!$H233)</f>
        <v/>
      </c>
      <c r="AE233" s="18" t="str">
        <f t="shared" si="151"/>
        <v/>
      </c>
      <c r="AF233" s="18" t="str">
        <f>IF(AK233&lt;&gt;1,"",AA233*CONTROL_PANEL!$B$14)</f>
        <v/>
      </c>
      <c r="AG233" s="18" t="str">
        <f>IF(AK233&lt;&gt;1,"",DATA_INPUT!$L233)</f>
        <v/>
      </c>
      <c r="AH233" s="18" t="str">
        <f t="shared" si="152"/>
        <v/>
      </c>
      <c r="AI233" s="18" t="str">
        <f>IF(AK233&lt;&gt;1,"",IF(AH233-CONTROL_PANEL!$B$11&lt;0,0,AH233-CONTROL_PANEL!$B$11))</f>
        <v/>
      </c>
      <c r="AJ233" s="18" t="str">
        <f>IF(AK233&lt;&gt;1,"",IF(AG233&lt;=0,0,MIN(AG233,MAX(0,CONTROL_PANEL!$B$13-AH233))))</f>
        <v/>
      </c>
      <c r="AK233" s="18"/>
      <c r="AM233" s="19">
        <f t="shared" si="177"/>
        <v>2034</v>
      </c>
      <c r="AN233" s="19">
        <f t="shared" si="142"/>
        <v>10</v>
      </c>
      <c r="AO233" s="18" t="str">
        <f t="shared" si="153"/>
        <v/>
      </c>
      <c r="AP233" s="18" t="str">
        <f t="shared" si="172"/>
        <v/>
      </c>
      <c r="AQ233" s="18" t="str">
        <f>IF(BD232&lt;&gt;1,"",IF(BA232&gt;0,IF(BA232&gt;CONTROL_PANEL!$B$11,CONTROL_PANEL!$B$11,BA232),0))</f>
        <v/>
      </c>
      <c r="AR233" s="18" t="str">
        <f t="shared" si="167"/>
        <v/>
      </c>
      <c r="AS233" s="18" t="str">
        <f>IF(BD233&lt;&gt;1,"",DATA_INPUT!$I233)</f>
        <v/>
      </c>
      <c r="AT233" s="18" t="str">
        <f>IF(BD233&lt;&gt;1,"",AS233*CONTROL_PANEL!$B$5)</f>
        <v/>
      </c>
      <c r="AU233" s="18" t="str">
        <f>IF(BD233&lt;&gt;1,"",DATA_INPUT!$C233)</f>
        <v/>
      </c>
      <c r="AV233" s="18" t="str">
        <f t="shared" si="154"/>
        <v/>
      </c>
      <c r="AW233" s="18" t="str">
        <f>IF(BD233&lt;&gt;1,"",DATA_INPUT!$H233)</f>
        <v/>
      </c>
      <c r="AX233" s="18" t="str">
        <f t="shared" si="155"/>
        <v/>
      </c>
      <c r="AY233" s="18" t="str">
        <f>IF(BD233&lt;&gt;1,"",AT233*CONTROL_PANEL!$B$14)</f>
        <v/>
      </c>
      <c r="AZ233" s="18" t="str">
        <f>IF(BD233&lt;&gt;1,"",DATA_INPUT!$M233)</f>
        <v/>
      </c>
      <c r="BA233" s="18" t="str">
        <f t="shared" si="156"/>
        <v/>
      </c>
      <c r="BB233" s="18" t="str">
        <f>IF(BD233&lt;&gt;1,"",IF(BA233-CONTROL_PANEL!$B$11&lt;0,0,BA233-CONTROL_PANEL!$B$11))</f>
        <v/>
      </c>
      <c r="BC233" s="18" t="str">
        <f>IF(BD233&lt;&gt;1,"",IF(AZ233&lt;=0,0,MIN(AZ233,MAX(0,CONTROL_PANEL!$B$13-BA233))))</f>
        <v/>
      </c>
      <c r="BD233" s="18"/>
      <c r="BF233" s="19">
        <f t="shared" si="178"/>
        <v>2034</v>
      </c>
      <c r="BG233" s="19">
        <f t="shared" si="143"/>
        <v>10</v>
      </c>
      <c r="BH233" s="18" t="str">
        <f t="shared" si="157"/>
        <v/>
      </c>
      <c r="BI233" s="18" t="str">
        <f t="shared" si="173"/>
        <v/>
      </c>
      <c r="BJ233" s="18" t="str">
        <f>IF(BW232&lt;&gt;1,"",IF(BT232&gt;0,IF(BT232&gt;CONTROL_PANEL!$B$11,CONTROL_PANEL!$B$11,BT232),0))</f>
        <v/>
      </c>
      <c r="BK233" s="18" t="str">
        <f t="shared" si="168"/>
        <v/>
      </c>
      <c r="BL233" s="18" t="str">
        <f>IF(BW233&lt;&gt;1,"",DATA_INPUT!$I233)</f>
        <v/>
      </c>
      <c r="BM233" s="18" t="str">
        <f>IF(BW233&lt;&gt;1,"",BL233*CONTROL_PANEL!$B$5)</f>
        <v/>
      </c>
      <c r="BN233" s="18" t="str">
        <f>IF(BW233&lt;&gt;1,"",DATA_INPUT!$C233)</f>
        <v/>
      </c>
      <c r="BO233" s="18" t="str">
        <f t="shared" si="158"/>
        <v/>
      </c>
      <c r="BP233" s="18" t="str">
        <f>IF(BW233&lt;&gt;1,"",DATA_INPUT!$H233)</f>
        <v/>
      </c>
      <c r="BQ233" s="18" t="str">
        <f t="shared" si="159"/>
        <v/>
      </c>
      <c r="BR233" s="18" t="str">
        <f>IF(BW233&lt;&gt;1,"",BM233*CONTROL_PANEL!$B$14)</f>
        <v/>
      </c>
      <c r="BS233" s="18" t="str">
        <f>IF(BW233&lt;&gt;1,"",DATA_INPUT!$N233)</f>
        <v/>
      </c>
      <c r="BT233" s="18" t="str">
        <f t="shared" si="160"/>
        <v/>
      </c>
      <c r="BU233" s="18" t="str">
        <f>IF(BW233&lt;&gt;1,"",IF(BT233-CONTROL_PANEL!$B$11&lt;0,0,BT233-CONTROL_PANEL!$B$11))</f>
        <v/>
      </c>
      <c r="BV233" s="18" t="str">
        <f>IF(BW233&lt;&gt;1,"",IF(BS233&lt;=0,0,MIN(BS233,MAX(0,CONTROL_PANEL!$B$13-BT233))))</f>
        <v/>
      </c>
      <c r="BW233" s="18"/>
      <c r="BY233" s="19">
        <f t="shared" si="179"/>
        <v>2034</v>
      </c>
      <c r="BZ233" s="19">
        <f t="shared" si="144"/>
        <v>10</v>
      </c>
      <c r="CA233" s="18" t="str">
        <f t="shared" si="161"/>
        <v/>
      </c>
      <c r="CB233" s="18" t="str">
        <f t="shared" si="174"/>
        <v/>
      </c>
      <c r="CC233" s="18" t="str">
        <f>IF(CP232&lt;&gt;1,"",IF(CM232&gt;0,IF(CM232&gt;CONTROL_PANEL!$B$11,CONTROL_PANEL!$B$11,CM232),0))</f>
        <v/>
      </c>
      <c r="CD233" s="18" t="str">
        <f t="shared" si="169"/>
        <v/>
      </c>
      <c r="CE233" s="18" t="str">
        <f>IF(CP233&lt;&gt;1,"",DATA_INPUT!$I233)</f>
        <v/>
      </c>
      <c r="CF233" s="18" t="str">
        <f>IF(CP233&lt;&gt;1,"",CE233*CONTROL_PANEL!$B$5)</f>
        <v/>
      </c>
      <c r="CG233" s="18" t="str">
        <f>IF(CP233&lt;&gt;1,"",DATA_INPUT!$C233)</f>
        <v/>
      </c>
      <c r="CH233" s="18" t="str">
        <f t="shared" si="162"/>
        <v/>
      </c>
      <c r="CI233" s="18" t="str">
        <f>IF(CP233&lt;&gt;1,"",DATA_INPUT!$H233)</f>
        <v/>
      </c>
      <c r="CJ233" s="18" t="str">
        <f t="shared" si="163"/>
        <v/>
      </c>
      <c r="CK233" s="18" t="str">
        <f>IF(CP233&lt;&gt;1,"",CF233*CONTROL_PANEL!$B$14)</f>
        <v/>
      </c>
      <c r="CL233" s="18" t="str">
        <f>IF(CP233&lt;&gt;1,"",DATA_INPUT!$O233)</f>
        <v/>
      </c>
      <c r="CM233" s="18" t="str">
        <f t="shared" si="164"/>
        <v/>
      </c>
      <c r="CN233" s="18" t="str">
        <f>IF(CP233&lt;&gt;1,"",IF(CM233-CONTROL_PANEL!$B$11&lt;0,0,CM233-CONTROL_PANEL!$B$11))</f>
        <v/>
      </c>
      <c r="CO233" s="18" t="str">
        <f>IF(CP233&lt;&gt;1,"",IF(CL233&lt;=0,0,MIN(CL233,MAX(0,CONTROL_PANEL!$B$13-CM233))))</f>
        <v/>
      </c>
      <c r="CP233" s="18"/>
    </row>
    <row r="234" spans="1:94" x14ac:dyDescent="0.25">
      <c r="A234" s="19">
        <f t="shared" si="175"/>
        <v>2034</v>
      </c>
      <c r="B234" s="19">
        <f t="shared" si="140"/>
        <v>11</v>
      </c>
      <c r="C234" s="18" t="str">
        <f t="shared" si="145"/>
        <v/>
      </c>
      <c r="D234" s="18" t="str">
        <f t="shared" si="170"/>
        <v/>
      </c>
      <c r="E234" s="18" t="str">
        <f>IF(R233&lt;&gt;1,"",IF(O233&gt;0,IF(O233&gt;CONTROL_PANEL!$B$11,CONTROL_PANEL!$B$11,O233),0))</f>
        <v/>
      </c>
      <c r="F234" s="18" t="str">
        <f t="shared" si="165"/>
        <v/>
      </c>
      <c r="G234" s="18" t="str">
        <f>IF(R234&lt;&gt;1,"",DATA_INPUT!I234)</f>
        <v/>
      </c>
      <c r="H234" s="18" t="str">
        <f>IF(R234&lt;&gt;1,"",G234*CONTROL_PANEL!$B$5)</f>
        <v/>
      </c>
      <c r="I234" s="18" t="str">
        <f>IF(R234&lt;&gt;1,"",DATA_INPUT!C234)</f>
        <v/>
      </c>
      <c r="J234" s="18" t="str">
        <f t="shared" si="146"/>
        <v/>
      </c>
      <c r="K234" s="18" t="str">
        <f>IF(R234&lt;&gt;1,"",DATA_INPUT!H234)</f>
        <v/>
      </c>
      <c r="L234" s="18" t="str">
        <f t="shared" si="147"/>
        <v/>
      </c>
      <c r="M234" s="18" t="str">
        <f>IF(R234&lt;&gt;1,"",H234*CONTROL_PANEL!$B$14)</f>
        <v/>
      </c>
      <c r="N234" s="18" t="str">
        <f>IF(R234&lt;&gt;1,"",DATA_INPUT!K234)</f>
        <v/>
      </c>
      <c r="O234" s="18" t="str">
        <f t="shared" si="148"/>
        <v/>
      </c>
      <c r="P234" s="18" t="str">
        <f>IF(R234&lt;&gt;1,"",IF(O234-CONTROL_PANEL!$B$11&lt;0,0,O234-CONTROL_PANEL!$B$11))</f>
        <v/>
      </c>
      <c r="Q234" s="18" t="str">
        <f>IF(R234&lt;&gt;1,"",IF(N234&lt;=0,0,MIN(N234,MAX(0,CONTROL_PANEL!$B$13-O234))))</f>
        <v/>
      </c>
      <c r="R234" s="18"/>
      <c r="T234" s="19">
        <f t="shared" si="176"/>
        <v>2034</v>
      </c>
      <c r="U234" s="19">
        <f t="shared" si="141"/>
        <v>11</v>
      </c>
      <c r="V234" s="18" t="str">
        <f t="shared" si="149"/>
        <v/>
      </c>
      <c r="W234" s="18" t="str">
        <f t="shared" si="171"/>
        <v/>
      </c>
      <c r="X234" s="18" t="str">
        <f>IF(AK233&lt;&gt;1,"",IF(AH233&gt;0,IF(AH233&gt;CONTROL_PANEL!$B$11,CONTROL_PANEL!$B$11,AH233),0))</f>
        <v/>
      </c>
      <c r="Y234" s="18" t="str">
        <f t="shared" si="166"/>
        <v/>
      </c>
      <c r="Z234" s="18" t="str">
        <f>IF(AK234&lt;&gt;1,"",DATA_INPUT!I234)</f>
        <v/>
      </c>
      <c r="AA234" s="18" t="str">
        <f>IF(AK234&lt;&gt;1,"",Z234*CONTROL_PANEL!$B$5)</f>
        <v/>
      </c>
      <c r="AB234" s="18" t="str">
        <f>IF(AK234&lt;&gt;1,"",DATA_INPUT!$C234)</f>
        <v/>
      </c>
      <c r="AC234" s="18" t="str">
        <f t="shared" si="150"/>
        <v/>
      </c>
      <c r="AD234" s="18" t="str">
        <f>IF(AK234&lt;&gt;1,"",DATA_INPUT!$H234)</f>
        <v/>
      </c>
      <c r="AE234" s="18" t="str">
        <f t="shared" si="151"/>
        <v/>
      </c>
      <c r="AF234" s="18" t="str">
        <f>IF(AK234&lt;&gt;1,"",AA234*CONTROL_PANEL!$B$14)</f>
        <v/>
      </c>
      <c r="AG234" s="18" t="str">
        <f>IF(AK234&lt;&gt;1,"",DATA_INPUT!$L234)</f>
        <v/>
      </c>
      <c r="AH234" s="18" t="str">
        <f t="shared" si="152"/>
        <v/>
      </c>
      <c r="AI234" s="18" t="str">
        <f>IF(AK234&lt;&gt;1,"",IF(AH234-CONTROL_PANEL!$B$11&lt;0,0,AH234-CONTROL_PANEL!$B$11))</f>
        <v/>
      </c>
      <c r="AJ234" s="18" t="str">
        <f>IF(AK234&lt;&gt;1,"",IF(AG234&lt;=0,0,MIN(AG234,MAX(0,CONTROL_PANEL!$B$13-AH234))))</f>
        <v/>
      </c>
      <c r="AK234" s="18"/>
      <c r="AM234" s="19">
        <f t="shared" si="177"/>
        <v>2034</v>
      </c>
      <c r="AN234" s="19">
        <f t="shared" si="142"/>
        <v>11</v>
      </c>
      <c r="AO234" s="18" t="str">
        <f t="shared" si="153"/>
        <v/>
      </c>
      <c r="AP234" s="18" t="str">
        <f t="shared" si="172"/>
        <v/>
      </c>
      <c r="AQ234" s="18" t="str">
        <f>IF(BD233&lt;&gt;1,"",IF(BA233&gt;0,IF(BA233&gt;CONTROL_PANEL!$B$11,CONTROL_PANEL!$B$11,BA233),0))</f>
        <v/>
      </c>
      <c r="AR234" s="18" t="str">
        <f t="shared" si="167"/>
        <v/>
      </c>
      <c r="AS234" s="18" t="str">
        <f>IF(BD234&lt;&gt;1,"",DATA_INPUT!$I234)</f>
        <v/>
      </c>
      <c r="AT234" s="18" t="str">
        <f>IF(BD234&lt;&gt;1,"",AS234*CONTROL_PANEL!$B$5)</f>
        <v/>
      </c>
      <c r="AU234" s="18" t="str">
        <f>IF(BD234&lt;&gt;1,"",DATA_INPUT!$C234)</f>
        <v/>
      </c>
      <c r="AV234" s="18" t="str">
        <f t="shared" si="154"/>
        <v/>
      </c>
      <c r="AW234" s="18" t="str">
        <f>IF(BD234&lt;&gt;1,"",DATA_INPUT!$H234)</f>
        <v/>
      </c>
      <c r="AX234" s="18" t="str">
        <f t="shared" si="155"/>
        <v/>
      </c>
      <c r="AY234" s="18" t="str">
        <f>IF(BD234&lt;&gt;1,"",AT234*CONTROL_PANEL!$B$14)</f>
        <v/>
      </c>
      <c r="AZ234" s="18" t="str">
        <f>IF(BD234&lt;&gt;1,"",DATA_INPUT!$M234)</f>
        <v/>
      </c>
      <c r="BA234" s="18" t="str">
        <f t="shared" si="156"/>
        <v/>
      </c>
      <c r="BB234" s="18" t="str">
        <f>IF(BD234&lt;&gt;1,"",IF(BA234-CONTROL_PANEL!$B$11&lt;0,0,BA234-CONTROL_PANEL!$B$11))</f>
        <v/>
      </c>
      <c r="BC234" s="18" t="str">
        <f>IF(BD234&lt;&gt;1,"",IF(AZ234&lt;=0,0,MIN(AZ234,MAX(0,CONTROL_PANEL!$B$13-BA234))))</f>
        <v/>
      </c>
      <c r="BD234" s="18"/>
      <c r="BF234" s="19">
        <f t="shared" si="178"/>
        <v>2034</v>
      </c>
      <c r="BG234" s="19">
        <f t="shared" si="143"/>
        <v>11</v>
      </c>
      <c r="BH234" s="18" t="str">
        <f t="shared" si="157"/>
        <v/>
      </c>
      <c r="BI234" s="18" t="str">
        <f t="shared" si="173"/>
        <v/>
      </c>
      <c r="BJ234" s="18" t="str">
        <f>IF(BW233&lt;&gt;1,"",IF(BT233&gt;0,IF(BT233&gt;CONTROL_PANEL!$B$11,CONTROL_PANEL!$B$11,BT233),0))</f>
        <v/>
      </c>
      <c r="BK234" s="18" t="str">
        <f t="shared" si="168"/>
        <v/>
      </c>
      <c r="BL234" s="18" t="str">
        <f>IF(BW234&lt;&gt;1,"",DATA_INPUT!$I234)</f>
        <v/>
      </c>
      <c r="BM234" s="18" t="str">
        <f>IF(BW234&lt;&gt;1,"",BL234*CONTROL_PANEL!$B$5)</f>
        <v/>
      </c>
      <c r="BN234" s="18" t="str">
        <f>IF(BW234&lt;&gt;1,"",DATA_INPUT!$C234)</f>
        <v/>
      </c>
      <c r="BO234" s="18" t="str">
        <f t="shared" si="158"/>
        <v/>
      </c>
      <c r="BP234" s="18" t="str">
        <f>IF(BW234&lt;&gt;1,"",DATA_INPUT!$H234)</f>
        <v/>
      </c>
      <c r="BQ234" s="18" t="str">
        <f t="shared" si="159"/>
        <v/>
      </c>
      <c r="BR234" s="18" t="str">
        <f>IF(BW234&lt;&gt;1,"",BM234*CONTROL_PANEL!$B$14)</f>
        <v/>
      </c>
      <c r="BS234" s="18" t="str">
        <f>IF(BW234&lt;&gt;1,"",DATA_INPUT!$N234)</f>
        <v/>
      </c>
      <c r="BT234" s="18" t="str">
        <f t="shared" si="160"/>
        <v/>
      </c>
      <c r="BU234" s="18" t="str">
        <f>IF(BW234&lt;&gt;1,"",IF(BT234-CONTROL_PANEL!$B$11&lt;0,0,BT234-CONTROL_PANEL!$B$11))</f>
        <v/>
      </c>
      <c r="BV234" s="18" t="str">
        <f>IF(BW234&lt;&gt;1,"",IF(BS234&lt;=0,0,MIN(BS234,MAX(0,CONTROL_PANEL!$B$13-BT234))))</f>
        <v/>
      </c>
      <c r="BW234" s="18"/>
      <c r="BY234" s="19">
        <f t="shared" si="179"/>
        <v>2034</v>
      </c>
      <c r="BZ234" s="19">
        <f t="shared" si="144"/>
        <v>11</v>
      </c>
      <c r="CA234" s="18" t="str">
        <f t="shared" si="161"/>
        <v/>
      </c>
      <c r="CB234" s="18" t="str">
        <f t="shared" si="174"/>
        <v/>
      </c>
      <c r="CC234" s="18" t="str">
        <f>IF(CP233&lt;&gt;1,"",IF(CM233&gt;0,IF(CM233&gt;CONTROL_PANEL!$B$11,CONTROL_PANEL!$B$11,CM233),0))</f>
        <v/>
      </c>
      <c r="CD234" s="18" t="str">
        <f t="shared" si="169"/>
        <v/>
      </c>
      <c r="CE234" s="18" t="str">
        <f>IF(CP234&lt;&gt;1,"",DATA_INPUT!$I234)</f>
        <v/>
      </c>
      <c r="CF234" s="18" t="str">
        <f>IF(CP234&lt;&gt;1,"",CE234*CONTROL_PANEL!$B$5)</f>
        <v/>
      </c>
      <c r="CG234" s="18" t="str">
        <f>IF(CP234&lt;&gt;1,"",DATA_INPUT!$C234)</f>
        <v/>
      </c>
      <c r="CH234" s="18" t="str">
        <f t="shared" si="162"/>
        <v/>
      </c>
      <c r="CI234" s="18" t="str">
        <f>IF(CP234&lt;&gt;1,"",DATA_INPUT!$H234)</f>
        <v/>
      </c>
      <c r="CJ234" s="18" t="str">
        <f t="shared" si="163"/>
        <v/>
      </c>
      <c r="CK234" s="18" t="str">
        <f>IF(CP234&lt;&gt;1,"",CF234*CONTROL_PANEL!$B$14)</f>
        <v/>
      </c>
      <c r="CL234" s="18" t="str">
        <f>IF(CP234&lt;&gt;1,"",DATA_INPUT!$O234)</f>
        <v/>
      </c>
      <c r="CM234" s="18" t="str">
        <f t="shared" si="164"/>
        <v/>
      </c>
      <c r="CN234" s="18" t="str">
        <f>IF(CP234&lt;&gt;1,"",IF(CM234-CONTROL_PANEL!$B$11&lt;0,0,CM234-CONTROL_PANEL!$B$11))</f>
        <v/>
      </c>
      <c r="CO234" s="18" t="str">
        <f>IF(CP234&lt;&gt;1,"",IF(CL234&lt;=0,0,MIN(CL234,MAX(0,CONTROL_PANEL!$B$13-CM234))))</f>
        <v/>
      </c>
      <c r="CP234" s="18"/>
    </row>
    <row r="235" spans="1:94" x14ac:dyDescent="0.25">
      <c r="A235" s="19">
        <f t="shared" si="175"/>
        <v>2034</v>
      </c>
      <c r="B235" s="19">
        <f t="shared" si="140"/>
        <v>12</v>
      </c>
      <c r="C235" s="18" t="str">
        <f t="shared" si="145"/>
        <v/>
      </c>
      <c r="D235" s="18" t="str">
        <f t="shared" si="170"/>
        <v/>
      </c>
      <c r="E235" s="18" t="str">
        <f>IF(R234&lt;&gt;1,"",IF(O234&gt;0,IF(O234&gt;CONTROL_PANEL!$B$11,CONTROL_PANEL!$B$11,O234),0))</f>
        <v/>
      </c>
      <c r="F235" s="18" t="str">
        <f t="shared" si="165"/>
        <v/>
      </c>
      <c r="G235" s="18" t="str">
        <f>IF(R235&lt;&gt;1,"",DATA_INPUT!I235)</f>
        <v/>
      </c>
      <c r="H235" s="18" t="str">
        <f>IF(R235&lt;&gt;1,"",G235*CONTROL_PANEL!$B$5)</f>
        <v/>
      </c>
      <c r="I235" s="18" t="str">
        <f>IF(R235&lt;&gt;1,"",DATA_INPUT!C235)</f>
        <v/>
      </c>
      <c r="J235" s="18" t="str">
        <f t="shared" si="146"/>
        <v/>
      </c>
      <c r="K235" s="18" t="str">
        <f>IF(R235&lt;&gt;1,"",DATA_INPUT!H235)</f>
        <v/>
      </c>
      <c r="L235" s="18" t="str">
        <f t="shared" si="147"/>
        <v/>
      </c>
      <c r="M235" s="18" t="str">
        <f>IF(R235&lt;&gt;1,"",H235*CONTROL_PANEL!$B$14)</f>
        <v/>
      </c>
      <c r="N235" s="18" t="str">
        <f>IF(R235&lt;&gt;1,"",DATA_INPUT!K235)</f>
        <v/>
      </c>
      <c r="O235" s="18" t="str">
        <f t="shared" si="148"/>
        <v/>
      </c>
      <c r="P235" s="18" t="str">
        <f>IF(R235&lt;&gt;1,"",IF(O235-CONTROL_PANEL!$B$11&lt;0,0,O235-CONTROL_PANEL!$B$11))</f>
        <v/>
      </c>
      <c r="Q235" s="18" t="str">
        <f>IF(R235&lt;&gt;1,"",IF(N235&lt;=0,0,MIN(N235,MAX(0,CONTROL_PANEL!$B$13-O235))))</f>
        <v/>
      </c>
      <c r="R235" s="18"/>
      <c r="T235" s="19">
        <f t="shared" si="176"/>
        <v>2034</v>
      </c>
      <c r="U235" s="19">
        <f t="shared" si="141"/>
        <v>12</v>
      </c>
      <c r="V235" s="18" t="str">
        <f t="shared" si="149"/>
        <v/>
      </c>
      <c r="W235" s="18" t="str">
        <f t="shared" si="171"/>
        <v/>
      </c>
      <c r="X235" s="18" t="str">
        <f>IF(AK234&lt;&gt;1,"",IF(AH234&gt;0,IF(AH234&gt;CONTROL_PANEL!$B$11,CONTROL_PANEL!$B$11,AH234),0))</f>
        <v/>
      </c>
      <c r="Y235" s="18" t="str">
        <f t="shared" si="166"/>
        <v/>
      </c>
      <c r="Z235" s="18" t="str">
        <f>IF(AK235&lt;&gt;1,"",DATA_INPUT!I235)</f>
        <v/>
      </c>
      <c r="AA235" s="18" t="str">
        <f>IF(AK235&lt;&gt;1,"",Z235*CONTROL_PANEL!$B$5)</f>
        <v/>
      </c>
      <c r="AB235" s="18" t="str">
        <f>IF(AK235&lt;&gt;1,"",DATA_INPUT!$C235)</f>
        <v/>
      </c>
      <c r="AC235" s="18" t="str">
        <f t="shared" si="150"/>
        <v/>
      </c>
      <c r="AD235" s="18" t="str">
        <f>IF(AK235&lt;&gt;1,"",DATA_INPUT!$H235)</f>
        <v/>
      </c>
      <c r="AE235" s="18" t="str">
        <f t="shared" si="151"/>
        <v/>
      </c>
      <c r="AF235" s="18" t="str">
        <f>IF(AK235&lt;&gt;1,"",AA235*CONTROL_PANEL!$B$14)</f>
        <v/>
      </c>
      <c r="AG235" s="18" t="str">
        <f>IF(AK235&lt;&gt;1,"",DATA_INPUT!$L235)</f>
        <v/>
      </c>
      <c r="AH235" s="18" t="str">
        <f t="shared" si="152"/>
        <v/>
      </c>
      <c r="AI235" s="18" t="str">
        <f>IF(AK235&lt;&gt;1,"",IF(AH235-CONTROL_PANEL!$B$11&lt;0,0,AH235-CONTROL_PANEL!$B$11))</f>
        <v/>
      </c>
      <c r="AJ235" s="18" t="str">
        <f>IF(AK235&lt;&gt;1,"",IF(AG235&lt;=0,0,MIN(AG235,MAX(0,CONTROL_PANEL!$B$13-AH235))))</f>
        <v/>
      </c>
      <c r="AK235" s="18"/>
      <c r="AM235" s="19">
        <f t="shared" si="177"/>
        <v>2034</v>
      </c>
      <c r="AN235" s="19">
        <f t="shared" si="142"/>
        <v>12</v>
      </c>
      <c r="AO235" s="18" t="str">
        <f t="shared" si="153"/>
        <v/>
      </c>
      <c r="AP235" s="18" t="str">
        <f t="shared" si="172"/>
        <v/>
      </c>
      <c r="AQ235" s="18" t="str">
        <f>IF(BD234&lt;&gt;1,"",IF(BA234&gt;0,IF(BA234&gt;CONTROL_PANEL!$B$11,CONTROL_PANEL!$B$11,BA234),0))</f>
        <v/>
      </c>
      <c r="AR235" s="18" t="str">
        <f t="shared" si="167"/>
        <v/>
      </c>
      <c r="AS235" s="18" t="str">
        <f>IF(BD235&lt;&gt;1,"",DATA_INPUT!$I235)</f>
        <v/>
      </c>
      <c r="AT235" s="18" t="str">
        <f>IF(BD235&lt;&gt;1,"",AS235*CONTROL_PANEL!$B$5)</f>
        <v/>
      </c>
      <c r="AU235" s="18" t="str">
        <f>IF(BD235&lt;&gt;1,"",DATA_INPUT!$C235)</f>
        <v/>
      </c>
      <c r="AV235" s="18" t="str">
        <f t="shared" si="154"/>
        <v/>
      </c>
      <c r="AW235" s="18" t="str">
        <f>IF(BD235&lt;&gt;1,"",DATA_INPUT!$H235)</f>
        <v/>
      </c>
      <c r="AX235" s="18" t="str">
        <f t="shared" si="155"/>
        <v/>
      </c>
      <c r="AY235" s="18" t="str">
        <f>IF(BD235&lt;&gt;1,"",AT235*CONTROL_PANEL!$B$14)</f>
        <v/>
      </c>
      <c r="AZ235" s="18" t="str">
        <f>IF(BD235&lt;&gt;1,"",DATA_INPUT!$M235)</f>
        <v/>
      </c>
      <c r="BA235" s="18" t="str">
        <f t="shared" si="156"/>
        <v/>
      </c>
      <c r="BB235" s="18" t="str">
        <f>IF(BD235&lt;&gt;1,"",IF(BA235-CONTROL_PANEL!$B$11&lt;0,0,BA235-CONTROL_PANEL!$B$11))</f>
        <v/>
      </c>
      <c r="BC235" s="18" t="str">
        <f>IF(BD235&lt;&gt;1,"",IF(AZ235&lt;=0,0,MIN(AZ235,MAX(0,CONTROL_PANEL!$B$13-BA235))))</f>
        <v/>
      </c>
      <c r="BD235" s="18"/>
      <c r="BF235" s="19">
        <f t="shared" si="178"/>
        <v>2034</v>
      </c>
      <c r="BG235" s="19">
        <f t="shared" si="143"/>
        <v>12</v>
      </c>
      <c r="BH235" s="18" t="str">
        <f t="shared" si="157"/>
        <v/>
      </c>
      <c r="BI235" s="18" t="str">
        <f t="shared" si="173"/>
        <v/>
      </c>
      <c r="BJ235" s="18" t="str">
        <f>IF(BW234&lt;&gt;1,"",IF(BT234&gt;0,IF(BT234&gt;CONTROL_PANEL!$B$11,CONTROL_PANEL!$B$11,BT234),0))</f>
        <v/>
      </c>
      <c r="BK235" s="18" t="str">
        <f t="shared" si="168"/>
        <v/>
      </c>
      <c r="BL235" s="18" t="str">
        <f>IF(BW235&lt;&gt;1,"",DATA_INPUT!$I235)</f>
        <v/>
      </c>
      <c r="BM235" s="18" t="str">
        <f>IF(BW235&lt;&gt;1,"",BL235*CONTROL_PANEL!$B$5)</f>
        <v/>
      </c>
      <c r="BN235" s="18" t="str">
        <f>IF(BW235&lt;&gt;1,"",DATA_INPUT!$C235)</f>
        <v/>
      </c>
      <c r="BO235" s="18" t="str">
        <f t="shared" si="158"/>
        <v/>
      </c>
      <c r="BP235" s="18" t="str">
        <f>IF(BW235&lt;&gt;1,"",DATA_INPUT!$H235)</f>
        <v/>
      </c>
      <c r="BQ235" s="18" t="str">
        <f t="shared" si="159"/>
        <v/>
      </c>
      <c r="BR235" s="18" t="str">
        <f>IF(BW235&lt;&gt;1,"",BM235*CONTROL_PANEL!$B$14)</f>
        <v/>
      </c>
      <c r="BS235" s="18" t="str">
        <f>IF(BW235&lt;&gt;1,"",DATA_INPUT!$N235)</f>
        <v/>
      </c>
      <c r="BT235" s="18" t="str">
        <f t="shared" si="160"/>
        <v/>
      </c>
      <c r="BU235" s="18" t="str">
        <f>IF(BW235&lt;&gt;1,"",IF(BT235-CONTROL_PANEL!$B$11&lt;0,0,BT235-CONTROL_PANEL!$B$11))</f>
        <v/>
      </c>
      <c r="BV235" s="18" t="str">
        <f>IF(BW235&lt;&gt;1,"",IF(BS235&lt;=0,0,MIN(BS235,MAX(0,CONTROL_PANEL!$B$13-BT235))))</f>
        <v/>
      </c>
      <c r="BW235" s="18"/>
      <c r="BY235" s="19">
        <f t="shared" si="179"/>
        <v>2034</v>
      </c>
      <c r="BZ235" s="19">
        <f t="shared" si="144"/>
        <v>12</v>
      </c>
      <c r="CA235" s="18" t="str">
        <f t="shared" si="161"/>
        <v/>
      </c>
      <c r="CB235" s="18" t="str">
        <f t="shared" si="174"/>
        <v/>
      </c>
      <c r="CC235" s="18" t="str">
        <f>IF(CP234&lt;&gt;1,"",IF(CM234&gt;0,IF(CM234&gt;CONTROL_PANEL!$B$11,CONTROL_PANEL!$B$11,CM234),0))</f>
        <v/>
      </c>
      <c r="CD235" s="18" t="str">
        <f t="shared" si="169"/>
        <v/>
      </c>
      <c r="CE235" s="18" t="str">
        <f>IF(CP235&lt;&gt;1,"",DATA_INPUT!$I235)</f>
        <v/>
      </c>
      <c r="CF235" s="18" t="str">
        <f>IF(CP235&lt;&gt;1,"",CE235*CONTROL_PANEL!$B$5)</f>
        <v/>
      </c>
      <c r="CG235" s="18" t="str">
        <f>IF(CP235&lt;&gt;1,"",DATA_INPUT!$C235)</f>
        <v/>
      </c>
      <c r="CH235" s="18" t="str">
        <f t="shared" si="162"/>
        <v/>
      </c>
      <c r="CI235" s="18" t="str">
        <f>IF(CP235&lt;&gt;1,"",DATA_INPUT!$H235)</f>
        <v/>
      </c>
      <c r="CJ235" s="18" t="str">
        <f t="shared" si="163"/>
        <v/>
      </c>
      <c r="CK235" s="18" t="str">
        <f>IF(CP235&lt;&gt;1,"",CF235*CONTROL_PANEL!$B$14)</f>
        <v/>
      </c>
      <c r="CL235" s="18" t="str">
        <f>IF(CP235&lt;&gt;1,"",DATA_INPUT!$O235)</f>
        <v/>
      </c>
      <c r="CM235" s="18" t="str">
        <f t="shared" si="164"/>
        <v/>
      </c>
      <c r="CN235" s="18" t="str">
        <f>IF(CP235&lt;&gt;1,"",IF(CM235-CONTROL_PANEL!$B$11&lt;0,0,CM235-CONTROL_PANEL!$B$11))</f>
        <v/>
      </c>
      <c r="CO235" s="18" t="str">
        <f>IF(CP235&lt;&gt;1,"",IF(CL235&lt;=0,0,MIN(CL235,MAX(0,CONTROL_PANEL!$B$13-CM235))))</f>
        <v/>
      </c>
      <c r="CP235" s="18"/>
    </row>
    <row r="236" spans="1:94" x14ac:dyDescent="0.25">
      <c r="A236" s="19">
        <f t="shared" si="175"/>
        <v>2035</v>
      </c>
      <c r="B236" s="19">
        <f t="shared" si="140"/>
        <v>1</v>
      </c>
      <c r="C236" s="18" t="str">
        <f t="shared" si="145"/>
        <v/>
      </c>
      <c r="D236" s="18" t="str">
        <f t="shared" si="170"/>
        <v/>
      </c>
      <c r="E236" s="18" t="str">
        <f>IF(R235&lt;&gt;1,"",IF(O235&gt;0,IF(O235&gt;CONTROL_PANEL!$B$11,CONTROL_PANEL!$B$11,O235),0))</f>
        <v/>
      </c>
      <c r="F236" s="18" t="str">
        <f t="shared" si="165"/>
        <v/>
      </c>
      <c r="G236" s="18" t="str">
        <f>IF(R236&lt;&gt;1,"",DATA_INPUT!I236)</f>
        <v/>
      </c>
      <c r="H236" s="18" t="str">
        <f>IF(R236&lt;&gt;1,"",G236*CONTROL_PANEL!$B$5)</f>
        <v/>
      </c>
      <c r="I236" s="18" t="str">
        <f>IF(R236&lt;&gt;1,"",DATA_INPUT!C236)</f>
        <v/>
      </c>
      <c r="J236" s="18" t="str">
        <f t="shared" si="146"/>
        <v/>
      </c>
      <c r="K236" s="18" t="str">
        <f>IF(R236&lt;&gt;1,"",DATA_INPUT!H236)</f>
        <v/>
      </c>
      <c r="L236" s="18" t="str">
        <f t="shared" si="147"/>
        <v/>
      </c>
      <c r="M236" s="18" t="str">
        <f>IF(R236&lt;&gt;1,"",H236*CONTROL_PANEL!$B$14)</f>
        <v/>
      </c>
      <c r="N236" s="18" t="str">
        <f>IF(R236&lt;&gt;1,"",DATA_INPUT!K236)</f>
        <v/>
      </c>
      <c r="O236" s="18" t="str">
        <f t="shared" si="148"/>
        <v/>
      </c>
      <c r="P236" s="18" t="str">
        <f>IF(R236&lt;&gt;1,"",IF(O236-CONTROL_PANEL!$B$11&lt;0,0,O236-CONTROL_PANEL!$B$11))</f>
        <v/>
      </c>
      <c r="Q236" s="18" t="str">
        <f>IF(R236&lt;&gt;1,"",IF(N236&lt;=0,0,MIN(N236,MAX(0,CONTROL_PANEL!$B$13-O236))))</f>
        <v/>
      </c>
      <c r="R236" s="18"/>
      <c r="T236" s="19">
        <f t="shared" si="176"/>
        <v>2035</v>
      </c>
      <c r="U236" s="19">
        <f t="shared" si="141"/>
        <v>1</v>
      </c>
      <c r="V236" s="18" t="str">
        <f t="shared" si="149"/>
        <v/>
      </c>
      <c r="W236" s="18" t="str">
        <f t="shared" si="171"/>
        <v/>
      </c>
      <c r="X236" s="18" t="str">
        <f>IF(AK235&lt;&gt;1,"",IF(AH235&gt;0,IF(AH235&gt;CONTROL_PANEL!$B$11,CONTROL_PANEL!$B$11,AH235),0))</f>
        <v/>
      </c>
      <c r="Y236" s="18" t="str">
        <f t="shared" si="166"/>
        <v/>
      </c>
      <c r="Z236" s="18" t="str">
        <f>IF(AK236&lt;&gt;1,"",DATA_INPUT!I236)</f>
        <v/>
      </c>
      <c r="AA236" s="18" t="str">
        <f>IF(AK236&lt;&gt;1,"",Z236*CONTROL_PANEL!$B$5)</f>
        <v/>
      </c>
      <c r="AB236" s="18" t="str">
        <f>IF(AK236&lt;&gt;1,"",DATA_INPUT!$C236)</f>
        <v/>
      </c>
      <c r="AC236" s="18" t="str">
        <f t="shared" si="150"/>
        <v/>
      </c>
      <c r="AD236" s="18" t="str">
        <f>IF(AK236&lt;&gt;1,"",DATA_INPUT!$H236)</f>
        <v/>
      </c>
      <c r="AE236" s="18" t="str">
        <f t="shared" si="151"/>
        <v/>
      </c>
      <c r="AF236" s="18" t="str">
        <f>IF(AK236&lt;&gt;1,"",AA236*CONTROL_PANEL!$B$14)</f>
        <v/>
      </c>
      <c r="AG236" s="18" t="str">
        <f>IF(AK236&lt;&gt;1,"",DATA_INPUT!$L236)</f>
        <v/>
      </c>
      <c r="AH236" s="18" t="str">
        <f t="shared" si="152"/>
        <v/>
      </c>
      <c r="AI236" s="18" t="str">
        <f>IF(AK236&lt;&gt;1,"",IF(AH236-CONTROL_PANEL!$B$11&lt;0,0,AH236-CONTROL_PANEL!$B$11))</f>
        <v/>
      </c>
      <c r="AJ236" s="18" t="str">
        <f>IF(AK236&lt;&gt;1,"",IF(AG236&lt;=0,0,MIN(AG236,MAX(0,CONTROL_PANEL!$B$13-AH236))))</f>
        <v/>
      </c>
      <c r="AK236" s="18"/>
      <c r="AM236" s="19">
        <f t="shared" si="177"/>
        <v>2035</v>
      </c>
      <c r="AN236" s="19">
        <f t="shared" si="142"/>
        <v>1</v>
      </c>
      <c r="AO236" s="18" t="str">
        <f t="shared" si="153"/>
        <v/>
      </c>
      <c r="AP236" s="18" t="str">
        <f t="shared" si="172"/>
        <v/>
      </c>
      <c r="AQ236" s="18" t="str">
        <f>IF(BD235&lt;&gt;1,"",IF(BA235&gt;0,IF(BA235&gt;CONTROL_PANEL!$B$11,CONTROL_PANEL!$B$11,BA235),0))</f>
        <v/>
      </c>
      <c r="AR236" s="18" t="str">
        <f t="shared" si="167"/>
        <v/>
      </c>
      <c r="AS236" s="18" t="str">
        <f>IF(BD236&lt;&gt;1,"",DATA_INPUT!$I236)</f>
        <v/>
      </c>
      <c r="AT236" s="18" t="str">
        <f>IF(BD236&lt;&gt;1,"",AS236*CONTROL_PANEL!$B$5)</f>
        <v/>
      </c>
      <c r="AU236" s="18" t="str">
        <f>IF(BD236&lt;&gt;1,"",DATA_INPUT!$C236)</f>
        <v/>
      </c>
      <c r="AV236" s="18" t="str">
        <f t="shared" si="154"/>
        <v/>
      </c>
      <c r="AW236" s="18" t="str">
        <f>IF(BD236&lt;&gt;1,"",DATA_INPUT!$H236)</f>
        <v/>
      </c>
      <c r="AX236" s="18" t="str">
        <f t="shared" si="155"/>
        <v/>
      </c>
      <c r="AY236" s="18" t="str">
        <f>IF(BD236&lt;&gt;1,"",AT236*CONTROL_PANEL!$B$14)</f>
        <v/>
      </c>
      <c r="AZ236" s="18" t="str">
        <f>IF(BD236&lt;&gt;1,"",DATA_INPUT!$M236)</f>
        <v/>
      </c>
      <c r="BA236" s="18" t="str">
        <f t="shared" si="156"/>
        <v/>
      </c>
      <c r="BB236" s="18" t="str">
        <f>IF(BD236&lt;&gt;1,"",IF(BA236-CONTROL_PANEL!$B$11&lt;0,0,BA236-CONTROL_PANEL!$B$11))</f>
        <v/>
      </c>
      <c r="BC236" s="18" t="str">
        <f>IF(BD236&lt;&gt;1,"",IF(AZ236&lt;=0,0,MIN(AZ236,MAX(0,CONTROL_PANEL!$B$13-BA236))))</f>
        <v/>
      </c>
      <c r="BD236" s="18"/>
      <c r="BF236" s="19">
        <f t="shared" si="178"/>
        <v>2035</v>
      </c>
      <c r="BG236" s="19">
        <f t="shared" si="143"/>
        <v>1</v>
      </c>
      <c r="BH236" s="18" t="str">
        <f t="shared" si="157"/>
        <v/>
      </c>
      <c r="BI236" s="18" t="str">
        <f t="shared" si="173"/>
        <v/>
      </c>
      <c r="BJ236" s="18" t="str">
        <f>IF(BW235&lt;&gt;1,"",IF(BT235&gt;0,IF(BT235&gt;CONTROL_PANEL!$B$11,CONTROL_PANEL!$B$11,BT235),0))</f>
        <v/>
      </c>
      <c r="BK236" s="18" t="str">
        <f t="shared" si="168"/>
        <v/>
      </c>
      <c r="BL236" s="18" t="str">
        <f>IF(BW236&lt;&gt;1,"",DATA_INPUT!$I236)</f>
        <v/>
      </c>
      <c r="BM236" s="18" t="str">
        <f>IF(BW236&lt;&gt;1,"",BL236*CONTROL_PANEL!$B$5)</f>
        <v/>
      </c>
      <c r="BN236" s="18" t="str">
        <f>IF(BW236&lt;&gt;1,"",DATA_INPUT!$C236)</f>
        <v/>
      </c>
      <c r="BO236" s="18" t="str">
        <f t="shared" si="158"/>
        <v/>
      </c>
      <c r="BP236" s="18" t="str">
        <f>IF(BW236&lt;&gt;1,"",DATA_INPUT!$H236)</f>
        <v/>
      </c>
      <c r="BQ236" s="18" t="str">
        <f t="shared" si="159"/>
        <v/>
      </c>
      <c r="BR236" s="18" t="str">
        <f>IF(BW236&lt;&gt;1,"",BM236*CONTROL_PANEL!$B$14)</f>
        <v/>
      </c>
      <c r="BS236" s="18" t="str">
        <f>IF(BW236&lt;&gt;1,"",DATA_INPUT!$N236)</f>
        <v/>
      </c>
      <c r="BT236" s="18" t="str">
        <f t="shared" si="160"/>
        <v/>
      </c>
      <c r="BU236" s="18" t="str">
        <f>IF(BW236&lt;&gt;1,"",IF(BT236-CONTROL_PANEL!$B$11&lt;0,0,BT236-CONTROL_PANEL!$B$11))</f>
        <v/>
      </c>
      <c r="BV236" s="18" t="str">
        <f>IF(BW236&lt;&gt;1,"",IF(BS236&lt;=0,0,MIN(BS236,MAX(0,CONTROL_PANEL!$B$13-BT236))))</f>
        <v/>
      </c>
      <c r="BW236" s="18"/>
      <c r="BY236" s="19">
        <f t="shared" si="179"/>
        <v>2035</v>
      </c>
      <c r="BZ236" s="19">
        <f t="shared" si="144"/>
        <v>1</v>
      </c>
      <c r="CA236" s="18" t="str">
        <f t="shared" si="161"/>
        <v/>
      </c>
      <c r="CB236" s="18" t="str">
        <f t="shared" si="174"/>
        <v/>
      </c>
      <c r="CC236" s="18" t="str">
        <f>IF(CP235&lt;&gt;1,"",IF(CM235&gt;0,IF(CM235&gt;CONTROL_PANEL!$B$11,CONTROL_PANEL!$B$11,CM235),0))</f>
        <v/>
      </c>
      <c r="CD236" s="18" t="str">
        <f t="shared" si="169"/>
        <v/>
      </c>
      <c r="CE236" s="18" t="str">
        <f>IF(CP236&lt;&gt;1,"",DATA_INPUT!$I236)</f>
        <v/>
      </c>
      <c r="CF236" s="18" t="str">
        <f>IF(CP236&lt;&gt;1,"",CE236*CONTROL_PANEL!$B$5)</f>
        <v/>
      </c>
      <c r="CG236" s="18" t="str">
        <f>IF(CP236&lt;&gt;1,"",DATA_INPUT!$C236)</f>
        <v/>
      </c>
      <c r="CH236" s="18" t="str">
        <f t="shared" si="162"/>
        <v/>
      </c>
      <c r="CI236" s="18" t="str">
        <f>IF(CP236&lt;&gt;1,"",DATA_INPUT!$H236)</f>
        <v/>
      </c>
      <c r="CJ236" s="18" t="str">
        <f t="shared" si="163"/>
        <v/>
      </c>
      <c r="CK236" s="18" t="str">
        <f>IF(CP236&lt;&gt;1,"",CF236*CONTROL_PANEL!$B$14)</f>
        <v/>
      </c>
      <c r="CL236" s="18" t="str">
        <f>IF(CP236&lt;&gt;1,"",DATA_INPUT!$O236)</f>
        <v/>
      </c>
      <c r="CM236" s="18" t="str">
        <f t="shared" si="164"/>
        <v/>
      </c>
      <c r="CN236" s="18" t="str">
        <f>IF(CP236&lt;&gt;1,"",IF(CM236-CONTROL_PANEL!$B$11&lt;0,0,CM236-CONTROL_PANEL!$B$11))</f>
        <v/>
      </c>
      <c r="CO236" s="18" t="str">
        <f>IF(CP236&lt;&gt;1,"",IF(CL236&lt;=0,0,MIN(CL236,MAX(0,CONTROL_PANEL!$B$13-CM236))))</f>
        <v/>
      </c>
      <c r="CP236" s="18"/>
    </row>
    <row r="237" spans="1:94" x14ac:dyDescent="0.25">
      <c r="A237" s="19">
        <f t="shared" si="175"/>
        <v>2035</v>
      </c>
      <c r="B237" s="19">
        <f t="shared" si="140"/>
        <v>2</v>
      </c>
      <c r="C237" s="18" t="str">
        <f t="shared" si="145"/>
        <v/>
      </c>
      <c r="D237" s="18" t="str">
        <f t="shared" si="170"/>
        <v/>
      </c>
      <c r="E237" s="18" t="str">
        <f>IF(R236&lt;&gt;1,"",IF(O236&gt;0,IF(O236&gt;CONTROL_PANEL!$B$11,CONTROL_PANEL!$B$11,O236),0))</f>
        <v/>
      </c>
      <c r="F237" s="18" t="str">
        <f t="shared" si="165"/>
        <v/>
      </c>
      <c r="G237" s="18" t="str">
        <f>IF(R237&lt;&gt;1,"",DATA_INPUT!I237)</f>
        <v/>
      </c>
      <c r="H237" s="18" t="str">
        <f>IF(R237&lt;&gt;1,"",G237*CONTROL_PANEL!$B$5)</f>
        <v/>
      </c>
      <c r="I237" s="18" t="str">
        <f>IF(R237&lt;&gt;1,"",DATA_INPUT!C237)</f>
        <v/>
      </c>
      <c r="J237" s="18" t="str">
        <f t="shared" si="146"/>
        <v/>
      </c>
      <c r="K237" s="18" t="str">
        <f>IF(R237&lt;&gt;1,"",DATA_INPUT!H237)</f>
        <v/>
      </c>
      <c r="L237" s="18" t="str">
        <f t="shared" si="147"/>
        <v/>
      </c>
      <c r="M237" s="18" t="str">
        <f>IF(R237&lt;&gt;1,"",H237*CONTROL_PANEL!$B$14)</f>
        <v/>
      </c>
      <c r="N237" s="18" t="str">
        <f>IF(R237&lt;&gt;1,"",DATA_INPUT!K237)</f>
        <v/>
      </c>
      <c r="O237" s="18" t="str">
        <f t="shared" si="148"/>
        <v/>
      </c>
      <c r="P237" s="18" t="str">
        <f>IF(R237&lt;&gt;1,"",IF(O237-CONTROL_PANEL!$B$11&lt;0,0,O237-CONTROL_PANEL!$B$11))</f>
        <v/>
      </c>
      <c r="Q237" s="18" t="str">
        <f>IF(R237&lt;&gt;1,"",IF(N237&lt;=0,0,MIN(N237,MAX(0,CONTROL_PANEL!$B$13-O237))))</f>
        <v/>
      </c>
      <c r="R237" s="18"/>
      <c r="T237" s="19">
        <f t="shared" si="176"/>
        <v>2035</v>
      </c>
      <c r="U237" s="19">
        <f t="shared" si="141"/>
        <v>2</v>
      </c>
      <c r="V237" s="18" t="str">
        <f t="shared" si="149"/>
        <v/>
      </c>
      <c r="W237" s="18" t="str">
        <f t="shared" si="171"/>
        <v/>
      </c>
      <c r="X237" s="18" t="str">
        <f>IF(AK236&lt;&gt;1,"",IF(AH236&gt;0,IF(AH236&gt;CONTROL_PANEL!$B$11,CONTROL_PANEL!$B$11,AH236),0))</f>
        <v/>
      </c>
      <c r="Y237" s="18" t="str">
        <f t="shared" si="166"/>
        <v/>
      </c>
      <c r="Z237" s="18" t="str">
        <f>IF(AK237&lt;&gt;1,"",DATA_INPUT!I237)</f>
        <v/>
      </c>
      <c r="AA237" s="18" t="str">
        <f>IF(AK237&lt;&gt;1,"",Z237*CONTROL_PANEL!$B$5)</f>
        <v/>
      </c>
      <c r="AB237" s="18" t="str">
        <f>IF(AK237&lt;&gt;1,"",DATA_INPUT!$C237)</f>
        <v/>
      </c>
      <c r="AC237" s="18" t="str">
        <f t="shared" si="150"/>
        <v/>
      </c>
      <c r="AD237" s="18" t="str">
        <f>IF(AK237&lt;&gt;1,"",DATA_INPUT!$H237)</f>
        <v/>
      </c>
      <c r="AE237" s="18" t="str">
        <f t="shared" si="151"/>
        <v/>
      </c>
      <c r="AF237" s="18" t="str">
        <f>IF(AK237&lt;&gt;1,"",AA237*CONTROL_PANEL!$B$14)</f>
        <v/>
      </c>
      <c r="AG237" s="18" t="str">
        <f>IF(AK237&lt;&gt;1,"",DATA_INPUT!$L237)</f>
        <v/>
      </c>
      <c r="AH237" s="18" t="str">
        <f t="shared" si="152"/>
        <v/>
      </c>
      <c r="AI237" s="18" t="str">
        <f>IF(AK237&lt;&gt;1,"",IF(AH237-CONTROL_PANEL!$B$11&lt;0,0,AH237-CONTROL_PANEL!$B$11))</f>
        <v/>
      </c>
      <c r="AJ237" s="18" t="str">
        <f>IF(AK237&lt;&gt;1,"",IF(AG237&lt;=0,0,MIN(AG237,MAX(0,CONTROL_PANEL!$B$13-AH237))))</f>
        <v/>
      </c>
      <c r="AK237" s="18"/>
      <c r="AM237" s="19">
        <f t="shared" si="177"/>
        <v>2035</v>
      </c>
      <c r="AN237" s="19">
        <f t="shared" si="142"/>
        <v>2</v>
      </c>
      <c r="AO237" s="18" t="str">
        <f t="shared" si="153"/>
        <v/>
      </c>
      <c r="AP237" s="18" t="str">
        <f t="shared" si="172"/>
        <v/>
      </c>
      <c r="AQ237" s="18" t="str">
        <f>IF(BD236&lt;&gt;1,"",IF(BA236&gt;0,IF(BA236&gt;CONTROL_PANEL!$B$11,CONTROL_PANEL!$B$11,BA236),0))</f>
        <v/>
      </c>
      <c r="AR237" s="18" t="str">
        <f t="shared" si="167"/>
        <v/>
      </c>
      <c r="AS237" s="18" t="str">
        <f>IF(BD237&lt;&gt;1,"",DATA_INPUT!$I237)</f>
        <v/>
      </c>
      <c r="AT237" s="18" t="str">
        <f>IF(BD237&lt;&gt;1,"",AS237*CONTROL_PANEL!$B$5)</f>
        <v/>
      </c>
      <c r="AU237" s="18" t="str">
        <f>IF(BD237&lt;&gt;1,"",DATA_INPUT!$C237)</f>
        <v/>
      </c>
      <c r="AV237" s="18" t="str">
        <f t="shared" si="154"/>
        <v/>
      </c>
      <c r="AW237" s="18" t="str">
        <f>IF(BD237&lt;&gt;1,"",DATA_INPUT!$H237)</f>
        <v/>
      </c>
      <c r="AX237" s="18" t="str">
        <f t="shared" si="155"/>
        <v/>
      </c>
      <c r="AY237" s="18" t="str">
        <f>IF(BD237&lt;&gt;1,"",AT237*CONTROL_PANEL!$B$14)</f>
        <v/>
      </c>
      <c r="AZ237" s="18" t="str">
        <f>IF(BD237&lt;&gt;1,"",DATA_INPUT!$M237)</f>
        <v/>
      </c>
      <c r="BA237" s="18" t="str">
        <f t="shared" si="156"/>
        <v/>
      </c>
      <c r="BB237" s="18" t="str">
        <f>IF(BD237&lt;&gt;1,"",IF(BA237-CONTROL_PANEL!$B$11&lt;0,0,BA237-CONTROL_PANEL!$B$11))</f>
        <v/>
      </c>
      <c r="BC237" s="18" t="str">
        <f>IF(BD237&lt;&gt;1,"",IF(AZ237&lt;=0,0,MIN(AZ237,MAX(0,CONTROL_PANEL!$B$13-BA237))))</f>
        <v/>
      </c>
      <c r="BD237" s="18"/>
      <c r="BF237" s="19">
        <f t="shared" si="178"/>
        <v>2035</v>
      </c>
      <c r="BG237" s="19">
        <f t="shared" si="143"/>
        <v>2</v>
      </c>
      <c r="BH237" s="18" t="str">
        <f t="shared" si="157"/>
        <v/>
      </c>
      <c r="BI237" s="18" t="str">
        <f t="shared" si="173"/>
        <v/>
      </c>
      <c r="BJ237" s="18" t="str">
        <f>IF(BW236&lt;&gt;1,"",IF(BT236&gt;0,IF(BT236&gt;CONTROL_PANEL!$B$11,CONTROL_PANEL!$B$11,BT236),0))</f>
        <v/>
      </c>
      <c r="BK237" s="18" t="str">
        <f t="shared" si="168"/>
        <v/>
      </c>
      <c r="BL237" s="18" t="str">
        <f>IF(BW237&lt;&gt;1,"",DATA_INPUT!$I237)</f>
        <v/>
      </c>
      <c r="BM237" s="18" t="str">
        <f>IF(BW237&lt;&gt;1,"",BL237*CONTROL_PANEL!$B$5)</f>
        <v/>
      </c>
      <c r="BN237" s="18" t="str">
        <f>IF(BW237&lt;&gt;1,"",DATA_INPUT!$C237)</f>
        <v/>
      </c>
      <c r="BO237" s="18" t="str">
        <f t="shared" si="158"/>
        <v/>
      </c>
      <c r="BP237" s="18" t="str">
        <f>IF(BW237&lt;&gt;1,"",DATA_INPUT!$H237)</f>
        <v/>
      </c>
      <c r="BQ237" s="18" t="str">
        <f t="shared" si="159"/>
        <v/>
      </c>
      <c r="BR237" s="18" t="str">
        <f>IF(BW237&lt;&gt;1,"",BM237*CONTROL_PANEL!$B$14)</f>
        <v/>
      </c>
      <c r="BS237" s="18" t="str">
        <f>IF(BW237&lt;&gt;1,"",DATA_INPUT!$N237)</f>
        <v/>
      </c>
      <c r="BT237" s="18" t="str">
        <f t="shared" si="160"/>
        <v/>
      </c>
      <c r="BU237" s="18" t="str">
        <f>IF(BW237&lt;&gt;1,"",IF(BT237-CONTROL_PANEL!$B$11&lt;0,0,BT237-CONTROL_PANEL!$B$11))</f>
        <v/>
      </c>
      <c r="BV237" s="18" t="str">
        <f>IF(BW237&lt;&gt;1,"",IF(BS237&lt;=0,0,MIN(BS237,MAX(0,CONTROL_PANEL!$B$13-BT237))))</f>
        <v/>
      </c>
      <c r="BW237" s="18"/>
      <c r="BY237" s="19">
        <f t="shared" si="179"/>
        <v>2035</v>
      </c>
      <c r="BZ237" s="19">
        <f t="shared" si="144"/>
        <v>2</v>
      </c>
      <c r="CA237" s="18" t="str">
        <f t="shared" si="161"/>
        <v/>
      </c>
      <c r="CB237" s="18" t="str">
        <f t="shared" si="174"/>
        <v/>
      </c>
      <c r="CC237" s="18" t="str">
        <f>IF(CP236&lt;&gt;1,"",IF(CM236&gt;0,IF(CM236&gt;CONTROL_PANEL!$B$11,CONTROL_PANEL!$B$11,CM236),0))</f>
        <v/>
      </c>
      <c r="CD237" s="18" t="str">
        <f t="shared" si="169"/>
        <v/>
      </c>
      <c r="CE237" s="18" t="str">
        <f>IF(CP237&lt;&gt;1,"",DATA_INPUT!$I237)</f>
        <v/>
      </c>
      <c r="CF237" s="18" t="str">
        <f>IF(CP237&lt;&gt;1,"",CE237*CONTROL_PANEL!$B$5)</f>
        <v/>
      </c>
      <c r="CG237" s="18" t="str">
        <f>IF(CP237&lt;&gt;1,"",DATA_INPUT!$C237)</f>
        <v/>
      </c>
      <c r="CH237" s="18" t="str">
        <f t="shared" si="162"/>
        <v/>
      </c>
      <c r="CI237" s="18" t="str">
        <f>IF(CP237&lt;&gt;1,"",DATA_INPUT!$H237)</f>
        <v/>
      </c>
      <c r="CJ237" s="18" t="str">
        <f t="shared" si="163"/>
        <v/>
      </c>
      <c r="CK237" s="18" t="str">
        <f>IF(CP237&lt;&gt;1,"",CF237*CONTROL_PANEL!$B$14)</f>
        <v/>
      </c>
      <c r="CL237" s="18" t="str">
        <f>IF(CP237&lt;&gt;1,"",DATA_INPUT!$O237)</f>
        <v/>
      </c>
      <c r="CM237" s="18" t="str">
        <f t="shared" si="164"/>
        <v/>
      </c>
      <c r="CN237" s="18" t="str">
        <f>IF(CP237&lt;&gt;1,"",IF(CM237-CONTROL_PANEL!$B$11&lt;0,0,CM237-CONTROL_PANEL!$B$11))</f>
        <v/>
      </c>
      <c r="CO237" s="18" t="str">
        <f>IF(CP237&lt;&gt;1,"",IF(CL237&lt;=0,0,MIN(CL237,MAX(0,CONTROL_PANEL!$B$13-CM237))))</f>
        <v/>
      </c>
      <c r="CP237" s="18"/>
    </row>
    <row r="238" spans="1:94" x14ac:dyDescent="0.25">
      <c r="A238" s="19">
        <f t="shared" si="175"/>
        <v>2035</v>
      </c>
      <c r="B238" s="19">
        <f t="shared" si="140"/>
        <v>3</v>
      </c>
      <c r="C238" s="18" t="str">
        <f t="shared" si="145"/>
        <v/>
      </c>
      <c r="D238" s="18" t="str">
        <f t="shared" si="170"/>
        <v/>
      </c>
      <c r="E238" s="18" t="str">
        <f>IF(R237&lt;&gt;1,"",IF(O237&gt;0,IF(O237&gt;CONTROL_PANEL!$B$11,CONTROL_PANEL!$B$11,O237),0))</f>
        <v/>
      </c>
      <c r="F238" s="18" t="str">
        <f t="shared" si="165"/>
        <v/>
      </c>
      <c r="G238" s="18" t="str">
        <f>IF(R238&lt;&gt;1,"",DATA_INPUT!I238)</f>
        <v/>
      </c>
      <c r="H238" s="18" t="str">
        <f>IF(R238&lt;&gt;1,"",G238*CONTROL_PANEL!$B$5)</f>
        <v/>
      </c>
      <c r="I238" s="18" t="str">
        <f>IF(R238&lt;&gt;1,"",DATA_INPUT!C238)</f>
        <v/>
      </c>
      <c r="J238" s="18" t="str">
        <f t="shared" si="146"/>
        <v/>
      </c>
      <c r="K238" s="18" t="str">
        <f>IF(R238&lt;&gt;1,"",DATA_INPUT!H238)</f>
        <v/>
      </c>
      <c r="L238" s="18" t="str">
        <f t="shared" si="147"/>
        <v/>
      </c>
      <c r="M238" s="18" t="str">
        <f>IF(R238&lt;&gt;1,"",H238*CONTROL_PANEL!$B$14)</f>
        <v/>
      </c>
      <c r="N238" s="18" t="str">
        <f>IF(R238&lt;&gt;1,"",DATA_INPUT!K238)</f>
        <v/>
      </c>
      <c r="O238" s="18" t="str">
        <f t="shared" si="148"/>
        <v/>
      </c>
      <c r="P238" s="18" t="str">
        <f>IF(R238&lt;&gt;1,"",IF(O238-CONTROL_PANEL!$B$11&lt;0,0,O238-CONTROL_PANEL!$B$11))</f>
        <v/>
      </c>
      <c r="Q238" s="18" t="str">
        <f>IF(R238&lt;&gt;1,"",IF(N238&lt;=0,0,MIN(N238,MAX(0,CONTROL_PANEL!$B$13-O238))))</f>
        <v/>
      </c>
      <c r="R238" s="18"/>
      <c r="T238" s="19">
        <f t="shared" si="176"/>
        <v>2035</v>
      </c>
      <c r="U238" s="19">
        <f t="shared" si="141"/>
        <v>3</v>
      </c>
      <c r="V238" s="18" t="str">
        <f t="shared" si="149"/>
        <v/>
      </c>
      <c r="W238" s="18" t="str">
        <f t="shared" si="171"/>
        <v/>
      </c>
      <c r="X238" s="18" t="str">
        <f>IF(AK237&lt;&gt;1,"",IF(AH237&gt;0,IF(AH237&gt;CONTROL_PANEL!$B$11,CONTROL_PANEL!$B$11,AH237),0))</f>
        <v/>
      </c>
      <c r="Y238" s="18" t="str">
        <f t="shared" si="166"/>
        <v/>
      </c>
      <c r="Z238" s="18" t="str">
        <f>IF(AK238&lt;&gt;1,"",DATA_INPUT!I238)</f>
        <v/>
      </c>
      <c r="AA238" s="18" t="str">
        <f>IF(AK238&lt;&gt;1,"",Z238*CONTROL_PANEL!$B$5)</f>
        <v/>
      </c>
      <c r="AB238" s="18" t="str">
        <f>IF(AK238&lt;&gt;1,"",DATA_INPUT!$C238)</f>
        <v/>
      </c>
      <c r="AC238" s="18" t="str">
        <f t="shared" si="150"/>
        <v/>
      </c>
      <c r="AD238" s="18" t="str">
        <f>IF(AK238&lt;&gt;1,"",DATA_INPUT!$H238)</f>
        <v/>
      </c>
      <c r="AE238" s="18" t="str">
        <f t="shared" si="151"/>
        <v/>
      </c>
      <c r="AF238" s="18" t="str">
        <f>IF(AK238&lt;&gt;1,"",AA238*CONTROL_PANEL!$B$14)</f>
        <v/>
      </c>
      <c r="AG238" s="18" t="str">
        <f>IF(AK238&lt;&gt;1,"",DATA_INPUT!$L238)</f>
        <v/>
      </c>
      <c r="AH238" s="18" t="str">
        <f t="shared" si="152"/>
        <v/>
      </c>
      <c r="AI238" s="18" t="str">
        <f>IF(AK238&lt;&gt;1,"",IF(AH238-CONTROL_PANEL!$B$11&lt;0,0,AH238-CONTROL_PANEL!$B$11))</f>
        <v/>
      </c>
      <c r="AJ238" s="18" t="str">
        <f>IF(AK238&lt;&gt;1,"",IF(AG238&lt;=0,0,MIN(AG238,MAX(0,CONTROL_PANEL!$B$13-AH238))))</f>
        <v/>
      </c>
      <c r="AK238" s="18"/>
      <c r="AM238" s="19">
        <f t="shared" si="177"/>
        <v>2035</v>
      </c>
      <c r="AN238" s="19">
        <f t="shared" si="142"/>
        <v>3</v>
      </c>
      <c r="AO238" s="18" t="str">
        <f t="shared" si="153"/>
        <v/>
      </c>
      <c r="AP238" s="18" t="str">
        <f t="shared" si="172"/>
        <v/>
      </c>
      <c r="AQ238" s="18" t="str">
        <f>IF(BD237&lt;&gt;1,"",IF(BA237&gt;0,IF(BA237&gt;CONTROL_PANEL!$B$11,CONTROL_PANEL!$B$11,BA237),0))</f>
        <v/>
      </c>
      <c r="AR238" s="18" t="str">
        <f t="shared" si="167"/>
        <v/>
      </c>
      <c r="AS238" s="18" t="str">
        <f>IF(BD238&lt;&gt;1,"",DATA_INPUT!$I238)</f>
        <v/>
      </c>
      <c r="AT238" s="18" t="str">
        <f>IF(BD238&lt;&gt;1,"",AS238*CONTROL_PANEL!$B$5)</f>
        <v/>
      </c>
      <c r="AU238" s="18" t="str">
        <f>IF(BD238&lt;&gt;1,"",DATA_INPUT!$C238)</f>
        <v/>
      </c>
      <c r="AV238" s="18" t="str">
        <f t="shared" si="154"/>
        <v/>
      </c>
      <c r="AW238" s="18" t="str">
        <f>IF(BD238&lt;&gt;1,"",DATA_INPUT!$H238)</f>
        <v/>
      </c>
      <c r="AX238" s="18" t="str">
        <f t="shared" si="155"/>
        <v/>
      </c>
      <c r="AY238" s="18" t="str">
        <f>IF(BD238&lt;&gt;1,"",AT238*CONTROL_PANEL!$B$14)</f>
        <v/>
      </c>
      <c r="AZ238" s="18" t="str">
        <f>IF(BD238&lt;&gt;1,"",DATA_INPUT!$M238)</f>
        <v/>
      </c>
      <c r="BA238" s="18" t="str">
        <f t="shared" si="156"/>
        <v/>
      </c>
      <c r="BB238" s="18" t="str">
        <f>IF(BD238&lt;&gt;1,"",IF(BA238-CONTROL_PANEL!$B$11&lt;0,0,BA238-CONTROL_PANEL!$B$11))</f>
        <v/>
      </c>
      <c r="BC238" s="18" t="str">
        <f>IF(BD238&lt;&gt;1,"",IF(AZ238&lt;=0,0,MIN(AZ238,MAX(0,CONTROL_PANEL!$B$13-BA238))))</f>
        <v/>
      </c>
      <c r="BD238" s="18"/>
      <c r="BF238" s="19">
        <f t="shared" si="178"/>
        <v>2035</v>
      </c>
      <c r="BG238" s="19">
        <f t="shared" si="143"/>
        <v>3</v>
      </c>
      <c r="BH238" s="18" t="str">
        <f t="shared" si="157"/>
        <v/>
      </c>
      <c r="BI238" s="18" t="str">
        <f t="shared" si="173"/>
        <v/>
      </c>
      <c r="BJ238" s="18" t="str">
        <f>IF(BW237&lt;&gt;1,"",IF(BT237&gt;0,IF(BT237&gt;CONTROL_PANEL!$B$11,CONTROL_PANEL!$B$11,BT237),0))</f>
        <v/>
      </c>
      <c r="BK238" s="18" t="str">
        <f t="shared" si="168"/>
        <v/>
      </c>
      <c r="BL238" s="18" t="str">
        <f>IF(BW238&lt;&gt;1,"",DATA_INPUT!$I238)</f>
        <v/>
      </c>
      <c r="BM238" s="18" t="str">
        <f>IF(BW238&lt;&gt;1,"",BL238*CONTROL_PANEL!$B$5)</f>
        <v/>
      </c>
      <c r="BN238" s="18" t="str">
        <f>IF(BW238&lt;&gt;1,"",DATA_INPUT!$C238)</f>
        <v/>
      </c>
      <c r="BO238" s="18" t="str">
        <f t="shared" si="158"/>
        <v/>
      </c>
      <c r="BP238" s="18" t="str">
        <f>IF(BW238&lt;&gt;1,"",DATA_INPUT!$H238)</f>
        <v/>
      </c>
      <c r="BQ238" s="18" t="str">
        <f t="shared" si="159"/>
        <v/>
      </c>
      <c r="BR238" s="18" t="str">
        <f>IF(BW238&lt;&gt;1,"",BM238*CONTROL_PANEL!$B$14)</f>
        <v/>
      </c>
      <c r="BS238" s="18" t="str">
        <f>IF(BW238&lt;&gt;1,"",DATA_INPUT!$N238)</f>
        <v/>
      </c>
      <c r="BT238" s="18" t="str">
        <f t="shared" si="160"/>
        <v/>
      </c>
      <c r="BU238" s="18" t="str">
        <f>IF(BW238&lt;&gt;1,"",IF(BT238-CONTROL_PANEL!$B$11&lt;0,0,BT238-CONTROL_PANEL!$B$11))</f>
        <v/>
      </c>
      <c r="BV238" s="18" t="str">
        <f>IF(BW238&lt;&gt;1,"",IF(BS238&lt;=0,0,MIN(BS238,MAX(0,CONTROL_PANEL!$B$13-BT238))))</f>
        <v/>
      </c>
      <c r="BW238" s="18"/>
      <c r="BY238" s="19">
        <f t="shared" si="179"/>
        <v>2035</v>
      </c>
      <c r="BZ238" s="19">
        <f t="shared" si="144"/>
        <v>3</v>
      </c>
      <c r="CA238" s="18" t="str">
        <f t="shared" si="161"/>
        <v/>
      </c>
      <c r="CB238" s="18" t="str">
        <f t="shared" si="174"/>
        <v/>
      </c>
      <c r="CC238" s="18" t="str">
        <f>IF(CP237&lt;&gt;1,"",IF(CM237&gt;0,IF(CM237&gt;CONTROL_PANEL!$B$11,CONTROL_PANEL!$B$11,CM237),0))</f>
        <v/>
      </c>
      <c r="CD238" s="18" t="str">
        <f t="shared" si="169"/>
        <v/>
      </c>
      <c r="CE238" s="18" t="str">
        <f>IF(CP238&lt;&gt;1,"",DATA_INPUT!$I238)</f>
        <v/>
      </c>
      <c r="CF238" s="18" t="str">
        <f>IF(CP238&lt;&gt;1,"",CE238*CONTROL_PANEL!$B$5)</f>
        <v/>
      </c>
      <c r="CG238" s="18" t="str">
        <f>IF(CP238&lt;&gt;1,"",DATA_INPUT!$C238)</f>
        <v/>
      </c>
      <c r="CH238" s="18" t="str">
        <f t="shared" si="162"/>
        <v/>
      </c>
      <c r="CI238" s="18" t="str">
        <f>IF(CP238&lt;&gt;1,"",DATA_INPUT!$H238)</f>
        <v/>
      </c>
      <c r="CJ238" s="18" t="str">
        <f t="shared" si="163"/>
        <v/>
      </c>
      <c r="CK238" s="18" t="str">
        <f>IF(CP238&lt;&gt;1,"",CF238*CONTROL_PANEL!$B$14)</f>
        <v/>
      </c>
      <c r="CL238" s="18" t="str">
        <f>IF(CP238&lt;&gt;1,"",DATA_INPUT!$O238)</f>
        <v/>
      </c>
      <c r="CM238" s="18" t="str">
        <f t="shared" si="164"/>
        <v/>
      </c>
      <c r="CN238" s="18" t="str">
        <f>IF(CP238&lt;&gt;1,"",IF(CM238-CONTROL_PANEL!$B$11&lt;0,0,CM238-CONTROL_PANEL!$B$11))</f>
        <v/>
      </c>
      <c r="CO238" s="18" t="str">
        <f>IF(CP238&lt;&gt;1,"",IF(CL238&lt;=0,0,MIN(CL238,MAX(0,CONTROL_PANEL!$B$13-CM238))))</f>
        <v/>
      </c>
      <c r="CP238" s="18"/>
    </row>
    <row r="239" spans="1:94" x14ac:dyDescent="0.25">
      <c r="A239" s="19">
        <f t="shared" si="175"/>
        <v>2035</v>
      </c>
      <c r="B239" s="19">
        <f t="shared" si="140"/>
        <v>4</v>
      </c>
      <c r="C239" s="18" t="str">
        <f t="shared" si="145"/>
        <v/>
      </c>
      <c r="D239" s="18" t="str">
        <f t="shared" si="170"/>
        <v/>
      </c>
      <c r="E239" s="18" t="str">
        <f>IF(R238&lt;&gt;1,"",IF(O238&gt;0,IF(O238&gt;CONTROL_PANEL!$B$11,CONTROL_PANEL!$B$11,O238),0))</f>
        <v/>
      </c>
      <c r="F239" s="18" t="str">
        <f t="shared" si="165"/>
        <v/>
      </c>
      <c r="G239" s="18" t="str">
        <f>IF(R239&lt;&gt;1,"",DATA_INPUT!I239)</f>
        <v/>
      </c>
      <c r="H239" s="18" t="str">
        <f>IF(R239&lt;&gt;1,"",G239*CONTROL_PANEL!$B$5)</f>
        <v/>
      </c>
      <c r="I239" s="18" t="str">
        <f>IF(R239&lt;&gt;1,"",DATA_INPUT!C239)</f>
        <v/>
      </c>
      <c r="J239" s="18" t="str">
        <f t="shared" si="146"/>
        <v/>
      </c>
      <c r="K239" s="18" t="str">
        <f>IF(R239&lt;&gt;1,"",DATA_INPUT!H239)</f>
        <v/>
      </c>
      <c r="L239" s="18" t="str">
        <f t="shared" si="147"/>
        <v/>
      </c>
      <c r="M239" s="18" t="str">
        <f>IF(R239&lt;&gt;1,"",H239*CONTROL_PANEL!$B$14)</f>
        <v/>
      </c>
      <c r="N239" s="18" t="str">
        <f>IF(R239&lt;&gt;1,"",DATA_INPUT!K239)</f>
        <v/>
      </c>
      <c r="O239" s="18" t="str">
        <f t="shared" si="148"/>
        <v/>
      </c>
      <c r="P239" s="18" t="str">
        <f>IF(R239&lt;&gt;1,"",IF(O239-CONTROL_PANEL!$B$11&lt;0,0,O239-CONTROL_PANEL!$B$11))</f>
        <v/>
      </c>
      <c r="Q239" s="18" t="str">
        <f>IF(R239&lt;&gt;1,"",IF(N239&lt;=0,0,MIN(N239,MAX(0,CONTROL_PANEL!$B$13-O239))))</f>
        <v/>
      </c>
      <c r="R239" s="18"/>
      <c r="T239" s="19">
        <f t="shared" si="176"/>
        <v>2035</v>
      </c>
      <c r="U239" s="19">
        <f t="shared" si="141"/>
        <v>4</v>
      </c>
      <c r="V239" s="18" t="str">
        <f t="shared" si="149"/>
        <v/>
      </c>
      <c r="W239" s="18" t="str">
        <f t="shared" si="171"/>
        <v/>
      </c>
      <c r="X239" s="18" t="str">
        <f>IF(AK238&lt;&gt;1,"",IF(AH238&gt;0,IF(AH238&gt;CONTROL_PANEL!$B$11,CONTROL_PANEL!$B$11,AH238),0))</f>
        <v/>
      </c>
      <c r="Y239" s="18" t="str">
        <f t="shared" si="166"/>
        <v/>
      </c>
      <c r="Z239" s="18" t="str">
        <f>IF(AK239&lt;&gt;1,"",DATA_INPUT!I239)</f>
        <v/>
      </c>
      <c r="AA239" s="18" t="str">
        <f>IF(AK239&lt;&gt;1,"",Z239*CONTROL_PANEL!$B$5)</f>
        <v/>
      </c>
      <c r="AB239" s="18" t="str">
        <f>IF(AK239&lt;&gt;1,"",DATA_INPUT!$C239)</f>
        <v/>
      </c>
      <c r="AC239" s="18" t="str">
        <f t="shared" si="150"/>
        <v/>
      </c>
      <c r="AD239" s="18" t="str">
        <f>IF(AK239&lt;&gt;1,"",DATA_INPUT!$H239)</f>
        <v/>
      </c>
      <c r="AE239" s="18" t="str">
        <f t="shared" si="151"/>
        <v/>
      </c>
      <c r="AF239" s="18" t="str">
        <f>IF(AK239&lt;&gt;1,"",AA239*CONTROL_PANEL!$B$14)</f>
        <v/>
      </c>
      <c r="AG239" s="18" t="str">
        <f>IF(AK239&lt;&gt;1,"",DATA_INPUT!$L239)</f>
        <v/>
      </c>
      <c r="AH239" s="18" t="str">
        <f t="shared" si="152"/>
        <v/>
      </c>
      <c r="AI239" s="18" t="str">
        <f>IF(AK239&lt;&gt;1,"",IF(AH239-CONTROL_PANEL!$B$11&lt;0,0,AH239-CONTROL_PANEL!$B$11))</f>
        <v/>
      </c>
      <c r="AJ239" s="18" t="str">
        <f>IF(AK239&lt;&gt;1,"",IF(AG239&lt;=0,0,MIN(AG239,MAX(0,CONTROL_PANEL!$B$13-AH239))))</f>
        <v/>
      </c>
      <c r="AK239" s="18"/>
      <c r="AM239" s="19">
        <f t="shared" si="177"/>
        <v>2035</v>
      </c>
      <c r="AN239" s="19">
        <f t="shared" si="142"/>
        <v>4</v>
      </c>
      <c r="AO239" s="18" t="str">
        <f t="shared" si="153"/>
        <v/>
      </c>
      <c r="AP239" s="18" t="str">
        <f t="shared" si="172"/>
        <v/>
      </c>
      <c r="AQ239" s="18" t="str">
        <f>IF(BD238&lt;&gt;1,"",IF(BA238&gt;0,IF(BA238&gt;CONTROL_PANEL!$B$11,CONTROL_PANEL!$B$11,BA238),0))</f>
        <v/>
      </c>
      <c r="AR239" s="18" t="str">
        <f t="shared" si="167"/>
        <v/>
      </c>
      <c r="AS239" s="18" t="str">
        <f>IF(BD239&lt;&gt;1,"",DATA_INPUT!$I239)</f>
        <v/>
      </c>
      <c r="AT239" s="18" t="str">
        <f>IF(BD239&lt;&gt;1,"",AS239*CONTROL_PANEL!$B$5)</f>
        <v/>
      </c>
      <c r="AU239" s="18" t="str">
        <f>IF(BD239&lt;&gt;1,"",DATA_INPUT!$C239)</f>
        <v/>
      </c>
      <c r="AV239" s="18" t="str">
        <f t="shared" si="154"/>
        <v/>
      </c>
      <c r="AW239" s="18" t="str">
        <f>IF(BD239&lt;&gt;1,"",DATA_INPUT!$H239)</f>
        <v/>
      </c>
      <c r="AX239" s="18" t="str">
        <f t="shared" si="155"/>
        <v/>
      </c>
      <c r="AY239" s="18" t="str">
        <f>IF(BD239&lt;&gt;1,"",AT239*CONTROL_PANEL!$B$14)</f>
        <v/>
      </c>
      <c r="AZ239" s="18" t="str">
        <f>IF(BD239&lt;&gt;1,"",DATA_INPUT!$M239)</f>
        <v/>
      </c>
      <c r="BA239" s="18" t="str">
        <f t="shared" si="156"/>
        <v/>
      </c>
      <c r="BB239" s="18" t="str">
        <f>IF(BD239&lt;&gt;1,"",IF(BA239-CONTROL_PANEL!$B$11&lt;0,0,BA239-CONTROL_PANEL!$B$11))</f>
        <v/>
      </c>
      <c r="BC239" s="18" t="str">
        <f>IF(BD239&lt;&gt;1,"",IF(AZ239&lt;=0,0,MIN(AZ239,MAX(0,CONTROL_PANEL!$B$13-BA239))))</f>
        <v/>
      </c>
      <c r="BD239" s="18"/>
      <c r="BF239" s="19">
        <f t="shared" si="178"/>
        <v>2035</v>
      </c>
      <c r="BG239" s="19">
        <f t="shared" si="143"/>
        <v>4</v>
      </c>
      <c r="BH239" s="18" t="str">
        <f t="shared" si="157"/>
        <v/>
      </c>
      <c r="BI239" s="18" t="str">
        <f t="shared" si="173"/>
        <v/>
      </c>
      <c r="BJ239" s="18" t="str">
        <f>IF(BW238&lt;&gt;1,"",IF(BT238&gt;0,IF(BT238&gt;CONTROL_PANEL!$B$11,CONTROL_PANEL!$B$11,BT238),0))</f>
        <v/>
      </c>
      <c r="BK239" s="18" t="str">
        <f t="shared" si="168"/>
        <v/>
      </c>
      <c r="BL239" s="18" t="str">
        <f>IF(BW239&lt;&gt;1,"",DATA_INPUT!$I239)</f>
        <v/>
      </c>
      <c r="BM239" s="18" t="str">
        <f>IF(BW239&lt;&gt;1,"",BL239*CONTROL_PANEL!$B$5)</f>
        <v/>
      </c>
      <c r="BN239" s="18" t="str">
        <f>IF(BW239&lt;&gt;1,"",DATA_INPUT!$C239)</f>
        <v/>
      </c>
      <c r="BO239" s="18" t="str">
        <f t="shared" si="158"/>
        <v/>
      </c>
      <c r="BP239" s="18" t="str">
        <f>IF(BW239&lt;&gt;1,"",DATA_INPUT!$H239)</f>
        <v/>
      </c>
      <c r="BQ239" s="18" t="str">
        <f t="shared" si="159"/>
        <v/>
      </c>
      <c r="BR239" s="18" t="str">
        <f>IF(BW239&lt;&gt;1,"",BM239*CONTROL_PANEL!$B$14)</f>
        <v/>
      </c>
      <c r="BS239" s="18" t="str">
        <f>IF(BW239&lt;&gt;1,"",DATA_INPUT!$N239)</f>
        <v/>
      </c>
      <c r="BT239" s="18" t="str">
        <f t="shared" si="160"/>
        <v/>
      </c>
      <c r="BU239" s="18" t="str">
        <f>IF(BW239&lt;&gt;1,"",IF(BT239-CONTROL_PANEL!$B$11&lt;0,0,BT239-CONTROL_PANEL!$B$11))</f>
        <v/>
      </c>
      <c r="BV239" s="18" t="str">
        <f>IF(BW239&lt;&gt;1,"",IF(BS239&lt;=0,0,MIN(BS239,MAX(0,CONTROL_PANEL!$B$13-BT239))))</f>
        <v/>
      </c>
      <c r="BW239" s="18"/>
      <c r="BY239" s="19">
        <f t="shared" si="179"/>
        <v>2035</v>
      </c>
      <c r="BZ239" s="19">
        <f t="shared" si="144"/>
        <v>4</v>
      </c>
      <c r="CA239" s="18" t="str">
        <f t="shared" si="161"/>
        <v/>
      </c>
      <c r="CB239" s="18" t="str">
        <f t="shared" si="174"/>
        <v/>
      </c>
      <c r="CC239" s="18" t="str">
        <f>IF(CP238&lt;&gt;1,"",IF(CM238&gt;0,IF(CM238&gt;CONTROL_PANEL!$B$11,CONTROL_PANEL!$B$11,CM238),0))</f>
        <v/>
      </c>
      <c r="CD239" s="18" t="str">
        <f t="shared" si="169"/>
        <v/>
      </c>
      <c r="CE239" s="18" t="str">
        <f>IF(CP239&lt;&gt;1,"",DATA_INPUT!$I239)</f>
        <v/>
      </c>
      <c r="CF239" s="18" t="str">
        <f>IF(CP239&lt;&gt;1,"",CE239*CONTROL_PANEL!$B$5)</f>
        <v/>
      </c>
      <c r="CG239" s="18" t="str">
        <f>IF(CP239&lt;&gt;1,"",DATA_INPUT!$C239)</f>
        <v/>
      </c>
      <c r="CH239" s="18" t="str">
        <f t="shared" si="162"/>
        <v/>
      </c>
      <c r="CI239" s="18" t="str">
        <f>IF(CP239&lt;&gt;1,"",DATA_INPUT!$H239)</f>
        <v/>
      </c>
      <c r="CJ239" s="18" t="str">
        <f t="shared" si="163"/>
        <v/>
      </c>
      <c r="CK239" s="18" t="str">
        <f>IF(CP239&lt;&gt;1,"",CF239*CONTROL_PANEL!$B$14)</f>
        <v/>
      </c>
      <c r="CL239" s="18" t="str">
        <f>IF(CP239&lt;&gt;1,"",DATA_INPUT!$O239)</f>
        <v/>
      </c>
      <c r="CM239" s="18" t="str">
        <f t="shared" si="164"/>
        <v/>
      </c>
      <c r="CN239" s="18" t="str">
        <f>IF(CP239&lt;&gt;1,"",IF(CM239-CONTROL_PANEL!$B$11&lt;0,0,CM239-CONTROL_PANEL!$B$11))</f>
        <v/>
      </c>
      <c r="CO239" s="18" t="str">
        <f>IF(CP239&lt;&gt;1,"",IF(CL239&lt;=0,0,MIN(CL239,MAX(0,CONTROL_PANEL!$B$13-CM239))))</f>
        <v/>
      </c>
      <c r="CP239" s="18"/>
    </row>
    <row r="240" spans="1:94" x14ac:dyDescent="0.25">
      <c r="A240" s="19">
        <f t="shared" si="175"/>
        <v>2035</v>
      </c>
      <c r="B240" s="19">
        <f t="shared" si="140"/>
        <v>5</v>
      </c>
      <c r="C240" s="18" t="str">
        <f t="shared" si="145"/>
        <v/>
      </c>
      <c r="D240" s="18" t="str">
        <f t="shared" si="170"/>
        <v/>
      </c>
      <c r="E240" s="18" t="str">
        <f>IF(R239&lt;&gt;1,"",IF(O239&gt;0,IF(O239&gt;CONTROL_PANEL!$B$11,CONTROL_PANEL!$B$11,O239),0))</f>
        <v/>
      </c>
      <c r="F240" s="18" t="str">
        <f t="shared" si="165"/>
        <v/>
      </c>
      <c r="G240" s="18" t="str">
        <f>IF(R240&lt;&gt;1,"",DATA_INPUT!I240)</f>
        <v/>
      </c>
      <c r="H240" s="18" t="str">
        <f>IF(R240&lt;&gt;1,"",G240*CONTROL_PANEL!$B$5)</f>
        <v/>
      </c>
      <c r="I240" s="18" t="str">
        <f>IF(R240&lt;&gt;1,"",DATA_INPUT!C240)</f>
        <v/>
      </c>
      <c r="J240" s="18" t="str">
        <f t="shared" si="146"/>
        <v/>
      </c>
      <c r="K240" s="18" t="str">
        <f>IF(R240&lt;&gt;1,"",DATA_INPUT!H240)</f>
        <v/>
      </c>
      <c r="L240" s="18" t="str">
        <f t="shared" si="147"/>
        <v/>
      </c>
      <c r="M240" s="18" t="str">
        <f>IF(R240&lt;&gt;1,"",H240*CONTROL_PANEL!$B$14)</f>
        <v/>
      </c>
      <c r="N240" s="18" t="str">
        <f>IF(R240&lt;&gt;1,"",DATA_INPUT!K240)</f>
        <v/>
      </c>
      <c r="O240" s="18" t="str">
        <f t="shared" si="148"/>
        <v/>
      </c>
      <c r="P240" s="18" t="str">
        <f>IF(R240&lt;&gt;1,"",IF(O240-CONTROL_PANEL!$B$11&lt;0,0,O240-CONTROL_PANEL!$B$11))</f>
        <v/>
      </c>
      <c r="Q240" s="18" t="str">
        <f>IF(R240&lt;&gt;1,"",IF(N240&lt;=0,0,MIN(N240,MAX(0,CONTROL_PANEL!$B$13-O240))))</f>
        <v/>
      </c>
      <c r="R240" s="18"/>
      <c r="T240" s="19">
        <f t="shared" si="176"/>
        <v>2035</v>
      </c>
      <c r="U240" s="19">
        <f t="shared" si="141"/>
        <v>5</v>
      </c>
      <c r="V240" s="18" t="str">
        <f t="shared" si="149"/>
        <v/>
      </c>
      <c r="W240" s="18" t="str">
        <f t="shared" si="171"/>
        <v/>
      </c>
      <c r="X240" s="18" t="str">
        <f>IF(AK239&lt;&gt;1,"",IF(AH239&gt;0,IF(AH239&gt;CONTROL_PANEL!$B$11,CONTROL_PANEL!$B$11,AH239),0))</f>
        <v/>
      </c>
      <c r="Y240" s="18" t="str">
        <f t="shared" si="166"/>
        <v/>
      </c>
      <c r="Z240" s="18" t="str">
        <f>IF(AK240&lt;&gt;1,"",DATA_INPUT!I240)</f>
        <v/>
      </c>
      <c r="AA240" s="18" t="str">
        <f>IF(AK240&lt;&gt;1,"",Z240*CONTROL_PANEL!$B$5)</f>
        <v/>
      </c>
      <c r="AB240" s="18" t="str">
        <f>IF(AK240&lt;&gt;1,"",DATA_INPUT!$C240)</f>
        <v/>
      </c>
      <c r="AC240" s="18" t="str">
        <f t="shared" si="150"/>
        <v/>
      </c>
      <c r="AD240" s="18" t="str">
        <f>IF(AK240&lt;&gt;1,"",DATA_INPUT!$H240)</f>
        <v/>
      </c>
      <c r="AE240" s="18" t="str">
        <f t="shared" si="151"/>
        <v/>
      </c>
      <c r="AF240" s="18" t="str">
        <f>IF(AK240&lt;&gt;1,"",AA240*CONTROL_PANEL!$B$14)</f>
        <v/>
      </c>
      <c r="AG240" s="18" t="str">
        <f>IF(AK240&lt;&gt;1,"",DATA_INPUT!$L240)</f>
        <v/>
      </c>
      <c r="AH240" s="18" t="str">
        <f t="shared" si="152"/>
        <v/>
      </c>
      <c r="AI240" s="18" t="str">
        <f>IF(AK240&lt;&gt;1,"",IF(AH240-CONTROL_PANEL!$B$11&lt;0,0,AH240-CONTROL_PANEL!$B$11))</f>
        <v/>
      </c>
      <c r="AJ240" s="18" t="str">
        <f>IF(AK240&lt;&gt;1,"",IF(AG240&lt;=0,0,MIN(AG240,MAX(0,CONTROL_PANEL!$B$13-AH240))))</f>
        <v/>
      </c>
      <c r="AK240" s="18"/>
      <c r="AM240" s="19">
        <f t="shared" si="177"/>
        <v>2035</v>
      </c>
      <c r="AN240" s="19">
        <f t="shared" si="142"/>
        <v>5</v>
      </c>
      <c r="AO240" s="18" t="str">
        <f t="shared" si="153"/>
        <v/>
      </c>
      <c r="AP240" s="18" t="str">
        <f t="shared" si="172"/>
        <v/>
      </c>
      <c r="AQ240" s="18" t="str">
        <f>IF(BD239&lt;&gt;1,"",IF(BA239&gt;0,IF(BA239&gt;CONTROL_PANEL!$B$11,CONTROL_PANEL!$B$11,BA239),0))</f>
        <v/>
      </c>
      <c r="AR240" s="18" t="str">
        <f t="shared" si="167"/>
        <v/>
      </c>
      <c r="AS240" s="18" t="str">
        <f>IF(BD240&lt;&gt;1,"",DATA_INPUT!$I240)</f>
        <v/>
      </c>
      <c r="AT240" s="18" t="str">
        <f>IF(BD240&lt;&gt;1,"",AS240*CONTROL_PANEL!$B$5)</f>
        <v/>
      </c>
      <c r="AU240" s="18" t="str">
        <f>IF(BD240&lt;&gt;1,"",DATA_INPUT!$C240)</f>
        <v/>
      </c>
      <c r="AV240" s="18" t="str">
        <f t="shared" si="154"/>
        <v/>
      </c>
      <c r="AW240" s="18" t="str">
        <f>IF(BD240&lt;&gt;1,"",DATA_INPUT!$H240)</f>
        <v/>
      </c>
      <c r="AX240" s="18" t="str">
        <f t="shared" si="155"/>
        <v/>
      </c>
      <c r="AY240" s="18" t="str">
        <f>IF(BD240&lt;&gt;1,"",AT240*CONTROL_PANEL!$B$14)</f>
        <v/>
      </c>
      <c r="AZ240" s="18" t="str">
        <f>IF(BD240&lt;&gt;1,"",DATA_INPUT!$M240)</f>
        <v/>
      </c>
      <c r="BA240" s="18" t="str">
        <f t="shared" si="156"/>
        <v/>
      </c>
      <c r="BB240" s="18" t="str">
        <f>IF(BD240&lt;&gt;1,"",IF(BA240-CONTROL_PANEL!$B$11&lt;0,0,BA240-CONTROL_PANEL!$B$11))</f>
        <v/>
      </c>
      <c r="BC240" s="18" t="str">
        <f>IF(BD240&lt;&gt;1,"",IF(AZ240&lt;=0,0,MIN(AZ240,MAX(0,CONTROL_PANEL!$B$13-BA240))))</f>
        <v/>
      </c>
      <c r="BD240" s="18"/>
      <c r="BF240" s="19">
        <f t="shared" si="178"/>
        <v>2035</v>
      </c>
      <c r="BG240" s="19">
        <f t="shared" si="143"/>
        <v>5</v>
      </c>
      <c r="BH240" s="18" t="str">
        <f t="shared" si="157"/>
        <v/>
      </c>
      <c r="BI240" s="18" t="str">
        <f t="shared" si="173"/>
        <v/>
      </c>
      <c r="BJ240" s="18" t="str">
        <f>IF(BW239&lt;&gt;1,"",IF(BT239&gt;0,IF(BT239&gt;CONTROL_PANEL!$B$11,CONTROL_PANEL!$B$11,BT239),0))</f>
        <v/>
      </c>
      <c r="BK240" s="18" t="str">
        <f t="shared" si="168"/>
        <v/>
      </c>
      <c r="BL240" s="18" t="str">
        <f>IF(BW240&lt;&gt;1,"",DATA_INPUT!$I240)</f>
        <v/>
      </c>
      <c r="BM240" s="18" t="str">
        <f>IF(BW240&lt;&gt;1,"",BL240*CONTROL_PANEL!$B$5)</f>
        <v/>
      </c>
      <c r="BN240" s="18" t="str">
        <f>IF(BW240&lt;&gt;1,"",DATA_INPUT!$C240)</f>
        <v/>
      </c>
      <c r="BO240" s="18" t="str">
        <f t="shared" si="158"/>
        <v/>
      </c>
      <c r="BP240" s="18" t="str">
        <f>IF(BW240&lt;&gt;1,"",DATA_INPUT!$H240)</f>
        <v/>
      </c>
      <c r="BQ240" s="18" t="str">
        <f t="shared" si="159"/>
        <v/>
      </c>
      <c r="BR240" s="18" t="str">
        <f>IF(BW240&lt;&gt;1,"",BM240*CONTROL_PANEL!$B$14)</f>
        <v/>
      </c>
      <c r="BS240" s="18" t="str">
        <f>IF(BW240&lt;&gt;1,"",DATA_INPUT!$N240)</f>
        <v/>
      </c>
      <c r="BT240" s="18" t="str">
        <f t="shared" si="160"/>
        <v/>
      </c>
      <c r="BU240" s="18" t="str">
        <f>IF(BW240&lt;&gt;1,"",IF(BT240-CONTROL_PANEL!$B$11&lt;0,0,BT240-CONTROL_PANEL!$B$11))</f>
        <v/>
      </c>
      <c r="BV240" s="18" t="str">
        <f>IF(BW240&lt;&gt;1,"",IF(BS240&lt;=0,0,MIN(BS240,MAX(0,CONTROL_PANEL!$B$13-BT240))))</f>
        <v/>
      </c>
      <c r="BW240" s="18"/>
      <c r="BY240" s="19">
        <f t="shared" si="179"/>
        <v>2035</v>
      </c>
      <c r="BZ240" s="19">
        <f t="shared" si="144"/>
        <v>5</v>
      </c>
      <c r="CA240" s="18" t="str">
        <f t="shared" si="161"/>
        <v/>
      </c>
      <c r="CB240" s="18" t="str">
        <f t="shared" si="174"/>
        <v/>
      </c>
      <c r="CC240" s="18" t="str">
        <f>IF(CP239&lt;&gt;1,"",IF(CM239&gt;0,IF(CM239&gt;CONTROL_PANEL!$B$11,CONTROL_PANEL!$B$11,CM239),0))</f>
        <v/>
      </c>
      <c r="CD240" s="18" t="str">
        <f t="shared" si="169"/>
        <v/>
      </c>
      <c r="CE240" s="18" t="str">
        <f>IF(CP240&lt;&gt;1,"",DATA_INPUT!$I240)</f>
        <v/>
      </c>
      <c r="CF240" s="18" t="str">
        <f>IF(CP240&lt;&gt;1,"",CE240*CONTROL_PANEL!$B$5)</f>
        <v/>
      </c>
      <c r="CG240" s="18" t="str">
        <f>IF(CP240&lt;&gt;1,"",DATA_INPUT!$C240)</f>
        <v/>
      </c>
      <c r="CH240" s="18" t="str">
        <f t="shared" si="162"/>
        <v/>
      </c>
      <c r="CI240" s="18" t="str">
        <f>IF(CP240&lt;&gt;1,"",DATA_INPUT!$H240)</f>
        <v/>
      </c>
      <c r="CJ240" s="18" t="str">
        <f t="shared" si="163"/>
        <v/>
      </c>
      <c r="CK240" s="18" t="str">
        <f>IF(CP240&lt;&gt;1,"",CF240*CONTROL_PANEL!$B$14)</f>
        <v/>
      </c>
      <c r="CL240" s="18" t="str">
        <f>IF(CP240&lt;&gt;1,"",DATA_INPUT!$O240)</f>
        <v/>
      </c>
      <c r="CM240" s="18" t="str">
        <f t="shared" si="164"/>
        <v/>
      </c>
      <c r="CN240" s="18" t="str">
        <f>IF(CP240&lt;&gt;1,"",IF(CM240-CONTROL_PANEL!$B$11&lt;0,0,CM240-CONTROL_PANEL!$B$11))</f>
        <v/>
      </c>
      <c r="CO240" s="18" t="str">
        <f>IF(CP240&lt;&gt;1,"",IF(CL240&lt;=0,0,MIN(CL240,MAX(0,CONTROL_PANEL!$B$13-CM240))))</f>
        <v/>
      </c>
      <c r="CP240" s="18"/>
    </row>
    <row r="241" spans="1:94" x14ac:dyDescent="0.25">
      <c r="A241" s="19">
        <f t="shared" si="175"/>
        <v>2035</v>
      </c>
      <c r="B241" s="19">
        <f t="shared" si="140"/>
        <v>6</v>
      </c>
      <c r="C241" s="18" t="str">
        <f t="shared" si="145"/>
        <v/>
      </c>
      <c r="D241" s="18" t="str">
        <f t="shared" si="170"/>
        <v/>
      </c>
      <c r="E241" s="18" t="str">
        <f>IF(R240&lt;&gt;1,"",IF(O240&gt;0,IF(O240&gt;CONTROL_PANEL!$B$11,CONTROL_PANEL!$B$11,O240),0))</f>
        <v/>
      </c>
      <c r="F241" s="18" t="str">
        <f t="shared" si="165"/>
        <v/>
      </c>
      <c r="G241" s="18" t="str">
        <f>IF(R241&lt;&gt;1,"",DATA_INPUT!I241)</f>
        <v/>
      </c>
      <c r="H241" s="18" t="str">
        <f>IF(R241&lt;&gt;1,"",G241*CONTROL_PANEL!$B$5)</f>
        <v/>
      </c>
      <c r="I241" s="18" t="str">
        <f>IF(R241&lt;&gt;1,"",DATA_INPUT!C241)</f>
        <v/>
      </c>
      <c r="J241" s="18" t="str">
        <f t="shared" si="146"/>
        <v/>
      </c>
      <c r="K241" s="18" t="str">
        <f>IF(R241&lt;&gt;1,"",DATA_INPUT!H241)</f>
        <v/>
      </c>
      <c r="L241" s="18" t="str">
        <f t="shared" si="147"/>
        <v/>
      </c>
      <c r="M241" s="18" t="str">
        <f>IF(R241&lt;&gt;1,"",H241*CONTROL_PANEL!$B$14)</f>
        <v/>
      </c>
      <c r="N241" s="18" t="str">
        <f>IF(R241&lt;&gt;1,"",DATA_INPUT!K241)</f>
        <v/>
      </c>
      <c r="O241" s="18" t="str">
        <f t="shared" si="148"/>
        <v/>
      </c>
      <c r="P241" s="18" t="str">
        <f>IF(R241&lt;&gt;1,"",IF(O241-CONTROL_PANEL!$B$11&lt;0,0,O241-CONTROL_PANEL!$B$11))</f>
        <v/>
      </c>
      <c r="Q241" s="18" t="str">
        <f>IF(R241&lt;&gt;1,"",IF(N241&lt;=0,0,MIN(N241,MAX(0,CONTROL_PANEL!$B$13-O241))))</f>
        <v/>
      </c>
      <c r="R241" s="18"/>
      <c r="T241" s="19">
        <f t="shared" si="176"/>
        <v>2035</v>
      </c>
      <c r="U241" s="19">
        <f t="shared" si="141"/>
        <v>6</v>
      </c>
      <c r="V241" s="18" t="str">
        <f t="shared" si="149"/>
        <v/>
      </c>
      <c r="W241" s="18" t="str">
        <f t="shared" si="171"/>
        <v/>
      </c>
      <c r="X241" s="18" t="str">
        <f>IF(AK240&lt;&gt;1,"",IF(AH240&gt;0,IF(AH240&gt;CONTROL_PANEL!$B$11,CONTROL_PANEL!$B$11,AH240),0))</f>
        <v/>
      </c>
      <c r="Y241" s="18" t="str">
        <f t="shared" si="166"/>
        <v/>
      </c>
      <c r="Z241" s="18" t="str">
        <f>IF(AK241&lt;&gt;1,"",DATA_INPUT!I241)</f>
        <v/>
      </c>
      <c r="AA241" s="18" t="str">
        <f>IF(AK241&lt;&gt;1,"",Z241*CONTROL_PANEL!$B$5)</f>
        <v/>
      </c>
      <c r="AB241" s="18" t="str">
        <f>IF(AK241&lt;&gt;1,"",DATA_INPUT!$C241)</f>
        <v/>
      </c>
      <c r="AC241" s="18" t="str">
        <f t="shared" si="150"/>
        <v/>
      </c>
      <c r="AD241" s="18" t="str">
        <f>IF(AK241&lt;&gt;1,"",DATA_INPUT!$H241)</f>
        <v/>
      </c>
      <c r="AE241" s="18" t="str">
        <f t="shared" si="151"/>
        <v/>
      </c>
      <c r="AF241" s="18" t="str">
        <f>IF(AK241&lt;&gt;1,"",AA241*CONTROL_PANEL!$B$14)</f>
        <v/>
      </c>
      <c r="AG241" s="18" t="str">
        <f>IF(AK241&lt;&gt;1,"",DATA_INPUT!$L241)</f>
        <v/>
      </c>
      <c r="AH241" s="18" t="str">
        <f t="shared" si="152"/>
        <v/>
      </c>
      <c r="AI241" s="18" t="str">
        <f>IF(AK241&lt;&gt;1,"",IF(AH241-CONTROL_PANEL!$B$11&lt;0,0,AH241-CONTROL_PANEL!$B$11))</f>
        <v/>
      </c>
      <c r="AJ241" s="18" t="str">
        <f>IF(AK241&lt;&gt;1,"",IF(AG241&lt;=0,0,MIN(AG241,MAX(0,CONTROL_PANEL!$B$13-AH241))))</f>
        <v/>
      </c>
      <c r="AK241" s="18"/>
      <c r="AM241" s="19">
        <f t="shared" si="177"/>
        <v>2035</v>
      </c>
      <c r="AN241" s="19">
        <f t="shared" si="142"/>
        <v>6</v>
      </c>
      <c r="AO241" s="18" t="str">
        <f t="shared" si="153"/>
        <v/>
      </c>
      <c r="AP241" s="18" t="str">
        <f t="shared" si="172"/>
        <v/>
      </c>
      <c r="AQ241" s="18" t="str">
        <f>IF(BD240&lt;&gt;1,"",IF(BA240&gt;0,IF(BA240&gt;CONTROL_PANEL!$B$11,CONTROL_PANEL!$B$11,BA240),0))</f>
        <v/>
      </c>
      <c r="AR241" s="18" t="str">
        <f t="shared" si="167"/>
        <v/>
      </c>
      <c r="AS241" s="18" t="str">
        <f>IF(BD241&lt;&gt;1,"",DATA_INPUT!$I241)</f>
        <v/>
      </c>
      <c r="AT241" s="18" t="str">
        <f>IF(BD241&lt;&gt;1,"",AS241*CONTROL_PANEL!$B$5)</f>
        <v/>
      </c>
      <c r="AU241" s="18" t="str">
        <f>IF(BD241&lt;&gt;1,"",DATA_INPUT!$C241)</f>
        <v/>
      </c>
      <c r="AV241" s="18" t="str">
        <f t="shared" si="154"/>
        <v/>
      </c>
      <c r="AW241" s="18" t="str">
        <f>IF(BD241&lt;&gt;1,"",DATA_INPUT!$H241)</f>
        <v/>
      </c>
      <c r="AX241" s="18" t="str">
        <f t="shared" si="155"/>
        <v/>
      </c>
      <c r="AY241" s="18" t="str">
        <f>IF(BD241&lt;&gt;1,"",AT241*CONTROL_PANEL!$B$14)</f>
        <v/>
      </c>
      <c r="AZ241" s="18" t="str">
        <f>IF(BD241&lt;&gt;1,"",DATA_INPUT!$M241)</f>
        <v/>
      </c>
      <c r="BA241" s="18" t="str">
        <f t="shared" si="156"/>
        <v/>
      </c>
      <c r="BB241" s="18" t="str">
        <f>IF(BD241&lt;&gt;1,"",IF(BA241-CONTROL_PANEL!$B$11&lt;0,0,BA241-CONTROL_PANEL!$B$11))</f>
        <v/>
      </c>
      <c r="BC241" s="18" t="str">
        <f>IF(BD241&lt;&gt;1,"",IF(AZ241&lt;=0,0,MIN(AZ241,MAX(0,CONTROL_PANEL!$B$13-BA241))))</f>
        <v/>
      </c>
      <c r="BD241" s="18"/>
      <c r="BF241" s="19">
        <f t="shared" si="178"/>
        <v>2035</v>
      </c>
      <c r="BG241" s="19">
        <f t="shared" si="143"/>
        <v>6</v>
      </c>
      <c r="BH241" s="18" t="str">
        <f t="shared" si="157"/>
        <v/>
      </c>
      <c r="BI241" s="18" t="str">
        <f t="shared" si="173"/>
        <v/>
      </c>
      <c r="BJ241" s="18" t="str">
        <f>IF(BW240&lt;&gt;1,"",IF(BT240&gt;0,IF(BT240&gt;CONTROL_PANEL!$B$11,CONTROL_PANEL!$B$11,BT240),0))</f>
        <v/>
      </c>
      <c r="BK241" s="18" t="str">
        <f t="shared" si="168"/>
        <v/>
      </c>
      <c r="BL241" s="18" t="str">
        <f>IF(BW241&lt;&gt;1,"",DATA_INPUT!$I241)</f>
        <v/>
      </c>
      <c r="BM241" s="18" t="str">
        <f>IF(BW241&lt;&gt;1,"",BL241*CONTROL_PANEL!$B$5)</f>
        <v/>
      </c>
      <c r="BN241" s="18" t="str">
        <f>IF(BW241&lt;&gt;1,"",DATA_INPUT!$C241)</f>
        <v/>
      </c>
      <c r="BO241" s="18" t="str">
        <f t="shared" si="158"/>
        <v/>
      </c>
      <c r="BP241" s="18" t="str">
        <f>IF(BW241&lt;&gt;1,"",DATA_INPUT!$H241)</f>
        <v/>
      </c>
      <c r="BQ241" s="18" t="str">
        <f t="shared" si="159"/>
        <v/>
      </c>
      <c r="BR241" s="18" t="str">
        <f>IF(BW241&lt;&gt;1,"",BM241*CONTROL_PANEL!$B$14)</f>
        <v/>
      </c>
      <c r="BS241" s="18" t="str">
        <f>IF(BW241&lt;&gt;1,"",DATA_INPUT!$N241)</f>
        <v/>
      </c>
      <c r="BT241" s="18" t="str">
        <f t="shared" si="160"/>
        <v/>
      </c>
      <c r="BU241" s="18" t="str">
        <f>IF(BW241&lt;&gt;1,"",IF(BT241-CONTROL_PANEL!$B$11&lt;0,0,BT241-CONTROL_PANEL!$B$11))</f>
        <v/>
      </c>
      <c r="BV241" s="18" t="str">
        <f>IF(BW241&lt;&gt;1,"",IF(BS241&lt;=0,0,MIN(BS241,MAX(0,CONTROL_PANEL!$B$13-BT241))))</f>
        <v/>
      </c>
      <c r="BW241" s="18"/>
      <c r="BY241" s="19">
        <f t="shared" si="179"/>
        <v>2035</v>
      </c>
      <c r="BZ241" s="19">
        <f t="shared" si="144"/>
        <v>6</v>
      </c>
      <c r="CA241" s="18" t="str">
        <f t="shared" si="161"/>
        <v/>
      </c>
      <c r="CB241" s="18" t="str">
        <f t="shared" si="174"/>
        <v/>
      </c>
      <c r="CC241" s="18" t="str">
        <f>IF(CP240&lt;&gt;1,"",IF(CM240&gt;0,IF(CM240&gt;CONTROL_PANEL!$B$11,CONTROL_PANEL!$B$11,CM240),0))</f>
        <v/>
      </c>
      <c r="CD241" s="18" t="str">
        <f t="shared" si="169"/>
        <v/>
      </c>
      <c r="CE241" s="18" t="str">
        <f>IF(CP241&lt;&gt;1,"",DATA_INPUT!$I241)</f>
        <v/>
      </c>
      <c r="CF241" s="18" t="str">
        <f>IF(CP241&lt;&gt;1,"",CE241*CONTROL_PANEL!$B$5)</f>
        <v/>
      </c>
      <c r="CG241" s="18" t="str">
        <f>IF(CP241&lt;&gt;1,"",DATA_INPUT!$C241)</f>
        <v/>
      </c>
      <c r="CH241" s="18" t="str">
        <f t="shared" si="162"/>
        <v/>
      </c>
      <c r="CI241" s="18" t="str">
        <f>IF(CP241&lt;&gt;1,"",DATA_INPUT!$H241)</f>
        <v/>
      </c>
      <c r="CJ241" s="18" t="str">
        <f t="shared" si="163"/>
        <v/>
      </c>
      <c r="CK241" s="18" t="str">
        <f>IF(CP241&lt;&gt;1,"",CF241*CONTROL_PANEL!$B$14)</f>
        <v/>
      </c>
      <c r="CL241" s="18" t="str">
        <f>IF(CP241&lt;&gt;1,"",DATA_INPUT!$O241)</f>
        <v/>
      </c>
      <c r="CM241" s="18" t="str">
        <f t="shared" si="164"/>
        <v/>
      </c>
      <c r="CN241" s="18" t="str">
        <f>IF(CP241&lt;&gt;1,"",IF(CM241-CONTROL_PANEL!$B$11&lt;0,0,CM241-CONTROL_PANEL!$B$11))</f>
        <v/>
      </c>
      <c r="CO241" s="18" t="str">
        <f>IF(CP241&lt;&gt;1,"",IF(CL241&lt;=0,0,MIN(CL241,MAX(0,CONTROL_PANEL!$B$13-CM241))))</f>
        <v/>
      </c>
      <c r="CP241" s="18"/>
    </row>
    <row r="242" spans="1:94" x14ac:dyDescent="0.25">
      <c r="A242" s="19">
        <f t="shared" si="175"/>
        <v>2035</v>
      </c>
      <c r="B242" s="19">
        <f t="shared" si="140"/>
        <v>7</v>
      </c>
      <c r="C242" s="18" t="str">
        <f t="shared" si="145"/>
        <v/>
      </c>
      <c r="D242" s="18" t="str">
        <f t="shared" si="170"/>
        <v/>
      </c>
      <c r="E242" s="18" t="str">
        <f>IF(R241&lt;&gt;1,"",IF(O241&gt;0,IF(O241&gt;CONTROL_PANEL!$B$11,CONTROL_PANEL!$B$11,O241),0))</f>
        <v/>
      </c>
      <c r="F242" s="18" t="str">
        <f t="shared" si="165"/>
        <v/>
      </c>
      <c r="G242" s="18" t="str">
        <f>IF(R242&lt;&gt;1,"",DATA_INPUT!I242)</f>
        <v/>
      </c>
      <c r="H242" s="18" t="str">
        <f>IF(R242&lt;&gt;1,"",G242*CONTROL_PANEL!$B$5)</f>
        <v/>
      </c>
      <c r="I242" s="18" t="str">
        <f>IF(R242&lt;&gt;1,"",DATA_INPUT!C242)</f>
        <v/>
      </c>
      <c r="J242" s="18" t="str">
        <f t="shared" si="146"/>
        <v/>
      </c>
      <c r="K242" s="18" t="str">
        <f>IF(R242&lt;&gt;1,"",DATA_INPUT!H242)</f>
        <v/>
      </c>
      <c r="L242" s="18" t="str">
        <f t="shared" si="147"/>
        <v/>
      </c>
      <c r="M242" s="18" t="str">
        <f>IF(R242&lt;&gt;1,"",H242*CONTROL_PANEL!$B$14)</f>
        <v/>
      </c>
      <c r="N242" s="18" t="str">
        <f>IF(R242&lt;&gt;1,"",DATA_INPUT!K242)</f>
        <v/>
      </c>
      <c r="O242" s="18" t="str">
        <f t="shared" si="148"/>
        <v/>
      </c>
      <c r="P242" s="18" t="str">
        <f>IF(R242&lt;&gt;1,"",IF(O242-CONTROL_PANEL!$B$11&lt;0,0,O242-CONTROL_PANEL!$B$11))</f>
        <v/>
      </c>
      <c r="Q242" s="18" t="str">
        <f>IF(R242&lt;&gt;1,"",IF(N242&lt;=0,0,MIN(N242,MAX(0,CONTROL_PANEL!$B$13-O242))))</f>
        <v/>
      </c>
      <c r="R242" s="18"/>
      <c r="T242" s="19">
        <f t="shared" si="176"/>
        <v>2035</v>
      </c>
      <c r="U242" s="19">
        <f t="shared" si="141"/>
        <v>7</v>
      </c>
      <c r="V242" s="18" t="str">
        <f t="shared" si="149"/>
        <v/>
      </c>
      <c r="W242" s="18" t="str">
        <f t="shared" si="171"/>
        <v/>
      </c>
      <c r="X242" s="18" t="str">
        <f>IF(AK241&lt;&gt;1,"",IF(AH241&gt;0,IF(AH241&gt;CONTROL_PANEL!$B$11,CONTROL_PANEL!$B$11,AH241),0))</f>
        <v/>
      </c>
      <c r="Y242" s="18" t="str">
        <f t="shared" si="166"/>
        <v/>
      </c>
      <c r="Z242" s="18" t="str">
        <f>IF(AK242&lt;&gt;1,"",DATA_INPUT!I242)</f>
        <v/>
      </c>
      <c r="AA242" s="18" t="str">
        <f>IF(AK242&lt;&gt;1,"",Z242*CONTROL_PANEL!$B$5)</f>
        <v/>
      </c>
      <c r="AB242" s="18" t="str">
        <f>IF(AK242&lt;&gt;1,"",DATA_INPUT!$C242)</f>
        <v/>
      </c>
      <c r="AC242" s="18" t="str">
        <f t="shared" si="150"/>
        <v/>
      </c>
      <c r="AD242" s="18" t="str">
        <f>IF(AK242&lt;&gt;1,"",DATA_INPUT!$H242)</f>
        <v/>
      </c>
      <c r="AE242" s="18" t="str">
        <f t="shared" si="151"/>
        <v/>
      </c>
      <c r="AF242" s="18" t="str">
        <f>IF(AK242&lt;&gt;1,"",AA242*CONTROL_PANEL!$B$14)</f>
        <v/>
      </c>
      <c r="AG242" s="18" t="str">
        <f>IF(AK242&lt;&gt;1,"",DATA_INPUT!$L242)</f>
        <v/>
      </c>
      <c r="AH242" s="18" t="str">
        <f t="shared" si="152"/>
        <v/>
      </c>
      <c r="AI242" s="18" t="str">
        <f>IF(AK242&lt;&gt;1,"",IF(AH242-CONTROL_PANEL!$B$11&lt;0,0,AH242-CONTROL_PANEL!$B$11))</f>
        <v/>
      </c>
      <c r="AJ242" s="18" t="str">
        <f>IF(AK242&lt;&gt;1,"",IF(AG242&lt;=0,0,MIN(AG242,MAX(0,CONTROL_PANEL!$B$13-AH242))))</f>
        <v/>
      </c>
      <c r="AK242" s="18"/>
      <c r="AM242" s="19">
        <f t="shared" si="177"/>
        <v>2035</v>
      </c>
      <c r="AN242" s="19">
        <f t="shared" si="142"/>
        <v>7</v>
      </c>
      <c r="AO242" s="18" t="str">
        <f t="shared" si="153"/>
        <v/>
      </c>
      <c r="AP242" s="18" t="str">
        <f t="shared" si="172"/>
        <v/>
      </c>
      <c r="AQ242" s="18" t="str">
        <f>IF(BD241&lt;&gt;1,"",IF(BA241&gt;0,IF(BA241&gt;CONTROL_PANEL!$B$11,CONTROL_PANEL!$B$11,BA241),0))</f>
        <v/>
      </c>
      <c r="AR242" s="18" t="str">
        <f t="shared" si="167"/>
        <v/>
      </c>
      <c r="AS242" s="18" t="str">
        <f>IF(BD242&lt;&gt;1,"",DATA_INPUT!$I242)</f>
        <v/>
      </c>
      <c r="AT242" s="18" t="str">
        <f>IF(BD242&lt;&gt;1,"",AS242*CONTROL_PANEL!$B$5)</f>
        <v/>
      </c>
      <c r="AU242" s="18" t="str">
        <f>IF(BD242&lt;&gt;1,"",DATA_INPUT!$C242)</f>
        <v/>
      </c>
      <c r="AV242" s="18" t="str">
        <f t="shared" si="154"/>
        <v/>
      </c>
      <c r="AW242" s="18" t="str">
        <f>IF(BD242&lt;&gt;1,"",DATA_INPUT!$H242)</f>
        <v/>
      </c>
      <c r="AX242" s="18" t="str">
        <f t="shared" si="155"/>
        <v/>
      </c>
      <c r="AY242" s="18" t="str">
        <f>IF(BD242&lt;&gt;1,"",AT242*CONTROL_PANEL!$B$14)</f>
        <v/>
      </c>
      <c r="AZ242" s="18" t="str">
        <f>IF(BD242&lt;&gt;1,"",DATA_INPUT!$M242)</f>
        <v/>
      </c>
      <c r="BA242" s="18" t="str">
        <f t="shared" si="156"/>
        <v/>
      </c>
      <c r="BB242" s="18" t="str">
        <f>IF(BD242&lt;&gt;1,"",IF(BA242-CONTROL_PANEL!$B$11&lt;0,0,BA242-CONTROL_PANEL!$B$11))</f>
        <v/>
      </c>
      <c r="BC242" s="18" t="str">
        <f>IF(BD242&lt;&gt;1,"",IF(AZ242&lt;=0,0,MIN(AZ242,MAX(0,CONTROL_PANEL!$B$13-BA242))))</f>
        <v/>
      </c>
      <c r="BD242" s="18"/>
      <c r="BF242" s="19">
        <f t="shared" si="178"/>
        <v>2035</v>
      </c>
      <c r="BG242" s="19">
        <f t="shared" si="143"/>
        <v>7</v>
      </c>
      <c r="BH242" s="18" t="str">
        <f t="shared" si="157"/>
        <v/>
      </c>
      <c r="BI242" s="18" t="str">
        <f t="shared" si="173"/>
        <v/>
      </c>
      <c r="BJ242" s="18" t="str">
        <f>IF(BW241&lt;&gt;1,"",IF(BT241&gt;0,IF(BT241&gt;CONTROL_PANEL!$B$11,CONTROL_PANEL!$B$11,BT241),0))</f>
        <v/>
      </c>
      <c r="BK242" s="18" t="str">
        <f t="shared" si="168"/>
        <v/>
      </c>
      <c r="BL242" s="18" t="str">
        <f>IF(BW242&lt;&gt;1,"",DATA_INPUT!$I242)</f>
        <v/>
      </c>
      <c r="BM242" s="18" t="str">
        <f>IF(BW242&lt;&gt;1,"",BL242*CONTROL_PANEL!$B$5)</f>
        <v/>
      </c>
      <c r="BN242" s="18" t="str">
        <f>IF(BW242&lt;&gt;1,"",DATA_INPUT!$C242)</f>
        <v/>
      </c>
      <c r="BO242" s="18" t="str">
        <f t="shared" si="158"/>
        <v/>
      </c>
      <c r="BP242" s="18" t="str">
        <f>IF(BW242&lt;&gt;1,"",DATA_INPUT!$H242)</f>
        <v/>
      </c>
      <c r="BQ242" s="18" t="str">
        <f t="shared" si="159"/>
        <v/>
      </c>
      <c r="BR242" s="18" t="str">
        <f>IF(BW242&lt;&gt;1,"",BM242*CONTROL_PANEL!$B$14)</f>
        <v/>
      </c>
      <c r="BS242" s="18" t="str">
        <f>IF(BW242&lt;&gt;1,"",DATA_INPUT!$N242)</f>
        <v/>
      </c>
      <c r="BT242" s="18" t="str">
        <f t="shared" si="160"/>
        <v/>
      </c>
      <c r="BU242" s="18" t="str">
        <f>IF(BW242&lt;&gt;1,"",IF(BT242-CONTROL_PANEL!$B$11&lt;0,0,BT242-CONTROL_PANEL!$B$11))</f>
        <v/>
      </c>
      <c r="BV242" s="18" t="str">
        <f>IF(BW242&lt;&gt;1,"",IF(BS242&lt;=0,0,MIN(BS242,MAX(0,CONTROL_PANEL!$B$13-BT242))))</f>
        <v/>
      </c>
      <c r="BW242" s="18"/>
      <c r="BY242" s="19">
        <f t="shared" si="179"/>
        <v>2035</v>
      </c>
      <c r="BZ242" s="19">
        <f t="shared" si="144"/>
        <v>7</v>
      </c>
      <c r="CA242" s="18" t="str">
        <f t="shared" si="161"/>
        <v/>
      </c>
      <c r="CB242" s="18" t="str">
        <f t="shared" si="174"/>
        <v/>
      </c>
      <c r="CC242" s="18" t="str">
        <f>IF(CP241&lt;&gt;1,"",IF(CM241&gt;0,IF(CM241&gt;CONTROL_PANEL!$B$11,CONTROL_PANEL!$B$11,CM241),0))</f>
        <v/>
      </c>
      <c r="CD242" s="18" t="str">
        <f t="shared" si="169"/>
        <v/>
      </c>
      <c r="CE242" s="18" t="str">
        <f>IF(CP242&lt;&gt;1,"",DATA_INPUT!$I242)</f>
        <v/>
      </c>
      <c r="CF242" s="18" t="str">
        <f>IF(CP242&lt;&gt;1,"",CE242*CONTROL_PANEL!$B$5)</f>
        <v/>
      </c>
      <c r="CG242" s="18" t="str">
        <f>IF(CP242&lt;&gt;1,"",DATA_INPUT!$C242)</f>
        <v/>
      </c>
      <c r="CH242" s="18" t="str">
        <f t="shared" si="162"/>
        <v/>
      </c>
      <c r="CI242" s="18" t="str">
        <f>IF(CP242&lt;&gt;1,"",DATA_INPUT!$H242)</f>
        <v/>
      </c>
      <c r="CJ242" s="18" t="str">
        <f t="shared" si="163"/>
        <v/>
      </c>
      <c r="CK242" s="18" t="str">
        <f>IF(CP242&lt;&gt;1,"",CF242*CONTROL_PANEL!$B$14)</f>
        <v/>
      </c>
      <c r="CL242" s="18" t="str">
        <f>IF(CP242&lt;&gt;1,"",DATA_INPUT!$O242)</f>
        <v/>
      </c>
      <c r="CM242" s="18" t="str">
        <f t="shared" si="164"/>
        <v/>
      </c>
      <c r="CN242" s="18" t="str">
        <f>IF(CP242&lt;&gt;1,"",IF(CM242-CONTROL_PANEL!$B$11&lt;0,0,CM242-CONTROL_PANEL!$B$11))</f>
        <v/>
      </c>
      <c r="CO242" s="18" t="str">
        <f>IF(CP242&lt;&gt;1,"",IF(CL242&lt;=0,0,MIN(CL242,MAX(0,CONTROL_PANEL!$B$13-CM242))))</f>
        <v/>
      </c>
      <c r="CP242" s="18"/>
    </row>
    <row r="243" spans="1:94" x14ac:dyDescent="0.25">
      <c r="A243" s="19">
        <f t="shared" si="175"/>
        <v>2035</v>
      </c>
      <c r="B243" s="19">
        <f t="shared" si="140"/>
        <v>8</v>
      </c>
      <c r="C243" s="18" t="str">
        <f t="shared" si="145"/>
        <v/>
      </c>
      <c r="D243" s="18" t="str">
        <f t="shared" si="170"/>
        <v/>
      </c>
      <c r="E243" s="18" t="str">
        <f>IF(R242&lt;&gt;1,"",IF(O242&gt;0,IF(O242&gt;CONTROL_PANEL!$B$11,CONTROL_PANEL!$B$11,O242),0))</f>
        <v/>
      </c>
      <c r="F243" s="18" t="str">
        <f t="shared" si="165"/>
        <v/>
      </c>
      <c r="G243" s="18" t="str">
        <f>IF(R243&lt;&gt;1,"",DATA_INPUT!I243)</f>
        <v/>
      </c>
      <c r="H243" s="18" t="str">
        <f>IF(R243&lt;&gt;1,"",G243*CONTROL_PANEL!$B$5)</f>
        <v/>
      </c>
      <c r="I243" s="18" t="str">
        <f>IF(R243&lt;&gt;1,"",DATA_INPUT!C243)</f>
        <v/>
      </c>
      <c r="J243" s="18" t="str">
        <f t="shared" si="146"/>
        <v/>
      </c>
      <c r="K243" s="18" t="str">
        <f>IF(R243&lt;&gt;1,"",DATA_INPUT!H243)</f>
        <v/>
      </c>
      <c r="L243" s="18" t="str">
        <f t="shared" si="147"/>
        <v/>
      </c>
      <c r="M243" s="18" t="str">
        <f>IF(R243&lt;&gt;1,"",H243*CONTROL_PANEL!$B$14)</f>
        <v/>
      </c>
      <c r="N243" s="18" t="str">
        <f>IF(R243&lt;&gt;1,"",DATA_INPUT!K243)</f>
        <v/>
      </c>
      <c r="O243" s="18" t="str">
        <f t="shared" si="148"/>
        <v/>
      </c>
      <c r="P243" s="18" t="str">
        <f>IF(R243&lt;&gt;1,"",IF(O243-CONTROL_PANEL!$B$11&lt;0,0,O243-CONTROL_PANEL!$B$11))</f>
        <v/>
      </c>
      <c r="Q243" s="18" t="str">
        <f>IF(R243&lt;&gt;1,"",IF(N243&lt;=0,0,MIN(N243,MAX(0,CONTROL_PANEL!$B$13-O243))))</f>
        <v/>
      </c>
      <c r="R243" s="18"/>
      <c r="T243" s="19">
        <f t="shared" si="176"/>
        <v>2035</v>
      </c>
      <c r="U243" s="19">
        <f t="shared" si="141"/>
        <v>8</v>
      </c>
      <c r="V243" s="18" t="str">
        <f t="shared" si="149"/>
        <v/>
      </c>
      <c r="W243" s="18" t="str">
        <f t="shared" si="171"/>
        <v/>
      </c>
      <c r="X243" s="18" t="str">
        <f>IF(AK242&lt;&gt;1,"",IF(AH242&gt;0,IF(AH242&gt;CONTROL_PANEL!$B$11,CONTROL_PANEL!$B$11,AH242),0))</f>
        <v/>
      </c>
      <c r="Y243" s="18" t="str">
        <f t="shared" si="166"/>
        <v/>
      </c>
      <c r="Z243" s="18" t="str">
        <f>IF(AK243&lt;&gt;1,"",DATA_INPUT!I243)</f>
        <v/>
      </c>
      <c r="AA243" s="18" t="str">
        <f>IF(AK243&lt;&gt;1,"",Z243*CONTROL_PANEL!$B$5)</f>
        <v/>
      </c>
      <c r="AB243" s="18" t="str">
        <f>IF(AK243&lt;&gt;1,"",DATA_INPUT!$C243)</f>
        <v/>
      </c>
      <c r="AC243" s="18" t="str">
        <f t="shared" si="150"/>
        <v/>
      </c>
      <c r="AD243" s="18" t="str">
        <f>IF(AK243&lt;&gt;1,"",DATA_INPUT!$H243)</f>
        <v/>
      </c>
      <c r="AE243" s="18" t="str">
        <f t="shared" si="151"/>
        <v/>
      </c>
      <c r="AF243" s="18" t="str">
        <f>IF(AK243&lt;&gt;1,"",AA243*CONTROL_PANEL!$B$14)</f>
        <v/>
      </c>
      <c r="AG243" s="18" t="str">
        <f>IF(AK243&lt;&gt;1,"",DATA_INPUT!$L243)</f>
        <v/>
      </c>
      <c r="AH243" s="18" t="str">
        <f t="shared" si="152"/>
        <v/>
      </c>
      <c r="AI243" s="18" t="str">
        <f>IF(AK243&lt;&gt;1,"",IF(AH243-CONTROL_PANEL!$B$11&lt;0,0,AH243-CONTROL_PANEL!$B$11))</f>
        <v/>
      </c>
      <c r="AJ243" s="18" t="str">
        <f>IF(AK243&lt;&gt;1,"",IF(AG243&lt;=0,0,MIN(AG243,MAX(0,CONTROL_PANEL!$B$13-AH243))))</f>
        <v/>
      </c>
      <c r="AK243" s="18"/>
      <c r="AM243" s="19">
        <f t="shared" si="177"/>
        <v>2035</v>
      </c>
      <c r="AN243" s="19">
        <f t="shared" si="142"/>
        <v>8</v>
      </c>
      <c r="AO243" s="18" t="str">
        <f t="shared" si="153"/>
        <v/>
      </c>
      <c r="AP243" s="18" t="str">
        <f t="shared" si="172"/>
        <v/>
      </c>
      <c r="AQ243" s="18" t="str">
        <f>IF(BD242&lt;&gt;1,"",IF(BA242&gt;0,IF(BA242&gt;CONTROL_PANEL!$B$11,CONTROL_PANEL!$B$11,BA242),0))</f>
        <v/>
      </c>
      <c r="AR243" s="18" t="str">
        <f t="shared" si="167"/>
        <v/>
      </c>
      <c r="AS243" s="18" t="str">
        <f>IF(BD243&lt;&gt;1,"",DATA_INPUT!$I243)</f>
        <v/>
      </c>
      <c r="AT243" s="18" t="str">
        <f>IF(BD243&lt;&gt;1,"",AS243*CONTROL_PANEL!$B$5)</f>
        <v/>
      </c>
      <c r="AU243" s="18" t="str">
        <f>IF(BD243&lt;&gt;1,"",DATA_INPUT!$C243)</f>
        <v/>
      </c>
      <c r="AV243" s="18" t="str">
        <f t="shared" si="154"/>
        <v/>
      </c>
      <c r="AW243" s="18" t="str">
        <f>IF(BD243&lt;&gt;1,"",DATA_INPUT!$H243)</f>
        <v/>
      </c>
      <c r="AX243" s="18" t="str">
        <f t="shared" si="155"/>
        <v/>
      </c>
      <c r="AY243" s="18" t="str">
        <f>IF(BD243&lt;&gt;1,"",AT243*CONTROL_PANEL!$B$14)</f>
        <v/>
      </c>
      <c r="AZ243" s="18" t="str">
        <f>IF(BD243&lt;&gt;1,"",DATA_INPUT!$M243)</f>
        <v/>
      </c>
      <c r="BA243" s="18" t="str">
        <f t="shared" si="156"/>
        <v/>
      </c>
      <c r="BB243" s="18" t="str">
        <f>IF(BD243&lt;&gt;1,"",IF(BA243-CONTROL_PANEL!$B$11&lt;0,0,BA243-CONTROL_PANEL!$B$11))</f>
        <v/>
      </c>
      <c r="BC243" s="18" t="str">
        <f>IF(BD243&lt;&gt;1,"",IF(AZ243&lt;=0,0,MIN(AZ243,MAX(0,CONTROL_PANEL!$B$13-BA243))))</f>
        <v/>
      </c>
      <c r="BD243" s="18"/>
      <c r="BF243" s="19">
        <f t="shared" si="178"/>
        <v>2035</v>
      </c>
      <c r="BG243" s="19">
        <f t="shared" si="143"/>
        <v>8</v>
      </c>
      <c r="BH243" s="18" t="str">
        <f t="shared" si="157"/>
        <v/>
      </c>
      <c r="BI243" s="18" t="str">
        <f t="shared" si="173"/>
        <v/>
      </c>
      <c r="BJ243" s="18" t="str">
        <f>IF(BW242&lt;&gt;1,"",IF(BT242&gt;0,IF(BT242&gt;CONTROL_PANEL!$B$11,CONTROL_PANEL!$B$11,BT242),0))</f>
        <v/>
      </c>
      <c r="BK243" s="18" t="str">
        <f t="shared" si="168"/>
        <v/>
      </c>
      <c r="BL243" s="18" t="str">
        <f>IF(BW243&lt;&gt;1,"",DATA_INPUT!$I243)</f>
        <v/>
      </c>
      <c r="BM243" s="18" t="str">
        <f>IF(BW243&lt;&gt;1,"",BL243*CONTROL_PANEL!$B$5)</f>
        <v/>
      </c>
      <c r="BN243" s="18" t="str">
        <f>IF(BW243&lt;&gt;1,"",DATA_INPUT!$C243)</f>
        <v/>
      </c>
      <c r="BO243" s="18" t="str">
        <f t="shared" si="158"/>
        <v/>
      </c>
      <c r="BP243" s="18" t="str">
        <f>IF(BW243&lt;&gt;1,"",DATA_INPUT!$H243)</f>
        <v/>
      </c>
      <c r="BQ243" s="18" t="str">
        <f t="shared" si="159"/>
        <v/>
      </c>
      <c r="BR243" s="18" t="str">
        <f>IF(BW243&lt;&gt;1,"",BM243*CONTROL_PANEL!$B$14)</f>
        <v/>
      </c>
      <c r="BS243" s="18" t="str">
        <f>IF(BW243&lt;&gt;1,"",DATA_INPUT!$N243)</f>
        <v/>
      </c>
      <c r="BT243" s="18" t="str">
        <f t="shared" si="160"/>
        <v/>
      </c>
      <c r="BU243" s="18" t="str">
        <f>IF(BW243&lt;&gt;1,"",IF(BT243-CONTROL_PANEL!$B$11&lt;0,0,BT243-CONTROL_PANEL!$B$11))</f>
        <v/>
      </c>
      <c r="BV243" s="18" t="str">
        <f>IF(BW243&lt;&gt;1,"",IF(BS243&lt;=0,0,MIN(BS243,MAX(0,CONTROL_PANEL!$B$13-BT243))))</f>
        <v/>
      </c>
      <c r="BW243" s="18"/>
      <c r="BY243" s="19">
        <f t="shared" si="179"/>
        <v>2035</v>
      </c>
      <c r="BZ243" s="19">
        <f t="shared" si="144"/>
        <v>8</v>
      </c>
      <c r="CA243" s="18" t="str">
        <f t="shared" si="161"/>
        <v/>
      </c>
      <c r="CB243" s="18" t="str">
        <f t="shared" si="174"/>
        <v/>
      </c>
      <c r="CC243" s="18" t="str">
        <f>IF(CP242&lt;&gt;1,"",IF(CM242&gt;0,IF(CM242&gt;CONTROL_PANEL!$B$11,CONTROL_PANEL!$B$11,CM242),0))</f>
        <v/>
      </c>
      <c r="CD243" s="18" t="str">
        <f t="shared" si="169"/>
        <v/>
      </c>
      <c r="CE243" s="18" t="str">
        <f>IF(CP243&lt;&gt;1,"",DATA_INPUT!$I243)</f>
        <v/>
      </c>
      <c r="CF243" s="18" t="str">
        <f>IF(CP243&lt;&gt;1,"",CE243*CONTROL_PANEL!$B$5)</f>
        <v/>
      </c>
      <c r="CG243" s="18" t="str">
        <f>IF(CP243&lt;&gt;1,"",DATA_INPUT!$C243)</f>
        <v/>
      </c>
      <c r="CH243" s="18" t="str">
        <f t="shared" si="162"/>
        <v/>
      </c>
      <c r="CI243" s="18" t="str">
        <f>IF(CP243&lt;&gt;1,"",DATA_INPUT!$H243)</f>
        <v/>
      </c>
      <c r="CJ243" s="18" t="str">
        <f t="shared" si="163"/>
        <v/>
      </c>
      <c r="CK243" s="18" t="str">
        <f>IF(CP243&lt;&gt;1,"",CF243*CONTROL_PANEL!$B$14)</f>
        <v/>
      </c>
      <c r="CL243" s="18" t="str">
        <f>IF(CP243&lt;&gt;1,"",DATA_INPUT!$O243)</f>
        <v/>
      </c>
      <c r="CM243" s="18" t="str">
        <f t="shared" si="164"/>
        <v/>
      </c>
      <c r="CN243" s="18" t="str">
        <f>IF(CP243&lt;&gt;1,"",IF(CM243-CONTROL_PANEL!$B$11&lt;0,0,CM243-CONTROL_PANEL!$B$11))</f>
        <v/>
      </c>
      <c r="CO243" s="18" t="str">
        <f>IF(CP243&lt;&gt;1,"",IF(CL243&lt;=0,0,MIN(CL243,MAX(0,CONTROL_PANEL!$B$13-CM243))))</f>
        <v/>
      </c>
      <c r="CP243" s="18"/>
    </row>
    <row r="244" spans="1:94" x14ac:dyDescent="0.25">
      <c r="A244" s="19">
        <f t="shared" si="175"/>
        <v>2035</v>
      </c>
      <c r="B244" s="19">
        <f t="shared" si="140"/>
        <v>9</v>
      </c>
      <c r="C244" s="18" t="str">
        <f t="shared" si="145"/>
        <v/>
      </c>
      <c r="D244" s="18" t="str">
        <f t="shared" si="170"/>
        <v/>
      </c>
      <c r="E244" s="18" t="str">
        <f>IF(R243&lt;&gt;1,"",IF(O243&gt;0,IF(O243&gt;CONTROL_PANEL!$B$11,CONTROL_PANEL!$B$11,O243),0))</f>
        <v/>
      </c>
      <c r="F244" s="18" t="str">
        <f t="shared" si="165"/>
        <v/>
      </c>
      <c r="G244" s="18" t="str">
        <f>IF(R244&lt;&gt;1,"",DATA_INPUT!I244)</f>
        <v/>
      </c>
      <c r="H244" s="18" t="str">
        <f>IF(R244&lt;&gt;1,"",G244*CONTROL_PANEL!$B$5)</f>
        <v/>
      </c>
      <c r="I244" s="18" t="str">
        <f>IF(R244&lt;&gt;1,"",DATA_INPUT!C244)</f>
        <v/>
      </c>
      <c r="J244" s="18" t="str">
        <f t="shared" si="146"/>
        <v/>
      </c>
      <c r="K244" s="18" t="str">
        <f>IF(R244&lt;&gt;1,"",DATA_INPUT!H244)</f>
        <v/>
      </c>
      <c r="L244" s="18" t="str">
        <f t="shared" si="147"/>
        <v/>
      </c>
      <c r="M244" s="18" t="str">
        <f>IF(R244&lt;&gt;1,"",H244*CONTROL_PANEL!$B$14)</f>
        <v/>
      </c>
      <c r="N244" s="18" t="str">
        <f>IF(R244&lt;&gt;1,"",DATA_INPUT!K244)</f>
        <v/>
      </c>
      <c r="O244" s="18" t="str">
        <f t="shared" si="148"/>
        <v/>
      </c>
      <c r="P244" s="18" t="str">
        <f>IF(R244&lt;&gt;1,"",IF(O244-CONTROL_PANEL!$B$11&lt;0,0,O244-CONTROL_PANEL!$B$11))</f>
        <v/>
      </c>
      <c r="Q244" s="18" t="str">
        <f>IF(R244&lt;&gt;1,"",IF(N244&lt;=0,0,MIN(N244,MAX(0,CONTROL_PANEL!$B$13-O244))))</f>
        <v/>
      </c>
      <c r="R244" s="18"/>
      <c r="T244" s="19">
        <f t="shared" si="176"/>
        <v>2035</v>
      </c>
      <c r="U244" s="19">
        <f t="shared" si="141"/>
        <v>9</v>
      </c>
      <c r="V244" s="18" t="str">
        <f t="shared" si="149"/>
        <v/>
      </c>
      <c r="W244" s="18" t="str">
        <f t="shared" si="171"/>
        <v/>
      </c>
      <c r="X244" s="18" t="str">
        <f>IF(AK243&lt;&gt;1,"",IF(AH243&gt;0,IF(AH243&gt;CONTROL_PANEL!$B$11,CONTROL_PANEL!$B$11,AH243),0))</f>
        <v/>
      </c>
      <c r="Y244" s="18" t="str">
        <f t="shared" si="166"/>
        <v/>
      </c>
      <c r="Z244" s="18" t="str">
        <f>IF(AK244&lt;&gt;1,"",DATA_INPUT!I244)</f>
        <v/>
      </c>
      <c r="AA244" s="18" t="str">
        <f>IF(AK244&lt;&gt;1,"",Z244*CONTROL_PANEL!$B$5)</f>
        <v/>
      </c>
      <c r="AB244" s="18" t="str">
        <f>IF(AK244&lt;&gt;1,"",DATA_INPUT!$C244)</f>
        <v/>
      </c>
      <c r="AC244" s="18" t="str">
        <f t="shared" si="150"/>
        <v/>
      </c>
      <c r="AD244" s="18" t="str">
        <f>IF(AK244&lt;&gt;1,"",DATA_INPUT!$H244)</f>
        <v/>
      </c>
      <c r="AE244" s="18" t="str">
        <f t="shared" si="151"/>
        <v/>
      </c>
      <c r="AF244" s="18" t="str">
        <f>IF(AK244&lt;&gt;1,"",AA244*CONTROL_PANEL!$B$14)</f>
        <v/>
      </c>
      <c r="AG244" s="18" t="str">
        <f>IF(AK244&lt;&gt;1,"",DATA_INPUT!$L244)</f>
        <v/>
      </c>
      <c r="AH244" s="18" t="str">
        <f t="shared" si="152"/>
        <v/>
      </c>
      <c r="AI244" s="18" t="str">
        <f>IF(AK244&lt;&gt;1,"",IF(AH244-CONTROL_PANEL!$B$11&lt;0,0,AH244-CONTROL_PANEL!$B$11))</f>
        <v/>
      </c>
      <c r="AJ244" s="18" t="str">
        <f>IF(AK244&lt;&gt;1,"",IF(AG244&lt;=0,0,MIN(AG244,MAX(0,CONTROL_PANEL!$B$13-AH244))))</f>
        <v/>
      </c>
      <c r="AK244" s="18"/>
      <c r="AM244" s="19">
        <f t="shared" si="177"/>
        <v>2035</v>
      </c>
      <c r="AN244" s="19">
        <f t="shared" si="142"/>
        <v>9</v>
      </c>
      <c r="AO244" s="18" t="str">
        <f t="shared" si="153"/>
        <v/>
      </c>
      <c r="AP244" s="18" t="str">
        <f t="shared" si="172"/>
        <v/>
      </c>
      <c r="AQ244" s="18" t="str">
        <f>IF(BD243&lt;&gt;1,"",IF(BA243&gt;0,IF(BA243&gt;CONTROL_PANEL!$B$11,CONTROL_PANEL!$B$11,BA243),0))</f>
        <v/>
      </c>
      <c r="AR244" s="18" t="str">
        <f t="shared" si="167"/>
        <v/>
      </c>
      <c r="AS244" s="18" t="str">
        <f>IF(BD244&lt;&gt;1,"",DATA_INPUT!$I244)</f>
        <v/>
      </c>
      <c r="AT244" s="18" t="str">
        <f>IF(BD244&lt;&gt;1,"",AS244*CONTROL_PANEL!$B$5)</f>
        <v/>
      </c>
      <c r="AU244" s="18" t="str">
        <f>IF(BD244&lt;&gt;1,"",DATA_INPUT!$C244)</f>
        <v/>
      </c>
      <c r="AV244" s="18" t="str">
        <f t="shared" si="154"/>
        <v/>
      </c>
      <c r="AW244" s="18" t="str">
        <f>IF(BD244&lt;&gt;1,"",DATA_INPUT!$H244)</f>
        <v/>
      </c>
      <c r="AX244" s="18" t="str">
        <f t="shared" si="155"/>
        <v/>
      </c>
      <c r="AY244" s="18" t="str">
        <f>IF(BD244&lt;&gt;1,"",AT244*CONTROL_PANEL!$B$14)</f>
        <v/>
      </c>
      <c r="AZ244" s="18" t="str">
        <f>IF(BD244&lt;&gt;1,"",DATA_INPUT!$M244)</f>
        <v/>
      </c>
      <c r="BA244" s="18" t="str">
        <f t="shared" si="156"/>
        <v/>
      </c>
      <c r="BB244" s="18" t="str">
        <f>IF(BD244&lt;&gt;1,"",IF(BA244-CONTROL_PANEL!$B$11&lt;0,0,BA244-CONTROL_PANEL!$B$11))</f>
        <v/>
      </c>
      <c r="BC244" s="18" t="str">
        <f>IF(BD244&lt;&gt;1,"",IF(AZ244&lt;=0,0,MIN(AZ244,MAX(0,CONTROL_PANEL!$B$13-BA244))))</f>
        <v/>
      </c>
      <c r="BD244" s="18"/>
      <c r="BF244" s="19">
        <f t="shared" si="178"/>
        <v>2035</v>
      </c>
      <c r="BG244" s="19">
        <f t="shared" si="143"/>
        <v>9</v>
      </c>
      <c r="BH244" s="18" t="str">
        <f t="shared" si="157"/>
        <v/>
      </c>
      <c r="BI244" s="18" t="str">
        <f t="shared" si="173"/>
        <v/>
      </c>
      <c r="BJ244" s="18" t="str">
        <f>IF(BW243&lt;&gt;1,"",IF(BT243&gt;0,IF(BT243&gt;CONTROL_PANEL!$B$11,CONTROL_PANEL!$B$11,BT243),0))</f>
        <v/>
      </c>
      <c r="BK244" s="18" t="str">
        <f t="shared" si="168"/>
        <v/>
      </c>
      <c r="BL244" s="18" t="str">
        <f>IF(BW244&lt;&gt;1,"",DATA_INPUT!$I244)</f>
        <v/>
      </c>
      <c r="BM244" s="18" t="str">
        <f>IF(BW244&lt;&gt;1,"",BL244*CONTROL_PANEL!$B$5)</f>
        <v/>
      </c>
      <c r="BN244" s="18" t="str">
        <f>IF(BW244&lt;&gt;1,"",DATA_INPUT!$C244)</f>
        <v/>
      </c>
      <c r="BO244" s="18" t="str">
        <f t="shared" si="158"/>
        <v/>
      </c>
      <c r="BP244" s="18" t="str">
        <f>IF(BW244&lt;&gt;1,"",DATA_INPUT!$H244)</f>
        <v/>
      </c>
      <c r="BQ244" s="18" t="str">
        <f t="shared" si="159"/>
        <v/>
      </c>
      <c r="BR244" s="18" t="str">
        <f>IF(BW244&lt;&gt;1,"",BM244*CONTROL_PANEL!$B$14)</f>
        <v/>
      </c>
      <c r="BS244" s="18" t="str">
        <f>IF(BW244&lt;&gt;1,"",DATA_INPUT!$N244)</f>
        <v/>
      </c>
      <c r="BT244" s="18" t="str">
        <f t="shared" si="160"/>
        <v/>
      </c>
      <c r="BU244" s="18" t="str">
        <f>IF(BW244&lt;&gt;1,"",IF(BT244-CONTROL_PANEL!$B$11&lt;0,0,BT244-CONTROL_PANEL!$B$11))</f>
        <v/>
      </c>
      <c r="BV244" s="18" t="str">
        <f>IF(BW244&lt;&gt;1,"",IF(BS244&lt;=0,0,MIN(BS244,MAX(0,CONTROL_PANEL!$B$13-BT244))))</f>
        <v/>
      </c>
      <c r="BW244" s="18"/>
      <c r="BY244" s="19">
        <f t="shared" si="179"/>
        <v>2035</v>
      </c>
      <c r="BZ244" s="19">
        <f t="shared" si="144"/>
        <v>9</v>
      </c>
      <c r="CA244" s="18" t="str">
        <f t="shared" si="161"/>
        <v/>
      </c>
      <c r="CB244" s="18" t="str">
        <f t="shared" si="174"/>
        <v/>
      </c>
      <c r="CC244" s="18" t="str">
        <f>IF(CP243&lt;&gt;1,"",IF(CM243&gt;0,IF(CM243&gt;CONTROL_PANEL!$B$11,CONTROL_PANEL!$B$11,CM243),0))</f>
        <v/>
      </c>
      <c r="CD244" s="18" t="str">
        <f t="shared" si="169"/>
        <v/>
      </c>
      <c r="CE244" s="18" t="str">
        <f>IF(CP244&lt;&gt;1,"",DATA_INPUT!$I244)</f>
        <v/>
      </c>
      <c r="CF244" s="18" t="str">
        <f>IF(CP244&lt;&gt;1,"",CE244*CONTROL_PANEL!$B$5)</f>
        <v/>
      </c>
      <c r="CG244" s="18" t="str">
        <f>IF(CP244&lt;&gt;1,"",DATA_INPUT!$C244)</f>
        <v/>
      </c>
      <c r="CH244" s="18" t="str">
        <f t="shared" si="162"/>
        <v/>
      </c>
      <c r="CI244" s="18" t="str">
        <f>IF(CP244&lt;&gt;1,"",DATA_INPUT!$H244)</f>
        <v/>
      </c>
      <c r="CJ244" s="18" t="str">
        <f t="shared" si="163"/>
        <v/>
      </c>
      <c r="CK244" s="18" t="str">
        <f>IF(CP244&lt;&gt;1,"",CF244*CONTROL_PANEL!$B$14)</f>
        <v/>
      </c>
      <c r="CL244" s="18" t="str">
        <f>IF(CP244&lt;&gt;1,"",DATA_INPUT!$O244)</f>
        <v/>
      </c>
      <c r="CM244" s="18" t="str">
        <f t="shared" si="164"/>
        <v/>
      </c>
      <c r="CN244" s="18" t="str">
        <f>IF(CP244&lt;&gt;1,"",IF(CM244-CONTROL_PANEL!$B$11&lt;0,0,CM244-CONTROL_PANEL!$B$11))</f>
        <v/>
      </c>
      <c r="CO244" s="18" t="str">
        <f>IF(CP244&lt;&gt;1,"",IF(CL244&lt;=0,0,MIN(CL244,MAX(0,CONTROL_PANEL!$B$13-CM244))))</f>
        <v/>
      </c>
      <c r="CP244" s="18"/>
    </row>
    <row r="245" spans="1:94" x14ac:dyDescent="0.25">
      <c r="A245" s="19">
        <f t="shared" si="175"/>
        <v>2035</v>
      </c>
      <c r="B245" s="19">
        <f t="shared" si="140"/>
        <v>10</v>
      </c>
      <c r="C245" s="18" t="str">
        <f t="shared" si="145"/>
        <v/>
      </c>
      <c r="D245" s="18" t="str">
        <f t="shared" si="170"/>
        <v/>
      </c>
      <c r="E245" s="18" t="str">
        <f>IF(R244&lt;&gt;1,"",IF(O244&gt;0,IF(O244&gt;CONTROL_PANEL!$B$11,CONTROL_PANEL!$B$11,O244),0))</f>
        <v/>
      </c>
      <c r="F245" s="18" t="str">
        <f t="shared" si="165"/>
        <v/>
      </c>
      <c r="G245" s="18" t="str">
        <f>IF(R245&lt;&gt;1,"",DATA_INPUT!I245)</f>
        <v/>
      </c>
      <c r="H245" s="18" t="str">
        <f>IF(R245&lt;&gt;1,"",G245*CONTROL_PANEL!$B$5)</f>
        <v/>
      </c>
      <c r="I245" s="18" t="str">
        <f>IF(R245&lt;&gt;1,"",DATA_INPUT!C245)</f>
        <v/>
      </c>
      <c r="J245" s="18" t="str">
        <f t="shared" si="146"/>
        <v/>
      </c>
      <c r="K245" s="18" t="str">
        <f>IF(R245&lt;&gt;1,"",DATA_INPUT!H245)</f>
        <v/>
      </c>
      <c r="L245" s="18" t="str">
        <f t="shared" si="147"/>
        <v/>
      </c>
      <c r="M245" s="18" t="str">
        <f>IF(R245&lt;&gt;1,"",H245*CONTROL_PANEL!$B$14)</f>
        <v/>
      </c>
      <c r="N245" s="18" t="str">
        <f>IF(R245&lt;&gt;1,"",DATA_INPUT!K245)</f>
        <v/>
      </c>
      <c r="O245" s="18" t="str">
        <f t="shared" si="148"/>
        <v/>
      </c>
      <c r="P245" s="18" t="str">
        <f>IF(R245&lt;&gt;1,"",IF(O245-CONTROL_PANEL!$B$11&lt;0,0,O245-CONTROL_PANEL!$B$11))</f>
        <v/>
      </c>
      <c r="Q245" s="18" t="str">
        <f>IF(R245&lt;&gt;1,"",IF(N245&lt;=0,0,MIN(N245,MAX(0,CONTROL_PANEL!$B$13-O245))))</f>
        <v/>
      </c>
      <c r="R245" s="18"/>
      <c r="T245" s="19">
        <f t="shared" si="176"/>
        <v>2035</v>
      </c>
      <c r="U245" s="19">
        <f t="shared" si="141"/>
        <v>10</v>
      </c>
      <c r="V245" s="18" t="str">
        <f t="shared" si="149"/>
        <v/>
      </c>
      <c r="W245" s="18" t="str">
        <f t="shared" si="171"/>
        <v/>
      </c>
      <c r="X245" s="18" t="str">
        <f>IF(AK244&lt;&gt;1,"",IF(AH244&gt;0,IF(AH244&gt;CONTROL_PANEL!$B$11,CONTROL_PANEL!$B$11,AH244),0))</f>
        <v/>
      </c>
      <c r="Y245" s="18" t="str">
        <f t="shared" si="166"/>
        <v/>
      </c>
      <c r="Z245" s="18" t="str">
        <f>IF(AK245&lt;&gt;1,"",DATA_INPUT!I245)</f>
        <v/>
      </c>
      <c r="AA245" s="18" t="str">
        <f>IF(AK245&lt;&gt;1,"",Z245*CONTROL_PANEL!$B$5)</f>
        <v/>
      </c>
      <c r="AB245" s="18" t="str">
        <f>IF(AK245&lt;&gt;1,"",DATA_INPUT!$C245)</f>
        <v/>
      </c>
      <c r="AC245" s="18" t="str">
        <f t="shared" si="150"/>
        <v/>
      </c>
      <c r="AD245" s="18" t="str">
        <f>IF(AK245&lt;&gt;1,"",DATA_INPUT!$H245)</f>
        <v/>
      </c>
      <c r="AE245" s="18" t="str">
        <f t="shared" si="151"/>
        <v/>
      </c>
      <c r="AF245" s="18" t="str">
        <f>IF(AK245&lt;&gt;1,"",AA245*CONTROL_PANEL!$B$14)</f>
        <v/>
      </c>
      <c r="AG245" s="18" t="str">
        <f>IF(AK245&lt;&gt;1,"",DATA_INPUT!$L245)</f>
        <v/>
      </c>
      <c r="AH245" s="18" t="str">
        <f t="shared" si="152"/>
        <v/>
      </c>
      <c r="AI245" s="18" t="str">
        <f>IF(AK245&lt;&gt;1,"",IF(AH245-CONTROL_PANEL!$B$11&lt;0,0,AH245-CONTROL_PANEL!$B$11))</f>
        <v/>
      </c>
      <c r="AJ245" s="18" t="str">
        <f>IF(AK245&lt;&gt;1,"",IF(AG245&lt;=0,0,MIN(AG245,MAX(0,CONTROL_PANEL!$B$13-AH245))))</f>
        <v/>
      </c>
      <c r="AK245" s="18"/>
      <c r="AM245" s="19">
        <f t="shared" si="177"/>
        <v>2035</v>
      </c>
      <c r="AN245" s="19">
        <f t="shared" si="142"/>
        <v>10</v>
      </c>
      <c r="AO245" s="18" t="str">
        <f t="shared" si="153"/>
        <v/>
      </c>
      <c r="AP245" s="18" t="str">
        <f t="shared" si="172"/>
        <v/>
      </c>
      <c r="AQ245" s="18" t="str">
        <f>IF(BD244&lt;&gt;1,"",IF(BA244&gt;0,IF(BA244&gt;CONTROL_PANEL!$B$11,CONTROL_PANEL!$B$11,BA244),0))</f>
        <v/>
      </c>
      <c r="AR245" s="18" t="str">
        <f t="shared" si="167"/>
        <v/>
      </c>
      <c r="AS245" s="18" t="str">
        <f>IF(BD245&lt;&gt;1,"",DATA_INPUT!$I245)</f>
        <v/>
      </c>
      <c r="AT245" s="18" t="str">
        <f>IF(BD245&lt;&gt;1,"",AS245*CONTROL_PANEL!$B$5)</f>
        <v/>
      </c>
      <c r="AU245" s="18" t="str">
        <f>IF(BD245&lt;&gt;1,"",DATA_INPUT!$C245)</f>
        <v/>
      </c>
      <c r="AV245" s="18" t="str">
        <f t="shared" si="154"/>
        <v/>
      </c>
      <c r="AW245" s="18" t="str">
        <f>IF(BD245&lt;&gt;1,"",DATA_INPUT!$H245)</f>
        <v/>
      </c>
      <c r="AX245" s="18" t="str">
        <f t="shared" si="155"/>
        <v/>
      </c>
      <c r="AY245" s="18" t="str">
        <f>IF(BD245&lt;&gt;1,"",AT245*CONTROL_PANEL!$B$14)</f>
        <v/>
      </c>
      <c r="AZ245" s="18" t="str">
        <f>IF(BD245&lt;&gt;1,"",DATA_INPUT!$M245)</f>
        <v/>
      </c>
      <c r="BA245" s="18" t="str">
        <f t="shared" si="156"/>
        <v/>
      </c>
      <c r="BB245" s="18" t="str">
        <f>IF(BD245&lt;&gt;1,"",IF(BA245-CONTROL_PANEL!$B$11&lt;0,0,BA245-CONTROL_PANEL!$B$11))</f>
        <v/>
      </c>
      <c r="BC245" s="18" t="str">
        <f>IF(BD245&lt;&gt;1,"",IF(AZ245&lt;=0,0,MIN(AZ245,MAX(0,CONTROL_PANEL!$B$13-BA245))))</f>
        <v/>
      </c>
      <c r="BD245" s="18"/>
      <c r="BF245" s="19">
        <f t="shared" si="178"/>
        <v>2035</v>
      </c>
      <c r="BG245" s="19">
        <f t="shared" si="143"/>
        <v>10</v>
      </c>
      <c r="BH245" s="18" t="str">
        <f t="shared" si="157"/>
        <v/>
      </c>
      <c r="BI245" s="18" t="str">
        <f t="shared" si="173"/>
        <v/>
      </c>
      <c r="BJ245" s="18" t="str">
        <f>IF(BW244&lt;&gt;1,"",IF(BT244&gt;0,IF(BT244&gt;CONTROL_PANEL!$B$11,CONTROL_PANEL!$B$11,BT244),0))</f>
        <v/>
      </c>
      <c r="BK245" s="18" t="str">
        <f t="shared" si="168"/>
        <v/>
      </c>
      <c r="BL245" s="18" t="str">
        <f>IF(BW245&lt;&gt;1,"",DATA_INPUT!$I245)</f>
        <v/>
      </c>
      <c r="BM245" s="18" t="str">
        <f>IF(BW245&lt;&gt;1,"",BL245*CONTROL_PANEL!$B$5)</f>
        <v/>
      </c>
      <c r="BN245" s="18" t="str">
        <f>IF(BW245&lt;&gt;1,"",DATA_INPUT!$C245)</f>
        <v/>
      </c>
      <c r="BO245" s="18" t="str">
        <f t="shared" si="158"/>
        <v/>
      </c>
      <c r="BP245" s="18" t="str">
        <f>IF(BW245&lt;&gt;1,"",DATA_INPUT!$H245)</f>
        <v/>
      </c>
      <c r="BQ245" s="18" t="str">
        <f t="shared" si="159"/>
        <v/>
      </c>
      <c r="BR245" s="18" t="str">
        <f>IF(BW245&lt;&gt;1,"",BM245*CONTROL_PANEL!$B$14)</f>
        <v/>
      </c>
      <c r="BS245" s="18" t="str">
        <f>IF(BW245&lt;&gt;1,"",DATA_INPUT!$N245)</f>
        <v/>
      </c>
      <c r="BT245" s="18" t="str">
        <f t="shared" si="160"/>
        <v/>
      </c>
      <c r="BU245" s="18" t="str">
        <f>IF(BW245&lt;&gt;1,"",IF(BT245-CONTROL_PANEL!$B$11&lt;0,0,BT245-CONTROL_PANEL!$B$11))</f>
        <v/>
      </c>
      <c r="BV245" s="18" t="str">
        <f>IF(BW245&lt;&gt;1,"",IF(BS245&lt;=0,0,MIN(BS245,MAX(0,CONTROL_PANEL!$B$13-BT245))))</f>
        <v/>
      </c>
      <c r="BW245" s="18"/>
      <c r="BY245" s="19">
        <f t="shared" si="179"/>
        <v>2035</v>
      </c>
      <c r="BZ245" s="19">
        <f t="shared" si="144"/>
        <v>10</v>
      </c>
      <c r="CA245" s="18" t="str">
        <f t="shared" si="161"/>
        <v/>
      </c>
      <c r="CB245" s="18" t="str">
        <f t="shared" si="174"/>
        <v/>
      </c>
      <c r="CC245" s="18" t="str">
        <f>IF(CP244&lt;&gt;1,"",IF(CM244&gt;0,IF(CM244&gt;CONTROL_PANEL!$B$11,CONTROL_PANEL!$B$11,CM244),0))</f>
        <v/>
      </c>
      <c r="CD245" s="18" t="str">
        <f t="shared" si="169"/>
        <v/>
      </c>
      <c r="CE245" s="18" t="str">
        <f>IF(CP245&lt;&gt;1,"",DATA_INPUT!$I245)</f>
        <v/>
      </c>
      <c r="CF245" s="18" t="str">
        <f>IF(CP245&lt;&gt;1,"",CE245*CONTROL_PANEL!$B$5)</f>
        <v/>
      </c>
      <c r="CG245" s="18" t="str">
        <f>IF(CP245&lt;&gt;1,"",DATA_INPUT!$C245)</f>
        <v/>
      </c>
      <c r="CH245" s="18" t="str">
        <f t="shared" si="162"/>
        <v/>
      </c>
      <c r="CI245" s="18" t="str">
        <f>IF(CP245&lt;&gt;1,"",DATA_INPUT!$H245)</f>
        <v/>
      </c>
      <c r="CJ245" s="18" t="str">
        <f t="shared" si="163"/>
        <v/>
      </c>
      <c r="CK245" s="18" t="str">
        <f>IF(CP245&lt;&gt;1,"",CF245*CONTROL_PANEL!$B$14)</f>
        <v/>
      </c>
      <c r="CL245" s="18" t="str">
        <f>IF(CP245&lt;&gt;1,"",DATA_INPUT!$O245)</f>
        <v/>
      </c>
      <c r="CM245" s="18" t="str">
        <f t="shared" si="164"/>
        <v/>
      </c>
      <c r="CN245" s="18" t="str">
        <f>IF(CP245&lt;&gt;1,"",IF(CM245-CONTROL_PANEL!$B$11&lt;0,0,CM245-CONTROL_PANEL!$B$11))</f>
        <v/>
      </c>
      <c r="CO245" s="18" t="str">
        <f>IF(CP245&lt;&gt;1,"",IF(CL245&lt;=0,0,MIN(CL245,MAX(0,CONTROL_PANEL!$B$13-CM245))))</f>
        <v/>
      </c>
      <c r="CP245" s="18"/>
    </row>
    <row r="246" spans="1:94" x14ac:dyDescent="0.25">
      <c r="A246" s="19">
        <f t="shared" si="175"/>
        <v>2035</v>
      </c>
      <c r="B246" s="19">
        <f t="shared" si="140"/>
        <v>11</v>
      </c>
      <c r="C246" s="18" t="str">
        <f t="shared" si="145"/>
        <v/>
      </c>
      <c r="D246" s="18" t="str">
        <f t="shared" si="170"/>
        <v/>
      </c>
      <c r="E246" s="18" t="str">
        <f>IF(R245&lt;&gt;1,"",IF(O245&gt;0,IF(O245&gt;CONTROL_PANEL!$B$11,CONTROL_PANEL!$B$11,O245),0))</f>
        <v/>
      </c>
      <c r="F246" s="18" t="str">
        <f t="shared" si="165"/>
        <v/>
      </c>
      <c r="G246" s="18" t="str">
        <f>IF(R246&lt;&gt;1,"",DATA_INPUT!I246)</f>
        <v/>
      </c>
      <c r="H246" s="18" t="str">
        <f>IF(R246&lt;&gt;1,"",G246*CONTROL_PANEL!$B$5)</f>
        <v/>
      </c>
      <c r="I246" s="18" t="str">
        <f>IF(R246&lt;&gt;1,"",DATA_INPUT!C246)</f>
        <v/>
      </c>
      <c r="J246" s="18" t="str">
        <f t="shared" si="146"/>
        <v/>
      </c>
      <c r="K246" s="18" t="str">
        <f>IF(R246&lt;&gt;1,"",DATA_INPUT!H246)</f>
        <v/>
      </c>
      <c r="L246" s="18" t="str">
        <f t="shared" si="147"/>
        <v/>
      </c>
      <c r="M246" s="18" t="str">
        <f>IF(R246&lt;&gt;1,"",H246*CONTROL_PANEL!$B$14)</f>
        <v/>
      </c>
      <c r="N246" s="18" t="str">
        <f>IF(R246&lt;&gt;1,"",DATA_INPUT!K246)</f>
        <v/>
      </c>
      <c r="O246" s="18" t="str">
        <f t="shared" si="148"/>
        <v/>
      </c>
      <c r="P246" s="18" t="str">
        <f>IF(R246&lt;&gt;1,"",IF(O246-CONTROL_PANEL!$B$11&lt;0,0,O246-CONTROL_PANEL!$B$11))</f>
        <v/>
      </c>
      <c r="Q246" s="18" t="str">
        <f>IF(R246&lt;&gt;1,"",IF(N246&lt;=0,0,MIN(N246,MAX(0,CONTROL_PANEL!$B$13-O246))))</f>
        <v/>
      </c>
      <c r="R246" s="18"/>
      <c r="T246" s="19">
        <f t="shared" si="176"/>
        <v>2035</v>
      </c>
      <c r="U246" s="19">
        <f t="shared" si="141"/>
        <v>11</v>
      </c>
      <c r="V246" s="18" t="str">
        <f t="shared" si="149"/>
        <v/>
      </c>
      <c r="W246" s="18" t="str">
        <f t="shared" si="171"/>
        <v/>
      </c>
      <c r="X246" s="18" t="str">
        <f>IF(AK245&lt;&gt;1,"",IF(AH245&gt;0,IF(AH245&gt;CONTROL_PANEL!$B$11,CONTROL_PANEL!$B$11,AH245),0))</f>
        <v/>
      </c>
      <c r="Y246" s="18" t="str">
        <f t="shared" si="166"/>
        <v/>
      </c>
      <c r="Z246" s="18" t="str">
        <f>IF(AK246&lt;&gt;1,"",DATA_INPUT!I246)</f>
        <v/>
      </c>
      <c r="AA246" s="18" t="str">
        <f>IF(AK246&lt;&gt;1,"",Z246*CONTROL_PANEL!$B$5)</f>
        <v/>
      </c>
      <c r="AB246" s="18" t="str">
        <f>IF(AK246&lt;&gt;1,"",DATA_INPUT!$C246)</f>
        <v/>
      </c>
      <c r="AC246" s="18" t="str">
        <f t="shared" si="150"/>
        <v/>
      </c>
      <c r="AD246" s="18" t="str">
        <f>IF(AK246&lt;&gt;1,"",DATA_INPUT!$H246)</f>
        <v/>
      </c>
      <c r="AE246" s="18" t="str">
        <f t="shared" si="151"/>
        <v/>
      </c>
      <c r="AF246" s="18" t="str">
        <f>IF(AK246&lt;&gt;1,"",AA246*CONTROL_PANEL!$B$14)</f>
        <v/>
      </c>
      <c r="AG246" s="18" t="str">
        <f>IF(AK246&lt;&gt;1,"",DATA_INPUT!$L246)</f>
        <v/>
      </c>
      <c r="AH246" s="18" t="str">
        <f t="shared" si="152"/>
        <v/>
      </c>
      <c r="AI246" s="18" t="str">
        <f>IF(AK246&lt;&gt;1,"",IF(AH246-CONTROL_PANEL!$B$11&lt;0,0,AH246-CONTROL_PANEL!$B$11))</f>
        <v/>
      </c>
      <c r="AJ246" s="18" t="str">
        <f>IF(AK246&lt;&gt;1,"",IF(AG246&lt;=0,0,MIN(AG246,MAX(0,CONTROL_PANEL!$B$13-AH246))))</f>
        <v/>
      </c>
      <c r="AK246" s="18"/>
      <c r="AM246" s="19">
        <f t="shared" si="177"/>
        <v>2035</v>
      </c>
      <c r="AN246" s="19">
        <f t="shared" si="142"/>
        <v>11</v>
      </c>
      <c r="AO246" s="18" t="str">
        <f t="shared" si="153"/>
        <v/>
      </c>
      <c r="AP246" s="18" t="str">
        <f t="shared" si="172"/>
        <v/>
      </c>
      <c r="AQ246" s="18" t="str">
        <f>IF(BD245&lt;&gt;1,"",IF(BA245&gt;0,IF(BA245&gt;CONTROL_PANEL!$B$11,CONTROL_PANEL!$B$11,BA245),0))</f>
        <v/>
      </c>
      <c r="AR246" s="18" t="str">
        <f t="shared" si="167"/>
        <v/>
      </c>
      <c r="AS246" s="18" t="str">
        <f>IF(BD246&lt;&gt;1,"",DATA_INPUT!$I246)</f>
        <v/>
      </c>
      <c r="AT246" s="18" t="str">
        <f>IF(BD246&lt;&gt;1,"",AS246*CONTROL_PANEL!$B$5)</f>
        <v/>
      </c>
      <c r="AU246" s="18" t="str">
        <f>IF(BD246&lt;&gt;1,"",DATA_INPUT!$C246)</f>
        <v/>
      </c>
      <c r="AV246" s="18" t="str">
        <f t="shared" si="154"/>
        <v/>
      </c>
      <c r="AW246" s="18" t="str">
        <f>IF(BD246&lt;&gt;1,"",DATA_INPUT!$H246)</f>
        <v/>
      </c>
      <c r="AX246" s="18" t="str">
        <f t="shared" si="155"/>
        <v/>
      </c>
      <c r="AY246" s="18" t="str">
        <f>IF(BD246&lt;&gt;1,"",AT246*CONTROL_PANEL!$B$14)</f>
        <v/>
      </c>
      <c r="AZ246" s="18" t="str">
        <f>IF(BD246&lt;&gt;1,"",DATA_INPUT!$M246)</f>
        <v/>
      </c>
      <c r="BA246" s="18" t="str">
        <f t="shared" si="156"/>
        <v/>
      </c>
      <c r="BB246" s="18" t="str">
        <f>IF(BD246&lt;&gt;1,"",IF(BA246-CONTROL_PANEL!$B$11&lt;0,0,BA246-CONTROL_PANEL!$B$11))</f>
        <v/>
      </c>
      <c r="BC246" s="18" t="str">
        <f>IF(BD246&lt;&gt;1,"",IF(AZ246&lt;=0,0,MIN(AZ246,MAX(0,CONTROL_PANEL!$B$13-BA246))))</f>
        <v/>
      </c>
      <c r="BD246" s="18"/>
      <c r="BF246" s="19">
        <f t="shared" si="178"/>
        <v>2035</v>
      </c>
      <c r="BG246" s="19">
        <f t="shared" si="143"/>
        <v>11</v>
      </c>
      <c r="BH246" s="18" t="str">
        <f t="shared" si="157"/>
        <v/>
      </c>
      <c r="BI246" s="18" t="str">
        <f t="shared" si="173"/>
        <v/>
      </c>
      <c r="BJ246" s="18" t="str">
        <f>IF(BW245&lt;&gt;1,"",IF(BT245&gt;0,IF(BT245&gt;CONTROL_PANEL!$B$11,CONTROL_PANEL!$B$11,BT245),0))</f>
        <v/>
      </c>
      <c r="BK246" s="18" t="str">
        <f t="shared" si="168"/>
        <v/>
      </c>
      <c r="BL246" s="18" t="str">
        <f>IF(BW246&lt;&gt;1,"",DATA_INPUT!$I246)</f>
        <v/>
      </c>
      <c r="BM246" s="18" t="str">
        <f>IF(BW246&lt;&gt;1,"",BL246*CONTROL_PANEL!$B$5)</f>
        <v/>
      </c>
      <c r="BN246" s="18" t="str">
        <f>IF(BW246&lt;&gt;1,"",DATA_INPUT!$C246)</f>
        <v/>
      </c>
      <c r="BO246" s="18" t="str">
        <f t="shared" si="158"/>
        <v/>
      </c>
      <c r="BP246" s="18" t="str">
        <f>IF(BW246&lt;&gt;1,"",DATA_INPUT!$H246)</f>
        <v/>
      </c>
      <c r="BQ246" s="18" t="str">
        <f t="shared" si="159"/>
        <v/>
      </c>
      <c r="BR246" s="18" t="str">
        <f>IF(BW246&lt;&gt;1,"",BM246*CONTROL_PANEL!$B$14)</f>
        <v/>
      </c>
      <c r="BS246" s="18" t="str">
        <f>IF(BW246&lt;&gt;1,"",DATA_INPUT!$N246)</f>
        <v/>
      </c>
      <c r="BT246" s="18" t="str">
        <f t="shared" si="160"/>
        <v/>
      </c>
      <c r="BU246" s="18" t="str">
        <f>IF(BW246&lt;&gt;1,"",IF(BT246-CONTROL_PANEL!$B$11&lt;0,0,BT246-CONTROL_PANEL!$B$11))</f>
        <v/>
      </c>
      <c r="BV246" s="18" t="str">
        <f>IF(BW246&lt;&gt;1,"",IF(BS246&lt;=0,0,MIN(BS246,MAX(0,CONTROL_PANEL!$B$13-BT246))))</f>
        <v/>
      </c>
      <c r="BW246" s="18"/>
      <c r="BY246" s="19">
        <f t="shared" si="179"/>
        <v>2035</v>
      </c>
      <c r="BZ246" s="19">
        <f t="shared" si="144"/>
        <v>11</v>
      </c>
      <c r="CA246" s="18" t="str">
        <f t="shared" si="161"/>
        <v/>
      </c>
      <c r="CB246" s="18" t="str">
        <f t="shared" si="174"/>
        <v/>
      </c>
      <c r="CC246" s="18" t="str">
        <f>IF(CP245&lt;&gt;1,"",IF(CM245&gt;0,IF(CM245&gt;CONTROL_PANEL!$B$11,CONTROL_PANEL!$B$11,CM245),0))</f>
        <v/>
      </c>
      <c r="CD246" s="18" t="str">
        <f t="shared" si="169"/>
        <v/>
      </c>
      <c r="CE246" s="18" t="str">
        <f>IF(CP246&lt;&gt;1,"",DATA_INPUT!$I246)</f>
        <v/>
      </c>
      <c r="CF246" s="18" t="str">
        <f>IF(CP246&lt;&gt;1,"",CE246*CONTROL_PANEL!$B$5)</f>
        <v/>
      </c>
      <c r="CG246" s="18" t="str">
        <f>IF(CP246&lt;&gt;1,"",DATA_INPUT!$C246)</f>
        <v/>
      </c>
      <c r="CH246" s="18" t="str">
        <f t="shared" si="162"/>
        <v/>
      </c>
      <c r="CI246" s="18" t="str">
        <f>IF(CP246&lt;&gt;1,"",DATA_INPUT!$H246)</f>
        <v/>
      </c>
      <c r="CJ246" s="18" t="str">
        <f t="shared" si="163"/>
        <v/>
      </c>
      <c r="CK246" s="18" t="str">
        <f>IF(CP246&lt;&gt;1,"",CF246*CONTROL_PANEL!$B$14)</f>
        <v/>
      </c>
      <c r="CL246" s="18" t="str">
        <f>IF(CP246&lt;&gt;1,"",DATA_INPUT!$O246)</f>
        <v/>
      </c>
      <c r="CM246" s="18" t="str">
        <f t="shared" si="164"/>
        <v/>
      </c>
      <c r="CN246" s="18" t="str">
        <f>IF(CP246&lt;&gt;1,"",IF(CM246-CONTROL_PANEL!$B$11&lt;0,0,CM246-CONTROL_PANEL!$B$11))</f>
        <v/>
      </c>
      <c r="CO246" s="18" t="str">
        <f>IF(CP246&lt;&gt;1,"",IF(CL246&lt;=0,0,MIN(CL246,MAX(0,CONTROL_PANEL!$B$13-CM246))))</f>
        <v/>
      </c>
      <c r="CP246" s="18"/>
    </row>
    <row r="247" spans="1:94" x14ac:dyDescent="0.25">
      <c r="A247" s="19">
        <f t="shared" si="175"/>
        <v>2035</v>
      </c>
      <c r="B247" s="19">
        <f t="shared" si="140"/>
        <v>12</v>
      </c>
      <c r="C247" s="18" t="str">
        <f t="shared" si="145"/>
        <v/>
      </c>
      <c r="D247" s="18" t="str">
        <f t="shared" si="170"/>
        <v/>
      </c>
      <c r="E247" s="18" t="str">
        <f>IF(R246&lt;&gt;1,"",IF(O246&gt;0,IF(O246&gt;CONTROL_PANEL!$B$11,CONTROL_PANEL!$B$11,O246),0))</f>
        <v/>
      </c>
      <c r="F247" s="18" t="str">
        <f t="shared" si="165"/>
        <v/>
      </c>
      <c r="G247" s="18" t="str">
        <f>IF(R247&lt;&gt;1,"",DATA_INPUT!I247)</f>
        <v/>
      </c>
      <c r="H247" s="18" t="str">
        <f>IF(R247&lt;&gt;1,"",G247*CONTROL_PANEL!$B$5)</f>
        <v/>
      </c>
      <c r="I247" s="18" t="str">
        <f>IF(R247&lt;&gt;1,"",DATA_INPUT!C247)</f>
        <v/>
      </c>
      <c r="J247" s="18" t="str">
        <f t="shared" si="146"/>
        <v/>
      </c>
      <c r="K247" s="18" t="str">
        <f>IF(R247&lt;&gt;1,"",DATA_INPUT!H247)</f>
        <v/>
      </c>
      <c r="L247" s="18" t="str">
        <f t="shared" si="147"/>
        <v/>
      </c>
      <c r="M247" s="18" t="str">
        <f>IF(R247&lt;&gt;1,"",H247*CONTROL_PANEL!$B$14)</f>
        <v/>
      </c>
      <c r="N247" s="18" t="str">
        <f>IF(R247&lt;&gt;1,"",DATA_INPUT!K247)</f>
        <v/>
      </c>
      <c r="O247" s="18" t="str">
        <f t="shared" si="148"/>
        <v/>
      </c>
      <c r="P247" s="18" t="str">
        <f>IF(R247&lt;&gt;1,"",IF(O247-CONTROL_PANEL!$B$11&lt;0,0,O247-CONTROL_PANEL!$B$11))</f>
        <v/>
      </c>
      <c r="Q247" s="18" t="str">
        <f>IF(R247&lt;&gt;1,"",IF(N247&lt;=0,0,MIN(N247,MAX(0,CONTROL_PANEL!$B$13-O247))))</f>
        <v/>
      </c>
      <c r="R247" s="18"/>
      <c r="T247" s="19">
        <f t="shared" si="176"/>
        <v>2035</v>
      </c>
      <c r="U247" s="19">
        <f t="shared" si="141"/>
        <v>12</v>
      </c>
      <c r="V247" s="18" t="str">
        <f t="shared" si="149"/>
        <v/>
      </c>
      <c r="W247" s="18" t="str">
        <f t="shared" si="171"/>
        <v/>
      </c>
      <c r="X247" s="18" t="str">
        <f>IF(AK246&lt;&gt;1,"",IF(AH246&gt;0,IF(AH246&gt;CONTROL_PANEL!$B$11,CONTROL_PANEL!$B$11,AH246),0))</f>
        <v/>
      </c>
      <c r="Y247" s="18" t="str">
        <f t="shared" si="166"/>
        <v/>
      </c>
      <c r="Z247" s="18" t="str">
        <f>IF(AK247&lt;&gt;1,"",DATA_INPUT!I247)</f>
        <v/>
      </c>
      <c r="AA247" s="18" t="str">
        <f>IF(AK247&lt;&gt;1,"",Z247*CONTROL_PANEL!$B$5)</f>
        <v/>
      </c>
      <c r="AB247" s="18" t="str">
        <f>IF(AK247&lt;&gt;1,"",DATA_INPUT!$C247)</f>
        <v/>
      </c>
      <c r="AC247" s="18" t="str">
        <f t="shared" si="150"/>
        <v/>
      </c>
      <c r="AD247" s="18" t="str">
        <f>IF(AK247&lt;&gt;1,"",DATA_INPUT!$H247)</f>
        <v/>
      </c>
      <c r="AE247" s="18" t="str">
        <f t="shared" si="151"/>
        <v/>
      </c>
      <c r="AF247" s="18" t="str">
        <f>IF(AK247&lt;&gt;1,"",AA247*CONTROL_PANEL!$B$14)</f>
        <v/>
      </c>
      <c r="AG247" s="18" t="str">
        <f>IF(AK247&lt;&gt;1,"",DATA_INPUT!$L247)</f>
        <v/>
      </c>
      <c r="AH247" s="18" t="str">
        <f t="shared" si="152"/>
        <v/>
      </c>
      <c r="AI247" s="18" t="str">
        <f>IF(AK247&lt;&gt;1,"",IF(AH247-CONTROL_PANEL!$B$11&lt;0,0,AH247-CONTROL_PANEL!$B$11))</f>
        <v/>
      </c>
      <c r="AJ247" s="18" t="str">
        <f>IF(AK247&lt;&gt;1,"",IF(AG247&lt;=0,0,MIN(AG247,MAX(0,CONTROL_PANEL!$B$13-AH247))))</f>
        <v/>
      </c>
      <c r="AK247" s="18"/>
      <c r="AM247" s="19">
        <f t="shared" si="177"/>
        <v>2035</v>
      </c>
      <c r="AN247" s="19">
        <f t="shared" si="142"/>
        <v>12</v>
      </c>
      <c r="AO247" s="18" t="str">
        <f t="shared" si="153"/>
        <v/>
      </c>
      <c r="AP247" s="18" t="str">
        <f t="shared" si="172"/>
        <v/>
      </c>
      <c r="AQ247" s="18" t="str">
        <f>IF(BD246&lt;&gt;1,"",IF(BA246&gt;0,IF(BA246&gt;CONTROL_PANEL!$B$11,CONTROL_PANEL!$B$11,BA246),0))</f>
        <v/>
      </c>
      <c r="AR247" s="18" t="str">
        <f t="shared" si="167"/>
        <v/>
      </c>
      <c r="AS247" s="18" t="str">
        <f>IF(BD247&lt;&gt;1,"",DATA_INPUT!$I247)</f>
        <v/>
      </c>
      <c r="AT247" s="18" t="str">
        <f>IF(BD247&lt;&gt;1,"",AS247*CONTROL_PANEL!$B$5)</f>
        <v/>
      </c>
      <c r="AU247" s="18" t="str">
        <f>IF(BD247&lt;&gt;1,"",DATA_INPUT!$C247)</f>
        <v/>
      </c>
      <c r="AV247" s="18" t="str">
        <f t="shared" si="154"/>
        <v/>
      </c>
      <c r="AW247" s="18" t="str">
        <f>IF(BD247&lt;&gt;1,"",DATA_INPUT!$H247)</f>
        <v/>
      </c>
      <c r="AX247" s="18" t="str">
        <f t="shared" si="155"/>
        <v/>
      </c>
      <c r="AY247" s="18" t="str">
        <f>IF(BD247&lt;&gt;1,"",AT247*CONTROL_PANEL!$B$14)</f>
        <v/>
      </c>
      <c r="AZ247" s="18" t="str">
        <f>IF(BD247&lt;&gt;1,"",DATA_INPUT!$M247)</f>
        <v/>
      </c>
      <c r="BA247" s="18" t="str">
        <f t="shared" si="156"/>
        <v/>
      </c>
      <c r="BB247" s="18" t="str">
        <f>IF(BD247&lt;&gt;1,"",IF(BA247-CONTROL_PANEL!$B$11&lt;0,0,BA247-CONTROL_PANEL!$B$11))</f>
        <v/>
      </c>
      <c r="BC247" s="18" t="str">
        <f>IF(BD247&lt;&gt;1,"",IF(AZ247&lt;=0,0,MIN(AZ247,MAX(0,CONTROL_PANEL!$B$13-BA247))))</f>
        <v/>
      </c>
      <c r="BD247" s="18"/>
      <c r="BF247" s="19">
        <f t="shared" si="178"/>
        <v>2035</v>
      </c>
      <c r="BG247" s="19">
        <f t="shared" si="143"/>
        <v>12</v>
      </c>
      <c r="BH247" s="18" t="str">
        <f t="shared" si="157"/>
        <v/>
      </c>
      <c r="BI247" s="18" t="str">
        <f t="shared" si="173"/>
        <v/>
      </c>
      <c r="BJ247" s="18" t="str">
        <f>IF(BW246&lt;&gt;1,"",IF(BT246&gt;0,IF(BT246&gt;CONTROL_PANEL!$B$11,CONTROL_PANEL!$B$11,BT246),0))</f>
        <v/>
      </c>
      <c r="BK247" s="18" t="str">
        <f t="shared" si="168"/>
        <v/>
      </c>
      <c r="BL247" s="18" t="str">
        <f>IF(BW247&lt;&gt;1,"",DATA_INPUT!$I247)</f>
        <v/>
      </c>
      <c r="BM247" s="18" t="str">
        <f>IF(BW247&lt;&gt;1,"",BL247*CONTROL_PANEL!$B$5)</f>
        <v/>
      </c>
      <c r="BN247" s="18" t="str">
        <f>IF(BW247&lt;&gt;1,"",DATA_INPUT!$C247)</f>
        <v/>
      </c>
      <c r="BO247" s="18" t="str">
        <f t="shared" si="158"/>
        <v/>
      </c>
      <c r="BP247" s="18" t="str">
        <f>IF(BW247&lt;&gt;1,"",DATA_INPUT!$H247)</f>
        <v/>
      </c>
      <c r="BQ247" s="18" t="str">
        <f t="shared" si="159"/>
        <v/>
      </c>
      <c r="BR247" s="18" t="str">
        <f>IF(BW247&lt;&gt;1,"",BM247*CONTROL_PANEL!$B$14)</f>
        <v/>
      </c>
      <c r="BS247" s="18" t="str">
        <f>IF(BW247&lt;&gt;1,"",DATA_INPUT!$N247)</f>
        <v/>
      </c>
      <c r="BT247" s="18" t="str">
        <f t="shared" si="160"/>
        <v/>
      </c>
      <c r="BU247" s="18" t="str">
        <f>IF(BW247&lt;&gt;1,"",IF(BT247-CONTROL_PANEL!$B$11&lt;0,0,BT247-CONTROL_PANEL!$B$11))</f>
        <v/>
      </c>
      <c r="BV247" s="18" t="str">
        <f>IF(BW247&lt;&gt;1,"",IF(BS247&lt;=0,0,MIN(BS247,MAX(0,CONTROL_PANEL!$B$13-BT247))))</f>
        <v/>
      </c>
      <c r="BW247" s="18"/>
      <c r="BY247" s="19">
        <f t="shared" si="179"/>
        <v>2035</v>
      </c>
      <c r="BZ247" s="19">
        <f t="shared" si="144"/>
        <v>12</v>
      </c>
      <c r="CA247" s="18" t="str">
        <f t="shared" si="161"/>
        <v/>
      </c>
      <c r="CB247" s="18" t="str">
        <f t="shared" si="174"/>
        <v/>
      </c>
      <c r="CC247" s="18" t="str">
        <f>IF(CP246&lt;&gt;1,"",IF(CM246&gt;0,IF(CM246&gt;CONTROL_PANEL!$B$11,CONTROL_PANEL!$B$11,CM246),0))</f>
        <v/>
      </c>
      <c r="CD247" s="18" t="str">
        <f t="shared" si="169"/>
        <v/>
      </c>
      <c r="CE247" s="18" t="str">
        <f>IF(CP247&lt;&gt;1,"",DATA_INPUT!$I247)</f>
        <v/>
      </c>
      <c r="CF247" s="18" t="str">
        <f>IF(CP247&lt;&gt;1,"",CE247*CONTROL_PANEL!$B$5)</f>
        <v/>
      </c>
      <c r="CG247" s="18" t="str">
        <f>IF(CP247&lt;&gt;1,"",DATA_INPUT!$C247)</f>
        <v/>
      </c>
      <c r="CH247" s="18" t="str">
        <f t="shared" si="162"/>
        <v/>
      </c>
      <c r="CI247" s="18" t="str">
        <f>IF(CP247&lt;&gt;1,"",DATA_INPUT!$H247)</f>
        <v/>
      </c>
      <c r="CJ247" s="18" t="str">
        <f t="shared" si="163"/>
        <v/>
      </c>
      <c r="CK247" s="18" t="str">
        <f>IF(CP247&lt;&gt;1,"",CF247*CONTROL_PANEL!$B$14)</f>
        <v/>
      </c>
      <c r="CL247" s="18" t="str">
        <f>IF(CP247&lt;&gt;1,"",DATA_INPUT!$O247)</f>
        <v/>
      </c>
      <c r="CM247" s="18" t="str">
        <f t="shared" si="164"/>
        <v/>
      </c>
      <c r="CN247" s="18" t="str">
        <f>IF(CP247&lt;&gt;1,"",IF(CM247-CONTROL_PANEL!$B$11&lt;0,0,CM247-CONTROL_PANEL!$B$11))</f>
        <v/>
      </c>
      <c r="CO247" s="18" t="str">
        <f>IF(CP247&lt;&gt;1,"",IF(CL247&lt;=0,0,MIN(CL247,MAX(0,CONTROL_PANEL!$B$13-CM247))))</f>
        <v/>
      </c>
      <c r="CP247" s="18"/>
    </row>
    <row r="248" spans="1:94" x14ac:dyDescent="0.25">
      <c r="A248" s="19">
        <f t="shared" si="175"/>
        <v>2036</v>
      </c>
      <c r="B248" s="19">
        <f t="shared" si="140"/>
        <v>1</v>
      </c>
      <c r="C248" s="18" t="str">
        <f t="shared" si="145"/>
        <v/>
      </c>
      <c r="D248" s="18" t="str">
        <f t="shared" si="170"/>
        <v/>
      </c>
      <c r="E248" s="18" t="str">
        <f>IF(R247&lt;&gt;1,"",IF(O247&gt;0,IF(O247&gt;CONTROL_PANEL!$B$11,CONTROL_PANEL!$B$11,O247),0))</f>
        <v/>
      </c>
      <c r="F248" s="18" t="str">
        <f t="shared" si="165"/>
        <v/>
      </c>
      <c r="G248" s="18" t="str">
        <f>IF(R248&lt;&gt;1,"",DATA_INPUT!I248)</f>
        <v/>
      </c>
      <c r="H248" s="18" t="str">
        <f>IF(R248&lt;&gt;1,"",G248*CONTROL_PANEL!$B$5)</f>
        <v/>
      </c>
      <c r="I248" s="18" t="str">
        <f>IF(R248&lt;&gt;1,"",DATA_INPUT!C248)</f>
        <v/>
      </c>
      <c r="J248" s="18" t="str">
        <f t="shared" si="146"/>
        <v/>
      </c>
      <c r="K248" s="18" t="str">
        <f>IF(R248&lt;&gt;1,"",DATA_INPUT!H248)</f>
        <v/>
      </c>
      <c r="L248" s="18" t="str">
        <f t="shared" si="147"/>
        <v/>
      </c>
      <c r="M248" s="18" t="str">
        <f>IF(R248&lt;&gt;1,"",H248*CONTROL_PANEL!$B$14)</f>
        <v/>
      </c>
      <c r="N248" s="18" t="str">
        <f>IF(R248&lt;&gt;1,"",DATA_INPUT!K248)</f>
        <v/>
      </c>
      <c r="O248" s="18" t="str">
        <f t="shared" si="148"/>
        <v/>
      </c>
      <c r="P248" s="18" t="str">
        <f>IF(R248&lt;&gt;1,"",IF(O248-CONTROL_PANEL!$B$11&lt;0,0,O248-CONTROL_PANEL!$B$11))</f>
        <v/>
      </c>
      <c r="Q248" s="18" t="str">
        <f>IF(R248&lt;&gt;1,"",IF(N248&lt;=0,0,MIN(N248,MAX(0,CONTROL_PANEL!$B$13-O248))))</f>
        <v/>
      </c>
      <c r="R248" s="18"/>
      <c r="T248" s="19">
        <f t="shared" si="176"/>
        <v>2036</v>
      </c>
      <c r="U248" s="19">
        <f t="shared" si="141"/>
        <v>1</v>
      </c>
      <c r="V248" s="18" t="str">
        <f t="shared" si="149"/>
        <v/>
      </c>
      <c r="W248" s="18" t="str">
        <f t="shared" si="171"/>
        <v/>
      </c>
      <c r="X248" s="18" t="str">
        <f>IF(AK247&lt;&gt;1,"",IF(AH247&gt;0,IF(AH247&gt;CONTROL_PANEL!$B$11,CONTROL_PANEL!$B$11,AH247),0))</f>
        <v/>
      </c>
      <c r="Y248" s="18" t="str">
        <f t="shared" si="166"/>
        <v/>
      </c>
      <c r="Z248" s="18" t="str">
        <f>IF(AK248&lt;&gt;1,"",DATA_INPUT!I248)</f>
        <v/>
      </c>
      <c r="AA248" s="18" t="str">
        <f>IF(AK248&lt;&gt;1,"",Z248*CONTROL_PANEL!$B$5)</f>
        <v/>
      </c>
      <c r="AB248" s="18" t="str">
        <f>IF(AK248&lt;&gt;1,"",DATA_INPUT!$C248)</f>
        <v/>
      </c>
      <c r="AC248" s="18" t="str">
        <f t="shared" si="150"/>
        <v/>
      </c>
      <c r="AD248" s="18" t="str">
        <f>IF(AK248&lt;&gt;1,"",DATA_INPUT!$H248)</f>
        <v/>
      </c>
      <c r="AE248" s="18" t="str">
        <f t="shared" si="151"/>
        <v/>
      </c>
      <c r="AF248" s="18" t="str">
        <f>IF(AK248&lt;&gt;1,"",AA248*CONTROL_PANEL!$B$14)</f>
        <v/>
      </c>
      <c r="AG248" s="18" t="str">
        <f>IF(AK248&lt;&gt;1,"",DATA_INPUT!$L248)</f>
        <v/>
      </c>
      <c r="AH248" s="18" t="str">
        <f t="shared" si="152"/>
        <v/>
      </c>
      <c r="AI248" s="18" t="str">
        <f>IF(AK248&lt;&gt;1,"",IF(AH248-CONTROL_PANEL!$B$11&lt;0,0,AH248-CONTROL_PANEL!$B$11))</f>
        <v/>
      </c>
      <c r="AJ248" s="18" t="str">
        <f>IF(AK248&lt;&gt;1,"",IF(AG248&lt;=0,0,MIN(AG248,MAX(0,CONTROL_PANEL!$B$13-AH248))))</f>
        <v/>
      </c>
      <c r="AK248" s="18"/>
      <c r="AM248" s="19">
        <f t="shared" si="177"/>
        <v>2036</v>
      </c>
      <c r="AN248" s="19">
        <f t="shared" si="142"/>
        <v>1</v>
      </c>
      <c r="AO248" s="18" t="str">
        <f t="shared" si="153"/>
        <v/>
      </c>
      <c r="AP248" s="18" t="str">
        <f t="shared" si="172"/>
        <v/>
      </c>
      <c r="AQ248" s="18" t="str">
        <f>IF(BD247&lt;&gt;1,"",IF(BA247&gt;0,IF(BA247&gt;CONTROL_PANEL!$B$11,CONTROL_PANEL!$B$11,BA247),0))</f>
        <v/>
      </c>
      <c r="AR248" s="18" t="str">
        <f t="shared" si="167"/>
        <v/>
      </c>
      <c r="AS248" s="18" t="str">
        <f>IF(BD248&lt;&gt;1,"",DATA_INPUT!$I248)</f>
        <v/>
      </c>
      <c r="AT248" s="18" t="str">
        <f>IF(BD248&lt;&gt;1,"",AS248*CONTROL_PANEL!$B$5)</f>
        <v/>
      </c>
      <c r="AU248" s="18" t="str">
        <f>IF(BD248&lt;&gt;1,"",DATA_INPUT!$C248)</f>
        <v/>
      </c>
      <c r="AV248" s="18" t="str">
        <f t="shared" si="154"/>
        <v/>
      </c>
      <c r="AW248" s="18" t="str">
        <f>IF(BD248&lt;&gt;1,"",DATA_INPUT!$H248)</f>
        <v/>
      </c>
      <c r="AX248" s="18" t="str">
        <f t="shared" si="155"/>
        <v/>
      </c>
      <c r="AY248" s="18" t="str">
        <f>IF(BD248&lt;&gt;1,"",AT248*CONTROL_PANEL!$B$14)</f>
        <v/>
      </c>
      <c r="AZ248" s="18" t="str">
        <f>IF(BD248&lt;&gt;1,"",DATA_INPUT!$M248)</f>
        <v/>
      </c>
      <c r="BA248" s="18" t="str">
        <f t="shared" si="156"/>
        <v/>
      </c>
      <c r="BB248" s="18" t="str">
        <f>IF(BD248&lt;&gt;1,"",IF(BA248-CONTROL_PANEL!$B$11&lt;0,0,BA248-CONTROL_PANEL!$B$11))</f>
        <v/>
      </c>
      <c r="BC248" s="18" t="str">
        <f>IF(BD248&lt;&gt;1,"",IF(AZ248&lt;=0,0,MIN(AZ248,MAX(0,CONTROL_PANEL!$B$13-BA248))))</f>
        <v/>
      </c>
      <c r="BD248" s="18"/>
      <c r="BF248" s="19">
        <f t="shared" si="178"/>
        <v>2036</v>
      </c>
      <c r="BG248" s="19">
        <f t="shared" si="143"/>
        <v>1</v>
      </c>
      <c r="BH248" s="18" t="str">
        <f t="shared" si="157"/>
        <v/>
      </c>
      <c r="BI248" s="18" t="str">
        <f t="shared" si="173"/>
        <v/>
      </c>
      <c r="BJ248" s="18" t="str">
        <f>IF(BW247&lt;&gt;1,"",IF(BT247&gt;0,IF(BT247&gt;CONTROL_PANEL!$B$11,CONTROL_PANEL!$B$11,BT247),0))</f>
        <v/>
      </c>
      <c r="BK248" s="18" t="str">
        <f t="shared" si="168"/>
        <v/>
      </c>
      <c r="BL248" s="18" t="str">
        <f>IF(BW248&lt;&gt;1,"",DATA_INPUT!$I248)</f>
        <v/>
      </c>
      <c r="BM248" s="18" t="str">
        <f>IF(BW248&lt;&gt;1,"",BL248*CONTROL_PANEL!$B$5)</f>
        <v/>
      </c>
      <c r="BN248" s="18" t="str">
        <f>IF(BW248&lt;&gt;1,"",DATA_INPUT!$C248)</f>
        <v/>
      </c>
      <c r="BO248" s="18" t="str">
        <f t="shared" si="158"/>
        <v/>
      </c>
      <c r="BP248" s="18" t="str">
        <f>IF(BW248&lt;&gt;1,"",DATA_INPUT!$H248)</f>
        <v/>
      </c>
      <c r="BQ248" s="18" t="str">
        <f t="shared" si="159"/>
        <v/>
      </c>
      <c r="BR248" s="18" t="str">
        <f>IF(BW248&lt;&gt;1,"",BM248*CONTROL_PANEL!$B$14)</f>
        <v/>
      </c>
      <c r="BS248" s="18" t="str">
        <f>IF(BW248&lt;&gt;1,"",DATA_INPUT!$N248)</f>
        <v/>
      </c>
      <c r="BT248" s="18" t="str">
        <f t="shared" si="160"/>
        <v/>
      </c>
      <c r="BU248" s="18" t="str">
        <f>IF(BW248&lt;&gt;1,"",IF(BT248-CONTROL_PANEL!$B$11&lt;0,0,BT248-CONTROL_PANEL!$B$11))</f>
        <v/>
      </c>
      <c r="BV248" s="18" t="str">
        <f>IF(BW248&lt;&gt;1,"",IF(BS248&lt;=0,0,MIN(BS248,MAX(0,CONTROL_PANEL!$B$13-BT248))))</f>
        <v/>
      </c>
      <c r="BW248" s="18"/>
      <c r="BY248" s="19">
        <f t="shared" si="179"/>
        <v>2036</v>
      </c>
      <c r="BZ248" s="19">
        <f t="shared" si="144"/>
        <v>1</v>
      </c>
      <c r="CA248" s="18" t="str">
        <f t="shared" si="161"/>
        <v/>
      </c>
      <c r="CB248" s="18" t="str">
        <f t="shared" si="174"/>
        <v/>
      </c>
      <c r="CC248" s="18" t="str">
        <f>IF(CP247&lt;&gt;1,"",IF(CM247&gt;0,IF(CM247&gt;CONTROL_PANEL!$B$11,CONTROL_PANEL!$B$11,CM247),0))</f>
        <v/>
      </c>
      <c r="CD248" s="18" t="str">
        <f t="shared" si="169"/>
        <v/>
      </c>
      <c r="CE248" s="18" t="str">
        <f>IF(CP248&lt;&gt;1,"",DATA_INPUT!$I248)</f>
        <v/>
      </c>
      <c r="CF248" s="18" t="str">
        <f>IF(CP248&lt;&gt;1,"",CE248*CONTROL_PANEL!$B$5)</f>
        <v/>
      </c>
      <c r="CG248" s="18" t="str">
        <f>IF(CP248&lt;&gt;1,"",DATA_INPUT!$C248)</f>
        <v/>
      </c>
      <c r="CH248" s="18" t="str">
        <f t="shared" si="162"/>
        <v/>
      </c>
      <c r="CI248" s="18" t="str">
        <f>IF(CP248&lt;&gt;1,"",DATA_INPUT!$H248)</f>
        <v/>
      </c>
      <c r="CJ248" s="18" t="str">
        <f t="shared" si="163"/>
        <v/>
      </c>
      <c r="CK248" s="18" t="str">
        <f>IF(CP248&lt;&gt;1,"",CF248*CONTROL_PANEL!$B$14)</f>
        <v/>
      </c>
      <c r="CL248" s="18" t="str">
        <f>IF(CP248&lt;&gt;1,"",DATA_INPUT!$O248)</f>
        <v/>
      </c>
      <c r="CM248" s="18" t="str">
        <f t="shared" si="164"/>
        <v/>
      </c>
      <c r="CN248" s="18" t="str">
        <f>IF(CP248&lt;&gt;1,"",IF(CM248-CONTROL_PANEL!$B$11&lt;0,0,CM248-CONTROL_PANEL!$B$11))</f>
        <v/>
      </c>
      <c r="CO248" s="18" t="str">
        <f>IF(CP248&lt;&gt;1,"",IF(CL248&lt;=0,0,MIN(CL248,MAX(0,CONTROL_PANEL!$B$13-CM248))))</f>
        <v/>
      </c>
      <c r="CP248" s="18"/>
    </row>
    <row r="249" spans="1:94" x14ac:dyDescent="0.25">
      <c r="A249" s="19">
        <f t="shared" si="175"/>
        <v>2036</v>
      </c>
      <c r="B249" s="19">
        <f t="shared" si="140"/>
        <v>2</v>
      </c>
      <c r="C249" s="18" t="str">
        <f t="shared" si="145"/>
        <v/>
      </c>
      <c r="D249" s="18" t="str">
        <f t="shared" si="170"/>
        <v/>
      </c>
      <c r="E249" s="18" t="str">
        <f>IF(R248&lt;&gt;1,"",IF(O248&gt;0,IF(O248&gt;CONTROL_PANEL!$B$11,CONTROL_PANEL!$B$11,O248),0))</f>
        <v/>
      </c>
      <c r="F249" s="18" t="str">
        <f t="shared" si="165"/>
        <v/>
      </c>
      <c r="G249" s="18" t="str">
        <f>IF(R249&lt;&gt;1,"",DATA_INPUT!I249)</f>
        <v/>
      </c>
      <c r="H249" s="18" t="str">
        <f>IF(R249&lt;&gt;1,"",G249*CONTROL_PANEL!$B$5)</f>
        <v/>
      </c>
      <c r="I249" s="18" t="str">
        <f>IF(R249&lt;&gt;1,"",DATA_INPUT!C249)</f>
        <v/>
      </c>
      <c r="J249" s="18" t="str">
        <f t="shared" si="146"/>
        <v/>
      </c>
      <c r="K249" s="18" t="str">
        <f>IF(R249&lt;&gt;1,"",DATA_INPUT!H249)</f>
        <v/>
      </c>
      <c r="L249" s="18" t="str">
        <f t="shared" si="147"/>
        <v/>
      </c>
      <c r="M249" s="18" t="str">
        <f>IF(R249&lt;&gt;1,"",H249*CONTROL_PANEL!$B$14)</f>
        <v/>
      </c>
      <c r="N249" s="18" t="str">
        <f>IF(R249&lt;&gt;1,"",DATA_INPUT!K249)</f>
        <v/>
      </c>
      <c r="O249" s="18" t="str">
        <f t="shared" si="148"/>
        <v/>
      </c>
      <c r="P249" s="18" t="str">
        <f>IF(R249&lt;&gt;1,"",IF(O249-CONTROL_PANEL!$B$11&lt;0,0,O249-CONTROL_PANEL!$B$11))</f>
        <v/>
      </c>
      <c r="Q249" s="18" t="str">
        <f>IF(R249&lt;&gt;1,"",IF(N249&lt;=0,0,MIN(N249,MAX(0,CONTROL_PANEL!$B$13-O249))))</f>
        <v/>
      </c>
      <c r="R249" s="18"/>
      <c r="T249" s="19">
        <f t="shared" si="176"/>
        <v>2036</v>
      </c>
      <c r="U249" s="19">
        <f t="shared" si="141"/>
        <v>2</v>
      </c>
      <c r="V249" s="18" t="str">
        <f t="shared" si="149"/>
        <v/>
      </c>
      <c r="W249" s="18" t="str">
        <f t="shared" si="171"/>
        <v/>
      </c>
      <c r="X249" s="18" t="str">
        <f>IF(AK248&lt;&gt;1,"",IF(AH248&gt;0,IF(AH248&gt;CONTROL_PANEL!$B$11,CONTROL_PANEL!$B$11,AH248),0))</f>
        <v/>
      </c>
      <c r="Y249" s="18" t="str">
        <f t="shared" si="166"/>
        <v/>
      </c>
      <c r="Z249" s="18" t="str">
        <f>IF(AK249&lt;&gt;1,"",DATA_INPUT!I249)</f>
        <v/>
      </c>
      <c r="AA249" s="18" t="str">
        <f>IF(AK249&lt;&gt;1,"",Z249*CONTROL_PANEL!$B$5)</f>
        <v/>
      </c>
      <c r="AB249" s="18" t="str">
        <f>IF(AK249&lt;&gt;1,"",DATA_INPUT!$C249)</f>
        <v/>
      </c>
      <c r="AC249" s="18" t="str">
        <f t="shared" si="150"/>
        <v/>
      </c>
      <c r="AD249" s="18" t="str">
        <f>IF(AK249&lt;&gt;1,"",DATA_INPUT!$H249)</f>
        <v/>
      </c>
      <c r="AE249" s="18" t="str">
        <f t="shared" si="151"/>
        <v/>
      </c>
      <c r="AF249" s="18" t="str">
        <f>IF(AK249&lt;&gt;1,"",AA249*CONTROL_PANEL!$B$14)</f>
        <v/>
      </c>
      <c r="AG249" s="18" t="str">
        <f>IF(AK249&lt;&gt;1,"",DATA_INPUT!$L249)</f>
        <v/>
      </c>
      <c r="AH249" s="18" t="str">
        <f t="shared" si="152"/>
        <v/>
      </c>
      <c r="AI249" s="18" t="str">
        <f>IF(AK249&lt;&gt;1,"",IF(AH249-CONTROL_PANEL!$B$11&lt;0,0,AH249-CONTROL_PANEL!$B$11))</f>
        <v/>
      </c>
      <c r="AJ249" s="18" t="str">
        <f>IF(AK249&lt;&gt;1,"",IF(AG249&lt;=0,0,MIN(AG249,MAX(0,CONTROL_PANEL!$B$13-AH249))))</f>
        <v/>
      </c>
      <c r="AK249" s="18"/>
      <c r="AM249" s="19">
        <f t="shared" si="177"/>
        <v>2036</v>
      </c>
      <c r="AN249" s="19">
        <f t="shared" si="142"/>
        <v>2</v>
      </c>
      <c r="AO249" s="18" t="str">
        <f t="shared" si="153"/>
        <v/>
      </c>
      <c r="AP249" s="18" t="str">
        <f t="shared" si="172"/>
        <v/>
      </c>
      <c r="AQ249" s="18" t="str">
        <f>IF(BD248&lt;&gt;1,"",IF(BA248&gt;0,IF(BA248&gt;CONTROL_PANEL!$B$11,CONTROL_PANEL!$B$11,BA248),0))</f>
        <v/>
      </c>
      <c r="AR249" s="18" t="str">
        <f t="shared" si="167"/>
        <v/>
      </c>
      <c r="AS249" s="18" t="str">
        <f>IF(BD249&lt;&gt;1,"",DATA_INPUT!$I249)</f>
        <v/>
      </c>
      <c r="AT249" s="18" t="str">
        <f>IF(BD249&lt;&gt;1,"",AS249*CONTROL_PANEL!$B$5)</f>
        <v/>
      </c>
      <c r="AU249" s="18" t="str">
        <f>IF(BD249&lt;&gt;1,"",DATA_INPUT!$C249)</f>
        <v/>
      </c>
      <c r="AV249" s="18" t="str">
        <f t="shared" si="154"/>
        <v/>
      </c>
      <c r="AW249" s="18" t="str">
        <f>IF(BD249&lt;&gt;1,"",DATA_INPUT!$H249)</f>
        <v/>
      </c>
      <c r="AX249" s="18" t="str">
        <f t="shared" si="155"/>
        <v/>
      </c>
      <c r="AY249" s="18" t="str">
        <f>IF(BD249&lt;&gt;1,"",AT249*CONTROL_PANEL!$B$14)</f>
        <v/>
      </c>
      <c r="AZ249" s="18" t="str">
        <f>IF(BD249&lt;&gt;1,"",DATA_INPUT!$M249)</f>
        <v/>
      </c>
      <c r="BA249" s="18" t="str">
        <f t="shared" si="156"/>
        <v/>
      </c>
      <c r="BB249" s="18" t="str">
        <f>IF(BD249&lt;&gt;1,"",IF(BA249-CONTROL_PANEL!$B$11&lt;0,0,BA249-CONTROL_PANEL!$B$11))</f>
        <v/>
      </c>
      <c r="BC249" s="18" t="str">
        <f>IF(BD249&lt;&gt;1,"",IF(AZ249&lt;=0,0,MIN(AZ249,MAX(0,CONTROL_PANEL!$B$13-BA249))))</f>
        <v/>
      </c>
      <c r="BD249" s="18"/>
      <c r="BF249" s="19">
        <f t="shared" si="178"/>
        <v>2036</v>
      </c>
      <c r="BG249" s="19">
        <f t="shared" si="143"/>
        <v>2</v>
      </c>
      <c r="BH249" s="18" t="str">
        <f t="shared" si="157"/>
        <v/>
      </c>
      <c r="BI249" s="18" t="str">
        <f t="shared" si="173"/>
        <v/>
      </c>
      <c r="BJ249" s="18" t="str">
        <f>IF(BW248&lt;&gt;1,"",IF(BT248&gt;0,IF(BT248&gt;CONTROL_PANEL!$B$11,CONTROL_PANEL!$B$11,BT248),0))</f>
        <v/>
      </c>
      <c r="BK249" s="18" t="str">
        <f t="shared" si="168"/>
        <v/>
      </c>
      <c r="BL249" s="18" t="str">
        <f>IF(BW249&lt;&gt;1,"",DATA_INPUT!$I249)</f>
        <v/>
      </c>
      <c r="BM249" s="18" t="str">
        <f>IF(BW249&lt;&gt;1,"",BL249*CONTROL_PANEL!$B$5)</f>
        <v/>
      </c>
      <c r="BN249" s="18" t="str">
        <f>IF(BW249&lt;&gt;1,"",DATA_INPUT!$C249)</f>
        <v/>
      </c>
      <c r="BO249" s="18" t="str">
        <f t="shared" si="158"/>
        <v/>
      </c>
      <c r="BP249" s="18" t="str">
        <f>IF(BW249&lt;&gt;1,"",DATA_INPUT!$H249)</f>
        <v/>
      </c>
      <c r="BQ249" s="18" t="str">
        <f t="shared" si="159"/>
        <v/>
      </c>
      <c r="BR249" s="18" t="str">
        <f>IF(BW249&lt;&gt;1,"",BM249*CONTROL_PANEL!$B$14)</f>
        <v/>
      </c>
      <c r="BS249" s="18" t="str">
        <f>IF(BW249&lt;&gt;1,"",DATA_INPUT!$N249)</f>
        <v/>
      </c>
      <c r="BT249" s="18" t="str">
        <f t="shared" si="160"/>
        <v/>
      </c>
      <c r="BU249" s="18" t="str">
        <f>IF(BW249&lt;&gt;1,"",IF(BT249-CONTROL_PANEL!$B$11&lt;0,0,BT249-CONTROL_PANEL!$B$11))</f>
        <v/>
      </c>
      <c r="BV249" s="18" t="str">
        <f>IF(BW249&lt;&gt;1,"",IF(BS249&lt;=0,0,MIN(BS249,MAX(0,CONTROL_PANEL!$B$13-BT249))))</f>
        <v/>
      </c>
      <c r="BW249" s="18"/>
      <c r="BY249" s="19">
        <f t="shared" si="179"/>
        <v>2036</v>
      </c>
      <c r="BZ249" s="19">
        <f t="shared" si="144"/>
        <v>2</v>
      </c>
      <c r="CA249" s="18" t="str">
        <f t="shared" si="161"/>
        <v/>
      </c>
      <c r="CB249" s="18" t="str">
        <f t="shared" si="174"/>
        <v/>
      </c>
      <c r="CC249" s="18" t="str">
        <f>IF(CP248&lt;&gt;1,"",IF(CM248&gt;0,IF(CM248&gt;CONTROL_PANEL!$B$11,CONTROL_PANEL!$B$11,CM248),0))</f>
        <v/>
      </c>
      <c r="CD249" s="18" t="str">
        <f t="shared" si="169"/>
        <v/>
      </c>
      <c r="CE249" s="18" t="str">
        <f>IF(CP249&lt;&gt;1,"",DATA_INPUT!$I249)</f>
        <v/>
      </c>
      <c r="CF249" s="18" t="str">
        <f>IF(CP249&lt;&gt;1,"",CE249*CONTROL_PANEL!$B$5)</f>
        <v/>
      </c>
      <c r="CG249" s="18" t="str">
        <f>IF(CP249&lt;&gt;1,"",DATA_INPUT!$C249)</f>
        <v/>
      </c>
      <c r="CH249" s="18" t="str">
        <f t="shared" si="162"/>
        <v/>
      </c>
      <c r="CI249" s="18" t="str">
        <f>IF(CP249&lt;&gt;1,"",DATA_INPUT!$H249)</f>
        <v/>
      </c>
      <c r="CJ249" s="18" t="str">
        <f t="shared" si="163"/>
        <v/>
      </c>
      <c r="CK249" s="18" t="str">
        <f>IF(CP249&lt;&gt;1,"",CF249*CONTROL_PANEL!$B$14)</f>
        <v/>
      </c>
      <c r="CL249" s="18" t="str">
        <f>IF(CP249&lt;&gt;1,"",DATA_INPUT!$O249)</f>
        <v/>
      </c>
      <c r="CM249" s="18" t="str">
        <f t="shared" si="164"/>
        <v/>
      </c>
      <c r="CN249" s="18" t="str">
        <f>IF(CP249&lt;&gt;1,"",IF(CM249-CONTROL_PANEL!$B$11&lt;0,0,CM249-CONTROL_PANEL!$B$11))</f>
        <v/>
      </c>
      <c r="CO249" s="18" t="str">
        <f>IF(CP249&lt;&gt;1,"",IF(CL249&lt;=0,0,MIN(CL249,MAX(0,CONTROL_PANEL!$B$13-CM249))))</f>
        <v/>
      </c>
      <c r="CP249" s="18"/>
    </row>
    <row r="250" spans="1:94" x14ac:dyDescent="0.25">
      <c r="A250" s="19">
        <f t="shared" si="175"/>
        <v>2036</v>
      </c>
      <c r="B250" s="19">
        <f t="shared" si="140"/>
        <v>3</v>
      </c>
      <c r="C250" s="18" t="str">
        <f t="shared" si="145"/>
        <v/>
      </c>
      <c r="D250" s="18" t="str">
        <f t="shared" si="170"/>
        <v/>
      </c>
      <c r="E250" s="18" t="str">
        <f>IF(R249&lt;&gt;1,"",IF(O249&gt;0,IF(O249&gt;CONTROL_PANEL!$B$11,CONTROL_PANEL!$B$11,O249),0))</f>
        <v/>
      </c>
      <c r="F250" s="18" t="str">
        <f t="shared" si="165"/>
        <v/>
      </c>
      <c r="G250" s="18" t="str">
        <f>IF(R250&lt;&gt;1,"",DATA_INPUT!I250)</f>
        <v/>
      </c>
      <c r="H250" s="18" t="str">
        <f>IF(R250&lt;&gt;1,"",G250*CONTROL_PANEL!$B$5)</f>
        <v/>
      </c>
      <c r="I250" s="18" t="str">
        <f>IF(R250&lt;&gt;1,"",DATA_INPUT!C250)</f>
        <v/>
      </c>
      <c r="J250" s="18" t="str">
        <f t="shared" si="146"/>
        <v/>
      </c>
      <c r="K250" s="18" t="str">
        <f>IF(R250&lt;&gt;1,"",DATA_INPUT!H250)</f>
        <v/>
      </c>
      <c r="L250" s="18" t="str">
        <f t="shared" si="147"/>
        <v/>
      </c>
      <c r="M250" s="18" t="str">
        <f>IF(R250&lt;&gt;1,"",H250*CONTROL_PANEL!$B$14)</f>
        <v/>
      </c>
      <c r="N250" s="18" t="str">
        <f>IF(R250&lt;&gt;1,"",DATA_INPUT!K250)</f>
        <v/>
      </c>
      <c r="O250" s="18" t="str">
        <f t="shared" si="148"/>
        <v/>
      </c>
      <c r="P250" s="18" t="str">
        <f>IF(R250&lt;&gt;1,"",IF(O250-CONTROL_PANEL!$B$11&lt;0,0,O250-CONTROL_PANEL!$B$11))</f>
        <v/>
      </c>
      <c r="Q250" s="18" t="str">
        <f>IF(R250&lt;&gt;1,"",IF(N250&lt;=0,0,MIN(N250,MAX(0,CONTROL_PANEL!$B$13-O250))))</f>
        <v/>
      </c>
      <c r="R250" s="18"/>
      <c r="T250" s="19">
        <f t="shared" si="176"/>
        <v>2036</v>
      </c>
      <c r="U250" s="19">
        <f t="shared" si="141"/>
        <v>3</v>
      </c>
      <c r="V250" s="18" t="str">
        <f t="shared" si="149"/>
        <v/>
      </c>
      <c r="W250" s="18" t="str">
        <f t="shared" si="171"/>
        <v/>
      </c>
      <c r="X250" s="18" t="str">
        <f>IF(AK249&lt;&gt;1,"",IF(AH249&gt;0,IF(AH249&gt;CONTROL_PANEL!$B$11,CONTROL_PANEL!$B$11,AH249),0))</f>
        <v/>
      </c>
      <c r="Y250" s="18" t="str">
        <f t="shared" si="166"/>
        <v/>
      </c>
      <c r="Z250" s="18" t="str">
        <f>IF(AK250&lt;&gt;1,"",DATA_INPUT!I250)</f>
        <v/>
      </c>
      <c r="AA250" s="18" t="str">
        <f>IF(AK250&lt;&gt;1,"",Z250*CONTROL_PANEL!$B$5)</f>
        <v/>
      </c>
      <c r="AB250" s="18" t="str">
        <f>IF(AK250&lt;&gt;1,"",DATA_INPUT!$C250)</f>
        <v/>
      </c>
      <c r="AC250" s="18" t="str">
        <f t="shared" si="150"/>
        <v/>
      </c>
      <c r="AD250" s="18" t="str">
        <f>IF(AK250&lt;&gt;1,"",DATA_INPUT!$H250)</f>
        <v/>
      </c>
      <c r="AE250" s="18" t="str">
        <f t="shared" si="151"/>
        <v/>
      </c>
      <c r="AF250" s="18" t="str">
        <f>IF(AK250&lt;&gt;1,"",AA250*CONTROL_PANEL!$B$14)</f>
        <v/>
      </c>
      <c r="AG250" s="18" t="str">
        <f>IF(AK250&lt;&gt;1,"",DATA_INPUT!$L250)</f>
        <v/>
      </c>
      <c r="AH250" s="18" t="str">
        <f t="shared" si="152"/>
        <v/>
      </c>
      <c r="AI250" s="18" t="str">
        <f>IF(AK250&lt;&gt;1,"",IF(AH250-CONTROL_PANEL!$B$11&lt;0,0,AH250-CONTROL_PANEL!$B$11))</f>
        <v/>
      </c>
      <c r="AJ250" s="18" t="str">
        <f>IF(AK250&lt;&gt;1,"",IF(AG250&lt;=0,0,MIN(AG250,MAX(0,CONTROL_PANEL!$B$13-AH250))))</f>
        <v/>
      </c>
      <c r="AK250" s="18"/>
      <c r="AM250" s="19">
        <f t="shared" si="177"/>
        <v>2036</v>
      </c>
      <c r="AN250" s="19">
        <f t="shared" si="142"/>
        <v>3</v>
      </c>
      <c r="AO250" s="18" t="str">
        <f t="shared" si="153"/>
        <v/>
      </c>
      <c r="AP250" s="18" t="str">
        <f t="shared" si="172"/>
        <v/>
      </c>
      <c r="AQ250" s="18" t="str">
        <f>IF(BD249&lt;&gt;1,"",IF(BA249&gt;0,IF(BA249&gt;CONTROL_PANEL!$B$11,CONTROL_PANEL!$B$11,BA249),0))</f>
        <v/>
      </c>
      <c r="AR250" s="18" t="str">
        <f t="shared" si="167"/>
        <v/>
      </c>
      <c r="AS250" s="18" t="str">
        <f>IF(BD250&lt;&gt;1,"",DATA_INPUT!$I250)</f>
        <v/>
      </c>
      <c r="AT250" s="18" t="str">
        <f>IF(BD250&lt;&gt;1,"",AS250*CONTROL_PANEL!$B$5)</f>
        <v/>
      </c>
      <c r="AU250" s="18" t="str">
        <f>IF(BD250&lt;&gt;1,"",DATA_INPUT!$C250)</f>
        <v/>
      </c>
      <c r="AV250" s="18" t="str">
        <f t="shared" si="154"/>
        <v/>
      </c>
      <c r="AW250" s="18" t="str">
        <f>IF(BD250&lt;&gt;1,"",DATA_INPUT!$H250)</f>
        <v/>
      </c>
      <c r="AX250" s="18" t="str">
        <f t="shared" si="155"/>
        <v/>
      </c>
      <c r="AY250" s="18" t="str">
        <f>IF(BD250&lt;&gt;1,"",AT250*CONTROL_PANEL!$B$14)</f>
        <v/>
      </c>
      <c r="AZ250" s="18" t="str">
        <f>IF(BD250&lt;&gt;1,"",DATA_INPUT!$M250)</f>
        <v/>
      </c>
      <c r="BA250" s="18" t="str">
        <f t="shared" si="156"/>
        <v/>
      </c>
      <c r="BB250" s="18" t="str">
        <f>IF(BD250&lt;&gt;1,"",IF(BA250-CONTROL_PANEL!$B$11&lt;0,0,BA250-CONTROL_PANEL!$B$11))</f>
        <v/>
      </c>
      <c r="BC250" s="18" t="str">
        <f>IF(BD250&lt;&gt;1,"",IF(AZ250&lt;=0,0,MIN(AZ250,MAX(0,CONTROL_PANEL!$B$13-BA250))))</f>
        <v/>
      </c>
      <c r="BD250" s="18"/>
      <c r="BF250" s="19">
        <f t="shared" si="178"/>
        <v>2036</v>
      </c>
      <c r="BG250" s="19">
        <f t="shared" si="143"/>
        <v>3</v>
      </c>
      <c r="BH250" s="18" t="str">
        <f t="shared" si="157"/>
        <v/>
      </c>
      <c r="BI250" s="18" t="str">
        <f t="shared" si="173"/>
        <v/>
      </c>
      <c r="BJ250" s="18" t="str">
        <f>IF(BW249&lt;&gt;1,"",IF(BT249&gt;0,IF(BT249&gt;CONTROL_PANEL!$B$11,CONTROL_PANEL!$B$11,BT249),0))</f>
        <v/>
      </c>
      <c r="BK250" s="18" t="str">
        <f t="shared" si="168"/>
        <v/>
      </c>
      <c r="BL250" s="18" t="str">
        <f>IF(BW250&lt;&gt;1,"",DATA_INPUT!$I250)</f>
        <v/>
      </c>
      <c r="BM250" s="18" t="str">
        <f>IF(BW250&lt;&gt;1,"",BL250*CONTROL_PANEL!$B$5)</f>
        <v/>
      </c>
      <c r="BN250" s="18" t="str">
        <f>IF(BW250&lt;&gt;1,"",DATA_INPUT!$C250)</f>
        <v/>
      </c>
      <c r="BO250" s="18" t="str">
        <f t="shared" si="158"/>
        <v/>
      </c>
      <c r="BP250" s="18" t="str">
        <f>IF(BW250&lt;&gt;1,"",DATA_INPUT!$H250)</f>
        <v/>
      </c>
      <c r="BQ250" s="18" t="str">
        <f t="shared" si="159"/>
        <v/>
      </c>
      <c r="BR250" s="18" t="str">
        <f>IF(BW250&lt;&gt;1,"",BM250*CONTROL_PANEL!$B$14)</f>
        <v/>
      </c>
      <c r="BS250" s="18" t="str">
        <f>IF(BW250&lt;&gt;1,"",DATA_INPUT!$N250)</f>
        <v/>
      </c>
      <c r="BT250" s="18" t="str">
        <f t="shared" si="160"/>
        <v/>
      </c>
      <c r="BU250" s="18" t="str">
        <f>IF(BW250&lt;&gt;1,"",IF(BT250-CONTROL_PANEL!$B$11&lt;0,0,BT250-CONTROL_PANEL!$B$11))</f>
        <v/>
      </c>
      <c r="BV250" s="18" t="str">
        <f>IF(BW250&lt;&gt;1,"",IF(BS250&lt;=0,0,MIN(BS250,MAX(0,CONTROL_PANEL!$B$13-BT250))))</f>
        <v/>
      </c>
      <c r="BW250" s="18"/>
      <c r="BY250" s="19">
        <f t="shared" si="179"/>
        <v>2036</v>
      </c>
      <c r="BZ250" s="19">
        <f t="shared" si="144"/>
        <v>3</v>
      </c>
      <c r="CA250" s="18" t="str">
        <f t="shared" si="161"/>
        <v/>
      </c>
      <c r="CB250" s="18" t="str">
        <f t="shared" si="174"/>
        <v/>
      </c>
      <c r="CC250" s="18" t="str">
        <f>IF(CP249&lt;&gt;1,"",IF(CM249&gt;0,IF(CM249&gt;CONTROL_PANEL!$B$11,CONTROL_PANEL!$B$11,CM249),0))</f>
        <v/>
      </c>
      <c r="CD250" s="18" t="str">
        <f t="shared" si="169"/>
        <v/>
      </c>
      <c r="CE250" s="18" t="str">
        <f>IF(CP250&lt;&gt;1,"",DATA_INPUT!$I250)</f>
        <v/>
      </c>
      <c r="CF250" s="18" t="str">
        <f>IF(CP250&lt;&gt;1,"",CE250*CONTROL_PANEL!$B$5)</f>
        <v/>
      </c>
      <c r="CG250" s="18" t="str">
        <f>IF(CP250&lt;&gt;1,"",DATA_INPUT!$C250)</f>
        <v/>
      </c>
      <c r="CH250" s="18" t="str">
        <f t="shared" si="162"/>
        <v/>
      </c>
      <c r="CI250" s="18" t="str">
        <f>IF(CP250&lt;&gt;1,"",DATA_INPUT!$H250)</f>
        <v/>
      </c>
      <c r="CJ250" s="18" t="str">
        <f t="shared" si="163"/>
        <v/>
      </c>
      <c r="CK250" s="18" t="str">
        <f>IF(CP250&lt;&gt;1,"",CF250*CONTROL_PANEL!$B$14)</f>
        <v/>
      </c>
      <c r="CL250" s="18" t="str">
        <f>IF(CP250&lt;&gt;1,"",DATA_INPUT!$O250)</f>
        <v/>
      </c>
      <c r="CM250" s="18" t="str">
        <f t="shared" si="164"/>
        <v/>
      </c>
      <c r="CN250" s="18" t="str">
        <f>IF(CP250&lt;&gt;1,"",IF(CM250-CONTROL_PANEL!$B$11&lt;0,0,CM250-CONTROL_PANEL!$B$11))</f>
        <v/>
      </c>
      <c r="CO250" s="18" t="str">
        <f>IF(CP250&lt;&gt;1,"",IF(CL250&lt;=0,0,MIN(CL250,MAX(0,CONTROL_PANEL!$B$13-CM250))))</f>
        <v/>
      </c>
      <c r="CP250" s="18"/>
    </row>
    <row r="251" spans="1:94" x14ac:dyDescent="0.25">
      <c r="A251" s="19">
        <f t="shared" si="175"/>
        <v>2036</v>
      </c>
      <c r="B251" s="19">
        <f t="shared" si="140"/>
        <v>4</v>
      </c>
      <c r="C251" s="18" t="str">
        <f t="shared" si="145"/>
        <v/>
      </c>
      <c r="D251" s="18" t="str">
        <f t="shared" si="170"/>
        <v/>
      </c>
      <c r="E251" s="18" t="str">
        <f>IF(R250&lt;&gt;1,"",IF(O250&gt;0,IF(O250&gt;CONTROL_PANEL!$B$11,CONTROL_PANEL!$B$11,O250),0))</f>
        <v/>
      </c>
      <c r="F251" s="18" t="str">
        <f t="shared" si="165"/>
        <v/>
      </c>
      <c r="G251" s="18" t="str">
        <f>IF(R251&lt;&gt;1,"",DATA_INPUT!I251)</f>
        <v/>
      </c>
      <c r="H251" s="18" t="str">
        <f>IF(R251&lt;&gt;1,"",G251*CONTROL_PANEL!$B$5)</f>
        <v/>
      </c>
      <c r="I251" s="18" t="str">
        <f>IF(R251&lt;&gt;1,"",DATA_INPUT!C251)</f>
        <v/>
      </c>
      <c r="J251" s="18" t="str">
        <f t="shared" si="146"/>
        <v/>
      </c>
      <c r="K251" s="18" t="str">
        <f>IF(R251&lt;&gt;1,"",DATA_INPUT!H251)</f>
        <v/>
      </c>
      <c r="L251" s="18" t="str">
        <f t="shared" si="147"/>
        <v/>
      </c>
      <c r="M251" s="18" t="str">
        <f>IF(R251&lt;&gt;1,"",H251*CONTROL_PANEL!$B$14)</f>
        <v/>
      </c>
      <c r="N251" s="18" t="str">
        <f>IF(R251&lt;&gt;1,"",DATA_INPUT!K251)</f>
        <v/>
      </c>
      <c r="O251" s="18" t="str">
        <f t="shared" si="148"/>
        <v/>
      </c>
      <c r="P251" s="18" t="str">
        <f>IF(R251&lt;&gt;1,"",IF(O251-CONTROL_PANEL!$B$11&lt;0,0,O251-CONTROL_PANEL!$B$11))</f>
        <v/>
      </c>
      <c r="Q251" s="18" t="str">
        <f>IF(R251&lt;&gt;1,"",IF(N251&lt;=0,0,MIN(N251,MAX(0,CONTROL_PANEL!$B$13-O251))))</f>
        <v/>
      </c>
      <c r="R251" s="18"/>
      <c r="T251" s="19">
        <f t="shared" si="176"/>
        <v>2036</v>
      </c>
      <c r="U251" s="19">
        <f t="shared" si="141"/>
        <v>4</v>
      </c>
      <c r="V251" s="18" t="str">
        <f t="shared" si="149"/>
        <v/>
      </c>
      <c r="W251" s="18" t="str">
        <f t="shared" si="171"/>
        <v/>
      </c>
      <c r="X251" s="18" t="str">
        <f>IF(AK250&lt;&gt;1,"",IF(AH250&gt;0,IF(AH250&gt;CONTROL_PANEL!$B$11,CONTROL_PANEL!$B$11,AH250),0))</f>
        <v/>
      </c>
      <c r="Y251" s="18" t="str">
        <f t="shared" si="166"/>
        <v/>
      </c>
      <c r="Z251" s="18" t="str">
        <f>IF(AK251&lt;&gt;1,"",DATA_INPUT!I251)</f>
        <v/>
      </c>
      <c r="AA251" s="18" t="str">
        <f>IF(AK251&lt;&gt;1,"",Z251*CONTROL_PANEL!$B$5)</f>
        <v/>
      </c>
      <c r="AB251" s="18" t="str">
        <f>IF(AK251&lt;&gt;1,"",DATA_INPUT!$C251)</f>
        <v/>
      </c>
      <c r="AC251" s="18" t="str">
        <f t="shared" si="150"/>
        <v/>
      </c>
      <c r="AD251" s="18" t="str">
        <f>IF(AK251&lt;&gt;1,"",DATA_INPUT!$H251)</f>
        <v/>
      </c>
      <c r="AE251" s="18" t="str">
        <f t="shared" si="151"/>
        <v/>
      </c>
      <c r="AF251" s="18" t="str">
        <f>IF(AK251&lt;&gt;1,"",AA251*CONTROL_PANEL!$B$14)</f>
        <v/>
      </c>
      <c r="AG251" s="18" t="str">
        <f>IF(AK251&lt;&gt;1,"",DATA_INPUT!$L251)</f>
        <v/>
      </c>
      <c r="AH251" s="18" t="str">
        <f t="shared" si="152"/>
        <v/>
      </c>
      <c r="AI251" s="18" t="str">
        <f>IF(AK251&lt;&gt;1,"",IF(AH251-CONTROL_PANEL!$B$11&lt;0,0,AH251-CONTROL_PANEL!$B$11))</f>
        <v/>
      </c>
      <c r="AJ251" s="18" t="str">
        <f>IF(AK251&lt;&gt;1,"",IF(AG251&lt;=0,0,MIN(AG251,MAX(0,CONTROL_PANEL!$B$13-AH251))))</f>
        <v/>
      </c>
      <c r="AK251" s="18"/>
      <c r="AM251" s="19">
        <f t="shared" si="177"/>
        <v>2036</v>
      </c>
      <c r="AN251" s="19">
        <f t="shared" si="142"/>
        <v>4</v>
      </c>
      <c r="AO251" s="18" t="str">
        <f t="shared" si="153"/>
        <v/>
      </c>
      <c r="AP251" s="18" t="str">
        <f t="shared" si="172"/>
        <v/>
      </c>
      <c r="AQ251" s="18" t="str">
        <f>IF(BD250&lt;&gt;1,"",IF(BA250&gt;0,IF(BA250&gt;CONTROL_PANEL!$B$11,CONTROL_PANEL!$B$11,BA250),0))</f>
        <v/>
      </c>
      <c r="AR251" s="18" t="str">
        <f t="shared" si="167"/>
        <v/>
      </c>
      <c r="AS251" s="18" t="str">
        <f>IF(BD251&lt;&gt;1,"",DATA_INPUT!$I251)</f>
        <v/>
      </c>
      <c r="AT251" s="18" t="str">
        <f>IF(BD251&lt;&gt;1,"",AS251*CONTROL_PANEL!$B$5)</f>
        <v/>
      </c>
      <c r="AU251" s="18" t="str">
        <f>IF(BD251&lt;&gt;1,"",DATA_INPUT!$C251)</f>
        <v/>
      </c>
      <c r="AV251" s="18" t="str">
        <f t="shared" si="154"/>
        <v/>
      </c>
      <c r="AW251" s="18" t="str">
        <f>IF(BD251&lt;&gt;1,"",DATA_INPUT!$H251)</f>
        <v/>
      </c>
      <c r="AX251" s="18" t="str">
        <f t="shared" si="155"/>
        <v/>
      </c>
      <c r="AY251" s="18" t="str">
        <f>IF(BD251&lt;&gt;1,"",AT251*CONTROL_PANEL!$B$14)</f>
        <v/>
      </c>
      <c r="AZ251" s="18" t="str">
        <f>IF(BD251&lt;&gt;1,"",DATA_INPUT!$M251)</f>
        <v/>
      </c>
      <c r="BA251" s="18" t="str">
        <f t="shared" si="156"/>
        <v/>
      </c>
      <c r="BB251" s="18" t="str">
        <f>IF(BD251&lt;&gt;1,"",IF(BA251-CONTROL_PANEL!$B$11&lt;0,0,BA251-CONTROL_PANEL!$B$11))</f>
        <v/>
      </c>
      <c r="BC251" s="18" t="str">
        <f>IF(BD251&lt;&gt;1,"",IF(AZ251&lt;=0,0,MIN(AZ251,MAX(0,CONTROL_PANEL!$B$13-BA251))))</f>
        <v/>
      </c>
      <c r="BD251" s="18"/>
      <c r="BF251" s="19">
        <f t="shared" si="178"/>
        <v>2036</v>
      </c>
      <c r="BG251" s="19">
        <f t="shared" si="143"/>
        <v>4</v>
      </c>
      <c r="BH251" s="18" t="str">
        <f t="shared" si="157"/>
        <v/>
      </c>
      <c r="BI251" s="18" t="str">
        <f t="shared" si="173"/>
        <v/>
      </c>
      <c r="BJ251" s="18" t="str">
        <f>IF(BW250&lt;&gt;1,"",IF(BT250&gt;0,IF(BT250&gt;CONTROL_PANEL!$B$11,CONTROL_PANEL!$B$11,BT250),0))</f>
        <v/>
      </c>
      <c r="BK251" s="18" t="str">
        <f t="shared" si="168"/>
        <v/>
      </c>
      <c r="BL251" s="18" t="str">
        <f>IF(BW251&lt;&gt;1,"",DATA_INPUT!$I251)</f>
        <v/>
      </c>
      <c r="BM251" s="18" t="str">
        <f>IF(BW251&lt;&gt;1,"",BL251*CONTROL_PANEL!$B$5)</f>
        <v/>
      </c>
      <c r="BN251" s="18" t="str">
        <f>IF(BW251&lt;&gt;1,"",DATA_INPUT!$C251)</f>
        <v/>
      </c>
      <c r="BO251" s="18" t="str">
        <f t="shared" si="158"/>
        <v/>
      </c>
      <c r="BP251" s="18" t="str">
        <f>IF(BW251&lt;&gt;1,"",DATA_INPUT!$H251)</f>
        <v/>
      </c>
      <c r="BQ251" s="18" t="str">
        <f t="shared" si="159"/>
        <v/>
      </c>
      <c r="BR251" s="18" t="str">
        <f>IF(BW251&lt;&gt;1,"",BM251*CONTROL_PANEL!$B$14)</f>
        <v/>
      </c>
      <c r="BS251" s="18" t="str">
        <f>IF(BW251&lt;&gt;1,"",DATA_INPUT!$N251)</f>
        <v/>
      </c>
      <c r="BT251" s="18" t="str">
        <f t="shared" si="160"/>
        <v/>
      </c>
      <c r="BU251" s="18" t="str">
        <f>IF(BW251&lt;&gt;1,"",IF(BT251-CONTROL_PANEL!$B$11&lt;0,0,BT251-CONTROL_PANEL!$B$11))</f>
        <v/>
      </c>
      <c r="BV251" s="18" t="str">
        <f>IF(BW251&lt;&gt;1,"",IF(BS251&lt;=0,0,MIN(BS251,MAX(0,CONTROL_PANEL!$B$13-BT251))))</f>
        <v/>
      </c>
      <c r="BW251" s="18"/>
      <c r="BY251" s="19">
        <f t="shared" si="179"/>
        <v>2036</v>
      </c>
      <c r="BZ251" s="19">
        <f t="shared" si="144"/>
        <v>4</v>
      </c>
      <c r="CA251" s="18" t="str">
        <f t="shared" si="161"/>
        <v/>
      </c>
      <c r="CB251" s="18" t="str">
        <f t="shared" si="174"/>
        <v/>
      </c>
      <c r="CC251" s="18" t="str">
        <f>IF(CP250&lt;&gt;1,"",IF(CM250&gt;0,IF(CM250&gt;CONTROL_PANEL!$B$11,CONTROL_PANEL!$B$11,CM250),0))</f>
        <v/>
      </c>
      <c r="CD251" s="18" t="str">
        <f t="shared" si="169"/>
        <v/>
      </c>
      <c r="CE251" s="18" t="str">
        <f>IF(CP251&lt;&gt;1,"",DATA_INPUT!$I251)</f>
        <v/>
      </c>
      <c r="CF251" s="18" t="str">
        <f>IF(CP251&lt;&gt;1,"",CE251*CONTROL_PANEL!$B$5)</f>
        <v/>
      </c>
      <c r="CG251" s="18" t="str">
        <f>IF(CP251&lt;&gt;1,"",DATA_INPUT!$C251)</f>
        <v/>
      </c>
      <c r="CH251" s="18" t="str">
        <f t="shared" si="162"/>
        <v/>
      </c>
      <c r="CI251" s="18" t="str">
        <f>IF(CP251&lt;&gt;1,"",DATA_INPUT!$H251)</f>
        <v/>
      </c>
      <c r="CJ251" s="18" t="str">
        <f t="shared" si="163"/>
        <v/>
      </c>
      <c r="CK251" s="18" t="str">
        <f>IF(CP251&lt;&gt;1,"",CF251*CONTROL_PANEL!$B$14)</f>
        <v/>
      </c>
      <c r="CL251" s="18" t="str">
        <f>IF(CP251&lt;&gt;1,"",DATA_INPUT!$O251)</f>
        <v/>
      </c>
      <c r="CM251" s="18" t="str">
        <f t="shared" si="164"/>
        <v/>
      </c>
      <c r="CN251" s="18" t="str">
        <f>IF(CP251&lt;&gt;1,"",IF(CM251-CONTROL_PANEL!$B$11&lt;0,0,CM251-CONTROL_PANEL!$B$11))</f>
        <v/>
      </c>
      <c r="CO251" s="18" t="str">
        <f>IF(CP251&lt;&gt;1,"",IF(CL251&lt;=0,0,MIN(CL251,MAX(0,CONTROL_PANEL!$B$13-CM251))))</f>
        <v/>
      </c>
      <c r="CP251" s="18"/>
    </row>
    <row r="252" spans="1:94" x14ac:dyDescent="0.25">
      <c r="A252" s="19">
        <f t="shared" si="175"/>
        <v>2036</v>
      </c>
      <c r="B252" s="19">
        <f t="shared" si="140"/>
        <v>5</v>
      </c>
      <c r="C252" s="18" t="str">
        <f t="shared" si="145"/>
        <v/>
      </c>
      <c r="D252" s="18" t="str">
        <f t="shared" si="170"/>
        <v/>
      </c>
      <c r="E252" s="18" t="str">
        <f>IF(R251&lt;&gt;1,"",IF(O251&gt;0,IF(O251&gt;CONTROL_PANEL!$B$11,CONTROL_PANEL!$B$11,O251),0))</f>
        <v/>
      </c>
      <c r="F252" s="18" t="str">
        <f t="shared" si="165"/>
        <v/>
      </c>
      <c r="G252" s="18" t="str">
        <f>IF(R252&lt;&gt;1,"",DATA_INPUT!I252)</f>
        <v/>
      </c>
      <c r="H252" s="18" t="str">
        <f>IF(R252&lt;&gt;1,"",G252*CONTROL_PANEL!$B$5)</f>
        <v/>
      </c>
      <c r="I252" s="18" t="str">
        <f>IF(R252&lt;&gt;1,"",DATA_INPUT!C252)</f>
        <v/>
      </c>
      <c r="J252" s="18" t="str">
        <f t="shared" si="146"/>
        <v/>
      </c>
      <c r="K252" s="18" t="str">
        <f>IF(R252&lt;&gt;1,"",DATA_INPUT!H252)</f>
        <v/>
      </c>
      <c r="L252" s="18" t="str">
        <f t="shared" si="147"/>
        <v/>
      </c>
      <c r="M252" s="18" t="str">
        <f>IF(R252&lt;&gt;1,"",H252*CONTROL_PANEL!$B$14)</f>
        <v/>
      </c>
      <c r="N252" s="18" t="str">
        <f>IF(R252&lt;&gt;1,"",DATA_INPUT!K252)</f>
        <v/>
      </c>
      <c r="O252" s="18" t="str">
        <f t="shared" si="148"/>
        <v/>
      </c>
      <c r="P252" s="18" t="str">
        <f>IF(R252&lt;&gt;1,"",IF(O252-CONTROL_PANEL!$B$11&lt;0,0,O252-CONTROL_PANEL!$B$11))</f>
        <v/>
      </c>
      <c r="Q252" s="18" t="str">
        <f>IF(R252&lt;&gt;1,"",IF(N252&lt;=0,0,MIN(N252,MAX(0,CONTROL_PANEL!$B$13-O252))))</f>
        <v/>
      </c>
      <c r="R252" s="18"/>
      <c r="T252" s="19">
        <f t="shared" si="176"/>
        <v>2036</v>
      </c>
      <c r="U252" s="19">
        <f t="shared" si="141"/>
        <v>5</v>
      </c>
      <c r="V252" s="18" t="str">
        <f t="shared" si="149"/>
        <v/>
      </c>
      <c r="W252" s="18" t="str">
        <f t="shared" si="171"/>
        <v/>
      </c>
      <c r="X252" s="18" t="str">
        <f>IF(AK251&lt;&gt;1,"",IF(AH251&gt;0,IF(AH251&gt;CONTROL_PANEL!$B$11,CONTROL_PANEL!$B$11,AH251),0))</f>
        <v/>
      </c>
      <c r="Y252" s="18" t="str">
        <f t="shared" si="166"/>
        <v/>
      </c>
      <c r="Z252" s="18" t="str">
        <f>IF(AK252&lt;&gt;1,"",DATA_INPUT!I252)</f>
        <v/>
      </c>
      <c r="AA252" s="18" t="str">
        <f>IF(AK252&lt;&gt;1,"",Z252*CONTROL_PANEL!$B$5)</f>
        <v/>
      </c>
      <c r="AB252" s="18" t="str">
        <f>IF(AK252&lt;&gt;1,"",DATA_INPUT!$C252)</f>
        <v/>
      </c>
      <c r="AC252" s="18" t="str">
        <f t="shared" si="150"/>
        <v/>
      </c>
      <c r="AD252" s="18" t="str">
        <f>IF(AK252&lt;&gt;1,"",DATA_INPUT!$H252)</f>
        <v/>
      </c>
      <c r="AE252" s="18" t="str">
        <f t="shared" si="151"/>
        <v/>
      </c>
      <c r="AF252" s="18" t="str">
        <f>IF(AK252&lt;&gt;1,"",AA252*CONTROL_PANEL!$B$14)</f>
        <v/>
      </c>
      <c r="AG252" s="18" t="str">
        <f>IF(AK252&lt;&gt;1,"",DATA_INPUT!$L252)</f>
        <v/>
      </c>
      <c r="AH252" s="18" t="str">
        <f t="shared" si="152"/>
        <v/>
      </c>
      <c r="AI252" s="18" t="str">
        <f>IF(AK252&lt;&gt;1,"",IF(AH252-CONTROL_PANEL!$B$11&lt;0,0,AH252-CONTROL_PANEL!$B$11))</f>
        <v/>
      </c>
      <c r="AJ252" s="18" t="str">
        <f>IF(AK252&lt;&gt;1,"",IF(AG252&lt;=0,0,MIN(AG252,MAX(0,CONTROL_PANEL!$B$13-AH252))))</f>
        <v/>
      </c>
      <c r="AK252" s="18"/>
      <c r="AM252" s="19">
        <f t="shared" si="177"/>
        <v>2036</v>
      </c>
      <c r="AN252" s="19">
        <f t="shared" si="142"/>
        <v>5</v>
      </c>
      <c r="AO252" s="18" t="str">
        <f t="shared" si="153"/>
        <v/>
      </c>
      <c r="AP252" s="18" t="str">
        <f t="shared" si="172"/>
        <v/>
      </c>
      <c r="AQ252" s="18" t="str">
        <f>IF(BD251&lt;&gt;1,"",IF(BA251&gt;0,IF(BA251&gt;CONTROL_PANEL!$B$11,CONTROL_PANEL!$B$11,BA251),0))</f>
        <v/>
      </c>
      <c r="AR252" s="18" t="str">
        <f t="shared" si="167"/>
        <v/>
      </c>
      <c r="AS252" s="18" t="str">
        <f>IF(BD252&lt;&gt;1,"",DATA_INPUT!$I252)</f>
        <v/>
      </c>
      <c r="AT252" s="18" t="str">
        <f>IF(BD252&lt;&gt;1,"",AS252*CONTROL_PANEL!$B$5)</f>
        <v/>
      </c>
      <c r="AU252" s="18" t="str">
        <f>IF(BD252&lt;&gt;1,"",DATA_INPUT!$C252)</f>
        <v/>
      </c>
      <c r="AV252" s="18" t="str">
        <f t="shared" si="154"/>
        <v/>
      </c>
      <c r="AW252" s="18" t="str">
        <f>IF(BD252&lt;&gt;1,"",DATA_INPUT!$H252)</f>
        <v/>
      </c>
      <c r="AX252" s="18" t="str">
        <f t="shared" si="155"/>
        <v/>
      </c>
      <c r="AY252" s="18" t="str">
        <f>IF(BD252&lt;&gt;1,"",AT252*CONTROL_PANEL!$B$14)</f>
        <v/>
      </c>
      <c r="AZ252" s="18" t="str">
        <f>IF(BD252&lt;&gt;1,"",DATA_INPUT!$M252)</f>
        <v/>
      </c>
      <c r="BA252" s="18" t="str">
        <f t="shared" si="156"/>
        <v/>
      </c>
      <c r="BB252" s="18" t="str">
        <f>IF(BD252&lt;&gt;1,"",IF(BA252-CONTROL_PANEL!$B$11&lt;0,0,BA252-CONTROL_PANEL!$B$11))</f>
        <v/>
      </c>
      <c r="BC252" s="18" t="str">
        <f>IF(BD252&lt;&gt;1,"",IF(AZ252&lt;=0,0,MIN(AZ252,MAX(0,CONTROL_PANEL!$B$13-BA252))))</f>
        <v/>
      </c>
      <c r="BD252" s="18"/>
      <c r="BF252" s="19">
        <f t="shared" si="178"/>
        <v>2036</v>
      </c>
      <c r="BG252" s="19">
        <f t="shared" si="143"/>
        <v>5</v>
      </c>
      <c r="BH252" s="18" t="str">
        <f t="shared" si="157"/>
        <v/>
      </c>
      <c r="BI252" s="18" t="str">
        <f t="shared" si="173"/>
        <v/>
      </c>
      <c r="BJ252" s="18" t="str">
        <f>IF(BW251&lt;&gt;1,"",IF(BT251&gt;0,IF(BT251&gt;CONTROL_PANEL!$B$11,CONTROL_PANEL!$B$11,BT251),0))</f>
        <v/>
      </c>
      <c r="BK252" s="18" t="str">
        <f t="shared" si="168"/>
        <v/>
      </c>
      <c r="BL252" s="18" t="str">
        <f>IF(BW252&lt;&gt;1,"",DATA_INPUT!$I252)</f>
        <v/>
      </c>
      <c r="BM252" s="18" t="str">
        <f>IF(BW252&lt;&gt;1,"",BL252*CONTROL_PANEL!$B$5)</f>
        <v/>
      </c>
      <c r="BN252" s="18" t="str">
        <f>IF(BW252&lt;&gt;1,"",DATA_INPUT!$C252)</f>
        <v/>
      </c>
      <c r="BO252" s="18" t="str">
        <f t="shared" si="158"/>
        <v/>
      </c>
      <c r="BP252" s="18" t="str">
        <f>IF(BW252&lt;&gt;1,"",DATA_INPUT!$H252)</f>
        <v/>
      </c>
      <c r="BQ252" s="18" t="str">
        <f t="shared" si="159"/>
        <v/>
      </c>
      <c r="BR252" s="18" t="str">
        <f>IF(BW252&lt;&gt;1,"",BM252*CONTROL_PANEL!$B$14)</f>
        <v/>
      </c>
      <c r="BS252" s="18" t="str">
        <f>IF(BW252&lt;&gt;1,"",DATA_INPUT!$N252)</f>
        <v/>
      </c>
      <c r="BT252" s="18" t="str">
        <f t="shared" si="160"/>
        <v/>
      </c>
      <c r="BU252" s="18" t="str">
        <f>IF(BW252&lt;&gt;1,"",IF(BT252-CONTROL_PANEL!$B$11&lt;0,0,BT252-CONTROL_PANEL!$B$11))</f>
        <v/>
      </c>
      <c r="BV252" s="18" t="str">
        <f>IF(BW252&lt;&gt;1,"",IF(BS252&lt;=0,0,MIN(BS252,MAX(0,CONTROL_PANEL!$B$13-BT252))))</f>
        <v/>
      </c>
      <c r="BW252" s="18"/>
      <c r="BY252" s="19">
        <f t="shared" si="179"/>
        <v>2036</v>
      </c>
      <c r="BZ252" s="19">
        <f t="shared" si="144"/>
        <v>5</v>
      </c>
      <c r="CA252" s="18" t="str">
        <f t="shared" si="161"/>
        <v/>
      </c>
      <c r="CB252" s="18" t="str">
        <f t="shared" si="174"/>
        <v/>
      </c>
      <c r="CC252" s="18" t="str">
        <f>IF(CP251&lt;&gt;1,"",IF(CM251&gt;0,IF(CM251&gt;CONTROL_PANEL!$B$11,CONTROL_PANEL!$B$11,CM251),0))</f>
        <v/>
      </c>
      <c r="CD252" s="18" t="str">
        <f t="shared" si="169"/>
        <v/>
      </c>
      <c r="CE252" s="18" t="str">
        <f>IF(CP252&lt;&gt;1,"",DATA_INPUT!$I252)</f>
        <v/>
      </c>
      <c r="CF252" s="18" t="str">
        <f>IF(CP252&lt;&gt;1,"",CE252*CONTROL_PANEL!$B$5)</f>
        <v/>
      </c>
      <c r="CG252" s="18" t="str">
        <f>IF(CP252&lt;&gt;1,"",DATA_INPUT!$C252)</f>
        <v/>
      </c>
      <c r="CH252" s="18" t="str">
        <f t="shared" si="162"/>
        <v/>
      </c>
      <c r="CI252" s="18" t="str">
        <f>IF(CP252&lt;&gt;1,"",DATA_INPUT!$H252)</f>
        <v/>
      </c>
      <c r="CJ252" s="18" t="str">
        <f t="shared" si="163"/>
        <v/>
      </c>
      <c r="CK252" s="18" t="str">
        <f>IF(CP252&lt;&gt;1,"",CF252*CONTROL_PANEL!$B$14)</f>
        <v/>
      </c>
      <c r="CL252" s="18" t="str">
        <f>IF(CP252&lt;&gt;1,"",DATA_INPUT!$O252)</f>
        <v/>
      </c>
      <c r="CM252" s="18" t="str">
        <f t="shared" si="164"/>
        <v/>
      </c>
      <c r="CN252" s="18" t="str">
        <f>IF(CP252&lt;&gt;1,"",IF(CM252-CONTROL_PANEL!$B$11&lt;0,0,CM252-CONTROL_PANEL!$B$11))</f>
        <v/>
      </c>
      <c r="CO252" s="18" t="str">
        <f>IF(CP252&lt;&gt;1,"",IF(CL252&lt;=0,0,MIN(CL252,MAX(0,CONTROL_PANEL!$B$13-CM252))))</f>
        <v/>
      </c>
      <c r="CP252" s="18"/>
    </row>
    <row r="253" spans="1:94" x14ac:dyDescent="0.25">
      <c r="A253" s="19">
        <f t="shared" si="175"/>
        <v>2036</v>
      </c>
      <c r="B253" s="19">
        <f t="shared" si="140"/>
        <v>6</v>
      </c>
      <c r="C253" s="18" t="str">
        <f t="shared" si="145"/>
        <v/>
      </c>
      <c r="D253" s="18" t="str">
        <f t="shared" si="170"/>
        <v/>
      </c>
      <c r="E253" s="18" t="str">
        <f>IF(R252&lt;&gt;1,"",IF(O252&gt;0,IF(O252&gt;CONTROL_PANEL!$B$11,CONTROL_PANEL!$B$11,O252),0))</f>
        <v/>
      </c>
      <c r="F253" s="18" t="str">
        <f t="shared" si="165"/>
        <v/>
      </c>
      <c r="G253" s="18" t="str">
        <f>IF(R253&lt;&gt;1,"",DATA_INPUT!I253)</f>
        <v/>
      </c>
      <c r="H253" s="18" t="str">
        <f>IF(R253&lt;&gt;1,"",G253*CONTROL_PANEL!$B$5)</f>
        <v/>
      </c>
      <c r="I253" s="18" t="str">
        <f>IF(R253&lt;&gt;1,"",DATA_INPUT!C253)</f>
        <v/>
      </c>
      <c r="J253" s="18" t="str">
        <f t="shared" si="146"/>
        <v/>
      </c>
      <c r="K253" s="18" t="str">
        <f>IF(R253&lt;&gt;1,"",DATA_INPUT!H253)</f>
        <v/>
      </c>
      <c r="L253" s="18" t="str">
        <f t="shared" si="147"/>
        <v/>
      </c>
      <c r="M253" s="18" t="str">
        <f>IF(R253&lt;&gt;1,"",H253*CONTROL_PANEL!$B$14)</f>
        <v/>
      </c>
      <c r="N253" s="18" t="str">
        <f>IF(R253&lt;&gt;1,"",DATA_INPUT!K253)</f>
        <v/>
      </c>
      <c r="O253" s="18" t="str">
        <f t="shared" si="148"/>
        <v/>
      </c>
      <c r="P253" s="18" t="str">
        <f>IF(R253&lt;&gt;1,"",IF(O253-CONTROL_PANEL!$B$11&lt;0,0,O253-CONTROL_PANEL!$B$11))</f>
        <v/>
      </c>
      <c r="Q253" s="18" t="str">
        <f>IF(R253&lt;&gt;1,"",IF(N253&lt;=0,0,MIN(N253,MAX(0,CONTROL_PANEL!$B$13-O253))))</f>
        <v/>
      </c>
      <c r="R253" s="18"/>
      <c r="T253" s="19">
        <f t="shared" si="176"/>
        <v>2036</v>
      </c>
      <c r="U253" s="19">
        <f t="shared" si="141"/>
        <v>6</v>
      </c>
      <c r="V253" s="18" t="str">
        <f t="shared" si="149"/>
        <v/>
      </c>
      <c r="W253" s="18" t="str">
        <f t="shared" si="171"/>
        <v/>
      </c>
      <c r="X253" s="18" t="str">
        <f>IF(AK252&lt;&gt;1,"",IF(AH252&gt;0,IF(AH252&gt;CONTROL_PANEL!$B$11,CONTROL_PANEL!$B$11,AH252),0))</f>
        <v/>
      </c>
      <c r="Y253" s="18" t="str">
        <f t="shared" si="166"/>
        <v/>
      </c>
      <c r="Z253" s="18" t="str">
        <f>IF(AK253&lt;&gt;1,"",DATA_INPUT!I253)</f>
        <v/>
      </c>
      <c r="AA253" s="18" t="str">
        <f>IF(AK253&lt;&gt;1,"",Z253*CONTROL_PANEL!$B$5)</f>
        <v/>
      </c>
      <c r="AB253" s="18" t="str">
        <f>IF(AK253&lt;&gt;1,"",DATA_INPUT!$C253)</f>
        <v/>
      </c>
      <c r="AC253" s="18" t="str">
        <f t="shared" si="150"/>
        <v/>
      </c>
      <c r="AD253" s="18" t="str">
        <f>IF(AK253&lt;&gt;1,"",DATA_INPUT!$H253)</f>
        <v/>
      </c>
      <c r="AE253" s="18" t="str">
        <f t="shared" si="151"/>
        <v/>
      </c>
      <c r="AF253" s="18" t="str">
        <f>IF(AK253&lt;&gt;1,"",AA253*CONTROL_PANEL!$B$14)</f>
        <v/>
      </c>
      <c r="AG253" s="18" t="str">
        <f>IF(AK253&lt;&gt;1,"",DATA_INPUT!$L253)</f>
        <v/>
      </c>
      <c r="AH253" s="18" t="str">
        <f t="shared" si="152"/>
        <v/>
      </c>
      <c r="AI253" s="18" t="str">
        <f>IF(AK253&lt;&gt;1,"",IF(AH253-CONTROL_PANEL!$B$11&lt;0,0,AH253-CONTROL_PANEL!$B$11))</f>
        <v/>
      </c>
      <c r="AJ253" s="18" t="str">
        <f>IF(AK253&lt;&gt;1,"",IF(AG253&lt;=0,0,MIN(AG253,MAX(0,CONTROL_PANEL!$B$13-AH253))))</f>
        <v/>
      </c>
      <c r="AK253" s="18"/>
      <c r="AM253" s="19">
        <f t="shared" si="177"/>
        <v>2036</v>
      </c>
      <c r="AN253" s="19">
        <f t="shared" si="142"/>
        <v>6</v>
      </c>
      <c r="AO253" s="18" t="str">
        <f t="shared" si="153"/>
        <v/>
      </c>
      <c r="AP253" s="18" t="str">
        <f t="shared" si="172"/>
        <v/>
      </c>
      <c r="AQ253" s="18" t="str">
        <f>IF(BD252&lt;&gt;1,"",IF(BA252&gt;0,IF(BA252&gt;CONTROL_PANEL!$B$11,CONTROL_PANEL!$B$11,BA252),0))</f>
        <v/>
      </c>
      <c r="AR253" s="18" t="str">
        <f t="shared" si="167"/>
        <v/>
      </c>
      <c r="AS253" s="18" t="str">
        <f>IF(BD253&lt;&gt;1,"",DATA_INPUT!$I253)</f>
        <v/>
      </c>
      <c r="AT253" s="18" t="str">
        <f>IF(BD253&lt;&gt;1,"",AS253*CONTROL_PANEL!$B$5)</f>
        <v/>
      </c>
      <c r="AU253" s="18" t="str">
        <f>IF(BD253&lt;&gt;1,"",DATA_INPUT!$C253)</f>
        <v/>
      </c>
      <c r="AV253" s="18" t="str">
        <f t="shared" si="154"/>
        <v/>
      </c>
      <c r="AW253" s="18" t="str">
        <f>IF(BD253&lt;&gt;1,"",DATA_INPUT!$H253)</f>
        <v/>
      </c>
      <c r="AX253" s="18" t="str">
        <f t="shared" si="155"/>
        <v/>
      </c>
      <c r="AY253" s="18" t="str">
        <f>IF(BD253&lt;&gt;1,"",AT253*CONTROL_PANEL!$B$14)</f>
        <v/>
      </c>
      <c r="AZ253" s="18" t="str">
        <f>IF(BD253&lt;&gt;1,"",DATA_INPUT!$M253)</f>
        <v/>
      </c>
      <c r="BA253" s="18" t="str">
        <f t="shared" si="156"/>
        <v/>
      </c>
      <c r="BB253" s="18" t="str">
        <f>IF(BD253&lt;&gt;1,"",IF(BA253-CONTROL_PANEL!$B$11&lt;0,0,BA253-CONTROL_PANEL!$B$11))</f>
        <v/>
      </c>
      <c r="BC253" s="18" t="str">
        <f>IF(BD253&lt;&gt;1,"",IF(AZ253&lt;=0,0,MIN(AZ253,MAX(0,CONTROL_PANEL!$B$13-BA253))))</f>
        <v/>
      </c>
      <c r="BD253" s="18"/>
      <c r="BF253" s="19">
        <f t="shared" si="178"/>
        <v>2036</v>
      </c>
      <c r="BG253" s="19">
        <f t="shared" si="143"/>
        <v>6</v>
      </c>
      <c r="BH253" s="18" t="str">
        <f t="shared" si="157"/>
        <v/>
      </c>
      <c r="BI253" s="18" t="str">
        <f t="shared" si="173"/>
        <v/>
      </c>
      <c r="BJ253" s="18" t="str">
        <f>IF(BW252&lt;&gt;1,"",IF(BT252&gt;0,IF(BT252&gt;CONTROL_PANEL!$B$11,CONTROL_PANEL!$B$11,BT252),0))</f>
        <v/>
      </c>
      <c r="BK253" s="18" t="str">
        <f t="shared" si="168"/>
        <v/>
      </c>
      <c r="BL253" s="18" t="str">
        <f>IF(BW253&lt;&gt;1,"",DATA_INPUT!$I253)</f>
        <v/>
      </c>
      <c r="BM253" s="18" t="str">
        <f>IF(BW253&lt;&gt;1,"",BL253*CONTROL_PANEL!$B$5)</f>
        <v/>
      </c>
      <c r="BN253" s="18" t="str">
        <f>IF(BW253&lt;&gt;1,"",DATA_INPUT!$C253)</f>
        <v/>
      </c>
      <c r="BO253" s="18" t="str">
        <f t="shared" si="158"/>
        <v/>
      </c>
      <c r="BP253" s="18" t="str">
        <f>IF(BW253&lt;&gt;1,"",DATA_INPUT!$H253)</f>
        <v/>
      </c>
      <c r="BQ253" s="18" t="str">
        <f t="shared" si="159"/>
        <v/>
      </c>
      <c r="BR253" s="18" t="str">
        <f>IF(BW253&lt;&gt;1,"",BM253*CONTROL_PANEL!$B$14)</f>
        <v/>
      </c>
      <c r="BS253" s="18" t="str">
        <f>IF(BW253&lt;&gt;1,"",DATA_INPUT!$N253)</f>
        <v/>
      </c>
      <c r="BT253" s="18" t="str">
        <f t="shared" si="160"/>
        <v/>
      </c>
      <c r="BU253" s="18" t="str">
        <f>IF(BW253&lt;&gt;1,"",IF(BT253-CONTROL_PANEL!$B$11&lt;0,0,BT253-CONTROL_PANEL!$B$11))</f>
        <v/>
      </c>
      <c r="BV253" s="18" t="str">
        <f>IF(BW253&lt;&gt;1,"",IF(BS253&lt;=0,0,MIN(BS253,MAX(0,CONTROL_PANEL!$B$13-BT253))))</f>
        <v/>
      </c>
      <c r="BW253" s="18"/>
      <c r="BY253" s="19">
        <f t="shared" si="179"/>
        <v>2036</v>
      </c>
      <c r="BZ253" s="19">
        <f t="shared" si="144"/>
        <v>6</v>
      </c>
      <c r="CA253" s="18" t="str">
        <f t="shared" si="161"/>
        <v/>
      </c>
      <c r="CB253" s="18" t="str">
        <f t="shared" si="174"/>
        <v/>
      </c>
      <c r="CC253" s="18" t="str">
        <f>IF(CP252&lt;&gt;1,"",IF(CM252&gt;0,IF(CM252&gt;CONTROL_PANEL!$B$11,CONTROL_PANEL!$B$11,CM252),0))</f>
        <v/>
      </c>
      <c r="CD253" s="18" t="str">
        <f t="shared" si="169"/>
        <v/>
      </c>
      <c r="CE253" s="18" t="str">
        <f>IF(CP253&lt;&gt;1,"",DATA_INPUT!$I253)</f>
        <v/>
      </c>
      <c r="CF253" s="18" t="str">
        <f>IF(CP253&lt;&gt;1,"",CE253*CONTROL_PANEL!$B$5)</f>
        <v/>
      </c>
      <c r="CG253" s="18" t="str">
        <f>IF(CP253&lt;&gt;1,"",DATA_INPUT!$C253)</f>
        <v/>
      </c>
      <c r="CH253" s="18" t="str">
        <f t="shared" si="162"/>
        <v/>
      </c>
      <c r="CI253" s="18" t="str">
        <f>IF(CP253&lt;&gt;1,"",DATA_INPUT!$H253)</f>
        <v/>
      </c>
      <c r="CJ253" s="18" t="str">
        <f t="shared" si="163"/>
        <v/>
      </c>
      <c r="CK253" s="18" t="str">
        <f>IF(CP253&lt;&gt;1,"",CF253*CONTROL_PANEL!$B$14)</f>
        <v/>
      </c>
      <c r="CL253" s="18" t="str">
        <f>IF(CP253&lt;&gt;1,"",DATA_INPUT!$O253)</f>
        <v/>
      </c>
      <c r="CM253" s="18" t="str">
        <f t="shared" si="164"/>
        <v/>
      </c>
      <c r="CN253" s="18" t="str">
        <f>IF(CP253&lt;&gt;1,"",IF(CM253-CONTROL_PANEL!$B$11&lt;0,0,CM253-CONTROL_PANEL!$B$11))</f>
        <v/>
      </c>
      <c r="CO253" s="18" t="str">
        <f>IF(CP253&lt;&gt;1,"",IF(CL253&lt;=0,0,MIN(CL253,MAX(0,CONTROL_PANEL!$B$13-CM253))))</f>
        <v/>
      </c>
      <c r="CP253" s="18"/>
    </row>
    <row r="254" spans="1:94" x14ac:dyDescent="0.25">
      <c r="A254" s="19">
        <f t="shared" si="175"/>
        <v>2036</v>
      </c>
      <c r="B254" s="19">
        <f t="shared" ref="B254:B317" si="180">B242</f>
        <v>7</v>
      </c>
      <c r="C254" s="18" t="str">
        <f t="shared" si="145"/>
        <v/>
      </c>
      <c r="D254" s="18" t="str">
        <f t="shared" si="170"/>
        <v/>
      </c>
      <c r="E254" s="18" t="str">
        <f>IF(R253&lt;&gt;1,"",IF(O253&gt;0,IF(O253&gt;CONTROL_PANEL!$B$11,CONTROL_PANEL!$B$11,O253),0))</f>
        <v/>
      </c>
      <c r="F254" s="18" t="str">
        <f t="shared" si="165"/>
        <v/>
      </c>
      <c r="G254" s="18" t="str">
        <f>IF(R254&lt;&gt;1,"",DATA_INPUT!I254)</f>
        <v/>
      </c>
      <c r="H254" s="18" t="str">
        <f>IF(R254&lt;&gt;1,"",G254*CONTROL_PANEL!$B$5)</f>
        <v/>
      </c>
      <c r="I254" s="18" t="str">
        <f>IF(R254&lt;&gt;1,"",DATA_INPUT!C254)</f>
        <v/>
      </c>
      <c r="J254" s="18" t="str">
        <f t="shared" si="146"/>
        <v/>
      </c>
      <c r="K254" s="18" t="str">
        <f>IF(R254&lt;&gt;1,"",DATA_INPUT!H254)</f>
        <v/>
      </c>
      <c r="L254" s="18" t="str">
        <f t="shared" si="147"/>
        <v/>
      </c>
      <c r="M254" s="18" t="str">
        <f>IF(R254&lt;&gt;1,"",H254*CONTROL_PANEL!$B$14)</f>
        <v/>
      </c>
      <c r="N254" s="18" t="str">
        <f>IF(R254&lt;&gt;1,"",DATA_INPUT!K254)</f>
        <v/>
      </c>
      <c r="O254" s="18" t="str">
        <f t="shared" si="148"/>
        <v/>
      </c>
      <c r="P254" s="18" t="str">
        <f>IF(R254&lt;&gt;1,"",IF(O254-CONTROL_PANEL!$B$11&lt;0,0,O254-CONTROL_PANEL!$B$11))</f>
        <v/>
      </c>
      <c r="Q254" s="18" t="str">
        <f>IF(R254&lt;&gt;1,"",IF(N254&lt;=0,0,MIN(N254,MAX(0,CONTROL_PANEL!$B$13-O254))))</f>
        <v/>
      </c>
      <c r="R254" s="18"/>
      <c r="T254" s="19">
        <f t="shared" si="176"/>
        <v>2036</v>
      </c>
      <c r="U254" s="19">
        <f t="shared" ref="U254:U317" si="181">U242</f>
        <v>7</v>
      </c>
      <c r="V254" s="18" t="str">
        <f t="shared" si="149"/>
        <v/>
      </c>
      <c r="W254" s="18" t="str">
        <f t="shared" si="171"/>
        <v/>
      </c>
      <c r="X254" s="18" t="str">
        <f>IF(AK253&lt;&gt;1,"",IF(AH253&gt;0,IF(AH253&gt;CONTROL_PANEL!$B$11,CONTROL_PANEL!$B$11,AH253),0))</f>
        <v/>
      </c>
      <c r="Y254" s="18" t="str">
        <f t="shared" si="166"/>
        <v/>
      </c>
      <c r="Z254" s="18" t="str">
        <f>IF(AK254&lt;&gt;1,"",DATA_INPUT!I254)</f>
        <v/>
      </c>
      <c r="AA254" s="18" t="str">
        <f>IF(AK254&lt;&gt;1,"",Z254*CONTROL_PANEL!$B$5)</f>
        <v/>
      </c>
      <c r="AB254" s="18" t="str">
        <f>IF(AK254&lt;&gt;1,"",DATA_INPUT!$C254)</f>
        <v/>
      </c>
      <c r="AC254" s="18" t="str">
        <f t="shared" si="150"/>
        <v/>
      </c>
      <c r="AD254" s="18" t="str">
        <f>IF(AK254&lt;&gt;1,"",DATA_INPUT!$H254)</f>
        <v/>
      </c>
      <c r="AE254" s="18" t="str">
        <f t="shared" si="151"/>
        <v/>
      </c>
      <c r="AF254" s="18" t="str">
        <f>IF(AK254&lt;&gt;1,"",AA254*CONTROL_PANEL!$B$14)</f>
        <v/>
      </c>
      <c r="AG254" s="18" t="str">
        <f>IF(AK254&lt;&gt;1,"",DATA_INPUT!$L254)</f>
        <v/>
      </c>
      <c r="AH254" s="18" t="str">
        <f t="shared" si="152"/>
        <v/>
      </c>
      <c r="AI254" s="18" t="str">
        <f>IF(AK254&lt;&gt;1,"",IF(AH254-CONTROL_PANEL!$B$11&lt;0,0,AH254-CONTROL_PANEL!$B$11))</f>
        <v/>
      </c>
      <c r="AJ254" s="18" t="str">
        <f>IF(AK254&lt;&gt;1,"",IF(AG254&lt;=0,0,MIN(AG254,MAX(0,CONTROL_PANEL!$B$13-AH254))))</f>
        <v/>
      </c>
      <c r="AK254" s="18"/>
      <c r="AM254" s="19">
        <f t="shared" si="177"/>
        <v>2036</v>
      </c>
      <c r="AN254" s="19">
        <f t="shared" ref="AN254:AN317" si="182">AN242</f>
        <v>7</v>
      </c>
      <c r="AO254" s="18" t="str">
        <f t="shared" si="153"/>
        <v/>
      </c>
      <c r="AP254" s="18" t="str">
        <f t="shared" si="172"/>
        <v/>
      </c>
      <c r="AQ254" s="18" t="str">
        <f>IF(BD253&lt;&gt;1,"",IF(BA253&gt;0,IF(BA253&gt;CONTROL_PANEL!$B$11,CONTROL_PANEL!$B$11,BA253),0))</f>
        <v/>
      </c>
      <c r="AR254" s="18" t="str">
        <f t="shared" si="167"/>
        <v/>
      </c>
      <c r="AS254" s="18" t="str">
        <f>IF(BD254&lt;&gt;1,"",DATA_INPUT!$I254)</f>
        <v/>
      </c>
      <c r="AT254" s="18" t="str">
        <f>IF(BD254&lt;&gt;1,"",AS254*CONTROL_PANEL!$B$5)</f>
        <v/>
      </c>
      <c r="AU254" s="18" t="str">
        <f>IF(BD254&lt;&gt;1,"",DATA_INPUT!$C254)</f>
        <v/>
      </c>
      <c r="AV254" s="18" t="str">
        <f t="shared" si="154"/>
        <v/>
      </c>
      <c r="AW254" s="18" t="str">
        <f>IF(BD254&lt;&gt;1,"",DATA_INPUT!$H254)</f>
        <v/>
      </c>
      <c r="AX254" s="18" t="str">
        <f t="shared" si="155"/>
        <v/>
      </c>
      <c r="AY254" s="18" t="str">
        <f>IF(BD254&lt;&gt;1,"",AT254*CONTROL_PANEL!$B$14)</f>
        <v/>
      </c>
      <c r="AZ254" s="18" t="str">
        <f>IF(BD254&lt;&gt;1,"",DATA_INPUT!$M254)</f>
        <v/>
      </c>
      <c r="BA254" s="18" t="str">
        <f t="shared" si="156"/>
        <v/>
      </c>
      <c r="BB254" s="18" t="str">
        <f>IF(BD254&lt;&gt;1,"",IF(BA254-CONTROL_PANEL!$B$11&lt;0,0,BA254-CONTROL_PANEL!$B$11))</f>
        <v/>
      </c>
      <c r="BC254" s="18" t="str">
        <f>IF(BD254&lt;&gt;1,"",IF(AZ254&lt;=0,0,MIN(AZ254,MAX(0,CONTROL_PANEL!$B$13-BA254))))</f>
        <v/>
      </c>
      <c r="BD254" s="18"/>
      <c r="BF254" s="19">
        <f t="shared" si="178"/>
        <v>2036</v>
      </c>
      <c r="BG254" s="19">
        <f t="shared" ref="BG254:BG317" si="183">BG242</f>
        <v>7</v>
      </c>
      <c r="BH254" s="18" t="str">
        <f t="shared" si="157"/>
        <v/>
      </c>
      <c r="BI254" s="18" t="str">
        <f t="shared" si="173"/>
        <v/>
      </c>
      <c r="BJ254" s="18" t="str">
        <f>IF(BW253&lt;&gt;1,"",IF(BT253&gt;0,IF(BT253&gt;CONTROL_PANEL!$B$11,CONTROL_PANEL!$B$11,BT253),0))</f>
        <v/>
      </c>
      <c r="BK254" s="18" t="str">
        <f t="shared" si="168"/>
        <v/>
      </c>
      <c r="BL254" s="18" t="str">
        <f>IF(BW254&lt;&gt;1,"",DATA_INPUT!$I254)</f>
        <v/>
      </c>
      <c r="BM254" s="18" t="str">
        <f>IF(BW254&lt;&gt;1,"",BL254*CONTROL_PANEL!$B$5)</f>
        <v/>
      </c>
      <c r="BN254" s="18" t="str">
        <f>IF(BW254&lt;&gt;1,"",DATA_INPUT!$C254)</f>
        <v/>
      </c>
      <c r="BO254" s="18" t="str">
        <f t="shared" si="158"/>
        <v/>
      </c>
      <c r="BP254" s="18" t="str">
        <f>IF(BW254&lt;&gt;1,"",DATA_INPUT!$H254)</f>
        <v/>
      </c>
      <c r="BQ254" s="18" t="str">
        <f t="shared" si="159"/>
        <v/>
      </c>
      <c r="BR254" s="18" t="str">
        <f>IF(BW254&lt;&gt;1,"",BM254*CONTROL_PANEL!$B$14)</f>
        <v/>
      </c>
      <c r="BS254" s="18" t="str">
        <f>IF(BW254&lt;&gt;1,"",DATA_INPUT!$N254)</f>
        <v/>
      </c>
      <c r="BT254" s="18" t="str">
        <f t="shared" si="160"/>
        <v/>
      </c>
      <c r="BU254" s="18" t="str">
        <f>IF(BW254&lt;&gt;1,"",IF(BT254-CONTROL_PANEL!$B$11&lt;0,0,BT254-CONTROL_PANEL!$B$11))</f>
        <v/>
      </c>
      <c r="BV254" s="18" t="str">
        <f>IF(BW254&lt;&gt;1,"",IF(BS254&lt;=0,0,MIN(BS254,MAX(0,CONTROL_PANEL!$B$13-BT254))))</f>
        <v/>
      </c>
      <c r="BW254" s="18"/>
      <c r="BY254" s="19">
        <f t="shared" si="179"/>
        <v>2036</v>
      </c>
      <c r="BZ254" s="19">
        <f t="shared" ref="BZ254:BZ317" si="184">BZ242</f>
        <v>7</v>
      </c>
      <c r="CA254" s="18" t="str">
        <f t="shared" si="161"/>
        <v/>
      </c>
      <c r="CB254" s="18" t="str">
        <f t="shared" si="174"/>
        <v/>
      </c>
      <c r="CC254" s="18" t="str">
        <f>IF(CP253&lt;&gt;1,"",IF(CM253&gt;0,IF(CM253&gt;CONTROL_PANEL!$B$11,CONTROL_PANEL!$B$11,CM253),0))</f>
        <v/>
      </c>
      <c r="CD254" s="18" t="str">
        <f t="shared" si="169"/>
        <v/>
      </c>
      <c r="CE254" s="18" t="str">
        <f>IF(CP254&lt;&gt;1,"",DATA_INPUT!$I254)</f>
        <v/>
      </c>
      <c r="CF254" s="18" t="str">
        <f>IF(CP254&lt;&gt;1,"",CE254*CONTROL_PANEL!$B$5)</f>
        <v/>
      </c>
      <c r="CG254" s="18" t="str">
        <f>IF(CP254&lt;&gt;1,"",DATA_INPUT!$C254)</f>
        <v/>
      </c>
      <c r="CH254" s="18" t="str">
        <f t="shared" si="162"/>
        <v/>
      </c>
      <c r="CI254" s="18" t="str">
        <f>IF(CP254&lt;&gt;1,"",DATA_INPUT!$H254)</f>
        <v/>
      </c>
      <c r="CJ254" s="18" t="str">
        <f t="shared" si="163"/>
        <v/>
      </c>
      <c r="CK254" s="18" t="str">
        <f>IF(CP254&lt;&gt;1,"",CF254*CONTROL_PANEL!$B$14)</f>
        <v/>
      </c>
      <c r="CL254" s="18" t="str">
        <f>IF(CP254&lt;&gt;1,"",DATA_INPUT!$O254)</f>
        <v/>
      </c>
      <c r="CM254" s="18" t="str">
        <f t="shared" si="164"/>
        <v/>
      </c>
      <c r="CN254" s="18" t="str">
        <f>IF(CP254&lt;&gt;1,"",IF(CM254-CONTROL_PANEL!$B$11&lt;0,0,CM254-CONTROL_PANEL!$B$11))</f>
        <v/>
      </c>
      <c r="CO254" s="18" t="str">
        <f>IF(CP254&lt;&gt;1,"",IF(CL254&lt;=0,0,MIN(CL254,MAX(0,CONTROL_PANEL!$B$13-CM254))))</f>
        <v/>
      </c>
      <c r="CP254" s="18"/>
    </row>
    <row r="255" spans="1:94" x14ac:dyDescent="0.25">
      <c r="A255" s="19">
        <f t="shared" si="175"/>
        <v>2036</v>
      </c>
      <c r="B255" s="19">
        <f t="shared" si="180"/>
        <v>8</v>
      </c>
      <c r="C255" s="18" t="str">
        <f t="shared" si="145"/>
        <v/>
      </c>
      <c r="D255" s="18" t="str">
        <f t="shared" si="170"/>
        <v/>
      </c>
      <c r="E255" s="18" t="str">
        <f>IF(R254&lt;&gt;1,"",IF(O254&gt;0,IF(O254&gt;CONTROL_PANEL!$B$11,CONTROL_PANEL!$B$11,O254),0))</f>
        <v/>
      </c>
      <c r="F255" s="18" t="str">
        <f t="shared" si="165"/>
        <v/>
      </c>
      <c r="G255" s="18" t="str">
        <f>IF(R255&lt;&gt;1,"",DATA_INPUT!I255)</f>
        <v/>
      </c>
      <c r="H255" s="18" t="str">
        <f>IF(R255&lt;&gt;1,"",G255*CONTROL_PANEL!$B$5)</f>
        <v/>
      </c>
      <c r="I255" s="18" t="str">
        <f>IF(R255&lt;&gt;1,"",DATA_INPUT!C255)</f>
        <v/>
      </c>
      <c r="J255" s="18" t="str">
        <f t="shared" si="146"/>
        <v/>
      </c>
      <c r="K255" s="18" t="str">
        <f>IF(R255&lt;&gt;1,"",DATA_INPUT!H255)</f>
        <v/>
      </c>
      <c r="L255" s="18" t="str">
        <f t="shared" si="147"/>
        <v/>
      </c>
      <c r="M255" s="18" t="str">
        <f>IF(R255&lt;&gt;1,"",H255*CONTROL_PANEL!$B$14)</f>
        <v/>
      </c>
      <c r="N255" s="18" t="str">
        <f>IF(R255&lt;&gt;1,"",DATA_INPUT!K255)</f>
        <v/>
      </c>
      <c r="O255" s="18" t="str">
        <f t="shared" si="148"/>
        <v/>
      </c>
      <c r="P255" s="18" t="str">
        <f>IF(R255&lt;&gt;1,"",IF(O255-CONTROL_PANEL!$B$11&lt;0,0,O255-CONTROL_PANEL!$B$11))</f>
        <v/>
      </c>
      <c r="Q255" s="18" t="str">
        <f>IF(R255&lt;&gt;1,"",IF(N255&lt;=0,0,MIN(N255,MAX(0,CONTROL_PANEL!$B$13-O255))))</f>
        <v/>
      </c>
      <c r="R255" s="18"/>
      <c r="T255" s="19">
        <f t="shared" si="176"/>
        <v>2036</v>
      </c>
      <c r="U255" s="19">
        <f t="shared" si="181"/>
        <v>8</v>
      </c>
      <c r="V255" s="18" t="str">
        <f t="shared" si="149"/>
        <v/>
      </c>
      <c r="W255" s="18" t="str">
        <f t="shared" si="171"/>
        <v/>
      </c>
      <c r="X255" s="18" t="str">
        <f>IF(AK254&lt;&gt;1,"",IF(AH254&gt;0,IF(AH254&gt;CONTROL_PANEL!$B$11,CONTROL_PANEL!$B$11,AH254),0))</f>
        <v/>
      </c>
      <c r="Y255" s="18" t="str">
        <f t="shared" si="166"/>
        <v/>
      </c>
      <c r="Z255" s="18" t="str">
        <f>IF(AK255&lt;&gt;1,"",DATA_INPUT!I255)</f>
        <v/>
      </c>
      <c r="AA255" s="18" t="str">
        <f>IF(AK255&lt;&gt;1,"",Z255*CONTROL_PANEL!$B$5)</f>
        <v/>
      </c>
      <c r="AB255" s="18" t="str">
        <f>IF(AK255&lt;&gt;1,"",DATA_INPUT!$C255)</f>
        <v/>
      </c>
      <c r="AC255" s="18" t="str">
        <f t="shared" si="150"/>
        <v/>
      </c>
      <c r="AD255" s="18" t="str">
        <f>IF(AK255&lt;&gt;1,"",DATA_INPUT!$H255)</f>
        <v/>
      </c>
      <c r="AE255" s="18" t="str">
        <f t="shared" si="151"/>
        <v/>
      </c>
      <c r="AF255" s="18" t="str">
        <f>IF(AK255&lt;&gt;1,"",AA255*CONTROL_PANEL!$B$14)</f>
        <v/>
      </c>
      <c r="AG255" s="18" t="str">
        <f>IF(AK255&lt;&gt;1,"",DATA_INPUT!$L255)</f>
        <v/>
      </c>
      <c r="AH255" s="18" t="str">
        <f t="shared" si="152"/>
        <v/>
      </c>
      <c r="AI255" s="18" t="str">
        <f>IF(AK255&lt;&gt;1,"",IF(AH255-CONTROL_PANEL!$B$11&lt;0,0,AH255-CONTROL_PANEL!$B$11))</f>
        <v/>
      </c>
      <c r="AJ255" s="18" t="str">
        <f>IF(AK255&lt;&gt;1,"",IF(AG255&lt;=0,0,MIN(AG255,MAX(0,CONTROL_PANEL!$B$13-AH255))))</f>
        <v/>
      </c>
      <c r="AK255" s="18"/>
      <c r="AM255" s="19">
        <f t="shared" si="177"/>
        <v>2036</v>
      </c>
      <c r="AN255" s="19">
        <f t="shared" si="182"/>
        <v>8</v>
      </c>
      <c r="AO255" s="18" t="str">
        <f t="shared" si="153"/>
        <v/>
      </c>
      <c r="AP255" s="18" t="str">
        <f t="shared" si="172"/>
        <v/>
      </c>
      <c r="AQ255" s="18" t="str">
        <f>IF(BD254&lt;&gt;1,"",IF(BA254&gt;0,IF(BA254&gt;CONTROL_PANEL!$B$11,CONTROL_PANEL!$B$11,BA254),0))</f>
        <v/>
      </c>
      <c r="AR255" s="18" t="str">
        <f t="shared" si="167"/>
        <v/>
      </c>
      <c r="AS255" s="18" t="str">
        <f>IF(BD255&lt;&gt;1,"",DATA_INPUT!$I255)</f>
        <v/>
      </c>
      <c r="AT255" s="18" t="str">
        <f>IF(BD255&lt;&gt;1,"",AS255*CONTROL_PANEL!$B$5)</f>
        <v/>
      </c>
      <c r="AU255" s="18" t="str">
        <f>IF(BD255&lt;&gt;1,"",DATA_INPUT!$C255)</f>
        <v/>
      </c>
      <c r="AV255" s="18" t="str">
        <f t="shared" si="154"/>
        <v/>
      </c>
      <c r="AW255" s="18" t="str">
        <f>IF(BD255&lt;&gt;1,"",DATA_INPUT!$H255)</f>
        <v/>
      </c>
      <c r="AX255" s="18" t="str">
        <f t="shared" si="155"/>
        <v/>
      </c>
      <c r="AY255" s="18" t="str">
        <f>IF(BD255&lt;&gt;1,"",AT255*CONTROL_PANEL!$B$14)</f>
        <v/>
      </c>
      <c r="AZ255" s="18" t="str">
        <f>IF(BD255&lt;&gt;1,"",DATA_INPUT!$M255)</f>
        <v/>
      </c>
      <c r="BA255" s="18" t="str">
        <f t="shared" si="156"/>
        <v/>
      </c>
      <c r="BB255" s="18" t="str">
        <f>IF(BD255&lt;&gt;1,"",IF(BA255-CONTROL_PANEL!$B$11&lt;0,0,BA255-CONTROL_PANEL!$B$11))</f>
        <v/>
      </c>
      <c r="BC255" s="18" t="str">
        <f>IF(BD255&lt;&gt;1,"",IF(AZ255&lt;=0,0,MIN(AZ255,MAX(0,CONTROL_PANEL!$B$13-BA255))))</f>
        <v/>
      </c>
      <c r="BD255" s="18"/>
      <c r="BF255" s="19">
        <f t="shared" si="178"/>
        <v>2036</v>
      </c>
      <c r="BG255" s="19">
        <f t="shared" si="183"/>
        <v>8</v>
      </c>
      <c r="BH255" s="18" t="str">
        <f t="shared" si="157"/>
        <v/>
      </c>
      <c r="BI255" s="18" t="str">
        <f t="shared" si="173"/>
        <v/>
      </c>
      <c r="BJ255" s="18" t="str">
        <f>IF(BW254&lt;&gt;1,"",IF(BT254&gt;0,IF(BT254&gt;CONTROL_PANEL!$B$11,CONTROL_PANEL!$B$11,BT254),0))</f>
        <v/>
      </c>
      <c r="BK255" s="18" t="str">
        <f t="shared" si="168"/>
        <v/>
      </c>
      <c r="BL255" s="18" t="str">
        <f>IF(BW255&lt;&gt;1,"",DATA_INPUT!$I255)</f>
        <v/>
      </c>
      <c r="BM255" s="18" t="str">
        <f>IF(BW255&lt;&gt;1,"",BL255*CONTROL_PANEL!$B$5)</f>
        <v/>
      </c>
      <c r="BN255" s="18" t="str">
        <f>IF(BW255&lt;&gt;1,"",DATA_INPUT!$C255)</f>
        <v/>
      </c>
      <c r="BO255" s="18" t="str">
        <f t="shared" si="158"/>
        <v/>
      </c>
      <c r="BP255" s="18" t="str">
        <f>IF(BW255&lt;&gt;1,"",DATA_INPUT!$H255)</f>
        <v/>
      </c>
      <c r="BQ255" s="18" t="str">
        <f t="shared" si="159"/>
        <v/>
      </c>
      <c r="BR255" s="18" t="str">
        <f>IF(BW255&lt;&gt;1,"",BM255*CONTROL_PANEL!$B$14)</f>
        <v/>
      </c>
      <c r="BS255" s="18" t="str">
        <f>IF(BW255&lt;&gt;1,"",DATA_INPUT!$N255)</f>
        <v/>
      </c>
      <c r="BT255" s="18" t="str">
        <f t="shared" si="160"/>
        <v/>
      </c>
      <c r="BU255" s="18" t="str">
        <f>IF(BW255&lt;&gt;1,"",IF(BT255-CONTROL_PANEL!$B$11&lt;0,0,BT255-CONTROL_PANEL!$B$11))</f>
        <v/>
      </c>
      <c r="BV255" s="18" t="str">
        <f>IF(BW255&lt;&gt;1,"",IF(BS255&lt;=0,0,MIN(BS255,MAX(0,CONTROL_PANEL!$B$13-BT255))))</f>
        <v/>
      </c>
      <c r="BW255" s="18"/>
      <c r="BY255" s="19">
        <f t="shared" si="179"/>
        <v>2036</v>
      </c>
      <c r="BZ255" s="19">
        <f t="shared" si="184"/>
        <v>8</v>
      </c>
      <c r="CA255" s="18" t="str">
        <f t="shared" si="161"/>
        <v/>
      </c>
      <c r="CB255" s="18" t="str">
        <f t="shared" si="174"/>
        <v/>
      </c>
      <c r="CC255" s="18" t="str">
        <f>IF(CP254&lt;&gt;1,"",IF(CM254&gt;0,IF(CM254&gt;CONTROL_PANEL!$B$11,CONTROL_PANEL!$B$11,CM254),0))</f>
        <v/>
      </c>
      <c r="CD255" s="18" t="str">
        <f t="shared" si="169"/>
        <v/>
      </c>
      <c r="CE255" s="18" t="str">
        <f>IF(CP255&lt;&gt;1,"",DATA_INPUT!$I255)</f>
        <v/>
      </c>
      <c r="CF255" s="18" t="str">
        <f>IF(CP255&lt;&gt;1,"",CE255*CONTROL_PANEL!$B$5)</f>
        <v/>
      </c>
      <c r="CG255" s="18" t="str">
        <f>IF(CP255&lt;&gt;1,"",DATA_INPUT!$C255)</f>
        <v/>
      </c>
      <c r="CH255" s="18" t="str">
        <f t="shared" si="162"/>
        <v/>
      </c>
      <c r="CI255" s="18" t="str">
        <f>IF(CP255&lt;&gt;1,"",DATA_INPUT!$H255)</f>
        <v/>
      </c>
      <c r="CJ255" s="18" t="str">
        <f t="shared" si="163"/>
        <v/>
      </c>
      <c r="CK255" s="18" t="str">
        <f>IF(CP255&lt;&gt;1,"",CF255*CONTROL_PANEL!$B$14)</f>
        <v/>
      </c>
      <c r="CL255" s="18" t="str">
        <f>IF(CP255&lt;&gt;1,"",DATA_INPUT!$O255)</f>
        <v/>
      </c>
      <c r="CM255" s="18" t="str">
        <f t="shared" si="164"/>
        <v/>
      </c>
      <c r="CN255" s="18" t="str">
        <f>IF(CP255&lt;&gt;1,"",IF(CM255-CONTROL_PANEL!$B$11&lt;0,0,CM255-CONTROL_PANEL!$B$11))</f>
        <v/>
      </c>
      <c r="CO255" s="18" t="str">
        <f>IF(CP255&lt;&gt;1,"",IF(CL255&lt;=0,0,MIN(CL255,MAX(0,CONTROL_PANEL!$B$13-CM255))))</f>
        <v/>
      </c>
      <c r="CP255" s="18"/>
    </row>
    <row r="256" spans="1:94" x14ac:dyDescent="0.25">
      <c r="A256" s="19">
        <f t="shared" si="175"/>
        <v>2036</v>
      </c>
      <c r="B256" s="19">
        <f t="shared" si="180"/>
        <v>9</v>
      </c>
      <c r="C256" s="18" t="str">
        <f t="shared" si="145"/>
        <v/>
      </c>
      <c r="D256" s="18" t="str">
        <f t="shared" si="170"/>
        <v/>
      </c>
      <c r="E256" s="18" t="str">
        <f>IF(R255&lt;&gt;1,"",IF(O255&gt;0,IF(O255&gt;CONTROL_PANEL!$B$11,CONTROL_PANEL!$B$11,O255),0))</f>
        <v/>
      </c>
      <c r="F256" s="18" t="str">
        <f t="shared" si="165"/>
        <v/>
      </c>
      <c r="G256" s="18" t="str">
        <f>IF(R256&lt;&gt;1,"",DATA_INPUT!I256)</f>
        <v/>
      </c>
      <c r="H256" s="18" t="str">
        <f>IF(R256&lt;&gt;1,"",G256*CONTROL_PANEL!$B$5)</f>
        <v/>
      </c>
      <c r="I256" s="18" t="str">
        <f>IF(R256&lt;&gt;1,"",DATA_INPUT!C256)</f>
        <v/>
      </c>
      <c r="J256" s="18" t="str">
        <f t="shared" si="146"/>
        <v/>
      </c>
      <c r="K256" s="18" t="str">
        <f>IF(R256&lt;&gt;1,"",DATA_INPUT!H256)</f>
        <v/>
      </c>
      <c r="L256" s="18" t="str">
        <f t="shared" si="147"/>
        <v/>
      </c>
      <c r="M256" s="18" t="str">
        <f>IF(R256&lt;&gt;1,"",H256*CONTROL_PANEL!$B$14)</f>
        <v/>
      </c>
      <c r="N256" s="18" t="str">
        <f>IF(R256&lt;&gt;1,"",DATA_INPUT!K256)</f>
        <v/>
      </c>
      <c r="O256" s="18" t="str">
        <f t="shared" si="148"/>
        <v/>
      </c>
      <c r="P256" s="18" t="str">
        <f>IF(R256&lt;&gt;1,"",IF(O256-CONTROL_PANEL!$B$11&lt;0,0,O256-CONTROL_PANEL!$B$11))</f>
        <v/>
      </c>
      <c r="Q256" s="18" t="str">
        <f>IF(R256&lt;&gt;1,"",IF(N256&lt;=0,0,MIN(N256,MAX(0,CONTROL_PANEL!$B$13-O256))))</f>
        <v/>
      </c>
      <c r="R256" s="18"/>
      <c r="T256" s="19">
        <f t="shared" si="176"/>
        <v>2036</v>
      </c>
      <c r="U256" s="19">
        <f t="shared" si="181"/>
        <v>9</v>
      </c>
      <c r="V256" s="18" t="str">
        <f t="shared" si="149"/>
        <v/>
      </c>
      <c r="W256" s="18" t="str">
        <f t="shared" si="171"/>
        <v/>
      </c>
      <c r="X256" s="18" t="str">
        <f>IF(AK255&lt;&gt;1,"",IF(AH255&gt;0,IF(AH255&gt;CONTROL_PANEL!$B$11,CONTROL_PANEL!$B$11,AH255),0))</f>
        <v/>
      </c>
      <c r="Y256" s="18" t="str">
        <f t="shared" si="166"/>
        <v/>
      </c>
      <c r="Z256" s="18" t="str">
        <f>IF(AK256&lt;&gt;1,"",DATA_INPUT!I256)</f>
        <v/>
      </c>
      <c r="AA256" s="18" t="str">
        <f>IF(AK256&lt;&gt;1,"",Z256*CONTROL_PANEL!$B$5)</f>
        <v/>
      </c>
      <c r="AB256" s="18" t="str">
        <f>IF(AK256&lt;&gt;1,"",DATA_INPUT!$C256)</f>
        <v/>
      </c>
      <c r="AC256" s="18" t="str">
        <f t="shared" si="150"/>
        <v/>
      </c>
      <c r="AD256" s="18" t="str">
        <f>IF(AK256&lt;&gt;1,"",DATA_INPUT!$H256)</f>
        <v/>
      </c>
      <c r="AE256" s="18" t="str">
        <f t="shared" si="151"/>
        <v/>
      </c>
      <c r="AF256" s="18" t="str">
        <f>IF(AK256&lt;&gt;1,"",AA256*CONTROL_PANEL!$B$14)</f>
        <v/>
      </c>
      <c r="AG256" s="18" t="str">
        <f>IF(AK256&lt;&gt;1,"",DATA_INPUT!$L256)</f>
        <v/>
      </c>
      <c r="AH256" s="18" t="str">
        <f t="shared" si="152"/>
        <v/>
      </c>
      <c r="AI256" s="18" t="str">
        <f>IF(AK256&lt;&gt;1,"",IF(AH256-CONTROL_PANEL!$B$11&lt;0,0,AH256-CONTROL_PANEL!$B$11))</f>
        <v/>
      </c>
      <c r="AJ256" s="18" t="str">
        <f>IF(AK256&lt;&gt;1,"",IF(AG256&lt;=0,0,MIN(AG256,MAX(0,CONTROL_PANEL!$B$13-AH256))))</f>
        <v/>
      </c>
      <c r="AK256" s="18"/>
      <c r="AM256" s="19">
        <f t="shared" si="177"/>
        <v>2036</v>
      </c>
      <c r="AN256" s="19">
        <f t="shared" si="182"/>
        <v>9</v>
      </c>
      <c r="AO256" s="18" t="str">
        <f t="shared" si="153"/>
        <v/>
      </c>
      <c r="AP256" s="18" t="str">
        <f t="shared" si="172"/>
        <v/>
      </c>
      <c r="AQ256" s="18" t="str">
        <f>IF(BD255&lt;&gt;1,"",IF(BA255&gt;0,IF(BA255&gt;CONTROL_PANEL!$B$11,CONTROL_PANEL!$B$11,BA255),0))</f>
        <v/>
      </c>
      <c r="AR256" s="18" t="str">
        <f t="shared" si="167"/>
        <v/>
      </c>
      <c r="AS256" s="18" t="str">
        <f>IF(BD256&lt;&gt;1,"",DATA_INPUT!$I256)</f>
        <v/>
      </c>
      <c r="AT256" s="18" t="str">
        <f>IF(BD256&lt;&gt;1,"",AS256*CONTROL_PANEL!$B$5)</f>
        <v/>
      </c>
      <c r="AU256" s="18" t="str">
        <f>IF(BD256&lt;&gt;1,"",DATA_INPUT!$C256)</f>
        <v/>
      </c>
      <c r="AV256" s="18" t="str">
        <f t="shared" si="154"/>
        <v/>
      </c>
      <c r="AW256" s="18" t="str">
        <f>IF(BD256&lt;&gt;1,"",DATA_INPUT!$H256)</f>
        <v/>
      </c>
      <c r="AX256" s="18" t="str">
        <f t="shared" si="155"/>
        <v/>
      </c>
      <c r="AY256" s="18" t="str">
        <f>IF(BD256&lt;&gt;1,"",AT256*CONTROL_PANEL!$B$14)</f>
        <v/>
      </c>
      <c r="AZ256" s="18" t="str">
        <f>IF(BD256&lt;&gt;1,"",DATA_INPUT!$M256)</f>
        <v/>
      </c>
      <c r="BA256" s="18" t="str">
        <f t="shared" si="156"/>
        <v/>
      </c>
      <c r="BB256" s="18" t="str">
        <f>IF(BD256&lt;&gt;1,"",IF(BA256-CONTROL_PANEL!$B$11&lt;0,0,BA256-CONTROL_PANEL!$B$11))</f>
        <v/>
      </c>
      <c r="BC256" s="18" t="str">
        <f>IF(BD256&lt;&gt;1,"",IF(AZ256&lt;=0,0,MIN(AZ256,MAX(0,CONTROL_PANEL!$B$13-BA256))))</f>
        <v/>
      </c>
      <c r="BD256" s="18"/>
      <c r="BF256" s="19">
        <f t="shared" si="178"/>
        <v>2036</v>
      </c>
      <c r="BG256" s="19">
        <f t="shared" si="183"/>
        <v>9</v>
      </c>
      <c r="BH256" s="18" t="str">
        <f t="shared" si="157"/>
        <v/>
      </c>
      <c r="BI256" s="18" t="str">
        <f t="shared" si="173"/>
        <v/>
      </c>
      <c r="BJ256" s="18" t="str">
        <f>IF(BW255&lt;&gt;1,"",IF(BT255&gt;0,IF(BT255&gt;CONTROL_PANEL!$B$11,CONTROL_PANEL!$B$11,BT255),0))</f>
        <v/>
      </c>
      <c r="BK256" s="18" t="str">
        <f t="shared" si="168"/>
        <v/>
      </c>
      <c r="BL256" s="18" t="str">
        <f>IF(BW256&lt;&gt;1,"",DATA_INPUT!$I256)</f>
        <v/>
      </c>
      <c r="BM256" s="18" t="str">
        <f>IF(BW256&lt;&gt;1,"",BL256*CONTROL_PANEL!$B$5)</f>
        <v/>
      </c>
      <c r="BN256" s="18" t="str">
        <f>IF(BW256&lt;&gt;1,"",DATA_INPUT!$C256)</f>
        <v/>
      </c>
      <c r="BO256" s="18" t="str">
        <f t="shared" si="158"/>
        <v/>
      </c>
      <c r="BP256" s="18" t="str">
        <f>IF(BW256&lt;&gt;1,"",DATA_INPUT!$H256)</f>
        <v/>
      </c>
      <c r="BQ256" s="18" t="str">
        <f t="shared" si="159"/>
        <v/>
      </c>
      <c r="BR256" s="18" t="str">
        <f>IF(BW256&lt;&gt;1,"",BM256*CONTROL_PANEL!$B$14)</f>
        <v/>
      </c>
      <c r="BS256" s="18" t="str">
        <f>IF(BW256&lt;&gt;1,"",DATA_INPUT!$N256)</f>
        <v/>
      </c>
      <c r="BT256" s="18" t="str">
        <f t="shared" si="160"/>
        <v/>
      </c>
      <c r="BU256" s="18" t="str">
        <f>IF(BW256&lt;&gt;1,"",IF(BT256-CONTROL_PANEL!$B$11&lt;0,0,BT256-CONTROL_PANEL!$B$11))</f>
        <v/>
      </c>
      <c r="BV256" s="18" t="str">
        <f>IF(BW256&lt;&gt;1,"",IF(BS256&lt;=0,0,MIN(BS256,MAX(0,CONTROL_PANEL!$B$13-BT256))))</f>
        <v/>
      </c>
      <c r="BW256" s="18"/>
      <c r="BY256" s="19">
        <f t="shared" si="179"/>
        <v>2036</v>
      </c>
      <c r="BZ256" s="19">
        <f t="shared" si="184"/>
        <v>9</v>
      </c>
      <c r="CA256" s="18" t="str">
        <f t="shared" si="161"/>
        <v/>
      </c>
      <c r="CB256" s="18" t="str">
        <f t="shared" si="174"/>
        <v/>
      </c>
      <c r="CC256" s="18" t="str">
        <f>IF(CP255&lt;&gt;1,"",IF(CM255&gt;0,IF(CM255&gt;CONTROL_PANEL!$B$11,CONTROL_PANEL!$B$11,CM255),0))</f>
        <v/>
      </c>
      <c r="CD256" s="18" t="str">
        <f t="shared" si="169"/>
        <v/>
      </c>
      <c r="CE256" s="18" t="str">
        <f>IF(CP256&lt;&gt;1,"",DATA_INPUT!$I256)</f>
        <v/>
      </c>
      <c r="CF256" s="18" t="str">
        <f>IF(CP256&lt;&gt;1,"",CE256*CONTROL_PANEL!$B$5)</f>
        <v/>
      </c>
      <c r="CG256" s="18" t="str">
        <f>IF(CP256&lt;&gt;1,"",DATA_INPUT!$C256)</f>
        <v/>
      </c>
      <c r="CH256" s="18" t="str">
        <f t="shared" si="162"/>
        <v/>
      </c>
      <c r="CI256" s="18" t="str">
        <f>IF(CP256&lt;&gt;1,"",DATA_INPUT!$H256)</f>
        <v/>
      </c>
      <c r="CJ256" s="18" t="str">
        <f t="shared" si="163"/>
        <v/>
      </c>
      <c r="CK256" s="18" t="str">
        <f>IF(CP256&lt;&gt;1,"",CF256*CONTROL_PANEL!$B$14)</f>
        <v/>
      </c>
      <c r="CL256" s="18" t="str">
        <f>IF(CP256&lt;&gt;1,"",DATA_INPUT!$O256)</f>
        <v/>
      </c>
      <c r="CM256" s="18" t="str">
        <f t="shared" si="164"/>
        <v/>
      </c>
      <c r="CN256" s="18" t="str">
        <f>IF(CP256&lt;&gt;1,"",IF(CM256-CONTROL_PANEL!$B$11&lt;0,0,CM256-CONTROL_PANEL!$B$11))</f>
        <v/>
      </c>
      <c r="CO256" s="18" t="str">
        <f>IF(CP256&lt;&gt;1,"",IF(CL256&lt;=0,0,MIN(CL256,MAX(0,CONTROL_PANEL!$B$13-CM256))))</f>
        <v/>
      </c>
      <c r="CP256" s="18"/>
    </row>
    <row r="257" spans="1:94" x14ac:dyDescent="0.25">
      <c r="A257" s="19">
        <f t="shared" si="175"/>
        <v>2036</v>
      </c>
      <c r="B257" s="19">
        <f t="shared" si="180"/>
        <v>10</v>
      </c>
      <c r="C257" s="18" t="str">
        <f t="shared" si="145"/>
        <v/>
      </c>
      <c r="D257" s="18" t="str">
        <f t="shared" si="170"/>
        <v/>
      </c>
      <c r="E257" s="18" t="str">
        <f>IF(R256&lt;&gt;1,"",IF(O256&gt;0,IF(O256&gt;CONTROL_PANEL!$B$11,CONTROL_PANEL!$B$11,O256),0))</f>
        <v/>
      </c>
      <c r="F257" s="18" t="str">
        <f t="shared" si="165"/>
        <v/>
      </c>
      <c r="G257" s="18" t="str">
        <f>IF(R257&lt;&gt;1,"",DATA_INPUT!I257)</f>
        <v/>
      </c>
      <c r="H257" s="18" t="str">
        <f>IF(R257&lt;&gt;1,"",G257*CONTROL_PANEL!$B$5)</f>
        <v/>
      </c>
      <c r="I257" s="18" t="str">
        <f>IF(R257&lt;&gt;1,"",DATA_INPUT!C257)</f>
        <v/>
      </c>
      <c r="J257" s="18" t="str">
        <f t="shared" si="146"/>
        <v/>
      </c>
      <c r="K257" s="18" t="str">
        <f>IF(R257&lt;&gt;1,"",DATA_INPUT!H257)</f>
        <v/>
      </c>
      <c r="L257" s="18" t="str">
        <f t="shared" si="147"/>
        <v/>
      </c>
      <c r="M257" s="18" t="str">
        <f>IF(R257&lt;&gt;1,"",H257*CONTROL_PANEL!$B$14)</f>
        <v/>
      </c>
      <c r="N257" s="18" t="str">
        <f>IF(R257&lt;&gt;1,"",DATA_INPUT!K257)</f>
        <v/>
      </c>
      <c r="O257" s="18" t="str">
        <f t="shared" si="148"/>
        <v/>
      </c>
      <c r="P257" s="18" t="str">
        <f>IF(R257&lt;&gt;1,"",IF(O257-CONTROL_PANEL!$B$11&lt;0,0,O257-CONTROL_PANEL!$B$11))</f>
        <v/>
      </c>
      <c r="Q257" s="18" t="str">
        <f>IF(R257&lt;&gt;1,"",IF(N257&lt;=0,0,MIN(N257,MAX(0,CONTROL_PANEL!$B$13-O257))))</f>
        <v/>
      </c>
      <c r="R257" s="18"/>
      <c r="T257" s="19">
        <f t="shared" si="176"/>
        <v>2036</v>
      </c>
      <c r="U257" s="19">
        <f t="shared" si="181"/>
        <v>10</v>
      </c>
      <c r="V257" s="18" t="str">
        <f t="shared" si="149"/>
        <v/>
      </c>
      <c r="W257" s="18" t="str">
        <f t="shared" si="171"/>
        <v/>
      </c>
      <c r="X257" s="18" t="str">
        <f>IF(AK256&lt;&gt;1,"",IF(AH256&gt;0,IF(AH256&gt;CONTROL_PANEL!$B$11,CONTROL_PANEL!$B$11,AH256),0))</f>
        <v/>
      </c>
      <c r="Y257" s="18" t="str">
        <f t="shared" si="166"/>
        <v/>
      </c>
      <c r="Z257" s="18" t="str">
        <f>IF(AK257&lt;&gt;1,"",DATA_INPUT!I257)</f>
        <v/>
      </c>
      <c r="AA257" s="18" t="str">
        <f>IF(AK257&lt;&gt;1,"",Z257*CONTROL_PANEL!$B$5)</f>
        <v/>
      </c>
      <c r="AB257" s="18" t="str">
        <f>IF(AK257&lt;&gt;1,"",DATA_INPUT!$C257)</f>
        <v/>
      </c>
      <c r="AC257" s="18" t="str">
        <f t="shared" si="150"/>
        <v/>
      </c>
      <c r="AD257" s="18" t="str">
        <f>IF(AK257&lt;&gt;1,"",DATA_INPUT!$H257)</f>
        <v/>
      </c>
      <c r="AE257" s="18" t="str">
        <f t="shared" si="151"/>
        <v/>
      </c>
      <c r="AF257" s="18" t="str">
        <f>IF(AK257&lt;&gt;1,"",AA257*CONTROL_PANEL!$B$14)</f>
        <v/>
      </c>
      <c r="AG257" s="18" t="str">
        <f>IF(AK257&lt;&gt;1,"",DATA_INPUT!$L257)</f>
        <v/>
      </c>
      <c r="AH257" s="18" t="str">
        <f t="shared" si="152"/>
        <v/>
      </c>
      <c r="AI257" s="18" t="str">
        <f>IF(AK257&lt;&gt;1,"",IF(AH257-CONTROL_PANEL!$B$11&lt;0,0,AH257-CONTROL_PANEL!$B$11))</f>
        <v/>
      </c>
      <c r="AJ257" s="18" t="str">
        <f>IF(AK257&lt;&gt;1,"",IF(AG257&lt;=0,0,MIN(AG257,MAX(0,CONTROL_PANEL!$B$13-AH257))))</f>
        <v/>
      </c>
      <c r="AK257" s="18"/>
      <c r="AM257" s="19">
        <f t="shared" si="177"/>
        <v>2036</v>
      </c>
      <c r="AN257" s="19">
        <f t="shared" si="182"/>
        <v>10</v>
      </c>
      <c r="AO257" s="18" t="str">
        <f t="shared" si="153"/>
        <v/>
      </c>
      <c r="AP257" s="18" t="str">
        <f t="shared" si="172"/>
        <v/>
      </c>
      <c r="AQ257" s="18" t="str">
        <f>IF(BD256&lt;&gt;1,"",IF(BA256&gt;0,IF(BA256&gt;CONTROL_PANEL!$B$11,CONTROL_PANEL!$B$11,BA256),0))</f>
        <v/>
      </c>
      <c r="AR257" s="18" t="str">
        <f t="shared" si="167"/>
        <v/>
      </c>
      <c r="AS257" s="18" t="str">
        <f>IF(BD257&lt;&gt;1,"",DATA_INPUT!$I257)</f>
        <v/>
      </c>
      <c r="AT257" s="18" t="str">
        <f>IF(BD257&lt;&gt;1,"",AS257*CONTROL_PANEL!$B$5)</f>
        <v/>
      </c>
      <c r="AU257" s="18" t="str">
        <f>IF(BD257&lt;&gt;1,"",DATA_INPUT!$C257)</f>
        <v/>
      </c>
      <c r="AV257" s="18" t="str">
        <f t="shared" si="154"/>
        <v/>
      </c>
      <c r="AW257" s="18" t="str">
        <f>IF(BD257&lt;&gt;1,"",DATA_INPUT!$H257)</f>
        <v/>
      </c>
      <c r="AX257" s="18" t="str">
        <f t="shared" si="155"/>
        <v/>
      </c>
      <c r="AY257" s="18" t="str">
        <f>IF(BD257&lt;&gt;1,"",AT257*CONTROL_PANEL!$B$14)</f>
        <v/>
      </c>
      <c r="AZ257" s="18" t="str">
        <f>IF(BD257&lt;&gt;1,"",DATA_INPUT!$M257)</f>
        <v/>
      </c>
      <c r="BA257" s="18" t="str">
        <f t="shared" si="156"/>
        <v/>
      </c>
      <c r="BB257" s="18" t="str">
        <f>IF(BD257&lt;&gt;1,"",IF(BA257-CONTROL_PANEL!$B$11&lt;0,0,BA257-CONTROL_PANEL!$B$11))</f>
        <v/>
      </c>
      <c r="BC257" s="18" t="str">
        <f>IF(BD257&lt;&gt;1,"",IF(AZ257&lt;=0,0,MIN(AZ257,MAX(0,CONTROL_PANEL!$B$13-BA257))))</f>
        <v/>
      </c>
      <c r="BD257" s="18"/>
      <c r="BF257" s="19">
        <f t="shared" si="178"/>
        <v>2036</v>
      </c>
      <c r="BG257" s="19">
        <f t="shared" si="183"/>
        <v>10</v>
      </c>
      <c r="BH257" s="18" t="str">
        <f t="shared" si="157"/>
        <v/>
      </c>
      <c r="BI257" s="18" t="str">
        <f t="shared" si="173"/>
        <v/>
      </c>
      <c r="BJ257" s="18" t="str">
        <f>IF(BW256&lt;&gt;1,"",IF(BT256&gt;0,IF(BT256&gt;CONTROL_PANEL!$B$11,CONTROL_PANEL!$B$11,BT256),0))</f>
        <v/>
      </c>
      <c r="BK257" s="18" t="str">
        <f t="shared" si="168"/>
        <v/>
      </c>
      <c r="BL257" s="18" t="str">
        <f>IF(BW257&lt;&gt;1,"",DATA_INPUT!$I257)</f>
        <v/>
      </c>
      <c r="BM257" s="18" t="str">
        <f>IF(BW257&lt;&gt;1,"",BL257*CONTROL_PANEL!$B$5)</f>
        <v/>
      </c>
      <c r="BN257" s="18" t="str">
        <f>IF(BW257&lt;&gt;1,"",DATA_INPUT!$C257)</f>
        <v/>
      </c>
      <c r="BO257" s="18" t="str">
        <f t="shared" si="158"/>
        <v/>
      </c>
      <c r="BP257" s="18" t="str">
        <f>IF(BW257&lt;&gt;1,"",DATA_INPUT!$H257)</f>
        <v/>
      </c>
      <c r="BQ257" s="18" t="str">
        <f t="shared" si="159"/>
        <v/>
      </c>
      <c r="BR257" s="18" t="str">
        <f>IF(BW257&lt;&gt;1,"",BM257*CONTROL_PANEL!$B$14)</f>
        <v/>
      </c>
      <c r="BS257" s="18" t="str">
        <f>IF(BW257&lt;&gt;1,"",DATA_INPUT!$N257)</f>
        <v/>
      </c>
      <c r="BT257" s="18" t="str">
        <f t="shared" si="160"/>
        <v/>
      </c>
      <c r="BU257" s="18" t="str">
        <f>IF(BW257&lt;&gt;1,"",IF(BT257-CONTROL_PANEL!$B$11&lt;0,0,BT257-CONTROL_PANEL!$B$11))</f>
        <v/>
      </c>
      <c r="BV257" s="18" t="str">
        <f>IF(BW257&lt;&gt;1,"",IF(BS257&lt;=0,0,MIN(BS257,MAX(0,CONTROL_PANEL!$B$13-BT257))))</f>
        <v/>
      </c>
      <c r="BW257" s="18"/>
      <c r="BY257" s="19">
        <f t="shared" si="179"/>
        <v>2036</v>
      </c>
      <c r="BZ257" s="19">
        <f t="shared" si="184"/>
        <v>10</v>
      </c>
      <c r="CA257" s="18" t="str">
        <f t="shared" si="161"/>
        <v/>
      </c>
      <c r="CB257" s="18" t="str">
        <f t="shared" si="174"/>
        <v/>
      </c>
      <c r="CC257" s="18" t="str">
        <f>IF(CP256&lt;&gt;1,"",IF(CM256&gt;0,IF(CM256&gt;CONTROL_PANEL!$B$11,CONTROL_PANEL!$B$11,CM256),0))</f>
        <v/>
      </c>
      <c r="CD257" s="18" t="str">
        <f t="shared" si="169"/>
        <v/>
      </c>
      <c r="CE257" s="18" t="str">
        <f>IF(CP257&lt;&gt;1,"",DATA_INPUT!$I257)</f>
        <v/>
      </c>
      <c r="CF257" s="18" t="str">
        <f>IF(CP257&lt;&gt;1,"",CE257*CONTROL_PANEL!$B$5)</f>
        <v/>
      </c>
      <c r="CG257" s="18" t="str">
        <f>IF(CP257&lt;&gt;1,"",DATA_INPUT!$C257)</f>
        <v/>
      </c>
      <c r="CH257" s="18" t="str">
        <f t="shared" si="162"/>
        <v/>
      </c>
      <c r="CI257" s="18" t="str">
        <f>IF(CP257&lt;&gt;1,"",DATA_INPUT!$H257)</f>
        <v/>
      </c>
      <c r="CJ257" s="18" t="str">
        <f t="shared" si="163"/>
        <v/>
      </c>
      <c r="CK257" s="18" t="str">
        <f>IF(CP257&lt;&gt;1,"",CF257*CONTROL_PANEL!$B$14)</f>
        <v/>
      </c>
      <c r="CL257" s="18" t="str">
        <f>IF(CP257&lt;&gt;1,"",DATA_INPUT!$O257)</f>
        <v/>
      </c>
      <c r="CM257" s="18" t="str">
        <f t="shared" si="164"/>
        <v/>
      </c>
      <c r="CN257" s="18" t="str">
        <f>IF(CP257&lt;&gt;1,"",IF(CM257-CONTROL_PANEL!$B$11&lt;0,0,CM257-CONTROL_PANEL!$B$11))</f>
        <v/>
      </c>
      <c r="CO257" s="18" t="str">
        <f>IF(CP257&lt;&gt;1,"",IF(CL257&lt;=0,0,MIN(CL257,MAX(0,CONTROL_PANEL!$B$13-CM257))))</f>
        <v/>
      </c>
      <c r="CP257" s="18"/>
    </row>
    <row r="258" spans="1:94" x14ac:dyDescent="0.25">
      <c r="A258" s="19">
        <f t="shared" si="175"/>
        <v>2036</v>
      </c>
      <c r="B258" s="19">
        <f t="shared" si="180"/>
        <v>11</v>
      </c>
      <c r="C258" s="18" t="str">
        <f t="shared" si="145"/>
        <v/>
      </c>
      <c r="D258" s="18" t="str">
        <f t="shared" si="170"/>
        <v/>
      </c>
      <c r="E258" s="18" t="str">
        <f>IF(R257&lt;&gt;1,"",IF(O257&gt;0,IF(O257&gt;CONTROL_PANEL!$B$11,CONTROL_PANEL!$B$11,O257),0))</f>
        <v/>
      </c>
      <c r="F258" s="18" t="str">
        <f t="shared" si="165"/>
        <v/>
      </c>
      <c r="G258" s="18" t="str">
        <f>IF(R258&lt;&gt;1,"",DATA_INPUT!I258)</f>
        <v/>
      </c>
      <c r="H258" s="18" t="str">
        <f>IF(R258&lt;&gt;1,"",G258*CONTROL_PANEL!$B$5)</f>
        <v/>
      </c>
      <c r="I258" s="18" t="str">
        <f>IF(R258&lt;&gt;1,"",DATA_INPUT!C258)</f>
        <v/>
      </c>
      <c r="J258" s="18" t="str">
        <f t="shared" si="146"/>
        <v/>
      </c>
      <c r="K258" s="18" t="str">
        <f>IF(R258&lt;&gt;1,"",DATA_INPUT!H258)</f>
        <v/>
      </c>
      <c r="L258" s="18" t="str">
        <f t="shared" si="147"/>
        <v/>
      </c>
      <c r="M258" s="18" t="str">
        <f>IF(R258&lt;&gt;1,"",H258*CONTROL_PANEL!$B$14)</f>
        <v/>
      </c>
      <c r="N258" s="18" t="str">
        <f>IF(R258&lt;&gt;1,"",DATA_INPUT!K258)</f>
        <v/>
      </c>
      <c r="O258" s="18" t="str">
        <f t="shared" si="148"/>
        <v/>
      </c>
      <c r="P258" s="18" t="str">
        <f>IF(R258&lt;&gt;1,"",IF(O258-CONTROL_PANEL!$B$11&lt;0,0,O258-CONTROL_PANEL!$B$11))</f>
        <v/>
      </c>
      <c r="Q258" s="18" t="str">
        <f>IF(R258&lt;&gt;1,"",IF(N258&lt;=0,0,MIN(N258,MAX(0,CONTROL_PANEL!$B$13-O258))))</f>
        <v/>
      </c>
      <c r="R258" s="18"/>
      <c r="T258" s="19">
        <f t="shared" si="176"/>
        <v>2036</v>
      </c>
      <c r="U258" s="19">
        <f t="shared" si="181"/>
        <v>11</v>
      </c>
      <c r="V258" s="18" t="str">
        <f t="shared" si="149"/>
        <v/>
      </c>
      <c r="W258" s="18" t="str">
        <f t="shared" si="171"/>
        <v/>
      </c>
      <c r="X258" s="18" t="str">
        <f>IF(AK257&lt;&gt;1,"",IF(AH257&gt;0,IF(AH257&gt;CONTROL_PANEL!$B$11,CONTROL_PANEL!$B$11,AH257),0))</f>
        <v/>
      </c>
      <c r="Y258" s="18" t="str">
        <f t="shared" si="166"/>
        <v/>
      </c>
      <c r="Z258" s="18" t="str">
        <f>IF(AK258&lt;&gt;1,"",DATA_INPUT!I258)</f>
        <v/>
      </c>
      <c r="AA258" s="18" t="str">
        <f>IF(AK258&lt;&gt;1,"",Z258*CONTROL_PANEL!$B$5)</f>
        <v/>
      </c>
      <c r="AB258" s="18" t="str">
        <f>IF(AK258&lt;&gt;1,"",DATA_INPUT!$C258)</f>
        <v/>
      </c>
      <c r="AC258" s="18" t="str">
        <f t="shared" si="150"/>
        <v/>
      </c>
      <c r="AD258" s="18" t="str">
        <f>IF(AK258&lt;&gt;1,"",DATA_INPUT!$H258)</f>
        <v/>
      </c>
      <c r="AE258" s="18" t="str">
        <f t="shared" si="151"/>
        <v/>
      </c>
      <c r="AF258" s="18" t="str">
        <f>IF(AK258&lt;&gt;1,"",AA258*CONTROL_PANEL!$B$14)</f>
        <v/>
      </c>
      <c r="AG258" s="18" t="str">
        <f>IF(AK258&lt;&gt;1,"",DATA_INPUT!$L258)</f>
        <v/>
      </c>
      <c r="AH258" s="18" t="str">
        <f t="shared" si="152"/>
        <v/>
      </c>
      <c r="AI258" s="18" t="str">
        <f>IF(AK258&lt;&gt;1,"",IF(AH258-CONTROL_PANEL!$B$11&lt;0,0,AH258-CONTROL_PANEL!$B$11))</f>
        <v/>
      </c>
      <c r="AJ258" s="18" t="str">
        <f>IF(AK258&lt;&gt;1,"",IF(AG258&lt;=0,0,MIN(AG258,MAX(0,CONTROL_PANEL!$B$13-AH258))))</f>
        <v/>
      </c>
      <c r="AK258" s="18"/>
      <c r="AM258" s="19">
        <f t="shared" si="177"/>
        <v>2036</v>
      </c>
      <c r="AN258" s="19">
        <f t="shared" si="182"/>
        <v>11</v>
      </c>
      <c r="AO258" s="18" t="str">
        <f t="shared" si="153"/>
        <v/>
      </c>
      <c r="AP258" s="18" t="str">
        <f t="shared" si="172"/>
        <v/>
      </c>
      <c r="AQ258" s="18" t="str">
        <f>IF(BD257&lt;&gt;1,"",IF(BA257&gt;0,IF(BA257&gt;CONTROL_PANEL!$B$11,CONTROL_PANEL!$B$11,BA257),0))</f>
        <v/>
      </c>
      <c r="AR258" s="18" t="str">
        <f t="shared" si="167"/>
        <v/>
      </c>
      <c r="AS258" s="18" t="str">
        <f>IF(BD258&lt;&gt;1,"",DATA_INPUT!$I258)</f>
        <v/>
      </c>
      <c r="AT258" s="18" t="str">
        <f>IF(BD258&lt;&gt;1,"",AS258*CONTROL_PANEL!$B$5)</f>
        <v/>
      </c>
      <c r="AU258" s="18" t="str">
        <f>IF(BD258&lt;&gt;1,"",DATA_INPUT!$C258)</f>
        <v/>
      </c>
      <c r="AV258" s="18" t="str">
        <f t="shared" si="154"/>
        <v/>
      </c>
      <c r="AW258" s="18" t="str">
        <f>IF(BD258&lt;&gt;1,"",DATA_INPUT!$H258)</f>
        <v/>
      </c>
      <c r="AX258" s="18" t="str">
        <f t="shared" si="155"/>
        <v/>
      </c>
      <c r="AY258" s="18" t="str">
        <f>IF(BD258&lt;&gt;1,"",AT258*CONTROL_PANEL!$B$14)</f>
        <v/>
      </c>
      <c r="AZ258" s="18" t="str">
        <f>IF(BD258&lt;&gt;1,"",DATA_INPUT!$M258)</f>
        <v/>
      </c>
      <c r="BA258" s="18" t="str">
        <f t="shared" si="156"/>
        <v/>
      </c>
      <c r="BB258" s="18" t="str">
        <f>IF(BD258&lt;&gt;1,"",IF(BA258-CONTROL_PANEL!$B$11&lt;0,0,BA258-CONTROL_PANEL!$B$11))</f>
        <v/>
      </c>
      <c r="BC258" s="18" t="str">
        <f>IF(BD258&lt;&gt;1,"",IF(AZ258&lt;=0,0,MIN(AZ258,MAX(0,CONTROL_PANEL!$B$13-BA258))))</f>
        <v/>
      </c>
      <c r="BD258" s="18"/>
      <c r="BF258" s="19">
        <f t="shared" si="178"/>
        <v>2036</v>
      </c>
      <c r="BG258" s="19">
        <f t="shared" si="183"/>
        <v>11</v>
      </c>
      <c r="BH258" s="18" t="str">
        <f t="shared" si="157"/>
        <v/>
      </c>
      <c r="BI258" s="18" t="str">
        <f t="shared" si="173"/>
        <v/>
      </c>
      <c r="BJ258" s="18" t="str">
        <f>IF(BW257&lt;&gt;1,"",IF(BT257&gt;0,IF(BT257&gt;CONTROL_PANEL!$B$11,CONTROL_PANEL!$B$11,BT257),0))</f>
        <v/>
      </c>
      <c r="BK258" s="18" t="str">
        <f t="shared" si="168"/>
        <v/>
      </c>
      <c r="BL258" s="18" t="str">
        <f>IF(BW258&lt;&gt;1,"",DATA_INPUT!$I258)</f>
        <v/>
      </c>
      <c r="BM258" s="18" t="str">
        <f>IF(BW258&lt;&gt;1,"",BL258*CONTROL_PANEL!$B$5)</f>
        <v/>
      </c>
      <c r="BN258" s="18" t="str">
        <f>IF(BW258&lt;&gt;1,"",DATA_INPUT!$C258)</f>
        <v/>
      </c>
      <c r="BO258" s="18" t="str">
        <f t="shared" si="158"/>
        <v/>
      </c>
      <c r="BP258" s="18" t="str">
        <f>IF(BW258&lt;&gt;1,"",DATA_INPUT!$H258)</f>
        <v/>
      </c>
      <c r="BQ258" s="18" t="str">
        <f t="shared" si="159"/>
        <v/>
      </c>
      <c r="BR258" s="18" t="str">
        <f>IF(BW258&lt;&gt;1,"",BM258*CONTROL_PANEL!$B$14)</f>
        <v/>
      </c>
      <c r="BS258" s="18" t="str">
        <f>IF(BW258&lt;&gt;1,"",DATA_INPUT!$N258)</f>
        <v/>
      </c>
      <c r="BT258" s="18" t="str">
        <f t="shared" si="160"/>
        <v/>
      </c>
      <c r="BU258" s="18" t="str">
        <f>IF(BW258&lt;&gt;1,"",IF(BT258-CONTROL_PANEL!$B$11&lt;0,0,BT258-CONTROL_PANEL!$B$11))</f>
        <v/>
      </c>
      <c r="BV258" s="18" t="str">
        <f>IF(BW258&lt;&gt;1,"",IF(BS258&lt;=0,0,MIN(BS258,MAX(0,CONTROL_PANEL!$B$13-BT258))))</f>
        <v/>
      </c>
      <c r="BW258" s="18"/>
      <c r="BY258" s="19">
        <f t="shared" si="179"/>
        <v>2036</v>
      </c>
      <c r="BZ258" s="19">
        <f t="shared" si="184"/>
        <v>11</v>
      </c>
      <c r="CA258" s="18" t="str">
        <f t="shared" si="161"/>
        <v/>
      </c>
      <c r="CB258" s="18" t="str">
        <f t="shared" si="174"/>
        <v/>
      </c>
      <c r="CC258" s="18" t="str">
        <f>IF(CP257&lt;&gt;1,"",IF(CM257&gt;0,IF(CM257&gt;CONTROL_PANEL!$B$11,CONTROL_PANEL!$B$11,CM257),0))</f>
        <v/>
      </c>
      <c r="CD258" s="18" t="str">
        <f t="shared" si="169"/>
        <v/>
      </c>
      <c r="CE258" s="18" t="str">
        <f>IF(CP258&lt;&gt;1,"",DATA_INPUT!$I258)</f>
        <v/>
      </c>
      <c r="CF258" s="18" t="str">
        <f>IF(CP258&lt;&gt;1,"",CE258*CONTROL_PANEL!$B$5)</f>
        <v/>
      </c>
      <c r="CG258" s="18" t="str">
        <f>IF(CP258&lt;&gt;1,"",DATA_INPUT!$C258)</f>
        <v/>
      </c>
      <c r="CH258" s="18" t="str">
        <f t="shared" si="162"/>
        <v/>
      </c>
      <c r="CI258" s="18" t="str">
        <f>IF(CP258&lt;&gt;1,"",DATA_INPUT!$H258)</f>
        <v/>
      </c>
      <c r="CJ258" s="18" t="str">
        <f t="shared" si="163"/>
        <v/>
      </c>
      <c r="CK258" s="18" t="str">
        <f>IF(CP258&lt;&gt;1,"",CF258*CONTROL_PANEL!$B$14)</f>
        <v/>
      </c>
      <c r="CL258" s="18" t="str">
        <f>IF(CP258&lt;&gt;1,"",DATA_INPUT!$O258)</f>
        <v/>
      </c>
      <c r="CM258" s="18" t="str">
        <f t="shared" si="164"/>
        <v/>
      </c>
      <c r="CN258" s="18" t="str">
        <f>IF(CP258&lt;&gt;1,"",IF(CM258-CONTROL_PANEL!$B$11&lt;0,0,CM258-CONTROL_PANEL!$B$11))</f>
        <v/>
      </c>
      <c r="CO258" s="18" t="str">
        <f>IF(CP258&lt;&gt;1,"",IF(CL258&lt;=0,0,MIN(CL258,MAX(0,CONTROL_PANEL!$B$13-CM258))))</f>
        <v/>
      </c>
      <c r="CP258" s="18"/>
    </row>
    <row r="259" spans="1:94" x14ac:dyDescent="0.25">
      <c r="A259" s="19">
        <f t="shared" si="175"/>
        <v>2036</v>
      </c>
      <c r="B259" s="19">
        <f t="shared" si="180"/>
        <v>12</v>
      </c>
      <c r="C259" s="18" t="str">
        <f t="shared" si="145"/>
        <v/>
      </c>
      <c r="D259" s="18" t="str">
        <f t="shared" si="170"/>
        <v/>
      </c>
      <c r="E259" s="18" t="str">
        <f>IF(R258&lt;&gt;1,"",IF(O258&gt;0,IF(O258&gt;CONTROL_PANEL!$B$11,CONTROL_PANEL!$B$11,O258),0))</f>
        <v/>
      </c>
      <c r="F259" s="18" t="str">
        <f t="shared" si="165"/>
        <v/>
      </c>
      <c r="G259" s="18" t="str">
        <f>IF(R259&lt;&gt;1,"",DATA_INPUT!I259)</f>
        <v/>
      </c>
      <c r="H259" s="18" t="str">
        <f>IF(R259&lt;&gt;1,"",G259*CONTROL_PANEL!$B$5)</f>
        <v/>
      </c>
      <c r="I259" s="18" t="str">
        <f>IF(R259&lt;&gt;1,"",DATA_INPUT!C259)</f>
        <v/>
      </c>
      <c r="J259" s="18" t="str">
        <f t="shared" si="146"/>
        <v/>
      </c>
      <c r="K259" s="18" t="str">
        <f>IF(R259&lt;&gt;1,"",DATA_INPUT!H259)</f>
        <v/>
      </c>
      <c r="L259" s="18" t="str">
        <f t="shared" si="147"/>
        <v/>
      </c>
      <c r="M259" s="18" t="str">
        <f>IF(R259&lt;&gt;1,"",H259*CONTROL_PANEL!$B$14)</f>
        <v/>
      </c>
      <c r="N259" s="18" t="str">
        <f>IF(R259&lt;&gt;1,"",DATA_INPUT!K259)</f>
        <v/>
      </c>
      <c r="O259" s="18" t="str">
        <f t="shared" si="148"/>
        <v/>
      </c>
      <c r="P259" s="18" t="str">
        <f>IF(R259&lt;&gt;1,"",IF(O259-CONTROL_PANEL!$B$11&lt;0,0,O259-CONTROL_PANEL!$B$11))</f>
        <v/>
      </c>
      <c r="Q259" s="18" t="str">
        <f>IF(R259&lt;&gt;1,"",IF(N259&lt;=0,0,MIN(N259,MAX(0,CONTROL_PANEL!$B$13-O259))))</f>
        <v/>
      </c>
      <c r="R259" s="18"/>
      <c r="T259" s="19">
        <f t="shared" si="176"/>
        <v>2036</v>
      </c>
      <c r="U259" s="19">
        <f t="shared" si="181"/>
        <v>12</v>
      </c>
      <c r="V259" s="18" t="str">
        <f t="shared" si="149"/>
        <v/>
      </c>
      <c r="W259" s="18" t="str">
        <f t="shared" si="171"/>
        <v/>
      </c>
      <c r="X259" s="18" t="str">
        <f>IF(AK258&lt;&gt;1,"",IF(AH258&gt;0,IF(AH258&gt;CONTROL_PANEL!$B$11,CONTROL_PANEL!$B$11,AH258),0))</f>
        <v/>
      </c>
      <c r="Y259" s="18" t="str">
        <f t="shared" si="166"/>
        <v/>
      </c>
      <c r="Z259" s="18" t="str">
        <f>IF(AK259&lt;&gt;1,"",DATA_INPUT!I259)</f>
        <v/>
      </c>
      <c r="AA259" s="18" t="str">
        <f>IF(AK259&lt;&gt;1,"",Z259*CONTROL_PANEL!$B$5)</f>
        <v/>
      </c>
      <c r="AB259" s="18" t="str">
        <f>IF(AK259&lt;&gt;1,"",DATA_INPUT!$C259)</f>
        <v/>
      </c>
      <c r="AC259" s="18" t="str">
        <f t="shared" si="150"/>
        <v/>
      </c>
      <c r="AD259" s="18" t="str">
        <f>IF(AK259&lt;&gt;1,"",DATA_INPUT!$H259)</f>
        <v/>
      </c>
      <c r="AE259" s="18" t="str">
        <f t="shared" si="151"/>
        <v/>
      </c>
      <c r="AF259" s="18" t="str">
        <f>IF(AK259&lt;&gt;1,"",AA259*CONTROL_PANEL!$B$14)</f>
        <v/>
      </c>
      <c r="AG259" s="18" t="str">
        <f>IF(AK259&lt;&gt;1,"",DATA_INPUT!$L259)</f>
        <v/>
      </c>
      <c r="AH259" s="18" t="str">
        <f t="shared" si="152"/>
        <v/>
      </c>
      <c r="AI259" s="18" t="str">
        <f>IF(AK259&lt;&gt;1,"",IF(AH259-CONTROL_PANEL!$B$11&lt;0,0,AH259-CONTROL_PANEL!$B$11))</f>
        <v/>
      </c>
      <c r="AJ259" s="18" t="str">
        <f>IF(AK259&lt;&gt;1,"",IF(AG259&lt;=0,0,MIN(AG259,MAX(0,CONTROL_PANEL!$B$13-AH259))))</f>
        <v/>
      </c>
      <c r="AK259" s="18"/>
      <c r="AM259" s="19">
        <f t="shared" si="177"/>
        <v>2036</v>
      </c>
      <c r="AN259" s="19">
        <f t="shared" si="182"/>
        <v>12</v>
      </c>
      <c r="AO259" s="18" t="str">
        <f t="shared" si="153"/>
        <v/>
      </c>
      <c r="AP259" s="18" t="str">
        <f t="shared" si="172"/>
        <v/>
      </c>
      <c r="AQ259" s="18" t="str">
        <f>IF(BD258&lt;&gt;1,"",IF(BA258&gt;0,IF(BA258&gt;CONTROL_PANEL!$B$11,CONTROL_PANEL!$B$11,BA258),0))</f>
        <v/>
      </c>
      <c r="AR259" s="18" t="str">
        <f t="shared" si="167"/>
        <v/>
      </c>
      <c r="AS259" s="18" t="str">
        <f>IF(BD259&lt;&gt;1,"",DATA_INPUT!$I259)</f>
        <v/>
      </c>
      <c r="AT259" s="18" t="str">
        <f>IF(BD259&lt;&gt;1,"",AS259*CONTROL_PANEL!$B$5)</f>
        <v/>
      </c>
      <c r="AU259" s="18" t="str">
        <f>IF(BD259&lt;&gt;1,"",DATA_INPUT!$C259)</f>
        <v/>
      </c>
      <c r="AV259" s="18" t="str">
        <f t="shared" si="154"/>
        <v/>
      </c>
      <c r="AW259" s="18" t="str">
        <f>IF(BD259&lt;&gt;1,"",DATA_INPUT!$H259)</f>
        <v/>
      </c>
      <c r="AX259" s="18" t="str">
        <f t="shared" si="155"/>
        <v/>
      </c>
      <c r="AY259" s="18" t="str">
        <f>IF(BD259&lt;&gt;1,"",AT259*CONTROL_PANEL!$B$14)</f>
        <v/>
      </c>
      <c r="AZ259" s="18" t="str">
        <f>IF(BD259&lt;&gt;1,"",DATA_INPUT!$M259)</f>
        <v/>
      </c>
      <c r="BA259" s="18" t="str">
        <f t="shared" si="156"/>
        <v/>
      </c>
      <c r="BB259" s="18" t="str">
        <f>IF(BD259&lt;&gt;1,"",IF(BA259-CONTROL_PANEL!$B$11&lt;0,0,BA259-CONTROL_PANEL!$B$11))</f>
        <v/>
      </c>
      <c r="BC259" s="18" t="str">
        <f>IF(BD259&lt;&gt;1,"",IF(AZ259&lt;=0,0,MIN(AZ259,MAX(0,CONTROL_PANEL!$B$13-BA259))))</f>
        <v/>
      </c>
      <c r="BD259" s="18"/>
      <c r="BF259" s="19">
        <f t="shared" si="178"/>
        <v>2036</v>
      </c>
      <c r="BG259" s="19">
        <f t="shared" si="183"/>
        <v>12</v>
      </c>
      <c r="BH259" s="18" t="str">
        <f t="shared" si="157"/>
        <v/>
      </c>
      <c r="BI259" s="18" t="str">
        <f t="shared" si="173"/>
        <v/>
      </c>
      <c r="BJ259" s="18" t="str">
        <f>IF(BW258&lt;&gt;1,"",IF(BT258&gt;0,IF(BT258&gt;CONTROL_PANEL!$B$11,CONTROL_PANEL!$B$11,BT258),0))</f>
        <v/>
      </c>
      <c r="BK259" s="18" t="str">
        <f t="shared" si="168"/>
        <v/>
      </c>
      <c r="BL259" s="18" t="str">
        <f>IF(BW259&lt;&gt;1,"",DATA_INPUT!$I259)</f>
        <v/>
      </c>
      <c r="BM259" s="18" t="str">
        <f>IF(BW259&lt;&gt;1,"",BL259*CONTROL_PANEL!$B$5)</f>
        <v/>
      </c>
      <c r="BN259" s="18" t="str">
        <f>IF(BW259&lt;&gt;1,"",DATA_INPUT!$C259)</f>
        <v/>
      </c>
      <c r="BO259" s="18" t="str">
        <f t="shared" si="158"/>
        <v/>
      </c>
      <c r="BP259" s="18" t="str">
        <f>IF(BW259&lt;&gt;1,"",DATA_INPUT!$H259)</f>
        <v/>
      </c>
      <c r="BQ259" s="18" t="str">
        <f t="shared" si="159"/>
        <v/>
      </c>
      <c r="BR259" s="18" t="str">
        <f>IF(BW259&lt;&gt;1,"",BM259*CONTROL_PANEL!$B$14)</f>
        <v/>
      </c>
      <c r="BS259" s="18" t="str">
        <f>IF(BW259&lt;&gt;1,"",DATA_INPUT!$N259)</f>
        <v/>
      </c>
      <c r="BT259" s="18" t="str">
        <f t="shared" si="160"/>
        <v/>
      </c>
      <c r="BU259" s="18" t="str">
        <f>IF(BW259&lt;&gt;1,"",IF(BT259-CONTROL_PANEL!$B$11&lt;0,0,BT259-CONTROL_PANEL!$B$11))</f>
        <v/>
      </c>
      <c r="BV259" s="18" t="str">
        <f>IF(BW259&lt;&gt;1,"",IF(BS259&lt;=0,0,MIN(BS259,MAX(0,CONTROL_PANEL!$B$13-BT259))))</f>
        <v/>
      </c>
      <c r="BW259" s="18"/>
      <c r="BY259" s="19">
        <f t="shared" si="179"/>
        <v>2036</v>
      </c>
      <c r="BZ259" s="19">
        <f t="shared" si="184"/>
        <v>12</v>
      </c>
      <c r="CA259" s="18" t="str">
        <f t="shared" si="161"/>
        <v/>
      </c>
      <c r="CB259" s="18" t="str">
        <f t="shared" si="174"/>
        <v/>
      </c>
      <c r="CC259" s="18" t="str">
        <f>IF(CP258&lt;&gt;1,"",IF(CM258&gt;0,IF(CM258&gt;CONTROL_PANEL!$B$11,CONTROL_PANEL!$B$11,CM258),0))</f>
        <v/>
      </c>
      <c r="CD259" s="18" t="str">
        <f t="shared" si="169"/>
        <v/>
      </c>
      <c r="CE259" s="18" t="str">
        <f>IF(CP259&lt;&gt;1,"",DATA_INPUT!$I259)</f>
        <v/>
      </c>
      <c r="CF259" s="18" t="str">
        <f>IF(CP259&lt;&gt;1,"",CE259*CONTROL_PANEL!$B$5)</f>
        <v/>
      </c>
      <c r="CG259" s="18" t="str">
        <f>IF(CP259&lt;&gt;1,"",DATA_INPUT!$C259)</f>
        <v/>
      </c>
      <c r="CH259" s="18" t="str">
        <f t="shared" si="162"/>
        <v/>
      </c>
      <c r="CI259" s="18" t="str">
        <f>IF(CP259&lt;&gt;1,"",DATA_INPUT!$H259)</f>
        <v/>
      </c>
      <c r="CJ259" s="18" t="str">
        <f t="shared" si="163"/>
        <v/>
      </c>
      <c r="CK259" s="18" t="str">
        <f>IF(CP259&lt;&gt;1,"",CF259*CONTROL_PANEL!$B$14)</f>
        <v/>
      </c>
      <c r="CL259" s="18" t="str">
        <f>IF(CP259&lt;&gt;1,"",DATA_INPUT!$O259)</f>
        <v/>
      </c>
      <c r="CM259" s="18" t="str">
        <f t="shared" si="164"/>
        <v/>
      </c>
      <c r="CN259" s="18" t="str">
        <f>IF(CP259&lt;&gt;1,"",IF(CM259-CONTROL_PANEL!$B$11&lt;0,0,CM259-CONTROL_PANEL!$B$11))</f>
        <v/>
      </c>
      <c r="CO259" s="18" t="str">
        <f>IF(CP259&lt;&gt;1,"",IF(CL259&lt;=0,0,MIN(CL259,MAX(0,CONTROL_PANEL!$B$13-CM259))))</f>
        <v/>
      </c>
      <c r="CP259" s="18"/>
    </row>
    <row r="260" spans="1:94" x14ac:dyDescent="0.25">
      <c r="A260" s="19">
        <f t="shared" si="175"/>
        <v>2037</v>
      </c>
      <c r="B260" s="19">
        <f t="shared" si="180"/>
        <v>1</v>
      </c>
      <c r="C260" s="18" t="str">
        <f t="shared" si="145"/>
        <v/>
      </c>
      <c r="D260" s="18" t="str">
        <f t="shared" si="170"/>
        <v/>
      </c>
      <c r="E260" s="18" t="str">
        <f>IF(R259&lt;&gt;1,"",IF(O259&gt;0,IF(O259&gt;CONTROL_PANEL!$B$11,CONTROL_PANEL!$B$11,O259),0))</f>
        <v/>
      </c>
      <c r="F260" s="18" t="str">
        <f t="shared" si="165"/>
        <v/>
      </c>
      <c r="G260" s="18" t="str">
        <f>IF(R260&lt;&gt;1,"",DATA_INPUT!I260)</f>
        <v/>
      </c>
      <c r="H260" s="18" t="str">
        <f>IF(R260&lt;&gt;1,"",G260*CONTROL_PANEL!$B$5)</f>
        <v/>
      </c>
      <c r="I260" s="18" t="str">
        <f>IF(R260&lt;&gt;1,"",DATA_INPUT!C260)</f>
        <v/>
      </c>
      <c r="J260" s="18" t="str">
        <f t="shared" si="146"/>
        <v/>
      </c>
      <c r="K260" s="18" t="str">
        <f>IF(R260&lt;&gt;1,"",DATA_INPUT!H260)</f>
        <v/>
      </c>
      <c r="L260" s="18" t="str">
        <f t="shared" si="147"/>
        <v/>
      </c>
      <c r="M260" s="18" t="str">
        <f>IF(R260&lt;&gt;1,"",H260*CONTROL_PANEL!$B$14)</f>
        <v/>
      </c>
      <c r="N260" s="18" t="str">
        <f>IF(R260&lt;&gt;1,"",DATA_INPUT!K260)</f>
        <v/>
      </c>
      <c r="O260" s="18" t="str">
        <f t="shared" si="148"/>
        <v/>
      </c>
      <c r="P260" s="18" t="str">
        <f>IF(R260&lt;&gt;1,"",IF(O260-CONTROL_PANEL!$B$11&lt;0,0,O260-CONTROL_PANEL!$B$11))</f>
        <v/>
      </c>
      <c r="Q260" s="18" t="str">
        <f>IF(R260&lt;&gt;1,"",IF(N260&lt;=0,0,MIN(N260,MAX(0,CONTROL_PANEL!$B$13-O260))))</f>
        <v/>
      </c>
      <c r="R260" s="18"/>
      <c r="T260" s="19">
        <f t="shared" si="176"/>
        <v>2037</v>
      </c>
      <c r="U260" s="19">
        <f t="shared" si="181"/>
        <v>1</v>
      </c>
      <c r="V260" s="18" t="str">
        <f t="shared" si="149"/>
        <v/>
      </c>
      <c r="W260" s="18" t="str">
        <f t="shared" si="171"/>
        <v/>
      </c>
      <c r="X260" s="18" t="str">
        <f>IF(AK259&lt;&gt;1,"",IF(AH259&gt;0,IF(AH259&gt;CONTROL_PANEL!$B$11,CONTROL_PANEL!$B$11,AH259),0))</f>
        <v/>
      </c>
      <c r="Y260" s="18" t="str">
        <f t="shared" si="166"/>
        <v/>
      </c>
      <c r="Z260" s="18" t="str">
        <f>IF(AK260&lt;&gt;1,"",DATA_INPUT!I260)</f>
        <v/>
      </c>
      <c r="AA260" s="18" t="str">
        <f>IF(AK260&lt;&gt;1,"",Z260*CONTROL_PANEL!$B$5)</f>
        <v/>
      </c>
      <c r="AB260" s="18" t="str">
        <f>IF(AK260&lt;&gt;1,"",DATA_INPUT!$C260)</f>
        <v/>
      </c>
      <c r="AC260" s="18" t="str">
        <f t="shared" si="150"/>
        <v/>
      </c>
      <c r="AD260" s="18" t="str">
        <f>IF(AK260&lt;&gt;1,"",DATA_INPUT!$H260)</f>
        <v/>
      </c>
      <c r="AE260" s="18" t="str">
        <f t="shared" si="151"/>
        <v/>
      </c>
      <c r="AF260" s="18" t="str">
        <f>IF(AK260&lt;&gt;1,"",AA260*CONTROL_PANEL!$B$14)</f>
        <v/>
      </c>
      <c r="AG260" s="18" t="str">
        <f>IF(AK260&lt;&gt;1,"",DATA_INPUT!$L260)</f>
        <v/>
      </c>
      <c r="AH260" s="18" t="str">
        <f t="shared" si="152"/>
        <v/>
      </c>
      <c r="AI260" s="18" t="str">
        <f>IF(AK260&lt;&gt;1,"",IF(AH260-CONTROL_PANEL!$B$11&lt;0,0,AH260-CONTROL_PANEL!$B$11))</f>
        <v/>
      </c>
      <c r="AJ260" s="18" t="str">
        <f>IF(AK260&lt;&gt;1,"",IF(AG260&lt;=0,0,MIN(AG260,MAX(0,CONTROL_PANEL!$B$13-AH260))))</f>
        <v/>
      </c>
      <c r="AK260" s="18"/>
      <c r="AM260" s="19">
        <f t="shared" si="177"/>
        <v>2037</v>
      </c>
      <c r="AN260" s="19">
        <f t="shared" si="182"/>
        <v>1</v>
      </c>
      <c r="AO260" s="18" t="str">
        <f t="shared" si="153"/>
        <v/>
      </c>
      <c r="AP260" s="18" t="str">
        <f t="shared" si="172"/>
        <v/>
      </c>
      <c r="AQ260" s="18" t="str">
        <f>IF(BD259&lt;&gt;1,"",IF(BA259&gt;0,IF(BA259&gt;CONTROL_PANEL!$B$11,CONTROL_PANEL!$B$11,BA259),0))</f>
        <v/>
      </c>
      <c r="AR260" s="18" t="str">
        <f t="shared" si="167"/>
        <v/>
      </c>
      <c r="AS260" s="18" t="str">
        <f>IF(BD260&lt;&gt;1,"",DATA_INPUT!$I260)</f>
        <v/>
      </c>
      <c r="AT260" s="18" t="str">
        <f>IF(BD260&lt;&gt;1,"",AS260*CONTROL_PANEL!$B$5)</f>
        <v/>
      </c>
      <c r="AU260" s="18" t="str">
        <f>IF(BD260&lt;&gt;1,"",DATA_INPUT!$C260)</f>
        <v/>
      </c>
      <c r="AV260" s="18" t="str">
        <f t="shared" si="154"/>
        <v/>
      </c>
      <c r="AW260" s="18" t="str">
        <f>IF(BD260&lt;&gt;1,"",DATA_INPUT!$H260)</f>
        <v/>
      </c>
      <c r="AX260" s="18" t="str">
        <f t="shared" si="155"/>
        <v/>
      </c>
      <c r="AY260" s="18" t="str">
        <f>IF(BD260&lt;&gt;1,"",AT260*CONTROL_PANEL!$B$14)</f>
        <v/>
      </c>
      <c r="AZ260" s="18" t="str">
        <f>IF(BD260&lt;&gt;1,"",DATA_INPUT!$M260)</f>
        <v/>
      </c>
      <c r="BA260" s="18" t="str">
        <f t="shared" si="156"/>
        <v/>
      </c>
      <c r="BB260" s="18" t="str">
        <f>IF(BD260&lt;&gt;1,"",IF(BA260-CONTROL_PANEL!$B$11&lt;0,0,BA260-CONTROL_PANEL!$B$11))</f>
        <v/>
      </c>
      <c r="BC260" s="18" t="str">
        <f>IF(BD260&lt;&gt;1,"",IF(AZ260&lt;=0,0,MIN(AZ260,MAX(0,CONTROL_PANEL!$B$13-BA260))))</f>
        <v/>
      </c>
      <c r="BD260" s="18"/>
      <c r="BF260" s="19">
        <f t="shared" si="178"/>
        <v>2037</v>
      </c>
      <c r="BG260" s="19">
        <f t="shared" si="183"/>
        <v>1</v>
      </c>
      <c r="BH260" s="18" t="str">
        <f t="shared" si="157"/>
        <v/>
      </c>
      <c r="BI260" s="18" t="str">
        <f t="shared" si="173"/>
        <v/>
      </c>
      <c r="BJ260" s="18" t="str">
        <f>IF(BW259&lt;&gt;1,"",IF(BT259&gt;0,IF(BT259&gt;CONTROL_PANEL!$B$11,CONTROL_PANEL!$B$11,BT259),0))</f>
        <v/>
      </c>
      <c r="BK260" s="18" t="str">
        <f t="shared" si="168"/>
        <v/>
      </c>
      <c r="BL260" s="18" t="str">
        <f>IF(BW260&lt;&gt;1,"",DATA_INPUT!$I260)</f>
        <v/>
      </c>
      <c r="BM260" s="18" t="str">
        <f>IF(BW260&lt;&gt;1,"",BL260*CONTROL_PANEL!$B$5)</f>
        <v/>
      </c>
      <c r="BN260" s="18" t="str">
        <f>IF(BW260&lt;&gt;1,"",DATA_INPUT!$C260)</f>
        <v/>
      </c>
      <c r="BO260" s="18" t="str">
        <f t="shared" si="158"/>
        <v/>
      </c>
      <c r="BP260" s="18" t="str">
        <f>IF(BW260&lt;&gt;1,"",DATA_INPUT!$H260)</f>
        <v/>
      </c>
      <c r="BQ260" s="18" t="str">
        <f t="shared" si="159"/>
        <v/>
      </c>
      <c r="BR260" s="18" t="str">
        <f>IF(BW260&lt;&gt;1,"",BM260*CONTROL_PANEL!$B$14)</f>
        <v/>
      </c>
      <c r="BS260" s="18" t="str">
        <f>IF(BW260&lt;&gt;1,"",DATA_INPUT!$N260)</f>
        <v/>
      </c>
      <c r="BT260" s="18" t="str">
        <f t="shared" si="160"/>
        <v/>
      </c>
      <c r="BU260" s="18" t="str">
        <f>IF(BW260&lt;&gt;1,"",IF(BT260-CONTROL_PANEL!$B$11&lt;0,0,BT260-CONTROL_PANEL!$B$11))</f>
        <v/>
      </c>
      <c r="BV260" s="18" t="str">
        <f>IF(BW260&lt;&gt;1,"",IF(BS260&lt;=0,0,MIN(BS260,MAX(0,CONTROL_PANEL!$B$13-BT260))))</f>
        <v/>
      </c>
      <c r="BW260" s="18"/>
      <c r="BY260" s="19">
        <f t="shared" si="179"/>
        <v>2037</v>
      </c>
      <c r="BZ260" s="19">
        <f t="shared" si="184"/>
        <v>1</v>
      </c>
      <c r="CA260" s="18" t="str">
        <f t="shared" si="161"/>
        <v/>
      </c>
      <c r="CB260" s="18" t="str">
        <f t="shared" si="174"/>
        <v/>
      </c>
      <c r="CC260" s="18" t="str">
        <f>IF(CP259&lt;&gt;1,"",IF(CM259&gt;0,IF(CM259&gt;CONTROL_PANEL!$B$11,CONTROL_PANEL!$B$11,CM259),0))</f>
        <v/>
      </c>
      <c r="CD260" s="18" t="str">
        <f t="shared" si="169"/>
        <v/>
      </c>
      <c r="CE260" s="18" t="str">
        <f>IF(CP260&lt;&gt;1,"",DATA_INPUT!$I260)</f>
        <v/>
      </c>
      <c r="CF260" s="18" t="str">
        <f>IF(CP260&lt;&gt;1,"",CE260*CONTROL_PANEL!$B$5)</f>
        <v/>
      </c>
      <c r="CG260" s="18" t="str">
        <f>IF(CP260&lt;&gt;1,"",DATA_INPUT!$C260)</f>
        <v/>
      </c>
      <c r="CH260" s="18" t="str">
        <f t="shared" si="162"/>
        <v/>
      </c>
      <c r="CI260" s="18" t="str">
        <f>IF(CP260&lt;&gt;1,"",DATA_INPUT!$H260)</f>
        <v/>
      </c>
      <c r="CJ260" s="18" t="str">
        <f t="shared" si="163"/>
        <v/>
      </c>
      <c r="CK260" s="18" t="str">
        <f>IF(CP260&lt;&gt;1,"",CF260*CONTROL_PANEL!$B$14)</f>
        <v/>
      </c>
      <c r="CL260" s="18" t="str">
        <f>IF(CP260&lt;&gt;1,"",DATA_INPUT!$O260)</f>
        <v/>
      </c>
      <c r="CM260" s="18" t="str">
        <f t="shared" si="164"/>
        <v/>
      </c>
      <c r="CN260" s="18" t="str">
        <f>IF(CP260&lt;&gt;1,"",IF(CM260-CONTROL_PANEL!$B$11&lt;0,0,CM260-CONTROL_PANEL!$B$11))</f>
        <v/>
      </c>
      <c r="CO260" s="18" t="str">
        <f>IF(CP260&lt;&gt;1,"",IF(CL260&lt;=0,0,MIN(CL260,MAX(0,CONTROL_PANEL!$B$13-CM260))))</f>
        <v/>
      </c>
      <c r="CP260" s="18"/>
    </row>
    <row r="261" spans="1:94" x14ac:dyDescent="0.25">
      <c r="A261" s="19">
        <f t="shared" si="175"/>
        <v>2037</v>
      </c>
      <c r="B261" s="19">
        <f t="shared" si="180"/>
        <v>2</v>
      </c>
      <c r="C261" s="18" t="str">
        <f t="shared" ref="C261:C324" si="185">IF(R261&lt;&gt;1,"",DAY(DATE(A261,B261+1,)))</f>
        <v/>
      </c>
      <c r="D261" s="18" t="str">
        <f t="shared" si="170"/>
        <v/>
      </c>
      <c r="E261" s="18" t="str">
        <f>IF(R260&lt;&gt;1,"",IF(O260&gt;0,IF(O260&gt;CONTROL_PANEL!$B$11,CONTROL_PANEL!$B$11,O260),0))</f>
        <v/>
      </c>
      <c r="F261" s="18" t="str">
        <f t="shared" si="165"/>
        <v/>
      </c>
      <c r="G261" s="18" t="str">
        <f>IF(R261&lt;&gt;1,"",DATA_INPUT!I261)</f>
        <v/>
      </c>
      <c r="H261" s="18" t="str">
        <f>IF(R261&lt;&gt;1,"",G261*CONTROL_PANEL!$B$5)</f>
        <v/>
      </c>
      <c r="I261" s="18" t="str">
        <f>IF(R261&lt;&gt;1,"",DATA_INPUT!C261)</f>
        <v/>
      </c>
      <c r="J261" s="18" t="str">
        <f t="shared" ref="J261:J324" si="186">IF(R261&lt;&gt;1,"",(I261*F261)/1000)</f>
        <v/>
      </c>
      <c r="K261" s="18" t="str">
        <f>IF(R261&lt;&gt;1,"",DATA_INPUT!H261)</f>
        <v/>
      </c>
      <c r="L261" s="18" t="str">
        <f t="shared" ref="L261:L324" si="187">IF(R261&lt;&gt;1,"",((K261*F261)/1000))</f>
        <v/>
      </c>
      <c r="M261" s="18" t="str">
        <f>IF(R261&lt;&gt;1,"",H261*CONTROL_PANEL!$B$14)</f>
        <v/>
      </c>
      <c r="N261" s="18" t="str">
        <f>IF(R261&lt;&gt;1,"",DATA_INPUT!K261)</f>
        <v/>
      </c>
      <c r="O261" s="18" t="str">
        <f t="shared" ref="O261:O324" si="188">IF(R261&lt;&gt;1,"",(E261+H261+J261)-(L261+N261+M261))</f>
        <v/>
      </c>
      <c r="P261" s="18" t="str">
        <f>IF(R261&lt;&gt;1,"",IF(O261-CONTROL_PANEL!$B$11&lt;0,0,O261-CONTROL_PANEL!$B$11))</f>
        <v/>
      </c>
      <c r="Q261" s="18" t="str">
        <f>IF(R261&lt;&gt;1,"",IF(N261&lt;=0,0,MIN(N261,MAX(0,CONTROL_PANEL!$B$13-O261))))</f>
        <v/>
      </c>
      <c r="R261" s="18"/>
      <c r="T261" s="19">
        <f t="shared" si="176"/>
        <v>2037</v>
      </c>
      <c r="U261" s="19">
        <f t="shared" si="181"/>
        <v>2</v>
      </c>
      <c r="V261" s="18" t="str">
        <f t="shared" ref="V261:V324" si="189">IF(AK261&lt;&gt;1,"",DAY(DATE(T261,U261+1,)))</f>
        <v/>
      </c>
      <c r="W261" s="18" t="str">
        <f t="shared" si="171"/>
        <v/>
      </c>
      <c r="X261" s="18" t="str">
        <f>IF(AK260&lt;&gt;1,"",IF(AH260&gt;0,IF(AH260&gt;CONTROL_PANEL!$B$11,CONTROL_PANEL!$B$11,AH260),0))</f>
        <v/>
      </c>
      <c r="Y261" s="18" t="str">
        <f t="shared" si="166"/>
        <v/>
      </c>
      <c r="Z261" s="18" t="str">
        <f>IF(AK261&lt;&gt;1,"",DATA_INPUT!I261)</f>
        <v/>
      </c>
      <c r="AA261" s="18" t="str">
        <f>IF(AK261&lt;&gt;1,"",Z261*CONTROL_PANEL!$B$5)</f>
        <v/>
      </c>
      <c r="AB261" s="18" t="str">
        <f>IF(AK261&lt;&gt;1,"",DATA_INPUT!$C261)</f>
        <v/>
      </c>
      <c r="AC261" s="18" t="str">
        <f t="shared" ref="AC261:AC324" si="190">IF(AK261&lt;&gt;1,"",(AB261*Y261)/1000)</f>
        <v/>
      </c>
      <c r="AD261" s="18" t="str">
        <f>IF(AK261&lt;&gt;1,"",DATA_INPUT!$H261)</f>
        <v/>
      </c>
      <c r="AE261" s="18" t="str">
        <f t="shared" ref="AE261:AE324" si="191">IF(AK261&lt;&gt;1,"",((AD261*Y261)/1000))</f>
        <v/>
      </c>
      <c r="AF261" s="18" t="str">
        <f>IF(AK261&lt;&gt;1,"",AA261*CONTROL_PANEL!$B$14)</f>
        <v/>
      </c>
      <c r="AG261" s="18" t="str">
        <f>IF(AK261&lt;&gt;1,"",DATA_INPUT!$L261)</f>
        <v/>
      </c>
      <c r="AH261" s="18" t="str">
        <f t="shared" ref="AH261:AH324" si="192">IF(AK261&lt;&gt;1,"",(X261+AA261+AC261)-(AE261+AG261+AF261))</f>
        <v/>
      </c>
      <c r="AI261" s="18" t="str">
        <f>IF(AK261&lt;&gt;1,"",IF(AH261-CONTROL_PANEL!$B$11&lt;0,0,AH261-CONTROL_PANEL!$B$11))</f>
        <v/>
      </c>
      <c r="AJ261" s="18" t="str">
        <f>IF(AK261&lt;&gt;1,"",IF(AG261&lt;=0,0,MIN(AG261,MAX(0,CONTROL_PANEL!$B$13-AH261))))</f>
        <v/>
      </c>
      <c r="AK261" s="18"/>
      <c r="AM261" s="19">
        <f t="shared" si="177"/>
        <v>2037</v>
      </c>
      <c r="AN261" s="19">
        <f t="shared" si="182"/>
        <v>2</v>
      </c>
      <c r="AO261" s="18" t="str">
        <f t="shared" ref="AO261:AO324" si="193">IF(BD261&lt;&gt;1,"",DAY(DATE(AM261,AN261+1,)))</f>
        <v/>
      </c>
      <c r="AP261" s="18" t="str">
        <f t="shared" si="172"/>
        <v/>
      </c>
      <c r="AQ261" s="18" t="str">
        <f>IF(BD260&lt;&gt;1,"",IF(BA260&gt;0,IF(BA260&gt;CONTROL_PANEL!$B$11,CONTROL_PANEL!$B$11,BA260),0))</f>
        <v/>
      </c>
      <c r="AR261" s="18" t="str">
        <f t="shared" si="167"/>
        <v/>
      </c>
      <c r="AS261" s="18" t="str">
        <f>IF(BD261&lt;&gt;1,"",DATA_INPUT!$I261)</f>
        <v/>
      </c>
      <c r="AT261" s="18" t="str">
        <f>IF(BD261&lt;&gt;1,"",AS261*CONTROL_PANEL!$B$5)</f>
        <v/>
      </c>
      <c r="AU261" s="18" t="str">
        <f>IF(BD261&lt;&gt;1,"",DATA_INPUT!$C261)</f>
        <v/>
      </c>
      <c r="AV261" s="18" t="str">
        <f t="shared" ref="AV261:AV324" si="194">IF(BD261&lt;&gt;1,"",(AU261*AR261)/1000)</f>
        <v/>
      </c>
      <c r="AW261" s="18" t="str">
        <f>IF(BD261&lt;&gt;1,"",DATA_INPUT!$H261)</f>
        <v/>
      </c>
      <c r="AX261" s="18" t="str">
        <f t="shared" ref="AX261:AX324" si="195">IF(BD261&lt;&gt;1,"",((AW261*AR261)/1000))</f>
        <v/>
      </c>
      <c r="AY261" s="18" t="str">
        <f>IF(BD261&lt;&gt;1,"",AT261*CONTROL_PANEL!$B$14)</f>
        <v/>
      </c>
      <c r="AZ261" s="18" t="str">
        <f>IF(BD261&lt;&gt;1,"",DATA_INPUT!$M261)</f>
        <v/>
      </c>
      <c r="BA261" s="18" t="str">
        <f t="shared" ref="BA261:BA324" si="196">IF(BD261&lt;&gt;1,"",(AQ261+AT261+AV261)-(AX261+AZ261+AY261))</f>
        <v/>
      </c>
      <c r="BB261" s="18" t="str">
        <f>IF(BD261&lt;&gt;1,"",IF(BA261-CONTROL_PANEL!$B$11&lt;0,0,BA261-CONTROL_PANEL!$B$11))</f>
        <v/>
      </c>
      <c r="BC261" s="18" t="str">
        <f>IF(BD261&lt;&gt;1,"",IF(AZ261&lt;=0,0,MIN(AZ261,MAX(0,CONTROL_PANEL!$B$13-BA261))))</f>
        <v/>
      </c>
      <c r="BD261" s="18"/>
      <c r="BF261" s="19">
        <f t="shared" si="178"/>
        <v>2037</v>
      </c>
      <c r="BG261" s="19">
        <f t="shared" si="183"/>
        <v>2</v>
      </c>
      <c r="BH261" s="18" t="str">
        <f t="shared" ref="BH261:BH324" si="197">IF(BW261&lt;&gt;1,"",DAY(DATE(BF261,BG261+1,)))</f>
        <v/>
      </c>
      <c r="BI261" s="18" t="str">
        <f t="shared" si="173"/>
        <v/>
      </c>
      <c r="BJ261" s="18" t="str">
        <f>IF(BW260&lt;&gt;1,"",IF(BT260&gt;0,IF(BT260&gt;CONTROL_PANEL!$B$11,CONTROL_PANEL!$B$11,BT260),0))</f>
        <v/>
      </c>
      <c r="BK261" s="18" t="str">
        <f t="shared" si="168"/>
        <v/>
      </c>
      <c r="BL261" s="18" t="str">
        <f>IF(BW261&lt;&gt;1,"",DATA_INPUT!$I261)</f>
        <v/>
      </c>
      <c r="BM261" s="18" t="str">
        <f>IF(BW261&lt;&gt;1,"",BL261*CONTROL_PANEL!$B$5)</f>
        <v/>
      </c>
      <c r="BN261" s="18" t="str">
        <f>IF(BW261&lt;&gt;1,"",DATA_INPUT!$C261)</f>
        <v/>
      </c>
      <c r="BO261" s="18" t="str">
        <f t="shared" ref="BO261:BO324" si="198">IF(BW261&lt;&gt;1,"",(BN261*BK261)/1000)</f>
        <v/>
      </c>
      <c r="BP261" s="18" t="str">
        <f>IF(BW261&lt;&gt;1,"",DATA_INPUT!$H261)</f>
        <v/>
      </c>
      <c r="BQ261" s="18" t="str">
        <f t="shared" ref="BQ261:BQ324" si="199">IF(BW261&lt;&gt;1,"",((BP261*BK261)/1000))</f>
        <v/>
      </c>
      <c r="BR261" s="18" t="str">
        <f>IF(BW261&lt;&gt;1,"",BM261*CONTROL_PANEL!$B$14)</f>
        <v/>
      </c>
      <c r="BS261" s="18" t="str">
        <f>IF(BW261&lt;&gt;1,"",DATA_INPUT!$N261)</f>
        <v/>
      </c>
      <c r="BT261" s="18" t="str">
        <f t="shared" ref="BT261:BT324" si="200">IF(BW261&lt;&gt;1,"",(BJ261+BM261+BO261)-(BQ261+BS261+BR261))</f>
        <v/>
      </c>
      <c r="BU261" s="18" t="str">
        <f>IF(BW261&lt;&gt;1,"",IF(BT261-CONTROL_PANEL!$B$11&lt;0,0,BT261-CONTROL_PANEL!$B$11))</f>
        <v/>
      </c>
      <c r="BV261" s="18" t="str">
        <f>IF(BW261&lt;&gt;1,"",IF(BS261&lt;=0,0,MIN(BS261,MAX(0,CONTROL_PANEL!$B$13-BT261))))</f>
        <v/>
      </c>
      <c r="BW261" s="18"/>
      <c r="BY261" s="19">
        <f t="shared" si="179"/>
        <v>2037</v>
      </c>
      <c r="BZ261" s="19">
        <f t="shared" si="184"/>
        <v>2</v>
      </c>
      <c r="CA261" s="18" t="str">
        <f t="shared" ref="CA261:CA324" si="201">IF(CP261&lt;&gt;1,"",DAY(DATE(BY261,BZ261+1,)))</f>
        <v/>
      </c>
      <c r="CB261" s="18" t="str">
        <f t="shared" si="174"/>
        <v/>
      </c>
      <c r="CC261" s="18" t="str">
        <f>IF(CP260&lt;&gt;1,"",IF(CM260&gt;0,IF(CM260&gt;CONTROL_PANEL!$B$11,CONTROL_PANEL!$B$11,CM260),0))</f>
        <v/>
      </c>
      <c r="CD261" s="18" t="str">
        <f t="shared" si="169"/>
        <v/>
      </c>
      <c r="CE261" s="18" t="str">
        <f>IF(CP261&lt;&gt;1,"",DATA_INPUT!$I261)</f>
        <v/>
      </c>
      <c r="CF261" s="18" t="str">
        <f>IF(CP261&lt;&gt;1,"",CE261*CONTROL_PANEL!$B$5)</f>
        <v/>
      </c>
      <c r="CG261" s="18" t="str">
        <f>IF(CP261&lt;&gt;1,"",DATA_INPUT!$C261)</f>
        <v/>
      </c>
      <c r="CH261" s="18" t="str">
        <f t="shared" ref="CH261:CH324" si="202">IF(CP261&lt;&gt;1,"",(CG261*CD261)/1000)</f>
        <v/>
      </c>
      <c r="CI261" s="18" t="str">
        <f>IF(CP261&lt;&gt;1,"",DATA_INPUT!$H261)</f>
        <v/>
      </c>
      <c r="CJ261" s="18" t="str">
        <f t="shared" ref="CJ261:CJ324" si="203">IF(CP261&lt;&gt;1,"",((CI261*CD261)/1000))</f>
        <v/>
      </c>
      <c r="CK261" s="18" t="str">
        <f>IF(CP261&lt;&gt;1,"",CF261*CONTROL_PANEL!$B$14)</f>
        <v/>
      </c>
      <c r="CL261" s="18" t="str">
        <f>IF(CP261&lt;&gt;1,"",DATA_INPUT!$O261)</f>
        <v/>
      </c>
      <c r="CM261" s="18" t="str">
        <f t="shared" ref="CM261:CM324" si="204">IF(CP261&lt;&gt;1,"",(CC261+CF261+CH261)-(CJ261+CL261+CK261))</f>
        <v/>
      </c>
      <c r="CN261" s="18" t="str">
        <f>IF(CP261&lt;&gt;1,"",IF(CM261-CONTROL_PANEL!$B$11&lt;0,0,CM261-CONTROL_PANEL!$B$11))</f>
        <v/>
      </c>
      <c r="CO261" s="18" t="str">
        <f>IF(CP261&lt;&gt;1,"",IF(CL261&lt;=0,0,MIN(CL261,MAX(0,CONTROL_PANEL!$B$13-CM261))))</f>
        <v/>
      </c>
      <c r="CP261" s="18"/>
    </row>
    <row r="262" spans="1:94" x14ac:dyDescent="0.25">
      <c r="A262" s="19">
        <f t="shared" si="175"/>
        <v>2037</v>
      </c>
      <c r="B262" s="19">
        <f t="shared" si="180"/>
        <v>3</v>
      </c>
      <c r="C262" s="18" t="str">
        <f t="shared" si="185"/>
        <v/>
      </c>
      <c r="D262" s="18" t="str">
        <f t="shared" si="170"/>
        <v/>
      </c>
      <c r="E262" s="18" t="str">
        <f>IF(R261&lt;&gt;1,"",IF(O261&gt;0,IF(O261&gt;CONTROL_PANEL!$B$11,CONTROL_PANEL!$B$11,O261),0))</f>
        <v/>
      </c>
      <c r="F262" s="18" t="str">
        <f t="shared" si="165"/>
        <v/>
      </c>
      <c r="G262" s="18" t="str">
        <f>IF(R262&lt;&gt;1,"",DATA_INPUT!I262)</f>
        <v/>
      </c>
      <c r="H262" s="18" t="str">
        <f>IF(R262&lt;&gt;1,"",G262*CONTROL_PANEL!$B$5)</f>
        <v/>
      </c>
      <c r="I262" s="18" t="str">
        <f>IF(R262&lt;&gt;1,"",DATA_INPUT!C262)</f>
        <v/>
      </c>
      <c r="J262" s="18" t="str">
        <f t="shared" si="186"/>
        <v/>
      </c>
      <c r="K262" s="18" t="str">
        <f>IF(R262&lt;&gt;1,"",DATA_INPUT!H262)</f>
        <v/>
      </c>
      <c r="L262" s="18" t="str">
        <f t="shared" si="187"/>
        <v/>
      </c>
      <c r="M262" s="18" t="str">
        <f>IF(R262&lt;&gt;1,"",H262*CONTROL_PANEL!$B$14)</f>
        <v/>
      </c>
      <c r="N262" s="18" t="str">
        <f>IF(R262&lt;&gt;1,"",DATA_INPUT!K262)</f>
        <v/>
      </c>
      <c r="O262" s="18" t="str">
        <f t="shared" si="188"/>
        <v/>
      </c>
      <c r="P262" s="18" t="str">
        <f>IF(R262&lt;&gt;1,"",IF(O262-CONTROL_PANEL!$B$11&lt;0,0,O262-CONTROL_PANEL!$B$11))</f>
        <v/>
      </c>
      <c r="Q262" s="18" t="str">
        <f>IF(R262&lt;&gt;1,"",IF(N262&lt;=0,0,MIN(N262,MAX(0,CONTROL_PANEL!$B$13-O262))))</f>
        <v/>
      </c>
      <c r="R262" s="18"/>
      <c r="T262" s="19">
        <f t="shared" si="176"/>
        <v>2037</v>
      </c>
      <c r="U262" s="19">
        <f t="shared" si="181"/>
        <v>3</v>
      </c>
      <c r="V262" s="18" t="str">
        <f t="shared" si="189"/>
        <v/>
      </c>
      <c r="W262" s="18" t="str">
        <f t="shared" si="171"/>
        <v/>
      </c>
      <c r="X262" s="18" t="str">
        <f>IF(AK261&lt;&gt;1,"",IF(AH261&gt;0,IF(AH261&gt;CONTROL_PANEL!$B$11,CONTROL_PANEL!$B$11,AH261),0))</f>
        <v/>
      </c>
      <c r="Y262" s="18" t="str">
        <f t="shared" si="166"/>
        <v/>
      </c>
      <c r="Z262" s="18" t="str">
        <f>IF(AK262&lt;&gt;1,"",DATA_INPUT!I262)</f>
        <v/>
      </c>
      <c r="AA262" s="18" t="str">
        <f>IF(AK262&lt;&gt;1,"",Z262*CONTROL_PANEL!$B$5)</f>
        <v/>
      </c>
      <c r="AB262" s="18" t="str">
        <f>IF(AK262&lt;&gt;1,"",DATA_INPUT!$C262)</f>
        <v/>
      </c>
      <c r="AC262" s="18" t="str">
        <f t="shared" si="190"/>
        <v/>
      </c>
      <c r="AD262" s="18" t="str">
        <f>IF(AK262&lt;&gt;1,"",DATA_INPUT!$H262)</f>
        <v/>
      </c>
      <c r="AE262" s="18" t="str">
        <f t="shared" si="191"/>
        <v/>
      </c>
      <c r="AF262" s="18" t="str">
        <f>IF(AK262&lt;&gt;1,"",AA262*CONTROL_PANEL!$B$14)</f>
        <v/>
      </c>
      <c r="AG262" s="18" t="str">
        <f>IF(AK262&lt;&gt;1,"",DATA_INPUT!$L262)</f>
        <v/>
      </c>
      <c r="AH262" s="18" t="str">
        <f t="shared" si="192"/>
        <v/>
      </c>
      <c r="AI262" s="18" t="str">
        <f>IF(AK262&lt;&gt;1,"",IF(AH262-CONTROL_PANEL!$B$11&lt;0,0,AH262-CONTROL_PANEL!$B$11))</f>
        <v/>
      </c>
      <c r="AJ262" s="18" t="str">
        <f>IF(AK262&lt;&gt;1,"",IF(AG262&lt;=0,0,MIN(AG262,MAX(0,CONTROL_PANEL!$B$13-AH262))))</f>
        <v/>
      </c>
      <c r="AK262" s="18"/>
      <c r="AM262" s="19">
        <f t="shared" si="177"/>
        <v>2037</v>
      </c>
      <c r="AN262" s="19">
        <f t="shared" si="182"/>
        <v>3</v>
      </c>
      <c r="AO262" s="18" t="str">
        <f t="shared" si="193"/>
        <v/>
      </c>
      <c r="AP262" s="18" t="str">
        <f t="shared" si="172"/>
        <v/>
      </c>
      <c r="AQ262" s="18" t="str">
        <f>IF(BD261&lt;&gt;1,"",IF(BA261&gt;0,IF(BA261&gt;CONTROL_PANEL!$B$11,CONTROL_PANEL!$B$11,BA261),0))</f>
        <v/>
      </c>
      <c r="AR262" s="18" t="str">
        <f t="shared" si="167"/>
        <v/>
      </c>
      <c r="AS262" s="18" t="str">
        <f>IF(BD262&lt;&gt;1,"",DATA_INPUT!$I262)</f>
        <v/>
      </c>
      <c r="AT262" s="18" t="str">
        <f>IF(BD262&lt;&gt;1,"",AS262*CONTROL_PANEL!$B$5)</f>
        <v/>
      </c>
      <c r="AU262" s="18" t="str">
        <f>IF(BD262&lt;&gt;1,"",DATA_INPUT!$C262)</f>
        <v/>
      </c>
      <c r="AV262" s="18" t="str">
        <f t="shared" si="194"/>
        <v/>
      </c>
      <c r="AW262" s="18" t="str">
        <f>IF(BD262&lt;&gt;1,"",DATA_INPUT!$H262)</f>
        <v/>
      </c>
      <c r="AX262" s="18" t="str">
        <f t="shared" si="195"/>
        <v/>
      </c>
      <c r="AY262" s="18" t="str">
        <f>IF(BD262&lt;&gt;1,"",AT262*CONTROL_PANEL!$B$14)</f>
        <v/>
      </c>
      <c r="AZ262" s="18" t="str">
        <f>IF(BD262&lt;&gt;1,"",DATA_INPUT!$M262)</f>
        <v/>
      </c>
      <c r="BA262" s="18" t="str">
        <f t="shared" si="196"/>
        <v/>
      </c>
      <c r="BB262" s="18" t="str">
        <f>IF(BD262&lt;&gt;1,"",IF(BA262-CONTROL_PANEL!$B$11&lt;0,0,BA262-CONTROL_PANEL!$B$11))</f>
        <v/>
      </c>
      <c r="BC262" s="18" t="str">
        <f>IF(BD262&lt;&gt;1,"",IF(AZ262&lt;=0,0,MIN(AZ262,MAX(0,CONTROL_PANEL!$B$13-BA262))))</f>
        <v/>
      </c>
      <c r="BD262" s="18"/>
      <c r="BF262" s="19">
        <f t="shared" si="178"/>
        <v>2037</v>
      </c>
      <c r="BG262" s="19">
        <f t="shared" si="183"/>
        <v>3</v>
      </c>
      <c r="BH262" s="18" t="str">
        <f t="shared" si="197"/>
        <v/>
      </c>
      <c r="BI262" s="18" t="str">
        <f t="shared" si="173"/>
        <v/>
      </c>
      <c r="BJ262" s="18" t="str">
        <f>IF(BW261&lt;&gt;1,"",IF(BT261&gt;0,IF(BT261&gt;CONTROL_PANEL!$B$11,CONTROL_PANEL!$B$11,BT261),0))</f>
        <v/>
      </c>
      <c r="BK262" s="18" t="str">
        <f t="shared" si="168"/>
        <v/>
      </c>
      <c r="BL262" s="18" t="str">
        <f>IF(BW262&lt;&gt;1,"",DATA_INPUT!$I262)</f>
        <v/>
      </c>
      <c r="BM262" s="18" t="str">
        <f>IF(BW262&lt;&gt;1,"",BL262*CONTROL_PANEL!$B$5)</f>
        <v/>
      </c>
      <c r="BN262" s="18" t="str">
        <f>IF(BW262&lt;&gt;1,"",DATA_INPUT!$C262)</f>
        <v/>
      </c>
      <c r="BO262" s="18" t="str">
        <f t="shared" si="198"/>
        <v/>
      </c>
      <c r="BP262" s="18" t="str">
        <f>IF(BW262&lt;&gt;1,"",DATA_INPUT!$H262)</f>
        <v/>
      </c>
      <c r="BQ262" s="18" t="str">
        <f t="shared" si="199"/>
        <v/>
      </c>
      <c r="BR262" s="18" t="str">
        <f>IF(BW262&lt;&gt;1,"",BM262*CONTROL_PANEL!$B$14)</f>
        <v/>
      </c>
      <c r="BS262" s="18" t="str">
        <f>IF(BW262&lt;&gt;1,"",DATA_INPUT!$N262)</f>
        <v/>
      </c>
      <c r="BT262" s="18" t="str">
        <f t="shared" si="200"/>
        <v/>
      </c>
      <c r="BU262" s="18" t="str">
        <f>IF(BW262&lt;&gt;1,"",IF(BT262-CONTROL_PANEL!$B$11&lt;0,0,BT262-CONTROL_PANEL!$B$11))</f>
        <v/>
      </c>
      <c r="BV262" s="18" t="str">
        <f>IF(BW262&lt;&gt;1,"",IF(BS262&lt;=0,0,MIN(BS262,MAX(0,CONTROL_PANEL!$B$13-BT262))))</f>
        <v/>
      </c>
      <c r="BW262" s="18"/>
      <c r="BY262" s="19">
        <f t="shared" si="179"/>
        <v>2037</v>
      </c>
      <c r="BZ262" s="19">
        <f t="shared" si="184"/>
        <v>3</v>
      </c>
      <c r="CA262" s="18" t="str">
        <f t="shared" si="201"/>
        <v/>
      </c>
      <c r="CB262" s="18" t="str">
        <f t="shared" si="174"/>
        <v/>
      </c>
      <c r="CC262" s="18" t="str">
        <f>IF(CP261&lt;&gt;1,"",IF(CM261&gt;0,IF(CM261&gt;CONTROL_PANEL!$B$11,CONTROL_PANEL!$B$11,CM261),0))</f>
        <v/>
      </c>
      <c r="CD262" s="18" t="str">
        <f t="shared" si="169"/>
        <v/>
      </c>
      <c r="CE262" s="18" t="str">
        <f>IF(CP262&lt;&gt;1,"",DATA_INPUT!$I262)</f>
        <v/>
      </c>
      <c r="CF262" s="18" t="str">
        <f>IF(CP262&lt;&gt;1,"",CE262*CONTROL_PANEL!$B$5)</f>
        <v/>
      </c>
      <c r="CG262" s="18" t="str">
        <f>IF(CP262&lt;&gt;1,"",DATA_INPUT!$C262)</f>
        <v/>
      </c>
      <c r="CH262" s="18" t="str">
        <f t="shared" si="202"/>
        <v/>
      </c>
      <c r="CI262" s="18" t="str">
        <f>IF(CP262&lt;&gt;1,"",DATA_INPUT!$H262)</f>
        <v/>
      </c>
      <c r="CJ262" s="18" t="str">
        <f t="shared" si="203"/>
        <v/>
      </c>
      <c r="CK262" s="18" t="str">
        <f>IF(CP262&lt;&gt;1,"",CF262*CONTROL_PANEL!$B$14)</f>
        <v/>
      </c>
      <c r="CL262" s="18" t="str">
        <f>IF(CP262&lt;&gt;1,"",DATA_INPUT!$O262)</f>
        <v/>
      </c>
      <c r="CM262" s="18" t="str">
        <f t="shared" si="204"/>
        <v/>
      </c>
      <c r="CN262" s="18" t="str">
        <f>IF(CP262&lt;&gt;1,"",IF(CM262-CONTROL_PANEL!$B$11&lt;0,0,CM262-CONTROL_PANEL!$B$11))</f>
        <v/>
      </c>
      <c r="CO262" s="18" t="str">
        <f>IF(CP262&lt;&gt;1,"",IF(CL262&lt;=0,0,MIN(CL262,MAX(0,CONTROL_PANEL!$B$13-CM262))))</f>
        <v/>
      </c>
      <c r="CP262" s="18"/>
    </row>
    <row r="263" spans="1:94" x14ac:dyDescent="0.25">
      <c r="A263" s="19">
        <f t="shared" si="175"/>
        <v>2037</v>
      </c>
      <c r="B263" s="19">
        <f t="shared" si="180"/>
        <v>4</v>
      </c>
      <c r="C263" s="18" t="str">
        <f t="shared" si="185"/>
        <v/>
      </c>
      <c r="D263" s="18" t="str">
        <f t="shared" si="170"/>
        <v/>
      </c>
      <c r="E263" s="18" t="str">
        <f>IF(R262&lt;&gt;1,"",IF(O262&gt;0,IF(O262&gt;CONTROL_PANEL!$B$11,CONTROL_PANEL!$B$11,O262),0))</f>
        <v/>
      </c>
      <c r="F263" s="18" t="str">
        <f t="shared" si="165"/>
        <v/>
      </c>
      <c r="G263" s="18" t="str">
        <f>IF(R263&lt;&gt;1,"",DATA_INPUT!I263)</f>
        <v/>
      </c>
      <c r="H263" s="18" t="str">
        <f>IF(R263&lt;&gt;1,"",G263*CONTROL_PANEL!$B$5)</f>
        <v/>
      </c>
      <c r="I263" s="18" t="str">
        <f>IF(R263&lt;&gt;1,"",DATA_INPUT!C263)</f>
        <v/>
      </c>
      <c r="J263" s="18" t="str">
        <f t="shared" si="186"/>
        <v/>
      </c>
      <c r="K263" s="18" t="str">
        <f>IF(R263&lt;&gt;1,"",DATA_INPUT!H263)</f>
        <v/>
      </c>
      <c r="L263" s="18" t="str">
        <f t="shared" si="187"/>
        <v/>
      </c>
      <c r="M263" s="18" t="str">
        <f>IF(R263&lt;&gt;1,"",H263*CONTROL_PANEL!$B$14)</f>
        <v/>
      </c>
      <c r="N263" s="18" t="str">
        <f>IF(R263&lt;&gt;1,"",DATA_INPUT!K263)</f>
        <v/>
      </c>
      <c r="O263" s="18" t="str">
        <f t="shared" si="188"/>
        <v/>
      </c>
      <c r="P263" s="18" t="str">
        <f>IF(R263&lt;&gt;1,"",IF(O263-CONTROL_PANEL!$B$11&lt;0,0,O263-CONTROL_PANEL!$B$11))</f>
        <v/>
      </c>
      <c r="Q263" s="18" t="str">
        <f>IF(R263&lt;&gt;1,"",IF(N263&lt;=0,0,MIN(N263,MAX(0,CONTROL_PANEL!$B$13-O263))))</f>
        <v/>
      </c>
      <c r="R263" s="18"/>
      <c r="T263" s="19">
        <f t="shared" si="176"/>
        <v>2037</v>
      </c>
      <c r="U263" s="19">
        <f t="shared" si="181"/>
        <v>4</v>
      </c>
      <c r="V263" s="18" t="str">
        <f t="shared" si="189"/>
        <v/>
      </c>
      <c r="W263" s="18" t="str">
        <f t="shared" si="171"/>
        <v/>
      </c>
      <c r="X263" s="18" t="str">
        <f>IF(AK262&lt;&gt;1,"",IF(AH262&gt;0,IF(AH262&gt;CONTROL_PANEL!$B$11,CONTROL_PANEL!$B$11,AH262),0))</f>
        <v/>
      </c>
      <c r="Y263" s="18" t="str">
        <f t="shared" si="166"/>
        <v/>
      </c>
      <c r="Z263" s="18" t="str">
        <f>IF(AK263&lt;&gt;1,"",DATA_INPUT!I263)</f>
        <v/>
      </c>
      <c r="AA263" s="18" t="str">
        <f>IF(AK263&lt;&gt;1,"",Z263*CONTROL_PANEL!$B$5)</f>
        <v/>
      </c>
      <c r="AB263" s="18" t="str">
        <f>IF(AK263&lt;&gt;1,"",DATA_INPUT!$C263)</f>
        <v/>
      </c>
      <c r="AC263" s="18" t="str">
        <f t="shared" si="190"/>
        <v/>
      </c>
      <c r="AD263" s="18" t="str">
        <f>IF(AK263&lt;&gt;1,"",DATA_INPUT!$H263)</f>
        <v/>
      </c>
      <c r="AE263" s="18" t="str">
        <f t="shared" si="191"/>
        <v/>
      </c>
      <c r="AF263" s="18" t="str">
        <f>IF(AK263&lt;&gt;1,"",AA263*CONTROL_PANEL!$B$14)</f>
        <v/>
      </c>
      <c r="AG263" s="18" t="str">
        <f>IF(AK263&lt;&gt;1,"",DATA_INPUT!$L263)</f>
        <v/>
      </c>
      <c r="AH263" s="18" t="str">
        <f t="shared" si="192"/>
        <v/>
      </c>
      <c r="AI263" s="18" t="str">
        <f>IF(AK263&lt;&gt;1,"",IF(AH263-CONTROL_PANEL!$B$11&lt;0,0,AH263-CONTROL_PANEL!$B$11))</f>
        <v/>
      </c>
      <c r="AJ263" s="18" t="str">
        <f>IF(AK263&lt;&gt;1,"",IF(AG263&lt;=0,0,MIN(AG263,MAX(0,CONTROL_PANEL!$B$13-AH263))))</f>
        <v/>
      </c>
      <c r="AK263" s="18"/>
      <c r="AM263" s="19">
        <f t="shared" si="177"/>
        <v>2037</v>
      </c>
      <c r="AN263" s="19">
        <f t="shared" si="182"/>
        <v>4</v>
      </c>
      <c r="AO263" s="18" t="str">
        <f t="shared" si="193"/>
        <v/>
      </c>
      <c r="AP263" s="18" t="str">
        <f t="shared" si="172"/>
        <v/>
      </c>
      <c r="AQ263" s="18" t="str">
        <f>IF(BD262&lt;&gt;1,"",IF(BA262&gt;0,IF(BA262&gt;CONTROL_PANEL!$B$11,CONTROL_PANEL!$B$11,BA262),0))</f>
        <v/>
      </c>
      <c r="AR263" s="18" t="str">
        <f t="shared" si="167"/>
        <v/>
      </c>
      <c r="AS263" s="18" t="str">
        <f>IF(BD263&lt;&gt;1,"",DATA_INPUT!$I263)</f>
        <v/>
      </c>
      <c r="AT263" s="18" t="str">
        <f>IF(BD263&lt;&gt;1,"",AS263*CONTROL_PANEL!$B$5)</f>
        <v/>
      </c>
      <c r="AU263" s="18" t="str">
        <f>IF(BD263&lt;&gt;1,"",DATA_INPUT!$C263)</f>
        <v/>
      </c>
      <c r="AV263" s="18" t="str">
        <f t="shared" si="194"/>
        <v/>
      </c>
      <c r="AW263" s="18" t="str">
        <f>IF(BD263&lt;&gt;1,"",DATA_INPUT!$H263)</f>
        <v/>
      </c>
      <c r="AX263" s="18" t="str">
        <f t="shared" si="195"/>
        <v/>
      </c>
      <c r="AY263" s="18" t="str">
        <f>IF(BD263&lt;&gt;1,"",AT263*CONTROL_PANEL!$B$14)</f>
        <v/>
      </c>
      <c r="AZ263" s="18" t="str">
        <f>IF(BD263&lt;&gt;1,"",DATA_INPUT!$M263)</f>
        <v/>
      </c>
      <c r="BA263" s="18" t="str">
        <f t="shared" si="196"/>
        <v/>
      </c>
      <c r="BB263" s="18" t="str">
        <f>IF(BD263&lt;&gt;1,"",IF(BA263-CONTROL_PANEL!$B$11&lt;0,0,BA263-CONTROL_PANEL!$B$11))</f>
        <v/>
      </c>
      <c r="BC263" s="18" t="str">
        <f>IF(BD263&lt;&gt;1,"",IF(AZ263&lt;=0,0,MIN(AZ263,MAX(0,CONTROL_PANEL!$B$13-BA263))))</f>
        <v/>
      </c>
      <c r="BD263" s="18"/>
      <c r="BF263" s="19">
        <f t="shared" si="178"/>
        <v>2037</v>
      </c>
      <c r="BG263" s="19">
        <f t="shared" si="183"/>
        <v>4</v>
      </c>
      <c r="BH263" s="18" t="str">
        <f t="shared" si="197"/>
        <v/>
      </c>
      <c r="BI263" s="18" t="str">
        <f t="shared" si="173"/>
        <v/>
      </c>
      <c r="BJ263" s="18" t="str">
        <f>IF(BW262&lt;&gt;1,"",IF(BT262&gt;0,IF(BT262&gt;CONTROL_PANEL!$B$11,CONTROL_PANEL!$B$11,BT262),0))</f>
        <v/>
      </c>
      <c r="BK263" s="18" t="str">
        <f t="shared" si="168"/>
        <v/>
      </c>
      <c r="BL263" s="18" t="str">
        <f>IF(BW263&lt;&gt;1,"",DATA_INPUT!$I263)</f>
        <v/>
      </c>
      <c r="BM263" s="18" t="str">
        <f>IF(BW263&lt;&gt;1,"",BL263*CONTROL_PANEL!$B$5)</f>
        <v/>
      </c>
      <c r="BN263" s="18" t="str">
        <f>IF(BW263&lt;&gt;1,"",DATA_INPUT!$C263)</f>
        <v/>
      </c>
      <c r="BO263" s="18" t="str">
        <f t="shared" si="198"/>
        <v/>
      </c>
      <c r="BP263" s="18" t="str">
        <f>IF(BW263&lt;&gt;1,"",DATA_INPUT!$H263)</f>
        <v/>
      </c>
      <c r="BQ263" s="18" t="str">
        <f t="shared" si="199"/>
        <v/>
      </c>
      <c r="BR263" s="18" t="str">
        <f>IF(BW263&lt;&gt;1,"",BM263*CONTROL_PANEL!$B$14)</f>
        <v/>
      </c>
      <c r="BS263" s="18" t="str">
        <f>IF(BW263&lt;&gt;1,"",DATA_INPUT!$N263)</f>
        <v/>
      </c>
      <c r="BT263" s="18" t="str">
        <f t="shared" si="200"/>
        <v/>
      </c>
      <c r="BU263" s="18" t="str">
        <f>IF(BW263&lt;&gt;1,"",IF(BT263-CONTROL_PANEL!$B$11&lt;0,0,BT263-CONTROL_PANEL!$B$11))</f>
        <v/>
      </c>
      <c r="BV263" s="18" t="str">
        <f>IF(BW263&lt;&gt;1,"",IF(BS263&lt;=0,0,MIN(BS263,MAX(0,CONTROL_PANEL!$B$13-BT263))))</f>
        <v/>
      </c>
      <c r="BW263" s="18"/>
      <c r="BY263" s="19">
        <f t="shared" si="179"/>
        <v>2037</v>
      </c>
      <c r="BZ263" s="19">
        <f t="shared" si="184"/>
        <v>4</v>
      </c>
      <c r="CA263" s="18" t="str">
        <f t="shared" si="201"/>
        <v/>
      </c>
      <c r="CB263" s="18" t="str">
        <f t="shared" si="174"/>
        <v/>
      </c>
      <c r="CC263" s="18" t="str">
        <f>IF(CP262&lt;&gt;1,"",IF(CM262&gt;0,IF(CM262&gt;CONTROL_PANEL!$B$11,CONTROL_PANEL!$B$11,CM262),0))</f>
        <v/>
      </c>
      <c r="CD263" s="18" t="str">
        <f t="shared" si="169"/>
        <v/>
      </c>
      <c r="CE263" s="18" t="str">
        <f>IF(CP263&lt;&gt;1,"",DATA_INPUT!$I263)</f>
        <v/>
      </c>
      <c r="CF263" s="18" t="str">
        <f>IF(CP263&lt;&gt;1,"",CE263*CONTROL_PANEL!$B$5)</f>
        <v/>
      </c>
      <c r="CG263" s="18" t="str">
        <f>IF(CP263&lt;&gt;1,"",DATA_INPUT!$C263)</f>
        <v/>
      </c>
      <c r="CH263" s="18" t="str">
        <f t="shared" si="202"/>
        <v/>
      </c>
      <c r="CI263" s="18" t="str">
        <f>IF(CP263&lt;&gt;1,"",DATA_INPUT!$H263)</f>
        <v/>
      </c>
      <c r="CJ263" s="18" t="str">
        <f t="shared" si="203"/>
        <v/>
      </c>
      <c r="CK263" s="18" t="str">
        <f>IF(CP263&lt;&gt;1,"",CF263*CONTROL_PANEL!$B$14)</f>
        <v/>
      </c>
      <c r="CL263" s="18" t="str">
        <f>IF(CP263&lt;&gt;1,"",DATA_INPUT!$O263)</f>
        <v/>
      </c>
      <c r="CM263" s="18" t="str">
        <f t="shared" si="204"/>
        <v/>
      </c>
      <c r="CN263" s="18" t="str">
        <f>IF(CP263&lt;&gt;1,"",IF(CM263-CONTROL_PANEL!$B$11&lt;0,0,CM263-CONTROL_PANEL!$B$11))</f>
        <v/>
      </c>
      <c r="CO263" s="18" t="str">
        <f>IF(CP263&lt;&gt;1,"",IF(CL263&lt;=0,0,MIN(CL263,MAX(0,CONTROL_PANEL!$B$13-CM263))))</f>
        <v/>
      </c>
      <c r="CP263" s="18"/>
    </row>
    <row r="264" spans="1:94" x14ac:dyDescent="0.25">
      <c r="A264" s="19">
        <f t="shared" si="175"/>
        <v>2037</v>
      </c>
      <c r="B264" s="19">
        <f t="shared" si="180"/>
        <v>5</v>
      </c>
      <c r="C264" s="18" t="str">
        <f t="shared" si="185"/>
        <v/>
      </c>
      <c r="D264" s="18" t="str">
        <f t="shared" si="170"/>
        <v/>
      </c>
      <c r="E264" s="18" t="str">
        <f>IF(R263&lt;&gt;1,"",IF(O263&gt;0,IF(O263&gt;CONTROL_PANEL!$B$11,CONTROL_PANEL!$B$11,O263),0))</f>
        <v/>
      </c>
      <c r="F264" s="18" t="str">
        <f t="shared" ref="F264:F327" si="205">IF(R264&lt;&gt;1,"",0.6*(D264-235)^2.02*10000)</f>
        <v/>
      </c>
      <c r="G264" s="18" t="str">
        <f>IF(R264&lt;&gt;1,"",DATA_INPUT!I264)</f>
        <v/>
      </c>
      <c r="H264" s="18" t="str">
        <f>IF(R264&lt;&gt;1,"",G264*CONTROL_PANEL!$B$5)</f>
        <v/>
      </c>
      <c r="I264" s="18" t="str">
        <f>IF(R264&lt;&gt;1,"",DATA_INPUT!C264)</f>
        <v/>
      </c>
      <c r="J264" s="18" t="str">
        <f t="shared" si="186"/>
        <v/>
      </c>
      <c r="K264" s="18" t="str">
        <f>IF(R264&lt;&gt;1,"",DATA_INPUT!H264)</f>
        <v/>
      </c>
      <c r="L264" s="18" t="str">
        <f t="shared" si="187"/>
        <v/>
      </c>
      <c r="M264" s="18" t="str">
        <f>IF(R264&lt;&gt;1,"",H264*CONTROL_PANEL!$B$14)</f>
        <v/>
      </c>
      <c r="N264" s="18" t="str">
        <f>IF(R264&lt;&gt;1,"",DATA_INPUT!K264)</f>
        <v/>
      </c>
      <c r="O264" s="18" t="str">
        <f t="shared" si="188"/>
        <v/>
      </c>
      <c r="P264" s="18" t="str">
        <f>IF(R264&lt;&gt;1,"",IF(O264-CONTROL_PANEL!$B$11&lt;0,0,O264-CONTROL_PANEL!$B$11))</f>
        <v/>
      </c>
      <c r="Q264" s="18" t="str">
        <f>IF(R264&lt;&gt;1,"",IF(N264&lt;=0,0,MIN(N264,MAX(0,CONTROL_PANEL!$B$13-O264))))</f>
        <v/>
      </c>
      <c r="R264" s="18"/>
      <c r="T264" s="19">
        <f t="shared" si="176"/>
        <v>2037</v>
      </c>
      <c r="U264" s="19">
        <f t="shared" si="181"/>
        <v>5</v>
      </c>
      <c r="V264" s="18" t="str">
        <f t="shared" si="189"/>
        <v/>
      </c>
      <c r="W264" s="18" t="str">
        <f t="shared" si="171"/>
        <v/>
      </c>
      <c r="X264" s="18" t="str">
        <f>IF(AK263&lt;&gt;1,"",IF(AH263&gt;0,IF(AH263&gt;CONTROL_PANEL!$B$11,CONTROL_PANEL!$B$11,AH263),0))</f>
        <v/>
      </c>
      <c r="Y264" s="18" t="str">
        <f t="shared" ref="Y264:Y327" si="206">IF(AK264&lt;&gt;1,"",0.6*(W264-235)^2.02*10000)</f>
        <v/>
      </c>
      <c r="Z264" s="18" t="str">
        <f>IF(AK264&lt;&gt;1,"",DATA_INPUT!I264)</f>
        <v/>
      </c>
      <c r="AA264" s="18" t="str">
        <f>IF(AK264&lt;&gt;1,"",Z264*CONTROL_PANEL!$B$5)</f>
        <v/>
      </c>
      <c r="AB264" s="18" t="str">
        <f>IF(AK264&lt;&gt;1,"",DATA_INPUT!$C264)</f>
        <v/>
      </c>
      <c r="AC264" s="18" t="str">
        <f t="shared" si="190"/>
        <v/>
      </c>
      <c r="AD264" s="18" t="str">
        <f>IF(AK264&lt;&gt;1,"",DATA_INPUT!$H264)</f>
        <v/>
      </c>
      <c r="AE264" s="18" t="str">
        <f t="shared" si="191"/>
        <v/>
      </c>
      <c r="AF264" s="18" t="str">
        <f>IF(AK264&lt;&gt;1,"",AA264*CONTROL_PANEL!$B$14)</f>
        <v/>
      </c>
      <c r="AG264" s="18" t="str">
        <f>IF(AK264&lt;&gt;1,"",DATA_INPUT!$L264)</f>
        <v/>
      </c>
      <c r="AH264" s="18" t="str">
        <f t="shared" si="192"/>
        <v/>
      </c>
      <c r="AI264" s="18" t="str">
        <f>IF(AK264&lt;&gt;1,"",IF(AH264-CONTROL_PANEL!$B$11&lt;0,0,AH264-CONTROL_PANEL!$B$11))</f>
        <v/>
      </c>
      <c r="AJ264" s="18" t="str">
        <f>IF(AK264&lt;&gt;1,"",IF(AG264&lt;=0,0,MIN(AG264,MAX(0,CONTROL_PANEL!$B$13-AH264))))</f>
        <v/>
      </c>
      <c r="AK264" s="18"/>
      <c r="AM264" s="19">
        <f t="shared" si="177"/>
        <v>2037</v>
      </c>
      <c r="AN264" s="19">
        <f t="shared" si="182"/>
        <v>5</v>
      </c>
      <c r="AO264" s="18" t="str">
        <f t="shared" si="193"/>
        <v/>
      </c>
      <c r="AP264" s="18" t="str">
        <f t="shared" si="172"/>
        <v/>
      </c>
      <c r="AQ264" s="18" t="str">
        <f>IF(BD263&lt;&gt;1,"",IF(BA263&gt;0,IF(BA263&gt;CONTROL_PANEL!$B$11,CONTROL_PANEL!$B$11,BA263),0))</f>
        <v/>
      </c>
      <c r="AR264" s="18" t="str">
        <f t="shared" ref="AR264:AR327" si="207">IF(BD264&lt;&gt;1,"",0.6*(AP264-235)^2.02*10000)</f>
        <v/>
      </c>
      <c r="AS264" s="18" t="str">
        <f>IF(BD264&lt;&gt;1,"",DATA_INPUT!$I264)</f>
        <v/>
      </c>
      <c r="AT264" s="18" t="str">
        <f>IF(BD264&lt;&gt;1,"",AS264*CONTROL_PANEL!$B$5)</f>
        <v/>
      </c>
      <c r="AU264" s="18" t="str">
        <f>IF(BD264&lt;&gt;1,"",DATA_INPUT!$C264)</f>
        <v/>
      </c>
      <c r="AV264" s="18" t="str">
        <f t="shared" si="194"/>
        <v/>
      </c>
      <c r="AW264" s="18" t="str">
        <f>IF(BD264&lt;&gt;1,"",DATA_INPUT!$H264)</f>
        <v/>
      </c>
      <c r="AX264" s="18" t="str">
        <f t="shared" si="195"/>
        <v/>
      </c>
      <c r="AY264" s="18" t="str">
        <f>IF(BD264&lt;&gt;1,"",AT264*CONTROL_PANEL!$B$14)</f>
        <v/>
      </c>
      <c r="AZ264" s="18" t="str">
        <f>IF(BD264&lt;&gt;1,"",DATA_INPUT!$M264)</f>
        <v/>
      </c>
      <c r="BA264" s="18" t="str">
        <f t="shared" si="196"/>
        <v/>
      </c>
      <c r="BB264" s="18" t="str">
        <f>IF(BD264&lt;&gt;1,"",IF(BA264-CONTROL_PANEL!$B$11&lt;0,0,BA264-CONTROL_PANEL!$B$11))</f>
        <v/>
      </c>
      <c r="BC264" s="18" t="str">
        <f>IF(BD264&lt;&gt;1,"",IF(AZ264&lt;=0,0,MIN(AZ264,MAX(0,CONTROL_PANEL!$B$13-BA264))))</f>
        <v/>
      </c>
      <c r="BD264" s="18"/>
      <c r="BF264" s="19">
        <f t="shared" si="178"/>
        <v>2037</v>
      </c>
      <c r="BG264" s="19">
        <f t="shared" si="183"/>
        <v>5</v>
      </c>
      <c r="BH264" s="18" t="str">
        <f t="shared" si="197"/>
        <v/>
      </c>
      <c r="BI264" s="18" t="str">
        <f t="shared" si="173"/>
        <v/>
      </c>
      <c r="BJ264" s="18" t="str">
        <f>IF(BW263&lt;&gt;1,"",IF(BT263&gt;0,IF(BT263&gt;CONTROL_PANEL!$B$11,CONTROL_PANEL!$B$11,BT263),0))</f>
        <v/>
      </c>
      <c r="BK264" s="18" t="str">
        <f t="shared" ref="BK264:BK327" si="208">IF(BW264&lt;&gt;1,"",0.6*(BI264-235)^2.02*10000)</f>
        <v/>
      </c>
      <c r="BL264" s="18" t="str">
        <f>IF(BW264&lt;&gt;1,"",DATA_INPUT!$I264)</f>
        <v/>
      </c>
      <c r="BM264" s="18" t="str">
        <f>IF(BW264&lt;&gt;1,"",BL264*CONTROL_PANEL!$B$5)</f>
        <v/>
      </c>
      <c r="BN264" s="18" t="str">
        <f>IF(BW264&lt;&gt;1,"",DATA_INPUT!$C264)</f>
        <v/>
      </c>
      <c r="BO264" s="18" t="str">
        <f t="shared" si="198"/>
        <v/>
      </c>
      <c r="BP264" s="18" t="str">
        <f>IF(BW264&lt;&gt;1,"",DATA_INPUT!$H264)</f>
        <v/>
      </c>
      <c r="BQ264" s="18" t="str">
        <f t="shared" si="199"/>
        <v/>
      </c>
      <c r="BR264" s="18" t="str">
        <f>IF(BW264&lt;&gt;1,"",BM264*CONTROL_PANEL!$B$14)</f>
        <v/>
      </c>
      <c r="BS264" s="18" t="str">
        <f>IF(BW264&lt;&gt;1,"",DATA_INPUT!$N264)</f>
        <v/>
      </c>
      <c r="BT264" s="18" t="str">
        <f t="shared" si="200"/>
        <v/>
      </c>
      <c r="BU264" s="18" t="str">
        <f>IF(BW264&lt;&gt;1,"",IF(BT264-CONTROL_PANEL!$B$11&lt;0,0,BT264-CONTROL_PANEL!$B$11))</f>
        <v/>
      </c>
      <c r="BV264" s="18" t="str">
        <f>IF(BW264&lt;&gt;1,"",IF(BS264&lt;=0,0,MIN(BS264,MAX(0,CONTROL_PANEL!$B$13-BT264))))</f>
        <v/>
      </c>
      <c r="BW264" s="18"/>
      <c r="BY264" s="19">
        <f t="shared" si="179"/>
        <v>2037</v>
      </c>
      <c r="BZ264" s="19">
        <f t="shared" si="184"/>
        <v>5</v>
      </c>
      <c r="CA264" s="18" t="str">
        <f t="shared" si="201"/>
        <v/>
      </c>
      <c r="CB264" s="18" t="str">
        <f t="shared" si="174"/>
        <v/>
      </c>
      <c r="CC264" s="18" t="str">
        <f>IF(CP263&lt;&gt;1,"",IF(CM263&gt;0,IF(CM263&gt;CONTROL_PANEL!$B$11,CONTROL_PANEL!$B$11,CM263),0))</f>
        <v/>
      </c>
      <c r="CD264" s="18" t="str">
        <f t="shared" ref="CD264:CD327" si="209">IF(CP264&lt;&gt;1,"",0.6*(CB264-235)^2.02*10000)</f>
        <v/>
      </c>
      <c r="CE264" s="18" t="str">
        <f>IF(CP264&lt;&gt;1,"",DATA_INPUT!$I264)</f>
        <v/>
      </c>
      <c r="CF264" s="18" t="str">
        <f>IF(CP264&lt;&gt;1,"",CE264*CONTROL_PANEL!$B$5)</f>
        <v/>
      </c>
      <c r="CG264" s="18" t="str">
        <f>IF(CP264&lt;&gt;1,"",DATA_INPUT!$C264)</f>
        <v/>
      </c>
      <c r="CH264" s="18" t="str">
        <f t="shared" si="202"/>
        <v/>
      </c>
      <c r="CI264" s="18" t="str">
        <f>IF(CP264&lt;&gt;1,"",DATA_INPUT!$H264)</f>
        <v/>
      </c>
      <c r="CJ264" s="18" t="str">
        <f t="shared" si="203"/>
        <v/>
      </c>
      <c r="CK264" s="18" t="str">
        <f>IF(CP264&lt;&gt;1,"",CF264*CONTROL_PANEL!$B$14)</f>
        <v/>
      </c>
      <c r="CL264" s="18" t="str">
        <f>IF(CP264&lt;&gt;1,"",DATA_INPUT!$O264)</f>
        <v/>
      </c>
      <c r="CM264" s="18" t="str">
        <f t="shared" si="204"/>
        <v/>
      </c>
      <c r="CN264" s="18" t="str">
        <f>IF(CP264&lt;&gt;1,"",IF(CM264-CONTROL_PANEL!$B$11&lt;0,0,CM264-CONTROL_PANEL!$B$11))</f>
        <v/>
      </c>
      <c r="CO264" s="18" t="str">
        <f>IF(CP264&lt;&gt;1,"",IF(CL264&lt;=0,0,MIN(CL264,MAX(0,CONTROL_PANEL!$B$13-CM264))))</f>
        <v/>
      </c>
      <c r="CP264" s="18"/>
    </row>
    <row r="265" spans="1:94" x14ac:dyDescent="0.25">
      <c r="A265" s="19">
        <f t="shared" si="175"/>
        <v>2037</v>
      </c>
      <c r="B265" s="19">
        <f t="shared" si="180"/>
        <v>6</v>
      </c>
      <c r="C265" s="18" t="str">
        <f t="shared" si="185"/>
        <v/>
      </c>
      <c r="D265" s="18" t="str">
        <f t="shared" si="170"/>
        <v/>
      </c>
      <c r="E265" s="18" t="str">
        <f>IF(R264&lt;&gt;1,"",IF(O264&gt;0,IF(O264&gt;CONTROL_PANEL!$B$11,CONTROL_PANEL!$B$11,O264),0))</f>
        <v/>
      </c>
      <c r="F265" s="18" t="str">
        <f t="shared" si="205"/>
        <v/>
      </c>
      <c r="G265" s="18" t="str">
        <f>IF(R265&lt;&gt;1,"",DATA_INPUT!I265)</f>
        <v/>
      </c>
      <c r="H265" s="18" t="str">
        <f>IF(R265&lt;&gt;1,"",G265*CONTROL_PANEL!$B$5)</f>
        <v/>
      </c>
      <c r="I265" s="18" t="str">
        <f>IF(R265&lt;&gt;1,"",DATA_INPUT!C265)</f>
        <v/>
      </c>
      <c r="J265" s="18" t="str">
        <f t="shared" si="186"/>
        <v/>
      </c>
      <c r="K265" s="18" t="str">
        <f>IF(R265&lt;&gt;1,"",DATA_INPUT!H265)</f>
        <v/>
      </c>
      <c r="L265" s="18" t="str">
        <f t="shared" si="187"/>
        <v/>
      </c>
      <c r="M265" s="18" t="str">
        <f>IF(R265&lt;&gt;1,"",H265*CONTROL_PANEL!$B$14)</f>
        <v/>
      </c>
      <c r="N265" s="18" t="str">
        <f>IF(R265&lt;&gt;1,"",DATA_INPUT!K265)</f>
        <v/>
      </c>
      <c r="O265" s="18" t="str">
        <f t="shared" si="188"/>
        <v/>
      </c>
      <c r="P265" s="18" t="str">
        <f>IF(R265&lt;&gt;1,"",IF(O265-CONTROL_PANEL!$B$11&lt;0,0,O265-CONTROL_PANEL!$B$11))</f>
        <v/>
      </c>
      <c r="Q265" s="18" t="str">
        <f>IF(R265&lt;&gt;1,"",IF(N265&lt;=0,0,MIN(N265,MAX(0,CONTROL_PANEL!$B$13-O265))))</f>
        <v/>
      </c>
      <c r="R265" s="18"/>
      <c r="T265" s="19">
        <f t="shared" si="176"/>
        <v>2037</v>
      </c>
      <c r="U265" s="19">
        <f t="shared" si="181"/>
        <v>6</v>
      </c>
      <c r="V265" s="18" t="str">
        <f t="shared" si="189"/>
        <v/>
      </c>
      <c r="W265" s="18" t="str">
        <f t="shared" si="171"/>
        <v/>
      </c>
      <c r="X265" s="18" t="str">
        <f>IF(AK264&lt;&gt;1,"",IF(AH264&gt;0,IF(AH264&gt;CONTROL_PANEL!$B$11,CONTROL_PANEL!$B$11,AH264),0))</f>
        <v/>
      </c>
      <c r="Y265" s="18" t="str">
        <f t="shared" si="206"/>
        <v/>
      </c>
      <c r="Z265" s="18" t="str">
        <f>IF(AK265&lt;&gt;1,"",DATA_INPUT!I265)</f>
        <v/>
      </c>
      <c r="AA265" s="18" t="str">
        <f>IF(AK265&lt;&gt;1,"",Z265*CONTROL_PANEL!$B$5)</f>
        <v/>
      </c>
      <c r="AB265" s="18" t="str">
        <f>IF(AK265&lt;&gt;1,"",DATA_INPUT!$C265)</f>
        <v/>
      </c>
      <c r="AC265" s="18" t="str">
        <f t="shared" si="190"/>
        <v/>
      </c>
      <c r="AD265" s="18" t="str">
        <f>IF(AK265&lt;&gt;1,"",DATA_INPUT!$H265)</f>
        <v/>
      </c>
      <c r="AE265" s="18" t="str">
        <f t="shared" si="191"/>
        <v/>
      </c>
      <c r="AF265" s="18" t="str">
        <f>IF(AK265&lt;&gt;1,"",AA265*CONTROL_PANEL!$B$14)</f>
        <v/>
      </c>
      <c r="AG265" s="18" t="str">
        <f>IF(AK265&lt;&gt;1,"",DATA_INPUT!$L265)</f>
        <v/>
      </c>
      <c r="AH265" s="18" t="str">
        <f t="shared" si="192"/>
        <v/>
      </c>
      <c r="AI265" s="18" t="str">
        <f>IF(AK265&lt;&gt;1,"",IF(AH265-CONTROL_PANEL!$B$11&lt;0,0,AH265-CONTROL_PANEL!$B$11))</f>
        <v/>
      </c>
      <c r="AJ265" s="18" t="str">
        <f>IF(AK265&lt;&gt;1,"",IF(AG265&lt;=0,0,MIN(AG265,MAX(0,CONTROL_PANEL!$B$13-AH265))))</f>
        <v/>
      </c>
      <c r="AK265" s="18"/>
      <c r="AM265" s="19">
        <f t="shared" si="177"/>
        <v>2037</v>
      </c>
      <c r="AN265" s="19">
        <f t="shared" si="182"/>
        <v>6</v>
      </c>
      <c r="AO265" s="18" t="str">
        <f t="shared" si="193"/>
        <v/>
      </c>
      <c r="AP265" s="18" t="str">
        <f t="shared" si="172"/>
        <v/>
      </c>
      <c r="AQ265" s="18" t="str">
        <f>IF(BD264&lt;&gt;1,"",IF(BA264&gt;0,IF(BA264&gt;CONTROL_PANEL!$B$11,CONTROL_PANEL!$B$11,BA264),0))</f>
        <v/>
      </c>
      <c r="AR265" s="18" t="str">
        <f t="shared" si="207"/>
        <v/>
      </c>
      <c r="AS265" s="18" t="str">
        <f>IF(BD265&lt;&gt;1,"",DATA_INPUT!$I265)</f>
        <v/>
      </c>
      <c r="AT265" s="18" t="str">
        <f>IF(BD265&lt;&gt;1,"",AS265*CONTROL_PANEL!$B$5)</f>
        <v/>
      </c>
      <c r="AU265" s="18" t="str">
        <f>IF(BD265&lt;&gt;1,"",DATA_INPUT!$C265)</f>
        <v/>
      </c>
      <c r="AV265" s="18" t="str">
        <f t="shared" si="194"/>
        <v/>
      </c>
      <c r="AW265" s="18" t="str">
        <f>IF(BD265&lt;&gt;1,"",DATA_INPUT!$H265)</f>
        <v/>
      </c>
      <c r="AX265" s="18" t="str">
        <f t="shared" si="195"/>
        <v/>
      </c>
      <c r="AY265" s="18" t="str">
        <f>IF(BD265&lt;&gt;1,"",AT265*CONTROL_PANEL!$B$14)</f>
        <v/>
      </c>
      <c r="AZ265" s="18" t="str">
        <f>IF(BD265&lt;&gt;1,"",DATA_INPUT!$M265)</f>
        <v/>
      </c>
      <c r="BA265" s="18" t="str">
        <f t="shared" si="196"/>
        <v/>
      </c>
      <c r="BB265" s="18" t="str">
        <f>IF(BD265&lt;&gt;1,"",IF(BA265-CONTROL_PANEL!$B$11&lt;0,0,BA265-CONTROL_PANEL!$B$11))</f>
        <v/>
      </c>
      <c r="BC265" s="18" t="str">
        <f>IF(BD265&lt;&gt;1,"",IF(AZ265&lt;=0,0,MIN(AZ265,MAX(0,CONTROL_PANEL!$B$13-BA265))))</f>
        <v/>
      </c>
      <c r="BD265" s="18"/>
      <c r="BF265" s="19">
        <f t="shared" si="178"/>
        <v>2037</v>
      </c>
      <c r="BG265" s="19">
        <f t="shared" si="183"/>
        <v>6</v>
      </c>
      <c r="BH265" s="18" t="str">
        <f t="shared" si="197"/>
        <v/>
      </c>
      <c r="BI265" s="18" t="str">
        <f t="shared" si="173"/>
        <v/>
      </c>
      <c r="BJ265" s="18" t="str">
        <f>IF(BW264&lt;&gt;1,"",IF(BT264&gt;0,IF(BT264&gt;CONTROL_PANEL!$B$11,CONTROL_PANEL!$B$11,BT264),0))</f>
        <v/>
      </c>
      <c r="BK265" s="18" t="str">
        <f t="shared" si="208"/>
        <v/>
      </c>
      <c r="BL265" s="18" t="str">
        <f>IF(BW265&lt;&gt;1,"",DATA_INPUT!$I265)</f>
        <v/>
      </c>
      <c r="BM265" s="18" t="str">
        <f>IF(BW265&lt;&gt;1,"",BL265*CONTROL_PANEL!$B$5)</f>
        <v/>
      </c>
      <c r="BN265" s="18" t="str">
        <f>IF(BW265&lt;&gt;1,"",DATA_INPUT!$C265)</f>
        <v/>
      </c>
      <c r="BO265" s="18" t="str">
        <f t="shared" si="198"/>
        <v/>
      </c>
      <c r="BP265" s="18" t="str">
        <f>IF(BW265&lt;&gt;1,"",DATA_INPUT!$H265)</f>
        <v/>
      </c>
      <c r="BQ265" s="18" t="str">
        <f t="shared" si="199"/>
        <v/>
      </c>
      <c r="BR265" s="18" t="str">
        <f>IF(BW265&lt;&gt;1,"",BM265*CONTROL_PANEL!$B$14)</f>
        <v/>
      </c>
      <c r="BS265" s="18" t="str">
        <f>IF(BW265&lt;&gt;1,"",DATA_INPUT!$N265)</f>
        <v/>
      </c>
      <c r="BT265" s="18" t="str">
        <f t="shared" si="200"/>
        <v/>
      </c>
      <c r="BU265" s="18" t="str">
        <f>IF(BW265&lt;&gt;1,"",IF(BT265-CONTROL_PANEL!$B$11&lt;0,0,BT265-CONTROL_PANEL!$B$11))</f>
        <v/>
      </c>
      <c r="BV265" s="18" t="str">
        <f>IF(BW265&lt;&gt;1,"",IF(BS265&lt;=0,0,MIN(BS265,MAX(0,CONTROL_PANEL!$B$13-BT265))))</f>
        <v/>
      </c>
      <c r="BW265" s="18"/>
      <c r="BY265" s="19">
        <f t="shared" si="179"/>
        <v>2037</v>
      </c>
      <c r="BZ265" s="19">
        <f t="shared" si="184"/>
        <v>6</v>
      </c>
      <c r="CA265" s="18" t="str">
        <f t="shared" si="201"/>
        <v/>
      </c>
      <c r="CB265" s="18" t="str">
        <f t="shared" si="174"/>
        <v/>
      </c>
      <c r="CC265" s="18" t="str">
        <f>IF(CP264&lt;&gt;1,"",IF(CM264&gt;0,IF(CM264&gt;CONTROL_PANEL!$B$11,CONTROL_PANEL!$B$11,CM264),0))</f>
        <v/>
      </c>
      <c r="CD265" s="18" t="str">
        <f t="shared" si="209"/>
        <v/>
      </c>
      <c r="CE265" s="18" t="str">
        <f>IF(CP265&lt;&gt;1,"",DATA_INPUT!$I265)</f>
        <v/>
      </c>
      <c r="CF265" s="18" t="str">
        <f>IF(CP265&lt;&gt;1,"",CE265*CONTROL_PANEL!$B$5)</f>
        <v/>
      </c>
      <c r="CG265" s="18" t="str">
        <f>IF(CP265&lt;&gt;1,"",DATA_INPUT!$C265)</f>
        <v/>
      </c>
      <c r="CH265" s="18" t="str">
        <f t="shared" si="202"/>
        <v/>
      </c>
      <c r="CI265" s="18" t="str">
        <f>IF(CP265&lt;&gt;1,"",DATA_INPUT!$H265)</f>
        <v/>
      </c>
      <c r="CJ265" s="18" t="str">
        <f t="shared" si="203"/>
        <v/>
      </c>
      <c r="CK265" s="18" t="str">
        <f>IF(CP265&lt;&gt;1,"",CF265*CONTROL_PANEL!$B$14)</f>
        <v/>
      </c>
      <c r="CL265" s="18" t="str">
        <f>IF(CP265&lt;&gt;1,"",DATA_INPUT!$O265)</f>
        <v/>
      </c>
      <c r="CM265" s="18" t="str">
        <f t="shared" si="204"/>
        <v/>
      </c>
      <c r="CN265" s="18" t="str">
        <f>IF(CP265&lt;&gt;1,"",IF(CM265-CONTROL_PANEL!$B$11&lt;0,0,CM265-CONTROL_PANEL!$B$11))</f>
        <v/>
      </c>
      <c r="CO265" s="18" t="str">
        <f>IF(CP265&lt;&gt;1,"",IF(CL265&lt;=0,0,MIN(CL265,MAX(0,CONTROL_PANEL!$B$13-CM265))))</f>
        <v/>
      </c>
      <c r="CP265" s="18"/>
    </row>
    <row r="266" spans="1:94" x14ac:dyDescent="0.25">
      <c r="A266" s="19">
        <f t="shared" si="175"/>
        <v>2037</v>
      </c>
      <c r="B266" s="19">
        <f t="shared" si="180"/>
        <v>7</v>
      </c>
      <c r="C266" s="18" t="str">
        <f t="shared" si="185"/>
        <v/>
      </c>
      <c r="D266" s="18" t="str">
        <f t="shared" ref="D266:D329" si="210">IF(R265&lt;&gt;1,"",235+((E266/1000/2)^(1/3.02)))</f>
        <v/>
      </c>
      <c r="E266" s="18" t="str">
        <f>IF(R265&lt;&gt;1,"",IF(O265&gt;0,IF(O265&gt;CONTROL_PANEL!$B$11,CONTROL_PANEL!$B$11,O265),0))</f>
        <v/>
      </c>
      <c r="F266" s="18" t="str">
        <f t="shared" si="205"/>
        <v/>
      </c>
      <c r="G266" s="18" t="str">
        <f>IF(R266&lt;&gt;1,"",DATA_INPUT!I266)</f>
        <v/>
      </c>
      <c r="H266" s="18" t="str">
        <f>IF(R266&lt;&gt;1,"",G266*CONTROL_PANEL!$B$5)</f>
        <v/>
      </c>
      <c r="I266" s="18" t="str">
        <f>IF(R266&lt;&gt;1,"",DATA_INPUT!C266)</f>
        <v/>
      </c>
      <c r="J266" s="18" t="str">
        <f t="shared" si="186"/>
        <v/>
      </c>
      <c r="K266" s="18" t="str">
        <f>IF(R266&lt;&gt;1,"",DATA_INPUT!H266)</f>
        <v/>
      </c>
      <c r="L266" s="18" t="str">
        <f t="shared" si="187"/>
        <v/>
      </c>
      <c r="M266" s="18" t="str">
        <f>IF(R266&lt;&gt;1,"",H266*CONTROL_PANEL!$B$14)</f>
        <v/>
      </c>
      <c r="N266" s="18" t="str">
        <f>IF(R266&lt;&gt;1,"",DATA_INPUT!K266)</f>
        <v/>
      </c>
      <c r="O266" s="18" t="str">
        <f t="shared" si="188"/>
        <v/>
      </c>
      <c r="P266" s="18" t="str">
        <f>IF(R266&lt;&gt;1,"",IF(O266-CONTROL_PANEL!$B$11&lt;0,0,O266-CONTROL_PANEL!$B$11))</f>
        <v/>
      </c>
      <c r="Q266" s="18" t="str">
        <f>IF(R266&lt;&gt;1,"",IF(N266&lt;=0,0,MIN(N266,MAX(0,CONTROL_PANEL!$B$13-O266))))</f>
        <v/>
      </c>
      <c r="R266" s="18"/>
      <c r="T266" s="19">
        <f t="shared" si="176"/>
        <v>2037</v>
      </c>
      <c r="U266" s="19">
        <f t="shared" si="181"/>
        <v>7</v>
      </c>
      <c r="V266" s="18" t="str">
        <f t="shared" si="189"/>
        <v/>
      </c>
      <c r="W266" s="18" t="str">
        <f t="shared" ref="W266:W329" si="211">IF(AK265&lt;&gt;1,"",235+((X266/1000/2)^(1/3.02)))</f>
        <v/>
      </c>
      <c r="X266" s="18" t="str">
        <f>IF(AK265&lt;&gt;1,"",IF(AH265&gt;0,IF(AH265&gt;CONTROL_PANEL!$B$11,CONTROL_PANEL!$B$11,AH265),0))</f>
        <v/>
      </c>
      <c r="Y266" s="18" t="str">
        <f t="shared" si="206"/>
        <v/>
      </c>
      <c r="Z266" s="18" t="str">
        <f>IF(AK266&lt;&gt;1,"",DATA_INPUT!I266)</f>
        <v/>
      </c>
      <c r="AA266" s="18" t="str">
        <f>IF(AK266&lt;&gt;1,"",Z266*CONTROL_PANEL!$B$5)</f>
        <v/>
      </c>
      <c r="AB266" s="18" t="str">
        <f>IF(AK266&lt;&gt;1,"",DATA_INPUT!$C266)</f>
        <v/>
      </c>
      <c r="AC266" s="18" t="str">
        <f t="shared" si="190"/>
        <v/>
      </c>
      <c r="AD266" s="18" t="str">
        <f>IF(AK266&lt;&gt;1,"",DATA_INPUT!$H266)</f>
        <v/>
      </c>
      <c r="AE266" s="18" t="str">
        <f t="shared" si="191"/>
        <v/>
      </c>
      <c r="AF266" s="18" t="str">
        <f>IF(AK266&lt;&gt;1,"",AA266*CONTROL_PANEL!$B$14)</f>
        <v/>
      </c>
      <c r="AG266" s="18" t="str">
        <f>IF(AK266&lt;&gt;1,"",DATA_INPUT!$L266)</f>
        <v/>
      </c>
      <c r="AH266" s="18" t="str">
        <f t="shared" si="192"/>
        <v/>
      </c>
      <c r="AI266" s="18" t="str">
        <f>IF(AK266&lt;&gt;1,"",IF(AH266-CONTROL_PANEL!$B$11&lt;0,0,AH266-CONTROL_PANEL!$B$11))</f>
        <v/>
      </c>
      <c r="AJ266" s="18" t="str">
        <f>IF(AK266&lt;&gt;1,"",IF(AG266&lt;=0,0,MIN(AG266,MAX(0,CONTROL_PANEL!$B$13-AH266))))</f>
        <v/>
      </c>
      <c r="AK266" s="18"/>
      <c r="AM266" s="19">
        <f t="shared" si="177"/>
        <v>2037</v>
      </c>
      <c r="AN266" s="19">
        <f t="shared" si="182"/>
        <v>7</v>
      </c>
      <c r="AO266" s="18" t="str">
        <f t="shared" si="193"/>
        <v/>
      </c>
      <c r="AP266" s="18" t="str">
        <f t="shared" ref="AP266:AP329" si="212">IF(BD265&lt;&gt;1,"",235+((AQ266/1000/2)^(1/3.02)))</f>
        <v/>
      </c>
      <c r="AQ266" s="18" t="str">
        <f>IF(BD265&lt;&gt;1,"",IF(BA265&gt;0,IF(BA265&gt;CONTROL_PANEL!$B$11,CONTROL_PANEL!$B$11,BA265),0))</f>
        <v/>
      </c>
      <c r="AR266" s="18" t="str">
        <f t="shared" si="207"/>
        <v/>
      </c>
      <c r="AS266" s="18" t="str">
        <f>IF(BD266&lt;&gt;1,"",DATA_INPUT!$I266)</f>
        <v/>
      </c>
      <c r="AT266" s="18" t="str">
        <f>IF(BD266&lt;&gt;1,"",AS266*CONTROL_PANEL!$B$5)</f>
        <v/>
      </c>
      <c r="AU266" s="18" t="str">
        <f>IF(BD266&lt;&gt;1,"",DATA_INPUT!$C266)</f>
        <v/>
      </c>
      <c r="AV266" s="18" t="str">
        <f t="shared" si="194"/>
        <v/>
      </c>
      <c r="AW266" s="18" t="str">
        <f>IF(BD266&lt;&gt;1,"",DATA_INPUT!$H266)</f>
        <v/>
      </c>
      <c r="AX266" s="18" t="str">
        <f t="shared" si="195"/>
        <v/>
      </c>
      <c r="AY266" s="18" t="str">
        <f>IF(BD266&lt;&gt;1,"",AT266*CONTROL_PANEL!$B$14)</f>
        <v/>
      </c>
      <c r="AZ266" s="18" t="str">
        <f>IF(BD266&lt;&gt;1,"",DATA_INPUT!$M266)</f>
        <v/>
      </c>
      <c r="BA266" s="18" t="str">
        <f t="shared" si="196"/>
        <v/>
      </c>
      <c r="BB266" s="18" t="str">
        <f>IF(BD266&lt;&gt;1,"",IF(BA266-CONTROL_PANEL!$B$11&lt;0,0,BA266-CONTROL_PANEL!$B$11))</f>
        <v/>
      </c>
      <c r="BC266" s="18" t="str">
        <f>IF(BD266&lt;&gt;1,"",IF(AZ266&lt;=0,0,MIN(AZ266,MAX(0,CONTROL_PANEL!$B$13-BA266))))</f>
        <v/>
      </c>
      <c r="BD266" s="18"/>
      <c r="BF266" s="19">
        <f t="shared" si="178"/>
        <v>2037</v>
      </c>
      <c r="BG266" s="19">
        <f t="shared" si="183"/>
        <v>7</v>
      </c>
      <c r="BH266" s="18" t="str">
        <f t="shared" si="197"/>
        <v/>
      </c>
      <c r="BI266" s="18" t="str">
        <f t="shared" ref="BI266:BI329" si="213">IF(BW265&lt;&gt;1,"",235+((BJ266/1000/2)^(1/3.02)))</f>
        <v/>
      </c>
      <c r="BJ266" s="18" t="str">
        <f>IF(BW265&lt;&gt;1,"",IF(BT265&gt;0,IF(BT265&gt;CONTROL_PANEL!$B$11,CONTROL_PANEL!$B$11,BT265),0))</f>
        <v/>
      </c>
      <c r="BK266" s="18" t="str">
        <f t="shared" si="208"/>
        <v/>
      </c>
      <c r="BL266" s="18" t="str">
        <f>IF(BW266&lt;&gt;1,"",DATA_INPUT!$I266)</f>
        <v/>
      </c>
      <c r="BM266" s="18" t="str">
        <f>IF(BW266&lt;&gt;1,"",BL266*CONTROL_PANEL!$B$5)</f>
        <v/>
      </c>
      <c r="BN266" s="18" t="str">
        <f>IF(BW266&lt;&gt;1,"",DATA_INPUT!$C266)</f>
        <v/>
      </c>
      <c r="BO266" s="18" t="str">
        <f t="shared" si="198"/>
        <v/>
      </c>
      <c r="BP266" s="18" t="str">
        <f>IF(BW266&lt;&gt;1,"",DATA_INPUT!$H266)</f>
        <v/>
      </c>
      <c r="BQ266" s="18" t="str">
        <f t="shared" si="199"/>
        <v/>
      </c>
      <c r="BR266" s="18" t="str">
        <f>IF(BW266&lt;&gt;1,"",BM266*CONTROL_PANEL!$B$14)</f>
        <v/>
      </c>
      <c r="BS266" s="18" t="str">
        <f>IF(BW266&lt;&gt;1,"",DATA_INPUT!$N266)</f>
        <v/>
      </c>
      <c r="BT266" s="18" t="str">
        <f t="shared" si="200"/>
        <v/>
      </c>
      <c r="BU266" s="18" t="str">
        <f>IF(BW266&lt;&gt;1,"",IF(BT266-CONTROL_PANEL!$B$11&lt;0,0,BT266-CONTROL_PANEL!$B$11))</f>
        <v/>
      </c>
      <c r="BV266" s="18" t="str">
        <f>IF(BW266&lt;&gt;1,"",IF(BS266&lt;=0,0,MIN(BS266,MAX(0,CONTROL_PANEL!$B$13-BT266))))</f>
        <v/>
      </c>
      <c r="BW266" s="18"/>
      <c r="BY266" s="19">
        <f t="shared" si="179"/>
        <v>2037</v>
      </c>
      <c r="BZ266" s="19">
        <f t="shared" si="184"/>
        <v>7</v>
      </c>
      <c r="CA266" s="18" t="str">
        <f t="shared" si="201"/>
        <v/>
      </c>
      <c r="CB266" s="18" t="str">
        <f t="shared" ref="CB266:CB329" si="214">IF(CP265&lt;&gt;1,"",235+((CC266/1000/2)^(1/3.02)))</f>
        <v/>
      </c>
      <c r="CC266" s="18" t="str">
        <f>IF(CP265&lt;&gt;1,"",IF(CM265&gt;0,IF(CM265&gt;CONTROL_PANEL!$B$11,CONTROL_PANEL!$B$11,CM265),0))</f>
        <v/>
      </c>
      <c r="CD266" s="18" t="str">
        <f t="shared" si="209"/>
        <v/>
      </c>
      <c r="CE266" s="18" t="str">
        <f>IF(CP266&lt;&gt;1,"",DATA_INPUT!$I266)</f>
        <v/>
      </c>
      <c r="CF266" s="18" t="str">
        <f>IF(CP266&lt;&gt;1,"",CE266*CONTROL_PANEL!$B$5)</f>
        <v/>
      </c>
      <c r="CG266" s="18" t="str">
        <f>IF(CP266&lt;&gt;1,"",DATA_INPUT!$C266)</f>
        <v/>
      </c>
      <c r="CH266" s="18" t="str">
        <f t="shared" si="202"/>
        <v/>
      </c>
      <c r="CI266" s="18" t="str">
        <f>IF(CP266&lt;&gt;1,"",DATA_INPUT!$H266)</f>
        <v/>
      </c>
      <c r="CJ266" s="18" t="str">
        <f t="shared" si="203"/>
        <v/>
      </c>
      <c r="CK266" s="18" t="str">
        <f>IF(CP266&lt;&gt;1,"",CF266*CONTROL_PANEL!$B$14)</f>
        <v/>
      </c>
      <c r="CL266" s="18" t="str">
        <f>IF(CP266&lt;&gt;1,"",DATA_INPUT!$O266)</f>
        <v/>
      </c>
      <c r="CM266" s="18" t="str">
        <f t="shared" si="204"/>
        <v/>
      </c>
      <c r="CN266" s="18" t="str">
        <f>IF(CP266&lt;&gt;1,"",IF(CM266-CONTROL_PANEL!$B$11&lt;0,0,CM266-CONTROL_PANEL!$B$11))</f>
        <v/>
      </c>
      <c r="CO266" s="18" t="str">
        <f>IF(CP266&lt;&gt;1,"",IF(CL266&lt;=0,0,MIN(CL266,MAX(0,CONTROL_PANEL!$B$13-CM266))))</f>
        <v/>
      </c>
      <c r="CP266" s="18"/>
    </row>
    <row r="267" spans="1:94" x14ac:dyDescent="0.25">
      <c r="A267" s="19">
        <f t="shared" si="175"/>
        <v>2037</v>
      </c>
      <c r="B267" s="19">
        <f t="shared" si="180"/>
        <v>8</v>
      </c>
      <c r="C267" s="18" t="str">
        <f t="shared" si="185"/>
        <v/>
      </c>
      <c r="D267" s="18" t="str">
        <f t="shared" si="210"/>
        <v/>
      </c>
      <c r="E267" s="18" t="str">
        <f>IF(R266&lt;&gt;1,"",IF(O266&gt;0,IF(O266&gt;CONTROL_PANEL!$B$11,CONTROL_PANEL!$B$11,O266),0))</f>
        <v/>
      </c>
      <c r="F267" s="18" t="str">
        <f t="shared" si="205"/>
        <v/>
      </c>
      <c r="G267" s="18" t="str">
        <f>IF(R267&lt;&gt;1,"",DATA_INPUT!I267)</f>
        <v/>
      </c>
      <c r="H267" s="18" t="str">
        <f>IF(R267&lt;&gt;1,"",G267*CONTROL_PANEL!$B$5)</f>
        <v/>
      </c>
      <c r="I267" s="18" t="str">
        <f>IF(R267&lt;&gt;1,"",DATA_INPUT!C267)</f>
        <v/>
      </c>
      <c r="J267" s="18" t="str">
        <f t="shared" si="186"/>
        <v/>
      </c>
      <c r="K267" s="18" t="str">
        <f>IF(R267&lt;&gt;1,"",DATA_INPUT!H267)</f>
        <v/>
      </c>
      <c r="L267" s="18" t="str">
        <f t="shared" si="187"/>
        <v/>
      </c>
      <c r="M267" s="18" t="str">
        <f>IF(R267&lt;&gt;1,"",H267*CONTROL_PANEL!$B$14)</f>
        <v/>
      </c>
      <c r="N267" s="18" t="str">
        <f>IF(R267&lt;&gt;1,"",DATA_INPUT!K267)</f>
        <v/>
      </c>
      <c r="O267" s="18" t="str">
        <f t="shared" si="188"/>
        <v/>
      </c>
      <c r="P267" s="18" t="str">
        <f>IF(R267&lt;&gt;1,"",IF(O267-CONTROL_PANEL!$B$11&lt;0,0,O267-CONTROL_PANEL!$B$11))</f>
        <v/>
      </c>
      <c r="Q267" s="18" t="str">
        <f>IF(R267&lt;&gt;1,"",IF(N267&lt;=0,0,MIN(N267,MAX(0,CONTROL_PANEL!$B$13-O267))))</f>
        <v/>
      </c>
      <c r="R267" s="18"/>
      <c r="T267" s="19">
        <f t="shared" si="176"/>
        <v>2037</v>
      </c>
      <c r="U267" s="19">
        <f t="shared" si="181"/>
        <v>8</v>
      </c>
      <c r="V267" s="18" t="str">
        <f t="shared" si="189"/>
        <v/>
      </c>
      <c r="W267" s="18" t="str">
        <f t="shared" si="211"/>
        <v/>
      </c>
      <c r="X267" s="18" t="str">
        <f>IF(AK266&lt;&gt;1,"",IF(AH266&gt;0,IF(AH266&gt;CONTROL_PANEL!$B$11,CONTROL_PANEL!$B$11,AH266),0))</f>
        <v/>
      </c>
      <c r="Y267" s="18" t="str">
        <f t="shared" si="206"/>
        <v/>
      </c>
      <c r="Z267" s="18" t="str">
        <f>IF(AK267&lt;&gt;1,"",DATA_INPUT!I267)</f>
        <v/>
      </c>
      <c r="AA267" s="18" t="str">
        <f>IF(AK267&lt;&gt;1,"",Z267*CONTROL_PANEL!$B$5)</f>
        <v/>
      </c>
      <c r="AB267" s="18" t="str">
        <f>IF(AK267&lt;&gt;1,"",DATA_INPUT!$C267)</f>
        <v/>
      </c>
      <c r="AC267" s="18" t="str">
        <f t="shared" si="190"/>
        <v/>
      </c>
      <c r="AD267" s="18" t="str">
        <f>IF(AK267&lt;&gt;1,"",DATA_INPUT!$H267)</f>
        <v/>
      </c>
      <c r="AE267" s="18" t="str">
        <f t="shared" si="191"/>
        <v/>
      </c>
      <c r="AF267" s="18" t="str">
        <f>IF(AK267&lt;&gt;1,"",AA267*CONTROL_PANEL!$B$14)</f>
        <v/>
      </c>
      <c r="AG267" s="18" t="str">
        <f>IF(AK267&lt;&gt;1,"",DATA_INPUT!$L267)</f>
        <v/>
      </c>
      <c r="AH267" s="18" t="str">
        <f t="shared" si="192"/>
        <v/>
      </c>
      <c r="AI267" s="18" t="str">
        <f>IF(AK267&lt;&gt;1,"",IF(AH267-CONTROL_PANEL!$B$11&lt;0,0,AH267-CONTROL_PANEL!$B$11))</f>
        <v/>
      </c>
      <c r="AJ267" s="18" t="str">
        <f>IF(AK267&lt;&gt;1,"",IF(AG267&lt;=0,0,MIN(AG267,MAX(0,CONTROL_PANEL!$B$13-AH267))))</f>
        <v/>
      </c>
      <c r="AK267" s="18"/>
      <c r="AM267" s="19">
        <f t="shared" si="177"/>
        <v>2037</v>
      </c>
      <c r="AN267" s="19">
        <f t="shared" si="182"/>
        <v>8</v>
      </c>
      <c r="AO267" s="18" t="str">
        <f t="shared" si="193"/>
        <v/>
      </c>
      <c r="AP267" s="18" t="str">
        <f t="shared" si="212"/>
        <v/>
      </c>
      <c r="AQ267" s="18" t="str">
        <f>IF(BD266&lt;&gt;1,"",IF(BA266&gt;0,IF(BA266&gt;CONTROL_PANEL!$B$11,CONTROL_PANEL!$B$11,BA266),0))</f>
        <v/>
      </c>
      <c r="AR267" s="18" t="str">
        <f t="shared" si="207"/>
        <v/>
      </c>
      <c r="AS267" s="18" t="str">
        <f>IF(BD267&lt;&gt;1,"",DATA_INPUT!$I267)</f>
        <v/>
      </c>
      <c r="AT267" s="18" t="str">
        <f>IF(BD267&lt;&gt;1,"",AS267*CONTROL_PANEL!$B$5)</f>
        <v/>
      </c>
      <c r="AU267" s="18" t="str">
        <f>IF(BD267&lt;&gt;1,"",DATA_INPUT!$C267)</f>
        <v/>
      </c>
      <c r="AV267" s="18" t="str">
        <f t="shared" si="194"/>
        <v/>
      </c>
      <c r="AW267" s="18" t="str">
        <f>IF(BD267&lt;&gt;1,"",DATA_INPUT!$H267)</f>
        <v/>
      </c>
      <c r="AX267" s="18" t="str">
        <f t="shared" si="195"/>
        <v/>
      </c>
      <c r="AY267" s="18" t="str">
        <f>IF(BD267&lt;&gt;1,"",AT267*CONTROL_PANEL!$B$14)</f>
        <v/>
      </c>
      <c r="AZ267" s="18" t="str">
        <f>IF(BD267&lt;&gt;1,"",DATA_INPUT!$M267)</f>
        <v/>
      </c>
      <c r="BA267" s="18" t="str">
        <f t="shared" si="196"/>
        <v/>
      </c>
      <c r="BB267" s="18" t="str">
        <f>IF(BD267&lt;&gt;1,"",IF(BA267-CONTROL_PANEL!$B$11&lt;0,0,BA267-CONTROL_PANEL!$B$11))</f>
        <v/>
      </c>
      <c r="BC267" s="18" t="str">
        <f>IF(BD267&lt;&gt;1,"",IF(AZ267&lt;=0,0,MIN(AZ267,MAX(0,CONTROL_PANEL!$B$13-BA267))))</f>
        <v/>
      </c>
      <c r="BD267" s="18"/>
      <c r="BF267" s="19">
        <f t="shared" si="178"/>
        <v>2037</v>
      </c>
      <c r="BG267" s="19">
        <f t="shared" si="183"/>
        <v>8</v>
      </c>
      <c r="BH267" s="18" t="str">
        <f t="shared" si="197"/>
        <v/>
      </c>
      <c r="BI267" s="18" t="str">
        <f t="shared" si="213"/>
        <v/>
      </c>
      <c r="BJ267" s="18" t="str">
        <f>IF(BW266&lt;&gt;1,"",IF(BT266&gt;0,IF(BT266&gt;CONTROL_PANEL!$B$11,CONTROL_PANEL!$B$11,BT266),0))</f>
        <v/>
      </c>
      <c r="BK267" s="18" t="str">
        <f t="shared" si="208"/>
        <v/>
      </c>
      <c r="BL267" s="18" t="str">
        <f>IF(BW267&lt;&gt;1,"",DATA_INPUT!$I267)</f>
        <v/>
      </c>
      <c r="BM267" s="18" t="str">
        <f>IF(BW267&lt;&gt;1,"",BL267*CONTROL_PANEL!$B$5)</f>
        <v/>
      </c>
      <c r="BN267" s="18" t="str">
        <f>IF(BW267&lt;&gt;1,"",DATA_INPUT!$C267)</f>
        <v/>
      </c>
      <c r="BO267" s="18" t="str">
        <f t="shared" si="198"/>
        <v/>
      </c>
      <c r="BP267" s="18" t="str">
        <f>IF(BW267&lt;&gt;1,"",DATA_INPUT!$H267)</f>
        <v/>
      </c>
      <c r="BQ267" s="18" t="str">
        <f t="shared" si="199"/>
        <v/>
      </c>
      <c r="BR267" s="18" t="str">
        <f>IF(BW267&lt;&gt;1,"",BM267*CONTROL_PANEL!$B$14)</f>
        <v/>
      </c>
      <c r="BS267" s="18" t="str">
        <f>IF(BW267&lt;&gt;1,"",DATA_INPUT!$N267)</f>
        <v/>
      </c>
      <c r="BT267" s="18" t="str">
        <f t="shared" si="200"/>
        <v/>
      </c>
      <c r="BU267" s="18" t="str">
        <f>IF(BW267&lt;&gt;1,"",IF(BT267-CONTROL_PANEL!$B$11&lt;0,0,BT267-CONTROL_PANEL!$B$11))</f>
        <v/>
      </c>
      <c r="BV267" s="18" t="str">
        <f>IF(BW267&lt;&gt;1,"",IF(BS267&lt;=0,0,MIN(BS267,MAX(0,CONTROL_PANEL!$B$13-BT267))))</f>
        <v/>
      </c>
      <c r="BW267" s="18"/>
      <c r="BY267" s="19">
        <f t="shared" si="179"/>
        <v>2037</v>
      </c>
      <c r="BZ267" s="19">
        <f t="shared" si="184"/>
        <v>8</v>
      </c>
      <c r="CA267" s="18" t="str">
        <f t="shared" si="201"/>
        <v/>
      </c>
      <c r="CB267" s="18" t="str">
        <f t="shared" si="214"/>
        <v/>
      </c>
      <c r="CC267" s="18" t="str">
        <f>IF(CP266&lt;&gt;1,"",IF(CM266&gt;0,IF(CM266&gt;CONTROL_PANEL!$B$11,CONTROL_PANEL!$B$11,CM266),0))</f>
        <v/>
      </c>
      <c r="CD267" s="18" t="str">
        <f t="shared" si="209"/>
        <v/>
      </c>
      <c r="CE267" s="18" t="str">
        <f>IF(CP267&lt;&gt;1,"",DATA_INPUT!$I267)</f>
        <v/>
      </c>
      <c r="CF267" s="18" t="str">
        <f>IF(CP267&lt;&gt;1,"",CE267*CONTROL_PANEL!$B$5)</f>
        <v/>
      </c>
      <c r="CG267" s="18" t="str">
        <f>IF(CP267&lt;&gt;1,"",DATA_INPUT!$C267)</f>
        <v/>
      </c>
      <c r="CH267" s="18" t="str">
        <f t="shared" si="202"/>
        <v/>
      </c>
      <c r="CI267" s="18" t="str">
        <f>IF(CP267&lt;&gt;1,"",DATA_INPUT!$H267)</f>
        <v/>
      </c>
      <c r="CJ267" s="18" t="str">
        <f t="shared" si="203"/>
        <v/>
      </c>
      <c r="CK267" s="18" t="str">
        <f>IF(CP267&lt;&gt;1,"",CF267*CONTROL_PANEL!$B$14)</f>
        <v/>
      </c>
      <c r="CL267" s="18" t="str">
        <f>IF(CP267&lt;&gt;1,"",DATA_INPUT!$O267)</f>
        <v/>
      </c>
      <c r="CM267" s="18" t="str">
        <f t="shared" si="204"/>
        <v/>
      </c>
      <c r="CN267" s="18" t="str">
        <f>IF(CP267&lt;&gt;1,"",IF(CM267-CONTROL_PANEL!$B$11&lt;0,0,CM267-CONTROL_PANEL!$B$11))</f>
        <v/>
      </c>
      <c r="CO267" s="18" t="str">
        <f>IF(CP267&lt;&gt;1,"",IF(CL267&lt;=0,0,MIN(CL267,MAX(0,CONTROL_PANEL!$B$13-CM267))))</f>
        <v/>
      </c>
      <c r="CP267" s="18"/>
    </row>
    <row r="268" spans="1:94" x14ac:dyDescent="0.25">
      <c r="A268" s="19">
        <f t="shared" si="175"/>
        <v>2037</v>
      </c>
      <c r="B268" s="19">
        <f t="shared" si="180"/>
        <v>9</v>
      </c>
      <c r="C268" s="18" t="str">
        <f t="shared" si="185"/>
        <v/>
      </c>
      <c r="D268" s="18" t="str">
        <f t="shared" si="210"/>
        <v/>
      </c>
      <c r="E268" s="18" t="str">
        <f>IF(R267&lt;&gt;1,"",IF(O267&gt;0,IF(O267&gt;CONTROL_PANEL!$B$11,CONTROL_PANEL!$B$11,O267),0))</f>
        <v/>
      </c>
      <c r="F268" s="18" t="str">
        <f t="shared" si="205"/>
        <v/>
      </c>
      <c r="G268" s="18" t="str">
        <f>IF(R268&lt;&gt;1,"",DATA_INPUT!I268)</f>
        <v/>
      </c>
      <c r="H268" s="18" t="str">
        <f>IF(R268&lt;&gt;1,"",G268*CONTROL_PANEL!$B$5)</f>
        <v/>
      </c>
      <c r="I268" s="18" t="str">
        <f>IF(R268&lt;&gt;1,"",DATA_INPUT!C268)</f>
        <v/>
      </c>
      <c r="J268" s="18" t="str">
        <f t="shared" si="186"/>
        <v/>
      </c>
      <c r="K268" s="18" t="str">
        <f>IF(R268&lt;&gt;1,"",DATA_INPUT!H268)</f>
        <v/>
      </c>
      <c r="L268" s="18" t="str">
        <f t="shared" si="187"/>
        <v/>
      </c>
      <c r="M268" s="18" t="str">
        <f>IF(R268&lt;&gt;1,"",H268*CONTROL_PANEL!$B$14)</f>
        <v/>
      </c>
      <c r="N268" s="18" t="str">
        <f>IF(R268&lt;&gt;1,"",DATA_INPUT!K268)</f>
        <v/>
      </c>
      <c r="O268" s="18" t="str">
        <f t="shared" si="188"/>
        <v/>
      </c>
      <c r="P268" s="18" t="str">
        <f>IF(R268&lt;&gt;1,"",IF(O268-CONTROL_PANEL!$B$11&lt;0,0,O268-CONTROL_PANEL!$B$11))</f>
        <v/>
      </c>
      <c r="Q268" s="18" t="str">
        <f>IF(R268&lt;&gt;1,"",IF(N268&lt;=0,0,MIN(N268,MAX(0,CONTROL_PANEL!$B$13-O268))))</f>
        <v/>
      </c>
      <c r="R268" s="18"/>
      <c r="T268" s="19">
        <f t="shared" si="176"/>
        <v>2037</v>
      </c>
      <c r="U268" s="19">
        <f t="shared" si="181"/>
        <v>9</v>
      </c>
      <c r="V268" s="18" t="str">
        <f t="shared" si="189"/>
        <v/>
      </c>
      <c r="W268" s="18" t="str">
        <f t="shared" si="211"/>
        <v/>
      </c>
      <c r="X268" s="18" t="str">
        <f>IF(AK267&lt;&gt;1,"",IF(AH267&gt;0,IF(AH267&gt;CONTROL_PANEL!$B$11,CONTROL_PANEL!$B$11,AH267),0))</f>
        <v/>
      </c>
      <c r="Y268" s="18" t="str">
        <f t="shared" si="206"/>
        <v/>
      </c>
      <c r="Z268" s="18" t="str">
        <f>IF(AK268&lt;&gt;1,"",DATA_INPUT!I268)</f>
        <v/>
      </c>
      <c r="AA268" s="18" t="str">
        <f>IF(AK268&lt;&gt;1,"",Z268*CONTROL_PANEL!$B$5)</f>
        <v/>
      </c>
      <c r="AB268" s="18" t="str">
        <f>IF(AK268&lt;&gt;1,"",DATA_INPUT!$C268)</f>
        <v/>
      </c>
      <c r="AC268" s="18" t="str">
        <f t="shared" si="190"/>
        <v/>
      </c>
      <c r="AD268" s="18" t="str">
        <f>IF(AK268&lt;&gt;1,"",DATA_INPUT!$H268)</f>
        <v/>
      </c>
      <c r="AE268" s="18" t="str">
        <f t="shared" si="191"/>
        <v/>
      </c>
      <c r="AF268" s="18" t="str">
        <f>IF(AK268&lt;&gt;1,"",AA268*CONTROL_PANEL!$B$14)</f>
        <v/>
      </c>
      <c r="AG268" s="18" t="str">
        <f>IF(AK268&lt;&gt;1,"",DATA_INPUT!$L268)</f>
        <v/>
      </c>
      <c r="AH268" s="18" t="str">
        <f t="shared" si="192"/>
        <v/>
      </c>
      <c r="AI268" s="18" t="str">
        <f>IF(AK268&lt;&gt;1,"",IF(AH268-CONTROL_PANEL!$B$11&lt;0,0,AH268-CONTROL_PANEL!$B$11))</f>
        <v/>
      </c>
      <c r="AJ268" s="18" t="str">
        <f>IF(AK268&lt;&gt;1,"",IF(AG268&lt;=0,0,MIN(AG268,MAX(0,CONTROL_PANEL!$B$13-AH268))))</f>
        <v/>
      </c>
      <c r="AK268" s="18"/>
      <c r="AM268" s="19">
        <f t="shared" si="177"/>
        <v>2037</v>
      </c>
      <c r="AN268" s="19">
        <f t="shared" si="182"/>
        <v>9</v>
      </c>
      <c r="AO268" s="18" t="str">
        <f t="shared" si="193"/>
        <v/>
      </c>
      <c r="AP268" s="18" t="str">
        <f t="shared" si="212"/>
        <v/>
      </c>
      <c r="AQ268" s="18" t="str">
        <f>IF(BD267&lt;&gt;1,"",IF(BA267&gt;0,IF(BA267&gt;CONTROL_PANEL!$B$11,CONTROL_PANEL!$B$11,BA267),0))</f>
        <v/>
      </c>
      <c r="AR268" s="18" t="str">
        <f t="shared" si="207"/>
        <v/>
      </c>
      <c r="AS268" s="18" t="str">
        <f>IF(BD268&lt;&gt;1,"",DATA_INPUT!$I268)</f>
        <v/>
      </c>
      <c r="AT268" s="18" t="str">
        <f>IF(BD268&lt;&gt;1,"",AS268*CONTROL_PANEL!$B$5)</f>
        <v/>
      </c>
      <c r="AU268" s="18" t="str">
        <f>IF(BD268&lt;&gt;1,"",DATA_INPUT!$C268)</f>
        <v/>
      </c>
      <c r="AV268" s="18" t="str">
        <f t="shared" si="194"/>
        <v/>
      </c>
      <c r="AW268" s="18" t="str">
        <f>IF(BD268&lt;&gt;1,"",DATA_INPUT!$H268)</f>
        <v/>
      </c>
      <c r="AX268" s="18" t="str">
        <f t="shared" si="195"/>
        <v/>
      </c>
      <c r="AY268" s="18" t="str">
        <f>IF(BD268&lt;&gt;1,"",AT268*CONTROL_PANEL!$B$14)</f>
        <v/>
      </c>
      <c r="AZ268" s="18" t="str">
        <f>IF(BD268&lt;&gt;1,"",DATA_INPUT!$M268)</f>
        <v/>
      </c>
      <c r="BA268" s="18" t="str">
        <f t="shared" si="196"/>
        <v/>
      </c>
      <c r="BB268" s="18" t="str">
        <f>IF(BD268&lt;&gt;1,"",IF(BA268-CONTROL_PANEL!$B$11&lt;0,0,BA268-CONTROL_PANEL!$B$11))</f>
        <v/>
      </c>
      <c r="BC268" s="18" t="str">
        <f>IF(BD268&lt;&gt;1,"",IF(AZ268&lt;=0,0,MIN(AZ268,MAX(0,CONTROL_PANEL!$B$13-BA268))))</f>
        <v/>
      </c>
      <c r="BD268" s="18"/>
      <c r="BF268" s="19">
        <f t="shared" si="178"/>
        <v>2037</v>
      </c>
      <c r="BG268" s="19">
        <f t="shared" si="183"/>
        <v>9</v>
      </c>
      <c r="BH268" s="18" t="str">
        <f t="shared" si="197"/>
        <v/>
      </c>
      <c r="BI268" s="18" t="str">
        <f t="shared" si="213"/>
        <v/>
      </c>
      <c r="BJ268" s="18" t="str">
        <f>IF(BW267&lt;&gt;1,"",IF(BT267&gt;0,IF(BT267&gt;CONTROL_PANEL!$B$11,CONTROL_PANEL!$B$11,BT267),0))</f>
        <v/>
      </c>
      <c r="BK268" s="18" t="str">
        <f t="shared" si="208"/>
        <v/>
      </c>
      <c r="BL268" s="18" t="str">
        <f>IF(BW268&lt;&gt;1,"",DATA_INPUT!$I268)</f>
        <v/>
      </c>
      <c r="BM268" s="18" t="str">
        <f>IF(BW268&lt;&gt;1,"",BL268*CONTROL_PANEL!$B$5)</f>
        <v/>
      </c>
      <c r="BN268" s="18" t="str">
        <f>IF(BW268&lt;&gt;1,"",DATA_INPUT!$C268)</f>
        <v/>
      </c>
      <c r="BO268" s="18" t="str">
        <f t="shared" si="198"/>
        <v/>
      </c>
      <c r="BP268" s="18" t="str">
        <f>IF(BW268&lt;&gt;1,"",DATA_INPUT!$H268)</f>
        <v/>
      </c>
      <c r="BQ268" s="18" t="str">
        <f t="shared" si="199"/>
        <v/>
      </c>
      <c r="BR268" s="18" t="str">
        <f>IF(BW268&lt;&gt;1,"",BM268*CONTROL_PANEL!$B$14)</f>
        <v/>
      </c>
      <c r="BS268" s="18" t="str">
        <f>IF(BW268&lt;&gt;1,"",DATA_INPUT!$N268)</f>
        <v/>
      </c>
      <c r="BT268" s="18" t="str">
        <f t="shared" si="200"/>
        <v/>
      </c>
      <c r="BU268" s="18" t="str">
        <f>IF(BW268&lt;&gt;1,"",IF(BT268-CONTROL_PANEL!$B$11&lt;0,0,BT268-CONTROL_PANEL!$B$11))</f>
        <v/>
      </c>
      <c r="BV268" s="18" t="str">
        <f>IF(BW268&lt;&gt;1,"",IF(BS268&lt;=0,0,MIN(BS268,MAX(0,CONTROL_PANEL!$B$13-BT268))))</f>
        <v/>
      </c>
      <c r="BW268" s="18"/>
      <c r="BY268" s="19">
        <f t="shared" si="179"/>
        <v>2037</v>
      </c>
      <c r="BZ268" s="19">
        <f t="shared" si="184"/>
        <v>9</v>
      </c>
      <c r="CA268" s="18" t="str">
        <f t="shared" si="201"/>
        <v/>
      </c>
      <c r="CB268" s="18" t="str">
        <f t="shared" si="214"/>
        <v/>
      </c>
      <c r="CC268" s="18" t="str">
        <f>IF(CP267&lt;&gt;1,"",IF(CM267&gt;0,IF(CM267&gt;CONTROL_PANEL!$B$11,CONTROL_PANEL!$B$11,CM267),0))</f>
        <v/>
      </c>
      <c r="CD268" s="18" t="str">
        <f t="shared" si="209"/>
        <v/>
      </c>
      <c r="CE268" s="18" t="str">
        <f>IF(CP268&lt;&gt;1,"",DATA_INPUT!$I268)</f>
        <v/>
      </c>
      <c r="CF268" s="18" t="str">
        <f>IF(CP268&lt;&gt;1,"",CE268*CONTROL_PANEL!$B$5)</f>
        <v/>
      </c>
      <c r="CG268" s="18" t="str">
        <f>IF(CP268&lt;&gt;1,"",DATA_INPUT!$C268)</f>
        <v/>
      </c>
      <c r="CH268" s="18" t="str">
        <f t="shared" si="202"/>
        <v/>
      </c>
      <c r="CI268" s="18" t="str">
        <f>IF(CP268&lt;&gt;1,"",DATA_INPUT!$H268)</f>
        <v/>
      </c>
      <c r="CJ268" s="18" t="str">
        <f t="shared" si="203"/>
        <v/>
      </c>
      <c r="CK268" s="18" t="str">
        <f>IF(CP268&lt;&gt;1,"",CF268*CONTROL_PANEL!$B$14)</f>
        <v/>
      </c>
      <c r="CL268" s="18" t="str">
        <f>IF(CP268&lt;&gt;1,"",DATA_INPUT!$O268)</f>
        <v/>
      </c>
      <c r="CM268" s="18" t="str">
        <f t="shared" si="204"/>
        <v/>
      </c>
      <c r="CN268" s="18" t="str">
        <f>IF(CP268&lt;&gt;1,"",IF(CM268-CONTROL_PANEL!$B$11&lt;0,0,CM268-CONTROL_PANEL!$B$11))</f>
        <v/>
      </c>
      <c r="CO268" s="18" t="str">
        <f>IF(CP268&lt;&gt;1,"",IF(CL268&lt;=0,0,MIN(CL268,MAX(0,CONTROL_PANEL!$B$13-CM268))))</f>
        <v/>
      </c>
      <c r="CP268" s="18"/>
    </row>
    <row r="269" spans="1:94" x14ac:dyDescent="0.25">
      <c r="A269" s="19">
        <f t="shared" si="175"/>
        <v>2037</v>
      </c>
      <c r="B269" s="19">
        <f t="shared" si="180"/>
        <v>10</v>
      </c>
      <c r="C269" s="18" t="str">
        <f t="shared" si="185"/>
        <v/>
      </c>
      <c r="D269" s="18" t="str">
        <f t="shared" si="210"/>
        <v/>
      </c>
      <c r="E269" s="18" t="str">
        <f>IF(R268&lt;&gt;1,"",IF(O268&gt;0,IF(O268&gt;CONTROL_PANEL!$B$11,CONTROL_PANEL!$B$11,O268),0))</f>
        <v/>
      </c>
      <c r="F269" s="18" t="str">
        <f t="shared" si="205"/>
        <v/>
      </c>
      <c r="G269" s="18" t="str">
        <f>IF(R269&lt;&gt;1,"",DATA_INPUT!I269)</f>
        <v/>
      </c>
      <c r="H269" s="18" t="str">
        <f>IF(R269&lt;&gt;1,"",G269*CONTROL_PANEL!$B$5)</f>
        <v/>
      </c>
      <c r="I269" s="18" t="str">
        <f>IF(R269&lt;&gt;1,"",DATA_INPUT!C269)</f>
        <v/>
      </c>
      <c r="J269" s="18" t="str">
        <f t="shared" si="186"/>
        <v/>
      </c>
      <c r="K269" s="18" t="str">
        <f>IF(R269&lt;&gt;1,"",DATA_INPUT!H269)</f>
        <v/>
      </c>
      <c r="L269" s="18" t="str">
        <f t="shared" si="187"/>
        <v/>
      </c>
      <c r="M269" s="18" t="str">
        <f>IF(R269&lt;&gt;1,"",H269*CONTROL_PANEL!$B$14)</f>
        <v/>
      </c>
      <c r="N269" s="18" t="str">
        <f>IF(R269&lt;&gt;1,"",DATA_INPUT!K269)</f>
        <v/>
      </c>
      <c r="O269" s="18" t="str">
        <f t="shared" si="188"/>
        <v/>
      </c>
      <c r="P269" s="18" t="str">
        <f>IF(R269&lt;&gt;1,"",IF(O269-CONTROL_PANEL!$B$11&lt;0,0,O269-CONTROL_PANEL!$B$11))</f>
        <v/>
      </c>
      <c r="Q269" s="18" t="str">
        <f>IF(R269&lt;&gt;1,"",IF(N269&lt;=0,0,MIN(N269,MAX(0,CONTROL_PANEL!$B$13-O269))))</f>
        <v/>
      </c>
      <c r="R269" s="18"/>
      <c r="T269" s="19">
        <f t="shared" si="176"/>
        <v>2037</v>
      </c>
      <c r="U269" s="19">
        <f t="shared" si="181"/>
        <v>10</v>
      </c>
      <c r="V269" s="18" t="str">
        <f t="shared" si="189"/>
        <v/>
      </c>
      <c r="W269" s="18" t="str">
        <f t="shared" si="211"/>
        <v/>
      </c>
      <c r="X269" s="18" t="str">
        <f>IF(AK268&lt;&gt;1,"",IF(AH268&gt;0,IF(AH268&gt;CONTROL_PANEL!$B$11,CONTROL_PANEL!$B$11,AH268),0))</f>
        <v/>
      </c>
      <c r="Y269" s="18" t="str">
        <f t="shared" si="206"/>
        <v/>
      </c>
      <c r="Z269" s="18" t="str">
        <f>IF(AK269&lt;&gt;1,"",DATA_INPUT!I269)</f>
        <v/>
      </c>
      <c r="AA269" s="18" t="str">
        <f>IF(AK269&lt;&gt;1,"",Z269*CONTROL_PANEL!$B$5)</f>
        <v/>
      </c>
      <c r="AB269" s="18" t="str">
        <f>IF(AK269&lt;&gt;1,"",DATA_INPUT!$C269)</f>
        <v/>
      </c>
      <c r="AC269" s="18" t="str">
        <f t="shared" si="190"/>
        <v/>
      </c>
      <c r="AD269" s="18" t="str">
        <f>IF(AK269&lt;&gt;1,"",DATA_INPUT!$H269)</f>
        <v/>
      </c>
      <c r="AE269" s="18" t="str">
        <f t="shared" si="191"/>
        <v/>
      </c>
      <c r="AF269" s="18" t="str">
        <f>IF(AK269&lt;&gt;1,"",AA269*CONTROL_PANEL!$B$14)</f>
        <v/>
      </c>
      <c r="AG269" s="18" t="str">
        <f>IF(AK269&lt;&gt;1,"",DATA_INPUT!$L269)</f>
        <v/>
      </c>
      <c r="AH269" s="18" t="str">
        <f t="shared" si="192"/>
        <v/>
      </c>
      <c r="AI269" s="18" t="str">
        <f>IF(AK269&lt;&gt;1,"",IF(AH269-CONTROL_PANEL!$B$11&lt;0,0,AH269-CONTROL_PANEL!$B$11))</f>
        <v/>
      </c>
      <c r="AJ269" s="18" t="str">
        <f>IF(AK269&lt;&gt;1,"",IF(AG269&lt;=0,0,MIN(AG269,MAX(0,CONTROL_PANEL!$B$13-AH269))))</f>
        <v/>
      </c>
      <c r="AK269" s="18"/>
      <c r="AM269" s="19">
        <f t="shared" si="177"/>
        <v>2037</v>
      </c>
      <c r="AN269" s="19">
        <f t="shared" si="182"/>
        <v>10</v>
      </c>
      <c r="AO269" s="18" t="str">
        <f t="shared" si="193"/>
        <v/>
      </c>
      <c r="AP269" s="18" t="str">
        <f t="shared" si="212"/>
        <v/>
      </c>
      <c r="AQ269" s="18" t="str">
        <f>IF(BD268&lt;&gt;1,"",IF(BA268&gt;0,IF(BA268&gt;CONTROL_PANEL!$B$11,CONTROL_PANEL!$B$11,BA268),0))</f>
        <v/>
      </c>
      <c r="AR269" s="18" t="str">
        <f t="shared" si="207"/>
        <v/>
      </c>
      <c r="AS269" s="18" t="str">
        <f>IF(BD269&lt;&gt;1,"",DATA_INPUT!$I269)</f>
        <v/>
      </c>
      <c r="AT269" s="18" t="str">
        <f>IF(BD269&lt;&gt;1,"",AS269*CONTROL_PANEL!$B$5)</f>
        <v/>
      </c>
      <c r="AU269" s="18" t="str">
        <f>IF(BD269&lt;&gt;1,"",DATA_INPUT!$C269)</f>
        <v/>
      </c>
      <c r="AV269" s="18" t="str">
        <f t="shared" si="194"/>
        <v/>
      </c>
      <c r="AW269" s="18" t="str">
        <f>IF(BD269&lt;&gt;1,"",DATA_INPUT!$H269)</f>
        <v/>
      </c>
      <c r="AX269" s="18" t="str">
        <f t="shared" si="195"/>
        <v/>
      </c>
      <c r="AY269" s="18" t="str">
        <f>IF(BD269&lt;&gt;1,"",AT269*CONTROL_PANEL!$B$14)</f>
        <v/>
      </c>
      <c r="AZ269" s="18" t="str">
        <f>IF(BD269&lt;&gt;1,"",DATA_INPUT!$M269)</f>
        <v/>
      </c>
      <c r="BA269" s="18" t="str">
        <f t="shared" si="196"/>
        <v/>
      </c>
      <c r="BB269" s="18" t="str">
        <f>IF(BD269&lt;&gt;1,"",IF(BA269-CONTROL_PANEL!$B$11&lt;0,0,BA269-CONTROL_PANEL!$B$11))</f>
        <v/>
      </c>
      <c r="BC269" s="18" t="str">
        <f>IF(BD269&lt;&gt;1,"",IF(AZ269&lt;=0,0,MIN(AZ269,MAX(0,CONTROL_PANEL!$B$13-BA269))))</f>
        <v/>
      </c>
      <c r="BD269" s="18"/>
      <c r="BF269" s="19">
        <f t="shared" si="178"/>
        <v>2037</v>
      </c>
      <c r="BG269" s="19">
        <f t="shared" si="183"/>
        <v>10</v>
      </c>
      <c r="BH269" s="18" t="str">
        <f t="shared" si="197"/>
        <v/>
      </c>
      <c r="BI269" s="18" t="str">
        <f t="shared" si="213"/>
        <v/>
      </c>
      <c r="BJ269" s="18" t="str">
        <f>IF(BW268&lt;&gt;1,"",IF(BT268&gt;0,IF(BT268&gt;CONTROL_PANEL!$B$11,CONTROL_PANEL!$B$11,BT268),0))</f>
        <v/>
      </c>
      <c r="BK269" s="18" t="str">
        <f t="shared" si="208"/>
        <v/>
      </c>
      <c r="BL269" s="18" t="str">
        <f>IF(BW269&lt;&gt;1,"",DATA_INPUT!$I269)</f>
        <v/>
      </c>
      <c r="BM269" s="18" t="str">
        <f>IF(BW269&lt;&gt;1,"",BL269*CONTROL_PANEL!$B$5)</f>
        <v/>
      </c>
      <c r="BN269" s="18" t="str">
        <f>IF(BW269&lt;&gt;1,"",DATA_INPUT!$C269)</f>
        <v/>
      </c>
      <c r="BO269" s="18" t="str">
        <f t="shared" si="198"/>
        <v/>
      </c>
      <c r="BP269" s="18" t="str">
        <f>IF(BW269&lt;&gt;1,"",DATA_INPUT!$H269)</f>
        <v/>
      </c>
      <c r="BQ269" s="18" t="str">
        <f t="shared" si="199"/>
        <v/>
      </c>
      <c r="BR269" s="18" t="str">
        <f>IF(BW269&lt;&gt;1,"",BM269*CONTROL_PANEL!$B$14)</f>
        <v/>
      </c>
      <c r="BS269" s="18" t="str">
        <f>IF(BW269&lt;&gt;1,"",DATA_INPUT!$N269)</f>
        <v/>
      </c>
      <c r="BT269" s="18" t="str">
        <f t="shared" si="200"/>
        <v/>
      </c>
      <c r="BU269" s="18" t="str">
        <f>IF(BW269&lt;&gt;1,"",IF(BT269-CONTROL_PANEL!$B$11&lt;0,0,BT269-CONTROL_PANEL!$B$11))</f>
        <v/>
      </c>
      <c r="BV269" s="18" t="str">
        <f>IF(BW269&lt;&gt;1,"",IF(BS269&lt;=0,0,MIN(BS269,MAX(0,CONTROL_PANEL!$B$13-BT269))))</f>
        <v/>
      </c>
      <c r="BW269" s="18"/>
      <c r="BY269" s="19">
        <f t="shared" si="179"/>
        <v>2037</v>
      </c>
      <c r="BZ269" s="19">
        <f t="shared" si="184"/>
        <v>10</v>
      </c>
      <c r="CA269" s="18" t="str">
        <f t="shared" si="201"/>
        <v/>
      </c>
      <c r="CB269" s="18" t="str">
        <f t="shared" si="214"/>
        <v/>
      </c>
      <c r="CC269" s="18" t="str">
        <f>IF(CP268&lt;&gt;1,"",IF(CM268&gt;0,IF(CM268&gt;CONTROL_PANEL!$B$11,CONTROL_PANEL!$B$11,CM268),0))</f>
        <v/>
      </c>
      <c r="CD269" s="18" t="str">
        <f t="shared" si="209"/>
        <v/>
      </c>
      <c r="CE269" s="18" t="str">
        <f>IF(CP269&lt;&gt;1,"",DATA_INPUT!$I269)</f>
        <v/>
      </c>
      <c r="CF269" s="18" t="str">
        <f>IF(CP269&lt;&gt;1,"",CE269*CONTROL_PANEL!$B$5)</f>
        <v/>
      </c>
      <c r="CG269" s="18" t="str">
        <f>IF(CP269&lt;&gt;1,"",DATA_INPUT!$C269)</f>
        <v/>
      </c>
      <c r="CH269" s="18" t="str">
        <f t="shared" si="202"/>
        <v/>
      </c>
      <c r="CI269" s="18" t="str">
        <f>IF(CP269&lt;&gt;1,"",DATA_INPUT!$H269)</f>
        <v/>
      </c>
      <c r="CJ269" s="18" t="str">
        <f t="shared" si="203"/>
        <v/>
      </c>
      <c r="CK269" s="18" t="str">
        <f>IF(CP269&lt;&gt;1,"",CF269*CONTROL_PANEL!$B$14)</f>
        <v/>
      </c>
      <c r="CL269" s="18" t="str">
        <f>IF(CP269&lt;&gt;1,"",DATA_INPUT!$O269)</f>
        <v/>
      </c>
      <c r="CM269" s="18" t="str">
        <f t="shared" si="204"/>
        <v/>
      </c>
      <c r="CN269" s="18" t="str">
        <f>IF(CP269&lt;&gt;1,"",IF(CM269-CONTROL_PANEL!$B$11&lt;0,0,CM269-CONTROL_PANEL!$B$11))</f>
        <v/>
      </c>
      <c r="CO269" s="18" t="str">
        <f>IF(CP269&lt;&gt;1,"",IF(CL269&lt;=0,0,MIN(CL269,MAX(0,CONTROL_PANEL!$B$13-CM269))))</f>
        <v/>
      </c>
      <c r="CP269" s="18"/>
    </row>
    <row r="270" spans="1:94" x14ac:dyDescent="0.25">
      <c r="A270" s="19">
        <f t="shared" si="175"/>
        <v>2037</v>
      </c>
      <c r="B270" s="19">
        <f t="shared" si="180"/>
        <v>11</v>
      </c>
      <c r="C270" s="18" t="str">
        <f t="shared" si="185"/>
        <v/>
      </c>
      <c r="D270" s="18" t="str">
        <f t="shared" si="210"/>
        <v/>
      </c>
      <c r="E270" s="18" t="str">
        <f>IF(R269&lt;&gt;1,"",IF(O269&gt;0,IF(O269&gt;CONTROL_PANEL!$B$11,CONTROL_PANEL!$B$11,O269),0))</f>
        <v/>
      </c>
      <c r="F270" s="18" t="str">
        <f t="shared" si="205"/>
        <v/>
      </c>
      <c r="G270" s="18" t="str">
        <f>IF(R270&lt;&gt;1,"",DATA_INPUT!I270)</f>
        <v/>
      </c>
      <c r="H270" s="18" t="str">
        <f>IF(R270&lt;&gt;1,"",G270*CONTROL_PANEL!$B$5)</f>
        <v/>
      </c>
      <c r="I270" s="18" t="str">
        <f>IF(R270&lt;&gt;1,"",DATA_INPUT!C270)</f>
        <v/>
      </c>
      <c r="J270" s="18" t="str">
        <f t="shared" si="186"/>
        <v/>
      </c>
      <c r="K270" s="18" t="str">
        <f>IF(R270&lt;&gt;1,"",DATA_INPUT!H270)</f>
        <v/>
      </c>
      <c r="L270" s="18" t="str">
        <f t="shared" si="187"/>
        <v/>
      </c>
      <c r="M270" s="18" t="str">
        <f>IF(R270&lt;&gt;1,"",H270*CONTROL_PANEL!$B$14)</f>
        <v/>
      </c>
      <c r="N270" s="18" t="str">
        <f>IF(R270&lt;&gt;1,"",DATA_INPUT!K270)</f>
        <v/>
      </c>
      <c r="O270" s="18" t="str">
        <f t="shared" si="188"/>
        <v/>
      </c>
      <c r="P270" s="18" t="str">
        <f>IF(R270&lt;&gt;1,"",IF(O270-CONTROL_PANEL!$B$11&lt;0,0,O270-CONTROL_PANEL!$B$11))</f>
        <v/>
      </c>
      <c r="Q270" s="18" t="str">
        <f>IF(R270&lt;&gt;1,"",IF(N270&lt;=0,0,MIN(N270,MAX(0,CONTROL_PANEL!$B$13-O270))))</f>
        <v/>
      </c>
      <c r="R270" s="18"/>
      <c r="T270" s="19">
        <f t="shared" si="176"/>
        <v>2037</v>
      </c>
      <c r="U270" s="19">
        <f t="shared" si="181"/>
        <v>11</v>
      </c>
      <c r="V270" s="18" t="str">
        <f t="shared" si="189"/>
        <v/>
      </c>
      <c r="W270" s="18" t="str">
        <f t="shared" si="211"/>
        <v/>
      </c>
      <c r="X270" s="18" t="str">
        <f>IF(AK269&lt;&gt;1,"",IF(AH269&gt;0,IF(AH269&gt;CONTROL_PANEL!$B$11,CONTROL_PANEL!$B$11,AH269),0))</f>
        <v/>
      </c>
      <c r="Y270" s="18" t="str">
        <f t="shared" si="206"/>
        <v/>
      </c>
      <c r="Z270" s="18" t="str">
        <f>IF(AK270&lt;&gt;1,"",DATA_INPUT!I270)</f>
        <v/>
      </c>
      <c r="AA270" s="18" t="str">
        <f>IF(AK270&lt;&gt;1,"",Z270*CONTROL_PANEL!$B$5)</f>
        <v/>
      </c>
      <c r="AB270" s="18" t="str">
        <f>IF(AK270&lt;&gt;1,"",DATA_INPUT!$C270)</f>
        <v/>
      </c>
      <c r="AC270" s="18" t="str">
        <f t="shared" si="190"/>
        <v/>
      </c>
      <c r="AD270" s="18" t="str">
        <f>IF(AK270&lt;&gt;1,"",DATA_INPUT!$H270)</f>
        <v/>
      </c>
      <c r="AE270" s="18" t="str">
        <f t="shared" si="191"/>
        <v/>
      </c>
      <c r="AF270" s="18" t="str">
        <f>IF(AK270&lt;&gt;1,"",AA270*CONTROL_PANEL!$B$14)</f>
        <v/>
      </c>
      <c r="AG270" s="18" t="str">
        <f>IF(AK270&lt;&gt;1,"",DATA_INPUT!$L270)</f>
        <v/>
      </c>
      <c r="AH270" s="18" t="str">
        <f t="shared" si="192"/>
        <v/>
      </c>
      <c r="AI270" s="18" t="str">
        <f>IF(AK270&lt;&gt;1,"",IF(AH270-CONTROL_PANEL!$B$11&lt;0,0,AH270-CONTROL_PANEL!$B$11))</f>
        <v/>
      </c>
      <c r="AJ270" s="18" t="str">
        <f>IF(AK270&lt;&gt;1,"",IF(AG270&lt;=0,0,MIN(AG270,MAX(0,CONTROL_PANEL!$B$13-AH270))))</f>
        <v/>
      </c>
      <c r="AK270" s="18"/>
      <c r="AM270" s="19">
        <f t="shared" si="177"/>
        <v>2037</v>
      </c>
      <c r="AN270" s="19">
        <f t="shared" si="182"/>
        <v>11</v>
      </c>
      <c r="AO270" s="18" t="str">
        <f t="shared" si="193"/>
        <v/>
      </c>
      <c r="AP270" s="18" t="str">
        <f t="shared" si="212"/>
        <v/>
      </c>
      <c r="AQ270" s="18" t="str">
        <f>IF(BD269&lt;&gt;1,"",IF(BA269&gt;0,IF(BA269&gt;CONTROL_PANEL!$B$11,CONTROL_PANEL!$B$11,BA269),0))</f>
        <v/>
      </c>
      <c r="AR270" s="18" t="str">
        <f t="shared" si="207"/>
        <v/>
      </c>
      <c r="AS270" s="18" t="str">
        <f>IF(BD270&lt;&gt;1,"",DATA_INPUT!$I270)</f>
        <v/>
      </c>
      <c r="AT270" s="18" t="str">
        <f>IF(BD270&lt;&gt;1,"",AS270*CONTROL_PANEL!$B$5)</f>
        <v/>
      </c>
      <c r="AU270" s="18" t="str">
        <f>IF(BD270&lt;&gt;1,"",DATA_INPUT!$C270)</f>
        <v/>
      </c>
      <c r="AV270" s="18" t="str">
        <f t="shared" si="194"/>
        <v/>
      </c>
      <c r="AW270" s="18" t="str">
        <f>IF(BD270&lt;&gt;1,"",DATA_INPUT!$H270)</f>
        <v/>
      </c>
      <c r="AX270" s="18" t="str">
        <f t="shared" si="195"/>
        <v/>
      </c>
      <c r="AY270" s="18" t="str">
        <f>IF(BD270&lt;&gt;1,"",AT270*CONTROL_PANEL!$B$14)</f>
        <v/>
      </c>
      <c r="AZ270" s="18" t="str">
        <f>IF(BD270&lt;&gt;1,"",DATA_INPUT!$M270)</f>
        <v/>
      </c>
      <c r="BA270" s="18" t="str">
        <f t="shared" si="196"/>
        <v/>
      </c>
      <c r="BB270" s="18" t="str">
        <f>IF(BD270&lt;&gt;1,"",IF(BA270-CONTROL_PANEL!$B$11&lt;0,0,BA270-CONTROL_PANEL!$B$11))</f>
        <v/>
      </c>
      <c r="BC270" s="18" t="str">
        <f>IF(BD270&lt;&gt;1,"",IF(AZ270&lt;=0,0,MIN(AZ270,MAX(0,CONTROL_PANEL!$B$13-BA270))))</f>
        <v/>
      </c>
      <c r="BD270" s="18"/>
      <c r="BF270" s="19">
        <f t="shared" si="178"/>
        <v>2037</v>
      </c>
      <c r="BG270" s="19">
        <f t="shared" si="183"/>
        <v>11</v>
      </c>
      <c r="BH270" s="18" t="str">
        <f t="shared" si="197"/>
        <v/>
      </c>
      <c r="BI270" s="18" t="str">
        <f t="shared" si="213"/>
        <v/>
      </c>
      <c r="BJ270" s="18" t="str">
        <f>IF(BW269&lt;&gt;1,"",IF(BT269&gt;0,IF(BT269&gt;CONTROL_PANEL!$B$11,CONTROL_PANEL!$B$11,BT269),0))</f>
        <v/>
      </c>
      <c r="BK270" s="18" t="str">
        <f t="shared" si="208"/>
        <v/>
      </c>
      <c r="BL270" s="18" t="str">
        <f>IF(BW270&lt;&gt;1,"",DATA_INPUT!$I270)</f>
        <v/>
      </c>
      <c r="BM270" s="18" t="str">
        <f>IF(BW270&lt;&gt;1,"",BL270*CONTROL_PANEL!$B$5)</f>
        <v/>
      </c>
      <c r="BN270" s="18" t="str">
        <f>IF(BW270&lt;&gt;1,"",DATA_INPUT!$C270)</f>
        <v/>
      </c>
      <c r="BO270" s="18" t="str">
        <f t="shared" si="198"/>
        <v/>
      </c>
      <c r="BP270" s="18" t="str">
        <f>IF(BW270&lt;&gt;1,"",DATA_INPUT!$H270)</f>
        <v/>
      </c>
      <c r="BQ270" s="18" t="str">
        <f t="shared" si="199"/>
        <v/>
      </c>
      <c r="BR270" s="18" t="str">
        <f>IF(BW270&lt;&gt;1,"",BM270*CONTROL_PANEL!$B$14)</f>
        <v/>
      </c>
      <c r="BS270" s="18" t="str">
        <f>IF(BW270&lt;&gt;1,"",DATA_INPUT!$N270)</f>
        <v/>
      </c>
      <c r="BT270" s="18" t="str">
        <f t="shared" si="200"/>
        <v/>
      </c>
      <c r="BU270" s="18" t="str">
        <f>IF(BW270&lt;&gt;1,"",IF(BT270-CONTROL_PANEL!$B$11&lt;0,0,BT270-CONTROL_PANEL!$B$11))</f>
        <v/>
      </c>
      <c r="BV270" s="18" t="str">
        <f>IF(BW270&lt;&gt;1,"",IF(BS270&lt;=0,0,MIN(BS270,MAX(0,CONTROL_PANEL!$B$13-BT270))))</f>
        <v/>
      </c>
      <c r="BW270" s="18"/>
      <c r="BY270" s="19">
        <f t="shared" si="179"/>
        <v>2037</v>
      </c>
      <c r="BZ270" s="19">
        <f t="shared" si="184"/>
        <v>11</v>
      </c>
      <c r="CA270" s="18" t="str">
        <f t="shared" si="201"/>
        <v/>
      </c>
      <c r="CB270" s="18" t="str">
        <f t="shared" si="214"/>
        <v/>
      </c>
      <c r="CC270" s="18" t="str">
        <f>IF(CP269&lt;&gt;1,"",IF(CM269&gt;0,IF(CM269&gt;CONTROL_PANEL!$B$11,CONTROL_PANEL!$B$11,CM269),0))</f>
        <v/>
      </c>
      <c r="CD270" s="18" t="str">
        <f t="shared" si="209"/>
        <v/>
      </c>
      <c r="CE270" s="18" t="str">
        <f>IF(CP270&lt;&gt;1,"",DATA_INPUT!$I270)</f>
        <v/>
      </c>
      <c r="CF270" s="18" t="str">
        <f>IF(CP270&lt;&gt;1,"",CE270*CONTROL_PANEL!$B$5)</f>
        <v/>
      </c>
      <c r="CG270" s="18" t="str">
        <f>IF(CP270&lt;&gt;1,"",DATA_INPUT!$C270)</f>
        <v/>
      </c>
      <c r="CH270" s="18" t="str">
        <f t="shared" si="202"/>
        <v/>
      </c>
      <c r="CI270" s="18" t="str">
        <f>IF(CP270&lt;&gt;1,"",DATA_INPUT!$H270)</f>
        <v/>
      </c>
      <c r="CJ270" s="18" t="str">
        <f t="shared" si="203"/>
        <v/>
      </c>
      <c r="CK270" s="18" t="str">
        <f>IF(CP270&lt;&gt;1,"",CF270*CONTROL_PANEL!$B$14)</f>
        <v/>
      </c>
      <c r="CL270" s="18" t="str">
        <f>IF(CP270&lt;&gt;1,"",DATA_INPUT!$O270)</f>
        <v/>
      </c>
      <c r="CM270" s="18" t="str">
        <f t="shared" si="204"/>
        <v/>
      </c>
      <c r="CN270" s="18" t="str">
        <f>IF(CP270&lt;&gt;1,"",IF(CM270-CONTROL_PANEL!$B$11&lt;0,0,CM270-CONTROL_PANEL!$B$11))</f>
        <v/>
      </c>
      <c r="CO270" s="18" t="str">
        <f>IF(CP270&lt;&gt;1,"",IF(CL270&lt;=0,0,MIN(CL270,MAX(0,CONTROL_PANEL!$B$13-CM270))))</f>
        <v/>
      </c>
      <c r="CP270" s="18"/>
    </row>
    <row r="271" spans="1:94" x14ac:dyDescent="0.25">
      <c r="A271" s="19">
        <f t="shared" si="175"/>
        <v>2037</v>
      </c>
      <c r="B271" s="19">
        <f t="shared" si="180"/>
        <v>12</v>
      </c>
      <c r="C271" s="18" t="str">
        <f t="shared" si="185"/>
        <v/>
      </c>
      <c r="D271" s="18" t="str">
        <f t="shared" si="210"/>
        <v/>
      </c>
      <c r="E271" s="18" t="str">
        <f>IF(R270&lt;&gt;1,"",IF(O270&gt;0,IF(O270&gt;CONTROL_PANEL!$B$11,CONTROL_PANEL!$B$11,O270),0))</f>
        <v/>
      </c>
      <c r="F271" s="18" t="str">
        <f t="shared" si="205"/>
        <v/>
      </c>
      <c r="G271" s="18" t="str">
        <f>IF(R271&lt;&gt;1,"",DATA_INPUT!I271)</f>
        <v/>
      </c>
      <c r="H271" s="18" t="str">
        <f>IF(R271&lt;&gt;1,"",G271*CONTROL_PANEL!$B$5)</f>
        <v/>
      </c>
      <c r="I271" s="18" t="str">
        <f>IF(R271&lt;&gt;1,"",DATA_INPUT!C271)</f>
        <v/>
      </c>
      <c r="J271" s="18" t="str">
        <f t="shared" si="186"/>
        <v/>
      </c>
      <c r="K271" s="18" t="str">
        <f>IF(R271&lt;&gt;1,"",DATA_INPUT!H271)</f>
        <v/>
      </c>
      <c r="L271" s="18" t="str">
        <f t="shared" si="187"/>
        <v/>
      </c>
      <c r="M271" s="18" t="str">
        <f>IF(R271&lt;&gt;1,"",H271*CONTROL_PANEL!$B$14)</f>
        <v/>
      </c>
      <c r="N271" s="18" t="str">
        <f>IF(R271&lt;&gt;1,"",DATA_INPUT!K271)</f>
        <v/>
      </c>
      <c r="O271" s="18" t="str">
        <f t="shared" si="188"/>
        <v/>
      </c>
      <c r="P271" s="18" t="str">
        <f>IF(R271&lt;&gt;1,"",IF(O271-CONTROL_PANEL!$B$11&lt;0,0,O271-CONTROL_PANEL!$B$11))</f>
        <v/>
      </c>
      <c r="Q271" s="18" t="str">
        <f>IF(R271&lt;&gt;1,"",IF(N271&lt;=0,0,MIN(N271,MAX(0,CONTROL_PANEL!$B$13-O271))))</f>
        <v/>
      </c>
      <c r="R271" s="18"/>
      <c r="T271" s="19">
        <f t="shared" si="176"/>
        <v>2037</v>
      </c>
      <c r="U271" s="19">
        <f t="shared" si="181"/>
        <v>12</v>
      </c>
      <c r="V271" s="18" t="str">
        <f t="shared" si="189"/>
        <v/>
      </c>
      <c r="W271" s="18" t="str">
        <f t="shared" si="211"/>
        <v/>
      </c>
      <c r="X271" s="18" t="str">
        <f>IF(AK270&lt;&gt;1,"",IF(AH270&gt;0,IF(AH270&gt;CONTROL_PANEL!$B$11,CONTROL_PANEL!$B$11,AH270),0))</f>
        <v/>
      </c>
      <c r="Y271" s="18" t="str">
        <f t="shared" si="206"/>
        <v/>
      </c>
      <c r="Z271" s="18" t="str">
        <f>IF(AK271&lt;&gt;1,"",DATA_INPUT!I271)</f>
        <v/>
      </c>
      <c r="AA271" s="18" t="str">
        <f>IF(AK271&lt;&gt;1,"",Z271*CONTROL_PANEL!$B$5)</f>
        <v/>
      </c>
      <c r="AB271" s="18" t="str">
        <f>IF(AK271&lt;&gt;1,"",DATA_INPUT!$C271)</f>
        <v/>
      </c>
      <c r="AC271" s="18" t="str">
        <f t="shared" si="190"/>
        <v/>
      </c>
      <c r="AD271" s="18" t="str">
        <f>IF(AK271&lt;&gt;1,"",DATA_INPUT!$H271)</f>
        <v/>
      </c>
      <c r="AE271" s="18" t="str">
        <f t="shared" si="191"/>
        <v/>
      </c>
      <c r="AF271" s="18" t="str">
        <f>IF(AK271&lt;&gt;1,"",AA271*CONTROL_PANEL!$B$14)</f>
        <v/>
      </c>
      <c r="AG271" s="18" t="str">
        <f>IF(AK271&lt;&gt;1,"",DATA_INPUT!$L271)</f>
        <v/>
      </c>
      <c r="AH271" s="18" t="str">
        <f t="shared" si="192"/>
        <v/>
      </c>
      <c r="AI271" s="18" t="str">
        <f>IF(AK271&lt;&gt;1,"",IF(AH271-CONTROL_PANEL!$B$11&lt;0,0,AH271-CONTROL_PANEL!$B$11))</f>
        <v/>
      </c>
      <c r="AJ271" s="18" t="str">
        <f>IF(AK271&lt;&gt;1,"",IF(AG271&lt;=0,0,MIN(AG271,MAX(0,CONTROL_PANEL!$B$13-AH271))))</f>
        <v/>
      </c>
      <c r="AK271" s="18"/>
      <c r="AM271" s="19">
        <f t="shared" si="177"/>
        <v>2037</v>
      </c>
      <c r="AN271" s="19">
        <f t="shared" si="182"/>
        <v>12</v>
      </c>
      <c r="AO271" s="18" t="str">
        <f t="shared" si="193"/>
        <v/>
      </c>
      <c r="AP271" s="18" t="str">
        <f t="shared" si="212"/>
        <v/>
      </c>
      <c r="AQ271" s="18" t="str">
        <f>IF(BD270&lt;&gt;1,"",IF(BA270&gt;0,IF(BA270&gt;CONTROL_PANEL!$B$11,CONTROL_PANEL!$B$11,BA270),0))</f>
        <v/>
      </c>
      <c r="AR271" s="18" t="str">
        <f t="shared" si="207"/>
        <v/>
      </c>
      <c r="AS271" s="18" t="str">
        <f>IF(BD271&lt;&gt;1,"",DATA_INPUT!$I271)</f>
        <v/>
      </c>
      <c r="AT271" s="18" t="str">
        <f>IF(BD271&lt;&gt;1,"",AS271*CONTROL_PANEL!$B$5)</f>
        <v/>
      </c>
      <c r="AU271" s="18" t="str">
        <f>IF(BD271&lt;&gt;1,"",DATA_INPUT!$C271)</f>
        <v/>
      </c>
      <c r="AV271" s="18" t="str">
        <f t="shared" si="194"/>
        <v/>
      </c>
      <c r="AW271" s="18" t="str">
        <f>IF(BD271&lt;&gt;1,"",DATA_INPUT!$H271)</f>
        <v/>
      </c>
      <c r="AX271" s="18" t="str">
        <f t="shared" si="195"/>
        <v/>
      </c>
      <c r="AY271" s="18" t="str">
        <f>IF(BD271&lt;&gt;1,"",AT271*CONTROL_PANEL!$B$14)</f>
        <v/>
      </c>
      <c r="AZ271" s="18" t="str">
        <f>IF(BD271&lt;&gt;1,"",DATA_INPUT!$M271)</f>
        <v/>
      </c>
      <c r="BA271" s="18" t="str">
        <f t="shared" si="196"/>
        <v/>
      </c>
      <c r="BB271" s="18" t="str">
        <f>IF(BD271&lt;&gt;1,"",IF(BA271-CONTROL_PANEL!$B$11&lt;0,0,BA271-CONTROL_PANEL!$B$11))</f>
        <v/>
      </c>
      <c r="BC271" s="18" t="str">
        <f>IF(BD271&lt;&gt;1,"",IF(AZ271&lt;=0,0,MIN(AZ271,MAX(0,CONTROL_PANEL!$B$13-BA271))))</f>
        <v/>
      </c>
      <c r="BD271" s="18"/>
      <c r="BF271" s="19">
        <f t="shared" si="178"/>
        <v>2037</v>
      </c>
      <c r="BG271" s="19">
        <f t="shared" si="183"/>
        <v>12</v>
      </c>
      <c r="BH271" s="18" t="str">
        <f t="shared" si="197"/>
        <v/>
      </c>
      <c r="BI271" s="18" t="str">
        <f t="shared" si="213"/>
        <v/>
      </c>
      <c r="BJ271" s="18" t="str">
        <f>IF(BW270&lt;&gt;1,"",IF(BT270&gt;0,IF(BT270&gt;CONTROL_PANEL!$B$11,CONTROL_PANEL!$B$11,BT270),0))</f>
        <v/>
      </c>
      <c r="BK271" s="18" t="str">
        <f t="shared" si="208"/>
        <v/>
      </c>
      <c r="BL271" s="18" t="str">
        <f>IF(BW271&lt;&gt;1,"",DATA_INPUT!$I271)</f>
        <v/>
      </c>
      <c r="BM271" s="18" t="str">
        <f>IF(BW271&lt;&gt;1,"",BL271*CONTROL_PANEL!$B$5)</f>
        <v/>
      </c>
      <c r="BN271" s="18" t="str">
        <f>IF(BW271&lt;&gt;1,"",DATA_INPUT!$C271)</f>
        <v/>
      </c>
      <c r="BO271" s="18" t="str">
        <f t="shared" si="198"/>
        <v/>
      </c>
      <c r="BP271" s="18" t="str">
        <f>IF(BW271&lt;&gt;1,"",DATA_INPUT!$H271)</f>
        <v/>
      </c>
      <c r="BQ271" s="18" t="str">
        <f t="shared" si="199"/>
        <v/>
      </c>
      <c r="BR271" s="18" t="str">
        <f>IF(BW271&lt;&gt;1,"",BM271*CONTROL_PANEL!$B$14)</f>
        <v/>
      </c>
      <c r="BS271" s="18" t="str">
        <f>IF(BW271&lt;&gt;1,"",DATA_INPUT!$N271)</f>
        <v/>
      </c>
      <c r="BT271" s="18" t="str">
        <f t="shared" si="200"/>
        <v/>
      </c>
      <c r="BU271" s="18" t="str">
        <f>IF(BW271&lt;&gt;1,"",IF(BT271-CONTROL_PANEL!$B$11&lt;0,0,BT271-CONTROL_PANEL!$B$11))</f>
        <v/>
      </c>
      <c r="BV271" s="18" t="str">
        <f>IF(BW271&lt;&gt;1,"",IF(BS271&lt;=0,0,MIN(BS271,MAX(0,CONTROL_PANEL!$B$13-BT271))))</f>
        <v/>
      </c>
      <c r="BW271" s="18"/>
      <c r="BY271" s="19">
        <f t="shared" si="179"/>
        <v>2037</v>
      </c>
      <c r="BZ271" s="19">
        <f t="shared" si="184"/>
        <v>12</v>
      </c>
      <c r="CA271" s="18" t="str">
        <f t="shared" si="201"/>
        <v/>
      </c>
      <c r="CB271" s="18" t="str">
        <f t="shared" si="214"/>
        <v/>
      </c>
      <c r="CC271" s="18" t="str">
        <f>IF(CP270&lt;&gt;1,"",IF(CM270&gt;0,IF(CM270&gt;CONTROL_PANEL!$B$11,CONTROL_PANEL!$B$11,CM270),0))</f>
        <v/>
      </c>
      <c r="CD271" s="18" t="str">
        <f t="shared" si="209"/>
        <v/>
      </c>
      <c r="CE271" s="18" t="str">
        <f>IF(CP271&lt;&gt;1,"",DATA_INPUT!$I271)</f>
        <v/>
      </c>
      <c r="CF271" s="18" t="str">
        <f>IF(CP271&lt;&gt;1,"",CE271*CONTROL_PANEL!$B$5)</f>
        <v/>
      </c>
      <c r="CG271" s="18" t="str">
        <f>IF(CP271&lt;&gt;1,"",DATA_INPUT!$C271)</f>
        <v/>
      </c>
      <c r="CH271" s="18" t="str">
        <f t="shared" si="202"/>
        <v/>
      </c>
      <c r="CI271" s="18" t="str">
        <f>IF(CP271&lt;&gt;1,"",DATA_INPUT!$H271)</f>
        <v/>
      </c>
      <c r="CJ271" s="18" t="str">
        <f t="shared" si="203"/>
        <v/>
      </c>
      <c r="CK271" s="18" t="str">
        <f>IF(CP271&lt;&gt;1,"",CF271*CONTROL_PANEL!$B$14)</f>
        <v/>
      </c>
      <c r="CL271" s="18" t="str">
        <f>IF(CP271&lt;&gt;1,"",DATA_INPUT!$O271)</f>
        <v/>
      </c>
      <c r="CM271" s="18" t="str">
        <f t="shared" si="204"/>
        <v/>
      </c>
      <c r="CN271" s="18" t="str">
        <f>IF(CP271&lt;&gt;1,"",IF(CM271-CONTROL_PANEL!$B$11&lt;0,0,CM271-CONTROL_PANEL!$B$11))</f>
        <v/>
      </c>
      <c r="CO271" s="18" t="str">
        <f>IF(CP271&lt;&gt;1,"",IF(CL271&lt;=0,0,MIN(CL271,MAX(0,CONTROL_PANEL!$B$13-CM271))))</f>
        <v/>
      </c>
      <c r="CP271" s="18"/>
    </row>
    <row r="272" spans="1:94" x14ac:dyDescent="0.25">
      <c r="A272" s="19">
        <f t="shared" si="175"/>
        <v>2038</v>
      </c>
      <c r="B272" s="19">
        <f t="shared" si="180"/>
        <v>1</v>
      </c>
      <c r="C272" s="18" t="str">
        <f t="shared" si="185"/>
        <v/>
      </c>
      <c r="D272" s="18" t="str">
        <f t="shared" si="210"/>
        <v/>
      </c>
      <c r="E272" s="18" t="str">
        <f>IF(R271&lt;&gt;1,"",IF(O271&gt;0,IF(O271&gt;CONTROL_PANEL!$B$11,CONTROL_PANEL!$B$11,O271),0))</f>
        <v/>
      </c>
      <c r="F272" s="18" t="str">
        <f t="shared" si="205"/>
        <v/>
      </c>
      <c r="G272" s="18" t="str">
        <f>IF(R272&lt;&gt;1,"",DATA_INPUT!I272)</f>
        <v/>
      </c>
      <c r="H272" s="18" t="str">
        <f>IF(R272&lt;&gt;1,"",G272*CONTROL_PANEL!$B$5)</f>
        <v/>
      </c>
      <c r="I272" s="18" t="str">
        <f>IF(R272&lt;&gt;1,"",DATA_INPUT!C272)</f>
        <v/>
      </c>
      <c r="J272" s="18" t="str">
        <f t="shared" si="186"/>
        <v/>
      </c>
      <c r="K272" s="18" t="str">
        <f>IF(R272&lt;&gt;1,"",DATA_INPUT!H272)</f>
        <v/>
      </c>
      <c r="L272" s="18" t="str">
        <f t="shared" si="187"/>
        <v/>
      </c>
      <c r="M272" s="18" t="str">
        <f>IF(R272&lt;&gt;1,"",H272*CONTROL_PANEL!$B$14)</f>
        <v/>
      </c>
      <c r="N272" s="18" t="str">
        <f>IF(R272&lt;&gt;1,"",DATA_INPUT!K272)</f>
        <v/>
      </c>
      <c r="O272" s="18" t="str">
        <f t="shared" si="188"/>
        <v/>
      </c>
      <c r="P272" s="18" t="str">
        <f>IF(R272&lt;&gt;1,"",IF(O272-CONTROL_PANEL!$B$11&lt;0,0,O272-CONTROL_PANEL!$B$11))</f>
        <v/>
      </c>
      <c r="Q272" s="18" t="str">
        <f>IF(R272&lt;&gt;1,"",IF(N272&lt;=0,0,MIN(N272,MAX(0,CONTROL_PANEL!$B$13-O272))))</f>
        <v/>
      </c>
      <c r="R272" s="18"/>
      <c r="T272" s="19">
        <f t="shared" si="176"/>
        <v>2038</v>
      </c>
      <c r="U272" s="19">
        <f t="shared" si="181"/>
        <v>1</v>
      </c>
      <c r="V272" s="18" t="str">
        <f t="shared" si="189"/>
        <v/>
      </c>
      <c r="W272" s="18" t="str">
        <f t="shared" si="211"/>
        <v/>
      </c>
      <c r="X272" s="18" t="str">
        <f>IF(AK271&lt;&gt;1,"",IF(AH271&gt;0,IF(AH271&gt;CONTROL_PANEL!$B$11,CONTROL_PANEL!$B$11,AH271),0))</f>
        <v/>
      </c>
      <c r="Y272" s="18" t="str">
        <f t="shared" si="206"/>
        <v/>
      </c>
      <c r="Z272" s="18" t="str">
        <f>IF(AK272&lt;&gt;1,"",DATA_INPUT!I272)</f>
        <v/>
      </c>
      <c r="AA272" s="18" t="str">
        <f>IF(AK272&lt;&gt;1,"",Z272*CONTROL_PANEL!$B$5)</f>
        <v/>
      </c>
      <c r="AB272" s="18" t="str">
        <f>IF(AK272&lt;&gt;1,"",DATA_INPUT!$C272)</f>
        <v/>
      </c>
      <c r="AC272" s="18" t="str">
        <f t="shared" si="190"/>
        <v/>
      </c>
      <c r="AD272" s="18" t="str">
        <f>IF(AK272&lt;&gt;1,"",DATA_INPUT!$H272)</f>
        <v/>
      </c>
      <c r="AE272" s="18" t="str">
        <f t="shared" si="191"/>
        <v/>
      </c>
      <c r="AF272" s="18" t="str">
        <f>IF(AK272&lt;&gt;1,"",AA272*CONTROL_PANEL!$B$14)</f>
        <v/>
      </c>
      <c r="AG272" s="18" t="str">
        <f>IF(AK272&lt;&gt;1,"",DATA_INPUT!$L272)</f>
        <v/>
      </c>
      <c r="AH272" s="18" t="str">
        <f t="shared" si="192"/>
        <v/>
      </c>
      <c r="AI272" s="18" t="str">
        <f>IF(AK272&lt;&gt;1,"",IF(AH272-CONTROL_PANEL!$B$11&lt;0,0,AH272-CONTROL_PANEL!$B$11))</f>
        <v/>
      </c>
      <c r="AJ272" s="18" t="str">
        <f>IF(AK272&lt;&gt;1,"",IF(AG272&lt;=0,0,MIN(AG272,MAX(0,CONTROL_PANEL!$B$13-AH272))))</f>
        <v/>
      </c>
      <c r="AK272" s="18"/>
      <c r="AM272" s="19">
        <f t="shared" si="177"/>
        <v>2038</v>
      </c>
      <c r="AN272" s="19">
        <f t="shared" si="182"/>
        <v>1</v>
      </c>
      <c r="AO272" s="18" t="str">
        <f t="shared" si="193"/>
        <v/>
      </c>
      <c r="AP272" s="18" t="str">
        <f t="shared" si="212"/>
        <v/>
      </c>
      <c r="AQ272" s="18" t="str">
        <f>IF(BD271&lt;&gt;1,"",IF(BA271&gt;0,IF(BA271&gt;CONTROL_PANEL!$B$11,CONTROL_PANEL!$B$11,BA271),0))</f>
        <v/>
      </c>
      <c r="AR272" s="18" t="str">
        <f t="shared" si="207"/>
        <v/>
      </c>
      <c r="AS272" s="18" t="str">
        <f>IF(BD272&lt;&gt;1,"",DATA_INPUT!$I272)</f>
        <v/>
      </c>
      <c r="AT272" s="18" t="str">
        <f>IF(BD272&lt;&gt;1,"",AS272*CONTROL_PANEL!$B$5)</f>
        <v/>
      </c>
      <c r="AU272" s="18" t="str">
        <f>IF(BD272&lt;&gt;1,"",DATA_INPUT!$C272)</f>
        <v/>
      </c>
      <c r="AV272" s="18" t="str">
        <f t="shared" si="194"/>
        <v/>
      </c>
      <c r="AW272" s="18" t="str">
        <f>IF(BD272&lt;&gt;1,"",DATA_INPUT!$H272)</f>
        <v/>
      </c>
      <c r="AX272" s="18" t="str">
        <f t="shared" si="195"/>
        <v/>
      </c>
      <c r="AY272" s="18" t="str">
        <f>IF(BD272&lt;&gt;1,"",AT272*CONTROL_PANEL!$B$14)</f>
        <v/>
      </c>
      <c r="AZ272" s="18" t="str">
        <f>IF(BD272&lt;&gt;1,"",DATA_INPUT!$M272)</f>
        <v/>
      </c>
      <c r="BA272" s="18" t="str">
        <f t="shared" si="196"/>
        <v/>
      </c>
      <c r="BB272" s="18" t="str">
        <f>IF(BD272&lt;&gt;1,"",IF(BA272-CONTROL_PANEL!$B$11&lt;0,0,BA272-CONTROL_PANEL!$B$11))</f>
        <v/>
      </c>
      <c r="BC272" s="18" t="str">
        <f>IF(BD272&lt;&gt;1,"",IF(AZ272&lt;=0,0,MIN(AZ272,MAX(0,CONTROL_PANEL!$B$13-BA272))))</f>
        <v/>
      </c>
      <c r="BD272" s="18"/>
      <c r="BF272" s="19">
        <f t="shared" si="178"/>
        <v>2038</v>
      </c>
      <c r="BG272" s="19">
        <f t="shared" si="183"/>
        <v>1</v>
      </c>
      <c r="BH272" s="18" t="str">
        <f t="shared" si="197"/>
        <v/>
      </c>
      <c r="BI272" s="18" t="str">
        <f t="shared" si="213"/>
        <v/>
      </c>
      <c r="BJ272" s="18" t="str">
        <f>IF(BW271&lt;&gt;1,"",IF(BT271&gt;0,IF(BT271&gt;CONTROL_PANEL!$B$11,CONTROL_PANEL!$B$11,BT271),0))</f>
        <v/>
      </c>
      <c r="BK272" s="18" t="str">
        <f t="shared" si="208"/>
        <v/>
      </c>
      <c r="BL272" s="18" t="str">
        <f>IF(BW272&lt;&gt;1,"",DATA_INPUT!$I272)</f>
        <v/>
      </c>
      <c r="BM272" s="18" t="str">
        <f>IF(BW272&lt;&gt;1,"",BL272*CONTROL_PANEL!$B$5)</f>
        <v/>
      </c>
      <c r="BN272" s="18" t="str">
        <f>IF(BW272&lt;&gt;1,"",DATA_INPUT!$C272)</f>
        <v/>
      </c>
      <c r="BO272" s="18" t="str">
        <f t="shared" si="198"/>
        <v/>
      </c>
      <c r="BP272" s="18" t="str">
        <f>IF(BW272&lt;&gt;1,"",DATA_INPUT!$H272)</f>
        <v/>
      </c>
      <c r="BQ272" s="18" t="str">
        <f t="shared" si="199"/>
        <v/>
      </c>
      <c r="BR272" s="18" t="str">
        <f>IF(BW272&lt;&gt;1,"",BM272*CONTROL_PANEL!$B$14)</f>
        <v/>
      </c>
      <c r="BS272" s="18" t="str">
        <f>IF(BW272&lt;&gt;1,"",DATA_INPUT!$N272)</f>
        <v/>
      </c>
      <c r="BT272" s="18" t="str">
        <f t="shared" si="200"/>
        <v/>
      </c>
      <c r="BU272" s="18" t="str">
        <f>IF(BW272&lt;&gt;1,"",IF(BT272-CONTROL_PANEL!$B$11&lt;0,0,BT272-CONTROL_PANEL!$B$11))</f>
        <v/>
      </c>
      <c r="BV272" s="18" t="str">
        <f>IF(BW272&lt;&gt;1,"",IF(BS272&lt;=0,0,MIN(BS272,MAX(0,CONTROL_PANEL!$B$13-BT272))))</f>
        <v/>
      </c>
      <c r="BW272" s="18"/>
      <c r="BY272" s="19">
        <f t="shared" si="179"/>
        <v>2038</v>
      </c>
      <c r="BZ272" s="19">
        <f t="shared" si="184"/>
        <v>1</v>
      </c>
      <c r="CA272" s="18" t="str">
        <f t="shared" si="201"/>
        <v/>
      </c>
      <c r="CB272" s="18" t="str">
        <f t="shared" si="214"/>
        <v/>
      </c>
      <c r="CC272" s="18" t="str">
        <f>IF(CP271&lt;&gt;1,"",IF(CM271&gt;0,IF(CM271&gt;CONTROL_PANEL!$B$11,CONTROL_PANEL!$B$11,CM271),0))</f>
        <v/>
      </c>
      <c r="CD272" s="18" t="str">
        <f t="shared" si="209"/>
        <v/>
      </c>
      <c r="CE272" s="18" t="str">
        <f>IF(CP272&lt;&gt;1,"",DATA_INPUT!$I272)</f>
        <v/>
      </c>
      <c r="CF272" s="18" t="str">
        <f>IF(CP272&lt;&gt;1,"",CE272*CONTROL_PANEL!$B$5)</f>
        <v/>
      </c>
      <c r="CG272" s="18" t="str">
        <f>IF(CP272&lt;&gt;1,"",DATA_INPUT!$C272)</f>
        <v/>
      </c>
      <c r="CH272" s="18" t="str">
        <f t="shared" si="202"/>
        <v/>
      </c>
      <c r="CI272" s="18" t="str">
        <f>IF(CP272&lt;&gt;1,"",DATA_INPUT!$H272)</f>
        <v/>
      </c>
      <c r="CJ272" s="18" t="str">
        <f t="shared" si="203"/>
        <v/>
      </c>
      <c r="CK272" s="18" t="str">
        <f>IF(CP272&lt;&gt;1,"",CF272*CONTROL_PANEL!$B$14)</f>
        <v/>
      </c>
      <c r="CL272" s="18" t="str">
        <f>IF(CP272&lt;&gt;1,"",DATA_INPUT!$O272)</f>
        <v/>
      </c>
      <c r="CM272" s="18" t="str">
        <f t="shared" si="204"/>
        <v/>
      </c>
      <c r="CN272" s="18" t="str">
        <f>IF(CP272&lt;&gt;1,"",IF(CM272-CONTROL_PANEL!$B$11&lt;0,0,CM272-CONTROL_PANEL!$B$11))</f>
        <v/>
      </c>
      <c r="CO272" s="18" t="str">
        <f>IF(CP272&lt;&gt;1,"",IF(CL272&lt;=0,0,MIN(CL272,MAX(0,CONTROL_PANEL!$B$13-CM272))))</f>
        <v/>
      </c>
      <c r="CP272" s="18"/>
    </row>
    <row r="273" spans="1:94" x14ac:dyDescent="0.25">
      <c r="A273" s="19">
        <f t="shared" si="175"/>
        <v>2038</v>
      </c>
      <c r="B273" s="19">
        <f t="shared" si="180"/>
        <v>2</v>
      </c>
      <c r="C273" s="18" t="str">
        <f t="shared" si="185"/>
        <v/>
      </c>
      <c r="D273" s="18" t="str">
        <f t="shared" si="210"/>
        <v/>
      </c>
      <c r="E273" s="18" t="str">
        <f>IF(R272&lt;&gt;1,"",IF(O272&gt;0,IF(O272&gt;CONTROL_PANEL!$B$11,CONTROL_PANEL!$B$11,O272),0))</f>
        <v/>
      </c>
      <c r="F273" s="18" t="str">
        <f t="shared" si="205"/>
        <v/>
      </c>
      <c r="G273" s="18" t="str">
        <f>IF(R273&lt;&gt;1,"",DATA_INPUT!I273)</f>
        <v/>
      </c>
      <c r="H273" s="18" t="str">
        <f>IF(R273&lt;&gt;1,"",G273*CONTROL_PANEL!$B$5)</f>
        <v/>
      </c>
      <c r="I273" s="18" t="str">
        <f>IF(R273&lt;&gt;1,"",DATA_INPUT!C273)</f>
        <v/>
      </c>
      <c r="J273" s="18" t="str">
        <f t="shared" si="186"/>
        <v/>
      </c>
      <c r="K273" s="18" t="str">
        <f>IF(R273&lt;&gt;1,"",DATA_INPUT!H273)</f>
        <v/>
      </c>
      <c r="L273" s="18" t="str">
        <f t="shared" si="187"/>
        <v/>
      </c>
      <c r="M273" s="18" t="str">
        <f>IF(R273&lt;&gt;1,"",H273*CONTROL_PANEL!$B$14)</f>
        <v/>
      </c>
      <c r="N273" s="18" t="str">
        <f>IF(R273&lt;&gt;1,"",DATA_INPUT!K273)</f>
        <v/>
      </c>
      <c r="O273" s="18" t="str">
        <f t="shared" si="188"/>
        <v/>
      </c>
      <c r="P273" s="18" t="str">
        <f>IF(R273&lt;&gt;1,"",IF(O273-CONTROL_PANEL!$B$11&lt;0,0,O273-CONTROL_PANEL!$B$11))</f>
        <v/>
      </c>
      <c r="Q273" s="18" t="str">
        <f>IF(R273&lt;&gt;1,"",IF(N273&lt;=0,0,MIN(N273,MAX(0,CONTROL_PANEL!$B$13-O273))))</f>
        <v/>
      </c>
      <c r="R273" s="18"/>
      <c r="T273" s="19">
        <f t="shared" si="176"/>
        <v>2038</v>
      </c>
      <c r="U273" s="19">
        <f t="shared" si="181"/>
        <v>2</v>
      </c>
      <c r="V273" s="18" t="str">
        <f t="shared" si="189"/>
        <v/>
      </c>
      <c r="W273" s="18" t="str">
        <f t="shared" si="211"/>
        <v/>
      </c>
      <c r="X273" s="18" t="str">
        <f>IF(AK272&lt;&gt;1,"",IF(AH272&gt;0,IF(AH272&gt;CONTROL_PANEL!$B$11,CONTROL_PANEL!$B$11,AH272),0))</f>
        <v/>
      </c>
      <c r="Y273" s="18" t="str">
        <f t="shared" si="206"/>
        <v/>
      </c>
      <c r="Z273" s="18" t="str">
        <f>IF(AK273&lt;&gt;1,"",DATA_INPUT!I273)</f>
        <v/>
      </c>
      <c r="AA273" s="18" t="str">
        <f>IF(AK273&lt;&gt;1,"",Z273*CONTROL_PANEL!$B$5)</f>
        <v/>
      </c>
      <c r="AB273" s="18" t="str">
        <f>IF(AK273&lt;&gt;1,"",DATA_INPUT!$C273)</f>
        <v/>
      </c>
      <c r="AC273" s="18" t="str">
        <f t="shared" si="190"/>
        <v/>
      </c>
      <c r="AD273" s="18" t="str">
        <f>IF(AK273&lt;&gt;1,"",DATA_INPUT!$H273)</f>
        <v/>
      </c>
      <c r="AE273" s="18" t="str">
        <f t="shared" si="191"/>
        <v/>
      </c>
      <c r="AF273" s="18" t="str">
        <f>IF(AK273&lt;&gt;1,"",AA273*CONTROL_PANEL!$B$14)</f>
        <v/>
      </c>
      <c r="AG273" s="18" t="str">
        <f>IF(AK273&lt;&gt;1,"",DATA_INPUT!$L273)</f>
        <v/>
      </c>
      <c r="AH273" s="18" t="str">
        <f t="shared" si="192"/>
        <v/>
      </c>
      <c r="AI273" s="18" t="str">
        <f>IF(AK273&lt;&gt;1,"",IF(AH273-CONTROL_PANEL!$B$11&lt;0,0,AH273-CONTROL_PANEL!$B$11))</f>
        <v/>
      </c>
      <c r="AJ273" s="18" t="str">
        <f>IF(AK273&lt;&gt;1,"",IF(AG273&lt;=0,0,MIN(AG273,MAX(0,CONTROL_PANEL!$B$13-AH273))))</f>
        <v/>
      </c>
      <c r="AK273" s="18"/>
      <c r="AM273" s="19">
        <f t="shared" si="177"/>
        <v>2038</v>
      </c>
      <c r="AN273" s="19">
        <f t="shared" si="182"/>
        <v>2</v>
      </c>
      <c r="AO273" s="18" t="str">
        <f t="shared" si="193"/>
        <v/>
      </c>
      <c r="AP273" s="18" t="str">
        <f t="shared" si="212"/>
        <v/>
      </c>
      <c r="AQ273" s="18" t="str">
        <f>IF(BD272&lt;&gt;1,"",IF(BA272&gt;0,IF(BA272&gt;CONTROL_PANEL!$B$11,CONTROL_PANEL!$B$11,BA272),0))</f>
        <v/>
      </c>
      <c r="AR273" s="18" t="str">
        <f t="shared" si="207"/>
        <v/>
      </c>
      <c r="AS273" s="18" t="str">
        <f>IF(BD273&lt;&gt;1,"",DATA_INPUT!$I273)</f>
        <v/>
      </c>
      <c r="AT273" s="18" t="str">
        <f>IF(BD273&lt;&gt;1,"",AS273*CONTROL_PANEL!$B$5)</f>
        <v/>
      </c>
      <c r="AU273" s="18" t="str">
        <f>IF(BD273&lt;&gt;1,"",DATA_INPUT!$C273)</f>
        <v/>
      </c>
      <c r="AV273" s="18" t="str">
        <f t="shared" si="194"/>
        <v/>
      </c>
      <c r="AW273" s="18" t="str">
        <f>IF(BD273&lt;&gt;1,"",DATA_INPUT!$H273)</f>
        <v/>
      </c>
      <c r="AX273" s="18" t="str">
        <f t="shared" si="195"/>
        <v/>
      </c>
      <c r="AY273" s="18" t="str">
        <f>IF(BD273&lt;&gt;1,"",AT273*CONTROL_PANEL!$B$14)</f>
        <v/>
      </c>
      <c r="AZ273" s="18" t="str">
        <f>IF(BD273&lt;&gt;1,"",DATA_INPUT!$M273)</f>
        <v/>
      </c>
      <c r="BA273" s="18" t="str">
        <f t="shared" si="196"/>
        <v/>
      </c>
      <c r="BB273" s="18" t="str">
        <f>IF(BD273&lt;&gt;1,"",IF(BA273-CONTROL_PANEL!$B$11&lt;0,0,BA273-CONTROL_PANEL!$B$11))</f>
        <v/>
      </c>
      <c r="BC273" s="18" t="str">
        <f>IF(BD273&lt;&gt;1,"",IF(AZ273&lt;=0,0,MIN(AZ273,MAX(0,CONTROL_PANEL!$B$13-BA273))))</f>
        <v/>
      </c>
      <c r="BD273" s="18"/>
      <c r="BF273" s="19">
        <f t="shared" si="178"/>
        <v>2038</v>
      </c>
      <c r="BG273" s="19">
        <f t="shared" si="183"/>
        <v>2</v>
      </c>
      <c r="BH273" s="18" t="str">
        <f t="shared" si="197"/>
        <v/>
      </c>
      <c r="BI273" s="18" t="str">
        <f t="shared" si="213"/>
        <v/>
      </c>
      <c r="BJ273" s="18" t="str">
        <f>IF(BW272&lt;&gt;1,"",IF(BT272&gt;0,IF(BT272&gt;CONTROL_PANEL!$B$11,CONTROL_PANEL!$B$11,BT272),0))</f>
        <v/>
      </c>
      <c r="BK273" s="18" t="str">
        <f t="shared" si="208"/>
        <v/>
      </c>
      <c r="BL273" s="18" t="str">
        <f>IF(BW273&lt;&gt;1,"",DATA_INPUT!$I273)</f>
        <v/>
      </c>
      <c r="BM273" s="18" t="str">
        <f>IF(BW273&lt;&gt;1,"",BL273*CONTROL_PANEL!$B$5)</f>
        <v/>
      </c>
      <c r="BN273" s="18" t="str">
        <f>IF(BW273&lt;&gt;1,"",DATA_INPUT!$C273)</f>
        <v/>
      </c>
      <c r="BO273" s="18" t="str">
        <f t="shared" si="198"/>
        <v/>
      </c>
      <c r="BP273" s="18" t="str">
        <f>IF(BW273&lt;&gt;1,"",DATA_INPUT!$H273)</f>
        <v/>
      </c>
      <c r="BQ273" s="18" t="str">
        <f t="shared" si="199"/>
        <v/>
      </c>
      <c r="BR273" s="18" t="str">
        <f>IF(BW273&lt;&gt;1,"",BM273*CONTROL_PANEL!$B$14)</f>
        <v/>
      </c>
      <c r="BS273" s="18" t="str">
        <f>IF(BW273&lt;&gt;1,"",DATA_INPUT!$N273)</f>
        <v/>
      </c>
      <c r="BT273" s="18" t="str">
        <f t="shared" si="200"/>
        <v/>
      </c>
      <c r="BU273" s="18" t="str">
        <f>IF(BW273&lt;&gt;1,"",IF(BT273-CONTROL_PANEL!$B$11&lt;0,0,BT273-CONTROL_PANEL!$B$11))</f>
        <v/>
      </c>
      <c r="BV273" s="18" t="str">
        <f>IF(BW273&lt;&gt;1,"",IF(BS273&lt;=0,0,MIN(BS273,MAX(0,CONTROL_PANEL!$B$13-BT273))))</f>
        <v/>
      </c>
      <c r="BW273" s="18"/>
      <c r="BY273" s="19">
        <f t="shared" si="179"/>
        <v>2038</v>
      </c>
      <c r="BZ273" s="19">
        <f t="shared" si="184"/>
        <v>2</v>
      </c>
      <c r="CA273" s="18" t="str">
        <f t="shared" si="201"/>
        <v/>
      </c>
      <c r="CB273" s="18" t="str">
        <f t="shared" si="214"/>
        <v/>
      </c>
      <c r="CC273" s="18" t="str">
        <f>IF(CP272&lt;&gt;1,"",IF(CM272&gt;0,IF(CM272&gt;CONTROL_PANEL!$B$11,CONTROL_PANEL!$B$11,CM272),0))</f>
        <v/>
      </c>
      <c r="CD273" s="18" t="str">
        <f t="shared" si="209"/>
        <v/>
      </c>
      <c r="CE273" s="18" t="str">
        <f>IF(CP273&lt;&gt;1,"",DATA_INPUT!$I273)</f>
        <v/>
      </c>
      <c r="CF273" s="18" t="str">
        <f>IF(CP273&lt;&gt;1,"",CE273*CONTROL_PANEL!$B$5)</f>
        <v/>
      </c>
      <c r="CG273" s="18" t="str">
        <f>IF(CP273&lt;&gt;1,"",DATA_INPUT!$C273)</f>
        <v/>
      </c>
      <c r="CH273" s="18" t="str">
        <f t="shared" si="202"/>
        <v/>
      </c>
      <c r="CI273" s="18" t="str">
        <f>IF(CP273&lt;&gt;1,"",DATA_INPUT!$H273)</f>
        <v/>
      </c>
      <c r="CJ273" s="18" t="str">
        <f t="shared" si="203"/>
        <v/>
      </c>
      <c r="CK273" s="18" t="str">
        <f>IF(CP273&lt;&gt;1,"",CF273*CONTROL_PANEL!$B$14)</f>
        <v/>
      </c>
      <c r="CL273" s="18" t="str">
        <f>IF(CP273&lt;&gt;1,"",DATA_INPUT!$O273)</f>
        <v/>
      </c>
      <c r="CM273" s="18" t="str">
        <f t="shared" si="204"/>
        <v/>
      </c>
      <c r="CN273" s="18" t="str">
        <f>IF(CP273&lt;&gt;1,"",IF(CM273-CONTROL_PANEL!$B$11&lt;0,0,CM273-CONTROL_PANEL!$B$11))</f>
        <v/>
      </c>
      <c r="CO273" s="18" t="str">
        <f>IF(CP273&lt;&gt;1,"",IF(CL273&lt;=0,0,MIN(CL273,MAX(0,CONTROL_PANEL!$B$13-CM273))))</f>
        <v/>
      </c>
      <c r="CP273" s="18"/>
    </row>
    <row r="274" spans="1:94" x14ac:dyDescent="0.25">
      <c r="A274" s="19">
        <f t="shared" ref="A274:A337" si="215">A262+1</f>
        <v>2038</v>
      </c>
      <c r="B274" s="19">
        <f t="shared" si="180"/>
        <v>3</v>
      </c>
      <c r="C274" s="18" t="str">
        <f t="shared" si="185"/>
        <v/>
      </c>
      <c r="D274" s="18" t="str">
        <f t="shared" si="210"/>
        <v/>
      </c>
      <c r="E274" s="18" t="str">
        <f>IF(R273&lt;&gt;1,"",IF(O273&gt;0,IF(O273&gt;CONTROL_PANEL!$B$11,CONTROL_PANEL!$B$11,O273),0))</f>
        <v/>
      </c>
      <c r="F274" s="18" t="str">
        <f t="shared" si="205"/>
        <v/>
      </c>
      <c r="G274" s="18" t="str">
        <f>IF(R274&lt;&gt;1,"",DATA_INPUT!I274)</f>
        <v/>
      </c>
      <c r="H274" s="18" t="str">
        <f>IF(R274&lt;&gt;1,"",G274*CONTROL_PANEL!$B$5)</f>
        <v/>
      </c>
      <c r="I274" s="18" t="str">
        <f>IF(R274&lt;&gt;1,"",DATA_INPUT!C274)</f>
        <v/>
      </c>
      <c r="J274" s="18" t="str">
        <f t="shared" si="186"/>
        <v/>
      </c>
      <c r="K274" s="18" t="str">
        <f>IF(R274&lt;&gt;1,"",DATA_INPUT!H274)</f>
        <v/>
      </c>
      <c r="L274" s="18" t="str">
        <f t="shared" si="187"/>
        <v/>
      </c>
      <c r="M274" s="18" t="str">
        <f>IF(R274&lt;&gt;1,"",H274*CONTROL_PANEL!$B$14)</f>
        <v/>
      </c>
      <c r="N274" s="18" t="str">
        <f>IF(R274&lt;&gt;1,"",DATA_INPUT!K274)</f>
        <v/>
      </c>
      <c r="O274" s="18" t="str">
        <f t="shared" si="188"/>
        <v/>
      </c>
      <c r="P274" s="18" t="str">
        <f>IF(R274&lt;&gt;1,"",IF(O274-CONTROL_PANEL!$B$11&lt;0,0,O274-CONTROL_PANEL!$B$11))</f>
        <v/>
      </c>
      <c r="Q274" s="18" t="str">
        <f>IF(R274&lt;&gt;1,"",IF(N274&lt;=0,0,MIN(N274,MAX(0,CONTROL_PANEL!$B$13-O274))))</f>
        <v/>
      </c>
      <c r="R274" s="18"/>
      <c r="T274" s="19">
        <f t="shared" ref="T274:T337" si="216">T262+1</f>
        <v>2038</v>
      </c>
      <c r="U274" s="19">
        <f t="shared" si="181"/>
        <v>3</v>
      </c>
      <c r="V274" s="18" t="str">
        <f t="shared" si="189"/>
        <v/>
      </c>
      <c r="W274" s="18" t="str">
        <f t="shared" si="211"/>
        <v/>
      </c>
      <c r="X274" s="18" t="str">
        <f>IF(AK273&lt;&gt;1,"",IF(AH273&gt;0,IF(AH273&gt;CONTROL_PANEL!$B$11,CONTROL_PANEL!$B$11,AH273),0))</f>
        <v/>
      </c>
      <c r="Y274" s="18" t="str">
        <f t="shared" si="206"/>
        <v/>
      </c>
      <c r="Z274" s="18" t="str">
        <f>IF(AK274&lt;&gt;1,"",DATA_INPUT!I274)</f>
        <v/>
      </c>
      <c r="AA274" s="18" t="str">
        <f>IF(AK274&lt;&gt;1,"",Z274*CONTROL_PANEL!$B$5)</f>
        <v/>
      </c>
      <c r="AB274" s="18" t="str">
        <f>IF(AK274&lt;&gt;1,"",DATA_INPUT!$C274)</f>
        <v/>
      </c>
      <c r="AC274" s="18" t="str">
        <f t="shared" si="190"/>
        <v/>
      </c>
      <c r="AD274" s="18" t="str">
        <f>IF(AK274&lt;&gt;1,"",DATA_INPUT!$H274)</f>
        <v/>
      </c>
      <c r="AE274" s="18" t="str">
        <f t="shared" si="191"/>
        <v/>
      </c>
      <c r="AF274" s="18" t="str">
        <f>IF(AK274&lt;&gt;1,"",AA274*CONTROL_PANEL!$B$14)</f>
        <v/>
      </c>
      <c r="AG274" s="18" t="str">
        <f>IF(AK274&lt;&gt;1,"",DATA_INPUT!$L274)</f>
        <v/>
      </c>
      <c r="AH274" s="18" t="str">
        <f t="shared" si="192"/>
        <v/>
      </c>
      <c r="AI274" s="18" t="str">
        <f>IF(AK274&lt;&gt;1,"",IF(AH274-CONTROL_PANEL!$B$11&lt;0,0,AH274-CONTROL_PANEL!$B$11))</f>
        <v/>
      </c>
      <c r="AJ274" s="18" t="str">
        <f>IF(AK274&lt;&gt;1,"",IF(AG274&lt;=0,0,MIN(AG274,MAX(0,CONTROL_PANEL!$B$13-AH274))))</f>
        <v/>
      </c>
      <c r="AK274" s="18"/>
      <c r="AM274" s="19">
        <f t="shared" ref="AM274:AM337" si="217">AM262+1</f>
        <v>2038</v>
      </c>
      <c r="AN274" s="19">
        <f t="shared" si="182"/>
        <v>3</v>
      </c>
      <c r="AO274" s="18" t="str">
        <f t="shared" si="193"/>
        <v/>
      </c>
      <c r="AP274" s="18" t="str">
        <f t="shared" si="212"/>
        <v/>
      </c>
      <c r="AQ274" s="18" t="str">
        <f>IF(BD273&lt;&gt;1,"",IF(BA273&gt;0,IF(BA273&gt;CONTROL_PANEL!$B$11,CONTROL_PANEL!$B$11,BA273),0))</f>
        <v/>
      </c>
      <c r="AR274" s="18" t="str">
        <f t="shared" si="207"/>
        <v/>
      </c>
      <c r="AS274" s="18" t="str">
        <f>IF(BD274&lt;&gt;1,"",DATA_INPUT!$I274)</f>
        <v/>
      </c>
      <c r="AT274" s="18" t="str">
        <f>IF(BD274&lt;&gt;1,"",AS274*CONTROL_PANEL!$B$5)</f>
        <v/>
      </c>
      <c r="AU274" s="18" t="str">
        <f>IF(BD274&lt;&gt;1,"",DATA_INPUT!$C274)</f>
        <v/>
      </c>
      <c r="AV274" s="18" t="str">
        <f t="shared" si="194"/>
        <v/>
      </c>
      <c r="AW274" s="18" t="str">
        <f>IF(BD274&lt;&gt;1,"",DATA_INPUT!$H274)</f>
        <v/>
      </c>
      <c r="AX274" s="18" t="str">
        <f t="shared" si="195"/>
        <v/>
      </c>
      <c r="AY274" s="18" t="str">
        <f>IF(BD274&lt;&gt;1,"",AT274*CONTROL_PANEL!$B$14)</f>
        <v/>
      </c>
      <c r="AZ274" s="18" t="str">
        <f>IF(BD274&lt;&gt;1,"",DATA_INPUT!$M274)</f>
        <v/>
      </c>
      <c r="BA274" s="18" t="str">
        <f t="shared" si="196"/>
        <v/>
      </c>
      <c r="BB274" s="18" t="str">
        <f>IF(BD274&lt;&gt;1,"",IF(BA274-CONTROL_PANEL!$B$11&lt;0,0,BA274-CONTROL_PANEL!$B$11))</f>
        <v/>
      </c>
      <c r="BC274" s="18" t="str">
        <f>IF(BD274&lt;&gt;1,"",IF(AZ274&lt;=0,0,MIN(AZ274,MAX(0,CONTROL_PANEL!$B$13-BA274))))</f>
        <v/>
      </c>
      <c r="BD274" s="18"/>
      <c r="BF274" s="19">
        <f t="shared" ref="BF274:BF337" si="218">BF262+1</f>
        <v>2038</v>
      </c>
      <c r="BG274" s="19">
        <f t="shared" si="183"/>
        <v>3</v>
      </c>
      <c r="BH274" s="18" t="str">
        <f t="shared" si="197"/>
        <v/>
      </c>
      <c r="BI274" s="18" t="str">
        <f t="shared" si="213"/>
        <v/>
      </c>
      <c r="BJ274" s="18" t="str">
        <f>IF(BW273&lt;&gt;1,"",IF(BT273&gt;0,IF(BT273&gt;CONTROL_PANEL!$B$11,CONTROL_PANEL!$B$11,BT273),0))</f>
        <v/>
      </c>
      <c r="BK274" s="18" t="str">
        <f t="shared" si="208"/>
        <v/>
      </c>
      <c r="BL274" s="18" t="str">
        <f>IF(BW274&lt;&gt;1,"",DATA_INPUT!$I274)</f>
        <v/>
      </c>
      <c r="BM274" s="18" t="str">
        <f>IF(BW274&lt;&gt;1,"",BL274*CONTROL_PANEL!$B$5)</f>
        <v/>
      </c>
      <c r="BN274" s="18" t="str">
        <f>IF(BW274&lt;&gt;1,"",DATA_INPUT!$C274)</f>
        <v/>
      </c>
      <c r="BO274" s="18" t="str">
        <f t="shared" si="198"/>
        <v/>
      </c>
      <c r="BP274" s="18" t="str">
        <f>IF(BW274&lt;&gt;1,"",DATA_INPUT!$H274)</f>
        <v/>
      </c>
      <c r="BQ274" s="18" t="str">
        <f t="shared" si="199"/>
        <v/>
      </c>
      <c r="BR274" s="18" t="str">
        <f>IF(BW274&lt;&gt;1,"",BM274*CONTROL_PANEL!$B$14)</f>
        <v/>
      </c>
      <c r="BS274" s="18" t="str">
        <f>IF(BW274&lt;&gt;1,"",DATA_INPUT!$N274)</f>
        <v/>
      </c>
      <c r="BT274" s="18" t="str">
        <f t="shared" si="200"/>
        <v/>
      </c>
      <c r="BU274" s="18" t="str">
        <f>IF(BW274&lt;&gt;1,"",IF(BT274-CONTROL_PANEL!$B$11&lt;0,0,BT274-CONTROL_PANEL!$B$11))</f>
        <v/>
      </c>
      <c r="BV274" s="18" t="str">
        <f>IF(BW274&lt;&gt;1,"",IF(BS274&lt;=0,0,MIN(BS274,MAX(0,CONTROL_PANEL!$B$13-BT274))))</f>
        <v/>
      </c>
      <c r="BW274" s="18"/>
      <c r="BY274" s="19">
        <f t="shared" ref="BY274:BY337" si="219">BY262+1</f>
        <v>2038</v>
      </c>
      <c r="BZ274" s="19">
        <f t="shared" si="184"/>
        <v>3</v>
      </c>
      <c r="CA274" s="18" t="str">
        <f t="shared" si="201"/>
        <v/>
      </c>
      <c r="CB274" s="18" t="str">
        <f t="shared" si="214"/>
        <v/>
      </c>
      <c r="CC274" s="18" t="str">
        <f>IF(CP273&lt;&gt;1,"",IF(CM273&gt;0,IF(CM273&gt;CONTROL_PANEL!$B$11,CONTROL_PANEL!$B$11,CM273),0))</f>
        <v/>
      </c>
      <c r="CD274" s="18" t="str">
        <f t="shared" si="209"/>
        <v/>
      </c>
      <c r="CE274" s="18" t="str">
        <f>IF(CP274&lt;&gt;1,"",DATA_INPUT!$I274)</f>
        <v/>
      </c>
      <c r="CF274" s="18" t="str">
        <f>IF(CP274&lt;&gt;1,"",CE274*CONTROL_PANEL!$B$5)</f>
        <v/>
      </c>
      <c r="CG274" s="18" t="str">
        <f>IF(CP274&lt;&gt;1,"",DATA_INPUT!$C274)</f>
        <v/>
      </c>
      <c r="CH274" s="18" t="str">
        <f t="shared" si="202"/>
        <v/>
      </c>
      <c r="CI274" s="18" t="str">
        <f>IF(CP274&lt;&gt;1,"",DATA_INPUT!$H274)</f>
        <v/>
      </c>
      <c r="CJ274" s="18" t="str">
        <f t="shared" si="203"/>
        <v/>
      </c>
      <c r="CK274" s="18" t="str">
        <f>IF(CP274&lt;&gt;1,"",CF274*CONTROL_PANEL!$B$14)</f>
        <v/>
      </c>
      <c r="CL274" s="18" t="str">
        <f>IF(CP274&lt;&gt;1,"",DATA_INPUT!$O274)</f>
        <v/>
      </c>
      <c r="CM274" s="18" t="str">
        <f t="shared" si="204"/>
        <v/>
      </c>
      <c r="CN274" s="18" t="str">
        <f>IF(CP274&lt;&gt;1,"",IF(CM274-CONTROL_PANEL!$B$11&lt;0,0,CM274-CONTROL_PANEL!$B$11))</f>
        <v/>
      </c>
      <c r="CO274" s="18" t="str">
        <f>IF(CP274&lt;&gt;1,"",IF(CL274&lt;=0,0,MIN(CL274,MAX(0,CONTROL_PANEL!$B$13-CM274))))</f>
        <v/>
      </c>
      <c r="CP274" s="18"/>
    </row>
    <row r="275" spans="1:94" x14ac:dyDescent="0.25">
      <c r="A275" s="19">
        <f t="shared" si="215"/>
        <v>2038</v>
      </c>
      <c r="B275" s="19">
        <f t="shared" si="180"/>
        <v>4</v>
      </c>
      <c r="C275" s="18" t="str">
        <f t="shared" si="185"/>
        <v/>
      </c>
      <c r="D275" s="18" t="str">
        <f t="shared" si="210"/>
        <v/>
      </c>
      <c r="E275" s="18" t="str">
        <f>IF(R274&lt;&gt;1,"",IF(O274&gt;0,IF(O274&gt;CONTROL_PANEL!$B$11,CONTROL_PANEL!$B$11,O274),0))</f>
        <v/>
      </c>
      <c r="F275" s="18" t="str">
        <f t="shared" si="205"/>
        <v/>
      </c>
      <c r="G275" s="18" t="str">
        <f>IF(R275&lt;&gt;1,"",DATA_INPUT!I275)</f>
        <v/>
      </c>
      <c r="H275" s="18" t="str">
        <f>IF(R275&lt;&gt;1,"",G275*CONTROL_PANEL!$B$5)</f>
        <v/>
      </c>
      <c r="I275" s="18" t="str">
        <f>IF(R275&lt;&gt;1,"",DATA_INPUT!C275)</f>
        <v/>
      </c>
      <c r="J275" s="18" t="str">
        <f t="shared" si="186"/>
        <v/>
      </c>
      <c r="K275" s="18" t="str">
        <f>IF(R275&lt;&gt;1,"",DATA_INPUT!H275)</f>
        <v/>
      </c>
      <c r="L275" s="18" t="str">
        <f t="shared" si="187"/>
        <v/>
      </c>
      <c r="M275" s="18" t="str">
        <f>IF(R275&lt;&gt;1,"",H275*CONTROL_PANEL!$B$14)</f>
        <v/>
      </c>
      <c r="N275" s="18" t="str">
        <f>IF(R275&lt;&gt;1,"",DATA_INPUT!K275)</f>
        <v/>
      </c>
      <c r="O275" s="18" t="str">
        <f t="shared" si="188"/>
        <v/>
      </c>
      <c r="P275" s="18" t="str">
        <f>IF(R275&lt;&gt;1,"",IF(O275-CONTROL_PANEL!$B$11&lt;0,0,O275-CONTROL_PANEL!$B$11))</f>
        <v/>
      </c>
      <c r="Q275" s="18" t="str">
        <f>IF(R275&lt;&gt;1,"",IF(N275&lt;=0,0,MIN(N275,MAX(0,CONTROL_PANEL!$B$13-O275))))</f>
        <v/>
      </c>
      <c r="R275" s="18"/>
      <c r="T275" s="19">
        <f t="shared" si="216"/>
        <v>2038</v>
      </c>
      <c r="U275" s="19">
        <f t="shared" si="181"/>
        <v>4</v>
      </c>
      <c r="V275" s="18" t="str">
        <f t="shared" si="189"/>
        <v/>
      </c>
      <c r="W275" s="18" t="str">
        <f t="shared" si="211"/>
        <v/>
      </c>
      <c r="X275" s="18" t="str">
        <f>IF(AK274&lt;&gt;1,"",IF(AH274&gt;0,IF(AH274&gt;CONTROL_PANEL!$B$11,CONTROL_PANEL!$B$11,AH274),0))</f>
        <v/>
      </c>
      <c r="Y275" s="18" t="str">
        <f t="shared" si="206"/>
        <v/>
      </c>
      <c r="Z275" s="18" t="str">
        <f>IF(AK275&lt;&gt;1,"",DATA_INPUT!I275)</f>
        <v/>
      </c>
      <c r="AA275" s="18" t="str">
        <f>IF(AK275&lt;&gt;1,"",Z275*CONTROL_PANEL!$B$5)</f>
        <v/>
      </c>
      <c r="AB275" s="18" t="str">
        <f>IF(AK275&lt;&gt;1,"",DATA_INPUT!$C275)</f>
        <v/>
      </c>
      <c r="AC275" s="18" t="str">
        <f t="shared" si="190"/>
        <v/>
      </c>
      <c r="AD275" s="18" t="str">
        <f>IF(AK275&lt;&gt;1,"",DATA_INPUT!$H275)</f>
        <v/>
      </c>
      <c r="AE275" s="18" t="str">
        <f t="shared" si="191"/>
        <v/>
      </c>
      <c r="AF275" s="18" t="str">
        <f>IF(AK275&lt;&gt;1,"",AA275*CONTROL_PANEL!$B$14)</f>
        <v/>
      </c>
      <c r="AG275" s="18" t="str">
        <f>IF(AK275&lt;&gt;1,"",DATA_INPUT!$L275)</f>
        <v/>
      </c>
      <c r="AH275" s="18" t="str">
        <f t="shared" si="192"/>
        <v/>
      </c>
      <c r="AI275" s="18" t="str">
        <f>IF(AK275&lt;&gt;1,"",IF(AH275-CONTROL_PANEL!$B$11&lt;0,0,AH275-CONTROL_PANEL!$B$11))</f>
        <v/>
      </c>
      <c r="AJ275" s="18" t="str">
        <f>IF(AK275&lt;&gt;1,"",IF(AG275&lt;=0,0,MIN(AG275,MAX(0,CONTROL_PANEL!$B$13-AH275))))</f>
        <v/>
      </c>
      <c r="AK275" s="18"/>
      <c r="AM275" s="19">
        <f t="shared" si="217"/>
        <v>2038</v>
      </c>
      <c r="AN275" s="19">
        <f t="shared" si="182"/>
        <v>4</v>
      </c>
      <c r="AO275" s="18" t="str">
        <f t="shared" si="193"/>
        <v/>
      </c>
      <c r="AP275" s="18" t="str">
        <f t="shared" si="212"/>
        <v/>
      </c>
      <c r="AQ275" s="18" t="str">
        <f>IF(BD274&lt;&gt;1,"",IF(BA274&gt;0,IF(BA274&gt;CONTROL_PANEL!$B$11,CONTROL_PANEL!$B$11,BA274),0))</f>
        <v/>
      </c>
      <c r="AR275" s="18" t="str">
        <f t="shared" si="207"/>
        <v/>
      </c>
      <c r="AS275" s="18" t="str">
        <f>IF(BD275&lt;&gt;1,"",DATA_INPUT!$I275)</f>
        <v/>
      </c>
      <c r="AT275" s="18" t="str">
        <f>IF(BD275&lt;&gt;1,"",AS275*CONTROL_PANEL!$B$5)</f>
        <v/>
      </c>
      <c r="AU275" s="18" t="str">
        <f>IF(BD275&lt;&gt;1,"",DATA_INPUT!$C275)</f>
        <v/>
      </c>
      <c r="AV275" s="18" t="str">
        <f t="shared" si="194"/>
        <v/>
      </c>
      <c r="AW275" s="18" t="str">
        <f>IF(BD275&lt;&gt;1,"",DATA_INPUT!$H275)</f>
        <v/>
      </c>
      <c r="AX275" s="18" t="str">
        <f t="shared" si="195"/>
        <v/>
      </c>
      <c r="AY275" s="18" t="str">
        <f>IF(BD275&lt;&gt;1,"",AT275*CONTROL_PANEL!$B$14)</f>
        <v/>
      </c>
      <c r="AZ275" s="18" t="str">
        <f>IF(BD275&lt;&gt;1,"",DATA_INPUT!$M275)</f>
        <v/>
      </c>
      <c r="BA275" s="18" t="str">
        <f t="shared" si="196"/>
        <v/>
      </c>
      <c r="BB275" s="18" t="str">
        <f>IF(BD275&lt;&gt;1,"",IF(BA275-CONTROL_PANEL!$B$11&lt;0,0,BA275-CONTROL_PANEL!$B$11))</f>
        <v/>
      </c>
      <c r="BC275" s="18" t="str">
        <f>IF(BD275&lt;&gt;1,"",IF(AZ275&lt;=0,0,MIN(AZ275,MAX(0,CONTROL_PANEL!$B$13-BA275))))</f>
        <v/>
      </c>
      <c r="BD275" s="18"/>
      <c r="BF275" s="19">
        <f t="shared" si="218"/>
        <v>2038</v>
      </c>
      <c r="BG275" s="19">
        <f t="shared" si="183"/>
        <v>4</v>
      </c>
      <c r="BH275" s="18" t="str">
        <f t="shared" si="197"/>
        <v/>
      </c>
      <c r="BI275" s="18" t="str">
        <f t="shared" si="213"/>
        <v/>
      </c>
      <c r="BJ275" s="18" t="str">
        <f>IF(BW274&lt;&gt;1,"",IF(BT274&gt;0,IF(BT274&gt;CONTROL_PANEL!$B$11,CONTROL_PANEL!$B$11,BT274),0))</f>
        <v/>
      </c>
      <c r="BK275" s="18" t="str">
        <f t="shared" si="208"/>
        <v/>
      </c>
      <c r="BL275" s="18" t="str">
        <f>IF(BW275&lt;&gt;1,"",DATA_INPUT!$I275)</f>
        <v/>
      </c>
      <c r="BM275" s="18" t="str">
        <f>IF(BW275&lt;&gt;1,"",BL275*CONTROL_PANEL!$B$5)</f>
        <v/>
      </c>
      <c r="BN275" s="18" t="str">
        <f>IF(BW275&lt;&gt;1,"",DATA_INPUT!$C275)</f>
        <v/>
      </c>
      <c r="BO275" s="18" t="str">
        <f t="shared" si="198"/>
        <v/>
      </c>
      <c r="BP275" s="18" t="str">
        <f>IF(BW275&lt;&gt;1,"",DATA_INPUT!$H275)</f>
        <v/>
      </c>
      <c r="BQ275" s="18" t="str">
        <f t="shared" si="199"/>
        <v/>
      </c>
      <c r="BR275" s="18" t="str">
        <f>IF(BW275&lt;&gt;1,"",BM275*CONTROL_PANEL!$B$14)</f>
        <v/>
      </c>
      <c r="BS275" s="18" t="str">
        <f>IF(BW275&lt;&gt;1,"",DATA_INPUT!$N275)</f>
        <v/>
      </c>
      <c r="BT275" s="18" t="str">
        <f t="shared" si="200"/>
        <v/>
      </c>
      <c r="BU275" s="18" t="str">
        <f>IF(BW275&lt;&gt;1,"",IF(BT275-CONTROL_PANEL!$B$11&lt;0,0,BT275-CONTROL_PANEL!$B$11))</f>
        <v/>
      </c>
      <c r="BV275" s="18" t="str">
        <f>IF(BW275&lt;&gt;1,"",IF(BS275&lt;=0,0,MIN(BS275,MAX(0,CONTROL_PANEL!$B$13-BT275))))</f>
        <v/>
      </c>
      <c r="BW275" s="18"/>
      <c r="BY275" s="19">
        <f t="shared" si="219"/>
        <v>2038</v>
      </c>
      <c r="BZ275" s="19">
        <f t="shared" si="184"/>
        <v>4</v>
      </c>
      <c r="CA275" s="18" t="str">
        <f t="shared" si="201"/>
        <v/>
      </c>
      <c r="CB275" s="18" t="str">
        <f t="shared" si="214"/>
        <v/>
      </c>
      <c r="CC275" s="18" t="str">
        <f>IF(CP274&lt;&gt;1,"",IF(CM274&gt;0,IF(CM274&gt;CONTROL_PANEL!$B$11,CONTROL_PANEL!$B$11,CM274),0))</f>
        <v/>
      </c>
      <c r="CD275" s="18" t="str">
        <f t="shared" si="209"/>
        <v/>
      </c>
      <c r="CE275" s="18" t="str">
        <f>IF(CP275&lt;&gt;1,"",DATA_INPUT!$I275)</f>
        <v/>
      </c>
      <c r="CF275" s="18" t="str">
        <f>IF(CP275&lt;&gt;1,"",CE275*CONTROL_PANEL!$B$5)</f>
        <v/>
      </c>
      <c r="CG275" s="18" t="str">
        <f>IF(CP275&lt;&gt;1,"",DATA_INPUT!$C275)</f>
        <v/>
      </c>
      <c r="CH275" s="18" t="str">
        <f t="shared" si="202"/>
        <v/>
      </c>
      <c r="CI275" s="18" t="str">
        <f>IF(CP275&lt;&gt;1,"",DATA_INPUT!$H275)</f>
        <v/>
      </c>
      <c r="CJ275" s="18" t="str">
        <f t="shared" si="203"/>
        <v/>
      </c>
      <c r="CK275" s="18" t="str">
        <f>IF(CP275&lt;&gt;1,"",CF275*CONTROL_PANEL!$B$14)</f>
        <v/>
      </c>
      <c r="CL275" s="18" t="str">
        <f>IF(CP275&lt;&gt;1,"",DATA_INPUT!$O275)</f>
        <v/>
      </c>
      <c r="CM275" s="18" t="str">
        <f t="shared" si="204"/>
        <v/>
      </c>
      <c r="CN275" s="18" t="str">
        <f>IF(CP275&lt;&gt;1,"",IF(CM275-CONTROL_PANEL!$B$11&lt;0,0,CM275-CONTROL_PANEL!$B$11))</f>
        <v/>
      </c>
      <c r="CO275" s="18" t="str">
        <f>IF(CP275&lt;&gt;1,"",IF(CL275&lt;=0,0,MIN(CL275,MAX(0,CONTROL_PANEL!$B$13-CM275))))</f>
        <v/>
      </c>
      <c r="CP275" s="18"/>
    </row>
    <row r="276" spans="1:94" x14ac:dyDescent="0.25">
      <c r="A276" s="19">
        <f t="shared" si="215"/>
        <v>2038</v>
      </c>
      <c r="B276" s="19">
        <f t="shared" si="180"/>
        <v>5</v>
      </c>
      <c r="C276" s="18" t="str">
        <f t="shared" si="185"/>
        <v/>
      </c>
      <c r="D276" s="18" t="str">
        <f t="shared" si="210"/>
        <v/>
      </c>
      <c r="E276" s="18" t="str">
        <f>IF(R275&lt;&gt;1,"",IF(O275&gt;0,IF(O275&gt;CONTROL_PANEL!$B$11,CONTROL_PANEL!$B$11,O275),0))</f>
        <v/>
      </c>
      <c r="F276" s="18" t="str">
        <f t="shared" si="205"/>
        <v/>
      </c>
      <c r="G276" s="18" t="str">
        <f>IF(R276&lt;&gt;1,"",DATA_INPUT!I276)</f>
        <v/>
      </c>
      <c r="H276" s="18" t="str">
        <f>IF(R276&lt;&gt;1,"",G276*CONTROL_PANEL!$B$5)</f>
        <v/>
      </c>
      <c r="I276" s="18" t="str">
        <f>IF(R276&lt;&gt;1,"",DATA_INPUT!C276)</f>
        <v/>
      </c>
      <c r="J276" s="18" t="str">
        <f t="shared" si="186"/>
        <v/>
      </c>
      <c r="K276" s="18" t="str">
        <f>IF(R276&lt;&gt;1,"",DATA_INPUT!H276)</f>
        <v/>
      </c>
      <c r="L276" s="18" t="str">
        <f t="shared" si="187"/>
        <v/>
      </c>
      <c r="M276" s="18" t="str">
        <f>IF(R276&lt;&gt;1,"",H276*CONTROL_PANEL!$B$14)</f>
        <v/>
      </c>
      <c r="N276" s="18" t="str">
        <f>IF(R276&lt;&gt;1,"",DATA_INPUT!K276)</f>
        <v/>
      </c>
      <c r="O276" s="18" t="str">
        <f t="shared" si="188"/>
        <v/>
      </c>
      <c r="P276" s="18" t="str">
        <f>IF(R276&lt;&gt;1,"",IF(O276-CONTROL_PANEL!$B$11&lt;0,0,O276-CONTROL_PANEL!$B$11))</f>
        <v/>
      </c>
      <c r="Q276" s="18" t="str">
        <f>IF(R276&lt;&gt;1,"",IF(N276&lt;=0,0,MIN(N276,MAX(0,CONTROL_PANEL!$B$13-O276))))</f>
        <v/>
      </c>
      <c r="R276" s="18"/>
      <c r="T276" s="19">
        <f t="shared" si="216"/>
        <v>2038</v>
      </c>
      <c r="U276" s="19">
        <f t="shared" si="181"/>
        <v>5</v>
      </c>
      <c r="V276" s="18" t="str">
        <f t="shared" si="189"/>
        <v/>
      </c>
      <c r="W276" s="18" t="str">
        <f t="shared" si="211"/>
        <v/>
      </c>
      <c r="X276" s="18" t="str">
        <f>IF(AK275&lt;&gt;1,"",IF(AH275&gt;0,IF(AH275&gt;CONTROL_PANEL!$B$11,CONTROL_PANEL!$B$11,AH275),0))</f>
        <v/>
      </c>
      <c r="Y276" s="18" t="str">
        <f t="shared" si="206"/>
        <v/>
      </c>
      <c r="Z276" s="18" t="str">
        <f>IF(AK276&lt;&gt;1,"",DATA_INPUT!I276)</f>
        <v/>
      </c>
      <c r="AA276" s="18" t="str">
        <f>IF(AK276&lt;&gt;1,"",Z276*CONTROL_PANEL!$B$5)</f>
        <v/>
      </c>
      <c r="AB276" s="18" t="str">
        <f>IF(AK276&lt;&gt;1,"",DATA_INPUT!$C276)</f>
        <v/>
      </c>
      <c r="AC276" s="18" t="str">
        <f t="shared" si="190"/>
        <v/>
      </c>
      <c r="AD276" s="18" t="str">
        <f>IF(AK276&lt;&gt;1,"",DATA_INPUT!$H276)</f>
        <v/>
      </c>
      <c r="AE276" s="18" t="str">
        <f t="shared" si="191"/>
        <v/>
      </c>
      <c r="AF276" s="18" t="str">
        <f>IF(AK276&lt;&gt;1,"",AA276*CONTROL_PANEL!$B$14)</f>
        <v/>
      </c>
      <c r="AG276" s="18" t="str">
        <f>IF(AK276&lt;&gt;1,"",DATA_INPUT!$L276)</f>
        <v/>
      </c>
      <c r="AH276" s="18" t="str">
        <f t="shared" si="192"/>
        <v/>
      </c>
      <c r="AI276" s="18" t="str">
        <f>IF(AK276&lt;&gt;1,"",IF(AH276-CONTROL_PANEL!$B$11&lt;0,0,AH276-CONTROL_PANEL!$B$11))</f>
        <v/>
      </c>
      <c r="AJ276" s="18" t="str">
        <f>IF(AK276&lt;&gt;1,"",IF(AG276&lt;=0,0,MIN(AG276,MAX(0,CONTROL_PANEL!$B$13-AH276))))</f>
        <v/>
      </c>
      <c r="AK276" s="18"/>
      <c r="AM276" s="19">
        <f t="shared" si="217"/>
        <v>2038</v>
      </c>
      <c r="AN276" s="19">
        <f t="shared" si="182"/>
        <v>5</v>
      </c>
      <c r="AO276" s="18" t="str">
        <f t="shared" si="193"/>
        <v/>
      </c>
      <c r="AP276" s="18" t="str">
        <f t="shared" si="212"/>
        <v/>
      </c>
      <c r="AQ276" s="18" t="str">
        <f>IF(BD275&lt;&gt;1,"",IF(BA275&gt;0,IF(BA275&gt;CONTROL_PANEL!$B$11,CONTROL_PANEL!$B$11,BA275),0))</f>
        <v/>
      </c>
      <c r="AR276" s="18" t="str">
        <f t="shared" si="207"/>
        <v/>
      </c>
      <c r="AS276" s="18" t="str">
        <f>IF(BD276&lt;&gt;1,"",DATA_INPUT!$I276)</f>
        <v/>
      </c>
      <c r="AT276" s="18" t="str">
        <f>IF(BD276&lt;&gt;1,"",AS276*CONTROL_PANEL!$B$5)</f>
        <v/>
      </c>
      <c r="AU276" s="18" t="str">
        <f>IF(BD276&lt;&gt;1,"",DATA_INPUT!$C276)</f>
        <v/>
      </c>
      <c r="AV276" s="18" t="str">
        <f t="shared" si="194"/>
        <v/>
      </c>
      <c r="AW276" s="18" t="str">
        <f>IF(BD276&lt;&gt;1,"",DATA_INPUT!$H276)</f>
        <v/>
      </c>
      <c r="AX276" s="18" t="str">
        <f t="shared" si="195"/>
        <v/>
      </c>
      <c r="AY276" s="18" t="str">
        <f>IF(BD276&lt;&gt;1,"",AT276*CONTROL_PANEL!$B$14)</f>
        <v/>
      </c>
      <c r="AZ276" s="18" t="str">
        <f>IF(BD276&lt;&gt;1,"",DATA_INPUT!$M276)</f>
        <v/>
      </c>
      <c r="BA276" s="18" t="str">
        <f t="shared" si="196"/>
        <v/>
      </c>
      <c r="BB276" s="18" t="str">
        <f>IF(BD276&lt;&gt;1,"",IF(BA276-CONTROL_PANEL!$B$11&lt;0,0,BA276-CONTROL_PANEL!$B$11))</f>
        <v/>
      </c>
      <c r="BC276" s="18" t="str">
        <f>IF(BD276&lt;&gt;1,"",IF(AZ276&lt;=0,0,MIN(AZ276,MAX(0,CONTROL_PANEL!$B$13-BA276))))</f>
        <v/>
      </c>
      <c r="BD276" s="18"/>
      <c r="BF276" s="19">
        <f t="shared" si="218"/>
        <v>2038</v>
      </c>
      <c r="BG276" s="19">
        <f t="shared" si="183"/>
        <v>5</v>
      </c>
      <c r="BH276" s="18" t="str">
        <f t="shared" si="197"/>
        <v/>
      </c>
      <c r="BI276" s="18" t="str">
        <f t="shared" si="213"/>
        <v/>
      </c>
      <c r="BJ276" s="18" t="str">
        <f>IF(BW275&lt;&gt;1,"",IF(BT275&gt;0,IF(BT275&gt;CONTROL_PANEL!$B$11,CONTROL_PANEL!$B$11,BT275),0))</f>
        <v/>
      </c>
      <c r="BK276" s="18" t="str">
        <f t="shared" si="208"/>
        <v/>
      </c>
      <c r="BL276" s="18" t="str">
        <f>IF(BW276&lt;&gt;1,"",DATA_INPUT!$I276)</f>
        <v/>
      </c>
      <c r="BM276" s="18" t="str">
        <f>IF(BW276&lt;&gt;1,"",BL276*CONTROL_PANEL!$B$5)</f>
        <v/>
      </c>
      <c r="BN276" s="18" t="str">
        <f>IF(BW276&lt;&gt;1,"",DATA_INPUT!$C276)</f>
        <v/>
      </c>
      <c r="BO276" s="18" t="str">
        <f t="shared" si="198"/>
        <v/>
      </c>
      <c r="BP276" s="18" t="str">
        <f>IF(BW276&lt;&gt;1,"",DATA_INPUT!$H276)</f>
        <v/>
      </c>
      <c r="BQ276" s="18" t="str">
        <f t="shared" si="199"/>
        <v/>
      </c>
      <c r="BR276" s="18" t="str">
        <f>IF(BW276&lt;&gt;1,"",BM276*CONTROL_PANEL!$B$14)</f>
        <v/>
      </c>
      <c r="BS276" s="18" t="str">
        <f>IF(BW276&lt;&gt;1,"",DATA_INPUT!$N276)</f>
        <v/>
      </c>
      <c r="BT276" s="18" t="str">
        <f t="shared" si="200"/>
        <v/>
      </c>
      <c r="BU276" s="18" t="str">
        <f>IF(BW276&lt;&gt;1,"",IF(BT276-CONTROL_PANEL!$B$11&lt;0,0,BT276-CONTROL_PANEL!$B$11))</f>
        <v/>
      </c>
      <c r="BV276" s="18" t="str">
        <f>IF(BW276&lt;&gt;1,"",IF(BS276&lt;=0,0,MIN(BS276,MAX(0,CONTROL_PANEL!$B$13-BT276))))</f>
        <v/>
      </c>
      <c r="BW276" s="18"/>
      <c r="BY276" s="19">
        <f t="shared" si="219"/>
        <v>2038</v>
      </c>
      <c r="BZ276" s="19">
        <f t="shared" si="184"/>
        <v>5</v>
      </c>
      <c r="CA276" s="18" t="str">
        <f t="shared" si="201"/>
        <v/>
      </c>
      <c r="CB276" s="18" t="str">
        <f t="shared" si="214"/>
        <v/>
      </c>
      <c r="CC276" s="18" t="str">
        <f>IF(CP275&lt;&gt;1,"",IF(CM275&gt;0,IF(CM275&gt;CONTROL_PANEL!$B$11,CONTROL_PANEL!$B$11,CM275),0))</f>
        <v/>
      </c>
      <c r="CD276" s="18" t="str">
        <f t="shared" si="209"/>
        <v/>
      </c>
      <c r="CE276" s="18" t="str">
        <f>IF(CP276&lt;&gt;1,"",DATA_INPUT!$I276)</f>
        <v/>
      </c>
      <c r="CF276" s="18" t="str">
        <f>IF(CP276&lt;&gt;1,"",CE276*CONTROL_PANEL!$B$5)</f>
        <v/>
      </c>
      <c r="CG276" s="18" t="str">
        <f>IF(CP276&lt;&gt;1,"",DATA_INPUT!$C276)</f>
        <v/>
      </c>
      <c r="CH276" s="18" t="str">
        <f t="shared" si="202"/>
        <v/>
      </c>
      <c r="CI276" s="18" t="str">
        <f>IF(CP276&lt;&gt;1,"",DATA_INPUT!$H276)</f>
        <v/>
      </c>
      <c r="CJ276" s="18" t="str">
        <f t="shared" si="203"/>
        <v/>
      </c>
      <c r="CK276" s="18" t="str">
        <f>IF(CP276&lt;&gt;1,"",CF276*CONTROL_PANEL!$B$14)</f>
        <v/>
      </c>
      <c r="CL276" s="18" t="str">
        <f>IF(CP276&lt;&gt;1,"",DATA_INPUT!$O276)</f>
        <v/>
      </c>
      <c r="CM276" s="18" t="str">
        <f t="shared" si="204"/>
        <v/>
      </c>
      <c r="CN276" s="18" t="str">
        <f>IF(CP276&lt;&gt;1,"",IF(CM276-CONTROL_PANEL!$B$11&lt;0,0,CM276-CONTROL_PANEL!$B$11))</f>
        <v/>
      </c>
      <c r="CO276" s="18" t="str">
        <f>IF(CP276&lt;&gt;1,"",IF(CL276&lt;=0,0,MIN(CL276,MAX(0,CONTROL_PANEL!$B$13-CM276))))</f>
        <v/>
      </c>
      <c r="CP276" s="18"/>
    </row>
    <row r="277" spans="1:94" x14ac:dyDescent="0.25">
      <c r="A277" s="19">
        <f t="shared" si="215"/>
        <v>2038</v>
      </c>
      <c r="B277" s="19">
        <f t="shared" si="180"/>
        <v>6</v>
      </c>
      <c r="C277" s="18" t="str">
        <f t="shared" si="185"/>
        <v/>
      </c>
      <c r="D277" s="18" t="str">
        <f t="shared" si="210"/>
        <v/>
      </c>
      <c r="E277" s="18" t="str">
        <f>IF(R276&lt;&gt;1,"",IF(O276&gt;0,IF(O276&gt;CONTROL_PANEL!$B$11,CONTROL_PANEL!$B$11,O276),0))</f>
        <v/>
      </c>
      <c r="F277" s="18" t="str">
        <f t="shared" si="205"/>
        <v/>
      </c>
      <c r="G277" s="18" t="str">
        <f>IF(R277&lt;&gt;1,"",DATA_INPUT!I277)</f>
        <v/>
      </c>
      <c r="H277" s="18" t="str">
        <f>IF(R277&lt;&gt;1,"",G277*CONTROL_PANEL!$B$5)</f>
        <v/>
      </c>
      <c r="I277" s="18" t="str">
        <f>IF(R277&lt;&gt;1,"",DATA_INPUT!C277)</f>
        <v/>
      </c>
      <c r="J277" s="18" t="str">
        <f t="shared" si="186"/>
        <v/>
      </c>
      <c r="K277" s="18" t="str">
        <f>IF(R277&lt;&gt;1,"",DATA_INPUT!H277)</f>
        <v/>
      </c>
      <c r="L277" s="18" t="str">
        <f t="shared" si="187"/>
        <v/>
      </c>
      <c r="M277" s="18" t="str">
        <f>IF(R277&lt;&gt;1,"",H277*CONTROL_PANEL!$B$14)</f>
        <v/>
      </c>
      <c r="N277" s="18" t="str">
        <f>IF(R277&lt;&gt;1,"",DATA_INPUT!K277)</f>
        <v/>
      </c>
      <c r="O277" s="18" t="str">
        <f t="shared" si="188"/>
        <v/>
      </c>
      <c r="P277" s="18" t="str">
        <f>IF(R277&lt;&gt;1,"",IF(O277-CONTROL_PANEL!$B$11&lt;0,0,O277-CONTROL_PANEL!$B$11))</f>
        <v/>
      </c>
      <c r="Q277" s="18" t="str">
        <f>IF(R277&lt;&gt;1,"",IF(N277&lt;=0,0,MIN(N277,MAX(0,CONTROL_PANEL!$B$13-O277))))</f>
        <v/>
      </c>
      <c r="R277" s="18"/>
      <c r="T277" s="19">
        <f t="shared" si="216"/>
        <v>2038</v>
      </c>
      <c r="U277" s="19">
        <f t="shared" si="181"/>
        <v>6</v>
      </c>
      <c r="V277" s="18" t="str">
        <f t="shared" si="189"/>
        <v/>
      </c>
      <c r="W277" s="18" t="str">
        <f t="shared" si="211"/>
        <v/>
      </c>
      <c r="X277" s="18" t="str">
        <f>IF(AK276&lt;&gt;1,"",IF(AH276&gt;0,IF(AH276&gt;CONTROL_PANEL!$B$11,CONTROL_PANEL!$B$11,AH276),0))</f>
        <v/>
      </c>
      <c r="Y277" s="18" t="str">
        <f t="shared" si="206"/>
        <v/>
      </c>
      <c r="Z277" s="18" t="str">
        <f>IF(AK277&lt;&gt;1,"",DATA_INPUT!I277)</f>
        <v/>
      </c>
      <c r="AA277" s="18" t="str">
        <f>IF(AK277&lt;&gt;1,"",Z277*CONTROL_PANEL!$B$5)</f>
        <v/>
      </c>
      <c r="AB277" s="18" t="str">
        <f>IF(AK277&lt;&gt;1,"",DATA_INPUT!$C277)</f>
        <v/>
      </c>
      <c r="AC277" s="18" t="str">
        <f t="shared" si="190"/>
        <v/>
      </c>
      <c r="AD277" s="18" t="str">
        <f>IF(AK277&lt;&gt;1,"",DATA_INPUT!$H277)</f>
        <v/>
      </c>
      <c r="AE277" s="18" t="str">
        <f t="shared" si="191"/>
        <v/>
      </c>
      <c r="AF277" s="18" t="str">
        <f>IF(AK277&lt;&gt;1,"",AA277*CONTROL_PANEL!$B$14)</f>
        <v/>
      </c>
      <c r="AG277" s="18" t="str">
        <f>IF(AK277&lt;&gt;1,"",DATA_INPUT!$L277)</f>
        <v/>
      </c>
      <c r="AH277" s="18" t="str">
        <f t="shared" si="192"/>
        <v/>
      </c>
      <c r="AI277" s="18" t="str">
        <f>IF(AK277&lt;&gt;1,"",IF(AH277-CONTROL_PANEL!$B$11&lt;0,0,AH277-CONTROL_PANEL!$B$11))</f>
        <v/>
      </c>
      <c r="AJ277" s="18" t="str">
        <f>IF(AK277&lt;&gt;1,"",IF(AG277&lt;=0,0,MIN(AG277,MAX(0,CONTROL_PANEL!$B$13-AH277))))</f>
        <v/>
      </c>
      <c r="AK277" s="18"/>
      <c r="AM277" s="19">
        <f t="shared" si="217"/>
        <v>2038</v>
      </c>
      <c r="AN277" s="19">
        <f t="shared" si="182"/>
        <v>6</v>
      </c>
      <c r="AO277" s="18" t="str">
        <f t="shared" si="193"/>
        <v/>
      </c>
      <c r="AP277" s="18" t="str">
        <f t="shared" si="212"/>
        <v/>
      </c>
      <c r="AQ277" s="18" t="str">
        <f>IF(BD276&lt;&gt;1,"",IF(BA276&gt;0,IF(BA276&gt;CONTROL_PANEL!$B$11,CONTROL_PANEL!$B$11,BA276),0))</f>
        <v/>
      </c>
      <c r="AR277" s="18" t="str">
        <f t="shared" si="207"/>
        <v/>
      </c>
      <c r="AS277" s="18" t="str">
        <f>IF(BD277&lt;&gt;1,"",DATA_INPUT!$I277)</f>
        <v/>
      </c>
      <c r="AT277" s="18" t="str">
        <f>IF(BD277&lt;&gt;1,"",AS277*CONTROL_PANEL!$B$5)</f>
        <v/>
      </c>
      <c r="AU277" s="18" t="str">
        <f>IF(BD277&lt;&gt;1,"",DATA_INPUT!$C277)</f>
        <v/>
      </c>
      <c r="AV277" s="18" t="str">
        <f t="shared" si="194"/>
        <v/>
      </c>
      <c r="AW277" s="18" t="str">
        <f>IF(BD277&lt;&gt;1,"",DATA_INPUT!$H277)</f>
        <v/>
      </c>
      <c r="AX277" s="18" t="str">
        <f t="shared" si="195"/>
        <v/>
      </c>
      <c r="AY277" s="18" t="str">
        <f>IF(BD277&lt;&gt;1,"",AT277*CONTROL_PANEL!$B$14)</f>
        <v/>
      </c>
      <c r="AZ277" s="18" t="str">
        <f>IF(BD277&lt;&gt;1,"",DATA_INPUT!$M277)</f>
        <v/>
      </c>
      <c r="BA277" s="18" t="str">
        <f t="shared" si="196"/>
        <v/>
      </c>
      <c r="BB277" s="18" t="str">
        <f>IF(BD277&lt;&gt;1,"",IF(BA277-CONTROL_PANEL!$B$11&lt;0,0,BA277-CONTROL_PANEL!$B$11))</f>
        <v/>
      </c>
      <c r="BC277" s="18" t="str">
        <f>IF(BD277&lt;&gt;1,"",IF(AZ277&lt;=0,0,MIN(AZ277,MAX(0,CONTROL_PANEL!$B$13-BA277))))</f>
        <v/>
      </c>
      <c r="BD277" s="18"/>
      <c r="BF277" s="19">
        <f t="shared" si="218"/>
        <v>2038</v>
      </c>
      <c r="BG277" s="19">
        <f t="shared" si="183"/>
        <v>6</v>
      </c>
      <c r="BH277" s="18" t="str">
        <f t="shared" si="197"/>
        <v/>
      </c>
      <c r="BI277" s="18" t="str">
        <f t="shared" si="213"/>
        <v/>
      </c>
      <c r="BJ277" s="18" t="str">
        <f>IF(BW276&lt;&gt;1,"",IF(BT276&gt;0,IF(BT276&gt;CONTROL_PANEL!$B$11,CONTROL_PANEL!$B$11,BT276),0))</f>
        <v/>
      </c>
      <c r="BK277" s="18" t="str">
        <f t="shared" si="208"/>
        <v/>
      </c>
      <c r="BL277" s="18" t="str">
        <f>IF(BW277&lt;&gt;1,"",DATA_INPUT!$I277)</f>
        <v/>
      </c>
      <c r="BM277" s="18" t="str">
        <f>IF(BW277&lt;&gt;1,"",BL277*CONTROL_PANEL!$B$5)</f>
        <v/>
      </c>
      <c r="BN277" s="18" t="str">
        <f>IF(BW277&lt;&gt;1,"",DATA_INPUT!$C277)</f>
        <v/>
      </c>
      <c r="BO277" s="18" t="str">
        <f t="shared" si="198"/>
        <v/>
      </c>
      <c r="BP277" s="18" t="str">
        <f>IF(BW277&lt;&gt;1,"",DATA_INPUT!$H277)</f>
        <v/>
      </c>
      <c r="BQ277" s="18" t="str">
        <f t="shared" si="199"/>
        <v/>
      </c>
      <c r="BR277" s="18" t="str">
        <f>IF(BW277&lt;&gt;1,"",BM277*CONTROL_PANEL!$B$14)</f>
        <v/>
      </c>
      <c r="BS277" s="18" t="str">
        <f>IF(BW277&lt;&gt;1,"",DATA_INPUT!$N277)</f>
        <v/>
      </c>
      <c r="BT277" s="18" t="str">
        <f t="shared" si="200"/>
        <v/>
      </c>
      <c r="BU277" s="18" t="str">
        <f>IF(BW277&lt;&gt;1,"",IF(BT277-CONTROL_PANEL!$B$11&lt;0,0,BT277-CONTROL_PANEL!$B$11))</f>
        <v/>
      </c>
      <c r="BV277" s="18" t="str">
        <f>IF(BW277&lt;&gt;1,"",IF(BS277&lt;=0,0,MIN(BS277,MAX(0,CONTROL_PANEL!$B$13-BT277))))</f>
        <v/>
      </c>
      <c r="BW277" s="18"/>
      <c r="BY277" s="19">
        <f t="shared" si="219"/>
        <v>2038</v>
      </c>
      <c r="BZ277" s="19">
        <f t="shared" si="184"/>
        <v>6</v>
      </c>
      <c r="CA277" s="18" t="str">
        <f t="shared" si="201"/>
        <v/>
      </c>
      <c r="CB277" s="18" t="str">
        <f t="shared" si="214"/>
        <v/>
      </c>
      <c r="CC277" s="18" t="str">
        <f>IF(CP276&lt;&gt;1,"",IF(CM276&gt;0,IF(CM276&gt;CONTROL_PANEL!$B$11,CONTROL_PANEL!$B$11,CM276),0))</f>
        <v/>
      </c>
      <c r="CD277" s="18" t="str">
        <f t="shared" si="209"/>
        <v/>
      </c>
      <c r="CE277" s="18" t="str">
        <f>IF(CP277&lt;&gt;1,"",DATA_INPUT!$I277)</f>
        <v/>
      </c>
      <c r="CF277" s="18" t="str">
        <f>IF(CP277&lt;&gt;1,"",CE277*CONTROL_PANEL!$B$5)</f>
        <v/>
      </c>
      <c r="CG277" s="18" t="str">
        <f>IF(CP277&lt;&gt;1,"",DATA_INPUT!$C277)</f>
        <v/>
      </c>
      <c r="CH277" s="18" t="str">
        <f t="shared" si="202"/>
        <v/>
      </c>
      <c r="CI277" s="18" t="str">
        <f>IF(CP277&lt;&gt;1,"",DATA_INPUT!$H277)</f>
        <v/>
      </c>
      <c r="CJ277" s="18" t="str">
        <f t="shared" si="203"/>
        <v/>
      </c>
      <c r="CK277" s="18" t="str">
        <f>IF(CP277&lt;&gt;1,"",CF277*CONTROL_PANEL!$B$14)</f>
        <v/>
      </c>
      <c r="CL277" s="18" t="str">
        <f>IF(CP277&lt;&gt;1,"",DATA_INPUT!$O277)</f>
        <v/>
      </c>
      <c r="CM277" s="18" t="str">
        <f t="shared" si="204"/>
        <v/>
      </c>
      <c r="CN277" s="18" t="str">
        <f>IF(CP277&lt;&gt;1,"",IF(CM277-CONTROL_PANEL!$B$11&lt;0,0,CM277-CONTROL_PANEL!$B$11))</f>
        <v/>
      </c>
      <c r="CO277" s="18" t="str">
        <f>IF(CP277&lt;&gt;1,"",IF(CL277&lt;=0,0,MIN(CL277,MAX(0,CONTROL_PANEL!$B$13-CM277))))</f>
        <v/>
      </c>
      <c r="CP277" s="18"/>
    </row>
    <row r="278" spans="1:94" x14ac:dyDescent="0.25">
      <c r="A278" s="19">
        <f t="shared" si="215"/>
        <v>2038</v>
      </c>
      <c r="B278" s="19">
        <f t="shared" si="180"/>
        <v>7</v>
      </c>
      <c r="C278" s="18" t="str">
        <f t="shared" si="185"/>
        <v/>
      </c>
      <c r="D278" s="18" t="str">
        <f t="shared" si="210"/>
        <v/>
      </c>
      <c r="E278" s="18" t="str">
        <f>IF(R277&lt;&gt;1,"",IF(O277&gt;0,IF(O277&gt;CONTROL_PANEL!$B$11,CONTROL_PANEL!$B$11,O277),0))</f>
        <v/>
      </c>
      <c r="F278" s="18" t="str">
        <f t="shared" si="205"/>
        <v/>
      </c>
      <c r="G278" s="18" t="str">
        <f>IF(R278&lt;&gt;1,"",DATA_INPUT!I278)</f>
        <v/>
      </c>
      <c r="H278" s="18" t="str">
        <f>IF(R278&lt;&gt;1,"",G278*CONTROL_PANEL!$B$5)</f>
        <v/>
      </c>
      <c r="I278" s="18" t="str">
        <f>IF(R278&lt;&gt;1,"",DATA_INPUT!C278)</f>
        <v/>
      </c>
      <c r="J278" s="18" t="str">
        <f t="shared" si="186"/>
        <v/>
      </c>
      <c r="K278" s="18" t="str">
        <f>IF(R278&lt;&gt;1,"",DATA_INPUT!H278)</f>
        <v/>
      </c>
      <c r="L278" s="18" t="str">
        <f t="shared" si="187"/>
        <v/>
      </c>
      <c r="M278" s="18" t="str">
        <f>IF(R278&lt;&gt;1,"",H278*CONTROL_PANEL!$B$14)</f>
        <v/>
      </c>
      <c r="N278" s="18" t="str">
        <f>IF(R278&lt;&gt;1,"",DATA_INPUT!K278)</f>
        <v/>
      </c>
      <c r="O278" s="18" t="str">
        <f t="shared" si="188"/>
        <v/>
      </c>
      <c r="P278" s="18" t="str">
        <f>IF(R278&lt;&gt;1,"",IF(O278-CONTROL_PANEL!$B$11&lt;0,0,O278-CONTROL_PANEL!$B$11))</f>
        <v/>
      </c>
      <c r="Q278" s="18" t="str">
        <f>IF(R278&lt;&gt;1,"",IF(N278&lt;=0,0,MIN(N278,MAX(0,CONTROL_PANEL!$B$13-O278))))</f>
        <v/>
      </c>
      <c r="R278" s="18"/>
      <c r="T278" s="19">
        <f t="shared" si="216"/>
        <v>2038</v>
      </c>
      <c r="U278" s="19">
        <f t="shared" si="181"/>
        <v>7</v>
      </c>
      <c r="V278" s="18" t="str">
        <f t="shared" si="189"/>
        <v/>
      </c>
      <c r="W278" s="18" t="str">
        <f t="shared" si="211"/>
        <v/>
      </c>
      <c r="X278" s="18" t="str">
        <f>IF(AK277&lt;&gt;1,"",IF(AH277&gt;0,IF(AH277&gt;CONTROL_PANEL!$B$11,CONTROL_PANEL!$B$11,AH277),0))</f>
        <v/>
      </c>
      <c r="Y278" s="18" t="str">
        <f t="shared" si="206"/>
        <v/>
      </c>
      <c r="Z278" s="18" t="str">
        <f>IF(AK278&lt;&gt;1,"",DATA_INPUT!I278)</f>
        <v/>
      </c>
      <c r="AA278" s="18" t="str">
        <f>IF(AK278&lt;&gt;1,"",Z278*CONTROL_PANEL!$B$5)</f>
        <v/>
      </c>
      <c r="AB278" s="18" t="str">
        <f>IF(AK278&lt;&gt;1,"",DATA_INPUT!$C278)</f>
        <v/>
      </c>
      <c r="AC278" s="18" t="str">
        <f t="shared" si="190"/>
        <v/>
      </c>
      <c r="AD278" s="18" t="str">
        <f>IF(AK278&lt;&gt;1,"",DATA_INPUT!$H278)</f>
        <v/>
      </c>
      <c r="AE278" s="18" t="str">
        <f t="shared" si="191"/>
        <v/>
      </c>
      <c r="AF278" s="18" t="str">
        <f>IF(AK278&lt;&gt;1,"",AA278*CONTROL_PANEL!$B$14)</f>
        <v/>
      </c>
      <c r="AG278" s="18" t="str">
        <f>IF(AK278&lt;&gt;1,"",DATA_INPUT!$L278)</f>
        <v/>
      </c>
      <c r="AH278" s="18" t="str">
        <f t="shared" si="192"/>
        <v/>
      </c>
      <c r="AI278" s="18" t="str">
        <f>IF(AK278&lt;&gt;1,"",IF(AH278-CONTROL_PANEL!$B$11&lt;0,0,AH278-CONTROL_PANEL!$B$11))</f>
        <v/>
      </c>
      <c r="AJ278" s="18" t="str">
        <f>IF(AK278&lt;&gt;1,"",IF(AG278&lt;=0,0,MIN(AG278,MAX(0,CONTROL_PANEL!$B$13-AH278))))</f>
        <v/>
      </c>
      <c r="AK278" s="18"/>
      <c r="AM278" s="19">
        <f t="shared" si="217"/>
        <v>2038</v>
      </c>
      <c r="AN278" s="19">
        <f t="shared" si="182"/>
        <v>7</v>
      </c>
      <c r="AO278" s="18" t="str">
        <f t="shared" si="193"/>
        <v/>
      </c>
      <c r="AP278" s="18" t="str">
        <f t="shared" si="212"/>
        <v/>
      </c>
      <c r="AQ278" s="18" t="str">
        <f>IF(BD277&lt;&gt;1,"",IF(BA277&gt;0,IF(BA277&gt;CONTROL_PANEL!$B$11,CONTROL_PANEL!$B$11,BA277),0))</f>
        <v/>
      </c>
      <c r="AR278" s="18" t="str">
        <f t="shared" si="207"/>
        <v/>
      </c>
      <c r="AS278" s="18" t="str">
        <f>IF(BD278&lt;&gt;1,"",DATA_INPUT!$I278)</f>
        <v/>
      </c>
      <c r="AT278" s="18" t="str">
        <f>IF(BD278&lt;&gt;1,"",AS278*CONTROL_PANEL!$B$5)</f>
        <v/>
      </c>
      <c r="AU278" s="18" t="str">
        <f>IF(BD278&lt;&gt;1,"",DATA_INPUT!$C278)</f>
        <v/>
      </c>
      <c r="AV278" s="18" t="str">
        <f t="shared" si="194"/>
        <v/>
      </c>
      <c r="AW278" s="18" t="str">
        <f>IF(BD278&lt;&gt;1,"",DATA_INPUT!$H278)</f>
        <v/>
      </c>
      <c r="AX278" s="18" t="str">
        <f t="shared" si="195"/>
        <v/>
      </c>
      <c r="AY278" s="18" t="str">
        <f>IF(BD278&lt;&gt;1,"",AT278*CONTROL_PANEL!$B$14)</f>
        <v/>
      </c>
      <c r="AZ278" s="18" t="str">
        <f>IF(BD278&lt;&gt;1,"",DATA_INPUT!$M278)</f>
        <v/>
      </c>
      <c r="BA278" s="18" t="str">
        <f t="shared" si="196"/>
        <v/>
      </c>
      <c r="BB278" s="18" t="str">
        <f>IF(BD278&lt;&gt;1,"",IF(BA278-CONTROL_PANEL!$B$11&lt;0,0,BA278-CONTROL_PANEL!$B$11))</f>
        <v/>
      </c>
      <c r="BC278" s="18" t="str">
        <f>IF(BD278&lt;&gt;1,"",IF(AZ278&lt;=0,0,MIN(AZ278,MAX(0,CONTROL_PANEL!$B$13-BA278))))</f>
        <v/>
      </c>
      <c r="BD278" s="18"/>
      <c r="BF278" s="19">
        <f t="shared" si="218"/>
        <v>2038</v>
      </c>
      <c r="BG278" s="19">
        <f t="shared" si="183"/>
        <v>7</v>
      </c>
      <c r="BH278" s="18" t="str">
        <f t="shared" si="197"/>
        <v/>
      </c>
      <c r="BI278" s="18" t="str">
        <f t="shared" si="213"/>
        <v/>
      </c>
      <c r="BJ278" s="18" t="str">
        <f>IF(BW277&lt;&gt;1,"",IF(BT277&gt;0,IF(BT277&gt;CONTROL_PANEL!$B$11,CONTROL_PANEL!$B$11,BT277),0))</f>
        <v/>
      </c>
      <c r="BK278" s="18" t="str">
        <f t="shared" si="208"/>
        <v/>
      </c>
      <c r="BL278" s="18" t="str">
        <f>IF(BW278&lt;&gt;1,"",DATA_INPUT!$I278)</f>
        <v/>
      </c>
      <c r="BM278" s="18" t="str">
        <f>IF(BW278&lt;&gt;1,"",BL278*CONTROL_PANEL!$B$5)</f>
        <v/>
      </c>
      <c r="BN278" s="18" t="str">
        <f>IF(BW278&lt;&gt;1,"",DATA_INPUT!$C278)</f>
        <v/>
      </c>
      <c r="BO278" s="18" t="str">
        <f t="shared" si="198"/>
        <v/>
      </c>
      <c r="BP278" s="18" t="str">
        <f>IF(BW278&lt;&gt;1,"",DATA_INPUT!$H278)</f>
        <v/>
      </c>
      <c r="BQ278" s="18" t="str">
        <f t="shared" si="199"/>
        <v/>
      </c>
      <c r="BR278" s="18" t="str">
        <f>IF(BW278&lt;&gt;1,"",BM278*CONTROL_PANEL!$B$14)</f>
        <v/>
      </c>
      <c r="BS278" s="18" t="str">
        <f>IF(BW278&lt;&gt;1,"",DATA_INPUT!$N278)</f>
        <v/>
      </c>
      <c r="BT278" s="18" t="str">
        <f t="shared" si="200"/>
        <v/>
      </c>
      <c r="BU278" s="18" t="str">
        <f>IF(BW278&lt;&gt;1,"",IF(BT278-CONTROL_PANEL!$B$11&lt;0,0,BT278-CONTROL_PANEL!$B$11))</f>
        <v/>
      </c>
      <c r="BV278" s="18" t="str">
        <f>IF(BW278&lt;&gt;1,"",IF(BS278&lt;=0,0,MIN(BS278,MAX(0,CONTROL_PANEL!$B$13-BT278))))</f>
        <v/>
      </c>
      <c r="BW278" s="18"/>
      <c r="BY278" s="19">
        <f t="shared" si="219"/>
        <v>2038</v>
      </c>
      <c r="BZ278" s="19">
        <f t="shared" si="184"/>
        <v>7</v>
      </c>
      <c r="CA278" s="18" t="str">
        <f t="shared" si="201"/>
        <v/>
      </c>
      <c r="CB278" s="18" t="str">
        <f t="shared" si="214"/>
        <v/>
      </c>
      <c r="CC278" s="18" t="str">
        <f>IF(CP277&lt;&gt;1,"",IF(CM277&gt;0,IF(CM277&gt;CONTROL_PANEL!$B$11,CONTROL_PANEL!$B$11,CM277),0))</f>
        <v/>
      </c>
      <c r="CD278" s="18" t="str">
        <f t="shared" si="209"/>
        <v/>
      </c>
      <c r="CE278" s="18" t="str">
        <f>IF(CP278&lt;&gt;1,"",DATA_INPUT!$I278)</f>
        <v/>
      </c>
      <c r="CF278" s="18" t="str">
        <f>IF(CP278&lt;&gt;1,"",CE278*CONTROL_PANEL!$B$5)</f>
        <v/>
      </c>
      <c r="CG278" s="18" t="str">
        <f>IF(CP278&lt;&gt;1,"",DATA_INPUT!$C278)</f>
        <v/>
      </c>
      <c r="CH278" s="18" t="str">
        <f t="shared" si="202"/>
        <v/>
      </c>
      <c r="CI278" s="18" t="str">
        <f>IF(CP278&lt;&gt;1,"",DATA_INPUT!$H278)</f>
        <v/>
      </c>
      <c r="CJ278" s="18" t="str">
        <f t="shared" si="203"/>
        <v/>
      </c>
      <c r="CK278" s="18" t="str">
        <f>IF(CP278&lt;&gt;1,"",CF278*CONTROL_PANEL!$B$14)</f>
        <v/>
      </c>
      <c r="CL278" s="18" t="str">
        <f>IF(CP278&lt;&gt;1,"",DATA_INPUT!$O278)</f>
        <v/>
      </c>
      <c r="CM278" s="18" t="str">
        <f t="shared" si="204"/>
        <v/>
      </c>
      <c r="CN278" s="18" t="str">
        <f>IF(CP278&lt;&gt;1,"",IF(CM278-CONTROL_PANEL!$B$11&lt;0,0,CM278-CONTROL_PANEL!$B$11))</f>
        <v/>
      </c>
      <c r="CO278" s="18" t="str">
        <f>IF(CP278&lt;&gt;1,"",IF(CL278&lt;=0,0,MIN(CL278,MAX(0,CONTROL_PANEL!$B$13-CM278))))</f>
        <v/>
      </c>
      <c r="CP278" s="18"/>
    </row>
    <row r="279" spans="1:94" x14ac:dyDescent="0.25">
      <c r="A279" s="19">
        <f t="shared" si="215"/>
        <v>2038</v>
      </c>
      <c r="B279" s="19">
        <f t="shared" si="180"/>
        <v>8</v>
      </c>
      <c r="C279" s="18" t="str">
        <f t="shared" si="185"/>
        <v/>
      </c>
      <c r="D279" s="18" t="str">
        <f t="shared" si="210"/>
        <v/>
      </c>
      <c r="E279" s="18" t="str">
        <f>IF(R278&lt;&gt;1,"",IF(O278&gt;0,IF(O278&gt;CONTROL_PANEL!$B$11,CONTROL_PANEL!$B$11,O278),0))</f>
        <v/>
      </c>
      <c r="F279" s="18" t="str">
        <f t="shared" si="205"/>
        <v/>
      </c>
      <c r="G279" s="18" t="str">
        <f>IF(R279&lt;&gt;1,"",DATA_INPUT!I279)</f>
        <v/>
      </c>
      <c r="H279" s="18" t="str">
        <f>IF(R279&lt;&gt;1,"",G279*CONTROL_PANEL!$B$5)</f>
        <v/>
      </c>
      <c r="I279" s="18" t="str">
        <f>IF(R279&lt;&gt;1,"",DATA_INPUT!C279)</f>
        <v/>
      </c>
      <c r="J279" s="18" t="str">
        <f t="shared" si="186"/>
        <v/>
      </c>
      <c r="K279" s="18" t="str">
        <f>IF(R279&lt;&gt;1,"",DATA_INPUT!H279)</f>
        <v/>
      </c>
      <c r="L279" s="18" t="str">
        <f t="shared" si="187"/>
        <v/>
      </c>
      <c r="M279" s="18" t="str">
        <f>IF(R279&lt;&gt;1,"",H279*CONTROL_PANEL!$B$14)</f>
        <v/>
      </c>
      <c r="N279" s="18" t="str">
        <f>IF(R279&lt;&gt;1,"",DATA_INPUT!K279)</f>
        <v/>
      </c>
      <c r="O279" s="18" t="str">
        <f t="shared" si="188"/>
        <v/>
      </c>
      <c r="P279" s="18" t="str">
        <f>IF(R279&lt;&gt;1,"",IF(O279-CONTROL_PANEL!$B$11&lt;0,0,O279-CONTROL_PANEL!$B$11))</f>
        <v/>
      </c>
      <c r="Q279" s="18" t="str">
        <f>IF(R279&lt;&gt;1,"",IF(N279&lt;=0,0,MIN(N279,MAX(0,CONTROL_PANEL!$B$13-O279))))</f>
        <v/>
      </c>
      <c r="R279" s="18"/>
      <c r="T279" s="19">
        <f t="shared" si="216"/>
        <v>2038</v>
      </c>
      <c r="U279" s="19">
        <f t="shared" si="181"/>
        <v>8</v>
      </c>
      <c r="V279" s="18" t="str">
        <f t="shared" si="189"/>
        <v/>
      </c>
      <c r="W279" s="18" t="str">
        <f t="shared" si="211"/>
        <v/>
      </c>
      <c r="X279" s="18" t="str">
        <f>IF(AK278&lt;&gt;1,"",IF(AH278&gt;0,IF(AH278&gt;CONTROL_PANEL!$B$11,CONTROL_PANEL!$B$11,AH278),0))</f>
        <v/>
      </c>
      <c r="Y279" s="18" t="str">
        <f t="shared" si="206"/>
        <v/>
      </c>
      <c r="Z279" s="18" t="str">
        <f>IF(AK279&lt;&gt;1,"",DATA_INPUT!I279)</f>
        <v/>
      </c>
      <c r="AA279" s="18" t="str">
        <f>IF(AK279&lt;&gt;1,"",Z279*CONTROL_PANEL!$B$5)</f>
        <v/>
      </c>
      <c r="AB279" s="18" t="str">
        <f>IF(AK279&lt;&gt;1,"",DATA_INPUT!$C279)</f>
        <v/>
      </c>
      <c r="AC279" s="18" t="str">
        <f t="shared" si="190"/>
        <v/>
      </c>
      <c r="AD279" s="18" t="str">
        <f>IF(AK279&lt;&gt;1,"",DATA_INPUT!$H279)</f>
        <v/>
      </c>
      <c r="AE279" s="18" t="str">
        <f t="shared" si="191"/>
        <v/>
      </c>
      <c r="AF279" s="18" t="str">
        <f>IF(AK279&lt;&gt;1,"",AA279*CONTROL_PANEL!$B$14)</f>
        <v/>
      </c>
      <c r="AG279" s="18" t="str">
        <f>IF(AK279&lt;&gt;1,"",DATA_INPUT!$L279)</f>
        <v/>
      </c>
      <c r="AH279" s="18" t="str">
        <f t="shared" si="192"/>
        <v/>
      </c>
      <c r="AI279" s="18" t="str">
        <f>IF(AK279&lt;&gt;1,"",IF(AH279-CONTROL_PANEL!$B$11&lt;0,0,AH279-CONTROL_PANEL!$B$11))</f>
        <v/>
      </c>
      <c r="AJ279" s="18" t="str">
        <f>IF(AK279&lt;&gt;1,"",IF(AG279&lt;=0,0,MIN(AG279,MAX(0,CONTROL_PANEL!$B$13-AH279))))</f>
        <v/>
      </c>
      <c r="AK279" s="18"/>
      <c r="AM279" s="19">
        <f t="shared" si="217"/>
        <v>2038</v>
      </c>
      <c r="AN279" s="19">
        <f t="shared" si="182"/>
        <v>8</v>
      </c>
      <c r="AO279" s="18" t="str">
        <f t="shared" si="193"/>
        <v/>
      </c>
      <c r="AP279" s="18" t="str">
        <f t="shared" si="212"/>
        <v/>
      </c>
      <c r="AQ279" s="18" t="str">
        <f>IF(BD278&lt;&gt;1,"",IF(BA278&gt;0,IF(BA278&gt;CONTROL_PANEL!$B$11,CONTROL_PANEL!$B$11,BA278),0))</f>
        <v/>
      </c>
      <c r="AR279" s="18" t="str">
        <f t="shared" si="207"/>
        <v/>
      </c>
      <c r="AS279" s="18" t="str">
        <f>IF(BD279&lt;&gt;1,"",DATA_INPUT!$I279)</f>
        <v/>
      </c>
      <c r="AT279" s="18" t="str">
        <f>IF(BD279&lt;&gt;1,"",AS279*CONTROL_PANEL!$B$5)</f>
        <v/>
      </c>
      <c r="AU279" s="18" t="str">
        <f>IF(BD279&lt;&gt;1,"",DATA_INPUT!$C279)</f>
        <v/>
      </c>
      <c r="AV279" s="18" t="str">
        <f t="shared" si="194"/>
        <v/>
      </c>
      <c r="AW279" s="18" t="str">
        <f>IF(BD279&lt;&gt;1,"",DATA_INPUT!$H279)</f>
        <v/>
      </c>
      <c r="AX279" s="18" t="str">
        <f t="shared" si="195"/>
        <v/>
      </c>
      <c r="AY279" s="18" t="str">
        <f>IF(BD279&lt;&gt;1,"",AT279*CONTROL_PANEL!$B$14)</f>
        <v/>
      </c>
      <c r="AZ279" s="18" t="str">
        <f>IF(BD279&lt;&gt;1,"",DATA_INPUT!$M279)</f>
        <v/>
      </c>
      <c r="BA279" s="18" t="str">
        <f t="shared" si="196"/>
        <v/>
      </c>
      <c r="BB279" s="18" t="str">
        <f>IF(BD279&lt;&gt;1,"",IF(BA279-CONTROL_PANEL!$B$11&lt;0,0,BA279-CONTROL_PANEL!$B$11))</f>
        <v/>
      </c>
      <c r="BC279" s="18" t="str">
        <f>IF(BD279&lt;&gt;1,"",IF(AZ279&lt;=0,0,MIN(AZ279,MAX(0,CONTROL_PANEL!$B$13-BA279))))</f>
        <v/>
      </c>
      <c r="BD279" s="18"/>
      <c r="BF279" s="19">
        <f t="shared" si="218"/>
        <v>2038</v>
      </c>
      <c r="BG279" s="19">
        <f t="shared" si="183"/>
        <v>8</v>
      </c>
      <c r="BH279" s="18" t="str">
        <f t="shared" si="197"/>
        <v/>
      </c>
      <c r="BI279" s="18" t="str">
        <f t="shared" si="213"/>
        <v/>
      </c>
      <c r="BJ279" s="18" t="str">
        <f>IF(BW278&lt;&gt;1,"",IF(BT278&gt;0,IF(BT278&gt;CONTROL_PANEL!$B$11,CONTROL_PANEL!$B$11,BT278),0))</f>
        <v/>
      </c>
      <c r="BK279" s="18" t="str">
        <f t="shared" si="208"/>
        <v/>
      </c>
      <c r="BL279" s="18" t="str">
        <f>IF(BW279&lt;&gt;1,"",DATA_INPUT!$I279)</f>
        <v/>
      </c>
      <c r="BM279" s="18" t="str">
        <f>IF(BW279&lt;&gt;1,"",BL279*CONTROL_PANEL!$B$5)</f>
        <v/>
      </c>
      <c r="BN279" s="18" t="str">
        <f>IF(BW279&lt;&gt;1,"",DATA_INPUT!$C279)</f>
        <v/>
      </c>
      <c r="BO279" s="18" t="str">
        <f t="shared" si="198"/>
        <v/>
      </c>
      <c r="BP279" s="18" t="str">
        <f>IF(BW279&lt;&gt;1,"",DATA_INPUT!$H279)</f>
        <v/>
      </c>
      <c r="BQ279" s="18" t="str">
        <f t="shared" si="199"/>
        <v/>
      </c>
      <c r="BR279" s="18" t="str">
        <f>IF(BW279&lt;&gt;1,"",BM279*CONTROL_PANEL!$B$14)</f>
        <v/>
      </c>
      <c r="BS279" s="18" t="str">
        <f>IF(BW279&lt;&gt;1,"",DATA_INPUT!$N279)</f>
        <v/>
      </c>
      <c r="BT279" s="18" t="str">
        <f t="shared" si="200"/>
        <v/>
      </c>
      <c r="BU279" s="18" t="str">
        <f>IF(BW279&lt;&gt;1,"",IF(BT279-CONTROL_PANEL!$B$11&lt;0,0,BT279-CONTROL_PANEL!$B$11))</f>
        <v/>
      </c>
      <c r="BV279" s="18" t="str">
        <f>IF(BW279&lt;&gt;1,"",IF(BS279&lt;=0,0,MIN(BS279,MAX(0,CONTROL_PANEL!$B$13-BT279))))</f>
        <v/>
      </c>
      <c r="BW279" s="18"/>
      <c r="BY279" s="19">
        <f t="shared" si="219"/>
        <v>2038</v>
      </c>
      <c r="BZ279" s="19">
        <f t="shared" si="184"/>
        <v>8</v>
      </c>
      <c r="CA279" s="18" t="str">
        <f t="shared" si="201"/>
        <v/>
      </c>
      <c r="CB279" s="18" t="str">
        <f t="shared" si="214"/>
        <v/>
      </c>
      <c r="CC279" s="18" t="str">
        <f>IF(CP278&lt;&gt;1,"",IF(CM278&gt;0,IF(CM278&gt;CONTROL_PANEL!$B$11,CONTROL_PANEL!$B$11,CM278),0))</f>
        <v/>
      </c>
      <c r="CD279" s="18" t="str">
        <f t="shared" si="209"/>
        <v/>
      </c>
      <c r="CE279" s="18" t="str">
        <f>IF(CP279&lt;&gt;1,"",DATA_INPUT!$I279)</f>
        <v/>
      </c>
      <c r="CF279" s="18" t="str">
        <f>IF(CP279&lt;&gt;1,"",CE279*CONTROL_PANEL!$B$5)</f>
        <v/>
      </c>
      <c r="CG279" s="18" t="str">
        <f>IF(CP279&lt;&gt;1,"",DATA_INPUT!$C279)</f>
        <v/>
      </c>
      <c r="CH279" s="18" t="str">
        <f t="shared" si="202"/>
        <v/>
      </c>
      <c r="CI279" s="18" t="str">
        <f>IF(CP279&lt;&gt;1,"",DATA_INPUT!$H279)</f>
        <v/>
      </c>
      <c r="CJ279" s="18" t="str">
        <f t="shared" si="203"/>
        <v/>
      </c>
      <c r="CK279" s="18" t="str">
        <f>IF(CP279&lt;&gt;1,"",CF279*CONTROL_PANEL!$B$14)</f>
        <v/>
      </c>
      <c r="CL279" s="18" t="str">
        <f>IF(CP279&lt;&gt;1,"",DATA_INPUT!$O279)</f>
        <v/>
      </c>
      <c r="CM279" s="18" t="str">
        <f t="shared" si="204"/>
        <v/>
      </c>
      <c r="CN279" s="18" t="str">
        <f>IF(CP279&lt;&gt;1,"",IF(CM279-CONTROL_PANEL!$B$11&lt;0,0,CM279-CONTROL_PANEL!$B$11))</f>
        <v/>
      </c>
      <c r="CO279" s="18" t="str">
        <f>IF(CP279&lt;&gt;1,"",IF(CL279&lt;=0,0,MIN(CL279,MAX(0,CONTROL_PANEL!$B$13-CM279))))</f>
        <v/>
      </c>
      <c r="CP279" s="18"/>
    </row>
    <row r="280" spans="1:94" x14ac:dyDescent="0.25">
      <c r="A280" s="19">
        <f t="shared" si="215"/>
        <v>2038</v>
      </c>
      <c r="B280" s="19">
        <f t="shared" si="180"/>
        <v>9</v>
      </c>
      <c r="C280" s="18" t="str">
        <f t="shared" si="185"/>
        <v/>
      </c>
      <c r="D280" s="18" t="str">
        <f t="shared" si="210"/>
        <v/>
      </c>
      <c r="E280" s="18" t="str">
        <f>IF(R279&lt;&gt;1,"",IF(O279&gt;0,IF(O279&gt;CONTROL_PANEL!$B$11,CONTROL_PANEL!$B$11,O279),0))</f>
        <v/>
      </c>
      <c r="F280" s="18" t="str">
        <f t="shared" si="205"/>
        <v/>
      </c>
      <c r="G280" s="18" t="str">
        <f>IF(R280&lt;&gt;1,"",DATA_INPUT!I280)</f>
        <v/>
      </c>
      <c r="H280" s="18" t="str">
        <f>IF(R280&lt;&gt;1,"",G280*CONTROL_PANEL!$B$5)</f>
        <v/>
      </c>
      <c r="I280" s="18" t="str">
        <f>IF(R280&lt;&gt;1,"",DATA_INPUT!C280)</f>
        <v/>
      </c>
      <c r="J280" s="18" t="str">
        <f t="shared" si="186"/>
        <v/>
      </c>
      <c r="K280" s="18" t="str">
        <f>IF(R280&lt;&gt;1,"",DATA_INPUT!H280)</f>
        <v/>
      </c>
      <c r="L280" s="18" t="str">
        <f t="shared" si="187"/>
        <v/>
      </c>
      <c r="M280" s="18" t="str">
        <f>IF(R280&lt;&gt;1,"",H280*CONTROL_PANEL!$B$14)</f>
        <v/>
      </c>
      <c r="N280" s="18" t="str">
        <f>IF(R280&lt;&gt;1,"",DATA_INPUT!K280)</f>
        <v/>
      </c>
      <c r="O280" s="18" t="str">
        <f t="shared" si="188"/>
        <v/>
      </c>
      <c r="P280" s="18" t="str">
        <f>IF(R280&lt;&gt;1,"",IF(O280-CONTROL_PANEL!$B$11&lt;0,0,O280-CONTROL_PANEL!$B$11))</f>
        <v/>
      </c>
      <c r="Q280" s="18" t="str">
        <f>IF(R280&lt;&gt;1,"",IF(N280&lt;=0,0,MIN(N280,MAX(0,CONTROL_PANEL!$B$13-O280))))</f>
        <v/>
      </c>
      <c r="R280" s="18"/>
      <c r="T280" s="19">
        <f t="shared" si="216"/>
        <v>2038</v>
      </c>
      <c r="U280" s="19">
        <f t="shared" si="181"/>
        <v>9</v>
      </c>
      <c r="V280" s="18" t="str">
        <f t="shared" si="189"/>
        <v/>
      </c>
      <c r="W280" s="18" t="str">
        <f t="shared" si="211"/>
        <v/>
      </c>
      <c r="X280" s="18" t="str">
        <f>IF(AK279&lt;&gt;1,"",IF(AH279&gt;0,IF(AH279&gt;CONTROL_PANEL!$B$11,CONTROL_PANEL!$B$11,AH279),0))</f>
        <v/>
      </c>
      <c r="Y280" s="18" t="str">
        <f t="shared" si="206"/>
        <v/>
      </c>
      <c r="Z280" s="18" t="str">
        <f>IF(AK280&lt;&gt;1,"",DATA_INPUT!I280)</f>
        <v/>
      </c>
      <c r="AA280" s="18" t="str">
        <f>IF(AK280&lt;&gt;1,"",Z280*CONTROL_PANEL!$B$5)</f>
        <v/>
      </c>
      <c r="AB280" s="18" t="str">
        <f>IF(AK280&lt;&gt;1,"",DATA_INPUT!$C280)</f>
        <v/>
      </c>
      <c r="AC280" s="18" t="str">
        <f t="shared" si="190"/>
        <v/>
      </c>
      <c r="AD280" s="18" t="str">
        <f>IF(AK280&lt;&gt;1,"",DATA_INPUT!$H280)</f>
        <v/>
      </c>
      <c r="AE280" s="18" t="str">
        <f t="shared" si="191"/>
        <v/>
      </c>
      <c r="AF280" s="18" t="str">
        <f>IF(AK280&lt;&gt;1,"",AA280*CONTROL_PANEL!$B$14)</f>
        <v/>
      </c>
      <c r="AG280" s="18" t="str">
        <f>IF(AK280&lt;&gt;1,"",DATA_INPUT!$L280)</f>
        <v/>
      </c>
      <c r="AH280" s="18" t="str">
        <f t="shared" si="192"/>
        <v/>
      </c>
      <c r="AI280" s="18" t="str">
        <f>IF(AK280&lt;&gt;1,"",IF(AH280-CONTROL_PANEL!$B$11&lt;0,0,AH280-CONTROL_PANEL!$B$11))</f>
        <v/>
      </c>
      <c r="AJ280" s="18" t="str">
        <f>IF(AK280&lt;&gt;1,"",IF(AG280&lt;=0,0,MIN(AG280,MAX(0,CONTROL_PANEL!$B$13-AH280))))</f>
        <v/>
      </c>
      <c r="AK280" s="18"/>
      <c r="AM280" s="19">
        <f t="shared" si="217"/>
        <v>2038</v>
      </c>
      <c r="AN280" s="19">
        <f t="shared" si="182"/>
        <v>9</v>
      </c>
      <c r="AO280" s="18" t="str">
        <f t="shared" si="193"/>
        <v/>
      </c>
      <c r="AP280" s="18" t="str">
        <f t="shared" si="212"/>
        <v/>
      </c>
      <c r="AQ280" s="18" t="str">
        <f>IF(BD279&lt;&gt;1,"",IF(BA279&gt;0,IF(BA279&gt;CONTROL_PANEL!$B$11,CONTROL_PANEL!$B$11,BA279),0))</f>
        <v/>
      </c>
      <c r="AR280" s="18" t="str">
        <f t="shared" si="207"/>
        <v/>
      </c>
      <c r="AS280" s="18" t="str">
        <f>IF(BD280&lt;&gt;1,"",DATA_INPUT!$I280)</f>
        <v/>
      </c>
      <c r="AT280" s="18" t="str">
        <f>IF(BD280&lt;&gt;1,"",AS280*CONTROL_PANEL!$B$5)</f>
        <v/>
      </c>
      <c r="AU280" s="18" t="str">
        <f>IF(BD280&lt;&gt;1,"",DATA_INPUT!$C280)</f>
        <v/>
      </c>
      <c r="AV280" s="18" t="str">
        <f t="shared" si="194"/>
        <v/>
      </c>
      <c r="AW280" s="18" t="str">
        <f>IF(BD280&lt;&gt;1,"",DATA_INPUT!$H280)</f>
        <v/>
      </c>
      <c r="AX280" s="18" t="str">
        <f t="shared" si="195"/>
        <v/>
      </c>
      <c r="AY280" s="18" t="str">
        <f>IF(BD280&lt;&gt;1,"",AT280*CONTROL_PANEL!$B$14)</f>
        <v/>
      </c>
      <c r="AZ280" s="18" t="str">
        <f>IF(BD280&lt;&gt;1,"",DATA_INPUT!$M280)</f>
        <v/>
      </c>
      <c r="BA280" s="18" t="str">
        <f t="shared" si="196"/>
        <v/>
      </c>
      <c r="BB280" s="18" t="str">
        <f>IF(BD280&lt;&gt;1,"",IF(BA280-CONTROL_PANEL!$B$11&lt;0,0,BA280-CONTROL_PANEL!$B$11))</f>
        <v/>
      </c>
      <c r="BC280" s="18" t="str">
        <f>IF(BD280&lt;&gt;1,"",IF(AZ280&lt;=0,0,MIN(AZ280,MAX(0,CONTROL_PANEL!$B$13-BA280))))</f>
        <v/>
      </c>
      <c r="BD280" s="18"/>
      <c r="BF280" s="19">
        <f t="shared" si="218"/>
        <v>2038</v>
      </c>
      <c r="BG280" s="19">
        <f t="shared" si="183"/>
        <v>9</v>
      </c>
      <c r="BH280" s="18" t="str">
        <f t="shared" si="197"/>
        <v/>
      </c>
      <c r="BI280" s="18" t="str">
        <f t="shared" si="213"/>
        <v/>
      </c>
      <c r="BJ280" s="18" t="str">
        <f>IF(BW279&lt;&gt;1,"",IF(BT279&gt;0,IF(BT279&gt;CONTROL_PANEL!$B$11,CONTROL_PANEL!$B$11,BT279),0))</f>
        <v/>
      </c>
      <c r="BK280" s="18" t="str">
        <f t="shared" si="208"/>
        <v/>
      </c>
      <c r="BL280" s="18" t="str">
        <f>IF(BW280&lt;&gt;1,"",DATA_INPUT!$I280)</f>
        <v/>
      </c>
      <c r="BM280" s="18" t="str">
        <f>IF(BW280&lt;&gt;1,"",BL280*CONTROL_PANEL!$B$5)</f>
        <v/>
      </c>
      <c r="BN280" s="18" t="str">
        <f>IF(BW280&lt;&gt;1,"",DATA_INPUT!$C280)</f>
        <v/>
      </c>
      <c r="BO280" s="18" t="str">
        <f t="shared" si="198"/>
        <v/>
      </c>
      <c r="BP280" s="18" t="str">
        <f>IF(BW280&lt;&gt;1,"",DATA_INPUT!$H280)</f>
        <v/>
      </c>
      <c r="BQ280" s="18" t="str">
        <f t="shared" si="199"/>
        <v/>
      </c>
      <c r="BR280" s="18" t="str">
        <f>IF(BW280&lt;&gt;1,"",BM280*CONTROL_PANEL!$B$14)</f>
        <v/>
      </c>
      <c r="BS280" s="18" t="str">
        <f>IF(BW280&lt;&gt;1,"",DATA_INPUT!$N280)</f>
        <v/>
      </c>
      <c r="BT280" s="18" t="str">
        <f t="shared" si="200"/>
        <v/>
      </c>
      <c r="BU280" s="18" t="str">
        <f>IF(BW280&lt;&gt;1,"",IF(BT280-CONTROL_PANEL!$B$11&lt;0,0,BT280-CONTROL_PANEL!$B$11))</f>
        <v/>
      </c>
      <c r="BV280" s="18" t="str">
        <f>IF(BW280&lt;&gt;1,"",IF(BS280&lt;=0,0,MIN(BS280,MAX(0,CONTROL_PANEL!$B$13-BT280))))</f>
        <v/>
      </c>
      <c r="BW280" s="18"/>
      <c r="BY280" s="19">
        <f t="shared" si="219"/>
        <v>2038</v>
      </c>
      <c r="BZ280" s="19">
        <f t="shared" si="184"/>
        <v>9</v>
      </c>
      <c r="CA280" s="18" t="str">
        <f t="shared" si="201"/>
        <v/>
      </c>
      <c r="CB280" s="18" t="str">
        <f t="shared" si="214"/>
        <v/>
      </c>
      <c r="CC280" s="18" t="str">
        <f>IF(CP279&lt;&gt;1,"",IF(CM279&gt;0,IF(CM279&gt;CONTROL_PANEL!$B$11,CONTROL_PANEL!$B$11,CM279),0))</f>
        <v/>
      </c>
      <c r="CD280" s="18" t="str">
        <f t="shared" si="209"/>
        <v/>
      </c>
      <c r="CE280" s="18" t="str">
        <f>IF(CP280&lt;&gt;1,"",DATA_INPUT!$I280)</f>
        <v/>
      </c>
      <c r="CF280" s="18" t="str">
        <f>IF(CP280&lt;&gt;1,"",CE280*CONTROL_PANEL!$B$5)</f>
        <v/>
      </c>
      <c r="CG280" s="18" t="str">
        <f>IF(CP280&lt;&gt;1,"",DATA_INPUT!$C280)</f>
        <v/>
      </c>
      <c r="CH280" s="18" t="str">
        <f t="shared" si="202"/>
        <v/>
      </c>
      <c r="CI280" s="18" t="str">
        <f>IF(CP280&lt;&gt;1,"",DATA_INPUT!$H280)</f>
        <v/>
      </c>
      <c r="CJ280" s="18" t="str">
        <f t="shared" si="203"/>
        <v/>
      </c>
      <c r="CK280" s="18" t="str">
        <f>IF(CP280&lt;&gt;1,"",CF280*CONTROL_PANEL!$B$14)</f>
        <v/>
      </c>
      <c r="CL280" s="18" t="str">
        <f>IF(CP280&lt;&gt;1,"",DATA_INPUT!$O280)</f>
        <v/>
      </c>
      <c r="CM280" s="18" t="str">
        <f t="shared" si="204"/>
        <v/>
      </c>
      <c r="CN280" s="18" t="str">
        <f>IF(CP280&lt;&gt;1,"",IF(CM280-CONTROL_PANEL!$B$11&lt;0,0,CM280-CONTROL_PANEL!$B$11))</f>
        <v/>
      </c>
      <c r="CO280" s="18" t="str">
        <f>IF(CP280&lt;&gt;1,"",IF(CL280&lt;=0,0,MIN(CL280,MAX(0,CONTROL_PANEL!$B$13-CM280))))</f>
        <v/>
      </c>
      <c r="CP280" s="18"/>
    </row>
    <row r="281" spans="1:94" x14ac:dyDescent="0.25">
      <c r="A281" s="19">
        <f t="shared" si="215"/>
        <v>2038</v>
      </c>
      <c r="B281" s="19">
        <f t="shared" si="180"/>
        <v>10</v>
      </c>
      <c r="C281" s="18" t="str">
        <f t="shared" si="185"/>
        <v/>
      </c>
      <c r="D281" s="18" t="str">
        <f t="shared" si="210"/>
        <v/>
      </c>
      <c r="E281" s="18" t="str">
        <f>IF(R280&lt;&gt;1,"",IF(O280&gt;0,IF(O280&gt;CONTROL_PANEL!$B$11,CONTROL_PANEL!$B$11,O280),0))</f>
        <v/>
      </c>
      <c r="F281" s="18" t="str">
        <f t="shared" si="205"/>
        <v/>
      </c>
      <c r="G281" s="18" t="str">
        <f>IF(R281&lt;&gt;1,"",DATA_INPUT!I281)</f>
        <v/>
      </c>
      <c r="H281" s="18" t="str">
        <f>IF(R281&lt;&gt;1,"",G281*CONTROL_PANEL!$B$5)</f>
        <v/>
      </c>
      <c r="I281" s="18" t="str">
        <f>IF(R281&lt;&gt;1,"",DATA_INPUT!C281)</f>
        <v/>
      </c>
      <c r="J281" s="18" t="str">
        <f t="shared" si="186"/>
        <v/>
      </c>
      <c r="K281" s="18" t="str">
        <f>IF(R281&lt;&gt;1,"",DATA_INPUT!H281)</f>
        <v/>
      </c>
      <c r="L281" s="18" t="str">
        <f t="shared" si="187"/>
        <v/>
      </c>
      <c r="M281" s="18" t="str">
        <f>IF(R281&lt;&gt;1,"",H281*CONTROL_PANEL!$B$14)</f>
        <v/>
      </c>
      <c r="N281" s="18" t="str">
        <f>IF(R281&lt;&gt;1,"",DATA_INPUT!K281)</f>
        <v/>
      </c>
      <c r="O281" s="18" t="str">
        <f t="shared" si="188"/>
        <v/>
      </c>
      <c r="P281" s="18" t="str">
        <f>IF(R281&lt;&gt;1,"",IF(O281-CONTROL_PANEL!$B$11&lt;0,0,O281-CONTROL_PANEL!$B$11))</f>
        <v/>
      </c>
      <c r="Q281" s="18" t="str">
        <f>IF(R281&lt;&gt;1,"",IF(N281&lt;=0,0,MIN(N281,MAX(0,CONTROL_PANEL!$B$13-O281))))</f>
        <v/>
      </c>
      <c r="R281" s="18"/>
      <c r="T281" s="19">
        <f t="shared" si="216"/>
        <v>2038</v>
      </c>
      <c r="U281" s="19">
        <f t="shared" si="181"/>
        <v>10</v>
      </c>
      <c r="V281" s="18" t="str">
        <f t="shared" si="189"/>
        <v/>
      </c>
      <c r="W281" s="18" t="str">
        <f t="shared" si="211"/>
        <v/>
      </c>
      <c r="X281" s="18" t="str">
        <f>IF(AK280&lt;&gt;1,"",IF(AH280&gt;0,IF(AH280&gt;CONTROL_PANEL!$B$11,CONTROL_PANEL!$B$11,AH280),0))</f>
        <v/>
      </c>
      <c r="Y281" s="18" t="str">
        <f t="shared" si="206"/>
        <v/>
      </c>
      <c r="Z281" s="18" t="str">
        <f>IF(AK281&lt;&gt;1,"",DATA_INPUT!I281)</f>
        <v/>
      </c>
      <c r="AA281" s="18" t="str">
        <f>IF(AK281&lt;&gt;1,"",Z281*CONTROL_PANEL!$B$5)</f>
        <v/>
      </c>
      <c r="AB281" s="18" t="str">
        <f>IF(AK281&lt;&gt;1,"",DATA_INPUT!$C281)</f>
        <v/>
      </c>
      <c r="AC281" s="18" t="str">
        <f t="shared" si="190"/>
        <v/>
      </c>
      <c r="AD281" s="18" t="str">
        <f>IF(AK281&lt;&gt;1,"",DATA_INPUT!$H281)</f>
        <v/>
      </c>
      <c r="AE281" s="18" t="str">
        <f t="shared" si="191"/>
        <v/>
      </c>
      <c r="AF281" s="18" t="str">
        <f>IF(AK281&lt;&gt;1,"",AA281*CONTROL_PANEL!$B$14)</f>
        <v/>
      </c>
      <c r="AG281" s="18" t="str">
        <f>IF(AK281&lt;&gt;1,"",DATA_INPUT!$L281)</f>
        <v/>
      </c>
      <c r="AH281" s="18" t="str">
        <f t="shared" si="192"/>
        <v/>
      </c>
      <c r="AI281" s="18" t="str">
        <f>IF(AK281&lt;&gt;1,"",IF(AH281-CONTROL_PANEL!$B$11&lt;0,0,AH281-CONTROL_PANEL!$B$11))</f>
        <v/>
      </c>
      <c r="AJ281" s="18" t="str">
        <f>IF(AK281&lt;&gt;1,"",IF(AG281&lt;=0,0,MIN(AG281,MAX(0,CONTROL_PANEL!$B$13-AH281))))</f>
        <v/>
      </c>
      <c r="AK281" s="18"/>
      <c r="AM281" s="19">
        <f t="shared" si="217"/>
        <v>2038</v>
      </c>
      <c r="AN281" s="19">
        <f t="shared" si="182"/>
        <v>10</v>
      </c>
      <c r="AO281" s="18" t="str">
        <f t="shared" si="193"/>
        <v/>
      </c>
      <c r="AP281" s="18" t="str">
        <f t="shared" si="212"/>
        <v/>
      </c>
      <c r="AQ281" s="18" t="str">
        <f>IF(BD280&lt;&gt;1,"",IF(BA280&gt;0,IF(BA280&gt;CONTROL_PANEL!$B$11,CONTROL_PANEL!$B$11,BA280),0))</f>
        <v/>
      </c>
      <c r="AR281" s="18" t="str">
        <f t="shared" si="207"/>
        <v/>
      </c>
      <c r="AS281" s="18" t="str">
        <f>IF(BD281&lt;&gt;1,"",DATA_INPUT!$I281)</f>
        <v/>
      </c>
      <c r="AT281" s="18" t="str">
        <f>IF(BD281&lt;&gt;1,"",AS281*CONTROL_PANEL!$B$5)</f>
        <v/>
      </c>
      <c r="AU281" s="18" t="str">
        <f>IF(BD281&lt;&gt;1,"",DATA_INPUT!$C281)</f>
        <v/>
      </c>
      <c r="AV281" s="18" t="str">
        <f t="shared" si="194"/>
        <v/>
      </c>
      <c r="AW281" s="18" t="str">
        <f>IF(BD281&lt;&gt;1,"",DATA_INPUT!$H281)</f>
        <v/>
      </c>
      <c r="AX281" s="18" t="str">
        <f t="shared" si="195"/>
        <v/>
      </c>
      <c r="AY281" s="18" t="str">
        <f>IF(BD281&lt;&gt;1,"",AT281*CONTROL_PANEL!$B$14)</f>
        <v/>
      </c>
      <c r="AZ281" s="18" t="str">
        <f>IF(BD281&lt;&gt;1,"",DATA_INPUT!$M281)</f>
        <v/>
      </c>
      <c r="BA281" s="18" t="str">
        <f t="shared" si="196"/>
        <v/>
      </c>
      <c r="BB281" s="18" t="str">
        <f>IF(BD281&lt;&gt;1,"",IF(BA281-CONTROL_PANEL!$B$11&lt;0,0,BA281-CONTROL_PANEL!$B$11))</f>
        <v/>
      </c>
      <c r="BC281" s="18" t="str">
        <f>IF(BD281&lt;&gt;1,"",IF(AZ281&lt;=0,0,MIN(AZ281,MAX(0,CONTROL_PANEL!$B$13-BA281))))</f>
        <v/>
      </c>
      <c r="BD281" s="18"/>
      <c r="BF281" s="19">
        <f t="shared" si="218"/>
        <v>2038</v>
      </c>
      <c r="BG281" s="19">
        <f t="shared" si="183"/>
        <v>10</v>
      </c>
      <c r="BH281" s="18" t="str">
        <f t="shared" si="197"/>
        <v/>
      </c>
      <c r="BI281" s="18" t="str">
        <f t="shared" si="213"/>
        <v/>
      </c>
      <c r="BJ281" s="18" t="str">
        <f>IF(BW280&lt;&gt;1,"",IF(BT280&gt;0,IF(BT280&gt;CONTROL_PANEL!$B$11,CONTROL_PANEL!$B$11,BT280),0))</f>
        <v/>
      </c>
      <c r="BK281" s="18" t="str">
        <f t="shared" si="208"/>
        <v/>
      </c>
      <c r="BL281" s="18" t="str">
        <f>IF(BW281&lt;&gt;1,"",DATA_INPUT!$I281)</f>
        <v/>
      </c>
      <c r="BM281" s="18" t="str">
        <f>IF(BW281&lt;&gt;1,"",BL281*CONTROL_PANEL!$B$5)</f>
        <v/>
      </c>
      <c r="BN281" s="18" t="str">
        <f>IF(BW281&lt;&gt;1,"",DATA_INPUT!$C281)</f>
        <v/>
      </c>
      <c r="BO281" s="18" t="str">
        <f t="shared" si="198"/>
        <v/>
      </c>
      <c r="BP281" s="18" t="str">
        <f>IF(BW281&lt;&gt;1,"",DATA_INPUT!$H281)</f>
        <v/>
      </c>
      <c r="BQ281" s="18" t="str">
        <f t="shared" si="199"/>
        <v/>
      </c>
      <c r="BR281" s="18" t="str">
        <f>IF(BW281&lt;&gt;1,"",BM281*CONTROL_PANEL!$B$14)</f>
        <v/>
      </c>
      <c r="BS281" s="18" t="str">
        <f>IF(BW281&lt;&gt;1,"",DATA_INPUT!$N281)</f>
        <v/>
      </c>
      <c r="BT281" s="18" t="str">
        <f t="shared" si="200"/>
        <v/>
      </c>
      <c r="BU281" s="18" t="str">
        <f>IF(BW281&lt;&gt;1,"",IF(BT281-CONTROL_PANEL!$B$11&lt;0,0,BT281-CONTROL_PANEL!$B$11))</f>
        <v/>
      </c>
      <c r="BV281" s="18" t="str">
        <f>IF(BW281&lt;&gt;1,"",IF(BS281&lt;=0,0,MIN(BS281,MAX(0,CONTROL_PANEL!$B$13-BT281))))</f>
        <v/>
      </c>
      <c r="BW281" s="18"/>
      <c r="BY281" s="19">
        <f t="shared" si="219"/>
        <v>2038</v>
      </c>
      <c r="BZ281" s="19">
        <f t="shared" si="184"/>
        <v>10</v>
      </c>
      <c r="CA281" s="18" t="str">
        <f t="shared" si="201"/>
        <v/>
      </c>
      <c r="CB281" s="18" t="str">
        <f t="shared" si="214"/>
        <v/>
      </c>
      <c r="CC281" s="18" t="str">
        <f>IF(CP280&lt;&gt;1,"",IF(CM280&gt;0,IF(CM280&gt;CONTROL_PANEL!$B$11,CONTROL_PANEL!$B$11,CM280),0))</f>
        <v/>
      </c>
      <c r="CD281" s="18" t="str">
        <f t="shared" si="209"/>
        <v/>
      </c>
      <c r="CE281" s="18" t="str">
        <f>IF(CP281&lt;&gt;1,"",DATA_INPUT!$I281)</f>
        <v/>
      </c>
      <c r="CF281" s="18" t="str">
        <f>IF(CP281&lt;&gt;1,"",CE281*CONTROL_PANEL!$B$5)</f>
        <v/>
      </c>
      <c r="CG281" s="18" t="str">
        <f>IF(CP281&lt;&gt;1,"",DATA_INPUT!$C281)</f>
        <v/>
      </c>
      <c r="CH281" s="18" t="str">
        <f t="shared" si="202"/>
        <v/>
      </c>
      <c r="CI281" s="18" t="str">
        <f>IF(CP281&lt;&gt;1,"",DATA_INPUT!$H281)</f>
        <v/>
      </c>
      <c r="CJ281" s="18" t="str">
        <f t="shared" si="203"/>
        <v/>
      </c>
      <c r="CK281" s="18" t="str">
        <f>IF(CP281&lt;&gt;1,"",CF281*CONTROL_PANEL!$B$14)</f>
        <v/>
      </c>
      <c r="CL281" s="18" t="str">
        <f>IF(CP281&lt;&gt;1,"",DATA_INPUT!$O281)</f>
        <v/>
      </c>
      <c r="CM281" s="18" t="str">
        <f t="shared" si="204"/>
        <v/>
      </c>
      <c r="CN281" s="18" t="str">
        <f>IF(CP281&lt;&gt;1,"",IF(CM281-CONTROL_PANEL!$B$11&lt;0,0,CM281-CONTROL_PANEL!$B$11))</f>
        <v/>
      </c>
      <c r="CO281" s="18" t="str">
        <f>IF(CP281&lt;&gt;1,"",IF(CL281&lt;=0,0,MIN(CL281,MAX(0,CONTROL_PANEL!$B$13-CM281))))</f>
        <v/>
      </c>
      <c r="CP281" s="18"/>
    </row>
    <row r="282" spans="1:94" x14ac:dyDescent="0.25">
      <c r="A282" s="19">
        <f t="shared" si="215"/>
        <v>2038</v>
      </c>
      <c r="B282" s="19">
        <f t="shared" si="180"/>
        <v>11</v>
      </c>
      <c r="C282" s="18" t="str">
        <f t="shared" si="185"/>
        <v/>
      </c>
      <c r="D282" s="18" t="str">
        <f t="shared" si="210"/>
        <v/>
      </c>
      <c r="E282" s="18" t="str">
        <f>IF(R281&lt;&gt;1,"",IF(O281&gt;0,IF(O281&gt;CONTROL_PANEL!$B$11,CONTROL_PANEL!$B$11,O281),0))</f>
        <v/>
      </c>
      <c r="F282" s="18" t="str">
        <f t="shared" si="205"/>
        <v/>
      </c>
      <c r="G282" s="18" t="str">
        <f>IF(R282&lt;&gt;1,"",DATA_INPUT!I282)</f>
        <v/>
      </c>
      <c r="H282" s="18" t="str">
        <f>IF(R282&lt;&gt;1,"",G282*CONTROL_PANEL!$B$5)</f>
        <v/>
      </c>
      <c r="I282" s="18" t="str">
        <f>IF(R282&lt;&gt;1,"",DATA_INPUT!C282)</f>
        <v/>
      </c>
      <c r="J282" s="18" t="str">
        <f t="shared" si="186"/>
        <v/>
      </c>
      <c r="K282" s="18" t="str">
        <f>IF(R282&lt;&gt;1,"",DATA_INPUT!H282)</f>
        <v/>
      </c>
      <c r="L282" s="18" t="str">
        <f t="shared" si="187"/>
        <v/>
      </c>
      <c r="M282" s="18" t="str">
        <f>IF(R282&lt;&gt;1,"",H282*CONTROL_PANEL!$B$14)</f>
        <v/>
      </c>
      <c r="N282" s="18" t="str">
        <f>IF(R282&lt;&gt;1,"",DATA_INPUT!K282)</f>
        <v/>
      </c>
      <c r="O282" s="18" t="str">
        <f t="shared" si="188"/>
        <v/>
      </c>
      <c r="P282" s="18" t="str">
        <f>IF(R282&lt;&gt;1,"",IF(O282-CONTROL_PANEL!$B$11&lt;0,0,O282-CONTROL_PANEL!$B$11))</f>
        <v/>
      </c>
      <c r="Q282" s="18" t="str">
        <f>IF(R282&lt;&gt;1,"",IF(N282&lt;=0,0,MIN(N282,MAX(0,CONTROL_PANEL!$B$13-O282))))</f>
        <v/>
      </c>
      <c r="R282" s="18"/>
      <c r="T282" s="19">
        <f t="shared" si="216"/>
        <v>2038</v>
      </c>
      <c r="U282" s="19">
        <f t="shared" si="181"/>
        <v>11</v>
      </c>
      <c r="V282" s="18" t="str">
        <f t="shared" si="189"/>
        <v/>
      </c>
      <c r="W282" s="18" t="str">
        <f t="shared" si="211"/>
        <v/>
      </c>
      <c r="X282" s="18" t="str">
        <f>IF(AK281&lt;&gt;1,"",IF(AH281&gt;0,IF(AH281&gt;CONTROL_PANEL!$B$11,CONTROL_PANEL!$B$11,AH281),0))</f>
        <v/>
      </c>
      <c r="Y282" s="18" t="str">
        <f t="shared" si="206"/>
        <v/>
      </c>
      <c r="Z282" s="18" t="str">
        <f>IF(AK282&lt;&gt;1,"",DATA_INPUT!I282)</f>
        <v/>
      </c>
      <c r="AA282" s="18" t="str">
        <f>IF(AK282&lt;&gt;1,"",Z282*CONTROL_PANEL!$B$5)</f>
        <v/>
      </c>
      <c r="AB282" s="18" t="str">
        <f>IF(AK282&lt;&gt;1,"",DATA_INPUT!$C282)</f>
        <v/>
      </c>
      <c r="AC282" s="18" t="str">
        <f t="shared" si="190"/>
        <v/>
      </c>
      <c r="AD282" s="18" t="str">
        <f>IF(AK282&lt;&gt;1,"",DATA_INPUT!$H282)</f>
        <v/>
      </c>
      <c r="AE282" s="18" t="str">
        <f t="shared" si="191"/>
        <v/>
      </c>
      <c r="AF282" s="18" t="str">
        <f>IF(AK282&lt;&gt;1,"",AA282*CONTROL_PANEL!$B$14)</f>
        <v/>
      </c>
      <c r="AG282" s="18" t="str">
        <f>IF(AK282&lt;&gt;1,"",DATA_INPUT!$L282)</f>
        <v/>
      </c>
      <c r="AH282" s="18" t="str">
        <f t="shared" si="192"/>
        <v/>
      </c>
      <c r="AI282" s="18" t="str">
        <f>IF(AK282&lt;&gt;1,"",IF(AH282-CONTROL_PANEL!$B$11&lt;0,0,AH282-CONTROL_PANEL!$B$11))</f>
        <v/>
      </c>
      <c r="AJ282" s="18" t="str">
        <f>IF(AK282&lt;&gt;1,"",IF(AG282&lt;=0,0,MIN(AG282,MAX(0,CONTROL_PANEL!$B$13-AH282))))</f>
        <v/>
      </c>
      <c r="AK282" s="18"/>
      <c r="AM282" s="19">
        <f t="shared" si="217"/>
        <v>2038</v>
      </c>
      <c r="AN282" s="19">
        <f t="shared" si="182"/>
        <v>11</v>
      </c>
      <c r="AO282" s="18" t="str">
        <f t="shared" si="193"/>
        <v/>
      </c>
      <c r="AP282" s="18" t="str">
        <f t="shared" si="212"/>
        <v/>
      </c>
      <c r="AQ282" s="18" t="str">
        <f>IF(BD281&lt;&gt;1,"",IF(BA281&gt;0,IF(BA281&gt;CONTROL_PANEL!$B$11,CONTROL_PANEL!$B$11,BA281),0))</f>
        <v/>
      </c>
      <c r="AR282" s="18" t="str">
        <f t="shared" si="207"/>
        <v/>
      </c>
      <c r="AS282" s="18" t="str">
        <f>IF(BD282&lt;&gt;1,"",DATA_INPUT!$I282)</f>
        <v/>
      </c>
      <c r="AT282" s="18" t="str">
        <f>IF(BD282&lt;&gt;1,"",AS282*CONTROL_PANEL!$B$5)</f>
        <v/>
      </c>
      <c r="AU282" s="18" t="str">
        <f>IF(BD282&lt;&gt;1,"",DATA_INPUT!$C282)</f>
        <v/>
      </c>
      <c r="AV282" s="18" t="str">
        <f t="shared" si="194"/>
        <v/>
      </c>
      <c r="AW282" s="18" t="str">
        <f>IF(BD282&lt;&gt;1,"",DATA_INPUT!$H282)</f>
        <v/>
      </c>
      <c r="AX282" s="18" t="str">
        <f t="shared" si="195"/>
        <v/>
      </c>
      <c r="AY282" s="18" t="str">
        <f>IF(BD282&lt;&gt;1,"",AT282*CONTROL_PANEL!$B$14)</f>
        <v/>
      </c>
      <c r="AZ282" s="18" t="str">
        <f>IF(BD282&lt;&gt;1,"",DATA_INPUT!$M282)</f>
        <v/>
      </c>
      <c r="BA282" s="18" t="str">
        <f t="shared" si="196"/>
        <v/>
      </c>
      <c r="BB282" s="18" t="str">
        <f>IF(BD282&lt;&gt;1,"",IF(BA282-CONTROL_PANEL!$B$11&lt;0,0,BA282-CONTROL_PANEL!$B$11))</f>
        <v/>
      </c>
      <c r="BC282" s="18" t="str">
        <f>IF(BD282&lt;&gt;1,"",IF(AZ282&lt;=0,0,MIN(AZ282,MAX(0,CONTROL_PANEL!$B$13-BA282))))</f>
        <v/>
      </c>
      <c r="BD282" s="18"/>
      <c r="BF282" s="19">
        <f t="shared" si="218"/>
        <v>2038</v>
      </c>
      <c r="BG282" s="19">
        <f t="shared" si="183"/>
        <v>11</v>
      </c>
      <c r="BH282" s="18" t="str">
        <f t="shared" si="197"/>
        <v/>
      </c>
      <c r="BI282" s="18" t="str">
        <f t="shared" si="213"/>
        <v/>
      </c>
      <c r="BJ282" s="18" t="str">
        <f>IF(BW281&lt;&gt;1,"",IF(BT281&gt;0,IF(BT281&gt;CONTROL_PANEL!$B$11,CONTROL_PANEL!$B$11,BT281),0))</f>
        <v/>
      </c>
      <c r="BK282" s="18" t="str">
        <f t="shared" si="208"/>
        <v/>
      </c>
      <c r="BL282" s="18" t="str">
        <f>IF(BW282&lt;&gt;1,"",DATA_INPUT!$I282)</f>
        <v/>
      </c>
      <c r="BM282" s="18" t="str">
        <f>IF(BW282&lt;&gt;1,"",BL282*CONTROL_PANEL!$B$5)</f>
        <v/>
      </c>
      <c r="BN282" s="18" t="str">
        <f>IF(BW282&lt;&gt;1,"",DATA_INPUT!$C282)</f>
        <v/>
      </c>
      <c r="BO282" s="18" t="str">
        <f t="shared" si="198"/>
        <v/>
      </c>
      <c r="BP282" s="18" t="str">
        <f>IF(BW282&lt;&gt;1,"",DATA_INPUT!$H282)</f>
        <v/>
      </c>
      <c r="BQ282" s="18" t="str">
        <f t="shared" si="199"/>
        <v/>
      </c>
      <c r="BR282" s="18" t="str">
        <f>IF(BW282&lt;&gt;1,"",BM282*CONTROL_PANEL!$B$14)</f>
        <v/>
      </c>
      <c r="BS282" s="18" t="str">
        <f>IF(BW282&lt;&gt;1,"",DATA_INPUT!$N282)</f>
        <v/>
      </c>
      <c r="BT282" s="18" t="str">
        <f t="shared" si="200"/>
        <v/>
      </c>
      <c r="BU282" s="18" t="str">
        <f>IF(BW282&lt;&gt;1,"",IF(BT282-CONTROL_PANEL!$B$11&lt;0,0,BT282-CONTROL_PANEL!$B$11))</f>
        <v/>
      </c>
      <c r="BV282" s="18" t="str">
        <f>IF(BW282&lt;&gt;1,"",IF(BS282&lt;=0,0,MIN(BS282,MAX(0,CONTROL_PANEL!$B$13-BT282))))</f>
        <v/>
      </c>
      <c r="BW282" s="18"/>
      <c r="BY282" s="19">
        <f t="shared" si="219"/>
        <v>2038</v>
      </c>
      <c r="BZ282" s="19">
        <f t="shared" si="184"/>
        <v>11</v>
      </c>
      <c r="CA282" s="18" t="str">
        <f t="shared" si="201"/>
        <v/>
      </c>
      <c r="CB282" s="18" t="str">
        <f t="shared" si="214"/>
        <v/>
      </c>
      <c r="CC282" s="18" t="str">
        <f>IF(CP281&lt;&gt;1,"",IF(CM281&gt;0,IF(CM281&gt;CONTROL_PANEL!$B$11,CONTROL_PANEL!$B$11,CM281),0))</f>
        <v/>
      </c>
      <c r="CD282" s="18" t="str">
        <f t="shared" si="209"/>
        <v/>
      </c>
      <c r="CE282" s="18" t="str">
        <f>IF(CP282&lt;&gt;1,"",DATA_INPUT!$I282)</f>
        <v/>
      </c>
      <c r="CF282" s="18" t="str">
        <f>IF(CP282&lt;&gt;1,"",CE282*CONTROL_PANEL!$B$5)</f>
        <v/>
      </c>
      <c r="CG282" s="18" t="str">
        <f>IF(CP282&lt;&gt;1,"",DATA_INPUT!$C282)</f>
        <v/>
      </c>
      <c r="CH282" s="18" t="str">
        <f t="shared" si="202"/>
        <v/>
      </c>
      <c r="CI282" s="18" t="str">
        <f>IF(CP282&lt;&gt;1,"",DATA_INPUT!$H282)</f>
        <v/>
      </c>
      <c r="CJ282" s="18" t="str">
        <f t="shared" si="203"/>
        <v/>
      </c>
      <c r="CK282" s="18" t="str">
        <f>IF(CP282&lt;&gt;1,"",CF282*CONTROL_PANEL!$B$14)</f>
        <v/>
      </c>
      <c r="CL282" s="18" t="str">
        <f>IF(CP282&lt;&gt;1,"",DATA_INPUT!$O282)</f>
        <v/>
      </c>
      <c r="CM282" s="18" t="str">
        <f t="shared" si="204"/>
        <v/>
      </c>
      <c r="CN282" s="18" t="str">
        <f>IF(CP282&lt;&gt;1,"",IF(CM282-CONTROL_PANEL!$B$11&lt;0,0,CM282-CONTROL_PANEL!$B$11))</f>
        <v/>
      </c>
      <c r="CO282" s="18" t="str">
        <f>IF(CP282&lt;&gt;1,"",IF(CL282&lt;=0,0,MIN(CL282,MAX(0,CONTROL_PANEL!$B$13-CM282))))</f>
        <v/>
      </c>
      <c r="CP282" s="18"/>
    </row>
    <row r="283" spans="1:94" x14ac:dyDescent="0.25">
      <c r="A283" s="19">
        <f t="shared" si="215"/>
        <v>2038</v>
      </c>
      <c r="B283" s="19">
        <f t="shared" si="180"/>
        <v>12</v>
      </c>
      <c r="C283" s="18" t="str">
        <f t="shared" si="185"/>
        <v/>
      </c>
      <c r="D283" s="18" t="str">
        <f t="shared" si="210"/>
        <v/>
      </c>
      <c r="E283" s="18" t="str">
        <f>IF(R282&lt;&gt;1,"",IF(O282&gt;0,IF(O282&gt;CONTROL_PANEL!$B$11,CONTROL_PANEL!$B$11,O282),0))</f>
        <v/>
      </c>
      <c r="F283" s="18" t="str">
        <f t="shared" si="205"/>
        <v/>
      </c>
      <c r="G283" s="18" t="str">
        <f>IF(R283&lt;&gt;1,"",DATA_INPUT!I283)</f>
        <v/>
      </c>
      <c r="H283" s="18" t="str">
        <f>IF(R283&lt;&gt;1,"",G283*CONTROL_PANEL!$B$5)</f>
        <v/>
      </c>
      <c r="I283" s="18" t="str">
        <f>IF(R283&lt;&gt;1,"",DATA_INPUT!C283)</f>
        <v/>
      </c>
      <c r="J283" s="18" t="str">
        <f t="shared" si="186"/>
        <v/>
      </c>
      <c r="K283" s="18" t="str">
        <f>IF(R283&lt;&gt;1,"",DATA_INPUT!H283)</f>
        <v/>
      </c>
      <c r="L283" s="18" t="str">
        <f t="shared" si="187"/>
        <v/>
      </c>
      <c r="M283" s="18" t="str">
        <f>IF(R283&lt;&gt;1,"",H283*CONTROL_PANEL!$B$14)</f>
        <v/>
      </c>
      <c r="N283" s="18" t="str">
        <f>IF(R283&lt;&gt;1,"",DATA_INPUT!K283)</f>
        <v/>
      </c>
      <c r="O283" s="18" t="str">
        <f t="shared" si="188"/>
        <v/>
      </c>
      <c r="P283" s="18" t="str">
        <f>IF(R283&lt;&gt;1,"",IF(O283-CONTROL_PANEL!$B$11&lt;0,0,O283-CONTROL_PANEL!$B$11))</f>
        <v/>
      </c>
      <c r="Q283" s="18" t="str">
        <f>IF(R283&lt;&gt;1,"",IF(N283&lt;=0,0,MIN(N283,MAX(0,CONTROL_PANEL!$B$13-O283))))</f>
        <v/>
      </c>
      <c r="R283" s="18"/>
      <c r="T283" s="19">
        <f t="shared" si="216"/>
        <v>2038</v>
      </c>
      <c r="U283" s="19">
        <f t="shared" si="181"/>
        <v>12</v>
      </c>
      <c r="V283" s="18" t="str">
        <f t="shared" si="189"/>
        <v/>
      </c>
      <c r="W283" s="18" t="str">
        <f t="shared" si="211"/>
        <v/>
      </c>
      <c r="X283" s="18" t="str">
        <f>IF(AK282&lt;&gt;1,"",IF(AH282&gt;0,IF(AH282&gt;CONTROL_PANEL!$B$11,CONTROL_PANEL!$B$11,AH282),0))</f>
        <v/>
      </c>
      <c r="Y283" s="18" t="str">
        <f t="shared" si="206"/>
        <v/>
      </c>
      <c r="Z283" s="18" t="str">
        <f>IF(AK283&lt;&gt;1,"",DATA_INPUT!I283)</f>
        <v/>
      </c>
      <c r="AA283" s="18" t="str">
        <f>IF(AK283&lt;&gt;1,"",Z283*CONTROL_PANEL!$B$5)</f>
        <v/>
      </c>
      <c r="AB283" s="18" t="str">
        <f>IF(AK283&lt;&gt;1,"",DATA_INPUT!$C283)</f>
        <v/>
      </c>
      <c r="AC283" s="18" t="str">
        <f t="shared" si="190"/>
        <v/>
      </c>
      <c r="AD283" s="18" t="str">
        <f>IF(AK283&lt;&gt;1,"",DATA_INPUT!$H283)</f>
        <v/>
      </c>
      <c r="AE283" s="18" t="str">
        <f t="shared" si="191"/>
        <v/>
      </c>
      <c r="AF283" s="18" t="str">
        <f>IF(AK283&lt;&gt;1,"",AA283*CONTROL_PANEL!$B$14)</f>
        <v/>
      </c>
      <c r="AG283" s="18" t="str">
        <f>IF(AK283&lt;&gt;1,"",DATA_INPUT!$L283)</f>
        <v/>
      </c>
      <c r="AH283" s="18" t="str">
        <f t="shared" si="192"/>
        <v/>
      </c>
      <c r="AI283" s="18" t="str">
        <f>IF(AK283&lt;&gt;1,"",IF(AH283-CONTROL_PANEL!$B$11&lt;0,0,AH283-CONTROL_PANEL!$B$11))</f>
        <v/>
      </c>
      <c r="AJ283" s="18" t="str">
        <f>IF(AK283&lt;&gt;1,"",IF(AG283&lt;=0,0,MIN(AG283,MAX(0,CONTROL_PANEL!$B$13-AH283))))</f>
        <v/>
      </c>
      <c r="AK283" s="18"/>
      <c r="AM283" s="19">
        <f t="shared" si="217"/>
        <v>2038</v>
      </c>
      <c r="AN283" s="19">
        <f t="shared" si="182"/>
        <v>12</v>
      </c>
      <c r="AO283" s="18" t="str">
        <f t="shared" si="193"/>
        <v/>
      </c>
      <c r="AP283" s="18" t="str">
        <f t="shared" si="212"/>
        <v/>
      </c>
      <c r="AQ283" s="18" t="str">
        <f>IF(BD282&lt;&gt;1,"",IF(BA282&gt;0,IF(BA282&gt;CONTROL_PANEL!$B$11,CONTROL_PANEL!$B$11,BA282),0))</f>
        <v/>
      </c>
      <c r="AR283" s="18" t="str">
        <f t="shared" si="207"/>
        <v/>
      </c>
      <c r="AS283" s="18" t="str">
        <f>IF(BD283&lt;&gt;1,"",DATA_INPUT!$I283)</f>
        <v/>
      </c>
      <c r="AT283" s="18" t="str">
        <f>IF(BD283&lt;&gt;1,"",AS283*CONTROL_PANEL!$B$5)</f>
        <v/>
      </c>
      <c r="AU283" s="18" t="str">
        <f>IF(BD283&lt;&gt;1,"",DATA_INPUT!$C283)</f>
        <v/>
      </c>
      <c r="AV283" s="18" t="str">
        <f t="shared" si="194"/>
        <v/>
      </c>
      <c r="AW283" s="18" t="str">
        <f>IF(BD283&lt;&gt;1,"",DATA_INPUT!$H283)</f>
        <v/>
      </c>
      <c r="AX283" s="18" t="str">
        <f t="shared" si="195"/>
        <v/>
      </c>
      <c r="AY283" s="18" t="str">
        <f>IF(BD283&lt;&gt;1,"",AT283*CONTROL_PANEL!$B$14)</f>
        <v/>
      </c>
      <c r="AZ283" s="18" t="str">
        <f>IF(BD283&lt;&gt;1,"",DATA_INPUT!$M283)</f>
        <v/>
      </c>
      <c r="BA283" s="18" t="str">
        <f t="shared" si="196"/>
        <v/>
      </c>
      <c r="BB283" s="18" t="str">
        <f>IF(BD283&lt;&gt;1,"",IF(BA283-CONTROL_PANEL!$B$11&lt;0,0,BA283-CONTROL_PANEL!$B$11))</f>
        <v/>
      </c>
      <c r="BC283" s="18" t="str">
        <f>IF(BD283&lt;&gt;1,"",IF(AZ283&lt;=0,0,MIN(AZ283,MAX(0,CONTROL_PANEL!$B$13-BA283))))</f>
        <v/>
      </c>
      <c r="BD283" s="18"/>
      <c r="BF283" s="19">
        <f t="shared" si="218"/>
        <v>2038</v>
      </c>
      <c r="BG283" s="19">
        <f t="shared" si="183"/>
        <v>12</v>
      </c>
      <c r="BH283" s="18" t="str">
        <f t="shared" si="197"/>
        <v/>
      </c>
      <c r="BI283" s="18" t="str">
        <f t="shared" si="213"/>
        <v/>
      </c>
      <c r="BJ283" s="18" t="str">
        <f>IF(BW282&lt;&gt;1,"",IF(BT282&gt;0,IF(BT282&gt;CONTROL_PANEL!$B$11,CONTROL_PANEL!$B$11,BT282),0))</f>
        <v/>
      </c>
      <c r="BK283" s="18" t="str">
        <f t="shared" si="208"/>
        <v/>
      </c>
      <c r="BL283" s="18" t="str">
        <f>IF(BW283&lt;&gt;1,"",DATA_INPUT!$I283)</f>
        <v/>
      </c>
      <c r="BM283" s="18" t="str">
        <f>IF(BW283&lt;&gt;1,"",BL283*CONTROL_PANEL!$B$5)</f>
        <v/>
      </c>
      <c r="BN283" s="18" t="str">
        <f>IF(BW283&lt;&gt;1,"",DATA_INPUT!$C283)</f>
        <v/>
      </c>
      <c r="BO283" s="18" t="str">
        <f t="shared" si="198"/>
        <v/>
      </c>
      <c r="BP283" s="18" t="str">
        <f>IF(BW283&lt;&gt;1,"",DATA_INPUT!$H283)</f>
        <v/>
      </c>
      <c r="BQ283" s="18" t="str">
        <f t="shared" si="199"/>
        <v/>
      </c>
      <c r="BR283" s="18" t="str">
        <f>IF(BW283&lt;&gt;1,"",BM283*CONTROL_PANEL!$B$14)</f>
        <v/>
      </c>
      <c r="BS283" s="18" t="str">
        <f>IF(BW283&lt;&gt;1,"",DATA_INPUT!$N283)</f>
        <v/>
      </c>
      <c r="BT283" s="18" t="str">
        <f t="shared" si="200"/>
        <v/>
      </c>
      <c r="BU283" s="18" t="str">
        <f>IF(BW283&lt;&gt;1,"",IF(BT283-CONTROL_PANEL!$B$11&lt;0,0,BT283-CONTROL_PANEL!$B$11))</f>
        <v/>
      </c>
      <c r="BV283" s="18" t="str">
        <f>IF(BW283&lt;&gt;1,"",IF(BS283&lt;=0,0,MIN(BS283,MAX(0,CONTROL_PANEL!$B$13-BT283))))</f>
        <v/>
      </c>
      <c r="BW283" s="18"/>
      <c r="BY283" s="19">
        <f t="shared" si="219"/>
        <v>2038</v>
      </c>
      <c r="BZ283" s="19">
        <f t="shared" si="184"/>
        <v>12</v>
      </c>
      <c r="CA283" s="18" t="str">
        <f t="shared" si="201"/>
        <v/>
      </c>
      <c r="CB283" s="18" t="str">
        <f t="shared" si="214"/>
        <v/>
      </c>
      <c r="CC283" s="18" t="str">
        <f>IF(CP282&lt;&gt;1,"",IF(CM282&gt;0,IF(CM282&gt;CONTROL_PANEL!$B$11,CONTROL_PANEL!$B$11,CM282),0))</f>
        <v/>
      </c>
      <c r="CD283" s="18" t="str">
        <f t="shared" si="209"/>
        <v/>
      </c>
      <c r="CE283" s="18" t="str">
        <f>IF(CP283&lt;&gt;1,"",DATA_INPUT!$I283)</f>
        <v/>
      </c>
      <c r="CF283" s="18" t="str">
        <f>IF(CP283&lt;&gt;1,"",CE283*CONTROL_PANEL!$B$5)</f>
        <v/>
      </c>
      <c r="CG283" s="18" t="str">
        <f>IF(CP283&lt;&gt;1,"",DATA_INPUT!$C283)</f>
        <v/>
      </c>
      <c r="CH283" s="18" t="str">
        <f t="shared" si="202"/>
        <v/>
      </c>
      <c r="CI283" s="18" t="str">
        <f>IF(CP283&lt;&gt;1,"",DATA_INPUT!$H283)</f>
        <v/>
      </c>
      <c r="CJ283" s="18" t="str">
        <f t="shared" si="203"/>
        <v/>
      </c>
      <c r="CK283" s="18" t="str">
        <f>IF(CP283&lt;&gt;1,"",CF283*CONTROL_PANEL!$B$14)</f>
        <v/>
      </c>
      <c r="CL283" s="18" t="str">
        <f>IF(CP283&lt;&gt;1,"",DATA_INPUT!$O283)</f>
        <v/>
      </c>
      <c r="CM283" s="18" t="str">
        <f t="shared" si="204"/>
        <v/>
      </c>
      <c r="CN283" s="18" t="str">
        <f>IF(CP283&lt;&gt;1,"",IF(CM283-CONTROL_PANEL!$B$11&lt;0,0,CM283-CONTROL_PANEL!$B$11))</f>
        <v/>
      </c>
      <c r="CO283" s="18" t="str">
        <f>IF(CP283&lt;&gt;1,"",IF(CL283&lt;=0,0,MIN(CL283,MAX(0,CONTROL_PANEL!$B$13-CM283))))</f>
        <v/>
      </c>
      <c r="CP283" s="18"/>
    </row>
    <row r="284" spans="1:94" x14ac:dyDescent="0.25">
      <c r="A284" s="19">
        <f t="shared" si="215"/>
        <v>2039</v>
      </c>
      <c r="B284" s="19">
        <f t="shared" si="180"/>
        <v>1</v>
      </c>
      <c r="C284" s="18" t="str">
        <f t="shared" si="185"/>
        <v/>
      </c>
      <c r="D284" s="18" t="str">
        <f t="shared" si="210"/>
        <v/>
      </c>
      <c r="E284" s="18" t="str">
        <f>IF(R283&lt;&gt;1,"",IF(O283&gt;0,IF(O283&gt;CONTROL_PANEL!$B$11,CONTROL_PANEL!$B$11,O283),0))</f>
        <v/>
      </c>
      <c r="F284" s="18" t="str">
        <f t="shared" si="205"/>
        <v/>
      </c>
      <c r="G284" s="18" t="str">
        <f>IF(R284&lt;&gt;1,"",DATA_INPUT!I284)</f>
        <v/>
      </c>
      <c r="H284" s="18" t="str">
        <f>IF(R284&lt;&gt;1,"",G284*CONTROL_PANEL!$B$5)</f>
        <v/>
      </c>
      <c r="I284" s="18" t="str">
        <f>IF(R284&lt;&gt;1,"",DATA_INPUT!C284)</f>
        <v/>
      </c>
      <c r="J284" s="18" t="str">
        <f t="shared" si="186"/>
        <v/>
      </c>
      <c r="K284" s="18" t="str">
        <f>IF(R284&lt;&gt;1,"",DATA_INPUT!H284)</f>
        <v/>
      </c>
      <c r="L284" s="18" t="str">
        <f t="shared" si="187"/>
        <v/>
      </c>
      <c r="M284" s="18" t="str">
        <f>IF(R284&lt;&gt;1,"",H284*CONTROL_PANEL!$B$14)</f>
        <v/>
      </c>
      <c r="N284" s="18" t="str">
        <f>IF(R284&lt;&gt;1,"",DATA_INPUT!K284)</f>
        <v/>
      </c>
      <c r="O284" s="18" t="str">
        <f t="shared" si="188"/>
        <v/>
      </c>
      <c r="P284" s="18" t="str">
        <f>IF(R284&lt;&gt;1,"",IF(O284-CONTROL_PANEL!$B$11&lt;0,0,O284-CONTROL_PANEL!$B$11))</f>
        <v/>
      </c>
      <c r="Q284" s="18" t="str">
        <f>IF(R284&lt;&gt;1,"",IF(N284&lt;=0,0,MIN(N284,MAX(0,CONTROL_PANEL!$B$13-O284))))</f>
        <v/>
      </c>
      <c r="R284" s="18"/>
      <c r="T284" s="19">
        <f t="shared" si="216"/>
        <v>2039</v>
      </c>
      <c r="U284" s="19">
        <f t="shared" si="181"/>
        <v>1</v>
      </c>
      <c r="V284" s="18" t="str">
        <f t="shared" si="189"/>
        <v/>
      </c>
      <c r="W284" s="18" t="str">
        <f t="shared" si="211"/>
        <v/>
      </c>
      <c r="X284" s="18" t="str">
        <f>IF(AK283&lt;&gt;1,"",IF(AH283&gt;0,IF(AH283&gt;CONTROL_PANEL!$B$11,CONTROL_PANEL!$B$11,AH283),0))</f>
        <v/>
      </c>
      <c r="Y284" s="18" t="str">
        <f t="shared" si="206"/>
        <v/>
      </c>
      <c r="Z284" s="18" t="str">
        <f>IF(AK284&lt;&gt;1,"",DATA_INPUT!I284)</f>
        <v/>
      </c>
      <c r="AA284" s="18" t="str">
        <f>IF(AK284&lt;&gt;1,"",Z284*CONTROL_PANEL!$B$5)</f>
        <v/>
      </c>
      <c r="AB284" s="18" t="str">
        <f>IF(AK284&lt;&gt;1,"",DATA_INPUT!$C284)</f>
        <v/>
      </c>
      <c r="AC284" s="18" t="str">
        <f t="shared" si="190"/>
        <v/>
      </c>
      <c r="AD284" s="18" t="str">
        <f>IF(AK284&lt;&gt;1,"",DATA_INPUT!$H284)</f>
        <v/>
      </c>
      <c r="AE284" s="18" t="str">
        <f t="shared" si="191"/>
        <v/>
      </c>
      <c r="AF284" s="18" t="str">
        <f>IF(AK284&lt;&gt;1,"",AA284*CONTROL_PANEL!$B$14)</f>
        <v/>
      </c>
      <c r="AG284" s="18" t="str">
        <f>IF(AK284&lt;&gt;1,"",DATA_INPUT!$L284)</f>
        <v/>
      </c>
      <c r="AH284" s="18" t="str">
        <f t="shared" si="192"/>
        <v/>
      </c>
      <c r="AI284" s="18" t="str">
        <f>IF(AK284&lt;&gt;1,"",IF(AH284-CONTROL_PANEL!$B$11&lt;0,0,AH284-CONTROL_PANEL!$B$11))</f>
        <v/>
      </c>
      <c r="AJ284" s="18" t="str">
        <f>IF(AK284&lt;&gt;1,"",IF(AG284&lt;=0,0,MIN(AG284,MAX(0,CONTROL_PANEL!$B$13-AH284))))</f>
        <v/>
      </c>
      <c r="AK284" s="18"/>
      <c r="AM284" s="19">
        <f t="shared" si="217"/>
        <v>2039</v>
      </c>
      <c r="AN284" s="19">
        <f t="shared" si="182"/>
        <v>1</v>
      </c>
      <c r="AO284" s="18" t="str">
        <f t="shared" si="193"/>
        <v/>
      </c>
      <c r="AP284" s="18" t="str">
        <f t="shared" si="212"/>
        <v/>
      </c>
      <c r="AQ284" s="18" t="str">
        <f>IF(BD283&lt;&gt;1,"",IF(BA283&gt;0,IF(BA283&gt;CONTROL_PANEL!$B$11,CONTROL_PANEL!$B$11,BA283),0))</f>
        <v/>
      </c>
      <c r="AR284" s="18" t="str">
        <f t="shared" si="207"/>
        <v/>
      </c>
      <c r="AS284" s="18" t="str">
        <f>IF(BD284&lt;&gt;1,"",DATA_INPUT!$I284)</f>
        <v/>
      </c>
      <c r="AT284" s="18" t="str">
        <f>IF(BD284&lt;&gt;1,"",AS284*CONTROL_PANEL!$B$5)</f>
        <v/>
      </c>
      <c r="AU284" s="18" t="str">
        <f>IF(BD284&lt;&gt;1,"",DATA_INPUT!$C284)</f>
        <v/>
      </c>
      <c r="AV284" s="18" t="str">
        <f t="shared" si="194"/>
        <v/>
      </c>
      <c r="AW284" s="18" t="str">
        <f>IF(BD284&lt;&gt;1,"",DATA_INPUT!$H284)</f>
        <v/>
      </c>
      <c r="AX284" s="18" t="str">
        <f t="shared" si="195"/>
        <v/>
      </c>
      <c r="AY284" s="18" t="str">
        <f>IF(BD284&lt;&gt;1,"",AT284*CONTROL_PANEL!$B$14)</f>
        <v/>
      </c>
      <c r="AZ284" s="18" t="str">
        <f>IF(BD284&lt;&gt;1,"",DATA_INPUT!$M284)</f>
        <v/>
      </c>
      <c r="BA284" s="18" t="str">
        <f t="shared" si="196"/>
        <v/>
      </c>
      <c r="BB284" s="18" t="str">
        <f>IF(BD284&lt;&gt;1,"",IF(BA284-CONTROL_PANEL!$B$11&lt;0,0,BA284-CONTROL_PANEL!$B$11))</f>
        <v/>
      </c>
      <c r="BC284" s="18" t="str">
        <f>IF(BD284&lt;&gt;1,"",IF(AZ284&lt;=0,0,MIN(AZ284,MAX(0,CONTROL_PANEL!$B$13-BA284))))</f>
        <v/>
      </c>
      <c r="BD284" s="18"/>
      <c r="BF284" s="19">
        <f t="shared" si="218"/>
        <v>2039</v>
      </c>
      <c r="BG284" s="19">
        <f t="shared" si="183"/>
        <v>1</v>
      </c>
      <c r="BH284" s="18" t="str">
        <f t="shared" si="197"/>
        <v/>
      </c>
      <c r="BI284" s="18" t="str">
        <f t="shared" si="213"/>
        <v/>
      </c>
      <c r="BJ284" s="18" t="str">
        <f>IF(BW283&lt;&gt;1,"",IF(BT283&gt;0,IF(BT283&gt;CONTROL_PANEL!$B$11,CONTROL_PANEL!$B$11,BT283),0))</f>
        <v/>
      </c>
      <c r="BK284" s="18" t="str">
        <f t="shared" si="208"/>
        <v/>
      </c>
      <c r="BL284" s="18" t="str">
        <f>IF(BW284&lt;&gt;1,"",DATA_INPUT!$I284)</f>
        <v/>
      </c>
      <c r="BM284" s="18" t="str">
        <f>IF(BW284&lt;&gt;1,"",BL284*CONTROL_PANEL!$B$5)</f>
        <v/>
      </c>
      <c r="BN284" s="18" t="str">
        <f>IF(BW284&lt;&gt;1,"",DATA_INPUT!$C284)</f>
        <v/>
      </c>
      <c r="BO284" s="18" t="str">
        <f t="shared" si="198"/>
        <v/>
      </c>
      <c r="BP284" s="18" t="str">
        <f>IF(BW284&lt;&gt;1,"",DATA_INPUT!$H284)</f>
        <v/>
      </c>
      <c r="BQ284" s="18" t="str">
        <f t="shared" si="199"/>
        <v/>
      </c>
      <c r="BR284" s="18" t="str">
        <f>IF(BW284&lt;&gt;1,"",BM284*CONTROL_PANEL!$B$14)</f>
        <v/>
      </c>
      <c r="BS284" s="18" t="str">
        <f>IF(BW284&lt;&gt;1,"",DATA_INPUT!$N284)</f>
        <v/>
      </c>
      <c r="BT284" s="18" t="str">
        <f t="shared" si="200"/>
        <v/>
      </c>
      <c r="BU284" s="18" t="str">
        <f>IF(BW284&lt;&gt;1,"",IF(BT284-CONTROL_PANEL!$B$11&lt;0,0,BT284-CONTROL_PANEL!$B$11))</f>
        <v/>
      </c>
      <c r="BV284" s="18" t="str">
        <f>IF(BW284&lt;&gt;1,"",IF(BS284&lt;=0,0,MIN(BS284,MAX(0,CONTROL_PANEL!$B$13-BT284))))</f>
        <v/>
      </c>
      <c r="BW284" s="18"/>
      <c r="BY284" s="19">
        <f t="shared" si="219"/>
        <v>2039</v>
      </c>
      <c r="BZ284" s="19">
        <f t="shared" si="184"/>
        <v>1</v>
      </c>
      <c r="CA284" s="18" t="str">
        <f t="shared" si="201"/>
        <v/>
      </c>
      <c r="CB284" s="18" t="str">
        <f t="shared" si="214"/>
        <v/>
      </c>
      <c r="CC284" s="18" t="str">
        <f>IF(CP283&lt;&gt;1,"",IF(CM283&gt;0,IF(CM283&gt;CONTROL_PANEL!$B$11,CONTROL_PANEL!$B$11,CM283),0))</f>
        <v/>
      </c>
      <c r="CD284" s="18" t="str">
        <f t="shared" si="209"/>
        <v/>
      </c>
      <c r="CE284" s="18" t="str">
        <f>IF(CP284&lt;&gt;1,"",DATA_INPUT!$I284)</f>
        <v/>
      </c>
      <c r="CF284" s="18" t="str">
        <f>IF(CP284&lt;&gt;1,"",CE284*CONTROL_PANEL!$B$5)</f>
        <v/>
      </c>
      <c r="CG284" s="18" t="str">
        <f>IF(CP284&lt;&gt;1,"",DATA_INPUT!$C284)</f>
        <v/>
      </c>
      <c r="CH284" s="18" t="str">
        <f t="shared" si="202"/>
        <v/>
      </c>
      <c r="CI284" s="18" t="str">
        <f>IF(CP284&lt;&gt;1,"",DATA_INPUT!$H284)</f>
        <v/>
      </c>
      <c r="CJ284" s="18" t="str">
        <f t="shared" si="203"/>
        <v/>
      </c>
      <c r="CK284" s="18" t="str">
        <f>IF(CP284&lt;&gt;1,"",CF284*CONTROL_PANEL!$B$14)</f>
        <v/>
      </c>
      <c r="CL284" s="18" t="str">
        <f>IF(CP284&lt;&gt;1,"",DATA_INPUT!$O284)</f>
        <v/>
      </c>
      <c r="CM284" s="18" t="str">
        <f t="shared" si="204"/>
        <v/>
      </c>
      <c r="CN284" s="18" t="str">
        <f>IF(CP284&lt;&gt;1,"",IF(CM284-CONTROL_PANEL!$B$11&lt;0,0,CM284-CONTROL_PANEL!$B$11))</f>
        <v/>
      </c>
      <c r="CO284" s="18" t="str">
        <f>IF(CP284&lt;&gt;1,"",IF(CL284&lt;=0,0,MIN(CL284,MAX(0,CONTROL_PANEL!$B$13-CM284))))</f>
        <v/>
      </c>
      <c r="CP284" s="18"/>
    </row>
    <row r="285" spans="1:94" x14ac:dyDescent="0.25">
      <c r="A285" s="19">
        <f t="shared" si="215"/>
        <v>2039</v>
      </c>
      <c r="B285" s="19">
        <f t="shared" si="180"/>
        <v>2</v>
      </c>
      <c r="C285" s="18" t="str">
        <f t="shared" si="185"/>
        <v/>
      </c>
      <c r="D285" s="18" t="str">
        <f t="shared" si="210"/>
        <v/>
      </c>
      <c r="E285" s="18" t="str">
        <f>IF(R284&lt;&gt;1,"",IF(O284&gt;0,IF(O284&gt;CONTROL_PANEL!$B$11,CONTROL_PANEL!$B$11,O284),0))</f>
        <v/>
      </c>
      <c r="F285" s="18" t="str">
        <f t="shared" si="205"/>
        <v/>
      </c>
      <c r="G285" s="18" t="str">
        <f>IF(R285&lt;&gt;1,"",DATA_INPUT!I285)</f>
        <v/>
      </c>
      <c r="H285" s="18" t="str">
        <f>IF(R285&lt;&gt;1,"",G285*CONTROL_PANEL!$B$5)</f>
        <v/>
      </c>
      <c r="I285" s="18" t="str">
        <f>IF(R285&lt;&gt;1,"",DATA_INPUT!C285)</f>
        <v/>
      </c>
      <c r="J285" s="18" t="str">
        <f t="shared" si="186"/>
        <v/>
      </c>
      <c r="K285" s="18" t="str">
        <f>IF(R285&lt;&gt;1,"",DATA_INPUT!H285)</f>
        <v/>
      </c>
      <c r="L285" s="18" t="str">
        <f t="shared" si="187"/>
        <v/>
      </c>
      <c r="M285" s="18" t="str">
        <f>IF(R285&lt;&gt;1,"",H285*CONTROL_PANEL!$B$14)</f>
        <v/>
      </c>
      <c r="N285" s="18" t="str">
        <f>IF(R285&lt;&gt;1,"",DATA_INPUT!K285)</f>
        <v/>
      </c>
      <c r="O285" s="18" t="str">
        <f t="shared" si="188"/>
        <v/>
      </c>
      <c r="P285" s="18" t="str">
        <f>IF(R285&lt;&gt;1,"",IF(O285-CONTROL_PANEL!$B$11&lt;0,0,O285-CONTROL_PANEL!$B$11))</f>
        <v/>
      </c>
      <c r="Q285" s="18" t="str">
        <f>IF(R285&lt;&gt;1,"",IF(N285&lt;=0,0,MIN(N285,MAX(0,CONTROL_PANEL!$B$13-O285))))</f>
        <v/>
      </c>
      <c r="R285" s="18"/>
      <c r="T285" s="19">
        <f t="shared" si="216"/>
        <v>2039</v>
      </c>
      <c r="U285" s="19">
        <f t="shared" si="181"/>
        <v>2</v>
      </c>
      <c r="V285" s="18" t="str">
        <f t="shared" si="189"/>
        <v/>
      </c>
      <c r="W285" s="18" t="str">
        <f t="shared" si="211"/>
        <v/>
      </c>
      <c r="X285" s="18" t="str">
        <f>IF(AK284&lt;&gt;1,"",IF(AH284&gt;0,IF(AH284&gt;CONTROL_PANEL!$B$11,CONTROL_PANEL!$B$11,AH284),0))</f>
        <v/>
      </c>
      <c r="Y285" s="18" t="str">
        <f t="shared" si="206"/>
        <v/>
      </c>
      <c r="Z285" s="18" t="str">
        <f>IF(AK285&lt;&gt;1,"",DATA_INPUT!I285)</f>
        <v/>
      </c>
      <c r="AA285" s="18" t="str">
        <f>IF(AK285&lt;&gt;1,"",Z285*CONTROL_PANEL!$B$5)</f>
        <v/>
      </c>
      <c r="AB285" s="18" t="str">
        <f>IF(AK285&lt;&gt;1,"",DATA_INPUT!$C285)</f>
        <v/>
      </c>
      <c r="AC285" s="18" t="str">
        <f t="shared" si="190"/>
        <v/>
      </c>
      <c r="AD285" s="18" t="str">
        <f>IF(AK285&lt;&gt;1,"",DATA_INPUT!$H285)</f>
        <v/>
      </c>
      <c r="AE285" s="18" t="str">
        <f t="shared" si="191"/>
        <v/>
      </c>
      <c r="AF285" s="18" t="str">
        <f>IF(AK285&lt;&gt;1,"",AA285*CONTROL_PANEL!$B$14)</f>
        <v/>
      </c>
      <c r="AG285" s="18" t="str">
        <f>IF(AK285&lt;&gt;1,"",DATA_INPUT!$L285)</f>
        <v/>
      </c>
      <c r="AH285" s="18" t="str">
        <f t="shared" si="192"/>
        <v/>
      </c>
      <c r="AI285" s="18" t="str">
        <f>IF(AK285&lt;&gt;1,"",IF(AH285-CONTROL_PANEL!$B$11&lt;0,0,AH285-CONTROL_PANEL!$B$11))</f>
        <v/>
      </c>
      <c r="AJ285" s="18" t="str">
        <f>IF(AK285&lt;&gt;1,"",IF(AG285&lt;=0,0,MIN(AG285,MAX(0,CONTROL_PANEL!$B$13-AH285))))</f>
        <v/>
      </c>
      <c r="AK285" s="18"/>
      <c r="AM285" s="19">
        <f t="shared" si="217"/>
        <v>2039</v>
      </c>
      <c r="AN285" s="19">
        <f t="shared" si="182"/>
        <v>2</v>
      </c>
      <c r="AO285" s="18" t="str">
        <f t="shared" si="193"/>
        <v/>
      </c>
      <c r="AP285" s="18" t="str">
        <f t="shared" si="212"/>
        <v/>
      </c>
      <c r="AQ285" s="18" t="str">
        <f>IF(BD284&lt;&gt;1,"",IF(BA284&gt;0,IF(BA284&gt;CONTROL_PANEL!$B$11,CONTROL_PANEL!$B$11,BA284),0))</f>
        <v/>
      </c>
      <c r="AR285" s="18" t="str">
        <f t="shared" si="207"/>
        <v/>
      </c>
      <c r="AS285" s="18" t="str">
        <f>IF(BD285&lt;&gt;1,"",DATA_INPUT!$I285)</f>
        <v/>
      </c>
      <c r="AT285" s="18" t="str">
        <f>IF(BD285&lt;&gt;1,"",AS285*CONTROL_PANEL!$B$5)</f>
        <v/>
      </c>
      <c r="AU285" s="18" t="str">
        <f>IF(BD285&lt;&gt;1,"",DATA_INPUT!$C285)</f>
        <v/>
      </c>
      <c r="AV285" s="18" t="str">
        <f t="shared" si="194"/>
        <v/>
      </c>
      <c r="AW285" s="18" t="str">
        <f>IF(BD285&lt;&gt;1,"",DATA_INPUT!$H285)</f>
        <v/>
      </c>
      <c r="AX285" s="18" t="str">
        <f t="shared" si="195"/>
        <v/>
      </c>
      <c r="AY285" s="18" t="str">
        <f>IF(BD285&lt;&gt;1,"",AT285*CONTROL_PANEL!$B$14)</f>
        <v/>
      </c>
      <c r="AZ285" s="18" t="str">
        <f>IF(BD285&lt;&gt;1,"",DATA_INPUT!$M285)</f>
        <v/>
      </c>
      <c r="BA285" s="18" t="str">
        <f t="shared" si="196"/>
        <v/>
      </c>
      <c r="BB285" s="18" t="str">
        <f>IF(BD285&lt;&gt;1,"",IF(BA285-CONTROL_PANEL!$B$11&lt;0,0,BA285-CONTROL_PANEL!$B$11))</f>
        <v/>
      </c>
      <c r="BC285" s="18" t="str">
        <f>IF(BD285&lt;&gt;1,"",IF(AZ285&lt;=0,0,MIN(AZ285,MAX(0,CONTROL_PANEL!$B$13-BA285))))</f>
        <v/>
      </c>
      <c r="BD285" s="18"/>
      <c r="BF285" s="19">
        <f t="shared" si="218"/>
        <v>2039</v>
      </c>
      <c r="BG285" s="19">
        <f t="shared" si="183"/>
        <v>2</v>
      </c>
      <c r="BH285" s="18" t="str">
        <f t="shared" si="197"/>
        <v/>
      </c>
      <c r="BI285" s="18" t="str">
        <f t="shared" si="213"/>
        <v/>
      </c>
      <c r="BJ285" s="18" t="str">
        <f>IF(BW284&lt;&gt;1,"",IF(BT284&gt;0,IF(BT284&gt;CONTROL_PANEL!$B$11,CONTROL_PANEL!$B$11,BT284),0))</f>
        <v/>
      </c>
      <c r="BK285" s="18" t="str">
        <f t="shared" si="208"/>
        <v/>
      </c>
      <c r="BL285" s="18" t="str">
        <f>IF(BW285&lt;&gt;1,"",DATA_INPUT!$I285)</f>
        <v/>
      </c>
      <c r="BM285" s="18" t="str">
        <f>IF(BW285&lt;&gt;1,"",BL285*CONTROL_PANEL!$B$5)</f>
        <v/>
      </c>
      <c r="BN285" s="18" t="str">
        <f>IF(BW285&lt;&gt;1,"",DATA_INPUT!$C285)</f>
        <v/>
      </c>
      <c r="BO285" s="18" t="str">
        <f t="shared" si="198"/>
        <v/>
      </c>
      <c r="BP285" s="18" t="str">
        <f>IF(BW285&lt;&gt;1,"",DATA_INPUT!$H285)</f>
        <v/>
      </c>
      <c r="BQ285" s="18" t="str">
        <f t="shared" si="199"/>
        <v/>
      </c>
      <c r="BR285" s="18" t="str">
        <f>IF(BW285&lt;&gt;1,"",BM285*CONTROL_PANEL!$B$14)</f>
        <v/>
      </c>
      <c r="BS285" s="18" t="str">
        <f>IF(BW285&lt;&gt;1,"",DATA_INPUT!$N285)</f>
        <v/>
      </c>
      <c r="BT285" s="18" t="str">
        <f t="shared" si="200"/>
        <v/>
      </c>
      <c r="BU285" s="18" t="str">
        <f>IF(BW285&lt;&gt;1,"",IF(BT285-CONTROL_PANEL!$B$11&lt;0,0,BT285-CONTROL_PANEL!$B$11))</f>
        <v/>
      </c>
      <c r="BV285" s="18" t="str">
        <f>IF(BW285&lt;&gt;1,"",IF(BS285&lt;=0,0,MIN(BS285,MAX(0,CONTROL_PANEL!$B$13-BT285))))</f>
        <v/>
      </c>
      <c r="BW285" s="18"/>
      <c r="BY285" s="19">
        <f t="shared" si="219"/>
        <v>2039</v>
      </c>
      <c r="BZ285" s="19">
        <f t="shared" si="184"/>
        <v>2</v>
      </c>
      <c r="CA285" s="18" t="str">
        <f t="shared" si="201"/>
        <v/>
      </c>
      <c r="CB285" s="18" t="str">
        <f t="shared" si="214"/>
        <v/>
      </c>
      <c r="CC285" s="18" t="str">
        <f>IF(CP284&lt;&gt;1,"",IF(CM284&gt;0,IF(CM284&gt;CONTROL_PANEL!$B$11,CONTROL_PANEL!$B$11,CM284),0))</f>
        <v/>
      </c>
      <c r="CD285" s="18" t="str">
        <f t="shared" si="209"/>
        <v/>
      </c>
      <c r="CE285" s="18" t="str">
        <f>IF(CP285&lt;&gt;1,"",DATA_INPUT!$I285)</f>
        <v/>
      </c>
      <c r="CF285" s="18" t="str">
        <f>IF(CP285&lt;&gt;1,"",CE285*CONTROL_PANEL!$B$5)</f>
        <v/>
      </c>
      <c r="CG285" s="18" t="str">
        <f>IF(CP285&lt;&gt;1,"",DATA_INPUT!$C285)</f>
        <v/>
      </c>
      <c r="CH285" s="18" t="str">
        <f t="shared" si="202"/>
        <v/>
      </c>
      <c r="CI285" s="18" t="str">
        <f>IF(CP285&lt;&gt;1,"",DATA_INPUT!$H285)</f>
        <v/>
      </c>
      <c r="CJ285" s="18" t="str">
        <f t="shared" si="203"/>
        <v/>
      </c>
      <c r="CK285" s="18" t="str">
        <f>IF(CP285&lt;&gt;1,"",CF285*CONTROL_PANEL!$B$14)</f>
        <v/>
      </c>
      <c r="CL285" s="18" t="str">
        <f>IF(CP285&lt;&gt;1,"",DATA_INPUT!$O285)</f>
        <v/>
      </c>
      <c r="CM285" s="18" t="str">
        <f t="shared" si="204"/>
        <v/>
      </c>
      <c r="CN285" s="18" t="str">
        <f>IF(CP285&lt;&gt;1,"",IF(CM285-CONTROL_PANEL!$B$11&lt;0,0,CM285-CONTROL_PANEL!$B$11))</f>
        <v/>
      </c>
      <c r="CO285" s="18" t="str">
        <f>IF(CP285&lt;&gt;1,"",IF(CL285&lt;=0,0,MIN(CL285,MAX(0,CONTROL_PANEL!$B$13-CM285))))</f>
        <v/>
      </c>
      <c r="CP285" s="18"/>
    </row>
    <row r="286" spans="1:94" x14ac:dyDescent="0.25">
      <c r="A286" s="19">
        <f t="shared" si="215"/>
        <v>2039</v>
      </c>
      <c r="B286" s="19">
        <f t="shared" si="180"/>
        <v>3</v>
      </c>
      <c r="C286" s="18" t="str">
        <f t="shared" si="185"/>
        <v/>
      </c>
      <c r="D286" s="18" t="str">
        <f t="shared" si="210"/>
        <v/>
      </c>
      <c r="E286" s="18" t="str">
        <f>IF(R285&lt;&gt;1,"",IF(O285&gt;0,IF(O285&gt;CONTROL_PANEL!$B$11,CONTROL_PANEL!$B$11,O285),0))</f>
        <v/>
      </c>
      <c r="F286" s="18" t="str">
        <f t="shared" si="205"/>
        <v/>
      </c>
      <c r="G286" s="18" t="str">
        <f>IF(R286&lt;&gt;1,"",DATA_INPUT!I286)</f>
        <v/>
      </c>
      <c r="H286" s="18" t="str">
        <f>IF(R286&lt;&gt;1,"",G286*CONTROL_PANEL!$B$5)</f>
        <v/>
      </c>
      <c r="I286" s="18" t="str">
        <f>IF(R286&lt;&gt;1,"",DATA_INPUT!C286)</f>
        <v/>
      </c>
      <c r="J286" s="18" t="str">
        <f t="shared" si="186"/>
        <v/>
      </c>
      <c r="K286" s="18" t="str">
        <f>IF(R286&lt;&gt;1,"",DATA_INPUT!H286)</f>
        <v/>
      </c>
      <c r="L286" s="18" t="str">
        <f t="shared" si="187"/>
        <v/>
      </c>
      <c r="M286" s="18" t="str">
        <f>IF(R286&lt;&gt;1,"",H286*CONTROL_PANEL!$B$14)</f>
        <v/>
      </c>
      <c r="N286" s="18" t="str">
        <f>IF(R286&lt;&gt;1,"",DATA_INPUT!K286)</f>
        <v/>
      </c>
      <c r="O286" s="18" t="str">
        <f t="shared" si="188"/>
        <v/>
      </c>
      <c r="P286" s="18" t="str">
        <f>IF(R286&lt;&gt;1,"",IF(O286-CONTROL_PANEL!$B$11&lt;0,0,O286-CONTROL_PANEL!$B$11))</f>
        <v/>
      </c>
      <c r="Q286" s="18" t="str">
        <f>IF(R286&lt;&gt;1,"",IF(N286&lt;=0,0,MIN(N286,MAX(0,CONTROL_PANEL!$B$13-O286))))</f>
        <v/>
      </c>
      <c r="R286" s="18"/>
      <c r="T286" s="19">
        <f t="shared" si="216"/>
        <v>2039</v>
      </c>
      <c r="U286" s="19">
        <f t="shared" si="181"/>
        <v>3</v>
      </c>
      <c r="V286" s="18" t="str">
        <f t="shared" si="189"/>
        <v/>
      </c>
      <c r="W286" s="18" t="str">
        <f t="shared" si="211"/>
        <v/>
      </c>
      <c r="X286" s="18" t="str">
        <f>IF(AK285&lt;&gt;1,"",IF(AH285&gt;0,IF(AH285&gt;CONTROL_PANEL!$B$11,CONTROL_PANEL!$B$11,AH285),0))</f>
        <v/>
      </c>
      <c r="Y286" s="18" t="str">
        <f t="shared" si="206"/>
        <v/>
      </c>
      <c r="Z286" s="18" t="str">
        <f>IF(AK286&lt;&gt;1,"",DATA_INPUT!I286)</f>
        <v/>
      </c>
      <c r="AA286" s="18" t="str">
        <f>IF(AK286&lt;&gt;1,"",Z286*CONTROL_PANEL!$B$5)</f>
        <v/>
      </c>
      <c r="AB286" s="18" t="str">
        <f>IF(AK286&lt;&gt;1,"",DATA_INPUT!$C286)</f>
        <v/>
      </c>
      <c r="AC286" s="18" t="str">
        <f t="shared" si="190"/>
        <v/>
      </c>
      <c r="AD286" s="18" t="str">
        <f>IF(AK286&lt;&gt;1,"",DATA_INPUT!$H286)</f>
        <v/>
      </c>
      <c r="AE286" s="18" t="str">
        <f t="shared" si="191"/>
        <v/>
      </c>
      <c r="AF286" s="18" t="str">
        <f>IF(AK286&lt;&gt;1,"",AA286*CONTROL_PANEL!$B$14)</f>
        <v/>
      </c>
      <c r="AG286" s="18" t="str">
        <f>IF(AK286&lt;&gt;1,"",DATA_INPUT!$L286)</f>
        <v/>
      </c>
      <c r="AH286" s="18" t="str">
        <f t="shared" si="192"/>
        <v/>
      </c>
      <c r="AI286" s="18" t="str">
        <f>IF(AK286&lt;&gt;1,"",IF(AH286-CONTROL_PANEL!$B$11&lt;0,0,AH286-CONTROL_PANEL!$B$11))</f>
        <v/>
      </c>
      <c r="AJ286" s="18" t="str">
        <f>IF(AK286&lt;&gt;1,"",IF(AG286&lt;=0,0,MIN(AG286,MAX(0,CONTROL_PANEL!$B$13-AH286))))</f>
        <v/>
      </c>
      <c r="AK286" s="18"/>
      <c r="AM286" s="19">
        <f t="shared" si="217"/>
        <v>2039</v>
      </c>
      <c r="AN286" s="19">
        <f t="shared" si="182"/>
        <v>3</v>
      </c>
      <c r="AO286" s="18" t="str">
        <f t="shared" si="193"/>
        <v/>
      </c>
      <c r="AP286" s="18" t="str">
        <f t="shared" si="212"/>
        <v/>
      </c>
      <c r="AQ286" s="18" t="str">
        <f>IF(BD285&lt;&gt;1,"",IF(BA285&gt;0,IF(BA285&gt;CONTROL_PANEL!$B$11,CONTROL_PANEL!$B$11,BA285),0))</f>
        <v/>
      </c>
      <c r="AR286" s="18" t="str">
        <f t="shared" si="207"/>
        <v/>
      </c>
      <c r="AS286" s="18" t="str">
        <f>IF(BD286&lt;&gt;1,"",DATA_INPUT!$I286)</f>
        <v/>
      </c>
      <c r="AT286" s="18" t="str">
        <f>IF(BD286&lt;&gt;1,"",AS286*CONTROL_PANEL!$B$5)</f>
        <v/>
      </c>
      <c r="AU286" s="18" t="str">
        <f>IF(BD286&lt;&gt;1,"",DATA_INPUT!$C286)</f>
        <v/>
      </c>
      <c r="AV286" s="18" t="str">
        <f t="shared" si="194"/>
        <v/>
      </c>
      <c r="AW286" s="18" t="str">
        <f>IF(BD286&lt;&gt;1,"",DATA_INPUT!$H286)</f>
        <v/>
      </c>
      <c r="AX286" s="18" t="str">
        <f t="shared" si="195"/>
        <v/>
      </c>
      <c r="AY286" s="18" t="str">
        <f>IF(BD286&lt;&gt;1,"",AT286*CONTROL_PANEL!$B$14)</f>
        <v/>
      </c>
      <c r="AZ286" s="18" t="str">
        <f>IF(BD286&lt;&gt;1,"",DATA_INPUT!$M286)</f>
        <v/>
      </c>
      <c r="BA286" s="18" t="str">
        <f t="shared" si="196"/>
        <v/>
      </c>
      <c r="BB286" s="18" t="str">
        <f>IF(BD286&lt;&gt;1,"",IF(BA286-CONTROL_PANEL!$B$11&lt;0,0,BA286-CONTROL_PANEL!$B$11))</f>
        <v/>
      </c>
      <c r="BC286" s="18" t="str">
        <f>IF(BD286&lt;&gt;1,"",IF(AZ286&lt;=0,0,MIN(AZ286,MAX(0,CONTROL_PANEL!$B$13-BA286))))</f>
        <v/>
      </c>
      <c r="BD286" s="18"/>
      <c r="BF286" s="19">
        <f t="shared" si="218"/>
        <v>2039</v>
      </c>
      <c r="BG286" s="19">
        <f t="shared" si="183"/>
        <v>3</v>
      </c>
      <c r="BH286" s="18" t="str">
        <f t="shared" si="197"/>
        <v/>
      </c>
      <c r="BI286" s="18" t="str">
        <f t="shared" si="213"/>
        <v/>
      </c>
      <c r="BJ286" s="18" t="str">
        <f>IF(BW285&lt;&gt;1,"",IF(BT285&gt;0,IF(BT285&gt;CONTROL_PANEL!$B$11,CONTROL_PANEL!$B$11,BT285),0))</f>
        <v/>
      </c>
      <c r="BK286" s="18" t="str">
        <f t="shared" si="208"/>
        <v/>
      </c>
      <c r="BL286" s="18" t="str">
        <f>IF(BW286&lt;&gt;1,"",DATA_INPUT!$I286)</f>
        <v/>
      </c>
      <c r="BM286" s="18" t="str">
        <f>IF(BW286&lt;&gt;1,"",BL286*CONTROL_PANEL!$B$5)</f>
        <v/>
      </c>
      <c r="BN286" s="18" t="str">
        <f>IF(BW286&lt;&gt;1,"",DATA_INPUT!$C286)</f>
        <v/>
      </c>
      <c r="BO286" s="18" t="str">
        <f t="shared" si="198"/>
        <v/>
      </c>
      <c r="BP286" s="18" t="str">
        <f>IF(BW286&lt;&gt;1,"",DATA_INPUT!$H286)</f>
        <v/>
      </c>
      <c r="BQ286" s="18" t="str">
        <f t="shared" si="199"/>
        <v/>
      </c>
      <c r="BR286" s="18" t="str">
        <f>IF(BW286&lt;&gt;1,"",BM286*CONTROL_PANEL!$B$14)</f>
        <v/>
      </c>
      <c r="BS286" s="18" t="str">
        <f>IF(BW286&lt;&gt;1,"",DATA_INPUT!$N286)</f>
        <v/>
      </c>
      <c r="BT286" s="18" t="str">
        <f t="shared" si="200"/>
        <v/>
      </c>
      <c r="BU286" s="18" t="str">
        <f>IF(BW286&lt;&gt;1,"",IF(BT286-CONTROL_PANEL!$B$11&lt;0,0,BT286-CONTROL_PANEL!$B$11))</f>
        <v/>
      </c>
      <c r="BV286" s="18" t="str">
        <f>IF(BW286&lt;&gt;1,"",IF(BS286&lt;=0,0,MIN(BS286,MAX(0,CONTROL_PANEL!$B$13-BT286))))</f>
        <v/>
      </c>
      <c r="BW286" s="18"/>
      <c r="BY286" s="19">
        <f t="shared" si="219"/>
        <v>2039</v>
      </c>
      <c r="BZ286" s="19">
        <f t="shared" si="184"/>
        <v>3</v>
      </c>
      <c r="CA286" s="18" t="str">
        <f t="shared" si="201"/>
        <v/>
      </c>
      <c r="CB286" s="18" t="str">
        <f t="shared" si="214"/>
        <v/>
      </c>
      <c r="CC286" s="18" t="str">
        <f>IF(CP285&lt;&gt;1,"",IF(CM285&gt;0,IF(CM285&gt;CONTROL_PANEL!$B$11,CONTROL_PANEL!$B$11,CM285),0))</f>
        <v/>
      </c>
      <c r="CD286" s="18" t="str">
        <f t="shared" si="209"/>
        <v/>
      </c>
      <c r="CE286" s="18" t="str">
        <f>IF(CP286&lt;&gt;1,"",DATA_INPUT!$I286)</f>
        <v/>
      </c>
      <c r="CF286" s="18" t="str">
        <f>IF(CP286&lt;&gt;1,"",CE286*CONTROL_PANEL!$B$5)</f>
        <v/>
      </c>
      <c r="CG286" s="18" t="str">
        <f>IF(CP286&lt;&gt;1,"",DATA_INPUT!$C286)</f>
        <v/>
      </c>
      <c r="CH286" s="18" t="str">
        <f t="shared" si="202"/>
        <v/>
      </c>
      <c r="CI286" s="18" t="str">
        <f>IF(CP286&lt;&gt;1,"",DATA_INPUT!$H286)</f>
        <v/>
      </c>
      <c r="CJ286" s="18" t="str">
        <f t="shared" si="203"/>
        <v/>
      </c>
      <c r="CK286" s="18" t="str">
        <f>IF(CP286&lt;&gt;1,"",CF286*CONTROL_PANEL!$B$14)</f>
        <v/>
      </c>
      <c r="CL286" s="18" t="str">
        <f>IF(CP286&lt;&gt;1,"",DATA_INPUT!$O286)</f>
        <v/>
      </c>
      <c r="CM286" s="18" t="str">
        <f t="shared" si="204"/>
        <v/>
      </c>
      <c r="CN286" s="18" t="str">
        <f>IF(CP286&lt;&gt;1,"",IF(CM286-CONTROL_PANEL!$B$11&lt;0,0,CM286-CONTROL_PANEL!$B$11))</f>
        <v/>
      </c>
      <c r="CO286" s="18" t="str">
        <f>IF(CP286&lt;&gt;1,"",IF(CL286&lt;=0,0,MIN(CL286,MAX(0,CONTROL_PANEL!$B$13-CM286))))</f>
        <v/>
      </c>
      <c r="CP286" s="18"/>
    </row>
    <row r="287" spans="1:94" x14ac:dyDescent="0.25">
      <c r="A287" s="19">
        <f t="shared" si="215"/>
        <v>2039</v>
      </c>
      <c r="B287" s="19">
        <f t="shared" si="180"/>
        <v>4</v>
      </c>
      <c r="C287" s="18" t="str">
        <f t="shared" si="185"/>
        <v/>
      </c>
      <c r="D287" s="18" t="str">
        <f t="shared" si="210"/>
        <v/>
      </c>
      <c r="E287" s="18" t="str">
        <f>IF(R286&lt;&gt;1,"",IF(O286&gt;0,IF(O286&gt;CONTROL_PANEL!$B$11,CONTROL_PANEL!$B$11,O286),0))</f>
        <v/>
      </c>
      <c r="F287" s="18" t="str">
        <f t="shared" si="205"/>
        <v/>
      </c>
      <c r="G287" s="18" t="str">
        <f>IF(R287&lt;&gt;1,"",DATA_INPUT!I287)</f>
        <v/>
      </c>
      <c r="H287" s="18" t="str">
        <f>IF(R287&lt;&gt;1,"",G287*CONTROL_PANEL!$B$5)</f>
        <v/>
      </c>
      <c r="I287" s="18" t="str">
        <f>IF(R287&lt;&gt;1,"",DATA_INPUT!C287)</f>
        <v/>
      </c>
      <c r="J287" s="18" t="str">
        <f t="shared" si="186"/>
        <v/>
      </c>
      <c r="K287" s="18" t="str">
        <f>IF(R287&lt;&gt;1,"",DATA_INPUT!H287)</f>
        <v/>
      </c>
      <c r="L287" s="18" t="str">
        <f t="shared" si="187"/>
        <v/>
      </c>
      <c r="M287" s="18" t="str">
        <f>IF(R287&lt;&gt;1,"",H287*CONTROL_PANEL!$B$14)</f>
        <v/>
      </c>
      <c r="N287" s="18" t="str">
        <f>IF(R287&lt;&gt;1,"",DATA_INPUT!K287)</f>
        <v/>
      </c>
      <c r="O287" s="18" t="str">
        <f t="shared" si="188"/>
        <v/>
      </c>
      <c r="P287" s="18" t="str">
        <f>IF(R287&lt;&gt;1,"",IF(O287-CONTROL_PANEL!$B$11&lt;0,0,O287-CONTROL_PANEL!$B$11))</f>
        <v/>
      </c>
      <c r="Q287" s="18" t="str">
        <f>IF(R287&lt;&gt;1,"",IF(N287&lt;=0,0,MIN(N287,MAX(0,CONTROL_PANEL!$B$13-O287))))</f>
        <v/>
      </c>
      <c r="R287" s="18"/>
      <c r="T287" s="19">
        <f t="shared" si="216"/>
        <v>2039</v>
      </c>
      <c r="U287" s="19">
        <f t="shared" si="181"/>
        <v>4</v>
      </c>
      <c r="V287" s="18" t="str">
        <f t="shared" si="189"/>
        <v/>
      </c>
      <c r="W287" s="18" t="str">
        <f t="shared" si="211"/>
        <v/>
      </c>
      <c r="X287" s="18" t="str">
        <f>IF(AK286&lt;&gt;1,"",IF(AH286&gt;0,IF(AH286&gt;CONTROL_PANEL!$B$11,CONTROL_PANEL!$B$11,AH286),0))</f>
        <v/>
      </c>
      <c r="Y287" s="18" t="str">
        <f t="shared" si="206"/>
        <v/>
      </c>
      <c r="Z287" s="18" t="str">
        <f>IF(AK287&lt;&gt;1,"",DATA_INPUT!I287)</f>
        <v/>
      </c>
      <c r="AA287" s="18" t="str">
        <f>IF(AK287&lt;&gt;1,"",Z287*CONTROL_PANEL!$B$5)</f>
        <v/>
      </c>
      <c r="AB287" s="18" t="str">
        <f>IF(AK287&lt;&gt;1,"",DATA_INPUT!$C287)</f>
        <v/>
      </c>
      <c r="AC287" s="18" t="str">
        <f t="shared" si="190"/>
        <v/>
      </c>
      <c r="AD287" s="18" t="str">
        <f>IF(AK287&lt;&gt;1,"",DATA_INPUT!$H287)</f>
        <v/>
      </c>
      <c r="AE287" s="18" t="str">
        <f t="shared" si="191"/>
        <v/>
      </c>
      <c r="AF287" s="18" t="str">
        <f>IF(AK287&lt;&gt;1,"",AA287*CONTROL_PANEL!$B$14)</f>
        <v/>
      </c>
      <c r="AG287" s="18" t="str">
        <f>IF(AK287&lt;&gt;1,"",DATA_INPUT!$L287)</f>
        <v/>
      </c>
      <c r="AH287" s="18" t="str">
        <f t="shared" si="192"/>
        <v/>
      </c>
      <c r="AI287" s="18" t="str">
        <f>IF(AK287&lt;&gt;1,"",IF(AH287-CONTROL_PANEL!$B$11&lt;0,0,AH287-CONTROL_PANEL!$B$11))</f>
        <v/>
      </c>
      <c r="AJ287" s="18" t="str">
        <f>IF(AK287&lt;&gt;1,"",IF(AG287&lt;=0,0,MIN(AG287,MAX(0,CONTROL_PANEL!$B$13-AH287))))</f>
        <v/>
      </c>
      <c r="AK287" s="18"/>
      <c r="AM287" s="19">
        <f t="shared" si="217"/>
        <v>2039</v>
      </c>
      <c r="AN287" s="19">
        <f t="shared" si="182"/>
        <v>4</v>
      </c>
      <c r="AO287" s="18" t="str">
        <f t="shared" si="193"/>
        <v/>
      </c>
      <c r="AP287" s="18" t="str">
        <f t="shared" si="212"/>
        <v/>
      </c>
      <c r="AQ287" s="18" t="str">
        <f>IF(BD286&lt;&gt;1,"",IF(BA286&gt;0,IF(BA286&gt;CONTROL_PANEL!$B$11,CONTROL_PANEL!$B$11,BA286),0))</f>
        <v/>
      </c>
      <c r="AR287" s="18" t="str">
        <f t="shared" si="207"/>
        <v/>
      </c>
      <c r="AS287" s="18" t="str">
        <f>IF(BD287&lt;&gt;1,"",DATA_INPUT!$I287)</f>
        <v/>
      </c>
      <c r="AT287" s="18" t="str">
        <f>IF(BD287&lt;&gt;1,"",AS287*CONTROL_PANEL!$B$5)</f>
        <v/>
      </c>
      <c r="AU287" s="18" t="str">
        <f>IF(BD287&lt;&gt;1,"",DATA_INPUT!$C287)</f>
        <v/>
      </c>
      <c r="AV287" s="18" t="str">
        <f t="shared" si="194"/>
        <v/>
      </c>
      <c r="AW287" s="18" t="str">
        <f>IF(BD287&lt;&gt;1,"",DATA_INPUT!$H287)</f>
        <v/>
      </c>
      <c r="AX287" s="18" t="str">
        <f t="shared" si="195"/>
        <v/>
      </c>
      <c r="AY287" s="18" t="str">
        <f>IF(BD287&lt;&gt;1,"",AT287*CONTROL_PANEL!$B$14)</f>
        <v/>
      </c>
      <c r="AZ287" s="18" t="str">
        <f>IF(BD287&lt;&gt;1,"",DATA_INPUT!$M287)</f>
        <v/>
      </c>
      <c r="BA287" s="18" t="str">
        <f t="shared" si="196"/>
        <v/>
      </c>
      <c r="BB287" s="18" t="str">
        <f>IF(BD287&lt;&gt;1,"",IF(BA287-CONTROL_PANEL!$B$11&lt;0,0,BA287-CONTROL_PANEL!$B$11))</f>
        <v/>
      </c>
      <c r="BC287" s="18" t="str">
        <f>IF(BD287&lt;&gt;1,"",IF(AZ287&lt;=0,0,MIN(AZ287,MAX(0,CONTROL_PANEL!$B$13-BA287))))</f>
        <v/>
      </c>
      <c r="BD287" s="18"/>
      <c r="BF287" s="19">
        <f t="shared" si="218"/>
        <v>2039</v>
      </c>
      <c r="BG287" s="19">
        <f t="shared" si="183"/>
        <v>4</v>
      </c>
      <c r="BH287" s="18" t="str">
        <f t="shared" si="197"/>
        <v/>
      </c>
      <c r="BI287" s="18" t="str">
        <f t="shared" si="213"/>
        <v/>
      </c>
      <c r="BJ287" s="18" t="str">
        <f>IF(BW286&lt;&gt;1,"",IF(BT286&gt;0,IF(BT286&gt;CONTROL_PANEL!$B$11,CONTROL_PANEL!$B$11,BT286),0))</f>
        <v/>
      </c>
      <c r="BK287" s="18" t="str">
        <f t="shared" si="208"/>
        <v/>
      </c>
      <c r="BL287" s="18" t="str">
        <f>IF(BW287&lt;&gt;1,"",DATA_INPUT!$I287)</f>
        <v/>
      </c>
      <c r="BM287" s="18" t="str">
        <f>IF(BW287&lt;&gt;1,"",BL287*CONTROL_PANEL!$B$5)</f>
        <v/>
      </c>
      <c r="BN287" s="18" t="str">
        <f>IF(BW287&lt;&gt;1,"",DATA_INPUT!$C287)</f>
        <v/>
      </c>
      <c r="BO287" s="18" t="str">
        <f t="shared" si="198"/>
        <v/>
      </c>
      <c r="BP287" s="18" t="str">
        <f>IF(BW287&lt;&gt;1,"",DATA_INPUT!$H287)</f>
        <v/>
      </c>
      <c r="BQ287" s="18" t="str">
        <f t="shared" si="199"/>
        <v/>
      </c>
      <c r="BR287" s="18" t="str">
        <f>IF(BW287&lt;&gt;1,"",BM287*CONTROL_PANEL!$B$14)</f>
        <v/>
      </c>
      <c r="BS287" s="18" t="str">
        <f>IF(BW287&lt;&gt;1,"",DATA_INPUT!$N287)</f>
        <v/>
      </c>
      <c r="BT287" s="18" t="str">
        <f t="shared" si="200"/>
        <v/>
      </c>
      <c r="BU287" s="18" t="str">
        <f>IF(BW287&lt;&gt;1,"",IF(BT287-CONTROL_PANEL!$B$11&lt;0,0,BT287-CONTROL_PANEL!$B$11))</f>
        <v/>
      </c>
      <c r="BV287" s="18" t="str">
        <f>IF(BW287&lt;&gt;1,"",IF(BS287&lt;=0,0,MIN(BS287,MAX(0,CONTROL_PANEL!$B$13-BT287))))</f>
        <v/>
      </c>
      <c r="BW287" s="18"/>
      <c r="BY287" s="19">
        <f t="shared" si="219"/>
        <v>2039</v>
      </c>
      <c r="BZ287" s="19">
        <f t="shared" si="184"/>
        <v>4</v>
      </c>
      <c r="CA287" s="18" t="str">
        <f t="shared" si="201"/>
        <v/>
      </c>
      <c r="CB287" s="18" t="str">
        <f t="shared" si="214"/>
        <v/>
      </c>
      <c r="CC287" s="18" t="str">
        <f>IF(CP286&lt;&gt;1,"",IF(CM286&gt;0,IF(CM286&gt;CONTROL_PANEL!$B$11,CONTROL_PANEL!$B$11,CM286),0))</f>
        <v/>
      </c>
      <c r="CD287" s="18" t="str">
        <f t="shared" si="209"/>
        <v/>
      </c>
      <c r="CE287" s="18" t="str">
        <f>IF(CP287&lt;&gt;1,"",DATA_INPUT!$I287)</f>
        <v/>
      </c>
      <c r="CF287" s="18" t="str">
        <f>IF(CP287&lt;&gt;1,"",CE287*CONTROL_PANEL!$B$5)</f>
        <v/>
      </c>
      <c r="CG287" s="18" t="str">
        <f>IF(CP287&lt;&gt;1,"",DATA_INPUT!$C287)</f>
        <v/>
      </c>
      <c r="CH287" s="18" t="str">
        <f t="shared" si="202"/>
        <v/>
      </c>
      <c r="CI287" s="18" t="str">
        <f>IF(CP287&lt;&gt;1,"",DATA_INPUT!$H287)</f>
        <v/>
      </c>
      <c r="CJ287" s="18" t="str">
        <f t="shared" si="203"/>
        <v/>
      </c>
      <c r="CK287" s="18" t="str">
        <f>IF(CP287&lt;&gt;1,"",CF287*CONTROL_PANEL!$B$14)</f>
        <v/>
      </c>
      <c r="CL287" s="18" t="str">
        <f>IF(CP287&lt;&gt;1,"",DATA_INPUT!$O287)</f>
        <v/>
      </c>
      <c r="CM287" s="18" t="str">
        <f t="shared" si="204"/>
        <v/>
      </c>
      <c r="CN287" s="18" t="str">
        <f>IF(CP287&lt;&gt;1,"",IF(CM287-CONTROL_PANEL!$B$11&lt;0,0,CM287-CONTROL_PANEL!$B$11))</f>
        <v/>
      </c>
      <c r="CO287" s="18" t="str">
        <f>IF(CP287&lt;&gt;1,"",IF(CL287&lt;=0,0,MIN(CL287,MAX(0,CONTROL_PANEL!$B$13-CM287))))</f>
        <v/>
      </c>
      <c r="CP287" s="18"/>
    </row>
    <row r="288" spans="1:94" x14ac:dyDescent="0.25">
      <c r="A288" s="19">
        <f t="shared" si="215"/>
        <v>2039</v>
      </c>
      <c r="B288" s="19">
        <f t="shared" si="180"/>
        <v>5</v>
      </c>
      <c r="C288" s="18" t="str">
        <f t="shared" si="185"/>
        <v/>
      </c>
      <c r="D288" s="18" t="str">
        <f t="shared" si="210"/>
        <v/>
      </c>
      <c r="E288" s="18" t="str">
        <f>IF(R287&lt;&gt;1,"",IF(O287&gt;0,IF(O287&gt;CONTROL_PANEL!$B$11,CONTROL_PANEL!$B$11,O287),0))</f>
        <v/>
      </c>
      <c r="F288" s="18" t="str">
        <f t="shared" si="205"/>
        <v/>
      </c>
      <c r="G288" s="18" t="str">
        <f>IF(R288&lt;&gt;1,"",DATA_INPUT!I288)</f>
        <v/>
      </c>
      <c r="H288" s="18" t="str">
        <f>IF(R288&lt;&gt;1,"",G288*CONTROL_PANEL!$B$5)</f>
        <v/>
      </c>
      <c r="I288" s="18" t="str">
        <f>IF(R288&lt;&gt;1,"",DATA_INPUT!C288)</f>
        <v/>
      </c>
      <c r="J288" s="18" t="str">
        <f t="shared" si="186"/>
        <v/>
      </c>
      <c r="K288" s="18" t="str">
        <f>IF(R288&lt;&gt;1,"",DATA_INPUT!H288)</f>
        <v/>
      </c>
      <c r="L288" s="18" t="str">
        <f t="shared" si="187"/>
        <v/>
      </c>
      <c r="M288" s="18" t="str">
        <f>IF(R288&lt;&gt;1,"",H288*CONTROL_PANEL!$B$14)</f>
        <v/>
      </c>
      <c r="N288" s="18" t="str">
        <f>IF(R288&lt;&gt;1,"",DATA_INPUT!K288)</f>
        <v/>
      </c>
      <c r="O288" s="18" t="str">
        <f t="shared" si="188"/>
        <v/>
      </c>
      <c r="P288" s="18" t="str">
        <f>IF(R288&lt;&gt;1,"",IF(O288-CONTROL_PANEL!$B$11&lt;0,0,O288-CONTROL_PANEL!$B$11))</f>
        <v/>
      </c>
      <c r="Q288" s="18" t="str">
        <f>IF(R288&lt;&gt;1,"",IF(N288&lt;=0,0,MIN(N288,MAX(0,CONTROL_PANEL!$B$13-O288))))</f>
        <v/>
      </c>
      <c r="R288" s="18"/>
      <c r="T288" s="19">
        <f t="shared" si="216"/>
        <v>2039</v>
      </c>
      <c r="U288" s="19">
        <f t="shared" si="181"/>
        <v>5</v>
      </c>
      <c r="V288" s="18" t="str">
        <f t="shared" si="189"/>
        <v/>
      </c>
      <c r="W288" s="18" t="str">
        <f t="shared" si="211"/>
        <v/>
      </c>
      <c r="X288" s="18" t="str">
        <f>IF(AK287&lt;&gt;1,"",IF(AH287&gt;0,IF(AH287&gt;CONTROL_PANEL!$B$11,CONTROL_PANEL!$B$11,AH287),0))</f>
        <v/>
      </c>
      <c r="Y288" s="18" t="str">
        <f t="shared" si="206"/>
        <v/>
      </c>
      <c r="Z288" s="18" t="str">
        <f>IF(AK288&lt;&gt;1,"",DATA_INPUT!I288)</f>
        <v/>
      </c>
      <c r="AA288" s="18" t="str">
        <f>IF(AK288&lt;&gt;1,"",Z288*CONTROL_PANEL!$B$5)</f>
        <v/>
      </c>
      <c r="AB288" s="18" t="str">
        <f>IF(AK288&lt;&gt;1,"",DATA_INPUT!$C288)</f>
        <v/>
      </c>
      <c r="AC288" s="18" t="str">
        <f t="shared" si="190"/>
        <v/>
      </c>
      <c r="AD288" s="18" t="str">
        <f>IF(AK288&lt;&gt;1,"",DATA_INPUT!$H288)</f>
        <v/>
      </c>
      <c r="AE288" s="18" t="str">
        <f t="shared" si="191"/>
        <v/>
      </c>
      <c r="AF288" s="18" t="str">
        <f>IF(AK288&lt;&gt;1,"",AA288*CONTROL_PANEL!$B$14)</f>
        <v/>
      </c>
      <c r="AG288" s="18" t="str">
        <f>IF(AK288&lt;&gt;1,"",DATA_INPUT!$L288)</f>
        <v/>
      </c>
      <c r="AH288" s="18" t="str">
        <f t="shared" si="192"/>
        <v/>
      </c>
      <c r="AI288" s="18" t="str">
        <f>IF(AK288&lt;&gt;1,"",IF(AH288-CONTROL_PANEL!$B$11&lt;0,0,AH288-CONTROL_PANEL!$B$11))</f>
        <v/>
      </c>
      <c r="AJ288" s="18" t="str">
        <f>IF(AK288&lt;&gt;1,"",IF(AG288&lt;=0,0,MIN(AG288,MAX(0,CONTROL_PANEL!$B$13-AH288))))</f>
        <v/>
      </c>
      <c r="AK288" s="18"/>
      <c r="AM288" s="19">
        <f t="shared" si="217"/>
        <v>2039</v>
      </c>
      <c r="AN288" s="19">
        <f t="shared" si="182"/>
        <v>5</v>
      </c>
      <c r="AO288" s="18" t="str">
        <f t="shared" si="193"/>
        <v/>
      </c>
      <c r="AP288" s="18" t="str">
        <f t="shared" si="212"/>
        <v/>
      </c>
      <c r="AQ288" s="18" t="str">
        <f>IF(BD287&lt;&gt;1,"",IF(BA287&gt;0,IF(BA287&gt;CONTROL_PANEL!$B$11,CONTROL_PANEL!$B$11,BA287),0))</f>
        <v/>
      </c>
      <c r="AR288" s="18" t="str">
        <f t="shared" si="207"/>
        <v/>
      </c>
      <c r="AS288" s="18" t="str">
        <f>IF(BD288&lt;&gt;1,"",DATA_INPUT!$I288)</f>
        <v/>
      </c>
      <c r="AT288" s="18" t="str">
        <f>IF(BD288&lt;&gt;1,"",AS288*CONTROL_PANEL!$B$5)</f>
        <v/>
      </c>
      <c r="AU288" s="18" t="str">
        <f>IF(BD288&lt;&gt;1,"",DATA_INPUT!$C288)</f>
        <v/>
      </c>
      <c r="AV288" s="18" t="str">
        <f t="shared" si="194"/>
        <v/>
      </c>
      <c r="AW288" s="18" t="str">
        <f>IF(BD288&lt;&gt;1,"",DATA_INPUT!$H288)</f>
        <v/>
      </c>
      <c r="AX288" s="18" t="str">
        <f t="shared" si="195"/>
        <v/>
      </c>
      <c r="AY288" s="18" t="str">
        <f>IF(BD288&lt;&gt;1,"",AT288*CONTROL_PANEL!$B$14)</f>
        <v/>
      </c>
      <c r="AZ288" s="18" t="str">
        <f>IF(BD288&lt;&gt;1,"",DATA_INPUT!$M288)</f>
        <v/>
      </c>
      <c r="BA288" s="18" t="str">
        <f t="shared" si="196"/>
        <v/>
      </c>
      <c r="BB288" s="18" t="str">
        <f>IF(BD288&lt;&gt;1,"",IF(BA288-CONTROL_PANEL!$B$11&lt;0,0,BA288-CONTROL_PANEL!$B$11))</f>
        <v/>
      </c>
      <c r="BC288" s="18" t="str">
        <f>IF(BD288&lt;&gt;1,"",IF(AZ288&lt;=0,0,MIN(AZ288,MAX(0,CONTROL_PANEL!$B$13-BA288))))</f>
        <v/>
      </c>
      <c r="BD288" s="18"/>
      <c r="BF288" s="19">
        <f t="shared" si="218"/>
        <v>2039</v>
      </c>
      <c r="BG288" s="19">
        <f t="shared" si="183"/>
        <v>5</v>
      </c>
      <c r="BH288" s="18" t="str">
        <f t="shared" si="197"/>
        <v/>
      </c>
      <c r="BI288" s="18" t="str">
        <f t="shared" si="213"/>
        <v/>
      </c>
      <c r="BJ288" s="18" t="str">
        <f>IF(BW287&lt;&gt;1,"",IF(BT287&gt;0,IF(BT287&gt;CONTROL_PANEL!$B$11,CONTROL_PANEL!$B$11,BT287),0))</f>
        <v/>
      </c>
      <c r="BK288" s="18" t="str">
        <f t="shared" si="208"/>
        <v/>
      </c>
      <c r="BL288" s="18" t="str">
        <f>IF(BW288&lt;&gt;1,"",DATA_INPUT!$I288)</f>
        <v/>
      </c>
      <c r="BM288" s="18" t="str">
        <f>IF(BW288&lt;&gt;1,"",BL288*CONTROL_PANEL!$B$5)</f>
        <v/>
      </c>
      <c r="BN288" s="18" t="str">
        <f>IF(BW288&lt;&gt;1,"",DATA_INPUT!$C288)</f>
        <v/>
      </c>
      <c r="BO288" s="18" t="str">
        <f t="shared" si="198"/>
        <v/>
      </c>
      <c r="BP288" s="18" t="str">
        <f>IF(BW288&lt;&gt;1,"",DATA_INPUT!$H288)</f>
        <v/>
      </c>
      <c r="BQ288" s="18" t="str">
        <f t="shared" si="199"/>
        <v/>
      </c>
      <c r="BR288" s="18" t="str">
        <f>IF(BW288&lt;&gt;1,"",BM288*CONTROL_PANEL!$B$14)</f>
        <v/>
      </c>
      <c r="BS288" s="18" t="str">
        <f>IF(BW288&lt;&gt;1,"",DATA_INPUT!$N288)</f>
        <v/>
      </c>
      <c r="BT288" s="18" t="str">
        <f t="shared" si="200"/>
        <v/>
      </c>
      <c r="BU288" s="18" t="str">
        <f>IF(BW288&lt;&gt;1,"",IF(BT288-CONTROL_PANEL!$B$11&lt;0,0,BT288-CONTROL_PANEL!$B$11))</f>
        <v/>
      </c>
      <c r="BV288" s="18" t="str">
        <f>IF(BW288&lt;&gt;1,"",IF(BS288&lt;=0,0,MIN(BS288,MAX(0,CONTROL_PANEL!$B$13-BT288))))</f>
        <v/>
      </c>
      <c r="BW288" s="18"/>
      <c r="BY288" s="19">
        <f t="shared" si="219"/>
        <v>2039</v>
      </c>
      <c r="BZ288" s="19">
        <f t="shared" si="184"/>
        <v>5</v>
      </c>
      <c r="CA288" s="18" t="str">
        <f t="shared" si="201"/>
        <v/>
      </c>
      <c r="CB288" s="18" t="str">
        <f t="shared" si="214"/>
        <v/>
      </c>
      <c r="CC288" s="18" t="str">
        <f>IF(CP287&lt;&gt;1,"",IF(CM287&gt;0,IF(CM287&gt;CONTROL_PANEL!$B$11,CONTROL_PANEL!$B$11,CM287),0))</f>
        <v/>
      </c>
      <c r="CD288" s="18" t="str">
        <f t="shared" si="209"/>
        <v/>
      </c>
      <c r="CE288" s="18" t="str">
        <f>IF(CP288&lt;&gt;1,"",DATA_INPUT!$I288)</f>
        <v/>
      </c>
      <c r="CF288" s="18" t="str">
        <f>IF(CP288&lt;&gt;1,"",CE288*CONTROL_PANEL!$B$5)</f>
        <v/>
      </c>
      <c r="CG288" s="18" t="str">
        <f>IF(CP288&lt;&gt;1,"",DATA_INPUT!$C288)</f>
        <v/>
      </c>
      <c r="CH288" s="18" t="str">
        <f t="shared" si="202"/>
        <v/>
      </c>
      <c r="CI288" s="18" t="str">
        <f>IF(CP288&lt;&gt;1,"",DATA_INPUT!$H288)</f>
        <v/>
      </c>
      <c r="CJ288" s="18" t="str">
        <f t="shared" si="203"/>
        <v/>
      </c>
      <c r="CK288" s="18" t="str">
        <f>IF(CP288&lt;&gt;1,"",CF288*CONTROL_PANEL!$B$14)</f>
        <v/>
      </c>
      <c r="CL288" s="18" t="str">
        <f>IF(CP288&lt;&gt;1,"",DATA_INPUT!$O288)</f>
        <v/>
      </c>
      <c r="CM288" s="18" t="str">
        <f t="shared" si="204"/>
        <v/>
      </c>
      <c r="CN288" s="18" t="str">
        <f>IF(CP288&lt;&gt;1,"",IF(CM288-CONTROL_PANEL!$B$11&lt;0,0,CM288-CONTROL_PANEL!$B$11))</f>
        <v/>
      </c>
      <c r="CO288" s="18" t="str">
        <f>IF(CP288&lt;&gt;1,"",IF(CL288&lt;=0,0,MIN(CL288,MAX(0,CONTROL_PANEL!$B$13-CM288))))</f>
        <v/>
      </c>
      <c r="CP288" s="18"/>
    </row>
    <row r="289" spans="1:94" x14ac:dyDescent="0.25">
      <c r="A289" s="19">
        <f t="shared" si="215"/>
        <v>2039</v>
      </c>
      <c r="B289" s="19">
        <f t="shared" si="180"/>
        <v>6</v>
      </c>
      <c r="C289" s="18" t="str">
        <f t="shared" si="185"/>
        <v/>
      </c>
      <c r="D289" s="18" t="str">
        <f t="shared" si="210"/>
        <v/>
      </c>
      <c r="E289" s="18" t="str">
        <f>IF(R288&lt;&gt;1,"",IF(O288&gt;0,IF(O288&gt;CONTROL_PANEL!$B$11,CONTROL_PANEL!$B$11,O288),0))</f>
        <v/>
      </c>
      <c r="F289" s="18" t="str">
        <f t="shared" si="205"/>
        <v/>
      </c>
      <c r="G289" s="18" t="str">
        <f>IF(R289&lt;&gt;1,"",DATA_INPUT!I289)</f>
        <v/>
      </c>
      <c r="H289" s="18" t="str">
        <f>IF(R289&lt;&gt;1,"",G289*CONTROL_PANEL!$B$5)</f>
        <v/>
      </c>
      <c r="I289" s="18" t="str">
        <f>IF(R289&lt;&gt;1,"",DATA_INPUT!C289)</f>
        <v/>
      </c>
      <c r="J289" s="18" t="str">
        <f t="shared" si="186"/>
        <v/>
      </c>
      <c r="K289" s="18" t="str">
        <f>IF(R289&lt;&gt;1,"",DATA_INPUT!H289)</f>
        <v/>
      </c>
      <c r="L289" s="18" t="str">
        <f t="shared" si="187"/>
        <v/>
      </c>
      <c r="M289" s="18" t="str">
        <f>IF(R289&lt;&gt;1,"",H289*CONTROL_PANEL!$B$14)</f>
        <v/>
      </c>
      <c r="N289" s="18" t="str">
        <f>IF(R289&lt;&gt;1,"",DATA_INPUT!K289)</f>
        <v/>
      </c>
      <c r="O289" s="18" t="str">
        <f t="shared" si="188"/>
        <v/>
      </c>
      <c r="P289" s="18" t="str">
        <f>IF(R289&lt;&gt;1,"",IF(O289-CONTROL_PANEL!$B$11&lt;0,0,O289-CONTROL_PANEL!$B$11))</f>
        <v/>
      </c>
      <c r="Q289" s="18" t="str">
        <f>IF(R289&lt;&gt;1,"",IF(N289&lt;=0,0,MIN(N289,MAX(0,CONTROL_PANEL!$B$13-O289))))</f>
        <v/>
      </c>
      <c r="R289" s="18"/>
      <c r="T289" s="19">
        <f t="shared" si="216"/>
        <v>2039</v>
      </c>
      <c r="U289" s="19">
        <f t="shared" si="181"/>
        <v>6</v>
      </c>
      <c r="V289" s="18" t="str">
        <f t="shared" si="189"/>
        <v/>
      </c>
      <c r="W289" s="18" t="str">
        <f t="shared" si="211"/>
        <v/>
      </c>
      <c r="X289" s="18" t="str">
        <f>IF(AK288&lt;&gt;1,"",IF(AH288&gt;0,IF(AH288&gt;CONTROL_PANEL!$B$11,CONTROL_PANEL!$B$11,AH288),0))</f>
        <v/>
      </c>
      <c r="Y289" s="18" t="str">
        <f t="shared" si="206"/>
        <v/>
      </c>
      <c r="Z289" s="18" t="str">
        <f>IF(AK289&lt;&gt;1,"",DATA_INPUT!I289)</f>
        <v/>
      </c>
      <c r="AA289" s="18" t="str">
        <f>IF(AK289&lt;&gt;1,"",Z289*CONTROL_PANEL!$B$5)</f>
        <v/>
      </c>
      <c r="AB289" s="18" t="str">
        <f>IF(AK289&lt;&gt;1,"",DATA_INPUT!$C289)</f>
        <v/>
      </c>
      <c r="AC289" s="18" t="str">
        <f t="shared" si="190"/>
        <v/>
      </c>
      <c r="AD289" s="18" t="str">
        <f>IF(AK289&lt;&gt;1,"",DATA_INPUT!$H289)</f>
        <v/>
      </c>
      <c r="AE289" s="18" t="str">
        <f t="shared" si="191"/>
        <v/>
      </c>
      <c r="AF289" s="18" t="str">
        <f>IF(AK289&lt;&gt;1,"",AA289*CONTROL_PANEL!$B$14)</f>
        <v/>
      </c>
      <c r="AG289" s="18" t="str">
        <f>IF(AK289&lt;&gt;1,"",DATA_INPUT!$L289)</f>
        <v/>
      </c>
      <c r="AH289" s="18" t="str">
        <f t="shared" si="192"/>
        <v/>
      </c>
      <c r="AI289" s="18" t="str">
        <f>IF(AK289&lt;&gt;1,"",IF(AH289-CONTROL_PANEL!$B$11&lt;0,0,AH289-CONTROL_PANEL!$B$11))</f>
        <v/>
      </c>
      <c r="AJ289" s="18" t="str">
        <f>IF(AK289&lt;&gt;1,"",IF(AG289&lt;=0,0,MIN(AG289,MAX(0,CONTROL_PANEL!$B$13-AH289))))</f>
        <v/>
      </c>
      <c r="AK289" s="18"/>
      <c r="AM289" s="19">
        <f t="shared" si="217"/>
        <v>2039</v>
      </c>
      <c r="AN289" s="19">
        <f t="shared" si="182"/>
        <v>6</v>
      </c>
      <c r="AO289" s="18" t="str">
        <f t="shared" si="193"/>
        <v/>
      </c>
      <c r="AP289" s="18" t="str">
        <f t="shared" si="212"/>
        <v/>
      </c>
      <c r="AQ289" s="18" t="str">
        <f>IF(BD288&lt;&gt;1,"",IF(BA288&gt;0,IF(BA288&gt;CONTROL_PANEL!$B$11,CONTROL_PANEL!$B$11,BA288),0))</f>
        <v/>
      </c>
      <c r="AR289" s="18" t="str">
        <f t="shared" si="207"/>
        <v/>
      </c>
      <c r="AS289" s="18" t="str">
        <f>IF(BD289&lt;&gt;1,"",DATA_INPUT!$I289)</f>
        <v/>
      </c>
      <c r="AT289" s="18" t="str">
        <f>IF(BD289&lt;&gt;1,"",AS289*CONTROL_PANEL!$B$5)</f>
        <v/>
      </c>
      <c r="AU289" s="18" t="str">
        <f>IF(BD289&lt;&gt;1,"",DATA_INPUT!$C289)</f>
        <v/>
      </c>
      <c r="AV289" s="18" t="str">
        <f t="shared" si="194"/>
        <v/>
      </c>
      <c r="AW289" s="18" t="str">
        <f>IF(BD289&lt;&gt;1,"",DATA_INPUT!$H289)</f>
        <v/>
      </c>
      <c r="AX289" s="18" t="str">
        <f t="shared" si="195"/>
        <v/>
      </c>
      <c r="AY289" s="18" t="str">
        <f>IF(BD289&lt;&gt;1,"",AT289*CONTROL_PANEL!$B$14)</f>
        <v/>
      </c>
      <c r="AZ289" s="18" t="str">
        <f>IF(BD289&lt;&gt;1,"",DATA_INPUT!$M289)</f>
        <v/>
      </c>
      <c r="BA289" s="18" t="str">
        <f t="shared" si="196"/>
        <v/>
      </c>
      <c r="BB289" s="18" t="str">
        <f>IF(BD289&lt;&gt;1,"",IF(BA289-CONTROL_PANEL!$B$11&lt;0,0,BA289-CONTROL_PANEL!$B$11))</f>
        <v/>
      </c>
      <c r="BC289" s="18" t="str">
        <f>IF(BD289&lt;&gt;1,"",IF(AZ289&lt;=0,0,MIN(AZ289,MAX(0,CONTROL_PANEL!$B$13-BA289))))</f>
        <v/>
      </c>
      <c r="BD289" s="18"/>
      <c r="BF289" s="19">
        <f t="shared" si="218"/>
        <v>2039</v>
      </c>
      <c r="BG289" s="19">
        <f t="shared" si="183"/>
        <v>6</v>
      </c>
      <c r="BH289" s="18" t="str">
        <f t="shared" si="197"/>
        <v/>
      </c>
      <c r="BI289" s="18" t="str">
        <f t="shared" si="213"/>
        <v/>
      </c>
      <c r="BJ289" s="18" t="str">
        <f>IF(BW288&lt;&gt;1,"",IF(BT288&gt;0,IF(BT288&gt;CONTROL_PANEL!$B$11,CONTROL_PANEL!$B$11,BT288),0))</f>
        <v/>
      </c>
      <c r="BK289" s="18" t="str">
        <f t="shared" si="208"/>
        <v/>
      </c>
      <c r="BL289" s="18" t="str">
        <f>IF(BW289&lt;&gt;1,"",DATA_INPUT!$I289)</f>
        <v/>
      </c>
      <c r="BM289" s="18" t="str">
        <f>IF(BW289&lt;&gt;1,"",BL289*CONTROL_PANEL!$B$5)</f>
        <v/>
      </c>
      <c r="BN289" s="18" t="str">
        <f>IF(BW289&lt;&gt;1,"",DATA_INPUT!$C289)</f>
        <v/>
      </c>
      <c r="BO289" s="18" t="str">
        <f t="shared" si="198"/>
        <v/>
      </c>
      <c r="BP289" s="18" t="str">
        <f>IF(BW289&lt;&gt;1,"",DATA_INPUT!$H289)</f>
        <v/>
      </c>
      <c r="BQ289" s="18" t="str">
        <f t="shared" si="199"/>
        <v/>
      </c>
      <c r="BR289" s="18" t="str">
        <f>IF(BW289&lt;&gt;1,"",BM289*CONTROL_PANEL!$B$14)</f>
        <v/>
      </c>
      <c r="BS289" s="18" t="str">
        <f>IF(BW289&lt;&gt;1,"",DATA_INPUT!$N289)</f>
        <v/>
      </c>
      <c r="BT289" s="18" t="str">
        <f t="shared" si="200"/>
        <v/>
      </c>
      <c r="BU289" s="18" t="str">
        <f>IF(BW289&lt;&gt;1,"",IF(BT289-CONTROL_PANEL!$B$11&lt;0,0,BT289-CONTROL_PANEL!$B$11))</f>
        <v/>
      </c>
      <c r="BV289" s="18" t="str">
        <f>IF(BW289&lt;&gt;1,"",IF(BS289&lt;=0,0,MIN(BS289,MAX(0,CONTROL_PANEL!$B$13-BT289))))</f>
        <v/>
      </c>
      <c r="BW289" s="18"/>
      <c r="BY289" s="19">
        <f t="shared" si="219"/>
        <v>2039</v>
      </c>
      <c r="BZ289" s="19">
        <f t="shared" si="184"/>
        <v>6</v>
      </c>
      <c r="CA289" s="18" t="str">
        <f t="shared" si="201"/>
        <v/>
      </c>
      <c r="CB289" s="18" t="str">
        <f t="shared" si="214"/>
        <v/>
      </c>
      <c r="CC289" s="18" t="str">
        <f>IF(CP288&lt;&gt;1,"",IF(CM288&gt;0,IF(CM288&gt;CONTROL_PANEL!$B$11,CONTROL_PANEL!$B$11,CM288),0))</f>
        <v/>
      </c>
      <c r="CD289" s="18" t="str">
        <f t="shared" si="209"/>
        <v/>
      </c>
      <c r="CE289" s="18" t="str">
        <f>IF(CP289&lt;&gt;1,"",DATA_INPUT!$I289)</f>
        <v/>
      </c>
      <c r="CF289" s="18" t="str">
        <f>IF(CP289&lt;&gt;1,"",CE289*CONTROL_PANEL!$B$5)</f>
        <v/>
      </c>
      <c r="CG289" s="18" t="str">
        <f>IF(CP289&lt;&gt;1,"",DATA_INPUT!$C289)</f>
        <v/>
      </c>
      <c r="CH289" s="18" t="str">
        <f t="shared" si="202"/>
        <v/>
      </c>
      <c r="CI289" s="18" t="str">
        <f>IF(CP289&lt;&gt;1,"",DATA_INPUT!$H289)</f>
        <v/>
      </c>
      <c r="CJ289" s="18" t="str">
        <f t="shared" si="203"/>
        <v/>
      </c>
      <c r="CK289" s="18" t="str">
        <f>IF(CP289&lt;&gt;1,"",CF289*CONTROL_PANEL!$B$14)</f>
        <v/>
      </c>
      <c r="CL289" s="18" t="str">
        <f>IF(CP289&lt;&gt;1,"",DATA_INPUT!$O289)</f>
        <v/>
      </c>
      <c r="CM289" s="18" t="str">
        <f t="shared" si="204"/>
        <v/>
      </c>
      <c r="CN289" s="18" t="str">
        <f>IF(CP289&lt;&gt;1,"",IF(CM289-CONTROL_PANEL!$B$11&lt;0,0,CM289-CONTROL_PANEL!$B$11))</f>
        <v/>
      </c>
      <c r="CO289" s="18" t="str">
        <f>IF(CP289&lt;&gt;1,"",IF(CL289&lt;=0,0,MIN(CL289,MAX(0,CONTROL_PANEL!$B$13-CM289))))</f>
        <v/>
      </c>
      <c r="CP289" s="18"/>
    </row>
    <row r="290" spans="1:94" x14ac:dyDescent="0.25">
      <c r="A290" s="19">
        <f t="shared" si="215"/>
        <v>2039</v>
      </c>
      <c r="B290" s="19">
        <f t="shared" si="180"/>
        <v>7</v>
      </c>
      <c r="C290" s="18" t="str">
        <f t="shared" si="185"/>
        <v/>
      </c>
      <c r="D290" s="18" t="str">
        <f t="shared" si="210"/>
        <v/>
      </c>
      <c r="E290" s="18" t="str">
        <f>IF(R289&lt;&gt;1,"",IF(O289&gt;0,IF(O289&gt;CONTROL_PANEL!$B$11,CONTROL_PANEL!$B$11,O289),0))</f>
        <v/>
      </c>
      <c r="F290" s="18" t="str">
        <f t="shared" si="205"/>
        <v/>
      </c>
      <c r="G290" s="18" t="str">
        <f>IF(R290&lt;&gt;1,"",DATA_INPUT!I290)</f>
        <v/>
      </c>
      <c r="H290" s="18" t="str">
        <f>IF(R290&lt;&gt;1,"",G290*CONTROL_PANEL!$B$5)</f>
        <v/>
      </c>
      <c r="I290" s="18" t="str">
        <f>IF(R290&lt;&gt;1,"",DATA_INPUT!C290)</f>
        <v/>
      </c>
      <c r="J290" s="18" t="str">
        <f t="shared" si="186"/>
        <v/>
      </c>
      <c r="K290" s="18" t="str">
        <f>IF(R290&lt;&gt;1,"",DATA_INPUT!H290)</f>
        <v/>
      </c>
      <c r="L290" s="18" t="str">
        <f t="shared" si="187"/>
        <v/>
      </c>
      <c r="M290" s="18" t="str">
        <f>IF(R290&lt;&gt;1,"",H290*CONTROL_PANEL!$B$14)</f>
        <v/>
      </c>
      <c r="N290" s="18" t="str">
        <f>IF(R290&lt;&gt;1,"",DATA_INPUT!K290)</f>
        <v/>
      </c>
      <c r="O290" s="18" t="str">
        <f t="shared" si="188"/>
        <v/>
      </c>
      <c r="P290" s="18" t="str">
        <f>IF(R290&lt;&gt;1,"",IF(O290-CONTROL_PANEL!$B$11&lt;0,0,O290-CONTROL_PANEL!$B$11))</f>
        <v/>
      </c>
      <c r="Q290" s="18" t="str">
        <f>IF(R290&lt;&gt;1,"",IF(N290&lt;=0,0,MIN(N290,MAX(0,CONTROL_PANEL!$B$13-O290))))</f>
        <v/>
      </c>
      <c r="R290" s="18"/>
      <c r="T290" s="19">
        <f t="shared" si="216"/>
        <v>2039</v>
      </c>
      <c r="U290" s="19">
        <f t="shared" si="181"/>
        <v>7</v>
      </c>
      <c r="V290" s="18" t="str">
        <f t="shared" si="189"/>
        <v/>
      </c>
      <c r="W290" s="18" t="str">
        <f t="shared" si="211"/>
        <v/>
      </c>
      <c r="X290" s="18" t="str">
        <f>IF(AK289&lt;&gt;1,"",IF(AH289&gt;0,IF(AH289&gt;CONTROL_PANEL!$B$11,CONTROL_PANEL!$B$11,AH289),0))</f>
        <v/>
      </c>
      <c r="Y290" s="18" t="str">
        <f t="shared" si="206"/>
        <v/>
      </c>
      <c r="Z290" s="18" t="str">
        <f>IF(AK290&lt;&gt;1,"",DATA_INPUT!I290)</f>
        <v/>
      </c>
      <c r="AA290" s="18" t="str">
        <f>IF(AK290&lt;&gt;1,"",Z290*CONTROL_PANEL!$B$5)</f>
        <v/>
      </c>
      <c r="AB290" s="18" t="str">
        <f>IF(AK290&lt;&gt;1,"",DATA_INPUT!$C290)</f>
        <v/>
      </c>
      <c r="AC290" s="18" t="str">
        <f t="shared" si="190"/>
        <v/>
      </c>
      <c r="AD290" s="18" t="str">
        <f>IF(AK290&lt;&gt;1,"",DATA_INPUT!$H290)</f>
        <v/>
      </c>
      <c r="AE290" s="18" t="str">
        <f t="shared" si="191"/>
        <v/>
      </c>
      <c r="AF290" s="18" t="str">
        <f>IF(AK290&lt;&gt;1,"",AA290*CONTROL_PANEL!$B$14)</f>
        <v/>
      </c>
      <c r="AG290" s="18" t="str">
        <f>IF(AK290&lt;&gt;1,"",DATA_INPUT!$L290)</f>
        <v/>
      </c>
      <c r="AH290" s="18" t="str">
        <f t="shared" si="192"/>
        <v/>
      </c>
      <c r="AI290" s="18" t="str">
        <f>IF(AK290&lt;&gt;1,"",IF(AH290-CONTROL_PANEL!$B$11&lt;0,0,AH290-CONTROL_PANEL!$B$11))</f>
        <v/>
      </c>
      <c r="AJ290" s="18" t="str">
        <f>IF(AK290&lt;&gt;1,"",IF(AG290&lt;=0,0,MIN(AG290,MAX(0,CONTROL_PANEL!$B$13-AH290))))</f>
        <v/>
      </c>
      <c r="AK290" s="18"/>
      <c r="AM290" s="19">
        <f t="shared" si="217"/>
        <v>2039</v>
      </c>
      <c r="AN290" s="19">
        <f t="shared" si="182"/>
        <v>7</v>
      </c>
      <c r="AO290" s="18" t="str">
        <f t="shared" si="193"/>
        <v/>
      </c>
      <c r="AP290" s="18" t="str">
        <f t="shared" si="212"/>
        <v/>
      </c>
      <c r="AQ290" s="18" t="str">
        <f>IF(BD289&lt;&gt;1,"",IF(BA289&gt;0,IF(BA289&gt;CONTROL_PANEL!$B$11,CONTROL_PANEL!$B$11,BA289),0))</f>
        <v/>
      </c>
      <c r="AR290" s="18" t="str">
        <f t="shared" si="207"/>
        <v/>
      </c>
      <c r="AS290" s="18" t="str">
        <f>IF(BD290&lt;&gt;1,"",DATA_INPUT!$I290)</f>
        <v/>
      </c>
      <c r="AT290" s="18" t="str">
        <f>IF(BD290&lt;&gt;1,"",AS290*CONTROL_PANEL!$B$5)</f>
        <v/>
      </c>
      <c r="AU290" s="18" t="str">
        <f>IF(BD290&lt;&gt;1,"",DATA_INPUT!$C290)</f>
        <v/>
      </c>
      <c r="AV290" s="18" t="str">
        <f t="shared" si="194"/>
        <v/>
      </c>
      <c r="AW290" s="18" t="str">
        <f>IF(BD290&lt;&gt;1,"",DATA_INPUT!$H290)</f>
        <v/>
      </c>
      <c r="AX290" s="18" t="str">
        <f t="shared" si="195"/>
        <v/>
      </c>
      <c r="AY290" s="18" t="str">
        <f>IF(BD290&lt;&gt;1,"",AT290*CONTROL_PANEL!$B$14)</f>
        <v/>
      </c>
      <c r="AZ290" s="18" t="str">
        <f>IF(BD290&lt;&gt;1,"",DATA_INPUT!$M290)</f>
        <v/>
      </c>
      <c r="BA290" s="18" t="str">
        <f t="shared" si="196"/>
        <v/>
      </c>
      <c r="BB290" s="18" t="str">
        <f>IF(BD290&lt;&gt;1,"",IF(BA290-CONTROL_PANEL!$B$11&lt;0,0,BA290-CONTROL_PANEL!$B$11))</f>
        <v/>
      </c>
      <c r="BC290" s="18" t="str">
        <f>IF(BD290&lt;&gt;1,"",IF(AZ290&lt;=0,0,MIN(AZ290,MAX(0,CONTROL_PANEL!$B$13-BA290))))</f>
        <v/>
      </c>
      <c r="BD290" s="18"/>
      <c r="BF290" s="19">
        <f t="shared" si="218"/>
        <v>2039</v>
      </c>
      <c r="BG290" s="19">
        <f t="shared" si="183"/>
        <v>7</v>
      </c>
      <c r="BH290" s="18" t="str">
        <f t="shared" si="197"/>
        <v/>
      </c>
      <c r="BI290" s="18" t="str">
        <f t="shared" si="213"/>
        <v/>
      </c>
      <c r="BJ290" s="18" t="str">
        <f>IF(BW289&lt;&gt;1,"",IF(BT289&gt;0,IF(BT289&gt;CONTROL_PANEL!$B$11,CONTROL_PANEL!$B$11,BT289),0))</f>
        <v/>
      </c>
      <c r="BK290" s="18" t="str">
        <f t="shared" si="208"/>
        <v/>
      </c>
      <c r="BL290" s="18" t="str">
        <f>IF(BW290&lt;&gt;1,"",DATA_INPUT!$I290)</f>
        <v/>
      </c>
      <c r="BM290" s="18" t="str">
        <f>IF(BW290&lt;&gt;1,"",BL290*CONTROL_PANEL!$B$5)</f>
        <v/>
      </c>
      <c r="BN290" s="18" t="str">
        <f>IF(BW290&lt;&gt;1,"",DATA_INPUT!$C290)</f>
        <v/>
      </c>
      <c r="BO290" s="18" t="str">
        <f t="shared" si="198"/>
        <v/>
      </c>
      <c r="BP290" s="18" t="str">
        <f>IF(BW290&lt;&gt;1,"",DATA_INPUT!$H290)</f>
        <v/>
      </c>
      <c r="BQ290" s="18" t="str">
        <f t="shared" si="199"/>
        <v/>
      </c>
      <c r="BR290" s="18" t="str">
        <f>IF(BW290&lt;&gt;1,"",BM290*CONTROL_PANEL!$B$14)</f>
        <v/>
      </c>
      <c r="BS290" s="18" t="str">
        <f>IF(BW290&lt;&gt;1,"",DATA_INPUT!$N290)</f>
        <v/>
      </c>
      <c r="BT290" s="18" t="str">
        <f t="shared" si="200"/>
        <v/>
      </c>
      <c r="BU290" s="18" t="str">
        <f>IF(BW290&lt;&gt;1,"",IF(BT290-CONTROL_PANEL!$B$11&lt;0,0,BT290-CONTROL_PANEL!$B$11))</f>
        <v/>
      </c>
      <c r="BV290" s="18" t="str">
        <f>IF(BW290&lt;&gt;1,"",IF(BS290&lt;=0,0,MIN(BS290,MAX(0,CONTROL_PANEL!$B$13-BT290))))</f>
        <v/>
      </c>
      <c r="BW290" s="18"/>
      <c r="BY290" s="19">
        <f t="shared" si="219"/>
        <v>2039</v>
      </c>
      <c r="BZ290" s="19">
        <f t="shared" si="184"/>
        <v>7</v>
      </c>
      <c r="CA290" s="18" t="str">
        <f t="shared" si="201"/>
        <v/>
      </c>
      <c r="CB290" s="18" t="str">
        <f t="shared" si="214"/>
        <v/>
      </c>
      <c r="CC290" s="18" t="str">
        <f>IF(CP289&lt;&gt;1,"",IF(CM289&gt;0,IF(CM289&gt;CONTROL_PANEL!$B$11,CONTROL_PANEL!$B$11,CM289),0))</f>
        <v/>
      </c>
      <c r="CD290" s="18" t="str">
        <f t="shared" si="209"/>
        <v/>
      </c>
      <c r="CE290" s="18" t="str">
        <f>IF(CP290&lt;&gt;1,"",DATA_INPUT!$I290)</f>
        <v/>
      </c>
      <c r="CF290" s="18" t="str">
        <f>IF(CP290&lt;&gt;1,"",CE290*CONTROL_PANEL!$B$5)</f>
        <v/>
      </c>
      <c r="CG290" s="18" t="str">
        <f>IF(CP290&lt;&gt;1,"",DATA_INPUT!$C290)</f>
        <v/>
      </c>
      <c r="CH290" s="18" t="str">
        <f t="shared" si="202"/>
        <v/>
      </c>
      <c r="CI290" s="18" t="str">
        <f>IF(CP290&lt;&gt;1,"",DATA_INPUT!$H290)</f>
        <v/>
      </c>
      <c r="CJ290" s="18" t="str">
        <f t="shared" si="203"/>
        <v/>
      </c>
      <c r="CK290" s="18" t="str">
        <f>IF(CP290&lt;&gt;1,"",CF290*CONTROL_PANEL!$B$14)</f>
        <v/>
      </c>
      <c r="CL290" s="18" t="str">
        <f>IF(CP290&lt;&gt;1,"",DATA_INPUT!$O290)</f>
        <v/>
      </c>
      <c r="CM290" s="18" t="str">
        <f t="shared" si="204"/>
        <v/>
      </c>
      <c r="CN290" s="18" t="str">
        <f>IF(CP290&lt;&gt;1,"",IF(CM290-CONTROL_PANEL!$B$11&lt;0,0,CM290-CONTROL_PANEL!$B$11))</f>
        <v/>
      </c>
      <c r="CO290" s="18" t="str">
        <f>IF(CP290&lt;&gt;1,"",IF(CL290&lt;=0,0,MIN(CL290,MAX(0,CONTROL_PANEL!$B$13-CM290))))</f>
        <v/>
      </c>
      <c r="CP290" s="18"/>
    </row>
    <row r="291" spans="1:94" x14ac:dyDescent="0.25">
      <c r="A291" s="19">
        <f t="shared" si="215"/>
        <v>2039</v>
      </c>
      <c r="B291" s="19">
        <f t="shared" si="180"/>
        <v>8</v>
      </c>
      <c r="C291" s="18" t="str">
        <f t="shared" si="185"/>
        <v/>
      </c>
      <c r="D291" s="18" t="str">
        <f t="shared" si="210"/>
        <v/>
      </c>
      <c r="E291" s="18" t="str">
        <f>IF(R290&lt;&gt;1,"",IF(O290&gt;0,IF(O290&gt;CONTROL_PANEL!$B$11,CONTROL_PANEL!$B$11,O290),0))</f>
        <v/>
      </c>
      <c r="F291" s="18" t="str">
        <f t="shared" si="205"/>
        <v/>
      </c>
      <c r="G291" s="18" t="str">
        <f>IF(R291&lt;&gt;1,"",DATA_INPUT!I291)</f>
        <v/>
      </c>
      <c r="H291" s="18" t="str">
        <f>IF(R291&lt;&gt;1,"",G291*CONTROL_PANEL!$B$5)</f>
        <v/>
      </c>
      <c r="I291" s="18" t="str">
        <f>IF(R291&lt;&gt;1,"",DATA_INPUT!C291)</f>
        <v/>
      </c>
      <c r="J291" s="18" t="str">
        <f t="shared" si="186"/>
        <v/>
      </c>
      <c r="K291" s="18" t="str">
        <f>IF(R291&lt;&gt;1,"",DATA_INPUT!H291)</f>
        <v/>
      </c>
      <c r="L291" s="18" t="str">
        <f t="shared" si="187"/>
        <v/>
      </c>
      <c r="M291" s="18" t="str">
        <f>IF(R291&lt;&gt;1,"",H291*CONTROL_PANEL!$B$14)</f>
        <v/>
      </c>
      <c r="N291" s="18" t="str">
        <f>IF(R291&lt;&gt;1,"",DATA_INPUT!K291)</f>
        <v/>
      </c>
      <c r="O291" s="18" t="str">
        <f t="shared" si="188"/>
        <v/>
      </c>
      <c r="P291" s="18" t="str">
        <f>IF(R291&lt;&gt;1,"",IF(O291-CONTROL_PANEL!$B$11&lt;0,0,O291-CONTROL_PANEL!$B$11))</f>
        <v/>
      </c>
      <c r="Q291" s="18" t="str">
        <f>IF(R291&lt;&gt;1,"",IF(N291&lt;=0,0,MIN(N291,MAX(0,CONTROL_PANEL!$B$13-O291))))</f>
        <v/>
      </c>
      <c r="R291" s="18"/>
      <c r="T291" s="19">
        <f t="shared" si="216"/>
        <v>2039</v>
      </c>
      <c r="U291" s="19">
        <f t="shared" si="181"/>
        <v>8</v>
      </c>
      <c r="V291" s="18" t="str">
        <f t="shared" si="189"/>
        <v/>
      </c>
      <c r="W291" s="18" t="str">
        <f t="shared" si="211"/>
        <v/>
      </c>
      <c r="X291" s="18" t="str">
        <f>IF(AK290&lt;&gt;1,"",IF(AH290&gt;0,IF(AH290&gt;CONTROL_PANEL!$B$11,CONTROL_PANEL!$B$11,AH290),0))</f>
        <v/>
      </c>
      <c r="Y291" s="18" t="str">
        <f t="shared" si="206"/>
        <v/>
      </c>
      <c r="Z291" s="18" t="str">
        <f>IF(AK291&lt;&gt;1,"",DATA_INPUT!I291)</f>
        <v/>
      </c>
      <c r="AA291" s="18" t="str">
        <f>IF(AK291&lt;&gt;1,"",Z291*CONTROL_PANEL!$B$5)</f>
        <v/>
      </c>
      <c r="AB291" s="18" t="str">
        <f>IF(AK291&lt;&gt;1,"",DATA_INPUT!$C291)</f>
        <v/>
      </c>
      <c r="AC291" s="18" t="str">
        <f t="shared" si="190"/>
        <v/>
      </c>
      <c r="AD291" s="18" t="str">
        <f>IF(AK291&lt;&gt;1,"",DATA_INPUT!$H291)</f>
        <v/>
      </c>
      <c r="AE291" s="18" t="str">
        <f t="shared" si="191"/>
        <v/>
      </c>
      <c r="AF291" s="18" t="str">
        <f>IF(AK291&lt;&gt;1,"",AA291*CONTROL_PANEL!$B$14)</f>
        <v/>
      </c>
      <c r="AG291" s="18" t="str">
        <f>IF(AK291&lt;&gt;1,"",DATA_INPUT!$L291)</f>
        <v/>
      </c>
      <c r="AH291" s="18" t="str">
        <f t="shared" si="192"/>
        <v/>
      </c>
      <c r="AI291" s="18" t="str">
        <f>IF(AK291&lt;&gt;1,"",IF(AH291-CONTROL_PANEL!$B$11&lt;0,0,AH291-CONTROL_PANEL!$B$11))</f>
        <v/>
      </c>
      <c r="AJ291" s="18" t="str">
        <f>IF(AK291&lt;&gt;1,"",IF(AG291&lt;=0,0,MIN(AG291,MAX(0,CONTROL_PANEL!$B$13-AH291))))</f>
        <v/>
      </c>
      <c r="AK291" s="18"/>
      <c r="AM291" s="19">
        <f t="shared" si="217"/>
        <v>2039</v>
      </c>
      <c r="AN291" s="19">
        <f t="shared" si="182"/>
        <v>8</v>
      </c>
      <c r="AO291" s="18" t="str">
        <f t="shared" si="193"/>
        <v/>
      </c>
      <c r="AP291" s="18" t="str">
        <f t="shared" si="212"/>
        <v/>
      </c>
      <c r="AQ291" s="18" t="str">
        <f>IF(BD290&lt;&gt;1,"",IF(BA290&gt;0,IF(BA290&gt;CONTROL_PANEL!$B$11,CONTROL_PANEL!$B$11,BA290),0))</f>
        <v/>
      </c>
      <c r="AR291" s="18" t="str">
        <f t="shared" si="207"/>
        <v/>
      </c>
      <c r="AS291" s="18" t="str">
        <f>IF(BD291&lt;&gt;1,"",DATA_INPUT!$I291)</f>
        <v/>
      </c>
      <c r="AT291" s="18" t="str">
        <f>IF(BD291&lt;&gt;1,"",AS291*CONTROL_PANEL!$B$5)</f>
        <v/>
      </c>
      <c r="AU291" s="18" t="str">
        <f>IF(BD291&lt;&gt;1,"",DATA_INPUT!$C291)</f>
        <v/>
      </c>
      <c r="AV291" s="18" t="str">
        <f t="shared" si="194"/>
        <v/>
      </c>
      <c r="AW291" s="18" t="str">
        <f>IF(BD291&lt;&gt;1,"",DATA_INPUT!$H291)</f>
        <v/>
      </c>
      <c r="AX291" s="18" t="str">
        <f t="shared" si="195"/>
        <v/>
      </c>
      <c r="AY291" s="18" t="str">
        <f>IF(BD291&lt;&gt;1,"",AT291*CONTROL_PANEL!$B$14)</f>
        <v/>
      </c>
      <c r="AZ291" s="18" t="str">
        <f>IF(BD291&lt;&gt;1,"",DATA_INPUT!$M291)</f>
        <v/>
      </c>
      <c r="BA291" s="18" t="str">
        <f t="shared" si="196"/>
        <v/>
      </c>
      <c r="BB291" s="18" t="str">
        <f>IF(BD291&lt;&gt;1,"",IF(BA291-CONTROL_PANEL!$B$11&lt;0,0,BA291-CONTROL_PANEL!$B$11))</f>
        <v/>
      </c>
      <c r="BC291" s="18" t="str">
        <f>IF(BD291&lt;&gt;1,"",IF(AZ291&lt;=0,0,MIN(AZ291,MAX(0,CONTROL_PANEL!$B$13-BA291))))</f>
        <v/>
      </c>
      <c r="BD291" s="18"/>
      <c r="BF291" s="19">
        <f t="shared" si="218"/>
        <v>2039</v>
      </c>
      <c r="BG291" s="19">
        <f t="shared" si="183"/>
        <v>8</v>
      </c>
      <c r="BH291" s="18" t="str">
        <f t="shared" si="197"/>
        <v/>
      </c>
      <c r="BI291" s="18" t="str">
        <f t="shared" si="213"/>
        <v/>
      </c>
      <c r="BJ291" s="18" t="str">
        <f>IF(BW290&lt;&gt;1,"",IF(BT290&gt;0,IF(BT290&gt;CONTROL_PANEL!$B$11,CONTROL_PANEL!$B$11,BT290),0))</f>
        <v/>
      </c>
      <c r="BK291" s="18" t="str">
        <f t="shared" si="208"/>
        <v/>
      </c>
      <c r="BL291" s="18" t="str">
        <f>IF(BW291&lt;&gt;1,"",DATA_INPUT!$I291)</f>
        <v/>
      </c>
      <c r="BM291" s="18" t="str">
        <f>IF(BW291&lt;&gt;1,"",BL291*CONTROL_PANEL!$B$5)</f>
        <v/>
      </c>
      <c r="BN291" s="18" t="str">
        <f>IF(BW291&lt;&gt;1,"",DATA_INPUT!$C291)</f>
        <v/>
      </c>
      <c r="BO291" s="18" t="str">
        <f t="shared" si="198"/>
        <v/>
      </c>
      <c r="BP291" s="18" t="str">
        <f>IF(BW291&lt;&gt;1,"",DATA_INPUT!$H291)</f>
        <v/>
      </c>
      <c r="BQ291" s="18" t="str">
        <f t="shared" si="199"/>
        <v/>
      </c>
      <c r="BR291" s="18" t="str">
        <f>IF(BW291&lt;&gt;1,"",BM291*CONTROL_PANEL!$B$14)</f>
        <v/>
      </c>
      <c r="BS291" s="18" t="str">
        <f>IF(BW291&lt;&gt;1,"",DATA_INPUT!$N291)</f>
        <v/>
      </c>
      <c r="BT291" s="18" t="str">
        <f t="shared" si="200"/>
        <v/>
      </c>
      <c r="BU291" s="18" t="str">
        <f>IF(BW291&lt;&gt;1,"",IF(BT291-CONTROL_PANEL!$B$11&lt;0,0,BT291-CONTROL_PANEL!$B$11))</f>
        <v/>
      </c>
      <c r="BV291" s="18" t="str">
        <f>IF(BW291&lt;&gt;1,"",IF(BS291&lt;=0,0,MIN(BS291,MAX(0,CONTROL_PANEL!$B$13-BT291))))</f>
        <v/>
      </c>
      <c r="BW291" s="18"/>
      <c r="BY291" s="19">
        <f t="shared" si="219"/>
        <v>2039</v>
      </c>
      <c r="BZ291" s="19">
        <f t="shared" si="184"/>
        <v>8</v>
      </c>
      <c r="CA291" s="18" t="str">
        <f t="shared" si="201"/>
        <v/>
      </c>
      <c r="CB291" s="18" t="str">
        <f t="shared" si="214"/>
        <v/>
      </c>
      <c r="CC291" s="18" t="str">
        <f>IF(CP290&lt;&gt;1,"",IF(CM290&gt;0,IF(CM290&gt;CONTROL_PANEL!$B$11,CONTROL_PANEL!$B$11,CM290),0))</f>
        <v/>
      </c>
      <c r="CD291" s="18" t="str">
        <f t="shared" si="209"/>
        <v/>
      </c>
      <c r="CE291" s="18" t="str">
        <f>IF(CP291&lt;&gt;1,"",DATA_INPUT!$I291)</f>
        <v/>
      </c>
      <c r="CF291" s="18" t="str">
        <f>IF(CP291&lt;&gt;1,"",CE291*CONTROL_PANEL!$B$5)</f>
        <v/>
      </c>
      <c r="CG291" s="18" t="str">
        <f>IF(CP291&lt;&gt;1,"",DATA_INPUT!$C291)</f>
        <v/>
      </c>
      <c r="CH291" s="18" t="str">
        <f t="shared" si="202"/>
        <v/>
      </c>
      <c r="CI291" s="18" t="str">
        <f>IF(CP291&lt;&gt;1,"",DATA_INPUT!$H291)</f>
        <v/>
      </c>
      <c r="CJ291" s="18" t="str">
        <f t="shared" si="203"/>
        <v/>
      </c>
      <c r="CK291" s="18" t="str">
        <f>IF(CP291&lt;&gt;1,"",CF291*CONTROL_PANEL!$B$14)</f>
        <v/>
      </c>
      <c r="CL291" s="18" t="str">
        <f>IF(CP291&lt;&gt;1,"",DATA_INPUT!$O291)</f>
        <v/>
      </c>
      <c r="CM291" s="18" t="str">
        <f t="shared" si="204"/>
        <v/>
      </c>
      <c r="CN291" s="18" t="str">
        <f>IF(CP291&lt;&gt;1,"",IF(CM291-CONTROL_PANEL!$B$11&lt;0,0,CM291-CONTROL_PANEL!$B$11))</f>
        <v/>
      </c>
      <c r="CO291" s="18" t="str">
        <f>IF(CP291&lt;&gt;1,"",IF(CL291&lt;=0,0,MIN(CL291,MAX(0,CONTROL_PANEL!$B$13-CM291))))</f>
        <v/>
      </c>
      <c r="CP291" s="18"/>
    </row>
    <row r="292" spans="1:94" x14ac:dyDescent="0.25">
      <c r="A292" s="19">
        <f t="shared" si="215"/>
        <v>2039</v>
      </c>
      <c r="B292" s="19">
        <f t="shared" si="180"/>
        <v>9</v>
      </c>
      <c r="C292" s="18" t="str">
        <f t="shared" si="185"/>
        <v/>
      </c>
      <c r="D292" s="18" t="str">
        <f t="shared" si="210"/>
        <v/>
      </c>
      <c r="E292" s="18" t="str">
        <f>IF(R291&lt;&gt;1,"",IF(O291&gt;0,IF(O291&gt;CONTROL_PANEL!$B$11,CONTROL_PANEL!$B$11,O291),0))</f>
        <v/>
      </c>
      <c r="F292" s="18" t="str">
        <f t="shared" si="205"/>
        <v/>
      </c>
      <c r="G292" s="18" t="str">
        <f>IF(R292&lt;&gt;1,"",DATA_INPUT!I292)</f>
        <v/>
      </c>
      <c r="H292" s="18" t="str">
        <f>IF(R292&lt;&gt;1,"",G292*CONTROL_PANEL!$B$5)</f>
        <v/>
      </c>
      <c r="I292" s="18" t="str">
        <f>IF(R292&lt;&gt;1,"",DATA_INPUT!C292)</f>
        <v/>
      </c>
      <c r="J292" s="18" t="str">
        <f t="shared" si="186"/>
        <v/>
      </c>
      <c r="K292" s="18" t="str">
        <f>IF(R292&lt;&gt;1,"",DATA_INPUT!H292)</f>
        <v/>
      </c>
      <c r="L292" s="18" t="str">
        <f t="shared" si="187"/>
        <v/>
      </c>
      <c r="M292" s="18" t="str">
        <f>IF(R292&lt;&gt;1,"",H292*CONTROL_PANEL!$B$14)</f>
        <v/>
      </c>
      <c r="N292" s="18" t="str">
        <f>IF(R292&lt;&gt;1,"",DATA_INPUT!K292)</f>
        <v/>
      </c>
      <c r="O292" s="18" t="str">
        <f t="shared" si="188"/>
        <v/>
      </c>
      <c r="P292" s="18" t="str">
        <f>IF(R292&lt;&gt;1,"",IF(O292-CONTROL_PANEL!$B$11&lt;0,0,O292-CONTROL_PANEL!$B$11))</f>
        <v/>
      </c>
      <c r="Q292" s="18" t="str">
        <f>IF(R292&lt;&gt;1,"",IF(N292&lt;=0,0,MIN(N292,MAX(0,CONTROL_PANEL!$B$13-O292))))</f>
        <v/>
      </c>
      <c r="R292" s="18"/>
      <c r="T292" s="19">
        <f t="shared" si="216"/>
        <v>2039</v>
      </c>
      <c r="U292" s="19">
        <f t="shared" si="181"/>
        <v>9</v>
      </c>
      <c r="V292" s="18" t="str">
        <f t="shared" si="189"/>
        <v/>
      </c>
      <c r="W292" s="18" t="str">
        <f t="shared" si="211"/>
        <v/>
      </c>
      <c r="X292" s="18" t="str">
        <f>IF(AK291&lt;&gt;1,"",IF(AH291&gt;0,IF(AH291&gt;CONTROL_PANEL!$B$11,CONTROL_PANEL!$B$11,AH291),0))</f>
        <v/>
      </c>
      <c r="Y292" s="18" t="str">
        <f t="shared" si="206"/>
        <v/>
      </c>
      <c r="Z292" s="18" t="str">
        <f>IF(AK292&lt;&gt;1,"",DATA_INPUT!I292)</f>
        <v/>
      </c>
      <c r="AA292" s="18" t="str">
        <f>IF(AK292&lt;&gt;1,"",Z292*CONTROL_PANEL!$B$5)</f>
        <v/>
      </c>
      <c r="AB292" s="18" t="str">
        <f>IF(AK292&lt;&gt;1,"",DATA_INPUT!$C292)</f>
        <v/>
      </c>
      <c r="AC292" s="18" t="str">
        <f t="shared" si="190"/>
        <v/>
      </c>
      <c r="AD292" s="18" t="str">
        <f>IF(AK292&lt;&gt;1,"",DATA_INPUT!$H292)</f>
        <v/>
      </c>
      <c r="AE292" s="18" t="str">
        <f t="shared" si="191"/>
        <v/>
      </c>
      <c r="AF292" s="18" t="str">
        <f>IF(AK292&lt;&gt;1,"",AA292*CONTROL_PANEL!$B$14)</f>
        <v/>
      </c>
      <c r="AG292" s="18" t="str">
        <f>IF(AK292&lt;&gt;1,"",DATA_INPUT!$L292)</f>
        <v/>
      </c>
      <c r="AH292" s="18" t="str">
        <f t="shared" si="192"/>
        <v/>
      </c>
      <c r="AI292" s="18" t="str">
        <f>IF(AK292&lt;&gt;1,"",IF(AH292-CONTROL_PANEL!$B$11&lt;0,0,AH292-CONTROL_PANEL!$B$11))</f>
        <v/>
      </c>
      <c r="AJ292" s="18" t="str">
        <f>IF(AK292&lt;&gt;1,"",IF(AG292&lt;=0,0,MIN(AG292,MAX(0,CONTROL_PANEL!$B$13-AH292))))</f>
        <v/>
      </c>
      <c r="AK292" s="18"/>
      <c r="AM292" s="19">
        <f t="shared" si="217"/>
        <v>2039</v>
      </c>
      <c r="AN292" s="19">
        <f t="shared" si="182"/>
        <v>9</v>
      </c>
      <c r="AO292" s="18" t="str">
        <f t="shared" si="193"/>
        <v/>
      </c>
      <c r="AP292" s="18" t="str">
        <f t="shared" si="212"/>
        <v/>
      </c>
      <c r="AQ292" s="18" t="str">
        <f>IF(BD291&lt;&gt;1,"",IF(BA291&gt;0,IF(BA291&gt;CONTROL_PANEL!$B$11,CONTROL_PANEL!$B$11,BA291),0))</f>
        <v/>
      </c>
      <c r="AR292" s="18" t="str">
        <f t="shared" si="207"/>
        <v/>
      </c>
      <c r="AS292" s="18" t="str">
        <f>IF(BD292&lt;&gt;1,"",DATA_INPUT!$I292)</f>
        <v/>
      </c>
      <c r="AT292" s="18" t="str">
        <f>IF(BD292&lt;&gt;1,"",AS292*CONTROL_PANEL!$B$5)</f>
        <v/>
      </c>
      <c r="AU292" s="18" t="str">
        <f>IF(BD292&lt;&gt;1,"",DATA_INPUT!$C292)</f>
        <v/>
      </c>
      <c r="AV292" s="18" t="str">
        <f t="shared" si="194"/>
        <v/>
      </c>
      <c r="AW292" s="18" t="str">
        <f>IF(BD292&lt;&gt;1,"",DATA_INPUT!$H292)</f>
        <v/>
      </c>
      <c r="AX292" s="18" t="str">
        <f t="shared" si="195"/>
        <v/>
      </c>
      <c r="AY292" s="18" t="str">
        <f>IF(BD292&lt;&gt;1,"",AT292*CONTROL_PANEL!$B$14)</f>
        <v/>
      </c>
      <c r="AZ292" s="18" t="str">
        <f>IF(BD292&lt;&gt;1,"",DATA_INPUT!$M292)</f>
        <v/>
      </c>
      <c r="BA292" s="18" t="str">
        <f t="shared" si="196"/>
        <v/>
      </c>
      <c r="BB292" s="18" t="str">
        <f>IF(BD292&lt;&gt;1,"",IF(BA292-CONTROL_PANEL!$B$11&lt;0,0,BA292-CONTROL_PANEL!$B$11))</f>
        <v/>
      </c>
      <c r="BC292" s="18" t="str">
        <f>IF(BD292&lt;&gt;1,"",IF(AZ292&lt;=0,0,MIN(AZ292,MAX(0,CONTROL_PANEL!$B$13-BA292))))</f>
        <v/>
      </c>
      <c r="BD292" s="18"/>
      <c r="BF292" s="19">
        <f t="shared" si="218"/>
        <v>2039</v>
      </c>
      <c r="BG292" s="19">
        <f t="shared" si="183"/>
        <v>9</v>
      </c>
      <c r="BH292" s="18" t="str">
        <f t="shared" si="197"/>
        <v/>
      </c>
      <c r="BI292" s="18" t="str">
        <f t="shared" si="213"/>
        <v/>
      </c>
      <c r="BJ292" s="18" t="str">
        <f>IF(BW291&lt;&gt;1,"",IF(BT291&gt;0,IF(BT291&gt;CONTROL_PANEL!$B$11,CONTROL_PANEL!$B$11,BT291),0))</f>
        <v/>
      </c>
      <c r="BK292" s="18" t="str">
        <f t="shared" si="208"/>
        <v/>
      </c>
      <c r="BL292" s="18" t="str">
        <f>IF(BW292&lt;&gt;1,"",DATA_INPUT!$I292)</f>
        <v/>
      </c>
      <c r="BM292" s="18" t="str">
        <f>IF(BW292&lt;&gt;1,"",BL292*CONTROL_PANEL!$B$5)</f>
        <v/>
      </c>
      <c r="BN292" s="18" t="str">
        <f>IF(BW292&lt;&gt;1,"",DATA_INPUT!$C292)</f>
        <v/>
      </c>
      <c r="BO292" s="18" t="str">
        <f t="shared" si="198"/>
        <v/>
      </c>
      <c r="BP292" s="18" t="str">
        <f>IF(BW292&lt;&gt;1,"",DATA_INPUT!$H292)</f>
        <v/>
      </c>
      <c r="BQ292" s="18" t="str">
        <f t="shared" si="199"/>
        <v/>
      </c>
      <c r="BR292" s="18" t="str">
        <f>IF(BW292&lt;&gt;1,"",BM292*CONTROL_PANEL!$B$14)</f>
        <v/>
      </c>
      <c r="BS292" s="18" t="str">
        <f>IF(BW292&lt;&gt;1,"",DATA_INPUT!$N292)</f>
        <v/>
      </c>
      <c r="BT292" s="18" t="str">
        <f t="shared" si="200"/>
        <v/>
      </c>
      <c r="BU292" s="18" t="str">
        <f>IF(BW292&lt;&gt;1,"",IF(BT292-CONTROL_PANEL!$B$11&lt;0,0,BT292-CONTROL_PANEL!$B$11))</f>
        <v/>
      </c>
      <c r="BV292" s="18" t="str">
        <f>IF(BW292&lt;&gt;1,"",IF(BS292&lt;=0,0,MIN(BS292,MAX(0,CONTROL_PANEL!$B$13-BT292))))</f>
        <v/>
      </c>
      <c r="BW292" s="18"/>
      <c r="BY292" s="19">
        <f t="shared" si="219"/>
        <v>2039</v>
      </c>
      <c r="BZ292" s="19">
        <f t="shared" si="184"/>
        <v>9</v>
      </c>
      <c r="CA292" s="18" t="str">
        <f t="shared" si="201"/>
        <v/>
      </c>
      <c r="CB292" s="18" t="str">
        <f t="shared" si="214"/>
        <v/>
      </c>
      <c r="CC292" s="18" t="str">
        <f>IF(CP291&lt;&gt;1,"",IF(CM291&gt;0,IF(CM291&gt;CONTROL_PANEL!$B$11,CONTROL_PANEL!$B$11,CM291),0))</f>
        <v/>
      </c>
      <c r="CD292" s="18" t="str">
        <f t="shared" si="209"/>
        <v/>
      </c>
      <c r="CE292" s="18" t="str">
        <f>IF(CP292&lt;&gt;1,"",DATA_INPUT!$I292)</f>
        <v/>
      </c>
      <c r="CF292" s="18" t="str">
        <f>IF(CP292&lt;&gt;1,"",CE292*CONTROL_PANEL!$B$5)</f>
        <v/>
      </c>
      <c r="CG292" s="18" t="str">
        <f>IF(CP292&lt;&gt;1,"",DATA_INPUT!$C292)</f>
        <v/>
      </c>
      <c r="CH292" s="18" t="str">
        <f t="shared" si="202"/>
        <v/>
      </c>
      <c r="CI292" s="18" t="str">
        <f>IF(CP292&lt;&gt;1,"",DATA_INPUT!$H292)</f>
        <v/>
      </c>
      <c r="CJ292" s="18" t="str">
        <f t="shared" si="203"/>
        <v/>
      </c>
      <c r="CK292" s="18" t="str">
        <f>IF(CP292&lt;&gt;1,"",CF292*CONTROL_PANEL!$B$14)</f>
        <v/>
      </c>
      <c r="CL292" s="18" t="str">
        <f>IF(CP292&lt;&gt;1,"",DATA_INPUT!$O292)</f>
        <v/>
      </c>
      <c r="CM292" s="18" t="str">
        <f t="shared" si="204"/>
        <v/>
      </c>
      <c r="CN292" s="18" t="str">
        <f>IF(CP292&lt;&gt;1,"",IF(CM292-CONTROL_PANEL!$B$11&lt;0,0,CM292-CONTROL_PANEL!$B$11))</f>
        <v/>
      </c>
      <c r="CO292" s="18" t="str">
        <f>IF(CP292&lt;&gt;1,"",IF(CL292&lt;=0,0,MIN(CL292,MAX(0,CONTROL_PANEL!$B$13-CM292))))</f>
        <v/>
      </c>
      <c r="CP292" s="18"/>
    </row>
    <row r="293" spans="1:94" x14ac:dyDescent="0.25">
      <c r="A293" s="19">
        <f t="shared" si="215"/>
        <v>2039</v>
      </c>
      <c r="B293" s="19">
        <f t="shared" si="180"/>
        <v>10</v>
      </c>
      <c r="C293" s="18" t="str">
        <f t="shared" si="185"/>
        <v/>
      </c>
      <c r="D293" s="18" t="str">
        <f t="shared" si="210"/>
        <v/>
      </c>
      <c r="E293" s="18" t="str">
        <f>IF(R292&lt;&gt;1,"",IF(O292&gt;0,IF(O292&gt;CONTROL_PANEL!$B$11,CONTROL_PANEL!$B$11,O292),0))</f>
        <v/>
      </c>
      <c r="F293" s="18" t="str">
        <f t="shared" si="205"/>
        <v/>
      </c>
      <c r="G293" s="18" t="str">
        <f>IF(R293&lt;&gt;1,"",DATA_INPUT!I293)</f>
        <v/>
      </c>
      <c r="H293" s="18" t="str">
        <f>IF(R293&lt;&gt;1,"",G293*CONTROL_PANEL!$B$5)</f>
        <v/>
      </c>
      <c r="I293" s="18" t="str">
        <f>IF(R293&lt;&gt;1,"",DATA_INPUT!C293)</f>
        <v/>
      </c>
      <c r="J293" s="18" t="str">
        <f t="shared" si="186"/>
        <v/>
      </c>
      <c r="K293" s="18" t="str">
        <f>IF(R293&lt;&gt;1,"",DATA_INPUT!H293)</f>
        <v/>
      </c>
      <c r="L293" s="18" t="str">
        <f t="shared" si="187"/>
        <v/>
      </c>
      <c r="M293" s="18" t="str">
        <f>IF(R293&lt;&gt;1,"",H293*CONTROL_PANEL!$B$14)</f>
        <v/>
      </c>
      <c r="N293" s="18" t="str">
        <f>IF(R293&lt;&gt;1,"",DATA_INPUT!K293)</f>
        <v/>
      </c>
      <c r="O293" s="18" t="str">
        <f t="shared" si="188"/>
        <v/>
      </c>
      <c r="P293" s="18" t="str">
        <f>IF(R293&lt;&gt;1,"",IF(O293-CONTROL_PANEL!$B$11&lt;0,0,O293-CONTROL_PANEL!$B$11))</f>
        <v/>
      </c>
      <c r="Q293" s="18" t="str">
        <f>IF(R293&lt;&gt;1,"",IF(N293&lt;=0,0,MIN(N293,MAX(0,CONTROL_PANEL!$B$13-O293))))</f>
        <v/>
      </c>
      <c r="R293" s="18"/>
      <c r="T293" s="19">
        <f t="shared" si="216"/>
        <v>2039</v>
      </c>
      <c r="U293" s="19">
        <f t="shared" si="181"/>
        <v>10</v>
      </c>
      <c r="V293" s="18" t="str">
        <f t="shared" si="189"/>
        <v/>
      </c>
      <c r="W293" s="18" t="str">
        <f t="shared" si="211"/>
        <v/>
      </c>
      <c r="X293" s="18" t="str">
        <f>IF(AK292&lt;&gt;1,"",IF(AH292&gt;0,IF(AH292&gt;CONTROL_PANEL!$B$11,CONTROL_PANEL!$B$11,AH292),0))</f>
        <v/>
      </c>
      <c r="Y293" s="18" t="str">
        <f t="shared" si="206"/>
        <v/>
      </c>
      <c r="Z293" s="18" t="str">
        <f>IF(AK293&lt;&gt;1,"",DATA_INPUT!I293)</f>
        <v/>
      </c>
      <c r="AA293" s="18" t="str">
        <f>IF(AK293&lt;&gt;1,"",Z293*CONTROL_PANEL!$B$5)</f>
        <v/>
      </c>
      <c r="AB293" s="18" t="str">
        <f>IF(AK293&lt;&gt;1,"",DATA_INPUT!$C293)</f>
        <v/>
      </c>
      <c r="AC293" s="18" t="str">
        <f t="shared" si="190"/>
        <v/>
      </c>
      <c r="AD293" s="18" t="str">
        <f>IF(AK293&lt;&gt;1,"",DATA_INPUT!$H293)</f>
        <v/>
      </c>
      <c r="AE293" s="18" t="str">
        <f t="shared" si="191"/>
        <v/>
      </c>
      <c r="AF293" s="18" t="str">
        <f>IF(AK293&lt;&gt;1,"",AA293*CONTROL_PANEL!$B$14)</f>
        <v/>
      </c>
      <c r="AG293" s="18" t="str">
        <f>IF(AK293&lt;&gt;1,"",DATA_INPUT!$L293)</f>
        <v/>
      </c>
      <c r="AH293" s="18" t="str">
        <f t="shared" si="192"/>
        <v/>
      </c>
      <c r="AI293" s="18" t="str">
        <f>IF(AK293&lt;&gt;1,"",IF(AH293-CONTROL_PANEL!$B$11&lt;0,0,AH293-CONTROL_PANEL!$B$11))</f>
        <v/>
      </c>
      <c r="AJ293" s="18" t="str">
        <f>IF(AK293&lt;&gt;1,"",IF(AG293&lt;=0,0,MIN(AG293,MAX(0,CONTROL_PANEL!$B$13-AH293))))</f>
        <v/>
      </c>
      <c r="AK293" s="18"/>
      <c r="AM293" s="19">
        <f t="shared" si="217"/>
        <v>2039</v>
      </c>
      <c r="AN293" s="19">
        <f t="shared" si="182"/>
        <v>10</v>
      </c>
      <c r="AO293" s="18" t="str">
        <f t="shared" si="193"/>
        <v/>
      </c>
      <c r="AP293" s="18" t="str">
        <f t="shared" si="212"/>
        <v/>
      </c>
      <c r="AQ293" s="18" t="str">
        <f>IF(BD292&lt;&gt;1,"",IF(BA292&gt;0,IF(BA292&gt;CONTROL_PANEL!$B$11,CONTROL_PANEL!$B$11,BA292),0))</f>
        <v/>
      </c>
      <c r="AR293" s="18" t="str">
        <f t="shared" si="207"/>
        <v/>
      </c>
      <c r="AS293" s="18" t="str">
        <f>IF(BD293&lt;&gt;1,"",DATA_INPUT!$I293)</f>
        <v/>
      </c>
      <c r="AT293" s="18" t="str">
        <f>IF(BD293&lt;&gt;1,"",AS293*CONTROL_PANEL!$B$5)</f>
        <v/>
      </c>
      <c r="AU293" s="18" t="str">
        <f>IF(BD293&lt;&gt;1,"",DATA_INPUT!$C293)</f>
        <v/>
      </c>
      <c r="AV293" s="18" t="str">
        <f t="shared" si="194"/>
        <v/>
      </c>
      <c r="AW293" s="18" t="str">
        <f>IF(BD293&lt;&gt;1,"",DATA_INPUT!$H293)</f>
        <v/>
      </c>
      <c r="AX293" s="18" t="str">
        <f t="shared" si="195"/>
        <v/>
      </c>
      <c r="AY293" s="18" t="str">
        <f>IF(BD293&lt;&gt;1,"",AT293*CONTROL_PANEL!$B$14)</f>
        <v/>
      </c>
      <c r="AZ293" s="18" t="str">
        <f>IF(BD293&lt;&gt;1,"",DATA_INPUT!$M293)</f>
        <v/>
      </c>
      <c r="BA293" s="18" t="str">
        <f t="shared" si="196"/>
        <v/>
      </c>
      <c r="BB293" s="18" t="str">
        <f>IF(BD293&lt;&gt;1,"",IF(BA293-CONTROL_PANEL!$B$11&lt;0,0,BA293-CONTROL_PANEL!$B$11))</f>
        <v/>
      </c>
      <c r="BC293" s="18" t="str">
        <f>IF(BD293&lt;&gt;1,"",IF(AZ293&lt;=0,0,MIN(AZ293,MAX(0,CONTROL_PANEL!$B$13-BA293))))</f>
        <v/>
      </c>
      <c r="BD293" s="18"/>
      <c r="BF293" s="19">
        <f t="shared" si="218"/>
        <v>2039</v>
      </c>
      <c r="BG293" s="19">
        <f t="shared" si="183"/>
        <v>10</v>
      </c>
      <c r="BH293" s="18" t="str">
        <f t="shared" si="197"/>
        <v/>
      </c>
      <c r="BI293" s="18" t="str">
        <f t="shared" si="213"/>
        <v/>
      </c>
      <c r="BJ293" s="18" t="str">
        <f>IF(BW292&lt;&gt;1,"",IF(BT292&gt;0,IF(BT292&gt;CONTROL_PANEL!$B$11,CONTROL_PANEL!$B$11,BT292),0))</f>
        <v/>
      </c>
      <c r="BK293" s="18" t="str">
        <f t="shared" si="208"/>
        <v/>
      </c>
      <c r="BL293" s="18" t="str">
        <f>IF(BW293&lt;&gt;1,"",DATA_INPUT!$I293)</f>
        <v/>
      </c>
      <c r="BM293" s="18" t="str">
        <f>IF(BW293&lt;&gt;1,"",BL293*CONTROL_PANEL!$B$5)</f>
        <v/>
      </c>
      <c r="BN293" s="18" t="str">
        <f>IF(BW293&lt;&gt;1,"",DATA_INPUT!$C293)</f>
        <v/>
      </c>
      <c r="BO293" s="18" t="str">
        <f t="shared" si="198"/>
        <v/>
      </c>
      <c r="BP293" s="18" t="str">
        <f>IF(BW293&lt;&gt;1,"",DATA_INPUT!$H293)</f>
        <v/>
      </c>
      <c r="BQ293" s="18" t="str">
        <f t="shared" si="199"/>
        <v/>
      </c>
      <c r="BR293" s="18" t="str">
        <f>IF(BW293&lt;&gt;1,"",BM293*CONTROL_PANEL!$B$14)</f>
        <v/>
      </c>
      <c r="BS293" s="18" t="str">
        <f>IF(BW293&lt;&gt;1,"",DATA_INPUT!$N293)</f>
        <v/>
      </c>
      <c r="BT293" s="18" t="str">
        <f t="shared" si="200"/>
        <v/>
      </c>
      <c r="BU293" s="18" t="str">
        <f>IF(BW293&lt;&gt;1,"",IF(BT293-CONTROL_PANEL!$B$11&lt;0,0,BT293-CONTROL_PANEL!$B$11))</f>
        <v/>
      </c>
      <c r="BV293" s="18" t="str">
        <f>IF(BW293&lt;&gt;1,"",IF(BS293&lt;=0,0,MIN(BS293,MAX(0,CONTROL_PANEL!$B$13-BT293))))</f>
        <v/>
      </c>
      <c r="BW293" s="18"/>
      <c r="BY293" s="19">
        <f t="shared" si="219"/>
        <v>2039</v>
      </c>
      <c r="BZ293" s="19">
        <f t="shared" si="184"/>
        <v>10</v>
      </c>
      <c r="CA293" s="18" t="str">
        <f t="shared" si="201"/>
        <v/>
      </c>
      <c r="CB293" s="18" t="str">
        <f t="shared" si="214"/>
        <v/>
      </c>
      <c r="CC293" s="18" t="str">
        <f>IF(CP292&lt;&gt;1,"",IF(CM292&gt;0,IF(CM292&gt;CONTROL_PANEL!$B$11,CONTROL_PANEL!$B$11,CM292),0))</f>
        <v/>
      </c>
      <c r="CD293" s="18" t="str">
        <f t="shared" si="209"/>
        <v/>
      </c>
      <c r="CE293" s="18" t="str">
        <f>IF(CP293&lt;&gt;1,"",DATA_INPUT!$I293)</f>
        <v/>
      </c>
      <c r="CF293" s="18" t="str">
        <f>IF(CP293&lt;&gt;1,"",CE293*CONTROL_PANEL!$B$5)</f>
        <v/>
      </c>
      <c r="CG293" s="18" t="str">
        <f>IF(CP293&lt;&gt;1,"",DATA_INPUT!$C293)</f>
        <v/>
      </c>
      <c r="CH293" s="18" t="str">
        <f t="shared" si="202"/>
        <v/>
      </c>
      <c r="CI293" s="18" t="str">
        <f>IF(CP293&lt;&gt;1,"",DATA_INPUT!$H293)</f>
        <v/>
      </c>
      <c r="CJ293" s="18" t="str">
        <f t="shared" si="203"/>
        <v/>
      </c>
      <c r="CK293" s="18" t="str">
        <f>IF(CP293&lt;&gt;1,"",CF293*CONTROL_PANEL!$B$14)</f>
        <v/>
      </c>
      <c r="CL293" s="18" t="str">
        <f>IF(CP293&lt;&gt;1,"",DATA_INPUT!$O293)</f>
        <v/>
      </c>
      <c r="CM293" s="18" t="str">
        <f t="shared" si="204"/>
        <v/>
      </c>
      <c r="CN293" s="18" t="str">
        <f>IF(CP293&lt;&gt;1,"",IF(CM293-CONTROL_PANEL!$B$11&lt;0,0,CM293-CONTROL_PANEL!$B$11))</f>
        <v/>
      </c>
      <c r="CO293" s="18" t="str">
        <f>IF(CP293&lt;&gt;1,"",IF(CL293&lt;=0,0,MIN(CL293,MAX(0,CONTROL_PANEL!$B$13-CM293))))</f>
        <v/>
      </c>
      <c r="CP293" s="18"/>
    </row>
    <row r="294" spans="1:94" x14ac:dyDescent="0.25">
      <c r="A294" s="19">
        <f t="shared" si="215"/>
        <v>2039</v>
      </c>
      <c r="B294" s="19">
        <f t="shared" si="180"/>
        <v>11</v>
      </c>
      <c r="C294" s="18" t="str">
        <f t="shared" si="185"/>
        <v/>
      </c>
      <c r="D294" s="18" t="str">
        <f t="shared" si="210"/>
        <v/>
      </c>
      <c r="E294" s="18" t="str">
        <f>IF(R293&lt;&gt;1,"",IF(O293&gt;0,IF(O293&gt;CONTROL_PANEL!$B$11,CONTROL_PANEL!$B$11,O293),0))</f>
        <v/>
      </c>
      <c r="F294" s="18" t="str">
        <f t="shared" si="205"/>
        <v/>
      </c>
      <c r="G294" s="18" t="str">
        <f>IF(R294&lt;&gt;1,"",DATA_INPUT!I294)</f>
        <v/>
      </c>
      <c r="H294" s="18" t="str">
        <f>IF(R294&lt;&gt;1,"",G294*CONTROL_PANEL!$B$5)</f>
        <v/>
      </c>
      <c r="I294" s="18" t="str">
        <f>IF(R294&lt;&gt;1,"",DATA_INPUT!C294)</f>
        <v/>
      </c>
      <c r="J294" s="18" t="str">
        <f t="shared" si="186"/>
        <v/>
      </c>
      <c r="K294" s="18" t="str">
        <f>IF(R294&lt;&gt;1,"",DATA_INPUT!H294)</f>
        <v/>
      </c>
      <c r="L294" s="18" t="str">
        <f t="shared" si="187"/>
        <v/>
      </c>
      <c r="M294" s="18" t="str">
        <f>IF(R294&lt;&gt;1,"",H294*CONTROL_PANEL!$B$14)</f>
        <v/>
      </c>
      <c r="N294" s="18" t="str">
        <f>IF(R294&lt;&gt;1,"",DATA_INPUT!K294)</f>
        <v/>
      </c>
      <c r="O294" s="18" t="str">
        <f t="shared" si="188"/>
        <v/>
      </c>
      <c r="P294" s="18" t="str">
        <f>IF(R294&lt;&gt;1,"",IF(O294-CONTROL_PANEL!$B$11&lt;0,0,O294-CONTROL_PANEL!$B$11))</f>
        <v/>
      </c>
      <c r="Q294" s="18" t="str">
        <f>IF(R294&lt;&gt;1,"",IF(N294&lt;=0,0,MIN(N294,MAX(0,CONTROL_PANEL!$B$13-O294))))</f>
        <v/>
      </c>
      <c r="R294" s="18"/>
      <c r="T294" s="19">
        <f t="shared" si="216"/>
        <v>2039</v>
      </c>
      <c r="U294" s="19">
        <f t="shared" si="181"/>
        <v>11</v>
      </c>
      <c r="V294" s="18" t="str">
        <f t="shared" si="189"/>
        <v/>
      </c>
      <c r="W294" s="18" t="str">
        <f t="shared" si="211"/>
        <v/>
      </c>
      <c r="X294" s="18" t="str">
        <f>IF(AK293&lt;&gt;1,"",IF(AH293&gt;0,IF(AH293&gt;CONTROL_PANEL!$B$11,CONTROL_PANEL!$B$11,AH293),0))</f>
        <v/>
      </c>
      <c r="Y294" s="18" t="str">
        <f t="shared" si="206"/>
        <v/>
      </c>
      <c r="Z294" s="18" t="str">
        <f>IF(AK294&lt;&gt;1,"",DATA_INPUT!I294)</f>
        <v/>
      </c>
      <c r="AA294" s="18" t="str">
        <f>IF(AK294&lt;&gt;1,"",Z294*CONTROL_PANEL!$B$5)</f>
        <v/>
      </c>
      <c r="AB294" s="18" t="str">
        <f>IF(AK294&lt;&gt;1,"",DATA_INPUT!$C294)</f>
        <v/>
      </c>
      <c r="AC294" s="18" t="str">
        <f t="shared" si="190"/>
        <v/>
      </c>
      <c r="AD294" s="18" t="str">
        <f>IF(AK294&lt;&gt;1,"",DATA_INPUT!$H294)</f>
        <v/>
      </c>
      <c r="AE294" s="18" t="str">
        <f t="shared" si="191"/>
        <v/>
      </c>
      <c r="AF294" s="18" t="str">
        <f>IF(AK294&lt;&gt;1,"",AA294*CONTROL_PANEL!$B$14)</f>
        <v/>
      </c>
      <c r="AG294" s="18" t="str">
        <f>IF(AK294&lt;&gt;1,"",DATA_INPUT!$L294)</f>
        <v/>
      </c>
      <c r="AH294" s="18" t="str">
        <f t="shared" si="192"/>
        <v/>
      </c>
      <c r="AI294" s="18" t="str">
        <f>IF(AK294&lt;&gt;1,"",IF(AH294-CONTROL_PANEL!$B$11&lt;0,0,AH294-CONTROL_PANEL!$B$11))</f>
        <v/>
      </c>
      <c r="AJ294" s="18" t="str">
        <f>IF(AK294&lt;&gt;1,"",IF(AG294&lt;=0,0,MIN(AG294,MAX(0,CONTROL_PANEL!$B$13-AH294))))</f>
        <v/>
      </c>
      <c r="AK294" s="18"/>
      <c r="AM294" s="19">
        <f t="shared" si="217"/>
        <v>2039</v>
      </c>
      <c r="AN294" s="19">
        <f t="shared" si="182"/>
        <v>11</v>
      </c>
      <c r="AO294" s="18" t="str">
        <f t="shared" si="193"/>
        <v/>
      </c>
      <c r="AP294" s="18" t="str">
        <f t="shared" si="212"/>
        <v/>
      </c>
      <c r="AQ294" s="18" t="str">
        <f>IF(BD293&lt;&gt;1,"",IF(BA293&gt;0,IF(BA293&gt;CONTROL_PANEL!$B$11,CONTROL_PANEL!$B$11,BA293),0))</f>
        <v/>
      </c>
      <c r="AR294" s="18" t="str">
        <f t="shared" si="207"/>
        <v/>
      </c>
      <c r="AS294" s="18" t="str">
        <f>IF(BD294&lt;&gt;1,"",DATA_INPUT!$I294)</f>
        <v/>
      </c>
      <c r="AT294" s="18" t="str">
        <f>IF(BD294&lt;&gt;1,"",AS294*CONTROL_PANEL!$B$5)</f>
        <v/>
      </c>
      <c r="AU294" s="18" t="str">
        <f>IF(BD294&lt;&gt;1,"",DATA_INPUT!$C294)</f>
        <v/>
      </c>
      <c r="AV294" s="18" t="str">
        <f t="shared" si="194"/>
        <v/>
      </c>
      <c r="AW294" s="18" t="str">
        <f>IF(BD294&lt;&gt;1,"",DATA_INPUT!$H294)</f>
        <v/>
      </c>
      <c r="AX294" s="18" t="str">
        <f t="shared" si="195"/>
        <v/>
      </c>
      <c r="AY294" s="18" t="str">
        <f>IF(BD294&lt;&gt;1,"",AT294*CONTROL_PANEL!$B$14)</f>
        <v/>
      </c>
      <c r="AZ294" s="18" t="str">
        <f>IF(BD294&lt;&gt;1,"",DATA_INPUT!$M294)</f>
        <v/>
      </c>
      <c r="BA294" s="18" t="str">
        <f t="shared" si="196"/>
        <v/>
      </c>
      <c r="BB294" s="18" t="str">
        <f>IF(BD294&lt;&gt;1,"",IF(BA294-CONTROL_PANEL!$B$11&lt;0,0,BA294-CONTROL_PANEL!$B$11))</f>
        <v/>
      </c>
      <c r="BC294" s="18" t="str">
        <f>IF(BD294&lt;&gt;1,"",IF(AZ294&lt;=0,0,MIN(AZ294,MAX(0,CONTROL_PANEL!$B$13-BA294))))</f>
        <v/>
      </c>
      <c r="BD294" s="18"/>
      <c r="BF294" s="19">
        <f t="shared" si="218"/>
        <v>2039</v>
      </c>
      <c r="BG294" s="19">
        <f t="shared" si="183"/>
        <v>11</v>
      </c>
      <c r="BH294" s="18" t="str">
        <f t="shared" si="197"/>
        <v/>
      </c>
      <c r="BI294" s="18" t="str">
        <f t="shared" si="213"/>
        <v/>
      </c>
      <c r="BJ294" s="18" t="str">
        <f>IF(BW293&lt;&gt;1,"",IF(BT293&gt;0,IF(BT293&gt;CONTROL_PANEL!$B$11,CONTROL_PANEL!$B$11,BT293),0))</f>
        <v/>
      </c>
      <c r="BK294" s="18" t="str">
        <f t="shared" si="208"/>
        <v/>
      </c>
      <c r="BL294" s="18" t="str">
        <f>IF(BW294&lt;&gt;1,"",DATA_INPUT!$I294)</f>
        <v/>
      </c>
      <c r="BM294" s="18" t="str">
        <f>IF(BW294&lt;&gt;1,"",BL294*CONTROL_PANEL!$B$5)</f>
        <v/>
      </c>
      <c r="BN294" s="18" t="str">
        <f>IF(BW294&lt;&gt;1,"",DATA_INPUT!$C294)</f>
        <v/>
      </c>
      <c r="BO294" s="18" t="str">
        <f t="shared" si="198"/>
        <v/>
      </c>
      <c r="BP294" s="18" t="str">
        <f>IF(BW294&lt;&gt;1,"",DATA_INPUT!$H294)</f>
        <v/>
      </c>
      <c r="BQ294" s="18" t="str">
        <f t="shared" si="199"/>
        <v/>
      </c>
      <c r="BR294" s="18" t="str">
        <f>IF(BW294&lt;&gt;1,"",BM294*CONTROL_PANEL!$B$14)</f>
        <v/>
      </c>
      <c r="BS294" s="18" t="str">
        <f>IF(BW294&lt;&gt;1,"",DATA_INPUT!$N294)</f>
        <v/>
      </c>
      <c r="BT294" s="18" t="str">
        <f t="shared" si="200"/>
        <v/>
      </c>
      <c r="BU294" s="18" t="str">
        <f>IF(BW294&lt;&gt;1,"",IF(BT294-CONTROL_PANEL!$B$11&lt;0,0,BT294-CONTROL_PANEL!$B$11))</f>
        <v/>
      </c>
      <c r="BV294" s="18" t="str">
        <f>IF(BW294&lt;&gt;1,"",IF(BS294&lt;=0,0,MIN(BS294,MAX(0,CONTROL_PANEL!$B$13-BT294))))</f>
        <v/>
      </c>
      <c r="BW294" s="18"/>
      <c r="BY294" s="19">
        <f t="shared" si="219"/>
        <v>2039</v>
      </c>
      <c r="BZ294" s="19">
        <f t="shared" si="184"/>
        <v>11</v>
      </c>
      <c r="CA294" s="18" t="str">
        <f t="shared" si="201"/>
        <v/>
      </c>
      <c r="CB294" s="18" t="str">
        <f t="shared" si="214"/>
        <v/>
      </c>
      <c r="CC294" s="18" t="str">
        <f>IF(CP293&lt;&gt;1,"",IF(CM293&gt;0,IF(CM293&gt;CONTROL_PANEL!$B$11,CONTROL_PANEL!$B$11,CM293),0))</f>
        <v/>
      </c>
      <c r="CD294" s="18" t="str">
        <f t="shared" si="209"/>
        <v/>
      </c>
      <c r="CE294" s="18" t="str">
        <f>IF(CP294&lt;&gt;1,"",DATA_INPUT!$I294)</f>
        <v/>
      </c>
      <c r="CF294" s="18" t="str">
        <f>IF(CP294&lt;&gt;1,"",CE294*CONTROL_PANEL!$B$5)</f>
        <v/>
      </c>
      <c r="CG294" s="18" t="str">
        <f>IF(CP294&lt;&gt;1,"",DATA_INPUT!$C294)</f>
        <v/>
      </c>
      <c r="CH294" s="18" t="str">
        <f t="shared" si="202"/>
        <v/>
      </c>
      <c r="CI294" s="18" t="str">
        <f>IF(CP294&lt;&gt;1,"",DATA_INPUT!$H294)</f>
        <v/>
      </c>
      <c r="CJ294" s="18" t="str">
        <f t="shared" si="203"/>
        <v/>
      </c>
      <c r="CK294" s="18" t="str">
        <f>IF(CP294&lt;&gt;1,"",CF294*CONTROL_PANEL!$B$14)</f>
        <v/>
      </c>
      <c r="CL294" s="18" t="str">
        <f>IF(CP294&lt;&gt;1,"",DATA_INPUT!$O294)</f>
        <v/>
      </c>
      <c r="CM294" s="18" t="str">
        <f t="shared" si="204"/>
        <v/>
      </c>
      <c r="CN294" s="18" t="str">
        <f>IF(CP294&lt;&gt;1,"",IF(CM294-CONTROL_PANEL!$B$11&lt;0,0,CM294-CONTROL_PANEL!$B$11))</f>
        <v/>
      </c>
      <c r="CO294" s="18" t="str">
        <f>IF(CP294&lt;&gt;1,"",IF(CL294&lt;=0,0,MIN(CL294,MAX(0,CONTROL_PANEL!$B$13-CM294))))</f>
        <v/>
      </c>
      <c r="CP294" s="18"/>
    </row>
    <row r="295" spans="1:94" x14ac:dyDescent="0.25">
      <c r="A295" s="19">
        <f t="shared" si="215"/>
        <v>2039</v>
      </c>
      <c r="B295" s="19">
        <f t="shared" si="180"/>
        <v>12</v>
      </c>
      <c r="C295" s="18" t="str">
        <f t="shared" si="185"/>
        <v/>
      </c>
      <c r="D295" s="18" t="str">
        <f t="shared" si="210"/>
        <v/>
      </c>
      <c r="E295" s="18" t="str">
        <f>IF(R294&lt;&gt;1,"",IF(O294&gt;0,IF(O294&gt;CONTROL_PANEL!$B$11,CONTROL_PANEL!$B$11,O294),0))</f>
        <v/>
      </c>
      <c r="F295" s="18" t="str">
        <f t="shared" si="205"/>
        <v/>
      </c>
      <c r="G295" s="18" t="str">
        <f>IF(R295&lt;&gt;1,"",DATA_INPUT!I295)</f>
        <v/>
      </c>
      <c r="H295" s="18" t="str">
        <f>IF(R295&lt;&gt;1,"",G295*CONTROL_PANEL!$B$5)</f>
        <v/>
      </c>
      <c r="I295" s="18" t="str">
        <f>IF(R295&lt;&gt;1,"",DATA_INPUT!C295)</f>
        <v/>
      </c>
      <c r="J295" s="18" t="str">
        <f t="shared" si="186"/>
        <v/>
      </c>
      <c r="K295" s="18" t="str">
        <f>IF(R295&lt;&gt;1,"",DATA_INPUT!H295)</f>
        <v/>
      </c>
      <c r="L295" s="18" t="str">
        <f t="shared" si="187"/>
        <v/>
      </c>
      <c r="M295" s="18" t="str">
        <f>IF(R295&lt;&gt;1,"",H295*CONTROL_PANEL!$B$14)</f>
        <v/>
      </c>
      <c r="N295" s="18" t="str">
        <f>IF(R295&lt;&gt;1,"",DATA_INPUT!K295)</f>
        <v/>
      </c>
      <c r="O295" s="18" t="str">
        <f t="shared" si="188"/>
        <v/>
      </c>
      <c r="P295" s="18" t="str">
        <f>IF(R295&lt;&gt;1,"",IF(O295-CONTROL_PANEL!$B$11&lt;0,0,O295-CONTROL_PANEL!$B$11))</f>
        <v/>
      </c>
      <c r="Q295" s="18" t="str">
        <f>IF(R295&lt;&gt;1,"",IF(N295&lt;=0,0,MIN(N295,MAX(0,CONTROL_PANEL!$B$13-O295))))</f>
        <v/>
      </c>
      <c r="R295" s="18"/>
      <c r="T295" s="19">
        <f t="shared" si="216"/>
        <v>2039</v>
      </c>
      <c r="U295" s="19">
        <f t="shared" si="181"/>
        <v>12</v>
      </c>
      <c r="V295" s="18" t="str">
        <f t="shared" si="189"/>
        <v/>
      </c>
      <c r="W295" s="18" t="str">
        <f t="shared" si="211"/>
        <v/>
      </c>
      <c r="X295" s="18" t="str">
        <f>IF(AK294&lt;&gt;1,"",IF(AH294&gt;0,IF(AH294&gt;CONTROL_PANEL!$B$11,CONTROL_PANEL!$B$11,AH294),0))</f>
        <v/>
      </c>
      <c r="Y295" s="18" t="str">
        <f t="shared" si="206"/>
        <v/>
      </c>
      <c r="Z295" s="18" t="str">
        <f>IF(AK295&lt;&gt;1,"",DATA_INPUT!I295)</f>
        <v/>
      </c>
      <c r="AA295" s="18" t="str">
        <f>IF(AK295&lt;&gt;1,"",Z295*CONTROL_PANEL!$B$5)</f>
        <v/>
      </c>
      <c r="AB295" s="18" t="str">
        <f>IF(AK295&lt;&gt;1,"",DATA_INPUT!$C295)</f>
        <v/>
      </c>
      <c r="AC295" s="18" t="str">
        <f t="shared" si="190"/>
        <v/>
      </c>
      <c r="AD295" s="18" t="str">
        <f>IF(AK295&lt;&gt;1,"",DATA_INPUT!$H295)</f>
        <v/>
      </c>
      <c r="AE295" s="18" t="str">
        <f t="shared" si="191"/>
        <v/>
      </c>
      <c r="AF295" s="18" t="str">
        <f>IF(AK295&lt;&gt;1,"",AA295*CONTROL_PANEL!$B$14)</f>
        <v/>
      </c>
      <c r="AG295" s="18" t="str">
        <f>IF(AK295&lt;&gt;1,"",DATA_INPUT!$L295)</f>
        <v/>
      </c>
      <c r="AH295" s="18" t="str">
        <f t="shared" si="192"/>
        <v/>
      </c>
      <c r="AI295" s="18" t="str">
        <f>IF(AK295&lt;&gt;1,"",IF(AH295-CONTROL_PANEL!$B$11&lt;0,0,AH295-CONTROL_PANEL!$B$11))</f>
        <v/>
      </c>
      <c r="AJ295" s="18" t="str">
        <f>IF(AK295&lt;&gt;1,"",IF(AG295&lt;=0,0,MIN(AG295,MAX(0,CONTROL_PANEL!$B$13-AH295))))</f>
        <v/>
      </c>
      <c r="AK295" s="18"/>
      <c r="AM295" s="19">
        <f t="shared" si="217"/>
        <v>2039</v>
      </c>
      <c r="AN295" s="19">
        <f t="shared" si="182"/>
        <v>12</v>
      </c>
      <c r="AO295" s="18" t="str">
        <f t="shared" si="193"/>
        <v/>
      </c>
      <c r="AP295" s="18" t="str">
        <f t="shared" si="212"/>
        <v/>
      </c>
      <c r="AQ295" s="18" t="str">
        <f>IF(BD294&lt;&gt;1,"",IF(BA294&gt;0,IF(BA294&gt;CONTROL_PANEL!$B$11,CONTROL_PANEL!$B$11,BA294),0))</f>
        <v/>
      </c>
      <c r="AR295" s="18" t="str">
        <f t="shared" si="207"/>
        <v/>
      </c>
      <c r="AS295" s="18" t="str">
        <f>IF(BD295&lt;&gt;1,"",DATA_INPUT!$I295)</f>
        <v/>
      </c>
      <c r="AT295" s="18" t="str">
        <f>IF(BD295&lt;&gt;1,"",AS295*CONTROL_PANEL!$B$5)</f>
        <v/>
      </c>
      <c r="AU295" s="18" t="str">
        <f>IF(BD295&lt;&gt;1,"",DATA_INPUT!$C295)</f>
        <v/>
      </c>
      <c r="AV295" s="18" t="str">
        <f t="shared" si="194"/>
        <v/>
      </c>
      <c r="AW295" s="18" t="str">
        <f>IF(BD295&lt;&gt;1,"",DATA_INPUT!$H295)</f>
        <v/>
      </c>
      <c r="AX295" s="18" t="str">
        <f t="shared" si="195"/>
        <v/>
      </c>
      <c r="AY295" s="18" t="str">
        <f>IF(BD295&lt;&gt;1,"",AT295*CONTROL_PANEL!$B$14)</f>
        <v/>
      </c>
      <c r="AZ295" s="18" t="str">
        <f>IF(BD295&lt;&gt;1,"",DATA_INPUT!$M295)</f>
        <v/>
      </c>
      <c r="BA295" s="18" t="str">
        <f t="shared" si="196"/>
        <v/>
      </c>
      <c r="BB295" s="18" t="str">
        <f>IF(BD295&lt;&gt;1,"",IF(BA295-CONTROL_PANEL!$B$11&lt;0,0,BA295-CONTROL_PANEL!$B$11))</f>
        <v/>
      </c>
      <c r="BC295" s="18" t="str">
        <f>IF(BD295&lt;&gt;1,"",IF(AZ295&lt;=0,0,MIN(AZ295,MAX(0,CONTROL_PANEL!$B$13-BA295))))</f>
        <v/>
      </c>
      <c r="BD295" s="18"/>
      <c r="BF295" s="19">
        <f t="shared" si="218"/>
        <v>2039</v>
      </c>
      <c r="BG295" s="19">
        <f t="shared" si="183"/>
        <v>12</v>
      </c>
      <c r="BH295" s="18" t="str">
        <f t="shared" si="197"/>
        <v/>
      </c>
      <c r="BI295" s="18" t="str">
        <f t="shared" si="213"/>
        <v/>
      </c>
      <c r="BJ295" s="18" t="str">
        <f>IF(BW294&lt;&gt;1,"",IF(BT294&gt;0,IF(BT294&gt;CONTROL_PANEL!$B$11,CONTROL_PANEL!$B$11,BT294),0))</f>
        <v/>
      </c>
      <c r="BK295" s="18" t="str">
        <f t="shared" si="208"/>
        <v/>
      </c>
      <c r="BL295" s="18" t="str">
        <f>IF(BW295&lt;&gt;1,"",DATA_INPUT!$I295)</f>
        <v/>
      </c>
      <c r="BM295" s="18" t="str">
        <f>IF(BW295&lt;&gt;1,"",BL295*CONTROL_PANEL!$B$5)</f>
        <v/>
      </c>
      <c r="BN295" s="18" t="str">
        <f>IF(BW295&lt;&gt;1,"",DATA_INPUT!$C295)</f>
        <v/>
      </c>
      <c r="BO295" s="18" t="str">
        <f t="shared" si="198"/>
        <v/>
      </c>
      <c r="BP295" s="18" t="str">
        <f>IF(BW295&lt;&gt;1,"",DATA_INPUT!$H295)</f>
        <v/>
      </c>
      <c r="BQ295" s="18" t="str">
        <f t="shared" si="199"/>
        <v/>
      </c>
      <c r="BR295" s="18" t="str">
        <f>IF(BW295&lt;&gt;1,"",BM295*CONTROL_PANEL!$B$14)</f>
        <v/>
      </c>
      <c r="BS295" s="18" t="str">
        <f>IF(BW295&lt;&gt;1,"",DATA_INPUT!$N295)</f>
        <v/>
      </c>
      <c r="BT295" s="18" t="str">
        <f t="shared" si="200"/>
        <v/>
      </c>
      <c r="BU295" s="18" t="str">
        <f>IF(BW295&lt;&gt;1,"",IF(BT295-CONTROL_PANEL!$B$11&lt;0,0,BT295-CONTROL_PANEL!$B$11))</f>
        <v/>
      </c>
      <c r="BV295" s="18" t="str">
        <f>IF(BW295&lt;&gt;1,"",IF(BS295&lt;=0,0,MIN(BS295,MAX(0,CONTROL_PANEL!$B$13-BT295))))</f>
        <v/>
      </c>
      <c r="BW295" s="18"/>
      <c r="BY295" s="19">
        <f t="shared" si="219"/>
        <v>2039</v>
      </c>
      <c r="BZ295" s="19">
        <f t="shared" si="184"/>
        <v>12</v>
      </c>
      <c r="CA295" s="18" t="str">
        <f t="shared" si="201"/>
        <v/>
      </c>
      <c r="CB295" s="18" t="str">
        <f t="shared" si="214"/>
        <v/>
      </c>
      <c r="CC295" s="18" t="str">
        <f>IF(CP294&lt;&gt;1,"",IF(CM294&gt;0,IF(CM294&gt;CONTROL_PANEL!$B$11,CONTROL_PANEL!$B$11,CM294),0))</f>
        <v/>
      </c>
      <c r="CD295" s="18" t="str">
        <f t="shared" si="209"/>
        <v/>
      </c>
      <c r="CE295" s="18" t="str">
        <f>IF(CP295&lt;&gt;1,"",DATA_INPUT!$I295)</f>
        <v/>
      </c>
      <c r="CF295" s="18" t="str">
        <f>IF(CP295&lt;&gt;1,"",CE295*CONTROL_PANEL!$B$5)</f>
        <v/>
      </c>
      <c r="CG295" s="18" t="str">
        <f>IF(CP295&lt;&gt;1,"",DATA_INPUT!$C295)</f>
        <v/>
      </c>
      <c r="CH295" s="18" t="str">
        <f t="shared" si="202"/>
        <v/>
      </c>
      <c r="CI295" s="18" t="str">
        <f>IF(CP295&lt;&gt;1,"",DATA_INPUT!$H295)</f>
        <v/>
      </c>
      <c r="CJ295" s="18" t="str">
        <f t="shared" si="203"/>
        <v/>
      </c>
      <c r="CK295" s="18" t="str">
        <f>IF(CP295&lt;&gt;1,"",CF295*CONTROL_PANEL!$B$14)</f>
        <v/>
      </c>
      <c r="CL295" s="18" t="str">
        <f>IF(CP295&lt;&gt;1,"",DATA_INPUT!$O295)</f>
        <v/>
      </c>
      <c r="CM295" s="18" t="str">
        <f t="shared" si="204"/>
        <v/>
      </c>
      <c r="CN295" s="18" t="str">
        <f>IF(CP295&lt;&gt;1,"",IF(CM295-CONTROL_PANEL!$B$11&lt;0,0,CM295-CONTROL_PANEL!$B$11))</f>
        <v/>
      </c>
      <c r="CO295" s="18" t="str">
        <f>IF(CP295&lt;&gt;1,"",IF(CL295&lt;=0,0,MIN(CL295,MAX(0,CONTROL_PANEL!$B$13-CM295))))</f>
        <v/>
      </c>
      <c r="CP295" s="18"/>
    </row>
    <row r="296" spans="1:94" x14ac:dyDescent="0.25">
      <c r="A296" s="19">
        <f t="shared" si="215"/>
        <v>2040</v>
      </c>
      <c r="B296" s="19">
        <f t="shared" si="180"/>
        <v>1</v>
      </c>
      <c r="C296" s="18" t="str">
        <f t="shared" si="185"/>
        <v/>
      </c>
      <c r="D296" s="18" t="str">
        <f t="shared" si="210"/>
        <v/>
      </c>
      <c r="E296" s="18" t="str">
        <f>IF(R295&lt;&gt;1,"",IF(O295&gt;0,IF(O295&gt;CONTROL_PANEL!$B$11,CONTROL_PANEL!$B$11,O295),0))</f>
        <v/>
      </c>
      <c r="F296" s="18" t="str">
        <f t="shared" si="205"/>
        <v/>
      </c>
      <c r="G296" s="18" t="str">
        <f>IF(R296&lt;&gt;1,"",DATA_INPUT!I296)</f>
        <v/>
      </c>
      <c r="H296" s="18" t="str">
        <f>IF(R296&lt;&gt;1,"",G296*CONTROL_PANEL!$B$5)</f>
        <v/>
      </c>
      <c r="I296" s="18" t="str">
        <f>IF(R296&lt;&gt;1,"",DATA_INPUT!C296)</f>
        <v/>
      </c>
      <c r="J296" s="18" t="str">
        <f t="shared" si="186"/>
        <v/>
      </c>
      <c r="K296" s="18" t="str">
        <f>IF(R296&lt;&gt;1,"",DATA_INPUT!H296)</f>
        <v/>
      </c>
      <c r="L296" s="18" t="str">
        <f t="shared" si="187"/>
        <v/>
      </c>
      <c r="M296" s="18" t="str">
        <f>IF(R296&lt;&gt;1,"",H296*CONTROL_PANEL!$B$14)</f>
        <v/>
      </c>
      <c r="N296" s="18" t="str">
        <f>IF(R296&lt;&gt;1,"",DATA_INPUT!K296)</f>
        <v/>
      </c>
      <c r="O296" s="18" t="str">
        <f t="shared" si="188"/>
        <v/>
      </c>
      <c r="P296" s="18" t="str">
        <f>IF(R296&lt;&gt;1,"",IF(O296-CONTROL_PANEL!$B$11&lt;0,0,O296-CONTROL_PANEL!$B$11))</f>
        <v/>
      </c>
      <c r="Q296" s="18" t="str">
        <f>IF(R296&lt;&gt;1,"",IF(N296&lt;=0,0,MIN(N296,MAX(0,CONTROL_PANEL!$B$13-O296))))</f>
        <v/>
      </c>
      <c r="R296" s="18"/>
      <c r="T296" s="19">
        <f t="shared" si="216"/>
        <v>2040</v>
      </c>
      <c r="U296" s="19">
        <f t="shared" si="181"/>
        <v>1</v>
      </c>
      <c r="V296" s="18" t="str">
        <f t="shared" si="189"/>
        <v/>
      </c>
      <c r="W296" s="18" t="str">
        <f t="shared" si="211"/>
        <v/>
      </c>
      <c r="X296" s="18" t="str">
        <f>IF(AK295&lt;&gt;1,"",IF(AH295&gt;0,IF(AH295&gt;CONTROL_PANEL!$B$11,CONTROL_PANEL!$B$11,AH295),0))</f>
        <v/>
      </c>
      <c r="Y296" s="18" t="str">
        <f t="shared" si="206"/>
        <v/>
      </c>
      <c r="Z296" s="18" t="str">
        <f>IF(AK296&lt;&gt;1,"",DATA_INPUT!I296)</f>
        <v/>
      </c>
      <c r="AA296" s="18" t="str">
        <f>IF(AK296&lt;&gt;1,"",Z296*CONTROL_PANEL!$B$5)</f>
        <v/>
      </c>
      <c r="AB296" s="18" t="str">
        <f>IF(AK296&lt;&gt;1,"",DATA_INPUT!$C296)</f>
        <v/>
      </c>
      <c r="AC296" s="18" t="str">
        <f t="shared" si="190"/>
        <v/>
      </c>
      <c r="AD296" s="18" t="str">
        <f>IF(AK296&lt;&gt;1,"",DATA_INPUT!$H296)</f>
        <v/>
      </c>
      <c r="AE296" s="18" t="str">
        <f t="shared" si="191"/>
        <v/>
      </c>
      <c r="AF296" s="18" t="str">
        <f>IF(AK296&lt;&gt;1,"",AA296*CONTROL_PANEL!$B$14)</f>
        <v/>
      </c>
      <c r="AG296" s="18" t="str">
        <f>IF(AK296&lt;&gt;1,"",DATA_INPUT!$L296)</f>
        <v/>
      </c>
      <c r="AH296" s="18" t="str">
        <f t="shared" si="192"/>
        <v/>
      </c>
      <c r="AI296" s="18" t="str">
        <f>IF(AK296&lt;&gt;1,"",IF(AH296-CONTROL_PANEL!$B$11&lt;0,0,AH296-CONTROL_PANEL!$B$11))</f>
        <v/>
      </c>
      <c r="AJ296" s="18" t="str">
        <f>IF(AK296&lt;&gt;1,"",IF(AG296&lt;=0,0,MIN(AG296,MAX(0,CONTROL_PANEL!$B$13-AH296))))</f>
        <v/>
      </c>
      <c r="AK296" s="18"/>
      <c r="AM296" s="19">
        <f t="shared" si="217"/>
        <v>2040</v>
      </c>
      <c r="AN296" s="19">
        <f t="shared" si="182"/>
        <v>1</v>
      </c>
      <c r="AO296" s="18" t="str">
        <f t="shared" si="193"/>
        <v/>
      </c>
      <c r="AP296" s="18" t="str">
        <f t="shared" si="212"/>
        <v/>
      </c>
      <c r="AQ296" s="18" t="str">
        <f>IF(BD295&lt;&gt;1,"",IF(BA295&gt;0,IF(BA295&gt;CONTROL_PANEL!$B$11,CONTROL_PANEL!$B$11,BA295),0))</f>
        <v/>
      </c>
      <c r="AR296" s="18" t="str">
        <f t="shared" si="207"/>
        <v/>
      </c>
      <c r="AS296" s="18" t="str">
        <f>IF(BD296&lt;&gt;1,"",DATA_INPUT!$I296)</f>
        <v/>
      </c>
      <c r="AT296" s="18" t="str">
        <f>IF(BD296&lt;&gt;1,"",AS296*CONTROL_PANEL!$B$5)</f>
        <v/>
      </c>
      <c r="AU296" s="18" t="str">
        <f>IF(BD296&lt;&gt;1,"",DATA_INPUT!$C296)</f>
        <v/>
      </c>
      <c r="AV296" s="18" t="str">
        <f t="shared" si="194"/>
        <v/>
      </c>
      <c r="AW296" s="18" t="str">
        <f>IF(BD296&lt;&gt;1,"",DATA_INPUT!$H296)</f>
        <v/>
      </c>
      <c r="AX296" s="18" t="str">
        <f t="shared" si="195"/>
        <v/>
      </c>
      <c r="AY296" s="18" t="str">
        <f>IF(BD296&lt;&gt;1,"",AT296*CONTROL_PANEL!$B$14)</f>
        <v/>
      </c>
      <c r="AZ296" s="18" t="str">
        <f>IF(BD296&lt;&gt;1,"",DATA_INPUT!$M296)</f>
        <v/>
      </c>
      <c r="BA296" s="18" t="str">
        <f t="shared" si="196"/>
        <v/>
      </c>
      <c r="BB296" s="18" t="str">
        <f>IF(BD296&lt;&gt;1,"",IF(BA296-CONTROL_PANEL!$B$11&lt;0,0,BA296-CONTROL_PANEL!$B$11))</f>
        <v/>
      </c>
      <c r="BC296" s="18" t="str">
        <f>IF(BD296&lt;&gt;1,"",IF(AZ296&lt;=0,0,MIN(AZ296,MAX(0,CONTROL_PANEL!$B$13-BA296))))</f>
        <v/>
      </c>
      <c r="BD296" s="18"/>
      <c r="BF296" s="19">
        <f t="shared" si="218"/>
        <v>2040</v>
      </c>
      <c r="BG296" s="19">
        <f t="shared" si="183"/>
        <v>1</v>
      </c>
      <c r="BH296" s="18" t="str">
        <f t="shared" si="197"/>
        <v/>
      </c>
      <c r="BI296" s="18" t="str">
        <f t="shared" si="213"/>
        <v/>
      </c>
      <c r="BJ296" s="18" t="str">
        <f>IF(BW295&lt;&gt;1,"",IF(BT295&gt;0,IF(BT295&gt;CONTROL_PANEL!$B$11,CONTROL_PANEL!$B$11,BT295),0))</f>
        <v/>
      </c>
      <c r="BK296" s="18" t="str">
        <f t="shared" si="208"/>
        <v/>
      </c>
      <c r="BL296" s="18" t="str">
        <f>IF(BW296&lt;&gt;1,"",DATA_INPUT!$I296)</f>
        <v/>
      </c>
      <c r="BM296" s="18" t="str">
        <f>IF(BW296&lt;&gt;1,"",BL296*CONTROL_PANEL!$B$5)</f>
        <v/>
      </c>
      <c r="BN296" s="18" t="str">
        <f>IF(BW296&lt;&gt;1,"",DATA_INPUT!$C296)</f>
        <v/>
      </c>
      <c r="BO296" s="18" t="str">
        <f t="shared" si="198"/>
        <v/>
      </c>
      <c r="BP296" s="18" t="str">
        <f>IF(BW296&lt;&gt;1,"",DATA_INPUT!$H296)</f>
        <v/>
      </c>
      <c r="BQ296" s="18" t="str">
        <f t="shared" si="199"/>
        <v/>
      </c>
      <c r="BR296" s="18" t="str">
        <f>IF(BW296&lt;&gt;1,"",BM296*CONTROL_PANEL!$B$14)</f>
        <v/>
      </c>
      <c r="BS296" s="18" t="str">
        <f>IF(BW296&lt;&gt;1,"",DATA_INPUT!$N296)</f>
        <v/>
      </c>
      <c r="BT296" s="18" t="str">
        <f t="shared" si="200"/>
        <v/>
      </c>
      <c r="BU296" s="18" t="str">
        <f>IF(BW296&lt;&gt;1,"",IF(BT296-CONTROL_PANEL!$B$11&lt;0,0,BT296-CONTROL_PANEL!$B$11))</f>
        <v/>
      </c>
      <c r="BV296" s="18" t="str">
        <f>IF(BW296&lt;&gt;1,"",IF(BS296&lt;=0,0,MIN(BS296,MAX(0,CONTROL_PANEL!$B$13-BT296))))</f>
        <v/>
      </c>
      <c r="BW296" s="18"/>
      <c r="BY296" s="19">
        <f t="shared" si="219"/>
        <v>2040</v>
      </c>
      <c r="BZ296" s="19">
        <f t="shared" si="184"/>
        <v>1</v>
      </c>
      <c r="CA296" s="18" t="str">
        <f t="shared" si="201"/>
        <v/>
      </c>
      <c r="CB296" s="18" t="str">
        <f t="shared" si="214"/>
        <v/>
      </c>
      <c r="CC296" s="18" t="str">
        <f>IF(CP295&lt;&gt;1,"",IF(CM295&gt;0,IF(CM295&gt;CONTROL_PANEL!$B$11,CONTROL_PANEL!$B$11,CM295),0))</f>
        <v/>
      </c>
      <c r="CD296" s="18" t="str">
        <f t="shared" si="209"/>
        <v/>
      </c>
      <c r="CE296" s="18" t="str">
        <f>IF(CP296&lt;&gt;1,"",DATA_INPUT!$I296)</f>
        <v/>
      </c>
      <c r="CF296" s="18" t="str">
        <f>IF(CP296&lt;&gt;1,"",CE296*CONTROL_PANEL!$B$5)</f>
        <v/>
      </c>
      <c r="CG296" s="18" t="str">
        <f>IF(CP296&lt;&gt;1,"",DATA_INPUT!$C296)</f>
        <v/>
      </c>
      <c r="CH296" s="18" t="str">
        <f t="shared" si="202"/>
        <v/>
      </c>
      <c r="CI296" s="18" t="str">
        <f>IF(CP296&lt;&gt;1,"",DATA_INPUT!$H296)</f>
        <v/>
      </c>
      <c r="CJ296" s="18" t="str">
        <f t="shared" si="203"/>
        <v/>
      </c>
      <c r="CK296" s="18" t="str">
        <f>IF(CP296&lt;&gt;1,"",CF296*CONTROL_PANEL!$B$14)</f>
        <v/>
      </c>
      <c r="CL296" s="18" t="str">
        <f>IF(CP296&lt;&gt;1,"",DATA_INPUT!$O296)</f>
        <v/>
      </c>
      <c r="CM296" s="18" t="str">
        <f t="shared" si="204"/>
        <v/>
      </c>
      <c r="CN296" s="18" t="str">
        <f>IF(CP296&lt;&gt;1,"",IF(CM296-CONTROL_PANEL!$B$11&lt;0,0,CM296-CONTROL_PANEL!$B$11))</f>
        <v/>
      </c>
      <c r="CO296" s="18" t="str">
        <f>IF(CP296&lt;&gt;1,"",IF(CL296&lt;=0,0,MIN(CL296,MAX(0,CONTROL_PANEL!$B$13-CM296))))</f>
        <v/>
      </c>
      <c r="CP296" s="18"/>
    </row>
    <row r="297" spans="1:94" x14ac:dyDescent="0.25">
      <c r="A297" s="19">
        <f t="shared" si="215"/>
        <v>2040</v>
      </c>
      <c r="B297" s="19">
        <f t="shared" si="180"/>
        <v>2</v>
      </c>
      <c r="C297" s="18" t="str">
        <f t="shared" si="185"/>
        <v/>
      </c>
      <c r="D297" s="18" t="str">
        <f t="shared" si="210"/>
        <v/>
      </c>
      <c r="E297" s="18" t="str">
        <f>IF(R296&lt;&gt;1,"",IF(O296&gt;0,IF(O296&gt;CONTROL_PANEL!$B$11,CONTROL_PANEL!$B$11,O296),0))</f>
        <v/>
      </c>
      <c r="F297" s="18" t="str">
        <f t="shared" si="205"/>
        <v/>
      </c>
      <c r="G297" s="18" t="str">
        <f>IF(R297&lt;&gt;1,"",DATA_INPUT!I297)</f>
        <v/>
      </c>
      <c r="H297" s="18" t="str">
        <f>IF(R297&lt;&gt;1,"",G297*CONTROL_PANEL!$B$5)</f>
        <v/>
      </c>
      <c r="I297" s="18" t="str">
        <f>IF(R297&lt;&gt;1,"",DATA_INPUT!C297)</f>
        <v/>
      </c>
      <c r="J297" s="18" t="str">
        <f t="shared" si="186"/>
        <v/>
      </c>
      <c r="K297" s="18" t="str">
        <f>IF(R297&lt;&gt;1,"",DATA_INPUT!H297)</f>
        <v/>
      </c>
      <c r="L297" s="18" t="str">
        <f t="shared" si="187"/>
        <v/>
      </c>
      <c r="M297" s="18" t="str">
        <f>IF(R297&lt;&gt;1,"",H297*CONTROL_PANEL!$B$14)</f>
        <v/>
      </c>
      <c r="N297" s="18" t="str">
        <f>IF(R297&lt;&gt;1,"",DATA_INPUT!K297)</f>
        <v/>
      </c>
      <c r="O297" s="18" t="str">
        <f t="shared" si="188"/>
        <v/>
      </c>
      <c r="P297" s="18" t="str">
        <f>IF(R297&lt;&gt;1,"",IF(O297-CONTROL_PANEL!$B$11&lt;0,0,O297-CONTROL_PANEL!$B$11))</f>
        <v/>
      </c>
      <c r="Q297" s="18" t="str">
        <f>IF(R297&lt;&gt;1,"",IF(N297&lt;=0,0,MIN(N297,MAX(0,CONTROL_PANEL!$B$13-O297))))</f>
        <v/>
      </c>
      <c r="R297" s="18"/>
      <c r="T297" s="19">
        <f t="shared" si="216"/>
        <v>2040</v>
      </c>
      <c r="U297" s="19">
        <f t="shared" si="181"/>
        <v>2</v>
      </c>
      <c r="V297" s="18" t="str">
        <f t="shared" si="189"/>
        <v/>
      </c>
      <c r="W297" s="18" t="str">
        <f t="shared" si="211"/>
        <v/>
      </c>
      <c r="X297" s="18" t="str">
        <f>IF(AK296&lt;&gt;1,"",IF(AH296&gt;0,IF(AH296&gt;CONTROL_PANEL!$B$11,CONTROL_PANEL!$B$11,AH296),0))</f>
        <v/>
      </c>
      <c r="Y297" s="18" t="str">
        <f t="shared" si="206"/>
        <v/>
      </c>
      <c r="Z297" s="18" t="str">
        <f>IF(AK297&lt;&gt;1,"",DATA_INPUT!I297)</f>
        <v/>
      </c>
      <c r="AA297" s="18" t="str">
        <f>IF(AK297&lt;&gt;1,"",Z297*CONTROL_PANEL!$B$5)</f>
        <v/>
      </c>
      <c r="AB297" s="18" t="str">
        <f>IF(AK297&lt;&gt;1,"",DATA_INPUT!$C297)</f>
        <v/>
      </c>
      <c r="AC297" s="18" t="str">
        <f t="shared" si="190"/>
        <v/>
      </c>
      <c r="AD297" s="18" t="str">
        <f>IF(AK297&lt;&gt;1,"",DATA_INPUT!$H297)</f>
        <v/>
      </c>
      <c r="AE297" s="18" t="str">
        <f t="shared" si="191"/>
        <v/>
      </c>
      <c r="AF297" s="18" t="str">
        <f>IF(AK297&lt;&gt;1,"",AA297*CONTROL_PANEL!$B$14)</f>
        <v/>
      </c>
      <c r="AG297" s="18" t="str">
        <f>IF(AK297&lt;&gt;1,"",DATA_INPUT!$L297)</f>
        <v/>
      </c>
      <c r="AH297" s="18" t="str">
        <f t="shared" si="192"/>
        <v/>
      </c>
      <c r="AI297" s="18" t="str">
        <f>IF(AK297&lt;&gt;1,"",IF(AH297-CONTROL_PANEL!$B$11&lt;0,0,AH297-CONTROL_PANEL!$B$11))</f>
        <v/>
      </c>
      <c r="AJ297" s="18" t="str">
        <f>IF(AK297&lt;&gt;1,"",IF(AG297&lt;=0,0,MIN(AG297,MAX(0,CONTROL_PANEL!$B$13-AH297))))</f>
        <v/>
      </c>
      <c r="AK297" s="18"/>
      <c r="AM297" s="19">
        <f t="shared" si="217"/>
        <v>2040</v>
      </c>
      <c r="AN297" s="19">
        <f t="shared" si="182"/>
        <v>2</v>
      </c>
      <c r="AO297" s="18" t="str">
        <f t="shared" si="193"/>
        <v/>
      </c>
      <c r="AP297" s="18" t="str">
        <f t="shared" si="212"/>
        <v/>
      </c>
      <c r="AQ297" s="18" t="str">
        <f>IF(BD296&lt;&gt;1,"",IF(BA296&gt;0,IF(BA296&gt;CONTROL_PANEL!$B$11,CONTROL_PANEL!$B$11,BA296),0))</f>
        <v/>
      </c>
      <c r="AR297" s="18" t="str">
        <f t="shared" si="207"/>
        <v/>
      </c>
      <c r="AS297" s="18" t="str">
        <f>IF(BD297&lt;&gt;1,"",DATA_INPUT!$I297)</f>
        <v/>
      </c>
      <c r="AT297" s="18" t="str">
        <f>IF(BD297&lt;&gt;1,"",AS297*CONTROL_PANEL!$B$5)</f>
        <v/>
      </c>
      <c r="AU297" s="18" t="str">
        <f>IF(BD297&lt;&gt;1,"",DATA_INPUT!$C297)</f>
        <v/>
      </c>
      <c r="AV297" s="18" t="str">
        <f t="shared" si="194"/>
        <v/>
      </c>
      <c r="AW297" s="18" t="str">
        <f>IF(BD297&lt;&gt;1,"",DATA_INPUT!$H297)</f>
        <v/>
      </c>
      <c r="AX297" s="18" t="str">
        <f t="shared" si="195"/>
        <v/>
      </c>
      <c r="AY297" s="18" t="str">
        <f>IF(BD297&lt;&gt;1,"",AT297*CONTROL_PANEL!$B$14)</f>
        <v/>
      </c>
      <c r="AZ297" s="18" t="str">
        <f>IF(BD297&lt;&gt;1,"",DATA_INPUT!$M297)</f>
        <v/>
      </c>
      <c r="BA297" s="18" t="str">
        <f t="shared" si="196"/>
        <v/>
      </c>
      <c r="BB297" s="18" t="str">
        <f>IF(BD297&lt;&gt;1,"",IF(BA297-CONTROL_PANEL!$B$11&lt;0,0,BA297-CONTROL_PANEL!$B$11))</f>
        <v/>
      </c>
      <c r="BC297" s="18" t="str">
        <f>IF(BD297&lt;&gt;1,"",IF(AZ297&lt;=0,0,MIN(AZ297,MAX(0,CONTROL_PANEL!$B$13-BA297))))</f>
        <v/>
      </c>
      <c r="BD297" s="18"/>
      <c r="BF297" s="19">
        <f t="shared" si="218"/>
        <v>2040</v>
      </c>
      <c r="BG297" s="19">
        <f t="shared" si="183"/>
        <v>2</v>
      </c>
      <c r="BH297" s="18" t="str">
        <f t="shared" si="197"/>
        <v/>
      </c>
      <c r="BI297" s="18" t="str">
        <f t="shared" si="213"/>
        <v/>
      </c>
      <c r="BJ297" s="18" t="str">
        <f>IF(BW296&lt;&gt;1,"",IF(BT296&gt;0,IF(BT296&gt;CONTROL_PANEL!$B$11,CONTROL_PANEL!$B$11,BT296),0))</f>
        <v/>
      </c>
      <c r="BK297" s="18" t="str">
        <f t="shared" si="208"/>
        <v/>
      </c>
      <c r="BL297" s="18" t="str">
        <f>IF(BW297&lt;&gt;1,"",DATA_INPUT!$I297)</f>
        <v/>
      </c>
      <c r="BM297" s="18" t="str">
        <f>IF(BW297&lt;&gt;1,"",BL297*CONTROL_PANEL!$B$5)</f>
        <v/>
      </c>
      <c r="BN297" s="18" t="str">
        <f>IF(BW297&lt;&gt;1,"",DATA_INPUT!$C297)</f>
        <v/>
      </c>
      <c r="BO297" s="18" t="str">
        <f t="shared" si="198"/>
        <v/>
      </c>
      <c r="BP297" s="18" t="str">
        <f>IF(BW297&lt;&gt;1,"",DATA_INPUT!$H297)</f>
        <v/>
      </c>
      <c r="BQ297" s="18" t="str">
        <f t="shared" si="199"/>
        <v/>
      </c>
      <c r="BR297" s="18" t="str">
        <f>IF(BW297&lt;&gt;1,"",BM297*CONTROL_PANEL!$B$14)</f>
        <v/>
      </c>
      <c r="BS297" s="18" t="str">
        <f>IF(BW297&lt;&gt;1,"",DATA_INPUT!$N297)</f>
        <v/>
      </c>
      <c r="BT297" s="18" t="str">
        <f t="shared" si="200"/>
        <v/>
      </c>
      <c r="BU297" s="18" t="str">
        <f>IF(BW297&lt;&gt;1,"",IF(BT297-CONTROL_PANEL!$B$11&lt;0,0,BT297-CONTROL_PANEL!$B$11))</f>
        <v/>
      </c>
      <c r="BV297" s="18" t="str">
        <f>IF(BW297&lt;&gt;1,"",IF(BS297&lt;=0,0,MIN(BS297,MAX(0,CONTROL_PANEL!$B$13-BT297))))</f>
        <v/>
      </c>
      <c r="BW297" s="18"/>
      <c r="BY297" s="19">
        <f t="shared" si="219"/>
        <v>2040</v>
      </c>
      <c r="BZ297" s="19">
        <f t="shared" si="184"/>
        <v>2</v>
      </c>
      <c r="CA297" s="18" t="str">
        <f t="shared" si="201"/>
        <v/>
      </c>
      <c r="CB297" s="18" t="str">
        <f t="shared" si="214"/>
        <v/>
      </c>
      <c r="CC297" s="18" t="str">
        <f>IF(CP296&lt;&gt;1,"",IF(CM296&gt;0,IF(CM296&gt;CONTROL_PANEL!$B$11,CONTROL_PANEL!$B$11,CM296),0))</f>
        <v/>
      </c>
      <c r="CD297" s="18" t="str">
        <f t="shared" si="209"/>
        <v/>
      </c>
      <c r="CE297" s="18" t="str">
        <f>IF(CP297&lt;&gt;1,"",DATA_INPUT!$I297)</f>
        <v/>
      </c>
      <c r="CF297" s="18" t="str">
        <f>IF(CP297&lt;&gt;1,"",CE297*CONTROL_PANEL!$B$5)</f>
        <v/>
      </c>
      <c r="CG297" s="18" t="str">
        <f>IF(CP297&lt;&gt;1,"",DATA_INPUT!$C297)</f>
        <v/>
      </c>
      <c r="CH297" s="18" t="str">
        <f t="shared" si="202"/>
        <v/>
      </c>
      <c r="CI297" s="18" t="str">
        <f>IF(CP297&lt;&gt;1,"",DATA_INPUT!$H297)</f>
        <v/>
      </c>
      <c r="CJ297" s="18" t="str">
        <f t="shared" si="203"/>
        <v/>
      </c>
      <c r="CK297" s="18" t="str">
        <f>IF(CP297&lt;&gt;1,"",CF297*CONTROL_PANEL!$B$14)</f>
        <v/>
      </c>
      <c r="CL297" s="18" t="str">
        <f>IF(CP297&lt;&gt;1,"",DATA_INPUT!$O297)</f>
        <v/>
      </c>
      <c r="CM297" s="18" t="str">
        <f t="shared" si="204"/>
        <v/>
      </c>
      <c r="CN297" s="18" t="str">
        <f>IF(CP297&lt;&gt;1,"",IF(CM297-CONTROL_PANEL!$B$11&lt;0,0,CM297-CONTROL_PANEL!$B$11))</f>
        <v/>
      </c>
      <c r="CO297" s="18" t="str">
        <f>IF(CP297&lt;&gt;1,"",IF(CL297&lt;=0,0,MIN(CL297,MAX(0,CONTROL_PANEL!$B$13-CM297))))</f>
        <v/>
      </c>
      <c r="CP297" s="18"/>
    </row>
    <row r="298" spans="1:94" x14ac:dyDescent="0.25">
      <c r="A298" s="19">
        <f t="shared" si="215"/>
        <v>2040</v>
      </c>
      <c r="B298" s="19">
        <f t="shared" si="180"/>
        <v>3</v>
      </c>
      <c r="C298" s="18" t="str">
        <f t="shared" si="185"/>
        <v/>
      </c>
      <c r="D298" s="18" t="str">
        <f t="shared" si="210"/>
        <v/>
      </c>
      <c r="E298" s="18" t="str">
        <f>IF(R297&lt;&gt;1,"",IF(O297&gt;0,IF(O297&gt;CONTROL_PANEL!$B$11,CONTROL_PANEL!$B$11,O297),0))</f>
        <v/>
      </c>
      <c r="F298" s="18" t="str">
        <f t="shared" si="205"/>
        <v/>
      </c>
      <c r="G298" s="18" t="str">
        <f>IF(R298&lt;&gt;1,"",DATA_INPUT!I298)</f>
        <v/>
      </c>
      <c r="H298" s="18" t="str">
        <f>IF(R298&lt;&gt;1,"",G298*CONTROL_PANEL!$B$5)</f>
        <v/>
      </c>
      <c r="I298" s="18" t="str">
        <f>IF(R298&lt;&gt;1,"",DATA_INPUT!C298)</f>
        <v/>
      </c>
      <c r="J298" s="18" t="str">
        <f t="shared" si="186"/>
        <v/>
      </c>
      <c r="K298" s="18" t="str">
        <f>IF(R298&lt;&gt;1,"",DATA_INPUT!H298)</f>
        <v/>
      </c>
      <c r="L298" s="18" t="str">
        <f t="shared" si="187"/>
        <v/>
      </c>
      <c r="M298" s="18" t="str">
        <f>IF(R298&lt;&gt;1,"",H298*CONTROL_PANEL!$B$14)</f>
        <v/>
      </c>
      <c r="N298" s="18" t="str">
        <f>IF(R298&lt;&gt;1,"",DATA_INPUT!K298)</f>
        <v/>
      </c>
      <c r="O298" s="18" t="str">
        <f t="shared" si="188"/>
        <v/>
      </c>
      <c r="P298" s="18" t="str">
        <f>IF(R298&lt;&gt;1,"",IF(O298-CONTROL_PANEL!$B$11&lt;0,0,O298-CONTROL_PANEL!$B$11))</f>
        <v/>
      </c>
      <c r="Q298" s="18" t="str">
        <f>IF(R298&lt;&gt;1,"",IF(N298&lt;=0,0,MIN(N298,MAX(0,CONTROL_PANEL!$B$13-O298))))</f>
        <v/>
      </c>
      <c r="R298" s="18"/>
      <c r="T298" s="19">
        <f t="shared" si="216"/>
        <v>2040</v>
      </c>
      <c r="U298" s="19">
        <f t="shared" si="181"/>
        <v>3</v>
      </c>
      <c r="V298" s="18" t="str">
        <f t="shared" si="189"/>
        <v/>
      </c>
      <c r="W298" s="18" t="str">
        <f t="shared" si="211"/>
        <v/>
      </c>
      <c r="X298" s="18" t="str">
        <f>IF(AK297&lt;&gt;1,"",IF(AH297&gt;0,IF(AH297&gt;CONTROL_PANEL!$B$11,CONTROL_PANEL!$B$11,AH297),0))</f>
        <v/>
      </c>
      <c r="Y298" s="18" t="str">
        <f t="shared" si="206"/>
        <v/>
      </c>
      <c r="Z298" s="18" t="str">
        <f>IF(AK298&lt;&gt;1,"",DATA_INPUT!I298)</f>
        <v/>
      </c>
      <c r="AA298" s="18" t="str">
        <f>IF(AK298&lt;&gt;1,"",Z298*CONTROL_PANEL!$B$5)</f>
        <v/>
      </c>
      <c r="AB298" s="18" t="str">
        <f>IF(AK298&lt;&gt;1,"",DATA_INPUT!$C298)</f>
        <v/>
      </c>
      <c r="AC298" s="18" t="str">
        <f t="shared" si="190"/>
        <v/>
      </c>
      <c r="AD298" s="18" t="str">
        <f>IF(AK298&lt;&gt;1,"",DATA_INPUT!$H298)</f>
        <v/>
      </c>
      <c r="AE298" s="18" t="str">
        <f t="shared" si="191"/>
        <v/>
      </c>
      <c r="AF298" s="18" t="str">
        <f>IF(AK298&lt;&gt;1,"",AA298*CONTROL_PANEL!$B$14)</f>
        <v/>
      </c>
      <c r="AG298" s="18" t="str">
        <f>IF(AK298&lt;&gt;1,"",DATA_INPUT!$L298)</f>
        <v/>
      </c>
      <c r="AH298" s="18" t="str">
        <f t="shared" si="192"/>
        <v/>
      </c>
      <c r="AI298" s="18" t="str">
        <f>IF(AK298&lt;&gt;1,"",IF(AH298-CONTROL_PANEL!$B$11&lt;0,0,AH298-CONTROL_PANEL!$B$11))</f>
        <v/>
      </c>
      <c r="AJ298" s="18" t="str">
        <f>IF(AK298&lt;&gt;1,"",IF(AG298&lt;=0,0,MIN(AG298,MAX(0,CONTROL_PANEL!$B$13-AH298))))</f>
        <v/>
      </c>
      <c r="AK298" s="18"/>
      <c r="AM298" s="19">
        <f t="shared" si="217"/>
        <v>2040</v>
      </c>
      <c r="AN298" s="19">
        <f t="shared" si="182"/>
        <v>3</v>
      </c>
      <c r="AO298" s="18" t="str">
        <f t="shared" si="193"/>
        <v/>
      </c>
      <c r="AP298" s="18" t="str">
        <f t="shared" si="212"/>
        <v/>
      </c>
      <c r="AQ298" s="18" t="str">
        <f>IF(BD297&lt;&gt;1,"",IF(BA297&gt;0,IF(BA297&gt;CONTROL_PANEL!$B$11,CONTROL_PANEL!$B$11,BA297),0))</f>
        <v/>
      </c>
      <c r="AR298" s="18" t="str">
        <f t="shared" si="207"/>
        <v/>
      </c>
      <c r="AS298" s="18" t="str">
        <f>IF(BD298&lt;&gt;1,"",DATA_INPUT!$I298)</f>
        <v/>
      </c>
      <c r="AT298" s="18" t="str">
        <f>IF(BD298&lt;&gt;1,"",AS298*CONTROL_PANEL!$B$5)</f>
        <v/>
      </c>
      <c r="AU298" s="18" t="str">
        <f>IF(BD298&lt;&gt;1,"",DATA_INPUT!$C298)</f>
        <v/>
      </c>
      <c r="AV298" s="18" t="str">
        <f t="shared" si="194"/>
        <v/>
      </c>
      <c r="AW298" s="18" t="str">
        <f>IF(BD298&lt;&gt;1,"",DATA_INPUT!$H298)</f>
        <v/>
      </c>
      <c r="AX298" s="18" t="str">
        <f t="shared" si="195"/>
        <v/>
      </c>
      <c r="AY298" s="18" t="str">
        <f>IF(BD298&lt;&gt;1,"",AT298*CONTROL_PANEL!$B$14)</f>
        <v/>
      </c>
      <c r="AZ298" s="18" t="str">
        <f>IF(BD298&lt;&gt;1,"",DATA_INPUT!$M298)</f>
        <v/>
      </c>
      <c r="BA298" s="18" t="str">
        <f t="shared" si="196"/>
        <v/>
      </c>
      <c r="BB298" s="18" t="str">
        <f>IF(BD298&lt;&gt;1,"",IF(BA298-CONTROL_PANEL!$B$11&lt;0,0,BA298-CONTROL_PANEL!$B$11))</f>
        <v/>
      </c>
      <c r="BC298" s="18" t="str">
        <f>IF(BD298&lt;&gt;1,"",IF(AZ298&lt;=0,0,MIN(AZ298,MAX(0,CONTROL_PANEL!$B$13-BA298))))</f>
        <v/>
      </c>
      <c r="BD298" s="18"/>
      <c r="BF298" s="19">
        <f t="shared" si="218"/>
        <v>2040</v>
      </c>
      <c r="BG298" s="19">
        <f t="shared" si="183"/>
        <v>3</v>
      </c>
      <c r="BH298" s="18" t="str">
        <f t="shared" si="197"/>
        <v/>
      </c>
      <c r="BI298" s="18" t="str">
        <f t="shared" si="213"/>
        <v/>
      </c>
      <c r="BJ298" s="18" t="str">
        <f>IF(BW297&lt;&gt;1,"",IF(BT297&gt;0,IF(BT297&gt;CONTROL_PANEL!$B$11,CONTROL_PANEL!$B$11,BT297),0))</f>
        <v/>
      </c>
      <c r="BK298" s="18" t="str">
        <f t="shared" si="208"/>
        <v/>
      </c>
      <c r="BL298" s="18" t="str">
        <f>IF(BW298&lt;&gt;1,"",DATA_INPUT!$I298)</f>
        <v/>
      </c>
      <c r="BM298" s="18" t="str">
        <f>IF(BW298&lt;&gt;1,"",BL298*CONTROL_PANEL!$B$5)</f>
        <v/>
      </c>
      <c r="BN298" s="18" t="str">
        <f>IF(BW298&lt;&gt;1,"",DATA_INPUT!$C298)</f>
        <v/>
      </c>
      <c r="BO298" s="18" t="str">
        <f t="shared" si="198"/>
        <v/>
      </c>
      <c r="BP298" s="18" t="str">
        <f>IF(BW298&lt;&gt;1,"",DATA_INPUT!$H298)</f>
        <v/>
      </c>
      <c r="BQ298" s="18" t="str">
        <f t="shared" si="199"/>
        <v/>
      </c>
      <c r="BR298" s="18" t="str">
        <f>IF(BW298&lt;&gt;1,"",BM298*CONTROL_PANEL!$B$14)</f>
        <v/>
      </c>
      <c r="BS298" s="18" t="str">
        <f>IF(BW298&lt;&gt;1,"",DATA_INPUT!$N298)</f>
        <v/>
      </c>
      <c r="BT298" s="18" t="str">
        <f t="shared" si="200"/>
        <v/>
      </c>
      <c r="BU298" s="18" t="str">
        <f>IF(BW298&lt;&gt;1,"",IF(BT298-CONTROL_PANEL!$B$11&lt;0,0,BT298-CONTROL_PANEL!$B$11))</f>
        <v/>
      </c>
      <c r="BV298" s="18" t="str">
        <f>IF(BW298&lt;&gt;1,"",IF(BS298&lt;=0,0,MIN(BS298,MAX(0,CONTROL_PANEL!$B$13-BT298))))</f>
        <v/>
      </c>
      <c r="BW298" s="18"/>
      <c r="BY298" s="19">
        <f t="shared" si="219"/>
        <v>2040</v>
      </c>
      <c r="BZ298" s="19">
        <f t="shared" si="184"/>
        <v>3</v>
      </c>
      <c r="CA298" s="18" t="str">
        <f t="shared" si="201"/>
        <v/>
      </c>
      <c r="CB298" s="18" t="str">
        <f t="shared" si="214"/>
        <v/>
      </c>
      <c r="CC298" s="18" t="str">
        <f>IF(CP297&lt;&gt;1,"",IF(CM297&gt;0,IF(CM297&gt;CONTROL_PANEL!$B$11,CONTROL_PANEL!$B$11,CM297),0))</f>
        <v/>
      </c>
      <c r="CD298" s="18" t="str">
        <f t="shared" si="209"/>
        <v/>
      </c>
      <c r="CE298" s="18" t="str">
        <f>IF(CP298&lt;&gt;1,"",DATA_INPUT!$I298)</f>
        <v/>
      </c>
      <c r="CF298" s="18" t="str">
        <f>IF(CP298&lt;&gt;1,"",CE298*CONTROL_PANEL!$B$5)</f>
        <v/>
      </c>
      <c r="CG298" s="18" t="str">
        <f>IF(CP298&lt;&gt;1,"",DATA_INPUT!$C298)</f>
        <v/>
      </c>
      <c r="CH298" s="18" t="str">
        <f t="shared" si="202"/>
        <v/>
      </c>
      <c r="CI298" s="18" t="str">
        <f>IF(CP298&lt;&gt;1,"",DATA_INPUT!$H298)</f>
        <v/>
      </c>
      <c r="CJ298" s="18" t="str">
        <f t="shared" si="203"/>
        <v/>
      </c>
      <c r="CK298" s="18" t="str">
        <f>IF(CP298&lt;&gt;1,"",CF298*CONTROL_PANEL!$B$14)</f>
        <v/>
      </c>
      <c r="CL298" s="18" t="str">
        <f>IF(CP298&lt;&gt;1,"",DATA_INPUT!$O298)</f>
        <v/>
      </c>
      <c r="CM298" s="18" t="str">
        <f t="shared" si="204"/>
        <v/>
      </c>
      <c r="CN298" s="18" t="str">
        <f>IF(CP298&lt;&gt;1,"",IF(CM298-CONTROL_PANEL!$B$11&lt;0,0,CM298-CONTROL_PANEL!$B$11))</f>
        <v/>
      </c>
      <c r="CO298" s="18" t="str">
        <f>IF(CP298&lt;&gt;1,"",IF(CL298&lt;=0,0,MIN(CL298,MAX(0,CONTROL_PANEL!$B$13-CM298))))</f>
        <v/>
      </c>
      <c r="CP298" s="18"/>
    </row>
    <row r="299" spans="1:94" x14ac:dyDescent="0.25">
      <c r="A299" s="19">
        <f t="shared" si="215"/>
        <v>2040</v>
      </c>
      <c r="B299" s="19">
        <f t="shared" si="180"/>
        <v>4</v>
      </c>
      <c r="C299" s="18" t="str">
        <f t="shared" si="185"/>
        <v/>
      </c>
      <c r="D299" s="18" t="str">
        <f t="shared" si="210"/>
        <v/>
      </c>
      <c r="E299" s="18" t="str">
        <f>IF(R298&lt;&gt;1,"",IF(O298&gt;0,IF(O298&gt;CONTROL_PANEL!$B$11,CONTROL_PANEL!$B$11,O298),0))</f>
        <v/>
      </c>
      <c r="F299" s="18" t="str">
        <f t="shared" si="205"/>
        <v/>
      </c>
      <c r="G299" s="18" t="str">
        <f>IF(R299&lt;&gt;1,"",DATA_INPUT!I299)</f>
        <v/>
      </c>
      <c r="H299" s="18" t="str">
        <f>IF(R299&lt;&gt;1,"",G299*CONTROL_PANEL!$B$5)</f>
        <v/>
      </c>
      <c r="I299" s="18" t="str">
        <f>IF(R299&lt;&gt;1,"",DATA_INPUT!C299)</f>
        <v/>
      </c>
      <c r="J299" s="18" t="str">
        <f t="shared" si="186"/>
        <v/>
      </c>
      <c r="K299" s="18" t="str">
        <f>IF(R299&lt;&gt;1,"",DATA_INPUT!H299)</f>
        <v/>
      </c>
      <c r="L299" s="18" t="str">
        <f t="shared" si="187"/>
        <v/>
      </c>
      <c r="M299" s="18" t="str">
        <f>IF(R299&lt;&gt;1,"",H299*CONTROL_PANEL!$B$14)</f>
        <v/>
      </c>
      <c r="N299" s="18" t="str">
        <f>IF(R299&lt;&gt;1,"",DATA_INPUT!K299)</f>
        <v/>
      </c>
      <c r="O299" s="18" t="str">
        <f t="shared" si="188"/>
        <v/>
      </c>
      <c r="P299" s="18" t="str">
        <f>IF(R299&lt;&gt;1,"",IF(O299-CONTROL_PANEL!$B$11&lt;0,0,O299-CONTROL_PANEL!$B$11))</f>
        <v/>
      </c>
      <c r="Q299" s="18" t="str">
        <f>IF(R299&lt;&gt;1,"",IF(N299&lt;=0,0,MIN(N299,MAX(0,CONTROL_PANEL!$B$13-O299))))</f>
        <v/>
      </c>
      <c r="R299" s="18"/>
      <c r="T299" s="19">
        <f t="shared" si="216"/>
        <v>2040</v>
      </c>
      <c r="U299" s="19">
        <f t="shared" si="181"/>
        <v>4</v>
      </c>
      <c r="V299" s="18" t="str">
        <f t="shared" si="189"/>
        <v/>
      </c>
      <c r="W299" s="18" t="str">
        <f t="shared" si="211"/>
        <v/>
      </c>
      <c r="X299" s="18" t="str">
        <f>IF(AK298&lt;&gt;1,"",IF(AH298&gt;0,IF(AH298&gt;CONTROL_PANEL!$B$11,CONTROL_PANEL!$B$11,AH298),0))</f>
        <v/>
      </c>
      <c r="Y299" s="18" t="str">
        <f t="shared" si="206"/>
        <v/>
      </c>
      <c r="Z299" s="18" t="str">
        <f>IF(AK299&lt;&gt;1,"",DATA_INPUT!I299)</f>
        <v/>
      </c>
      <c r="AA299" s="18" t="str">
        <f>IF(AK299&lt;&gt;1,"",Z299*CONTROL_PANEL!$B$5)</f>
        <v/>
      </c>
      <c r="AB299" s="18" t="str">
        <f>IF(AK299&lt;&gt;1,"",DATA_INPUT!$C299)</f>
        <v/>
      </c>
      <c r="AC299" s="18" t="str">
        <f t="shared" si="190"/>
        <v/>
      </c>
      <c r="AD299" s="18" t="str">
        <f>IF(AK299&lt;&gt;1,"",DATA_INPUT!$H299)</f>
        <v/>
      </c>
      <c r="AE299" s="18" t="str">
        <f t="shared" si="191"/>
        <v/>
      </c>
      <c r="AF299" s="18" t="str">
        <f>IF(AK299&lt;&gt;1,"",AA299*CONTROL_PANEL!$B$14)</f>
        <v/>
      </c>
      <c r="AG299" s="18" t="str">
        <f>IF(AK299&lt;&gt;1,"",DATA_INPUT!$L299)</f>
        <v/>
      </c>
      <c r="AH299" s="18" t="str">
        <f t="shared" si="192"/>
        <v/>
      </c>
      <c r="AI299" s="18" t="str">
        <f>IF(AK299&lt;&gt;1,"",IF(AH299-CONTROL_PANEL!$B$11&lt;0,0,AH299-CONTROL_PANEL!$B$11))</f>
        <v/>
      </c>
      <c r="AJ299" s="18" t="str">
        <f>IF(AK299&lt;&gt;1,"",IF(AG299&lt;=0,0,MIN(AG299,MAX(0,CONTROL_PANEL!$B$13-AH299))))</f>
        <v/>
      </c>
      <c r="AK299" s="18"/>
      <c r="AM299" s="19">
        <f t="shared" si="217"/>
        <v>2040</v>
      </c>
      <c r="AN299" s="19">
        <f t="shared" si="182"/>
        <v>4</v>
      </c>
      <c r="AO299" s="18" t="str">
        <f t="shared" si="193"/>
        <v/>
      </c>
      <c r="AP299" s="18" t="str">
        <f t="shared" si="212"/>
        <v/>
      </c>
      <c r="AQ299" s="18" t="str">
        <f>IF(BD298&lt;&gt;1,"",IF(BA298&gt;0,IF(BA298&gt;CONTROL_PANEL!$B$11,CONTROL_PANEL!$B$11,BA298),0))</f>
        <v/>
      </c>
      <c r="AR299" s="18" t="str">
        <f t="shared" si="207"/>
        <v/>
      </c>
      <c r="AS299" s="18" t="str">
        <f>IF(BD299&lt;&gt;1,"",DATA_INPUT!$I299)</f>
        <v/>
      </c>
      <c r="AT299" s="18" t="str">
        <f>IF(BD299&lt;&gt;1,"",AS299*CONTROL_PANEL!$B$5)</f>
        <v/>
      </c>
      <c r="AU299" s="18" t="str">
        <f>IF(BD299&lt;&gt;1,"",DATA_INPUT!$C299)</f>
        <v/>
      </c>
      <c r="AV299" s="18" t="str">
        <f t="shared" si="194"/>
        <v/>
      </c>
      <c r="AW299" s="18" t="str">
        <f>IF(BD299&lt;&gt;1,"",DATA_INPUT!$H299)</f>
        <v/>
      </c>
      <c r="AX299" s="18" t="str">
        <f t="shared" si="195"/>
        <v/>
      </c>
      <c r="AY299" s="18" t="str">
        <f>IF(BD299&lt;&gt;1,"",AT299*CONTROL_PANEL!$B$14)</f>
        <v/>
      </c>
      <c r="AZ299" s="18" t="str">
        <f>IF(BD299&lt;&gt;1,"",DATA_INPUT!$M299)</f>
        <v/>
      </c>
      <c r="BA299" s="18" t="str">
        <f t="shared" si="196"/>
        <v/>
      </c>
      <c r="BB299" s="18" t="str">
        <f>IF(BD299&lt;&gt;1,"",IF(BA299-CONTROL_PANEL!$B$11&lt;0,0,BA299-CONTROL_PANEL!$B$11))</f>
        <v/>
      </c>
      <c r="BC299" s="18" t="str">
        <f>IF(BD299&lt;&gt;1,"",IF(AZ299&lt;=0,0,MIN(AZ299,MAX(0,CONTROL_PANEL!$B$13-BA299))))</f>
        <v/>
      </c>
      <c r="BD299" s="18"/>
      <c r="BF299" s="19">
        <f t="shared" si="218"/>
        <v>2040</v>
      </c>
      <c r="BG299" s="19">
        <f t="shared" si="183"/>
        <v>4</v>
      </c>
      <c r="BH299" s="18" t="str">
        <f t="shared" si="197"/>
        <v/>
      </c>
      <c r="BI299" s="18" t="str">
        <f t="shared" si="213"/>
        <v/>
      </c>
      <c r="BJ299" s="18" t="str">
        <f>IF(BW298&lt;&gt;1,"",IF(BT298&gt;0,IF(BT298&gt;CONTROL_PANEL!$B$11,CONTROL_PANEL!$B$11,BT298),0))</f>
        <v/>
      </c>
      <c r="BK299" s="18" t="str">
        <f t="shared" si="208"/>
        <v/>
      </c>
      <c r="BL299" s="18" t="str">
        <f>IF(BW299&lt;&gt;1,"",DATA_INPUT!$I299)</f>
        <v/>
      </c>
      <c r="BM299" s="18" t="str">
        <f>IF(BW299&lt;&gt;1,"",BL299*CONTROL_PANEL!$B$5)</f>
        <v/>
      </c>
      <c r="BN299" s="18" t="str">
        <f>IF(BW299&lt;&gt;1,"",DATA_INPUT!$C299)</f>
        <v/>
      </c>
      <c r="BO299" s="18" t="str">
        <f t="shared" si="198"/>
        <v/>
      </c>
      <c r="BP299" s="18" t="str">
        <f>IF(BW299&lt;&gt;1,"",DATA_INPUT!$H299)</f>
        <v/>
      </c>
      <c r="BQ299" s="18" t="str">
        <f t="shared" si="199"/>
        <v/>
      </c>
      <c r="BR299" s="18" t="str">
        <f>IF(BW299&lt;&gt;1,"",BM299*CONTROL_PANEL!$B$14)</f>
        <v/>
      </c>
      <c r="BS299" s="18" t="str">
        <f>IF(BW299&lt;&gt;1,"",DATA_INPUT!$N299)</f>
        <v/>
      </c>
      <c r="BT299" s="18" t="str">
        <f t="shared" si="200"/>
        <v/>
      </c>
      <c r="BU299" s="18" t="str">
        <f>IF(BW299&lt;&gt;1,"",IF(BT299-CONTROL_PANEL!$B$11&lt;0,0,BT299-CONTROL_PANEL!$B$11))</f>
        <v/>
      </c>
      <c r="BV299" s="18" t="str">
        <f>IF(BW299&lt;&gt;1,"",IF(BS299&lt;=0,0,MIN(BS299,MAX(0,CONTROL_PANEL!$B$13-BT299))))</f>
        <v/>
      </c>
      <c r="BW299" s="18"/>
      <c r="BY299" s="19">
        <f t="shared" si="219"/>
        <v>2040</v>
      </c>
      <c r="BZ299" s="19">
        <f t="shared" si="184"/>
        <v>4</v>
      </c>
      <c r="CA299" s="18" t="str">
        <f t="shared" si="201"/>
        <v/>
      </c>
      <c r="CB299" s="18" t="str">
        <f t="shared" si="214"/>
        <v/>
      </c>
      <c r="CC299" s="18" t="str">
        <f>IF(CP298&lt;&gt;1,"",IF(CM298&gt;0,IF(CM298&gt;CONTROL_PANEL!$B$11,CONTROL_PANEL!$B$11,CM298),0))</f>
        <v/>
      </c>
      <c r="CD299" s="18" t="str">
        <f t="shared" si="209"/>
        <v/>
      </c>
      <c r="CE299" s="18" t="str">
        <f>IF(CP299&lt;&gt;1,"",DATA_INPUT!$I299)</f>
        <v/>
      </c>
      <c r="CF299" s="18" t="str">
        <f>IF(CP299&lt;&gt;1,"",CE299*CONTROL_PANEL!$B$5)</f>
        <v/>
      </c>
      <c r="CG299" s="18" t="str">
        <f>IF(CP299&lt;&gt;1,"",DATA_INPUT!$C299)</f>
        <v/>
      </c>
      <c r="CH299" s="18" t="str">
        <f t="shared" si="202"/>
        <v/>
      </c>
      <c r="CI299" s="18" t="str">
        <f>IF(CP299&lt;&gt;1,"",DATA_INPUT!$H299)</f>
        <v/>
      </c>
      <c r="CJ299" s="18" t="str">
        <f t="shared" si="203"/>
        <v/>
      </c>
      <c r="CK299" s="18" t="str">
        <f>IF(CP299&lt;&gt;1,"",CF299*CONTROL_PANEL!$B$14)</f>
        <v/>
      </c>
      <c r="CL299" s="18" t="str">
        <f>IF(CP299&lt;&gt;1,"",DATA_INPUT!$O299)</f>
        <v/>
      </c>
      <c r="CM299" s="18" t="str">
        <f t="shared" si="204"/>
        <v/>
      </c>
      <c r="CN299" s="18" t="str">
        <f>IF(CP299&lt;&gt;1,"",IF(CM299-CONTROL_PANEL!$B$11&lt;0,0,CM299-CONTROL_PANEL!$B$11))</f>
        <v/>
      </c>
      <c r="CO299" s="18" t="str">
        <f>IF(CP299&lt;&gt;1,"",IF(CL299&lt;=0,0,MIN(CL299,MAX(0,CONTROL_PANEL!$B$13-CM299))))</f>
        <v/>
      </c>
      <c r="CP299" s="18"/>
    </row>
    <row r="300" spans="1:94" x14ac:dyDescent="0.25">
      <c r="A300" s="19">
        <f t="shared" si="215"/>
        <v>2040</v>
      </c>
      <c r="B300" s="19">
        <f t="shared" si="180"/>
        <v>5</v>
      </c>
      <c r="C300" s="18" t="str">
        <f t="shared" si="185"/>
        <v/>
      </c>
      <c r="D300" s="18" t="str">
        <f t="shared" si="210"/>
        <v/>
      </c>
      <c r="E300" s="18" t="str">
        <f>IF(R299&lt;&gt;1,"",IF(O299&gt;0,IF(O299&gt;CONTROL_PANEL!$B$11,CONTROL_PANEL!$B$11,O299),0))</f>
        <v/>
      </c>
      <c r="F300" s="18" t="str">
        <f t="shared" si="205"/>
        <v/>
      </c>
      <c r="G300" s="18" t="str">
        <f>IF(R300&lt;&gt;1,"",DATA_INPUT!I300)</f>
        <v/>
      </c>
      <c r="H300" s="18" t="str">
        <f>IF(R300&lt;&gt;1,"",G300*CONTROL_PANEL!$B$5)</f>
        <v/>
      </c>
      <c r="I300" s="18" t="str">
        <f>IF(R300&lt;&gt;1,"",DATA_INPUT!C300)</f>
        <v/>
      </c>
      <c r="J300" s="18" t="str">
        <f t="shared" si="186"/>
        <v/>
      </c>
      <c r="K300" s="18" t="str">
        <f>IF(R300&lt;&gt;1,"",DATA_INPUT!H300)</f>
        <v/>
      </c>
      <c r="L300" s="18" t="str">
        <f t="shared" si="187"/>
        <v/>
      </c>
      <c r="M300" s="18" t="str">
        <f>IF(R300&lt;&gt;1,"",H300*CONTROL_PANEL!$B$14)</f>
        <v/>
      </c>
      <c r="N300" s="18" t="str">
        <f>IF(R300&lt;&gt;1,"",DATA_INPUT!K300)</f>
        <v/>
      </c>
      <c r="O300" s="18" t="str">
        <f t="shared" si="188"/>
        <v/>
      </c>
      <c r="P300" s="18" t="str">
        <f>IF(R300&lt;&gt;1,"",IF(O300-CONTROL_PANEL!$B$11&lt;0,0,O300-CONTROL_PANEL!$B$11))</f>
        <v/>
      </c>
      <c r="Q300" s="18" t="str">
        <f>IF(R300&lt;&gt;1,"",IF(N300&lt;=0,0,MIN(N300,MAX(0,CONTROL_PANEL!$B$13-O300))))</f>
        <v/>
      </c>
      <c r="R300" s="18"/>
      <c r="T300" s="19">
        <f t="shared" si="216"/>
        <v>2040</v>
      </c>
      <c r="U300" s="19">
        <f t="shared" si="181"/>
        <v>5</v>
      </c>
      <c r="V300" s="18" t="str">
        <f t="shared" si="189"/>
        <v/>
      </c>
      <c r="W300" s="18" t="str">
        <f t="shared" si="211"/>
        <v/>
      </c>
      <c r="X300" s="18" t="str">
        <f>IF(AK299&lt;&gt;1,"",IF(AH299&gt;0,IF(AH299&gt;CONTROL_PANEL!$B$11,CONTROL_PANEL!$B$11,AH299),0))</f>
        <v/>
      </c>
      <c r="Y300" s="18" t="str">
        <f t="shared" si="206"/>
        <v/>
      </c>
      <c r="Z300" s="18" t="str">
        <f>IF(AK300&lt;&gt;1,"",DATA_INPUT!I300)</f>
        <v/>
      </c>
      <c r="AA300" s="18" t="str">
        <f>IF(AK300&lt;&gt;1,"",Z300*CONTROL_PANEL!$B$5)</f>
        <v/>
      </c>
      <c r="AB300" s="18" t="str">
        <f>IF(AK300&lt;&gt;1,"",DATA_INPUT!$C300)</f>
        <v/>
      </c>
      <c r="AC300" s="18" t="str">
        <f t="shared" si="190"/>
        <v/>
      </c>
      <c r="AD300" s="18" t="str">
        <f>IF(AK300&lt;&gt;1,"",DATA_INPUT!$H300)</f>
        <v/>
      </c>
      <c r="AE300" s="18" t="str">
        <f t="shared" si="191"/>
        <v/>
      </c>
      <c r="AF300" s="18" t="str">
        <f>IF(AK300&lt;&gt;1,"",AA300*CONTROL_PANEL!$B$14)</f>
        <v/>
      </c>
      <c r="AG300" s="18" t="str">
        <f>IF(AK300&lt;&gt;1,"",DATA_INPUT!$L300)</f>
        <v/>
      </c>
      <c r="AH300" s="18" t="str">
        <f t="shared" si="192"/>
        <v/>
      </c>
      <c r="AI300" s="18" t="str">
        <f>IF(AK300&lt;&gt;1,"",IF(AH300-CONTROL_PANEL!$B$11&lt;0,0,AH300-CONTROL_PANEL!$B$11))</f>
        <v/>
      </c>
      <c r="AJ300" s="18" t="str">
        <f>IF(AK300&lt;&gt;1,"",IF(AG300&lt;=0,0,MIN(AG300,MAX(0,CONTROL_PANEL!$B$13-AH300))))</f>
        <v/>
      </c>
      <c r="AK300" s="18"/>
      <c r="AM300" s="19">
        <f t="shared" si="217"/>
        <v>2040</v>
      </c>
      <c r="AN300" s="19">
        <f t="shared" si="182"/>
        <v>5</v>
      </c>
      <c r="AO300" s="18" t="str">
        <f t="shared" si="193"/>
        <v/>
      </c>
      <c r="AP300" s="18" t="str">
        <f t="shared" si="212"/>
        <v/>
      </c>
      <c r="AQ300" s="18" t="str">
        <f>IF(BD299&lt;&gt;1,"",IF(BA299&gt;0,IF(BA299&gt;CONTROL_PANEL!$B$11,CONTROL_PANEL!$B$11,BA299),0))</f>
        <v/>
      </c>
      <c r="AR300" s="18" t="str">
        <f t="shared" si="207"/>
        <v/>
      </c>
      <c r="AS300" s="18" t="str">
        <f>IF(BD300&lt;&gt;1,"",DATA_INPUT!$I300)</f>
        <v/>
      </c>
      <c r="AT300" s="18" t="str">
        <f>IF(BD300&lt;&gt;1,"",AS300*CONTROL_PANEL!$B$5)</f>
        <v/>
      </c>
      <c r="AU300" s="18" t="str">
        <f>IF(BD300&lt;&gt;1,"",DATA_INPUT!$C300)</f>
        <v/>
      </c>
      <c r="AV300" s="18" t="str">
        <f t="shared" si="194"/>
        <v/>
      </c>
      <c r="AW300" s="18" t="str">
        <f>IF(BD300&lt;&gt;1,"",DATA_INPUT!$H300)</f>
        <v/>
      </c>
      <c r="AX300" s="18" t="str">
        <f t="shared" si="195"/>
        <v/>
      </c>
      <c r="AY300" s="18" t="str">
        <f>IF(BD300&lt;&gt;1,"",AT300*CONTROL_PANEL!$B$14)</f>
        <v/>
      </c>
      <c r="AZ300" s="18" t="str">
        <f>IF(BD300&lt;&gt;1,"",DATA_INPUT!$M300)</f>
        <v/>
      </c>
      <c r="BA300" s="18" t="str">
        <f t="shared" si="196"/>
        <v/>
      </c>
      <c r="BB300" s="18" t="str">
        <f>IF(BD300&lt;&gt;1,"",IF(BA300-CONTROL_PANEL!$B$11&lt;0,0,BA300-CONTROL_PANEL!$B$11))</f>
        <v/>
      </c>
      <c r="BC300" s="18" t="str">
        <f>IF(BD300&lt;&gt;1,"",IF(AZ300&lt;=0,0,MIN(AZ300,MAX(0,CONTROL_PANEL!$B$13-BA300))))</f>
        <v/>
      </c>
      <c r="BD300" s="18"/>
      <c r="BF300" s="19">
        <f t="shared" si="218"/>
        <v>2040</v>
      </c>
      <c r="BG300" s="19">
        <f t="shared" si="183"/>
        <v>5</v>
      </c>
      <c r="BH300" s="18" t="str">
        <f t="shared" si="197"/>
        <v/>
      </c>
      <c r="BI300" s="18" t="str">
        <f t="shared" si="213"/>
        <v/>
      </c>
      <c r="BJ300" s="18" t="str">
        <f>IF(BW299&lt;&gt;1,"",IF(BT299&gt;0,IF(BT299&gt;CONTROL_PANEL!$B$11,CONTROL_PANEL!$B$11,BT299),0))</f>
        <v/>
      </c>
      <c r="BK300" s="18" t="str">
        <f t="shared" si="208"/>
        <v/>
      </c>
      <c r="BL300" s="18" t="str">
        <f>IF(BW300&lt;&gt;1,"",DATA_INPUT!$I300)</f>
        <v/>
      </c>
      <c r="BM300" s="18" t="str">
        <f>IF(BW300&lt;&gt;1,"",BL300*CONTROL_PANEL!$B$5)</f>
        <v/>
      </c>
      <c r="BN300" s="18" t="str">
        <f>IF(BW300&lt;&gt;1,"",DATA_INPUT!$C300)</f>
        <v/>
      </c>
      <c r="BO300" s="18" t="str">
        <f t="shared" si="198"/>
        <v/>
      </c>
      <c r="BP300" s="18" t="str">
        <f>IF(BW300&lt;&gt;1,"",DATA_INPUT!$H300)</f>
        <v/>
      </c>
      <c r="BQ300" s="18" t="str">
        <f t="shared" si="199"/>
        <v/>
      </c>
      <c r="BR300" s="18" t="str">
        <f>IF(BW300&lt;&gt;1,"",BM300*CONTROL_PANEL!$B$14)</f>
        <v/>
      </c>
      <c r="BS300" s="18" t="str">
        <f>IF(BW300&lt;&gt;1,"",DATA_INPUT!$N300)</f>
        <v/>
      </c>
      <c r="BT300" s="18" t="str">
        <f t="shared" si="200"/>
        <v/>
      </c>
      <c r="BU300" s="18" t="str">
        <f>IF(BW300&lt;&gt;1,"",IF(BT300-CONTROL_PANEL!$B$11&lt;0,0,BT300-CONTROL_PANEL!$B$11))</f>
        <v/>
      </c>
      <c r="BV300" s="18" t="str">
        <f>IF(BW300&lt;&gt;1,"",IF(BS300&lt;=0,0,MIN(BS300,MAX(0,CONTROL_PANEL!$B$13-BT300))))</f>
        <v/>
      </c>
      <c r="BW300" s="18"/>
      <c r="BY300" s="19">
        <f t="shared" si="219"/>
        <v>2040</v>
      </c>
      <c r="BZ300" s="19">
        <f t="shared" si="184"/>
        <v>5</v>
      </c>
      <c r="CA300" s="18" t="str">
        <f t="shared" si="201"/>
        <v/>
      </c>
      <c r="CB300" s="18" t="str">
        <f t="shared" si="214"/>
        <v/>
      </c>
      <c r="CC300" s="18" t="str">
        <f>IF(CP299&lt;&gt;1,"",IF(CM299&gt;0,IF(CM299&gt;CONTROL_PANEL!$B$11,CONTROL_PANEL!$B$11,CM299),0))</f>
        <v/>
      </c>
      <c r="CD300" s="18" t="str">
        <f t="shared" si="209"/>
        <v/>
      </c>
      <c r="CE300" s="18" t="str">
        <f>IF(CP300&lt;&gt;1,"",DATA_INPUT!$I300)</f>
        <v/>
      </c>
      <c r="CF300" s="18" t="str">
        <f>IF(CP300&lt;&gt;1,"",CE300*CONTROL_PANEL!$B$5)</f>
        <v/>
      </c>
      <c r="CG300" s="18" t="str">
        <f>IF(CP300&lt;&gt;1,"",DATA_INPUT!$C300)</f>
        <v/>
      </c>
      <c r="CH300" s="18" t="str">
        <f t="shared" si="202"/>
        <v/>
      </c>
      <c r="CI300" s="18" t="str">
        <f>IF(CP300&lt;&gt;1,"",DATA_INPUT!$H300)</f>
        <v/>
      </c>
      <c r="CJ300" s="18" t="str">
        <f t="shared" si="203"/>
        <v/>
      </c>
      <c r="CK300" s="18" t="str">
        <f>IF(CP300&lt;&gt;1,"",CF300*CONTROL_PANEL!$B$14)</f>
        <v/>
      </c>
      <c r="CL300" s="18" t="str">
        <f>IF(CP300&lt;&gt;1,"",DATA_INPUT!$O300)</f>
        <v/>
      </c>
      <c r="CM300" s="18" t="str">
        <f t="shared" si="204"/>
        <v/>
      </c>
      <c r="CN300" s="18" t="str">
        <f>IF(CP300&lt;&gt;1,"",IF(CM300-CONTROL_PANEL!$B$11&lt;0,0,CM300-CONTROL_PANEL!$B$11))</f>
        <v/>
      </c>
      <c r="CO300" s="18" t="str">
        <f>IF(CP300&lt;&gt;1,"",IF(CL300&lt;=0,0,MIN(CL300,MAX(0,CONTROL_PANEL!$B$13-CM300))))</f>
        <v/>
      </c>
      <c r="CP300" s="18"/>
    </row>
    <row r="301" spans="1:94" x14ac:dyDescent="0.25">
      <c r="A301" s="19">
        <f t="shared" si="215"/>
        <v>2040</v>
      </c>
      <c r="B301" s="19">
        <f t="shared" si="180"/>
        <v>6</v>
      </c>
      <c r="C301" s="18" t="str">
        <f t="shared" si="185"/>
        <v/>
      </c>
      <c r="D301" s="18" t="str">
        <f t="shared" si="210"/>
        <v/>
      </c>
      <c r="E301" s="18" t="str">
        <f>IF(R300&lt;&gt;1,"",IF(O300&gt;0,IF(O300&gt;CONTROL_PANEL!$B$11,CONTROL_PANEL!$B$11,O300),0))</f>
        <v/>
      </c>
      <c r="F301" s="18" t="str">
        <f t="shared" si="205"/>
        <v/>
      </c>
      <c r="G301" s="18" t="str">
        <f>IF(R301&lt;&gt;1,"",DATA_INPUT!I301)</f>
        <v/>
      </c>
      <c r="H301" s="18" t="str">
        <f>IF(R301&lt;&gt;1,"",G301*CONTROL_PANEL!$B$5)</f>
        <v/>
      </c>
      <c r="I301" s="18" t="str">
        <f>IF(R301&lt;&gt;1,"",DATA_INPUT!C301)</f>
        <v/>
      </c>
      <c r="J301" s="18" t="str">
        <f t="shared" si="186"/>
        <v/>
      </c>
      <c r="K301" s="18" t="str">
        <f>IF(R301&lt;&gt;1,"",DATA_INPUT!H301)</f>
        <v/>
      </c>
      <c r="L301" s="18" t="str">
        <f t="shared" si="187"/>
        <v/>
      </c>
      <c r="M301" s="18" t="str">
        <f>IF(R301&lt;&gt;1,"",H301*CONTROL_PANEL!$B$14)</f>
        <v/>
      </c>
      <c r="N301" s="18" t="str">
        <f>IF(R301&lt;&gt;1,"",DATA_INPUT!K301)</f>
        <v/>
      </c>
      <c r="O301" s="18" t="str">
        <f t="shared" si="188"/>
        <v/>
      </c>
      <c r="P301" s="18" t="str">
        <f>IF(R301&lt;&gt;1,"",IF(O301-CONTROL_PANEL!$B$11&lt;0,0,O301-CONTROL_PANEL!$B$11))</f>
        <v/>
      </c>
      <c r="Q301" s="18" t="str">
        <f>IF(R301&lt;&gt;1,"",IF(N301&lt;=0,0,MIN(N301,MAX(0,CONTROL_PANEL!$B$13-O301))))</f>
        <v/>
      </c>
      <c r="R301" s="18"/>
      <c r="T301" s="19">
        <f t="shared" si="216"/>
        <v>2040</v>
      </c>
      <c r="U301" s="19">
        <f t="shared" si="181"/>
        <v>6</v>
      </c>
      <c r="V301" s="18" t="str">
        <f t="shared" si="189"/>
        <v/>
      </c>
      <c r="W301" s="18" t="str">
        <f t="shared" si="211"/>
        <v/>
      </c>
      <c r="X301" s="18" t="str">
        <f>IF(AK300&lt;&gt;1,"",IF(AH300&gt;0,IF(AH300&gt;CONTROL_PANEL!$B$11,CONTROL_PANEL!$B$11,AH300),0))</f>
        <v/>
      </c>
      <c r="Y301" s="18" t="str">
        <f t="shared" si="206"/>
        <v/>
      </c>
      <c r="Z301" s="18" t="str">
        <f>IF(AK301&lt;&gt;1,"",DATA_INPUT!I301)</f>
        <v/>
      </c>
      <c r="AA301" s="18" t="str">
        <f>IF(AK301&lt;&gt;1,"",Z301*CONTROL_PANEL!$B$5)</f>
        <v/>
      </c>
      <c r="AB301" s="18" t="str">
        <f>IF(AK301&lt;&gt;1,"",DATA_INPUT!$C301)</f>
        <v/>
      </c>
      <c r="AC301" s="18" t="str">
        <f t="shared" si="190"/>
        <v/>
      </c>
      <c r="AD301" s="18" t="str">
        <f>IF(AK301&lt;&gt;1,"",DATA_INPUT!$H301)</f>
        <v/>
      </c>
      <c r="AE301" s="18" t="str">
        <f t="shared" si="191"/>
        <v/>
      </c>
      <c r="AF301" s="18" t="str">
        <f>IF(AK301&lt;&gt;1,"",AA301*CONTROL_PANEL!$B$14)</f>
        <v/>
      </c>
      <c r="AG301" s="18" t="str">
        <f>IF(AK301&lt;&gt;1,"",DATA_INPUT!$L301)</f>
        <v/>
      </c>
      <c r="AH301" s="18" t="str">
        <f t="shared" si="192"/>
        <v/>
      </c>
      <c r="AI301" s="18" t="str">
        <f>IF(AK301&lt;&gt;1,"",IF(AH301-CONTROL_PANEL!$B$11&lt;0,0,AH301-CONTROL_PANEL!$B$11))</f>
        <v/>
      </c>
      <c r="AJ301" s="18" t="str">
        <f>IF(AK301&lt;&gt;1,"",IF(AG301&lt;=0,0,MIN(AG301,MAX(0,CONTROL_PANEL!$B$13-AH301))))</f>
        <v/>
      </c>
      <c r="AK301" s="18"/>
      <c r="AM301" s="19">
        <f t="shared" si="217"/>
        <v>2040</v>
      </c>
      <c r="AN301" s="19">
        <f t="shared" si="182"/>
        <v>6</v>
      </c>
      <c r="AO301" s="18" t="str">
        <f t="shared" si="193"/>
        <v/>
      </c>
      <c r="AP301" s="18" t="str">
        <f t="shared" si="212"/>
        <v/>
      </c>
      <c r="AQ301" s="18" t="str">
        <f>IF(BD300&lt;&gt;1,"",IF(BA300&gt;0,IF(BA300&gt;CONTROL_PANEL!$B$11,CONTROL_PANEL!$B$11,BA300),0))</f>
        <v/>
      </c>
      <c r="AR301" s="18" t="str">
        <f t="shared" si="207"/>
        <v/>
      </c>
      <c r="AS301" s="18" t="str">
        <f>IF(BD301&lt;&gt;1,"",DATA_INPUT!$I301)</f>
        <v/>
      </c>
      <c r="AT301" s="18" t="str">
        <f>IF(BD301&lt;&gt;1,"",AS301*CONTROL_PANEL!$B$5)</f>
        <v/>
      </c>
      <c r="AU301" s="18" t="str">
        <f>IF(BD301&lt;&gt;1,"",DATA_INPUT!$C301)</f>
        <v/>
      </c>
      <c r="AV301" s="18" t="str">
        <f t="shared" si="194"/>
        <v/>
      </c>
      <c r="AW301" s="18" t="str">
        <f>IF(BD301&lt;&gt;1,"",DATA_INPUT!$H301)</f>
        <v/>
      </c>
      <c r="AX301" s="18" t="str">
        <f t="shared" si="195"/>
        <v/>
      </c>
      <c r="AY301" s="18" t="str">
        <f>IF(BD301&lt;&gt;1,"",AT301*CONTROL_PANEL!$B$14)</f>
        <v/>
      </c>
      <c r="AZ301" s="18" t="str">
        <f>IF(BD301&lt;&gt;1,"",DATA_INPUT!$M301)</f>
        <v/>
      </c>
      <c r="BA301" s="18" t="str">
        <f t="shared" si="196"/>
        <v/>
      </c>
      <c r="BB301" s="18" t="str">
        <f>IF(BD301&lt;&gt;1,"",IF(BA301-CONTROL_PANEL!$B$11&lt;0,0,BA301-CONTROL_PANEL!$B$11))</f>
        <v/>
      </c>
      <c r="BC301" s="18" t="str">
        <f>IF(BD301&lt;&gt;1,"",IF(AZ301&lt;=0,0,MIN(AZ301,MAX(0,CONTROL_PANEL!$B$13-BA301))))</f>
        <v/>
      </c>
      <c r="BD301" s="18"/>
      <c r="BF301" s="19">
        <f t="shared" si="218"/>
        <v>2040</v>
      </c>
      <c r="BG301" s="19">
        <f t="shared" si="183"/>
        <v>6</v>
      </c>
      <c r="BH301" s="18" t="str">
        <f t="shared" si="197"/>
        <v/>
      </c>
      <c r="BI301" s="18" t="str">
        <f t="shared" si="213"/>
        <v/>
      </c>
      <c r="BJ301" s="18" t="str">
        <f>IF(BW300&lt;&gt;1,"",IF(BT300&gt;0,IF(BT300&gt;CONTROL_PANEL!$B$11,CONTROL_PANEL!$B$11,BT300),0))</f>
        <v/>
      </c>
      <c r="BK301" s="18" t="str">
        <f t="shared" si="208"/>
        <v/>
      </c>
      <c r="BL301" s="18" t="str">
        <f>IF(BW301&lt;&gt;1,"",DATA_INPUT!$I301)</f>
        <v/>
      </c>
      <c r="BM301" s="18" t="str">
        <f>IF(BW301&lt;&gt;1,"",BL301*CONTROL_PANEL!$B$5)</f>
        <v/>
      </c>
      <c r="BN301" s="18" t="str">
        <f>IF(BW301&lt;&gt;1,"",DATA_INPUT!$C301)</f>
        <v/>
      </c>
      <c r="BO301" s="18" t="str">
        <f t="shared" si="198"/>
        <v/>
      </c>
      <c r="BP301" s="18" t="str">
        <f>IF(BW301&lt;&gt;1,"",DATA_INPUT!$H301)</f>
        <v/>
      </c>
      <c r="BQ301" s="18" t="str">
        <f t="shared" si="199"/>
        <v/>
      </c>
      <c r="BR301" s="18" t="str">
        <f>IF(BW301&lt;&gt;1,"",BM301*CONTROL_PANEL!$B$14)</f>
        <v/>
      </c>
      <c r="BS301" s="18" t="str">
        <f>IF(BW301&lt;&gt;1,"",DATA_INPUT!$N301)</f>
        <v/>
      </c>
      <c r="BT301" s="18" t="str">
        <f t="shared" si="200"/>
        <v/>
      </c>
      <c r="BU301" s="18" t="str">
        <f>IF(BW301&lt;&gt;1,"",IF(BT301-CONTROL_PANEL!$B$11&lt;0,0,BT301-CONTROL_PANEL!$B$11))</f>
        <v/>
      </c>
      <c r="BV301" s="18" t="str">
        <f>IF(BW301&lt;&gt;1,"",IF(BS301&lt;=0,0,MIN(BS301,MAX(0,CONTROL_PANEL!$B$13-BT301))))</f>
        <v/>
      </c>
      <c r="BW301" s="18"/>
      <c r="BY301" s="19">
        <f t="shared" si="219"/>
        <v>2040</v>
      </c>
      <c r="BZ301" s="19">
        <f t="shared" si="184"/>
        <v>6</v>
      </c>
      <c r="CA301" s="18" t="str">
        <f t="shared" si="201"/>
        <v/>
      </c>
      <c r="CB301" s="18" t="str">
        <f t="shared" si="214"/>
        <v/>
      </c>
      <c r="CC301" s="18" t="str">
        <f>IF(CP300&lt;&gt;1,"",IF(CM300&gt;0,IF(CM300&gt;CONTROL_PANEL!$B$11,CONTROL_PANEL!$B$11,CM300),0))</f>
        <v/>
      </c>
      <c r="CD301" s="18" t="str">
        <f t="shared" si="209"/>
        <v/>
      </c>
      <c r="CE301" s="18" t="str">
        <f>IF(CP301&lt;&gt;1,"",DATA_INPUT!$I301)</f>
        <v/>
      </c>
      <c r="CF301" s="18" t="str">
        <f>IF(CP301&lt;&gt;1,"",CE301*CONTROL_PANEL!$B$5)</f>
        <v/>
      </c>
      <c r="CG301" s="18" t="str">
        <f>IF(CP301&lt;&gt;1,"",DATA_INPUT!$C301)</f>
        <v/>
      </c>
      <c r="CH301" s="18" t="str">
        <f t="shared" si="202"/>
        <v/>
      </c>
      <c r="CI301" s="18" t="str">
        <f>IF(CP301&lt;&gt;1,"",DATA_INPUT!$H301)</f>
        <v/>
      </c>
      <c r="CJ301" s="18" t="str">
        <f t="shared" si="203"/>
        <v/>
      </c>
      <c r="CK301" s="18" t="str">
        <f>IF(CP301&lt;&gt;1,"",CF301*CONTROL_PANEL!$B$14)</f>
        <v/>
      </c>
      <c r="CL301" s="18" t="str">
        <f>IF(CP301&lt;&gt;1,"",DATA_INPUT!$O301)</f>
        <v/>
      </c>
      <c r="CM301" s="18" t="str">
        <f t="shared" si="204"/>
        <v/>
      </c>
      <c r="CN301" s="18" t="str">
        <f>IF(CP301&lt;&gt;1,"",IF(CM301-CONTROL_PANEL!$B$11&lt;0,0,CM301-CONTROL_PANEL!$B$11))</f>
        <v/>
      </c>
      <c r="CO301" s="18" t="str">
        <f>IF(CP301&lt;&gt;1,"",IF(CL301&lt;=0,0,MIN(CL301,MAX(0,CONTROL_PANEL!$B$13-CM301))))</f>
        <v/>
      </c>
      <c r="CP301" s="18"/>
    </row>
    <row r="302" spans="1:94" x14ac:dyDescent="0.25">
      <c r="A302" s="19">
        <f t="shared" si="215"/>
        <v>2040</v>
      </c>
      <c r="B302" s="19">
        <f t="shared" si="180"/>
        <v>7</v>
      </c>
      <c r="C302" s="18" t="str">
        <f t="shared" si="185"/>
        <v/>
      </c>
      <c r="D302" s="18" t="str">
        <f t="shared" si="210"/>
        <v/>
      </c>
      <c r="E302" s="18" t="str">
        <f>IF(R301&lt;&gt;1,"",IF(O301&gt;0,IF(O301&gt;CONTROL_PANEL!$B$11,CONTROL_PANEL!$B$11,O301),0))</f>
        <v/>
      </c>
      <c r="F302" s="18" t="str">
        <f t="shared" si="205"/>
        <v/>
      </c>
      <c r="G302" s="18" t="str">
        <f>IF(R302&lt;&gt;1,"",DATA_INPUT!I302)</f>
        <v/>
      </c>
      <c r="H302" s="18" t="str">
        <f>IF(R302&lt;&gt;1,"",G302*CONTROL_PANEL!$B$5)</f>
        <v/>
      </c>
      <c r="I302" s="18" t="str">
        <f>IF(R302&lt;&gt;1,"",DATA_INPUT!C302)</f>
        <v/>
      </c>
      <c r="J302" s="18" t="str">
        <f t="shared" si="186"/>
        <v/>
      </c>
      <c r="K302" s="18" t="str">
        <f>IF(R302&lt;&gt;1,"",DATA_INPUT!H302)</f>
        <v/>
      </c>
      <c r="L302" s="18" t="str">
        <f t="shared" si="187"/>
        <v/>
      </c>
      <c r="M302" s="18" t="str">
        <f>IF(R302&lt;&gt;1,"",H302*CONTROL_PANEL!$B$14)</f>
        <v/>
      </c>
      <c r="N302" s="18" t="str">
        <f>IF(R302&lt;&gt;1,"",DATA_INPUT!K302)</f>
        <v/>
      </c>
      <c r="O302" s="18" t="str">
        <f t="shared" si="188"/>
        <v/>
      </c>
      <c r="P302" s="18" t="str">
        <f>IF(R302&lt;&gt;1,"",IF(O302-CONTROL_PANEL!$B$11&lt;0,0,O302-CONTROL_PANEL!$B$11))</f>
        <v/>
      </c>
      <c r="Q302" s="18" t="str">
        <f>IF(R302&lt;&gt;1,"",IF(N302&lt;=0,0,MIN(N302,MAX(0,CONTROL_PANEL!$B$13-O302))))</f>
        <v/>
      </c>
      <c r="R302" s="18"/>
      <c r="T302" s="19">
        <f t="shared" si="216"/>
        <v>2040</v>
      </c>
      <c r="U302" s="19">
        <f t="shared" si="181"/>
        <v>7</v>
      </c>
      <c r="V302" s="18" t="str">
        <f t="shared" si="189"/>
        <v/>
      </c>
      <c r="W302" s="18" t="str">
        <f t="shared" si="211"/>
        <v/>
      </c>
      <c r="X302" s="18" t="str">
        <f>IF(AK301&lt;&gt;1,"",IF(AH301&gt;0,IF(AH301&gt;CONTROL_PANEL!$B$11,CONTROL_PANEL!$B$11,AH301),0))</f>
        <v/>
      </c>
      <c r="Y302" s="18" t="str">
        <f t="shared" si="206"/>
        <v/>
      </c>
      <c r="Z302" s="18" t="str">
        <f>IF(AK302&lt;&gt;1,"",DATA_INPUT!I302)</f>
        <v/>
      </c>
      <c r="AA302" s="18" t="str">
        <f>IF(AK302&lt;&gt;1,"",Z302*CONTROL_PANEL!$B$5)</f>
        <v/>
      </c>
      <c r="AB302" s="18" t="str">
        <f>IF(AK302&lt;&gt;1,"",DATA_INPUT!$C302)</f>
        <v/>
      </c>
      <c r="AC302" s="18" t="str">
        <f t="shared" si="190"/>
        <v/>
      </c>
      <c r="AD302" s="18" t="str">
        <f>IF(AK302&lt;&gt;1,"",DATA_INPUT!$H302)</f>
        <v/>
      </c>
      <c r="AE302" s="18" t="str">
        <f t="shared" si="191"/>
        <v/>
      </c>
      <c r="AF302" s="18" t="str">
        <f>IF(AK302&lt;&gt;1,"",AA302*CONTROL_PANEL!$B$14)</f>
        <v/>
      </c>
      <c r="AG302" s="18" t="str">
        <f>IF(AK302&lt;&gt;1,"",DATA_INPUT!$L302)</f>
        <v/>
      </c>
      <c r="AH302" s="18" t="str">
        <f t="shared" si="192"/>
        <v/>
      </c>
      <c r="AI302" s="18" t="str">
        <f>IF(AK302&lt;&gt;1,"",IF(AH302-CONTROL_PANEL!$B$11&lt;0,0,AH302-CONTROL_PANEL!$B$11))</f>
        <v/>
      </c>
      <c r="AJ302" s="18" t="str">
        <f>IF(AK302&lt;&gt;1,"",IF(AG302&lt;=0,0,MIN(AG302,MAX(0,CONTROL_PANEL!$B$13-AH302))))</f>
        <v/>
      </c>
      <c r="AK302" s="18"/>
      <c r="AM302" s="19">
        <f t="shared" si="217"/>
        <v>2040</v>
      </c>
      <c r="AN302" s="19">
        <f t="shared" si="182"/>
        <v>7</v>
      </c>
      <c r="AO302" s="18" t="str">
        <f t="shared" si="193"/>
        <v/>
      </c>
      <c r="AP302" s="18" t="str">
        <f t="shared" si="212"/>
        <v/>
      </c>
      <c r="AQ302" s="18" t="str">
        <f>IF(BD301&lt;&gt;1,"",IF(BA301&gt;0,IF(BA301&gt;CONTROL_PANEL!$B$11,CONTROL_PANEL!$B$11,BA301),0))</f>
        <v/>
      </c>
      <c r="AR302" s="18" t="str">
        <f t="shared" si="207"/>
        <v/>
      </c>
      <c r="AS302" s="18" t="str">
        <f>IF(BD302&lt;&gt;1,"",DATA_INPUT!$I302)</f>
        <v/>
      </c>
      <c r="AT302" s="18" t="str">
        <f>IF(BD302&lt;&gt;1,"",AS302*CONTROL_PANEL!$B$5)</f>
        <v/>
      </c>
      <c r="AU302" s="18" t="str">
        <f>IF(BD302&lt;&gt;1,"",DATA_INPUT!$C302)</f>
        <v/>
      </c>
      <c r="AV302" s="18" t="str">
        <f t="shared" si="194"/>
        <v/>
      </c>
      <c r="AW302" s="18" t="str">
        <f>IF(BD302&lt;&gt;1,"",DATA_INPUT!$H302)</f>
        <v/>
      </c>
      <c r="AX302" s="18" t="str">
        <f t="shared" si="195"/>
        <v/>
      </c>
      <c r="AY302" s="18" t="str">
        <f>IF(BD302&lt;&gt;1,"",AT302*CONTROL_PANEL!$B$14)</f>
        <v/>
      </c>
      <c r="AZ302" s="18" t="str">
        <f>IF(BD302&lt;&gt;1,"",DATA_INPUT!$M302)</f>
        <v/>
      </c>
      <c r="BA302" s="18" t="str">
        <f t="shared" si="196"/>
        <v/>
      </c>
      <c r="BB302" s="18" t="str">
        <f>IF(BD302&lt;&gt;1,"",IF(BA302-CONTROL_PANEL!$B$11&lt;0,0,BA302-CONTROL_PANEL!$B$11))</f>
        <v/>
      </c>
      <c r="BC302" s="18" t="str">
        <f>IF(BD302&lt;&gt;1,"",IF(AZ302&lt;=0,0,MIN(AZ302,MAX(0,CONTROL_PANEL!$B$13-BA302))))</f>
        <v/>
      </c>
      <c r="BD302" s="18"/>
      <c r="BF302" s="19">
        <f t="shared" si="218"/>
        <v>2040</v>
      </c>
      <c r="BG302" s="19">
        <f t="shared" si="183"/>
        <v>7</v>
      </c>
      <c r="BH302" s="18" t="str">
        <f t="shared" si="197"/>
        <v/>
      </c>
      <c r="BI302" s="18" t="str">
        <f t="shared" si="213"/>
        <v/>
      </c>
      <c r="BJ302" s="18" t="str">
        <f>IF(BW301&lt;&gt;1,"",IF(BT301&gt;0,IF(BT301&gt;CONTROL_PANEL!$B$11,CONTROL_PANEL!$B$11,BT301),0))</f>
        <v/>
      </c>
      <c r="BK302" s="18" t="str">
        <f t="shared" si="208"/>
        <v/>
      </c>
      <c r="BL302" s="18" t="str">
        <f>IF(BW302&lt;&gt;1,"",DATA_INPUT!$I302)</f>
        <v/>
      </c>
      <c r="BM302" s="18" t="str">
        <f>IF(BW302&lt;&gt;1,"",BL302*CONTROL_PANEL!$B$5)</f>
        <v/>
      </c>
      <c r="BN302" s="18" t="str">
        <f>IF(BW302&lt;&gt;1,"",DATA_INPUT!$C302)</f>
        <v/>
      </c>
      <c r="BO302" s="18" t="str">
        <f t="shared" si="198"/>
        <v/>
      </c>
      <c r="BP302" s="18" t="str">
        <f>IF(BW302&lt;&gt;1,"",DATA_INPUT!$H302)</f>
        <v/>
      </c>
      <c r="BQ302" s="18" t="str">
        <f t="shared" si="199"/>
        <v/>
      </c>
      <c r="BR302" s="18" t="str">
        <f>IF(BW302&lt;&gt;1,"",BM302*CONTROL_PANEL!$B$14)</f>
        <v/>
      </c>
      <c r="BS302" s="18" t="str">
        <f>IF(BW302&lt;&gt;1,"",DATA_INPUT!$N302)</f>
        <v/>
      </c>
      <c r="BT302" s="18" t="str">
        <f t="shared" si="200"/>
        <v/>
      </c>
      <c r="BU302" s="18" t="str">
        <f>IF(BW302&lt;&gt;1,"",IF(BT302-CONTROL_PANEL!$B$11&lt;0,0,BT302-CONTROL_PANEL!$B$11))</f>
        <v/>
      </c>
      <c r="BV302" s="18" t="str">
        <f>IF(BW302&lt;&gt;1,"",IF(BS302&lt;=0,0,MIN(BS302,MAX(0,CONTROL_PANEL!$B$13-BT302))))</f>
        <v/>
      </c>
      <c r="BW302" s="18"/>
      <c r="BY302" s="19">
        <f t="shared" si="219"/>
        <v>2040</v>
      </c>
      <c r="BZ302" s="19">
        <f t="shared" si="184"/>
        <v>7</v>
      </c>
      <c r="CA302" s="18" t="str">
        <f t="shared" si="201"/>
        <v/>
      </c>
      <c r="CB302" s="18" t="str">
        <f t="shared" si="214"/>
        <v/>
      </c>
      <c r="CC302" s="18" t="str">
        <f>IF(CP301&lt;&gt;1,"",IF(CM301&gt;0,IF(CM301&gt;CONTROL_PANEL!$B$11,CONTROL_PANEL!$B$11,CM301),0))</f>
        <v/>
      </c>
      <c r="CD302" s="18" t="str">
        <f t="shared" si="209"/>
        <v/>
      </c>
      <c r="CE302" s="18" t="str">
        <f>IF(CP302&lt;&gt;1,"",DATA_INPUT!$I302)</f>
        <v/>
      </c>
      <c r="CF302" s="18" t="str">
        <f>IF(CP302&lt;&gt;1,"",CE302*CONTROL_PANEL!$B$5)</f>
        <v/>
      </c>
      <c r="CG302" s="18" t="str">
        <f>IF(CP302&lt;&gt;1,"",DATA_INPUT!$C302)</f>
        <v/>
      </c>
      <c r="CH302" s="18" t="str">
        <f t="shared" si="202"/>
        <v/>
      </c>
      <c r="CI302" s="18" t="str">
        <f>IF(CP302&lt;&gt;1,"",DATA_INPUT!$H302)</f>
        <v/>
      </c>
      <c r="CJ302" s="18" t="str">
        <f t="shared" si="203"/>
        <v/>
      </c>
      <c r="CK302" s="18" t="str">
        <f>IF(CP302&lt;&gt;1,"",CF302*CONTROL_PANEL!$B$14)</f>
        <v/>
      </c>
      <c r="CL302" s="18" t="str">
        <f>IF(CP302&lt;&gt;1,"",DATA_INPUT!$O302)</f>
        <v/>
      </c>
      <c r="CM302" s="18" t="str">
        <f t="shared" si="204"/>
        <v/>
      </c>
      <c r="CN302" s="18" t="str">
        <f>IF(CP302&lt;&gt;1,"",IF(CM302-CONTROL_PANEL!$B$11&lt;0,0,CM302-CONTROL_PANEL!$B$11))</f>
        <v/>
      </c>
      <c r="CO302" s="18" t="str">
        <f>IF(CP302&lt;&gt;1,"",IF(CL302&lt;=0,0,MIN(CL302,MAX(0,CONTROL_PANEL!$B$13-CM302))))</f>
        <v/>
      </c>
      <c r="CP302" s="18"/>
    </row>
    <row r="303" spans="1:94" x14ac:dyDescent="0.25">
      <c r="A303" s="19">
        <f t="shared" si="215"/>
        <v>2040</v>
      </c>
      <c r="B303" s="19">
        <f t="shared" si="180"/>
        <v>8</v>
      </c>
      <c r="C303" s="18" t="str">
        <f t="shared" si="185"/>
        <v/>
      </c>
      <c r="D303" s="18" t="str">
        <f t="shared" si="210"/>
        <v/>
      </c>
      <c r="E303" s="18" t="str">
        <f>IF(R302&lt;&gt;1,"",IF(O302&gt;0,IF(O302&gt;CONTROL_PANEL!$B$11,CONTROL_PANEL!$B$11,O302),0))</f>
        <v/>
      </c>
      <c r="F303" s="18" t="str">
        <f t="shared" si="205"/>
        <v/>
      </c>
      <c r="G303" s="18" t="str">
        <f>IF(R303&lt;&gt;1,"",DATA_INPUT!I303)</f>
        <v/>
      </c>
      <c r="H303" s="18" t="str">
        <f>IF(R303&lt;&gt;1,"",G303*CONTROL_PANEL!$B$5)</f>
        <v/>
      </c>
      <c r="I303" s="18" t="str">
        <f>IF(R303&lt;&gt;1,"",DATA_INPUT!C303)</f>
        <v/>
      </c>
      <c r="J303" s="18" t="str">
        <f t="shared" si="186"/>
        <v/>
      </c>
      <c r="K303" s="18" t="str">
        <f>IF(R303&lt;&gt;1,"",DATA_INPUT!H303)</f>
        <v/>
      </c>
      <c r="L303" s="18" t="str">
        <f t="shared" si="187"/>
        <v/>
      </c>
      <c r="M303" s="18" t="str">
        <f>IF(R303&lt;&gt;1,"",H303*CONTROL_PANEL!$B$14)</f>
        <v/>
      </c>
      <c r="N303" s="18" t="str">
        <f>IF(R303&lt;&gt;1,"",DATA_INPUT!K303)</f>
        <v/>
      </c>
      <c r="O303" s="18" t="str">
        <f t="shared" si="188"/>
        <v/>
      </c>
      <c r="P303" s="18" t="str">
        <f>IF(R303&lt;&gt;1,"",IF(O303-CONTROL_PANEL!$B$11&lt;0,0,O303-CONTROL_PANEL!$B$11))</f>
        <v/>
      </c>
      <c r="Q303" s="18" t="str">
        <f>IF(R303&lt;&gt;1,"",IF(N303&lt;=0,0,MIN(N303,MAX(0,CONTROL_PANEL!$B$13-O303))))</f>
        <v/>
      </c>
      <c r="R303" s="18"/>
      <c r="T303" s="19">
        <f t="shared" si="216"/>
        <v>2040</v>
      </c>
      <c r="U303" s="19">
        <f t="shared" si="181"/>
        <v>8</v>
      </c>
      <c r="V303" s="18" t="str">
        <f t="shared" si="189"/>
        <v/>
      </c>
      <c r="W303" s="18" t="str">
        <f t="shared" si="211"/>
        <v/>
      </c>
      <c r="X303" s="18" t="str">
        <f>IF(AK302&lt;&gt;1,"",IF(AH302&gt;0,IF(AH302&gt;CONTROL_PANEL!$B$11,CONTROL_PANEL!$B$11,AH302),0))</f>
        <v/>
      </c>
      <c r="Y303" s="18" t="str">
        <f t="shared" si="206"/>
        <v/>
      </c>
      <c r="Z303" s="18" t="str">
        <f>IF(AK303&lt;&gt;1,"",DATA_INPUT!I303)</f>
        <v/>
      </c>
      <c r="AA303" s="18" t="str">
        <f>IF(AK303&lt;&gt;1,"",Z303*CONTROL_PANEL!$B$5)</f>
        <v/>
      </c>
      <c r="AB303" s="18" t="str">
        <f>IF(AK303&lt;&gt;1,"",DATA_INPUT!$C303)</f>
        <v/>
      </c>
      <c r="AC303" s="18" t="str">
        <f t="shared" si="190"/>
        <v/>
      </c>
      <c r="AD303" s="18" t="str">
        <f>IF(AK303&lt;&gt;1,"",DATA_INPUT!$H303)</f>
        <v/>
      </c>
      <c r="AE303" s="18" t="str">
        <f t="shared" si="191"/>
        <v/>
      </c>
      <c r="AF303" s="18" t="str">
        <f>IF(AK303&lt;&gt;1,"",AA303*CONTROL_PANEL!$B$14)</f>
        <v/>
      </c>
      <c r="AG303" s="18" t="str">
        <f>IF(AK303&lt;&gt;1,"",DATA_INPUT!$L303)</f>
        <v/>
      </c>
      <c r="AH303" s="18" t="str">
        <f t="shared" si="192"/>
        <v/>
      </c>
      <c r="AI303" s="18" t="str">
        <f>IF(AK303&lt;&gt;1,"",IF(AH303-CONTROL_PANEL!$B$11&lt;0,0,AH303-CONTROL_PANEL!$B$11))</f>
        <v/>
      </c>
      <c r="AJ303" s="18" t="str">
        <f>IF(AK303&lt;&gt;1,"",IF(AG303&lt;=0,0,MIN(AG303,MAX(0,CONTROL_PANEL!$B$13-AH303))))</f>
        <v/>
      </c>
      <c r="AK303" s="18"/>
      <c r="AM303" s="19">
        <f t="shared" si="217"/>
        <v>2040</v>
      </c>
      <c r="AN303" s="19">
        <f t="shared" si="182"/>
        <v>8</v>
      </c>
      <c r="AO303" s="18" t="str">
        <f t="shared" si="193"/>
        <v/>
      </c>
      <c r="AP303" s="18" t="str">
        <f t="shared" si="212"/>
        <v/>
      </c>
      <c r="AQ303" s="18" t="str">
        <f>IF(BD302&lt;&gt;1,"",IF(BA302&gt;0,IF(BA302&gt;CONTROL_PANEL!$B$11,CONTROL_PANEL!$B$11,BA302),0))</f>
        <v/>
      </c>
      <c r="AR303" s="18" t="str">
        <f t="shared" si="207"/>
        <v/>
      </c>
      <c r="AS303" s="18" t="str">
        <f>IF(BD303&lt;&gt;1,"",DATA_INPUT!$I303)</f>
        <v/>
      </c>
      <c r="AT303" s="18" t="str">
        <f>IF(BD303&lt;&gt;1,"",AS303*CONTROL_PANEL!$B$5)</f>
        <v/>
      </c>
      <c r="AU303" s="18" t="str">
        <f>IF(BD303&lt;&gt;1,"",DATA_INPUT!$C303)</f>
        <v/>
      </c>
      <c r="AV303" s="18" t="str">
        <f t="shared" si="194"/>
        <v/>
      </c>
      <c r="AW303" s="18" t="str">
        <f>IF(BD303&lt;&gt;1,"",DATA_INPUT!$H303)</f>
        <v/>
      </c>
      <c r="AX303" s="18" t="str">
        <f t="shared" si="195"/>
        <v/>
      </c>
      <c r="AY303" s="18" t="str">
        <f>IF(BD303&lt;&gt;1,"",AT303*CONTROL_PANEL!$B$14)</f>
        <v/>
      </c>
      <c r="AZ303" s="18" t="str">
        <f>IF(BD303&lt;&gt;1,"",DATA_INPUT!$M303)</f>
        <v/>
      </c>
      <c r="BA303" s="18" t="str">
        <f t="shared" si="196"/>
        <v/>
      </c>
      <c r="BB303" s="18" t="str">
        <f>IF(BD303&lt;&gt;1,"",IF(BA303-CONTROL_PANEL!$B$11&lt;0,0,BA303-CONTROL_PANEL!$B$11))</f>
        <v/>
      </c>
      <c r="BC303" s="18" t="str">
        <f>IF(BD303&lt;&gt;1,"",IF(AZ303&lt;=0,0,MIN(AZ303,MAX(0,CONTROL_PANEL!$B$13-BA303))))</f>
        <v/>
      </c>
      <c r="BD303" s="18"/>
      <c r="BF303" s="19">
        <f t="shared" si="218"/>
        <v>2040</v>
      </c>
      <c r="BG303" s="19">
        <f t="shared" si="183"/>
        <v>8</v>
      </c>
      <c r="BH303" s="18" t="str">
        <f t="shared" si="197"/>
        <v/>
      </c>
      <c r="BI303" s="18" t="str">
        <f t="shared" si="213"/>
        <v/>
      </c>
      <c r="BJ303" s="18" t="str">
        <f>IF(BW302&lt;&gt;1,"",IF(BT302&gt;0,IF(BT302&gt;CONTROL_PANEL!$B$11,CONTROL_PANEL!$B$11,BT302),0))</f>
        <v/>
      </c>
      <c r="BK303" s="18" t="str">
        <f t="shared" si="208"/>
        <v/>
      </c>
      <c r="BL303" s="18" t="str">
        <f>IF(BW303&lt;&gt;1,"",DATA_INPUT!$I303)</f>
        <v/>
      </c>
      <c r="BM303" s="18" t="str">
        <f>IF(BW303&lt;&gt;1,"",BL303*CONTROL_PANEL!$B$5)</f>
        <v/>
      </c>
      <c r="BN303" s="18" t="str">
        <f>IF(BW303&lt;&gt;1,"",DATA_INPUT!$C303)</f>
        <v/>
      </c>
      <c r="BO303" s="18" t="str">
        <f t="shared" si="198"/>
        <v/>
      </c>
      <c r="BP303" s="18" t="str">
        <f>IF(BW303&lt;&gt;1,"",DATA_INPUT!$H303)</f>
        <v/>
      </c>
      <c r="BQ303" s="18" t="str">
        <f t="shared" si="199"/>
        <v/>
      </c>
      <c r="BR303" s="18" t="str">
        <f>IF(BW303&lt;&gt;1,"",BM303*CONTROL_PANEL!$B$14)</f>
        <v/>
      </c>
      <c r="BS303" s="18" t="str">
        <f>IF(BW303&lt;&gt;1,"",DATA_INPUT!$N303)</f>
        <v/>
      </c>
      <c r="BT303" s="18" t="str">
        <f t="shared" si="200"/>
        <v/>
      </c>
      <c r="BU303" s="18" t="str">
        <f>IF(BW303&lt;&gt;1,"",IF(BT303-CONTROL_PANEL!$B$11&lt;0,0,BT303-CONTROL_PANEL!$B$11))</f>
        <v/>
      </c>
      <c r="BV303" s="18" t="str">
        <f>IF(BW303&lt;&gt;1,"",IF(BS303&lt;=0,0,MIN(BS303,MAX(0,CONTROL_PANEL!$B$13-BT303))))</f>
        <v/>
      </c>
      <c r="BW303" s="18"/>
      <c r="BY303" s="19">
        <f t="shared" si="219"/>
        <v>2040</v>
      </c>
      <c r="BZ303" s="19">
        <f t="shared" si="184"/>
        <v>8</v>
      </c>
      <c r="CA303" s="18" t="str">
        <f t="shared" si="201"/>
        <v/>
      </c>
      <c r="CB303" s="18" t="str">
        <f t="shared" si="214"/>
        <v/>
      </c>
      <c r="CC303" s="18" t="str">
        <f>IF(CP302&lt;&gt;1,"",IF(CM302&gt;0,IF(CM302&gt;CONTROL_PANEL!$B$11,CONTROL_PANEL!$B$11,CM302),0))</f>
        <v/>
      </c>
      <c r="CD303" s="18" t="str">
        <f t="shared" si="209"/>
        <v/>
      </c>
      <c r="CE303" s="18" t="str">
        <f>IF(CP303&lt;&gt;1,"",DATA_INPUT!$I303)</f>
        <v/>
      </c>
      <c r="CF303" s="18" t="str">
        <f>IF(CP303&lt;&gt;1,"",CE303*CONTROL_PANEL!$B$5)</f>
        <v/>
      </c>
      <c r="CG303" s="18" t="str">
        <f>IF(CP303&lt;&gt;1,"",DATA_INPUT!$C303)</f>
        <v/>
      </c>
      <c r="CH303" s="18" t="str">
        <f t="shared" si="202"/>
        <v/>
      </c>
      <c r="CI303" s="18" t="str">
        <f>IF(CP303&lt;&gt;1,"",DATA_INPUT!$H303)</f>
        <v/>
      </c>
      <c r="CJ303" s="18" t="str">
        <f t="shared" si="203"/>
        <v/>
      </c>
      <c r="CK303" s="18" t="str">
        <f>IF(CP303&lt;&gt;1,"",CF303*CONTROL_PANEL!$B$14)</f>
        <v/>
      </c>
      <c r="CL303" s="18" t="str">
        <f>IF(CP303&lt;&gt;1,"",DATA_INPUT!$O303)</f>
        <v/>
      </c>
      <c r="CM303" s="18" t="str">
        <f t="shared" si="204"/>
        <v/>
      </c>
      <c r="CN303" s="18" t="str">
        <f>IF(CP303&lt;&gt;1,"",IF(CM303-CONTROL_PANEL!$B$11&lt;0,0,CM303-CONTROL_PANEL!$B$11))</f>
        <v/>
      </c>
      <c r="CO303" s="18" t="str">
        <f>IF(CP303&lt;&gt;1,"",IF(CL303&lt;=0,0,MIN(CL303,MAX(0,CONTROL_PANEL!$B$13-CM303))))</f>
        <v/>
      </c>
      <c r="CP303" s="18"/>
    </row>
    <row r="304" spans="1:94" x14ac:dyDescent="0.25">
      <c r="A304" s="19">
        <f t="shared" si="215"/>
        <v>2040</v>
      </c>
      <c r="B304" s="19">
        <f t="shared" si="180"/>
        <v>9</v>
      </c>
      <c r="C304" s="18" t="str">
        <f t="shared" si="185"/>
        <v/>
      </c>
      <c r="D304" s="18" t="str">
        <f t="shared" si="210"/>
        <v/>
      </c>
      <c r="E304" s="18" t="str">
        <f>IF(R303&lt;&gt;1,"",IF(O303&gt;0,IF(O303&gt;CONTROL_PANEL!$B$11,CONTROL_PANEL!$B$11,O303),0))</f>
        <v/>
      </c>
      <c r="F304" s="18" t="str">
        <f t="shared" si="205"/>
        <v/>
      </c>
      <c r="G304" s="18" t="str">
        <f>IF(R304&lt;&gt;1,"",DATA_INPUT!I304)</f>
        <v/>
      </c>
      <c r="H304" s="18" t="str">
        <f>IF(R304&lt;&gt;1,"",G304*CONTROL_PANEL!$B$5)</f>
        <v/>
      </c>
      <c r="I304" s="18" t="str">
        <f>IF(R304&lt;&gt;1,"",DATA_INPUT!C304)</f>
        <v/>
      </c>
      <c r="J304" s="18" t="str">
        <f t="shared" si="186"/>
        <v/>
      </c>
      <c r="K304" s="18" t="str">
        <f>IF(R304&lt;&gt;1,"",DATA_INPUT!H304)</f>
        <v/>
      </c>
      <c r="L304" s="18" t="str">
        <f t="shared" si="187"/>
        <v/>
      </c>
      <c r="M304" s="18" t="str">
        <f>IF(R304&lt;&gt;1,"",H304*CONTROL_PANEL!$B$14)</f>
        <v/>
      </c>
      <c r="N304" s="18" t="str">
        <f>IF(R304&lt;&gt;1,"",DATA_INPUT!K304)</f>
        <v/>
      </c>
      <c r="O304" s="18" t="str">
        <f t="shared" si="188"/>
        <v/>
      </c>
      <c r="P304" s="18" t="str">
        <f>IF(R304&lt;&gt;1,"",IF(O304-CONTROL_PANEL!$B$11&lt;0,0,O304-CONTROL_PANEL!$B$11))</f>
        <v/>
      </c>
      <c r="Q304" s="18" t="str">
        <f>IF(R304&lt;&gt;1,"",IF(N304&lt;=0,0,MIN(N304,MAX(0,CONTROL_PANEL!$B$13-O304))))</f>
        <v/>
      </c>
      <c r="R304" s="18"/>
      <c r="T304" s="19">
        <f t="shared" si="216"/>
        <v>2040</v>
      </c>
      <c r="U304" s="19">
        <f t="shared" si="181"/>
        <v>9</v>
      </c>
      <c r="V304" s="18" t="str">
        <f t="shared" si="189"/>
        <v/>
      </c>
      <c r="W304" s="18" t="str">
        <f t="shared" si="211"/>
        <v/>
      </c>
      <c r="X304" s="18" t="str">
        <f>IF(AK303&lt;&gt;1,"",IF(AH303&gt;0,IF(AH303&gt;CONTROL_PANEL!$B$11,CONTROL_PANEL!$B$11,AH303),0))</f>
        <v/>
      </c>
      <c r="Y304" s="18" t="str">
        <f t="shared" si="206"/>
        <v/>
      </c>
      <c r="Z304" s="18" t="str">
        <f>IF(AK304&lt;&gt;1,"",DATA_INPUT!I304)</f>
        <v/>
      </c>
      <c r="AA304" s="18" t="str">
        <f>IF(AK304&lt;&gt;1,"",Z304*CONTROL_PANEL!$B$5)</f>
        <v/>
      </c>
      <c r="AB304" s="18" t="str">
        <f>IF(AK304&lt;&gt;1,"",DATA_INPUT!$C304)</f>
        <v/>
      </c>
      <c r="AC304" s="18" t="str">
        <f t="shared" si="190"/>
        <v/>
      </c>
      <c r="AD304" s="18" t="str">
        <f>IF(AK304&lt;&gt;1,"",DATA_INPUT!$H304)</f>
        <v/>
      </c>
      <c r="AE304" s="18" t="str">
        <f t="shared" si="191"/>
        <v/>
      </c>
      <c r="AF304" s="18" t="str">
        <f>IF(AK304&lt;&gt;1,"",AA304*CONTROL_PANEL!$B$14)</f>
        <v/>
      </c>
      <c r="AG304" s="18" t="str">
        <f>IF(AK304&lt;&gt;1,"",DATA_INPUT!$L304)</f>
        <v/>
      </c>
      <c r="AH304" s="18" t="str">
        <f t="shared" si="192"/>
        <v/>
      </c>
      <c r="AI304" s="18" t="str">
        <f>IF(AK304&lt;&gt;1,"",IF(AH304-CONTROL_PANEL!$B$11&lt;0,0,AH304-CONTROL_PANEL!$B$11))</f>
        <v/>
      </c>
      <c r="AJ304" s="18" t="str">
        <f>IF(AK304&lt;&gt;1,"",IF(AG304&lt;=0,0,MIN(AG304,MAX(0,CONTROL_PANEL!$B$13-AH304))))</f>
        <v/>
      </c>
      <c r="AK304" s="18"/>
      <c r="AM304" s="19">
        <f t="shared" si="217"/>
        <v>2040</v>
      </c>
      <c r="AN304" s="19">
        <f t="shared" si="182"/>
        <v>9</v>
      </c>
      <c r="AO304" s="18" t="str">
        <f t="shared" si="193"/>
        <v/>
      </c>
      <c r="AP304" s="18" t="str">
        <f t="shared" si="212"/>
        <v/>
      </c>
      <c r="AQ304" s="18" t="str">
        <f>IF(BD303&lt;&gt;1,"",IF(BA303&gt;0,IF(BA303&gt;CONTROL_PANEL!$B$11,CONTROL_PANEL!$B$11,BA303),0))</f>
        <v/>
      </c>
      <c r="AR304" s="18" t="str">
        <f t="shared" si="207"/>
        <v/>
      </c>
      <c r="AS304" s="18" t="str">
        <f>IF(BD304&lt;&gt;1,"",DATA_INPUT!$I304)</f>
        <v/>
      </c>
      <c r="AT304" s="18" t="str">
        <f>IF(BD304&lt;&gt;1,"",AS304*CONTROL_PANEL!$B$5)</f>
        <v/>
      </c>
      <c r="AU304" s="18" t="str">
        <f>IF(BD304&lt;&gt;1,"",DATA_INPUT!$C304)</f>
        <v/>
      </c>
      <c r="AV304" s="18" t="str">
        <f t="shared" si="194"/>
        <v/>
      </c>
      <c r="AW304" s="18" t="str">
        <f>IF(BD304&lt;&gt;1,"",DATA_INPUT!$H304)</f>
        <v/>
      </c>
      <c r="AX304" s="18" t="str">
        <f t="shared" si="195"/>
        <v/>
      </c>
      <c r="AY304" s="18" t="str">
        <f>IF(BD304&lt;&gt;1,"",AT304*CONTROL_PANEL!$B$14)</f>
        <v/>
      </c>
      <c r="AZ304" s="18" t="str">
        <f>IF(BD304&lt;&gt;1,"",DATA_INPUT!$M304)</f>
        <v/>
      </c>
      <c r="BA304" s="18" t="str">
        <f t="shared" si="196"/>
        <v/>
      </c>
      <c r="BB304" s="18" t="str">
        <f>IF(BD304&lt;&gt;1,"",IF(BA304-CONTROL_PANEL!$B$11&lt;0,0,BA304-CONTROL_PANEL!$B$11))</f>
        <v/>
      </c>
      <c r="BC304" s="18" t="str">
        <f>IF(BD304&lt;&gt;1,"",IF(AZ304&lt;=0,0,MIN(AZ304,MAX(0,CONTROL_PANEL!$B$13-BA304))))</f>
        <v/>
      </c>
      <c r="BD304" s="18"/>
      <c r="BF304" s="19">
        <f t="shared" si="218"/>
        <v>2040</v>
      </c>
      <c r="BG304" s="19">
        <f t="shared" si="183"/>
        <v>9</v>
      </c>
      <c r="BH304" s="18" t="str">
        <f t="shared" si="197"/>
        <v/>
      </c>
      <c r="BI304" s="18" t="str">
        <f t="shared" si="213"/>
        <v/>
      </c>
      <c r="BJ304" s="18" t="str">
        <f>IF(BW303&lt;&gt;1,"",IF(BT303&gt;0,IF(BT303&gt;CONTROL_PANEL!$B$11,CONTROL_PANEL!$B$11,BT303),0))</f>
        <v/>
      </c>
      <c r="BK304" s="18" t="str">
        <f t="shared" si="208"/>
        <v/>
      </c>
      <c r="BL304" s="18" t="str">
        <f>IF(BW304&lt;&gt;1,"",DATA_INPUT!$I304)</f>
        <v/>
      </c>
      <c r="BM304" s="18" t="str">
        <f>IF(BW304&lt;&gt;1,"",BL304*CONTROL_PANEL!$B$5)</f>
        <v/>
      </c>
      <c r="BN304" s="18" t="str">
        <f>IF(BW304&lt;&gt;1,"",DATA_INPUT!$C304)</f>
        <v/>
      </c>
      <c r="BO304" s="18" t="str">
        <f t="shared" si="198"/>
        <v/>
      </c>
      <c r="BP304" s="18" t="str">
        <f>IF(BW304&lt;&gt;1,"",DATA_INPUT!$H304)</f>
        <v/>
      </c>
      <c r="BQ304" s="18" t="str">
        <f t="shared" si="199"/>
        <v/>
      </c>
      <c r="BR304" s="18" t="str">
        <f>IF(BW304&lt;&gt;1,"",BM304*CONTROL_PANEL!$B$14)</f>
        <v/>
      </c>
      <c r="BS304" s="18" t="str">
        <f>IF(BW304&lt;&gt;1,"",DATA_INPUT!$N304)</f>
        <v/>
      </c>
      <c r="BT304" s="18" t="str">
        <f t="shared" si="200"/>
        <v/>
      </c>
      <c r="BU304" s="18" t="str">
        <f>IF(BW304&lt;&gt;1,"",IF(BT304-CONTROL_PANEL!$B$11&lt;0,0,BT304-CONTROL_PANEL!$B$11))</f>
        <v/>
      </c>
      <c r="BV304" s="18" t="str">
        <f>IF(BW304&lt;&gt;1,"",IF(BS304&lt;=0,0,MIN(BS304,MAX(0,CONTROL_PANEL!$B$13-BT304))))</f>
        <v/>
      </c>
      <c r="BW304" s="18"/>
      <c r="BY304" s="19">
        <f t="shared" si="219"/>
        <v>2040</v>
      </c>
      <c r="BZ304" s="19">
        <f t="shared" si="184"/>
        <v>9</v>
      </c>
      <c r="CA304" s="18" t="str">
        <f t="shared" si="201"/>
        <v/>
      </c>
      <c r="CB304" s="18" t="str">
        <f t="shared" si="214"/>
        <v/>
      </c>
      <c r="CC304" s="18" t="str">
        <f>IF(CP303&lt;&gt;1,"",IF(CM303&gt;0,IF(CM303&gt;CONTROL_PANEL!$B$11,CONTROL_PANEL!$B$11,CM303),0))</f>
        <v/>
      </c>
      <c r="CD304" s="18" t="str">
        <f t="shared" si="209"/>
        <v/>
      </c>
      <c r="CE304" s="18" t="str">
        <f>IF(CP304&lt;&gt;1,"",DATA_INPUT!$I304)</f>
        <v/>
      </c>
      <c r="CF304" s="18" t="str">
        <f>IF(CP304&lt;&gt;1,"",CE304*CONTROL_PANEL!$B$5)</f>
        <v/>
      </c>
      <c r="CG304" s="18" t="str">
        <f>IF(CP304&lt;&gt;1,"",DATA_INPUT!$C304)</f>
        <v/>
      </c>
      <c r="CH304" s="18" t="str">
        <f t="shared" si="202"/>
        <v/>
      </c>
      <c r="CI304" s="18" t="str">
        <f>IF(CP304&lt;&gt;1,"",DATA_INPUT!$H304)</f>
        <v/>
      </c>
      <c r="CJ304" s="18" t="str">
        <f t="shared" si="203"/>
        <v/>
      </c>
      <c r="CK304" s="18" t="str">
        <f>IF(CP304&lt;&gt;1,"",CF304*CONTROL_PANEL!$B$14)</f>
        <v/>
      </c>
      <c r="CL304" s="18" t="str">
        <f>IF(CP304&lt;&gt;1,"",DATA_INPUT!$O304)</f>
        <v/>
      </c>
      <c r="CM304" s="18" t="str">
        <f t="shared" si="204"/>
        <v/>
      </c>
      <c r="CN304" s="18" t="str">
        <f>IF(CP304&lt;&gt;1,"",IF(CM304-CONTROL_PANEL!$B$11&lt;0,0,CM304-CONTROL_PANEL!$B$11))</f>
        <v/>
      </c>
      <c r="CO304" s="18" t="str">
        <f>IF(CP304&lt;&gt;1,"",IF(CL304&lt;=0,0,MIN(CL304,MAX(0,CONTROL_PANEL!$B$13-CM304))))</f>
        <v/>
      </c>
      <c r="CP304" s="18"/>
    </row>
    <row r="305" spans="1:94" x14ac:dyDescent="0.25">
      <c r="A305" s="19">
        <f t="shared" si="215"/>
        <v>2040</v>
      </c>
      <c r="B305" s="19">
        <f t="shared" si="180"/>
        <v>10</v>
      </c>
      <c r="C305" s="18" t="str">
        <f t="shared" si="185"/>
        <v/>
      </c>
      <c r="D305" s="18" t="str">
        <f t="shared" si="210"/>
        <v/>
      </c>
      <c r="E305" s="18" t="str">
        <f>IF(R304&lt;&gt;1,"",IF(O304&gt;0,IF(O304&gt;CONTROL_PANEL!$B$11,CONTROL_PANEL!$B$11,O304),0))</f>
        <v/>
      </c>
      <c r="F305" s="18" t="str">
        <f t="shared" si="205"/>
        <v/>
      </c>
      <c r="G305" s="18" t="str">
        <f>IF(R305&lt;&gt;1,"",DATA_INPUT!I305)</f>
        <v/>
      </c>
      <c r="H305" s="18" t="str">
        <f>IF(R305&lt;&gt;1,"",G305*CONTROL_PANEL!$B$5)</f>
        <v/>
      </c>
      <c r="I305" s="18" t="str">
        <f>IF(R305&lt;&gt;1,"",DATA_INPUT!C305)</f>
        <v/>
      </c>
      <c r="J305" s="18" t="str">
        <f t="shared" si="186"/>
        <v/>
      </c>
      <c r="K305" s="18" t="str">
        <f>IF(R305&lt;&gt;1,"",DATA_INPUT!H305)</f>
        <v/>
      </c>
      <c r="L305" s="18" t="str">
        <f t="shared" si="187"/>
        <v/>
      </c>
      <c r="M305" s="18" t="str">
        <f>IF(R305&lt;&gt;1,"",H305*CONTROL_PANEL!$B$14)</f>
        <v/>
      </c>
      <c r="N305" s="18" t="str">
        <f>IF(R305&lt;&gt;1,"",DATA_INPUT!K305)</f>
        <v/>
      </c>
      <c r="O305" s="18" t="str">
        <f t="shared" si="188"/>
        <v/>
      </c>
      <c r="P305" s="18" t="str">
        <f>IF(R305&lt;&gt;1,"",IF(O305-CONTROL_PANEL!$B$11&lt;0,0,O305-CONTROL_PANEL!$B$11))</f>
        <v/>
      </c>
      <c r="Q305" s="18" t="str">
        <f>IF(R305&lt;&gt;1,"",IF(N305&lt;=0,0,MIN(N305,MAX(0,CONTROL_PANEL!$B$13-O305))))</f>
        <v/>
      </c>
      <c r="R305" s="18"/>
      <c r="T305" s="19">
        <f t="shared" si="216"/>
        <v>2040</v>
      </c>
      <c r="U305" s="19">
        <f t="shared" si="181"/>
        <v>10</v>
      </c>
      <c r="V305" s="18" t="str">
        <f t="shared" si="189"/>
        <v/>
      </c>
      <c r="W305" s="18" t="str">
        <f t="shared" si="211"/>
        <v/>
      </c>
      <c r="X305" s="18" t="str">
        <f>IF(AK304&lt;&gt;1,"",IF(AH304&gt;0,IF(AH304&gt;CONTROL_PANEL!$B$11,CONTROL_PANEL!$B$11,AH304),0))</f>
        <v/>
      </c>
      <c r="Y305" s="18" t="str">
        <f t="shared" si="206"/>
        <v/>
      </c>
      <c r="Z305" s="18" t="str">
        <f>IF(AK305&lt;&gt;1,"",DATA_INPUT!I305)</f>
        <v/>
      </c>
      <c r="AA305" s="18" t="str">
        <f>IF(AK305&lt;&gt;1,"",Z305*CONTROL_PANEL!$B$5)</f>
        <v/>
      </c>
      <c r="AB305" s="18" t="str">
        <f>IF(AK305&lt;&gt;1,"",DATA_INPUT!$C305)</f>
        <v/>
      </c>
      <c r="AC305" s="18" t="str">
        <f t="shared" si="190"/>
        <v/>
      </c>
      <c r="AD305" s="18" t="str">
        <f>IF(AK305&lt;&gt;1,"",DATA_INPUT!$H305)</f>
        <v/>
      </c>
      <c r="AE305" s="18" t="str">
        <f t="shared" si="191"/>
        <v/>
      </c>
      <c r="AF305" s="18" t="str">
        <f>IF(AK305&lt;&gt;1,"",AA305*CONTROL_PANEL!$B$14)</f>
        <v/>
      </c>
      <c r="AG305" s="18" t="str">
        <f>IF(AK305&lt;&gt;1,"",DATA_INPUT!$L305)</f>
        <v/>
      </c>
      <c r="AH305" s="18" t="str">
        <f t="shared" si="192"/>
        <v/>
      </c>
      <c r="AI305" s="18" t="str">
        <f>IF(AK305&lt;&gt;1,"",IF(AH305-CONTROL_PANEL!$B$11&lt;0,0,AH305-CONTROL_PANEL!$B$11))</f>
        <v/>
      </c>
      <c r="AJ305" s="18" t="str">
        <f>IF(AK305&lt;&gt;1,"",IF(AG305&lt;=0,0,MIN(AG305,MAX(0,CONTROL_PANEL!$B$13-AH305))))</f>
        <v/>
      </c>
      <c r="AK305" s="18"/>
      <c r="AM305" s="19">
        <f t="shared" si="217"/>
        <v>2040</v>
      </c>
      <c r="AN305" s="19">
        <f t="shared" si="182"/>
        <v>10</v>
      </c>
      <c r="AO305" s="18" t="str">
        <f t="shared" si="193"/>
        <v/>
      </c>
      <c r="AP305" s="18" t="str">
        <f t="shared" si="212"/>
        <v/>
      </c>
      <c r="AQ305" s="18" t="str">
        <f>IF(BD304&lt;&gt;1,"",IF(BA304&gt;0,IF(BA304&gt;CONTROL_PANEL!$B$11,CONTROL_PANEL!$B$11,BA304),0))</f>
        <v/>
      </c>
      <c r="AR305" s="18" t="str">
        <f t="shared" si="207"/>
        <v/>
      </c>
      <c r="AS305" s="18" t="str">
        <f>IF(BD305&lt;&gt;1,"",DATA_INPUT!$I305)</f>
        <v/>
      </c>
      <c r="AT305" s="18" t="str">
        <f>IF(BD305&lt;&gt;1,"",AS305*CONTROL_PANEL!$B$5)</f>
        <v/>
      </c>
      <c r="AU305" s="18" t="str">
        <f>IF(BD305&lt;&gt;1,"",DATA_INPUT!$C305)</f>
        <v/>
      </c>
      <c r="AV305" s="18" t="str">
        <f t="shared" si="194"/>
        <v/>
      </c>
      <c r="AW305" s="18" t="str">
        <f>IF(BD305&lt;&gt;1,"",DATA_INPUT!$H305)</f>
        <v/>
      </c>
      <c r="AX305" s="18" t="str">
        <f t="shared" si="195"/>
        <v/>
      </c>
      <c r="AY305" s="18" t="str">
        <f>IF(BD305&lt;&gt;1,"",AT305*CONTROL_PANEL!$B$14)</f>
        <v/>
      </c>
      <c r="AZ305" s="18" t="str">
        <f>IF(BD305&lt;&gt;1,"",DATA_INPUT!$M305)</f>
        <v/>
      </c>
      <c r="BA305" s="18" t="str">
        <f t="shared" si="196"/>
        <v/>
      </c>
      <c r="BB305" s="18" t="str">
        <f>IF(BD305&lt;&gt;1,"",IF(BA305-CONTROL_PANEL!$B$11&lt;0,0,BA305-CONTROL_PANEL!$B$11))</f>
        <v/>
      </c>
      <c r="BC305" s="18" t="str">
        <f>IF(BD305&lt;&gt;1,"",IF(AZ305&lt;=0,0,MIN(AZ305,MAX(0,CONTROL_PANEL!$B$13-BA305))))</f>
        <v/>
      </c>
      <c r="BD305" s="18"/>
      <c r="BF305" s="19">
        <f t="shared" si="218"/>
        <v>2040</v>
      </c>
      <c r="BG305" s="19">
        <f t="shared" si="183"/>
        <v>10</v>
      </c>
      <c r="BH305" s="18" t="str">
        <f t="shared" si="197"/>
        <v/>
      </c>
      <c r="BI305" s="18" t="str">
        <f t="shared" si="213"/>
        <v/>
      </c>
      <c r="BJ305" s="18" t="str">
        <f>IF(BW304&lt;&gt;1,"",IF(BT304&gt;0,IF(BT304&gt;CONTROL_PANEL!$B$11,CONTROL_PANEL!$B$11,BT304),0))</f>
        <v/>
      </c>
      <c r="BK305" s="18" t="str">
        <f t="shared" si="208"/>
        <v/>
      </c>
      <c r="BL305" s="18" t="str">
        <f>IF(BW305&lt;&gt;1,"",DATA_INPUT!$I305)</f>
        <v/>
      </c>
      <c r="BM305" s="18" t="str">
        <f>IF(BW305&lt;&gt;1,"",BL305*CONTROL_PANEL!$B$5)</f>
        <v/>
      </c>
      <c r="BN305" s="18" t="str">
        <f>IF(BW305&lt;&gt;1,"",DATA_INPUT!$C305)</f>
        <v/>
      </c>
      <c r="BO305" s="18" t="str">
        <f t="shared" si="198"/>
        <v/>
      </c>
      <c r="BP305" s="18" t="str">
        <f>IF(BW305&lt;&gt;1,"",DATA_INPUT!$H305)</f>
        <v/>
      </c>
      <c r="BQ305" s="18" t="str">
        <f t="shared" si="199"/>
        <v/>
      </c>
      <c r="BR305" s="18" t="str">
        <f>IF(BW305&lt;&gt;1,"",BM305*CONTROL_PANEL!$B$14)</f>
        <v/>
      </c>
      <c r="BS305" s="18" t="str">
        <f>IF(BW305&lt;&gt;1,"",DATA_INPUT!$N305)</f>
        <v/>
      </c>
      <c r="BT305" s="18" t="str">
        <f t="shared" si="200"/>
        <v/>
      </c>
      <c r="BU305" s="18" t="str">
        <f>IF(BW305&lt;&gt;1,"",IF(BT305-CONTROL_PANEL!$B$11&lt;0,0,BT305-CONTROL_PANEL!$B$11))</f>
        <v/>
      </c>
      <c r="BV305" s="18" t="str">
        <f>IF(BW305&lt;&gt;1,"",IF(BS305&lt;=0,0,MIN(BS305,MAX(0,CONTROL_PANEL!$B$13-BT305))))</f>
        <v/>
      </c>
      <c r="BW305" s="18"/>
      <c r="BY305" s="19">
        <f t="shared" si="219"/>
        <v>2040</v>
      </c>
      <c r="BZ305" s="19">
        <f t="shared" si="184"/>
        <v>10</v>
      </c>
      <c r="CA305" s="18" t="str">
        <f t="shared" si="201"/>
        <v/>
      </c>
      <c r="CB305" s="18" t="str">
        <f t="shared" si="214"/>
        <v/>
      </c>
      <c r="CC305" s="18" t="str">
        <f>IF(CP304&lt;&gt;1,"",IF(CM304&gt;0,IF(CM304&gt;CONTROL_PANEL!$B$11,CONTROL_PANEL!$B$11,CM304),0))</f>
        <v/>
      </c>
      <c r="CD305" s="18" t="str">
        <f t="shared" si="209"/>
        <v/>
      </c>
      <c r="CE305" s="18" t="str">
        <f>IF(CP305&lt;&gt;1,"",DATA_INPUT!$I305)</f>
        <v/>
      </c>
      <c r="CF305" s="18" t="str">
        <f>IF(CP305&lt;&gt;1,"",CE305*CONTROL_PANEL!$B$5)</f>
        <v/>
      </c>
      <c r="CG305" s="18" t="str">
        <f>IF(CP305&lt;&gt;1,"",DATA_INPUT!$C305)</f>
        <v/>
      </c>
      <c r="CH305" s="18" t="str">
        <f t="shared" si="202"/>
        <v/>
      </c>
      <c r="CI305" s="18" t="str">
        <f>IF(CP305&lt;&gt;1,"",DATA_INPUT!$H305)</f>
        <v/>
      </c>
      <c r="CJ305" s="18" t="str">
        <f t="shared" si="203"/>
        <v/>
      </c>
      <c r="CK305" s="18" t="str">
        <f>IF(CP305&lt;&gt;1,"",CF305*CONTROL_PANEL!$B$14)</f>
        <v/>
      </c>
      <c r="CL305" s="18" t="str">
        <f>IF(CP305&lt;&gt;1,"",DATA_INPUT!$O305)</f>
        <v/>
      </c>
      <c r="CM305" s="18" t="str">
        <f t="shared" si="204"/>
        <v/>
      </c>
      <c r="CN305" s="18" t="str">
        <f>IF(CP305&lt;&gt;1,"",IF(CM305-CONTROL_PANEL!$B$11&lt;0,0,CM305-CONTROL_PANEL!$B$11))</f>
        <v/>
      </c>
      <c r="CO305" s="18" t="str">
        <f>IF(CP305&lt;&gt;1,"",IF(CL305&lt;=0,0,MIN(CL305,MAX(0,CONTROL_PANEL!$B$13-CM305))))</f>
        <v/>
      </c>
      <c r="CP305" s="18"/>
    </row>
    <row r="306" spans="1:94" x14ac:dyDescent="0.25">
      <c r="A306" s="19">
        <f t="shared" si="215"/>
        <v>2040</v>
      </c>
      <c r="B306" s="19">
        <f t="shared" si="180"/>
        <v>11</v>
      </c>
      <c r="C306" s="18" t="str">
        <f t="shared" si="185"/>
        <v/>
      </c>
      <c r="D306" s="18" t="str">
        <f t="shared" si="210"/>
        <v/>
      </c>
      <c r="E306" s="18" t="str">
        <f>IF(R305&lt;&gt;1,"",IF(O305&gt;0,IF(O305&gt;CONTROL_PANEL!$B$11,CONTROL_PANEL!$B$11,O305),0))</f>
        <v/>
      </c>
      <c r="F306" s="18" t="str">
        <f t="shared" si="205"/>
        <v/>
      </c>
      <c r="G306" s="18" t="str">
        <f>IF(R306&lt;&gt;1,"",DATA_INPUT!I306)</f>
        <v/>
      </c>
      <c r="H306" s="18" t="str">
        <f>IF(R306&lt;&gt;1,"",G306*CONTROL_PANEL!$B$5)</f>
        <v/>
      </c>
      <c r="I306" s="18" t="str">
        <f>IF(R306&lt;&gt;1,"",DATA_INPUT!C306)</f>
        <v/>
      </c>
      <c r="J306" s="18" t="str">
        <f t="shared" si="186"/>
        <v/>
      </c>
      <c r="K306" s="18" t="str">
        <f>IF(R306&lt;&gt;1,"",DATA_INPUT!H306)</f>
        <v/>
      </c>
      <c r="L306" s="18" t="str">
        <f t="shared" si="187"/>
        <v/>
      </c>
      <c r="M306" s="18" t="str">
        <f>IF(R306&lt;&gt;1,"",H306*CONTROL_PANEL!$B$14)</f>
        <v/>
      </c>
      <c r="N306" s="18" t="str">
        <f>IF(R306&lt;&gt;1,"",DATA_INPUT!K306)</f>
        <v/>
      </c>
      <c r="O306" s="18" t="str">
        <f t="shared" si="188"/>
        <v/>
      </c>
      <c r="P306" s="18" t="str">
        <f>IF(R306&lt;&gt;1,"",IF(O306-CONTROL_PANEL!$B$11&lt;0,0,O306-CONTROL_PANEL!$B$11))</f>
        <v/>
      </c>
      <c r="Q306" s="18" t="str">
        <f>IF(R306&lt;&gt;1,"",IF(N306&lt;=0,0,MIN(N306,MAX(0,CONTROL_PANEL!$B$13-O306))))</f>
        <v/>
      </c>
      <c r="R306" s="18"/>
      <c r="T306" s="19">
        <f t="shared" si="216"/>
        <v>2040</v>
      </c>
      <c r="U306" s="19">
        <f t="shared" si="181"/>
        <v>11</v>
      </c>
      <c r="V306" s="18" t="str">
        <f t="shared" si="189"/>
        <v/>
      </c>
      <c r="W306" s="18" t="str">
        <f t="shared" si="211"/>
        <v/>
      </c>
      <c r="X306" s="18" t="str">
        <f>IF(AK305&lt;&gt;1,"",IF(AH305&gt;0,IF(AH305&gt;CONTROL_PANEL!$B$11,CONTROL_PANEL!$B$11,AH305),0))</f>
        <v/>
      </c>
      <c r="Y306" s="18" t="str">
        <f t="shared" si="206"/>
        <v/>
      </c>
      <c r="Z306" s="18" t="str">
        <f>IF(AK306&lt;&gt;1,"",DATA_INPUT!I306)</f>
        <v/>
      </c>
      <c r="AA306" s="18" t="str">
        <f>IF(AK306&lt;&gt;1,"",Z306*CONTROL_PANEL!$B$5)</f>
        <v/>
      </c>
      <c r="AB306" s="18" t="str">
        <f>IF(AK306&lt;&gt;1,"",DATA_INPUT!$C306)</f>
        <v/>
      </c>
      <c r="AC306" s="18" t="str">
        <f t="shared" si="190"/>
        <v/>
      </c>
      <c r="AD306" s="18" t="str">
        <f>IF(AK306&lt;&gt;1,"",DATA_INPUT!$H306)</f>
        <v/>
      </c>
      <c r="AE306" s="18" t="str">
        <f t="shared" si="191"/>
        <v/>
      </c>
      <c r="AF306" s="18" t="str">
        <f>IF(AK306&lt;&gt;1,"",AA306*CONTROL_PANEL!$B$14)</f>
        <v/>
      </c>
      <c r="AG306" s="18" t="str">
        <f>IF(AK306&lt;&gt;1,"",DATA_INPUT!$L306)</f>
        <v/>
      </c>
      <c r="AH306" s="18" t="str">
        <f t="shared" si="192"/>
        <v/>
      </c>
      <c r="AI306" s="18" t="str">
        <f>IF(AK306&lt;&gt;1,"",IF(AH306-CONTROL_PANEL!$B$11&lt;0,0,AH306-CONTROL_PANEL!$B$11))</f>
        <v/>
      </c>
      <c r="AJ306" s="18" t="str">
        <f>IF(AK306&lt;&gt;1,"",IF(AG306&lt;=0,0,MIN(AG306,MAX(0,CONTROL_PANEL!$B$13-AH306))))</f>
        <v/>
      </c>
      <c r="AK306" s="18"/>
      <c r="AM306" s="19">
        <f t="shared" si="217"/>
        <v>2040</v>
      </c>
      <c r="AN306" s="19">
        <f t="shared" si="182"/>
        <v>11</v>
      </c>
      <c r="AO306" s="18" t="str">
        <f t="shared" si="193"/>
        <v/>
      </c>
      <c r="AP306" s="18" t="str">
        <f t="shared" si="212"/>
        <v/>
      </c>
      <c r="AQ306" s="18" t="str">
        <f>IF(BD305&lt;&gt;1,"",IF(BA305&gt;0,IF(BA305&gt;CONTROL_PANEL!$B$11,CONTROL_PANEL!$B$11,BA305),0))</f>
        <v/>
      </c>
      <c r="AR306" s="18" t="str">
        <f t="shared" si="207"/>
        <v/>
      </c>
      <c r="AS306" s="18" t="str">
        <f>IF(BD306&lt;&gt;1,"",DATA_INPUT!$I306)</f>
        <v/>
      </c>
      <c r="AT306" s="18" t="str">
        <f>IF(BD306&lt;&gt;1,"",AS306*CONTROL_PANEL!$B$5)</f>
        <v/>
      </c>
      <c r="AU306" s="18" t="str">
        <f>IF(BD306&lt;&gt;1,"",DATA_INPUT!$C306)</f>
        <v/>
      </c>
      <c r="AV306" s="18" t="str">
        <f t="shared" si="194"/>
        <v/>
      </c>
      <c r="AW306" s="18" t="str">
        <f>IF(BD306&lt;&gt;1,"",DATA_INPUT!$H306)</f>
        <v/>
      </c>
      <c r="AX306" s="18" t="str">
        <f t="shared" si="195"/>
        <v/>
      </c>
      <c r="AY306" s="18" t="str">
        <f>IF(BD306&lt;&gt;1,"",AT306*CONTROL_PANEL!$B$14)</f>
        <v/>
      </c>
      <c r="AZ306" s="18" t="str">
        <f>IF(BD306&lt;&gt;1,"",DATA_INPUT!$M306)</f>
        <v/>
      </c>
      <c r="BA306" s="18" t="str">
        <f t="shared" si="196"/>
        <v/>
      </c>
      <c r="BB306" s="18" t="str">
        <f>IF(BD306&lt;&gt;1,"",IF(BA306-CONTROL_PANEL!$B$11&lt;0,0,BA306-CONTROL_PANEL!$B$11))</f>
        <v/>
      </c>
      <c r="BC306" s="18" t="str">
        <f>IF(BD306&lt;&gt;1,"",IF(AZ306&lt;=0,0,MIN(AZ306,MAX(0,CONTROL_PANEL!$B$13-BA306))))</f>
        <v/>
      </c>
      <c r="BD306" s="18"/>
      <c r="BF306" s="19">
        <f t="shared" si="218"/>
        <v>2040</v>
      </c>
      <c r="BG306" s="19">
        <f t="shared" si="183"/>
        <v>11</v>
      </c>
      <c r="BH306" s="18" t="str">
        <f t="shared" si="197"/>
        <v/>
      </c>
      <c r="BI306" s="18" t="str">
        <f t="shared" si="213"/>
        <v/>
      </c>
      <c r="BJ306" s="18" t="str">
        <f>IF(BW305&lt;&gt;1,"",IF(BT305&gt;0,IF(BT305&gt;CONTROL_PANEL!$B$11,CONTROL_PANEL!$B$11,BT305),0))</f>
        <v/>
      </c>
      <c r="BK306" s="18" t="str">
        <f t="shared" si="208"/>
        <v/>
      </c>
      <c r="BL306" s="18" t="str">
        <f>IF(BW306&lt;&gt;1,"",DATA_INPUT!$I306)</f>
        <v/>
      </c>
      <c r="BM306" s="18" t="str">
        <f>IF(BW306&lt;&gt;1,"",BL306*CONTROL_PANEL!$B$5)</f>
        <v/>
      </c>
      <c r="BN306" s="18" t="str">
        <f>IF(BW306&lt;&gt;1,"",DATA_INPUT!$C306)</f>
        <v/>
      </c>
      <c r="BO306" s="18" t="str">
        <f t="shared" si="198"/>
        <v/>
      </c>
      <c r="BP306" s="18" t="str">
        <f>IF(BW306&lt;&gt;1,"",DATA_INPUT!$H306)</f>
        <v/>
      </c>
      <c r="BQ306" s="18" t="str">
        <f t="shared" si="199"/>
        <v/>
      </c>
      <c r="BR306" s="18" t="str">
        <f>IF(BW306&lt;&gt;1,"",BM306*CONTROL_PANEL!$B$14)</f>
        <v/>
      </c>
      <c r="BS306" s="18" t="str">
        <f>IF(BW306&lt;&gt;1,"",DATA_INPUT!$N306)</f>
        <v/>
      </c>
      <c r="BT306" s="18" t="str">
        <f t="shared" si="200"/>
        <v/>
      </c>
      <c r="BU306" s="18" t="str">
        <f>IF(BW306&lt;&gt;1,"",IF(BT306-CONTROL_PANEL!$B$11&lt;0,0,BT306-CONTROL_PANEL!$B$11))</f>
        <v/>
      </c>
      <c r="BV306" s="18" t="str">
        <f>IF(BW306&lt;&gt;1,"",IF(BS306&lt;=0,0,MIN(BS306,MAX(0,CONTROL_PANEL!$B$13-BT306))))</f>
        <v/>
      </c>
      <c r="BW306" s="18"/>
      <c r="BY306" s="19">
        <f t="shared" si="219"/>
        <v>2040</v>
      </c>
      <c r="BZ306" s="19">
        <f t="shared" si="184"/>
        <v>11</v>
      </c>
      <c r="CA306" s="18" t="str">
        <f t="shared" si="201"/>
        <v/>
      </c>
      <c r="CB306" s="18" t="str">
        <f t="shared" si="214"/>
        <v/>
      </c>
      <c r="CC306" s="18" t="str">
        <f>IF(CP305&lt;&gt;1,"",IF(CM305&gt;0,IF(CM305&gt;CONTROL_PANEL!$B$11,CONTROL_PANEL!$B$11,CM305),0))</f>
        <v/>
      </c>
      <c r="CD306" s="18" t="str">
        <f t="shared" si="209"/>
        <v/>
      </c>
      <c r="CE306" s="18" t="str">
        <f>IF(CP306&lt;&gt;1,"",DATA_INPUT!$I306)</f>
        <v/>
      </c>
      <c r="CF306" s="18" t="str">
        <f>IF(CP306&lt;&gt;1,"",CE306*CONTROL_PANEL!$B$5)</f>
        <v/>
      </c>
      <c r="CG306" s="18" t="str">
        <f>IF(CP306&lt;&gt;1,"",DATA_INPUT!$C306)</f>
        <v/>
      </c>
      <c r="CH306" s="18" t="str">
        <f t="shared" si="202"/>
        <v/>
      </c>
      <c r="CI306" s="18" t="str">
        <f>IF(CP306&lt;&gt;1,"",DATA_INPUT!$H306)</f>
        <v/>
      </c>
      <c r="CJ306" s="18" t="str">
        <f t="shared" si="203"/>
        <v/>
      </c>
      <c r="CK306" s="18" t="str">
        <f>IF(CP306&lt;&gt;1,"",CF306*CONTROL_PANEL!$B$14)</f>
        <v/>
      </c>
      <c r="CL306" s="18" t="str">
        <f>IF(CP306&lt;&gt;1,"",DATA_INPUT!$O306)</f>
        <v/>
      </c>
      <c r="CM306" s="18" t="str">
        <f t="shared" si="204"/>
        <v/>
      </c>
      <c r="CN306" s="18" t="str">
        <f>IF(CP306&lt;&gt;1,"",IF(CM306-CONTROL_PANEL!$B$11&lt;0,0,CM306-CONTROL_PANEL!$B$11))</f>
        <v/>
      </c>
      <c r="CO306" s="18" t="str">
        <f>IF(CP306&lt;&gt;1,"",IF(CL306&lt;=0,0,MIN(CL306,MAX(0,CONTROL_PANEL!$B$13-CM306))))</f>
        <v/>
      </c>
      <c r="CP306" s="18"/>
    </row>
    <row r="307" spans="1:94" x14ac:dyDescent="0.25">
      <c r="A307" s="19">
        <f t="shared" si="215"/>
        <v>2040</v>
      </c>
      <c r="B307" s="19">
        <f t="shared" si="180"/>
        <v>12</v>
      </c>
      <c r="C307" s="18" t="str">
        <f t="shared" si="185"/>
        <v/>
      </c>
      <c r="D307" s="18" t="str">
        <f t="shared" si="210"/>
        <v/>
      </c>
      <c r="E307" s="18" t="str">
        <f>IF(R306&lt;&gt;1,"",IF(O306&gt;0,IF(O306&gt;CONTROL_PANEL!$B$11,CONTROL_PANEL!$B$11,O306),0))</f>
        <v/>
      </c>
      <c r="F307" s="18" t="str">
        <f t="shared" si="205"/>
        <v/>
      </c>
      <c r="G307" s="18" t="str">
        <f>IF(R307&lt;&gt;1,"",DATA_INPUT!I307)</f>
        <v/>
      </c>
      <c r="H307" s="18" t="str">
        <f>IF(R307&lt;&gt;1,"",G307*CONTROL_PANEL!$B$5)</f>
        <v/>
      </c>
      <c r="I307" s="18" t="str">
        <f>IF(R307&lt;&gt;1,"",DATA_INPUT!C307)</f>
        <v/>
      </c>
      <c r="J307" s="18" t="str">
        <f t="shared" si="186"/>
        <v/>
      </c>
      <c r="K307" s="18" t="str">
        <f>IF(R307&lt;&gt;1,"",DATA_INPUT!H307)</f>
        <v/>
      </c>
      <c r="L307" s="18" t="str">
        <f t="shared" si="187"/>
        <v/>
      </c>
      <c r="M307" s="18" t="str">
        <f>IF(R307&lt;&gt;1,"",H307*CONTROL_PANEL!$B$14)</f>
        <v/>
      </c>
      <c r="N307" s="18" t="str">
        <f>IF(R307&lt;&gt;1,"",DATA_INPUT!K307)</f>
        <v/>
      </c>
      <c r="O307" s="18" t="str">
        <f t="shared" si="188"/>
        <v/>
      </c>
      <c r="P307" s="18" t="str">
        <f>IF(R307&lt;&gt;1,"",IF(O307-CONTROL_PANEL!$B$11&lt;0,0,O307-CONTROL_PANEL!$B$11))</f>
        <v/>
      </c>
      <c r="Q307" s="18" t="str">
        <f>IF(R307&lt;&gt;1,"",IF(N307&lt;=0,0,MIN(N307,MAX(0,CONTROL_PANEL!$B$13-O307))))</f>
        <v/>
      </c>
      <c r="R307" s="18"/>
      <c r="T307" s="19">
        <f t="shared" si="216"/>
        <v>2040</v>
      </c>
      <c r="U307" s="19">
        <f t="shared" si="181"/>
        <v>12</v>
      </c>
      <c r="V307" s="18" t="str">
        <f t="shared" si="189"/>
        <v/>
      </c>
      <c r="W307" s="18" t="str">
        <f t="shared" si="211"/>
        <v/>
      </c>
      <c r="X307" s="18" t="str">
        <f>IF(AK306&lt;&gt;1,"",IF(AH306&gt;0,IF(AH306&gt;CONTROL_PANEL!$B$11,CONTROL_PANEL!$B$11,AH306),0))</f>
        <v/>
      </c>
      <c r="Y307" s="18" t="str">
        <f t="shared" si="206"/>
        <v/>
      </c>
      <c r="Z307" s="18" t="str">
        <f>IF(AK307&lt;&gt;1,"",DATA_INPUT!I307)</f>
        <v/>
      </c>
      <c r="AA307" s="18" t="str">
        <f>IF(AK307&lt;&gt;1,"",Z307*CONTROL_PANEL!$B$5)</f>
        <v/>
      </c>
      <c r="AB307" s="18" t="str">
        <f>IF(AK307&lt;&gt;1,"",DATA_INPUT!$C307)</f>
        <v/>
      </c>
      <c r="AC307" s="18" t="str">
        <f t="shared" si="190"/>
        <v/>
      </c>
      <c r="AD307" s="18" t="str">
        <f>IF(AK307&lt;&gt;1,"",DATA_INPUT!$H307)</f>
        <v/>
      </c>
      <c r="AE307" s="18" t="str">
        <f t="shared" si="191"/>
        <v/>
      </c>
      <c r="AF307" s="18" t="str">
        <f>IF(AK307&lt;&gt;1,"",AA307*CONTROL_PANEL!$B$14)</f>
        <v/>
      </c>
      <c r="AG307" s="18" t="str">
        <f>IF(AK307&lt;&gt;1,"",DATA_INPUT!$L307)</f>
        <v/>
      </c>
      <c r="AH307" s="18" t="str">
        <f t="shared" si="192"/>
        <v/>
      </c>
      <c r="AI307" s="18" t="str">
        <f>IF(AK307&lt;&gt;1,"",IF(AH307-CONTROL_PANEL!$B$11&lt;0,0,AH307-CONTROL_PANEL!$B$11))</f>
        <v/>
      </c>
      <c r="AJ307" s="18" t="str">
        <f>IF(AK307&lt;&gt;1,"",IF(AG307&lt;=0,0,MIN(AG307,MAX(0,CONTROL_PANEL!$B$13-AH307))))</f>
        <v/>
      </c>
      <c r="AK307" s="18"/>
      <c r="AM307" s="19">
        <f t="shared" si="217"/>
        <v>2040</v>
      </c>
      <c r="AN307" s="19">
        <f t="shared" si="182"/>
        <v>12</v>
      </c>
      <c r="AO307" s="18" t="str">
        <f t="shared" si="193"/>
        <v/>
      </c>
      <c r="AP307" s="18" t="str">
        <f t="shared" si="212"/>
        <v/>
      </c>
      <c r="AQ307" s="18" t="str">
        <f>IF(BD306&lt;&gt;1,"",IF(BA306&gt;0,IF(BA306&gt;CONTROL_PANEL!$B$11,CONTROL_PANEL!$B$11,BA306),0))</f>
        <v/>
      </c>
      <c r="AR307" s="18" t="str">
        <f t="shared" si="207"/>
        <v/>
      </c>
      <c r="AS307" s="18" t="str">
        <f>IF(BD307&lt;&gt;1,"",DATA_INPUT!$I307)</f>
        <v/>
      </c>
      <c r="AT307" s="18" t="str">
        <f>IF(BD307&lt;&gt;1,"",AS307*CONTROL_PANEL!$B$5)</f>
        <v/>
      </c>
      <c r="AU307" s="18" t="str">
        <f>IF(BD307&lt;&gt;1,"",DATA_INPUT!$C307)</f>
        <v/>
      </c>
      <c r="AV307" s="18" t="str">
        <f t="shared" si="194"/>
        <v/>
      </c>
      <c r="AW307" s="18" t="str">
        <f>IF(BD307&lt;&gt;1,"",DATA_INPUT!$H307)</f>
        <v/>
      </c>
      <c r="AX307" s="18" t="str">
        <f t="shared" si="195"/>
        <v/>
      </c>
      <c r="AY307" s="18" t="str">
        <f>IF(BD307&lt;&gt;1,"",AT307*CONTROL_PANEL!$B$14)</f>
        <v/>
      </c>
      <c r="AZ307" s="18" t="str">
        <f>IF(BD307&lt;&gt;1,"",DATA_INPUT!$M307)</f>
        <v/>
      </c>
      <c r="BA307" s="18" t="str">
        <f t="shared" si="196"/>
        <v/>
      </c>
      <c r="BB307" s="18" t="str">
        <f>IF(BD307&lt;&gt;1,"",IF(BA307-CONTROL_PANEL!$B$11&lt;0,0,BA307-CONTROL_PANEL!$B$11))</f>
        <v/>
      </c>
      <c r="BC307" s="18" t="str">
        <f>IF(BD307&lt;&gt;1,"",IF(AZ307&lt;=0,0,MIN(AZ307,MAX(0,CONTROL_PANEL!$B$13-BA307))))</f>
        <v/>
      </c>
      <c r="BD307" s="18"/>
      <c r="BF307" s="19">
        <f t="shared" si="218"/>
        <v>2040</v>
      </c>
      <c r="BG307" s="19">
        <f t="shared" si="183"/>
        <v>12</v>
      </c>
      <c r="BH307" s="18" t="str">
        <f t="shared" si="197"/>
        <v/>
      </c>
      <c r="BI307" s="18" t="str">
        <f t="shared" si="213"/>
        <v/>
      </c>
      <c r="BJ307" s="18" t="str">
        <f>IF(BW306&lt;&gt;1,"",IF(BT306&gt;0,IF(BT306&gt;CONTROL_PANEL!$B$11,CONTROL_PANEL!$B$11,BT306),0))</f>
        <v/>
      </c>
      <c r="BK307" s="18" t="str">
        <f t="shared" si="208"/>
        <v/>
      </c>
      <c r="BL307" s="18" t="str">
        <f>IF(BW307&lt;&gt;1,"",DATA_INPUT!$I307)</f>
        <v/>
      </c>
      <c r="BM307" s="18" t="str">
        <f>IF(BW307&lt;&gt;1,"",BL307*CONTROL_PANEL!$B$5)</f>
        <v/>
      </c>
      <c r="BN307" s="18" t="str">
        <f>IF(BW307&lt;&gt;1,"",DATA_INPUT!$C307)</f>
        <v/>
      </c>
      <c r="BO307" s="18" t="str">
        <f t="shared" si="198"/>
        <v/>
      </c>
      <c r="BP307" s="18" t="str">
        <f>IF(BW307&lt;&gt;1,"",DATA_INPUT!$H307)</f>
        <v/>
      </c>
      <c r="BQ307" s="18" t="str">
        <f t="shared" si="199"/>
        <v/>
      </c>
      <c r="BR307" s="18" t="str">
        <f>IF(BW307&lt;&gt;1,"",BM307*CONTROL_PANEL!$B$14)</f>
        <v/>
      </c>
      <c r="BS307" s="18" t="str">
        <f>IF(BW307&lt;&gt;1,"",DATA_INPUT!$N307)</f>
        <v/>
      </c>
      <c r="BT307" s="18" t="str">
        <f t="shared" si="200"/>
        <v/>
      </c>
      <c r="BU307" s="18" t="str">
        <f>IF(BW307&lt;&gt;1,"",IF(BT307-CONTROL_PANEL!$B$11&lt;0,0,BT307-CONTROL_PANEL!$B$11))</f>
        <v/>
      </c>
      <c r="BV307" s="18" t="str">
        <f>IF(BW307&lt;&gt;1,"",IF(BS307&lt;=0,0,MIN(BS307,MAX(0,CONTROL_PANEL!$B$13-BT307))))</f>
        <v/>
      </c>
      <c r="BW307" s="18"/>
      <c r="BY307" s="19">
        <f t="shared" si="219"/>
        <v>2040</v>
      </c>
      <c r="BZ307" s="19">
        <f t="shared" si="184"/>
        <v>12</v>
      </c>
      <c r="CA307" s="18" t="str">
        <f t="shared" si="201"/>
        <v/>
      </c>
      <c r="CB307" s="18" t="str">
        <f t="shared" si="214"/>
        <v/>
      </c>
      <c r="CC307" s="18" t="str">
        <f>IF(CP306&lt;&gt;1,"",IF(CM306&gt;0,IF(CM306&gt;CONTROL_PANEL!$B$11,CONTROL_PANEL!$B$11,CM306),0))</f>
        <v/>
      </c>
      <c r="CD307" s="18" t="str">
        <f t="shared" si="209"/>
        <v/>
      </c>
      <c r="CE307" s="18" t="str">
        <f>IF(CP307&lt;&gt;1,"",DATA_INPUT!$I307)</f>
        <v/>
      </c>
      <c r="CF307" s="18" t="str">
        <f>IF(CP307&lt;&gt;1,"",CE307*CONTROL_PANEL!$B$5)</f>
        <v/>
      </c>
      <c r="CG307" s="18" t="str">
        <f>IF(CP307&lt;&gt;1,"",DATA_INPUT!$C307)</f>
        <v/>
      </c>
      <c r="CH307" s="18" t="str">
        <f t="shared" si="202"/>
        <v/>
      </c>
      <c r="CI307" s="18" t="str">
        <f>IF(CP307&lt;&gt;1,"",DATA_INPUT!$H307)</f>
        <v/>
      </c>
      <c r="CJ307" s="18" t="str">
        <f t="shared" si="203"/>
        <v/>
      </c>
      <c r="CK307" s="18" t="str">
        <f>IF(CP307&lt;&gt;1,"",CF307*CONTROL_PANEL!$B$14)</f>
        <v/>
      </c>
      <c r="CL307" s="18" t="str">
        <f>IF(CP307&lt;&gt;1,"",DATA_INPUT!$O307)</f>
        <v/>
      </c>
      <c r="CM307" s="18" t="str">
        <f t="shared" si="204"/>
        <v/>
      </c>
      <c r="CN307" s="18" t="str">
        <f>IF(CP307&lt;&gt;1,"",IF(CM307-CONTROL_PANEL!$B$11&lt;0,0,CM307-CONTROL_PANEL!$B$11))</f>
        <v/>
      </c>
      <c r="CO307" s="18" t="str">
        <f>IF(CP307&lt;&gt;1,"",IF(CL307&lt;=0,0,MIN(CL307,MAX(0,CONTROL_PANEL!$B$13-CM307))))</f>
        <v/>
      </c>
      <c r="CP307" s="18"/>
    </row>
    <row r="308" spans="1:94" x14ac:dyDescent="0.25">
      <c r="A308" s="19">
        <f t="shared" si="215"/>
        <v>2041</v>
      </c>
      <c r="B308" s="19">
        <f t="shared" si="180"/>
        <v>1</v>
      </c>
      <c r="C308" s="18" t="str">
        <f t="shared" si="185"/>
        <v/>
      </c>
      <c r="D308" s="18" t="str">
        <f t="shared" si="210"/>
        <v/>
      </c>
      <c r="E308" s="18" t="str">
        <f>IF(R307&lt;&gt;1,"",IF(O307&gt;0,IF(O307&gt;CONTROL_PANEL!$B$11,CONTROL_PANEL!$B$11,O307),0))</f>
        <v/>
      </c>
      <c r="F308" s="18" t="str">
        <f t="shared" si="205"/>
        <v/>
      </c>
      <c r="G308" s="18" t="str">
        <f>IF(R308&lt;&gt;1,"",DATA_INPUT!I308)</f>
        <v/>
      </c>
      <c r="H308" s="18" t="str">
        <f>IF(R308&lt;&gt;1,"",G308*CONTROL_PANEL!$B$5)</f>
        <v/>
      </c>
      <c r="I308" s="18" t="str">
        <f>IF(R308&lt;&gt;1,"",DATA_INPUT!C308)</f>
        <v/>
      </c>
      <c r="J308" s="18" t="str">
        <f t="shared" si="186"/>
        <v/>
      </c>
      <c r="K308" s="18" t="str">
        <f>IF(R308&lt;&gt;1,"",DATA_INPUT!H308)</f>
        <v/>
      </c>
      <c r="L308" s="18" t="str">
        <f t="shared" si="187"/>
        <v/>
      </c>
      <c r="M308" s="18" t="str">
        <f>IF(R308&lt;&gt;1,"",H308*CONTROL_PANEL!$B$14)</f>
        <v/>
      </c>
      <c r="N308" s="18" t="str">
        <f>IF(R308&lt;&gt;1,"",DATA_INPUT!K308)</f>
        <v/>
      </c>
      <c r="O308" s="18" t="str">
        <f t="shared" si="188"/>
        <v/>
      </c>
      <c r="P308" s="18" t="str">
        <f>IF(R308&lt;&gt;1,"",IF(O308-CONTROL_PANEL!$B$11&lt;0,0,O308-CONTROL_PANEL!$B$11))</f>
        <v/>
      </c>
      <c r="Q308" s="18" t="str">
        <f>IF(R308&lt;&gt;1,"",IF(N308&lt;=0,0,MIN(N308,MAX(0,CONTROL_PANEL!$B$13-O308))))</f>
        <v/>
      </c>
      <c r="R308" s="18"/>
      <c r="T308" s="19">
        <f t="shared" si="216"/>
        <v>2041</v>
      </c>
      <c r="U308" s="19">
        <f t="shared" si="181"/>
        <v>1</v>
      </c>
      <c r="V308" s="18" t="str">
        <f t="shared" si="189"/>
        <v/>
      </c>
      <c r="W308" s="18" t="str">
        <f t="shared" si="211"/>
        <v/>
      </c>
      <c r="X308" s="18" t="str">
        <f>IF(AK307&lt;&gt;1,"",IF(AH307&gt;0,IF(AH307&gt;CONTROL_PANEL!$B$11,CONTROL_PANEL!$B$11,AH307),0))</f>
        <v/>
      </c>
      <c r="Y308" s="18" t="str">
        <f t="shared" si="206"/>
        <v/>
      </c>
      <c r="Z308" s="18" t="str">
        <f>IF(AK308&lt;&gt;1,"",DATA_INPUT!I308)</f>
        <v/>
      </c>
      <c r="AA308" s="18" t="str">
        <f>IF(AK308&lt;&gt;1,"",Z308*CONTROL_PANEL!$B$5)</f>
        <v/>
      </c>
      <c r="AB308" s="18" t="str">
        <f>IF(AK308&lt;&gt;1,"",DATA_INPUT!$C308)</f>
        <v/>
      </c>
      <c r="AC308" s="18" t="str">
        <f t="shared" si="190"/>
        <v/>
      </c>
      <c r="AD308" s="18" t="str">
        <f>IF(AK308&lt;&gt;1,"",DATA_INPUT!$H308)</f>
        <v/>
      </c>
      <c r="AE308" s="18" t="str">
        <f t="shared" si="191"/>
        <v/>
      </c>
      <c r="AF308" s="18" t="str">
        <f>IF(AK308&lt;&gt;1,"",AA308*CONTROL_PANEL!$B$14)</f>
        <v/>
      </c>
      <c r="AG308" s="18" t="str">
        <f>IF(AK308&lt;&gt;1,"",DATA_INPUT!$L308)</f>
        <v/>
      </c>
      <c r="AH308" s="18" t="str">
        <f t="shared" si="192"/>
        <v/>
      </c>
      <c r="AI308" s="18" t="str">
        <f>IF(AK308&lt;&gt;1,"",IF(AH308-CONTROL_PANEL!$B$11&lt;0,0,AH308-CONTROL_PANEL!$B$11))</f>
        <v/>
      </c>
      <c r="AJ308" s="18" t="str">
        <f>IF(AK308&lt;&gt;1,"",IF(AG308&lt;=0,0,MIN(AG308,MAX(0,CONTROL_PANEL!$B$13-AH308))))</f>
        <v/>
      </c>
      <c r="AK308" s="18"/>
      <c r="AM308" s="19">
        <f t="shared" si="217"/>
        <v>2041</v>
      </c>
      <c r="AN308" s="19">
        <f t="shared" si="182"/>
        <v>1</v>
      </c>
      <c r="AO308" s="18" t="str">
        <f t="shared" si="193"/>
        <v/>
      </c>
      <c r="AP308" s="18" t="str">
        <f t="shared" si="212"/>
        <v/>
      </c>
      <c r="AQ308" s="18" t="str">
        <f>IF(BD307&lt;&gt;1,"",IF(BA307&gt;0,IF(BA307&gt;CONTROL_PANEL!$B$11,CONTROL_PANEL!$B$11,BA307),0))</f>
        <v/>
      </c>
      <c r="AR308" s="18" t="str">
        <f t="shared" si="207"/>
        <v/>
      </c>
      <c r="AS308" s="18" t="str">
        <f>IF(BD308&lt;&gt;1,"",DATA_INPUT!$I308)</f>
        <v/>
      </c>
      <c r="AT308" s="18" t="str">
        <f>IF(BD308&lt;&gt;1,"",AS308*CONTROL_PANEL!$B$5)</f>
        <v/>
      </c>
      <c r="AU308" s="18" t="str">
        <f>IF(BD308&lt;&gt;1,"",DATA_INPUT!$C308)</f>
        <v/>
      </c>
      <c r="AV308" s="18" t="str">
        <f t="shared" si="194"/>
        <v/>
      </c>
      <c r="AW308" s="18" t="str">
        <f>IF(BD308&lt;&gt;1,"",DATA_INPUT!$H308)</f>
        <v/>
      </c>
      <c r="AX308" s="18" t="str">
        <f t="shared" si="195"/>
        <v/>
      </c>
      <c r="AY308" s="18" t="str">
        <f>IF(BD308&lt;&gt;1,"",AT308*CONTROL_PANEL!$B$14)</f>
        <v/>
      </c>
      <c r="AZ308" s="18" t="str">
        <f>IF(BD308&lt;&gt;1,"",DATA_INPUT!$M308)</f>
        <v/>
      </c>
      <c r="BA308" s="18" t="str">
        <f t="shared" si="196"/>
        <v/>
      </c>
      <c r="BB308" s="18" t="str">
        <f>IF(BD308&lt;&gt;1,"",IF(BA308-CONTROL_PANEL!$B$11&lt;0,0,BA308-CONTROL_PANEL!$B$11))</f>
        <v/>
      </c>
      <c r="BC308" s="18" t="str">
        <f>IF(BD308&lt;&gt;1,"",IF(AZ308&lt;=0,0,MIN(AZ308,MAX(0,CONTROL_PANEL!$B$13-BA308))))</f>
        <v/>
      </c>
      <c r="BD308" s="18"/>
      <c r="BF308" s="19">
        <f t="shared" si="218"/>
        <v>2041</v>
      </c>
      <c r="BG308" s="19">
        <f t="shared" si="183"/>
        <v>1</v>
      </c>
      <c r="BH308" s="18" t="str">
        <f t="shared" si="197"/>
        <v/>
      </c>
      <c r="BI308" s="18" t="str">
        <f t="shared" si="213"/>
        <v/>
      </c>
      <c r="BJ308" s="18" t="str">
        <f>IF(BW307&lt;&gt;1,"",IF(BT307&gt;0,IF(BT307&gt;CONTROL_PANEL!$B$11,CONTROL_PANEL!$B$11,BT307),0))</f>
        <v/>
      </c>
      <c r="BK308" s="18" t="str">
        <f t="shared" si="208"/>
        <v/>
      </c>
      <c r="BL308" s="18" t="str">
        <f>IF(BW308&lt;&gt;1,"",DATA_INPUT!$I308)</f>
        <v/>
      </c>
      <c r="BM308" s="18" t="str">
        <f>IF(BW308&lt;&gt;1,"",BL308*CONTROL_PANEL!$B$5)</f>
        <v/>
      </c>
      <c r="BN308" s="18" t="str">
        <f>IF(BW308&lt;&gt;1,"",DATA_INPUT!$C308)</f>
        <v/>
      </c>
      <c r="BO308" s="18" t="str">
        <f t="shared" si="198"/>
        <v/>
      </c>
      <c r="BP308" s="18" t="str">
        <f>IF(BW308&lt;&gt;1,"",DATA_INPUT!$H308)</f>
        <v/>
      </c>
      <c r="BQ308" s="18" t="str">
        <f t="shared" si="199"/>
        <v/>
      </c>
      <c r="BR308" s="18" t="str">
        <f>IF(BW308&lt;&gt;1,"",BM308*CONTROL_PANEL!$B$14)</f>
        <v/>
      </c>
      <c r="BS308" s="18" t="str">
        <f>IF(BW308&lt;&gt;1,"",DATA_INPUT!$N308)</f>
        <v/>
      </c>
      <c r="BT308" s="18" t="str">
        <f t="shared" si="200"/>
        <v/>
      </c>
      <c r="BU308" s="18" t="str">
        <f>IF(BW308&lt;&gt;1,"",IF(BT308-CONTROL_PANEL!$B$11&lt;0,0,BT308-CONTROL_PANEL!$B$11))</f>
        <v/>
      </c>
      <c r="BV308" s="18" t="str">
        <f>IF(BW308&lt;&gt;1,"",IF(BS308&lt;=0,0,MIN(BS308,MAX(0,CONTROL_PANEL!$B$13-BT308))))</f>
        <v/>
      </c>
      <c r="BW308" s="18"/>
      <c r="BY308" s="19">
        <f t="shared" si="219"/>
        <v>2041</v>
      </c>
      <c r="BZ308" s="19">
        <f t="shared" si="184"/>
        <v>1</v>
      </c>
      <c r="CA308" s="18" t="str">
        <f t="shared" si="201"/>
        <v/>
      </c>
      <c r="CB308" s="18" t="str">
        <f t="shared" si="214"/>
        <v/>
      </c>
      <c r="CC308" s="18" t="str">
        <f>IF(CP307&lt;&gt;1,"",IF(CM307&gt;0,IF(CM307&gt;CONTROL_PANEL!$B$11,CONTROL_PANEL!$B$11,CM307),0))</f>
        <v/>
      </c>
      <c r="CD308" s="18" t="str">
        <f t="shared" si="209"/>
        <v/>
      </c>
      <c r="CE308" s="18" t="str">
        <f>IF(CP308&lt;&gt;1,"",DATA_INPUT!$I308)</f>
        <v/>
      </c>
      <c r="CF308" s="18" t="str">
        <f>IF(CP308&lt;&gt;1,"",CE308*CONTROL_PANEL!$B$5)</f>
        <v/>
      </c>
      <c r="CG308" s="18" t="str">
        <f>IF(CP308&lt;&gt;1,"",DATA_INPUT!$C308)</f>
        <v/>
      </c>
      <c r="CH308" s="18" t="str">
        <f t="shared" si="202"/>
        <v/>
      </c>
      <c r="CI308" s="18" t="str">
        <f>IF(CP308&lt;&gt;1,"",DATA_INPUT!$H308)</f>
        <v/>
      </c>
      <c r="CJ308" s="18" t="str">
        <f t="shared" si="203"/>
        <v/>
      </c>
      <c r="CK308" s="18" t="str">
        <f>IF(CP308&lt;&gt;1,"",CF308*CONTROL_PANEL!$B$14)</f>
        <v/>
      </c>
      <c r="CL308" s="18" t="str">
        <f>IF(CP308&lt;&gt;1,"",DATA_INPUT!$O308)</f>
        <v/>
      </c>
      <c r="CM308" s="18" t="str">
        <f t="shared" si="204"/>
        <v/>
      </c>
      <c r="CN308" s="18" t="str">
        <f>IF(CP308&lt;&gt;1,"",IF(CM308-CONTROL_PANEL!$B$11&lt;0,0,CM308-CONTROL_PANEL!$B$11))</f>
        <v/>
      </c>
      <c r="CO308" s="18" t="str">
        <f>IF(CP308&lt;&gt;1,"",IF(CL308&lt;=0,0,MIN(CL308,MAX(0,CONTROL_PANEL!$B$13-CM308))))</f>
        <v/>
      </c>
      <c r="CP308" s="18"/>
    </row>
    <row r="309" spans="1:94" x14ac:dyDescent="0.25">
      <c r="A309" s="19">
        <f t="shared" si="215"/>
        <v>2041</v>
      </c>
      <c r="B309" s="19">
        <f t="shared" si="180"/>
        <v>2</v>
      </c>
      <c r="C309" s="18" t="str">
        <f t="shared" si="185"/>
        <v/>
      </c>
      <c r="D309" s="18" t="str">
        <f t="shared" si="210"/>
        <v/>
      </c>
      <c r="E309" s="18" t="str">
        <f>IF(R308&lt;&gt;1,"",IF(O308&gt;0,IF(O308&gt;CONTROL_PANEL!$B$11,CONTROL_PANEL!$B$11,O308),0))</f>
        <v/>
      </c>
      <c r="F309" s="18" t="str">
        <f t="shared" si="205"/>
        <v/>
      </c>
      <c r="G309" s="18" t="str">
        <f>IF(R309&lt;&gt;1,"",DATA_INPUT!I309)</f>
        <v/>
      </c>
      <c r="H309" s="18" t="str">
        <f>IF(R309&lt;&gt;1,"",G309*CONTROL_PANEL!$B$5)</f>
        <v/>
      </c>
      <c r="I309" s="18" t="str">
        <f>IF(R309&lt;&gt;1,"",DATA_INPUT!C309)</f>
        <v/>
      </c>
      <c r="J309" s="18" t="str">
        <f t="shared" si="186"/>
        <v/>
      </c>
      <c r="K309" s="18" t="str">
        <f>IF(R309&lt;&gt;1,"",DATA_INPUT!H309)</f>
        <v/>
      </c>
      <c r="L309" s="18" t="str">
        <f t="shared" si="187"/>
        <v/>
      </c>
      <c r="M309" s="18" t="str">
        <f>IF(R309&lt;&gt;1,"",H309*CONTROL_PANEL!$B$14)</f>
        <v/>
      </c>
      <c r="N309" s="18" t="str">
        <f>IF(R309&lt;&gt;1,"",DATA_INPUT!K309)</f>
        <v/>
      </c>
      <c r="O309" s="18" t="str">
        <f t="shared" si="188"/>
        <v/>
      </c>
      <c r="P309" s="18" t="str">
        <f>IF(R309&lt;&gt;1,"",IF(O309-CONTROL_PANEL!$B$11&lt;0,0,O309-CONTROL_PANEL!$B$11))</f>
        <v/>
      </c>
      <c r="Q309" s="18" t="str">
        <f>IF(R309&lt;&gt;1,"",IF(N309&lt;=0,0,MIN(N309,MAX(0,CONTROL_PANEL!$B$13-O309))))</f>
        <v/>
      </c>
      <c r="R309" s="18"/>
      <c r="T309" s="19">
        <f t="shared" si="216"/>
        <v>2041</v>
      </c>
      <c r="U309" s="19">
        <f t="shared" si="181"/>
        <v>2</v>
      </c>
      <c r="V309" s="18" t="str">
        <f t="shared" si="189"/>
        <v/>
      </c>
      <c r="W309" s="18" t="str">
        <f t="shared" si="211"/>
        <v/>
      </c>
      <c r="X309" s="18" t="str">
        <f>IF(AK308&lt;&gt;1,"",IF(AH308&gt;0,IF(AH308&gt;CONTROL_PANEL!$B$11,CONTROL_PANEL!$B$11,AH308),0))</f>
        <v/>
      </c>
      <c r="Y309" s="18" t="str">
        <f t="shared" si="206"/>
        <v/>
      </c>
      <c r="Z309" s="18" t="str">
        <f>IF(AK309&lt;&gt;1,"",DATA_INPUT!I309)</f>
        <v/>
      </c>
      <c r="AA309" s="18" t="str">
        <f>IF(AK309&lt;&gt;1,"",Z309*CONTROL_PANEL!$B$5)</f>
        <v/>
      </c>
      <c r="AB309" s="18" t="str">
        <f>IF(AK309&lt;&gt;1,"",DATA_INPUT!$C309)</f>
        <v/>
      </c>
      <c r="AC309" s="18" t="str">
        <f t="shared" si="190"/>
        <v/>
      </c>
      <c r="AD309" s="18" t="str">
        <f>IF(AK309&lt;&gt;1,"",DATA_INPUT!$H309)</f>
        <v/>
      </c>
      <c r="AE309" s="18" t="str">
        <f t="shared" si="191"/>
        <v/>
      </c>
      <c r="AF309" s="18" t="str">
        <f>IF(AK309&lt;&gt;1,"",AA309*CONTROL_PANEL!$B$14)</f>
        <v/>
      </c>
      <c r="AG309" s="18" t="str">
        <f>IF(AK309&lt;&gt;1,"",DATA_INPUT!$L309)</f>
        <v/>
      </c>
      <c r="AH309" s="18" t="str">
        <f t="shared" si="192"/>
        <v/>
      </c>
      <c r="AI309" s="18" t="str">
        <f>IF(AK309&lt;&gt;1,"",IF(AH309-CONTROL_PANEL!$B$11&lt;0,0,AH309-CONTROL_PANEL!$B$11))</f>
        <v/>
      </c>
      <c r="AJ309" s="18" t="str">
        <f>IF(AK309&lt;&gt;1,"",IF(AG309&lt;=0,0,MIN(AG309,MAX(0,CONTROL_PANEL!$B$13-AH309))))</f>
        <v/>
      </c>
      <c r="AK309" s="18"/>
      <c r="AM309" s="19">
        <f t="shared" si="217"/>
        <v>2041</v>
      </c>
      <c r="AN309" s="19">
        <f t="shared" si="182"/>
        <v>2</v>
      </c>
      <c r="AO309" s="18" t="str">
        <f t="shared" si="193"/>
        <v/>
      </c>
      <c r="AP309" s="18" t="str">
        <f t="shared" si="212"/>
        <v/>
      </c>
      <c r="AQ309" s="18" t="str">
        <f>IF(BD308&lt;&gt;1,"",IF(BA308&gt;0,IF(BA308&gt;CONTROL_PANEL!$B$11,CONTROL_PANEL!$B$11,BA308),0))</f>
        <v/>
      </c>
      <c r="AR309" s="18" t="str">
        <f t="shared" si="207"/>
        <v/>
      </c>
      <c r="AS309" s="18" t="str">
        <f>IF(BD309&lt;&gt;1,"",DATA_INPUT!$I309)</f>
        <v/>
      </c>
      <c r="AT309" s="18" t="str">
        <f>IF(BD309&lt;&gt;1,"",AS309*CONTROL_PANEL!$B$5)</f>
        <v/>
      </c>
      <c r="AU309" s="18" t="str">
        <f>IF(BD309&lt;&gt;1,"",DATA_INPUT!$C309)</f>
        <v/>
      </c>
      <c r="AV309" s="18" t="str">
        <f t="shared" si="194"/>
        <v/>
      </c>
      <c r="AW309" s="18" t="str">
        <f>IF(BD309&lt;&gt;1,"",DATA_INPUT!$H309)</f>
        <v/>
      </c>
      <c r="AX309" s="18" t="str">
        <f t="shared" si="195"/>
        <v/>
      </c>
      <c r="AY309" s="18" t="str">
        <f>IF(BD309&lt;&gt;1,"",AT309*CONTROL_PANEL!$B$14)</f>
        <v/>
      </c>
      <c r="AZ309" s="18" t="str">
        <f>IF(BD309&lt;&gt;1,"",DATA_INPUT!$M309)</f>
        <v/>
      </c>
      <c r="BA309" s="18" t="str">
        <f t="shared" si="196"/>
        <v/>
      </c>
      <c r="BB309" s="18" t="str">
        <f>IF(BD309&lt;&gt;1,"",IF(BA309-CONTROL_PANEL!$B$11&lt;0,0,BA309-CONTROL_PANEL!$B$11))</f>
        <v/>
      </c>
      <c r="BC309" s="18" t="str">
        <f>IF(BD309&lt;&gt;1,"",IF(AZ309&lt;=0,0,MIN(AZ309,MAX(0,CONTROL_PANEL!$B$13-BA309))))</f>
        <v/>
      </c>
      <c r="BD309" s="18"/>
      <c r="BF309" s="19">
        <f t="shared" si="218"/>
        <v>2041</v>
      </c>
      <c r="BG309" s="19">
        <f t="shared" si="183"/>
        <v>2</v>
      </c>
      <c r="BH309" s="18" t="str">
        <f t="shared" si="197"/>
        <v/>
      </c>
      <c r="BI309" s="18" t="str">
        <f t="shared" si="213"/>
        <v/>
      </c>
      <c r="BJ309" s="18" t="str">
        <f>IF(BW308&lt;&gt;1,"",IF(BT308&gt;0,IF(BT308&gt;CONTROL_PANEL!$B$11,CONTROL_PANEL!$B$11,BT308),0))</f>
        <v/>
      </c>
      <c r="BK309" s="18" t="str">
        <f t="shared" si="208"/>
        <v/>
      </c>
      <c r="BL309" s="18" t="str">
        <f>IF(BW309&lt;&gt;1,"",DATA_INPUT!$I309)</f>
        <v/>
      </c>
      <c r="BM309" s="18" t="str">
        <f>IF(BW309&lt;&gt;1,"",BL309*CONTROL_PANEL!$B$5)</f>
        <v/>
      </c>
      <c r="BN309" s="18" t="str">
        <f>IF(BW309&lt;&gt;1,"",DATA_INPUT!$C309)</f>
        <v/>
      </c>
      <c r="BO309" s="18" t="str">
        <f t="shared" si="198"/>
        <v/>
      </c>
      <c r="BP309" s="18" t="str">
        <f>IF(BW309&lt;&gt;1,"",DATA_INPUT!$H309)</f>
        <v/>
      </c>
      <c r="BQ309" s="18" t="str">
        <f t="shared" si="199"/>
        <v/>
      </c>
      <c r="BR309" s="18" t="str">
        <f>IF(BW309&lt;&gt;1,"",BM309*CONTROL_PANEL!$B$14)</f>
        <v/>
      </c>
      <c r="BS309" s="18" t="str">
        <f>IF(BW309&lt;&gt;1,"",DATA_INPUT!$N309)</f>
        <v/>
      </c>
      <c r="BT309" s="18" t="str">
        <f t="shared" si="200"/>
        <v/>
      </c>
      <c r="BU309" s="18" t="str">
        <f>IF(BW309&lt;&gt;1,"",IF(BT309-CONTROL_PANEL!$B$11&lt;0,0,BT309-CONTROL_PANEL!$B$11))</f>
        <v/>
      </c>
      <c r="BV309" s="18" t="str">
        <f>IF(BW309&lt;&gt;1,"",IF(BS309&lt;=0,0,MIN(BS309,MAX(0,CONTROL_PANEL!$B$13-BT309))))</f>
        <v/>
      </c>
      <c r="BW309" s="18"/>
      <c r="BY309" s="19">
        <f t="shared" si="219"/>
        <v>2041</v>
      </c>
      <c r="BZ309" s="19">
        <f t="shared" si="184"/>
        <v>2</v>
      </c>
      <c r="CA309" s="18" t="str">
        <f t="shared" si="201"/>
        <v/>
      </c>
      <c r="CB309" s="18" t="str">
        <f t="shared" si="214"/>
        <v/>
      </c>
      <c r="CC309" s="18" t="str">
        <f>IF(CP308&lt;&gt;1,"",IF(CM308&gt;0,IF(CM308&gt;CONTROL_PANEL!$B$11,CONTROL_PANEL!$B$11,CM308),0))</f>
        <v/>
      </c>
      <c r="CD309" s="18" t="str">
        <f t="shared" si="209"/>
        <v/>
      </c>
      <c r="CE309" s="18" t="str">
        <f>IF(CP309&lt;&gt;1,"",DATA_INPUT!$I309)</f>
        <v/>
      </c>
      <c r="CF309" s="18" t="str">
        <f>IF(CP309&lt;&gt;1,"",CE309*CONTROL_PANEL!$B$5)</f>
        <v/>
      </c>
      <c r="CG309" s="18" t="str">
        <f>IF(CP309&lt;&gt;1,"",DATA_INPUT!$C309)</f>
        <v/>
      </c>
      <c r="CH309" s="18" t="str">
        <f t="shared" si="202"/>
        <v/>
      </c>
      <c r="CI309" s="18" t="str">
        <f>IF(CP309&lt;&gt;1,"",DATA_INPUT!$H309)</f>
        <v/>
      </c>
      <c r="CJ309" s="18" t="str">
        <f t="shared" si="203"/>
        <v/>
      </c>
      <c r="CK309" s="18" t="str">
        <f>IF(CP309&lt;&gt;1,"",CF309*CONTROL_PANEL!$B$14)</f>
        <v/>
      </c>
      <c r="CL309" s="18" t="str">
        <f>IF(CP309&lt;&gt;1,"",DATA_INPUT!$O309)</f>
        <v/>
      </c>
      <c r="CM309" s="18" t="str">
        <f t="shared" si="204"/>
        <v/>
      </c>
      <c r="CN309" s="18" t="str">
        <f>IF(CP309&lt;&gt;1,"",IF(CM309-CONTROL_PANEL!$B$11&lt;0,0,CM309-CONTROL_PANEL!$B$11))</f>
        <v/>
      </c>
      <c r="CO309" s="18" t="str">
        <f>IF(CP309&lt;&gt;1,"",IF(CL309&lt;=0,0,MIN(CL309,MAX(0,CONTROL_PANEL!$B$13-CM309))))</f>
        <v/>
      </c>
      <c r="CP309" s="18"/>
    </row>
    <row r="310" spans="1:94" x14ac:dyDescent="0.25">
      <c r="A310" s="19">
        <f t="shared" si="215"/>
        <v>2041</v>
      </c>
      <c r="B310" s="19">
        <f t="shared" si="180"/>
        <v>3</v>
      </c>
      <c r="C310" s="18" t="str">
        <f t="shared" si="185"/>
        <v/>
      </c>
      <c r="D310" s="18" t="str">
        <f t="shared" si="210"/>
        <v/>
      </c>
      <c r="E310" s="18" t="str">
        <f>IF(R309&lt;&gt;1,"",IF(O309&gt;0,IF(O309&gt;CONTROL_PANEL!$B$11,CONTROL_PANEL!$B$11,O309),0))</f>
        <v/>
      </c>
      <c r="F310" s="18" t="str">
        <f t="shared" si="205"/>
        <v/>
      </c>
      <c r="G310" s="18" t="str">
        <f>IF(R310&lt;&gt;1,"",DATA_INPUT!I310)</f>
        <v/>
      </c>
      <c r="H310" s="18" t="str">
        <f>IF(R310&lt;&gt;1,"",G310*CONTROL_PANEL!$B$5)</f>
        <v/>
      </c>
      <c r="I310" s="18" t="str">
        <f>IF(R310&lt;&gt;1,"",DATA_INPUT!C310)</f>
        <v/>
      </c>
      <c r="J310" s="18" t="str">
        <f t="shared" si="186"/>
        <v/>
      </c>
      <c r="K310" s="18" t="str">
        <f>IF(R310&lt;&gt;1,"",DATA_INPUT!H310)</f>
        <v/>
      </c>
      <c r="L310" s="18" t="str">
        <f t="shared" si="187"/>
        <v/>
      </c>
      <c r="M310" s="18" t="str">
        <f>IF(R310&lt;&gt;1,"",H310*CONTROL_PANEL!$B$14)</f>
        <v/>
      </c>
      <c r="N310" s="18" t="str">
        <f>IF(R310&lt;&gt;1,"",DATA_INPUT!K310)</f>
        <v/>
      </c>
      <c r="O310" s="18" t="str">
        <f t="shared" si="188"/>
        <v/>
      </c>
      <c r="P310" s="18" t="str">
        <f>IF(R310&lt;&gt;1,"",IF(O310-CONTROL_PANEL!$B$11&lt;0,0,O310-CONTROL_PANEL!$B$11))</f>
        <v/>
      </c>
      <c r="Q310" s="18" t="str">
        <f>IF(R310&lt;&gt;1,"",IF(N310&lt;=0,0,MIN(N310,MAX(0,CONTROL_PANEL!$B$13-O310))))</f>
        <v/>
      </c>
      <c r="R310" s="18"/>
      <c r="T310" s="19">
        <f t="shared" si="216"/>
        <v>2041</v>
      </c>
      <c r="U310" s="19">
        <f t="shared" si="181"/>
        <v>3</v>
      </c>
      <c r="V310" s="18" t="str">
        <f t="shared" si="189"/>
        <v/>
      </c>
      <c r="W310" s="18" t="str">
        <f t="shared" si="211"/>
        <v/>
      </c>
      <c r="X310" s="18" t="str">
        <f>IF(AK309&lt;&gt;1,"",IF(AH309&gt;0,IF(AH309&gt;CONTROL_PANEL!$B$11,CONTROL_PANEL!$B$11,AH309),0))</f>
        <v/>
      </c>
      <c r="Y310" s="18" t="str">
        <f t="shared" si="206"/>
        <v/>
      </c>
      <c r="Z310" s="18" t="str">
        <f>IF(AK310&lt;&gt;1,"",DATA_INPUT!I310)</f>
        <v/>
      </c>
      <c r="AA310" s="18" t="str">
        <f>IF(AK310&lt;&gt;1,"",Z310*CONTROL_PANEL!$B$5)</f>
        <v/>
      </c>
      <c r="AB310" s="18" t="str">
        <f>IF(AK310&lt;&gt;1,"",DATA_INPUT!$C310)</f>
        <v/>
      </c>
      <c r="AC310" s="18" t="str">
        <f t="shared" si="190"/>
        <v/>
      </c>
      <c r="AD310" s="18" t="str">
        <f>IF(AK310&lt;&gt;1,"",DATA_INPUT!$H310)</f>
        <v/>
      </c>
      <c r="AE310" s="18" t="str">
        <f t="shared" si="191"/>
        <v/>
      </c>
      <c r="AF310" s="18" t="str">
        <f>IF(AK310&lt;&gt;1,"",AA310*CONTROL_PANEL!$B$14)</f>
        <v/>
      </c>
      <c r="AG310" s="18" t="str">
        <f>IF(AK310&lt;&gt;1,"",DATA_INPUT!$L310)</f>
        <v/>
      </c>
      <c r="AH310" s="18" t="str">
        <f t="shared" si="192"/>
        <v/>
      </c>
      <c r="AI310" s="18" t="str">
        <f>IF(AK310&lt;&gt;1,"",IF(AH310-CONTROL_PANEL!$B$11&lt;0,0,AH310-CONTROL_PANEL!$B$11))</f>
        <v/>
      </c>
      <c r="AJ310" s="18" t="str">
        <f>IF(AK310&lt;&gt;1,"",IF(AG310&lt;=0,0,MIN(AG310,MAX(0,CONTROL_PANEL!$B$13-AH310))))</f>
        <v/>
      </c>
      <c r="AK310" s="18"/>
      <c r="AM310" s="19">
        <f t="shared" si="217"/>
        <v>2041</v>
      </c>
      <c r="AN310" s="19">
        <f t="shared" si="182"/>
        <v>3</v>
      </c>
      <c r="AO310" s="18" t="str">
        <f t="shared" si="193"/>
        <v/>
      </c>
      <c r="AP310" s="18" t="str">
        <f t="shared" si="212"/>
        <v/>
      </c>
      <c r="AQ310" s="18" t="str">
        <f>IF(BD309&lt;&gt;1,"",IF(BA309&gt;0,IF(BA309&gt;CONTROL_PANEL!$B$11,CONTROL_PANEL!$B$11,BA309),0))</f>
        <v/>
      </c>
      <c r="AR310" s="18" t="str">
        <f t="shared" si="207"/>
        <v/>
      </c>
      <c r="AS310" s="18" t="str">
        <f>IF(BD310&lt;&gt;1,"",DATA_INPUT!$I310)</f>
        <v/>
      </c>
      <c r="AT310" s="18" t="str">
        <f>IF(BD310&lt;&gt;1,"",AS310*CONTROL_PANEL!$B$5)</f>
        <v/>
      </c>
      <c r="AU310" s="18" t="str">
        <f>IF(BD310&lt;&gt;1,"",DATA_INPUT!$C310)</f>
        <v/>
      </c>
      <c r="AV310" s="18" t="str">
        <f t="shared" si="194"/>
        <v/>
      </c>
      <c r="AW310" s="18" t="str">
        <f>IF(BD310&lt;&gt;1,"",DATA_INPUT!$H310)</f>
        <v/>
      </c>
      <c r="AX310" s="18" t="str">
        <f t="shared" si="195"/>
        <v/>
      </c>
      <c r="AY310" s="18" t="str">
        <f>IF(BD310&lt;&gt;1,"",AT310*CONTROL_PANEL!$B$14)</f>
        <v/>
      </c>
      <c r="AZ310" s="18" t="str">
        <f>IF(BD310&lt;&gt;1,"",DATA_INPUT!$M310)</f>
        <v/>
      </c>
      <c r="BA310" s="18" t="str">
        <f t="shared" si="196"/>
        <v/>
      </c>
      <c r="BB310" s="18" t="str">
        <f>IF(BD310&lt;&gt;1,"",IF(BA310-CONTROL_PANEL!$B$11&lt;0,0,BA310-CONTROL_PANEL!$B$11))</f>
        <v/>
      </c>
      <c r="BC310" s="18" t="str">
        <f>IF(BD310&lt;&gt;1,"",IF(AZ310&lt;=0,0,MIN(AZ310,MAX(0,CONTROL_PANEL!$B$13-BA310))))</f>
        <v/>
      </c>
      <c r="BD310" s="18"/>
      <c r="BF310" s="19">
        <f t="shared" si="218"/>
        <v>2041</v>
      </c>
      <c r="BG310" s="19">
        <f t="shared" si="183"/>
        <v>3</v>
      </c>
      <c r="BH310" s="18" t="str">
        <f t="shared" si="197"/>
        <v/>
      </c>
      <c r="BI310" s="18" t="str">
        <f t="shared" si="213"/>
        <v/>
      </c>
      <c r="BJ310" s="18" t="str">
        <f>IF(BW309&lt;&gt;1,"",IF(BT309&gt;0,IF(BT309&gt;CONTROL_PANEL!$B$11,CONTROL_PANEL!$B$11,BT309),0))</f>
        <v/>
      </c>
      <c r="BK310" s="18" t="str">
        <f t="shared" si="208"/>
        <v/>
      </c>
      <c r="BL310" s="18" t="str">
        <f>IF(BW310&lt;&gt;1,"",DATA_INPUT!$I310)</f>
        <v/>
      </c>
      <c r="BM310" s="18" t="str">
        <f>IF(BW310&lt;&gt;1,"",BL310*CONTROL_PANEL!$B$5)</f>
        <v/>
      </c>
      <c r="BN310" s="18" t="str">
        <f>IF(BW310&lt;&gt;1,"",DATA_INPUT!$C310)</f>
        <v/>
      </c>
      <c r="BO310" s="18" t="str">
        <f t="shared" si="198"/>
        <v/>
      </c>
      <c r="BP310" s="18" t="str">
        <f>IF(BW310&lt;&gt;1,"",DATA_INPUT!$H310)</f>
        <v/>
      </c>
      <c r="BQ310" s="18" t="str">
        <f t="shared" si="199"/>
        <v/>
      </c>
      <c r="BR310" s="18" t="str">
        <f>IF(BW310&lt;&gt;1,"",BM310*CONTROL_PANEL!$B$14)</f>
        <v/>
      </c>
      <c r="BS310" s="18" t="str">
        <f>IF(BW310&lt;&gt;1,"",DATA_INPUT!$N310)</f>
        <v/>
      </c>
      <c r="BT310" s="18" t="str">
        <f t="shared" si="200"/>
        <v/>
      </c>
      <c r="BU310" s="18" t="str">
        <f>IF(BW310&lt;&gt;1,"",IF(BT310-CONTROL_PANEL!$B$11&lt;0,0,BT310-CONTROL_PANEL!$B$11))</f>
        <v/>
      </c>
      <c r="BV310" s="18" t="str">
        <f>IF(BW310&lt;&gt;1,"",IF(BS310&lt;=0,0,MIN(BS310,MAX(0,CONTROL_PANEL!$B$13-BT310))))</f>
        <v/>
      </c>
      <c r="BW310" s="18"/>
      <c r="BY310" s="19">
        <f t="shared" si="219"/>
        <v>2041</v>
      </c>
      <c r="BZ310" s="19">
        <f t="shared" si="184"/>
        <v>3</v>
      </c>
      <c r="CA310" s="18" t="str">
        <f t="shared" si="201"/>
        <v/>
      </c>
      <c r="CB310" s="18" t="str">
        <f t="shared" si="214"/>
        <v/>
      </c>
      <c r="CC310" s="18" t="str">
        <f>IF(CP309&lt;&gt;1,"",IF(CM309&gt;0,IF(CM309&gt;CONTROL_PANEL!$B$11,CONTROL_PANEL!$B$11,CM309),0))</f>
        <v/>
      </c>
      <c r="CD310" s="18" t="str">
        <f t="shared" si="209"/>
        <v/>
      </c>
      <c r="CE310" s="18" t="str">
        <f>IF(CP310&lt;&gt;1,"",DATA_INPUT!$I310)</f>
        <v/>
      </c>
      <c r="CF310" s="18" t="str">
        <f>IF(CP310&lt;&gt;1,"",CE310*CONTROL_PANEL!$B$5)</f>
        <v/>
      </c>
      <c r="CG310" s="18" t="str">
        <f>IF(CP310&lt;&gt;1,"",DATA_INPUT!$C310)</f>
        <v/>
      </c>
      <c r="CH310" s="18" t="str">
        <f t="shared" si="202"/>
        <v/>
      </c>
      <c r="CI310" s="18" t="str">
        <f>IF(CP310&lt;&gt;1,"",DATA_INPUT!$H310)</f>
        <v/>
      </c>
      <c r="CJ310" s="18" t="str">
        <f t="shared" si="203"/>
        <v/>
      </c>
      <c r="CK310" s="18" t="str">
        <f>IF(CP310&lt;&gt;1,"",CF310*CONTROL_PANEL!$B$14)</f>
        <v/>
      </c>
      <c r="CL310" s="18" t="str">
        <f>IF(CP310&lt;&gt;1,"",DATA_INPUT!$O310)</f>
        <v/>
      </c>
      <c r="CM310" s="18" t="str">
        <f t="shared" si="204"/>
        <v/>
      </c>
      <c r="CN310" s="18" t="str">
        <f>IF(CP310&lt;&gt;1,"",IF(CM310-CONTROL_PANEL!$B$11&lt;0,0,CM310-CONTROL_PANEL!$B$11))</f>
        <v/>
      </c>
      <c r="CO310" s="18" t="str">
        <f>IF(CP310&lt;&gt;1,"",IF(CL310&lt;=0,0,MIN(CL310,MAX(0,CONTROL_PANEL!$B$13-CM310))))</f>
        <v/>
      </c>
      <c r="CP310" s="18"/>
    </row>
    <row r="311" spans="1:94" x14ac:dyDescent="0.25">
      <c r="A311" s="19">
        <f t="shared" si="215"/>
        <v>2041</v>
      </c>
      <c r="B311" s="19">
        <f t="shared" si="180"/>
        <v>4</v>
      </c>
      <c r="C311" s="18" t="str">
        <f t="shared" si="185"/>
        <v/>
      </c>
      <c r="D311" s="18" t="str">
        <f t="shared" si="210"/>
        <v/>
      </c>
      <c r="E311" s="18" t="str">
        <f>IF(R310&lt;&gt;1,"",IF(O310&gt;0,IF(O310&gt;CONTROL_PANEL!$B$11,CONTROL_PANEL!$B$11,O310),0))</f>
        <v/>
      </c>
      <c r="F311" s="18" t="str">
        <f t="shared" si="205"/>
        <v/>
      </c>
      <c r="G311" s="18" t="str">
        <f>IF(R311&lt;&gt;1,"",DATA_INPUT!I311)</f>
        <v/>
      </c>
      <c r="H311" s="18" t="str">
        <f>IF(R311&lt;&gt;1,"",G311*CONTROL_PANEL!$B$5)</f>
        <v/>
      </c>
      <c r="I311" s="18" t="str">
        <f>IF(R311&lt;&gt;1,"",DATA_INPUT!C311)</f>
        <v/>
      </c>
      <c r="J311" s="18" t="str">
        <f t="shared" si="186"/>
        <v/>
      </c>
      <c r="K311" s="18" t="str">
        <f>IF(R311&lt;&gt;1,"",DATA_INPUT!H311)</f>
        <v/>
      </c>
      <c r="L311" s="18" t="str">
        <f t="shared" si="187"/>
        <v/>
      </c>
      <c r="M311" s="18" t="str">
        <f>IF(R311&lt;&gt;1,"",H311*CONTROL_PANEL!$B$14)</f>
        <v/>
      </c>
      <c r="N311" s="18" t="str">
        <f>IF(R311&lt;&gt;1,"",DATA_INPUT!K311)</f>
        <v/>
      </c>
      <c r="O311" s="18" t="str">
        <f t="shared" si="188"/>
        <v/>
      </c>
      <c r="P311" s="18" t="str">
        <f>IF(R311&lt;&gt;1,"",IF(O311-CONTROL_PANEL!$B$11&lt;0,0,O311-CONTROL_PANEL!$B$11))</f>
        <v/>
      </c>
      <c r="Q311" s="18" t="str">
        <f>IF(R311&lt;&gt;1,"",IF(N311&lt;=0,0,MIN(N311,MAX(0,CONTROL_PANEL!$B$13-O311))))</f>
        <v/>
      </c>
      <c r="R311" s="18"/>
      <c r="T311" s="19">
        <f t="shared" si="216"/>
        <v>2041</v>
      </c>
      <c r="U311" s="19">
        <f t="shared" si="181"/>
        <v>4</v>
      </c>
      <c r="V311" s="18" t="str">
        <f t="shared" si="189"/>
        <v/>
      </c>
      <c r="W311" s="18" t="str">
        <f t="shared" si="211"/>
        <v/>
      </c>
      <c r="X311" s="18" t="str">
        <f>IF(AK310&lt;&gt;1,"",IF(AH310&gt;0,IF(AH310&gt;CONTROL_PANEL!$B$11,CONTROL_PANEL!$B$11,AH310),0))</f>
        <v/>
      </c>
      <c r="Y311" s="18" t="str">
        <f t="shared" si="206"/>
        <v/>
      </c>
      <c r="Z311" s="18" t="str">
        <f>IF(AK311&lt;&gt;1,"",DATA_INPUT!I311)</f>
        <v/>
      </c>
      <c r="AA311" s="18" t="str">
        <f>IF(AK311&lt;&gt;1,"",Z311*CONTROL_PANEL!$B$5)</f>
        <v/>
      </c>
      <c r="AB311" s="18" t="str">
        <f>IF(AK311&lt;&gt;1,"",DATA_INPUT!$C311)</f>
        <v/>
      </c>
      <c r="AC311" s="18" t="str">
        <f t="shared" si="190"/>
        <v/>
      </c>
      <c r="AD311" s="18" t="str">
        <f>IF(AK311&lt;&gt;1,"",DATA_INPUT!$H311)</f>
        <v/>
      </c>
      <c r="AE311" s="18" t="str">
        <f t="shared" si="191"/>
        <v/>
      </c>
      <c r="AF311" s="18" t="str">
        <f>IF(AK311&lt;&gt;1,"",AA311*CONTROL_PANEL!$B$14)</f>
        <v/>
      </c>
      <c r="AG311" s="18" t="str">
        <f>IF(AK311&lt;&gt;1,"",DATA_INPUT!$L311)</f>
        <v/>
      </c>
      <c r="AH311" s="18" t="str">
        <f t="shared" si="192"/>
        <v/>
      </c>
      <c r="AI311" s="18" t="str">
        <f>IF(AK311&lt;&gt;1,"",IF(AH311-CONTROL_PANEL!$B$11&lt;0,0,AH311-CONTROL_PANEL!$B$11))</f>
        <v/>
      </c>
      <c r="AJ311" s="18" t="str">
        <f>IF(AK311&lt;&gt;1,"",IF(AG311&lt;=0,0,MIN(AG311,MAX(0,CONTROL_PANEL!$B$13-AH311))))</f>
        <v/>
      </c>
      <c r="AK311" s="18"/>
      <c r="AM311" s="19">
        <f t="shared" si="217"/>
        <v>2041</v>
      </c>
      <c r="AN311" s="19">
        <f t="shared" si="182"/>
        <v>4</v>
      </c>
      <c r="AO311" s="18" t="str">
        <f t="shared" si="193"/>
        <v/>
      </c>
      <c r="AP311" s="18" t="str">
        <f t="shared" si="212"/>
        <v/>
      </c>
      <c r="AQ311" s="18" t="str">
        <f>IF(BD310&lt;&gt;1,"",IF(BA310&gt;0,IF(BA310&gt;CONTROL_PANEL!$B$11,CONTROL_PANEL!$B$11,BA310),0))</f>
        <v/>
      </c>
      <c r="AR311" s="18" t="str">
        <f t="shared" si="207"/>
        <v/>
      </c>
      <c r="AS311" s="18" t="str">
        <f>IF(BD311&lt;&gt;1,"",DATA_INPUT!$I311)</f>
        <v/>
      </c>
      <c r="AT311" s="18" t="str">
        <f>IF(BD311&lt;&gt;1,"",AS311*CONTROL_PANEL!$B$5)</f>
        <v/>
      </c>
      <c r="AU311" s="18" t="str">
        <f>IF(BD311&lt;&gt;1,"",DATA_INPUT!$C311)</f>
        <v/>
      </c>
      <c r="AV311" s="18" t="str">
        <f t="shared" si="194"/>
        <v/>
      </c>
      <c r="AW311" s="18" t="str">
        <f>IF(BD311&lt;&gt;1,"",DATA_INPUT!$H311)</f>
        <v/>
      </c>
      <c r="AX311" s="18" t="str">
        <f t="shared" si="195"/>
        <v/>
      </c>
      <c r="AY311" s="18" t="str">
        <f>IF(BD311&lt;&gt;1,"",AT311*CONTROL_PANEL!$B$14)</f>
        <v/>
      </c>
      <c r="AZ311" s="18" t="str">
        <f>IF(BD311&lt;&gt;1,"",DATA_INPUT!$M311)</f>
        <v/>
      </c>
      <c r="BA311" s="18" t="str">
        <f t="shared" si="196"/>
        <v/>
      </c>
      <c r="BB311" s="18" t="str">
        <f>IF(BD311&lt;&gt;1,"",IF(BA311-CONTROL_PANEL!$B$11&lt;0,0,BA311-CONTROL_PANEL!$B$11))</f>
        <v/>
      </c>
      <c r="BC311" s="18" t="str">
        <f>IF(BD311&lt;&gt;1,"",IF(AZ311&lt;=0,0,MIN(AZ311,MAX(0,CONTROL_PANEL!$B$13-BA311))))</f>
        <v/>
      </c>
      <c r="BD311" s="18"/>
      <c r="BF311" s="19">
        <f t="shared" si="218"/>
        <v>2041</v>
      </c>
      <c r="BG311" s="19">
        <f t="shared" si="183"/>
        <v>4</v>
      </c>
      <c r="BH311" s="18" t="str">
        <f t="shared" si="197"/>
        <v/>
      </c>
      <c r="BI311" s="18" t="str">
        <f t="shared" si="213"/>
        <v/>
      </c>
      <c r="BJ311" s="18" t="str">
        <f>IF(BW310&lt;&gt;1,"",IF(BT310&gt;0,IF(BT310&gt;CONTROL_PANEL!$B$11,CONTROL_PANEL!$B$11,BT310),0))</f>
        <v/>
      </c>
      <c r="BK311" s="18" t="str">
        <f t="shared" si="208"/>
        <v/>
      </c>
      <c r="BL311" s="18" t="str">
        <f>IF(BW311&lt;&gt;1,"",DATA_INPUT!$I311)</f>
        <v/>
      </c>
      <c r="BM311" s="18" t="str">
        <f>IF(BW311&lt;&gt;1,"",BL311*CONTROL_PANEL!$B$5)</f>
        <v/>
      </c>
      <c r="BN311" s="18" t="str">
        <f>IF(BW311&lt;&gt;1,"",DATA_INPUT!$C311)</f>
        <v/>
      </c>
      <c r="BO311" s="18" t="str">
        <f t="shared" si="198"/>
        <v/>
      </c>
      <c r="BP311" s="18" t="str">
        <f>IF(BW311&lt;&gt;1,"",DATA_INPUT!$H311)</f>
        <v/>
      </c>
      <c r="BQ311" s="18" t="str">
        <f t="shared" si="199"/>
        <v/>
      </c>
      <c r="BR311" s="18" t="str">
        <f>IF(BW311&lt;&gt;1,"",BM311*CONTROL_PANEL!$B$14)</f>
        <v/>
      </c>
      <c r="BS311" s="18" t="str">
        <f>IF(BW311&lt;&gt;1,"",DATA_INPUT!$N311)</f>
        <v/>
      </c>
      <c r="BT311" s="18" t="str">
        <f t="shared" si="200"/>
        <v/>
      </c>
      <c r="BU311" s="18" t="str">
        <f>IF(BW311&lt;&gt;1,"",IF(BT311-CONTROL_PANEL!$B$11&lt;0,0,BT311-CONTROL_PANEL!$B$11))</f>
        <v/>
      </c>
      <c r="BV311" s="18" t="str">
        <f>IF(BW311&lt;&gt;1,"",IF(BS311&lt;=0,0,MIN(BS311,MAX(0,CONTROL_PANEL!$B$13-BT311))))</f>
        <v/>
      </c>
      <c r="BW311" s="18"/>
      <c r="BY311" s="19">
        <f t="shared" si="219"/>
        <v>2041</v>
      </c>
      <c r="BZ311" s="19">
        <f t="shared" si="184"/>
        <v>4</v>
      </c>
      <c r="CA311" s="18" t="str">
        <f t="shared" si="201"/>
        <v/>
      </c>
      <c r="CB311" s="18" t="str">
        <f t="shared" si="214"/>
        <v/>
      </c>
      <c r="CC311" s="18" t="str">
        <f>IF(CP310&lt;&gt;1,"",IF(CM310&gt;0,IF(CM310&gt;CONTROL_PANEL!$B$11,CONTROL_PANEL!$B$11,CM310),0))</f>
        <v/>
      </c>
      <c r="CD311" s="18" t="str">
        <f t="shared" si="209"/>
        <v/>
      </c>
      <c r="CE311" s="18" t="str">
        <f>IF(CP311&lt;&gt;1,"",DATA_INPUT!$I311)</f>
        <v/>
      </c>
      <c r="CF311" s="18" t="str">
        <f>IF(CP311&lt;&gt;1,"",CE311*CONTROL_PANEL!$B$5)</f>
        <v/>
      </c>
      <c r="CG311" s="18" t="str">
        <f>IF(CP311&lt;&gt;1,"",DATA_INPUT!$C311)</f>
        <v/>
      </c>
      <c r="CH311" s="18" t="str">
        <f t="shared" si="202"/>
        <v/>
      </c>
      <c r="CI311" s="18" t="str">
        <f>IF(CP311&lt;&gt;1,"",DATA_INPUT!$H311)</f>
        <v/>
      </c>
      <c r="CJ311" s="18" t="str">
        <f t="shared" si="203"/>
        <v/>
      </c>
      <c r="CK311" s="18" t="str">
        <f>IF(CP311&lt;&gt;1,"",CF311*CONTROL_PANEL!$B$14)</f>
        <v/>
      </c>
      <c r="CL311" s="18" t="str">
        <f>IF(CP311&lt;&gt;1,"",DATA_INPUT!$O311)</f>
        <v/>
      </c>
      <c r="CM311" s="18" t="str">
        <f t="shared" si="204"/>
        <v/>
      </c>
      <c r="CN311" s="18" t="str">
        <f>IF(CP311&lt;&gt;1,"",IF(CM311-CONTROL_PANEL!$B$11&lt;0,0,CM311-CONTROL_PANEL!$B$11))</f>
        <v/>
      </c>
      <c r="CO311" s="18" t="str">
        <f>IF(CP311&lt;&gt;1,"",IF(CL311&lt;=0,0,MIN(CL311,MAX(0,CONTROL_PANEL!$B$13-CM311))))</f>
        <v/>
      </c>
      <c r="CP311" s="18"/>
    </row>
    <row r="312" spans="1:94" x14ac:dyDescent="0.25">
      <c r="A312" s="19">
        <f t="shared" si="215"/>
        <v>2041</v>
      </c>
      <c r="B312" s="19">
        <f t="shared" si="180"/>
        <v>5</v>
      </c>
      <c r="C312" s="18" t="str">
        <f t="shared" si="185"/>
        <v/>
      </c>
      <c r="D312" s="18" t="str">
        <f t="shared" si="210"/>
        <v/>
      </c>
      <c r="E312" s="18" t="str">
        <f>IF(R311&lt;&gt;1,"",IF(O311&gt;0,IF(O311&gt;CONTROL_PANEL!$B$11,CONTROL_PANEL!$B$11,O311),0))</f>
        <v/>
      </c>
      <c r="F312" s="18" t="str">
        <f t="shared" si="205"/>
        <v/>
      </c>
      <c r="G312" s="18" t="str">
        <f>IF(R312&lt;&gt;1,"",DATA_INPUT!I312)</f>
        <v/>
      </c>
      <c r="H312" s="18" t="str">
        <f>IF(R312&lt;&gt;1,"",G312*CONTROL_PANEL!$B$5)</f>
        <v/>
      </c>
      <c r="I312" s="18" t="str">
        <f>IF(R312&lt;&gt;1,"",DATA_INPUT!C312)</f>
        <v/>
      </c>
      <c r="J312" s="18" t="str">
        <f t="shared" si="186"/>
        <v/>
      </c>
      <c r="K312" s="18" t="str">
        <f>IF(R312&lt;&gt;1,"",DATA_INPUT!H312)</f>
        <v/>
      </c>
      <c r="L312" s="18" t="str">
        <f t="shared" si="187"/>
        <v/>
      </c>
      <c r="M312" s="18" t="str">
        <f>IF(R312&lt;&gt;1,"",H312*CONTROL_PANEL!$B$14)</f>
        <v/>
      </c>
      <c r="N312" s="18" t="str">
        <f>IF(R312&lt;&gt;1,"",DATA_INPUT!K312)</f>
        <v/>
      </c>
      <c r="O312" s="18" t="str">
        <f t="shared" si="188"/>
        <v/>
      </c>
      <c r="P312" s="18" t="str">
        <f>IF(R312&lt;&gt;1,"",IF(O312-CONTROL_PANEL!$B$11&lt;0,0,O312-CONTROL_PANEL!$B$11))</f>
        <v/>
      </c>
      <c r="Q312" s="18" t="str">
        <f>IF(R312&lt;&gt;1,"",IF(N312&lt;=0,0,MIN(N312,MAX(0,CONTROL_PANEL!$B$13-O312))))</f>
        <v/>
      </c>
      <c r="R312" s="18"/>
      <c r="T312" s="19">
        <f t="shared" si="216"/>
        <v>2041</v>
      </c>
      <c r="U312" s="19">
        <f t="shared" si="181"/>
        <v>5</v>
      </c>
      <c r="V312" s="18" t="str">
        <f t="shared" si="189"/>
        <v/>
      </c>
      <c r="W312" s="18" t="str">
        <f t="shared" si="211"/>
        <v/>
      </c>
      <c r="X312" s="18" t="str">
        <f>IF(AK311&lt;&gt;1,"",IF(AH311&gt;0,IF(AH311&gt;CONTROL_PANEL!$B$11,CONTROL_PANEL!$B$11,AH311),0))</f>
        <v/>
      </c>
      <c r="Y312" s="18" t="str">
        <f t="shared" si="206"/>
        <v/>
      </c>
      <c r="Z312" s="18" t="str">
        <f>IF(AK312&lt;&gt;1,"",DATA_INPUT!I312)</f>
        <v/>
      </c>
      <c r="AA312" s="18" t="str">
        <f>IF(AK312&lt;&gt;1,"",Z312*CONTROL_PANEL!$B$5)</f>
        <v/>
      </c>
      <c r="AB312" s="18" t="str">
        <f>IF(AK312&lt;&gt;1,"",DATA_INPUT!$C312)</f>
        <v/>
      </c>
      <c r="AC312" s="18" t="str">
        <f t="shared" si="190"/>
        <v/>
      </c>
      <c r="AD312" s="18" t="str">
        <f>IF(AK312&lt;&gt;1,"",DATA_INPUT!$H312)</f>
        <v/>
      </c>
      <c r="AE312" s="18" t="str">
        <f t="shared" si="191"/>
        <v/>
      </c>
      <c r="AF312" s="18" t="str">
        <f>IF(AK312&lt;&gt;1,"",AA312*CONTROL_PANEL!$B$14)</f>
        <v/>
      </c>
      <c r="AG312" s="18" t="str">
        <f>IF(AK312&lt;&gt;1,"",DATA_INPUT!$L312)</f>
        <v/>
      </c>
      <c r="AH312" s="18" t="str">
        <f t="shared" si="192"/>
        <v/>
      </c>
      <c r="AI312" s="18" t="str">
        <f>IF(AK312&lt;&gt;1,"",IF(AH312-CONTROL_PANEL!$B$11&lt;0,0,AH312-CONTROL_PANEL!$B$11))</f>
        <v/>
      </c>
      <c r="AJ312" s="18" t="str">
        <f>IF(AK312&lt;&gt;1,"",IF(AG312&lt;=0,0,MIN(AG312,MAX(0,CONTROL_PANEL!$B$13-AH312))))</f>
        <v/>
      </c>
      <c r="AK312" s="18"/>
      <c r="AM312" s="19">
        <f t="shared" si="217"/>
        <v>2041</v>
      </c>
      <c r="AN312" s="19">
        <f t="shared" si="182"/>
        <v>5</v>
      </c>
      <c r="AO312" s="18" t="str">
        <f t="shared" si="193"/>
        <v/>
      </c>
      <c r="AP312" s="18" t="str">
        <f t="shared" si="212"/>
        <v/>
      </c>
      <c r="AQ312" s="18" t="str">
        <f>IF(BD311&lt;&gt;1,"",IF(BA311&gt;0,IF(BA311&gt;CONTROL_PANEL!$B$11,CONTROL_PANEL!$B$11,BA311),0))</f>
        <v/>
      </c>
      <c r="AR312" s="18" t="str">
        <f t="shared" si="207"/>
        <v/>
      </c>
      <c r="AS312" s="18" t="str">
        <f>IF(BD312&lt;&gt;1,"",DATA_INPUT!$I312)</f>
        <v/>
      </c>
      <c r="AT312" s="18" t="str">
        <f>IF(BD312&lt;&gt;1,"",AS312*CONTROL_PANEL!$B$5)</f>
        <v/>
      </c>
      <c r="AU312" s="18" t="str">
        <f>IF(BD312&lt;&gt;1,"",DATA_INPUT!$C312)</f>
        <v/>
      </c>
      <c r="AV312" s="18" t="str">
        <f t="shared" si="194"/>
        <v/>
      </c>
      <c r="AW312" s="18" t="str">
        <f>IF(BD312&lt;&gt;1,"",DATA_INPUT!$H312)</f>
        <v/>
      </c>
      <c r="AX312" s="18" t="str">
        <f t="shared" si="195"/>
        <v/>
      </c>
      <c r="AY312" s="18" t="str">
        <f>IF(BD312&lt;&gt;1,"",AT312*CONTROL_PANEL!$B$14)</f>
        <v/>
      </c>
      <c r="AZ312" s="18" t="str">
        <f>IF(BD312&lt;&gt;1,"",DATA_INPUT!$M312)</f>
        <v/>
      </c>
      <c r="BA312" s="18" t="str">
        <f t="shared" si="196"/>
        <v/>
      </c>
      <c r="BB312" s="18" t="str">
        <f>IF(BD312&lt;&gt;1,"",IF(BA312-CONTROL_PANEL!$B$11&lt;0,0,BA312-CONTROL_PANEL!$B$11))</f>
        <v/>
      </c>
      <c r="BC312" s="18" t="str">
        <f>IF(BD312&lt;&gt;1,"",IF(AZ312&lt;=0,0,MIN(AZ312,MAX(0,CONTROL_PANEL!$B$13-BA312))))</f>
        <v/>
      </c>
      <c r="BD312" s="18"/>
      <c r="BF312" s="19">
        <f t="shared" si="218"/>
        <v>2041</v>
      </c>
      <c r="BG312" s="19">
        <f t="shared" si="183"/>
        <v>5</v>
      </c>
      <c r="BH312" s="18" t="str">
        <f t="shared" si="197"/>
        <v/>
      </c>
      <c r="BI312" s="18" t="str">
        <f t="shared" si="213"/>
        <v/>
      </c>
      <c r="BJ312" s="18" t="str">
        <f>IF(BW311&lt;&gt;1,"",IF(BT311&gt;0,IF(BT311&gt;CONTROL_PANEL!$B$11,CONTROL_PANEL!$B$11,BT311),0))</f>
        <v/>
      </c>
      <c r="BK312" s="18" t="str">
        <f t="shared" si="208"/>
        <v/>
      </c>
      <c r="BL312" s="18" t="str">
        <f>IF(BW312&lt;&gt;1,"",DATA_INPUT!$I312)</f>
        <v/>
      </c>
      <c r="BM312" s="18" t="str">
        <f>IF(BW312&lt;&gt;1,"",BL312*CONTROL_PANEL!$B$5)</f>
        <v/>
      </c>
      <c r="BN312" s="18" t="str">
        <f>IF(BW312&lt;&gt;1,"",DATA_INPUT!$C312)</f>
        <v/>
      </c>
      <c r="BO312" s="18" t="str">
        <f t="shared" si="198"/>
        <v/>
      </c>
      <c r="BP312" s="18" t="str">
        <f>IF(BW312&lt;&gt;1,"",DATA_INPUT!$H312)</f>
        <v/>
      </c>
      <c r="BQ312" s="18" t="str">
        <f t="shared" si="199"/>
        <v/>
      </c>
      <c r="BR312" s="18" t="str">
        <f>IF(BW312&lt;&gt;1,"",BM312*CONTROL_PANEL!$B$14)</f>
        <v/>
      </c>
      <c r="BS312" s="18" t="str">
        <f>IF(BW312&lt;&gt;1,"",DATA_INPUT!$N312)</f>
        <v/>
      </c>
      <c r="BT312" s="18" t="str">
        <f t="shared" si="200"/>
        <v/>
      </c>
      <c r="BU312" s="18" t="str">
        <f>IF(BW312&lt;&gt;1,"",IF(BT312-CONTROL_PANEL!$B$11&lt;0,0,BT312-CONTROL_PANEL!$B$11))</f>
        <v/>
      </c>
      <c r="BV312" s="18" t="str">
        <f>IF(BW312&lt;&gt;1,"",IF(BS312&lt;=0,0,MIN(BS312,MAX(0,CONTROL_PANEL!$B$13-BT312))))</f>
        <v/>
      </c>
      <c r="BW312" s="18"/>
      <c r="BY312" s="19">
        <f t="shared" si="219"/>
        <v>2041</v>
      </c>
      <c r="BZ312" s="19">
        <f t="shared" si="184"/>
        <v>5</v>
      </c>
      <c r="CA312" s="18" t="str">
        <f t="shared" si="201"/>
        <v/>
      </c>
      <c r="CB312" s="18" t="str">
        <f t="shared" si="214"/>
        <v/>
      </c>
      <c r="CC312" s="18" t="str">
        <f>IF(CP311&lt;&gt;1,"",IF(CM311&gt;0,IF(CM311&gt;CONTROL_PANEL!$B$11,CONTROL_PANEL!$B$11,CM311),0))</f>
        <v/>
      </c>
      <c r="CD312" s="18" t="str">
        <f t="shared" si="209"/>
        <v/>
      </c>
      <c r="CE312" s="18" t="str">
        <f>IF(CP312&lt;&gt;1,"",DATA_INPUT!$I312)</f>
        <v/>
      </c>
      <c r="CF312" s="18" t="str">
        <f>IF(CP312&lt;&gt;1,"",CE312*CONTROL_PANEL!$B$5)</f>
        <v/>
      </c>
      <c r="CG312" s="18" t="str">
        <f>IF(CP312&lt;&gt;1,"",DATA_INPUT!$C312)</f>
        <v/>
      </c>
      <c r="CH312" s="18" t="str">
        <f t="shared" si="202"/>
        <v/>
      </c>
      <c r="CI312" s="18" t="str">
        <f>IF(CP312&lt;&gt;1,"",DATA_INPUT!$H312)</f>
        <v/>
      </c>
      <c r="CJ312" s="18" t="str">
        <f t="shared" si="203"/>
        <v/>
      </c>
      <c r="CK312" s="18" t="str">
        <f>IF(CP312&lt;&gt;1,"",CF312*CONTROL_PANEL!$B$14)</f>
        <v/>
      </c>
      <c r="CL312" s="18" t="str">
        <f>IF(CP312&lt;&gt;1,"",DATA_INPUT!$O312)</f>
        <v/>
      </c>
      <c r="CM312" s="18" t="str">
        <f t="shared" si="204"/>
        <v/>
      </c>
      <c r="CN312" s="18" t="str">
        <f>IF(CP312&lt;&gt;1,"",IF(CM312-CONTROL_PANEL!$B$11&lt;0,0,CM312-CONTROL_PANEL!$B$11))</f>
        <v/>
      </c>
      <c r="CO312" s="18" t="str">
        <f>IF(CP312&lt;&gt;1,"",IF(CL312&lt;=0,0,MIN(CL312,MAX(0,CONTROL_PANEL!$B$13-CM312))))</f>
        <v/>
      </c>
      <c r="CP312" s="18"/>
    </row>
    <row r="313" spans="1:94" x14ac:dyDescent="0.25">
      <c r="A313" s="19">
        <f t="shared" si="215"/>
        <v>2041</v>
      </c>
      <c r="B313" s="19">
        <f t="shared" si="180"/>
        <v>6</v>
      </c>
      <c r="C313" s="18" t="str">
        <f t="shared" si="185"/>
        <v/>
      </c>
      <c r="D313" s="18" t="str">
        <f t="shared" si="210"/>
        <v/>
      </c>
      <c r="E313" s="18" t="str">
        <f>IF(R312&lt;&gt;1,"",IF(O312&gt;0,IF(O312&gt;CONTROL_PANEL!$B$11,CONTROL_PANEL!$B$11,O312),0))</f>
        <v/>
      </c>
      <c r="F313" s="18" t="str">
        <f t="shared" si="205"/>
        <v/>
      </c>
      <c r="G313" s="18" t="str">
        <f>IF(R313&lt;&gt;1,"",DATA_INPUT!I313)</f>
        <v/>
      </c>
      <c r="H313" s="18" t="str">
        <f>IF(R313&lt;&gt;1,"",G313*CONTROL_PANEL!$B$5)</f>
        <v/>
      </c>
      <c r="I313" s="18" t="str">
        <f>IF(R313&lt;&gt;1,"",DATA_INPUT!C313)</f>
        <v/>
      </c>
      <c r="J313" s="18" t="str">
        <f t="shared" si="186"/>
        <v/>
      </c>
      <c r="K313" s="18" t="str">
        <f>IF(R313&lt;&gt;1,"",DATA_INPUT!H313)</f>
        <v/>
      </c>
      <c r="L313" s="18" t="str">
        <f t="shared" si="187"/>
        <v/>
      </c>
      <c r="M313" s="18" t="str">
        <f>IF(R313&lt;&gt;1,"",H313*CONTROL_PANEL!$B$14)</f>
        <v/>
      </c>
      <c r="N313" s="18" t="str">
        <f>IF(R313&lt;&gt;1,"",DATA_INPUT!K313)</f>
        <v/>
      </c>
      <c r="O313" s="18" t="str">
        <f t="shared" si="188"/>
        <v/>
      </c>
      <c r="P313" s="18" t="str">
        <f>IF(R313&lt;&gt;1,"",IF(O313-CONTROL_PANEL!$B$11&lt;0,0,O313-CONTROL_PANEL!$B$11))</f>
        <v/>
      </c>
      <c r="Q313" s="18" t="str">
        <f>IF(R313&lt;&gt;1,"",IF(N313&lt;=0,0,MIN(N313,MAX(0,CONTROL_PANEL!$B$13-O313))))</f>
        <v/>
      </c>
      <c r="R313" s="18"/>
      <c r="T313" s="19">
        <f t="shared" si="216"/>
        <v>2041</v>
      </c>
      <c r="U313" s="19">
        <f t="shared" si="181"/>
        <v>6</v>
      </c>
      <c r="V313" s="18" t="str">
        <f t="shared" si="189"/>
        <v/>
      </c>
      <c r="W313" s="18" t="str">
        <f t="shared" si="211"/>
        <v/>
      </c>
      <c r="X313" s="18" t="str">
        <f>IF(AK312&lt;&gt;1,"",IF(AH312&gt;0,IF(AH312&gt;CONTROL_PANEL!$B$11,CONTROL_PANEL!$B$11,AH312),0))</f>
        <v/>
      </c>
      <c r="Y313" s="18" t="str">
        <f t="shared" si="206"/>
        <v/>
      </c>
      <c r="Z313" s="18" t="str">
        <f>IF(AK313&lt;&gt;1,"",DATA_INPUT!I313)</f>
        <v/>
      </c>
      <c r="AA313" s="18" t="str">
        <f>IF(AK313&lt;&gt;1,"",Z313*CONTROL_PANEL!$B$5)</f>
        <v/>
      </c>
      <c r="AB313" s="18" t="str">
        <f>IF(AK313&lt;&gt;1,"",DATA_INPUT!$C313)</f>
        <v/>
      </c>
      <c r="AC313" s="18" t="str">
        <f t="shared" si="190"/>
        <v/>
      </c>
      <c r="AD313" s="18" t="str">
        <f>IF(AK313&lt;&gt;1,"",DATA_INPUT!$H313)</f>
        <v/>
      </c>
      <c r="AE313" s="18" t="str">
        <f t="shared" si="191"/>
        <v/>
      </c>
      <c r="AF313" s="18" t="str">
        <f>IF(AK313&lt;&gt;1,"",AA313*CONTROL_PANEL!$B$14)</f>
        <v/>
      </c>
      <c r="AG313" s="18" t="str">
        <f>IF(AK313&lt;&gt;1,"",DATA_INPUT!$L313)</f>
        <v/>
      </c>
      <c r="AH313" s="18" t="str">
        <f t="shared" si="192"/>
        <v/>
      </c>
      <c r="AI313" s="18" t="str">
        <f>IF(AK313&lt;&gt;1,"",IF(AH313-CONTROL_PANEL!$B$11&lt;0,0,AH313-CONTROL_PANEL!$B$11))</f>
        <v/>
      </c>
      <c r="AJ313" s="18" t="str">
        <f>IF(AK313&lt;&gt;1,"",IF(AG313&lt;=0,0,MIN(AG313,MAX(0,CONTROL_PANEL!$B$13-AH313))))</f>
        <v/>
      </c>
      <c r="AK313" s="18"/>
      <c r="AM313" s="19">
        <f t="shared" si="217"/>
        <v>2041</v>
      </c>
      <c r="AN313" s="19">
        <f t="shared" si="182"/>
        <v>6</v>
      </c>
      <c r="AO313" s="18" t="str">
        <f t="shared" si="193"/>
        <v/>
      </c>
      <c r="AP313" s="18" t="str">
        <f t="shared" si="212"/>
        <v/>
      </c>
      <c r="AQ313" s="18" t="str">
        <f>IF(BD312&lt;&gt;1,"",IF(BA312&gt;0,IF(BA312&gt;CONTROL_PANEL!$B$11,CONTROL_PANEL!$B$11,BA312),0))</f>
        <v/>
      </c>
      <c r="AR313" s="18" t="str">
        <f t="shared" si="207"/>
        <v/>
      </c>
      <c r="AS313" s="18" t="str">
        <f>IF(BD313&lt;&gt;1,"",DATA_INPUT!$I313)</f>
        <v/>
      </c>
      <c r="AT313" s="18" t="str">
        <f>IF(BD313&lt;&gt;1,"",AS313*CONTROL_PANEL!$B$5)</f>
        <v/>
      </c>
      <c r="AU313" s="18" t="str">
        <f>IF(BD313&lt;&gt;1,"",DATA_INPUT!$C313)</f>
        <v/>
      </c>
      <c r="AV313" s="18" t="str">
        <f t="shared" si="194"/>
        <v/>
      </c>
      <c r="AW313" s="18" t="str">
        <f>IF(BD313&lt;&gt;1,"",DATA_INPUT!$H313)</f>
        <v/>
      </c>
      <c r="AX313" s="18" t="str">
        <f t="shared" si="195"/>
        <v/>
      </c>
      <c r="AY313" s="18" t="str">
        <f>IF(BD313&lt;&gt;1,"",AT313*CONTROL_PANEL!$B$14)</f>
        <v/>
      </c>
      <c r="AZ313" s="18" t="str">
        <f>IF(BD313&lt;&gt;1,"",DATA_INPUT!$M313)</f>
        <v/>
      </c>
      <c r="BA313" s="18" t="str">
        <f t="shared" si="196"/>
        <v/>
      </c>
      <c r="BB313" s="18" t="str">
        <f>IF(BD313&lt;&gt;1,"",IF(BA313-CONTROL_PANEL!$B$11&lt;0,0,BA313-CONTROL_PANEL!$B$11))</f>
        <v/>
      </c>
      <c r="BC313" s="18" t="str">
        <f>IF(BD313&lt;&gt;1,"",IF(AZ313&lt;=0,0,MIN(AZ313,MAX(0,CONTROL_PANEL!$B$13-BA313))))</f>
        <v/>
      </c>
      <c r="BD313" s="18"/>
      <c r="BF313" s="19">
        <f t="shared" si="218"/>
        <v>2041</v>
      </c>
      <c r="BG313" s="19">
        <f t="shared" si="183"/>
        <v>6</v>
      </c>
      <c r="BH313" s="18" t="str">
        <f t="shared" si="197"/>
        <v/>
      </c>
      <c r="BI313" s="18" t="str">
        <f t="shared" si="213"/>
        <v/>
      </c>
      <c r="BJ313" s="18" t="str">
        <f>IF(BW312&lt;&gt;1,"",IF(BT312&gt;0,IF(BT312&gt;CONTROL_PANEL!$B$11,CONTROL_PANEL!$B$11,BT312),0))</f>
        <v/>
      </c>
      <c r="BK313" s="18" t="str">
        <f t="shared" si="208"/>
        <v/>
      </c>
      <c r="BL313" s="18" t="str">
        <f>IF(BW313&lt;&gt;1,"",DATA_INPUT!$I313)</f>
        <v/>
      </c>
      <c r="BM313" s="18" t="str">
        <f>IF(BW313&lt;&gt;1,"",BL313*CONTROL_PANEL!$B$5)</f>
        <v/>
      </c>
      <c r="BN313" s="18" t="str">
        <f>IF(BW313&lt;&gt;1,"",DATA_INPUT!$C313)</f>
        <v/>
      </c>
      <c r="BO313" s="18" t="str">
        <f t="shared" si="198"/>
        <v/>
      </c>
      <c r="BP313" s="18" t="str">
        <f>IF(BW313&lt;&gt;1,"",DATA_INPUT!$H313)</f>
        <v/>
      </c>
      <c r="BQ313" s="18" t="str">
        <f t="shared" si="199"/>
        <v/>
      </c>
      <c r="BR313" s="18" t="str">
        <f>IF(BW313&lt;&gt;1,"",BM313*CONTROL_PANEL!$B$14)</f>
        <v/>
      </c>
      <c r="BS313" s="18" t="str">
        <f>IF(BW313&lt;&gt;1,"",DATA_INPUT!$N313)</f>
        <v/>
      </c>
      <c r="BT313" s="18" t="str">
        <f t="shared" si="200"/>
        <v/>
      </c>
      <c r="BU313" s="18" t="str">
        <f>IF(BW313&lt;&gt;1,"",IF(BT313-CONTROL_PANEL!$B$11&lt;0,0,BT313-CONTROL_PANEL!$B$11))</f>
        <v/>
      </c>
      <c r="BV313" s="18" t="str">
        <f>IF(BW313&lt;&gt;1,"",IF(BS313&lt;=0,0,MIN(BS313,MAX(0,CONTROL_PANEL!$B$13-BT313))))</f>
        <v/>
      </c>
      <c r="BW313" s="18"/>
      <c r="BY313" s="19">
        <f t="shared" si="219"/>
        <v>2041</v>
      </c>
      <c r="BZ313" s="19">
        <f t="shared" si="184"/>
        <v>6</v>
      </c>
      <c r="CA313" s="18" t="str">
        <f t="shared" si="201"/>
        <v/>
      </c>
      <c r="CB313" s="18" t="str">
        <f t="shared" si="214"/>
        <v/>
      </c>
      <c r="CC313" s="18" t="str">
        <f>IF(CP312&lt;&gt;1,"",IF(CM312&gt;0,IF(CM312&gt;CONTROL_PANEL!$B$11,CONTROL_PANEL!$B$11,CM312),0))</f>
        <v/>
      </c>
      <c r="CD313" s="18" t="str">
        <f t="shared" si="209"/>
        <v/>
      </c>
      <c r="CE313" s="18" t="str">
        <f>IF(CP313&lt;&gt;1,"",DATA_INPUT!$I313)</f>
        <v/>
      </c>
      <c r="CF313" s="18" t="str">
        <f>IF(CP313&lt;&gt;1,"",CE313*CONTROL_PANEL!$B$5)</f>
        <v/>
      </c>
      <c r="CG313" s="18" t="str">
        <f>IF(CP313&lt;&gt;1,"",DATA_INPUT!$C313)</f>
        <v/>
      </c>
      <c r="CH313" s="18" t="str">
        <f t="shared" si="202"/>
        <v/>
      </c>
      <c r="CI313" s="18" t="str">
        <f>IF(CP313&lt;&gt;1,"",DATA_INPUT!$H313)</f>
        <v/>
      </c>
      <c r="CJ313" s="18" t="str">
        <f t="shared" si="203"/>
        <v/>
      </c>
      <c r="CK313" s="18" t="str">
        <f>IF(CP313&lt;&gt;1,"",CF313*CONTROL_PANEL!$B$14)</f>
        <v/>
      </c>
      <c r="CL313" s="18" t="str">
        <f>IF(CP313&lt;&gt;1,"",DATA_INPUT!$O313)</f>
        <v/>
      </c>
      <c r="CM313" s="18" t="str">
        <f t="shared" si="204"/>
        <v/>
      </c>
      <c r="CN313" s="18" t="str">
        <f>IF(CP313&lt;&gt;1,"",IF(CM313-CONTROL_PANEL!$B$11&lt;0,0,CM313-CONTROL_PANEL!$B$11))</f>
        <v/>
      </c>
      <c r="CO313" s="18" t="str">
        <f>IF(CP313&lt;&gt;1,"",IF(CL313&lt;=0,0,MIN(CL313,MAX(0,CONTROL_PANEL!$B$13-CM313))))</f>
        <v/>
      </c>
      <c r="CP313" s="18"/>
    </row>
    <row r="314" spans="1:94" x14ac:dyDescent="0.25">
      <c r="A314" s="19">
        <f t="shared" si="215"/>
        <v>2041</v>
      </c>
      <c r="B314" s="19">
        <f t="shared" si="180"/>
        <v>7</v>
      </c>
      <c r="C314" s="18" t="str">
        <f t="shared" si="185"/>
        <v/>
      </c>
      <c r="D314" s="18" t="str">
        <f t="shared" si="210"/>
        <v/>
      </c>
      <c r="E314" s="18" t="str">
        <f>IF(R313&lt;&gt;1,"",IF(O313&gt;0,IF(O313&gt;CONTROL_PANEL!$B$11,CONTROL_PANEL!$B$11,O313),0))</f>
        <v/>
      </c>
      <c r="F314" s="18" t="str">
        <f t="shared" si="205"/>
        <v/>
      </c>
      <c r="G314" s="18" t="str">
        <f>IF(R314&lt;&gt;1,"",DATA_INPUT!I314)</f>
        <v/>
      </c>
      <c r="H314" s="18" t="str">
        <f>IF(R314&lt;&gt;1,"",G314*CONTROL_PANEL!$B$5)</f>
        <v/>
      </c>
      <c r="I314" s="18" t="str">
        <f>IF(R314&lt;&gt;1,"",DATA_INPUT!C314)</f>
        <v/>
      </c>
      <c r="J314" s="18" t="str">
        <f t="shared" si="186"/>
        <v/>
      </c>
      <c r="K314" s="18" t="str">
        <f>IF(R314&lt;&gt;1,"",DATA_INPUT!H314)</f>
        <v/>
      </c>
      <c r="L314" s="18" t="str">
        <f t="shared" si="187"/>
        <v/>
      </c>
      <c r="M314" s="18" t="str">
        <f>IF(R314&lt;&gt;1,"",H314*CONTROL_PANEL!$B$14)</f>
        <v/>
      </c>
      <c r="N314" s="18" t="str">
        <f>IF(R314&lt;&gt;1,"",DATA_INPUT!K314)</f>
        <v/>
      </c>
      <c r="O314" s="18" t="str">
        <f t="shared" si="188"/>
        <v/>
      </c>
      <c r="P314" s="18" t="str">
        <f>IF(R314&lt;&gt;1,"",IF(O314-CONTROL_PANEL!$B$11&lt;0,0,O314-CONTROL_PANEL!$B$11))</f>
        <v/>
      </c>
      <c r="Q314" s="18" t="str">
        <f>IF(R314&lt;&gt;1,"",IF(N314&lt;=0,0,MIN(N314,MAX(0,CONTROL_PANEL!$B$13-O314))))</f>
        <v/>
      </c>
      <c r="R314" s="18"/>
      <c r="T314" s="19">
        <f t="shared" si="216"/>
        <v>2041</v>
      </c>
      <c r="U314" s="19">
        <f t="shared" si="181"/>
        <v>7</v>
      </c>
      <c r="V314" s="18" t="str">
        <f t="shared" si="189"/>
        <v/>
      </c>
      <c r="W314" s="18" t="str">
        <f t="shared" si="211"/>
        <v/>
      </c>
      <c r="X314" s="18" t="str">
        <f>IF(AK313&lt;&gt;1,"",IF(AH313&gt;0,IF(AH313&gt;CONTROL_PANEL!$B$11,CONTROL_PANEL!$B$11,AH313),0))</f>
        <v/>
      </c>
      <c r="Y314" s="18" t="str">
        <f t="shared" si="206"/>
        <v/>
      </c>
      <c r="Z314" s="18" t="str">
        <f>IF(AK314&lt;&gt;1,"",DATA_INPUT!I314)</f>
        <v/>
      </c>
      <c r="AA314" s="18" t="str">
        <f>IF(AK314&lt;&gt;1,"",Z314*CONTROL_PANEL!$B$5)</f>
        <v/>
      </c>
      <c r="AB314" s="18" t="str">
        <f>IF(AK314&lt;&gt;1,"",DATA_INPUT!$C314)</f>
        <v/>
      </c>
      <c r="AC314" s="18" t="str">
        <f t="shared" si="190"/>
        <v/>
      </c>
      <c r="AD314" s="18" t="str">
        <f>IF(AK314&lt;&gt;1,"",DATA_INPUT!$H314)</f>
        <v/>
      </c>
      <c r="AE314" s="18" t="str">
        <f t="shared" si="191"/>
        <v/>
      </c>
      <c r="AF314" s="18" t="str">
        <f>IF(AK314&lt;&gt;1,"",AA314*CONTROL_PANEL!$B$14)</f>
        <v/>
      </c>
      <c r="AG314" s="18" t="str">
        <f>IF(AK314&lt;&gt;1,"",DATA_INPUT!$L314)</f>
        <v/>
      </c>
      <c r="AH314" s="18" t="str">
        <f t="shared" si="192"/>
        <v/>
      </c>
      <c r="AI314" s="18" t="str">
        <f>IF(AK314&lt;&gt;1,"",IF(AH314-CONTROL_PANEL!$B$11&lt;0,0,AH314-CONTROL_PANEL!$B$11))</f>
        <v/>
      </c>
      <c r="AJ314" s="18" t="str">
        <f>IF(AK314&lt;&gt;1,"",IF(AG314&lt;=0,0,MIN(AG314,MAX(0,CONTROL_PANEL!$B$13-AH314))))</f>
        <v/>
      </c>
      <c r="AK314" s="18"/>
      <c r="AM314" s="19">
        <f t="shared" si="217"/>
        <v>2041</v>
      </c>
      <c r="AN314" s="19">
        <f t="shared" si="182"/>
        <v>7</v>
      </c>
      <c r="AO314" s="18" t="str">
        <f t="shared" si="193"/>
        <v/>
      </c>
      <c r="AP314" s="18" t="str">
        <f t="shared" si="212"/>
        <v/>
      </c>
      <c r="AQ314" s="18" t="str">
        <f>IF(BD313&lt;&gt;1,"",IF(BA313&gt;0,IF(BA313&gt;CONTROL_PANEL!$B$11,CONTROL_PANEL!$B$11,BA313),0))</f>
        <v/>
      </c>
      <c r="AR314" s="18" t="str">
        <f t="shared" si="207"/>
        <v/>
      </c>
      <c r="AS314" s="18" t="str">
        <f>IF(BD314&lt;&gt;1,"",DATA_INPUT!$I314)</f>
        <v/>
      </c>
      <c r="AT314" s="18" t="str">
        <f>IF(BD314&lt;&gt;1,"",AS314*CONTROL_PANEL!$B$5)</f>
        <v/>
      </c>
      <c r="AU314" s="18" t="str">
        <f>IF(BD314&lt;&gt;1,"",DATA_INPUT!$C314)</f>
        <v/>
      </c>
      <c r="AV314" s="18" t="str">
        <f t="shared" si="194"/>
        <v/>
      </c>
      <c r="AW314" s="18" t="str">
        <f>IF(BD314&lt;&gt;1,"",DATA_INPUT!$H314)</f>
        <v/>
      </c>
      <c r="AX314" s="18" t="str">
        <f t="shared" si="195"/>
        <v/>
      </c>
      <c r="AY314" s="18" t="str">
        <f>IF(BD314&lt;&gt;1,"",AT314*CONTROL_PANEL!$B$14)</f>
        <v/>
      </c>
      <c r="AZ314" s="18" t="str">
        <f>IF(BD314&lt;&gt;1,"",DATA_INPUT!$M314)</f>
        <v/>
      </c>
      <c r="BA314" s="18" t="str">
        <f t="shared" si="196"/>
        <v/>
      </c>
      <c r="BB314" s="18" t="str">
        <f>IF(BD314&lt;&gt;1,"",IF(BA314-CONTROL_PANEL!$B$11&lt;0,0,BA314-CONTROL_PANEL!$B$11))</f>
        <v/>
      </c>
      <c r="BC314" s="18" t="str">
        <f>IF(BD314&lt;&gt;1,"",IF(AZ314&lt;=0,0,MIN(AZ314,MAX(0,CONTROL_PANEL!$B$13-BA314))))</f>
        <v/>
      </c>
      <c r="BD314" s="18"/>
      <c r="BF314" s="19">
        <f t="shared" si="218"/>
        <v>2041</v>
      </c>
      <c r="BG314" s="19">
        <f t="shared" si="183"/>
        <v>7</v>
      </c>
      <c r="BH314" s="18" t="str">
        <f t="shared" si="197"/>
        <v/>
      </c>
      <c r="BI314" s="18" t="str">
        <f t="shared" si="213"/>
        <v/>
      </c>
      <c r="BJ314" s="18" t="str">
        <f>IF(BW313&lt;&gt;1,"",IF(BT313&gt;0,IF(BT313&gt;CONTROL_PANEL!$B$11,CONTROL_PANEL!$B$11,BT313),0))</f>
        <v/>
      </c>
      <c r="BK314" s="18" t="str">
        <f t="shared" si="208"/>
        <v/>
      </c>
      <c r="BL314" s="18" t="str">
        <f>IF(BW314&lt;&gt;1,"",DATA_INPUT!$I314)</f>
        <v/>
      </c>
      <c r="BM314" s="18" t="str">
        <f>IF(BW314&lt;&gt;1,"",BL314*CONTROL_PANEL!$B$5)</f>
        <v/>
      </c>
      <c r="BN314" s="18" t="str">
        <f>IF(BW314&lt;&gt;1,"",DATA_INPUT!$C314)</f>
        <v/>
      </c>
      <c r="BO314" s="18" t="str">
        <f t="shared" si="198"/>
        <v/>
      </c>
      <c r="BP314" s="18" t="str">
        <f>IF(BW314&lt;&gt;1,"",DATA_INPUT!$H314)</f>
        <v/>
      </c>
      <c r="BQ314" s="18" t="str">
        <f t="shared" si="199"/>
        <v/>
      </c>
      <c r="BR314" s="18" t="str">
        <f>IF(BW314&lt;&gt;1,"",BM314*CONTROL_PANEL!$B$14)</f>
        <v/>
      </c>
      <c r="BS314" s="18" t="str">
        <f>IF(BW314&lt;&gt;1,"",DATA_INPUT!$N314)</f>
        <v/>
      </c>
      <c r="BT314" s="18" t="str">
        <f t="shared" si="200"/>
        <v/>
      </c>
      <c r="BU314" s="18" t="str">
        <f>IF(BW314&lt;&gt;1,"",IF(BT314-CONTROL_PANEL!$B$11&lt;0,0,BT314-CONTROL_PANEL!$B$11))</f>
        <v/>
      </c>
      <c r="BV314" s="18" t="str">
        <f>IF(BW314&lt;&gt;1,"",IF(BS314&lt;=0,0,MIN(BS314,MAX(0,CONTROL_PANEL!$B$13-BT314))))</f>
        <v/>
      </c>
      <c r="BW314" s="18"/>
      <c r="BY314" s="19">
        <f t="shared" si="219"/>
        <v>2041</v>
      </c>
      <c r="BZ314" s="19">
        <f t="shared" si="184"/>
        <v>7</v>
      </c>
      <c r="CA314" s="18" t="str">
        <f t="shared" si="201"/>
        <v/>
      </c>
      <c r="CB314" s="18" t="str">
        <f t="shared" si="214"/>
        <v/>
      </c>
      <c r="CC314" s="18" t="str">
        <f>IF(CP313&lt;&gt;1,"",IF(CM313&gt;0,IF(CM313&gt;CONTROL_PANEL!$B$11,CONTROL_PANEL!$B$11,CM313),0))</f>
        <v/>
      </c>
      <c r="CD314" s="18" t="str">
        <f t="shared" si="209"/>
        <v/>
      </c>
      <c r="CE314" s="18" t="str">
        <f>IF(CP314&lt;&gt;1,"",DATA_INPUT!$I314)</f>
        <v/>
      </c>
      <c r="CF314" s="18" t="str">
        <f>IF(CP314&lt;&gt;1,"",CE314*CONTROL_PANEL!$B$5)</f>
        <v/>
      </c>
      <c r="CG314" s="18" t="str">
        <f>IF(CP314&lt;&gt;1,"",DATA_INPUT!$C314)</f>
        <v/>
      </c>
      <c r="CH314" s="18" t="str">
        <f t="shared" si="202"/>
        <v/>
      </c>
      <c r="CI314" s="18" t="str">
        <f>IF(CP314&lt;&gt;1,"",DATA_INPUT!$H314)</f>
        <v/>
      </c>
      <c r="CJ314" s="18" t="str">
        <f t="shared" si="203"/>
        <v/>
      </c>
      <c r="CK314" s="18" t="str">
        <f>IF(CP314&lt;&gt;1,"",CF314*CONTROL_PANEL!$B$14)</f>
        <v/>
      </c>
      <c r="CL314" s="18" t="str">
        <f>IF(CP314&lt;&gt;1,"",DATA_INPUT!$O314)</f>
        <v/>
      </c>
      <c r="CM314" s="18" t="str">
        <f t="shared" si="204"/>
        <v/>
      </c>
      <c r="CN314" s="18" t="str">
        <f>IF(CP314&lt;&gt;1,"",IF(CM314-CONTROL_PANEL!$B$11&lt;0,0,CM314-CONTROL_PANEL!$B$11))</f>
        <v/>
      </c>
      <c r="CO314" s="18" t="str">
        <f>IF(CP314&lt;&gt;1,"",IF(CL314&lt;=0,0,MIN(CL314,MAX(0,CONTROL_PANEL!$B$13-CM314))))</f>
        <v/>
      </c>
      <c r="CP314" s="18"/>
    </row>
    <row r="315" spans="1:94" x14ac:dyDescent="0.25">
      <c r="A315" s="19">
        <f t="shared" si="215"/>
        <v>2041</v>
      </c>
      <c r="B315" s="19">
        <f t="shared" si="180"/>
        <v>8</v>
      </c>
      <c r="C315" s="18" t="str">
        <f t="shared" si="185"/>
        <v/>
      </c>
      <c r="D315" s="18" t="str">
        <f t="shared" si="210"/>
        <v/>
      </c>
      <c r="E315" s="18" t="str">
        <f>IF(R314&lt;&gt;1,"",IF(O314&gt;0,IF(O314&gt;CONTROL_PANEL!$B$11,CONTROL_PANEL!$B$11,O314),0))</f>
        <v/>
      </c>
      <c r="F315" s="18" t="str">
        <f t="shared" si="205"/>
        <v/>
      </c>
      <c r="G315" s="18" t="str">
        <f>IF(R315&lt;&gt;1,"",DATA_INPUT!I315)</f>
        <v/>
      </c>
      <c r="H315" s="18" t="str">
        <f>IF(R315&lt;&gt;1,"",G315*CONTROL_PANEL!$B$5)</f>
        <v/>
      </c>
      <c r="I315" s="18" t="str">
        <f>IF(R315&lt;&gt;1,"",DATA_INPUT!C315)</f>
        <v/>
      </c>
      <c r="J315" s="18" t="str">
        <f t="shared" si="186"/>
        <v/>
      </c>
      <c r="K315" s="18" t="str">
        <f>IF(R315&lt;&gt;1,"",DATA_INPUT!H315)</f>
        <v/>
      </c>
      <c r="L315" s="18" t="str">
        <f t="shared" si="187"/>
        <v/>
      </c>
      <c r="M315" s="18" t="str">
        <f>IF(R315&lt;&gt;1,"",H315*CONTROL_PANEL!$B$14)</f>
        <v/>
      </c>
      <c r="N315" s="18" t="str">
        <f>IF(R315&lt;&gt;1,"",DATA_INPUT!K315)</f>
        <v/>
      </c>
      <c r="O315" s="18" t="str">
        <f t="shared" si="188"/>
        <v/>
      </c>
      <c r="P315" s="18" t="str">
        <f>IF(R315&lt;&gt;1,"",IF(O315-CONTROL_PANEL!$B$11&lt;0,0,O315-CONTROL_PANEL!$B$11))</f>
        <v/>
      </c>
      <c r="Q315" s="18" t="str">
        <f>IF(R315&lt;&gt;1,"",IF(N315&lt;=0,0,MIN(N315,MAX(0,CONTROL_PANEL!$B$13-O315))))</f>
        <v/>
      </c>
      <c r="R315" s="18"/>
      <c r="T315" s="19">
        <f t="shared" si="216"/>
        <v>2041</v>
      </c>
      <c r="U315" s="19">
        <f t="shared" si="181"/>
        <v>8</v>
      </c>
      <c r="V315" s="18" t="str">
        <f t="shared" si="189"/>
        <v/>
      </c>
      <c r="W315" s="18" t="str">
        <f t="shared" si="211"/>
        <v/>
      </c>
      <c r="X315" s="18" t="str">
        <f>IF(AK314&lt;&gt;1,"",IF(AH314&gt;0,IF(AH314&gt;CONTROL_PANEL!$B$11,CONTROL_PANEL!$B$11,AH314),0))</f>
        <v/>
      </c>
      <c r="Y315" s="18" t="str">
        <f t="shared" si="206"/>
        <v/>
      </c>
      <c r="Z315" s="18" t="str">
        <f>IF(AK315&lt;&gt;1,"",DATA_INPUT!I315)</f>
        <v/>
      </c>
      <c r="AA315" s="18" t="str">
        <f>IF(AK315&lt;&gt;1,"",Z315*CONTROL_PANEL!$B$5)</f>
        <v/>
      </c>
      <c r="AB315" s="18" t="str">
        <f>IF(AK315&lt;&gt;1,"",DATA_INPUT!$C315)</f>
        <v/>
      </c>
      <c r="AC315" s="18" t="str">
        <f t="shared" si="190"/>
        <v/>
      </c>
      <c r="AD315" s="18" t="str">
        <f>IF(AK315&lt;&gt;1,"",DATA_INPUT!$H315)</f>
        <v/>
      </c>
      <c r="AE315" s="18" t="str">
        <f t="shared" si="191"/>
        <v/>
      </c>
      <c r="AF315" s="18" t="str">
        <f>IF(AK315&lt;&gt;1,"",AA315*CONTROL_PANEL!$B$14)</f>
        <v/>
      </c>
      <c r="AG315" s="18" t="str">
        <f>IF(AK315&lt;&gt;1,"",DATA_INPUT!$L315)</f>
        <v/>
      </c>
      <c r="AH315" s="18" t="str">
        <f t="shared" si="192"/>
        <v/>
      </c>
      <c r="AI315" s="18" t="str">
        <f>IF(AK315&lt;&gt;1,"",IF(AH315-CONTROL_PANEL!$B$11&lt;0,0,AH315-CONTROL_PANEL!$B$11))</f>
        <v/>
      </c>
      <c r="AJ315" s="18" t="str">
        <f>IF(AK315&lt;&gt;1,"",IF(AG315&lt;=0,0,MIN(AG315,MAX(0,CONTROL_PANEL!$B$13-AH315))))</f>
        <v/>
      </c>
      <c r="AK315" s="18"/>
      <c r="AM315" s="19">
        <f t="shared" si="217"/>
        <v>2041</v>
      </c>
      <c r="AN315" s="19">
        <f t="shared" si="182"/>
        <v>8</v>
      </c>
      <c r="AO315" s="18" t="str">
        <f t="shared" si="193"/>
        <v/>
      </c>
      <c r="AP315" s="18" t="str">
        <f t="shared" si="212"/>
        <v/>
      </c>
      <c r="AQ315" s="18" t="str">
        <f>IF(BD314&lt;&gt;1,"",IF(BA314&gt;0,IF(BA314&gt;CONTROL_PANEL!$B$11,CONTROL_PANEL!$B$11,BA314),0))</f>
        <v/>
      </c>
      <c r="AR315" s="18" t="str">
        <f t="shared" si="207"/>
        <v/>
      </c>
      <c r="AS315" s="18" t="str">
        <f>IF(BD315&lt;&gt;1,"",DATA_INPUT!$I315)</f>
        <v/>
      </c>
      <c r="AT315" s="18" t="str">
        <f>IF(BD315&lt;&gt;1,"",AS315*CONTROL_PANEL!$B$5)</f>
        <v/>
      </c>
      <c r="AU315" s="18" t="str">
        <f>IF(BD315&lt;&gt;1,"",DATA_INPUT!$C315)</f>
        <v/>
      </c>
      <c r="AV315" s="18" t="str">
        <f t="shared" si="194"/>
        <v/>
      </c>
      <c r="AW315" s="18" t="str">
        <f>IF(BD315&lt;&gt;1,"",DATA_INPUT!$H315)</f>
        <v/>
      </c>
      <c r="AX315" s="18" t="str">
        <f t="shared" si="195"/>
        <v/>
      </c>
      <c r="AY315" s="18" t="str">
        <f>IF(BD315&lt;&gt;1,"",AT315*CONTROL_PANEL!$B$14)</f>
        <v/>
      </c>
      <c r="AZ315" s="18" t="str">
        <f>IF(BD315&lt;&gt;1,"",DATA_INPUT!$M315)</f>
        <v/>
      </c>
      <c r="BA315" s="18" t="str">
        <f t="shared" si="196"/>
        <v/>
      </c>
      <c r="BB315" s="18" t="str">
        <f>IF(BD315&lt;&gt;1,"",IF(BA315-CONTROL_PANEL!$B$11&lt;0,0,BA315-CONTROL_PANEL!$B$11))</f>
        <v/>
      </c>
      <c r="BC315" s="18" t="str">
        <f>IF(BD315&lt;&gt;1,"",IF(AZ315&lt;=0,0,MIN(AZ315,MAX(0,CONTROL_PANEL!$B$13-BA315))))</f>
        <v/>
      </c>
      <c r="BD315" s="18"/>
      <c r="BF315" s="19">
        <f t="shared" si="218"/>
        <v>2041</v>
      </c>
      <c r="BG315" s="19">
        <f t="shared" si="183"/>
        <v>8</v>
      </c>
      <c r="BH315" s="18" t="str">
        <f t="shared" si="197"/>
        <v/>
      </c>
      <c r="BI315" s="18" t="str">
        <f t="shared" si="213"/>
        <v/>
      </c>
      <c r="BJ315" s="18" t="str">
        <f>IF(BW314&lt;&gt;1,"",IF(BT314&gt;0,IF(BT314&gt;CONTROL_PANEL!$B$11,CONTROL_PANEL!$B$11,BT314),0))</f>
        <v/>
      </c>
      <c r="BK315" s="18" t="str">
        <f t="shared" si="208"/>
        <v/>
      </c>
      <c r="BL315" s="18" t="str">
        <f>IF(BW315&lt;&gt;1,"",DATA_INPUT!$I315)</f>
        <v/>
      </c>
      <c r="BM315" s="18" t="str">
        <f>IF(BW315&lt;&gt;1,"",BL315*CONTROL_PANEL!$B$5)</f>
        <v/>
      </c>
      <c r="BN315" s="18" t="str">
        <f>IF(BW315&lt;&gt;1,"",DATA_INPUT!$C315)</f>
        <v/>
      </c>
      <c r="BO315" s="18" t="str">
        <f t="shared" si="198"/>
        <v/>
      </c>
      <c r="BP315" s="18" t="str">
        <f>IF(BW315&lt;&gt;1,"",DATA_INPUT!$H315)</f>
        <v/>
      </c>
      <c r="BQ315" s="18" t="str">
        <f t="shared" si="199"/>
        <v/>
      </c>
      <c r="BR315" s="18" t="str">
        <f>IF(BW315&lt;&gt;1,"",BM315*CONTROL_PANEL!$B$14)</f>
        <v/>
      </c>
      <c r="BS315" s="18" t="str">
        <f>IF(BW315&lt;&gt;1,"",DATA_INPUT!$N315)</f>
        <v/>
      </c>
      <c r="BT315" s="18" t="str">
        <f t="shared" si="200"/>
        <v/>
      </c>
      <c r="BU315" s="18" t="str">
        <f>IF(BW315&lt;&gt;1,"",IF(BT315-CONTROL_PANEL!$B$11&lt;0,0,BT315-CONTROL_PANEL!$B$11))</f>
        <v/>
      </c>
      <c r="BV315" s="18" t="str">
        <f>IF(BW315&lt;&gt;1,"",IF(BS315&lt;=0,0,MIN(BS315,MAX(0,CONTROL_PANEL!$B$13-BT315))))</f>
        <v/>
      </c>
      <c r="BW315" s="18"/>
      <c r="BY315" s="19">
        <f t="shared" si="219"/>
        <v>2041</v>
      </c>
      <c r="BZ315" s="19">
        <f t="shared" si="184"/>
        <v>8</v>
      </c>
      <c r="CA315" s="18" t="str">
        <f t="shared" si="201"/>
        <v/>
      </c>
      <c r="CB315" s="18" t="str">
        <f t="shared" si="214"/>
        <v/>
      </c>
      <c r="CC315" s="18" t="str">
        <f>IF(CP314&lt;&gt;1,"",IF(CM314&gt;0,IF(CM314&gt;CONTROL_PANEL!$B$11,CONTROL_PANEL!$B$11,CM314),0))</f>
        <v/>
      </c>
      <c r="CD315" s="18" t="str">
        <f t="shared" si="209"/>
        <v/>
      </c>
      <c r="CE315" s="18" t="str">
        <f>IF(CP315&lt;&gt;1,"",DATA_INPUT!$I315)</f>
        <v/>
      </c>
      <c r="CF315" s="18" t="str">
        <f>IF(CP315&lt;&gt;1,"",CE315*CONTROL_PANEL!$B$5)</f>
        <v/>
      </c>
      <c r="CG315" s="18" t="str">
        <f>IF(CP315&lt;&gt;1,"",DATA_INPUT!$C315)</f>
        <v/>
      </c>
      <c r="CH315" s="18" t="str">
        <f t="shared" si="202"/>
        <v/>
      </c>
      <c r="CI315" s="18" t="str">
        <f>IF(CP315&lt;&gt;1,"",DATA_INPUT!$H315)</f>
        <v/>
      </c>
      <c r="CJ315" s="18" t="str">
        <f t="shared" si="203"/>
        <v/>
      </c>
      <c r="CK315" s="18" t="str">
        <f>IF(CP315&lt;&gt;1,"",CF315*CONTROL_PANEL!$B$14)</f>
        <v/>
      </c>
      <c r="CL315" s="18" t="str">
        <f>IF(CP315&lt;&gt;1,"",DATA_INPUT!$O315)</f>
        <v/>
      </c>
      <c r="CM315" s="18" t="str">
        <f t="shared" si="204"/>
        <v/>
      </c>
      <c r="CN315" s="18" t="str">
        <f>IF(CP315&lt;&gt;1,"",IF(CM315-CONTROL_PANEL!$B$11&lt;0,0,CM315-CONTROL_PANEL!$B$11))</f>
        <v/>
      </c>
      <c r="CO315" s="18" t="str">
        <f>IF(CP315&lt;&gt;1,"",IF(CL315&lt;=0,0,MIN(CL315,MAX(0,CONTROL_PANEL!$B$13-CM315))))</f>
        <v/>
      </c>
      <c r="CP315" s="18"/>
    </row>
    <row r="316" spans="1:94" x14ac:dyDescent="0.25">
      <c r="A316" s="19">
        <f t="shared" si="215"/>
        <v>2041</v>
      </c>
      <c r="B316" s="19">
        <f t="shared" si="180"/>
        <v>9</v>
      </c>
      <c r="C316" s="18" t="str">
        <f t="shared" si="185"/>
        <v/>
      </c>
      <c r="D316" s="18" t="str">
        <f t="shared" si="210"/>
        <v/>
      </c>
      <c r="E316" s="18" t="str">
        <f>IF(R315&lt;&gt;1,"",IF(O315&gt;0,IF(O315&gt;CONTROL_PANEL!$B$11,CONTROL_PANEL!$B$11,O315),0))</f>
        <v/>
      </c>
      <c r="F316" s="18" t="str">
        <f t="shared" si="205"/>
        <v/>
      </c>
      <c r="G316" s="18" t="str">
        <f>IF(R316&lt;&gt;1,"",DATA_INPUT!I316)</f>
        <v/>
      </c>
      <c r="H316" s="18" t="str">
        <f>IF(R316&lt;&gt;1,"",G316*CONTROL_PANEL!$B$5)</f>
        <v/>
      </c>
      <c r="I316" s="18" t="str">
        <f>IF(R316&lt;&gt;1,"",DATA_INPUT!C316)</f>
        <v/>
      </c>
      <c r="J316" s="18" t="str">
        <f t="shared" si="186"/>
        <v/>
      </c>
      <c r="K316" s="18" t="str">
        <f>IF(R316&lt;&gt;1,"",DATA_INPUT!H316)</f>
        <v/>
      </c>
      <c r="L316" s="18" t="str">
        <f t="shared" si="187"/>
        <v/>
      </c>
      <c r="M316" s="18" t="str">
        <f>IF(R316&lt;&gt;1,"",H316*CONTROL_PANEL!$B$14)</f>
        <v/>
      </c>
      <c r="N316" s="18" t="str">
        <f>IF(R316&lt;&gt;1,"",DATA_INPUT!K316)</f>
        <v/>
      </c>
      <c r="O316" s="18" t="str">
        <f t="shared" si="188"/>
        <v/>
      </c>
      <c r="P316" s="18" t="str">
        <f>IF(R316&lt;&gt;1,"",IF(O316-CONTROL_PANEL!$B$11&lt;0,0,O316-CONTROL_PANEL!$B$11))</f>
        <v/>
      </c>
      <c r="Q316" s="18" t="str">
        <f>IF(R316&lt;&gt;1,"",IF(N316&lt;=0,0,MIN(N316,MAX(0,CONTROL_PANEL!$B$13-O316))))</f>
        <v/>
      </c>
      <c r="R316" s="18"/>
      <c r="T316" s="19">
        <f t="shared" si="216"/>
        <v>2041</v>
      </c>
      <c r="U316" s="19">
        <f t="shared" si="181"/>
        <v>9</v>
      </c>
      <c r="V316" s="18" t="str">
        <f t="shared" si="189"/>
        <v/>
      </c>
      <c r="W316" s="18" t="str">
        <f t="shared" si="211"/>
        <v/>
      </c>
      <c r="X316" s="18" t="str">
        <f>IF(AK315&lt;&gt;1,"",IF(AH315&gt;0,IF(AH315&gt;CONTROL_PANEL!$B$11,CONTROL_PANEL!$B$11,AH315),0))</f>
        <v/>
      </c>
      <c r="Y316" s="18" t="str">
        <f t="shared" si="206"/>
        <v/>
      </c>
      <c r="Z316" s="18" t="str">
        <f>IF(AK316&lt;&gt;1,"",DATA_INPUT!I316)</f>
        <v/>
      </c>
      <c r="AA316" s="18" t="str">
        <f>IF(AK316&lt;&gt;1,"",Z316*CONTROL_PANEL!$B$5)</f>
        <v/>
      </c>
      <c r="AB316" s="18" t="str">
        <f>IF(AK316&lt;&gt;1,"",DATA_INPUT!$C316)</f>
        <v/>
      </c>
      <c r="AC316" s="18" t="str">
        <f t="shared" si="190"/>
        <v/>
      </c>
      <c r="AD316" s="18" t="str">
        <f>IF(AK316&lt;&gt;1,"",DATA_INPUT!$H316)</f>
        <v/>
      </c>
      <c r="AE316" s="18" t="str">
        <f t="shared" si="191"/>
        <v/>
      </c>
      <c r="AF316" s="18" t="str">
        <f>IF(AK316&lt;&gt;1,"",AA316*CONTROL_PANEL!$B$14)</f>
        <v/>
      </c>
      <c r="AG316" s="18" t="str">
        <f>IF(AK316&lt;&gt;1,"",DATA_INPUT!$L316)</f>
        <v/>
      </c>
      <c r="AH316" s="18" t="str">
        <f t="shared" si="192"/>
        <v/>
      </c>
      <c r="AI316" s="18" t="str">
        <f>IF(AK316&lt;&gt;1,"",IF(AH316-CONTROL_PANEL!$B$11&lt;0,0,AH316-CONTROL_PANEL!$B$11))</f>
        <v/>
      </c>
      <c r="AJ316" s="18" t="str">
        <f>IF(AK316&lt;&gt;1,"",IF(AG316&lt;=0,0,MIN(AG316,MAX(0,CONTROL_PANEL!$B$13-AH316))))</f>
        <v/>
      </c>
      <c r="AK316" s="18"/>
      <c r="AM316" s="19">
        <f t="shared" si="217"/>
        <v>2041</v>
      </c>
      <c r="AN316" s="19">
        <f t="shared" si="182"/>
        <v>9</v>
      </c>
      <c r="AO316" s="18" t="str">
        <f t="shared" si="193"/>
        <v/>
      </c>
      <c r="AP316" s="18" t="str">
        <f t="shared" si="212"/>
        <v/>
      </c>
      <c r="AQ316" s="18" t="str">
        <f>IF(BD315&lt;&gt;1,"",IF(BA315&gt;0,IF(BA315&gt;CONTROL_PANEL!$B$11,CONTROL_PANEL!$B$11,BA315),0))</f>
        <v/>
      </c>
      <c r="AR316" s="18" t="str">
        <f t="shared" si="207"/>
        <v/>
      </c>
      <c r="AS316" s="18" t="str">
        <f>IF(BD316&lt;&gt;1,"",DATA_INPUT!$I316)</f>
        <v/>
      </c>
      <c r="AT316" s="18" t="str">
        <f>IF(BD316&lt;&gt;1,"",AS316*CONTROL_PANEL!$B$5)</f>
        <v/>
      </c>
      <c r="AU316" s="18" t="str">
        <f>IF(BD316&lt;&gt;1,"",DATA_INPUT!$C316)</f>
        <v/>
      </c>
      <c r="AV316" s="18" t="str">
        <f t="shared" si="194"/>
        <v/>
      </c>
      <c r="AW316" s="18" t="str">
        <f>IF(BD316&lt;&gt;1,"",DATA_INPUT!$H316)</f>
        <v/>
      </c>
      <c r="AX316" s="18" t="str">
        <f t="shared" si="195"/>
        <v/>
      </c>
      <c r="AY316" s="18" t="str">
        <f>IF(BD316&lt;&gt;1,"",AT316*CONTROL_PANEL!$B$14)</f>
        <v/>
      </c>
      <c r="AZ316" s="18" t="str">
        <f>IF(BD316&lt;&gt;1,"",DATA_INPUT!$M316)</f>
        <v/>
      </c>
      <c r="BA316" s="18" t="str">
        <f t="shared" si="196"/>
        <v/>
      </c>
      <c r="BB316" s="18" t="str">
        <f>IF(BD316&lt;&gt;1,"",IF(BA316-CONTROL_PANEL!$B$11&lt;0,0,BA316-CONTROL_PANEL!$B$11))</f>
        <v/>
      </c>
      <c r="BC316" s="18" t="str">
        <f>IF(BD316&lt;&gt;1,"",IF(AZ316&lt;=0,0,MIN(AZ316,MAX(0,CONTROL_PANEL!$B$13-BA316))))</f>
        <v/>
      </c>
      <c r="BD316" s="18"/>
      <c r="BF316" s="19">
        <f t="shared" si="218"/>
        <v>2041</v>
      </c>
      <c r="BG316" s="19">
        <f t="shared" si="183"/>
        <v>9</v>
      </c>
      <c r="BH316" s="18" t="str">
        <f t="shared" si="197"/>
        <v/>
      </c>
      <c r="BI316" s="18" t="str">
        <f t="shared" si="213"/>
        <v/>
      </c>
      <c r="BJ316" s="18" t="str">
        <f>IF(BW315&lt;&gt;1,"",IF(BT315&gt;0,IF(BT315&gt;CONTROL_PANEL!$B$11,CONTROL_PANEL!$B$11,BT315),0))</f>
        <v/>
      </c>
      <c r="BK316" s="18" t="str">
        <f t="shared" si="208"/>
        <v/>
      </c>
      <c r="BL316" s="18" t="str">
        <f>IF(BW316&lt;&gt;1,"",DATA_INPUT!$I316)</f>
        <v/>
      </c>
      <c r="BM316" s="18" t="str">
        <f>IF(BW316&lt;&gt;1,"",BL316*CONTROL_PANEL!$B$5)</f>
        <v/>
      </c>
      <c r="BN316" s="18" t="str">
        <f>IF(BW316&lt;&gt;1,"",DATA_INPUT!$C316)</f>
        <v/>
      </c>
      <c r="BO316" s="18" t="str">
        <f t="shared" si="198"/>
        <v/>
      </c>
      <c r="BP316" s="18" t="str">
        <f>IF(BW316&lt;&gt;1,"",DATA_INPUT!$H316)</f>
        <v/>
      </c>
      <c r="BQ316" s="18" t="str">
        <f t="shared" si="199"/>
        <v/>
      </c>
      <c r="BR316" s="18" t="str">
        <f>IF(BW316&lt;&gt;1,"",BM316*CONTROL_PANEL!$B$14)</f>
        <v/>
      </c>
      <c r="BS316" s="18" t="str">
        <f>IF(BW316&lt;&gt;1,"",DATA_INPUT!$N316)</f>
        <v/>
      </c>
      <c r="BT316" s="18" t="str">
        <f t="shared" si="200"/>
        <v/>
      </c>
      <c r="BU316" s="18" t="str">
        <f>IF(BW316&lt;&gt;1,"",IF(BT316-CONTROL_PANEL!$B$11&lt;0,0,BT316-CONTROL_PANEL!$B$11))</f>
        <v/>
      </c>
      <c r="BV316" s="18" t="str">
        <f>IF(BW316&lt;&gt;1,"",IF(BS316&lt;=0,0,MIN(BS316,MAX(0,CONTROL_PANEL!$B$13-BT316))))</f>
        <v/>
      </c>
      <c r="BW316" s="18"/>
      <c r="BY316" s="19">
        <f t="shared" si="219"/>
        <v>2041</v>
      </c>
      <c r="BZ316" s="19">
        <f t="shared" si="184"/>
        <v>9</v>
      </c>
      <c r="CA316" s="18" t="str">
        <f t="shared" si="201"/>
        <v/>
      </c>
      <c r="CB316" s="18" t="str">
        <f t="shared" si="214"/>
        <v/>
      </c>
      <c r="CC316" s="18" t="str">
        <f>IF(CP315&lt;&gt;1,"",IF(CM315&gt;0,IF(CM315&gt;CONTROL_PANEL!$B$11,CONTROL_PANEL!$B$11,CM315),0))</f>
        <v/>
      </c>
      <c r="CD316" s="18" t="str">
        <f t="shared" si="209"/>
        <v/>
      </c>
      <c r="CE316" s="18" t="str">
        <f>IF(CP316&lt;&gt;1,"",DATA_INPUT!$I316)</f>
        <v/>
      </c>
      <c r="CF316" s="18" t="str">
        <f>IF(CP316&lt;&gt;1,"",CE316*CONTROL_PANEL!$B$5)</f>
        <v/>
      </c>
      <c r="CG316" s="18" t="str">
        <f>IF(CP316&lt;&gt;1,"",DATA_INPUT!$C316)</f>
        <v/>
      </c>
      <c r="CH316" s="18" t="str">
        <f t="shared" si="202"/>
        <v/>
      </c>
      <c r="CI316" s="18" t="str">
        <f>IF(CP316&lt;&gt;1,"",DATA_INPUT!$H316)</f>
        <v/>
      </c>
      <c r="CJ316" s="18" t="str">
        <f t="shared" si="203"/>
        <v/>
      </c>
      <c r="CK316" s="18" t="str">
        <f>IF(CP316&lt;&gt;1,"",CF316*CONTROL_PANEL!$B$14)</f>
        <v/>
      </c>
      <c r="CL316" s="18" t="str">
        <f>IF(CP316&lt;&gt;1,"",DATA_INPUT!$O316)</f>
        <v/>
      </c>
      <c r="CM316" s="18" t="str">
        <f t="shared" si="204"/>
        <v/>
      </c>
      <c r="CN316" s="18" t="str">
        <f>IF(CP316&lt;&gt;1,"",IF(CM316-CONTROL_PANEL!$B$11&lt;0,0,CM316-CONTROL_PANEL!$B$11))</f>
        <v/>
      </c>
      <c r="CO316" s="18" t="str">
        <f>IF(CP316&lt;&gt;1,"",IF(CL316&lt;=0,0,MIN(CL316,MAX(0,CONTROL_PANEL!$B$13-CM316))))</f>
        <v/>
      </c>
      <c r="CP316" s="18"/>
    </row>
    <row r="317" spans="1:94" x14ac:dyDescent="0.25">
      <c r="A317" s="19">
        <f t="shared" si="215"/>
        <v>2041</v>
      </c>
      <c r="B317" s="19">
        <f t="shared" si="180"/>
        <v>10</v>
      </c>
      <c r="C317" s="18" t="str">
        <f t="shared" si="185"/>
        <v/>
      </c>
      <c r="D317" s="18" t="str">
        <f t="shared" si="210"/>
        <v/>
      </c>
      <c r="E317" s="18" t="str">
        <f>IF(R316&lt;&gt;1,"",IF(O316&gt;0,IF(O316&gt;CONTROL_PANEL!$B$11,CONTROL_PANEL!$B$11,O316),0))</f>
        <v/>
      </c>
      <c r="F317" s="18" t="str">
        <f t="shared" si="205"/>
        <v/>
      </c>
      <c r="G317" s="18" t="str">
        <f>IF(R317&lt;&gt;1,"",DATA_INPUT!I317)</f>
        <v/>
      </c>
      <c r="H317" s="18" t="str">
        <f>IF(R317&lt;&gt;1,"",G317*CONTROL_PANEL!$B$5)</f>
        <v/>
      </c>
      <c r="I317" s="18" t="str">
        <f>IF(R317&lt;&gt;1,"",DATA_INPUT!C317)</f>
        <v/>
      </c>
      <c r="J317" s="18" t="str">
        <f t="shared" si="186"/>
        <v/>
      </c>
      <c r="K317" s="18" t="str">
        <f>IF(R317&lt;&gt;1,"",DATA_INPUT!H317)</f>
        <v/>
      </c>
      <c r="L317" s="18" t="str">
        <f t="shared" si="187"/>
        <v/>
      </c>
      <c r="M317" s="18" t="str">
        <f>IF(R317&lt;&gt;1,"",H317*CONTROL_PANEL!$B$14)</f>
        <v/>
      </c>
      <c r="N317" s="18" t="str">
        <f>IF(R317&lt;&gt;1,"",DATA_INPUT!K317)</f>
        <v/>
      </c>
      <c r="O317" s="18" t="str">
        <f t="shared" si="188"/>
        <v/>
      </c>
      <c r="P317" s="18" t="str">
        <f>IF(R317&lt;&gt;1,"",IF(O317-CONTROL_PANEL!$B$11&lt;0,0,O317-CONTROL_PANEL!$B$11))</f>
        <v/>
      </c>
      <c r="Q317" s="18" t="str">
        <f>IF(R317&lt;&gt;1,"",IF(N317&lt;=0,0,MIN(N317,MAX(0,CONTROL_PANEL!$B$13-O317))))</f>
        <v/>
      </c>
      <c r="R317" s="18"/>
      <c r="T317" s="19">
        <f t="shared" si="216"/>
        <v>2041</v>
      </c>
      <c r="U317" s="19">
        <f t="shared" si="181"/>
        <v>10</v>
      </c>
      <c r="V317" s="18" t="str">
        <f t="shared" si="189"/>
        <v/>
      </c>
      <c r="W317" s="18" t="str">
        <f t="shared" si="211"/>
        <v/>
      </c>
      <c r="X317" s="18" t="str">
        <f>IF(AK316&lt;&gt;1,"",IF(AH316&gt;0,IF(AH316&gt;CONTROL_PANEL!$B$11,CONTROL_PANEL!$B$11,AH316),0))</f>
        <v/>
      </c>
      <c r="Y317" s="18" t="str">
        <f t="shared" si="206"/>
        <v/>
      </c>
      <c r="Z317" s="18" t="str">
        <f>IF(AK317&lt;&gt;1,"",DATA_INPUT!I317)</f>
        <v/>
      </c>
      <c r="AA317" s="18" t="str">
        <f>IF(AK317&lt;&gt;1,"",Z317*CONTROL_PANEL!$B$5)</f>
        <v/>
      </c>
      <c r="AB317" s="18" t="str">
        <f>IF(AK317&lt;&gt;1,"",DATA_INPUT!$C317)</f>
        <v/>
      </c>
      <c r="AC317" s="18" t="str">
        <f t="shared" si="190"/>
        <v/>
      </c>
      <c r="AD317" s="18" t="str">
        <f>IF(AK317&lt;&gt;1,"",DATA_INPUT!$H317)</f>
        <v/>
      </c>
      <c r="AE317" s="18" t="str">
        <f t="shared" si="191"/>
        <v/>
      </c>
      <c r="AF317" s="18" t="str">
        <f>IF(AK317&lt;&gt;1,"",AA317*CONTROL_PANEL!$B$14)</f>
        <v/>
      </c>
      <c r="AG317" s="18" t="str">
        <f>IF(AK317&lt;&gt;1,"",DATA_INPUT!$L317)</f>
        <v/>
      </c>
      <c r="AH317" s="18" t="str">
        <f t="shared" si="192"/>
        <v/>
      </c>
      <c r="AI317" s="18" t="str">
        <f>IF(AK317&lt;&gt;1,"",IF(AH317-CONTROL_PANEL!$B$11&lt;0,0,AH317-CONTROL_PANEL!$B$11))</f>
        <v/>
      </c>
      <c r="AJ317" s="18" t="str">
        <f>IF(AK317&lt;&gt;1,"",IF(AG317&lt;=0,0,MIN(AG317,MAX(0,CONTROL_PANEL!$B$13-AH317))))</f>
        <v/>
      </c>
      <c r="AK317" s="18"/>
      <c r="AM317" s="19">
        <f t="shared" si="217"/>
        <v>2041</v>
      </c>
      <c r="AN317" s="19">
        <f t="shared" si="182"/>
        <v>10</v>
      </c>
      <c r="AO317" s="18" t="str">
        <f t="shared" si="193"/>
        <v/>
      </c>
      <c r="AP317" s="18" t="str">
        <f t="shared" si="212"/>
        <v/>
      </c>
      <c r="AQ317" s="18" t="str">
        <f>IF(BD316&lt;&gt;1,"",IF(BA316&gt;0,IF(BA316&gt;CONTROL_PANEL!$B$11,CONTROL_PANEL!$B$11,BA316),0))</f>
        <v/>
      </c>
      <c r="AR317" s="18" t="str">
        <f t="shared" si="207"/>
        <v/>
      </c>
      <c r="AS317" s="18" t="str">
        <f>IF(BD317&lt;&gt;1,"",DATA_INPUT!$I317)</f>
        <v/>
      </c>
      <c r="AT317" s="18" t="str">
        <f>IF(BD317&lt;&gt;1,"",AS317*CONTROL_PANEL!$B$5)</f>
        <v/>
      </c>
      <c r="AU317" s="18" t="str">
        <f>IF(BD317&lt;&gt;1,"",DATA_INPUT!$C317)</f>
        <v/>
      </c>
      <c r="AV317" s="18" t="str">
        <f t="shared" si="194"/>
        <v/>
      </c>
      <c r="AW317" s="18" t="str">
        <f>IF(BD317&lt;&gt;1,"",DATA_INPUT!$H317)</f>
        <v/>
      </c>
      <c r="AX317" s="18" t="str">
        <f t="shared" si="195"/>
        <v/>
      </c>
      <c r="AY317" s="18" t="str">
        <f>IF(BD317&lt;&gt;1,"",AT317*CONTROL_PANEL!$B$14)</f>
        <v/>
      </c>
      <c r="AZ317" s="18" t="str">
        <f>IF(BD317&lt;&gt;1,"",DATA_INPUT!$M317)</f>
        <v/>
      </c>
      <c r="BA317" s="18" t="str">
        <f t="shared" si="196"/>
        <v/>
      </c>
      <c r="BB317" s="18" t="str">
        <f>IF(BD317&lt;&gt;1,"",IF(BA317-CONTROL_PANEL!$B$11&lt;0,0,BA317-CONTROL_PANEL!$B$11))</f>
        <v/>
      </c>
      <c r="BC317" s="18" t="str">
        <f>IF(BD317&lt;&gt;1,"",IF(AZ317&lt;=0,0,MIN(AZ317,MAX(0,CONTROL_PANEL!$B$13-BA317))))</f>
        <v/>
      </c>
      <c r="BD317" s="18"/>
      <c r="BF317" s="19">
        <f t="shared" si="218"/>
        <v>2041</v>
      </c>
      <c r="BG317" s="19">
        <f t="shared" si="183"/>
        <v>10</v>
      </c>
      <c r="BH317" s="18" t="str">
        <f t="shared" si="197"/>
        <v/>
      </c>
      <c r="BI317" s="18" t="str">
        <f t="shared" si="213"/>
        <v/>
      </c>
      <c r="BJ317" s="18" t="str">
        <f>IF(BW316&lt;&gt;1,"",IF(BT316&gt;0,IF(BT316&gt;CONTROL_PANEL!$B$11,CONTROL_PANEL!$B$11,BT316),0))</f>
        <v/>
      </c>
      <c r="BK317" s="18" t="str">
        <f t="shared" si="208"/>
        <v/>
      </c>
      <c r="BL317" s="18" t="str">
        <f>IF(BW317&lt;&gt;1,"",DATA_INPUT!$I317)</f>
        <v/>
      </c>
      <c r="BM317" s="18" t="str">
        <f>IF(BW317&lt;&gt;1,"",BL317*CONTROL_PANEL!$B$5)</f>
        <v/>
      </c>
      <c r="BN317" s="18" t="str">
        <f>IF(BW317&lt;&gt;1,"",DATA_INPUT!$C317)</f>
        <v/>
      </c>
      <c r="BO317" s="18" t="str">
        <f t="shared" si="198"/>
        <v/>
      </c>
      <c r="BP317" s="18" t="str">
        <f>IF(BW317&lt;&gt;1,"",DATA_INPUT!$H317)</f>
        <v/>
      </c>
      <c r="BQ317" s="18" t="str">
        <f t="shared" si="199"/>
        <v/>
      </c>
      <c r="BR317" s="18" t="str">
        <f>IF(BW317&lt;&gt;1,"",BM317*CONTROL_PANEL!$B$14)</f>
        <v/>
      </c>
      <c r="BS317" s="18" t="str">
        <f>IF(BW317&lt;&gt;1,"",DATA_INPUT!$N317)</f>
        <v/>
      </c>
      <c r="BT317" s="18" t="str">
        <f t="shared" si="200"/>
        <v/>
      </c>
      <c r="BU317" s="18" t="str">
        <f>IF(BW317&lt;&gt;1,"",IF(BT317-CONTROL_PANEL!$B$11&lt;0,0,BT317-CONTROL_PANEL!$B$11))</f>
        <v/>
      </c>
      <c r="BV317" s="18" t="str">
        <f>IF(BW317&lt;&gt;1,"",IF(BS317&lt;=0,0,MIN(BS317,MAX(0,CONTROL_PANEL!$B$13-BT317))))</f>
        <v/>
      </c>
      <c r="BW317" s="18"/>
      <c r="BY317" s="19">
        <f t="shared" si="219"/>
        <v>2041</v>
      </c>
      <c r="BZ317" s="19">
        <f t="shared" si="184"/>
        <v>10</v>
      </c>
      <c r="CA317" s="18" t="str">
        <f t="shared" si="201"/>
        <v/>
      </c>
      <c r="CB317" s="18" t="str">
        <f t="shared" si="214"/>
        <v/>
      </c>
      <c r="CC317" s="18" t="str">
        <f>IF(CP316&lt;&gt;1,"",IF(CM316&gt;0,IF(CM316&gt;CONTROL_PANEL!$B$11,CONTROL_PANEL!$B$11,CM316),0))</f>
        <v/>
      </c>
      <c r="CD317" s="18" t="str">
        <f t="shared" si="209"/>
        <v/>
      </c>
      <c r="CE317" s="18" t="str">
        <f>IF(CP317&lt;&gt;1,"",DATA_INPUT!$I317)</f>
        <v/>
      </c>
      <c r="CF317" s="18" t="str">
        <f>IF(CP317&lt;&gt;1,"",CE317*CONTROL_PANEL!$B$5)</f>
        <v/>
      </c>
      <c r="CG317" s="18" t="str">
        <f>IF(CP317&lt;&gt;1,"",DATA_INPUT!$C317)</f>
        <v/>
      </c>
      <c r="CH317" s="18" t="str">
        <f t="shared" si="202"/>
        <v/>
      </c>
      <c r="CI317" s="18" t="str">
        <f>IF(CP317&lt;&gt;1,"",DATA_INPUT!$H317)</f>
        <v/>
      </c>
      <c r="CJ317" s="18" t="str">
        <f t="shared" si="203"/>
        <v/>
      </c>
      <c r="CK317" s="18" t="str">
        <f>IF(CP317&lt;&gt;1,"",CF317*CONTROL_PANEL!$B$14)</f>
        <v/>
      </c>
      <c r="CL317" s="18" t="str">
        <f>IF(CP317&lt;&gt;1,"",DATA_INPUT!$O317)</f>
        <v/>
      </c>
      <c r="CM317" s="18" t="str">
        <f t="shared" si="204"/>
        <v/>
      </c>
      <c r="CN317" s="18" t="str">
        <f>IF(CP317&lt;&gt;1,"",IF(CM317-CONTROL_PANEL!$B$11&lt;0,0,CM317-CONTROL_PANEL!$B$11))</f>
        <v/>
      </c>
      <c r="CO317" s="18" t="str">
        <f>IF(CP317&lt;&gt;1,"",IF(CL317&lt;=0,0,MIN(CL317,MAX(0,CONTROL_PANEL!$B$13-CM317))))</f>
        <v/>
      </c>
      <c r="CP317" s="18"/>
    </row>
    <row r="318" spans="1:94" x14ac:dyDescent="0.25">
      <c r="A318" s="19">
        <f t="shared" si="215"/>
        <v>2041</v>
      </c>
      <c r="B318" s="19">
        <f t="shared" ref="B318:B364" si="220">B306</f>
        <v>11</v>
      </c>
      <c r="C318" s="18" t="str">
        <f t="shared" si="185"/>
        <v/>
      </c>
      <c r="D318" s="18" t="str">
        <f t="shared" si="210"/>
        <v/>
      </c>
      <c r="E318" s="18" t="str">
        <f>IF(R317&lt;&gt;1,"",IF(O317&gt;0,IF(O317&gt;CONTROL_PANEL!$B$11,CONTROL_PANEL!$B$11,O317),0))</f>
        <v/>
      </c>
      <c r="F318" s="18" t="str">
        <f t="shared" si="205"/>
        <v/>
      </c>
      <c r="G318" s="18" t="str">
        <f>IF(R318&lt;&gt;1,"",DATA_INPUT!I318)</f>
        <v/>
      </c>
      <c r="H318" s="18" t="str">
        <f>IF(R318&lt;&gt;1,"",G318*CONTROL_PANEL!$B$5)</f>
        <v/>
      </c>
      <c r="I318" s="18" t="str">
        <f>IF(R318&lt;&gt;1,"",DATA_INPUT!C318)</f>
        <v/>
      </c>
      <c r="J318" s="18" t="str">
        <f t="shared" si="186"/>
        <v/>
      </c>
      <c r="K318" s="18" t="str">
        <f>IF(R318&lt;&gt;1,"",DATA_INPUT!H318)</f>
        <v/>
      </c>
      <c r="L318" s="18" t="str">
        <f t="shared" si="187"/>
        <v/>
      </c>
      <c r="M318" s="18" t="str">
        <f>IF(R318&lt;&gt;1,"",H318*CONTROL_PANEL!$B$14)</f>
        <v/>
      </c>
      <c r="N318" s="18" t="str">
        <f>IF(R318&lt;&gt;1,"",DATA_INPUT!K318)</f>
        <v/>
      </c>
      <c r="O318" s="18" t="str">
        <f t="shared" si="188"/>
        <v/>
      </c>
      <c r="P318" s="18" t="str">
        <f>IF(R318&lt;&gt;1,"",IF(O318-CONTROL_PANEL!$B$11&lt;0,0,O318-CONTROL_PANEL!$B$11))</f>
        <v/>
      </c>
      <c r="Q318" s="18" t="str">
        <f>IF(R318&lt;&gt;1,"",IF(N318&lt;=0,0,MIN(N318,MAX(0,CONTROL_PANEL!$B$13-O318))))</f>
        <v/>
      </c>
      <c r="R318" s="18"/>
      <c r="T318" s="19">
        <f t="shared" si="216"/>
        <v>2041</v>
      </c>
      <c r="U318" s="19">
        <f t="shared" ref="U318:U364" si="221">U306</f>
        <v>11</v>
      </c>
      <c r="V318" s="18" t="str">
        <f t="shared" si="189"/>
        <v/>
      </c>
      <c r="W318" s="18" t="str">
        <f t="shared" si="211"/>
        <v/>
      </c>
      <c r="X318" s="18" t="str">
        <f>IF(AK317&lt;&gt;1,"",IF(AH317&gt;0,IF(AH317&gt;CONTROL_PANEL!$B$11,CONTROL_PANEL!$B$11,AH317),0))</f>
        <v/>
      </c>
      <c r="Y318" s="18" t="str">
        <f t="shared" si="206"/>
        <v/>
      </c>
      <c r="Z318" s="18" t="str">
        <f>IF(AK318&lt;&gt;1,"",DATA_INPUT!I318)</f>
        <v/>
      </c>
      <c r="AA318" s="18" t="str">
        <f>IF(AK318&lt;&gt;1,"",Z318*CONTROL_PANEL!$B$5)</f>
        <v/>
      </c>
      <c r="AB318" s="18" t="str">
        <f>IF(AK318&lt;&gt;1,"",DATA_INPUT!$C318)</f>
        <v/>
      </c>
      <c r="AC318" s="18" t="str">
        <f t="shared" si="190"/>
        <v/>
      </c>
      <c r="AD318" s="18" t="str">
        <f>IF(AK318&lt;&gt;1,"",DATA_INPUT!$H318)</f>
        <v/>
      </c>
      <c r="AE318" s="18" t="str">
        <f t="shared" si="191"/>
        <v/>
      </c>
      <c r="AF318" s="18" t="str">
        <f>IF(AK318&lt;&gt;1,"",AA318*CONTROL_PANEL!$B$14)</f>
        <v/>
      </c>
      <c r="AG318" s="18" t="str">
        <f>IF(AK318&lt;&gt;1,"",DATA_INPUT!$L318)</f>
        <v/>
      </c>
      <c r="AH318" s="18" t="str">
        <f t="shared" si="192"/>
        <v/>
      </c>
      <c r="AI318" s="18" t="str">
        <f>IF(AK318&lt;&gt;1,"",IF(AH318-CONTROL_PANEL!$B$11&lt;0,0,AH318-CONTROL_PANEL!$B$11))</f>
        <v/>
      </c>
      <c r="AJ318" s="18" t="str">
        <f>IF(AK318&lt;&gt;1,"",IF(AG318&lt;=0,0,MIN(AG318,MAX(0,CONTROL_PANEL!$B$13-AH318))))</f>
        <v/>
      </c>
      <c r="AK318" s="18"/>
      <c r="AM318" s="19">
        <f t="shared" si="217"/>
        <v>2041</v>
      </c>
      <c r="AN318" s="19">
        <f t="shared" ref="AN318:AN364" si="222">AN306</f>
        <v>11</v>
      </c>
      <c r="AO318" s="18" t="str">
        <f t="shared" si="193"/>
        <v/>
      </c>
      <c r="AP318" s="18" t="str">
        <f t="shared" si="212"/>
        <v/>
      </c>
      <c r="AQ318" s="18" t="str">
        <f>IF(BD317&lt;&gt;1,"",IF(BA317&gt;0,IF(BA317&gt;CONTROL_PANEL!$B$11,CONTROL_PANEL!$B$11,BA317),0))</f>
        <v/>
      </c>
      <c r="AR318" s="18" t="str">
        <f t="shared" si="207"/>
        <v/>
      </c>
      <c r="AS318" s="18" t="str">
        <f>IF(BD318&lt;&gt;1,"",DATA_INPUT!$I318)</f>
        <v/>
      </c>
      <c r="AT318" s="18" t="str">
        <f>IF(BD318&lt;&gt;1,"",AS318*CONTROL_PANEL!$B$5)</f>
        <v/>
      </c>
      <c r="AU318" s="18" t="str">
        <f>IF(BD318&lt;&gt;1,"",DATA_INPUT!$C318)</f>
        <v/>
      </c>
      <c r="AV318" s="18" t="str">
        <f t="shared" si="194"/>
        <v/>
      </c>
      <c r="AW318" s="18" t="str">
        <f>IF(BD318&lt;&gt;1,"",DATA_INPUT!$H318)</f>
        <v/>
      </c>
      <c r="AX318" s="18" t="str">
        <f t="shared" si="195"/>
        <v/>
      </c>
      <c r="AY318" s="18" t="str">
        <f>IF(BD318&lt;&gt;1,"",AT318*CONTROL_PANEL!$B$14)</f>
        <v/>
      </c>
      <c r="AZ318" s="18" t="str">
        <f>IF(BD318&lt;&gt;1,"",DATA_INPUT!$M318)</f>
        <v/>
      </c>
      <c r="BA318" s="18" t="str">
        <f t="shared" si="196"/>
        <v/>
      </c>
      <c r="BB318" s="18" t="str">
        <f>IF(BD318&lt;&gt;1,"",IF(BA318-CONTROL_PANEL!$B$11&lt;0,0,BA318-CONTROL_PANEL!$B$11))</f>
        <v/>
      </c>
      <c r="BC318" s="18" t="str">
        <f>IF(BD318&lt;&gt;1,"",IF(AZ318&lt;=0,0,MIN(AZ318,MAX(0,CONTROL_PANEL!$B$13-BA318))))</f>
        <v/>
      </c>
      <c r="BD318" s="18"/>
      <c r="BF318" s="19">
        <f t="shared" si="218"/>
        <v>2041</v>
      </c>
      <c r="BG318" s="19">
        <f t="shared" ref="BG318:BG364" si="223">BG306</f>
        <v>11</v>
      </c>
      <c r="BH318" s="18" t="str">
        <f t="shared" si="197"/>
        <v/>
      </c>
      <c r="BI318" s="18" t="str">
        <f t="shared" si="213"/>
        <v/>
      </c>
      <c r="BJ318" s="18" t="str">
        <f>IF(BW317&lt;&gt;1,"",IF(BT317&gt;0,IF(BT317&gt;CONTROL_PANEL!$B$11,CONTROL_PANEL!$B$11,BT317),0))</f>
        <v/>
      </c>
      <c r="BK318" s="18" t="str">
        <f t="shared" si="208"/>
        <v/>
      </c>
      <c r="BL318" s="18" t="str">
        <f>IF(BW318&lt;&gt;1,"",DATA_INPUT!$I318)</f>
        <v/>
      </c>
      <c r="BM318" s="18" t="str">
        <f>IF(BW318&lt;&gt;1,"",BL318*CONTROL_PANEL!$B$5)</f>
        <v/>
      </c>
      <c r="BN318" s="18" t="str">
        <f>IF(BW318&lt;&gt;1,"",DATA_INPUT!$C318)</f>
        <v/>
      </c>
      <c r="BO318" s="18" t="str">
        <f t="shared" si="198"/>
        <v/>
      </c>
      <c r="BP318" s="18" t="str">
        <f>IF(BW318&lt;&gt;1,"",DATA_INPUT!$H318)</f>
        <v/>
      </c>
      <c r="BQ318" s="18" t="str">
        <f t="shared" si="199"/>
        <v/>
      </c>
      <c r="BR318" s="18" t="str">
        <f>IF(BW318&lt;&gt;1,"",BM318*CONTROL_PANEL!$B$14)</f>
        <v/>
      </c>
      <c r="BS318" s="18" t="str">
        <f>IF(BW318&lt;&gt;1,"",DATA_INPUT!$N318)</f>
        <v/>
      </c>
      <c r="BT318" s="18" t="str">
        <f t="shared" si="200"/>
        <v/>
      </c>
      <c r="BU318" s="18" t="str">
        <f>IF(BW318&lt;&gt;1,"",IF(BT318-CONTROL_PANEL!$B$11&lt;0,0,BT318-CONTROL_PANEL!$B$11))</f>
        <v/>
      </c>
      <c r="BV318" s="18" t="str">
        <f>IF(BW318&lt;&gt;1,"",IF(BS318&lt;=0,0,MIN(BS318,MAX(0,CONTROL_PANEL!$B$13-BT318))))</f>
        <v/>
      </c>
      <c r="BW318" s="18"/>
      <c r="BY318" s="19">
        <f t="shared" si="219"/>
        <v>2041</v>
      </c>
      <c r="BZ318" s="19">
        <f t="shared" ref="BZ318:BZ364" si="224">BZ306</f>
        <v>11</v>
      </c>
      <c r="CA318" s="18" t="str">
        <f t="shared" si="201"/>
        <v/>
      </c>
      <c r="CB318" s="18" t="str">
        <f t="shared" si="214"/>
        <v/>
      </c>
      <c r="CC318" s="18" t="str">
        <f>IF(CP317&lt;&gt;1,"",IF(CM317&gt;0,IF(CM317&gt;CONTROL_PANEL!$B$11,CONTROL_PANEL!$B$11,CM317),0))</f>
        <v/>
      </c>
      <c r="CD318" s="18" t="str">
        <f t="shared" si="209"/>
        <v/>
      </c>
      <c r="CE318" s="18" t="str">
        <f>IF(CP318&lt;&gt;1,"",DATA_INPUT!$I318)</f>
        <v/>
      </c>
      <c r="CF318" s="18" t="str">
        <f>IF(CP318&lt;&gt;1,"",CE318*CONTROL_PANEL!$B$5)</f>
        <v/>
      </c>
      <c r="CG318" s="18" t="str">
        <f>IF(CP318&lt;&gt;1,"",DATA_INPUT!$C318)</f>
        <v/>
      </c>
      <c r="CH318" s="18" t="str">
        <f t="shared" si="202"/>
        <v/>
      </c>
      <c r="CI318" s="18" t="str">
        <f>IF(CP318&lt;&gt;1,"",DATA_INPUT!$H318)</f>
        <v/>
      </c>
      <c r="CJ318" s="18" t="str">
        <f t="shared" si="203"/>
        <v/>
      </c>
      <c r="CK318" s="18" t="str">
        <f>IF(CP318&lt;&gt;1,"",CF318*CONTROL_PANEL!$B$14)</f>
        <v/>
      </c>
      <c r="CL318" s="18" t="str">
        <f>IF(CP318&lt;&gt;1,"",DATA_INPUT!$O318)</f>
        <v/>
      </c>
      <c r="CM318" s="18" t="str">
        <f t="shared" si="204"/>
        <v/>
      </c>
      <c r="CN318" s="18" t="str">
        <f>IF(CP318&lt;&gt;1,"",IF(CM318-CONTROL_PANEL!$B$11&lt;0,0,CM318-CONTROL_PANEL!$B$11))</f>
        <v/>
      </c>
      <c r="CO318" s="18" t="str">
        <f>IF(CP318&lt;&gt;1,"",IF(CL318&lt;=0,0,MIN(CL318,MAX(0,CONTROL_PANEL!$B$13-CM318))))</f>
        <v/>
      </c>
      <c r="CP318" s="18"/>
    </row>
    <row r="319" spans="1:94" x14ac:dyDescent="0.25">
      <c r="A319" s="19">
        <f t="shared" si="215"/>
        <v>2041</v>
      </c>
      <c r="B319" s="19">
        <f t="shared" si="220"/>
        <v>12</v>
      </c>
      <c r="C319" s="18" t="str">
        <f t="shared" si="185"/>
        <v/>
      </c>
      <c r="D319" s="18" t="str">
        <f t="shared" si="210"/>
        <v/>
      </c>
      <c r="E319" s="18" t="str">
        <f>IF(R318&lt;&gt;1,"",IF(O318&gt;0,IF(O318&gt;CONTROL_PANEL!$B$11,CONTROL_PANEL!$B$11,O318),0))</f>
        <v/>
      </c>
      <c r="F319" s="18" t="str">
        <f t="shared" si="205"/>
        <v/>
      </c>
      <c r="G319" s="18" t="str">
        <f>IF(R319&lt;&gt;1,"",DATA_INPUT!I319)</f>
        <v/>
      </c>
      <c r="H319" s="18" t="str">
        <f>IF(R319&lt;&gt;1,"",G319*CONTROL_PANEL!$B$5)</f>
        <v/>
      </c>
      <c r="I319" s="18" t="str">
        <f>IF(R319&lt;&gt;1,"",DATA_INPUT!C319)</f>
        <v/>
      </c>
      <c r="J319" s="18" t="str">
        <f t="shared" si="186"/>
        <v/>
      </c>
      <c r="K319" s="18" t="str">
        <f>IF(R319&lt;&gt;1,"",DATA_INPUT!H319)</f>
        <v/>
      </c>
      <c r="L319" s="18" t="str">
        <f t="shared" si="187"/>
        <v/>
      </c>
      <c r="M319" s="18" t="str">
        <f>IF(R319&lt;&gt;1,"",H319*CONTROL_PANEL!$B$14)</f>
        <v/>
      </c>
      <c r="N319" s="18" t="str">
        <f>IF(R319&lt;&gt;1,"",DATA_INPUT!K319)</f>
        <v/>
      </c>
      <c r="O319" s="18" t="str">
        <f t="shared" si="188"/>
        <v/>
      </c>
      <c r="P319" s="18" t="str">
        <f>IF(R319&lt;&gt;1,"",IF(O319-CONTROL_PANEL!$B$11&lt;0,0,O319-CONTROL_PANEL!$B$11))</f>
        <v/>
      </c>
      <c r="Q319" s="18" t="str">
        <f>IF(R319&lt;&gt;1,"",IF(N319&lt;=0,0,MIN(N319,MAX(0,CONTROL_PANEL!$B$13-O319))))</f>
        <v/>
      </c>
      <c r="R319" s="18"/>
      <c r="T319" s="19">
        <f t="shared" si="216"/>
        <v>2041</v>
      </c>
      <c r="U319" s="19">
        <f t="shared" si="221"/>
        <v>12</v>
      </c>
      <c r="V319" s="18" t="str">
        <f t="shared" si="189"/>
        <v/>
      </c>
      <c r="W319" s="18" t="str">
        <f t="shared" si="211"/>
        <v/>
      </c>
      <c r="X319" s="18" t="str">
        <f>IF(AK318&lt;&gt;1,"",IF(AH318&gt;0,IF(AH318&gt;CONTROL_PANEL!$B$11,CONTROL_PANEL!$B$11,AH318),0))</f>
        <v/>
      </c>
      <c r="Y319" s="18" t="str">
        <f t="shared" si="206"/>
        <v/>
      </c>
      <c r="Z319" s="18" t="str">
        <f>IF(AK319&lt;&gt;1,"",DATA_INPUT!I319)</f>
        <v/>
      </c>
      <c r="AA319" s="18" t="str">
        <f>IF(AK319&lt;&gt;1,"",Z319*CONTROL_PANEL!$B$5)</f>
        <v/>
      </c>
      <c r="AB319" s="18" t="str">
        <f>IF(AK319&lt;&gt;1,"",DATA_INPUT!$C319)</f>
        <v/>
      </c>
      <c r="AC319" s="18" t="str">
        <f t="shared" si="190"/>
        <v/>
      </c>
      <c r="AD319" s="18" t="str">
        <f>IF(AK319&lt;&gt;1,"",DATA_INPUT!$H319)</f>
        <v/>
      </c>
      <c r="AE319" s="18" t="str">
        <f t="shared" si="191"/>
        <v/>
      </c>
      <c r="AF319" s="18" t="str">
        <f>IF(AK319&lt;&gt;1,"",AA319*CONTROL_PANEL!$B$14)</f>
        <v/>
      </c>
      <c r="AG319" s="18" t="str">
        <f>IF(AK319&lt;&gt;1,"",DATA_INPUT!$L319)</f>
        <v/>
      </c>
      <c r="AH319" s="18" t="str">
        <f t="shared" si="192"/>
        <v/>
      </c>
      <c r="AI319" s="18" t="str">
        <f>IF(AK319&lt;&gt;1,"",IF(AH319-CONTROL_PANEL!$B$11&lt;0,0,AH319-CONTROL_PANEL!$B$11))</f>
        <v/>
      </c>
      <c r="AJ319" s="18" t="str">
        <f>IF(AK319&lt;&gt;1,"",IF(AG319&lt;=0,0,MIN(AG319,MAX(0,CONTROL_PANEL!$B$13-AH319))))</f>
        <v/>
      </c>
      <c r="AK319" s="18"/>
      <c r="AM319" s="19">
        <f t="shared" si="217"/>
        <v>2041</v>
      </c>
      <c r="AN319" s="19">
        <f t="shared" si="222"/>
        <v>12</v>
      </c>
      <c r="AO319" s="18" t="str">
        <f t="shared" si="193"/>
        <v/>
      </c>
      <c r="AP319" s="18" t="str">
        <f t="shared" si="212"/>
        <v/>
      </c>
      <c r="AQ319" s="18" t="str">
        <f>IF(BD318&lt;&gt;1,"",IF(BA318&gt;0,IF(BA318&gt;CONTROL_PANEL!$B$11,CONTROL_PANEL!$B$11,BA318),0))</f>
        <v/>
      </c>
      <c r="AR319" s="18" t="str">
        <f t="shared" si="207"/>
        <v/>
      </c>
      <c r="AS319" s="18" t="str">
        <f>IF(BD319&lt;&gt;1,"",DATA_INPUT!$I319)</f>
        <v/>
      </c>
      <c r="AT319" s="18" t="str">
        <f>IF(BD319&lt;&gt;1,"",AS319*CONTROL_PANEL!$B$5)</f>
        <v/>
      </c>
      <c r="AU319" s="18" t="str">
        <f>IF(BD319&lt;&gt;1,"",DATA_INPUT!$C319)</f>
        <v/>
      </c>
      <c r="AV319" s="18" t="str">
        <f t="shared" si="194"/>
        <v/>
      </c>
      <c r="AW319" s="18" t="str">
        <f>IF(BD319&lt;&gt;1,"",DATA_INPUT!$H319)</f>
        <v/>
      </c>
      <c r="AX319" s="18" t="str">
        <f t="shared" si="195"/>
        <v/>
      </c>
      <c r="AY319" s="18" t="str">
        <f>IF(BD319&lt;&gt;1,"",AT319*CONTROL_PANEL!$B$14)</f>
        <v/>
      </c>
      <c r="AZ319" s="18" t="str">
        <f>IF(BD319&lt;&gt;1,"",DATA_INPUT!$M319)</f>
        <v/>
      </c>
      <c r="BA319" s="18" t="str">
        <f t="shared" si="196"/>
        <v/>
      </c>
      <c r="BB319" s="18" t="str">
        <f>IF(BD319&lt;&gt;1,"",IF(BA319-CONTROL_PANEL!$B$11&lt;0,0,BA319-CONTROL_PANEL!$B$11))</f>
        <v/>
      </c>
      <c r="BC319" s="18" t="str">
        <f>IF(BD319&lt;&gt;1,"",IF(AZ319&lt;=0,0,MIN(AZ319,MAX(0,CONTROL_PANEL!$B$13-BA319))))</f>
        <v/>
      </c>
      <c r="BD319" s="18"/>
      <c r="BF319" s="19">
        <f t="shared" si="218"/>
        <v>2041</v>
      </c>
      <c r="BG319" s="19">
        <f t="shared" si="223"/>
        <v>12</v>
      </c>
      <c r="BH319" s="18" t="str">
        <f t="shared" si="197"/>
        <v/>
      </c>
      <c r="BI319" s="18" t="str">
        <f t="shared" si="213"/>
        <v/>
      </c>
      <c r="BJ319" s="18" t="str">
        <f>IF(BW318&lt;&gt;1,"",IF(BT318&gt;0,IF(BT318&gt;CONTROL_PANEL!$B$11,CONTROL_PANEL!$B$11,BT318),0))</f>
        <v/>
      </c>
      <c r="BK319" s="18" t="str">
        <f t="shared" si="208"/>
        <v/>
      </c>
      <c r="BL319" s="18" t="str">
        <f>IF(BW319&lt;&gt;1,"",DATA_INPUT!$I319)</f>
        <v/>
      </c>
      <c r="BM319" s="18" t="str">
        <f>IF(BW319&lt;&gt;1,"",BL319*CONTROL_PANEL!$B$5)</f>
        <v/>
      </c>
      <c r="BN319" s="18" t="str">
        <f>IF(BW319&lt;&gt;1,"",DATA_INPUT!$C319)</f>
        <v/>
      </c>
      <c r="BO319" s="18" t="str">
        <f t="shared" si="198"/>
        <v/>
      </c>
      <c r="BP319" s="18" t="str">
        <f>IF(BW319&lt;&gt;1,"",DATA_INPUT!$H319)</f>
        <v/>
      </c>
      <c r="BQ319" s="18" t="str">
        <f t="shared" si="199"/>
        <v/>
      </c>
      <c r="BR319" s="18" t="str">
        <f>IF(BW319&lt;&gt;1,"",BM319*CONTROL_PANEL!$B$14)</f>
        <v/>
      </c>
      <c r="BS319" s="18" t="str">
        <f>IF(BW319&lt;&gt;1,"",DATA_INPUT!$N319)</f>
        <v/>
      </c>
      <c r="BT319" s="18" t="str">
        <f t="shared" si="200"/>
        <v/>
      </c>
      <c r="BU319" s="18" t="str">
        <f>IF(BW319&lt;&gt;1,"",IF(BT319-CONTROL_PANEL!$B$11&lt;0,0,BT319-CONTROL_PANEL!$B$11))</f>
        <v/>
      </c>
      <c r="BV319" s="18" t="str">
        <f>IF(BW319&lt;&gt;1,"",IF(BS319&lt;=0,0,MIN(BS319,MAX(0,CONTROL_PANEL!$B$13-BT319))))</f>
        <v/>
      </c>
      <c r="BW319" s="18"/>
      <c r="BY319" s="19">
        <f t="shared" si="219"/>
        <v>2041</v>
      </c>
      <c r="BZ319" s="19">
        <f t="shared" si="224"/>
        <v>12</v>
      </c>
      <c r="CA319" s="18" t="str">
        <f t="shared" si="201"/>
        <v/>
      </c>
      <c r="CB319" s="18" t="str">
        <f t="shared" si="214"/>
        <v/>
      </c>
      <c r="CC319" s="18" t="str">
        <f>IF(CP318&lt;&gt;1,"",IF(CM318&gt;0,IF(CM318&gt;CONTROL_PANEL!$B$11,CONTROL_PANEL!$B$11,CM318),0))</f>
        <v/>
      </c>
      <c r="CD319" s="18" t="str">
        <f t="shared" si="209"/>
        <v/>
      </c>
      <c r="CE319" s="18" t="str">
        <f>IF(CP319&lt;&gt;1,"",DATA_INPUT!$I319)</f>
        <v/>
      </c>
      <c r="CF319" s="18" t="str">
        <f>IF(CP319&lt;&gt;1,"",CE319*CONTROL_PANEL!$B$5)</f>
        <v/>
      </c>
      <c r="CG319" s="18" t="str">
        <f>IF(CP319&lt;&gt;1,"",DATA_INPUT!$C319)</f>
        <v/>
      </c>
      <c r="CH319" s="18" t="str">
        <f t="shared" si="202"/>
        <v/>
      </c>
      <c r="CI319" s="18" t="str">
        <f>IF(CP319&lt;&gt;1,"",DATA_INPUT!$H319)</f>
        <v/>
      </c>
      <c r="CJ319" s="18" t="str">
        <f t="shared" si="203"/>
        <v/>
      </c>
      <c r="CK319" s="18" t="str">
        <f>IF(CP319&lt;&gt;1,"",CF319*CONTROL_PANEL!$B$14)</f>
        <v/>
      </c>
      <c r="CL319" s="18" t="str">
        <f>IF(CP319&lt;&gt;1,"",DATA_INPUT!$O319)</f>
        <v/>
      </c>
      <c r="CM319" s="18" t="str">
        <f t="shared" si="204"/>
        <v/>
      </c>
      <c r="CN319" s="18" t="str">
        <f>IF(CP319&lt;&gt;1,"",IF(CM319-CONTROL_PANEL!$B$11&lt;0,0,CM319-CONTROL_PANEL!$B$11))</f>
        <v/>
      </c>
      <c r="CO319" s="18" t="str">
        <f>IF(CP319&lt;&gt;1,"",IF(CL319&lt;=0,0,MIN(CL319,MAX(0,CONTROL_PANEL!$B$13-CM319))))</f>
        <v/>
      </c>
      <c r="CP319" s="18"/>
    </row>
    <row r="320" spans="1:94" x14ac:dyDescent="0.25">
      <c r="A320" s="19">
        <f t="shared" si="215"/>
        <v>2042</v>
      </c>
      <c r="B320" s="19">
        <f t="shared" si="220"/>
        <v>1</v>
      </c>
      <c r="C320" s="18" t="str">
        <f t="shared" si="185"/>
        <v/>
      </c>
      <c r="D320" s="18" t="str">
        <f t="shared" si="210"/>
        <v/>
      </c>
      <c r="E320" s="18" t="str">
        <f>IF(R319&lt;&gt;1,"",IF(O319&gt;0,IF(O319&gt;CONTROL_PANEL!$B$11,CONTROL_PANEL!$B$11,O319),0))</f>
        <v/>
      </c>
      <c r="F320" s="18" t="str">
        <f t="shared" si="205"/>
        <v/>
      </c>
      <c r="G320" s="18" t="str">
        <f>IF(R320&lt;&gt;1,"",DATA_INPUT!I320)</f>
        <v/>
      </c>
      <c r="H320" s="18" t="str">
        <f>IF(R320&lt;&gt;1,"",G320*CONTROL_PANEL!$B$5)</f>
        <v/>
      </c>
      <c r="I320" s="18" t="str">
        <f>IF(R320&lt;&gt;1,"",DATA_INPUT!C320)</f>
        <v/>
      </c>
      <c r="J320" s="18" t="str">
        <f t="shared" si="186"/>
        <v/>
      </c>
      <c r="K320" s="18" t="str">
        <f>IF(R320&lt;&gt;1,"",DATA_INPUT!H320)</f>
        <v/>
      </c>
      <c r="L320" s="18" t="str">
        <f t="shared" si="187"/>
        <v/>
      </c>
      <c r="M320" s="18" t="str">
        <f>IF(R320&lt;&gt;1,"",H320*CONTROL_PANEL!$B$14)</f>
        <v/>
      </c>
      <c r="N320" s="18" t="str">
        <f>IF(R320&lt;&gt;1,"",DATA_INPUT!K320)</f>
        <v/>
      </c>
      <c r="O320" s="18" t="str">
        <f t="shared" si="188"/>
        <v/>
      </c>
      <c r="P320" s="18" t="str">
        <f>IF(R320&lt;&gt;1,"",IF(O320-CONTROL_PANEL!$B$11&lt;0,0,O320-CONTROL_PANEL!$B$11))</f>
        <v/>
      </c>
      <c r="Q320" s="18" t="str">
        <f>IF(R320&lt;&gt;1,"",IF(N320&lt;=0,0,MIN(N320,MAX(0,CONTROL_PANEL!$B$13-O320))))</f>
        <v/>
      </c>
      <c r="R320" s="18"/>
      <c r="T320" s="19">
        <f t="shared" si="216"/>
        <v>2042</v>
      </c>
      <c r="U320" s="19">
        <f t="shared" si="221"/>
        <v>1</v>
      </c>
      <c r="V320" s="18" t="str">
        <f t="shared" si="189"/>
        <v/>
      </c>
      <c r="W320" s="18" t="str">
        <f t="shared" si="211"/>
        <v/>
      </c>
      <c r="X320" s="18" t="str">
        <f>IF(AK319&lt;&gt;1,"",IF(AH319&gt;0,IF(AH319&gt;CONTROL_PANEL!$B$11,CONTROL_PANEL!$B$11,AH319),0))</f>
        <v/>
      </c>
      <c r="Y320" s="18" t="str">
        <f t="shared" si="206"/>
        <v/>
      </c>
      <c r="Z320" s="18" t="str">
        <f>IF(AK320&lt;&gt;1,"",DATA_INPUT!I320)</f>
        <v/>
      </c>
      <c r="AA320" s="18" t="str">
        <f>IF(AK320&lt;&gt;1,"",Z320*CONTROL_PANEL!$B$5)</f>
        <v/>
      </c>
      <c r="AB320" s="18" t="str">
        <f>IF(AK320&lt;&gt;1,"",DATA_INPUT!$C320)</f>
        <v/>
      </c>
      <c r="AC320" s="18" t="str">
        <f t="shared" si="190"/>
        <v/>
      </c>
      <c r="AD320" s="18" t="str">
        <f>IF(AK320&lt;&gt;1,"",DATA_INPUT!$H320)</f>
        <v/>
      </c>
      <c r="AE320" s="18" t="str">
        <f t="shared" si="191"/>
        <v/>
      </c>
      <c r="AF320" s="18" t="str">
        <f>IF(AK320&lt;&gt;1,"",AA320*CONTROL_PANEL!$B$14)</f>
        <v/>
      </c>
      <c r="AG320" s="18" t="str">
        <f>IF(AK320&lt;&gt;1,"",DATA_INPUT!$L320)</f>
        <v/>
      </c>
      <c r="AH320" s="18" t="str">
        <f t="shared" si="192"/>
        <v/>
      </c>
      <c r="AI320" s="18" t="str">
        <f>IF(AK320&lt;&gt;1,"",IF(AH320-CONTROL_PANEL!$B$11&lt;0,0,AH320-CONTROL_PANEL!$B$11))</f>
        <v/>
      </c>
      <c r="AJ320" s="18" t="str">
        <f>IF(AK320&lt;&gt;1,"",IF(AG320&lt;=0,0,MIN(AG320,MAX(0,CONTROL_PANEL!$B$13-AH320))))</f>
        <v/>
      </c>
      <c r="AK320" s="18"/>
      <c r="AM320" s="19">
        <f t="shared" si="217"/>
        <v>2042</v>
      </c>
      <c r="AN320" s="19">
        <f t="shared" si="222"/>
        <v>1</v>
      </c>
      <c r="AO320" s="18" t="str">
        <f t="shared" si="193"/>
        <v/>
      </c>
      <c r="AP320" s="18" t="str">
        <f t="shared" si="212"/>
        <v/>
      </c>
      <c r="AQ320" s="18" t="str">
        <f>IF(BD319&lt;&gt;1,"",IF(BA319&gt;0,IF(BA319&gt;CONTROL_PANEL!$B$11,CONTROL_PANEL!$B$11,BA319),0))</f>
        <v/>
      </c>
      <c r="AR320" s="18" t="str">
        <f t="shared" si="207"/>
        <v/>
      </c>
      <c r="AS320" s="18" t="str">
        <f>IF(BD320&lt;&gt;1,"",DATA_INPUT!$I320)</f>
        <v/>
      </c>
      <c r="AT320" s="18" t="str">
        <f>IF(BD320&lt;&gt;1,"",AS320*CONTROL_PANEL!$B$5)</f>
        <v/>
      </c>
      <c r="AU320" s="18" t="str">
        <f>IF(BD320&lt;&gt;1,"",DATA_INPUT!$C320)</f>
        <v/>
      </c>
      <c r="AV320" s="18" t="str">
        <f t="shared" si="194"/>
        <v/>
      </c>
      <c r="AW320" s="18" t="str">
        <f>IF(BD320&lt;&gt;1,"",DATA_INPUT!$H320)</f>
        <v/>
      </c>
      <c r="AX320" s="18" t="str">
        <f t="shared" si="195"/>
        <v/>
      </c>
      <c r="AY320" s="18" t="str">
        <f>IF(BD320&lt;&gt;1,"",AT320*CONTROL_PANEL!$B$14)</f>
        <v/>
      </c>
      <c r="AZ320" s="18" t="str">
        <f>IF(BD320&lt;&gt;1,"",DATA_INPUT!$M320)</f>
        <v/>
      </c>
      <c r="BA320" s="18" t="str">
        <f t="shared" si="196"/>
        <v/>
      </c>
      <c r="BB320" s="18" t="str">
        <f>IF(BD320&lt;&gt;1,"",IF(BA320-CONTROL_PANEL!$B$11&lt;0,0,BA320-CONTROL_PANEL!$B$11))</f>
        <v/>
      </c>
      <c r="BC320" s="18" t="str">
        <f>IF(BD320&lt;&gt;1,"",IF(AZ320&lt;=0,0,MIN(AZ320,MAX(0,CONTROL_PANEL!$B$13-BA320))))</f>
        <v/>
      </c>
      <c r="BD320" s="18"/>
      <c r="BF320" s="19">
        <f t="shared" si="218"/>
        <v>2042</v>
      </c>
      <c r="BG320" s="19">
        <f t="shared" si="223"/>
        <v>1</v>
      </c>
      <c r="BH320" s="18" t="str">
        <f t="shared" si="197"/>
        <v/>
      </c>
      <c r="BI320" s="18" t="str">
        <f t="shared" si="213"/>
        <v/>
      </c>
      <c r="BJ320" s="18" t="str">
        <f>IF(BW319&lt;&gt;1,"",IF(BT319&gt;0,IF(BT319&gt;CONTROL_PANEL!$B$11,CONTROL_PANEL!$B$11,BT319),0))</f>
        <v/>
      </c>
      <c r="BK320" s="18" t="str">
        <f t="shared" si="208"/>
        <v/>
      </c>
      <c r="BL320" s="18" t="str">
        <f>IF(BW320&lt;&gt;1,"",DATA_INPUT!$I320)</f>
        <v/>
      </c>
      <c r="BM320" s="18" t="str">
        <f>IF(BW320&lt;&gt;1,"",BL320*CONTROL_PANEL!$B$5)</f>
        <v/>
      </c>
      <c r="BN320" s="18" t="str">
        <f>IF(BW320&lt;&gt;1,"",DATA_INPUT!$C320)</f>
        <v/>
      </c>
      <c r="BO320" s="18" t="str">
        <f t="shared" si="198"/>
        <v/>
      </c>
      <c r="BP320" s="18" t="str">
        <f>IF(BW320&lt;&gt;1,"",DATA_INPUT!$H320)</f>
        <v/>
      </c>
      <c r="BQ320" s="18" t="str">
        <f t="shared" si="199"/>
        <v/>
      </c>
      <c r="BR320" s="18" t="str">
        <f>IF(BW320&lt;&gt;1,"",BM320*CONTROL_PANEL!$B$14)</f>
        <v/>
      </c>
      <c r="BS320" s="18" t="str">
        <f>IF(BW320&lt;&gt;1,"",DATA_INPUT!$N320)</f>
        <v/>
      </c>
      <c r="BT320" s="18" t="str">
        <f t="shared" si="200"/>
        <v/>
      </c>
      <c r="BU320" s="18" t="str">
        <f>IF(BW320&lt;&gt;1,"",IF(BT320-CONTROL_PANEL!$B$11&lt;0,0,BT320-CONTROL_PANEL!$B$11))</f>
        <v/>
      </c>
      <c r="BV320" s="18" t="str">
        <f>IF(BW320&lt;&gt;1,"",IF(BS320&lt;=0,0,MIN(BS320,MAX(0,CONTROL_PANEL!$B$13-BT320))))</f>
        <v/>
      </c>
      <c r="BW320" s="18"/>
      <c r="BY320" s="19">
        <f t="shared" si="219"/>
        <v>2042</v>
      </c>
      <c r="BZ320" s="19">
        <f t="shared" si="224"/>
        <v>1</v>
      </c>
      <c r="CA320" s="18" t="str">
        <f t="shared" si="201"/>
        <v/>
      </c>
      <c r="CB320" s="18" t="str">
        <f t="shared" si="214"/>
        <v/>
      </c>
      <c r="CC320" s="18" t="str">
        <f>IF(CP319&lt;&gt;1,"",IF(CM319&gt;0,IF(CM319&gt;CONTROL_PANEL!$B$11,CONTROL_PANEL!$B$11,CM319),0))</f>
        <v/>
      </c>
      <c r="CD320" s="18" t="str">
        <f t="shared" si="209"/>
        <v/>
      </c>
      <c r="CE320" s="18" t="str">
        <f>IF(CP320&lt;&gt;1,"",DATA_INPUT!$I320)</f>
        <v/>
      </c>
      <c r="CF320" s="18" t="str">
        <f>IF(CP320&lt;&gt;1,"",CE320*CONTROL_PANEL!$B$5)</f>
        <v/>
      </c>
      <c r="CG320" s="18" t="str">
        <f>IF(CP320&lt;&gt;1,"",DATA_INPUT!$C320)</f>
        <v/>
      </c>
      <c r="CH320" s="18" t="str">
        <f t="shared" si="202"/>
        <v/>
      </c>
      <c r="CI320" s="18" t="str">
        <f>IF(CP320&lt;&gt;1,"",DATA_INPUT!$H320)</f>
        <v/>
      </c>
      <c r="CJ320" s="18" t="str">
        <f t="shared" si="203"/>
        <v/>
      </c>
      <c r="CK320" s="18" t="str">
        <f>IF(CP320&lt;&gt;1,"",CF320*CONTROL_PANEL!$B$14)</f>
        <v/>
      </c>
      <c r="CL320" s="18" t="str">
        <f>IF(CP320&lt;&gt;1,"",DATA_INPUT!$O320)</f>
        <v/>
      </c>
      <c r="CM320" s="18" t="str">
        <f t="shared" si="204"/>
        <v/>
      </c>
      <c r="CN320" s="18" t="str">
        <f>IF(CP320&lt;&gt;1,"",IF(CM320-CONTROL_PANEL!$B$11&lt;0,0,CM320-CONTROL_PANEL!$B$11))</f>
        <v/>
      </c>
      <c r="CO320" s="18" t="str">
        <f>IF(CP320&lt;&gt;1,"",IF(CL320&lt;=0,0,MIN(CL320,MAX(0,CONTROL_PANEL!$B$13-CM320))))</f>
        <v/>
      </c>
      <c r="CP320" s="18"/>
    </row>
    <row r="321" spans="1:94" x14ac:dyDescent="0.25">
      <c r="A321" s="19">
        <f t="shared" si="215"/>
        <v>2042</v>
      </c>
      <c r="B321" s="19">
        <f t="shared" si="220"/>
        <v>2</v>
      </c>
      <c r="C321" s="18" t="str">
        <f t="shared" si="185"/>
        <v/>
      </c>
      <c r="D321" s="18" t="str">
        <f t="shared" si="210"/>
        <v/>
      </c>
      <c r="E321" s="18" t="str">
        <f>IF(R320&lt;&gt;1,"",IF(O320&gt;0,IF(O320&gt;CONTROL_PANEL!$B$11,CONTROL_PANEL!$B$11,O320),0))</f>
        <v/>
      </c>
      <c r="F321" s="18" t="str">
        <f t="shared" si="205"/>
        <v/>
      </c>
      <c r="G321" s="18" t="str">
        <f>IF(R321&lt;&gt;1,"",DATA_INPUT!I321)</f>
        <v/>
      </c>
      <c r="H321" s="18" t="str">
        <f>IF(R321&lt;&gt;1,"",G321*CONTROL_PANEL!$B$5)</f>
        <v/>
      </c>
      <c r="I321" s="18" t="str">
        <f>IF(R321&lt;&gt;1,"",DATA_INPUT!C321)</f>
        <v/>
      </c>
      <c r="J321" s="18" t="str">
        <f t="shared" si="186"/>
        <v/>
      </c>
      <c r="K321" s="18" t="str">
        <f>IF(R321&lt;&gt;1,"",DATA_INPUT!H321)</f>
        <v/>
      </c>
      <c r="L321" s="18" t="str">
        <f t="shared" si="187"/>
        <v/>
      </c>
      <c r="M321" s="18" t="str">
        <f>IF(R321&lt;&gt;1,"",H321*CONTROL_PANEL!$B$14)</f>
        <v/>
      </c>
      <c r="N321" s="18" t="str">
        <f>IF(R321&lt;&gt;1,"",DATA_INPUT!K321)</f>
        <v/>
      </c>
      <c r="O321" s="18" t="str">
        <f t="shared" si="188"/>
        <v/>
      </c>
      <c r="P321" s="18" t="str">
        <f>IF(R321&lt;&gt;1,"",IF(O321-CONTROL_PANEL!$B$11&lt;0,0,O321-CONTROL_PANEL!$B$11))</f>
        <v/>
      </c>
      <c r="Q321" s="18" t="str">
        <f>IF(R321&lt;&gt;1,"",IF(N321&lt;=0,0,MIN(N321,MAX(0,CONTROL_PANEL!$B$13-O321))))</f>
        <v/>
      </c>
      <c r="R321" s="18"/>
      <c r="T321" s="19">
        <f t="shared" si="216"/>
        <v>2042</v>
      </c>
      <c r="U321" s="19">
        <f t="shared" si="221"/>
        <v>2</v>
      </c>
      <c r="V321" s="18" t="str">
        <f t="shared" si="189"/>
        <v/>
      </c>
      <c r="W321" s="18" t="str">
        <f t="shared" si="211"/>
        <v/>
      </c>
      <c r="X321" s="18" t="str">
        <f>IF(AK320&lt;&gt;1,"",IF(AH320&gt;0,IF(AH320&gt;CONTROL_PANEL!$B$11,CONTROL_PANEL!$B$11,AH320),0))</f>
        <v/>
      </c>
      <c r="Y321" s="18" t="str">
        <f t="shared" si="206"/>
        <v/>
      </c>
      <c r="Z321" s="18" t="str">
        <f>IF(AK321&lt;&gt;1,"",DATA_INPUT!I321)</f>
        <v/>
      </c>
      <c r="AA321" s="18" t="str">
        <f>IF(AK321&lt;&gt;1,"",Z321*CONTROL_PANEL!$B$5)</f>
        <v/>
      </c>
      <c r="AB321" s="18" t="str">
        <f>IF(AK321&lt;&gt;1,"",DATA_INPUT!$C321)</f>
        <v/>
      </c>
      <c r="AC321" s="18" t="str">
        <f t="shared" si="190"/>
        <v/>
      </c>
      <c r="AD321" s="18" t="str">
        <f>IF(AK321&lt;&gt;1,"",DATA_INPUT!$H321)</f>
        <v/>
      </c>
      <c r="AE321" s="18" t="str">
        <f t="shared" si="191"/>
        <v/>
      </c>
      <c r="AF321" s="18" t="str">
        <f>IF(AK321&lt;&gt;1,"",AA321*CONTROL_PANEL!$B$14)</f>
        <v/>
      </c>
      <c r="AG321" s="18" t="str">
        <f>IF(AK321&lt;&gt;1,"",DATA_INPUT!$L321)</f>
        <v/>
      </c>
      <c r="AH321" s="18" t="str">
        <f t="shared" si="192"/>
        <v/>
      </c>
      <c r="AI321" s="18" t="str">
        <f>IF(AK321&lt;&gt;1,"",IF(AH321-CONTROL_PANEL!$B$11&lt;0,0,AH321-CONTROL_PANEL!$B$11))</f>
        <v/>
      </c>
      <c r="AJ321" s="18" t="str">
        <f>IF(AK321&lt;&gt;1,"",IF(AG321&lt;=0,0,MIN(AG321,MAX(0,CONTROL_PANEL!$B$13-AH321))))</f>
        <v/>
      </c>
      <c r="AK321" s="18"/>
      <c r="AM321" s="19">
        <f t="shared" si="217"/>
        <v>2042</v>
      </c>
      <c r="AN321" s="19">
        <f t="shared" si="222"/>
        <v>2</v>
      </c>
      <c r="AO321" s="18" t="str">
        <f t="shared" si="193"/>
        <v/>
      </c>
      <c r="AP321" s="18" t="str">
        <f t="shared" si="212"/>
        <v/>
      </c>
      <c r="AQ321" s="18" t="str">
        <f>IF(BD320&lt;&gt;1,"",IF(BA320&gt;0,IF(BA320&gt;CONTROL_PANEL!$B$11,CONTROL_PANEL!$B$11,BA320),0))</f>
        <v/>
      </c>
      <c r="AR321" s="18" t="str">
        <f t="shared" si="207"/>
        <v/>
      </c>
      <c r="AS321" s="18" t="str">
        <f>IF(BD321&lt;&gt;1,"",DATA_INPUT!$I321)</f>
        <v/>
      </c>
      <c r="AT321" s="18" t="str">
        <f>IF(BD321&lt;&gt;1,"",AS321*CONTROL_PANEL!$B$5)</f>
        <v/>
      </c>
      <c r="AU321" s="18" t="str">
        <f>IF(BD321&lt;&gt;1,"",DATA_INPUT!$C321)</f>
        <v/>
      </c>
      <c r="AV321" s="18" t="str">
        <f t="shared" si="194"/>
        <v/>
      </c>
      <c r="AW321" s="18" t="str">
        <f>IF(BD321&lt;&gt;1,"",DATA_INPUT!$H321)</f>
        <v/>
      </c>
      <c r="AX321" s="18" t="str">
        <f t="shared" si="195"/>
        <v/>
      </c>
      <c r="AY321" s="18" t="str">
        <f>IF(BD321&lt;&gt;1,"",AT321*CONTROL_PANEL!$B$14)</f>
        <v/>
      </c>
      <c r="AZ321" s="18" t="str">
        <f>IF(BD321&lt;&gt;1,"",DATA_INPUT!$M321)</f>
        <v/>
      </c>
      <c r="BA321" s="18" t="str">
        <f t="shared" si="196"/>
        <v/>
      </c>
      <c r="BB321" s="18" t="str">
        <f>IF(BD321&lt;&gt;1,"",IF(BA321-CONTROL_PANEL!$B$11&lt;0,0,BA321-CONTROL_PANEL!$B$11))</f>
        <v/>
      </c>
      <c r="BC321" s="18" t="str">
        <f>IF(BD321&lt;&gt;1,"",IF(AZ321&lt;=0,0,MIN(AZ321,MAX(0,CONTROL_PANEL!$B$13-BA321))))</f>
        <v/>
      </c>
      <c r="BD321" s="18"/>
      <c r="BF321" s="19">
        <f t="shared" si="218"/>
        <v>2042</v>
      </c>
      <c r="BG321" s="19">
        <f t="shared" si="223"/>
        <v>2</v>
      </c>
      <c r="BH321" s="18" t="str">
        <f t="shared" si="197"/>
        <v/>
      </c>
      <c r="BI321" s="18" t="str">
        <f t="shared" si="213"/>
        <v/>
      </c>
      <c r="BJ321" s="18" t="str">
        <f>IF(BW320&lt;&gt;1,"",IF(BT320&gt;0,IF(BT320&gt;CONTROL_PANEL!$B$11,CONTROL_PANEL!$B$11,BT320),0))</f>
        <v/>
      </c>
      <c r="BK321" s="18" t="str">
        <f t="shared" si="208"/>
        <v/>
      </c>
      <c r="BL321" s="18" t="str">
        <f>IF(BW321&lt;&gt;1,"",DATA_INPUT!$I321)</f>
        <v/>
      </c>
      <c r="BM321" s="18" t="str">
        <f>IF(BW321&lt;&gt;1,"",BL321*CONTROL_PANEL!$B$5)</f>
        <v/>
      </c>
      <c r="BN321" s="18" t="str">
        <f>IF(BW321&lt;&gt;1,"",DATA_INPUT!$C321)</f>
        <v/>
      </c>
      <c r="BO321" s="18" t="str">
        <f t="shared" si="198"/>
        <v/>
      </c>
      <c r="BP321" s="18" t="str">
        <f>IF(BW321&lt;&gt;1,"",DATA_INPUT!$H321)</f>
        <v/>
      </c>
      <c r="BQ321" s="18" t="str">
        <f t="shared" si="199"/>
        <v/>
      </c>
      <c r="BR321" s="18" t="str">
        <f>IF(BW321&lt;&gt;1,"",BM321*CONTROL_PANEL!$B$14)</f>
        <v/>
      </c>
      <c r="BS321" s="18" t="str">
        <f>IF(BW321&lt;&gt;1,"",DATA_INPUT!$N321)</f>
        <v/>
      </c>
      <c r="BT321" s="18" t="str">
        <f t="shared" si="200"/>
        <v/>
      </c>
      <c r="BU321" s="18" t="str">
        <f>IF(BW321&lt;&gt;1,"",IF(BT321-CONTROL_PANEL!$B$11&lt;0,0,BT321-CONTROL_PANEL!$B$11))</f>
        <v/>
      </c>
      <c r="BV321" s="18" t="str">
        <f>IF(BW321&lt;&gt;1,"",IF(BS321&lt;=0,0,MIN(BS321,MAX(0,CONTROL_PANEL!$B$13-BT321))))</f>
        <v/>
      </c>
      <c r="BW321" s="18"/>
      <c r="BY321" s="19">
        <f t="shared" si="219"/>
        <v>2042</v>
      </c>
      <c r="BZ321" s="19">
        <f t="shared" si="224"/>
        <v>2</v>
      </c>
      <c r="CA321" s="18" t="str">
        <f t="shared" si="201"/>
        <v/>
      </c>
      <c r="CB321" s="18" t="str">
        <f t="shared" si="214"/>
        <v/>
      </c>
      <c r="CC321" s="18" t="str">
        <f>IF(CP320&lt;&gt;1,"",IF(CM320&gt;0,IF(CM320&gt;CONTROL_PANEL!$B$11,CONTROL_PANEL!$B$11,CM320),0))</f>
        <v/>
      </c>
      <c r="CD321" s="18" t="str">
        <f t="shared" si="209"/>
        <v/>
      </c>
      <c r="CE321" s="18" t="str">
        <f>IF(CP321&lt;&gt;1,"",DATA_INPUT!$I321)</f>
        <v/>
      </c>
      <c r="CF321" s="18" t="str">
        <f>IF(CP321&lt;&gt;1,"",CE321*CONTROL_PANEL!$B$5)</f>
        <v/>
      </c>
      <c r="CG321" s="18" t="str">
        <f>IF(CP321&lt;&gt;1,"",DATA_INPUT!$C321)</f>
        <v/>
      </c>
      <c r="CH321" s="18" t="str">
        <f t="shared" si="202"/>
        <v/>
      </c>
      <c r="CI321" s="18" t="str">
        <f>IF(CP321&lt;&gt;1,"",DATA_INPUT!$H321)</f>
        <v/>
      </c>
      <c r="CJ321" s="18" t="str">
        <f t="shared" si="203"/>
        <v/>
      </c>
      <c r="CK321" s="18" t="str">
        <f>IF(CP321&lt;&gt;1,"",CF321*CONTROL_PANEL!$B$14)</f>
        <v/>
      </c>
      <c r="CL321" s="18" t="str">
        <f>IF(CP321&lt;&gt;1,"",DATA_INPUT!$O321)</f>
        <v/>
      </c>
      <c r="CM321" s="18" t="str">
        <f t="shared" si="204"/>
        <v/>
      </c>
      <c r="CN321" s="18" t="str">
        <f>IF(CP321&lt;&gt;1,"",IF(CM321-CONTROL_PANEL!$B$11&lt;0,0,CM321-CONTROL_PANEL!$B$11))</f>
        <v/>
      </c>
      <c r="CO321" s="18" t="str">
        <f>IF(CP321&lt;&gt;1,"",IF(CL321&lt;=0,0,MIN(CL321,MAX(0,CONTROL_PANEL!$B$13-CM321))))</f>
        <v/>
      </c>
      <c r="CP321" s="18"/>
    </row>
    <row r="322" spans="1:94" x14ac:dyDescent="0.25">
      <c r="A322" s="19">
        <f t="shared" si="215"/>
        <v>2042</v>
      </c>
      <c r="B322" s="19">
        <f t="shared" si="220"/>
        <v>3</v>
      </c>
      <c r="C322" s="18" t="str">
        <f t="shared" si="185"/>
        <v/>
      </c>
      <c r="D322" s="18" t="str">
        <f t="shared" si="210"/>
        <v/>
      </c>
      <c r="E322" s="18" t="str">
        <f>IF(R321&lt;&gt;1,"",IF(O321&gt;0,IF(O321&gt;CONTROL_PANEL!$B$11,CONTROL_PANEL!$B$11,O321),0))</f>
        <v/>
      </c>
      <c r="F322" s="18" t="str">
        <f t="shared" si="205"/>
        <v/>
      </c>
      <c r="G322" s="18" t="str">
        <f>IF(R322&lt;&gt;1,"",DATA_INPUT!I322)</f>
        <v/>
      </c>
      <c r="H322" s="18" t="str">
        <f>IF(R322&lt;&gt;1,"",G322*CONTROL_PANEL!$B$5)</f>
        <v/>
      </c>
      <c r="I322" s="18" t="str">
        <f>IF(R322&lt;&gt;1,"",DATA_INPUT!C322)</f>
        <v/>
      </c>
      <c r="J322" s="18" t="str">
        <f t="shared" si="186"/>
        <v/>
      </c>
      <c r="K322" s="18" t="str">
        <f>IF(R322&lt;&gt;1,"",DATA_INPUT!H322)</f>
        <v/>
      </c>
      <c r="L322" s="18" t="str">
        <f t="shared" si="187"/>
        <v/>
      </c>
      <c r="M322" s="18" t="str">
        <f>IF(R322&lt;&gt;1,"",H322*CONTROL_PANEL!$B$14)</f>
        <v/>
      </c>
      <c r="N322" s="18" t="str">
        <f>IF(R322&lt;&gt;1,"",DATA_INPUT!K322)</f>
        <v/>
      </c>
      <c r="O322" s="18" t="str">
        <f t="shared" si="188"/>
        <v/>
      </c>
      <c r="P322" s="18" t="str">
        <f>IF(R322&lt;&gt;1,"",IF(O322-CONTROL_PANEL!$B$11&lt;0,0,O322-CONTROL_PANEL!$B$11))</f>
        <v/>
      </c>
      <c r="Q322" s="18" t="str">
        <f>IF(R322&lt;&gt;1,"",IF(N322&lt;=0,0,MIN(N322,MAX(0,CONTROL_PANEL!$B$13-O322))))</f>
        <v/>
      </c>
      <c r="R322" s="18"/>
      <c r="T322" s="19">
        <f t="shared" si="216"/>
        <v>2042</v>
      </c>
      <c r="U322" s="19">
        <f t="shared" si="221"/>
        <v>3</v>
      </c>
      <c r="V322" s="18" t="str">
        <f t="shared" si="189"/>
        <v/>
      </c>
      <c r="W322" s="18" t="str">
        <f t="shared" si="211"/>
        <v/>
      </c>
      <c r="X322" s="18" t="str">
        <f>IF(AK321&lt;&gt;1,"",IF(AH321&gt;0,IF(AH321&gt;CONTROL_PANEL!$B$11,CONTROL_PANEL!$B$11,AH321),0))</f>
        <v/>
      </c>
      <c r="Y322" s="18" t="str">
        <f t="shared" si="206"/>
        <v/>
      </c>
      <c r="Z322" s="18" t="str">
        <f>IF(AK322&lt;&gt;1,"",DATA_INPUT!I322)</f>
        <v/>
      </c>
      <c r="AA322" s="18" t="str">
        <f>IF(AK322&lt;&gt;1,"",Z322*CONTROL_PANEL!$B$5)</f>
        <v/>
      </c>
      <c r="AB322" s="18" t="str">
        <f>IF(AK322&lt;&gt;1,"",DATA_INPUT!$C322)</f>
        <v/>
      </c>
      <c r="AC322" s="18" t="str">
        <f t="shared" si="190"/>
        <v/>
      </c>
      <c r="AD322" s="18" t="str">
        <f>IF(AK322&lt;&gt;1,"",DATA_INPUT!$H322)</f>
        <v/>
      </c>
      <c r="AE322" s="18" t="str">
        <f t="shared" si="191"/>
        <v/>
      </c>
      <c r="AF322" s="18" t="str">
        <f>IF(AK322&lt;&gt;1,"",AA322*CONTROL_PANEL!$B$14)</f>
        <v/>
      </c>
      <c r="AG322" s="18" t="str">
        <f>IF(AK322&lt;&gt;1,"",DATA_INPUT!$L322)</f>
        <v/>
      </c>
      <c r="AH322" s="18" t="str">
        <f t="shared" si="192"/>
        <v/>
      </c>
      <c r="AI322" s="18" t="str">
        <f>IF(AK322&lt;&gt;1,"",IF(AH322-CONTROL_PANEL!$B$11&lt;0,0,AH322-CONTROL_PANEL!$B$11))</f>
        <v/>
      </c>
      <c r="AJ322" s="18" t="str">
        <f>IF(AK322&lt;&gt;1,"",IF(AG322&lt;=0,0,MIN(AG322,MAX(0,CONTROL_PANEL!$B$13-AH322))))</f>
        <v/>
      </c>
      <c r="AK322" s="18"/>
      <c r="AM322" s="19">
        <f t="shared" si="217"/>
        <v>2042</v>
      </c>
      <c r="AN322" s="19">
        <f t="shared" si="222"/>
        <v>3</v>
      </c>
      <c r="AO322" s="18" t="str">
        <f t="shared" si="193"/>
        <v/>
      </c>
      <c r="AP322" s="18" t="str">
        <f t="shared" si="212"/>
        <v/>
      </c>
      <c r="AQ322" s="18" t="str">
        <f>IF(BD321&lt;&gt;1,"",IF(BA321&gt;0,IF(BA321&gt;CONTROL_PANEL!$B$11,CONTROL_PANEL!$B$11,BA321),0))</f>
        <v/>
      </c>
      <c r="AR322" s="18" t="str">
        <f t="shared" si="207"/>
        <v/>
      </c>
      <c r="AS322" s="18" t="str">
        <f>IF(BD322&lt;&gt;1,"",DATA_INPUT!$I322)</f>
        <v/>
      </c>
      <c r="AT322" s="18" t="str">
        <f>IF(BD322&lt;&gt;1,"",AS322*CONTROL_PANEL!$B$5)</f>
        <v/>
      </c>
      <c r="AU322" s="18" t="str">
        <f>IF(BD322&lt;&gt;1,"",DATA_INPUT!$C322)</f>
        <v/>
      </c>
      <c r="AV322" s="18" t="str">
        <f t="shared" si="194"/>
        <v/>
      </c>
      <c r="AW322" s="18" t="str">
        <f>IF(BD322&lt;&gt;1,"",DATA_INPUT!$H322)</f>
        <v/>
      </c>
      <c r="AX322" s="18" t="str">
        <f t="shared" si="195"/>
        <v/>
      </c>
      <c r="AY322" s="18" t="str">
        <f>IF(BD322&lt;&gt;1,"",AT322*CONTROL_PANEL!$B$14)</f>
        <v/>
      </c>
      <c r="AZ322" s="18" t="str">
        <f>IF(BD322&lt;&gt;1,"",DATA_INPUT!$M322)</f>
        <v/>
      </c>
      <c r="BA322" s="18" t="str">
        <f t="shared" si="196"/>
        <v/>
      </c>
      <c r="BB322" s="18" t="str">
        <f>IF(BD322&lt;&gt;1,"",IF(BA322-CONTROL_PANEL!$B$11&lt;0,0,BA322-CONTROL_PANEL!$B$11))</f>
        <v/>
      </c>
      <c r="BC322" s="18" t="str">
        <f>IF(BD322&lt;&gt;1,"",IF(AZ322&lt;=0,0,MIN(AZ322,MAX(0,CONTROL_PANEL!$B$13-BA322))))</f>
        <v/>
      </c>
      <c r="BD322" s="18"/>
      <c r="BF322" s="19">
        <f t="shared" si="218"/>
        <v>2042</v>
      </c>
      <c r="BG322" s="19">
        <f t="shared" si="223"/>
        <v>3</v>
      </c>
      <c r="BH322" s="18" t="str">
        <f t="shared" si="197"/>
        <v/>
      </c>
      <c r="BI322" s="18" t="str">
        <f t="shared" si="213"/>
        <v/>
      </c>
      <c r="BJ322" s="18" t="str">
        <f>IF(BW321&lt;&gt;1,"",IF(BT321&gt;0,IF(BT321&gt;CONTROL_PANEL!$B$11,CONTROL_PANEL!$B$11,BT321),0))</f>
        <v/>
      </c>
      <c r="BK322" s="18" t="str">
        <f t="shared" si="208"/>
        <v/>
      </c>
      <c r="BL322" s="18" t="str">
        <f>IF(BW322&lt;&gt;1,"",DATA_INPUT!$I322)</f>
        <v/>
      </c>
      <c r="BM322" s="18" t="str">
        <f>IF(BW322&lt;&gt;1,"",BL322*CONTROL_PANEL!$B$5)</f>
        <v/>
      </c>
      <c r="BN322" s="18" t="str">
        <f>IF(BW322&lt;&gt;1,"",DATA_INPUT!$C322)</f>
        <v/>
      </c>
      <c r="BO322" s="18" t="str">
        <f t="shared" si="198"/>
        <v/>
      </c>
      <c r="BP322" s="18" t="str">
        <f>IF(BW322&lt;&gt;1,"",DATA_INPUT!$H322)</f>
        <v/>
      </c>
      <c r="BQ322" s="18" t="str">
        <f t="shared" si="199"/>
        <v/>
      </c>
      <c r="BR322" s="18" t="str">
        <f>IF(BW322&lt;&gt;1,"",BM322*CONTROL_PANEL!$B$14)</f>
        <v/>
      </c>
      <c r="BS322" s="18" t="str">
        <f>IF(BW322&lt;&gt;1,"",DATA_INPUT!$N322)</f>
        <v/>
      </c>
      <c r="BT322" s="18" t="str">
        <f t="shared" si="200"/>
        <v/>
      </c>
      <c r="BU322" s="18" t="str">
        <f>IF(BW322&lt;&gt;1,"",IF(BT322-CONTROL_PANEL!$B$11&lt;0,0,BT322-CONTROL_PANEL!$B$11))</f>
        <v/>
      </c>
      <c r="BV322" s="18" t="str">
        <f>IF(BW322&lt;&gt;1,"",IF(BS322&lt;=0,0,MIN(BS322,MAX(0,CONTROL_PANEL!$B$13-BT322))))</f>
        <v/>
      </c>
      <c r="BW322" s="18"/>
      <c r="BY322" s="19">
        <f t="shared" si="219"/>
        <v>2042</v>
      </c>
      <c r="BZ322" s="19">
        <f t="shared" si="224"/>
        <v>3</v>
      </c>
      <c r="CA322" s="18" t="str">
        <f t="shared" si="201"/>
        <v/>
      </c>
      <c r="CB322" s="18" t="str">
        <f t="shared" si="214"/>
        <v/>
      </c>
      <c r="CC322" s="18" t="str">
        <f>IF(CP321&lt;&gt;1,"",IF(CM321&gt;0,IF(CM321&gt;CONTROL_PANEL!$B$11,CONTROL_PANEL!$B$11,CM321),0))</f>
        <v/>
      </c>
      <c r="CD322" s="18" t="str">
        <f t="shared" si="209"/>
        <v/>
      </c>
      <c r="CE322" s="18" t="str">
        <f>IF(CP322&lt;&gt;1,"",DATA_INPUT!$I322)</f>
        <v/>
      </c>
      <c r="CF322" s="18" t="str">
        <f>IF(CP322&lt;&gt;1,"",CE322*CONTROL_PANEL!$B$5)</f>
        <v/>
      </c>
      <c r="CG322" s="18" t="str">
        <f>IF(CP322&lt;&gt;1,"",DATA_INPUT!$C322)</f>
        <v/>
      </c>
      <c r="CH322" s="18" t="str">
        <f t="shared" si="202"/>
        <v/>
      </c>
      <c r="CI322" s="18" t="str">
        <f>IF(CP322&lt;&gt;1,"",DATA_INPUT!$H322)</f>
        <v/>
      </c>
      <c r="CJ322" s="18" t="str">
        <f t="shared" si="203"/>
        <v/>
      </c>
      <c r="CK322" s="18" t="str">
        <f>IF(CP322&lt;&gt;1,"",CF322*CONTROL_PANEL!$B$14)</f>
        <v/>
      </c>
      <c r="CL322" s="18" t="str">
        <f>IF(CP322&lt;&gt;1,"",DATA_INPUT!$O322)</f>
        <v/>
      </c>
      <c r="CM322" s="18" t="str">
        <f t="shared" si="204"/>
        <v/>
      </c>
      <c r="CN322" s="18" t="str">
        <f>IF(CP322&lt;&gt;1,"",IF(CM322-CONTROL_PANEL!$B$11&lt;0,0,CM322-CONTROL_PANEL!$B$11))</f>
        <v/>
      </c>
      <c r="CO322" s="18" t="str">
        <f>IF(CP322&lt;&gt;1,"",IF(CL322&lt;=0,0,MIN(CL322,MAX(0,CONTROL_PANEL!$B$13-CM322))))</f>
        <v/>
      </c>
      <c r="CP322" s="18"/>
    </row>
    <row r="323" spans="1:94" x14ac:dyDescent="0.25">
      <c r="A323" s="19">
        <f t="shared" si="215"/>
        <v>2042</v>
      </c>
      <c r="B323" s="19">
        <f t="shared" si="220"/>
        <v>4</v>
      </c>
      <c r="C323" s="18" t="str">
        <f t="shared" si="185"/>
        <v/>
      </c>
      <c r="D323" s="18" t="str">
        <f t="shared" si="210"/>
        <v/>
      </c>
      <c r="E323" s="18" t="str">
        <f>IF(R322&lt;&gt;1,"",IF(O322&gt;0,IF(O322&gt;CONTROL_PANEL!$B$11,CONTROL_PANEL!$B$11,O322),0))</f>
        <v/>
      </c>
      <c r="F323" s="18" t="str">
        <f t="shared" si="205"/>
        <v/>
      </c>
      <c r="G323" s="18" t="str">
        <f>IF(R323&lt;&gt;1,"",DATA_INPUT!I323)</f>
        <v/>
      </c>
      <c r="H323" s="18" t="str">
        <f>IF(R323&lt;&gt;1,"",G323*CONTROL_PANEL!$B$5)</f>
        <v/>
      </c>
      <c r="I323" s="18" t="str">
        <f>IF(R323&lt;&gt;1,"",DATA_INPUT!C323)</f>
        <v/>
      </c>
      <c r="J323" s="18" t="str">
        <f t="shared" si="186"/>
        <v/>
      </c>
      <c r="K323" s="18" t="str">
        <f>IF(R323&lt;&gt;1,"",DATA_INPUT!H323)</f>
        <v/>
      </c>
      <c r="L323" s="18" t="str">
        <f t="shared" si="187"/>
        <v/>
      </c>
      <c r="M323" s="18" t="str">
        <f>IF(R323&lt;&gt;1,"",H323*CONTROL_PANEL!$B$14)</f>
        <v/>
      </c>
      <c r="N323" s="18" t="str">
        <f>IF(R323&lt;&gt;1,"",DATA_INPUT!K323)</f>
        <v/>
      </c>
      <c r="O323" s="18" t="str">
        <f t="shared" si="188"/>
        <v/>
      </c>
      <c r="P323" s="18" t="str">
        <f>IF(R323&lt;&gt;1,"",IF(O323-CONTROL_PANEL!$B$11&lt;0,0,O323-CONTROL_PANEL!$B$11))</f>
        <v/>
      </c>
      <c r="Q323" s="18" t="str">
        <f>IF(R323&lt;&gt;1,"",IF(N323&lt;=0,0,MIN(N323,MAX(0,CONTROL_PANEL!$B$13-O323))))</f>
        <v/>
      </c>
      <c r="R323" s="18"/>
      <c r="T323" s="19">
        <f t="shared" si="216"/>
        <v>2042</v>
      </c>
      <c r="U323" s="19">
        <f t="shared" si="221"/>
        <v>4</v>
      </c>
      <c r="V323" s="18" t="str">
        <f t="shared" si="189"/>
        <v/>
      </c>
      <c r="W323" s="18" t="str">
        <f t="shared" si="211"/>
        <v/>
      </c>
      <c r="X323" s="18" t="str">
        <f>IF(AK322&lt;&gt;1,"",IF(AH322&gt;0,IF(AH322&gt;CONTROL_PANEL!$B$11,CONTROL_PANEL!$B$11,AH322),0))</f>
        <v/>
      </c>
      <c r="Y323" s="18" t="str">
        <f t="shared" si="206"/>
        <v/>
      </c>
      <c r="Z323" s="18" t="str">
        <f>IF(AK323&lt;&gt;1,"",DATA_INPUT!I323)</f>
        <v/>
      </c>
      <c r="AA323" s="18" t="str">
        <f>IF(AK323&lt;&gt;1,"",Z323*CONTROL_PANEL!$B$5)</f>
        <v/>
      </c>
      <c r="AB323" s="18" t="str">
        <f>IF(AK323&lt;&gt;1,"",DATA_INPUT!$C323)</f>
        <v/>
      </c>
      <c r="AC323" s="18" t="str">
        <f t="shared" si="190"/>
        <v/>
      </c>
      <c r="AD323" s="18" t="str">
        <f>IF(AK323&lt;&gt;1,"",DATA_INPUT!$H323)</f>
        <v/>
      </c>
      <c r="AE323" s="18" t="str">
        <f t="shared" si="191"/>
        <v/>
      </c>
      <c r="AF323" s="18" t="str">
        <f>IF(AK323&lt;&gt;1,"",AA323*CONTROL_PANEL!$B$14)</f>
        <v/>
      </c>
      <c r="AG323" s="18" t="str">
        <f>IF(AK323&lt;&gt;1,"",DATA_INPUT!$L323)</f>
        <v/>
      </c>
      <c r="AH323" s="18" t="str">
        <f t="shared" si="192"/>
        <v/>
      </c>
      <c r="AI323" s="18" t="str">
        <f>IF(AK323&lt;&gt;1,"",IF(AH323-CONTROL_PANEL!$B$11&lt;0,0,AH323-CONTROL_PANEL!$B$11))</f>
        <v/>
      </c>
      <c r="AJ323" s="18" t="str">
        <f>IF(AK323&lt;&gt;1,"",IF(AG323&lt;=0,0,MIN(AG323,MAX(0,CONTROL_PANEL!$B$13-AH323))))</f>
        <v/>
      </c>
      <c r="AK323" s="18"/>
      <c r="AM323" s="19">
        <f t="shared" si="217"/>
        <v>2042</v>
      </c>
      <c r="AN323" s="19">
        <f t="shared" si="222"/>
        <v>4</v>
      </c>
      <c r="AO323" s="18" t="str">
        <f t="shared" si="193"/>
        <v/>
      </c>
      <c r="AP323" s="18" t="str">
        <f t="shared" si="212"/>
        <v/>
      </c>
      <c r="AQ323" s="18" t="str">
        <f>IF(BD322&lt;&gt;1,"",IF(BA322&gt;0,IF(BA322&gt;CONTROL_PANEL!$B$11,CONTROL_PANEL!$B$11,BA322),0))</f>
        <v/>
      </c>
      <c r="AR323" s="18" t="str">
        <f t="shared" si="207"/>
        <v/>
      </c>
      <c r="AS323" s="18" t="str">
        <f>IF(BD323&lt;&gt;1,"",DATA_INPUT!$I323)</f>
        <v/>
      </c>
      <c r="AT323" s="18" t="str">
        <f>IF(BD323&lt;&gt;1,"",AS323*CONTROL_PANEL!$B$5)</f>
        <v/>
      </c>
      <c r="AU323" s="18" t="str">
        <f>IF(BD323&lt;&gt;1,"",DATA_INPUT!$C323)</f>
        <v/>
      </c>
      <c r="AV323" s="18" t="str">
        <f t="shared" si="194"/>
        <v/>
      </c>
      <c r="AW323" s="18" t="str">
        <f>IF(BD323&lt;&gt;1,"",DATA_INPUT!$H323)</f>
        <v/>
      </c>
      <c r="AX323" s="18" t="str">
        <f t="shared" si="195"/>
        <v/>
      </c>
      <c r="AY323" s="18" t="str">
        <f>IF(BD323&lt;&gt;1,"",AT323*CONTROL_PANEL!$B$14)</f>
        <v/>
      </c>
      <c r="AZ323" s="18" t="str">
        <f>IF(BD323&lt;&gt;1,"",DATA_INPUT!$M323)</f>
        <v/>
      </c>
      <c r="BA323" s="18" t="str">
        <f t="shared" si="196"/>
        <v/>
      </c>
      <c r="BB323" s="18" t="str">
        <f>IF(BD323&lt;&gt;1,"",IF(BA323-CONTROL_PANEL!$B$11&lt;0,0,BA323-CONTROL_PANEL!$B$11))</f>
        <v/>
      </c>
      <c r="BC323" s="18" t="str">
        <f>IF(BD323&lt;&gt;1,"",IF(AZ323&lt;=0,0,MIN(AZ323,MAX(0,CONTROL_PANEL!$B$13-BA323))))</f>
        <v/>
      </c>
      <c r="BD323" s="18"/>
      <c r="BF323" s="19">
        <f t="shared" si="218"/>
        <v>2042</v>
      </c>
      <c r="BG323" s="19">
        <f t="shared" si="223"/>
        <v>4</v>
      </c>
      <c r="BH323" s="18" t="str">
        <f t="shared" si="197"/>
        <v/>
      </c>
      <c r="BI323" s="18" t="str">
        <f t="shared" si="213"/>
        <v/>
      </c>
      <c r="BJ323" s="18" t="str">
        <f>IF(BW322&lt;&gt;1,"",IF(BT322&gt;0,IF(BT322&gt;CONTROL_PANEL!$B$11,CONTROL_PANEL!$B$11,BT322),0))</f>
        <v/>
      </c>
      <c r="BK323" s="18" t="str">
        <f t="shared" si="208"/>
        <v/>
      </c>
      <c r="BL323" s="18" t="str">
        <f>IF(BW323&lt;&gt;1,"",DATA_INPUT!$I323)</f>
        <v/>
      </c>
      <c r="BM323" s="18" t="str">
        <f>IF(BW323&lt;&gt;1,"",BL323*CONTROL_PANEL!$B$5)</f>
        <v/>
      </c>
      <c r="BN323" s="18" t="str">
        <f>IF(BW323&lt;&gt;1,"",DATA_INPUT!$C323)</f>
        <v/>
      </c>
      <c r="BO323" s="18" t="str">
        <f t="shared" si="198"/>
        <v/>
      </c>
      <c r="BP323" s="18" t="str">
        <f>IF(BW323&lt;&gt;1,"",DATA_INPUT!$H323)</f>
        <v/>
      </c>
      <c r="BQ323" s="18" t="str">
        <f t="shared" si="199"/>
        <v/>
      </c>
      <c r="BR323" s="18" t="str">
        <f>IF(BW323&lt;&gt;1,"",BM323*CONTROL_PANEL!$B$14)</f>
        <v/>
      </c>
      <c r="BS323" s="18" t="str">
        <f>IF(BW323&lt;&gt;1,"",DATA_INPUT!$N323)</f>
        <v/>
      </c>
      <c r="BT323" s="18" t="str">
        <f t="shared" si="200"/>
        <v/>
      </c>
      <c r="BU323" s="18" t="str">
        <f>IF(BW323&lt;&gt;1,"",IF(BT323-CONTROL_PANEL!$B$11&lt;0,0,BT323-CONTROL_PANEL!$B$11))</f>
        <v/>
      </c>
      <c r="BV323" s="18" t="str">
        <f>IF(BW323&lt;&gt;1,"",IF(BS323&lt;=0,0,MIN(BS323,MAX(0,CONTROL_PANEL!$B$13-BT323))))</f>
        <v/>
      </c>
      <c r="BW323" s="18"/>
      <c r="BY323" s="19">
        <f t="shared" si="219"/>
        <v>2042</v>
      </c>
      <c r="BZ323" s="19">
        <f t="shared" si="224"/>
        <v>4</v>
      </c>
      <c r="CA323" s="18" t="str">
        <f t="shared" si="201"/>
        <v/>
      </c>
      <c r="CB323" s="18" t="str">
        <f t="shared" si="214"/>
        <v/>
      </c>
      <c r="CC323" s="18" t="str">
        <f>IF(CP322&lt;&gt;1,"",IF(CM322&gt;0,IF(CM322&gt;CONTROL_PANEL!$B$11,CONTROL_PANEL!$B$11,CM322),0))</f>
        <v/>
      </c>
      <c r="CD323" s="18" t="str">
        <f t="shared" si="209"/>
        <v/>
      </c>
      <c r="CE323" s="18" t="str">
        <f>IF(CP323&lt;&gt;1,"",DATA_INPUT!$I323)</f>
        <v/>
      </c>
      <c r="CF323" s="18" t="str">
        <f>IF(CP323&lt;&gt;1,"",CE323*CONTROL_PANEL!$B$5)</f>
        <v/>
      </c>
      <c r="CG323" s="18" t="str">
        <f>IF(CP323&lt;&gt;1,"",DATA_INPUT!$C323)</f>
        <v/>
      </c>
      <c r="CH323" s="18" t="str">
        <f t="shared" si="202"/>
        <v/>
      </c>
      <c r="CI323" s="18" t="str">
        <f>IF(CP323&lt;&gt;1,"",DATA_INPUT!$H323)</f>
        <v/>
      </c>
      <c r="CJ323" s="18" t="str">
        <f t="shared" si="203"/>
        <v/>
      </c>
      <c r="CK323" s="18" t="str">
        <f>IF(CP323&lt;&gt;1,"",CF323*CONTROL_PANEL!$B$14)</f>
        <v/>
      </c>
      <c r="CL323" s="18" t="str">
        <f>IF(CP323&lt;&gt;1,"",DATA_INPUT!$O323)</f>
        <v/>
      </c>
      <c r="CM323" s="18" t="str">
        <f t="shared" si="204"/>
        <v/>
      </c>
      <c r="CN323" s="18" t="str">
        <f>IF(CP323&lt;&gt;1,"",IF(CM323-CONTROL_PANEL!$B$11&lt;0,0,CM323-CONTROL_PANEL!$B$11))</f>
        <v/>
      </c>
      <c r="CO323" s="18" t="str">
        <f>IF(CP323&lt;&gt;1,"",IF(CL323&lt;=0,0,MIN(CL323,MAX(0,CONTROL_PANEL!$B$13-CM323))))</f>
        <v/>
      </c>
      <c r="CP323" s="18"/>
    </row>
    <row r="324" spans="1:94" x14ac:dyDescent="0.25">
      <c r="A324" s="19">
        <f t="shared" si="215"/>
        <v>2042</v>
      </c>
      <c r="B324" s="19">
        <f t="shared" si="220"/>
        <v>5</v>
      </c>
      <c r="C324" s="18" t="str">
        <f t="shared" si="185"/>
        <v/>
      </c>
      <c r="D324" s="18" t="str">
        <f t="shared" si="210"/>
        <v/>
      </c>
      <c r="E324" s="18" t="str">
        <f>IF(R323&lt;&gt;1,"",IF(O323&gt;0,IF(O323&gt;CONTROL_PANEL!$B$11,CONTROL_PANEL!$B$11,O323),0))</f>
        <v/>
      </c>
      <c r="F324" s="18" t="str">
        <f t="shared" si="205"/>
        <v/>
      </c>
      <c r="G324" s="18" t="str">
        <f>IF(R324&lt;&gt;1,"",DATA_INPUT!I324)</f>
        <v/>
      </c>
      <c r="H324" s="18" t="str">
        <f>IF(R324&lt;&gt;1,"",G324*CONTROL_PANEL!$B$5)</f>
        <v/>
      </c>
      <c r="I324" s="18" t="str">
        <f>IF(R324&lt;&gt;1,"",DATA_INPUT!C324)</f>
        <v/>
      </c>
      <c r="J324" s="18" t="str">
        <f t="shared" si="186"/>
        <v/>
      </c>
      <c r="K324" s="18" t="str">
        <f>IF(R324&lt;&gt;1,"",DATA_INPUT!H324)</f>
        <v/>
      </c>
      <c r="L324" s="18" t="str">
        <f t="shared" si="187"/>
        <v/>
      </c>
      <c r="M324" s="18" t="str">
        <f>IF(R324&lt;&gt;1,"",H324*CONTROL_PANEL!$B$14)</f>
        <v/>
      </c>
      <c r="N324" s="18" t="str">
        <f>IF(R324&lt;&gt;1,"",DATA_INPUT!K324)</f>
        <v/>
      </c>
      <c r="O324" s="18" t="str">
        <f t="shared" si="188"/>
        <v/>
      </c>
      <c r="P324" s="18" t="str">
        <f>IF(R324&lt;&gt;1,"",IF(O324-CONTROL_PANEL!$B$11&lt;0,0,O324-CONTROL_PANEL!$B$11))</f>
        <v/>
      </c>
      <c r="Q324" s="18" t="str">
        <f>IF(R324&lt;&gt;1,"",IF(N324&lt;=0,0,MIN(N324,MAX(0,CONTROL_PANEL!$B$13-O324))))</f>
        <v/>
      </c>
      <c r="R324" s="18"/>
      <c r="T324" s="19">
        <f t="shared" si="216"/>
        <v>2042</v>
      </c>
      <c r="U324" s="19">
        <f t="shared" si="221"/>
        <v>5</v>
      </c>
      <c r="V324" s="18" t="str">
        <f t="shared" si="189"/>
        <v/>
      </c>
      <c r="W324" s="18" t="str">
        <f t="shared" si="211"/>
        <v/>
      </c>
      <c r="X324" s="18" t="str">
        <f>IF(AK323&lt;&gt;1,"",IF(AH323&gt;0,IF(AH323&gt;CONTROL_PANEL!$B$11,CONTROL_PANEL!$B$11,AH323),0))</f>
        <v/>
      </c>
      <c r="Y324" s="18" t="str">
        <f t="shared" si="206"/>
        <v/>
      </c>
      <c r="Z324" s="18" t="str">
        <f>IF(AK324&lt;&gt;1,"",DATA_INPUT!I324)</f>
        <v/>
      </c>
      <c r="AA324" s="18" t="str">
        <f>IF(AK324&lt;&gt;1,"",Z324*CONTROL_PANEL!$B$5)</f>
        <v/>
      </c>
      <c r="AB324" s="18" t="str">
        <f>IF(AK324&lt;&gt;1,"",DATA_INPUT!$C324)</f>
        <v/>
      </c>
      <c r="AC324" s="18" t="str">
        <f t="shared" si="190"/>
        <v/>
      </c>
      <c r="AD324" s="18" t="str">
        <f>IF(AK324&lt;&gt;1,"",DATA_INPUT!$H324)</f>
        <v/>
      </c>
      <c r="AE324" s="18" t="str">
        <f t="shared" si="191"/>
        <v/>
      </c>
      <c r="AF324" s="18" t="str">
        <f>IF(AK324&lt;&gt;1,"",AA324*CONTROL_PANEL!$B$14)</f>
        <v/>
      </c>
      <c r="AG324" s="18" t="str">
        <f>IF(AK324&lt;&gt;1,"",DATA_INPUT!$L324)</f>
        <v/>
      </c>
      <c r="AH324" s="18" t="str">
        <f t="shared" si="192"/>
        <v/>
      </c>
      <c r="AI324" s="18" t="str">
        <f>IF(AK324&lt;&gt;1,"",IF(AH324-CONTROL_PANEL!$B$11&lt;0,0,AH324-CONTROL_PANEL!$B$11))</f>
        <v/>
      </c>
      <c r="AJ324" s="18" t="str">
        <f>IF(AK324&lt;&gt;1,"",IF(AG324&lt;=0,0,MIN(AG324,MAX(0,CONTROL_PANEL!$B$13-AH324))))</f>
        <v/>
      </c>
      <c r="AK324" s="18"/>
      <c r="AM324" s="19">
        <f t="shared" si="217"/>
        <v>2042</v>
      </c>
      <c r="AN324" s="19">
        <f t="shared" si="222"/>
        <v>5</v>
      </c>
      <c r="AO324" s="18" t="str">
        <f t="shared" si="193"/>
        <v/>
      </c>
      <c r="AP324" s="18" t="str">
        <f t="shared" si="212"/>
        <v/>
      </c>
      <c r="AQ324" s="18" t="str">
        <f>IF(BD323&lt;&gt;1,"",IF(BA323&gt;0,IF(BA323&gt;CONTROL_PANEL!$B$11,CONTROL_PANEL!$B$11,BA323),0))</f>
        <v/>
      </c>
      <c r="AR324" s="18" t="str">
        <f t="shared" si="207"/>
        <v/>
      </c>
      <c r="AS324" s="18" t="str">
        <f>IF(BD324&lt;&gt;1,"",DATA_INPUT!$I324)</f>
        <v/>
      </c>
      <c r="AT324" s="18" t="str">
        <f>IF(BD324&lt;&gt;1,"",AS324*CONTROL_PANEL!$B$5)</f>
        <v/>
      </c>
      <c r="AU324" s="18" t="str">
        <f>IF(BD324&lt;&gt;1,"",DATA_INPUT!$C324)</f>
        <v/>
      </c>
      <c r="AV324" s="18" t="str">
        <f t="shared" si="194"/>
        <v/>
      </c>
      <c r="AW324" s="18" t="str">
        <f>IF(BD324&lt;&gt;1,"",DATA_INPUT!$H324)</f>
        <v/>
      </c>
      <c r="AX324" s="18" t="str">
        <f t="shared" si="195"/>
        <v/>
      </c>
      <c r="AY324" s="18" t="str">
        <f>IF(BD324&lt;&gt;1,"",AT324*CONTROL_PANEL!$B$14)</f>
        <v/>
      </c>
      <c r="AZ324" s="18" t="str">
        <f>IF(BD324&lt;&gt;1,"",DATA_INPUT!$M324)</f>
        <v/>
      </c>
      <c r="BA324" s="18" t="str">
        <f t="shared" si="196"/>
        <v/>
      </c>
      <c r="BB324" s="18" t="str">
        <f>IF(BD324&lt;&gt;1,"",IF(BA324-CONTROL_PANEL!$B$11&lt;0,0,BA324-CONTROL_PANEL!$B$11))</f>
        <v/>
      </c>
      <c r="BC324" s="18" t="str">
        <f>IF(BD324&lt;&gt;1,"",IF(AZ324&lt;=0,0,MIN(AZ324,MAX(0,CONTROL_PANEL!$B$13-BA324))))</f>
        <v/>
      </c>
      <c r="BD324" s="18"/>
      <c r="BF324" s="19">
        <f t="shared" si="218"/>
        <v>2042</v>
      </c>
      <c r="BG324" s="19">
        <f t="shared" si="223"/>
        <v>5</v>
      </c>
      <c r="BH324" s="18" t="str">
        <f t="shared" si="197"/>
        <v/>
      </c>
      <c r="BI324" s="18" t="str">
        <f t="shared" si="213"/>
        <v/>
      </c>
      <c r="BJ324" s="18" t="str">
        <f>IF(BW323&lt;&gt;1,"",IF(BT323&gt;0,IF(BT323&gt;CONTROL_PANEL!$B$11,CONTROL_PANEL!$B$11,BT323),0))</f>
        <v/>
      </c>
      <c r="BK324" s="18" t="str">
        <f t="shared" si="208"/>
        <v/>
      </c>
      <c r="BL324" s="18" t="str">
        <f>IF(BW324&lt;&gt;1,"",DATA_INPUT!$I324)</f>
        <v/>
      </c>
      <c r="BM324" s="18" t="str">
        <f>IF(BW324&lt;&gt;1,"",BL324*CONTROL_PANEL!$B$5)</f>
        <v/>
      </c>
      <c r="BN324" s="18" t="str">
        <f>IF(BW324&lt;&gt;1,"",DATA_INPUT!$C324)</f>
        <v/>
      </c>
      <c r="BO324" s="18" t="str">
        <f t="shared" si="198"/>
        <v/>
      </c>
      <c r="BP324" s="18" t="str">
        <f>IF(BW324&lt;&gt;1,"",DATA_INPUT!$H324)</f>
        <v/>
      </c>
      <c r="BQ324" s="18" t="str">
        <f t="shared" si="199"/>
        <v/>
      </c>
      <c r="BR324" s="18" t="str">
        <f>IF(BW324&lt;&gt;1,"",BM324*CONTROL_PANEL!$B$14)</f>
        <v/>
      </c>
      <c r="BS324" s="18" t="str">
        <f>IF(BW324&lt;&gt;1,"",DATA_INPUT!$N324)</f>
        <v/>
      </c>
      <c r="BT324" s="18" t="str">
        <f t="shared" si="200"/>
        <v/>
      </c>
      <c r="BU324" s="18" t="str">
        <f>IF(BW324&lt;&gt;1,"",IF(BT324-CONTROL_PANEL!$B$11&lt;0,0,BT324-CONTROL_PANEL!$B$11))</f>
        <v/>
      </c>
      <c r="BV324" s="18" t="str">
        <f>IF(BW324&lt;&gt;1,"",IF(BS324&lt;=0,0,MIN(BS324,MAX(0,CONTROL_PANEL!$B$13-BT324))))</f>
        <v/>
      </c>
      <c r="BW324" s="18"/>
      <c r="BY324" s="19">
        <f t="shared" si="219"/>
        <v>2042</v>
      </c>
      <c r="BZ324" s="19">
        <f t="shared" si="224"/>
        <v>5</v>
      </c>
      <c r="CA324" s="18" t="str">
        <f t="shared" si="201"/>
        <v/>
      </c>
      <c r="CB324" s="18" t="str">
        <f t="shared" si="214"/>
        <v/>
      </c>
      <c r="CC324" s="18" t="str">
        <f>IF(CP323&lt;&gt;1,"",IF(CM323&gt;0,IF(CM323&gt;CONTROL_PANEL!$B$11,CONTROL_PANEL!$B$11,CM323),0))</f>
        <v/>
      </c>
      <c r="CD324" s="18" t="str">
        <f t="shared" si="209"/>
        <v/>
      </c>
      <c r="CE324" s="18" t="str">
        <f>IF(CP324&lt;&gt;1,"",DATA_INPUT!$I324)</f>
        <v/>
      </c>
      <c r="CF324" s="18" t="str">
        <f>IF(CP324&lt;&gt;1,"",CE324*CONTROL_PANEL!$B$5)</f>
        <v/>
      </c>
      <c r="CG324" s="18" t="str">
        <f>IF(CP324&lt;&gt;1,"",DATA_INPUT!$C324)</f>
        <v/>
      </c>
      <c r="CH324" s="18" t="str">
        <f t="shared" si="202"/>
        <v/>
      </c>
      <c r="CI324" s="18" t="str">
        <f>IF(CP324&lt;&gt;1,"",DATA_INPUT!$H324)</f>
        <v/>
      </c>
      <c r="CJ324" s="18" t="str">
        <f t="shared" si="203"/>
        <v/>
      </c>
      <c r="CK324" s="18" t="str">
        <f>IF(CP324&lt;&gt;1,"",CF324*CONTROL_PANEL!$B$14)</f>
        <v/>
      </c>
      <c r="CL324" s="18" t="str">
        <f>IF(CP324&lt;&gt;1,"",DATA_INPUT!$O324)</f>
        <v/>
      </c>
      <c r="CM324" s="18" t="str">
        <f t="shared" si="204"/>
        <v/>
      </c>
      <c r="CN324" s="18" t="str">
        <f>IF(CP324&lt;&gt;1,"",IF(CM324-CONTROL_PANEL!$B$11&lt;0,0,CM324-CONTROL_PANEL!$B$11))</f>
        <v/>
      </c>
      <c r="CO324" s="18" t="str">
        <f>IF(CP324&lt;&gt;1,"",IF(CL324&lt;=0,0,MIN(CL324,MAX(0,CONTROL_PANEL!$B$13-CM324))))</f>
        <v/>
      </c>
      <c r="CP324" s="18"/>
    </row>
    <row r="325" spans="1:94" x14ac:dyDescent="0.25">
      <c r="A325" s="19">
        <f t="shared" si="215"/>
        <v>2042</v>
      </c>
      <c r="B325" s="19">
        <f t="shared" si="220"/>
        <v>6</v>
      </c>
      <c r="C325" s="18" t="str">
        <f t="shared" ref="C325:C364" si="225">IF(R325&lt;&gt;1,"",DAY(DATE(A325,B325+1,)))</f>
        <v/>
      </c>
      <c r="D325" s="18" t="str">
        <f t="shared" si="210"/>
        <v/>
      </c>
      <c r="E325" s="18" t="str">
        <f>IF(R324&lt;&gt;1,"",IF(O324&gt;0,IF(O324&gt;CONTROL_PANEL!$B$11,CONTROL_PANEL!$B$11,O324),0))</f>
        <v/>
      </c>
      <c r="F325" s="18" t="str">
        <f t="shared" si="205"/>
        <v/>
      </c>
      <c r="G325" s="18" t="str">
        <f>IF(R325&lt;&gt;1,"",DATA_INPUT!I325)</f>
        <v/>
      </c>
      <c r="H325" s="18" t="str">
        <f>IF(R325&lt;&gt;1,"",G325*CONTROL_PANEL!$B$5)</f>
        <v/>
      </c>
      <c r="I325" s="18" t="str">
        <f>IF(R325&lt;&gt;1,"",DATA_INPUT!C325)</f>
        <v/>
      </c>
      <c r="J325" s="18" t="str">
        <f t="shared" ref="J325:J364" si="226">IF(R325&lt;&gt;1,"",(I325*F325)/1000)</f>
        <v/>
      </c>
      <c r="K325" s="18" t="str">
        <f>IF(R325&lt;&gt;1,"",DATA_INPUT!H325)</f>
        <v/>
      </c>
      <c r="L325" s="18" t="str">
        <f t="shared" ref="L325:L364" si="227">IF(R325&lt;&gt;1,"",((K325*F325)/1000))</f>
        <v/>
      </c>
      <c r="M325" s="18" t="str">
        <f>IF(R325&lt;&gt;1,"",H325*CONTROL_PANEL!$B$14)</f>
        <v/>
      </c>
      <c r="N325" s="18" t="str">
        <f>IF(R325&lt;&gt;1,"",DATA_INPUT!K325)</f>
        <v/>
      </c>
      <c r="O325" s="18" t="str">
        <f t="shared" ref="O325:O364" si="228">IF(R325&lt;&gt;1,"",(E325+H325+J325)-(L325+N325+M325))</f>
        <v/>
      </c>
      <c r="P325" s="18" t="str">
        <f>IF(R325&lt;&gt;1,"",IF(O325-CONTROL_PANEL!$B$11&lt;0,0,O325-CONTROL_PANEL!$B$11))</f>
        <v/>
      </c>
      <c r="Q325" s="18" t="str">
        <f>IF(R325&lt;&gt;1,"",IF(N325&lt;=0,0,MIN(N325,MAX(0,CONTROL_PANEL!$B$13-O325))))</f>
        <v/>
      </c>
      <c r="R325" s="18"/>
      <c r="T325" s="19">
        <f t="shared" si="216"/>
        <v>2042</v>
      </c>
      <c r="U325" s="19">
        <f t="shared" si="221"/>
        <v>6</v>
      </c>
      <c r="V325" s="18" t="str">
        <f t="shared" ref="V325:V364" si="229">IF(AK325&lt;&gt;1,"",DAY(DATE(T325,U325+1,)))</f>
        <v/>
      </c>
      <c r="W325" s="18" t="str">
        <f t="shared" si="211"/>
        <v/>
      </c>
      <c r="X325" s="18" t="str">
        <f>IF(AK324&lt;&gt;1,"",IF(AH324&gt;0,IF(AH324&gt;CONTROL_PANEL!$B$11,CONTROL_PANEL!$B$11,AH324),0))</f>
        <v/>
      </c>
      <c r="Y325" s="18" t="str">
        <f t="shared" si="206"/>
        <v/>
      </c>
      <c r="Z325" s="18" t="str">
        <f>IF(AK325&lt;&gt;1,"",DATA_INPUT!I325)</f>
        <v/>
      </c>
      <c r="AA325" s="18" t="str">
        <f>IF(AK325&lt;&gt;1,"",Z325*CONTROL_PANEL!$B$5)</f>
        <v/>
      </c>
      <c r="AB325" s="18" t="str">
        <f>IF(AK325&lt;&gt;1,"",DATA_INPUT!$C325)</f>
        <v/>
      </c>
      <c r="AC325" s="18" t="str">
        <f t="shared" ref="AC325:AC364" si="230">IF(AK325&lt;&gt;1,"",(AB325*Y325)/1000)</f>
        <v/>
      </c>
      <c r="AD325" s="18" t="str">
        <f>IF(AK325&lt;&gt;1,"",DATA_INPUT!$H325)</f>
        <v/>
      </c>
      <c r="AE325" s="18" t="str">
        <f t="shared" ref="AE325:AE364" si="231">IF(AK325&lt;&gt;1,"",((AD325*Y325)/1000))</f>
        <v/>
      </c>
      <c r="AF325" s="18" t="str">
        <f>IF(AK325&lt;&gt;1,"",AA325*CONTROL_PANEL!$B$14)</f>
        <v/>
      </c>
      <c r="AG325" s="18" t="str">
        <f>IF(AK325&lt;&gt;1,"",DATA_INPUT!$L325)</f>
        <v/>
      </c>
      <c r="AH325" s="18" t="str">
        <f t="shared" ref="AH325:AH364" si="232">IF(AK325&lt;&gt;1,"",(X325+AA325+AC325)-(AE325+AG325+AF325))</f>
        <v/>
      </c>
      <c r="AI325" s="18" t="str">
        <f>IF(AK325&lt;&gt;1,"",IF(AH325-CONTROL_PANEL!$B$11&lt;0,0,AH325-CONTROL_PANEL!$B$11))</f>
        <v/>
      </c>
      <c r="AJ325" s="18" t="str">
        <f>IF(AK325&lt;&gt;1,"",IF(AG325&lt;=0,0,MIN(AG325,MAX(0,CONTROL_PANEL!$B$13-AH325))))</f>
        <v/>
      </c>
      <c r="AK325" s="18"/>
      <c r="AM325" s="19">
        <f t="shared" si="217"/>
        <v>2042</v>
      </c>
      <c r="AN325" s="19">
        <f t="shared" si="222"/>
        <v>6</v>
      </c>
      <c r="AO325" s="18" t="str">
        <f t="shared" ref="AO325:AO364" si="233">IF(BD325&lt;&gt;1,"",DAY(DATE(AM325,AN325+1,)))</f>
        <v/>
      </c>
      <c r="AP325" s="18" t="str">
        <f t="shared" si="212"/>
        <v/>
      </c>
      <c r="AQ325" s="18" t="str">
        <f>IF(BD324&lt;&gt;1,"",IF(BA324&gt;0,IF(BA324&gt;CONTROL_PANEL!$B$11,CONTROL_PANEL!$B$11,BA324),0))</f>
        <v/>
      </c>
      <c r="AR325" s="18" t="str">
        <f t="shared" si="207"/>
        <v/>
      </c>
      <c r="AS325" s="18" t="str">
        <f>IF(BD325&lt;&gt;1,"",DATA_INPUT!$I325)</f>
        <v/>
      </c>
      <c r="AT325" s="18" t="str">
        <f>IF(BD325&lt;&gt;1,"",AS325*CONTROL_PANEL!$B$5)</f>
        <v/>
      </c>
      <c r="AU325" s="18" t="str">
        <f>IF(BD325&lt;&gt;1,"",DATA_INPUT!$C325)</f>
        <v/>
      </c>
      <c r="AV325" s="18" t="str">
        <f t="shared" ref="AV325:AV364" si="234">IF(BD325&lt;&gt;1,"",(AU325*AR325)/1000)</f>
        <v/>
      </c>
      <c r="AW325" s="18" t="str">
        <f>IF(BD325&lt;&gt;1,"",DATA_INPUT!$H325)</f>
        <v/>
      </c>
      <c r="AX325" s="18" t="str">
        <f t="shared" ref="AX325:AX364" si="235">IF(BD325&lt;&gt;1,"",((AW325*AR325)/1000))</f>
        <v/>
      </c>
      <c r="AY325" s="18" t="str">
        <f>IF(BD325&lt;&gt;1,"",AT325*CONTROL_PANEL!$B$14)</f>
        <v/>
      </c>
      <c r="AZ325" s="18" t="str">
        <f>IF(BD325&lt;&gt;1,"",DATA_INPUT!$M325)</f>
        <v/>
      </c>
      <c r="BA325" s="18" t="str">
        <f t="shared" ref="BA325:BA364" si="236">IF(BD325&lt;&gt;1,"",(AQ325+AT325+AV325)-(AX325+AZ325+AY325))</f>
        <v/>
      </c>
      <c r="BB325" s="18" t="str">
        <f>IF(BD325&lt;&gt;1,"",IF(BA325-CONTROL_PANEL!$B$11&lt;0,0,BA325-CONTROL_PANEL!$B$11))</f>
        <v/>
      </c>
      <c r="BC325" s="18" t="str">
        <f>IF(BD325&lt;&gt;1,"",IF(AZ325&lt;=0,0,MIN(AZ325,MAX(0,CONTROL_PANEL!$B$13-BA325))))</f>
        <v/>
      </c>
      <c r="BD325" s="18"/>
      <c r="BF325" s="19">
        <f t="shared" si="218"/>
        <v>2042</v>
      </c>
      <c r="BG325" s="19">
        <f t="shared" si="223"/>
        <v>6</v>
      </c>
      <c r="BH325" s="18" t="str">
        <f t="shared" ref="BH325:BH364" si="237">IF(BW325&lt;&gt;1,"",DAY(DATE(BF325,BG325+1,)))</f>
        <v/>
      </c>
      <c r="BI325" s="18" t="str">
        <f t="shared" si="213"/>
        <v/>
      </c>
      <c r="BJ325" s="18" t="str">
        <f>IF(BW324&lt;&gt;1,"",IF(BT324&gt;0,IF(BT324&gt;CONTROL_PANEL!$B$11,CONTROL_PANEL!$B$11,BT324),0))</f>
        <v/>
      </c>
      <c r="BK325" s="18" t="str">
        <f t="shared" si="208"/>
        <v/>
      </c>
      <c r="BL325" s="18" t="str">
        <f>IF(BW325&lt;&gt;1,"",DATA_INPUT!$I325)</f>
        <v/>
      </c>
      <c r="BM325" s="18" t="str">
        <f>IF(BW325&lt;&gt;1,"",BL325*CONTROL_PANEL!$B$5)</f>
        <v/>
      </c>
      <c r="BN325" s="18" t="str">
        <f>IF(BW325&lt;&gt;1,"",DATA_INPUT!$C325)</f>
        <v/>
      </c>
      <c r="BO325" s="18" t="str">
        <f t="shared" ref="BO325:BO364" si="238">IF(BW325&lt;&gt;1,"",(BN325*BK325)/1000)</f>
        <v/>
      </c>
      <c r="BP325" s="18" t="str">
        <f>IF(BW325&lt;&gt;1,"",DATA_INPUT!$H325)</f>
        <v/>
      </c>
      <c r="BQ325" s="18" t="str">
        <f t="shared" ref="BQ325:BQ364" si="239">IF(BW325&lt;&gt;1,"",((BP325*BK325)/1000))</f>
        <v/>
      </c>
      <c r="BR325" s="18" t="str">
        <f>IF(BW325&lt;&gt;1,"",BM325*CONTROL_PANEL!$B$14)</f>
        <v/>
      </c>
      <c r="BS325" s="18" t="str">
        <f>IF(BW325&lt;&gt;1,"",DATA_INPUT!$N325)</f>
        <v/>
      </c>
      <c r="BT325" s="18" t="str">
        <f t="shared" ref="BT325:BT364" si="240">IF(BW325&lt;&gt;1,"",(BJ325+BM325+BO325)-(BQ325+BS325+BR325))</f>
        <v/>
      </c>
      <c r="BU325" s="18" t="str">
        <f>IF(BW325&lt;&gt;1,"",IF(BT325-CONTROL_PANEL!$B$11&lt;0,0,BT325-CONTROL_PANEL!$B$11))</f>
        <v/>
      </c>
      <c r="BV325" s="18" t="str">
        <f>IF(BW325&lt;&gt;1,"",IF(BS325&lt;=0,0,MIN(BS325,MAX(0,CONTROL_PANEL!$B$13-BT325))))</f>
        <v/>
      </c>
      <c r="BW325" s="18"/>
      <c r="BY325" s="19">
        <f t="shared" si="219"/>
        <v>2042</v>
      </c>
      <c r="BZ325" s="19">
        <f t="shared" si="224"/>
        <v>6</v>
      </c>
      <c r="CA325" s="18" t="str">
        <f t="shared" ref="CA325:CA364" si="241">IF(CP325&lt;&gt;1,"",DAY(DATE(BY325,BZ325+1,)))</f>
        <v/>
      </c>
      <c r="CB325" s="18" t="str">
        <f t="shared" si="214"/>
        <v/>
      </c>
      <c r="CC325" s="18" t="str">
        <f>IF(CP324&lt;&gt;1,"",IF(CM324&gt;0,IF(CM324&gt;CONTROL_PANEL!$B$11,CONTROL_PANEL!$B$11,CM324),0))</f>
        <v/>
      </c>
      <c r="CD325" s="18" t="str">
        <f t="shared" si="209"/>
        <v/>
      </c>
      <c r="CE325" s="18" t="str">
        <f>IF(CP325&lt;&gt;1,"",DATA_INPUT!$I325)</f>
        <v/>
      </c>
      <c r="CF325" s="18" t="str">
        <f>IF(CP325&lt;&gt;1,"",CE325*CONTROL_PANEL!$B$5)</f>
        <v/>
      </c>
      <c r="CG325" s="18" t="str">
        <f>IF(CP325&lt;&gt;1,"",DATA_INPUT!$C325)</f>
        <v/>
      </c>
      <c r="CH325" s="18" t="str">
        <f t="shared" ref="CH325:CH364" si="242">IF(CP325&lt;&gt;1,"",(CG325*CD325)/1000)</f>
        <v/>
      </c>
      <c r="CI325" s="18" t="str">
        <f>IF(CP325&lt;&gt;1,"",DATA_INPUT!$H325)</f>
        <v/>
      </c>
      <c r="CJ325" s="18" t="str">
        <f t="shared" ref="CJ325:CJ364" si="243">IF(CP325&lt;&gt;1,"",((CI325*CD325)/1000))</f>
        <v/>
      </c>
      <c r="CK325" s="18" t="str">
        <f>IF(CP325&lt;&gt;1,"",CF325*CONTROL_PANEL!$B$14)</f>
        <v/>
      </c>
      <c r="CL325" s="18" t="str">
        <f>IF(CP325&lt;&gt;1,"",DATA_INPUT!$O325)</f>
        <v/>
      </c>
      <c r="CM325" s="18" t="str">
        <f t="shared" ref="CM325:CM364" si="244">IF(CP325&lt;&gt;1,"",(CC325+CF325+CH325)-(CJ325+CL325+CK325))</f>
        <v/>
      </c>
      <c r="CN325" s="18" t="str">
        <f>IF(CP325&lt;&gt;1,"",IF(CM325-CONTROL_PANEL!$B$11&lt;0,0,CM325-CONTROL_PANEL!$B$11))</f>
        <v/>
      </c>
      <c r="CO325" s="18" t="str">
        <f>IF(CP325&lt;&gt;1,"",IF(CL325&lt;=0,0,MIN(CL325,MAX(0,CONTROL_PANEL!$B$13-CM325))))</f>
        <v/>
      </c>
      <c r="CP325" s="18"/>
    </row>
    <row r="326" spans="1:94" x14ac:dyDescent="0.25">
      <c r="A326" s="19">
        <f t="shared" si="215"/>
        <v>2042</v>
      </c>
      <c r="B326" s="19">
        <f t="shared" si="220"/>
        <v>7</v>
      </c>
      <c r="C326" s="18" t="str">
        <f t="shared" si="225"/>
        <v/>
      </c>
      <c r="D326" s="18" t="str">
        <f t="shared" si="210"/>
        <v/>
      </c>
      <c r="E326" s="18" t="str">
        <f>IF(R325&lt;&gt;1,"",IF(O325&gt;0,IF(O325&gt;CONTROL_PANEL!$B$11,CONTROL_PANEL!$B$11,O325),0))</f>
        <v/>
      </c>
      <c r="F326" s="18" t="str">
        <f t="shared" si="205"/>
        <v/>
      </c>
      <c r="G326" s="18" t="str">
        <f>IF(R326&lt;&gt;1,"",DATA_INPUT!I326)</f>
        <v/>
      </c>
      <c r="H326" s="18" t="str">
        <f>IF(R326&lt;&gt;1,"",G326*CONTROL_PANEL!$B$5)</f>
        <v/>
      </c>
      <c r="I326" s="18" t="str">
        <f>IF(R326&lt;&gt;1,"",DATA_INPUT!C326)</f>
        <v/>
      </c>
      <c r="J326" s="18" t="str">
        <f t="shared" si="226"/>
        <v/>
      </c>
      <c r="K326" s="18" t="str">
        <f>IF(R326&lt;&gt;1,"",DATA_INPUT!H326)</f>
        <v/>
      </c>
      <c r="L326" s="18" t="str">
        <f t="shared" si="227"/>
        <v/>
      </c>
      <c r="M326" s="18" t="str">
        <f>IF(R326&lt;&gt;1,"",H326*CONTROL_PANEL!$B$14)</f>
        <v/>
      </c>
      <c r="N326" s="18" t="str">
        <f>IF(R326&lt;&gt;1,"",DATA_INPUT!K326)</f>
        <v/>
      </c>
      <c r="O326" s="18" t="str">
        <f t="shared" si="228"/>
        <v/>
      </c>
      <c r="P326" s="18" t="str">
        <f>IF(R326&lt;&gt;1,"",IF(O326-CONTROL_PANEL!$B$11&lt;0,0,O326-CONTROL_PANEL!$B$11))</f>
        <v/>
      </c>
      <c r="Q326" s="18" t="str">
        <f>IF(R326&lt;&gt;1,"",IF(N326&lt;=0,0,MIN(N326,MAX(0,CONTROL_PANEL!$B$13-O326))))</f>
        <v/>
      </c>
      <c r="R326" s="18"/>
      <c r="T326" s="19">
        <f t="shared" si="216"/>
        <v>2042</v>
      </c>
      <c r="U326" s="19">
        <f t="shared" si="221"/>
        <v>7</v>
      </c>
      <c r="V326" s="18" t="str">
        <f t="shared" si="229"/>
        <v/>
      </c>
      <c r="W326" s="18" t="str">
        <f t="shared" si="211"/>
        <v/>
      </c>
      <c r="X326" s="18" t="str">
        <f>IF(AK325&lt;&gt;1,"",IF(AH325&gt;0,IF(AH325&gt;CONTROL_PANEL!$B$11,CONTROL_PANEL!$B$11,AH325),0))</f>
        <v/>
      </c>
      <c r="Y326" s="18" t="str">
        <f t="shared" si="206"/>
        <v/>
      </c>
      <c r="Z326" s="18" t="str">
        <f>IF(AK326&lt;&gt;1,"",DATA_INPUT!I326)</f>
        <v/>
      </c>
      <c r="AA326" s="18" t="str">
        <f>IF(AK326&lt;&gt;1,"",Z326*CONTROL_PANEL!$B$5)</f>
        <v/>
      </c>
      <c r="AB326" s="18" t="str">
        <f>IF(AK326&lt;&gt;1,"",DATA_INPUT!$C326)</f>
        <v/>
      </c>
      <c r="AC326" s="18" t="str">
        <f t="shared" si="230"/>
        <v/>
      </c>
      <c r="AD326" s="18" t="str">
        <f>IF(AK326&lt;&gt;1,"",DATA_INPUT!$H326)</f>
        <v/>
      </c>
      <c r="AE326" s="18" t="str">
        <f t="shared" si="231"/>
        <v/>
      </c>
      <c r="AF326" s="18" t="str">
        <f>IF(AK326&lt;&gt;1,"",AA326*CONTROL_PANEL!$B$14)</f>
        <v/>
      </c>
      <c r="AG326" s="18" t="str">
        <f>IF(AK326&lt;&gt;1,"",DATA_INPUT!$L326)</f>
        <v/>
      </c>
      <c r="AH326" s="18" t="str">
        <f t="shared" si="232"/>
        <v/>
      </c>
      <c r="AI326" s="18" t="str">
        <f>IF(AK326&lt;&gt;1,"",IF(AH326-CONTROL_PANEL!$B$11&lt;0,0,AH326-CONTROL_PANEL!$B$11))</f>
        <v/>
      </c>
      <c r="AJ326" s="18" t="str">
        <f>IF(AK326&lt;&gt;1,"",IF(AG326&lt;=0,0,MIN(AG326,MAX(0,CONTROL_PANEL!$B$13-AH326))))</f>
        <v/>
      </c>
      <c r="AK326" s="18"/>
      <c r="AM326" s="19">
        <f t="shared" si="217"/>
        <v>2042</v>
      </c>
      <c r="AN326" s="19">
        <f t="shared" si="222"/>
        <v>7</v>
      </c>
      <c r="AO326" s="18" t="str">
        <f t="shared" si="233"/>
        <v/>
      </c>
      <c r="AP326" s="18" t="str">
        <f t="shared" si="212"/>
        <v/>
      </c>
      <c r="AQ326" s="18" t="str">
        <f>IF(BD325&lt;&gt;1,"",IF(BA325&gt;0,IF(BA325&gt;CONTROL_PANEL!$B$11,CONTROL_PANEL!$B$11,BA325),0))</f>
        <v/>
      </c>
      <c r="AR326" s="18" t="str">
        <f t="shared" si="207"/>
        <v/>
      </c>
      <c r="AS326" s="18" t="str">
        <f>IF(BD326&lt;&gt;1,"",DATA_INPUT!$I326)</f>
        <v/>
      </c>
      <c r="AT326" s="18" t="str">
        <f>IF(BD326&lt;&gt;1,"",AS326*CONTROL_PANEL!$B$5)</f>
        <v/>
      </c>
      <c r="AU326" s="18" t="str">
        <f>IF(BD326&lt;&gt;1,"",DATA_INPUT!$C326)</f>
        <v/>
      </c>
      <c r="AV326" s="18" t="str">
        <f t="shared" si="234"/>
        <v/>
      </c>
      <c r="AW326" s="18" t="str">
        <f>IF(BD326&lt;&gt;1,"",DATA_INPUT!$H326)</f>
        <v/>
      </c>
      <c r="AX326" s="18" t="str">
        <f t="shared" si="235"/>
        <v/>
      </c>
      <c r="AY326" s="18" t="str">
        <f>IF(BD326&lt;&gt;1,"",AT326*CONTROL_PANEL!$B$14)</f>
        <v/>
      </c>
      <c r="AZ326" s="18" t="str">
        <f>IF(BD326&lt;&gt;1,"",DATA_INPUT!$M326)</f>
        <v/>
      </c>
      <c r="BA326" s="18" t="str">
        <f t="shared" si="236"/>
        <v/>
      </c>
      <c r="BB326" s="18" t="str">
        <f>IF(BD326&lt;&gt;1,"",IF(BA326-CONTROL_PANEL!$B$11&lt;0,0,BA326-CONTROL_PANEL!$B$11))</f>
        <v/>
      </c>
      <c r="BC326" s="18" t="str">
        <f>IF(BD326&lt;&gt;1,"",IF(AZ326&lt;=0,0,MIN(AZ326,MAX(0,CONTROL_PANEL!$B$13-BA326))))</f>
        <v/>
      </c>
      <c r="BD326" s="18"/>
      <c r="BF326" s="19">
        <f t="shared" si="218"/>
        <v>2042</v>
      </c>
      <c r="BG326" s="19">
        <f t="shared" si="223"/>
        <v>7</v>
      </c>
      <c r="BH326" s="18" t="str">
        <f t="shared" si="237"/>
        <v/>
      </c>
      <c r="BI326" s="18" t="str">
        <f t="shared" si="213"/>
        <v/>
      </c>
      <c r="BJ326" s="18" t="str">
        <f>IF(BW325&lt;&gt;1,"",IF(BT325&gt;0,IF(BT325&gt;CONTROL_PANEL!$B$11,CONTROL_PANEL!$B$11,BT325),0))</f>
        <v/>
      </c>
      <c r="BK326" s="18" t="str">
        <f t="shared" si="208"/>
        <v/>
      </c>
      <c r="BL326" s="18" t="str">
        <f>IF(BW326&lt;&gt;1,"",DATA_INPUT!$I326)</f>
        <v/>
      </c>
      <c r="BM326" s="18" t="str">
        <f>IF(BW326&lt;&gt;1,"",BL326*CONTROL_PANEL!$B$5)</f>
        <v/>
      </c>
      <c r="BN326" s="18" t="str">
        <f>IF(BW326&lt;&gt;1,"",DATA_INPUT!$C326)</f>
        <v/>
      </c>
      <c r="BO326" s="18" t="str">
        <f t="shared" si="238"/>
        <v/>
      </c>
      <c r="BP326" s="18" t="str">
        <f>IF(BW326&lt;&gt;1,"",DATA_INPUT!$H326)</f>
        <v/>
      </c>
      <c r="BQ326" s="18" t="str">
        <f t="shared" si="239"/>
        <v/>
      </c>
      <c r="BR326" s="18" t="str">
        <f>IF(BW326&lt;&gt;1,"",BM326*CONTROL_PANEL!$B$14)</f>
        <v/>
      </c>
      <c r="BS326" s="18" t="str">
        <f>IF(BW326&lt;&gt;1,"",DATA_INPUT!$N326)</f>
        <v/>
      </c>
      <c r="BT326" s="18" t="str">
        <f t="shared" si="240"/>
        <v/>
      </c>
      <c r="BU326" s="18" t="str">
        <f>IF(BW326&lt;&gt;1,"",IF(BT326-CONTROL_PANEL!$B$11&lt;0,0,BT326-CONTROL_PANEL!$B$11))</f>
        <v/>
      </c>
      <c r="BV326" s="18" t="str">
        <f>IF(BW326&lt;&gt;1,"",IF(BS326&lt;=0,0,MIN(BS326,MAX(0,CONTROL_PANEL!$B$13-BT326))))</f>
        <v/>
      </c>
      <c r="BW326" s="18"/>
      <c r="BY326" s="19">
        <f t="shared" si="219"/>
        <v>2042</v>
      </c>
      <c r="BZ326" s="19">
        <f t="shared" si="224"/>
        <v>7</v>
      </c>
      <c r="CA326" s="18" t="str">
        <f t="shared" si="241"/>
        <v/>
      </c>
      <c r="CB326" s="18" t="str">
        <f t="shared" si="214"/>
        <v/>
      </c>
      <c r="CC326" s="18" t="str">
        <f>IF(CP325&lt;&gt;1,"",IF(CM325&gt;0,IF(CM325&gt;CONTROL_PANEL!$B$11,CONTROL_PANEL!$B$11,CM325),0))</f>
        <v/>
      </c>
      <c r="CD326" s="18" t="str">
        <f t="shared" si="209"/>
        <v/>
      </c>
      <c r="CE326" s="18" t="str">
        <f>IF(CP326&lt;&gt;1,"",DATA_INPUT!$I326)</f>
        <v/>
      </c>
      <c r="CF326" s="18" t="str">
        <f>IF(CP326&lt;&gt;1,"",CE326*CONTROL_PANEL!$B$5)</f>
        <v/>
      </c>
      <c r="CG326" s="18" t="str">
        <f>IF(CP326&lt;&gt;1,"",DATA_INPUT!$C326)</f>
        <v/>
      </c>
      <c r="CH326" s="18" t="str">
        <f t="shared" si="242"/>
        <v/>
      </c>
      <c r="CI326" s="18" t="str">
        <f>IF(CP326&lt;&gt;1,"",DATA_INPUT!$H326)</f>
        <v/>
      </c>
      <c r="CJ326" s="18" t="str">
        <f t="shared" si="243"/>
        <v/>
      </c>
      <c r="CK326" s="18" t="str">
        <f>IF(CP326&lt;&gt;1,"",CF326*CONTROL_PANEL!$B$14)</f>
        <v/>
      </c>
      <c r="CL326" s="18" t="str">
        <f>IF(CP326&lt;&gt;1,"",DATA_INPUT!$O326)</f>
        <v/>
      </c>
      <c r="CM326" s="18" t="str">
        <f t="shared" si="244"/>
        <v/>
      </c>
      <c r="CN326" s="18" t="str">
        <f>IF(CP326&lt;&gt;1,"",IF(CM326-CONTROL_PANEL!$B$11&lt;0,0,CM326-CONTROL_PANEL!$B$11))</f>
        <v/>
      </c>
      <c r="CO326" s="18" t="str">
        <f>IF(CP326&lt;&gt;1,"",IF(CL326&lt;=0,0,MIN(CL326,MAX(0,CONTROL_PANEL!$B$13-CM326))))</f>
        <v/>
      </c>
      <c r="CP326" s="18"/>
    </row>
    <row r="327" spans="1:94" x14ac:dyDescent="0.25">
      <c r="A327" s="19">
        <f t="shared" si="215"/>
        <v>2042</v>
      </c>
      <c r="B327" s="19">
        <f t="shared" si="220"/>
        <v>8</v>
      </c>
      <c r="C327" s="18" t="str">
        <f t="shared" si="225"/>
        <v/>
      </c>
      <c r="D327" s="18" t="str">
        <f t="shared" si="210"/>
        <v/>
      </c>
      <c r="E327" s="18" t="str">
        <f>IF(R326&lt;&gt;1,"",IF(O326&gt;0,IF(O326&gt;CONTROL_PANEL!$B$11,CONTROL_PANEL!$B$11,O326),0))</f>
        <v/>
      </c>
      <c r="F327" s="18" t="str">
        <f t="shared" si="205"/>
        <v/>
      </c>
      <c r="G327" s="18" t="str">
        <f>IF(R327&lt;&gt;1,"",DATA_INPUT!I327)</f>
        <v/>
      </c>
      <c r="H327" s="18" t="str">
        <f>IF(R327&lt;&gt;1,"",G327*CONTROL_PANEL!$B$5)</f>
        <v/>
      </c>
      <c r="I327" s="18" t="str">
        <f>IF(R327&lt;&gt;1,"",DATA_INPUT!C327)</f>
        <v/>
      </c>
      <c r="J327" s="18" t="str">
        <f t="shared" si="226"/>
        <v/>
      </c>
      <c r="K327" s="18" t="str">
        <f>IF(R327&lt;&gt;1,"",DATA_INPUT!H327)</f>
        <v/>
      </c>
      <c r="L327" s="18" t="str">
        <f t="shared" si="227"/>
        <v/>
      </c>
      <c r="M327" s="18" t="str">
        <f>IF(R327&lt;&gt;1,"",H327*CONTROL_PANEL!$B$14)</f>
        <v/>
      </c>
      <c r="N327" s="18" t="str">
        <f>IF(R327&lt;&gt;1,"",DATA_INPUT!K327)</f>
        <v/>
      </c>
      <c r="O327" s="18" t="str">
        <f t="shared" si="228"/>
        <v/>
      </c>
      <c r="P327" s="18" t="str">
        <f>IF(R327&lt;&gt;1,"",IF(O327-CONTROL_PANEL!$B$11&lt;0,0,O327-CONTROL_PANEL!$B$11))</f>
        <v/>
      </c>
      <c r="Q327" s="18" t="str">
        <f>IF(R327&lt;&gt;1,"",IF(N327&lt;=0,0,MIN(N327,MAX(0,CONTROL_PANEL!$B$13-O327))))</f>
        <v/>
      </c>
      <c r="R327" s="18"/>
      <c r="T327" s="19">
        <f t="shared" si="216"/>
        <v>2042</v>
      </c>
      <c r="U327" s="19">
        <f t="shared" si="221"/>
        <v>8</v>
      </c>
      <c r="V327" s="18" t="str">
        <f t="shared" si="229"/>
        <v/>
      </c>
      <c r="W327" s="18" t="str">
        <f t="shared" si="211"/>
        <v/>
      </c>
      <c r="X327" s="18" t="str">
        <f>IF(AK326&lt;&gt;1,"",IF(AH326&gt;0,IF(AH326&gt;CONTROL_PANEL!$B$11,CONTROL_PANEL!$B$11,AH326),0))</f>
        <v/>
      </c>
      <c r="Y327" s="18" t="str">
        <f t="shared" si="206"/>
        <v/>
      </c>
      <c r="Z327" s="18" t="str">
        <f>IF(AK327&lt;&gt;1,"",DATA_INPUT!I327)</f>
        <v/>
      </c>
      <c r="AA327" s="18" t="str">
        <f>IF(AK327&lt;&gt;1,"",Z327*CONTROL_PANEL!$B$5)</f>
        <v/>
      </c>
      <c r="AB327" s="18" t="str">
        <f>IF(AK327&lt;&gt;1,"",DATA_INPUT!$C327)</f>
        <v/>
      </c>
      <c r="AC327" s="18" t="str">
        <f t="shared" si="230"/>
        <v/>
      </c>
      <c r="AD327" s="18" t="str">
        <f>IF(AK327&lt;&gt;1,"",DATA_INPUT!$H327)</f>
        <v/>
      </c>
      <c r="AE327" s="18" t="str">
        <f t="shared" si="231"/>
        <v/>
      </c>
      <c r="AF327" s="18" t="str">
        <f>IF(AK327&lt;&gt;1,"",AA327*CONTROL_PANEL!$B$14)</f>
        <v/>
      </c>
      <c r="AG327" s="18" t="str">
        <f>IF(AK327&lt;&gt;1,"",DATA_INPUT!$L327)</f>
        <v/>
      </c>
      <c r="AH327" s="18" t="str">
        <f t="shared" si="232"/>
        <v/>
      </c>
      <c r="AI327" s="18" t="str">
        <f>IF(AK327&lt;&gt;1,"",IF(AH327-CONTROL_PANEL!$B$11&lt;0,0,AH327-CONTROL_PANEL!$B$11))</f>
        <v/>
      </c>
      <c r="AJ327" s="18" t="str">
        <f>IF(AK327&lt;&gt;1,"",IF(AG327&lt;=0,0,MIN(AG327,MAX(0,CONTROL_PANEL!$B$13-AH327))))</f>
        <v/>
      </c>
      <c r="AK327" s="18"/>
      <c r="AM327" s="19">
        <f t="shared" si="217"/>
        <v>2042</v>
      </c>
      <c r="AN327" s="19">
        <f t="shared" si="222"/>
        <v>8</v>
      </c>
      <c r="AO327" s="18" t="str">
        <f t="shared" si="233"/>
        <v/>
      </c>
      <c r="AP327" s="18" t="str">
        <f t="shared" si="212"/>
        <v/>
      </c>
      <c r="AQ327" s="18" t="str">
        <f>IF(BD326&lt;&gt;1,"",IF(BA326&gt;0,IF(BA326&gt;CONTROL_PANEL!$B$11,CONTROL_PANEL!$B$11,BA326),0))</f>
        <v/>
      </c>
      <c r="AR327" s="18" t="str">
        <f t="shared" si="207"/>
        <v/>
      </c>
      <c r="AS327" s="18" t="str">
        <f>IF(BD327&lt;&gt;1,"",DATA_INPUT!$I327)</f>
        <v/>
      </c>
      <c r="AT327" s="18" t="str">
        <f>IF(BD327&lt;&gt;1,"",AS327*CONTROL_PANEL!$B$5)</f>
        <v/>
      </c>
      <c r="AU327" s="18" t="str">
        <f>IF(BD327&lt;&gt;1,"",DATA_INPUT!$C327)</f>
        <v/>
      </c>
      <c r="AV327" s="18" t="str">
        <f t="shared" si="234"/>
        <v/>
      </c>
      <c r="AW327" s="18" t="str">
        <f>IF(BD327&lt;&gt;1,"",DATA_INPUT!$H327)</f>
        <v/>
      </c>
      <c r="AX327" s="18" t="str">
        <f t="shared" si="235"/>
        <v/>
      </c>
      <c r="AY327" s="18" t="str">
        <f>IF(BD327&lt;&gt;1,"",AT327*CONTROL_PANEL!$B$14)</f>
        <v/>
      </c>
      <c r="AZ327" s="18" t="str">
        <f>IF(BD327&lt;&gt;1,"",DATA_INPUT!$M327)</f>
        <v/>
      </c>
      <c r="BA327" s="18" t="str">
        <f t="shared" si="236"/>
        <v/>
      </c>
      <c r="BB327" s="18" t="str">
        <f>IF(BD327&lt;&gt;1,"",IF(BA327-CONTROL_PANEL!$B$11&lt;0,0,BA327-CONTROL_PANEL!$B$11))</f>
        <v/>
      </c>
      <c r="BC327" s="18" t="str">
        <f>IF(BD327&lt;&gt;1,"",IF(AZ327&lt;=0,0,MIN(AZ327,MAX(0,CONTROL_PANEL!$B$13-BA327))))</f>
        <v/>
      </c>
      <c r="BD327" s="18"/>
      <c r="BF327" s="19">
        <f t="shared" si="218"/>
        <v>2042</v>
      </c>
      <c r="BG327" s="19">
        <f t="shared" si="223"/>
        <v>8</v>
      </c>
      <c r="BH327" s="18" t="str">
        <f t="shared" si="237"/>
        <v/>
      </c>
      <c r="BI327" s="18" t="str">
        <f t="shared" si="213"/>
        <v/>
      </c>
      <c r="BJ327" s="18" t="str">
        <f>IF(BW326&lt;&gt;1,"",IF(BT326&gt;0,IF(BT326&gt;CONTROL_PANEL!$B$11,CONTROL_PANEL!$B$11,BT326),0))</f>
        <v/>
      </c>
      <c r="BK327" s="18" t="str">
        <f t="shared" si="208"/>
        <v/>
      </c>
      <c r="BL327" s="18" t="str">
        <f>IF(BW327&lt;&gt;1,"",DATA_INPUT!$I327)</f>
        <v/>
      </c>
      <c r="BM327" s="18" t="str">
        <f>IF(BW327&lt;&gt;1,"",BL327*CONTROL_PANEL!$B$5)</f>
        <v/>
      </c>
      <c r="BN327" s="18" t="str">
        <f>IF(BW327&lt;&gt;1,"",DATA_INPUT!$C327)</f>
        <v/>
      </c>
      <c r="BO327" s="18" t="str">
        <f t="shared" si="238"/>
        <v/>
      </c>
      <c r="BP327" s="18" t="str">
        <f>IF(BW327&lt;&gt;1,"",DATA_INPUT!$H327)</f>
        <v/>
      </c>
      <c r="BQ327" s="18" t="str">
        <f t="shared" si="239"/>
        <v/>
      </c>
      <c r="BR327" s="18" t="str">
        <f>IF(BW327&lt;&gt;1,"",BM327*CONTROL_PANEL!$B$14)</f>
        <v/>
      </c>
      <c r="BS327" s="18" t="str">
        <f>IF(BW327&lt;&gt;1,"",DATA_INPUT!$N327)</f>
        <v/>
      </c>
      <c r="BT327" s="18" t="str">
        <f t="shared" si="240"/>
        <v/>
      </c>
      <c r="BU327" s="18" t="str">
        <f>IF(BW327&lt;&gt;1,"",IF(BT327-CONTROL_PANEL!$B$11&lt;0,0,BT327-CONTROL_PANEL!$B$11))</f>
        <v/>
      </c>
      <c r="BV327" s="18" t="str">
        <f>IF(BW327&lt;&gt;1,"",IF(BS327&lt;=0,0,MIN(BS327,MAX(0,CONTROL_PANEL!$B$13-BT327))))</f>
        <v/>
      </c>
      <c r="BW327" s="18"/>
      <c r="BY327" s="19">
        <f t="shared" si="219"/>
        <v>2042</v>
      </c>
      <c r="BZ327" s="19">
        <f t="shared" si="224"/>
        <v>8</v>
      </c>
      <c r="CA327" s="18" t="str">
        <f t="shared" si="241"/>
        <v/>
      </c>
      <c r="CB327" s="18" t="str">
        <f t="shared" si="214"/>
        <v/>
      </c>
      <c r="CC327" s="18" t="str">
        <f>IF(CP326&lt;&gt;1,"",IF(CM326&gt;0,IF(CM326&gt;CONTROL_PANEL!$B$11,CONTROL_PANEL!$B$11,CM326),0))</f>
        <v/>
      </c>
      <c r="CD327" s="18" t="str">
        <f t="shared" si="209"/>
        <v/>
      </c>
      <c r="CE327" s="18" t="str">
        <f>IF(CP327&lt;&gt;1,"",DATA_INPUT!$I327)</f>
        <v/>
      </c>
      <c r="CF327" s="18" t="str">
        <f>IF(CP327&lt;&gt;1,"",CE327*CONTROL_PANEL!$B$5)</f>
        <v/>
      </c>
      <c r="CG327" s="18" t="str">
        <f>IF(CP327&lt;&gt;1,"",DATA_INPUT!$C327)</f>
        <v/>
      </c>
      <c r="CH327" s="18" t="str">
        <f t="shared" si="242"/>
        <v/>
      </c>
      <c r="CI327" s="18" t="str">
        <f>IF(CP327&lt;&gt;1,"",DATA_INPUT!$H327)</f>
        <v/>
      </c>
      <c r="CJ327" s="18" t="str">
        <f t="shared" si="243"/>
        <v/>
      </c>
      <c r="CK327" s="18" t="str">
        <f>IF(CP327&lt;&gt;1,"",CF327*CONTROL_PANEL!$B$14)</f>
        <v/>
      </c>
      <c r="CL327" s="18" t="str">
        <f>IF(CP327&lt;&gt;1,"",DATA_INPUT!$O327)</f>
        <v/>
      </c>
      <c r="CM327" s="18" t="str">
        <f t="shared" si="244"/>
        <v/>
      </c>
      <c r="CN327" s="18" t="str">
        <f>IF(CP327&lt;&gt;1,"",IF(CM327-CONTROL_PANEL!$B$11&lt;0,0,CM327-CONTROL_PANEL!$B$11))</f>
        <v/>
      </c>
      <c r="CO327" s="18" t="str">
        <f>IF(CP327&lt;&gt;1,"",IF(CL327&lt;=0,0,MIN(CL327,MAX(0,CONTROL_PANEL!$B$13-CM327))))</f>
        <v/>
      </c>
      <c r="CP327" s="18"/>
    </row>
    <row r="328" spans="1:94" x14ac:dyDescent="0.25">
      <c r="A328" s="19">
        <f t="shared" si="215"/>
        <v>2042</v>
      </c>
      <c r="B328" s="19">
        <f t="shared" si="220"/>
        <v>9</v>
      </c>
      <c r="C328" s="18" t="str">
        <f t="shared" si="225"/>
        <v/>
      </c>
      <c r="D328" s="18" t="str">
        <f t="shared" si="210"/>
        <v/>
      </c>
      <c r="E328" s="18" t="str">
        <f>IF(R327&lt;&gt;1,"",IF(O327&gt;0,IF(O327&gt;CONTROL_PANEL!$B$11,CONTROL_PANEL!$B$11,O327),0))</f>
        <v/>
      </c>
      <c r="F328" s="18" t="str">
        <f t="shared" ref="F328:F364" si="245">IF(R328&lt;&gt;1,"",0.6*(D328-235)^2.02*10000)</f>
        <v/>
      </c>
      <c r="G328" s="18" t="str">
        <f>IF(R328&lt;&gt;1,"",DATA_INPUT!I328)</f>
        <v/>
      </c>
      <c r="H328" s="18" t="str">
        <f>IF(R328&lt;&gt;1,"",G328*CONTROL_PANEL!$B$5)</f>
        <v/>
      </c>
      <c r="I328" s="18" t="str">
        <f>IF(R328&lt;&gt;1,"",DATA_INPUT!C328)</f>
        <v/>
      </c>
      <c r="J328" s="18" t="str">
        <f t="shared" si="226"/>
        <v/>
      </c>
      <c r="K328" s="18" t="str">
        <f>IF(R328&lt;&gt;1,"",DATA_INPUT!H328)</f>
        <v/>
      </c>
      <c r="L328" s="18" t="str">
        <f t="shared" si="227"/>
        <v/>
      </c>
      <c r="M328" s="18" t="str">
        <f>IF(R328&lt;&gt;1,"",H328*CONTROL_PANEL!$B$14)</f>
        <v/>
      </c>
      <c r="N328" s="18" t="str">
        <f>IF(R328&lt;&gt;1,"",DATA_INPUT!K328)</f>
        <v/>
      </c>
      <c r="O328" s="18" t="str">
        <f t="shared" si="228"/>
        <v/>
      </c>
      <c r="P328" s="18" t="str">
        <f>IF(R328&lt;&gt;1,"",IF(O328-CONTROL_PANEL!$B$11&lt;0,0,O328-CONTROL_PANEL!$B$11))</f>
        <v/>
      </c>
      <c r="Q328" s="18" t="str">
        <f>IF(R328&lt;&gt;1,"",IF(N328&lt;=0,0,MIN(N328,MAX(0,CONTROL_PANEL!$B$13-O328))))</f>
        <v/>
      </c>
      <c r="R328" s="18"/>
      <c r="T328" s="19">
        <f t="shared" si="216"/>
        <v>2042</v>
      </c>
      <c r="U328" s="19">
        <f t="shared" si="221"/>
        <v>9</v>
      </c>
      <c r="V328" s="18" t="str">
        <f t="shared" si="229"/>
        <v/>
      </c>
      <c r="W328" s="18" t="str">
        <f t="shared" si="211"/>
        <v/>
      </c>
      <c r="X328" s="18" t="str">
        <f>IF(AK327&lt;&gt;1,"",IF(AH327&gt;0,IF(AH327&gt;CONTROL_PANEL!$B$11,CONTROL_PANEL!$B$11,AH327),0))</f>
        <v/>
      </c>
      <c r="Y328" s="18" t="str">
        <f t="shared" ref="Y328:Y364" si="246">IF(AK328&lt;&gt;1,"",0.6*(W328-235)^2.02*10000)</f>
        <v/>
      </c>
      <c r="Z328" s="18" t="str">
        <f>IF(AK328&lt;&gt;1,"",DATA_INPUT!I328)</f>
        <v/>
      </c>
      <c r="AA328" s="18" t="str">
        <f>IF(AK328&lt;&gt;1,"",Z328*CONTROL_PANEL!$B$5)</f>
        <v/>
      </c>
      <c r="AB328" s="18" t="str">
        <f>IF(AK328&lt;&gt;1,"",DATA_INPUT!$C328)</f>
        <v/>
      </c>
      <c r="AC328" s="18" t="str">
        <f t="shared" si="230"/>
        <v/>
      </c>
      <c r="AD328" s="18" t="str">
        <f>IF(AK328&lt;&gt;1,"",DATA_INPUT!$H328)</f>
        <v/>
      </c>
      <c r="AE328" s="18" t="str">
        <f t="shared" si="231"/>
        <v/>
      </c>
      <c r="AF328" s="18" t="str">
        <f>IF(AK328&lt;&gt;1,"",AA328*CONTROL_PANEL!$B$14)</f>
        <v/>
      </c>
      <c r="AG328" s="18" t="str">
        <f>IF(AK328&lt;&gt;1,"",DATA_INPUT!$L328)</f>
        <v/>
      </c>
      <c r="AH328" s="18" t="str">
        <f t="shared" si="232"/>
        <v/>
      </c>
      <c r="AI328" s="18" t="str">
        <f>IF(AK328&lt;&gt;1,"",IF(AH328-CONTROL_PANEL!$B$11&lt;0,0,AH328-CONTROL_PANEL!$B$11))</f>
        <v/>
      </c>
      <c r="AJ328" s="18" t="str">
        <f>IF(AK328&lt;&gt;1,"",IF(AG328&lt;=0,0,MIN(AG328,MAX(0,CONTROL_PANEL!$B$13-AH328))))</f>
        <v/>
      </c>
      <c r="AK328" s="18"/>
      <c r="AM328" s="19">
        <f t="shared" si="217"/>
        <v>2042</v>
      </c>
      <c r="AN328" s="19">
        <f t="shared" si="222"/>
        <v>9</v>
      </c>
      <c r="AO328" s="18" t="str">
        <f t="shared" si="233"/>
        <v/>
      </c>
      <c r="AP328" s="18" t="str">
        <f t="shared" si="212"/>
        <v/>
      </c>
      <c r="AQ328" s="18" t="str">
        <f>IF(BD327&lt;&gt;1,"",IF(BA327&gt;0,IF(BA327&gt;CONTROL_PANEL!$B$11,CONTROL_PANEL!$B$11,BA327),0))</f>
        <v/>
      </c>
      <c r="AR328" s="18" t="str">
        <f t="shared" ref="AR328:AR364" si="247">IF(BD328&lt;&gt;1,"",0.6*(AP328-235)^2.02*10000)</f>
        <v/>
      </c>
      <c r="AS328" s="18" t="str">
        <f>IF(BD328&lt;&gt;1,"",DATA_INPUT!$I328)</f>
        <v/>
      </c>
      <c r="AT328" s="18" t="str">
        <f>IF(BD328&lt;&gt;1,"",AS328*CONTROL_PANEL!$B$5)</f>
        <v/>
      </c>
      <c r="AU328" s="18" t="str">
        <f>IF(BD328&lt;&gt;1,"",DATA_INPUT!$C328)</f>
        <v/>
      </c>
      <c r="AV328" s="18" t="str">
        <f t="shared" si="234"/>
        <v/>
      </c>
      <c r="AW328" s="18" t="str">
        <f>IF(BD328&lt;&gt;1,"",DATA_INPUT!$H328)</f>
        <v/>
      </c>
      <c r="AX328" s="18" t="str">
        <f t="shared" si="235"/>
        <v/>
      </c>
      <c r="AY328" s="18" t="str">
        <f>IF(BD328&lt;&gt;1,"",AT328*CONTROL_PANEL!$B$14)</f>
        <v/>
      </c>
      <c r="AZ328" s="18" t="str">
        <f>IF(BD328&lt;&gt;1,"",DATA_INPUT!$M328)</f>
        <v/>
      </c>
      <c r="BA328" s="18" t="str">
        <f t="shared" si="236"/>
        <v/>
      </c>
      <c r="BB328" s="18" t="str">
        <f>IF(BD328&lt;&gt;1,"",IF(BA328-CONTROL_PANEL!$B$11&lt;0,0,BA328-CONTROL_PANEL!$B$11))</f>
        <v/>
      </c>
      <c r="BC328" s="18" t="str">
        <f>IF(BD328&lt;&gt;1,"",IF(AZ328&lt;=0,0,MIN(AZ328,MAX(0,CONTROL_PANEL!$B$13-BA328))))</f>
        <v/>
      </c>
      <c r="BD328" s="18"/>
      <c r="BF328" s="19">
        <f t="shared" si="218"/>
        <v>2042</v>
      </c>
      <c r="BG328" s="19">
        <f t="shared" si="223"/>
        <v>9</v>
      </c>
      <c r="BH328" s="18" t="str">
        <f t="shared" si="237"/>
        <v/>
      </c>
      <c r="BI328" s="18" t="str">
        <f t="shared" si="213"/>
        <v/>
      </c>
      <c r="BJ328" s="18" t="str">
        <f>IF(BW327&lt;&gt;1,"",IF(BT327&gt;0,IF(BT327&gt;CONTROL_PANEL!$B$11,CONTROL_PANEL!$B$11,BT327),0))</f>
        <v/>
      </c>
      <c r="BK328" s="18" t="str">
        <f t="shared" ref="BK328:BK364" si="248">IF(BW328&lt;&gt;1,"",0.6*(BI328-235)^2.02*10000)</f>
        <v/>
      </c>
      <c r="BL328" s="18" t="str">
        <f>IF(BW328&lt;&gt;1,"",DATA_INPUT!$I328)</f>
        <v/>
      </c>
      <c r="BM328" s="18" t="str">
        <f>IF(BW328&lt;&gt;1,"",BL328*CONTROL_PANEL!$B$5)</f>
        <v/>
      </c>
      <c r="BN328" s="18" t="str">
        <f>IF(BW328&lt;&gt;1,"",DATA_INPUT!$C328)</f>
        <v/>
      </c>
      <c r="BO328" s="18" t="str">
        <f t="shared" si="238"/>
        <v/>
      </c>
      <c r="BP328" s="18" t="str">
        <f>IF(BW328&lt;&gt;1,"",DATA_INPUT!$H328)</f>
        <v/>
      </c>
      <c r="BQ328" s="18" t="str">
        <f t="shared" si="239"/>
        <v/>
      </c>
      <c r="BR328" s="18" t="str">
        <f>IF(BW328&lt;&gt;1,"",BM328*CONTROL_PANEL!$B$14)</f>
        <v/>
      </c>
      <c r="BS328" s="18" t="str">
        <f>IF(BW328&lt;&gt;1,"",DATA_INPUT!$N328)</f>
        <v/>
      </c>
      <c r="BT328" s="18" t="str">
        <f t="shared" si="240"/>
        <v/>
      </c>
      <c r="BU328" s="18" t="str">
        <f>IF(BW328&lt;&gt;1,"",IF(BT328-CONTROL_PANEL!$B$11&lt;0,0,BT328-CONTROL_PANEL!$B$11))</f>
        <v/>
      </c>
      <c r="BV328" s="18" t="str">
        <f>IF(BW328&lt;&gt;1,"",IF(BS328&lt;=0,0,MIN(BS328,MAX(0,CONTROL_PANEL!$B$13-BT328))))</f>
        <v/>
      </c>
      <c r="BW328" s="18"/>
      <c r="BY328" s="19">
        <f t="shared" si="219"/>
        <v>2042</v>
      </c>
      <c r="BZ328" s="19">
        <f t="shared" si="224"/>
        <v>9</v>
      </c>
      <c r="CA328" s="18" t="str">
        <f t="shared" si="241"/>
        <v/>
      </c>
      <c r="CB328" s="18" t="str">
        <f t="shared" si="214"/>
        <v/>
      </c>
      <c r="CC328" s="18" t="str">
        <f>IF(CP327&lt;&gt;1,"",IF(CM327&gt;0,IF(CM327&gt;CONTROL_PANEL!$B$11,CONTROL_PANEL!$B$11,CM327),0))</f>
        <v/>
      </c>
      <c r="CD328" s="18" t="str">
        <f t="shared" ref="CD328:CD364" si="249">IF(CP328&lt;&gt;1,"",0.6*(CB328-235)^2.02*10000)</f>
        <v/>
      </c>
      <c r="CE328" s="18" t="str">
        <f>IF(CP328&lt;&gt;1,"",DATA_INPUT!$I328)</f>
        <v/>
      </c>
      <c r="CF328" s="18" t="str">
        <f>IF(CP328&lt;&gt;1,"",CE328*CONTROL_PANEL!$B$5)</f>
        <v/>
      </c>
      <c r="CG328" s="18" t="str">
        <f>IF(CP328&lt;&gt;1,"",DATA_INPUT!$C328)</f>
        <v/>
      </c>
      <c r="CH328" s="18" t="str">
        <f t="shared" si="242"/>
        <v/>
      </c>
      <c r="CI328" s="18" t="str">
        <f>IF(CP328&lt;&gt;1,"",DATA_INPUT!$H328)</f>
        <v/>
      </c>
      <c r="CJ328" s="18" t="str">
        <f t="shared" si="243"/>
        <v/>
      </c>
      <c r="CK328" s="18" t="str">
        <f>IF(CP328&lt;&gt;1,"",CF328*CONTROL_PANEL!$B$14)</f>
        <v/>
      </c>
      <c r="CL328" s="18" t="str">
        <f>IF(CP328&lt;&gt;1,"",DATA_INPUT!$O328)</f>
        <v/>
      </c>
      <c r="CM328" s="18" t="str">
        <f t="shared" si="244"/>
        <v/>
      </c>
      <c r="CN328" s="18" t="str">
        <f>IF(CP328&lt;&gt;1,"",IF(CM328-CONTROL_PANEL!$B$11&lt;0,0,CM328-CONTROL_PANEL!$B$11))</f>
        <v/>
      </c>
      <c r="CO328" s="18" t="str">
        <f>IF(CP328&lt;&gt;1,"",IF(CL328&lt;=0,0,MIN(CL328,MAX(0,CONTROL_PANEL!$B$13-CM328))))</f>
        <v/>
      </c>
      <c r="CP328" s="18"/>
    </row>
    <row r="329" spans="1:94" x14ac:dyDescent="0.25">
      <c r="A329" s="19">
        <f t="shared" si="215"/>
        <v>2042</v>
      </c>
      <c r="B329" s="19">
        <f t="shared" si="220"/>
        <v>10</v>
      </c>
      <c r="C329" s="18" t="str">
        <f t="shared" si="225"/>
        <v/>
      </c>
      <c r="D329" s="18" t="str">
        <f t="shared" si="210"/>
        <v/>
      </c>
      <c r="E329" s="18" t="str">
        <f>IF(R328&lt;&gt;1,"",IF(O328&gt;0,IF(O328&gt;CONTROL_PANEL!$B$11,CONTROL_PANEL!$B$11,O328),0))</f>
        <v/>
      </c>
      <c r="F329" s="18" t="str">
        <f t="shared" si="245"/>
        <v/>
      </c>
      <c r="G329" s="18" t="str">
        <f>IF(R329&lt;&gt;1,"",DATA_INPUT!I329)</f>
        <v/>
      </c>
      <c r="H329" s="18" t="str">
        <f>IF(R329&lt;&gt;1,"",G329*CONTROL_PANEL!$B$5)</f>
        <v/>
      </c>
      <c r="I329" s="18" t="str">
        <f>IF(R329&lt;&gt;1,"",DATA_INPUT!C329)</f>
        <v/>
      </c>
      <c r="J329" s="18" t="str">
        <f t="shared" si="226"/>
        <v/>
      </c>
      <c r="K329" s="18" t="str">
        <f>IF(R329&lt;&gt;1,"",DATA_INPUT!H329)</f>
        <v/>
      </c>
      <c r="L329" s="18" t="str">
        <f t="shared" si="227"/>
        <v/>
      </c>
      <c r="M329" s="18" t="str">
        <f>IF(R329&lt;&gt;1,"",H329*CONTROL_PANEL!$B$14)</f>
        <v/>
      </c>
      <c r="N329" s="18" t="str">
        <f>IF(R329&lt;&gt;1,"",DATA_INPUT!K329)</f>
        <v/>
      </c>
      <c r="O329" s="18" t="str">
        <f t="shared" si="228"/>
        <v/>
      </c>
      <c r="P329" s="18" t="str">
        <f>IF(R329&lt;&gt;1,"",IF(O329-CONTROL_PANEL!$B$11&lt;0,0,O329-CONTROL_PANEL!$B$11))</f>
        <v/>
      </c>
      <c r="Q329" s="18" t="str">
        <f>IF(R329&lt;&gt;1,"",IF(N329&lt;=0,0,MIN(N329,MAX(0,CONTROL_PANEL!$B$13-O329))))</f>
        <v/>
      </c>
      <c r="R329" s="18"/>
      <c r="T329" s="19">
        <f t="shared" si="216"/>
        <v>2042</v>
      </c>
      <c r="U329" s="19">
        <f t="shared" si="221"/>
        <v>10</v>
      </c>
      <c r="V329" s="18" t="str">
        <f t="shared" si="229"/>
        <v/>
      </c>
      <c r="W329" s="18" t="str">
        <f t="shared" si="211"/>
        <v/>
      </c>
      <c r="X329" s="18" t="str">
        <f>IF(AK328&lt;&gt;1,"",IF(AH328&gt;0,IF(AH328&gt;CONTROL_PANEL!$B$11,CONTROL_PANEL!$B$11,AH328),0))</f>
        <v/>
      </c>
      <c r="Y329" s="18" t="str">
        <f t="shared" si="246"/>
        <v/>
      </c>
      <c r="Z329" s="18" t="str">
        <f>IF(AK329&lt;&gt;1,"",DATA_INPUT!I329)</f>
        <v/>
      </c>
      <c r="AA329" s="18" t="str">
        <f>IF(AK329&lt;&gt;1,"",Z329*CONTROL_PANEL!$B$5)</f>
        <v/>
      </c>
      <c r="AB329" s="18" t="str">
        <f>IF(AK329&lt;&gt;1,"",DATA_INPUT!$C329)</f>
        <v/>
      </c>
      <c r="AC329" s="18" t="str">
        <f t="shared" si="230"/>
        <v/>
      </c>
      <c r="AD329" s="18" t="str">
        <f>IF(AK329&lt;&gt;1,"",DATA_INPUT!$H329)</f>
        <v/>
      </c>
      <c r="AE329" s="18" t="str">
        <f t="shared" si="231"/>
        <v/>
      </c>
      <c r="AF329" s="18" t="str">
        <f>IF(AK329&lt;&gt;1,"",AA329*CONTROL_PANEL!$B$14)</f>
        <v/>
      </c>
      <c r="AG329" s="18" t="str">
        <f>IF(AK329&lt;&gt;1,"",DATA_INPUT!$L329)</f>
        <v/>
      </c>
      <c r="AH329" s="18" t="str">
        <f t="shared" si="232"/>
        <v/>
      </c>
      <c r="AI329" s="18" t="str">
        <f>IF(AK329&lt;&gt;1,"",IF(AH329-CONTROL_PANEL!$B$11&lt;0,0,AH329-CONTROL_PANEL!$B$11))</f>
        <v/>
      </c>
      <c r="AJ329" s="18" t="str">
        <f>IF(AK329&lt;&gt;1,"",IF(AG329&lt;=0,0,MIN(AG329,MAX(0,CONTROL_PANEL!$B$13-AH329))))</f>
        <v/>
      </c>
      <c r="AK329" s="18"/>
      <c r="AM329" s="19">
        <f t="shared" si="217"/>
        <v>2042</v>
      </c>
      <c r="AN329" s="19">
        <f t="shared" si="222"/>
        <v>10</v>
      </c>
      <c r="AO329" s="18" t="str">
        <f t="shared" si="233"/>
        <v/>
      </c>
      <c r="AP329" s="18" t="str">
        <f t="shared" si="212"/>
        <v/>
      </c>
      <c r="AQ329" s="18" t="str">
        <f>IF(BD328&lt;&gt;1,"",IF(BA328&gt;0,IF(BA328&gt;CONTROL_PANEL!$B$11,CONTROL_PANEL!$B$11,BA328),0))</f>
        <v/>
      </c>
      <c r="AR329" s="18" t="str">
        <f t="shared" si="247"/>
        <v/>
      </c>
      <c r="AS329" s="18" t="str">
        <f>IF(BD329&lt;&gt;1,"",DATA_INPUT!$I329)</f>
        <v/>
      </c>
      <c r="AT329" s="18" t="str">
        <f>IF(BD329&lt;&gt;1,"",AS329*CONTROL_PANEL!$B$5)</f>
        <v/>
      </c>
      <c r="AU329" s="18" t="str">
        <f>IF(BD329&lt;&gt;1,"",DATA_INPUT!$C329)</f>
        <v/>
      </c>
      <c r="AV329" s="18" t="str">
        <f t="shared" si="234"/>
        <v/>
      </c>
      <c r="AW329" s="18" t="str">
        <f>IF(BD329&lt;&gt;1,"",DATA_INPUT!$H329)</f>
        <v/>
      </c>
      <c r="AX329" s="18" t="str">
        <f t="shared" si="235"/>
        <v/>
      </c>
      <c r="AY329" s="18" t="str">
        <f>IF(BD329&lt;&gt;1,"",AT329*CONTROL_PANEL!$B$14)</f>
        <v/>
      </c>
      <c r="AZ329" s="18" t="str">
        <f>IF(BD329&lt;&gt;1,"",DATA_INPUT!$M329)</f>
        <v/>
      </c>
      <c r="BA329" s="18" t="str">
        <f t="shared" si="236"/>
        <v/>
      </c>
      <c r="BB329" s="18" t="str">
        <f>IF(BD329&lt;&gt;1,"",IF(BA329-CONTROL_PANEL!$B$11&lt;0,0,BA329-CONTROL_PANEL!$B$11))</f>
        <v/>
      </c>
      <c r="BC329" s="18" t="str">
        <f>IF(BD329&lt;&gt;1,"",IF(AZ329&lt;=0,0,MIN(AZ329,MAX(0,CONTROL_PANEL!$B$13-BA329))))</f>
        <v/>
      </c>
      <c r="BD329" s="18"/>
      <c r="BF329" s="19">
        <f t="shared" si="218"/>
        <v>2042</v>
      </c>
      <c r="BG329" s="19">
        <f t="shared" si="223"/>
        <v>10</v>
      </c>
      <c r="BH329" s="18" t="str">
        <f t="shared" si="237"/>
        <v/>
      </c>
      <c r="BI329" s="18" t="str">
        <f t="shared" si="213"/>
        <v/>
      </c>
      <c r="BJ329" s="18" t="str">
        <f>IF(BW328&lt;&gt;1,"",IF(BT328&gt;0,IF(BT328&gt;CONTROL_PANEL!$B$11,CONTROL_PANEL!$B$11,BT328),0))</f>
        <v/>
      </c>
      <c r="BK329" s="18" t="str">
        <f t="shared" si="248"/>
        <v/>
      </c>
      <c r="BL329" s="18" t="str">
        <f>IF(BW329&lt;&gt;1,"",DATA_INPUT!$I329)</f>
        <v/>
      </c>
      <c r="BM329" s="18" t="str">
        <f>IF(BW329&lt;&gt;1,"",BL329*CONTROL_PANEL!$B$5)</f>
        <v/>
      </c>
      <c r="BN329" s="18" t="str">
        <f>IF(BW329&lt;&gt;1,"",DATA_INPUT!$C329)</f>
        <v/>
      </c>
      <c r="BO329" s="18" t="str">
        <f t="shared" si="238"/>
        <v/>
      </c>
      <c r="BP329" s="18" t="str">
        <f>IF(BW329&lt;&gt;1,"",DATA_INPUT!$H329)</f>
        <v/>
      </c>
      <c r="BQ329" s="18" t="str">
        <f t="shared" si="239"/>
        <v/>
      </c>
      <c r="BR329" s="18" t="str">
        <f>IF(BW329&lt;&gt;1,"",BM329*CONTROL_PANEL!$B$14)</f>
        <v/>
      </c>
      <c r="BS329" s="18" t="str">
        <f>IF(BW329&lt;&gt;1,"",DATA_INPUT!$N329)</f>
        <v/>
      </c>
      <c r="BT329" s="18" t="str">
        <f t="shared" si="240"/>
        <v/>
      </c>
      <c r="BU329" s="18" t="str">
        <f>IF(BW329&lt;&gt;1,"",IF(BT329-CONTROL_PANEL!$B$11&lt;0,0,BT329-CONTROL_PANEL!$B$11))</f>
        <v/>
      </c>
      <c r="BV329" s="18" t="str">
        <f>IF(BW329&lt;&gt;1,"",IF(BS329&lt;=0,0,MIN(BS329,MAX(0,CONTROL_PANEL!$B$13-BT329))))</f>
        <v/>
      </c>
      <c r="BW329" s="18"/>
      <c r="BY329" s="19">
        <f t="shared" si="219"/>
        <v>2042</v>
      </c>
      <c r="BZ329" s="19">
        <f t="shared" si="224"/>
        <v>10</v>
      </c>
      <c r="CA329" s="18" t="str">
        <f t="shared" si="241"/>
        <v/>
      </c>
      <c r="CB329" s="18" t="str">
        <f t="shared" si="214"/>
        <v/>
      </c>
      <c r="CC329" s="18" t="str">
        <f>IF(CP328&lt;&gt;1,"",IF(CM328&gt;0,IF(CM328&gt;CONTROL_PANEL!$B$11,CONTROL_PANEL!$B$11,CM328),0))</f>
        <v/>
      </c>
      <c r="CD329" s="18" t="str">
        <f t="shared" si="249"/>
        <v/>
      </c>
      <c r="CE329" s="18" t="str">
        <f>IF(CP329&lt;&gt;1,"",DATA_INPUT!$I329)</f>
        <v/>
      </c>
      <c r="CF329" s="18" t="str">
        <f>IF(CP329&lt;&gt;1,"",CE329*CONTROL_PANEL!$B$5)</f>
        <v/>
      </c>
      <c r="CG329" s="18" t="str">
        <f>IF(CP329&lt;&gt;1,"",DATA_INPUT!$C329)</f>
        <v/>
      </c>
      <c r="CH329" s="18" t="str">
        <f t="shared" si="242"/>
        <v/>
      </c>
      <c r="CI329" s="18" t="str">
        <f>IF(CP329&lt;&gt;1,"",DATA_INPUT!$H329)</f>
        <v/>
      </c>
      <c r="CJ329" s="18" t="str">
        <f t="shared" si="243"/>
        <v/>
      </c>
      <c r="CK329" s="18" t="str">
        <f>IF(CP329&lt;&gt;1,"",CF329*CONTROL_PANEL!$B$14)</f>
        <v/>
      </c>
      <c r="CL329" s="18" t="str">
        <f>IF(CP329&lt;&gt;1,"",DATA_INPUT!$O329)</f>
        <v/>
      </c>
      <c r="CM329" s="18" t="str">
        <f t="shared" si="244"/>
        <v/>
      </c>
      <c r="CN329" s="18" t="str">
        <f>IF(CP329&lt;&gt;1,"",IF(CM329-CONTROL_PANEL!$B$11&lt;0,0,CM329-CONTROL_PANEL!$B$11))</f>
        <v/>
      </c>
      <c r="CO329" s="18" t="str">
        <f>IF(CP329&lt;&gt;1,"",IF(CL329&lt;=0,0,MIN(CL329,MAX(0,CONTROL_PANEL!$B$13-CM329))))</f>
        <v/>
      </c>
      <c r="CP329" s="18"/>
    </row>
    <row r="330" spans="1:94" x14ac:dyDescent="0.25">
      <c r="A330" s="19">
        <f t="shared" si="215"/>
        <v>2042</v>
      </c>
      <c r="B330" s="19">
        <f t="shared" si="220"/>
        <v>11</v>
      </c>
      <c r="C330" s="18" t="str">
        <f t="shared" si="225"/>
        <v/>
      </c>
      <c r="D330" s="18" t="str">
        <f t="shared" ref="D330:D364" si="250">IF(R329&lt;&gt;1,"",235+((E330/1000/2)^(1/3.02)))</f>
        <v/>
      </c>
      <c r="E330" s="18" t="str">
        <f>IF(R329&lt;&gt;1,"",IF(O329&gt;0,IF(O329&gt;CONTROL_PANEL!$B$11,CONTROL_PANEL!$B$11,O329),0))</f>
        <v/>
      </c>
      <c r="F330" s="18" t="str">
        <f t="shared" si="245"/>
        <v/>
      </c>
      <c r="G330" s="18" t="str">
        <f>IF(R330&lt;&gt;1,"",DATA_INPUT!I330)</f>
        <v/>
      </c>
      <c r="H330" s="18" t="str">
        <f>IF(R330&lt;&gt;1,"",G330*CONTROL_PANEL!$B$5)</f>
        <v/>
      </c>
      <c r="I330" s="18" t="str">
        <f>IF(R330&lt;&gt;1,"",DATA_INPUT!C330)</f>
        <v/>
      </c>
      <c r="J330" s="18" t="str">
        <f t="shared" si="226"/>
        <v/>
      </c>
      <c r="K330" s="18" t="str">
        <f>IF(R330&lt;&gt;1,"",DATA_INPUT!H330)</f>
        <v/>
      </c>
      <c r="L330" s="18" t="str">
        <f t="shared" si="227"/>
        <v/>
      </c>
      <c r="M330" s="18" t="str">
        <f>IF(R330&lt;&gt;1,"",H330*CONTROL_PANEL!$B$14)</f>
        <v/>
      </c>
      <c r="N330" s="18" t="str">
        <f>IF(R330&lt;&gt;1,"",DATA_INPUT!K330)</f>
        <v/>
      </c>
      <c r="O330" s="18" t="str">
        <f t="shared" si="228"/>
        <v/>
      </c>
      <c r="P330" s="18" t="str">
        <f>IF(R330&lt;&gt;1,"",IF(O330-CONTROL_PANEL!$B$11&lt;0,0,O330-CONTROL_PANEL!$B$11))</f>
        <v/>
      </c>
      <c r="Q330" s="18" t="str">
        <f>IF(R330&lt;&gt;1,"",IF(N330&lt;=0,0,MIN(N330,MAX(0,CONTROL_PANEL!$B$13-O330))))</f>
        <v/>
      </c>
      <c r="R330" s="18"/>
      <c r="T330" s="19">
        <f t="shared" si="216"/>
        <v>2042</v>
      </c>
      <c r="U330" s="19">
        <f t="shared" si="221"/>
        <v>11</v>
      </c>
      <c r="V330" s="18" t="str">
        <f t="shared" si="229"/>
        <v/>
      </c>
      <c r="W330" s="18" t="str">
        <f t="shared" ref="W330:W364" si="251">IF(AK329&lt;&gt;1,"",235+((X330/1000/2)^(1/3.02)))</f>
        <v/>
      </c>
      <c r="X330" s="18" t="str">
        <f>IF(AK329&lt;&gt;1,"",IF(AH329&gt;0,IF(AH329&gt;CONTROL_PANEL!$B$11,CONTROL_PANEL!$B$11,AH329),0))</f>
        <v/>
      </c>
      <c r="Y330" s="18" t="str">
        <f t="shared" si="246"/>
        <v/>
      </c>
      <c r="Z330" s="18" t="str">
        <f>IF(AK330&lt;&gt;1,"",DATA_INPUT!I330)</f>
        <v/>
      </c>
      <c r="AA330" s="18" t="str">
        <f>IF(AK330&lt;&gt;1,"",Z330*CONTROL_PANEL!$B$5)</f>
        <v/>
      </c>
      <c r="AB330" s="18" t="str">
        <f>IF(AK330&lt;&gt;1,"",DATA_INPUT!$C330)</f>
        <v/>
      </c>
      <c r="AC330" s="18" t="str">
        <f t="shared" si="230"/>
        <v/>
      </c>
      <c r="AD330" s="18" t="str">
        <f>IF(AK330&lt;&gt;1,"",DATA_INPUT!$H330)</f>
        <v/>
      </c>
      <c r="AE330" s="18" t="str">
        <f t="shared" si="231"/>
        <v/>
      </c>
      <c r="AF330" s="18" t="str">
        <f>IF(AK330&lt;&gt;1,"",AA330*CONTROL_PANEL!$B$14)</f>
        <v/>
      </c>
      <c r="AG330" s="18" t="str">
        <f>IF(AK330&lt;&gt;1,"",DATA_INPUT!$L330)</f>
        <v/>
      </c>
      <c r="AH330" s="18" t="str">
        <f t="shared" si="232"/>
        <v/>
      </c>
      <c r="AI330" s="18" t="str">
        <f>IF(AK330&lt;&gt;1,"",IF(AH330-CONTROL_PANEL!$B$11&lt;0,0,AH330-CONTROL_PANEL!$B$11))</f>
        <v/>
      </c>
      <c r="AJ330" s="18" t="str">
        <f>IF(AK330&lt;&gt;1,"",IF(AG330&lt;=0,0,MIN(AG330,MAX(0,CONTROL_PANEL!$B$13-AH330))))</f>
        <v/>
      </c>
      <c r="AK330" s="18"/>
      <c r="AM330" s="19">
        <f t="shared" si="217"/>
        <v>2042</v>
      </c>
      <c r="AN330" s="19">
        <f t="shared" si="222"/>
        <v>11</v>
      </c>
      <c r="AO330" s="18" t="str">
        <f t="shared" si="233"/>
        <v/>
      </c>
      <c r="AP330" s="18" t="str">
        <f t="shared" ref="AP330:AP364" si="252">IF(BD329&lt;&gt;1,"",235+((AQ330/1000/2)^(1/3.02)))</f>
        <v/>
      </c>
      <c r="AQ330" s="18" t="str">
        <f>IF(BD329&lt;&gt;1,"",IF(BA329&gt;0,IF(BA329&gt;CONTROL_PANEL!$B$11,CONTROL_PANEL!$B$11,BA329),0))</f>
        <v/>
      </c>
      <c r="AR330" s="18" t="str">
        <f t="shared" si="247"/>
        <v/>
      </c>
      <c r="AS330" s="18" t="str">
        <f>IF(BD330&lt;&gt;1,"",DATA_INPUT!$I330)</f>
        <v/>
      </c>
      <c r="AT330" s="18" t="str">
        <f>IF(BD330&lt;&gt;1,"",AS330*CONTROL_PANEL!$B$5)</f>
        <v/>
      </c>
      <c r="AU330" s="18" t="str">
        <f>IF(BD330&lt;&gt;1,"",DATA_INPUT!$C330)</f>
        <v/>
      </c>
      <c r="AV330" s="18" t="str">
        <f t="shared" si="234"/>
        <v/>
      </c>
      <c r="AW330" s="18" t="str">
        <f>IF(BD330&lt;&gt;1,"",DATA_INPUT!$H330)</f>
        <v/>
      </c>
      <c r="AX330" s="18" t="str">
        <f t="shared" si="235"/>
        <v/>
      </c>
      <c r="AY330" s="18" t="str">
        <f>IF(BD330&lt;&gt;1,"",AT330*CONTROL_PANEL!$B$14)</f>
        <v/>
      </c>
      <c r="AZ330" s="18" t="str">
        <f>IF(BD330&lt;&gt;1,"",DATA_INPUT!$M330)</f>
        <v/>
      </c>
      <c r="BA330" s="18" t="str">
        <f t="shared" si="236"/>
        <v/>
      </c>
      <c r="BB330" s="18" t="str">
        <f>IF(BD330&lt;&gt;1,"",IF(BA330-CONTROL_PANEL!$B$11&lt;0,0,BA330-CONTROL_PANEL!$B$11))</f>
        <v/>
      </c>
      <c r="BC330" s="18" t="str">
        <f>IF(BD330&lt;&gt;1,"",IF(AZ330&lt;=0,0,MIN(AZ330,MAX(0,CONTROL_PANEL!$B$13-BA330))))</f>
        <v/>
      </c>
      <c r="BD330" s="18"/>
      <c r="BF330" s="19">
        <f t="shared" si="218"/>
        <v>2042</v>
      </c>
      <c r="BG330" s="19">
        <f t="shared" si="223"/>
        <v>11</v>
      </c>
      <c r="BH330" s="18" t="str">
        <f t="shared" si="237"/>
        <v/>
      </c>
      <c r="BI330" s="18" t="str">
        <f t="shared" ref="BI330:BI364" si="253">IF(BW329&lt;&gt;1,"",235+((BJ330/1000/2)^(1/3.02)))</f>
        <v/>
      </c>
      <c r="BJ330" s="18" t="str">
        <f>IF(BW329&lt;&gt;1,"",IF(BT329&gt;0,IF(BT329&gt;CONTROL_PANEL!$B$11,CONTROL_PANEL!$B$11,BT329),0))</f>
        <v/>
      </c>
      <c r="BK330" s="18" t="str">
        <f t="shared" si="248"/>
        <v/>
      </c>
      <c r="BL330" s="18" t="str">
        <f>IF(BW330&lt;&gt;1,"",DATA_INPUT!$I330)</f>
        <v/>
      </c>
      <c r="BM330" s="18" t="str">
        <f>IF(BW330&lt;&gt;1,"",BL330*CONTROL_PANEL!$B$5)</f>
        <v/>
      </c>
      <c r="BN330" s="18" t="str">
        <f>IF(BW330&lt;&gt;1,"",DATA_INPUT!$C330)</f>
        <v/>
      </c>
      <c r="BO330" s="18" t="str">
        <f t="shared" si="238"/>
        <v/>
      </c>
      <c r="BP330" s="18" t="str">
        <f>IF(BW330&lt;&gt;1,"",DATA_INPUT!$H330)</f>
        <v/>
      </c>
      <c r="BQ330" s="18" t="str">
        <f t="shared" si="239"/>
        <v/>
      </c>
      <c r="BR330" s="18" t="str">
        <f>IF(BW330&lt;&gt;1,"",BM330*CONTROL_PANEL!$B$14)</f>
        <v/>
      </c>
      <c r="BS330" s="18" t="str">
        <f>IF(BW330&lt;&gt;1,"",DATA_INPUT!$N330)</f>
        <v/>
      </c>
      <c r="BT330" s="18" t="str">
        <f t="shared" si="240"/>
        <v/>
      </c>
      <c r="BU330" s="18" t="str">
        <f>IF(BW330&lt;&gt;1,"",IF(BT330-CONTROL_PANEL!$B$11&lt;0,0,BT330-CONTROL_PANEL!$B$11))</f>
        <v/>
      </c>
      <c r="BV330" s="18" t="str">
        <f>IF(BW330&lt;&gt;1,"",IF(BS330&lt;=0,0,MIN(BS330,MAX(0,CONTROL_PANEL!$B$13-BT330))))</f>
        <v/>
      </c>
      <c r="BW330" s="18"/>
      <c r="BY330" s="19">
        <f t="shared" si="219"/>
        <v>2042</v>
      </c>
      <c r="BZ330" s="19">
        <f t="shared" si="224"/>
        <v>11</v>
      </c>
      <c r="CA330" s="18" t="str">
        <f t="shared" si="241"/>
        <v/>
      </c>
      <c r="CB330" s="18" t="str">
        <f t="shared" ref="CB330:CB364" si="254">IF(CP329&lt;&gt;1,"",235+((CC330/1000/2)^(1/3.02)))</f>
        <v/>
      </c>
      <c r="CC330" s="18" t="str">
        <f>IF(CP329&lt;&gt;1,"",IF(CM329&gt;0,IF(CM329&gt;CONTROL_PANEL!$B$11,CONTROL_PANEL!$B$11,CM329),0))</f>
        <v/>
      </c>
      <c r="CD330" s="18" t="str">
        <f t="shared" si="249"/>
        <v/>
      </c>
      <c r="CE330" s="18" t="str">
        <f>IF(CP330&lt;&gt;1,"",DATA_INPUT!$I330)</f>
        <v/>
      </c>
      <c r="CF330" s="18" t="str">
        <f>IF(CP330&lt;&gt;1,"",CE330*CONTROL_PANEL!$B$5)</f>
        <v/>
      </c>
      <c r="CG330" s="18" t="str">
        <f>IF(CP330&lt;&gt;1,"",DATA_INPUT!$C330)</f>
        <v/>
      </c>
      <c r="CH330" s="18" t="str">
        <f t="shared" si="242"/>
        <v/>
      </c>
      <c r="CI330" s="18" t="str">
        <f>IF(CP330&lt;&gt;1,"",DATA_INPUT!$H330)</f>
        <v/>
      </c>
      <c r="CJ330" s="18" t="str">
        <f t="shared" si="243"/>
        <v/>
      </c>
      <c r="CK330" s="18" t="str">
        <f>IF(CP330&lt;&gt;1,"",CF330*CONTROL_PANEL!$B$14)</f>
        <v/>
      </c>
      <c r="CL330" s="18" t="str">
        <f>IF(CP330&lt;&gt;1,"",DATA_INPUT!$O330)</f>
        <v/>
      </c>
      <c r="CM330" s="18" t="str">
        <f t="shared" si="244"/>
        <v/>
      </c>
      <c r="CN330" s="18" t="str">
        <f>IF(CP330&lt;&gt;1,"",IF(CM330-CONTROL_PANEL!$B$11&lt;0,0,CM330-CONTROL_PANEL!$B$11))</f>
        <v/>
      </c>
      <c r="CO330" s="18" t="str">
        <f>IF(CP330&lt;&gt;1,"",IF(CL330&lt;=0,0,MIN(CL330,MAX(0,CONTROL_PANEL!$B$13-CM330))))</f>
        <v/>
      </c>
      <c r="CP330" s="18"/>
    </row>
    <row r="331" spans="1:94" x14ac:dyDescent="0.25">
      <c r="A331" s="19">
        <f t="shared" si="215"/>
        <v>2042</v>
      </c>
      <c r="B331" s="19">
        <f t="shared" si="220"/>
        <v>12</v>
      </c>
      <c r="C331" s="18" t="str">
        <f t="shared" si="225"/>
        <v/>
      </c>
      <c r="D331" s="18" t="str">
        <f t="shared" si="250"/>
        <v/>
      </c>
      <c r="E331" s="18" t="str">
        <f>IF(R330&lt;&gt;1,"",IF(O330&gt;0,IF(O330&gt;CONTROL_PANEL!$B$11,CONTROL_PANEL!$B$11,O330),0))</f>
        <v/>
      </c>
      <c r="F331" s="18" t="str">
        <f t="shared" si="245"/>
        <v/>
      </c>
      <c r="G331" s="18" t="str">
        <f>IF(R331&lt;&gt;1,"",DATA_INPUT!I331)</f>
        <v/>
      </c>
      <c r="H331" s="18" t="str">
        <f>IF(R331&lt;&gt;1,"",G331*CONTROL_PANEL!$B$5)</f>
        <v/>
      </c>
      <c r="I331" s="18" t="str">
        <f>IF(R331&lt;&gt;1,"",DATA_INPUT!C331)</f>
        <v/>
      </c>
      <c r="J331" s="18" t="str">
        <f t="shared" si="226"/>
        <v/>
      </c>
      <c r="K331" s="18" t="str">
        <f>IF(R331&lt;&gt;1,"",DATA_INPUT!H331)</f>
        <v/>
      </c>
      <c r="L331" s="18" t="str">
        <f t="shared" si="227"/>
        <v/>
      </c>
      <c r="M331" s="18" t="str">
        <f>IF(R331&lt;&gt;1,"",H331*CONTROL_PANEL!$B$14)</f>
        <v/>
      </c>
      <c r="N331" s="18" t="str">
        <f>IF(R331&lt;&gt;1,"",DATA_INPUT!K331)</f>
        <v/>
      </c>
      <c r="O331" s="18" t="str">
        <f t="shared" si="228"/>
        <v/>
      </c>
      <c r="P331" s="18" t="str">
        <f>IF(R331&lt;&gt;1,"",IF(O331-CONTROL_PANEL!$B$11&lt;0,0,O331-CONTROL_PANEL!$B$11))</f>
        <v/>
      </c>
      <c r="Q331" s="18" t="str">
        <f>IF(R331&lt;&gt;1,"",IF(N331&lt;=0,0,MIN(N331,MAX(0,CONTROL_PANEL!$B$13-O331))))</f>
        <v/>
      </c>
      <c r="R331" s="18"/>
      <c r="T331" s="19">
        <f t="shared" si="216"/>
        <v>2042</v>
      </c>
      <c r="U331" s="19">
        <f t="shared" si="221"/>
        <v>12</v>
      </c>
      <c r="V331" s="18" t="str">
        <f t="shared" si="229"/>
        <v/>
      </c>
      <c r="W331" s="18" t="str">
        <f t="shared" si="251"/>
        <v/>
      </c>
      <c r="X331" s="18" t="str">
        <f>IF(AK330&lt;&gt;1,"",IF(AH330&gt;0,IF(AH330&gt;CONTROL_PANEL!$B$11,CONTROL_PANEL!$B$11,AH330),0))</f>
        <v/>
      </c>
      <c r="Y331" s="18" t="str">
        <f t="shared" si="246"/>
        <v/>
      </c>
      <c r="Z331" s="18" t="str">
        <f>IF(AK331&lt;&gt;1,"",DATA_INPUT!I331)</f>
        <v/>
      </c>
      <c r="AA331" s="18" t="str">
        <f>IF(AK331&lt;&gt;1,"",Z331*CONTROL_PANEL!$B$5)</f>
        <v/>
      </c>
      <c r="AB331" s="18" t="str">
        <f>IF(AK331&lt;&gt;1,"",DATA_INPUT!$C331)</f>
        <v/>
      </c>
      <c r="AC331" s="18" t="str">
        <f t="shared" si="230"/>
        <v/>
      </c>
      <c r="AD331" s="18" t="str">
        <f>IF(AK331&lt;&gt;1,"",DATA_INPUT!$H331)</f>
        <v/>
      </c>
      <c r="AE331" s="18" t="str">
        <f t="shared" si="231"/>
        <v/>
      </c>
      <c r="AF331" s="18" t="str">
        <f>IF(AK331&lt;&gt;1,"",AA331*CONTROL_PANEL!$B$14)</f>
        <v/>
      </c>
      <c r="AG331" s="18" t="str">
        <f>IF(AK331&lt;&gt;1,"",DATA_INPUT!$L331)</f>
        <v/>
      </c>
      <c r="AH331" s="18" t="str">
        <f t="shared" si="232"/>
        <v/>
      </c>
      <c r="AI331" s="18" t="str">
        <f>IF(AK331&lt;&gt;1,"",IF(AH331-CONTROL_PANEL!$B$11&lt;0,0,AH331-CONTROL_PANEL!$B$11))</f>
        <v/>
      </c>
      <c r="AJ331" s="18" t="str">
        <f>IF(AK331&lt;&gt;1,"",IF(AG331&lt;=0,0,MIN(AG331,MAX(0,CONTROL_PANEL!$B$13-AH331))))</f>
        <v/>
      </c>
      <c r="AK331" s="18"/>
      <c r="AM331" s="19">
        <f t="shared" si="217"/>
        <v>2042</v>
      </c>
      <c r="AN331" s="19">
        <f t="shared" si="222"/>
        <v>12</v>
      </c>
      <c r="AO331" s="18" t="str">
        <f t="shared" si="233"/>
        <v/>
      </c>
      <c r="AP331" s="18" t="str">
        <f t="shared" si="252"/>
        <v/>
      </c>
      <c r="AQ331" s="18" t="str">
        <f>IF(BD330&lt;&gt;1,"",IF(BA330&gt;0,IF(BA330&gt;CONTROL_PANEL!$B$11,CONTROL_PANEL!$B$11,BA330),0))</f>
        <v/>
      </c>
      <c r="AR331" s="18" t="str">
        <f t="shared" si="247"/>
        <v/>
      </c>
      <c r="AS331" s="18" t="str">
        <f>IF(BD331&lt;&gt;1,"",DATA_INPUT!$I331)</f>
        <v/>
      </c>
      <c r="AT331" s="18" t="str">
        <f>IF(BD331&lt;&gt;1,"",AS331*CONTROL_PANEL!$B$5)</f>
        <v/>
      </c>
      <c r="AU331" s="18" t="str">
        <f>IF(BD331&lt;&gt;1,"",DATA_INPUT!$C331)</f>
        <v/>
      </c>
      <c r="AV331" s="18" t="str">
        <f t="shared" si="234"/>
        <v/>
      </c>
      <c r="AW331" s="18" t="str">
        <f>IF(BD331&lt;&gt;1,"",DATA_INPUT!$H331)</f>
        <v/>
      </c>
      <c r="AX331" s="18" t="str">
        <f t="shared" si="235"/>
        <v/>
      </c>
      <c r="AY331" s="18" t="str">
        <f>IF(BD331&lt;&gt;1,"",AT331*CONTROL_PANEL!$B$14)</f>
        <v/>
      </c>
      <c r="AZ331" s="18" t="str">
        <f>IF(BD331&lt;&gt;1,"",DATA_INPUT!$M331)</f>
        <v/>
      </c>
      <c r="BA331" s="18" t="str">
        <f t="shared" si="236"/>
        <v/>
      </c>
      <c r="BB331" s="18" t="str">
        <f>IF(BD331&lt;&gt;1,"",IF(BA331-CONTROL_PANEL!$B$11&lt;0,0,BA331-CONTROL_PANEL!$B$11))</f>
        <v/>
      </c>
      <c r="BC331" s="18" t="str">
        <f>IF(BD331&lt;&gt;1,"",IF(AZ331&lt;=0,0,MIN(AZ331,MAX(0,CONTROL_PANEL!$B$13-BA331))))</f>
        <v/>
      </c>
      <c r="BD331" s="18"/>
      <c r="BF331" s="19">
        <f t="shared" si="218"/>
        <v>2042</v>
      </c>
      <c r="BG331" s="19">
        <f t="shared" si="223"/>
        <v>12</v>
      </c>
      <c r="BH331" s="18" t="str">
        <f t="shared" si="237"/>
        <v/>
      </c>
      <c r="BI331" s="18" t="str">
        <f t="shared" si="253"/>
        <v/>
      </c>
      <c r="BJ331" s="18" t="str">
        <f>IF(BW330&lt;&gt;1,"",IF(BT330&gt;0,IF(BT330&gt;CONTROL_PANEL!$B$11,CONTROL_PANEL!$B$11,BT330),0))</f>
        <v/>
      </c>
      <c r="BK331" s="18" t="str">
        <f t="shared" si="248"/>
        <v/>
      </c>
      <c r="BL331" s="18" t="str">
        <f>IF(BW331&lt;&gt;1,"",DATA_INPUT!$I331)</f>
        <v/>
      </c>
      <c r="BM331" s="18" t="str">
        <f>IF(BW331&lt;&gt;1,"",BL331*CONTROL_PANEL!$B$5)</f>
        <v/>
      </c>
      <c r="BN331" s="18" t="str">
        <f>IF(BW331&lt;&gt;1,"",DATA_INPUT!$C331)</f>
        <v/>
      </c>
      <c r="BO331" s="18" t="str">
        <f t="shared" si="238"/>
        <v/>
      </c>
      <c r="BP331" s="18" t="str">
        <f>IF(BW331&lt;&gt;1,"",DATA_INPUT!$H331)</f>
        <v/>
      </c>
      <c r="BQ331" s="18" t="str">
        <f t="shared" si="239"/>
        <v/>
      </c>
      <c r="BR331" s="18" t="str">
        <f>IF(BW331&lt;&gt;1,"",BM331*CONTROL_PANEL!$B$14)</f>
        <v/>
      </c>
      <c r="BS331" s="18" t="str">
        <f>IF(BW331&lt;&gt;1,"",DATA_INPUT!$N331)</f>
        <v/>
      </c>
      <c r="BT331" s="18" t="str">
        <f t="shared" si="240"/>
        <v/>
      </c>
      <c r="BU331" s="18" t="str">
        <f>IF(BW331&lt;&gt;1,"",IF(BT331-CONTROL_PANEL!$B$11&lt;0,0,BT331-CONTROL_PANEL!$B$11))</f>
        <v/>
      </c>
      <c r="BV331" s="18" t="str">
        <f>IF(BW331&lt;&gt;1,"",IF(BS331&lt;=0,0,MIN(BS331,MAX(0,CONTROL_PANEL!$B$13-BT331))))</f>
        <v/>
      </c>
      <c r="BW331" s="18"/>
      <c r="BY331" s="19">
        <f t="shared" si="219"/>
        <v>2042</v>
      </c>
      <c r="BZ331" s="19">
        <f t="shared" si="224"/>
        <v>12</v>
      </c>
      <c r="CA331" s="18" t="str">
        <f t="shared" si="241"/>
        <v/>
      </c>
      <c r="CB331" s="18" t="str">
        <f t="shared" si="254"/>
        <v/>
      </c>
      <c r="CC331" s="18" t="str">
        <f>IF(CP330&lt;&gt;1,"",IF(CM330&gt;0,IF(CM330&gt;CONTROL_PANEL!$B$11,CONTROL_PANEL!$B$11,CM330),0))</f>
        <v/>
      </c>
      <c r="CD331" s="18" t="str">
        <f t="shared" si="249"/>
        <v/>
      </c>
      <c r="CE331" s="18" t="str">
        <f>IF(CP331&lt;&gt;1,"",DATA_INPUT!$I331)</f>
        <v/>
      </c>
      <c r="CF331" s="18" t="str">
        <f>IF(CP331&lt;&gt;1,"",CE331*CONTROL_PANEL!$B$5)</f>
        <v/>
      </c>
      <c r="CG331" s="18" t="str">
        <f>IF(CP331&lt;&gt;1,"",DATA_INPUT!$C331)</f>
        <v/>
      </c>
      <c r="CH331" s="18" t="str">
        <f t="shared" si="242"/>
        <v/>
      </c>
      <c r="CI331" s="18" t="str">
        <f>IF(CP331&lt;&gt;1,"",DATA_INPUT!$H331)</f>
        <v/>
      </c>
      <c r="CJ331" s="18" t="str">
        <f t="shared" si="243"/>
        <v/>
      </c>
      <c r="CK331" s="18" t="str">
        <f>IF(CP331&lt;&gt;1,"",CF331*CONTROL_PANEL!$B$14)</f>
        <v/>
      </c>
      <c r="CL331" s="18" t="str">
        <f>IF(CP331&lt;&gt;1,"",DATA_INPUT!$O331)</f>
        <v/>
      </c>
      <c r="CM331" s="18" t="str">
        <f t="shared" si="244"/>
        <v/>
      </c>
      <c r="CN331" s="18" t="str">
        <f>IF(CP331&lt;&gt;1,"",IF(CM331-CONTROL_PANEL!$B$11&lt;0,0,CM331-CONTROL_PANEL!$B$11))</f>
        <v/>
      </c>
      <c r="CO331" s="18" t="str">
        <f>IF(CP331&lt;&gt;1,"",IF(CL331&lt;=0,0,MIN(CL331,MAX(0,CONTROL_PANEL!$B$13-CM331))))</f>
        <v/>
      </c>
      <c r="CP331" s="18"/>
    </row>
    <row r="332" spans="1:94" x14ac:dyDescent="0.25">
      <c r="A332" s="19">
        <f t="shared" si="215"/>
        <v>2043</v>
      </c>
      <c r="B332" s="19">
        <f t="shared" si="220"/>
        <v>1</v>
      </c>
      <c r="C332" s="18" t="str">
        <f t="shared" si="225"/>
        <v/>
      </c>
      <c r="D332" s="18" t="str">
        <f t="shared" si="250"/>
        <v/>
      </c>
      <c r="E332" s="18" t="str">
        <f>IF(R331&lt;&gt;1,"",IF(O331&gt;0,IF(O331&gt;CONTROL_PANEL!$B$11,CONTROL_PANEL!$B$11,O331),0))</f>
        <v/>
      </c>
      <c r="F332" s="18" t="str">
        <f t="shared" si="245"/>
        <v/>
      </c>
      <c r="G332" s="18" t="str">
        <f>IF(R332&lt;&gt;1,"",DATA_INPUT!I332)</f>
        <v/>
      </c>
      <c r="H332" s="18" t="str">
        <f>IF(R332&lt;&gt;1,"",G332*CONTROL_PANEL!$B$5)</f>
        <v/>
      </c>
      <c r="I332" s="18" t="str">
        <f>IF(R332&lt;&gt;1,"",DATA_INPUT!C332)</f>
        <v/>
      </c>
      <c r="J332" s="18" t="str">
        <f t="shared" si="226"/>
        <v/>
      </c>
      <c r="K332" s="18" t="str">
        <f>IF(R332&lt;&gt;1,"",DATA_INPUT!H332)</f>
        <v/>
      </c>
      <c r="L332" s="18" t="str">
        <f t="shared" si="227"/>
        <v/>
      </c>
      <c r="M332" s="18" t="str">
        <f>IF(R332&lt;&gt;1,"",H332*CONTROL_PANEL!$B$14)</f>
        <v/>
      </c>
      <c r="N332" s="18" t="str">
        <f>IF(R332&lt;&gt;1,"",DATA_INPUT!K332)</f>
        <v/>
      </c>
      <c r="O332" s="18" t="str">
        <f t="shared" si="228"/>
        <v/>
      </c>
      <c r="P332" s="18" t="str">
        <f>IF(R332&lt;&gt;1,"",IF(O332-CONTROL_PANEL!$B$11&lt;0,0,O332-CONTROL_PANEL!$B$11))</f>
        <v/>
      </c>
      <c r="Q332" s="18" t="str">
        <f>IF(R332&lt;&gt;1,"",IF(N332&lt;=0,0,MIN(N332,MAX(0,CONTROL_PANEL!$B$13-O332))))</f>
        <v/>
      </c>
      <c r="R332" s="18"/>
      <c r="T332" s="19">
        <f t="shared" si="216"/>
        <v>2043</v>
      </c>
      <c r="U332" s="19">
        <f t="shared" si="221"/>
        <v>1</v>
      </c>
      <c r="V332" s="18" t="str">
        <f t="shared" si="229"/>
        <v/>
      </c>
      <c r="W332" s="18" t="str">
        <f t="shared" si="251"/>
        <v/>
      </c>
      <c r="X332" s="18" t="str">
        <f>IF(AK331&lt;&gt;1,"",IF(AH331&gt;0,IF(AH331&gt;CONTROL_PANEL!$B$11,CONTROL_PANEL!$B$11,AH331),0))</f>
        <v/>
      </c>
      <c r="Y332" s="18" t="str">
        <f t="shared" si="246"/>
        <v/>
      </c>
      <c r="Z332" s="18" t="str">
        <f>IF(AK332&lt;&gt;1,"",DATA_INPUT!I332)</f>
        <v/>
      </c>
      <c r="AA332" s="18" t="str">
        <f>IF(AK332&lt;&gt;1,"",Z332*CONTROL_PANEL!$B$5)</f>
        <v/>
      </c>
      <c r="AB332" s="18" t="str">
        <f>IF(AK332&lt;&gt;1,"",DATA_INPUT!$C332)</f>
        <v/>
      </c>
      <c r="AC332" s="18" t="str">
        <f t="shared" si="230"/>
        <v/>
      </c>
      <c r="AD332" s="18" t="str">
        <f>IF(AK332&lt;&gt;1,"",DATA_INPUT!$H332)</f>
        <v/>
      </c>
      <c r="AE332" s="18" t="str">
        <f t="shared" si="231"/>
        <v/>
      </c>
      <c r="AF332" s="18" t="str">
        <f>IF(AK332&lt;&gt;1,"",AA332*CONTROL_PANEL!$B$14)</f>
        <v/>
      </c>
      <c r="AG332" s="18" t="str">
        <f>IF(AK332&lt;&gt;1,"",DATA_INPUT!$L332)</f>
        <v/>
      </c>
      <c r="AH332" s="18" t="str">
        <f t="shared" si="232"/>
        <v/>
      </c>
      <c r="AI332" s="18" t="str">
        <f>IF(AK332&lt;&gt;1,"",IF(AH332-CONTROL_PANEL!$B$11&lt;0,0,AH332-CONTROL_PANEL!$B$11))</f>
        <v/>
      </c>
      <c r="AJ332" s="18" t="str">
        <f>IF(AK332&lt;&gt;1,"",IF(AG332&lt;=0,0,MIN(AG332,MAX(0,CONTROL_PANEL!$B$13-AH332))))</f>
        <v/>
      </c>
      <c r="AK332" s="18"/>
      <c r="AM332" s="19">
        <f t="shared" si="217"/>
        <v>2043</v>
      </c>
      <c r="AN332" s="19">
        <f t="shared" si="222"/>
        <v>1</v>
      </c>
      <c r="AO332" s="18" t="str">
        <f t="shared" si="233"/>
        <v/>
      </c>
      <c r="AP332" s="18" t="str">
        <f t="shared" si="252"/>
        <v/>
      </c>
      <c r="AQ332" s="18" t="str">
        <f>IF(BD331&lt;&gt;1,"",IF(BA331&gt;0,IF(BA331&gt;CONTROL_PANEL!$B$11,CONTROL_PANEL!$B$11,BA331),0))</f>
        <v/>
      </c>
      <c r="AR332" s="18" t="str">
        <f t="shared" si="247"/>
        <v/>
      </c>
      <c r="AS332" s="18" t="str">
        <f>IF(BD332&lt;&gt;1,"",DATA_INPUT!$I332)</f>
        <v/>
      </c>
      <c r="AT332" s="18" t="str">
        <f>IF(BD332&lt;&gt;1,"",AS332*CONTROL_PANEL!$B$5)</f>
        <v/>
      </c>
      <c r="AU332" s="18" t="str">
        <f>IF(BD332&lt;&gt;1,"",DATA_INPUT!$C332)</f>
        <v/>
      </c>
      <c r="AV332" s="18" t="str">
        <f t="shared" si="234"/>
        <v/>
      </c>
      <c r="AW332" s="18" t="str">
        <f>IF(BD332&lt;&gt;1,"",DATA_INPUT!$H332)</f>
        <v/>
      </c>
      <c r="AX332" s="18" t="str">
        <f t="shared" si="235"/>
        <v/>
      </c>
      <c r="AY332" s="18" t="str">
        <f>IF(BD332&lt;&gt;1,"",AT332*CONTROL_PANEL!$B$14)</f>
        <v/>
      </c>
      <c r="AZ332" s="18" t="str">
        <f>IF(BD332&lt;&gt;1,"",DATA_INPUT!$M332)</f>
        <v/>
      </c>
      <c r="BA332" s="18" t="str">
        <f t="shared" si="236"/>
        <v/>
      </c>
      <c r="BB332" s="18" t="str">
        <f>IF(BD332&lt;&gt;1,"",IF(BA332-CONTROL_PANEL!$B$11&lt;0,0,BA332-CONTROL_PANEL!$B$11))</f>
        <v/>
      </c>
      <c r="BC332" s="18" t="str">
        <f>IF(BD332&lt;&gt;1,"",IF(AZ332&lt;=0,0,MIN(AZ332,MAX(0,CONTROL_PANEL!$B$13-BA332))))</f>
        <v/>
      </c>
      <c r="BD332" s="18"/>
      <c r="BF332" s="19">
        <f t="shared" si="218"/>
        <v>2043</v>
      </c>
      <c r="BG332" s="19">
        <f t="shared" si="223"/>
        <v>1</v>
      </c>
      <c r="BH332" s="18" t="str">
        <f t="shared" si="237"/>
        <v/>
      </c>
      <c r="BI332" s="18" t="str">
        <f t="shared" si="253"/>
        <v/>
      </c>
      <c r="BJ332" s="18" t="str">
        <f>IF(BW331&lt;&gt;1,"",IF(BT331&gt;0,IF(BT331&gt;CONTROL_PANEL!$B$11,CONTROL_PANEL!$B$11,BT331),0))</f>
        <v/>
      </c>
      <c r="BK332" s="18" t="str">
        <f t="shared" si="248"/>
        <v/>
      </c>
      <c r="BL332" s="18" t="str">
        <f>IF(BW332&lt;&gt;1,"",DATA_INPUT!$I332)</f>
        <v/>
      </c>
      <c r="BM332" s="18" t="str">
        <f>IF(BW332&lt;&gt;1,"",BL332*CONTROL_PANEL!$B$5)</f>
        <v/>
      </c>
      <c r="BN332" s="18" t="str">
        <f>IF(BW332&lt;&gt;1,"",DATA_INPUT!$C332)</f>
        <v/>
      </c>
      <c r="BO332" s="18" t="str">
        <f t="shared" si="238"/>
        <v/>
      </c>
      <c r="BP332" s="18" t="str">
        <f>IF(BW332&lt;&gt;1,"",DATA_INPUT!$H332)</f>
        <v/>
      </c>
      <c r="BQ332" s="18" t="str">
        <f t="shared" si="239"/>
        <v/>
      </c>
      <c r="BR332" s="18" t="str">
        <f>IF(BW332&lt;&gt;1,"",BM332*CONTROL_PANEL!$B$14)</f>
        <v/>
      </c>
      <c r="BS332" s="18" t="str">
        <f>IF(BW332&lt;&gt;1,"",DATA_INPUT!$N332)</f>
        <v/>
      </c>
      <c r="BT332" s="18" t="str">
        <f t="shared" si="240"/>
        <v/>
      </c>
      <c r="BU332" s="18" t="str">
        <f>IF(BW332&lt;&gt;1,"",IF(BT332-CONTROL_PANEL!$B$11&lt;0,0,BT332-CONTROL_PANEL!$B$11))</f>
        <v/>
      </c>
      <c r="BV332" s="18" t="str">
        <f>IF(BW332&lt;&gt;1,"",IF(BS332&lt;=0,0,MIN(BS332,MAX(0,CONTROL_PANEL!$B$13-BT332))))</f>
        <v/>
      </c>
      <c r="BW332" s="18"/>
      <c r="BY332" s="19">
        <f t="shared" si="219"/>
        <v>2043</v>
      </c>
      <c r="BZ332" s="19">
        <f t="shared" si="224"/>
        <v>1</v>
      </c>
      <c r="CA332" s="18" t="str">
        <f t="shared" si="241"/>
        <v/>
      </c>
      <c r="CB332" s="18" t="str">
        <f t="shared" si="254"/>
        <v/>
      </c>
      <c r="CC332" s="18" t="str">
        <f>IF(CP331&lt;&gt;1,"",IF(CM331&gt;0,IF(CM331&gt;CONTROL_PANEL!$B$11,CONTROL_PANEL!$B$11,CM331),0))</f>
        <v/>
      </c>
      <c r="CD332" s="18" t="str">
        <f t="shared" si="249"/>
        <v/>
      </c>
      <c r="CE332" s="18" t="str">
        <f>IF(CP332&lt;&gt;1,"",DATA_INPUT!$I332)</f>
        <v/>
      </c>
      <c r="CF332" s="18" t="str">
        <f>IF(CP332&lt;&gt;1,"",CE332*CONTROL_PANEL!$B$5)</f>
        <v/>
      </c>
      <c r="CG332" s="18" t="str">
        <f>IF(CP332&lt;&gt;1,"",DATA_INPUT!$C332)</f>
        <v/>
      </c>
      <c r="CH332" s="18" t="str">
        <f t="shared" si="242"/>
        <v/>
      </c>
      <c r="CI332" s="18" t="str">
        <f>IF(CP332&lt;&gt;1,"",DATA_INPUT!$H332)</f>
        <v/>
      </c>
      <c r="CJ332" s="18" t="str">
        <f t="shared" si="243"/>
        <v/>
      </c>
      <c r="CK332" s="18" t="str">
        <f>IF(CP332&lt;&gt;1,"",CF332*CONTROL_PANEL!$B$14)</f>
        <v/>
      </c>
      <c r="CL332" s="18" t="str">
        <f>IF(CP332&lt;&gt;1,"",DATA_INPUT!$O332)</f>
        <v/>
      </c>
      <c r="CM332" s="18" t="str">
        <f t="shared" si="244"/>
        <v/>
      </c>
      <c r="CN332" s="18" t="str">
        <f>IF(CP332&lt;&gt;1,"",IF(CM332-CONTROL_PANEL!$B$11&lt;0,0,CM332-CONTROL_PANEL!$B$11))</f>
        <v/>
      </c>
      <c r="CO332" s="18" t="str">
        <f>IF(CP332&lt;&gt;1,"",IF(CL332&lt;=0,0,MIN(CL332,MAX(0,CONTROL_PANEL!$B$13-CM332))))</f>
        <v/>
      </c>
      <c r="CP332" s="18"/>
    </row>
    <row r="333" spans="1:94" x14ac:dyDescent="0.25">
      <c r="A333" s="19">
        <f t="shared" si="215"/>
        <v>2043</v>
      </c>
      <c r="B333" s="19">
        <f t="shared" si="220"/>
        <v>2</v>
      </c>
      <c r="C333" s="18" t="str">
        <f t="shared" si="225"/>
        <v/>
      </c>
      <c r="D333" s="18" t="str">
        <f t="shared" si="250"/>
        <v/>
      </c>
      <c r="E333" s="18" t="str">
        <f>IF(R332&lt;&gt;1,"",IF(O332&gt;0,IF(O332&gt;CONTROL_PANEL!$B$11,CONTROL_PANEL!$B$11,O332),0))</f>
        <v/>
      </c>
      <c r="F333" s="18" t="str">
        <f t="shared" si="245"/>
        <v/>
      </c>
      <c r="G333" s="18" t="str">
        <f>IF(R333&lt;&gt;1,"",DATA_INPUT!I333)</f>
        <v/>
      </c>
      <c r="H333" s="18" t="str">
        <f>IF(R333&lt;&gt;1,"",G333*CONTROL_PANEL!$B$5)</f>
        <v/>
      </c>
      <c r="I333" s="18" t="str">
        <f>IF(R333&lt;&gt;1,"",DATA_INPUT!C333)</f>
        <v/>
      </c>
      <c r="J333" s="18" t="str">
        <f t="shared" si="226"/>
        <v/>
      </c>
      <c r="K333" s="18" t="str">
        <f>IF(R333&lt;&gt;1,"",DATA_INPUT!H333)</f>
        <v/>
      </c>
      <c r="L333" s="18" t="str">
        <f t="shared" si="227"/>
        <v/>
      </c>
      <c r="M333" s="18" t="str">
        <f>IF(R333&lt;&gt;1,"",H333*CONTROL_PANEL!$B$14)</f>
        <v/>
      </c>
      <c r="N333" s="18" t="str">
        <f>IF(R333&lt;&gt;1,"",DATA_INPUT!K333)</f>
        <v/>
      </c>
      <c r="O333" s="18" t="str">
        <f t="shared" si="228"/>
        <v/>
      </c>
      <c r="P333" s="18" t="str">
        <f>IF(R333&lt;&gt;1,"",IF(O333-CONTROL_PANEL!$B$11&lt;0,0,O333-CONTROL_PANEL!$B$11))</f>
        <v/>
      </c>
      <c r="Q333" s="18" t="str">
        <f>IF(R333&lt;&gt;1,"",IF(N333&lt;=0,0,MIN(N333,MAX(0,CONTROL_PANEL!$B$13-O333))))</f>
        <v/>
      </c>
      <c r="R333" s="18"/>
      <c r="T333" s="19">
        <f t="shared" si="216"/>
        <v>2043</v>
      </c>
      <c r="U333" s="19">
        <f t="shared" si="221"/>
        <v>2</v>
      </c>
      <c r="V333" s="18" t="str">
        <f t="shared" si="229"/>
        <v/>
      </c>
      <c r="W333" s="18" t="str">
        <f t="shared" si="251"/>
        <v/>
      </c>
      <c r="X333" s="18" t="str">
        <f>IF(AK332&lt;&gt;1,"",IF(AH332&gt;0,IF(AH332&gt;CONTROL_PANEL!$B$11,CONTROL_PANEL!$B$11,AH332),0))</f>
        <v/>
      </c>
      <c r="Y333" s="18" t="str">
        <f t="shared" si="246"/>
        <v/>
      </c>
      <c r="Z333" s="18" t="str">
        <f>IF(AK333&lt;&gt;1,"",DATA_INPUT!I333)</f>
        <v/>
      </c>
      <c r="AA333" s="18" t="str">
        <f>IF(AK333&lt;&gt;1,"",Z333*CONTROL_PANEL!$B$5)</f>
        <v/>
      </c>
      <c r="AB333" s="18" t="str">
        <f>IF(AK333&lt;&gt;1,"",DATA_INPUT!$C333)</f>
        <v/>
      </c>
      <c r="AC333" s="18" t="str">
        <f t="shared" si="230"/>
        <v/>
      </c>
      <c r="AD333" s="18" t="str">
        <f>IF(AK333&lt;&gt;1,"",DATA_INPUT!$H333)</f>
        <v/>
      </c>
      <c r="AE333" s="18" t="str">
        <f t="shared" si="231"/>
        <v/>
      </c>
      <c r="AF333" s="18" t="str">
        <f>IF(AK333&lt;&gt;1,"",AA333*CONTROL_PANEL!$B$14)</f>
        <v/>
      </c>
      <c r="AG333" s="18" t="str">
        <f>IF(AK333&lt;&gt;1,"",DATA_INPUT!$L333)</f>
        <v/>
      </c>
      <c r="AH333" s="18" t="str">
        <f t="shared" si="232"/>
        <v/>
      </c>
      <c r="AI333" s="18" t="str">
        <f>IF(AK333&lt;&gt;1,"",IF(AH333-CONTROL_PANEL!$B$11&lt;0,0,AH333-CONTROL_PANEL!$B$11))</f>
        <v/>
      </c>
      <c r="AJ333" s="18" t="str">
        <f>IF(AK333&lt;&gt;1,"",IF(AG333&lt;=0,0,MIN(AG333,MAX(0,CONTROL_PANEL!$B$13-AH333))))</f>
        <v/>
      </c>
      <c r="AK333" s="18"/>
      <c r="AM333" s="19">
        <f t="shared" si="217"/>
        <v>2043</v>
      </c>
      <c r="AN333" s="19">
        <f t="shared" si="222"/>
        <v>2</v>
      </c>
      <c r="AO333" s="18" t="str">
        <f t="shared" si="233"/>
        <v/>
      </c>
      <c r="AP333" s="18" t="str">
        <f t="shared" si="252"/>
        <v/>
      </c>
      <c r="AQ333" s="18" t="str">
        <f>IF(BD332&lt;&gt;1,"",IF(BA332&gt;0,IF(BA332&gt;CONTROL_PANEL!$B$11,CONTROL_PANEL!$B$11,BA332),0))</f>
        <v/>
      </c>
      <c r="AR333" s="18" t="str">
        <f t="shared" si="247"/>
        <v/>
      </c>
      <c r="AS333" s="18" t="str">
        <f>IF(BD333&lt;&gt;1,"",DATA_INPUT!$I333)</f>
        <v/>
      </c>
      <c r="AT333" s="18" t="str">
        <f>IF(BD333&lt;&gt;1,"",AS333*CONTROL_PANEL!$B$5)</f>
        <v/>
      </c>
      <c r="AU333" s="18" t="str">
        <f>IF(BD333&lt;&gt;1,"",DATA_INPUT!$C333)</f>
        <v/>
      </c>
      <c r="AV333" s="18" t="str">
        <f t="shared" si="234"/>
        <v/>
      </c>
      <c r="AW333" s="18" t="str">
        <f>IF(BD333&lt;&gt;1,"",DATA_INPUT!$H333)</f>
        <v/>
      </c>
      <c r="AX333" s="18" t="str">
        <f t="shared" si="235"/>
        <v/>
      </c>
      <c r="AY333" s="18" t="str">
        <f>IF(BD333&lt;&gt;1,"",AT333*CONTROL_PANEL!$B$14)</f>
        <v/>
      </c>
      <c r="AZ333" s="18" t="str">
        <f>IF(BD333&lt;&gt;1,"",DATA_INPUT!$M333)</f>
        <v/>
      </c>
      <c r="BA333" s="18" t="str">
        <f t="shared" si="236"/>
        <v/>
      </c>
      <c r="BB333" s="18" t="str">
        <f>IF(BD333&lt;&gt;1,"",IF(BA333-CONTROL_PANEL!$B$11&lt;0,0,BA333-CONTROL_PANEL!$B$11))</f>
        <v/>
      </c>
      <c r="BC333" s="18" t="str">
        <f>IF(BD333&lt;&gt;1,"",IF(AZ333&lt;=0,0,MIN(AZ333,MAX(0,CONTROL_PANEL!$B$13-BA333))))</f>
        <v/>
      </c>
      <c r="BD333" s="18"/>
      <c r="BF333" s="19">
        <f t="shared" si="218"/>
        <v>2043</v>
      </c>
      <c r="BG333" s="19">
        <f t="shared" si="223"/>
        <v>2</v>
      </c>
      <c r="BH333" s="18" t="str">
        <f t="shared" si="237"/>
        <v/>
      </c>
      <c r="BI333" s="18" t="str">
        <f t="shared" si="253"/>
        <v/>
      </c>
      <c r="BJ333" s="18" t="str">
        <f>IF(BW332&lt;&gt;1,"",IF(BT332&gt;0,IF(BT332&gt;CONTROL_PANEL!$B$11,CONTROL_PANEL!$B$11,BT332),0))</f>
        <v/>
      </c>
      <c r="BK333" s="18" t="str">
        <f t="shared" si="248"/>
        <v/>
      </c>
      <c r="BL333" s="18" t="str">
        <f>IF(BW333&lt;&gt;1,"",DATA_INPUT!$I333)</f>
        <v/>
      </c>
      <c r="BM333" s="18" t="str">
        <f>IF(BW333&lt;&gt;1,"",BL333*CONTROL_PANEL!$B$5)</f>
        <v/>
      </c>
      <c r="BN333" s="18" t="str">
        <f>IF(BW333&lt;&gt;1,"",DATA_INPUT!$C333)</f>
        <v/>
      </c>
      <c r="BO333" s="18" t="str">
        <f t="shared" si="238"/>
        <v/>
      </c>
      <c r="BP333" s="18" t="str">
        <f>IF(BW333&lt;&gt;1,"",DATA_INPUT!$H333)</f>
        <v/>
      </c>
      <c r="BQ333" s="18" t="str">
        <f t="shared" si="239"/>
        <v/>
      </c>
      <c r="BR333" s="18" t="str">
        <f>IF(BW333&lt;&gt;1,"",BM333*CONTROL_PANEL!$B$14)</f>
        <v/>
      </c>
      <c r="BS333" s="18" t="str">
        <f>IF(BW333&lt;&gt;1,"",DATA_INPUT!$N333)</f>
        <v/>
      </c>
      <c r="BT333" s="18" t="str">
        <f t="shared" si="240"/>
        <v/>
      </c>
      <c r="BU333" s="18" t="str">
        <f>IF(BW333&lt;&gt;1,"",IF(BT333-CONTROL_PANEL!$B$11&lt;0,0,BT333-CONTROL_PANEL!$B$11))</f>
        <v/>
      </c>
      <c r="BV333" s="18" t="str">
        <f>IF(BW333&lt;&gt;1,"",IF(BS333&lt;=0,0,MIN(BS333,MAX(0,CONTROL_PANEL!$B$13-BT333))))</f>
        <v/>
      </c>
      <c r="BW333" s="18"/>
      <c r="BY333" s="19">
        <f t="shared" si="219"/>
        <v>2043</v>
      </c>
      <c r="BZ333" s="19">
        <f t="shared" si="224"/>
        <v>2</v>
      </c>
      <c r="CA333" s="18" t="str">
        <f t="shared" si="241"/>
        <v/>
      </c>
      <c r="CB333" s="18" t="str">
        <f t="shared" si="254"/>
        <v/>
      </c>
      <c r="CC333" s="18" t="str">
        <f>IF(CP332&lt;&gt;1,"",IF(CM332&gt;0,IF(CM332&gt;CONTROL_PANEL!$B$11,CONTROL_PANEL!$B$11,CM332),0))</f>
        <v/>
      </c>
      <c r="CD333" s="18" t="str">
        <f t="shared" si="249"/>
        <v/>
      </c>
      <c r="CE333" s="18" t="str">
        <f>IF(CP333&lt;&gt;1,"",DATA_INPUT!$I333)</f>
        <v/>
      </c>
      <c r="CF333" s="18" t="str">
        <f>IF(CP333&lt;&gt;1,"",CE333*CONTROL_PANEL!$B$5)</f>
        <v/>
      </c>
      <c r="CG333" s="18" t="str">
        <f>IF(CP333&lt;&gt;1,"",DATA_INPUT!$C333)</f>
        <v/>
      </c>
      <c r="CH333" s="18" t="str">
        <f t="shared" si="242"/>
        <v/>
      </c>
      <c r="CI333" s="18" t="str">
        <f>IF(CP333&lt;&gt;1,"",DATA_INPUT!$H333)</f>
        <v/>
      </c>
      <c r="CJ333" s="18" t="str">
        <f t="shared" si="243"/>
        <v/>
      </c>
      <c r="CK333" s="18" t="str">
        <f>IF(CP333&lt;&gt;1,"",CF333*CONTROL_PANEL!$B$14)</f>
        <v/>
      </c>
      <c r="CL333" s="18" t="str">
        <f>IF(CP333&lt;&gt;1,"",DATA_INPUT!$O333)</f>
        <v/>
      </c>
      <c r="CM333" s="18" t="str">
        <f t="shared" si="244"/>
        <v/>
      </c>
      <c r="CN333" s="18" t="str">
        <f>IF(CP333&lt;&gt;1,"",IF(CM333-CONTROL_PANEL!$B$11&lt;0,0,CM333-CONTROL_PANEL!$B$11))</f>
        <v/>
      </c>
      <c r="CO333" s="18" t="str">
        <f>IF(CP333&lt;&gt;1,"",IF(CL333&lt;=0,0,MIN(CL333,MAX(0,CONTROL_PANEL!$B$13-CM333))))</f>
        <v/>
      </c>
      <c r="CP333" s="18"/>
    </row>
    <row r="334" spans="1:94" x14ac:dyDescent="0.25">
      <c r="A334" s="19">
        <f t="shared" si="215"/>
        <v>2043</v>
      </c>
      <c r="B334" s="19">
        <f t="shared" si="220"/>
        <v>3</v>
      </c>
      <c r="C334" s="18" t="str">
        <f t="shared" si="225"/>
        <v/>
      </c>
      <c r="D334" s="18" t="str">
        <f t="shared" si="250"/>
        <v/>
      </c>
      <c r="E334" s="18" t="str">
        <f>IF(R333&lt;&gt;1,"",IF(O333&gt;0,IF(O333&gt;CONTROL_PANEL!$B$11,CONTROL_PANEL!$B$11,O333),0))</f>
        <v/>
      </c>
      <c r="F334" s="18" t="str">
        <f t="shared" si="245"/>
        <v/>
      </c>
      <c r="G334" s="18" t="str">
        <f>IF(R334&lt;&gt;1,"",DATA_INPUT!I334)</f>
        <v/>
      </c>
      <c r="H334" s="18" t="str">
        <f>IF(R334&lt;&gt;1,"",G334*CONTROL_PANEL!$B$5)</f>
        <v/>
      </c>
      <c r="I334" s="18" t="str">
        <f>IF(R334&lt;&gt;1,"",DATA_INPUT!C334)</f>
        <v/>
      </c>
      <c r="J334" s="18" t="str">
        <f t="shared" si="226"/>
        <v/>
      </c>
      <c r="K334" s="18" t="str">
        <f>IF(R334&lt;&gt;1,"",DATA_INPUT!H334)</f>
        <v/>
      </c>
      <c r="L334" s="18" t="str">
        <f t="shared" si="227"/>
        <v/>
      </c>
      <c r="M334" s="18" t="str">
        <f>IF(R334&lt;&gt;1,"",H334*CONTROL_PANEL!$B$14)</f>
        <v/>
      </c>
      <c r="N334" s="18" t="str">
        <f>IF(R334&lt;&gt;1,"",DATA_INPUT!K334)</f>
        <v/>
      </c>
      <c r="O334" s="18" t="str">
        <f t="shared" si="228"/>
        <v/>
      </c>
      <c r="P334" s="18" t="str">
        <f>IF(R334&lt;&gt;1,"",IF(O334-CONTROL_PANEL!$B$11&lt;0,0,O334-CONTROL_PANEL!$B$11))</f>
        <v/>
      </c>
      <c r="Q334" s="18" t="str">
        <f>IF(R334&lt;&gt;1,"",IF(N334&lt;=0,0,MIN(N334,MAX(0,CONTROL_PANEL!$B$13-O334))))</f>
        <v/>
      </c>
      <c r="R334" s="18"/>
      <c r="T334" s="19">
        <f t="shared" si="216"/>
        <v>2043</v>
      </c>
      <c r="U334" s="19">
        <f t="shared" si="221"/>
        <v>3</v>
      </c>
      <c r="V334" s="18" t="str">
        <f t="shared" si="229"/>
        <v/>
      </c>
      <c r="W334" s="18" t="str">
        <f t="shared" si="251"/>
        <v/>
      </c>
      <c r="X334" s="18" t="str">
        <f>IF(AK333&lt;&gt;1,"",IF(AH333&gt;0,IF(AH333&gt;CONTROL_PANEL!$B$11,CONTROL_PANEL!$B$11,AH333),0))</f>
        <v/>
      </c>
      <c r="Y334" s="18" t="str">
        <f t="shared" si="246"/>
        <v/>
      </c>
      <c r="Z334" s="18" t="str">
        <f>IF(AK334&lt;&gt;1,"",DATA_INPUT!I334)</f>
        <v/>
      </c>
      <c r="AA334" s="18" t="str">
        <f>IF(AK334&lt;&gt;1,"",Z334*CONTROL_PANEL!$B$5)</f>
        <v/>
      </c>
      <c r="AB334" s="18" t="str">
        <f>IF(AK334&lt;&gt;1,"",DATA_INPUT!$C334)</f>
        <v/>
      </c>
      <c r="AC334" s="18" t="str">
        <f t="shared" si="230"/>
        <v/>
      </c>
      <c r="AD334" s="18" t="str">
        <f>IF(AK334&lt;&gt;1,"",DATA_INPUT!$H334)</f>
        <v/>
      </c>
      <c r="AE334" s="18" t="str">
        <f t="shared" si="231"/>
        <v/>
      </c>
      <c r="AF334" s="18" t="str">
        <f>IF(AK334&lt;&gt;1,"",AA334*CONTROL_PANEL!$B$14)</f>
        <v/>
      </c>
      <c r="AG334" s="18" t="str">
        <f>IF(AK334&lt;&gt;1,"",DATA_INPUT!$L334)</f>
        <v/>
      </c>
      <c r="AH334" s="18" t="str">
        <f t="shared" si="232"/>
        <v/>
      </c>
      <c r="AI334" s="18" t="str">
        <f>IF(AK334&lt;&gt;1,"",IF(AH334-CONTROL_PANEL!$B$11&lt;0,0,AH334-CONTROL_PANEL!$B$11))</f>
        <v/>
      </c>
      <c r="AJ334" s="18" t="str">
        <f>IF(AK334&lt;&gt;1,"",IF(AG334&lt;=0,0,MIN(AG334,MAX(0,CONTROL_PANEL!$B$13-AH334))))</f>
        <v/>
      </c>
      <c r="AK334" s="18"/>
      <c r="AM334" s="19">
        <f t="shared" si="217"/>
        <v>2043</v>
      </c>
      <c r="AN334" s="19">
        <f t="shared" si="222"/>
        <v>3</v>
      </c>
      <c r="AO334" s="18" t="str">
        <f t="shared" si="233"/>
        <v/>
      </c>
      <c r="AP334" s="18" t="str">
        <f t="shared" si="252"/>
        <v/>
      </c>
      <c r="AQ334" s="18" t="str">
        <f>IF(BD333&lt;&gt;1,"",IF(BA333&gt;0,IF(BA333&gt;CONTROL_PANEL!$B$11,CONTROL_PANEL!$B$11,BA333),0))</f>
        <v/>
      </c>
      <c r="AR334" s="18" t="str">
        <f t="shared" si="247"/>
        <v/>
      </c>
      <c r="AS334" s="18" t="str">
        <f>IF(BD334&lt;&gt;1,"",DATA_INPUT!$I334)</f>
        <v/>
      </c>
      <c r="AT334" s="18" t="str">
        <f>IF(BD334&lt;&gt;1,"",AS334*CONTROL_PANEL!$B$5)</f>
        <v/>
      </c>
      <c r="AU334" s="18" t="str">
        <f>IF(BD334&lt;&gt;1,"",DATA_INPUT!$C334)</f>
        <v/>
      </c>
      <c r="AV334" s="18" t="str">
        <f t="shared" si="234"/>
        <v/>
      </c>
      <c r="AW334" s="18" t="str">
        <f>IF(BD334&lt;&gt;1,"",DATA_INPUT!$H334)</f>
        <v/>
      </c>
      <c r="AX334" s="18" t="str">
        <f t="shared" si="235"/>
        <v/>
      </c>
      <c r="AY334" s="18" t="str">
        <f>IF(BD334&lt;&gt;1,"",AT334*CONTROL_PANEL!$B$14)</f>
        <v/>
      </c>
      <c r="AZ334" s="18" t="str">
        <f>IF(BD334&lt;&gt;1,"",DATA_INPUT!$M334)</f>
        <v/>
      </c>
      <c r="BA334" s="18" t="str">
        <f t="shared" si="236"/>
        <v/>
      </c>
      <c r="BB334" s="18" t="str">
        <f>IF(BD334&lt;&gt;1,"",IF(BA334-CONTROL_PANEL!$B$11&lt;0,0,BA334-CONTROL_PANEL!$B$11))</f>
        <v/>
      </c>
      <c r="BC334" s="18" t="str">
        <f>IF(BD334&lt;&gt;1,"",IF(AZ334&lt;=0,0,MIN(AZ334,MAX(0,CONTROL_PANEL!$B$13-BA334))))</f>
        <v/>
      </c>
      <c r="BD334" s="18"/>
      <c r="BF334" s="19">
        <f t="shared" si="218"/>
        <v>2043</v>
      </c>
      <c r="BG334" s="19">
        <f t="shared" si="223"/>
        <v>3</v>
      </c>
      <c r="BH334" s="18" t="str">
        <f t="shared" si="237"/>
        <v/>
      </c>
      <c r="BI334" s="18" t="str">
        <f t="shared" si="253"/>
        <v/>
      </c>
      <c r="BJ334" s="18" t="str">
        <f>IF(BW333&lt;&gt;1,"",IF(BT333&gt;0,IF(BT333&gt;CONTROL_PANEL!$B$11,CONTROL_PANEL!$B$11,BT333),0))</f>
        <v/>
      </c>
      <c r="BK334" s="18" t="str">
        <f t="shared" si="248"/>
        <v/>
      </c>
      <c r="BL334" s="18" t="str">
        <f>IF(BW334&lt;&gt;1,"",DATA_INPUT!$I334)</f>
        <v/>
      </c>
      <c r="BM334" s="18" t="str">
        <f>IF(BW334&lt;&gt;1,"",BL334*CONTROL_PANEL!$B$5)</f>
        <v/>
      </c>
      <c r="BN334" s="18" t="str">
        <f>IF(BW334&lt;&gt;1,"",DATA_INPUT!$C334)</f>
        <v/>
      </c>
      <c r="BO334" s="18" t="str">
        <f t="shared" si="238"/>
        <v/>
      </c>
      <c r="BP334" s="18" t="str">
        <f>IF(BW334&lt;&gt;1,"",DATA_INPUT!$H334)</f>
        <v/>
      </c>
      <c r="BQ334" s="18" t="str">
        <f t="shared" si="239"/>
        <v/>
      </c>
      <c r="BR334" s="18" t="str">
        <f>IF(BW334&lt;&gt;1,"",BM334*CONTROL_PANEL!$B$14)</f>
        <v/>
      </c>
      <c r="BS334" s="18" t="str">
        <f>IF(BW334&lt;&gt;1,"",DATA_INPUT!$N334)</f>
        <v/>
      </c>
      <c r="BT334" s="18" t="str">
        <f t="shared" si="240"/>
        <v/>
      </c>
      <c r="BU334" s="18" t="str">
        <f>IF(BW334&lt;&gt;1,"",IF(BT334-CONTROL_PANEL!$B$11&lt;0,0,BT334-CONTROL_PANEL!$B$11))</f>
        <v/>
      </c>
      <c r="BV334" s="18" t="str">
        <f>IF(BW334&lt;&gt;1,"",IF(BS334&lt;=0,0,MIN(BS334,MAX(0,CONTROL_PANEL!$B$13-BT334))))</f>
        <v/>
      </c>
      <c r="BW334" s="18"/>
      <c r="BY334" s="19">
        <f t="shared" si="219"/>
        <v>2043</v>
      </c>
      <c r="BZ334" s="19">
        <f t="shared" si="224"/>
        <v>3</v>
      </c>
      <c r="CA334" s="18" t="str">
        <f t="shared" si="241"/>
        <v/>
      </c>
      <c r="CB334" s="18" t="str">
        <f t="shared" si="254"/>
        <v/>
      </c>
      <c r="CC334" s="18" t="str">
        <f>IF(CP333&lt;&gt;1,"",IF(CM333&gt;0,IF(CM333&gt;CONTROL_PANEL!$B$11,CONTROL_PANEL!$B$11,CM333),0))</f>
        <v/>
      </c>
      <c r="CD334" s="18" t="str">
        <f t="shared" si="249"/>
        <v/>
      </c>
      <c r="CE334" s="18" t="str">
        <f>IF(CP334&lt;&gt;1,"",DATA_INPUT!$I334)</f>
        <v/>
      </c>
      <c r="CF334" s="18" t="str">
        <f>IF(CP334&lt;&gt;1,"",CE334*CONTROL_PANEL!$B$5)</f>
        <v/>
      </c>
      <c r="CG334" s="18" t="str">
        <f>IF(CP334&lt;&gt;1,"",DATA_INPUT!$C334)</f>
        <v/>
      </c>
      <c r="CH334" s="18" t="str">
        <f t="shared" si="242"/>
        <v/>
      </c>
      <c r="CI334" s="18" t="str">
        <f>IF(CP334&lt;&gt;1,"",DATA_INPUT!$H334)</f>
        <v/>
      </c>
      <c r="CJ334" s="18" t="str">
        <f t="shared" si="243"/>
        <v/>
      </c>
      <c r="CK334" s="18" t="str">
        <f>IF(CP334&lt;&gt;1,"",CF334*CONTROL_PANEL!$B$14)</f>
        <v/>
      </c>
      <c r="CL334" s="18" t="str">
        <f>IF(CP334&lt;&gt;1,"",DATA_INPUT!$O334)</f>
        <v/>
      </c>
      <c r="CM334" s="18" t="str">
        <f t="shared" si="244"/>
        <v/>
      </c>
      <c r="CN334" s="18" t="str">
        <f>IF(CP334&lt;&gt;1,"",IF(CM334-CONTROL_PANEL!$B$11&lt;0,0,CM334-CONTROL_PANEL!$B$11))</f>
        <v/>
      </c>
      <c r="CO334" s="18" t="str">
        <f>IF(CP334&lt;&gt;1,"",IF(CL334&lt;=0,0,MIN(CL334,MAX(0,CONTROL_PANEL!$B$13-CM334))))</f>
        <v/>
      </c>
      <c r="CP334" s="18"/>
    </row>
    <row r="335" spans="1:94" x14ac:dyDescent="0.25">
      <c r="A335" s="19">
        <f t="shared" si="215"/>
        <v>2043</v>
      </c>
      <c r="B335" s="19">
        <f t="shared" si="220"/>
        <v>4</v>
      </c>
      <c r="C335" s="18" t="str">
        <f t="shared" si="225"/>
        <v/>
      </c>
      <c r="D335" s="18" t="str">
        <f t="shared" si="250"/>
        <v/>
      </c>
      <c r="E335" s="18" t="str">
        <f>IF(R334&lt;&gt;1,"",IF(O334&gt;0,IF(O334&gt;CONTROL_PANEL!$B$11,CONTROL_PANEL!$B$11,O334),0))</f>
        <v/>
      </c>
      <c r="F335" s="18" t="str">
        <f t="shared" si="245"/>
        <v/>
      </c>
      <c r="G335" s="18" t="str">
        <f>IF(R335&lt;&gt;1,"",DATA_INPUT!I335)</f>
        <v/>
      </c>
      <c r="H335" s="18" t="str">
        <f>IF(R335&lt;&gt;1,"",G335*CONTROL_PANEL!$B$5)</f>
        <v/>
      </c>
      <c r="I335" s="18" t="str">
        <f>IF(R335&lt;&gt;1,"",DATA_INPUT!C335)</f>
        <v/>
      </c>
      <c r="J335" s="18" t="str">
        <f t="shared" si="226"/>
        <v/>
      </c>
      <c r="K335" s="18" t="str">
        <f>IF(R335&lt;&gt;1,"",DATA_INPUT!H335)</f>
        <v/>
      </c>
      <c r="L335" s="18" t="str">
        <f t="shared" si="227"/>
        <v/>
      </c>
      <c r="M335" s="18" t="str">
        <f>IF(R335&lt;&gt;1,"",H335*CONTROL_PANEL!$B$14)</f>
        <v/>
      </c>
      <c r="N335" s="18" t="str">
        <f>IF(R335&lt;&gt;1,"",DATA_INPUT!K335)</f>
        <v/>
      </c>
      <c r="O335" s="18" t="str">
        <f t="shared" si="228"/>
        <v/>
      </c>
      <c r="P335" s="18" t="str">
        <f>IF(R335&lt;&gt;1,"",IF(O335-CONTROL_PANEL!$B$11&lt;0,0,O335-CONTROL_PANEL!$B$11))</f>
        <v/>
      </c>
      <c r="Q335" s="18" t="str">
        <f>IF(R335&lt;&gt;1,"",IF(N335&lt;=0,0,MIN(N335,MAX(0,CONTROL_PANEL!$B$13-O335))))</f>
        <v/>
      </c>
      <c r="R335" s="18"/>
      <c r="T335" s="19">
        <f t="shared" si="216"/>
        <v>2043</v>
      </c>
      <c r="U335" s="19">
        <f t="shared" si="221"/>
        <v>4</v>
      </c>
      <c r="V335" s="18" t="str">
        <f t="shared" si="229"/>
        <v/>
      </c>
      <c r="W335" s="18" t="str">
        <f t="shared" si="251"/>
        <v/>
      </c>
      <c r="X335" s="18" t="str">
        <f>IF(AK334&lt;&gt;1,"",IF(AH334&gt;0,IF(AH334&gt;CONTROL_PANEL!$B$11,CONTROL_PANEL!$B$11,AH334),0))</f>
        <v/>
      </c>
      <c r="Y335" s="18" t="str">
        <f t="shared" si="246"/>
        <v/>
      </c>
      <c r="Z335" s="18" t="str">
        <f>IF(AK335&lt;&gt;1,"",DATA_INPUT!I335)</f>
        <v/>
      </c>
      <c r="AA335" s="18" t="str">
        <f>IF(AK335&lt;&gt;1,"",Z335*CONTROL_PANEL!$B$5)</f>
        <v/>
      </c>
      <c r="AB335" s="18" t="str">
        <f>IF(AK335&lt;&gt;1,"",DATA_INPUT!$C335)</f>
        <v/>
      </c>
      <c r="AC335" s="18" t="str">
        <f t="shared" si="230"/>
        <v/>
      </c>
      <c r="AD335" s="18" t="str">
        <f>IF(AK335&lt;&gt;1,"",DATA_INPUT!$H335)</f>
        <v/>
      </c>
      <c r="AE335" s="18" t="str">
        <f t="shared" si="231"/>
        <v/>
      </c>
      <c r="AF335" s="18" t="str">
        <f>IF(AK335&lt;&gt;1,"",AA335*CONTROL_PANEL!$B$14)</f>
        <v/>
      </c>
      <c r="AG335" s="18" t="str">
        <f>IF(AK335&lt;&gt;1,"",DATA_INPUT!$L335)</f>
        <v/>
      </c>
      <c r="AH335" s="18" t="str">
        <f t="shared" si="232"/>
        <v/>
      </c>
      <c r="AI335" s="18" t="str">
        <f>IF(AK335&lt;&gt;1,"",IF(AH335-CONTROL_PANEL!$B$11&lt;0,0,AH335-CONTROL_PANEL!$B$11))</f>
        <v/>
      </c>
      <c r="AJ335" s="18" t="str">
        <f>IF(AK335&lt;&gt;1,"",IF(AG335&lt;=0,0,MIN(AG335,MAX(0,CONTROL_PANEL!$B$13-AH335))))</f>
        <v/>
      </c>
      <c r="AK335" s="18"/>
      <c r="AM335" s="19">
        <f t="shared" si="217"/>
        <v>2043</v>
      </c>
      <c r="AN335" s="19">
        <f t="shared" si="222"/>
        <v>4</v>
      </c>
      <c r="AO335" s="18" t="str">
        <f t="shared" si="233"/>
        <v/>
      </c>
      <c r="AP335" s="18" t="str">
        <f t="shared" si="252"/>
        <v/>
      </c>
      <c r="AQ335" s="18" t="str">
        <f>IF(BD334&lt;&gt;1,"",IF(BA334&gt;0,IF(BA334&gt;CONTROL_PANEL!$B$11,CONTROL_PANEL!$B$11,BA334),0))</f>
        <v/>
      </c>
      <c r="AR335" s="18" t="str">
        <f t="shared" si="247"/>
        <v/>
      </c>
      <c r="AS335" s="18" t="str">
        <f>IF(BD335&lt;&gt;1,"",DATA_INPUT!$I335)</f>
        <v/>
      </c>
      <c r="AT335" s="18" t="str">
        <f>IF(BD335&lt;&gt;1,"",AS335*CONTROL_PANEL!$B$5)</f>
        <v/>
      </c>
      <c r="AU335" s="18" t="str">
        <f>IF(BD335&lt;&gt;1,"",DATA_INPUT!$C335)</f>
        <v/>
      </c>
      <c r="AV335" s="18" t="str">
        <f t="shared" si="234"/>
        <v/>
      </c>
      <c r="AW335" s="18" t="str">
        <f>IF(BD335&lt;&gt;1,"",DATA_INPUT!$H335)</f>
        <v/>
      </c>
      <c r="AX335" s="18" t="str">
        <f t="shared" si="235"/>
        <v/>
      </c>
      <c r="AY335" s="18" t="str">
        <f>IF(BD335&lt;&gt;1,"",AT335*CONTROL_PANEL!$B$14)</f>
        <v/>
      </c>
      <c r="AZ335" s="18" t="str">
        <f>IF(BD335&lt;&gt;1,"",DATA_INPUT!$M335)</f>
        <v/>
      </c>
      <c r="BA335" s="18" t="str">
        <f t="shared" si="236"/>
        <v/>
      </c>
      <c r="BB335" s="18" t="str">
        <f>IF(BD335&lt;&gt;1,"",IF(BA335-CONTROL_PANEL!$B$11&lt;0,0,BA335-CONTROL_PANEL!$B$11))</f>
        <v/>
      </c>
      <c r="BC335" s="18" t="str">
        <f>IF(BD335&lt;&gt;1,"",IF(AZ335&lt;=0,0,MIN(AZ335,MAX(0,CONTROL_PANEL!$B$13-BA335))))</f>
        <v/>
      </c>
      <c r="BD335" s="18"/>
      <c r="BF335" s="19">
        <f t="shared" si="218"/>
        <v>2043</v>
      </c>
      <c r="BG335" s="19">
        <f t="shared" si="223"/>
        <v>4</v>
      </c>
      <c r="BH335" s="18" t="str">
        <f t="shared" si="237"/>
        <v/>
      </c>
      <c r="BI335" s="18" t="str">
        <f t="shared" si="253"/>
        <v/>
      </c>
      <c r="BJ335" s="18" t="str">
        <f>IF(BW334&lt;&gt;1,"",IF(BT334&gt;0,IF(BT334&gt;CONTROL_PANEL!$B$11,CONTROL_PANEL!$B$11,BT334),0))</f>
        <v/>
      </c>
      <c r="BK335" s="18" t="str">
        <f t="shared" si="248"/>
        <v/>
      </c>
      <c r="BL335" s="18" t="str">
        <f>IF(BW335&lt;&gt;1,"",DATA_INPUT!$I335)</f>
        <v/>
      </c>
      <c r="BM335" s="18" t="str">
        <f>IF(BW335&lt;&gt;1,"",BL335*CONTROL_PANEL!$B$5)</f>
        <v/>
      </c>
      <c r="BN335" s="18" t="str">
        <f>IF(BW335&lt;&gt;1,"",DATA_INPUT!$C335)</f>
        <v/>
      </c>
      <c r="BO335" s="18" t="str">
        <f t="shared" si="238"/>
        <v/>
      </c>
      <c r="BP335" s="18" t="str">
        <f>IF(BW335&lt;&gt;1,"",DATA_INPUT!$H335)</f>
        <v/>
      </c>
      <c r="BQ335" s="18" t="str">
        <f t="shared" si="239"/>
        <v/>
      </c>
      <c r="BR335" s="18" t="str">
        <f>IF(BW335&lt;&gt;1,"",BM335*CONTROL_PANEL!$B$14)</f>
        <v/>
      </c>
      <c r="BS335" s="18" t="str">
        <f>IF(BW335&lt;&gt;1,"",DATA_INPUT!$N335)</f>
        <v/>
      </c>
      <c r="BT335" s="18" t="str">
        <f t="shared" si="240"/>
        <v/>
      </c>
      <c r="BU335" s="18" t="str">
        <f>IF(BW335&lt;&gt;1,"",IF(BT335-CONTROL_PANEL!$B$11&lt;0,0,BT335-CONTROL_PANEL!$B$11))</f>
        <v/>
      </c>
      <c r="BV335" s="18" t="str">
        <f>IF(BW335&lt;&gt;1,"",IF(BS335&lt;=0,0,MIN(BS335,MAX(0,CONTROL_PANEL!$B$13-BT335))))</f>
        <v/>
      </c>
      <c r="BW335" s="18"/>
      <c r="BY335" s="19">
        <f t="shared" si="219"/>
        <v>2043</v>
      </c>
      <c r="BZ335" s="19">
        <f t="shared" si="224"/>
        <v>4</v>
      </c>
      <c r="CA335" s="18" t="str">
        <f t="shared" si="241"/>
        <v/>
      </c>
      <c r="CB335" s="18" t="str">
        <f t="shared" si="254"/>
        <v/>
      </c>
      <c r="CC335" s="18" t="str">
        <f>IF(CP334&lt;&gt;1,"",IF(CM334&gt;0,IF(CM334&gt;CONTROL_PANEL!$B$11,CONTROL_PANEL!$B$11,CM334),0))</f>
        <v/>
      </c>
      <c r="CD335" s="18" t="str">
        <f t="shared" si="249"/>
        <v/>
      </c>
      <c r="CE335" s="18" t="str">
        <f>IF(CP335&lt;&gt;1,"",DATA_INPUT!$I335)</f>
        <v/>
      </c>
      <c r="CF335" s="18" t="str">
        <f>IF(CP335&lt;&gt;1,"",CE335*CONTROL_PANEL!$B$5)</f>
        <v/>
      </c>
      <c r="CG335" s="18" t="str">
        <f>IF(CP335&lt;&gt;1,"",DATA_INPUT!$C335)</f>
        <v/>
      </c>
      <c r="CH335" s="18" t="str">
        <f t="shared" si="242"/>
        <v/>
      </c>
      <c r="CI335" s="18" t="str">
        <f>IF(CP335&lt;&gt;1,"",DATA_INPUT!$H335)</f>
        <v/>
      </c>
      <c r="CJ335" s="18" t="str">
        <f t="shared" si="243"/>
        <v/>
      </c>
      <c r="CK335" s="18" t="str">
        <f>IF(CP335&lt;&gt;1,"",CF335*CONTROL_PANEL!$B$14)</f>
        <v/>
      </c>
      <c r="CL335" s="18" t="str">
        <f>IF(CP335&lt;&gt;1,"",DATA_INPUT!$O335)</f>
        <v/>
      </c>
      <c r="CM335" s="18" t="str">
        <f t="shared" si="244"/>
        <v/>
      </c>
      <c r="CN335" s="18" t="str">
        <f>IF(CP335&lt;&gt;1,"",IF(CM335-CONTROL_PANEL!$B$11&lt;0,0,CM335-CONTROL_PANEL!$B$11))</f>
        <v/>
      </c>
      <c r="CO335" s="18" t="str">
        <f>IF(CP335&lt;&gt;1,"",IF(CL335&lt;=0,0,MIN(CL335,MAX(0,CONTROL_PANEL!$B$13-CM335))))</f>
        <v/>
      </c>
      <c r="CP335" s="18"/>
    </row>
    <row r="336" spans="1:94" x14ac:dyDescent="0.25">
      <c r="A336" s="19">
        <f t="shared" si="215"/>
        <v>2043</v>
      </c>
      <c r="B336" s="19">
        <f t="shared" si="220"/>
        <v>5</v>
      </c>
      <c r="C336" s="18" t="str">
        <f t="shared" si="225"/>
        <v/>
      </c>
      <c r="D336" s="18" t="str">
        <f t="shared" si="250"/>
        <v/>
      </c>
      <c r="E336" s="18" t="str">
        <f>IF(R335&lt;&gt;1,"",IF(O335&gt;0,IF(O335&gt;CONTROL_PANEL!$B$11,CONTROL_PANEL!$B$11,O335),0))</f>
        <v/>
      </c>
      <c r="F336" s="18" t="str">
        <f t="shared" si="245"/>
        <v/>
      </c>
      <c r="G336" s="18" t="str">
        <f>IF(R336&lt;&gt;1,"",DATA_INPUT!I336)</f>
        <v/>
      </c>
      <c r="H336" s="18" t="str">
        <f>IF(R336&lt;&gt;1,"",G336*CONTROL_PANEL!$B$5)</f>
        <v/>
      </c>
      <c r="I336" s="18" t="str">
        <f>IF(R336&lt;&gt;1,"",DATA_INPUT!C336)</f>
        <v/>
      </c>
      <c r="J336" s="18" t="str">
        <f t="shared" si="226"/>
        <v/>
      </c>
      <c r="K336" s="18" t="str">
        <f>IF(R336&lt;&gt;1,"",DATA_INPUT!H336)</f>
        <v/>
      </c>
      <c r="L336" s="18" t="str">
        <f t="shared" si="227"/>
        <v/>
      </c>
      <c r="M336" s="18" t="str">
        <f>IF(R336&lt;&gt;1,"",H336*CONTROL_PANEL!$B$14)</f>
        <v/>
      </c>
      <c r="N336" s="18" t="str">
        <f>IF(R336&lt;&gt;1,"",DATA_INPUT!K336)</f>
        <v/>
      </c>
      <c r="O336" s="18" t="str">
        <f t="shared" si="228"/>
        <v/>
      </c>
      <c r="P336" s="18" t="str">
        <f>IF(R336&lt;&gt;1,"",IF(O336-CONTROL_PANEL!$B$11&lt;0,0,O336-CONTROL_PANEL!$B$11))</f>
        <v/>
      </c>
      <c r="Q336" s="18" t="str">
        <f>IF(R336&lt;&gt;1,"",IF(N336&lt;=0,0,MIN(N336,MAX(0,CONTROL_PANEL!$B$13-O336))))</f>
        <v/>
      </c>
      <c r="R336" s="18"/>
      <c r="T336" s="19">
        <f t="shared" si="216"/>
        <v>2043</v>
      </c>
      <c r="U336" s="19">
        <f t="shared" si="221"/>
        <v>5</v>
      </c>
      <c r="V336" s="18" t="str">
        <f t="shared" si="229"/>
        <v/>
      </c>
      <c r="W336" s="18" t="str">
        <f t="shared" si="251"/>
        <v/>
      </c>
      <c r="X336" s="18" t="str">
        <f>IF(AK335&lt;&gt;1,"",IF(AH335&gt;0,IF(AH335&gt;CONTROL_PANEL!$B$11,CONTROL_PANEL!$B$11,AH335),0))</f>
        <v/>
      </c>
      <c r="Y336" s="18" t="str">
        <f t="shared" si="246"/>
        <v/>
      </c>
      <c r="Z336" s="18" t="str">
        <f>IF(AK336&lt;&gt;1,"",DATA_INPUT!I336)</f>
        <v/>
      </c>
      <c r="AA336" s="18" t="str">
        <f>IF(AK336&lt;&gt;1,"",Z336*CONTROL_PANEL!$B$5)</f>
        <v/>
      </c>
      <c r="AB336" s="18" t="str">
        <f>IF(AK336&lt;&gt;1,"",DATA_INPUT!$C336)</f>
        <v/>
      </c>
      <c r="AC336" s="18" t="str">
        <f t="shared" si="230"/>
        <v/>
      </c>
      <c r="AD336" s="18" t="str">
        <f>IF(AK336&lt;&gt;1,"",DATA_INPUT!$H336)</f>
        <v/>
      </c>
      <c r="AE336" s="18" t="str">
        <f t="shared" si="231"/>
        <v/>
      </c>
      <c r="AF336" s="18" t="str">
        <f>IF(AK336&lt;&gt;1,"",AA336*CONTROL_PANEL!$B$14)</f>
        <v/>
      </c>
      <c r="AG336" s="18" t="str">
        <f>IF(AK336&lt;&gt;1,"",DATA_INPUT!$L336)</f>
        <v/>
      </c>
      <c r="AH336" s="18" t="str">
        <f t="shared" si="232"/>
        <v/>
      </c>
      <c r="AI336" s="18" t="str">
        <f>IF(AK336&lt;&gt;1,"",IF(AH336-CONTROL_PANEL!$B$11&lt;0,0,AH336-CONTROL_PANEL!$B$11))</f>
        <v/>
      </c>
      <c r="AJ336" s="18" t="str">
        <f>IF(AK336&lt;&gt;1,"",IF(AG336&lt;=0,0,MIN(AG336,MAX(0,CONTROL_PANEL!$B$13-AH336))))</f>
        <v/>
      </c>
      <c r="AK336" s="18"/>
      <c r="AM336" s="19">
        <f t="shared" si="217"/>
        <v>2043</v>
      </c>
      <c r="AN336" s="19">
        <f t="shared" si="222"/>
        <v>5</v>
      </c>
      <c r="AO336" s="18" t="str">
        <f t="shared" si="233"/>
        <v/>
      </c>
      <c r="AP336" s="18" t="str">
        <f t="shared" si="252"/>
        <v/>
      </c>
      <c r="AQ336" s="18" t="str">
        <f>IF(BD335&lt;&gt;1,"",IF(BA335&gt;0,IF(BA335&gt;CONTROL_PANEL!$B$11,CONTROL_PANEL!$B$11,BA335),0))</f>
        <v/>
      </c>
      <c r="AR336" s="18" t="str">
        <f t="shared" si="247"/>
        <v/>
      </c>
      <c r="AS336" s="18" t="str">
        <f>IF(BD336&lt;&gt;1,"",DATA_INPUT!$I336)</f>
        <v/>
      </c>
      <c r="AT336" s="18" t="str">
        <f>IF(BD336&lt;&gt;1,"",AS336*CONTROL_PANEL!$B$5)</f>
        <v/>
      </c>
      <c r="AU336" s="18" t="str">
        <f>IF(BD336&lt;&gt;1,"",DATA_INPUT!$C336)</f>
        <v/>
      </c>
      <c r="AV336" s="18" t="str">
        <f t="shared" si="234"/>
        <v/>
      </c>
      <c r="AW336" s="18" t="str">
        <f>IF(BD336&lt;&gt;1,"",DATA_INPUT!$H336)</f>
        <v/>
      </c>
      <c r="AX336" s="18" t="str">
        <f t="shared" si="235"/>
        <v/>
      </c>
      <c r="AY336" s="18" t="str">
        <f>IF(BD336&lt;&gt;1,"",AT336*CONTROL_PANEL!$B$14)</f>
        <v/>
      </c>
      <c r="AZ336" s="18" t="str">
        <f>IF(BD336&lt;&gt;1,"",DATA_INPUT!$M336)</f>
        <v/>
      </c>
      <c r="BA336" s="18" t="str">
        <f t="shared" si="236"/>
        <v/>
      </c>
      <c r="BB336" s="18" t="str">
        <f>IF(BD336&lt;&gt;1,"",IF(BA336-CONTROL_PANEL!$B$11&lt;0,0,BA336-CONTROL_PANEL!$B$11))</f>
        <v/>
      </c>
      <c r="BC336" s="18" t="str">
        <f>IF(BD336&lt;&gt;1,"",IF(AZ336&lt;=0,0,MIN(AZ336,MAX(0,CONTROL_PANEL!$B$13-BA336))))</f>
        <v/>
      </c>
      <c r="BD336" s="18"/>
      <c r="BF336" s="19">
        <f t="shared" si="218"/>
        <v>2043</v>
      </c>
      <c r="BG336" s="19">
        <f t="shared" si="223"/>
        <v>5</v>
      </c>
      <c r="BH336" s="18" t="str">
        <f t="shared" si="237"/>
        <v/>
      </c>
      <c r="BI336" s="18" t="str">
        <f t="shared" si="253"/>
        <v/>
      </c>
      <c r="BJ336" s="18" t="str">
        <f>IF(BW335&lt;&gt;1,"",IF(BT335&gt;0,IF(BT335&gt;CONTROL_PANEL!$B$11,CONTROL_PANEL!$B$11,BT335),0))</f>
        <v/>
      </c>
      <c r="BK336" s="18" t="str">
        <f t="shared" si="248"/>
        <v/>
      </c>
      <c r="BL336" s="18" t="str">
        <f>IF(BW336&lt;&gt;1,"",DATA_INPUT!$I336)</f>
        <v/>
      </c>
      <c r="BM336" s="18" t="str">
        <f>IF(BW336&lt;&gt;1,"",BL336*CONTROL_PANEL!$B$5)</f>
        <v/>
      </c>
      <c r="BN336" s="18" t="str">
        <f>IF(BW336&lt;&gt;1,"",DATA_INPUT!$C336)</f>
        <v/>
      </c>
      <c r="BO336" s="18" t="str">
        <f t="shared" si="238"/>
        <v/>
      </c>
      <c r="BP336" s="18" t="str">
        <f>IF(BW336&lt;&gt;1,"",DATA_INPUT!$H336)</f>
        <v/>
      </c>
      <c r="BQ336" s="18" t="str">
        <f t="shared" si="239"/>
        <v/>
      </c>
      <c r="BR336" s="18" t="str">
        <f>IF(BW336&lt;&gt;1,"",BM336*CONTROL_PANEL!$B$14)</f>
        <v/>
      </c>
      <c r="BS336" s="18" t="str">
        <f>IF(BW336&lt;&gt;1,"",DATA_INPUT!$N336)</f>
        <v/>
      </c>
      <c r="BT336" s="18" t="str">
        <f t="shared" si="240"/>
        <v/>
      </c>
      <c r="BU336" s="18" t="str">
        <f>IF(BW336&lt;&gt;1,"",IF(BT336-CONTROL_PANEL!$B$11&lt;0,0,BT336-CONTROL_PANEL!$B$11))</f>
        <v/>
      </c>
      <c r="BV336" s="18" t="str">
        <f>IF(BW336&lt;&gt;1,"",IF(BS336&lt;=0,0,MIN(BS336,MAX(0,CONTROL_PANEL!$B$13-BT336))))</f>
        <v/>
      </c>
      <c r="BW336" s="18"/>
      <c r="BY336" s="19">
        <f t="shared" si="219"/>
        <v>2043</v>
      </c>
      <c r="BZ336" s="19">
        <f t="shared" si="224"/>
        <v>5</v>
      </c>
      <c r="CA336" s="18" t="str">
        <f t="shared" si="241"/>
        <v/>
      </c>
      <c r="CB336" s="18" t="str">
        <f t="shared" si="254"/>
        <v/>
      </c>
      <c r="CC336" s="18" t="str">
        <f>IF(CP335&lt;&gt;1,"",IF(CM335&gt;0,IF(CM335&gt;CONTROL_PANEL!$B$11,CONTROL_PANEL!$B$11,CM335),0))</f>
        <v/>
      </c>
      <c r="CD336" s="18" t="str">
        <f t="shared" si="249"/>
        <v/>
      </c>
      <c r="CE336" s="18" t="str">
        <f>IF(CP336&lt;&gt;1,"",DATA_INPUT!$I336)</f>
        <v/>
      </c>
      <c r="CF336" s="18" t="str">
        <f>IF(CP336&lt;&gt;1,"",CE336*CONTROL_PANEL!$B$5)</f>
        <v/>
      </c>
      <c r="CG336" s="18" t="str">
        <f>IF(CP336&lt;&gt;1,"",DATA_INPUT!$C336)</f>
        <v/>
      </c>
      <c r="CH336" s="18" t="str">
        <f t="shared" si="242"/>
        <v/>
      </c>
      <c r="CI336" s="18" t="str">
        <f>IF(CP336&lt;&gt;1,"",DATA_INPUT!$H336)</f>
        <v/>
      </c>
      <c r="CJ336" s="18" t="str">
        <f t="shared" si="243"/>
        <v/>
      </c>
      <c r="CK336" s="18" t="str">
        <f>IF(CP336&lt;&gt;1,"",CF336*CONTROL_PANEL!$B$14)</f>
        <v/>
      </c>
      <c r="CL336" s="18" t="str">
        <f>IF(CP336&lt;&gt;1,"",DATA_INPUT!$O336)</f>
        <v/>
      </c>
      <c r="CM336" s="18" t="str">
        <f t="shared" si="244"/>
        <v/>
      </c>
      <c r="CN336" s="18" t="str">
        <f>IF(CP336&lt;&gt;1,"",IF(CM336-CONTROL_PANEL!$B$11&lt;0,0,CM336-CONTROL_PANEL!$B$11))</f>
        <v/>
      </c>
      <c r="CO336" s="18" t="str">
        <f>IF(CP336&lt;&gt;1,"",IF(CL336&lt;=0,0,MIN(CL336,MAX(0,CONTROL_PANEL!$B$13-CM336))))</f>
        <v/>
      </c>
      <c r="CP336" s="18"/>
    </row>
    <row r="337" spans="1:94" x14ac:dyDescent="0.25">
      <c r="A337" s="19">
        <f t="shared" si="215"/>
        <v>2043</v>
      </c>
      <c r="B337" s="19">
        <f t="shared" si="220"/>
        <v>6</v>
      </c>
      <c r="C337" s="18" t="str">
        <f t="shared" si="225"/>
        <v/>
      </c>
      <c r="D337" s="18" t="str">
        <f t="shared" si="250"/>
        <v/>
      </c>
      <c r="E337" s="18" t="str">
        <f>IF(R336&lt;&gt;1,"",IF(O336&gt;0,IF(O336&gt;CONTROL_PANEL!$B$11,CONTROL_PANEL!$B$11,O336),0))</f>
        <v/>
      </c>
      <c r="F337" s="18" t="str">
        <f t="shared" si="245"/>
        <v/>
      </c>
      <c r="G337" s="18" t="str">
        <f>IF(R337&lt;&gt;1,"",DATA_INPUT!I337)</f>
        <v/>
      </c>
      <c r="H337" s="18" t="str">
        <f>IF(R337&lt;&gt;1,"",G337*CONTROL_PANEL!$B$5)</f>
        <v/>
      </c>
      <c r="I337" s="18" t="str">
        <f>IF(R337&lt;&gt;1,"",DATA_INPUT!C337)</f>
        <v/>
      </c>
      <c r="J337" s="18" t="str">
        <f t="shared" si="226"/>
        <v/>
      </c>
      <c r="K337" s="18" t="str">
        <f>IF(R337&lt;&gt;1,"",DATA_INPUT!H337)</f>
        <v/>
      </c>
      <c r="L337" s="18" t="str">
        <f t="shared" si="227"/>
        <v/>
      </c>
      <c r="M337" s="18" t="str">
        <f>IF(R337&lt;&gt;1,"",H337*CONTROL_PANEL!$B$14)</f>
        <v/>
      </c>
      <c r="N337" s="18" t="str">
        <f>IF(R337&lt;&gt;1,"",DATA_INPUT!K337)</f>
        <v/>
      </c>
      <c r="O337" s="18" t="str">
        <f t="shared" si="228"/>
        <v/>
      </c>
      <c r="P337" s="18" t="str">
        <f>IF(R337&lt;&gt;1,"",IF(O337-CONTROL_PANEL!$B$11&lt;0,0,O337-CONTROL_PANEL!$B$11))</f>
        <v/>
      </c>
      <c r="Q337" s="18" t="str">
        <f>IF(R337&lt;&gt;1,"",IF(N337&lt;=0,0,MIN(N337,MAX(0,CONTROL_PANEL!$B$13-O337))))</f>
        <v/>
      </c>
      <c r="R337" s="18"/>
      <c r="T337" s="19">
        <f t="shared" si="216"/>
        <v>2043</v>
      </c>
      <c r="U337" s="19">
        <f t="shared" si="221"/>
        <v>6</v>
      </c>
      <c r="V337" s="18" t="str">
        <f t="shared" si="229"/>
        <v/>
      </c>
      <c r="W337" s="18" t="str">
        <f t="shared" si="251"/>
        <v/>
      </c>
      <c r="X337" s="18" t="str">
        <f>IF(AK336&lt;&gt;1,"",IF(AH336&gt;0,IF(AH336&gt;CONTROL_PANEL!$B$11,CONTROL_PANEL!$B$11,AH336),0))</f>
        <v/>
      </c>
      <c r="Y337" s="18" t="str">
        <f t="shared" si="246"/>
        <v/>
      </c>
      <c r="Z337" s="18" t="str">
        <f>IF(AK337&lt;&gt;1,"",DATA_INPUT!I337)</f>
        <v/>
      </c>
      <c r="AA337" s="18" t="str">
        <f>IF(AK337&lt;&gt;1,"",Z337*CONTROL_PANEL!$B$5)</f>
        <v/>
      </c>
      <c r="AB337" s="18" t="str">
        <f>IF(AK337&lt;&gt;1,"",DATA_INPUT!$C337)</f>
        <v/>
      </c>
      <c r="AC337" s="18" t="str">
        <f t="shared" si="230"/>
        <v/>
      </c>
      <c r="AD337" s="18" t="str">
        <f>IF(AK337&lt;&gt;1,"",DATA_INPUT!$H337)</f>
        <v/>
      </c>
      <c r="AE337" s="18" t="str">
        <f t="shared" si="231"/>
        <v/>
      </c>
      <c r="AF337" s="18" t="str">
        <f>IF(AK337&lt;&gt;1,"",AA337*CONTROL_PANEL!$B$14)</f>
        <v/>
      </c>
      <c r="AG337" s="18" t="str">
        <f>IF(AK337&lt;&gt;1,"",DATA_INPUT!$L337)</f>
        <v/>
      </c>
      <c r="AH337" s="18" t="str">
        <f t="shared" si="232"/>
        <v/>
      </c>
      <c r="AI337" s="18" t="str">
        <f>IF(AK337&lt;&gt;1,"",IF(AH337-CONTROL_PANEL!$B$11&lt;0,0,AH337-CONTROL_PANEL!$B$11))</f>
        <v/>
      </c>
      <c r="AJ337" s="18" t="str">
        <f>IF(AK337&lt;&gt;1,"",IF(AG337&lt;=0,0,MIN(AG337,MAX(0,CONTROL_PANEL!$B$13-AH337))))</f>
        <v/>
      </c>
      <c r="AK337" s="18"/>
      <c r="AM337" s="19">
        <f t="shared" si="217"/>
        <v>2043</v>
      </c>
      <c r="AN337" s="19">
        <f t="shared" si="222"/>
        <v>6</v>
      </c>
      <c r="AO337" s="18" t="str">
        <f t="shared" si="233"/>
        <v/>
      </c>
      <c r="AP337" s="18" t="str">
        <f t="shared" si="252"/>
        <v/>
      </c>
      <c r="AQ337" s="18" t="str">
        <f>IF(BD336&lt;&gt;1,"",IF(BA336&gt;0,IF(BA336&gt;CONTROL_PANEL!$B$11,CONTROL_PANEL!$B$11,BA336),0))</f>
        <v/>
      </c>
      <c r="AR337" s="18" t="str">
        <f t="shared" si="247"/>
        <v/>
      </c>
      <c r="AS337" s="18" t="str">
        <f>IF(BD337&lt;&gt;1,"",DATA_INPUT!$I337)</f>
        <v/>
      </c>
      <c r="AT337" s="18" t="str">
        <f>IF(BD337&lt;&gt;1,"",AS337*CONTROL_PANEL!$B$5)</f>
        <v/>
      </c>
      <c r="AU337" s="18" t="str">
        <f>IF(BD337&lt;&gt;1,"",DATA_INPUT!$C337)</f>
        <v/>
      </c>
      <c r="AV337" s="18" t="str">
        <f t="shared" si="234"/>
        <v/>
      </c>
      <c r="AW337" s="18" t="str">
        <f>IF(BD337&lt;&gt;1,"",DATA_INPUT!$H337)</f>
        <v/>
      </c>
      <c r="AX337" s="18" t="str">
        <f t="shared" si="235"/>
        <v/>
      </c>
      <c r="AY337" s="18" t="str">
        <f>IF(BD337&lt;&gt;1,"",AT337*CONTROL_PANEL!$B$14)</f>
        <v/>
      </c>
      <c r="AZ337" s="18" t="str">
        <f>IF(BD337&lt;&gt;1,"",DATA_INPUT!$M337)</f>
        <v/>
      </c>
      <c r="BA337" s="18" t="str">
        <f t="shared" si="236"/>
        <v/>
      </c>
      <c r="BB337" s="18" t="str">
        <f>IF(BD337&lt;&gt;1,"",IF(BA337-CONTROL_PANEL!$B$11&lt;0,0,BA337-CONTROL_PANEL!$B$11))</f>
        <v/>
      </c>
      <c r="BC337" s="18" t="str">
        <f>IF(BD337&lt;&gt;1,"",IF(AZ337&lt;=0,0,MIN(AZ337,MAX(0,CONTROL_PANEL!$B$13-BA337))))</f>
        <v/>
      </c>
      <c r="BD337" s="18"/>
      <c r="BF337" s="19">
        <f t="shared" si="218"/>
        <v>2043</v>
      </c>
      <c r="BG337" s="19">
        <f t="shared" si="223"/>
        <v>6</v>
      </c>
      <c r="BH337" s="18" t="str">
        <f t="shared" si="237"/>
        <v/>
      </c>
      <c r="BI337" s="18" t="str">
        <f t="shared" si="253"/>
        <v/>
      </c>
      <c r="BJ337" s="18" t="str">
        <f>IF(BW336&lt;&gt;1,"",IF(BT336&gt;0,IF(BT336&gt;CONTROL_PANEL!$B$11,CONTROL_PANEL!$B$11,BT336),0))</f>
        <v/>
      </c>
      <c r="BK337" s="18" t="str">
        <f t="shared" si="248"/>
        <v/>
      </c>
      <c r="BL337" s="18" t="str">
        <f>IF(BW337&lt;&gt;1,"",DATA_INPUT!$I337)</f>
        <v/>
      </c>
      <c r="BM337" s="18" t="str">
        <f>IF(BW337&lt;&gt;1,"",BL337*CONTROL_PANEL!$B$5)</f>
        <v/>
      </c>
      <c r="BN337" s="18" t="str">
        <f>IF(BW337&lt;&gt;1,"",DATA_INPUT!$C337)</f>
        <v/>
      </c>
      <c r="BO337" s="18" t="str">
        <f t="shared" si="238"/>
        <v/>
      </c>
      <c r="BP337" s="18" t="str">
        <f>IF(BW337&lt;&gt;1,"",DATA_INPUT!$H337)</f>
        <v/>
      </c>
      <c r="BQ337" s="18" t="str">
        <f t="shared" si="239"/>
        <v/>
      </c>
      <c r="BR337" s="18" t="str">
        <f>IF(BW337&lt;&gt;1,"",BM337*CONTROL_PANEL!$B$14)</f>
        <v/>
      </c>
      <c r="BS337" s="18" t="str">
        <f>IF(BW337&lt;&gt;1,"",DATA_INPUT!$N337)</f>
        <v/>
      </c>
      <c r="BT337" s="18" t="str">
        <f t="shared" si="240"/>
        <v/>
      </c>
      <c r="BU337" s="18" t="str">
        <f>IF(BW337&lt;&gt;1,"",IF(BT337-CONTROL_PANEL!$B$11&lt;0,0,BT337-CONTROL_PANEL!$B$11))</f>
        <v/>
      </c>
      <c r="BV337" s="18" t="str">
        <f>IF(BW337&lt;&gt;1,"",IF(BS337&lt;=0,0,MIN(BS337,MAX(0,CONTROL_PANEL!$B$13-BT337))))</f>
        <v/>
      </c>
      <c r="BW337" s="18"/>
      <c r="BY337" s="19">
        <f t="shared" si="219"/>
        <v>2043</v>
      </c>
      <c r="BZ337" s="19">
        <f t="shared" si="224"/>
        <v>6</v>
      </c>
      <c r="CA337" s="18" t="str">
        <f t="shared" si="241"/>
        <v/>
      </c>
      <c r="CB337" s="18" t="str">
        <f t="shared" si="254"/>
        <v/>
      </c>
      <c r="CC337" s="18" t="str">
        <f>IF(CP336&lt;&gt;1,"",IF(CM336&gt;0,IF(CM336&gt;CONTROL_PANEL!$B$11,CONTROL_PANEL!$B$11,CM336),0))</f>
        <v/>
      </c>
      <c r="CD337" s="18" t="str">
        <f t="shared" si="249"/>
        <v/>
      </c>
      <c r="CE337" s="18" t="str">
        <f>IF(CP337&lt;&gt;1,"",DATA_INPUT!$I337)</f>
        <v/>
      </c>
      <c r="CF337" s="18" t="str">
        <f>IF(CP337&lt;&gt;1,"",CE337*CONTROL_PANEL!$B$5)</f>
        <v/>
      </c>
      <c r="CG337" s="18" t="str">
        <f>IF(CP337&lt;&gt;1,"",DATA_INPUT!$C337)</f>
        <v/>
      </c>
      <c r="CH337" s="18" t="str">
        <f t="shared" si="242"/>
        <v/>
      </c>
      <c r="CI337" s="18" t="str">
        <f>IF(CP337&lt;&gt;1,"",DATA_INPUT!$H337)</f>
        <v/>
      </c>
      <c r="CJ337" s="18" t="str">
        <f t="shared" si="243"/>
        <v/>
      </c>
      <c r="CK337" s="18" t="str">
        <f>IF(CP337&lt;&gt;1,"",CF337*CONTROL_PANEL!$B$14)</f>
        <v/>
      </c>
      <c r="CL337" s="18" t="str">
        <f>IF(CP337&lt;&gt;1,"",DATA_INPUT!$O337)</f>
        <v/>
      </c>
      <c r="CM337" s="18" t="str">
        <f t="shared" si="244"/>
        <v/>
      </c>
      <c r="CN337" s="18" t="str">
        <f>IF(CP337&lt;&gt;1,"",IF(CM337-CONTROL_PANEL!$B$11&lt;0,0,CM337-CONTROL_PANEL!$B$11))</f>
        <v/>
      </c>
      <c r="CO337" s="18" t="str">
        <f>IF(CP337&lt;&gt;1,"",IF(CL337&lt;=0,0,MIN(CL337,MAX(0,CONTROL_PANEL!$B$13-CM337))))</f>
        <v/>
      </c>
      <c r="CP337" s="18"/>
    </row>
    <row r="338" spans="1:94" x14ac:dyDescent="0.25">
      <c r="A338" s="19">
        <f t="shared" ref="A338:A364" si="255">A326+1</f>
        <v>2043</v>
      </c>
      <c r="B338" s="19">
        <f t="shared" si="220"/>
        <v>7</v>
      </c>
      <c r="C338" s="18" t="str">
        <f t="shared" si="225"/>
        <v/>
      </c>
      <c r="D338" s="18" t="str">
        <f t="shared" si="250"/>
        <v/>
      </c>
      <c r="E338" s="18" t="str">
        <f>IF(R337&lt;&gt;1,"",IF(O337&gt;0,IF(O337&gt;CONTROL_PANEL!$B$11,CONTROL_PANEL!$B$11,O337),0))</f>
        <v/>
      </c>
      <c r="F338" s="18" t="str">
        <f t="shared" si="245"/>
        <v/>
      </c>
      <c r="G338" s="18" t="str">
        <f>IF(R338&lt;&gt;1,"",DATA_INPUT!I338)</f>
        <v/>
      </c>
      <c r="H338" s="18" t="str">
        <f>IF(R338&lt;&gt;1,"",G338*CONTROL_PANEL!$B$5)</f>
        <v/>
      </c>
      <c r="I338" s="18" t="str">
        <f>IF(R338&lt;&gt;1,"",DATA_INPUT!C338)</f>
        <v/>
      </c>
      <c r="J338" s="18" t="str">
        <f t="shared" si="226"/>
        <v/>
      </c>
      <c r="K338" s="18" t="str">
        <f>IF(R338&lt;&gt;1,"",DATA_INPUT!H338)</f>
        <v/>
      </c>
      <c r="L338" s="18" t="str">
        <f t="shared" si="227"/>
        <v/>
      </c>
      <c r="M338" s="18" t="str">
        <f>IF(R338&lt;&gt;1,"",H338*CONTROL_PANEL!$B$14)</f>
        <v/>
      </c>
      <c r="N338" s="18" t="str">
        <f>IF(R338&lt;&gt;1,"",DATA_INPUT!K338)</f>
        <v/>
      </c>
      <c r="O338" s="18" t="str">
        <f t="shared" si="228"/>
        <v/>
      </c>
      <c r="P338" s="18" t="str">
        <f>IF(R338&lt;&gt;1,"",IF(O338-CONTROL_PANEL!$B$11&lt;0,0,O338-CONTROL_PANEL!$B$11))</f>
        <v/>
      </c>
      <c r="Q338" s="18" t="str">
        <f>IF(R338&lt;&gt;1,"",IF(N338&lt;=0,0,MIN(N338,MAX(0,CONTROL_PANEL!$B$13-O338))))</f>
        <v/>
      </c>
      <c r="R338" s="18"/>
      <c r="T338" s="19">
        <f t="shared" ref="T338:T364" si="256">T326+1</f>
        <v>2043</v>
      </c>
      <c r="U338" s="19">
        <f t="shared" si="221"/>
        <v>7</v>
      </c>
      <c r="V338" s="18" t="str">
        <f t="shared" si="229"/>
        <v/>
      </c>
      <c r="W338" s="18" t="str">
        <f t="shared" si="251"/>
        <v/>
      </c>
      <c r="X338" s="18" t="str">
        <f>IF(AK337&lt;&gt;1,"",IF(AH337&gt;0,IF(AH337&gt;CONTROL_PANEL!$B$11,CONTROL_PANEL!$B$11,AH337),0))</f>
        <v/>
      </c>
      <c r="Y338" s="18" t="str">
        <f t="shared" si="246"/>
        <v/>
      </c>
      <c r="Z338" s="18" t="str">
        <f>IF(AK338&lt;&gt;1,"",DATA_INPUT!I338)</f>
        <v/>
      </c>
      <c r="AA338" s="18" t="str">
        <f>IF(AK338&lt;&gt;1,"",Z338*CONTROL_PANEL!$B$5)</f>
        <v/>
      </c>
      <c r="AB338" s="18" t="str">
        <f>IF(AK338&lt;&gt;1,"",DATA_INPUT!$C338)</f>
        <v/>
      </c>
      <c r="AC338" s="18" t="str">
        <f t="shared" si="230"/>
        <v/>
      </c>
      <c r="AD338" s="18" t="str">
        <f>IF(AK338&lt;&gt;1,"",DATA_INPUT!$H338)</f>
        <v/>
      </c>
      <c r="AE338" s="18" t="str">
        <f t="shared" si="231"/>
        <v/>
      </c>
      <c r="AF338" s="18" t="str">
        <f>IF(AK338&lt;&gt;1,"",AA338*CONTROL_PANEL!$B$14)</f>
        <v/>
      </c>
      <c r="AG338" s="18" t="str">
        <f>IF(AK338&lt;&gt;1,"",DATA_INPUT!$L338)</f>
        <v/>
      </c>
      <c r="AH338" s="18" t="str">
        <f t="shared" si="232"/>
        <v/>
      </c>
      <c r="AI338" s="18" t="str">
        <f>IF(AK338&lt;&gt;1,"",IF(AH338-CONTROL_PANEL!$B$11&lt;0,0,AH338-CONTROL_PANEL!$B$11))</f>
        <v/>
      </c>
      <c r="AJ338" s="18" t="str">
        <f>IF(AK338&lt;&gt;1,"",IF(AG338&lt;=0,0,MIN(AG338,MAX(0,CONTROL_PANEL!$B$13-AH338))))</f>
        <v/>
      </c>
      <c r="AK338" s="18"/>
      <c r="AM338" s="19">
        <f t="shared" ref="AM338:AM364" si="257">AM326+1</f>
        <v>2043</v>
      </c>
      <c r="AN338" s="19">
        <f t="shared" si="222"/>
        <v>7</v>
      </c>
      <c r="AO338" s="18" t="str">
        <f t="shared" si="233"/>
        <v/>
      </c>
      <c r="AP338" s="18" t="str">
        <f t="shared" si="252"/>
        <v/>
      </c>
      <c r="AQ338" s="18" t="str">
        <f>IF(BD337&lt;&gt;1,"",IF(BA337&gt;0,IF(BA337&gt;CONTROL_PANEL!$B$11,CONTROL_PANEL!$B$11,BA337),0))</f>
        <v/>
      </c>
      <c r="AR338" s="18" t="str">
        <f t="shared" si="247"/>
        <v/>
      </c>
      <c r="AS338" s="18" t="str">
        <f>IF(BD338&lt;&gt;1,"",DATA_INPUT!$I338)</f>
        <v/>
      </c>
      <c r="AT338" s="18" t="str">
        <f>IF(BD338&lt;&gt;1,"",AS338*CONTROL_PANEL!$B$5)</f>
        <v/>
      </c>
      <c r="AU338" s="18" t="str">
        <f>IF(BD338&lt;&gt;1,"",DATA_INPUT!$C338)</f>
        <v/>
      </c>
      <c r="AV338" s="18" t="str">
        <f t="shared" si="234"/>
        <v/>
      </c>
      <c r="AW338" s="18" t="str">
        <f>IF(BD338&lt;&gt;1,"",DATA_INPUT!$H338)</f>
        <v/>
      </c>
      <c r="AX338" s="18" t="str">
        <f t="shared" si="235"/>
        <v/>
      </c>
      <c r="AY338" s="18" t="str">
        <f>IF(BD338&lt;&gt;1,"",AT338*CONTROL_PANEL!$B$14)</f>
        <v/>
      </c>
      <c r="AZ338" s="18" t="str">
        <f>IF(BD338&lt;&gt;1,"",DATA_INPUT!$M338)</f>
        <v/>
      </c>
      <c r="BA338" s="18" t="str">
        <f t="shared" si="236"/>
        <v/>
      </c>
      <c r="BB338" s="18" t="str">
        <f>IF(BD338&lt;&gt;1,"",IF(BA338-CONTROL_PANEL!$B$11&lt;0,0,BA338-CONTROL_PANEL!$B$11))</f>
        <v/>
      </c>
      <c r="BC338" s="18" t="str">
        <f>IF(BD338&lt;&gt;1,"",IF(AZ338&lt;=0,0,MIN(AZ338,MAX(0,CONTROL_PANEL!$B$13-BA338))))</f>
        <v/>
      </c>
      <c r="BD338" s="18"/>
      <c r="BF338" s="19">
        <f t="shared" ref="BF338:BF364" si="258">BF326+1</f>
        <v>2043</v>
      </c>
      <c r="BG338" s="19">
        <f t="shared" si="223"/>
        <v>7</v>
      </c>
      <c r="BH338" s="18" t="str">
        <f t="shared" si="237"/>
        <v/>
      </c>
      <c r="BI338" s="18" t="str">
        <f t="shared" si="253"/>
        <v/>
      </c>
      <c r="BJ338" s="18" t="str">
        <f>IF(BW337&lt;&gt;1,"",IF(BT337&gt;0,IF(BT337&gt;CONTROL_PANEL!$B$11,CONTROL_PANEL!$B$11,BT337),0))</f>
        <v/>
      </c>
      <c r="BK338" s="18" t="str">
        <f t="shared" si="248"/>
        <v/>
      </c>
      <c r="BL338" s="18" t="str">
        <f>IF(BW338&lt;&gt;1,"",DATA_INPUT!$I338)</f>
        <v/>
      </c>
      <c r="BM338" s="18" t="str">
        <f>IF(BW338&lt;&gt;1,"",BL338*CONTROL_PANEL!$B$5)</f>
        <v/>
      </c>
      <c r="BN338" s="18" t="str">
        <f>IF(BW338&lt;&gt;1,"",DATA_INPUT!$C338)</f>
        <v/>
      </c>
      <c r="BO338" s="18" t="str">
        <f t="shared" si="238"/>
        <v/>
      </c>
      <c r="BP338" s="18" t="str">
        <f>IF(BW338&lt;&gt;1,"",DATA_INPUT!$H338)</f>
        <v/>
      </c>
      <c r="BQ338" s="18" t="str">
        <f t="shared" si="239"/>
        <v/>
      </c>
      <c r="BR338" s="18" t="str">
        <f>IF(BW338&lt;&gt;1,"",BM338*CONTROL_PANEL!$B$14)</f>
        <v/>
      </c>
      <c r="BS338" s="18" t="str">
        <f>IF(BW338&lt;&gt;1,"",DATA_INPUT!$N338)</f>
        <v/>
      </c>
      <c r="BT338" s="18" t="str">
        <f t="shared" si="240"/>
        <v/>
      </c>
      <c r="BU338" s="18" t="str">
        <f>IF(BW338&lt;&gt;1,"",IF(BT338-CONTROL_PANEL!$B$11&lt;0,0,BT338-CONTROL_PANEL!$B$11))</f>
        <v/>
      </c>
      <c r="BV338" s="18" t="str">
        <f>IF(BW338&lt;&gt;1,"",IF(BS338&lt;=0,0,MIN(BS338,MAX(0,CONTROL_PANEL!$B$13-BT338))))</f>
        <v/>
      </c>
      <c r="BW338" s="18"/>
      <c r="BY338" s="19">
        <f t="shared" ref="BY338:BY364" si="259">BY326+1</f>
        <v>2043</v>
      </c>
      <c r="BZ338" s="19">
        <f t="shared" si="224"/>
        <v>7</v>
      </c>
      <c r="CA338" s="18" t="str">
        <f t="shared" si="241"/>
        <v/>
      </c>
      <c r="CB338" s="18" t="str">
        <f t="shared" si="254"/>
        <v/>
      </c>
      <c r="CC338" s="18" t="str">
        <f>IF(CP337&lt;&gt;1,"",IF(CM337&gt;0,IF(CM337&gt;CONTROL_PANEL!$B$11,CONTROL_PANEL!$B$11,CM337),0))</f>
        <v/>
      </c>
      <c r="CD338" s="18" t="str">
        <f t="shared" si="249"/>
        <v/>
      </c>
      <c r="CE338" s="18" t="str">
        <f>IF(CP338&lt;&gt;1,"",DATA_INPUT!$I338)</f>
        <v/>
      </c>
      <c r="CF338" s="18" t="str">
        <f>IF(CP338&lt;&gt;1,"",CE338*CONTROL_PANEL!$B$5)</f>
        <v/>
      </c>
      <c r="CG338" s="18" t="str">
        <f>IF(CP338&lt;&gt;1,"",DATA_INPUT!$C338)</f>
        <v/>
      </c>
      <c r="CH338" s="18" t="str">
        <f t="shared" si="242"/>
        <v/>
      </c>
      <c r="CI338" s="18" t="str">
        <f>IF(CP338&lt;&gt;1,"",DATA_INPUT!$H338)</f>
        <v/>
      </c>
      <c r="CJ338" s="18" t="str">
        <f t="shared" si="243"/>
        <v/>
      </c>
      <c r="CK338" s="18" t="str">
        <f>IF(CP338&lt;&gt;1,"",CF338*CONTROL_PANEL!$B$14)</f>
        <v/>
      </c>
      <c r="CL338" s="18" t="str">
        <f>IF(CP338&lt;&gt;1,"",DATA_INPUT!$O338)</f>
        <v/>
      </c>
      <c r="CM338" s="18" t="str">
        <f t="shared" si="244"/>
        <v/>
      </c>
      <c r="CN338" s="18" t="str">
        <f>IF(CP338&lt;&gt;1,"",IF(CM338-CONTROL_PANEL!$B$11&lt;0,0,CM338-CONTROL_PANEL!$B$11))</f>
        <v/>
      </c>
      <c r="CO338" s="18" t="str">
        <f>IF(CP338&lt;&gt;1,"",IF(CL338&lt;=0,0,MIN(CL338,MAX(0,CONTROL_PANEL!$B$13-CM338))))</f>
        <v/>
      </c>
      <c r="CP338" s="18"/>
    </row>
    <row r="339" spans="1:94" x14ac:dyDescent="0.25">
      <c r="A339" s="19">
        <f t="shared" si="255"/>
        <v>2043</v>
      </c>
      <c r="B339" s="19">
        <f t="shared" si="220"/>
        <v>8</v>
      </c>
      <c r="C339" s="18" t="str">
        <f t="shared" si="225"/>
        <v/>
      </c>
      <c r="D339" s="18" t="str">
        <f t="shared" si="250"/>
        <v/>
      </c>
      <c r="E339" s="18" t="str">
        <f>IF(R338&lt;&gt;1,"",IF(O338&gt;0,IF(O338&gt;CONTROL_PANEL!$B$11,CONTROL_PANEL!$B$11,O338),0))</f>
        <v/>
      </c>
      <c r="F339" s="18" t="str">
        <f t="shared" si="245"/>
        <v/>
      </c>
      <c r="G339" s="18" t="str">
        <f>IF(R339&lt;&gt;1,"",DATA_INPUT!I339)</f>
        <v/>
      </c>
      <c r="H339" s="18" t="str">
        <f>IF(R339&lt;&gt;1,"",G339*CONTROL_PANEL!$B$5)</f>
        <v/>
      </c>
      <c r="I339" s="18" t="str">
        <f>IF(R339&lt;&gt;1,"",DATA_INPUT!C339)</f>
        <v/>
      </c>
      <c r="J339" s="18" t="str">
        <f t="shared" si="226"/>
        <v/>
      </c>
      <c r="K339" s="18" t="str">
        <f>IF(R339&lt;&gt;1,"",DATA_INPUT!H339)</f>
        <v/>
      </c>
      <c r="L339" s="18" t="str">
        <f t="shared" si="227"/>
        <v/>
      </c>
      <c r="M339" s="18" t="str">
        <f>IF(R339&lt;&gt;1,"",H339*CONTROL_PANEL!$B$14)</f>
        <v/>
      </c>
      <c r="N339" s="18" t="str">
        <f>IF(R339&lt;&gt;1,"",DATA_INPUT!K339)</f>
        <v/>
      </c>
      <c r="O339" s="18" t="str">
        <f t="shared" si="228"/>
        <v/>
      </c>
      <c r="P339" s="18" t="str">
        <f>IF(R339&lt;&gt;1,"",IF(O339-CONTROL_PANEL!$B$11&lt;0,0,O339-CONTROL_PANEL!$B$11))</f>
        <v/>
      </c>
      <c r="Q339" s="18" t="str">
        <f>IF(R339&lt;&gt;1,"",IF(N339&lt;=0,0,MIN(N339,MAX(0,CONTROL_PANEL!$B$13-O339))))</f>
        <v/>
      </c>
      <c r="R339" s="18"/>
      <c r="T339" s="19">
        <f t="shared" si="256"/>
        <v>2043</v>
      </c>
      <c r="U339" s="19">
        <f t="shared" si="221"/>
        <v>8</v>
      </c>
      <c r="V339" s="18" t="str">
        <f t="shared" si="229"/>
        <v/>
      </c>
      <c r="W339" s="18" t="str">
        <f t="shared" si="251"/>
        <v/>
      </c>
      <c r="X339" s="18" t="str">
        <f>IF(AK338&lt;&gt;1,"",IF(AH338&gt;0,IF(AH338&gt;CONTROL_PANEL!$B$11,CONTROL_PANEL!$B$11,AH338),0))</f>
        <v/>
      </c>
      <c r="Y339" s="18" t="str">
        <f t="shared" si="246"/>
        <v/>
      </c>
      <c r="Z339" s="18" t="str">
        <f>IF(AK339&lt;&gt;1,"",DATA_INPUT!I339)</f>
        <v/>
      </c>
      <c r="AA339" s="18" t="str">
        <f>IF(AK339&lt;&gt;1,"",Z339*CONTROL_PANEL!$B$5)</f>
        <v/>
      </c>
      <c r="AB339" s="18" t="str">
        <f>IF(AK339&lt;&gt;1,"",DATA_INPUT!$C339)</f>
        <v/>
      </c>
      <c r="AC339" s="18" t="str">
        <f t="shared" si="230"/>
        <v/>
      </c>
      <c r="AD339" s="18" t="str">
        <f>IF(AK339&lt;&gt;1,"",DATA_INPUT!$H339)</f>
        <v/>
      </c>
      <c r="AE339" s="18" t="str">
        <f t="shared" si="231"/>
        <v/>
      </c>
      <c r="AF339" s="18" t="str">
        <f>IF(AK339&lt;&gt;1,"",AA339*CONTROL_PANEL!$B$14)</f>
        <v/>
      </c>
      <c r="AG339" s="18" t="str">
        <f>IF(AK339&lt;&gt;1,"",DATA_INPUT!$L339)</f>
        <v/>
      </c>
      <c r="AH339" s="18" t="str">
        <f t="shared" si="232"/>
        <v/>
      </c>
      <c r="AI339" s="18" t="str">
        <f>IF(AK339&lt;&gt;1,"",IF(AH339-CONTROL_PANEL!$B$11&lt;0,0,AH339-CONTROL_PANEL!$B$11))</f>
        <v/>
      </c>
      <c r="AJ339" s="18" t="str">
        <f>IF(AK339&lt;&gt;1,"",IF(AG339&lt;=0,0,MIN(AG339,MAX(0,CONTROL_PANEL!$B$13-AH339))))</f>
        <v/>
      </c>
      <c r="AK339" s="18"/>
      <c r="AM339" s="19">
        <f t="shared" si="257"/>
        <v>2043</v>
      </c>
      <c r="AN339" s="19">
        <f t="shared" si="222"/>
        <v>8</v>
      </c>
      <c r="AO339" s="18" t="str">
        <f t="shared" si="233"/>
        <v/>
      </c>
      <c r="AP339" s="18" t="str">
        <f t="shared" si="252"/>
        <v/>
      </c>
      <c r="AQ339" s="18" t="str">
        <f>IF(BD338&lt;&gt;1,"",IF(BA338&gt;0,IF(BA338&gt;CONTROL_PANEL!$B$11,CONTROL_PANEL!$B$11,BA338),0))</f>
        <v/>
      </c>
      <c r="AR339" s="18" t="str">
        <f t="shared" si="247"/>
        <v/>
      </c>
      <c r="AS339" s="18" t="str">
        <f>IF(BD339&lt;&gt;1,"",DATA_INPUT!$I339)</f>
        <v/>
      </c>
      <c r="AT339" s="18" t="str">
        <f>IF(BD339&lt;&gt;1,"",AS339*CONTROL_PANEL!$B$5)</f>
        <v/>
      </c>
      <c r="AU339" s="18" t="str">
        <f>IF(BD339&lt;&gt;1,"",DATA_INPUT!$C339)</f>
        <v/>
      </c>
      <c r="AV339" s="18" t="str">
        <f t="shared" si="234"/>
        <v/>
      </c>
      <c r="AW339" s="18" t="str">
        <f>IF(BD339&lt;&gt;1,"",DATA_INPUT!$H339)</f>
        <v/>
      </c>
      <c r="AX339" s="18" t="str">
        <f t="shared" si="235"/>
        <v/>
      </c>
      <c r="AY339" s="18" t="str">
        <f>IF(BD339&lt;&gt;1,"",AT339*CONTROL_PANEL!$B$14)</f>
        <v/>
      </c>
      <c r="AZ339" s="18" t="str">
        <f>IF(BD339&lt;&gt;1,"",DATA_INPUT!$M339)</f>
        <v/>
      </c>
      <c r="BA339" s="18" t="str">
        <f t="shared" si="236"/>
        <v/>
      </c>
      <c r="BB339" s="18" t="str">
        <f>IF(BD339&lt;&gt;1,"",IF(BA339-CONTROL_PANEL!$B$11&lt;0,0,BA339-CONTROL_PANEL!$B$11))</f>
        <v/>
      </c>
      <c r="BC339" s="18" t="str">
        <f>IF(BD339&lt;&gt;1,"",IF(AZ339&lt;=0,0,MIN(AZ339,MAX(0,CONTROL_PANEL!$B$13-BA339))))</f>
        <v/>
      </c>
      <c r="BD339" s="18"/>
      <c r="BF339" s="19">
        <f t="shared" si="258"/>
        <v>2043</v>
      </c>
      <c r="BG339" s="19">
        <f t="shared" si="223"/>
        <v>8</v>
      </c>
      <c r="BH339" s="18" t="str">
        <f t="shared" si="237"/>
        <v/>
      </c>
      <c r="BI339" s="18" t="str">
        <f t="shared" si="253"/>
        <v/>
      </c>
      <c r="BJ339" s="18" t="str">
        <f>IF(BW338&lt;&gt;1,"",IF(BT338&gt;0,IF(BT338&gt;CONTROL_PANEL!$B$11,CONTROL_PANEL!$B$11,BT338),0))</f>
        <v/>
      </c>
      <c r="BK339" s="18" t="str">
        <f t="shared" si="248"/>
        <v/>
      </c>
      <c r="BL339" s="18" t="str">
        <f>IF(BW339&lt;&gt;1,"",DATA_INPUT!$I339)</f>
        <v/>
      </c>
      <c r="BM339" s="18" t="str">
        <f>IF(BW339&lt;&gt;1,"",BL339*CONTROL_PANEL!$B$5)</f>
        <v/>
      </c>
      <c r="BN339" s="18" t="str">
        <f>IF(BW339&lt;&gt;1,"",DATA_INPUT!$C339)</f>
        <v/>
      </c>
      <c r="BO339" s="18" t="str">
        <f t="shared" si="238"/>
        <v/>
      </c>
      <c r="BP339" s="18" t="str">
        <f>IF(BW339&lt;&gt;1,"",DATA_INPUT!$H339)</f>
        <v/>
      </c>
      <c r="BQ339" s="18" t="str">
        <f t="shared" si="239"/>
        <v/>
      </c>
      <c r="BR339" s="18" t="str">
        <f>IF(BW339&lt;&gt;1,"",BM339*CONTROL_PANEL!$B$14)</f>
        <v/>
      </c>
      <c r="BS339" s="18" t="str">
        <f>IF(BW339&lt;&gt;1,"",DATA_INPUT!$N339)</f>
        <v/>
      </c>
      <c r="BT339" s="18" t="str">
        <f t="shared" si="240"/>
        <v/>
      </c>
      <c r="BU339" s="18" t="str">
        <f>IF(BW339&lt;&gt;1,"",IF(BT339-CONTROL_PANEL!$B$11&lt;0,0,BT339-CONTROL_PANEL!$B$11))</f>
        <v/>
      </c>
      <c r="BV339" s="18" t="str">
        <f>IF(BW339&lt;&gt;1,"",IF(BS339&lt;=0,0,MIN(BS339,MAX(0,CONTROL_PANEL!$B$13-BT339))))</f>
        <v/>
      </c>
      <c r="BW339" s="18"/>
      <c r="BY339" s="19">
        <f t="shared" si="259"/>
        <v>2043</v>
      </c>
      <c r="BZ339" s="19">
        <f t="shared" si="224"/>
        <v>8</v>
      </c>
      <c r="CA339" s="18" t="str">
        <f t="shared" si="241"/>
        <v/>
      </c>
      <c r="CB339" s="18" t="str">
        <f t="shared" si="254"/>
        <v/>
      </c>
      <c r="CC339" s="18" t="str">
        <f>IF(CP338&lt;&gt;1,"",IF(CM338&gt;0,IF(CM338&gt;CONTROL_PANEL!$B$11,CONTROL_PANEL!$B$11,CM338),0))</f>
        <v/>
      </c>
      <c r="CD339" s="18" t="str">
        <f t="shared" si="249"/>
        <v/>
      </c>
      <c r="CE339" s="18" t="str">
        <f>IF(CP339&lt;&gt;1,"",DATA_INPUT!$I339)</f>
        <v/>
      </c>
      <c r="CF339" s="18" t="str">
        <f>IF(CP339&lt;&gt;1,"",CE339*CONTROL_PANEL!$B$5)</f>
        <v/>
      </c>
      <c r="CG339" s="18" t="str">
        <f>IF(CP339&lt;&gt;1,"",DATA_INPUT!$C339)</f>
        <v/>
      </c>
      <c r="CH339" s="18" t="str">
        <f t="shared" si="242"/>
        <v/>
      </c>
      <c r="CI339" s="18" t="str">
        <f>IF(CP339&lt;&gt;1,"",DATA_INPUT!$H339)</f>
        <v/>
      </c>
      <c r="CJ339" s="18" t="str">
        <f t="shared" si="243"/>
        <v/>
      </c>
      <c r="CK339" s="18" t="str">
        <f>IF(CP339&lt;&gt;1,"",CF339*CONTROL_PANEL!$B$14)</f>
        <v/>
      </c>
      <c r="CL339" s="18" t="str">
        <f>IF(CP339&lt;&gt;1,"",DATA_INPUT!$O339)</f>
        <v/>
      </c>
      <c r="CM339" s="18" t="str">
        <f t="shared" si="244"/>
        <v/>
      </c>
      <c r="CN339" s="18" t="str">
        <f>IF(CP339&lt;&gt;1,"",IF(CM339-CONTROL_PANEL!$B$11&lt;0,0,CM339-CONTROL_PANEL!$B$11))</f>
        <v/>
      </c>
      <c r="CO339" s="18" t="str">
        <f>IF(CP339&lt;&gt;1,"",IF(CL339&lt;=0,0,MIN(CL339,MAX(0,CONTROL_PANEL!$B$13-CM339))))</f>
        <v/>
      </c>
      <c r="CP339" s="18"/>
    </row>
    <row r="340" spans="1:94" x14ac:dyDescent="0.25">
      <c r="A340" s="19">
        <f t="shared" si="255"/>
        <v>2043</v>
      </c>
      <c r="B340" s="19">
        <f t="shared" si="220"/>
        <v>9</v>
      </c>
      <c r="C340" s="18" t="str">
        <f t="shared" si="225"/>
        <v/>
      </c>
      <c r="D340" s="18" t="str">
        <f t="shared" si="250"/>
        <v/>
      </c>
      <c r="E340" s="18" t="str">
        <f>IF(R339&lt;&gt;1,"",IF(O339&gt;0,IF(O339&gt;CONTROL_PANEL!$B$11,CONTROL_PANEL!$B$11,O339),0))</f>
        <v/>
      </c>
      <c r="F340" s="18" t="str">
        <f t="shared" si="245"/>
        <v/>
      </c>
      <c r="G340" s="18" t="str">
        <f>IF(R340&lt;&gt;1,"",DATA_INPUT!I340)</f>
        <v/>
      </c>
      <c r="H340" s="18" t="str">
        <f>IF(R340&lt;&gt;1,"",G340*CONTROL_PANEL!$B$5)</f>
        <v/>
      </c>
      <c r="I340" s="18" t="str">
        <f>IF(R340&lt;&gt;1,"",DATA_INPUT!C340)</f>
        <v/>
      </c>
      <c r="J340" s="18" t="str">
        <f t="shared" si="226"/>
        <v/>
      </c>
      <c r="K340" s="18" t="str">
        <f>IF(R340&lt;&gt;1,"",DATA_INPUT!H340)</f>
        <v/>
      </c>
      <c r="L340" s="18" t="str">
        <f t="shared" si="227"/>
        <v/>
      </c>
      <c r="M340" s="18" t="str">
        <f>IF(R340&lt;&gt;1,"",H340*CONTROL_PANEL!$B$14)</f>
        <v/>
      </c>
      <c r="N340" s="18" t="str">
        <f>IF(R340&lt;&gt;1,"",DATA_INPUT!K340)</f>
        <v/>
      </c>
      <c r="O340" s="18" t="str">
        <f t="shared" si="228"/>
        <v/>
      </c>
      <c r="P340" s="18" t="str">
        <f>IF(R340&lt;&gt;1,"",IF(O340-CONTROL_PANEL!$B$11&lt;0,0,O340-CONTROL_PANEL!$B$11))</f>
        <v/>
      </c>
      <c r="Q340" s="18" t="str">
        <f>IF(R340&lt;&gt;1,"",IF(N340&lt;=0,0,MIN(N340,MAX(0,CONTROL_PANEL!$B$13-O340))))</f>
        <v/>
      </c>
      <c r="R340" s="18"/>
      <c r="T340" s="19">
        <f t="shared" si="256"/>
        <v>2043</v>
      </c>
      <c r="U340" s="19">
        <f t="shared" si="221"/>
        <v>9</v>
      </c>
      <c r="V340" s="18" t="str">
        <f t="shared" si="229"/>
        <v/>
      </c>
      <c r="W340" s="18" t="str">
        <f t="shared" si="251"/>
        <v/>
      </c>
      <c r="X340" s="18" t="str">
        <f>IF(AK339&lt;&gt;1,"",IF(AH339&gt;0,IF(AH339&gt;CONTROL_PANEL!$B$11,CONTROL_PANEL!$B$11,AH339),0))</f>
        <v/>
      </c>
      <c r="Y340" s="18" t="str">
        <f t="shared" si="246"/>
        <v/>
      </c>
      <c r="Z340" s="18" t="str">
        <f>IF(AK340&lt;&gt;1,"",DATA_INPUT!I340)</f>
        <v/>
      </c>
      <c r="AA340" s="18" t="str">
        <f>IF(AK340&lt;&gt;1,"",Z340*CONTROL_PANEL!$B$5)</f>
        <v/>
      </c>
      <c r="AB340" s="18" t="str">
        <f>IF(AK340&lt;&gt;1,"",DATA_INPUT!$C340)</f>
        <v/>
      </c>
      <c r="AC340" s="18" t="str">
        <f t="shared" si="230"/>
        <v/>
      </c>
      <c r="AD340" s="18" t="str">
        <f>IF(AK340&lt;&gt;1,"",DATA_INPUT!$H340)</f>
        <v/>
      </c>
      <c r="AE340" s="18" t="str">
        <f t="shared" si="231"/>
        <v/>
      </c>
      <c r="AF340" s="18" t="str">
        <f>IF(AK340&lt;&gt;1,"",AA340*CONTROL_PANEL!$B$14)</f>
        <v/>
      </c>
      <c r="AG340" s="18" t="str">
        <f>IF(AK340&lt;&gt;1,"",DATA_INPUT!$L340)</f>
        <v/>
      </c>
      <c r="AH340" s="18" t="str">
        <f t="shared" si="232"/>
        <v/>
      </c>
      <c r="AI340" s="18" t="str">
        <f>IF(AK340&lt;&gt;1,"",IF(AH340-CONTROL_PANEL!$B$11&lt;0,0,AH340-CONTROL_PANEL!$B$11))</f>
        <v/>
      </c>
      <c r="AJ340" s="18" t="str">
        <f>IF(AK340&lt;&gt;1,"",IF(AG340&lt;=0,0,MIN(AG340,MAX(0,CONTROL_PANEL!$B$13-AH340))))</f>
        <v/>
      </c>
      <c r="AK340" s="18"/>
      <c r="AM340" s="19">
        <f t="shared" si="257"/>
        <v>2043</v>
      </c>
      <c r="AN340" s="19">
        <f t="shared" si="222"/>
        <v>9</v>
      </c>
      <c r="AO340" s="18" t="str">
        <f t="shared" si="233"/>
        <v/>
      </c>
      <c r="AP340" s="18" t="str">
        <f t="shared" si="252"/>
        <v/>
      </c>
      <c r="AQ340" s="18" t="str">
        <f>IF(BD339&lt;&gt;1,"",IF(BA339&gt;0,IF(BA339&gt;CONTROL_PANEL!$B$11,CONTROL_PANEL!$B$11,BA339),0))</f>
        <v/>
      </c>
      <c r="AR340" s="18" t="str">
        <f t="shared" si="247"/>
        <v/>
      </c>
      <c r="AS340" s="18" t="str">
        <f>IF(BD340&lt;&gt;1,"",DATA_INPUT!$I340)</f>
        <v/>
      </c>
      <c r="AT340" s="18" t="str">
        <f>IF(BD340&lt;&gt;1,"",AS340*CONTROL_PANEL!$B$5)</f>
        <v/>
      </c>
      <c r="AU340" s="18" t="str">
        <f>IF(BD340&lt;&gt;1,"",DATA_INPUT!$C340)</f>
        <v/>
      </c>
      <c r="AV340" s="18" t="str">
        <f t="shared" si="234"/>
        <v/>
      </c>
      <c r="AW340" s="18" t="str">
        <f>IF(BD340&lt;&gt;1,"",DATA_INPUT!$H340)</f>
        <v/>
      </c>
      <c r="AX340" s="18" t="str">
        <f t="shared" si="235"/>
        <v/>
      </c>
      <c r="AY340" s="18" t="str">
        <f>IF(BD340&lt;&gt;1,"",AT340*CONTROL_PANEL!$B$14)</f>
        <v/>
      </c>
      <c r="AZ340" s="18" t="str">
        <f>IF(BD340&lt;&gt;1,"",DATA_INPUT!$M340)</f>
        <v/>
      </c>
      <c r="BA340" s="18" t="str">
        <f t="shared" si="236"/>
        <v/>
      </c>
      <c r="BB340" s="18" t="str">
        <f>IF(BD340&lt;&gt;1,"",IF(BA340-CONTROL_PANEL!$B$11&lt;0,0,BA340-CONTROL_PANEL!$B$11))</f>
        <v/>
      </c>
      <c r="BC340" s="18" t="str">
        <f>IF(BD340&lt;&gt;1,"",IF(AZ340&lt;=0,0,MIN(AZ340,MAX(0,CONTROL_PANEL!$B$13-BA340))))</f>
        <v/>
      </c>
      <c r="BD340" s="18"/>
      <c r="BF340" s="19">
        <f t="shared" si="258"/>
        <v>2043</v>
      </c>
      <c r="BG340" s="19">
        <f t="shared" si="223"/>
        <v>9</v>
      </c>
      <c r="BH340" s="18" t="str">
        <f t="shared" si="237"/>
        <v/>
      </c>
      <c r="BI340" s="18" t="str">
        <f t="shared" si="253"/>
        <v/>
      </c>
      <c r="BJ340" s="18" t="str">
        <f>IF(BW339&lt;&gt;1,"",IF(BT339&gt;0,IF(BT339&gt;CONTROL_PANEL!$B$11,CONTROL_PANEL!$B$11,BT339),0))</f>
        <v/>
      </c>
      <c r="BK340" s="18" t="str">
        <f t="shared" si="248"/>
        <v/>
      </c>
      <c r="BL340" s="18" t="str">
        <f>IF(BW340&lt;&gt;1,"",DATA_INPUT!$I340)</f>
        <v/>
      </c>
      <c r="BM340" s="18" t="str">
        <f>IF(BW340&lt;&gt;1,"",BL340*CONTROL_PANEL!$B$5)</f>
        <v/>
      </c>
      <c r="BN340" s="18" t="str">
        <f>IF(BW340&lt;&gt;1,"",DATA_INPUT!$C340)</f>
        <v/>
      </c>
      <c r="BO340" s="18" t="str">
        <f t="shared" si="238"/>
        <v/>
      </c>
      <c r="BP340" s="18" t="str">
        <f>IF(BW340&lt;&gt;1,"",DATA_INPUT!$H340)</f>
        <v/>
      </c>
      <c r="BQ340" s="18" t="str">
        <f t="shared" si="239"/>
        <v/>
      </c>
      <c r="BR340" s="18" t="str">
        <f>IF(BW340&lt;&gt;1,"",BM340*CONTROL_PANEL!$B$14)</f>
        <v/>
      </c>
      <c r="BS340" s="18" t="str">
        <f>IF(BW340&lt;&gt;1,"",DATA_INPUT!$N340)</f>
        <v/>
      </c>
      <c r="BT340" s="18" t="str">
        <f t="shared" si="240"/>
        <v/>
      </c>
      <c r="BU340" s="18" t="str">
        <f>IF(BW340&lt;&gt;1,"",IF(BT340-CONTROL_PANEL!$B$11&lt;0,0,BT340-CONTROL_PANEL!$B$11))</f>
        <v/>
      </c>
      <c r="BV340" s="18" t="str">
        <f>IF(BW340&lt;&gt;1,"",IF(BS340&lt;=0,0,MIN(BS340,MAX(0,CONTROL_PANEL!$B$13-BT340))))</f>
        <v/>
      </c>
      <c r="BW340" s="18"/>
      <c r="BY340" s="19">
        <f t="shared" si="259"/>
        <v>2043</v>
      </c>
      <c r="BZ340" s="19">
        <f t="shared" si="224"/>
        <v>9</v>
      </c>
      <c r="CA340" s="18" t="str">
        <f t="shared" si="241"/>
        <v/>
      </c>
      <c r="CB340" s="18" t="str">
        <f t="shared" si="254"/>
        <v/>
      </c>
      <c r="CC340" s="18" t="str">
        <f>IF(CP339&lt;&gt;1,"",IF(CM339&gt;0,IF(CM339&gt;CONTROL_PANEL!$B$11,CONTROL_PANEL!$B$11,CM339),0))</f>
        <v/>
      </c>
      <c r="CD340" s="18" t="str">
        <f t="shared" si="249"/>
        <v/>
      </c>
      <c r="CE340" s="18" t="str">
        <f>IF(CP340&lt;&gt;1,"",DATA_INPUT!$I340)</f>
        <v/>
      </c>
      <c r="CF340" s="18" t="str">
        <f>IF(CP340&lt;&gt;1,"",CE340*CONTROL_PANEL!$B$5)</f>
        <v/>
      </c>
      <c r="CG340" s="18" t="str">
        <f>IF(CP340&lt;&gt;1,"",DATA_INPUT!$C340)</f>
        <v/>
      </c>
      <c r="CH340" s="18" t="str">
        <f t="shared" si="242"/>
        <v/>
      </c>
      <c r="CI340" s="18" t="str">
        <f>IF(CP340&lt;&gt;1,"",DATA_INPUT!$H340)</f>
        <v/>
      </c>
      <c r="CJ340" s="18" t="str">
        <f t="shared" si="243"/>
        <v/>
      </c>
      <c r="CK340" s="18" t="str">
        <f>IF(CP340&lt;&gt;1,"",CF340*CONTROL_PANEL!$B$14)</f>
        <v/>
      </c>
      <c r="CL340" s="18" t="str">
        <f>IF(CP340&lt;&gt;1,"",DATA_INPUT!$O340)</f>
        <v/>
      </c>
      <c r="CM340" s="18" t="str">
        <f t="shared" si="244"/>
        <v/>
      </c>
      <c r="CN340" s="18" t="str">
        <f>IF(CP340&lt;&gt;1,"",IF(CM340-CONTROL_PANEL!$B$11&lt;0,0,CM340-CONTROL_PANEL!$B$11))</f>
        <v/>
      </c>
      <c r="CO340" s="18" t="str">
        <f>IF(CP340&lt;&gt;1,"",IF(CL340&lt;=0,0,MIN(CL340,MAX(0,CONTROL_PANEL!$B$13-CM340))))</f>
        <v/>
      </c>
      <c r="CP340" s="18"/>
    </row>
    <row r="341" spans="1:94" x14ac:dyDescent="0.25">
      <c r="A341" s="19">
        <f t="shared" si="255"/>
        <v>2043</v>
      </c>
      <c r="B341" s="19">
        <f t="shared" si="220"/>
        <v>10</v>
      </c>
      <c r="C341" s="18" t="str">
        <f t="shared" si="225"/>
        <v/>
      </c>
      <c r="D341" s="18" t="str">
        <f t="shared" si="250"/>
        <v/>
      </c>
      <c r="E341" s="18" t="str">
        <f>IF(R340&lt;&gt;1,"",IF(O340&gt;0,IF(O340&gt;CONTROL_PANEL!$B$11,CONTROL_PANEL!$B$11,O340),0))</f>
        <v/>
      </c>
      <c r="F341" s="18" t="str">
        <f t="shared" si="245"/>
        <v/>
      </c>
      <c r="G341" s="18" t="str">
        <f>IF(R341&lt;&gt;1,"",DATA_INPUT!I341)</f>
        <v/>
      </c>
      <c r="H341" s="18" t="str">
        <f>IF(R341&lt;&gt;1,"",G341*CONTROL_PANEL!$B$5)</f>
        <v/>
      </c>
      <c r="I341" s="18" t="str">
        <f>IF(R341&lt;&gt;1,"",DATA_INPUT!C341)</f>
        <v/>
      </c>
      <c r="J341" s="18" t="str">
        <f t="shared" si="226"/>
        <v/>
      </c>
      <c r="K341" s="18" t="str">
        <f>IF(R341&lt;&gt;1,"",DATA_INPUT!H341)</f>
        <v/>
      </c>
      <c r="L341" s="18" t="str">
        <f t="shared" si="227"/>
        <v/>
      </c>
      <c r="M341" s="18" t="str">
        <f>IF(R341&lt;&gt;1,"",H341*CONTROL_PANEL!$B$14)</f>
        <v/>
      </c>
      <c r="N341" s="18" t="str">
        <f>IF(R341&lt;&gt;1,"",DATA_INPUT!K341)</f>
        <v/>
      </c>
      <c r="O341" s="18" t="str">
        <f t="shared" si="228"/>
        <v/>
      </c>
      <c r="P341" s="18" t="str">
        <f>IF(R341&lt;&gt;1,"",IF(O341-CONTROL_PANEL!$B$11&lt;0,0,O341-CONTROL_PANEL!$B$11))</f>
        <v/>
      </c>
      <c r="Q341" s="18" t="str">
        <f>IF(R341&lt;&gt;1,"",IF(N341&lt;=0,0,MIN(N341,MAX(0,CONTROL_PANEL!$B$13-O341))))</f>
        <v/>
      </c>
      <c r="R341" s="18"/>
      <c r="T341" s="19">
        <f t="shared" si="256"/>
        <v>2043</v>
      </c>
      <c r="U341" s="19">
        <f t="shared" si="221"/>
        <v>10</v>
      </c>
      <c r="V341" s="18" t="str">
        <f t="shared" si="229"/>
        <v/>
      </c>
      <c r="W341" s="18" t="str">
        <f t="shared" si="251"/>
        <v/>
      </c>
      <c r="X341" s="18" t="str">
        <f>IF(AK340&lt;&gt;1,"",IF(AH340&gt;0,IF(AH340&gt;CONTROL_PANEL!$B$11,CONTROL_PANEL!$B$11,AH340),0))</f>
        <v/>
      </c>
      <c r="Y341" s="18" t="str">
        <f t="shared" si="246"/>
        <v/>
      </c>
      <c r="Z341" s="18" t="str">
        <f>IF(AK341&lt;&gt;1,"",DATA_INPUT!I341)</f>
        <v/>
      </c>
      <c r="AA341" s="18" t="str">
        <f>IF(AK341&lt;&gt;1,"",Z341*CONTROL_PANEL!$B$5)</f>
        <v/>
      </c>
      <c r="AB341" s="18" t="str">
        <f>IF(AK341&lt;&gt;1,"",DATA_INPUT!$C341)</f>
        <v/>
      </c>
      <c r="AC341" s="18" t="str">
        <f t="shared" si="230"/>
        <v/>
      </c>
      <c r="AD341" s="18" t="str">
        <f>IF(AK341&lt;&gt;1,"",DATA_INPUT!$H341)</f>
        <v/>
      </c>
      <c r="AE341" s="18" t="str">
        <f t="shared" si="231"/>
        <v/>
      </c>
      <c r="AF341" s="18" t="str">
        <f>IF(AK341&lt;&gt;1,"",AA341*CONTROL_PANEL!$B$14)</f>
        <v/>
      </c>
      <c r="AG341" s="18" t="str">
        <f>IF(AK341&lt;&gt;1,"",DATA_INPUT!$L341)</f>
        <v/>
      </c>
      <c r="AH341" s="18" t="str">
        <f t="shared" si="232"/>
        <v/>
      </c>
      <c r="AI341" s="18" t="str">
        <f>IF(AK341&lt;&gt;1,"",IF(AH341-CONTROL_PANEL!$B$11&lt;0,0,AH341-CONTROL_PANEL!$B$11))</f>
        <v/>
      </c>
      <c r="AJ341" s="18" t="str">
        <f>IF(AK341&lt;&gt;1,"",IF(AG341&lt;=0,0,MIN(AG341,MAX(0,CONTROL_PANEL!$B$13-AH341))))</f>
        <v/>
      </c>
      <c r="AK341" s="18"/>
      <c r="AM341" s="19">
        <f t="shared" si="257"/>
        <v>2043</v>
      </c>
      <c r="AN341" s="19">
        <f t="shared" si="222"/>
        <v>10</v>
      </c>
      <c r="AO341" s="18" t="str">
        <f t="shared" si="233"/>
        <v/>
      </c>
      <c r="AP341" s="18" t="str">
        <f t="shared" si="252"/>
        <v/>
      </c>
      <c r="AQ341" s="18" t="str">
        <f>IF(BD340&lt;&gt;1,"",IF(BA340&gt;0,IF(BA340&gt;CONTROL_PANEL!$B$11,CONTROL_PANEL!$B$11,BA340),0))</f>
        <v/>
      </c>
      <c r="AR341" s="18" t="str">
        <f t="shared" si="247"/>
        <v/>
      </c>
      <c r="AS341" s="18" t="str">
        <f>IF(BD341&lt;&gt;1,"",DATA_INPUT!$I341)</f>
        <v/>
      </c>
      <c r="AT341" s="18" t="str">
        <f>IF(BD341&lt;&gt;1,"",AS341*CONTROL_PANEL!$B$5)</f>
        <v/>
      </c>
      <c r="AU341" s="18" t="str">
        <f>IF(BD341&lt;&gt;1,"",DATA_INPUT!$C341)</f>
        <v/>
      </c>
      <c r="AV341" s="18" t="str">
        <f t="shared" si="234"/>
        <v/>
      </c>
      <c r="AW341" s="18" t="str">
        <f>IF(BD341&lt;&gt;1,"",DATA_INPUT!$H341)</f>
        <v/>
      </c>
      <c r="AX341" s="18" t="str">
        <f t="shared" si="235"/>
        <v/>
      </c>
      <c r="AY341" s="18" t="str">
        <f>IF(BD341&lt;&gt;1,"",AT341*CONTROL_PANEL!$B$14)</f>
        <v/>
      </c>
      <c r="AZ341" s="18" t="str">
        <f>IF(BD341&lt;&gt;1,"",DATA_INPUT!$M341)</f>
        <v/>
      </c>
      <c r="BA341" s="18" t="str">
        <f t="shared" si="236"/>
        <v/>
      </c>
      <c r="BB341" s="18" t="str">
        <f>IF(BD341&lt;&gt;1,"",IF(BA341-CONTROL_PANEL!$B$11&lt;0,0,BA341-CONTROL_PANEL!$B$11))</f>
        <v/>
      </c>
      <c r="BC341" s="18" t="str">
        <f>IF(BD341&lt;&gt;1,"",IF(AZ341&lt;=0,0,MIN(AZ341,MAX(0,CONTROL_PANEL!$B$13-BA341))))</f>
        <v/>
      </c>
      <c r="BD341" s="18"/>
      <c r="BF341" s="19">
        <f t="shared" si="258"/>
        <v>2043</v>
      </c>
      <c r="BG341" s="19">
        <f t="shared" si="223"/>
        <v>10</v>
      </c>
      <c r="BH341" s="18" t="str">
        <f t="shared" si="237"/>
        <v/>
      </c>
      <c r="BI341" s="18" t="str">
        <f t="shared" si="253"/>
        <v/>
      </c>
      <c r="BJ341" s="18" t="str">
        <f>IF(BW340&lt;&gt;1,"",IF(BT340&gt;0,IF(BT340&gt;CONTROL_PANEL!$B$11,CONTROL_PANEL!$B$11,BT340),0))</f>
        <v/>
      </c>
      <c r="BK341" s="18" t="str">
        <f t="shared" si="248"/>
        <v/>
      </c>
      <c r="BL341" s="18" t="str">
        <f>IF(BW341&lt;&gt;1,"",DATA_INPUT!$I341)</f>
        <v/>
      </c>
      <c r="BM341" s="18" t="str">
        <f>IF(BW341&lt;&gt;1,"",BL341*CONTROL_PANEL!$B$5)</f>
        <v/>
      </c>
      <c r="BN341" s="18" t="str">
        <f>IF(BW341&lt;&gt;1,"",DATA_INPUT!$C341)</f>
        <v/>
      </c>
      <c r="BO341" s="18" t="str">
        <f t="shared" si="238"/>
        <v/>
      </c>
      <c r="BP341" s="18" t="str">
        <f>IF(BW341&lt;&gt;1,"",DATA_INPUT!$H341)</f>
        <v/>
      </c>
      <c r="BQ341" s="18" t="str">
        <f t="shared" si="239"/>
        <v/>
      </c>
      <c r="BR341" s="18" t="str">
        <f>IF(BW341&lt;&gt;1,"",BM341*CONTROL_PANEL!$B$14)</f>
        <v/>
      </c>
      <c r="BS341" s="18" t="str">
        <f>IF(BW341&lt;&gt;1,"",DATA_INPUT!$N341)</f>
        <v/>
      </c>
      <c r="BT341" s="18" t="str">
        <f t="shared" si="240"/>
        <v/>
      </c>
      <c r="BU341" s="18" t="str">
        <f>IF(BW341&lt;&gt;1,"",IF(BT341-CONTROL_PANEL!$B$11&lt;0,0,BT341-CONTROL_PANEL!$B$11))</f>
        <v/>
      </c>
      <c r="BV341" s="18" t="str">
        <f>IF(BW341&lt;&gt;1,"",IF(BS341&lt;=0,0,MIN(BS341,MAX(0,CONTROL_PANEL!$B$13-BT341))))</f>
        <v/>
      </c>
      <c r="BW341" s="18"/>
      <c r="BY341" s="19">
        <f t="shared" si="259"/>
        <v>2043</v>
      </c>
      <c r="BZ341" s="19">
        <f t="shared" si="224"/>
        <v>10</v>
      </c>
      <c r="CA341" s="18" t="str">
        <f t="shared" si="241"/>
        <v/>
      </c>
      <c r="CB341" s="18" t="str">
        <f t="shared" si="254"/>
        <v/>
      </c>
      <c r="CC341" s="18" t="str">
        <f>IF(CP340&lt;&gt;1,"",IF(CM340&gt;0,IF(CM340&gt;CONTROL_PANEL!$B$11,CONTROL_PANEL!$B$11,CM340),0))</f>
        <v/>
      </c>
      <c r="CD341" s="18" t="str">
        <f t="shared" si="249"/>
        <v/>
      </c>
      <c r="CE341" s="18" t="str">
        <f>IF(CP341&lt;&gt;1,"",DATA_INPUT!$I341)</f>
        <v/>
      </c>
      <c r="CF341" s="18" t="str">
        <f>IF(CP341&lt;&gt;1,"",CE341*CONTROL_PANEL!$B$5)</f>
        <v/>
      </c>
      <c r="CG341" s="18" t="str">
        <f>IF(CP341&lt;&gt;1,"",DATA_INPUT!$C341)</f>
        <v/>
      </c>
      <c r="CH341" s="18" t="str">
        <f t="shared" si="242"/>
        <v/>
      </c>
      <c r="CI341" s="18" t="str">
        <f>IF(CP341&lt;&gt;1,"",DATA_INPUT!$H341)</f>
        <v/>
      </c>
      <c r="CJ341" s="18" t="str">
        <f t="shared" si="243"/>
        <v/>
      </c>
      <c r="CK341" s="18" t="str">
        <f>IF(CP341&lt;&gt;1,"",CF341*CONTROL_PANEL!$B$14)</f>
        <v/>
      </c>
      <c r="CL341" s="18" t="str">
        <f>IF(CP341&lt;&gt;1,"",DATA_INPUT!$O341)</f>
        <v/>
      </c>
      <c r="CM341" s="18" t="str">
        <f t="shared" si="244"/>
        <v/>
      </c>
      <c r="CN341" s="18" t="str">
        <f>IF(CP341&lt;&gt;1,"",IF(CM341-CONTROL_PANEL!$B$11&lt;0,0,CM341-CONTROL_PANEL!$B$11))</f>
        <v/>
      </c>
      <c r="CO341" s="18" t="str">
        <f>IF(CP341&lt;&gt;1,"",IF(CL341&lt;=0,0,MIN(CL341,MAX(0,CONTROL_PANEL!$B$13-CM341))))</f>
        <v/>
      </c>
      <c r="CP341" s="18"/>
    </row>
    <row r="342" spans="1:94" x14ac:dyDescent="0.25">
      <c r="A342" s="19">
        <f t="shared" si="255"/>
        <v>2043</v>
      </c>
      <c r="B342" s="19">
        <f t="shared" si="220"/>
        <v>11</v>
      </c>
      <c r="C342" s="18" t="str">
        <f t="shared" si="225"/>
        <v/>
      </c>
      <c r="D342" s="18" t="str">
        <f t="shared" si="250"/>
        <v/>
      </c>
      <c r="E342" s="18" t="str">
        <f>IF(R341&lt;&gt;1,"",IF(O341&gt;0,IF(O341&gt;CONTROL_PANEL!$B$11,CONTROL_PANEL!$B$11,O341),0))</f>
        <v/>
      </c>
      <c r="F342" s="18" t="str">
        <f t="shared" si="245"/>
        <v/>
      </c>
      <c r="G342" s="18" t="str">
        <f>IF(R342&lt;&gt;1,"",DATA_INPUT!I342)</f>
        <v/>
      </c>
      <c r="H342" s="18" t="str">
        <f>IF(R342&lt;&gt;1,"",G342*CONTROL_PANEL!$B$5)</f>
        <v/>
      </c>
      <c r="I342" s="18" t="str">
        <f>IF(R342&lt;&gt;1,"",DATA_INPUT!C342)</f>
        <v/>
      </c>
      <c r="J342" s="18" t="str">
        <f t="shared" si="226"/>
        <v/>
      </c>
      <c r="K342" s="18" t="str">
        <f>IF(R342&lt;&gt;1,"",DATA_INPUT!H342)</f>
        <v/>
      </c>
      <c r="L342" s="18" t="str">
        <f t="shared" si="227"/>
        <v/>
      </c>
      <c r="M342" s="18" t="str">
        <f>IF(R342&lt;&gt;1,"",H342*CONTROL_PANEL!$B$14)</f>
        <v/>
      </c>
      <c r="N342" s="18" t="str">
        <f>IF(R342&lt;&gt;1,"",DATA_INPUT!K342)</f>
        <v/>
      </c>
      <c r="O342" s="18" t="str">
        <f t="shared" si="228"/>
        <v/>
      </c>
      <c r="P342" s="18" t="str">
        <f>IF(R342&lt;&gt;1,"",IF(O342-CONTROL_PANEL!$B$11&lt;0,0,O342-CONTROL_PANEL!$B$11))</f>
        <v/>
      </c>
      <c r="Q342" s="18" t="str">
        <f>IF(R342&lt;&gt;1,"",IF(N342&lt;=0,0,MIN(N342,MAX(0,CONTROL_PANEL!$B$13-O342))))</f>
        <v/>
      </c>
      <c r="R342" s="18"/>
      <c r="T342" s="19">
        <f t="shared" si="256"/>
        <v>2043</v>
      </c>
      <c r="U342" s="19">
        <f t="shared" si="221"/>
        <v>11</v>
      </c>
      <c r="V342" s="18" t="str">
        <f t="shared" si="229"/>
        <v/>
      </c>
      <c r="W342" s="18" t="str">
        <f t="shared" si="251"/>
        <v/>
      </c>
      <c r="X342" s="18" t="str">
        <f>IF(AK341&lt;&gt;1,"",IF(AH341&gt;0,IF(AH341&gt;CONTROL_PANEL!$B$11,CONTROL_PANEL!$B$11,AH341),0))</f>
        <v/>
      </c>
      <c r="Y342" s="18" t="str">
        <f t="shared" si="246"/>
        <v/>
      </c>
      <c r="Z342" s="18" t="str">
        <f>IF(AK342&lt;&gt;1,"",DATA_INPUT!I342)</f>
        <v/>
      </c>
      <c r="AA342" s="18" t="str">
        <f>IF(AK342&lt;&gt;1,"",Z342*CONTROL_PANEL!$B$5)</f>
        <v/>
      </c>
      <c r="AB342" s="18" t="str">
        <f>IF(AK342&lt;&gt;1,"",DATA_INPUT!$C342)</f>
        <v/>
      </c>
      <c r="AC342" s="18" t="str">
        <f t="shared" si="230"/>
        <v/>
      </c>
      <c r="AD342" s="18" t="str">
        <f>IF(AK342&lt;&gt;1,"",DATA_INPUT!$H342)</f>
        <v/>
      </c>
      <c r="AE342" s="18" t="str">
        <f t="shared" si="231"/>
        <v/>
      </c>
      <c r="AF342" s="18" t="str">
        <f>IF(AK342&lt;&gt;1,"",AA342*CONTROL_PANEL!$B$14)</f>
        <v/>
      </c>
      <c r="AG342" s="18" t="str">
        <f>IF(AK342&lt;&gt;1,"",DATA_INPUT!$L342)</f>
        <v/>
      </c>
      <c r="AH342" s="18" t="str">
        <f t="shared" si="232"/>
        <v/>
      </c>
      <c r="AI342" s="18" t="str">
        <f>IF(AK342&lt;&gt;1,"",IF(AH342-CONTROL_PANEL!$B$11&lt;0,0,AH342-CONTROL_PANEL!$B$11))</f>
        <v/>
      </c>
      <c r="AJ342" s="18" t="str">
        <f>IF(AK342&lt;&gt;1,"",IF(AG342&lt;=0,0,MIN(AG342,MAX(0,CONTROL_PANEL!$B$13-AH342))))</f>
        <v/>
      </c>
      <c r="AK342" s="18"/>
      <c r="AM342" s="19">
        <f t="shared" si="257"/>
        <v>2043</v>
      </c>
      <c r="AN342" s="19">
        <f t="shared" si="222"/>
        <v>11</v>
      </c>
      <c r="AO342" s="18" t="str">
        <f t="shared" si="233"/>
        <v/>
      </c>
      <c r="AP342" s="18" t="str">
        <f t="shared" si="252"/>
        <v/>
      </c>
      <c r="AQ342" s="18" t="str">
        <f>IF(BD341&lt;&gt;1,"",IF(BA341&gt;0,IF(BA341&gt;CONTROL_PANEL!$B$11,CONTROL_PANEL!$B$11,BA341),0))</f>
        <v/>
      </c>
      <c r="AR342" s="18" t="str">
        <f t="shared" si="247"/>
        <v/>
      </c>
      <c r="AS342" s="18" t="str">
        <f>IF(BD342&lt;&gt;1,"",DATA_INPUT!$I342)</f>
        <v/>
      </c>
      <c r="AT342" s="18" t="str">
        <f>IF(BD342&lt;&gt;1,"",AS342*CONTROL_PANEL!$B$5)</f>
        <v/>
      </c>
      <c r="AU342" s="18" t="str">
        <f>IF(BD342&lt;&gt;1,"",DATA_INPUT!$C342)</f>
        <v/>
      </c>
      <c r="AV342" s="18" t="str">
        <f t="shared" si="234"/>
        <v/>
      </c>
      <c r="AW342" s="18" t="str">
        <f>IF(BD342&lt;&gt;1,"",DATA_INPUT!$H342)</f>
        <v/>
      </c>
      <c r="AX342" s="18" t="str">
        <f t="shared" si="235"/>
        <v/>
      </c>
      <c r="AY342" s="18" t="str">
        <f>IF(BD342&lt;&gt;1,"",AT342*CONTROL_PANEL!$B$14)</f>
        <v/>
      </c>
      <c r="AZ342" s="18" t="str">
        <f>IF(BD342&lt;&gt;1,"",DATA_INPUT!$M342)</f>
        <v/>
      </c>
      <c r="BA342" s="18" t="str">
        <f t="shared" si="236"/>
        <v/>
      </c>
      <c r="BB342" s="18" t="str">
        <f>IF(BD342&lt;&gt;1,"",IF(BA342-CONTROL_PANEL!$B$11&lt;0,0,BA342-CONTROL_PANEL!$B$11))</f>
        <v/>
      </c>
      <c r="BC342" s="18" t="str">
        <f>IF(BD342&lt;&gt;1,"",IF(AZ342&lt;=0,0,MIN(AZ342,MAX(0,CONTROL_PANEL!$B$13-BA342))))</f>
        <v/>
      </c>
      <c r="BD342" s="18"/>
      <c r="BF342" s="19">
        <f t="shared" si="258"/>
        <v>2043</v>
      </c>
      <c r="BG342" s="19">
        <f t="shared" si="223"/>
        <v>11</v>
      </c>
      <c r="BH342" s="18" t="str">
        <f t="shared" si="237"/>
        <v/>
      </c>
      <c r="BI342" s="18" t="str">
        <f t="shared" si="253"/>
        <v/>
      </c>
      <c r="BJ342" s="18" t="str">
        <f>IF(BW341&lt;&gt;1,"",IF(BT341&gt;0,IF(BT341&gt;CONTROL_PANEL!$B$11,CONTROL_PANEL!$B$11,BT341),0))</f>
        <v/>
      </c>
      <c r="BK342" s="18" t="str">
        <f t="shared" si="248"/>
        <v/>
      </c>
      <c r="BL342" s="18" t="str">
        <f>IF(BW342&lt;&gt;1,"",DATA_INPUT!$I342)</f>
        <v/>
      </c>
      <c r="BM342" s="18" t="str">
        <f>IF(BW342&lt;&gt;1,"",BL342*CONTROL_PANEL!$B$5)</f>
        <v/>
      </c>
      <c r="BN342" s="18" t="str">
        <f>IF(BW342&lt;&gt;1,"",DATA_INPUT!$C342)</f>
        <v/>
      </c>
      <c r="BO342" s="18" t="str">
        <f t="shared" si="238"/>
        <v/>
      </c>
      <c r="BP342" s="18" t="str">
        <f>IF(BW342&lt;&gt;1,"",DATA_INPUT!$H342)</f>
        <v/>
      </c>
      <c r="BQ342" s="18" t="str">
        <f t="shared" si="239"/>
        <v/>
      </c>
      <c r="BR342" s="18" t="str">
        <f>IF(BW342&lt;&gt;1,"",BM342*CONTROL_PANEL!$B$14)</f>
        <v/>
      </c>
      <c r="BS342" s="18" t="str">
        <f>IF(BW342&lt;&gt;1,"",DATA_INPUT!$N342)</f>
        <v/>
      </c>
      <c r="BT342" s="18" t="str">
        <f t="shared" si="240"/>
        <v/>
      </c>
      <c r="BU342" s="18" t="str">
        <f>IF(BW342&lt;&gt;1,"",IF(BT342-CONTROL_PANEL!$B$11&lt;0,0,BT342-CONTROL_PANEL!$B$11))</f>
        <v/>
      </c>
      <c r="BV342" s="18" t="str">
        <f>IF(BW342&lt;&gt;1,"",IF(BS342&lt;=0,0,MIN(BS342,MAX(0,CONTROL_PANEL!$B$13-BT342))))</f>
        <v/>
      </c>
      <c r="BW342" s="18"/>
      <c r="BY342" s="19">
        <f t="shared" si="259"/>
        <v>2043</v>
      </c>
      <c r="BZ342" s="19">
        <f t="shared" si="224"/>
        <v>11</v>
      </c>
      <c r="CA342" s="18" t="str">
        <f t="shared" si="241"/>
        <v/>
      </c>
      <c r="CB342" s="18" t="str">
        <f t="shared" si="254"/>
        <v/>
      </c>
      <c r="CC342" s="18" t="str">
        <f>IF(CP341&lt;&gt;1,"",IF(CM341&gt;0,IF(CM341&gt;CONTROL_PANEL!$B$11,CONTROL_PANEL!$B$11,CM341),0))</f>
        <v/>
      </c>
      <c r="CD342" s="18" t="str">
        <f t="shared" si="249"/>
        <v/>
      </c>
      <c r="CE342" s="18" t="str">
        <f>IF(CP342&lt;&gt;1,"",DATA_INPUT!$I342)</f>
        <v/>
      </c>
      <c r="CF342" s="18" t="str">
        <f>IF(CP342&lt;&gt;1,"",CE342*CONTROL_PANEL!$B$5)</f>
        <v/>
      </c>
      <c r="CG342" s="18" t="str">
        <f>IF(CP342&lt;&gt;1,"",DATA_INPUT!$C342)</f>
        <v/>
      </c>
      <c r="CH342" s="18" t="str">
        <f t="shared" si="242"/>
        <v/>
      </c>
      <c r="CI342" s="18" t="str">
        <f>IF(CP342&lt;&gt;1,"",DATA_INPUT!$H342)</f>
        <v/>
      </c>
      <c r="CJ342" s="18" t="str">
        <f t="shared" si="243"/>
        <v/>
      </c>
      <c r="CK342" s="18" t="str">
        <f>IF(CP342&lt;&gt;1,"",CF342*CONTROL_PANEL!$B$14)</f>
        <v/>
      </c>
      <c r="CL342" s="18" t="str">
        <f>IF(CP342&lt;&gt;1,"",DATA_INPUT!$O342)</f>
        <v/>
      </c>
      <c r="CM342" s="18" t="str">
        <f t="shared" si="244"/>
        <v/>
      </c>
      <c r="CN342" s="18" t="str">
        <f>IF(CP342&lt;&gt;1,"",IF(CM342-CONTROL_PANEL!$B$11&lt;0,0,CM342-CONTROL_PANEL!$B$11))</f>
        <v/>
      </c>
      <c r="CO342" s="18" t="str">
        <f>IF(CP342&lt;&gt;1,"",IF(CL342&lt;=0,0,MIN(CL342,MAX(0,CONTROL_PANEL!$B$13-CM342))))</f>
        <v/>
      </c>
      <c r="CP342" s="18"/>
    </row>
    <row r="343" spans="1:94" x14ac:dyDescent="0.25">
      <c r="A343" s="19">
        <f t="shared" si="255"/>
        <v>2043</v>
      </c>
      <c r="B343" s="19">
        <f t="shared" si="220"/>
        <v>12</v>
      </c>
      <c r="C343" s="18" t="str">
        <f t="shared" si="225"/>
        <v/>
      </c>
      <c r="D343" s="18" t="str">
        <f t="shared" si="250"/>
        <v/>
      </c>
      <c r="E343" s="18" t="str">
        <f>IF(R342&lt;&gt;1,"",IF(O342&gt;0,IF(O342&gt;CONTROL_PANEL!$B$11,CONTROL_PANEL!$B$11,O342),0))</f>
        <v/>
      </c>
      <c r="F343" s="18" t="str">
        <f t="shared" si="245"/>
        <v/>
      </c>
      <c r="G343" s="18" t="str">
        <f>IF(R343&lt;&gt;1,"",DATA_INPUT!I343)</f>
        <v/>
      </c>
      <c r="H343" s="18" t="str">
        <f>IF(R343&lt;&gt;1,"",G343*CONTROL_PANEL!$B$5)</f>
        <v/>
      </c>
      <c r="I343" s="18" t="str">
        <f>IF(R343&lt;&gt;1,"",DATA_INPUT!C343)</f>
        <v/>
      </c>
      <c r="J343" s="18" t="str">
        <f t="shared" si="226"/>
        <v/>
      </c>
      <c r="K343" s="18" t="str">
        <f>IF(R343&lt;&gt;1,"",DATA_INPUT!H343)</f>
        <v/>
      </c>
      <c r="L343" s="18" t="str">
        <f t="shared" si="227"/>
        <v/>
      </c>
      <c r="M343" s="18" t="str">
        <f>IF(R343&lt;&gt;1,"",H343*CONTROL_PANEL!$B$14)</f>
        <v/>
      </c>
      <c r="N343" s="18" t="str">
        <f>IF(R343&lt;&gt;1,"",DATA_INPUT!K343)</f>
        <v/>
      </c>
      <c r="O343" s="18" t="str">
        <f t="shared" si="228"/>
        <v/>
      </c>
      <c r="P343" s="18" t="str">
        <f>IF(R343&lt;&gt;1,"",IF(O343-CONTROL_PANEL!$B$11&lt;0,0,O343-CONTROL_PANEL!$B$11))</f>
        <v/>
      </c>
      <c r="Q343" s="18" t="str">
        <f>IF(R343&lt;&gt;1,"",IF(N343&lt;=0,0,MIN(N343,MAX(0,CONTROL_PANEL!$B$13-O343))))</f>
        <v/>
      </c>
      <c r="R343" s="18"/>
      <c r="T343" s="19">
        <f t="shared" si="256"/>
        <v>2043</v>
      </c>
      <c r="U343" s="19">
        <f t="shared" si="221"/>
        <v>12</v>
      </c>
      <c r="V343" s="18" t="str">
        <f t="shared" si="229"/>
        <v/>
      </c>
      <c r="W343" s="18" t="str">
        <f t="shared" si="251"/>
        <v/>
      </c>
      <c r="X343" s="18" t="str">
        <f>IF(AK342&lt;&gt;1,"",IF(AH342&gt;0,IF(AH342&gt;CONTROL_PANEL!$B$11,CONTROL_PANEL!$B$11,AH342),0))</f>
        <v/>
      </c>
      <c r="Y343" s="18" t="str">
        <f t="shared" si="246"/>
        <v/>
      </c>
      <c r="Z343" s="18" t="str">
        <f>IF(AK343&lt;&gt;1,"",DATA_INPUT!I343)</f>
        <v/>
      </c>
      <c r="AA343" s="18" t="str">
        <f>IF(AK343&lt;&gt;1,"",Z343*CONTROL_PANEL!$B$5)</f>
        <v/>
      </c>
      <c r="AB343" s="18" t="str">
        <f>IF(AK343&lt;&gt;1,"",DATA_INPUT!$C343)</f>
        <v/>
      </c>
      <c r="AC343" s="18" t="str">
        <f t="shared" si="230"/>
        <v/>
      </c>
      <c r="AD343" s="18" t="str">
        <f>IF(AK343&lt;&gt;1,"",DATA_INPUT!$H343)</f>
        <v/>
      </c>
      <c r="AE343" s="18" t="str">
        <f t="shared" si="231"/>
        <v/>
      </c>
      <c r="AF343" s="18" t="str">
        <f>IF(AK343&lt;&gt;1,"",AA343*CONTROL_PANEL!$B$14)</f>
        <v/>
      </c>
      <c r="AG343" s="18" t="str">
        <f>IF(AK343&lt;&gt;1,"",DATA_INPUT!$L343)</f>
        <v/>
      </c>
      <c r="AH343" s="18" t="str">
        <f t="shared" si="232"/>
        <v/>
      </c>
      <c r="AI343" s="18" t="str">
        <f>IF(AK343&lt;&gt;1,"",IF(AH343-CONTROL_PANEL!$B$11&lt;0,0,AH343-CONTROL_PANEL!$B$11))</f>
        <v/>
      </c>
      <c r="AJ343" s="18" t="str">
        <f>IF(AK343&lt;&gt;1,"",IF(AG343&lt;=0,0,MIN(AG343,MAX(0,CONTROL_PANEL!$B$13-AH343))))</f>
        <v/>
      </c>
      <c r="AK343" s="18"/>
      <c r="AM343" s="19">
        <f t="shared" si="257"/>
        <v>2043</v>
      </c>
      <c r="AN343" s="19">
        <f t="shared" si="222"/>
        <v>12</v>
      </c>
      <c r="AO343" s="18" t="str">
        <f t="shared" si="233"/>
        <v/>
      </c>
      <c r="AP343" s="18" t="str">
        <f t="shared" si="252"/>
        <v/>
      </c>
      <c r="AQ343" s="18" t="str">
        <f>IF(BD342&lt;&gt;1,"",IF(BA342&gt;0,IF(BA342&gt;CONTROL_PANEL!$B$11,CONTROL_PANEL!$B$11,BA342),0))</f>
        <v/>
      </c>
      <c r="AR343" s="18" t="str">
        <f t="shared" si="247"/>
        <v/>
      </c>
      <c r="AS343" s="18" t="str">
        <f>IF(BD343&lt;&gt;1,"",DATA_INPUT!$I343)</f>
        <v/>
      </c>
      <c r="AT343" s="18" t="str">
        <f>IF(BD343&lt;&gt;1,"",AS343*CONTROL_PANEL!$B$5)</f>
        <v/>
      </c>
      <c r="AU343" s="18" t="str">
        <f>IF(BD343&lt;&gt;1,"",DATA_INPUT!$C343)</f>
        <v/>
      </c>
      <c r="AV343" s="18" t="str">
        <f t="shared" si="234"/>
        <v/>
      </c>
      <c r="AW343" s="18" t="str">
        <f>IF(BD343&lt;&gt;1,"",DATA_INPUT!$H343)</f>
        <v/>
      </c>
      <c r="AX343" s="18" t="str">
        <f t="shared" si="235"/>
        <v/>
      </c>
      <c r="AY343" s="18" t="str">
        <f>IF(BD343&lt;&gt;1,"",AT343*CONTROL_PANEL!$B$14)</f>
        <v/>
      </c>
      <c r="AZ343" s="18" t="str">
        <f>IF(BD343&lt;&gt;1,"",DATA_INPUT!$M343)</f>
        <v/>
      </c>
      <c r="BA343" s="18" t="str">
        <f t="shared" si="236"/>
        <v/>
      </c>
      <c r="BB343" s="18" t="str">
        <f>IF(BD343&lt;&gt;1,"",IF(BA343-CONTROL_PANEL!$B$11&lt;0,0,BA343-CONTROL_PANEL!$B$11))</f>
        <v/>
      </c>
      <c r="BC343" s="18" t="str">
        <f>IF(BD343&lt;&gt;1,"",IF(AZ343&lt;=0,0,MIN(AZ343,MAX(0,CONTROL_PANEL!$B$13-BA343))))</f>
        <v/>
      </c>
      <c r="BD343" s="18"/>
      <c r="BF343" s="19">
        <f t="shared" si="258"/>
        <v>2043</v>
      </c>
      <c r="BG343" s="19">
        <f t="shared" si="223"/>
        <v>12</v>
      </c>
      <c r="BH343" s="18" t="str">
        <f t="shared" si="237"/>
        <v/>
      </c>
      <c r="BI343" s="18" t="str">
        <f t="shared" si="253"/>
        <v/>
      </c>
      <c r="BJ343" s="18" t="str">
        <f>IF(BW342&lt;&gt;1,"",IF(BT342&gt;0,IF(BT342&gt;CONTROL_PANEL!$B$11,CONTROL_PANEL!$B$11,BT342),0))</f>
        <v/>
      </c>
      <c r="BK343" s="18" t="str">
        <f t="shared" si="248"/>
        <v/>
      </c>
      <c r="BL343" s="18" t="str">
        <f>IF(BW343&lt;&gt;1,"",DATA_INPUT!$I343)</f>
        <v/>
      </c>
      <c r="BM343" s="18" t="str">
        <f>IF(BW343&lt;&gt;1,"",BL343*CONTROL_PANEL!$B$5)</f>
        <v/>
      </c>
      <c r="BN343" s="18" t="str">
        <f>IF(BW343&lt;&gt;1,"",DATA_INPUT!$C343)</f>
        <v/>
      </c>
      <c r="BO343" s="18" t="str">
        <f t="shared" si="238"/>
        <v/>
      </c>
      <c r="BP343" s="18" t="str">
        <f>IF(BW343&lt;&gt;1,"",DATA_INPUT!$H343)</f>
        <v/>
      </c>
      <c r="BQ343" s="18" t="str">
        <f t="shared" si="239"/>
        <v/>
      </c>
      <c r="BR343" s="18" t="str">
        <f>IF(BW343&lt;&gt;1,"",BM343*CONTROL_PANEL!$B$14)</f>
        <v/>
      </c>
      <c r="BS343" s="18" t="str">
        <f>IF(BW343&lt;&gt;1,"",DATA_INPUT!$N343)</f>
        <v/>
      </c>
      <c r="BT343" s="18" t="str">
        <f t="shared" si="240"/>
        <v/>
      </c>
      <c r="BU343" s="18" t="str">
        <f>IF(BW343&lt;&gt;1,"",IF(BT343-CONTROL_PANEL!$B$11&lt;0,0,BT343-CONTROL_PANEL!$B$11))</f>
        <v/>
      </c>
      <c r="BV343" s="18" t="str">
        <f>IF(BW343&lt;&gt;1,"",IF(BS343&lt;=0,0,MIN(BS343,MAX(0,CONTROL_PANEL!$B$13-BT343))))</f>
        <v/>
      </c>
      <c r="BW343" s="18"/>
      <c r="BY343" s="19">
        <f t="shared" si="259"/>
        <v>2043</v>
      </c>
      <c r="BZ343" s="19">
        <f t="shared" si="224"/>
        <v>12</v>
      </c>
      <c r="CA343" s="18" t="str">
        <f t="shared" si="241"/>
        <v/>
      </c>
      <c r="CB343" s="18" t="str">
        <f t="shared" si="254"/>
        <v/>
      </c>
      <c r="CC343" s="18" t="str">
        <f>IF(CP342&lt;&gt;1,"",IF(CM342&gt;0,IF(CM342&gt;CONTROL_PANEL!$B$11,CONTROL_PANEL!$B$11,CM342),0))</f>
        <v/>
      </c>
      <c r="CD343" s="18" t="str">
        <f t="shared" si="249"/>
        <v/>
      </c>
      <c r="CE343" s="18" t="str">
        <f>IF(CP343&lt;&gt;1,"",DATA_INPUT!$I343)</f>
        <v/>
      </c>
      <c r="CF343" s="18" t="str">
        <f>IF(CP343&lt;&gt;1,"",CE343*CONTROL_PANEL!$B$5)</f>
        <v/>
      </c>
      <c r="CG343" s="18" t="str">
        <f>IF(CP343&lt;&gt;1,"",DATA_INPUT!$C343)</f>
        <v/>
      </c>
      <c r="CH343" s="18" t="str">
        <f t="shared" si="242"/>
        <v/>
      </c>
      <c r="CI343" s="18" t="str">
        <f>IF(CP343&lt;&gt;1,"",DATA_INPUT!$H343)</f>
        <v/>
      </c>
      <c r="CJ343" s="18" t="str">
        <f t="shared" si="243"/>
        <v/>
      </c>
      <c r="CK343" s="18" t="str">
        <f>IF(CP343&lt;&gt;1,"",CF343*CONTROL_PANEL!$B$14)</f>
        <v/>
      </c>
      <c r="CL343" s="18" t="str">
        <f>IF(CP343&lt;&gt;1,"",DATA_INPUT!$O343)</f>
        <v/>
      </c>
      <c r="CM343" s="18" t="str">
        <f t="shared" si="244"/>
        <v/>
      </c>
      <c r="CN343" s="18" t="str">
        <f>IF(CP343&lt;&gt;1,"",IF(CM343-CONTROL_PANEL!$B$11&lt;0,0,CM343-CONTROL_PANEL!$B$11))</f>
        <v/>
      </c>
      <c r="CO343" s="18" t="str">
        <f>IF(CP343&lt;&gt;1,"",IF(CL343&lt;=0,0,MIN(CL343,MAX(0,CONTROL_PANEL!$B$13-CM343))))</f>
        <v/>
      </c>
      <c r="CP343" s="18"/>
    </row>
    <row r="344" spans="1:94" x14ac:dyDescent="0.25">
      <c r="A344" s="19">
        <f t="shared" si="255"/>
        <v>2044</v>
      </c>
      <c r="B344" s="19">
        <f t="shared" si="220"/>
        <v>1</v>
      </c>
      <c r="C344" s="18" t="str">
        <f t="shared" si="225"/>
        <v/>
      </c>
      <c r="D344" s="18" t="str">
        <f t="shared" si="250"/>
        <v/>
      </c>
      <c r="E344" s="18" t="str">
        <f>IF(R343&lt;&gt;1,"",IF(O343&gt;0,IF(O343&gt;CONTROL_PANEL!$B$11,CONTROL_PANEL!$B$11,O343),0))</f>
        <v/>
      </c>
      <c r="F344" s="18" t="str">
        <f t="shared" si="245"/>
        <v/>
      </c>
      <c r="G344" s="18" t="str">
        <f>IF(R344&lt;&gt;1,"",DATA_INPUT!I344)</f>
        <v/>
      </c>
      <c r="H344" s="18" t="str">
        <f>IF(R344&lt;&gt;1,"",G344*CONTROL_PANEL!$B$5)</f>
        <v/>
      </c>
      <c r="I344" s="18" t="str">
        <f>IF(R344&lt;&gt;1,"",DATA_INPUT!C344)</f>
        <v/>
      </c>
      <c r="J344" s="18" t="str">
        <f t="shared" si="226"/>
        <v/>
      </c>
      <c r="K344" s="18" t="str">
        <f>IF(R344&lt;&gt;1,"",DATA_INPUT!H344)</f>
        <v/>
      </c>
      <c r="L344" s="18" t="str">
        <f t="shared" si="227"/>
        <v/>
      </c>
      <c r="M344" s="18" t="str">
        <f>IF(R344&lt;&gt;1,"",H344*CONTROL_PANEL!$B$14)</f>
        <v/>
      </c>
      <c r="N344" s="18" t="str">
        <f>IF(R344&lt;&gt;1,"",DATA_INPUT!K344)</f>
        <v/>
      </c>
      <c r="O344" s="18" t="str">
        <f t="shared" si="228"/>
        <v/>
      </c>
      <c r="P344" s="18" t="str">
        <f>IF(R344&lt;&gt;1,"",IF(O344-CONTROL_PANEL!$B$11&lt;0,0,O344-CONTROL_PANEL!$B$11))</f>
        <v/>
      </c>
      <c r="Q344" s="18" t="str">
        <f>IF(R344&lt;&gt;1,"",IF(N344&lt;=0,0,MIN(N344,MAX(0,CONTROL_PANEL!$B$13-O344))))</f>
        <v/>
      </c>
      <c r="R344" s="18"/>
      <c r="T344" s="19">
        <f t="shared" si="256"/>
        <v>2044</v>
      </c>
      <c r="U344" s="19">
        <f t="shared" si="221"/>
        <v>1</v>
      </c>
      <c r="V344" s="18" t="str">
        <f t="shared" si="229"/>
        <v/>
      </c>
      <c r="W344" s="18" t="str">
        <f t="shared" si="251"/>
        <v/>
      </c>
      <c r="X344" s="18" t="str">
        <f>IF(AK343&lt;&gt;1,"",IF(AH343&gt;0,IF(AH343&gt;CONTROL_PANEL!$B$11,CONTROL_PANEL!$B$11,AH343),0))</f>
        <v/>
      </c>
      <c r="Y344" s="18" t="str">
        <f t="shared" si="246"/>
        <v/>
      </c>
      <c r="Z344" s="18" t="str">
        <f>IF(AK344&lt;&gt;1,"",DATA_INPUT!I344)</f>
        <v/>
      </c>
      <c r="AA344" s="18" t="str">
        <f>IF(AK344&lt;&gt;1,"",Z344*CONTROL_PANEL!$B$5)</f>
        <v/>
      </c>
      <c r="AB344" s="18" t="str">
        <f>IF(AK344&lt;&gt;1,"",DATA_INPUT!$C344)</f>
        <v/>
      </c>
      <c r="AC344" s="18" t="str">
        <f t="shared" si="230"/>
        <v/>
      </c>
      <c r="AD344" s="18" t="str">
        <f>IF(AK344&lt;&gt;1,"",DATA_INPUT!$H344)</f>
        <v/>
      </c>
      <c r="AE344" s="18" t="str">
        <f t="shared" si="231"/>
        <v/>
      </c>
      <c r="AF344" s="18" t="str">
        <f>IF(AK344&lt;&gt;1,"",AA344*CONTROL_PANEL!$B$14)</f>
        <v/>
      </c>
      <c r="AG344" s="18" t="str">
        <f>IF(AK344&lt;&gt;1,"",DATA_INPUT!$L344)</f>
        <v/>
      </c>
      <c r="AH344" s="18" t="str">
        <f t="shared" si="232"/>
        <v/>
      </c>
      <c r="AI344" s="18" t="str">
        <f>IF(AK344&lt;&gt;1,"",IF(AH344-CONTROL_PANEL!$B$11&lt;0,0,AH344-CONTROL_PANEL!$B$11))</f>
        <v/>
      </c>
      <c r="AJ344" s="18" t="str">
        <f>IF(AK344&lt;&gt;1,"",IF(AG344&lt;=0,0,MIN(AG344,MAX(0,CONTROL_PANEL!$B$13-AH344))))</f>
        <v/>
      </c>
      <c r="AK344" s="18"/>
      <c r="AM344" s="19">
        <f t="shared" si="257"/>
        <v>2044</v>
      </c>
      <c r="AN344" s="19">
        <f t="shared" si="222"/>
        <v>1</v>
      </c>
      <c r="AO344" s="18" t="str">
        <f t="shared" si="233"/>
        <v/>
      </c>
      <c r="AP344" s="18" t="str">
        <f t="shared" si="252"/>
        <v/>
      </c>
      <c r="AQ344" s="18" t="str">
        <f>IF(BD343&lt;&gt;1,"",IF(BA343&gt;0,IF(BA343&gt;CONTROL_PANEL!$B$11,CONTROL_PANEL!$B$11,BA343),0))</f>
        <v/>
      </c>
      <c r="AR344" s="18" t="str">
        <f t="shared" si="247"/>
        <v/>
      </c>
      <c r="AS344" s="18" t="str">
        <f>IF(BD344&lt;&gt;1,"",DATA_INPUT!$I344)</f>
        <v/>
      </c>
      <c r="AT344" s="18" t="str">
        <f>IF(BD344&lt;&gt;1,"",AS344*CONTROL_PANEL!$B$5)</f>
        <v/>
      </c>
      <c r="AU344" s="18" t="str">
        <f>IF(BD344&lt;&gt;1,"",DATA_INPUT!$C344)</f>
        <v/>
      </c>
      <c r="AV344" s="18" t="str">
        <f t="shared" si="234"/>
        <v/>
      </c>
      <c r="AW344" s="18" t="str">
        <f>IF(BD344&lt;&gt;1,"",DATA_INPUT!$H344)</f>
        <v/>
      </c>
      <c r="AX344" s="18" t="str">
        <f t="shared" si="235"/>
        <v/>
      </c>
      <c r="AY344" s="18" t="str">
        <f>IF(BD344&lt;&gt;1,"",AT344*CONTROL_PANEL!$B$14)</f>
        <v/>
      </c>
      <c r="AZ344" s="18" t="str">
        <f>IF(BD344&lt;&gt;1,"",DATA_INPUT!$M344)</f>
        <v/>
      </c>
      <c r="BA344" s="18" t="str">
        <f t="shared" si="236"/>
        <v/>
      </c>
      <c r="BB344" s="18" t="str">
        <f>IF(BD344&lt;&gt;1,"",IF(BA344-CONTROL_PANEL!$B$11&lt;0,0,BA344-CONTROL_PANEL!$B$11))</f>
        <v/>
      </c>
      <c r="BC344" s="18" t="str">
        <f>IF(BD344&lt;&gt;1,"",IF(AZ344&lt;=0,0,MIN(AZ344,MAX(0,CONTROL_PANEL!$B$13-BA344))))</f>
        <v/>
      </c>
      <c r="BD344" s="18"/>
      <c r="BF344" s="19">
        <f t="shared" si="258"/>
        <v>2044</v>
      </c>
      <c r="BG344" s="19">
        <f t="shared" si="223"/>
        <v>1</v>
      </c>
      <c r="BH344" s="18" t="str">
        <f t="shared" si="237"/>
        <v/>
      </c>
      <c r="BI344" s="18" t="str">
        <f t="shared" si="253"/>
        <v/>
      </c>
      <c r="BJ344" s="18" t="str">
        <f>IF(BW343&lt;&gt;1,"",IF(BT343&gt;0,IF(BT343&gt;CONTROL_PANEL!$B$11,CONTROL_PANEL!$B$11,BT343),0))</f>
        <v/>
      </c>
      <c r="BK344" s="18" t="str">
        <f t="shared" si="248"/>
        <v/>
      </c>
      <c r="BL344" s="18" t="str">
        <f>IF(BW344&lt;&gt;1,"",DATA_INPUT!$I344)</f>
        <v/>
      </c>
      <c r="BM344" s="18" t="str">
        <f>IF(BW344&lt;&gt;1,"",BL344*CONTROL_PANEL!$B$5)</f>
        <v/>
      </c>
      <c r="BN344" s="18" t="str">
        <f>IF(BW344&lt;&gt;1,"",DATA_INPUT!$C344)</f>
        <v/>
      </c>
      <c r="BO344" s="18" t="str">
        <f t="shared" si="238"/>
        <v/>
      </c>
      <c r="BP344" s="18" t="str">
        <f>IF(BW344&lt;&gt;1,"",DATA_INPUT!$H344)</f>
        <v/>
      </c>
      <c r="BQ344" s="18" t="str">
        <f t="shared" si="239"/>
        <v/>
      </c>
      <c r="BR344" s="18" t="str">
        <f>IF(BW344&lt;&gt;1,"",BM344*CONTROL_PANEL!$B$14)</f>
        <v/>
      </c>
      <c r="BS344" s="18" t="str">
        <f>IF(BW344&lt;&gt;1,"",DATA_INPUT!$N344)</f>
        <v/>
      </c>
      <c r="BT344" s="18" t="str">
        <f t="shared" si="240"/>
        <v/>
      </c>
      <c r="BU344" s="18" t="str">
        <f>IF(BW344&lt;&gt;1,"",IF(BT344-CONTROL_PANEL!$B$11&lt;0,0,BT344-CONTROL_PANEL!$B$11))</f>
        <v/>
      </c>
      <c r="BV344" s="18" t="str">
        <f>IF(BW344&lt;&gt;1,"",IF(BS344&lt;=0,0,MIN(BS344,MAX(0,CONTROL_PANEL!$B$13-BT344))))</f>
        <v/>
      </c>
      <c r="BW344" s="18"/>
      <c r="BY344" s="19">
        <f t="shared" si="259"/>
        <v>2044</v>
      </c>
      <c r="BZ344" s="19">
        <f t="shared" si="224"/>
        <v>1</v>
      </c>
      <c r="CA344" s="18" t="str">
        <f t="shared" si="241"/>
        <v/>
      </c>
      <c r="CB344" s="18" t="str">
        <f t="shared" si="254"/>
        <v/>
      </c>
      <c r="CC344" s="18" t="str">
        <f>IF(CP343&lt;&gt;1,"",IF(CM343&gt;0,IF(CM343&gt;CONTROL_PANEL!$B$11,CONTROL_PANEL!$B$11,CM343),0))</f>
        <v/>
      </c>
      <c r="CD344" s="18" t="str">
        <f t="shared" si="249"/>
        <v/>
      </c>
      <c r="CE344" s="18" t="str">
        <f>IF(CP344&lt;&gt;1,"",DATA_INPUT!$I344)</f>
        <v/>
      </c>
      <c r="CF344" s="18" t="str">
        <f>IF(CP344&lt;&gt;1,"",CE344*CONTROL_PANEL!$B$5)</f>
        <v/>
      </c>
      <c r="CG344" s="18" t="str">
        <f>IF(CP344&lt;&gt;1,"",DATA_INPUT!$C344)</f>
        <v/>
      </c>
      <c r="CH344" s="18" t="str">
        <f t="shared" si="242"/>
        <v/>
      </c>
      <c r="CI344" s="18" t="str">
        <f>IF(CP344&lt;&gt;1,"",DATA_INPUT!$H344)</f>
        <v/>
      </c>
      <c r="CJ344" s="18" t="str">
        <f t="shared" si="243"/>
        <v/>
      </c>
      <c r="CK344" s="18" t="str">
        <f>IF(CP344&lt;&gt;1,"",CF344*CONTROL_PANEL!$B$14)</f>
        <v/>
      </c>
      <c r="CL344" s="18" t="str">
        <f>IF(CP344&lt;&gt;1,"",DATA_INPUT!$O344)</f>
        <v/>
      </c>
      <c r="CM344" s="18" t="str">
        <f t="shared" si="244"/>
        <v/>
      </c>
      <c r="CN344" s="18" t="str">
        <f>IF(CP344&lt;&gt;1,"",IF(CM344-CONTROL_PANEL!$B$11&lt;0,0,CM344-CONTROL_PANEL!$B$11))</f>
        <v/>
      </c>
      <c r="CO344" s="18" t="str">
        <f>IF(CP344&lt;&gt;1,"",IF(CL344&lt;=0,0,MIN(CL344,MAX(0,CONTROL_PANEL!$B$13-CM344))))</f>
        <v/>
      </c>
      <c r="CP344" s="18"/>
    </row>
    <row r="345" spans="1:94" x14ac:dyDescent="0.25">
      <c r="A345" s="19">
        <f t="shared" si="255"/>
        <v>2044</v>
      </c>
      <c r="B345" s="19">
        <f t="shared" si="220"/>
        <v>2</v>
      </c>
      <c r="C345" s="18" t="str">
        <f t="shared" si="225"/>
        <v/>
      </c>
      <c r="D345" s="18" t="str">
        <f t="shared" si="250"/>
        <v/>
      </c>
      <c r="E345" s="18" t="str">
        <f>IF(R344&lt;&gt;1,"",IF(O344&gt;0,IF(O344&gt;CONTROL_PANEL!$B$11,CONTROL_PANEL!$B$11,O344),0))</f>
        <v/>
      </c>
      <c r="F345" s="18" t="str">
        <f t="shared" si="245"/>
        <v/>
      </c>
      <c r="G345" s="18" t="str">
        <f>IF(R345&lt;&gt;1,"",DATA_INPUT!I345)</f>
        <v/>
      </c>
      <c r="H345" s="18" t="str">
        <f>IF(R345&lt;&gt;1,"",G345*CONTROL_PANEL!$B$5)</f>
        <v/>
      </c>
      <c r="I345" s="18" t="str">
        <f>IF(R345&lt;&gt;1,"",DATA_INPUT!C345)</f>
        <v/>
      </c>
      <c r="J345" s="18" t="str">
        <f t="shared" si="226"/>
        <v/>
      </c>
      <c r="K345" s="18" t="str">
        <f>IF(R345&lt;&gt;1,"",DATA_INPUT!H345)</f>
        <v/>
      </c>
      <c r="L345" s="18" t="str">
        <f t="shared" si="227"/>
        <v/>
      </c>
      <c r="M345" s="18" t="str">
        <f>IF(R345&lt;&gt;1,"",H345*CONTROL_PANEL!$B$14)</f>
        <v/>
      </c>
      <c r="N345" s="18" t="str">
        <f>IF(R345&lt;&gt;1,"",DATA_INPUT!K345)</f>
        <v/>
      </c>
      <c r="O345" s="18" t="str">
        <f t="shared" si="228"/>
        <v/>
      </c>
      <c r="P345" s="18" t="str">
        <f>IF(R345&lt;&gt;1,"",IF(O345-CONTROL_PANEL!$B$11&lt;0,0,O345-CONTROL_PANEL!$B$11))</f>
        <v/>
      </c>
      <c r="Q345" s="18" t="str">
        <f>IF(R345&lt;&gt;1,"",IF(N345&lt;=0,0,MIN(N345,MAX(0,CONTROL_PANEL!$B$13-O345))))</f>
        <v/>
      </c>
      <c r="R345" s="18"/>
      <c r="T345" s="19">
        <f t="shared" si="256"/>
        <v>2044</v>
      </c>
      <c r="U345" s="19">
        <f t="shared" si="221"/>
        <v>2</v>
      </c>
      <c r="V345" s="18" t="str">
        <f t="shared" si="229"/>
        <v/>
      </c>
      <c r="W345" s="18" t="str">
        <f t="shared" si="251"/>
        <v/>
      </c>
      <c r="X345" s="18" t="str">
        <f>IF(AK344&lt;&gt;1,"",IF(AH344&gt;0,IF(AH344&gt;CONTROL_PANEL!$B$11,CONTROL_PANEL!$B$11,AH344),0))</f>
        <v/>
      </c>
      <c r="Y345" s="18" t="str">
        <f t="shared" si="246"/>
        <v/>
      </c>
      <c r="Z345" s="18" t="str">
        <f>IF(AK345&lt;&gt;1,"",DATA_INPUT!I345)</f>
        <v/>
      </c>
      <c r="AA345" s="18" t="str">
        <f>IF(AK345&lt;&gt;1,"",Z345*CONTROL_PANEL!$B$5)</f>
        <v/>
      </c>
      <c r="AB345" s="18" t="str">
        <f>IF(AK345&lt;&gt;1,"",DATA_INPUT!$C345)</f>
        <v/>
      </c>
      <c r="AC345" s="18" t="str">
        <f t="shared" si="230"/>
        <v/>
      </c>
      <c r="AD345" s="18" t="str">
        <f>IF(AK345&lt;&gt;1,"",DATA_INPUT!$H345)</f>
        <v/>
      </c>
      <c r="AE345" s="18" t="str">
        <f t="shared" si="231"/>
        <v/>
      </c>
      <c r="AF345" s="18" t="str">
        <f>IF(AK345&lt;&gt;1,"",AA345*CONTROL_PANEL!$B$14)</f>
        <v/>
      </c>
      <c r="AG345" s="18" t="str">
        <f>IF(AK345&lt;&gt;1,"",DATA_INPUT!$L345)</f>
        <v/>
      </c>
      <c r="AH345" s="18" t="str">
        <f t="shared" si="232"/>
        <v/>
      </c>
      <c r="AI345" s="18" t="str">
        <f>IF(AK345&lt;&gt;1,"",IF(AH345-CONTROL_PANEL!$B$11&lt;0,0,AH345-CONTROL_PANEL!$B$11))</f>
        <v/>
      </c>
      <c r="AJ345" s="18" t="str">
        <f>IF(AK345&lt;&gt;1,"",IF(AG345&lt;=0,0,MIN(AG345,MAX(0,CONTROL_PANEL!$B$13-AH345))))</f>
        <v/>
      </c>
      <c r="AK345" s="18"/>
      <c r="AM345" s="19">
        <f t="shared" si="257"/>
        <v>2044</v>
      </c>
      <c r="AN345" s="19">
        <f t="shared" si="222"/>
        <v>2</v>
      </c>
      <c r="AO345" s="18" t="str">
        <f t="shared" si="233"/>
        <v/>
      </c>
      <c r="AP345" s="18" t="str">
        <f t="shared" si="252"/>
        <v/>
      </c>
      <c r="AQ345" s="18" t="str">
        <f>IF(BD344&lt;&gt;1,"",IF(BA344&gt;0,IF(BA344&gt;CONTROL_PANEL!$B$11,CONTROL_PANEL!$B$11,BA344),0))</f>
        <v/>
      </c>
      <c r="AR345" s="18" t="str">
        <f t="shared" si="247"/>
        <v/>
      </c>
      <c r="AS345" s="18" t="str">
        <f>IF(BD345&lt;&gt;1,"",DATA_INPUT!$I345)</f>
        <v/>
      </c>
      <c r="AT345" s="18" t="str">
        <f>IF(BD345&lt;&gt;1,"",AS345*CONTROL_PANEL!$B$5)</f>
        <v/>
      </c>
      <c r="AU345" s="18" t="str">
        <f>IF(BD345&lt;&gt;1,"",DATA_INPUT!$C345)</f>
        <v/>
      </c>
      <c r="AV345" s="18" t="str">
        <f t="shared" si="234"/>
        <v/>
      </c>
      <c r="AW345" s="18" t="str">
        <f>IF(BD345&lt;&gt;1,"",DATA_INPUT!$H345)</f>
        <v/>
      </c>
      <c r="AX345" s="18" t="str">
        <f t="shared" si="235"/>
        <v/>
      </c>
      <c r="AY345" s="18" t="str">
        <f>IF(BD345&lt;&gt;1,"",AT345*CONTROL_PANEL!$B$14)</f>
        <v/>
      </c>
      <c r="AZ345" s="18" t="str">
        <f>IF(BD345&lt;&gt;1,"",DATA_INPUT!$M345)</f>
        <v/>
      </c>
      <c r="BA345" s="18" t="str">
        <f t="shared" si="236"/>
        <v/>
      </c>
      <c r="BB345" s="18" t="str">
        <f>IF(BD345&lt;&gt;1,"",IF(BA345-CONTROL_PANEL!$B$11&lt;0,0,BA345-CONTROL_PANEL!$B$11))</f>
        <v/>
      </c>
      <c r="BC345" s="18" t="str">
        <f>IF(BD345&lt;&gt;1,"",IF(AZ345&lt;=0,0,MIN(AZ345,MAX(0,CONTROL_PANEL!$B$13-BA345))))</f>
        <v/>
      </c>
      <c r="BD345" s="18"/>
      <c r="BF345" s="19">
        <f t="shared" si="258"/>
        <v>2044</v>
      </c>
      <c r="BG345" s="19">
        <f t="shared" si="223"/>
        <v>2</v>
      </c>
      <c r="BH345" s="18" t="str">
        <f t="shared" si="237"/>
        <v/>
      </c>
      <c r="BI345" s="18" t="str">
        <f t="shared" si="253"/>
        <v/>
      </c>
      <c r="BJ345" s="18" t="str">
        <f>IF(BW344&lt;&gt;1,"",IF(BT344&gt;0,IF(BT344&gt;CONTROL_PANEL!$B$11,CONTROL_PANEL!$B$11,BT344),0))</f>
        <v/>
      </c>
      <c r="BK345" s="18" t="str">
        <f t="shared" si="248"/>
        <v/>
      </c>
      <c r="BL345" s="18" t="str">
        <f>IF(BW345&lt;&gt;1,"",DATA_INPUT!$I345)</f>
        <v/>
      </c>
      <c r="BM345" s="18" t="str">
        <f>IF(BW345&lt;&gt;1,"",BL345*CONTROL_PANEL!$B$5)</f>
        <v/>
      </c>
      <c r="BN345" s="18" t="str">
        <f>IF(BW345&lt;&gt;1,"",DATA_INPUT!$C345)</f>
        <v/>
      </c>
      <c r="BO345" s="18" t="str">
        <f t="shared" si="238"/>
        <v/>
      </c>
      <c r="BP345" s="18" t="str">
        <f>IF(BW345&lt;&gt;1,"",DATA_INPUT!$H345)</f>
        <v/>
      </c>
      <c r="BQ345" s="18" t="str">
        <f t="shared" si="239"/>
        <v/>
      </c>
      <c r="BR345" s="18" t="str">
        <f>IF(BW345&lt;&gt;1,"",BM345*CONTROL_PANEL!$B$14)</f>
        <v/>
      </c>
      <c r="BS345" s="18" t="str">
        <f>IF(BW345&lt;&gt;1,"",DATA_INPUT!$N345)</f>
        <v/>
      </c>
      <c r="BT345" s="18" t="str">
        <f t="shared" si="240"/>
        <v/>
      </c>
      <c r="BU345" s="18" t="str">
        <f>IF(BW345&lt;&gt;1,"",IF(BT345-CONTROL_PANEL!$B$11&lt;0,0,BT345-CONTROL_PANEL!$B$11))</f>
        <v/>
      </c>
      <c r="BV345" s="18" t="str">
        <f>IF(BW345&lt;&gt;1,"",IF(BS345&lt;=0,0,MIN(BS345,MAX(0,CONTROL_PANEL!$B$13-BT345))))</f>
        <v/>
      </c>
      <c r="BW345" s="18"/>
      <c r="BY345" s="19">
        <f t="shared" si="259"/>
        <v>2044</v>
      </c>
      <c r="BZ345" s="19">
        <f t="shared" si="224"/>
        <v>2</v>
      </c>
      <c r="CA345" s="18" t="str">
        <f t="shared" si="241"/>
        <v/>
      </c>
      <c r="CB345" s="18" t="str">
        <f t="shared" si="254"/>
        <v/>
      </c>
      <c r="CC345" s="18" t="str">
        <f>IF(CP344&lt;&gt;1,"",IF(CM344&gt;0,IF(CM344&gt;CONTROL_PANEL!$B$11,CONTROL_PANEL!$B$11,CM344),0))</f>
        <v/>
      </c>
      <c r="CD345" s="18" t="str">
        <f t="shared" si="249"/>
        <v/>
      </c>
      <c r="CE345" s="18" t="str">
        <f>IF(CP345&lt;&gt;1,"",DATA_INPUT!$I345)</f>
        <v/>
      </c>
      <c r="CF345" s="18" t="str">
        <f>IF(CP345&lt;&gt;1,"",CE345*CONTROL_PANEL!$B$5)</f>
        <v/>
      </c>
      <c r="CG345" s="18" t="str">
        <f>IF(CP345&lt;&gt;1,"",DATA_INPUT!$C345)</f>
        <v/>
      </c>
      <c r="CH345" s="18" t="str">
        <f t="shared" si="242"/>
        <v/>
      </c>
      <c r="CI345" s="18" t="str">
        <f>IF(CP345&lt;&gt;1,"",DATA_INPUT!$H345)</f>
        <v/>
      </c>
      <c r="CJ345" s="18" t="str">
        <f t="shared" si="243"/>
        <v/>
      </c>
      <c r="CK345" s="18" t="str">
        <f>IF(CP345&lt;&gt;1,"",CF345*CONTROL_PANEL!$B$14)</f>
        <v/>
      </c>
      <c r="CL345" s="18" t="str">
        <f>IF(CP345&lt;&gt;1,"",DATA_INPUT!$O345)</f>
        <v/>
      </c>
      <c r="CM345" s="18" t="str">
        <f t="shared" si="244"/>
        <v/>
      </c>
      <c r="CN345" s="18" t="str">
        <f>IF(CP345&lt;&gt;1,"",IF(CM345-CONTROL_PANEL!$B$11&lt;0,0,CM345-CONTROL_PANEL!$B$11))</f>
        <v/>
      </c>
      <c r="CO345" s="18" t="str">
        <f>IF(CP345&lt;&gt;1,"",IF(CL345&lt;=0,0,MIN(CL345,MAX(0,CONTROL_PANEL!$B$13-CM345))))</f>
        <v/>
      </c>
      <c r="CP345" s="18"/>
    </row>
    <row r="346" spans="1:94" x14ac:dyDescent="0.25">
      <c r="A346" s="19">
        <f t="shared" si="255"/>
        <v>2044</v>
      </c>
      <c r="B346" s="19">
        <f t="shared" si="220"/>
        <v>3</v>
      </c>
      <c r="C346" s="18" t="str">
        <f t="shared" si="225"/>
        <v/>
      </c>
      <c r="D346" s="18" t="str">
        <f t="shared" si="250"/>
        <v/>
      </c>
      <c r="E346" s="18" t="str">
        <f>IF(R345&lt;&gt;1,"",IF(O345&gt;0,IF(O345&gt;CONTROL_PANEL!$B$11,CONTROL_PANEL!$B$11,O345),0))</f>
        <v/>
      </c>
      <c r="F346" s="18" t="str">
        <f t="shared" si="245"/>
        <v/>
      </c>
      <c r="G346" s="18" t="str">
        <f>IF(R346&lt;&gt;1,"",DATA_INPUT!I346)</f>
        <v/>
      </c>
      <c r="H346" s="18" t="str">
        <f>IF(R346&lt;&gt;1,"",G346*CONTROL_PANEL!$B$5)</f>
        <v/>
      </c>
      <c r="I346" s="18" t="str">
        <f>IF(R346&lt;&gt;1,"",DATA_INPUT!C346)</f>
        <v/>
      </c>
      <c r="J346" s="18" t="str">
        <f t="shared" si="226"/>
        <v/>
      </c>
      <c r="K346" s="18" t="str">
        <f>IF(R346&lt;&gt;1,"",DATA_INPUT!H346)</f>
        <v/>
      </c>
      <c r="L346" s="18" t="str">
        <f t="shared" si="227"/>
        <v/>
      </c>
      <c r="M346" s="18" t="str">
        <f>IF(R346&lt;&gt;1,"",H346*CONTROL_PANEL!$B$14)</f>
        <v/>
      </c>
      <c r="N346" s="18" t="str">
        <f>IF(R346&lt;&gt;1,"",DATA_INPUT!K346)</f>
        <v/>
      </c>
      <c r="O346" s="18" t="str">
        <f t="shared" si="228"/>
        <v/>
      </c>
      <c r="P346" s="18" t="str">
        <f>IF(R346&lt;&gt;1,"",IF(O346-CONTROL_PANEL!$B$11&lt;0,0,O346-CONTROL_PANEL!$B$11))</f>
        <v/>
      </c>
      <c r="Q346" s="18" t="str">
        <f>IF(R346&lt;&gt;1,"",IF(N346&lt;=0,0,MIN(N346,MAX(0,CONTROL_PANEL!$B$13-O346))))</f>
        <v/>
      </c>
      <c r="R346" s="18"/>
      <c r="T346" s="19">
        <f t="shared" si="256"/>
        <v>2044</v>
      </c>
      <c r="U346" s="19">
        <f t="shared" si="221"/>
        <v>3</v>
      </c>
      <c r="V346" s="18" t="str">
        <f t="shared" si="229"/>
        <v/>
      </c>
      <c r="W346" s="18" t="str">
        <f t="shared" si="251"/>
        <v/>
      </c>
      <c r="X346" s="18" t="str">
        <f>IF(AK345&lt;&gt;1,"",IF(AH345&gt;0,IF(AH345&gt;CONTROL_PANEL!$B$11,CONTROL_PANEL!$B$11,AH345),0))</f>
        <v/>
      </c>
      <c r="Y346" s="18" t="str">
        <f t="shared" si="246"/>
        <v/>
      </c>
      <c r="Z346" s="18" t="str">
        <f>IF(AK346&lt;&gt;1,"",DATA_INPUT!I346)</f>
        <v/>
      </c>
      <c r="AA346" s="18" t="str">
        <f>IF(AK346&lt;&gt;1,"",Z346*CONTROL_PANEL!$B$5)</f>
        <v/>
      </c>
      <c r="AB346" s="18" t="str">
        <f>IF(AK346&lt;&gt;1,"",DATA_INPUT!$C346)</f>
        <v/>
      </c>
      <c r="AC346" s="18" t="str">
        <f t="shared" si="230"/>
        <v/>
      </c>
      <c r="AD346" s="18" t="str">
        <f>IF(AK346&lt;&gt;1,"",DATA_INPUT!$H346)</f>
        <v/>
      </c>
      <c r="AE346" s="18" t="str">
        <f t="shared" si="231"/>
        <v/>
      </c>
      <c r="AF346" s="18" t="str">
        <f>IF(AK346&lt;&gt;1,"",AA346*CONTROL_PANEL!$B$14)</f>
        <v/>
      </c>
      <c r="AG346" s="18" t="str">
        <f>IF(AK346&lt;&gt;1,"",DATA_INPUT!$L346)</f>
        <v/>
      </c>
      <c r="AH346" s="18" t="str">
        <f t="shared" si="232"/>
        <v/>
      </c>
      <c r="AI346" s="18" t="str">
        <f>IF(AK346&lt;&gt;1,"",IF(AH346-CONTROL_PANEL!$B$11&lt;0,0,AH346-CONTROL_PANEL!$B$11))</f>
        <v/>
      </c>
      <c r="AJ346" s="18" t="str">
        <f>IF(AK346&lt;&gt;1,"",IF(AG346&lt;=0,0,MIN(AG346,MAX(0,CONTROL_PANEL!$B$13-AH346))))</f>
        <v/>
      </c>
      <c r="AK346" s="18"/>
      <c r="AM346" s="19">
        <f t="shared" si="257"/>
        <v>2044</v>
      </c>
      <c r="AN346" s="19">
        <f t="shared" si="222"/>
        <v>3</v>
      </c>
      <c r="AO346" s="18" t="str">
        <f t="shared" si="233"/>
        <v/>
      </c>
      <c r="AP346" s="18" t="str">
        <f t="shared" si="252"/>
        <v/>
      </c>
      <c r="AQ346" s="18" t="str">
        <f>IF(BD345&lt;&gt;1,"",IF(BA345&gt;0,IF(BA345&gt;CONTROL_PANEL!$B$11,CONTROL_PANEL!$B$11,BA345),0))</f>
        <v/>
      </c>
      <c r="AR346" s="18" t="str">
        <f t="shared" si="247"/>
        <v/>
      </c>
      <c r="AS346" s="18" t="str">
        <f>IF(BD346&lt;&gt;1,"",DATA_INPUT!$I346)</f>
        <v/>
      </c>
      <c r="AT346" s="18" t="str">
        <f>IF(BD346&lt;&gt;1,"",AS346*CONTROL_PANEL!$B$5)</f>
        <v/>
      </c>
      <c r="AU346" s="18" t="str">
        <f>IF(BD346&lt;&gt;1,"",DATA_INPUT!$C346)</f>
        <v/>
      </c>
      <c r="AV346" s="18" t="str">
        <f t="shared" si="234"/>
        <v/>
      </c>
      <c r="AW346" s="18" t="str">
        <f>IF(BD346&lt;&gt;1,"",DATA_INPUT!$H346)</f>
        <v/>
      </c>
      <c r="AX346" s="18" t="str">
        <f t="shared" si="235"/>
        <v/>
      </c>
      <c r="AY346" s="18" t="str">
        <f>IF(BD346&lt;&gt;1,"",AT346*CONTROL_PANEL!$B$14)</f>
        <v/>
      </c>
      <c r="AZ346" s="18" t="str">
        <f>IF(BD346&lt;&gt;1,"",DATA_INPUT!$M346)</f>
        <v/>
      </c>
      <c r="BA346" s="18" t="str">
        <f t="shared" si="236"/>
        <v/>
      </c>
      <c r="BB346" s="18" t="str">
        <f>IF(BD346&lt;&gt;1,"",IF(BA346-CONTROL_PANEL!$B$11&lt;0,0,BA346-CONTROL_PANEL!$B$11))</f>
        <v/>
      </c>
      <c r="BC346" s="18" t="str">
        <f>IF(BD346&lt;&gt;1,"",IF(AZ346&lt;=0,0,MIN(AZ346,MAX(0,CONTROL_PANEL!$B$13-BA346))))</f>
        <v/>
      </c>
      <c r="BD346" s="18"/>
      <c r="BF346" s="19">
        <f t="shared" si="258"/>
        <v>2044</v>
      </c>
      <c r="BG346" s="19">
        <f t="shared" si="223"/>
        <v>3</v>
      </c>
      <c r="BH346" s="18" t="str">
        <f t="shared" si="237"/>
        <v/>
      </c>
      <c r="BI346" s="18" t="str">
        <f t="shared" si="253"/>
        <v/>
      </c>
      <c r="BJ346" s="18" t="str">
        <f>IF(BW345&lt;&gt;1,"",IF(BT345&gt;0,IF(BT345&gt;CONTROL_PANEL!$B$11,CONTROL_PANEL!$B$11,BT345),0))</f>
        <v/>
      </c>
      <c r="BK346" s="18" t="str">
        <f t="shared" si="248"/>
        <v/>
      </c>
      <c r="BL346" s="18" t="str">
        <f>IF(BW346&lt;&gt;1,"",DATA_INPUT!$I346)</f>
        <v/>
      </c>
      <c r="BM346" s="18" t="str">
        <f>IF(BW346&lt;&gt;1,"",BL346*CONTROL_PANEL!$B$5)</f>
        <v/>
      </c>
      <c r="BN346" s="18" t="str">
        <f>IF(BW346&lt;&gt;1,"",DATA_INPUT!$C346)</f>
        <v/>
      </c>
      <c r="BO346" s="18" t="str">
        <f t="shared" si="238"/>
        <v/>
      </c>
      <c r="BP346" s="18" t="str">
        <f>IF(BW346&lt;&gt;1,"",DATA_INPUT!$H346)</f>
        <v/>
      </c>
      <c r="BQ346" s="18" t="str">
        <f t="shared" si="239"/>
        <v/>
      </c>
      <c r="BR346" s="18" t="str">
        <f>IF(BW346&lt;&gt;1,"",BM346*CONTROL_PANEL!$B$14)</f>
        <v/>
      </c>
      <c r="BS346" s="18" t="str">
        <f>IF(BW346&lt;&gt;1,"",DATA_INPUT!$N346)</f>
        <v/>
      </c>
      <c r="BT346" s="18" t="str">
        <f t="shared" si="240"/>
        <v/>
      </c>
      <c r="BU346" s="18" t="str">
        <f>IF(BW346&lt;&gt;1,"",IF(BT346-CONTROL_PANEL!$B$11&lt;0,0,BT346-CONTROL_PANEL!$B$11))</f>
        <v/>
      </c>
      <c r="BV346" s="18" t="str">
        <f>IF(BW346&lt;&gt;1,"",IF(BS346&lt;=0,0,MIN(BS346,MAX(0,CONTROL_PANEL!$B$13-BT346))))</f>
        <v/>
      </c>
      <c r="BW346" s="18"/>
      <c r="BY346" s="19">
        <f t="shared" si="259"/>
        <v>2044</v>
      </c>
      <c r="BZ346" s="19">
        <f t="shared" si="224"/>
        <v>3</v>
      </c>
      <c r="CA346" s="18" t="str">
        <f t="shared" si="241"/>
        <v/>
      </c>
      <c r="CB346" s="18" t="str">
        <f t="shared" si="254"/>
        <v/>
      </c>
      <c r="CC346" s="18" t="str">
        <f>IF(CP345&lt;&gt;1,"",IF(CM345&gt;0,IF(CM345&gt;CONTROL_PANEL!$B$11,CONTROL_PANEL!$B$11,CM345),0))</f>
        <v/>
      </c>
      <c r="CD346" s="18" t="str">
        <f t="shared" si="249"/>
        <v/>
      </c>
      <c r="CE346" s="18" t="str">
        <f>IF(CP346&lt;&gt;1,"",DATA_INPUT!$I346)</f>
        <v/>
      </c>
      <c r="CF346" s="18" t="str">
        <f>IF(CP346&lt;&gt;1,"",CE346*CONTROL_PANEL!$B$5)</f>
        <v/>
      </c>
      <c r="CG346" s="18" t="str">
        <f>IF(CP346&lt;&gt;1,"",DATA_INPUT!$C346)</f>
        <v/>
      </c>
      <c r="CH346" s="18" t="str">
        <f t="shared" si="242"/>
        <v/>
      </c>
      <c r="CI346" s="18" t="str">
        <f>IF(CP346&lt;&gt;1,"",DATA_INPUT!$H346)</f>
        <v/>
      </c>
      <c r="CJ346" s="18" t="str">
        <f t="shared" si="243"/>
        <v/>
      </c>
      <c r="CK346" s="18" t="str">
        <f>IF(CP346&lt;&gt;1,"",CF346*CONTROL_PANEL!$B$14)</f>
        <v/>
      </c>
      <c r="CL346" s="18" t="str">
        <f>IF(CP346&lt;&gt;1,"",DATA_INPUT!$O346)</f>
        <v/>
      </c>
      <c r="CM346" s="18" t="str">
        <f t="shared" si="244"/>
        <v/>
      </c>
      <c r="CN346" s="18" t="str">
        <f>IF(CP346&lt;&gt;1,"",IF(CM346-CONTROL_PANEL!$B$11&lt;0,0,CM346-CONTROL_PANEL!$B$11))</f>
        <v/>
      </c>
      <c r="CO346" s="18" t="str">
        <f>IF(CP346&lt;&gt;1,"",IF(CL346&lt;=0,0,MIN(CL346,MAX(0,CONTROL_PANEL!$B$13-CM346))))</f>
        <v/>
      </c>
      <c r="CP346" s="18"/>
    </row>
    <row r="347" spans="1:94" x14ac:dyDescent="0.25">
      <c r="A347" s="19">
        <f t="shared" si="255"/>
        <v>2044</v>
      </c>
      <c r="B347" s="19">
        <f t="shared" si="220"/>
        <v>4</v>
      </c>
      <c r="C347" s="18" t="str">
        <f t="shared" si="225"/>
        <v/>
      </c>
      <c r="D347" s="18" t="str">
        <f t="shared" si="250"/>
        <v/>
      </c>
      <c r="E347" s="18" t="str">
        <f>IF(R346&lt;&gt;1,"",IF(O346&gt;0,IF(O346&gt;CONTROL_PANEL!$B$11,CONTROL_PANEL!$B$11,O346),0))</f>
        <v/>
      </c>
      <c r="F347" s="18" t="str">
        <f t="shared" si="245"/>
        <v/>
      </c>
      <c r="G347" s="18" t="str">
        <f>IF(R347&lt;&gt;1,"",DATA_INPUT!I347)</f>
        <v/>
      </c>
      <c r="H347" s="18" t="str">
        <f>IF(R347&lt;&gt;1,"",G347*CONTROL_PANEL!$B$5)</f>
        <v/>
      </c>
      <c r="I347" s="18" t="str">
        <f>IF(R347&lt;&gt;1,"",DATA_INPUT!C347)</f>
        <v/>
      </c>
      <c r="J347" s="18" t="str">
        <f t="shared" si="226"/>
        <v/>
      </c>
      <c r="K347" s="18" t="str">
        <f>IF(R347&lt;&gt;1,"",DATA_INPUT!H347)</f>
        <v/>
      </c>
      <c r="L347" s="18" t="str">
        <f t="shared" si="227"/>
        <v/>
      </c>
      <c r="M347" s="18" t="str">
        <f>IF(R347&lt;&gt;1,"",H347*CONTROL_PANEL!$B$14)</f>
        <v/>
      </c>
      <c r="N347" s="18" t="str">
        <f>IF(R347&lt;&gt;1,"",DATA_INPUT!K347)</f>
        <v/>
      </c>
      <c r="O347" s="18" t="str">
        <f t="shared" si="228"/>
        <v/>
      </c>
      <c r="P347" s="18" t="str">
        <f>IF(R347&lt;&gt;1,"",IF(O347-CONTROL_PANEL!$B$11&lt;0,0,O347-CONTROL_PANEL!$B$11))</f>
        <v/>
      </c>
      <c r="Q347" s="18" t="str">
        <f>IF(R347&lt;&gt;1,"",IF(N347&lt;=0,0,MIN(N347,MAX(0,CONTROL_PANEL!$B$13-O347))))</f>
        <v/>
      </c>
      <c r="R347" s="18"/>
      <c r="T347" s="19">
        <f t="shared" si="256"/>
        <v>2044</v>
      </c>
      <c r="U347" s="19">
        <f t="shared" si="221"/>
        <v>4</v>
      </c>
      <c r="V347" s="18" t="str">
        <f t="shared" si="229"/>
        <v/>
      </c>
      <c r="W347" s="18" t="str">
        <f t="shared" si="251"/>
        <v/>
      </c>
      <c r="X347" s="18" t="str">
        <f>IF(AK346&lt;&gt;1,"",IF(AH346&gt;0,IF(AH346&gt;CONTROL_PANEL!$B$11,CONTROL_PANEL!$B$11,AH346),0))</f>
        <v/>
      </c>
      <c r="Y347" s="18" t="str">
        <f t="shared" si="246"/>
        <v/>
      </c>
      <c r="Z347" s="18" t="str">
        <f>IF(AK347&lt;&gt;1,"",DATA_INPUT!I347)</f>
        <v/>
      </c>
      <c r="AA347" s="18" t="str">
        <f>IF(AK347&lt;&gt;1,"",Z347*CONTROL_PANEL!$B$5)</f>
        <v/>
      </c>
      <c r="AB347" s="18" t="str">
        <f>IF(AK347&lt;&gt;1,"",DATA_INPUT!$C347)</f>
        <v/>
      </c>
      <c r="AC347" s="18" t="str">
        <f t="shared" si="230"/>
        <v/>
      </c>
      <c r="AD347" s="18" t="str">
        <f>IF(AK347&lt;&gt;1,"",DATA_INPUT!$H347)</f>
        <v/>
      </c>
      <c r="AE347" s="18" t="str">
        <f t="shared" si="231"/>
        <v/>
      </c>
      <c r="AF347" s="18" t="str">
        <f>IF(AK347&lt;&gt;1,"",AA347*CONTROL_PANEL!$B$14)</f>
        <v/>
      </c>
      <c r="AG347" s="18" t="str">
        <f>IF(AK347&lt;&gt;1,"",DATA_INPUT!$L347)</f>
        <v/>
      </c>
      <c r="AH347" s="18" t="str">
        <f t="shared" si="232"/>
        <v/>
      </c>
      <c r="AI347" s="18" t="str">
        <f>IF(AK347&lt;&gt;1,"",IF(AH347-CONTROL_PANEL!$B$11&lt;0,0,AH347-CONTROL_PANEL!$B$11))</f>
        <v/>
      </c>
      <c r="AJ347" s="18" t="str">
        <f>IF(AK347&lt;&gt;1,"",IF(AG347&lt;=0,0,MIN(AG347,MAX(0,CONTROL_PANEL!$B$13-AH347))))</f>
        <v/>
      </c>
      <c r="AK347" s="18"/>
      <c r="AM347" s="19">
        <f t="shared" si="257"/>
        <v>2044</v>
      </c>
      <c r="AN347" s="19">
        <f t="shared" si="222"/>
        <v>4</v>
      </c>
      <c r="AO347" s="18" t="str">
        <f t="shared" si="233"/>
        <v/>
      </c>
      <c r="AP347" s="18" t="str">
        <f t="shared" si="252"/>
        <v/>
      </c>
      <c r="AQ347" s="18" t="str">
        <f>IF(BD346&lt;&gt;1,"",IF(BA346&gt;0,IF(BA346&gt;CONTROL_PANEL!$B$11,CONTROL_PANEL!$B$11,BA346),0))</f>
        <v/>
      </c>
      <c r="AR347" s="18" t="str">
        <f t="shared" si="247"/>
        <v/>
      </c>
      <c r="AS347" s="18" t="str">
        <f>IF(BD347&lt;&gt;1,"",DATA_INPUT!$I347)</f>
        <v/>
      </c>
      <c r="AT347" s="18" t="str">
        <f>IF(BD347&lt;&gt;1,"",AS347*CONTROL_PANEL!$B$5)</f>
        <v/>
      </c>
      <c r="AU347" s="18" t="str">
        <f>IF(BD347&lt;&gt;1,"",DATA_INPUT!$C347)</f>
        <v/>
      </c>
      <c r="AV347" s="18" t="str">
        <f t="shared" si="234"/>
        <v/>
      </c>
      <c r="AW347" s="18" t="str">
        <f>IF(BD347&lt;&gt;1,"",DATA_INPUT!$H347)</f>
        <v/>
      </c>
      <c r="AX347" s="18" t="str">
        <f t="shared" si="235"/>
        <v/>
      </c>
      <c r="AY347" s="18" t="str">
        <f>IF(BD347&lt;&gt;1,"",AT347*CONTROL_PANEL!$B$14)</f>
        <v/>
      </c>
      <c r="AZ347" s="18" t="str">
        <f>IF(BD347&lt;&gt;1,"",DATA_INPUT!$M347)</f>
        <v/>
      </c>
      <c r="BA347" s="18" t="str">
        <f t="shared" si="236"/>
        <v/>
      </c>
      <c r="BB347" s="18" t="str">
        <f>IF(BD347&lt;&gt;1,"",IF(BA347-CONTROL_PANEL!$B$11&lt;0,0,BA347-CONTROL_PANEL!$B$11))</f>
        <v/>
      </c>
      <c r="BC347" s="18" t="str">
        <f>IF(BD347&lt;&gt;1,"",IF(AZ347&lt;=0,0,MIN(AZ347,MAX(0,CONTROL_PANEL!$B$13-BA347))))</f>
        <v/>
      </c>
      <c r="BD347" s="18"/>
      <c r="BF347" s="19">
        <f t="shared" si="258"/>
        <v>2044</v>
      </c>
      <c r="BG347" s="19">
        <f t="shared" si="223"/>
        <v>4</v>
      </c>
      <c r="BH347" s="18" t="str">
        <f t="shared" si="237"/>
        <v/>
      </c>
      <c r="BI347" s="18" t="str">
        <f t="shared" si="253"/>
        <v/>
      </c>
      <c r="BJ347" s="18" t="str">
        <f>IF(BW346&lt;&gt;1,"",IF(BT346&gt;0,IF(BT346&gt;CONTROL_PANEL!$B$11,CONTROL_PANEL!$B$11,BT346),0))</f>
        <v/>
      </c>
      <c r="BK347" s="18" t="str">
        <f t="shared" si="248"/>
        <v/>
      </c>
      <c r="BL347" s="18" t="str">
        <f>IF(BW347&lt;&gt;1,"",DATA_INPUT!$I347)</f>
        <v/>
      </c>
      <c r="BM347" s="18" t="str">
        <f>IF(BW347&lt;&gt;1,"",BL347*CONTROL_PANEL!$B$5)</f>
        <v/>
      </c>
      <c r="BN347" s="18" t="str">
        <f>IF(BW347&lt;&gt;1,"",DATA_INPUT!$C347)</f>
        <v/>
      </c>
      <c r="BO347" s="18" t="str">
        <f t="shared" si="238"/>
        <v/>
      </c>
      <c r="BP347" s="18" t="str">
        <f>IF(BW347&lt;&gt;1,"",DATA_INPUT!$H347)</f>
        <v/>
      </c>
      <c r="BQ347" s="18" t="str">
        <f t="shared" si="239"/>
        <v/>
      </c>
      <c r="BR347" s="18" t="str">
        <f>IF(BW347&lt;&gt;1,"",BM347*CONTROL_PANEL!$B$14)</f>
        <v/>
      </c>
      <c r="BS347" s="18" t="str">
        <f>IF(BW347&lt;&gt;1,"",DATA_INPUT!$N347)</f>
        <v/>
      </c>
      <c r="BT347" s="18" t="str">
        <f t="shared" si="240"/>
        <v/>
      </c>
      <c r="BU347" s="18" t="str">
        <f>IF(BW347&lt;&gt;1,"",IF(BT347-CONTROL_PANEL!$B$11&lt;0,0,BT347-CONTROL_PANEL!$B$11))</f>
        <v/>
      </c>
      <c r="BV347" s="18" t="str">
        <f>IF(BW347&lt;&gt;1,"",IF(BS347&lt;=0,0,MIN(BS347,MAX(0,CONTROL_PANEL!$B$13-BT347))))</f>
        <v/>
      </c>
      <c r="BW347" s="18"/>
      <c r="BY347" s="19">
        <f t="shared" si="259"/>
        <v>2044</v>
      </c>
      <c r="BZ347" s="19">
        <f t="shared" si="224"/>
        <v>4</v>
      </c>
      <c r="CA347" s="18" t="str">
        <f t="shared" si="241"/>
        <v/>
      </c>
      <c r="CB347" s="18" t="str">
        <f t="shared" si="254"/>
        <v/>
      </c>
      <c r="CC347" s="18" t="str">
        <f>IF(CP346&lt;&gt;1,"",IF(CM346&gt;0,IF(CM346&gt;CONTROL_PANEL!$B$11,CONTROL_PANEL!$B$11,CM346),0))</f>
        <v/>
      </c>
      <c r="CD347" s="18" t="str">
        <f t="shared" si="249"/>
        <v/>
      </c>
      <c r="CE347" s="18" t="str">
        <f>IF(CP347&lt;&gt;1,"",DATA_INPUT!$I347)</f>
        <v/>
      </c>
      <c r="CF347" s="18" t="str">
        <f>IF(CP347&lt;&gt;1,"",CE347*CONTROL_PANEL!$B$5)</f>
        <v/>
      </c>
      <c r="CG347" s="18" t="str">
        <f>IF(CP347&lt;&gt;1,"",DATA_INPUT!$C347)</f>
        <v/>
      </c>
      <c r="CH347" s="18" t="str">
        <f t="shared" si="242"/>
        <v/>
      </c>
      <c r="CI347" s="18" t="str">
        <f>IF(CP347&lt;&gt;1,"",DATA_INPUT!$H347)</f>
        <v/>
      </c>
      <c r="CJ347" s="18" t="str">
        <f t="shared" si="243"/>
        <v/>
      </c>
      <c r="CK347" s="18" t="str">
        <f>IF(CP347&lt;&gt;1,"",CF347*CONTROL_PANEL!$B$14)</f>
        <v/>
      </c>
      <c r="CL347" s="18" t="str">
        <f>IF(CP347&lt;&gt;1,"",DATA_INPUT!$O347)</f>
        <v/>
      </c>
      <c r="CM347" s="18" t="str">
        <f t="shared" si="244"/>
        <v/>
      </c>
      <c r="CN347" s="18" t="str">
        <f>IF(CP347&lt;&gt;1,"",IF(CM347-CONTROL_PANEL!$B$11&lt;0,0,CM347-CONTROL_PANEL!$B$11))</f>
        <v/>
      </c>
      <c r="CO347" s="18" t="str">
        <f>IF(CP347&lt;&gt;1,"",IF(CL347&lt;=0,0,MIN(CL347,MAX(0,CONTROL_PANEL!$B$13-CM347))))</f>
        <v/>
      </c>
      <c r="CP347" s="18"/>
    </row>
    <row r="348" spans="1:94" x14ac:dyDescent="0.25">
      <c r="A348" s="19">
        <f t="shared" si="255"/>
        <v>2044</v>
      </c>
      <c r="B348" s="19">
        <f t="shared" si="220"/>
        <v>5</v>
      </c>
      <c r="C348" s="18" t="str">
        <f t="shared" si="225"/>
        <v/>
      </c>
      <c r="D348" s="18" t="str">
        <f t="shared" si="250"/>
        <v/>
      </c>
      <c r="E348" s="18" t="str">
        <f>IF(R347&lt;&gt;1,"",IF(O347&gt;0,IF(O347&gt;CONTROL_PANEL!$B$11,CONTROL_PANEL!$B$11,O347),0))</f>
        <v/>
      </c>
      <c r="F348" s="18" t="str">
        <f t="shared" si="245"/>
        <v/>
      </c>
      <c r="G348" s="18" t="str">
        <f>IF(R348&lt;&gt;1,"",DATA_INPUT!I348)</f>
        <v/>
      </c>
      <c r="H348" s="18" t="str">
        <f>IF(R348&lt;&gt;1,"",G348*CONTROL_PANEL!$B$5)</f>
        <v/>
      </c>
      <c r="I348" s="18" t="str">
        <f>IF(R348&lt;&gt;1,"",DATA_INPUT!C348)</f>
        <v/>
      </c>
      <c r="J348" s="18" t="str">
        <f t="shared" si="226"/>
        <v/>
      </c>
      <c r="K348" s="18" t="str">
        <f>IF(R348&lt;&gt;1,"",DATA_INPUT!H348)</f>
        <v/>
      </c>
      <c r="L348" s="18" t="str">
        <f t="shared" si="227"/>
        <v/>
      </c>
      <c r="M348" s="18" t="str">
        <f>IF(R348&lt;&gt;1,"",H348*CONTROL_PANEL!$B$14)</f>
        <v/>
      </c>
      <c r="N348" s="18" t="str">
        <f>IF(R348&lt;&gt;1,"",DATA_INPUT!K348)</f>
        <v/>
      </c>
      <c r="O348" s="18" t="str">
        <f t="shared" si="228"/>
        <v/>
      </c>
      <c r="P348" s="18" t="str">
        <f>IF(R348&lt;&gt;1,"",IF(O348-CONTROL_PANEL!$B$11&lt;0,0,O348-CONTROL_PANEL!$B$11))</f>
        <v/>
      </c>
      <c r="Q348" s="18" t="str">
        <f>IF(R348&lt;&gt;1,"",IF(N348&lt;=0,0,MIN(N348,MAX(0,CONTROL_PANEL!$B$13-O348))))</f>
        <v/>
      </c>
      <c r="R348" s="18"/>
      <c r="T348" s="19">
        <f t="shared" si="256"/>
        <v>2044</v>
      </c>
      <c r="U348" s="19">
        <f t="shared" si="221"/>
        <v>5</v>
      </c>
      <c r="V348" s="18" t="str">
        <f t="shared" si="229"/>
        <v/>
      </c>
      <c r="W348" s="18" t="str">
        <f t="shared" si="251"/>
        <v/>
      </c>
      <c r="X348" s="18" t="str">
        <f>IF(AK347&lt;&gt;1,"",IF(AH347&gt;0,IF(AH347&gt;CONTROL_PANEL!$B$11,CONTROL_PANEL!$B$11,AH347),0))</f>
        <v/>
      </c>
      <c r="Y348" s="18" t="str">
        <f t="shared" si="246"/>
        <v/>
      </c>
      <c r="Z348" s="18" t="str">
        <f>IF(AK348&lt;&gt;1,"",DATA_INPUT!I348)</f>
        <v/>
      </c>
      <c r="AA348" s="18" t="str">
        <f>IF(AK348&lt;&gt;1,"",Z348*CONTROL_PANEL!$B$5)</f>
        <v/>
      </c>
      <c r="AB348" s="18" t="str">
        <f>IF(AK348&lt;&gt;1,"",DATA_INPUT!$C348)</f>
        <v/>
      </c>
      <c r="AC348" s="18" t="str">
        <f t="shared" si="230"/>
        <v/>
      </c>
      <c r="AD348" s="18" t="str">
        <f>IF(AK348&lt;&gt;1,"",DATA_INPUT!$H348)</f>
        <v/>
      </c>
      <c r="AE348" s="18" t="str">
        <f t="shared" si="231"/>
        <v/>
      </c>
      <c r="AF348" s="18" t="str">
        <f>IF(AK348&lt;&gt;1,"",AA348*CONTROL_PANEL!$B$14)</f>
        <v/>
      </c>
      <c r="AG348" s="18" t="str">
        <f>IF(AK348&lt;&gt;1,"",DATA_INPUT!$L348)</f>
        <v/>
      </c>
      <c r="AH348" s="18" t="str">
        <f t="shared" si="232"/>
        <v/>
      </c>
      <c r="AI348" s="18" t="str">
        <f>IF(AK348&lt;&gt;1,"",IF(AH348-CONTROL_PANEL!$B$11&lt;0,0,AH348-CONTROL_PANEL!$B$11))</f>
        <v/>
      </c>
      <c r="AJ348" s="18" t="str">
        <f>IF(AK348&lt;&gt;1,"",IF(AG348&lt;=0,0,MIN(AG348,MAX(0,CONTROL_PANEL!$B$13-AH348))))</f>
        <v/>
      </c>
      <c r="AK348" s="18"/>
      <c r="AM348" s="19">
        <f t="shared" si="257"/>
        <v>2044</v>
      </c>
      <c r="AN348" s="19">
        <f t="shared" si="222"/>
        <v>5</v>
      </c>
      <c r="AO348" s="18" t="str">
        <f t="shared" si="233"/>
        <v/>
      </c>
      <c r="AP348" s="18" t="str">
        <f t="shared" si="252"/>
        <v/>
      </c>
      <c r="AQ348" s="18" t="str">
        <f>IF(BD347&lt;&gt;1,"",IF(BA347&gt;0,IF(BA347&gt;CONTROL_PANEL!$B$11,CONTROL_PANEL!$B$11,BA347),0))</f>
        <v/>
      </c>
      <c r="AR348" s="18" t="str">
        <f t="shared" si="247"/>
        <v/>
      </c>
      <c r="AS348" s="18" t="str">
        <f>IF(BD348&lt;&gt;1,"",DATA_INPUT!$I348)</f>
        <v/>
      </c>
      <c r="AT348" s="18" t="str">
        <f>IF(BD348&lt;&gt;1,"",AS348*CONTROL_PANEL!$B$5)</f>
        <v/>
      </c>
      <c r="AU348" s="18" t="str">
        <f>IF(BD348&lt;&gt;1,"",DATA_INPUT!$C348)</f>
        <v/>
      </c>
      <c r="AV348" s="18" t="str">
        <f t="shared" si="234"/>
        <v/>
      </c>
      <c r="AW348" s="18" t="str">
        <f>IF(BD348&lt;&gt;1,"",DATA_INPUT!$H348)</f>
        <v/>
      </c>
      <c r="AX348" s="18" t="str">
        <f t="shared" si="235"/>
        <v/>
      </c>
      <c r="AY348" s="18" t="str">
        <f>IF(BD348&lt;&gt;1,"",AT348*CONTROL_PANEL!$B$14)</f>
        <v/>
      </c>
      <c r="AZ348" s="18" t="str">
        <f>IF(BD348&lt;&gt;1,"",DATA_INPUT!$M348)</f>
        <v/>
      </c>
      <c r="BA348" s="18" t="str">
        <f t="shared" si="236"/>
        <v/>
      </c>
      <c r="BB348" s="18" t="str">
        <f>IF(BD348&lt;&gt;1,"",IF(BA348-CONTROL_PANEL!$B$11&lt;0,0,BA348-CONTROL_PANEL!$B$11))</f>
        <v/>
      </c>
      <c r="BC348" s="18" t="str">
        <f>IF(BD348&lt;&gt;1,"",IF(AZ348&lt;=0,0,MIN(AZ348,MAX(0,CONTROL_PANEL!$B$13-BA348))))</f>
        <v/>
      </c>
      <c r="BD348" s="18"/>
      <c r="BF348" s="19">
        <f t="shared" si="258"/>
        <v>2044</v>
      </c>
      <c r="BG348" s="19">
        <f t="shared" si="223"/>
        <v>5</v>
      </c>
      <c r="BH348" s="18" t="str">
        <f t="shared" si="237"/>
        <v/>
      </c>
      <c r="BI348" s="18" t="str">
        <f t="shared" si="253"/>
        <v/>
      </c>
      <c r="BJ348" s="18" t="str">
        <f>IF(BW347&lt;&gt;1,"",IF(BT347&gt;0,IF(BT347&gt;CONTROL_PANEL!$B$11,CONTROL_PANEL!$B$11,BT347),0))</f>
        <v/>
      </c>
      <c r="BK348" s="18" t="str">
        <f t="shared" si="248"/>
        <v/>
      </c>
      <c r="BL348" s="18" t="str">
        <f>IF(BW348&lt;&gt;1,"",DATA_INPUT!$I348)</f>
        <v/>
      </c>
      <c r="BM348" s="18" t="str">
        <f>IF(BW348&lt;&gt;1,"",BL348*CONTROL_PANEL!$B$5)</f>
        <v/>
      </c>
      <c r="BN348" s="18" t="str">
        <f>IF(BW348&lt;&gt;1,"",DATA_INPUT!$C348)</f>
        <v/>
      </c>
      <c r="BO348" s="18" t="str">
        <f t="shared" si="238"/>
        <v/>
      </c>
      <c r="BP348" s="18" t="str">
        <f>IF(BW348&lt;&gt;1,"",DATA_INPUT!$H348)</f>
        <v/>
      </c>
      <c r="BQ348" s="18" t="str">
        <f t="shared" si="239"/>
        <v/>
      </c>
      <c r="BR348" s="18" t="str">
        <f>IF(BW348&lt;&gt;1,"",BM348*CONTROL_PANEL!$B$14)</f>
        <v/>
      </c>
      <c r="BS348" s="18" t="str">
        <f>IF(BW348&lt;&gt;1,"",DATA_INPUT!$N348)</f>
        <v/>
      </c>
      <c r="BT348" s="18" t="str">
        <f t="shared" si="240"/>
        <v/>
      </c>
      <c r="BU348" s="18" t="str">
        <f>IF(BW348&lt;&gt;1,"",IF(BT348-CONTROL_PANEL!$B$11&lt;0,0,BT348-CONTROL_PANEL!$B$11))</f>
        <v/>
      </c>
      <c r="BV348" s="18" t="str">
        <f>IF(BW348&lt;&gt;1,"",IF(BS348&lt;=0,0,MIN(BS348,MAX(0,CONTROL_PANEL!$B$13-BT348))))</f>
        <v/>
      </c>
      <c r="BW348" s="18"/>
      <c r="BY348" s="19">
        <f t="shared" si="259"/>
        <v>2044</v>
      </c>
      <c r="BZ348" s="19">
        <f t="shared" si="224"/>
        <v>5</v>
      </c>
      <c r="CA348" s="18" t="str">
        <f t="shared" si="241"/>
        <v/>
      </c>
      <c r="CB348" s="18" t="str">
        <f t="shared" si="254"/>
        <v/>
      </c>
      <c r="CC348" s="18" t="str">
        <f>IF(CP347&lt;&gt;1,"",IF(CM347&gt;0,IF(CM347&gt;CONTROL_PANEL!$B$11,CONTROL_PANEL!$B$11,CM347),0))</f>
        <v/>
      </c>
      <c r="CD348" s="18" t="str">
        <f t="shared" si="249"/>
        <v/>
      </c>
      <c r="CE348" s="18" t="str">
        <f>IF(CP348&lt;&gt;1,"",DATA_INPUT!$I348)</f>
        <v/>
      </c>
      <c r="CF348" s="18" t="str">
        <f>IF(CP348&lt;&gt;1,"",CE348*CONTROL_PANEL!$B$5)</f>
        <v/>
      </c>
      <c r="CG348" s="18" t="str">
        <f>IF(CP348&lt;&gt;1,"",DATA_INPUT!$C348)</f>
        <v/>
      </c>
      <c r="CH348" s="18" t="str">
        <f t="shared" si="242"/>
        <v/>
      </c>
      <c r="CI348" s="18" t="str">
        <f>IF(CP348&lt;&gt;1,"",DATA_INPUT!$H348)</f>
        <v/>
      </c>
      <c r="CJ348" s="18" t="str">
        <f t="shared" si="243"/>
        <v/>
      </c>
      <c r="CK348" s="18" t="str">
        <f>IF(CP348&lt;&gt;1,"",CF348*CONTROL_PANEL!$B$14)</f>
        <v/>
      </c>
      <c r="CL348" s="18" t="str">
        <f>IF(CP348&lt;&gt;1,"",DATA_INPUT!$O348)</f>
        <v/>
      </c>
      <c r="CM348" s="18" t="str">
        <f t="shared" si="244"/>
        <v/>
      </c>
      <c r="CN348" s="18" t="str">
        <f>IF(CP348&lt;&gt;1,"",IF(CM348-CONTROL_PANEL!$B$11&lt;0,0,CM348-CONTROL_PANEL!$B$11))</f>
        <v/>
      </c>
      <c r="CO348" s="18" t="str">
        <f>IF(CP348&lt;&gt;1,"",IF(CL348&lt;=0,0,MIN(CL348,MAX(0,CONTROL_PANEL!$B$13-CM348))))</f>
        <v/>
      </c>
      <c r="CP348" s="18"/>
    </row>
    <row r="349" spans="1:94" x14ac:dyDescent="0.25">
      <c r="A349" s="19">
        <f t="shared" si="255"/>
        <v>2044</v>
      </c>
      <c r="B349" s="19">
        <f t="shared" si="220"/>
        <v>6</v>
      </c>
      <c r="C349" s="18" t="str">
        <f t="shared" si="225"/>
        <v/>
      </c>
      <c r="D349" s="18" t="str">
        <f t="shared" si="250"/>
        <v/>
      </c>
      <c r="E349" s="18" t="str">
        <f>IF(R348&lt;&gt;1,"",IF(O348&gt;0,IF(O348&gt;CONTROL_PANEL!$B$11,CONTROL_PANEL!$B$11,O348),0))</f>
        <v/>
      </c>
      <c r="F349" s="18" t="str">
        <f t="shared" si="245"/>
        <v/>
      </c>
      <c r="G349" s="18" t="str">
        <f>IF(R349&lt;&gt;1,"",DATA_INPUT!I349)</f>
        <v/>
      </c>
      <c r="H349" s="18" t="str">
        <f>IF(R349&lt;&gt;1,"",G349*CONTROL_PANEL!$B$5)</f>
        <v/>
      </c>
      <c r="I349" s="18" t="str">
        <f>IF(R349&lt;&gt;1,"",DATA_INPUT!C349)</f>
        <v/>
      </c>
      <c r="J349" s="18" t="str">
        <f t="shared" si="226"/>
        <v/>
      </c>
      <c r="K349" s="18" t="str">
        <f>IF(R349&lt;&gt;1,"",DATA_INPUT!H349)</f>
        <v/>
      </c>
      <c r="L349" s="18" t="str">
        <f t="shared" si="227"/>
        <v/>
      </c>
      <c r="M349" s="18" t="str">
        <f>IF(R349&lt;&gt;1,"",H349*CONTROL_PANEL!$B$14)</f>
        <v/>
      </c>
      <c r="N349" s="18" t="str">
        <f>IF(R349&lt;&gt;1,"",DATA_INPUT!K349)</f>
        <v/>
      </c>
      <c r="O349" s="18" t="str">
        <f t="shared" si="228"/>
        <v/>
      </c>
      <c r="P349" s="18" t="str">
        <f>IF(R349&lt;&gt;1,"",IF(O349-CONTROL_PANEL!$B$11&lt;0,0,O349-CONTROL_PANEL!$B$11))</f>
        <v/>
      </c>
      <c r="Q349" s="18" t="str">
        <f>IF(R349&lt;&gt;1,"",IF(N349&lt;=0,0,MIN(N349,MAX(0,CONTROL_PANEL!$B$13-O349))))</f>
        <v/>
      </c>
      <c r="R349" s="18"/>
      <c r="T349" s="19">
        <f t="shared" si="256"/>
        <v>2044</v>
      </c>
      <c r="U349" s="19">
        <f t="shared" si="221"/>
        <v>6</v>
      </c>
      <c r="V349" s="18" t="str">
        <f t="shared" si="229"/>
        <v/>
      </c>
      <c r="W349" s="18" t="str">
        <f t="shared" si="251"/>
        <v/>
      </c>
      <c r="X349" s="18" t="str">
        <f>IF(AK348&lt;&gt;1,"",IF(AH348&gt;0,IF(AH348&gt;CONTROL_PANEL!$B$11,CONTROL_PANEL!$B$11,AH348),0))</f>
        <v/>
      </c>
      <c r="Y349" s="18" t="str">
        <f t="shared" si="246"/>
        <v/>
      </c>
      <c r="Z349" s="18" t="str">
        <f>IF(AK349&lt;&gt;1,"",DATA_INPUT!I349)</f>
        <v/>
      </c>
      <c r="AA349" s="18" t="str">
        <f>IF(AK349&lt;&gt;1,"",Z349*CONTROL_PANEL!$B$5)</f>
        <v/>
      </c>
      <c r="AB349" s="18" t="str">
        <f>IF(AK349&lt;&gt;1,"",DATA_INPUT!$C349)</f>
        <v/>
      </c>
      <c r="AC349" s="18" t="str">
        <f t="shared" si="230"/>
        <v/>
      </c>
      <c r="AD349" s="18" t="str">
        <f>IF(AK349&lt;&gt;1,"",DATA_INPUT!$H349)</f>
        <v/>
      </c>
      <c r="AE349" s="18" t="str">
        <f t="shared" si="231"/>
        <v/>
      </c>
      <c r="AF349" s="18" t="str">
        <f>IF(AK349&lt;&gt;1,"",AA349*CONTROL_PANEL!$B$14)</f>
        <v/>
      </c>
      <c r="AG349" s="18" t="str">
        <f>IF(AK349&lt;&gt;1,"",DATA_INPUT!$L349)</f>
        <v/>
      </c>
      <c r="AH349" s="18" t="str">
        <f t="shared" si="232"/>
        <v/>
      </c>
      <c r="AI349" s="18" t="str">
        <f>IF(AK349&lt;&gt;1,"",IF(AH349-CONTROL_PANEL!$B$11&lt;0,0,AH349-CONTROL_PANEL!$B$11))</f>
        <v/>
      </c>
      <c r="AJ349" s="18" t="str">
        <f>IF(AK349&lt;&gt;1,"",IF(AG349&lt;=0,0,MIN(AG349,MAX(0,CONTROL_PANEL!$B$13-AH349))))</f>
        <v/>
      </c>
      <c r="AK349" s="18"/>
      <c r="AM349" s="19">
        <f t="shared" si="257"/>
        <v>2044</v>
      </c>
      <c r="AN349" s="19">
        <f t="shared" si="222"/>
        <v>6</v>
      </c>
      <c r="AO349" s="18" t="str">
        <f t="shared" si="233"/>
        <v/>
      </c>
      <c r="AP349" s="18" t="str">
        <f t="shared" si="252"/>
        <v/>
      </c>
      <c r="AQ349" s="18" t="str">
        <f>IF(BD348&lt;&gt;1,"",IF(BA348&gt;0,IF(BA348&gt;CONTROL_PANEL!$B$11,CONTROL_PANEL!$B$11,BA348),0))</f>
        <v/>
      </c>
      <c r="AR349" s="18" t="str">
        <f t="shared" si="247"/>
        <v/>
      </c>
      <c r="AS349" s="18" t="str">
        <f>IF(BD349&lt;&gt;1,"",DATA_INPUT!$I349)</f>
        <v/>
      </c>
      <c r="AT349" s="18" t="str">
        <f>IF(BD349&lt;&gt;1,"",AS349*CONTROL_PANEL!$B$5)</f>
        <v/>
      </c>
      <c r="AU349" s="18" t="str">
        <f>IF(BD349&lt;&gt;1,"",DATA_INPUT!$C349)</f>
        <v/>
      </c>
      <c r="AV349" s="18" t="str">
        <f t="shared" si="234"/>
        <v/>
      </c>
      <c r="AW349" s="18" t="str">
        <f>IF(BD349&lt;&gt;1,"",DATA_INPUT!$H349)</f>
        <v/>
      </c>
      <c r="AX349" s="18" t="str">
        <f t="shared" si="235"/>
        <v/>
      </c>
      <c r="AY349" s="18" t="str">
        <f>IF(BD349&lt;&gt;1,"",AT349*CONTROL_PANEL!$B$14)</f>
        <v/>
      </c>
      <c r="AZ349" s="18" t="str">
        <f>IF(BD349&lt;&gt;1,"",DATA_INPUT!$M349)</f>
        <v/>
      </c>
      <c r="BA349" s="18" t="str">
        <f t="shared" si="236"/>
        <v/>
      </c>
      <c r="BB349" s="18" t="str">
        <f>IF(BD349&lt;&gt;1,"",IF(BA349-CONTROL_PANEL!$B$11&lt;0,0,BA349-CONTROL_PANEL!$B$11))</f>
        <v/>
      </c>
      <c r="BC349" s="18" t="str">
        <f>IF(BD349&lt;&gt;1,"",IF(AZ349&lt;=0,0,MIN(AZ349,MAX(0,CONTROL_PANEL!$B$13-BA349))))</f>
        <v/>
      </c>
      <c r="BD349" s="18"/>
      <c r="BF349" s="19">
        <f t="shared" si="258"/>
        <v>2044</v>
      </c>
      <c r="BG349" s="19">
        <f t="shared" si="223"/>
        <v>6</v>
      </c>
      <c r="BH349" s="18" t="str">
        <f t="shared" si="237"/>
        <v/>
      </c>
      <c r="BI349" s="18" t="str">
        <f t="shared" si="253"/>
        <v/>
      </c>
      <c r="BJ349" s="18" t="str">
        <f>IF(BW348&lt;&gt;1,"",IF(BT348&gt;0,IF(BT348&gt;CONTROL_PANEL!$B$11,CONTROL_PANEL!$B$11,BT348),0))</f>
        <v/>
      </c>
      <c r="BK349" s="18" t="str">
        <f t="shared" si="248"/>
        <v/>
      </c>
      <c r="BL349" s="18" t="str">
        <f>IF(BW349&lt;&gt;1,"",DATA_INPUT!$I349)</f>
        <v/>
      </c>
      <c r="BM349" s="18" t="str">
        <f>IF(BW349&lt;&gt;1,"",BL349*CONTROL_PANEL!$B$5)</f>
        <v/>
      </c>
      <c r="BN349" s="18" t="str">
        <f>IF(BW349&lt;&gt;1,"",DATA_INPUT!$C349)</f>
        <v/>
      </c>
      <c r="BO349" s="18" t="str">
        <f t="shared" si="238"/>
        <v/>
      </c>
      <c r="BP349" s="18" t="str">
        <f>IF(BW349&lt;&gt;1,"",DATA_INPUT!$H349)</f>
        <v/>
      </c>
      <c r="BQ349" s="18" t="str">
        <f t="shared" si="239"/>
        <v/>
      </c>
      <c r="BR349" s="18" t="str">
        <f>IF(BW349&lt;&gt;1,"",BM349*CONTROL_PANEL!$B$14)</f>
        <v/>
      </c>
      <c r="BS349" s="18" t="str">
        <f>IF(BW349&lt;&gt;1,"",DATA_INPUT!$N349)</f>
        <v/>
      </c>
      <c r="BT349" s="18" t="str">
        <f t="shared" si="240"/>
        <v/>
      </c>
      <c r="BU349" s="18" t="str">
        <f>IF(BW349&lt;&gt;1,"",IF(BT349-CONTROL_PANEL!$B$11&lt;0,0,BT349-CONTROL_PANEL!$B$11))</f>
        <v/>
      </c>
      <c r="BV349" s="18" t="str">
        <f>IF(BW349&lt;&gt;1,"",IF(BS349&lt;=0,0,MIN(BS349,MAX(0,CONTROL_PANEL!$B$13-BT349))))</f>
        <v/>
      </c>
      <c r="BW349" s="18"/>
      <c r="BY349" s="19">
        <f t="shared" si="259"/>
        <v>2044</v>
      </c>
      <c r="BZ349" s="19">
        <f t="shared" si="224"/>
        <v>6</v>
      </c>
      <c r="CA349" s="18" t="str">
        <f t="shared" si="241"/>
        <v/>
      </c>
      <c r="CB349" s="18" t="str">
        <f t="shared" si="254"/>
        <v/>
      </c>
      <c r="CC349" s="18" t="str">
        <f>IF(CP348&lt;&gt;1,"",IF(CM348&gt;0,IF(CM348&gt;CONTROL_PANEL!$B$11,CONTROL_PANEL!$B$11,CM348),0))</f>
        <v/>
      </c>
      <c r="CD349" s="18" t="str">
        <f t="shared" si="249"/>
        <v/>
      </c>
      <c r="CE349" s="18" t="str">
        <f>IF(CP349&lt;&gt;1,"",DATA_INPUT!$I349)</f>
        <v/>
      </c>
      <c r="CF349" s="18" t="str">
        <f>IF(CP349&lt;&gt;1,"",CE349*CONTROL_PANEL!$B$5)</f>
        <v/>
      </c>
      <c r="CG349" s="18" t="str">
        <f>IF(CP349&lt;&gt;1,"",DATA_INPUT!$C349)</f>
        <v/>
      </c>
      <c r="CH349" s="18" t="str">
        <f t="shared" si="242"/>
        <v/>
      </c>
      <c r="CI349" s="18" t="str">
        <f>IF(CP349&lt;&gt;1,"",DATA_INPUT!$H349)</f>
        <v/>
      </c>
      <c r="CJ349" s="18" t="str">
        <f t="shared" si="243"/>
        <v/>
      </c>
      <c r="CK349" s="18" t="str">
        <f>IF(CP349&lt;&gt;1,"",CF349*CONTROL_PANEL!$B$14)</f>
        <v/>
      </c>
      <c r="CL349" s="18" t="str">
        <f>IF(CP349&lt;&gt;1,"",DATA_INPUT!$O349)</f>
        <v/>
      </c>
      <c r="CM349" s="18" t="str">
        <f t="shared" si="244"/>
        <v/>
      </c>
      <c r="CN349" s="18" t="str">
        <f>IF(CP349&lt;&gt;1,"",IF(CM349-CONTROL_PANEL!$B$11&lt;0,0,CM349-CONTROL_PANEL!$B$11))</f>
        <v/>
      </c>
      <c r="CO349" s="18" t="str">
        <f>IF(CP349&lt;&gt;1,"",IF(CL349&lt;=0,0,MIN(CL349,MAX(0,CONTROL_PANEL!$B$13-CM349))))</f>
        <v/>
      </c>
      <c r="CP349" s="18"/>
    </row>
    <row r="350" spans="1:94" x14ac:dyDescent="0.25">
      <c r="A350" s="19">
        <f t="shared" si="255"/>
        <v>2044</v>
      </c>
      <c r="B350" s="19">
        <f t="shared" si="220"/>
        <v>7</v>
      </c>
      <c r="C350" s="18" t="str">
        <f t="shared" si="225"/>
        <v/>
      </c>
      <c r="D350" s="18" t="str">
        <f t="shared" si="250"/>
        <v/>
      </c>
      <c r="E350" s="18" t="str">
        <f>IF(R349&lt;&gt;1,"",IF(O349&gt;0,IF(O349&gt;CONTROL_PANEL!$B$11,CONTROL_PANEL!$B$11,O349),0))</f>
        <v/>
      </c>
      <c r="F350" s="18" t="str">
        <f t="shared" si="245"/>
        <v/>
      </c>
      <c r="G350" s="18" t="str">
        <f>IF(R350&lt;&gt;1,"",DATA_INPUT!I350)</f>
        <v/>
      </c>
      <c r="H350" s="18" t="str">
        <f>IF(R350&lt;&gt;1,"",G350*CONTROL_PANEL!$B$5)</f>
        <v/>
      </c>
      <c r="I350" s="18" t="str">
        <f>IF(R350&lt;&gt;1,"",DATA_INPUT!C350)</f>
        <v/>
      </c>
      <c r="J350" s="18" t="str">
        <f t="shared" si="226"/>
        <v/>
      </c>
      <c r="K350" s="18" t="str">
        <f>IF(R350&lt;&gt;1,"",DATA_INPUT!H350)</f>
        <v/>
      </c>
      <c r="L350" s="18" t="str">
        <f t="shared" si="227"/>
        <v/>
      </c>
      <c r="M350" s="18" t="str">
        <f>IF(R350&lt;&gt;1,"",H350*CONTROL_PANEL!$B$14)</f>
        <v/>
      </c>
      <c r="N350" s="18" t="str">
        <f>IF(R350&lt;&gt;1,"",DATA_INPUT!K350)</f>
        <v/>
      </c>
      <c r="O350" s="18" t="str">
        <f t="shared" si="228"/>
        <v/>
      </c>
      <c r="P350" s="18" t="str">
        <f>IF(R350&lt;&gt;1,"",IF(O350-CONTROL_PANEL!$B$11&lt;0,0,O350-CONTROL_PANEL!$B$11))</f>
        <v/>
      </c>
      <c r="Q350" s="18" t="str">
        <f>IF(R350&lt;&gt;1,"",IF(N350&lt;=0,0,MIN(N350,MAX(0,CONTROL_PANEL!$B$13-O350))))</f>
        <v/>
      </c>
      <c r="R350" s="18"/>
      <c r="T350" s="19">
        <f t="shared" si="256"/>
        <v>2044</v>
      </c>
      <c r="U350" s="19">
        <f t="shared" si="221"/>
        <v>7</v>
      </c>
      <c r="V350" s="18" t="str">
        <f t="shared" si="229"/>
        <v/>
      </c>
      <c r="W350" s="18" t="str">
        <f t="shared" si="251"/>
        <v/>
      </c>
      <c r="X350" s="18" t="str">
        <f>IF(AK349&lt;&gt;1,"",IF(AH349&gt;0,IF(AH349&gt;CONTROL_PANEL!$B$11,CONTROL_PANEL!$B$11,AH349),0))</f>
        <v/>
      </c>
      <c r="Y350" s="18" t="str">
        <f t="shared" si="246"/>
        <v/>
      </c>
      <c r="Z350" s="18" t="str">
        <f>IF(AK350&lt;&gt;1,"",DATA_INPUT!I350)</f>
        <v/>
      </c>
      <c r="AA350" s="18" t="str">
        <f>IF(AK350&lt;&gt;1,"",Z350*CONTROL_PANEL!$B$5)</f>
        <v/>
      </c>
      <c r="AB350" s="18" t="str">
        <f>IF(AK350&lt;&gt;1,"",DATA_INPUT!$C350)</f>
        <v/>
      </c>
      <c r="AC350" s="18" t="str">
        <f t="shared" si="230"/>
        <v/>
      </c>
      <c r="AD350" s="18" t="str">
        <f>IF(AK350&lt;&gt;1,"",DATA_INPUT!$H350)</f>
        <v/>
      </c>
      <c r="AE350" s="18" t="str">
        <f t="shared" si="231"/>
        <v/>
      </c>
      <c r="AF350" s="18" t="str">
        <f>IF(AK350&lt;&gt;1,"",AA350*CONTROL_PANEL!$B$14)</f>
        <v/>
      </c>
      <c r="AG350" s="18" t="str">
        <f>IF(AK350&lt;&gt;1,"",DATA_INPUT!$L350)</f>
        <v/>
      </c>
      <c r="AH350" s="18" t="str">
        <f t="shared" si="232"/>
        <v/>
      </c>
      <c r="AI350" s="18" t="str">
        <f>IF(AK350&lt;&gt;1,"",IF(AH350-CONTROL_PANEL!$B$11&lt;0,0,AH350-CONTROL_PANEL!$B$11))</f>
        <v/>
      </c>
      <c r="AJ350" s="18" t="str">
        <f>IF(AK350&lt;&gt;1,"",IF(AG350&lt;=0,0,MIN(AG350,MAX(0,CONTROL_PANEL!$B$13-AH350))))</f>
        <v/>
      </c>
      <c r="AK350" s="18"/>
      <c r="AM350" s="19">
        <f t="shared" si="257"/>
        <v>2044</v>
      </c>
      <c r="AN350" s="19">
        <f t="shared" si="222"/>
        <v>7</v>
      </c>
      <c r="AO350" s="18" t="str">
        <f t="shared" si="233"/>
        <v/>
      </c>
      <c r="AP350" s="18" t="str">
        <f t="shared" si="252"/>
        <v/>
      </c>
      <c r="AQ350" s="18" t="str">
        <f>IF(BD349&lt;&gt;1,"",IF(BA349&gt;0,IF(BA349&gt;CONTROL_PANEL!$B$11,CONTROL_PANEL!$B$11,BA349),0))</f>
        <v/>
      </c>
      <c r="AR350" s="18" t="str">
        <f t="shared" si="247"/>
        <v/>
      </c>
      <c r="AS350" s="18" t="str">
        <f>IF(BD350&lt;&gt;1,"",DATA_INPUT!$I350)</f>
        <v/>
      </c>
      <c r="AT350" s="18" t="str">
        <f>IF(BD350&lt;&gt;1,"",AS350*CONTROL_PANEL!$B$5)</f>
        <v/>
      </c>
      <c r="AU350" s="18" t="str">
        <f>IF(BD350&lt;&gt;1,"",DATA_INPUT!$C350)</f>
        <v/>
      </c>
      <c r="AV350" s="18" t="str">
        <f t="shared" si="234"/>
        <v/>
      </c>
      <c r="AW350" s="18" t="str">
        <f>IF(BD350&lt;&gt;1,"",DATA_INPUT!$H350)</f>
        <v/>
      </c>
      <c r="AX350" s="18" t="str">
        <f t="shared" si="235"/>
        <v/>
      </c>
      <c r="AY350" s="18" t="str">
        <f>IF(BD350&lt;&gt;1,"",AT350*CONTROL_PANEL!$B$14)</f>
        <v/>
      </c>
      <c r="AZ350" s="18" t="str">
        <f>IF(BD350&lt;&gt;1,"",DATA_INPUT!$M350)</f>
        <v/>
      </c>
      <c r="BA350" s="18" t="str">
        <f t="shared" si="236"/>
        <v/>
      </c>
      <c r="BB350" s="18" t="str">
        <f>IF(BD350&lt;&gt;1,"",IF(BA350-CONTROL_PANEL!$B$11&lt;0,0,BA350-CONTROL_PANEL!$B$11))</f>
        <v/>
      </c>
      <c r="BC350" s="18" t="str">
        <f>IF(BD350&lt;&gt;1,"",IF(AZ350&lt;=0,0,MIN(AZ350,MAX(0,CONTROL_PANEL!$B$13-BA350))))</f>
        <v/>
      </c>
      <c r="BD350" s="18"/>
      <c r="BF350" s="19">
        <f t="shared" si="258"/>
        <v>2044</v>
      </c>
      <c r="BG350" s="19">
        <f t="shared" si="223"/>
        <v>7</v>
      </c>
      <c r="BH350" s="18" t="str">
        <f t="shared" si="237"/>
        <v/>
      </c>
      <c r="BI350" s="18" t="str">
        <f t="shared" si="253"/>
        <v/>
      </c>
      <c r="BJ350" s="18" t="str">
        <f>IF(BW349&lt;&gt;1,"",IF(BT349&gt;0,IF(BT349&gt;CONTROL_PANEL!$B$11,CONTROL_PANEL!$B$11,BT349),0))</f>
        <v/>
      </c>
      <c r="BK350" s="18" t="str">
        <f t="shared" si="248"/>
        <v/>
      </c>
      <c r="BL350" s="18" t="str">
        <f>IF(BW350&lt;&gt;1,"",DATA_INPUT!$I350)</f>
        <v/>
      </c>
      <c r="BM350" s="18" t="str">
        <f>IF(BW350&lt;&gt;1,"",BL350*CONTROL_PANEL!$B$5)</f>
        <v/>
      </c>
      <c r="BN350" s="18" t="str">
        <f>IF(BW350&lt;&gt;1,"",DATA_INPUT!$C350)</f>
        <v/>
      </c>
      <c r="BO350" s="18" t="str">
        <f t="shared" si="238"/>
        <v/>
      </c>
      <c r="BP350" s="18" t="str">
        <f>IF(BW350&lt;&gt;1,"",DATA_INPUT!$H350)</f>
        <v/>
      </c>
      <c r="BQ350" s="18" t="str">
        <f t="shared" si="239"/>
        <v/>
      </c>
      <c r="BR350" s="18" t="str">
        <f>IF(BW350&lt;&gt;1,"",BM350*CONTROL_PANEL!$B$14)</f>
        <v/>
      </c>
      <c r="BS350" s="18" t="str">
        <f>IF(BW350&lt;&gt;1,"",DATA_INPUT!$N350)</f>
        <v/>
      </c>
      <c r="BT350" s="18" t="str">
        <f t="shared" si="240"/>
        <v/>
      </c>
      <c r="BU350" s="18" t="str">
        <f>IF(BW350&lt;&gt;1,"",IF(BT350-CONTROL_PANEL!$B$11&lt;0,0,BT350-CONTROL_PANEL!$B$11))</f>
        <v/>
      </c>
      <c r="BV350" s="18" t="str">
        <f>IF(BW350&lt;&gt;1,"",IF(BS350&lt;=0,0,MIN(BS350,MAX(0,CONTROL_PANEL!$B$13-BT350))))</f>
        <v/>
      </c>
      <c r="BW350" s="18"/>
      <c r="BY350" s="19">
        <f t="shared" si="259"/>
        <v>2044</v>
      </c>
      <c r="BZ350" s="19">
        <f t="shared" si="224"/>
        <v>7</v>
      </c>
      <c r="CA350" s="18" t="str">
        <f t="shared" si="241"/>
        <v/>
      </c>
      <c r="CB350" s="18" t="str">
        <f t="shared" si="254"/>
        <v/>
      </c>
      <c r="CC350" s="18" t="str">
        <f>IF(CP349&lt;&gt;1,"",IF(CM349&gt;0,IF(CM349&gt;CONTROL_PANEL!$B$11,CONTROL_PANEL!$B$11,CM349),0))</f>
        <v/>
      </c>
      <c r="CD350" s="18" t="str">
        <f t="shared" si="249"/>
        <v/>
      </c>
      <c r="CE350" s="18" t="str">
        <f>IF(CP350&lt;&gt;1,"",DATA_INPUT!$I350)</f>
        <v/>
      </c>
      <c r="CF350" s="18" t="str">
        <f>IF(CP350&lt;&gt;1,"",CE350*CONTROL_PANEL!$B$5)</f>
        <v/>
      </c>
      <c r="CG350" s="18" t="str">
        <f>IF(CP350&lt;&gt;1,"",DATA_INPUT!$C350)</f>
        <v/>
      </c>
      <c r="CH350" s="18" t="str">
        <f t="shared" si="242"/>
        <v/>
      </c>
      <c r="CI350" s="18" t="str">
        <f>IF(CP350&lt;&gt;1,"",DATA_INPUT!$H350)</f>
        <v/>
      </c>
      <c r="CJ350" s="18" t="str">
        <f t="shared" si="243"/>
        <v/>
      </c>
      <c r="CK350" s="18" t="str">
        <f>IF(CP350&lt;&gt;1,"",CF350*CONTROL_PANEL!$B$14)</f>
        <v/>
      </c>
      <c r="CL350" s="18" t="str">
        <f>IF(CP350&lt;&gt;1,"",DATA_INPUT!$O350)</f>
        <v/>
      </c>
      <c r="CM350" s="18" t="str">
        <f t="shared" si="244"/>
        <v/>
      </c>
      <c r="CN350" s="18" t="str">
        <f>IF(CP350&lt;&gt;1,"",IF(CM350-CONTROL_PANEL!$B$11&lt;0,0,CM350-CONTROL_PANEL!$B$11))</f>
        <v/>
      </c>
      <c r="CO350" s="18" t="str">
        <f>IF(CP350&lt;&gt;1,"",IF(CL350&lt;=0,0,MIN(CL350,MAX(0,CONTROL_PANEL!$B$13-CM350))))</f>
        <v/>
      </c>
      <c r="CP350" s="18"/>
    </row>
    <row r="351" spans="1:94" x14ac:dyDescent="0.25">
      <c r="A351" s="19">
        <f t="shared" si="255"/>
        <v>2044</v>
      </c>
      <c r="B351" s="19">
        <f t="shared" si="220"/>
        <v>8</v>
      </c>
      <c r="C351" s="18" t="str">
        <f t="shared" si="225"/>
        <v/>
      </c>
      <c r="D351" s="18" t="str">
        <f t="shared" si="250"/>
        <v/>
      </c>
      <c r="E351" s="18" t="str">
        <f>IF(R350&lt;&gt;1,"",IF(O350&gt;0,IF(O350&gt;CONTROL_PANEL!$B$11,CONTROL_PANEL!$B$11,O350),0))</f>
        <v/>
      </c>
      <c r="F351" s="18" t="str">
        <f t="shared" si="245"/>
        <v/>
      </c>
      <c r="G351" s="18" t="str">
        <f>IF(R351&lt;&gt;1,"",DATA_INPUT!I351)</f>
        <v/>
      </c>
      <c r="H351" s="18" t="str">
        <f>IF(R351&lt;&gt;1,"",G351*CONTROL_PANEL!$B$5)</f>
        <v/>
      </c>
      <c r="I351" s="18" t="str">
        <f>IF(R351&lt;&gt;1,"",DATA_INPUT!C351)</f>
        <v/>
      </c>
      <c r="J351" s="18" t="str">
        <f t="shared" si="226"/>
        <v/>
      </c>
      <c r="K351" s="18" t="str">
        <f>IF(R351&lt;&gt;1,"",DATA_INPUT!H351)</f>
        <v/>
      </c>
      <c r="L351" s="18" t="str">
        <f t="shared" si="227"/>
        <v/>
      </c>
      <c r="M351" s="18" t="str">
        <f>IF(R351&lt;&gt;1,"",H351*CONTROL_PANEL!$B$14)</f>
        <v/>
      </c>
      <c r="N351" s="18" t="str">
        <f>IF(R351&lt;&gt;1,"",DATA_INPUT!K351)</f>
        <v/>
      </c>
      <c r="O351" s="18" t="str">
        <f t="shared" si="228"/>
        <v/>
      </c>
      <c r="P351" s="18" t="str">
        <f>IF(R351&lt;&gt;1,"",IF(O351-CONTROL_PANEL!$B$11&lt;0,0,O351-CONTROL_PANEL!$B$11))</f>
        <v/>
      </c>
      <c r="Q351" s="18" t="str">
        <f>IF(R351&lt;&gt;1,"",IF(N351&lt;=0,0,MIN(N351,MAX(0,CONTROL_PANEL!$B$13-O351))))</f>
        <v/>
      </c>
      <c r="R351" s="18"/>
      <c r="T351" s="19">
        <f t="shared" si="256"/>
        <v>2044</v>
      </c>
      <c r="U351" s="19">
        <f t="shared" si="221"/>
        <v>8</v>
      </c>
      <c r="V351" s="18" t="str">
        <f t="shared" si="229"/>
        <v/>
      </c>
      <c r="W351" s="18" t="str">
        <f t="shared" si="251"/>
        <v/>
      </c>
      <c r="X351" s="18" t="str">
        <f>IF(AK350&lt;&gt;1,"",IF(AH350&gt;0,IF(AH350&gt;CONTROL_PANEL!$B$11,CONTROL_PANEL!$B$11,AH350),0))</f>
        <v/>
      </c>
      <c r="Y351" s="18" t="str">
        <f t="shared" si="246"/>
        <v/>
      </c>
      <c r="Z351" s="18" t="str">
        <f>IF(AK351&lt;&gt;1,"",DATA_INPUT!I351)</f>
        <v/>
      </c>
      <c r="AA351" s="18" t="str">
        <f>IF(AK351&lt;&gt;1,"",Z351*CONTROL_PANEL!$B$5)</f>
        <v/>
      </c>
      <c r="AB351" s="18" t="str">
        <f>IF(AK351&lt;&gt;1,"",DATA_INPUT!$C351)</f>
        <v/>
      </c>
      <c r="AC351" s="18" t="str">
        <f t="shared" si="230"/>
        <v/>
      </c>
      <c r="AD351" s="18" t="str">
        <f>IF(AK351&lt;&gt;1,"",DATA_INPUT!$H351)</f>
        <v/>
      </c>
      <c r="AE351" s="18" t="str">
        <f t="shared" si="231"/>
        <v/>
      </c>
      <c r="AF351" s="18" t="str">
        <f>IF(AK351&lt;&gt;1,"",AA351*CONTROL_PANEL!$B$14)</f>
        <v/>
      </c>
      <c r="AG351" s="18" t="str">
        <f>IF(AK351&lt;&gt;1,"",DATA_INPUT!$L351)</f>
        <v/>
      </c>
      <c r="AH351" s="18" t="str">
        <f t="shared" si="232"/>
        <v/>
      </c>
      <c r="AI351" s="18" t="str">
        <f>IF(AK351&lt;&gt;1,"",IF(AH351-CONTROL_PANEL!$B$11&lt;0,0,AH351-CONTROL_PANEL!$B$11))</f>
        <v/>
      </c>
      <c r="AJ351" s="18" t="str">
        <f>IF(AK351&lt;&gt;1,"",IF(AG351&lt;=0,0,MIN(AG351,MAX(0,CONTROL_PANEL!$B$13-AH351))))</f>
        <v/>
      </c>
      <c r="AK351" s="18"/>
      <c r="AM351" s="19">
        <f t="shared" si="257"/>
        <v>2044</v>
      </c>
      <c r="AN351" s="19">
        <f t="shared" si="222"/>
        <v>8</v>
      </c>
      <c r="AO351" s="18" t="str">
        <f t="shared" si="233"/>
        <v/>
      </c>
      <c r="AP351" s="18" t="str">
        <f t="shared" si="252"/>
        <v/>
      </c>
      <c r="AQ351" s="18" t="str">
        <f>IF(BD350&lt;&gt;1,"",IF(BA350&gt;0,IF(BA350&gt;CONTROL_PANEL!$B$11,CONTROL_PANEL!$B$11,BA350),0))</f>
        <v/>
      </c>
      <c r="AR351" s="18" t="str">
        <f t="shared" si="247"/>
        <v/>
      </c>
      <c r="AS351" s="18" t="str">
        <f>IF(BD351&lt;&gt;1,"",DATA_INPUT!$I351)</f>
        <v/>
      </c>
      <c r="AT351" s="18" t="str">
        <f>IF(BD351&lt;&gt;1,"",AS351*CONTROL_PANEL!$B$5)</f>
        <v/>
      </c>
      <c r="AU351" s="18" t="str">
        <f>IF(BD351&lt;&gt;1,"",DATA_INPUT!$C351)</f>
        <v/>
      </c>
      <c r="AV351" s="18" t="str">
        <f t="shared" si="234"/>
        <v/>
      </c>
      <c r="AW351" s="18" t="str">
        <f>IF(BD351&lt;&gt;1,"",DATA_INPUT!$H351)</f>
        <v/>
      </c>
      <c r="AX351" s="18" t="str">
        <f t="shared" si="235"/>
        <v/>
      </c>
      <c r="AY351" s="18" t="str">
        <f>IF(BD351&lt;&gt;1,"",AT351*CONTROL_PANEL!$B$14)</f>
        <v/>
      </c>
      <c r="AZ351" s="18" t="str">
        <f>IF(BD351&lt;&gt;1,"",DATA_INPUT!$M351)</f>
        <v/>
      </c>
      <c r="BA351" s="18" t="str">
        <f t="shared" si="236"/>
        <v/>
      </c>
      <c r="BB351" s="18" t="str">
        <f>IF(BD351&lt;&gt;1,"",IF(BA351-CONTROL_PANEL!$B$11&lt;0,0,BA351-CONTROL_PANEL!$B$11))</f>
        <v/>
      </c>
      <c r="BC351" s="18" t="str">
        <f>IF(BD351&lt;&gt;1,"",IF(AZ351&lt;=0,0,MIN(AZ351,MAX(0,CONTROL_PANEL!$B$13-BA351))))</f>
        <v/>
      </c>
      <c r="BD351" s="18"/>
      <c r="BF351" s="19">
        <f t="shared" si="258"/>
        <v>2044</v>
      </c>
      <c r="BG351" s="19">
        <f t="shared" si="223"/>
        <v>8</v>
      </c>
      <c r="BH351" s="18" t="str">
        <f t="shared" si="237"/>
        <v/>
      </c>
      <c r="BI351" s="18" t="str">
        <f t="shared" si="253"/>
        <v/>
      </c>
      <c r="BJ351" s="18" t="str">
        <f>IF(BW350&lt;&gt;1,"",IF(BT350&gt;0,IF(BT350&gt;CONTROL_PANEL!$B$11,CONTROL_PANEL!$B$11,BT350),0))</f>
        <v/>
      </c>
      <c r="BK351" s="18" t="str">
        <f t="shared" si="248"/>
        <v/>
      </c>
      <c r="BL351" s="18" t="str">
        <f>IF(BW351&lt;&gt;1,"",DATA_INPUT!$I351)</f>
        <v/>
      </c>
      <c r="BM351" s="18" t="str">
        <f>IF(BW351&lt;&gt;1,"",BL351*CONTROL_PANEL!$B$5)</f>
        <v/>
      </c>
      <c r="BN351" s="18" t="str">
        <f>IF(BW351&lt;&gt;1,"",DATA_INPUT!$C351)</f>
        <v/>
      </c>
      <c r="BO351" s="18" t="str">
        <f t="shared" si="238"/>
        <v/>
      </c>
      <c r="BP351" s="18" t="str">
        <f>IF(BW351&lt;&gt;1,"",DATA_INPUT!$H351)</f>
        <v/>
      </c>
      <c r="BQ351" s="18" t="str">
        <f t="shared" si="239"/>
        <v/>
      </c>
      <c r="BR351" s="18" t="str">
        <f>IF(BW351&lt;&gt;1,"",BM351*CONTROL_PANEL!$B$14)</f>
        <v/>
      </c>
      <c r="BS351" s="18" t="str">
        <f>IF(BW351&lt;&gt;1,"",DATA_INPUT!$N351)</f>
        <v/>
      </c>
      <c r="BT351" s="18" t="str">
        <f t="shared" si="240"/>
        <v/>
      </c>
      <c r="BU351" s="18" t="str">
        <f>IF(BW351&lt;&gt;1,"",IF(BT351-CONTROL_PANEL!$B$11&lt;0,0,BT351-CONTROL_PANEL!$B$11))</f>
        <v/>
      </c>
      <c r="BV351" s="18" t="str">
        <f>IF(BW351&lt;&gt;1,"",IF(BS351&lt;=0,0,MIN(BS351,MAX(0,CONTROL_PANEL!$B$13-BT351))))</f>
        <v/>
      </c>
      <c r="BW351" s="18"/>
      <c r="BY351" s="19">
        <f t="shared" si="259"/>
        <v>2044</v>
      </c>
      <c r="BZ351" s="19">
        <f t="shared" si="224"/>
        <v>8</v>
      </c>
      <c r="CA351" s="18" t="str">
        <f t="shared" si="241"/>
        <v/>
      </c>
      <c r="CB351" s="18" t="str">
        <f t="shared" si="254"/>
        <v/>
      </c>
      <c r="CC351" s="18" t="str">
        <f>IF(CP350&lt;&gt;1,"",IF(CM350&gt;0,IF(CM350&gt;CONTROL_PANEL!$B$11,CONTROL_PANEL!$B$11,CM350),0))</f>
        <v/>
      </c>
      <c r="CD351" s="18" t="str">
        <f t="shared" si="249"/>
        <v/>
      </c>
      <c r="CE351" s="18" t="str">
        <f>IF(CP351&lt;&gt;1,"",DATA_INPUT!$I351)</f>
        <v/>
      </c>
      <c r="CF351" s="18" t="str">
        <f>IF(CP351&lt;&gt;1,"",CE351*CONTROL_PANEL!$B$5)</f>
        <v/>
      </c>
      <c r="CG351" s="18" t="str">
        <f>IF(CP351&lt;&gt;1,"",DATA_INPUT!$C351)</f>
        <v/>
      </c>
      <c r="CH351" s="18" t="str">
        <f t="shared" si="242"/>
        <v/>
      </c>
      <c r="CI351" s="18" t="str">
        <f>IF(CP351&lt;&gt;1,"",DATA_INPUT!$H351)</f>
        <v/>
      </c>
      <c r="CJ351" s="18" t="str">
        <f t="shared" si="243"/>
        <v/>
      </c>
      <c r="CK351" s="18" t="str">
        <f>IF(CP351&lt;&gt;1,"",CF351*CONTROL_PANEL!$B$14)</f>
        <v/>
      </c>
      <c r="CL351" s="18" t="str">
        <f>IF(CP351&lt;&gt;1,"",DATA_INPUT!$O351)</f>
        <v/>
      </c>
      <c r="CM351" s="18" t="str">
        <f t="shared" si="244"/>
        <v/>
      </c>
      <c r="CN351" s="18" t="str">
        <f>IF(CP351&lt;&gt;1,"",IF(CM351-CONTROL_PANEL!$B$11&lt;0,0,CM351-CONTROL_PANEL!$B$11))</f>
        <v/>
      </c>
      <c r="CO351" s="18" t="str">
        <f>IF(CP351&lt;&gt;1,"",IF(CL351&lt;=0,0,MIN(CL351,MAX(0,CONTROL_PANEL!$B$13-CM351))))</f>
        <v/>
      </c>
      <c r="CP351" s="18"/>
    </row>
    <row r="352" spans="1:94" x14ac:dyDescent="0.25">
      <c r="A352" s="19">
        <f t="shared" si="255"/>
        <v>2044</v>
      </c>
      <c r="B352" s="19">
        <f t="shared" si="220"/>
        <v>9</v>
      </c>
      <c r="C352" s="18" t="str">
        <f t="shared" si="225"/>
        <v/>
      </c>
      <c r="D352" s="18" t="str">
        <f t="shared" si="250"/>
        <v/>
      </c>
      <c r="E352" s="18" t="str">
        <f>IF(R351&lt;&gt;1,"",IF(O351&gt;0,IF(O351&gt;CONTROL_PANEL!$B$11,CONTROL_PANEL!$B$11,O351),0))</f>
        <v/>
      </c>
      <c r="F352" s="18" t="str">
        <f t="shared" si="245"/>
        <v/>
      </c>
      <c r="G352" s="18" t="str">
        <f>IF(R352&lt;&gt;1,"",DATA_INPUT!I352)</f>
        <v/>
      </c>
      <c r="H352" s="18" t="str">
        <f>IF(R352&lt;&gt;1,"",G352*CONTROL_PANEL!$B$5)</f>
        <v/>
      </c>
      <c r="I352" s="18" t="str">
        <f>IF(R352&lt;&gt;1,"",DATA_INPUT!C352)</f>
        <v/>
      </c>
      <c r="J352" s="18" t="str">
        <f t="shared" si="226"/>
        <v/>
      </c>
      <c r="K352" s="18" t="str">
        <f>IF(R352&lt;&gt;1,"",DATA_INPUT!H352)</f>
        <v/>
      </c>
      <c r="L352" s="18" t="str">
        <f t="shared" si="227"/>
        <v/>
      </c>
      <c r="M352" s="18" t="str">
        <f>IF(R352&lt;&gt;1,"",H352*CONTROL_PANEL!$B$14)</f>
        <v/>
      </c>
      <c r="N352" s="18" t="str">
        <f>IF(R352&lt;&gt;1,"",DATA_INPUT!K352)</f>
        <v/>
      </c>
      <c r="O352" s="18" t="str">
        <f t="shared" si="228"/>
        <v/>
      </c>
      <c r="P352" s="18" t="str">
        <f>IF(R352&lt;&gt;1,"",IF(O352-CONTROL_PANEL!$B$11&lt;0,0,O352-CONTROL_PANEL!$B$11))</f>
        <v/>
      </c>
      <c r="Q352" s="18" t="str">
        <f>IF(R352&lt;&gt;1,"",IF(N352&lt;=0,0,MIN(N352,MAX(0,CONTROL_PANEL!$B$13-O352))))</f>
        <v/>
      </c>
      <c r="R352" s="18"/>
      <c r="T352" s="19">
        <f t="shared" si="256"/>
        <v>2044</v>
      </c>
      <c r="U352" s="19">
        <f t="shared" si="221"/>
        <v>9</v>
      </c>
      <c r="V352" s="18" t="str">
        <f t="shared" si="229"/>
        <v/>
      </c>
      <c r="W352" s="18" t="str">
        <f t="shared" si="251"/>
        <v/>
      </c>
      <c r="X352" s="18" t="str">
        <f>IF(AK351&lt;&gt;1,"",IF(AH351&gt;0,IF(AH351&gt;CONTROL_PANEL!$B$11,CONTROL_PANEL!$B$11,AH351),0))</f>
        <v/>
      </c>
      <c r="Y352" s="18" t="str">
        <f t="shared" si="246"/>
        <v/>
      </c>
      <c r="Z352" s="18" t="str">
        <f>IF(AK352&lt;&gt;1,"",DATA_INPUT!I352)</f>
        <v/>
      </c>
      <c r="AA352" s="18" t="str">
        <f>IF(AK352&lt;&gt;1,"",Z352*CONTROL_PANEL!$B$5)</f>
        <v/>
      </c>
      <c r="AB352" s="18" t="str">
        <f>IF(AK352&lt;&gt;1,"",DATA_INPUT!$C352)</f>
        <v/>
      </c>
      <c r="AC352" s="18" t="str">
        <f t="shared" si="230"/>
        <v/>
      </c>
      <c r="AD352" s="18" t="str">
        <f>IF(AK352&lt;&gt;1,"",DATA_INPUT!$H352)</f>
        <v/>
      </c>
      <c r="AE352" s="18" t="str">
        <f t="shared" si="231"/>
        <v/>
      </c>
      <c r="AF352" s="18" t="str">
        <f>IF(AK352&lt;&gt;1,"",AA352*CONTROL_PANEL!$B$14)</f>
        <v/>
      </c>
      <c r="AG352" s="18" t="str">
        <f>IF(AK352&lt;&gt;1,"",DATA_INPUT!$L352)</f>
        <v/>
      </c>
      <c r="AH352" s="18" t="str">
        <f t="shared" si="232"/>
        <v/>
      </c>
      <c r="AI352" s="18" t="str">
        <f>IF(AK352&lt;&gt;1,"",IF(AH352-CONTROL_PANEL!$B$11&lt;0,0,AH352-CONTROL_PANEL!$B$11))</f>
        <v/>
      </c>
      <c r="AJ352" s="18" t="str">
        <f>IF(AK352&lt;&gt;1,"",IF(AG352&lt;=0,0,MIN(AG352,MAX(0,CONTROL_PANEL!$B$13-AH352))))</f>
        <v/>
      </c>
      <c r="AK352" s="18"/>
      <c r="AM352" s="19">
        <f t="shared" si="257"/>
        <v>2044</v>
      </c>
      <c r="AN352" s="19">
        <f t="shared" si="222"/>
        <v>9</v>
      </c>
      <c r="AO352" s="18" t="str">
        <f t="shared" si="233"/>
        <v/>
      </c>
      <c r="AP352" s="18" t="str">
        <f t="shared" si="252"/>
        <v/>
      </c>
      <c r="AQ352" s="18" t="str">
        <f>IF(BD351&lt;&gt;1,"",IF(BA351&gt;0,IF(BA351&gt;CONTROL_PANEL!$B$11,CONTROL_PANEL!$B$11,BA351),0))</f>
        <v/>
      </c>
      <c r="AR352" s="18" t="str">
        <f t="shared" si="247"/>
        <v/>
      </c>
      <c r="AS352" s="18" t="str">
        <f>IF(BD352&lt;&gt;1,"",DATA_INPUT!$I352)</f>
        <v/>
      </c>
      <c r="AT352" s="18" t="str">
        <f>IF(BD352&lt;&gt;1,"",AS352*CONTROL_PANEL!$B$5)</f>
        <v/>
      </c>
      <c r="AU352" s="18" t="str">
        <f>IF(BD352&lt;&gt;1,"",DATA_INPUT!$C352)</f>
        <v/>
      </c>
      <c r="AV352" s="18" t="str">
        <f t="shared" si="234"/>
        <v/>
      </c>
      <c r="AW352" s="18" t="str">
        <f>IF(BD352&lt;&gt;1,"",DATA_INPUT!$H352)</f>
        <v/>
      </c>
      <c r="AX352" s="18" t="str">
        <f t="shared" si="235"/>
        <v/>
      </c>
      <c r="AY352" s="18" t="str">
        <f>IF(BD352&lt;&gt;1,"",AT352*CONTROL_PANEL!$B$14)</f>
        <v/>
      </c>
      <c r="AZ352" s="18" t="str">
        <f>IF(BD352&lt;&gt;1,"",DATA_INPUT!$M352)</f>
        <v/>
      </c>
      <c r="BA352" s="18" t="str">
        <f t="shared" si="236"/>
        <v/>
      </c>
      <c r="BB352" s="18" t="str">
        <f>IF(BD352&lt;&gt;1,"",IF(BA352-CONTROL_PANEL!$B$11&lt;0,0,BA352-CONTROL_PANEL!$B$11))</f>
        <v/>
      </c>
      <c r="BC352" s="18" t="str">
        <f>IF(BD352&lt;&gt;1,"",IF(AZ352&lt;=0,0,MIN(AZ352,MAX(0,CONTROL_PANEL!$B$13-BA352))))</f>
        <v/>
      </c>
      <c r="BD352" s="18"/>
      <c r="BF352" s="19">
        <f t="shared" si="258"/>
        <v>2044</v>
      </c>
      <c r="BG352" s="19">
        <f t="shared" si="223"/>
        <v>9</v>
      </c>
      <c r="BH352" s="18" t="str">
        <f t="shared" si="237"/>
        <v/>
      </c>
      <c r="BI352" s="18" t="str">
        <f t="shared" si="253"/>
        <v/>
      </c>
      <c r="BJ352" s="18" t="str">
        <f>IF(BW351&lt;&gt;1,"",IF(BT351&gt;0,IF(BT351&gt;CONTROL_PANEL!$B$11,CONTROL_PANEL!$B$11,BT351),0))</f>
        <v/>
      </c>
      <c r="BK352" s="18" t="str">
        <f t="shared" si="248"/>
        <v/>
      </c>
      <c r="BL352" s="18" t="str">
        <f>IF(BW352&lt;&gt;1,"",DATA_INPUT!$I352)</f>
        <v/>
      </c>
      <c r="BM352" s="18" t="str">
        <f>IF(BW352&lt;&gt;1,"",BL352*CONTROL_PANEL!$B$5)</f>
        <v/>
      </c>
      <c r="BN352" s="18" t="str">
        <f>IF(BW352&lt;&gt;1,"",DATA_INPUT!$C352)</f>
        <v/>
      </c>
      <c r="BO352" s="18" t="str">
        <f t="shared" si="238"/>
        <v/>
      </c>
      <c r="BP352" s="18" t="str">
        <f>IF(BW352&lt;&gt;1,"",DATA_INPUT!$H352)</f>
        <v/>
      </c>
      <c r="BQ352" s="18" t="str">
        <f t="shared" si="239"/>
        <v/>
      </c>
      <c r="BR352" s="18" t="str">
        <f>IF(BW352&lt;&gt;1,"",BM352*CONTROL_PANEL!$B$14)</f>
        <v/>
      </c>
      <c r="BS352" s="18" t="str">
        <f>IF(BW352&lt;&gt;1,"",DATA_INPUT!$N352)</f>
        <v/>
      </c>
      <c r="BT352" s="18" t="str">
        <f t="shared" si="240"/>
        <v/>
      </c>
      <c r="BU352" s="18" t="str">
        <f>IF(BW352&lt;&gt;1,"",IF(BT352-CONTROL_PANEL!$B$11&lt;0,0,BT352-CONTROL_PANEL!$B$11))</f>
        <v/>
      </c>
      <c r="BV352" s="18" t="str">
        <f>IF(BW352&lt;&gt;1,"",IF(BS352&lt;=0,0,MIN(BS352,MAX(0,CONTROL_PANEL!$B$13-BT352))))</f>
        <v/>
      </c>
      <c r="BW352" s="18"/>
      <c r="BY352" s="19">
        <f t="shared" si="259"/>
        <v>2044</v>
      </c>
      <c r="BZ352" s="19">
        <f t="shared" si="224"/>
        <v>9</v>
      </c>
      <c r="CA352" s="18" t="str">
        <f t="shared" si="241"/>
        <v/>
      </c>
      <c r="CB352" s="18" t="str">
        <f t="shared" si="254"/>
        <v/>
      </c>
      <c r="CC352" s="18" t="str">
        <f>IF(CP351&lt;&gt;1,"",IF(CM351&gt;0,IF(CM351&gt;CONTROL_PANEL!$B$11,CONTROL_PANEL!$B$11,CM351),0))</f>
        <v/>
      </c>
      <c r="CD352" s="18" t="str">
        <f t="shared" si="249"/>
        <v/>
      </c>
      <c r="CE352" s="18" t="str">
        <f>IF(CP352&lt;&gt;1,"",DATA_INPUT!$I352)</f>
        <v/>
      </c>
      <c r="CF352" s="18" t="str">
        <f>IF(CP352&lt;&gt;1,"",CE352*CONTROL_PANEL!$B$5)</f>
        <v/>
      </c>
      <c r="CG352" s="18" t="str">
        <f>IF(CP352&lt;&gt;1,"",DATA_INPUT!$C352)</f>
        <v/>
      </c>
      <c r="CH352" s="18" t="str">
        <f t="shared" si="242"/>
        <v/>
      </c>
      <c r="CI352" s="18" t="str">
        <f>IF(CP352&lt;&gt;1,"",DATA_INPUT!$H352)</f>
        <v/>
      </c>
      <c r="CJ352" s="18" t="str">
        <f t="shared" si="243"/>
        <v/>
      </c>
      <c r="CK352" s="18" t="str">
        <f>IF(CP352&lt;&gt;1,"",CF352*CONTROL_PANEL!$B$14)</f>
        <v/>
      </c>
      <c r="CL352" s="18" t="str">
        <f>IF(CP352&lt;&gt;1,"",DATA_INPUT!$O352)</f>
        <v/>
      </c>
      <c r="CM352" s="18" t="str">
        <f t="shared" si="244"/>
        <v/>
      </c>
      <c r="CN352" s="18" t="str">
        <f>IF(CP352&lt;&gt;1,"",IF(CM352-CONTROL_PANEL!$B$11&lt;0,0,CM352-CONTROL_PANEL!$B$11))</f>
        <v/>
      </c>
      <c r="CO352" s="18" t="str">
        <f>IF(CP352&lt;&gt;1,"",IF(CL352&lt;=0,0,MIN(CL352,MAX(0,CONTROL_PANEL!$B$13-CM352))))</f>
        <v/>
      </c>
      <c r="CP352" s="18"/>
    </row>
    <row r="353" spans="1:94" x14ac:dyDescent="0.25">
      <c r="A353" s="19">
        <f t="shared" si="255"/>
        <v>2044</v>
      </c>
      <c r="B353" s="19">
        <f t="shared" si="220"/>
        <v>10</v>
      </c>
      <c r="C353" s="18" t="str">
        <f t="shared" si="225"/>
        <v/>
      </c>
      <c r="D353" s="18" t="str">
        <f t="shared" si="250"/>
        <v/>
      </c>
      <c r="E353" s="18" t="str">
        <f>IF(R352&lt;&gt;1,"",IF(O352&gt;0,IF(O352&gt;CONTROL_PANEL!$B$11,CONTROL_PANEL!$B$11,O352),0))</f>
        <v/>
      </c>
      <c r="F353" s="18" t="str">
        <f t="shared" si="245"/>
        <v/>
      </c>
      <c r="G353" s="18" t="str">
        <f>IF(R353&lt;&gt;1,"",DATA_INPUT!I353)</f>
        <v/>
      </c>
      <c r="H353" s="18" t="str">
        <f>IF(R353&lt;&gt;1,"",G353*CONTROL_PANEL!$B$5)</f>
        <v/>
      </c>
      <c r="I353" s="18" t="str">
        <f>IF(R353&lt;&gt;1,"",DATA_INPUT!C353)</f>
        <v/>
      </c>
      <c r="J353" s="18" t="str">
        <f t="shared" si="226"/>
        <v/>
      </c>
      <c r="K353" s="18" t="str">
        <f>IF(R353&lt;&gt;1,"",DATA_INPUT!H353)</f>
        <v/>
      </c>
      <c r="L353" s="18" t="str">
        <f t="shared" si="227"/>
        <v/>
      </c>
      <c r="M353" s="18" t="str">
        <f>IF(R353&lt;&gt;1,"",H353*CONTROL_PANEL!$B$14)</f>
        <v/>
      </c>
      <c r="N353" s="18" t="str">
        <f>IF(R353&lt;&gt;1,"",DATA_INPUT!K353)</f>
        <v/>
      </c>
      <c r="O353" s="18" t="str">
        <f t="shared" si="228"/>
        <v/>
      </c>
      <c r="P353" s="18" t="str">
        <f>IF(R353&lt;&gt;1,"",IF(O353-CONTROL_PANEL!$B$11&lt;0,0,O353-CONTROL_PANEL!$B$11))</f>
        <v/>
      </c>
      <c r="Q353" s="18" t="str">
        <f>IF(R353&lt;&gt;1,"",IF(N353&lt;=0,0,MIN(N353,MAX(0,CONTROL_PANEL!$B$13-O353))))</f>
        <v/>
      </c>
      <c r="R353" s="18"/>
      <c r="T353" s="19">
        <f t="shared" si="256"/>
        <v>2044</v>
      </c>
      <c r="U353" s="19">
        <f t="shared" si="221"/>
        <v>10</v>
      </c>
      <c r="V353" s="18" t="str">
        <f t="shared" si="229"/>
        <v/>
      </c>
      <c r="W353" s="18" t="str">
        <f t="shared" si="251"/>
        <v/>
      </c>
      <c r="X353" s="18" t="str">
        <f>IF(AK352&lt;&gt;1,"",IF(AH352&gt;0,IF(AH352&gt;CONTROL_PANEL!$B$11,CONTROL_PANEL!$B$11,AH352),0))</f>
        <v/>
      </c>
      <c r="Y353" s="18" t="str">
        <f t="shared" si="246"/>
        <v/>
      </c>
      <c r="Z353" s="18" t="str">
        <f>IF(AK353&lt;&gt;1,"",DATA_INPUT!I353)</f>
        <v/>
      </c>
      <c r="AA353" s="18" t="str">
        <f>IF(AK353&lt;&gt;1,"",Z353*CONTROL_PANEL!$B$5)</f>
        <v/>
      </c>
      <c r="AB353" s="18" t="str">
        <f>IF(AK353&lt;&gt;1,"",DATA_INPUT!$C353)</f>
        <v/>
      </c>
      <c r="AC353" s="18" t="str">
        <f t="shared" si="230"/>
        <v/>
      </c>
      <c r="AD353" s="18" t="str">
        <f>IF(AK353&lt;&gt;1,"",DATA_INPUT!$H353)</f>
        <v/>
      </c>
      <c r="AE353" s="18" t="str">
        <f t="shared" si="231"/>
        <v/>
      </c>
      <c r="AF353" s="18" t="str">
        <f>IF(AK353&lt;&gt;1,"",AA353*CONTROL_PANEL!$B$14)</f>
        <v/>
      </c>
      <c r="AG353" s="18" t="str">
        <f>IF(AK353&lt;&gt;1,"",DATA_INPUT!$L353)</f>
        <v/>
      </c>
      <c r="AH353" s="18" t="str">
        <f t="shared" si="232"/>
        <v/>
      </c>
      <c r="AI353" s="18" t="str">
        <f>IF(AK353&lt;&gt;1,"",IF(AH353-CONTROL_PANEL!$B$11&lt;0,0,AH353-CONTROL_PANEL!$B$11))</f>
        <v/>
      </c>
      <c r="AJ353" s="18" t="str">
        <f>IF(AK353&lt;&gt;1,"",IF(AG353&lt;=0,0,MIN(AG353,MAX(0,CONTROL_PANEL!$B$13-AH353))))</f>
        <v/>
      </c>
      <c r="AK353" s="18"/>
      <c r="AM353" s="19">
        <f t="shared" si="257"/>
        <v>2044</v>
      </c>
      <c r="AN353" s="19">
        <f t="shared" si="222"/>
        <v>10</v>
      </c>
      <c r="AO353" s="18" t="str">
        <f t="shared" si="233"/>
        <v/>
      </c>
      <c r="AP353" s="18" t="str">
        <f t="shared" si="252"/>
        <v/>
      </c>
      <c r="AQ353" s="18" t="str">
        <f>IF(BD352&lt;&gt;1,"",IF(BA352&gt;0,IF(BA352&gt;CONTROL_PANEL!$B$11,CONTROL_PANEL!$B$11,BA352),0))</f>
        <v/>
      </c>
      <c r="AR353" s="18" t="str">
        <f t="shared" si="247"/>
        <v/>
      </c>
      <c r="AS353" s="18" t="str">
        <f>IF(BD353&lt;&gt;1,"",DATA_INPUT!$I353)</f>
        <v/>
      </c>
      <c r="AT353" s="18" t="str">
        <f>IF(BD353&lt;&gt;1,"",AS353*CONTROL_PANEL!$B$5)</f>
        <v/>
      </c>
      <c r="AU353" s="18" t="str">
        <f>IF(BD353&lt;&gt;1,"",DATA_INPUT!$C353)</f>
        <v/>
      </c>
      <c r="AV353" s="18" t="str">
        <f t="shared" si="234"/>
        <v/>
      </c>
      <c r="AW353" s="18" t="str">
        <f>IF(BD353&lt;&gt;1,"",DATA_INPUT!$H353)</f>
        <v/>
      </c>
      <c r="AX353" s="18" t="str">
        <f t="shared" si="235"/>
        <v/>
      </c>
      <c r="AY353" s="18" t="str">
        <f>IF(BD353&lt;&gt;1,"",AT353*CONTROL_PANEL!$B$14)</f>
        <v/>
      </c>
      <c r="AZ353" s="18" t="str">
        <f>IF(BD353&lt;&gt;1,"",DATA_INPUT!$M353)</f>
        <v/>
      </c>
      <c r="BA353" s="18" t="str">
        <f t="shared" si="236"/>
        <v/>
      </c>
      <c r="BB353" s="18" t="str">
        <f>IF(BD353&lt;&gt;1,"",IF(BA353-CONTROL_PANEL!$B$11&lt;0,0,BA353-CONTROL_PANEL!$B$11))</f>
        <v/>
      </c>
      <c r="BC353" s="18" t="str">
        <f>IF(BD353&lt;&gt;1,"",IF(AZ353&lt;=0,0,MIN(AZ353,MAX(0,CONTROL_PANEL!$B$13-BA353))))</f>
        <v/>
      </c>
      <c r="BD353" s="18"/>
      <c r="BF353" s="19">
        <f t="shared" si="258"/>
        <v>2044</v>
      </c>
      <c r="BG353" s="19">
        <f t="shared" si="223"/>
        <v>10</v>
      </c>
      <c r="BH353" s="18" t="str">
        <f t="shared" si="237"/>
        <v/>
      </c>
      <c r="BI353" s="18" t="str">
        <f t="shared" si="253"/>
        <v/>
      </c>
      <c r="BJ353" s="18" t="str">
        <f>IF(BW352&lt;&gt;1,"",IF(BT352&gt;0,IF(BT352&gt;CONTROL_PANEL!$B$11,CONTROL_PANEL!$B$11,BT352),0))</f>
        <v/>
      </c>
      <c r="BK353" s="18" t="str">
        <f t="shared" si="248"/>
        <v/>
      </c>
      <c r="BL353" s="18" t="str">
        <f>IF(BW353&lt;&gt;1,"",DATA_INPUT!$I353)</f>
        <v/>
      </c>
      <c r="BM353" s="18" t="str">
        <f>IF(BW353&lt;&gt;1,"",BL353*CONTROL_PANEL!$B$5)</f>
        <v/>
      </c>
      <c r="BN353" s="18" t="str">
        <f>IF(BW353&lt;&gt;1,"",DATA_INPUT!$C353)</f>
        <v/>
      </c>
      <c r="BO353" s="18" t="str">
        <f t="shared" si="238"/>
        <v/>
      </c>
      <c r="BP353" s="18" t="str">
        <f>IF(BW353&lt;&gt;1,"",DATA_INPUT!$H353)</f>
        <v/>
      </c>
      <c r="BQ353" s="18" t="str">
        <f t="shared" si="239"/>
        <v/>
      </c>
      <c r="BR353" s="18" t="str">
        <f>IF(BW353&lt;&gt;1,"",BM353*CONTROL_PANEL!$B$14)</f>
        <v/>
      </c>
      <c r="BS353" s="18" t="str">
        <f>IF(BW353&lt;&gt;1,"",DATA_INPUT!$N353)</f>
        <v/>
      </c>
      <c r="BT353" s="18" t="str">
        <f t="shared" si="240"/>
        <v/>
      </c>
      <c r="BU353" s="18" t="str">
        <f>IF(BW353&lt;&gt;1,"",IF(BT353-CONTROL_PANEL!$B$11&lt;0,0,BT353-CONTROL_PANEL!$B$11))</f>
        <v/>
      </c>
      <c r="BV353" s="18" t="str">
        <f>IF(BW353&lt;&gt;1,"",IF(BS353&lt;=0,0,MIN(BS353,MAX(0,CONTROL_PANEL!$B$13-BT353))))</f>
        <v/>
      </c>
      <c r="BW353" s="18"/>
      <c r="BY353" s="19">
        <f t="shared" si="259"/>
        <v>2044</v>
      </c>
      <c r="BZ353" s="19">
        <f t="shared" si="224"/>
        <v>10</v>
      </c>
      <c r="CA353" s="18" t="str">
        <f t="shared" si="241"/>
        <v/>
      </c>
      <c r="CB353" s="18" t="str">
        <f t="shared" si="254"/>
        <v/>
      </c>
      <c r="CC353" s="18" t="str">
        <f>IF(CP352&lt;&gt;1,"",IF(CM352&gt;0,IF(CM352&gt;CONTROL_PANEL!$B$11,CONTROL_PANEL!$B$11,CM352),0))</f>
        <v/>
      </c>
      <c r="CD353" s="18" t="str">
        <f t="shared" si="249"/>
        <v/>
      </c>
      <c r="CE353" s="18" t="str">
        <f>IF(CP353&lt;&gt;1,"",DATA_INPUT!$I353)</f>
        <v/>
      </c>
      <c r="CF353" s="18" t="str">
        <f>IF(CP353&lt;&gt;1,"",CE353*CONTROL_PANEL!$B$5)</f>
        <v/>
      </c>
      <c r="CG353" s="18" t="str">
        <f>IF(CP353&lt;&gt;1,"",DATA_INPUT!$C353)</f>
        <v/>
      </c>
      <c r="CH353" s="18" t="str">
        <f t="shared" si="242"/>
        <v/>
      </c>
      <c r="CI353" s="18" t="str">
        <f>IF(CP353&lt;&gt;1,"",DATA_INPUT!$H353)</f>
        <v/>
      </c>
      <c r="CJ353" s="18" t="str">
        <f t="shared" si="243"/>
        <v/>
      </c>
      <c r="CK353" s="18" t="str">
        <f>IF(CP353&lt;&gt;1,"",CF353*CONTROL_PANEL!$B$14)</f>
        <v/>
      </c>
      <c r="CL353" s="18" t="str">
        <f>IF(CP353&lt;&gt;1,"",DATA_INPUT!$O353)</f>
        <v/>
      </c>
      <c r="CM353" s="18" t="str">
        <f t="shared" si="244"/>
        <v/>
      </c>
      <c r="CN353" s="18" t="str">
        <f>IF(CP353&lt;&gt;1,"",IF(CM353-CONTROL_PANEL!$B$11&lt;0,0,CM353-CONTROL_PANEL!$B$11))</f>
        <v/>
      </c>
      <c r="CO353" s="18" t="str">
        <f>IF(CP353&lt;&gt;1,"",IF(CL353&lt;=0,0,MIN(CL353,MAX(0,CONTROL_PANEL!$B$13-CM353))))</f>
        <v/>
      </c>
      <c r="CP353" s="18"/>
    </row>
    <row r="354" spans="1:94" x14ac:dyDescent="0.25">
      <c r="A354" s="19">
        <f t="shared" si="255"/>
        <v>2044</v>
      </c>
      <c r="B354" s="19">
        <f t="shared" si="220"/>
        <v>11</v>
      </c>
      <c r="C354" s="18" t="str">
        <f t="shared" si="225"/>
        <v/>
      </c>
      <c r="D354" s="18" t="str">
        <f t="shared" si="250"/>
        <v/>
      </c>
      <c r="E354" s="18" t="str">
        <f>IF(R353&lt;&gt;1,"",IF(O353&gt;0,IF(O353&gt;CONTROL_PANEL!$B$11,CONTROL_PANEL!$B$11,O353),0))</f>
        <v/>
      </c>
      <c r="F354" s="18" t="str">
        <f t="shared" si="245"/>
        <v/>
      </c>
      <c r="G354" s="18" t="str">
        <f>IF(R354&lt;&gt;1,"",DATA_INPUT!I354)</f>
        <v/>
      </c>
      <c r="H354" s="18" t="str">
        <f>IF(R354&lt;&gt;1,"",G354*CONTROL_PANEL!$B$5)</f>
        <v/>
      </c>
      <c r="I354" s="18" t="str">
        <f>IF(R354&lt;&gt;1,"",DATA_INPUT!C354)</f>
        <v/>
      </c>
      <c r="J354" s="18" t="str">
        <f t="shared" si="226"/>
        <v/>
      </c>
      <c r="K354" s="18" t="str">
        <f>IF(R354&lt;&gt;1,"",DATA_INPUT!H354)</f>
        <v/>
      </c>
      <c r="L354" s="18" t="str">
        <f t="shared" si="227"/>
        <v/>
      </c>
      <c r="M354" s="18" t="str">
        <f>IF(R354&lt;&gt;1,"",H354*CONTROL_PANEL!$B$14)</f>
        <v/>
      </c>
      <c r="N354" s="18" t="str">
        <f>IF(R354&lt;&gt;1,"",DATA_INPUT!K354)</f>
        <v/>
      </c>
      <c r="O354" s="18" t="str">
        <f t="shared" si="228"/>
        <v/>
      </c>
      <c r="P354" s="18" t="str">
        <f>IF(R354&lt;&gt;1,"",IF(O354-CONTROL_PANEL!$B$11&lt;0,0,O354-CONTROL_PANEL!$B$11))</f>
        <v/>
      </c>
      <c r="Q354" s="18" t="str">
        <f>IF(R354&lt;&gt;1,"",IF(N354&lt;=0,0,MIN(N354,MAX(0,CONTROL_PANEL!$B$13-O354))))</f>
        <v/>
      </c>
      <c r="R354" s="18"/>
      <c r="T354" s="19">
        <f t="shared" si="256"/>
        <v>2044</v>
      </c>
      <c r="U354" s="19">
        <f t="shared" si="221"/>
        <v>11</v>
      </c>
      <c r="V354" s="18" t="str">
        <f t="shared" si="229"/>
        <v/>
      </c>
      <c r="W354" s="18" t="str">
        <f t="shared" si="251"/>
        <v/>
      </c>
      <c r="X354" s="18" t="str">
        <f>IF(AK353&lt;&gt;1,"",IF(AH353&gt;0,IF(AH353&gt;CONTROL_PANEL!$B$11,CONTROL_PANEL!$B$11,AH353),0))</f>
        <v/>
      </c>
      <c r="Y354" s="18" t="str">
        <f t="shared" si="246"/>
        <v/>
      </c>
      <c r="Z354" s="18" t="str">
        <f>IF(AK354&lt;&gt;1,"",DATA_INPUT!I354)</f>
        <v/>
      </c>
      <c r="AA354" s="18" t="str">
        <f>IF(AK354&lt;&gt;1,"",Z354*CONTROL_PANEL!$B$5)</f>
        <v/>
      </c>
      <c r="AB354" s="18" t="str">
        <f>IF(AK354&lt;&gt;1,"",DATA_INPUT!$C354)</f>
        <v/>
      </c>
      <c r="AC354" s="18" t="str">
        <f t="shared" si="230"/>
        <v/>
      </c>
      <c r="AD354" s="18" t="str">
        <f>IF(AK354&lt;&gt;1,"",DATA_INPUT!$H354)</f>
        <v/>
      </c>
      <c r="AE354" s="18" t="str">
        <f t="shared" si="231"/>
        <v/>
      </c>
      <c r="AF354" s="18" t="str">
        <f>IF(AK354&lt;&gt;1,"",AA354*CONTROL_PANEL!$B$14)</f>
        <v/>
      </c>
      <c r="AG354" s="18" t="str">
        <f>IF(AK354&lt;&gt;1,"",DATA_INPUT!$L354)</f>
        <v/>
      </c>
      <c r="AH354" s="18" t="str">
        <f t="shared" si="232"/>
        <v/>
      </c>
      <c r="AI354" s="18" t="str">
        <f>IF(AK354&lt;&gt;1,"",IF(AH354-CONTROL_PANEL!$B$11&lt;0,0,AH354-CONTROL_PANEL!$B$11))</f>
        <v/>
      </c>
      <c r="AJ354" s="18" t="str">
        <f>IF(AK354&lt;&gt;1,"",IF(AG354&lt;=0,0,MIN(AG354,MAX(0,CONTROL_PANEL!$B$13-AH354))))</f>
        <v/>
      </c>
      <c r="AK354" s="18"/>
      <c r="AM354" s="19">
        <f t="shared" si="257"/>
        <v>2044</v>
      </c>
      <c r="AN354" s="19">
        <f t="shared" si="222"/>
        <v>11</v>
      </c>
      <c r="AO354" s="18" t="str">
        <f t="shared" si="233"/>
        <v/>
      </c>
      <c r="AP354" s="18" t="str">
        <f t="shared" si="252"/>
        <v/>
      </c>
      <c r="AQ354" s="18" t="str">
        <f>IF(BD353&lt;&gt;1,"",IF(BA353&gt;0,IF(BA353&gt;CONTROL_PANEL!$B$11,CONTROL_PANEL!$B$11,BA353),0))</f>
        <v/>
      </c>
      <c r="AR354" s="18" t="str">
        <f t="shared" si="247"/>
        <v/>
      </c>
      <c r="AS354" s="18" t="str">
        <f>IF(BD354&lt;&gt;1,"",DATA_INPUT!$I354)</f>
        <v/>
      </c>
      <c r="AT354" s="18" t="str">
        <f>IF(BD354&lt;&gt;1,"",AS354*CONTROL_PANEL!$B$5)</f>
        <v/>
      </c>
      <c r="AU354" s="18" t="str">
        <f>IF(BD354&lt;&gt;1,"",DATA_INPUT!$C354)</f>
        <v/>
      </c>
      <c r="AV354" s="18" t="str">
        <f t="shared" si="234"/>
        <v/>
      </c>
      <c r="AW354" s="18" t="str">
        <f>IF(BD354&lt;&gt;1,"",DATA_INPUT!$H354)</f>
        <v/>
      </c>
      <c r="AX354" s="18" t="str">
        <f t="shared" si="235"/>
        <v/>
      </c>
      <c r="AY354" s="18" t="str">
        <f>IF(BD354&lt;&gt;1,"",AT354*CONTROL_PANEL!$B$14)</f>
        <v/>
      </c>
      <c r="AZ354" s="18" t="str">
        <f>IF(BD354&lt;&gt;1,"",DATA_INPUT!$M354)</f>
        <v/>
      </c>
      <c r="BA354" s="18" t="str">
        <f t="shared" si="236"/>
        <v/>
      </c>
      <c r="BB354" s="18" t="str">
        <f>IF(BD354&lt;&gt;1,"",IF(BA354-CONTROL_PANEL!$B$11&lt;0,0,BA354-CONTROL_PANEL!$B$11))</f>
        <v/>
      </c>
      <c r="BC354" s="18" t="str">
        <f>IF(BD354&lt;&gt;1,"",IF(AZ354&lt;=0,0,MIN(AZ354,MAX(0,CONTROL_PANEL!$B$13-BA354))))</f>
        <v/>
      </c>
      <c r="BD354" s="18"/>
      <c r="BF354" s="19">
        <f t="shared" si="258"/>
        <v>2044</v>
      </c>
      <c r="BG354" s="19">
        <f t="shared" si="223"/>
        <v>11</v>
      </c>
      <c r="BH354" s="18" t="str">
        <f t="shared" si="237"/>
        <v/>
      </c>
      <c r="BI354" s="18" t="str">
        <f t="shared" si="253"/>
        <v/>
      </c>
      <c r="BJ354" s="18" t="str">
        <f>IF(BW353&lt;&gt;1,"",IF(BT353&gt;0,IF(BT353&gt;CONTROL_PANEL!$B$11,CONTROL_PANEL!$B$11,BT353),0))</f>
        <v/>
      </c>
      <c r="BK354" s="18" t="str">
        <f t="shared" si="248"/>
        <v/>
      </c>
      <c r="BL354" s="18" t="str">
        <f>IF(BW354&lt;&gt;1,"",DATA_INPUT!$I354)</f>
        <v/>
      </c>
      <c r="BM354" s="18" t="str">
        <f>IF(BW354&lt;&gt;1,"",BL354*CONTROL_PANEL!$B$5)</f>
        <v/>
      </c>
      <c r="BN354" s="18" t="str">
        <f>IF(BW354&lt;&gt;1,"",DATA_INPUT!$C354)</f>
        <v/>
      </c>
      <c r="BO354" s="18" t="str">
        <f t="shared" si="238"/>
        <v/>
      </c>
      <c r="BP354" s="18" t="str">
        <f>IF(BW354&lt;&gt;1,"",DATA_INPUT!$H354)</f>
        <v/>
      </c>
      <c r="BQ354" s="18" t="str">
        <f t="shared" si="239"/>
        <v/>
      </c>
      <c r="BR354" s="18" t="str">
        <f>IF(BW354&lt;&gt;1,"",BM354*CONTROL_PANEL!$B$14)</f>
        <v/>
      </c>
      <c r="BS354" s="18" t="str">
        <f>IF(BW354&lt;&gt;1,"",DATA_INPUT!$N354)</f>
        <v/>
      </c>
      <c r="BT354" s="18" t="str">
        <f t="shared" si="240"/>
        <v/>
      </c>
      <c r="BU354" s="18" t="str">
        <f>IF(BW354&lt;&gt;1,"",IF(BT354-CONTROL_PANEL!$B$11&lt;0,0,BT354-CONTROL_PANEL!$B$11))</f>
        <v/>
      </c>
      <c r="BV354" s="18" t="str">
        <f>IF(BW354&lt;&gt;1,"",IF(BS354&lt;=0,0,MIN(BS354,MAX(0,CONTROL_PANEL!$B$13-BT354))))</f>
        <v/>
      </c>
      <c r="BW354" s="18"/>
      <c r="BY354" s="19">
        <f t="shared" si="259"/>
        <v>2044</v>
      </c>
      <c r="BZ354" s="19">
        <f t="shared" si="224"/>
        <v>11</v>
      </c>
      <c r="CA354" s="18" t="str">
        <f t="shared" si="241"/>
        <v/>
      </c>
      <c r="CB354" s="18" t="str">
        <f t="shared" si="254"/>
        <v/>
      </c>
      <c r="CC354" s="18" t="str">
        <f>IF(CP353&lt;&gt;1,"",IF(CM353&gt;0,IF(CM353&gt;CONTROL_PANEL!$B$11,CONTROL_PANEL!$B$11,CM353),0))</f>
        <v/>
      </c>
      <c r="CD354" s="18" t="str">
        <f t="shared" si="249"/>
        <v/>
      </c>
      <c r="CE354" s="18" t="str">
        <f>IF(CP354&lt;&gt;1,"",DATA_INPUT!$I354)</f>
        <v/>
      </c>
      <c r="CF354" s="18" t="str">
        <f>IF(CP354&lt;&gt;1,"",CE354*CONTROL_PANEL!$B$5)</f>
        <v/>
      </c>
      <c r="CG354" s="18" t="str">
        <f>IF(CP354&lt;&gt;1,"",DATA_INPUT!$C354)</f>
        <v/>
      </c>
      <c r="CH354" s="18" t="str">
        <f t="shared" si="242"/>
        <v/>
      </c>
      <c r="CI354" s="18" t="str">
        <f>IF(CP354&lt;&gt;1,"",DATA_INPUT!$H354)</f>
        <v/>
      </c>
      <c r="CJ354" s="18" t="str">
        <f t="shared" si="243"/>
        <v/>
      </c>
      <c r="CK354" s="18" t="str">
        <f>IF(CP354&lt;&gt;1,"",CF354*CONTROL_PANEL!$B$14)</f>
        <v/>
      </c>
      <c r="CL354" s="18" t="str">
        <f>IF(CP354&lt;&gt;1,"",DATA_INPUT!$O354)</f>
        <v/>
      </c>
      <c r="CM354" s="18" t="str">
        <f t="shared" si="244"/>
        <v/>
      </c>
      <c r="CN354" s="18" t="str">
        <f>IF(CP354&lt;&gt;1,"",IF(CM354-CONTROL_PANEL!$B$11&lt;0,0,CM354-CONTROL_PANEL!$B$11))</f>
        <v/>
      </c>
      <c r="CO354" s="18" t="str">
        <f>IF(CP354&lt;&gt;1,"",IF(CL354&lt;=0,0,MIN(CL354,MAX(0,CONTROL_PANEL!$B$13-CM354))))</f>
        <v/>
      </c>
      <c r="CP354" s="18"/>
    </row>
    <row r="355" spans="1:94" x14ac:dyDescent="0.25">
      <c r="A355" s="19">
        <f t="shared" si="255"/>
        <v>2044</v>
      </c>
      <c r="B355" s="19">
        <f t="shared" si="220"/>
        <v>12</v>
      </c>
      <c r="C355" s="18" t="str">
        <f t="shared" si="225"/>
        <v/>
      </c>
      <c r="D355" s="18" t="str">
        <f t="shared" si="250"/>
        <v/>
      </c>
      <c r="E355" s="18" t="str">
        <f>IF(R354&lt;&gt;1,"",IF(O354&gt;0,IF(O354&gt;CONTROL_PANEL!$B$11,CONTROL_PANEL!$B$11,O354),0))</f>
        <v/>
      </c>
      <c r="F355" s="18" t="str">
        <f t="shared" si="245"/>
        <v/>
      </c>
      <c r="G355" s="18" t="str">
        <f>IF(R355&lt;&gt;1,"",DATA_INPUT!I355)</f>
        <v/>
      </c>
      <c r="H355" s="18" t="str">
        <f>IF(R355&lt;&gt;1,"",G355*CONTROL_PANEL!$B$5)</f>
        <v/>
      </c>
      <c r="I355" s="18" t="str">
        <f>IF(R355&lt;&gt;1,"",DATA_INPUT!C355)</f>
        <v/>
      </c>
      <c r="J355" s="18" t="str">
        <f t="shared" si="226"/>
        <v/>
      </c>
      <c r="K355" s="18" t="str">
        <f>IF(R355&lt;&gt;1,"",DATA_INPUT!H355)</f>
        <v/>
      </c>
      <c r="L355" s="18" t="str">
        <f t="shared" si="227"/>
        <v/>
      </c>
      <c r="M355" s="18" t="str">
        <f>IF(R355&lt;&gt;1,"",H355*CONTROL_PANEL!$B$14)</f>
        <v/>
      </c>
      <c r="N355" s="18" t="str">
        <f>IF(R355&lt;&gt;1,"",DATA_INPUT!K355)</f>
        <v/>
      </c>
      <c r="O355" s="18" t="str">
        <f t="shared" si="228"/>
        <v/>
      </c>
      <c r="P355" s="18" t="str">
        <f>IF(R355&lt;&gt;1,"",IF(O355-CONTROL_PANEL!$B$11&lt;0,0,O355-CONTROL_PANEL!$B$11))</f>
        <v/>
      </c>
      <c r="Q355" s="18" t="str">
        <f>IF(R355&lt;&gt;1,"",IF(N355&lt;=0,0,MIN(N355,MAX(0,CONTROL_PANEL!$B$13-O355))))</f>
        <v/>
      </c>
      <c r="R355" s="18"/>
      <c r="T355" s="19">
        <f t="shared" si="256"/>
        <v>2044</v>
      </c>
      <c r="U355" s="19">
        <f t="shared" si="221"/>
        <v>12</v>
      </c>
      <c r="V355" s="18" t="str">
        <f t="shared" si="229"/>
        <v/>
      </c>
      <c r="W355" s="18" t="str">
        <f t="shared" si="251"/>
        <v/>
      </c>
      <c r="X355" s="18" t="str">
        <f>IF(AK354&lt;&gt;1,"",IF(AH354&gt;0,IF(AH354&gt;CONTROL_PANEL!$B$11,CONTROL_PANEL!$B$11,AH354),0))</f>
        <v/>
      </c>
      <c r="Y355" s="18" t="str">
        <f t="shared" si="246"/>
        <v/>
      </c>
      <c r="Z355" s="18" t="str">
        <f>IF(AK355&lt;&gt;1,"",DATA_INPUT!I355)</f>
        <v/>
      </c>
      <c r="AA355" s="18" t="str">
        <f>IF(AK355&lt;&gt;1,"",Z355*CONTROL_PANEL!$B$5)</f>
        <v/>
      </c>
      <c r="AB355" s="18" t="str">
        <f>IF(AK355&lt;&gt;1,"",DATA_INPUT!$C355)</f>
        <v/>
      </c>
      <c r="AC355" s="18" t="str">
        <f t="shared" si="230"/>
        <v/>
      </c>
      <c r="AD355" s="18" t="str">
        <f>IF(AK355&lt;&gt;1,"",DATA_INPUT!$H355)</f>
        <v/>
      </c>
      <c r="AE355" s="18" t="str">
        <f t="shared" si="231"/>
        <v/>
      </c>
      <c r="AF355" s="18" t="str">
        <f>IF(AK355&lt;&gt;1,"",AA355*CONTROL_PANEL!$B$14)</f>
        <v/>
      </c>
      <c r="AG355" s="18" t="str">
        <f>IF(AK355&lt;&gt;1,"",DATA_INPUT!$L355)</f>
        <v/>
      </c>
      <c r="AH355" s="18" t="str">
        <f t="shared" si="232"/>
        <v/>
      </c>
      <c r="AI355" s="18" t="str">
        <f>IF(AK355&lt;&gt;1,"",IF(AH355-CONTROL_PANEL!$B$11&lt;0,0,AH355-CONTROL_PANEL!$B$11))</f>
        <v/>
      </c>
      <c r="AJ355" s="18" t="str">
        <f>IF(AK355&lt;&gt;1,"",IF(AG355&lt;=0,0,MIN(AG355,MAX(0,CONTROL_PANEL!$B$13-AH355))))</f>
        <v/>
      </c>
      <c r="AK355" s="18"/>
      <c r="AM355" s="19">
        <f t="shared" si="257"/>
        <v>2044</v>
      </c>
      <c r="AN355" s="19">
        <f t="shared" si="222"/>
        <v>12</v>
      </c>
      <c r="AO355" s="18" t="str">
        <f t="shared" si="233"/>
        <v/>
      </c>
      <c r="AP355" s="18" t="str">
        <f t="shared" si="252"/>
        <v/>
      </c>
      <c r="AQ355" s="18" t="str">
        <f>IF(BD354&lt;&gt;1,"",IF(BA354&gt;0,IF(BA354&gt;CONTROL_PANEL!$B$11,CONTROL_PANEL!$B$11,BA354),0))</f>
        <v/>
      </c>
      <c r="AR355" s="18" t="str">
        <f t="shared" si="247"/>
        <v/>
      </c>
      <c r="AS355" s="18" t="str">
        <f>IF(BD355&lt;&gt;1,"",DATA_INPUT!$I355)</f>
        <v/>
      </c>
      <c r="AT355" s="18" t="str">
        <f>IF(BD355&lt;&gt;1,"",AS355*CONTROL_PANEL!$B$5)</f>
        <v/>
      </c>
      <c r="AU355" s="18" t="str">
        <f>IF(BD355&lt;&gt;1,"",DATA_INPUT!$C355)</f>
        <v/>
      </c>
      <c r="AV355" s="18" t="str">
        <f t="shared" si="234"/>
        <v/>
      </c>
      <c r="AW355" s="18" t="str">
        <f>IF(BD355&lt;&gt;1,"",DATA_INPUT!$H355)</f>
        <v/>
      </c>
      <c r="AX355" s="18" t="str">
        <f t="shared" si="235"/>
        <v/>
      </c>
      <c r="AY355" s="18" t="str">
        <f>IF(BD355&lt;&gt;1,"",AT355*CONTROL_PANEL!$B$14)</f>
        <v/>
      </c>
      <c r="AZ355" s="18" t="str">
        <f>IF(BD355&lt;&gt;1,"",DATA_INPUT!$M355)</f>
        <v/>
      </c>
      <c r="BA355" s="18" t="str">
        <f t="shared" si="236"/>
        <v/>
      </c>
      <c r="BB355" s="18" t="str">
        <f>IF(BD355&lt;&gt;1,"",IF(BA355-CONTROL_PANEL!$B$11&lt;0,0,BA355-CONTROL_PANEL!$B$11))</f>
        <v/>
      </c>
      <c r="BC355" s="18" t="str">
        <f>IF(BD355&lt;&gt;1,"",IF(AZ355&lt;=0,0,MIN(AZ355,MAX(0,CONTROL_PANEL!$B$13-BA355))))</f>
        <v/>
      </c>
      <c r="BD355" s="18"/>
      <c r="BF355" s="19">
        <f t="shared" si="258"/>
        <v>2044</v>
      </c>
      <c r="BG355" s="19">
        <f t="shared" si="223"/>
        <v>12</v>
      </c>
      <c r="BH355" s="18" t="str">
        <f t="shared" si="237"/>
        <v/>
      </c>
      <c r="BI355" s="18" t="str">
        <f t="shared" si="253"/>
        <v/>
      </c>
      <c r="BJ355" s="18" t="str">
        <f>IF(BW354&lt;&gt;1,"",IF(BT354&gt;0,IF(BT354&gt;CONTROL_PANEL!$B$11,CONTROL_PANEL!$B$11,BT354),0))</f>
        <v/>
      </c>
      <c r="BK355" s="18" t="str">
        <f t="shared" si="248"/>
        <v/>
      </c>
      <c r="BL355" s="18" t="str">
        <f>IF(BW355&lt;&gt;1,"",DATA_INPUT!$I355)</f>
        <v/>
      </c>
      <c r="BM355" s="18" t="str">
        <f>IF(BW355&lt;&gt;1,"",BL355*CONTROL_PANEL!$B$5)</f>
        <v/>
      </c>
      <c r="BN355" s="18" t="str">
        <f>IF(BW355&lt;&gt;1,"",DATA_INPUT!$C355)</f>
        <v/>
      </c>
      <c r="BO355" s="18" t="str">
        <f t="shared" si="238"/>
        <v/>
      </c>
      <c r="BP355" s="18" t="str">
        <f>IF(BW355&lt;&gt;1,"",DATA_INPUT!$H355)</f>
        <v/>
      </c>
      <c r="BQ355" s="18" t="str">
        <f t="shared" si="239"/>
        <v/>
      </c>
      <c r="BR355" s="18" t="str">
        <f>IF(BW355&lt;&gt;1,"",BM355*CONTROL_PANEL!$B$14)</f>
        <v/>
      </c>
      <c r="BS355" s="18" t="str">
        <f>IF(BW355&lt;&gt;1,"",DATA_INPUT!$N355)</f>
        <v/>
      </c>
      <c r="BT355" s="18" t="str">
        <f t="shared" si="240"/>
        <v/>
      </c>
      <c r="BU355" s="18" t="str">
        <f>IF(BW355&lt;&gt;1,"",IF(BT355-CONTROL_PANEL!$B$11&lt;0,0,BT355-CONTROL_PANEL!$B$11))</f>
        <v/>
      </c>
      <c r="BV355" s="18" t="str">
        <f>IF(BW355&lt;&gt;1,"",IF(BS355&lt;=0,0,MIN(BS355,MAX(0,CONTROL_PANEL!$B$13-BT355))))</f>
        <v/>
      </c>
      <c r="BW355" s="18"/>
      <c r="BY355" s="19">
        <f t="shared" si="259"/>
        <v>2044</v>
      </c>
      <c r="BZ355" s="19">
        <f t="shared" si="224"/>
        <v>12</v>
      </c>
      <c r="CA355" s="18" t="str">
        <f t="shared" si="241"/>
        <v/>
      </c>
      <c r="CB355" s="18" t="str">
        <f t="shared" si="254"/>
        <v/>
      </c>
      <c r="CC355" s="18" t="str">
        <f>IF(CP354&lt;&gt;1,"",IF(CM354&gt;0,IF(CM354&gt;CONTROL_PANEL!$B$11,CONTROL_PANEL!$B$11,CM354),0))</f>
        <v/>
      </c>
      <c r="CD355" s="18" t="str">
        <f t="shared" si="249"/>
        <v/>
      </c>
      <c r="CE355" s="18" t="str">
        <f>IF(CP355&lt;&gt;1,"",DATA_INPUT!$I355)</f>
        <v/>
      </c>
      <c r="CF355" s="18" t="str">
        <f>IF(CP355&lt;&gt;1,"",CE355*CONTROL_PANEL!$B$5)</f>
        <v/>
      </c>
      <c r="CG355" s="18" t="str">
        <f>IF(CP355&lt;&gt;1,"",DATA_INPUT!$C355)</f>
        <v/>
      </c>
      <c r="CH355" s="18" t="str">
        <f t="shared" si="242"/>
        <v/>
      </c>
      <c r="CI355" s="18" t="str">
        <f>IF(CP355&lt;&gt;1,"",DATA_INPUT!$H355)</f>
        <v/>
      </c>
      <c r="CJ355" s="18" t="str">
        <f t="shared" si="243"/>
        <v/>
      </c>
      <c r="CK355" s="18" t="str">
        <f>IF(CP355&lt;&gt;1,"",CF355*CONTROL_PANEL!$B$14)</f>
        <v/>
      </c>
      <c r="CL355" s="18" t="str">
        <f>IF(CP355&lt;&gt;1,"",DATA_INPUT!$O355)</f>
        <v/>
      </c>
      <c r="CM355" s="18" t="str">
        <f t="shared" si="244"/>
        <v/>
      </c>
      <c r="CN355" s="18" t="str">
        <f>IF(CP355&lt;&gt;1,"",IF(CM355-CONTROL_PANEL!$B$11&lt;0,0,CM355-CONTROL_PANEL!$B$11))</f>
        <v/>
      </c>
      <c r="CO355" s="18" t="str">
        <f>IF(CP355&lt;&gt;1,"",IF(CL355&lt;=0,0,MIN(CL355,MAX(0,CONTROL_PANEL!$B$13-CM355))))</f>
        <v/>
      </c>
      <c r="CP355" s="18"/>
    </row>
    <row r="356" spans="1:94" x14ac:dyDescent="0.25">
      <c r="A356" s="19">
        <f t="shared" si="255"/>
        <v>2045</v>
      </c>
      <c r="B356" s="19">
        <f t="shared" si="220"/>
        <v>1</v>
      </c>
      <c r="C356" s="18" t="str">
        <f t="shared" si="225"/>
        <v/>
      </c>
      <c r="D356" s="18" t="str">
        <f t="shared" si="250"/>
        <v/>
      </c>
      <c r="E356" s="18" t="str">
        <f>IF(R355&lt;&gt;1,"",IF(O355&gt;0,IF(O355&gt;CONTROL_PANEL!$B$11,CONTROL_PANEL!$B$11,O355),0))</f>
        <v/>
      </c>
      <c r="F356" s="18" t="str">
        <f t="shared" si="245"/>
        <v/>
      </c>
      <c r="G356" s="18" t="str">
        <f>IF(R356&lt;&gt;1,"",DATA_INPUT!I356)</f>
        <v/>
      </c>
      <c r="H356" s="18" t="str">
        <f>IF(R356&lt;&gt;1,"",G356*CONTROL_PANEL!$B$5)</f>
        <v/>
      </c>
      <c r="I356" s="18" t="str">
        <f>IF(R356&lt;&gt;1,"",DATA_INPUT!C356)</f>
        <v/>
      </c>
      <c r="J356" s="18" t="str">
        <f t="shared" si="226"/>
        <v/>
      </c>
      <c r="K356" s="18" t="str">
        <f>IF(R356&lt;&gt;1,"",DATA_INPUT!H356)</f>
        <v/>
      </c>
      <c r="L356" s="18" t="str">
        <f t="shared" si="227"/>
        <v/>
      </c>
      <c r="M356" s="18" t="str">
        <f>IF(R356&lt;&gt;1,"",H356*CONTROL_PANEL!$B$14)</f>
        <v/>
      </c>
      <c r="N356" s="18" t="str">
        <f>IF(R356&lt;&gt;1,"",DATA_INPUT!K356)</f>
        <v/>
      </c>
      <c r="O356" s="18" t="str">
        <f t="shared" si="228"/>
        <v/>
      </c>
      <c r="P356" s="18" t="str">
        <f>IF(R356&lt;&gt;1,"",IF(O356-CONTROL_PANEL!$B$11&lt;0,0,O356-CONTROL_PANEL!$B$11))</f>
        <v/>
      </c>
      <c r="Q356" s="18" t="str">
        <f>IF(R356&lt;&gt;1,"",IF(N356&lt;=0,0,MIN(N356,MAX(0,CONTROL_PANEL!$B$13-O356))))</f>
        <v/>
      </c>
      <c r="R356" s="18"/>
      <c r="T356" s="19">
        <f t="shared" si="256"/>
        <v>2045</v>
      </c>
      <c r="U356" s="19">
        <f t="shared" si="221"/>
        <v>1</v>
      </c>
      <c r="V356" s="18" t="str">
        <f t="shared" si="229"/>
        <v/>
      </c>
      <c r="W356" s="18" t="str">
        <f t="shared" si="251"/>
        <v/>
      </c>
      <c r="X356" s="18" t="str">
        <f>IF(AK355&lt;&gt;1,"",IF(AH355&gt;0,IF(AH355&gt;CONTROL_PANEL!$B$11,CONTROL_PANEL!$B$11,AH355),0))</f>
        <v/>
      </c>
      <c r="Y356" s="18" t="str">
        <f t="shared" si="246"/>
        <v/>
      </c>
      <c r="Z356" s="18" t="str">
        <f>IF(AK356&lt;&gt;1,"",DATA_INPUT!I356)</f>
        <v/>
      </c>
      <c r="AA356" s="18" t="str">
        <f>IF(AK356&lt;&gt;1,"",Z356*CONTROL_PANEL!$B$5)</f>
        <v/>
      </c>
      <c r="AB356" s="18" t="str">
        <f>IF(AK356&lt;&gt;1,"",DATA_INPUT!$C356)</f>
        <v/>
      </c>
      <c r="AC356" s="18" t="str">
        <f t="shared" si="230"/>
        <v/>
      </c>
      <c r="AD356" s="18" t="str">
        <f>IF(AK356&lt;&gt;1,"",DATA_INPUT!$H356)</f>
        <v/>
      </c>
      <c r="AE356" s="18" t="str">
        <f t="shared" si="231"/>
        <v/>
      </c>
      <c r="AF356" s="18" t="str">
        <f>IF(AK356&lt;&gt;1,"",AA356*CONTROL_PANEL!$B$14)</f>
        <v/>
      </c>
      <c r="AG356" s="18" t="str">
        <f>IF(AK356&lt;&gt;1,"",DATA_INPUT!$L356)</f>
        <v/>
      </c>
      <c r="AH356" s="18" t="str">
        <f t="shared" si="232"/>
        <v/>
      </c>
      <c r="AI356" s="18" t="str">
        <f>IF(AK356&lt;&gt;1,"",IF(AH356-CONTROL_PANEL!$B$11&lt;0,0,AH356-CONTROL_PANEL!$B$11))</f>
        <v/>
      </c>
      <c r="AJ356" s="18" t="str">
        <f>IF(AK356&lt;&gt;1,"",IF(AG356&lt;=0,0,MIN(AG356,MAX(0,CONTROL_PANEL!$B$13-AH356))))</f>
        <v/>
      </c>
      <c r="AK356" s="18"/>
      <c r="AM356" s="19">
        <f t="shared" si="257"/>
        <v>2045</v>
      </c>
      <c r="AN356" s="19">
        <f t="shared" si="222"/>
        <v>1</v>
      </c>
      <c r="AO356" s="18" t="str">
        <f t="shared" si="233"/>
        <v/>
      </c>
      <c r="AP356" s="18" t="str">
        <f t="shared" si="252"/>
        <v/>
      </c>
      <c r="AQ356" s="18" t="str">
        <f>IF(BD355&lt;&gt;1,"",IF(BA355&gt;0,IF(BA355&gt;CONTROL_PANEL!$B$11,CONTROL_PANEL!$B$11,BA355),0))</f>
        <v/>
      </c>
      <c r="AR356" s="18" t="str">
        <f t="shared" si="247"/>
        <v/>
      </c>
      <c r="AS356" s="18" t="str">
        <f>IF(BD356&lt;&gt;1,"",DATA_INPUT!$I356)</f>
        <v/>
      </c>
      <c r="AT356" s="18" t="str">
        <f>IF(BD356&lt;&gt;1,"",AS356*CONTROL_PANEL!$B$5)</f>
        <v/>
      </c>
      <c r="AU356" s="18" t="str">
        <f>IF(BD356&lt;&gt;1,"",DATA_INPUT!$C356)</f>
        <v/>
      </c>
      <c r="AV356" s="18" t="str">
        <f t="shared" si="234"/>
        <v/>
      </c>
      <c r="AW356" s="18" t="str">
        <f>IF(BD356&lt;&gt;1,"",DATA_INPUT!$H356)</f>
        <v/>
      </c>
      <c r="AX356" s="18" t="str">
        <f t="shared" si="235"/>
        <v/>
      </c>
      <c r="AY356" s="18" t="str">
        <f>IF(BD356&lt;&gt;1,"",AT356*CONTROL_PANEL!$B$14)</f>
        <v/>
      </c>
      <c r="AZ356" s="18" t="str">
        <f>IF(BD356&lt;&gt;1,"",DATA_INPUT!$M356)</f>
        <v/>
      </c>
      <c r="BA356" s="18" t="str">
        <f t="shared" si="236"/>
        <v/>
      </c>
      <c r="BB356" s="18" t="str">
        <f>IF(BD356&lt;&gt;1,"",IF(BA356-CONTROL_PANEL!$B$11&lt;0,0,BA356-CONTROL_PANEL!$B$11))</f>
        <v/>
      </c>
      <c r="BC356" s="18" t="str">
        <f>IF(BD356&lt;&gt;1,"",IF(AZ356&lt;=0,0,MIN(AZ356,MAX(0,CONTROL_PANEL!$B$13-BA356))))</f>
        <v/>
      </c>
      <c r="BD356" s="18"/>
      <c r="BF356" s="19">
        <f t="shared" si="258"/>
        <v>2045</v>
      </c>
      <c r="BG356" s="19">
        <f t="shared" si="223"/>
        <v>1</v>
      </c>
      <c r="BH356" s="18" t="str">
        <f t="shared" si="237"/>
        <v/>
      </c>
      <c r="BI356" s="18" t="str">
        <f t="shared" si="253"/>
        <v/>
      </c>
      <c r="BJ356" s="18" t="str">
        <f>IF(BW355&lt;&gt;1,"",IF(BT355&gt;0,IF(BT355&gt;CONTROL_PANEL!$B$11,CONTROL_PANEL!$B$11,BT355),0))</f>
        <v/>
      </c>
      <c r="BK356" s="18" t="str">
        <f t="shared" si="248"/>
        <v/>
      </c>
      <c r="BL356" s="18" t="str">
        <f>IF(BW356&lt;&gt;1,"",DATA_INPUT!$I356)</f>
        <v/>
      </c>
      <c r="BM356" s="18" t="str">
        <f>IF(BW356&lt;&gt;1,"",BL356*CONTROL_PANEL!$B$5)</f>
        <v/>
      </c>
      <c r="BN356" s="18" t="str">
        <f>IF(BW356&lt;&gt;1,"",DATA_INPUT!$C356)</f>
        <v/>
      </c>
      <c r="BO356" s="18" t="str">
        <f t="shared" si="238"/>
        <v/>
      </c>
      <c r="BP356" s="18" t="str">
        <f>IF(BW356&lt;&gt;1,"",DATA_INPUT!$H356)</f>
        <v/>
      </c>
      <c r="BQ356" s="18" t="str">
        <f t="shared" si="239"/>
        <v/>
      </c>
      <c r="BR356" s="18" t="str">
        <f>IF(BW356&lt;&gt;1,"",BM356*CONTROL_PANEL!$B$14)</f>
        <v/>
      </c>
      <c r="BS356" s="18" t="str">
        <f>IF(BW356&lt;&gt;1,"",DATA_INPUT!$N356)</f>
        <v/>
      </c>
      <c r="BT356" s="18" t="str">
        <f t="shared" si="240"/>
        <v/>
      </c>
      <c r="BU356" s="18" t="str">
        <f>IF(BW356&lt;&gt;1,"",IF(BT356-CONTROL_PANEL!$B$11&lt;0,0,BT356-CONTROL_PANEL!$B$11))</f>
        <v/>
      </c>
      <c r="BV356" s="18" t="str">
        <f>IF(BW356&lt;&gt;1,"",IF(BS356&lt;=0,0,MIN(BS356,MAX(0,CONTROL_PANEL!$B$13-BT356))))</f>
        <v/>
      </c>
      <c r="BW356" s="18"/>
      <c r="BY356" s="19">
        <f t="shared" si="259"/>
        <v>2045</v>
      </c>
      <c r="BZ356" s="19">
        <f t="shared" si="224"/>
        <v>1</v>
      </c>
      <c r="CA356" s="18" t="str">
        <f t="shared" si="241"/>
        <v/>
      </c>
      <c r="CB356" s="18" t="str">
        <f t="shared" si="254"/>
        <v/>
      </c>
      <c r="CC356" s="18" t="str">
        <f>IF(CP355&lt;&gt;1,"",IF(CM355&gt;0,IF(CM355&gt;CONTROL_PANEL!$B$11,CONTROL_PANEL!$B$11,CM355),0))</f>
        <v/>
      </c>
      <c r="CD356" s="18" t="str">
        <f t="shared" si="249"/>
        <v/>
      </c>
      <c r="CE356" s="18" t="str">
        <f>IF(CP356&lt;&gt;1,"",DATA_INPUT!$I356)</f>
        <v/>
      </c>
      <c r="CF356" s="18" t="str">
        <f>IF(CP356&lt;&gt;1,"",CE356*CONTROL_PANEL!$B$5)</f>
        <v/>
      </c>
      <c r="CG356" s="18" t="str">
        <f>IF(CP356&lt;&gt;1,"",DATA_INPUT!$C356)</f>
        <v/>
      </c>
      <c r="CH356" s="18" t="str">
        <f t="shared" si="242"/>
        <v/>
      </c>
      <c r="CI356" s="18" t="str">
        <f>IF(CP356&lt;&gt;1,"",DATA_INPUT!$H356)</f>
        <v/>
      </c>
      <c r="CJ356" s="18" t="str">
        <f t="shared" si="243"/>
        <v/>
      </c>
      <c r="CK356" s="18" t="str">
        <f>IF(CP356&lt;&gt;1,"",CF356*CONTROL_PANEL!$B$14)</f>
        <v/>
      </c>
      <c r="CL356" s="18" t="str">
        <f>IF(CP356&lt;&gt;1,"",DATA_INPUT!$O356)</f>
        <v/>
      </c>
      <c r="CM356" s="18" t="str">
        <f t="shared" si="244"/>
        <v/>
      </c>
      <c r="CN356" s="18" t="str">
        <f>IF(CP356&lt;&gt;1,"",IF(CM356-CONTROL_PANEL!$B$11&lt;0,0,CM356-CONTROL_PANEL!$B$11))</f>
        <v/>
      </c>
      <c r="CO356" s="18" t="str">
        <f>IF(CP356&lt;&gt;1,"",IF(CL356&lt;=0,0,MIN(CL356,MAX(0,CONTROL_PANEL!$B$13-CM356))))</f>
        <v/>
      </c>
      <c r="CP356" s="18"/>
    </row>
    <row r="357" spans="1:94" x14ac:dyDescent="0.25">
      <c r="A357" s="19">
        <f t="shared" si="255"/>
        <v>2045</v>
      </c>
      <c r="B357" s="19">
        <f t="shared" si="220"/>
        <v>2</v>
      </c>
      <c r="C357" s="18" t="str">
        <f t="shared" si="225"/>
        <v/>
      </c>
      <c r="D357" s="18" t="str">
        <f t="shared" si="250"/>
        <v/>
      </c>
      <c r="E357" s="18" t="str">
        <f>IF(R356&lt;&gt;1,"",IF(O356&gt;0,IF(O356&gt;CONTROL_PANEL!$B$11,CONTROL_PANEL!$B$11,O356),0))</f>
        <v/>
      </c>
      <c r="F357" s="18" t="str">
        <f t="shared" si="245"/>
        <v/>
      </c>
      <c r="G357" s="18" t="str">
        <f>IF(R357&lt;&gt;1,"",DATA_INPUT!I357)</f>
        <v/>
      </c>
      <c r="H357" s="18" t="str">
        <f>IF(R357&lt;&gt;1,"",G357*CONTROL_PANEL!$B$5)</f>
        <v/>
      </c>
      <c r="I357" s="18" t="str">
        <f>IF(R357&lt;&gt;1,"",DATA_INPUT!C357)</f>
        <v/>
      </c>
      <c r="J357" s="18" t="str">
        <f t="shared" si="226"/>
        <v/>
      </c>
      <c r="K357" s="18" t="str">
        <f>IF(R357&lt;&gt;1,"",DATA_INPUT!H357)</f>
        <v/>
      </c>
      <c r="L357" s="18" t="str">
        <f t="shared" si="227"/>
        <v/>
      </c>
      <c r="M357" s="18" t="str">
        <f>IF(R357&lt;&gt;1,"",H357*CONTROL_PANEL!$B$14)</f>
        <v/>
      </c>
      <c r="N357" s="18" t="str">
        <f>IF(R357&lt;&gt;1,"",DATA_INPUT!K357)</f>
        <v/>
      </c>
      <c r="O357" s="18" t="str">
        <f t="shared" si="228"/>
        <v/>
      </c>
      <c r="P357" s="18" t="str">
        <f>IF(R357&lt;&gt;1,"",IF(O357-CONTROL_PANEL!$B$11&lt;0,0,O357-CONTROL_PANEL!$B$11))</f>
        <v/>
      </c>
      <c r="Q357" s="18" t="str">
        <f>IF(R357&lt;&gt;1,"",IF(N357&lt;=0,0,MIN(N357,MAX(0,CONTROL_PANEL!$B$13-O357))))</f>
        <v/>
      </c>
      <c r="R357" s="18"/>
      <c r="T357" s="19">
        <f t="shared" si="256"/>
        <v>2045</v>
      </c>
      <c r="U357" s="19">
        <f t="shared" si="221"/>
        <v>2</v>
      </c>
      <c r="V357" s="18" t="str">
        <f t="shared" si="229"/>
        <v/>
      </c>
      <c r="W357" s="18" t="str">
        <f t="shared" si="251"/>
        <v/>
      </c>
      <c r="X357" s="18" t="str">
        <f>IF(AK356&lt;&gt;1,"",IF(AH356&gt;0,IF(AH356&gt;CONTROL_PANEL!$B$11,CONTROL_PANEL!$B$11,AH356),0))</f>
        <v/>
      </c>
      <c r="Y357" s="18" t="str">
        <f t="shared" si="246"/>
        <v/>
      </c>
      <c r="Z357" s="18" t="str">
        <f>IF(AK357&lt;&gt;1,"",DATA_INPUT!I357)</f>
        <v/>
      </c>
      <c r="AA357" s="18" t="str">
        <f>IF(AK357&lt;&gt;1,"",Z357*CONTROL_PANEL!$B$5)</f>
        <v/>
      </c>
      <c r="AB357" s="18" t="str">
        <f>IF(AK357&lt;&gt;1,"",DATA_INPUT!$C357)</f>
        <v/>
      </c>
      <c r="AC357" s="18" t="str">
        <f t="shared" si="230"/>
        <v/>
      </c>
      <c r="AD357" s="18" t="str">
        <f>IF(AK357&lt;&gt;1,"",DATA_INPUT!$H357)</f>
        <v/>
      </c>
      <c r="AE357" s="18" t="str">
        <f t="shared" si="231"/>
        <v/>
      </c>
      <c r="AF357" s="18" t="str">
        <f>IF(AK357&lt;&gt;1,"",AA357*CONTROL_PANEL!$B$14)</f>
        <v/>
      </c>
      <c r="AG357" s="18" t="str">
        <f>IF(AK357&lt;&gt;1,"",DATA_INPUT!$L357)</f>
        <v/>
      </c>
      <c r="AH357" s="18" t="str">
        <f t="shared" si="232"/>
        <v/>
      </c>
      <c r="AI357" s="18" t="str">
        <f>IF(AK357&lt;&gt;1,"",IF(AH357-CONTROL_PANEL!$B$11&lt;0,0,AH357-CONTROL_PANEL!$B$11))</f>
        <v/>
      </c>
      <c r="AJ357" s="18" t="str">
        <f>IF(AK357&lt;&gt;1,"",IF(AG357&lt;=0,0,MIN(AG357,MAX(0,CONTROL_PANEL!$B$13-AH357))))</f>
        <v/>
      </c>
      <c r="AK357" s="18"/>
      <c r="AM357" s="19">
        <f t="shared" si="257"/>
        <v>2045</v>
      </c>
      <c r="AN357" s="19">
        <f t="shared" si="222"/>
        <v>2</v>
      </c>
      <c r="AO357" s="18" t="str">
        <f t="shared" si="233"/>
        <v/>
      </c>
      <c r="AP357" s="18" t="str">
        <f t="shared" si="252"/>
        <v/>
      </c>
      <c r="AQ357" s="18" t="str">
        <f>IF(BD356&lt;&gt;1,"",IF(BA356&gt;0,IF(BA356&gt;CONTROL_PANEL!$B$11,CONTROL_PANEL!$B$11,BA356),0))</f>
        <v/>
      </c>
      <c r="AR357" s="18" t="str">
        <f t="shared" si="247"/>
        <v/>
      </c>
      <c r="AS357" s="18" t="str">
        <f>IF(BD357&lt;&gt;1,"",DATA_INPUT!$I357)</f>
        <v/>
      </c>
      <c r="AT357" s="18" t="str">
        <f>IF(BD357&lt;&gt;1,"",AS357*CONTROL_PANEL!$B$5)</f>
        <v/>
      </c>
      <c r="AU357" s="18" t="str">
        <f>IF(BD357&lt;&gt;1,"",DATA_INPUT!$C357)</f>
        <v/>
      </c>
      <c r="AV357" s="18" t="str">
        <f t="shared" si="234"/>
        <v/>
      </c>
      <c r="AW357" s="18" t="str">
        <f>IF(BD357&lt;&gt;1,"",DATA_INPUT!$H357)</f>
        <v/>
      </c>
      <c r="AX357" s="18" t="str">
        <f t="shared" si="235"/>
        <v/>
      </c>
      <c r="AY357" s="18" t="str">
        <f>IF(BD357&lt;&gt;1,"",AT357*CONTROL_PANEL!$B$14)</f>
        <v/>
      </c>
      <c r="AZ357" s="18" t="str">
        <f>IF(BD357&lt;&gt;1,"",DATA_INPUT!$M357)</f>
        <v/>
      </c>
      <c r="BA357" s="18" t="str">
        <f t="shared" si="236"/>
        <v/>
      </c>
      <c r="BB357" s="18" t="str">
        <f>IF(BD357&lt;&gt;1,"",IF(BA357-CONTROL_PANEL!$B$11&lt;0,0,BA357-CONTROL_PANEL!$B$11))</f>
        <v/>
      </c>
      <c r="BC357" s="18" t="str">
        <f>IF(BD357&lt;&gt;1,"",IF(AZ357&lt;=0,0,MIN(AZ357,MAX(0,CONTROL_PANEL!$B$13-BA357))))</f>
        <v/>
      </c>
      <c r="BD357" s="18"/>
      <c r="BF357" s="19">
        <f t="shared" si="258"/>
        <v>2045</v>
      </c>
      <c r="BG357" s="19">
        <f t="shared" si="223"/>
        <v>2</v>
      </c>
      <c r="BH357" s="18" t="str">
        <f t="shared" si="237"/>
        <v/>
      </c>
      <c r="BI357" s="18" t="str">
        <f t="shared" si="253"/>
        <v/>
      </c>
      <c r="BJ357" s="18" t="str">
        <f>IF(BW356&lt;&gt;1,"",IF(BT356&gt;0,IF(BT356&gt;CONTROL_PANEL!$B$11,CONTROL_PANEL!$B$11,BT356),0))</f>
        <v/>
      </c>
      <c r="BK357" s="18" t="str">
        <f t="shared" si="248"/>
        <v/>
      </c>
      <c r="BL357" s="18" t="str">
        <f>IF(BW357&lt;&gt;1,"",DATA_INPUT!$I357)</f>
        <v/>
      </c>
      <c r="BM357" s="18" t="str">
        <f>IF(BW357&lt;&gt;1,"",BL357*CONTROL_PANEL!$B$5)</f>
        <v/>
      </c>
      <c r="BN357" s="18" t="str">
        <f>IF(BW357&lt;&gt;1,"",DATA_INPUT!$C357)</f>
        <v/>
      </c>
      <c r="BO357" s="18" t="str">
        <f t="shared" si="238"/>
        <v/>
      </c>
      <c r="BP357" s="18" t="str">
        <f>IF(BW357&lt;&gt;1,"",DATA_INPUT!$H357)</f>
        <v/>
      </c>
      <c r="BQ357" s="18" t="str">
        <f t="shared" si="239"/>
        <v/>
      </c>
      <c r="BR357" s="18" t="str">
        <f>IF(BW357&lt;&gt;1,"",BM357*CONTROL_PANEL!$B$14)</f>
        <v/>
      </c>
      <c r="BS357" s="18" t="str">
        <f>IF(BW357&lt;&gt;1,"",DATA_INPUT!$N357)</f>
        <v/>
      </c>
      <c r="BT357" s="18" t="str">
        <f t="shared" si="240"/>
        <v/>
      </c>
      <c r="BU357" s="18" t="str">
        <f>IF(BW357&lt;&gt;1,"",IF(BT357-CONTROL_PANEL!$B$11&lt;0,0,BT357-CONTROL_PANEL!$B$11))</f>
        <v/>
      </c>
      <c r="BV357" s="18" t="str">
        <f>IF(BW357&lt;&gt;1,"",IF(BS357&lt;=0,0,MIN(BS357,MAX(0,CONTROL_PANEL!$B$13-BT357))))</f>
        <v/>
      </c>
      <c r="BW357" s="18"/>
      <c r="BY357" s="19">
        <f t="shared" si="259"/>
        <v>2045</v>
      </c>
      <c r="BZ357" s="19">
        <f t="shared" si="224"/>
        <v>2</v>
      </c>
      <c r="CA357" s="18" t="str">
        <f t="shared" si="241"/>
        <v/>
      </c>
      <c r="CB357" s="18" t="str">
        <f t="shared" si="254"/>
        <v/>
      </c>
      <c r="CC357" s="18" t="str">
        <f>IF(CP356&lt;&gt;1,"",IF(CM356&gt;0,IF(CM356&gt;CONTROL_PANEL!$B$11,CONTROL_PANEL!$B$11,CM356),0))</f>
        <v/>
      </c>
      <c r="CD357" s="18" t="str">
        <f t="shared" si="249"/>
        <v/>
      </c>
      <c r="CE357" s="18" t="str">
        <f>IF(CP357&lt;&gt;1,"",DATA_INPUT!$I357)</f>
        <v/>
      </c>
      <c r="CF357" s="18" t="str">
        <f>IF(CP357&lt;&gt;1,"",CE357*CONTROL_PANEL!$B$5)</f>
        <v/>
      </c>
      <c r="CG357" s="18" t="str">
        <f>IF(CP357&lt;&gt;1,"",DATA_INPUT!$C357)</f>
        <v/>
      </c>
      <c r="CH357" s="18" t="str">
        <f t="shared" si="242"/>
        <v/>
      </c>
      <c r="CI357" s="18" t="str">
        <f>IF(CP357&lt;&gt;1,"",DATA_INPUT!$H357)</f>
        <v/>
      </c>
      <c r="CJ357" s="18" t="str">
        <f t="shared" si="243"/>
        <v/>
      </c>
      <c r="CK357" s="18" t="str">
        <f>IF(CP357&lt;&gt;1,"",CF357*CONTROL_PANEL!$B$14)</f>
        <v/>
      </c>
      <c r="CL357" s="18" t="str">
        <f>IF(CP357&lt;&gt;1,"",DATA_INPUT!$O357)</f>
        <v/>
      </c>
      <c r="CM357" s="18" t="str">
        <f t="shared" si="244"/>
        <v/>
      </c>
      <c r="CN357" s="18" t="str">
        <f>IF(CP357&lt;&gt;1,"",IF(CM357-CONTROL_PANEL!$B$11&lt;0,0,CM357-CONTROL_PANEL!$B$11))</f>
        <v/>
      </c>
      <c r="CO357" s="18" t="str">
        <f>IF(CP357&lt;&gt;1,"",IF(CL357&lt;=0,0,MIN(CL357,MAX(0,CONTROL_PANEL!$B$13-CM357))))</f>
        <v/>
      </c>
      <c r="CP357" s="18"/>
    </row>
    <row r="358" spans="1:94" x14ac:dyDescent="0.25">
      <c r="A358" s="19">
        <f t="shared" si="255"/>
        <v>2045</v>
      </c>
      <c r="B358" s="19">
        <f t="shared" si="220"/>
        <v>3</v>
      </c>
      <c r="C358" s="18" t="str">
        <f t="shared" si="225"/>
        <v/>
      </c>
      <c r="D358" s="18" t="str">
        <f t="shared" si="250"/>
        <v/>
      </c>
      <c r="E358" s="18" t="str">
        <f>IF(R357&lt;&gt;1,"",IF(O357&gt;0,IF(O357&gt;CONTROL_PANEL!$B$11,CONTROL_PANEL!$B$11,O357),0))</f>
        <v/>
      </c>
      <c r="F358" s="18" t="str">
        <f t="shared" si="245"/>
        <v/>
      </c>
      <c r="G358" s="18" t="str">
        <f>IF(R358&lt;&gt;1,"",DATA_INPUT!I358)</f>
        <v/>
      </c>
      <c r="H358" s="18" t="str">
        <f>IF(R358&lt;&gt;1,"",G358*CONTROL_PANEL!$B$5)</f>
        <v/>
      </c>
      <c r="I358" s="18" t="str">
        <f>IF(R358&lt;&gt;1,"",DATA_INPUT!C358)</f>
        <v/>
      </c>
      <c r="J358" s="18" t="str">
        <f t="shared" si="226"/>
        <v/>
      </c>
      <c r="K358" s="18" t="str">
        <f>IF(R358&lt;&gt;1,"",DATA_INPUT!H358)</f>
        <v/>
      </c>
      <c r="L358" s="18" t="str">
        <f t="shared" si="227"/>
        <v/>
      </c>
      <c r="M358" s="18" t="str">
        <f>IF(R358&lt;&gt;1,"",H358*CONTROL_PANEL!$B$14)</f>
        <v/>
      </c>
      <c r="N358" s="18" t="str">
        <f>IF(R358&lt;&gt;1,"",DATA_INPUT!K358)</f>
        <v/>
      </c>
      <c r="O358" s="18" t="str">
        <f t="shared" si="228"/>
        <v/>
      </c>
      <c r="P358" s="18" t="str">
        <f>IF(R358&lt;&gt;1,"",IF(O358-CONTROL_PANEL!$B$11&lt;0,0,O358-CONTROL_PANEL!$B$11))</f>
        <v/>
      </c>
      <c r="Q358" s="18" t="str">
        <f>IF(R358&lt;&gt;1,"",IF(N358&lt;=0,0,MIN(N358,MAX(0,CONTROL_PANEL!$B$13-O358))))</f>
        <v/>
      </c>
      <c r="R358" s="18"/>
      <c r="T358" s="19">
        <f t="shared" si="256"/>
        <v>2045</v>
      </c>
      <c r="U358" s="19">
        <f t="shared" si="221"/>
        <v>3</v>
      </c>
      <c r="V358" s="18" t="str">
        <f t="shared" si="229"/>
        <v/>
      </c>
      <c r="W358" s="18" t="str">
        <f t="shared" si="251"/>
        <v/>
      </c>
      <c r="X358" s="18" t="str">
        <f>IF(AK357&lt;&gt;1,"",IF(AH357&gt;0,IF(AH357&gt;CONTROL_PANEL!$B$11,CONTROL_PANEL!$B$11,AH357),0))</f>
        <v/>
      </c>
      <c r="Y358" s="18" t="str">
        <f t="shared" si="246"/>
        <v/>
      </c>
      <c r="Z358" s="18" t="str">
        <f>IF(AK358&lt;&gt;1,"",DATA_INPUT!I358)</f>
        <v/>
      </c>
      <c r="AA358" s="18" t="str">
        <f>IF(AK358&lt;&gt;1,"",Z358*CONTROL_PANEL!$B$5)</f>
        <v/>
      </c>
      <c r="AB358" s="18" t="str">
        <f>IF(AK358&lt;&gt;1,"",DATA_INPUT!$C358)</f>
        <v/>
      </c>
      <c r="AC358" s="18" t="str">
        <f t="shared" si="230"/>
        <v/>
      </c>
      <c r="AD358" s="18" t="str">
        <f>IF(AK358&lt;&gt;1,"",DATA_INPUT!$H358)</f>
        <v/>
      </c>
      <c r="AE358" s="18" t="str">
        <f t="shared" si="231"/>
        <v/>
      </c>
      <c r="AF358" s="18" t="str">
        <f>IF(AK358&lt;&gt;1,"",AA358*CONTROL_PANEL!$B$14)</f>
        <v/>
      </c>
      <c r="AG358" s="18" t="str">
        <f>IF(AK358&lt;&gt;1,"",DATA_INPUT!$L358)</f>
        <v/>
      </c>
      <c r="AH358" s="18" t="str">
        <f t="shared" si="232"/>
        <v/>
      </c>
      <c r="AI358" s="18" t="str">
        <f>IF(AK358&lt;&gt;1,"",IF(AH358-CONTROL_PANEL!$B$11&lt;0,0,AH358-CONTROL_PANEL!$B$11))</f>
        <v/>
      </c>
      <c r="AJ358" s="18" t="str">
        <f>IF(AK358&lt;&gt;1,"",IF(AG358&lt;=0,0,MIN(AG358,MAX(0,CONTROL_PANEL!$B$13-AH358))))</f>
        <v/>
      </c>
      <c r="AK358" s="18"/>
      <c r="AM358" s="19">
        <f t="shared" si="257"/>
        <v>2045</v>
      </c>
      <c r="AN358" s="19">
        <f t="shared" si="222"/>
        <v>3</v>
      </c>
      <c r="AO358" s="18" t="str">
        <f t="shared" si="233"/>
        <v/>
      </c>
      <c r="AP358" s="18" t="str">
        <f t="shared" si="252"/>
        <v/>
      </c>
      <c r="AQ358" s="18" t="str">
        <f>IF(BD357&lt;&gt;1,"",IF(BA357&gt;0,IF(BA357&gt;CONTROL_PANEL!$B$11,CONTROL_PANEL!$B$11,BA357),0))</f>
        <v/>
      </c>
      <c r="AR358" s="18" t="str">
        <f t="shared" si="247"/>
        <v/>
      </c>
      <c r="AS358" s="18" t="str">
        <f>IF(BD358&lt;&gt;1,"",DATA_INPUT!$I358)</f>
        <v/>
      </c>
      <c r="AT358" s="18" t="str">
        <f>IF(BD358&lt;&gt;1,"",AS358*CONTROL_PANEL!$B$5)</f>
        <v/>
      </c>
      <c r="AU358" s="18" t="str">
        <f>IF(BD358&lt;&gt;1,"",DATA_INPUT!$C358)</f>
        <v/>
      </c>
      <c r="AV358" s="18" t="str">
        <f t="shared" si="234"/>
        <v/>
      </c>
      <c r="AW358" s="18" t="str">
        <f>IF(BD358&lt;&gt;1,"",DATA_INPUT!$H358)</f>
        <v/>
      </c>
      <c r="AX358" s="18" t="str">
        <f t="shared" si="235"/>
        <v/>
      </c>
      <c r="AY358" s="18" t="str">
        <f>IF(BD358&lt;&gt;1,"",AT358*CONTROL_PANEL!$B$14)</f>
        <v/>
      </c>
      <c r="AZ358" s="18" t="str">
        <f>IF(BD358&lt;&gt;1,"",DATA_INPUT!$M358)</f>
        <v/>
      </c>
      <c r="BA358" s="18" t="str">
        <f t="shared" si="236"/>
        <v/>
      </c>
      <c r="BB358" s="18" t="str">
        <f>IF(BD358&lt;&gt;1,"",IF(BA358-CONTROL_PANEL!$B$11&lt;0,0,BA358-CONTROL_PANEL!$B$11))</f>
        <v/>
      </c>
      <c r="BC358" s="18" t="str">
        <f>IF(BD358&lt;&gt;1,"",IF(AZ358&lt;=0,0,MIN(AZ358,MAX(0,CONTROL_PANEL!$B$13-BA358))))</f>
        <v/>
      </c>
      <c r="BD358" s="18"/>
      <c r="BF358" s="19">
        <f t="shared" si="258"/>
        <v>2045</v>
      </c>
      <c r="BG358" s="19">
        <f t="shared" si="223"/>
        <v>3</v>
      </c>
      <c r="BH358" s="18" t="str">
        <f t="shared" si="237"/>
        <v/>
      </c>
      <c r="BI358" s="18" t="str">
        <f t="shared" si="253"/>
        <v/>
      </c>
      <c r="BJ358" s="18" t="str">
        <f>IF(BW357&lt;&gt;1,"",IF(BT357&gt;0,IF(BT357&gt;CONTROL_PANEL!$B$11,CONTROL_PANEL!$B$11,BT357),0))</f>
        <v/>
      </c>
      <c r="BK358" s="18" t="str">
        <f t="shared" si="248"/>
        <v/>
      </c>
      <c r="BL358" s="18" t="str">
        <f>IF(BW358&lt;&gt;1,"",DATA_INPUT!$I358)</f>
        <v/>
      </c>
      <c r="BM358" s="18" t="str">
        <f>IF(BW358&lt;&gt;1,"",BL358*CONTROL_PANEL!$B$5)</f>
        <v/>
      </c>
      <c r="BN358" s="18" t="str">
        <f>IF(BW358&lt;&gt;1,"",DATA_INPUT!$C358)</f>
        <v/>
      </c>
      <c r="BO358" s="18" t="str">
        <f t="shared" si="238"/>
        <v/>
      </c>
      <c r="BP358" s="18" t="str">
        <f>IF(BW358&lt;&gt;1,"",DATA_INPUT!$H358)</f>
        <v/>
      </c>
      <c r="BQ358" s="18" t="str">
        <f t="shared" si="239"/>
        <v/>
      </c>
      <c r="BR358" s="18" t="str">
        <f>IF(BW358&lt;&gt;1,"",BM358*CONTROL_PANEL!$B$14)</f>
        <v/>
      </c>
      <c r="BS358" s="18" t="str">
        <f>IF(BW358&lt;&gt;1,"",DATA_INPUT!$N358)</f>
        <v/>
      </c>
      <c r="BT358" s="18" t="str">
        <f t="shared" si="240"/>
        <v/>
      </c>
      <c r="BU358" s="18" t="str">
        <f>IF(BW358&lt;&gt;1,"",IF(BT358-CONTROL_PANEL!$B$11&lt;0,0,BT358-CONTROL_PANEL!$B$11))</f>
        <v/>
      </c>
      <c r="BV358" s="18" t="str">
        <f>IF(BW358&lt;&gt;1,"",IF(BS358&lt;=0,0,MIN(BS358,MAX(0,CONTROL_PANEL!$B$13-BT358))))</f>
        <v/>
      </c>
      <c r="BW358" s="18"/>
      <c r="BY358" s="19">
        <f t="shared" si="259"/>
        <v>2045</v>
      </c>
      <c r="BZ358" s="19">
        <f t="shared" si="224"/>
        <v>3</v>
      </c>
      <c r="CA358" s="18" t="str">
        <f t="shared" si="241"/>
        <v/>
      </c>
      <c r="CB358" s="18" t="str">
        <f t="shared" si="254"/>
        <v/>
      </c>
      <c r="CC358" s="18" t="str">
        <f>IF(CP357&lt;&gt;1,"",IF(CM357&gt;0,IF(CM357&gt;CONTROL_PANEL!$B$11,CONTROL_PANEL!$B$11,CM357),0))</f>
        <v/>
      </c>
      <c r="CD358" s="18" t="str">
        <f t="shared" si="249"/>
        <v/>
      </c>
      <c r="CE358" s="18" t="str">
        <f>IF(CP358&lt;&gt;1,"",DATA_INPUT!$I358)</f>
        <v/>
      </c>
      <c r="CF358" s="18" t="str">
        <f>IF(CP358&lt;&gt;1,"",CE358*CONTROL_PANEL!$B$5)</f>
        <v/>
      </c>
      <c r="CG358" s="18" t="str">
        <f>IF(CP358&lt;&gt;1,"",DATA_INPUT!$C358)</f>
        <v/>
      </c>
      <c r="CH358" s="18" t="str">
        <f t="shared" si="242"/>
        <v/>
      </c>
      <c r="CI358" s="18" t="str">
        <f>IF(CP358&lt;&gt;1,"",DATA_INPUT!$H358)</f>
        <v/>
      </c>
      <c r="CJ358" s="18" t="str">
        <f t="shared" si="243"/>
        <v/>
      </c>
      <c r="CK358" s="18" t="str">
        <f>IF(CP358&lt;&gt;1,"",CF358*CONTROL_PANEL!$B$14)</f>
        <v/>
      </c>
      <c r="CL358" s="18" t="str">
        <f>IF(CP358&lt;&gt;1,"",DATA_INPUT!$O358)</f>
        <v/>
      </c>
      <c r="CM358" s="18" t="str">
        <f t="shared" si="244"/>
        <v/>
      </c>
      <c r="CN358" s="18" t="str">
        <f>IF(CP358&lt;&gt;1,"",IF(CM358-CONTROL_PANEL!$B$11&lt;0,0,CM358-CONTROL_PANEL!$B$11))</f>
        <v/>
      </c>
      <c r="CO358" s="18" t="str">
        <f>IF(CP358&lt;&gt;1,"",IF(CL358&lt;=0,0,MIN(CL358,MAX(0,CONTROL_PANEL!$B$13-CM358))))</f>
        <v/>
      </c>
      <c r="CP358" s="18"/>
    </row>
    <row r="359" spans="1:94" x14ac:dyDescent="0.25">
      <c r="A359" s="19">
        <f t="shared" si="255"/>
        <v>2045</v>
      </c>
      <c r="B359" s="19">
        <f t="shared" si="220"/>
        <v>4</v>
      </c>
      <c r="C359" s="18" t="str">
        <f t="shared" si="225"/>
        <v/>
      </c>
      <c r="D359" s="18" t="str">
        <f t="shared" si="250"/>
        <v/>
      </c>
      <c r="E359" s="18" t="str">
        <f>IF(R358&lt;&gt;1,"",IF(O358&gt;0,IF(O358&gt;CONTROL_PANEL!$B$11,CONTROL_PANEL!$B$11,O358),0))</f>
        <v/>
      </c>
      <c r="F359" s="18" t="str">
        <f t="shared" si="245"/>
        <v/>
      </c>
      <c r="G359" s="18" t="str">
        <f>IF(R359&lt;&gt;1,"",DATA_INPUT!I359)</f>
        <v/>
      </c>
      <c r="H359" s="18" t="str">
        <f>IF(R359&lt;&gt;1,"",G359*CONTROL_PANEL!$B$5)</f>
        <v/>
      </c>
      <c r="I359" s="18" t="str">
        <f>IF(R359&lt;&gt;1,"",DATA_INPUT!C359)</f>
        <v/>
      </c>
      <c r="J359" s="18" t="str">
        <f t="shared" si="226"/>
        <v/>
      </c>
      <c r="K359" s="18" t="str">
        <f>IF(R359&lt;&gt;1,"",DATA_INPUT!H359)</f>
        <v/>
      </c>
      <c r="L359" s="18" t="str">
        <f t="shared" si="227"/>
        <v/>
      </c>
      <c r="M359" s="18" t="str">
        <f>IF(R359&lt;&gt;1,"",H359*CONTROL_PANEL!$B$14)</f>
        <v/>
      </c>
      <c r="N359" s="18" t="str">
        <f>IF(R359&lt;&gt;1,"",DATA_INPUT!K359)</f>
        <v/>
      </c>
      <c r="O359" s="18" t="str">
        <f t="shared" si="228"/>
        <v/>
      </c>
      <c r="P359" s="18" t="str">
        <f>IF(R359&lt;&gt;1,"",IF(O359-CONTROL_PANEL!$B$11&lt;0,0,O359-CONTROL_PANEL!$B$11))</f>
        <v/>
      </c>
      <c r="Q359" s="18" t="str">
        <f>IF(R359&lt;&gt;1,"",IF(N359&lt;=0,0,MIN(N359,MAX(0,CONTROL_PANEL!$B$13-O359))))</f>
        <v/>
      </c>
      <c r="R359" s="18"/>
      <c r="T359" s="19">
        <f t="shared" si="256"/>
        <v>2045</v>
      </c>
      <c r="U359" s="19">
        <f t="shared" si="221"/>
        <v>4</v>
      </c>
      <c r="V359" s="18" t="str">
        <f t="shared" si="229"/>
        <v/>
      </c>
      <c r="W359" s="18" t="str">
        <f t="shared" si="251"/>
        <v/>
      </c>
      <c r="X359" s="18" t="str">
        <f>IF(AK358&lt;&gt;1,"",IF(AH358&gt;0,IF(AH358&gt;CONTROL_PANEL!$B$11,CONTROL_PANEL!$B$11,AH358),0))</f>
        <v/>
      </c>
      <c r="Y359" s="18" t="str">
        <f t="shared" si="246"/>
        <v/>
      </c>
      <c r="Z359" s="18" t="str">
        <f>IF(AK359&lt;&gt;1,"",DATA_INPUT!I359)</f>
        <v/>
      </c>
      <c r="AA359" s="18" t="str">
        <f>IF(AK359&lt;&gt;1,"",Z359*CONTROL_PANEL!$B$5)</f>
        <v/>
      </c>
      <c r="AB359" s="18" t="str">
        <f>IF(AK359&lt;&gt;1,"",DATA_INPUT!$C359)</f>
        <v/>
      </c>
      <c r="AC359" s="18" t="str">
        <f t="shared" si="230"/>
        <v/>
      </c>
      <c r="AD359" s="18" t="str">
        <f>IF(AK359&lt;&gt;1,"",DATA_INPUT!$H359)</f>
        <v/>
      </c>
      <c r="AE359" s="18" t="str">
        <f t="shared" si="231"/>
        <v/>
      </c>
      <c r="AF359" s="18" t="str">
        <f>IF(AK359&lt;&gt;1,"",AA359*CONTROL_PANEL!$B$14)</f>
        <v/>
      </c>
      <c r="AG359" s="18" t="str">
        <f>IF(AK359&lt;&gt;1,"",DATA_INPUT!$L359)</f>
        <v/>
      </c>
      <c r="AH359" s="18" t="str">
        <f t="shared" si="232"/>
        <v/>
      </c>
      <c r="AI359" s="18" t="str">
        <f>IF(AK359&lt;&gt;1,"",IF(AH359-CONTROL_PANEL!$B$11&lt;0,0,AH359-CONTROL_PANEL!$B$11))</f>
        <v/>
      </c>
      <c r="AJ359" s="18" t="str">
        <f>IF(AK359&lt;&gt;1,"",IF(AG359&lt;=0,0,MIN(AG359,MAX(0,CONTROL_PANEL!$B$13-AH359))))</f>
        <v/>
      </c>
      <c r="AK359" s="18"/>
      <c r="AM359" s="19">
        <f t="shared" si="257"/>
        <v>2045</v>
      </c>
      <c r="AN359" s="19">
        <f t="shared" si="222"/>
        <v>4</v>
      </c>
      <c r="AO359" s="18" t="str">
        <f t="shared" si="233"/>
        <v/>
      </c>
      <c r="AP359" s="18" t="str">
        <f t="shared" si="252"/>
        <v/>
      </c>
      <c r="AQ359" s="18" t="str">
        <f>IF(BD358&lt;&gt;1,"",IF(BA358&gt;0,IF(BA358&gt;CONTROL_PANEL!$B$11,CONTROL_PANEL!$B$11,BA358),0))</f>
        <v/>
      </c>
      <c r="AR359" s="18" t="str">
        <f t="shared" si="247"/>
        <v/>
      </c>
      <c r="AS359" s="18" t="str">
        <f>IF(BD359&lt;&gt;1,"",DATA_INPUT!$I359)</f>
        <v/>
      </c>
      <c r="AT359" s="18" t="str">
        <f>IF(BD359&lt;&gt;1,"",AS359*CONTROL_PANEL!$B$5)</f>
        <v/>
      </c>
      <c r="AU359" s="18" t="str">
        <f>IF(BD359&lt;&gt;1,"",DATA_INPUT!$C359)</f>
        <v/>
      </c>
      <c r="AV359" s="18" t="str">
        <f t="shared" si="234"/>
        <v/>
      </c>
      <c r="AW359" s="18" t="str">
        <f>IF(BD359&lt;&gt;1,"",DATA_INPUT!$H359)</f>
        <v/>
      </c>
      <c r="AX359" s="18" t="str">
        <f t="shared" si="235"/>
        <v/>
      </c>
      <c r="AY359" s="18" t="str">
        <f>IF(BD359&lt;&gt;1,"",AT359*CONTROL_PANEL!$B$14)</f>
        <v/>
      </c>
      <c r="AZ359" s="18" t="str">
        <f>IF(BD359&lt;&gt;1,"",DATA_INPUT!$M359)</f>
        <v/>
      </c>
      <c r="BA359" s="18" t="str">
        <f t="shared" si="236"/>
        <v/>
      </c>
      <c r="BB359" s="18" t="str">
        <f>IF(BD359&lt;&gt;1,"",IF(BA359-CONTROL_PANEL!$B$11&lt;0,0,BA359-CONTROL_PANEL!$B$11))</f>
        <v/>
      </c>
      <c r="BC359" s="18" t="str">
        <f>IF(BD359&lt;&gt;1,"",IF(AZ359&lt;=0,0,MIN(AZ359,MAX(0,CONTROL_PANEL!$B$13-BA359))))</f>
        <v/>
      </c>
      <c r="BD359" s="18"/>
      <c r="BF359" s="19">
        <f t="shared" si="258"/>
        <v>2045</v>
      </c>
      <c r="BG359" s="19">
        <f t="shared" si="223"/>
        <v>4</v>
      </c>
      <c r="BH359" s="18" t="str">
        <f t="shared" si="237"/>
        <v/>
      </c>
      <c r="BI359" s="18" t="str">
        <f t="shared" si="253"/>
        <v/>
      </c>
      <c r="BJ359" s="18" t="str">
        <f>IF(BW358&lt;&gt;1,"",IF(BT358&gt;0,IF(BT358&gt;CONTROL_PANEL!$B$11,CONTROL_PANEL!$B$11,BT358),0))</f>
        <v/>
      </c>
      <c r="BK359" s="18" t="str">
        <f t="shared" si="248"/>
        <v/>
      </c>
      <c r="BL359" s="18" t="str">
        <f>IF(BW359&lt;&gt;1,"",DATA_INPUT!$I359)</f>
        <v/>
      </c>
      <c r="BM359" s="18" t="str">
        <f>IF(BW359&lt;&gt;1,"",BL359*CONTROL_PANEL!$B$5)</f>
        <v/>
      </c>
      <c r="BN359" s="18" t="str">
        <f>IF(BW359&lt;&gt;1,"",DATA_INPUT!$C359)</f>
        <v/>
      </c>
      <c r="BO359" s="18" t="str">
        <f t="shared" si="238"/>
        <v/>
      </c>
      <c r="BP359" s="18" t="str">
        <f>IF(BW359&lt;&gt;1,"",DATA_INPUT!$H359)</f>
        <v/>
      </c>
      <c r="BQ359" s="18" t="str">
        <f t="shared" si="239"/>
        <v/>
      </c>
      <c r="BR359" s="18" t="str">
        <f>IF(BW359&lt;&gt;1,"",BM359*CONTROL_PANEL!$B$14)</f>
        <v/>
      </c>
      <c r="BS359" s="18" t="str">
        <f>IF(BW359&lt;&gt;1,"",DATA_INPUT!$N359)</f>
        <v/>
      </c>
      <c r="BT359" s="18" t="str">
        <f t="shared" si="240"/>
        <v/>
      </c>
      <c r="BU359" s="18" t="str">
        <f>IF(BW359&lt;&gt;1,"",IF(BT359-CONTROL_PANEL!$B$11&lt;0,0,BT359-CONTROL_PANEL!$B$11))</f>
        <v/>
      </c>
      <c r="BV359" s="18" t="str">
        <f>IF(BW359&lt;&gt;1,"",IF(BS359&lt;=0,0,MIN(BS359,MAX(0,CONTROL_PANEL!$B$13-BT359))))</f>
        <v/>
      </c>
      <c r="BW359" s="18"/>
      <c r="BY359" s="19">
        <f t="shared" si="259"/>
        <v>2045</v>
      </c>
      <c r="BZ359" s="19">
        <f t="shared" si="224"/>
        <v>4</v>
      </c>
      <c r="CA359" s="18" t="str">
        <f t="shared" si="241"/>
        <v/>
      </c>
      <c r="CB359" s="18" t="str">
        <f t="shared" si="254"/>
        <v/>
      </c>
      <c r="CC359" s="18" t="str">
        <f>IF(CP358&lt;&gt;1,"",IF(CM358&gt;0,IF(CM358&gt;CONTROL_PANEL!$B$11,CONTROL_PANEL!$B$11,CM358),0))</f>
        <v/>
      </c>
      <c r="CD359" s="18" t="str">
        <f t="shared" si="249"/>
        <v/>
      </c>
      <c r="CE359" s="18" t="str">
        <f>IF(CP359&lt;&gt;1,"",DATA_INPUT!$I359)</f>
        <v/>
      </c>
      <c r="CF359" s="18" t="str">
        <f>IF(CP359&lt;&gt;1,"",CE359*CONTROL_PANEL!$B$5)</f>
        <v/>
      </c>
      <c r="CG359" s="18" t="str">
        <f>IF(CP359&lt;&gt;1,"",DATA_INPUT!$C359)</f>
        <v/>
      </c>
      <c r="CH359" s="18" t="str">
        <f t="shared" si="242"/>
        <v/>
      </c>
      <c r="CI359" s="18" t="str">
        <f>IF(CP359&lt;&gt;1,"",DATA_INPUT!$H359)</f>
        <v/>
      </c>
      <c r="CJ359" s="18" t="str">
        <f t="shared" si="243"/>
        <v/>
      </c>
      <c r="CK359" s="18" t="str">
        <f>IF(CP359&lt;&gt;1,"",CF359*CONTROL_PANEL!$B$14)</f>
        <v/>
      </c>
      <c r="CL359" s="18" t="str">
        <f>IF(CP359&lt;&gt;1,"",DATA_INPUT!$O359)</f>
        <v/>
      </c>
      <c r="CM359" s="18" t="str">
        <f t="shared" si="244"/>
        <v/>
      </c>
      <c r="CN359" s="18" t="str">
        <f>IF(CP359&lt;&gt;1,"",IF(CM359-CONTROL_PANEL!$B$11&lt;0,0,CM359-CONTROL_PANEL!$B$11))</f>
        <v/>
      </c>
      <c r="CO359" s="18" t="str">
        <f>IF(CP359&lt;&gt;1,"",IF(CL359&lt;=0,0,MIN(CL359,MAX(0,CONTROL_PANEL!$B$13-CM359))))</f>
        <v/>
      </c>
      <c r="CP359" s="18"/>
    </row>
    <row r="360" spans="1:94" x14ac:dyDescent="0.25">
      <c r="A360" s="19">
        <f t="shared" si="255"/>
        <v>2045</v>
      </c>
      <c r="B360" s="19">
        <f t="shared" si="220"/>
        <v>5</v>
      </c>
      <c r="C360" s="18" t="str">
        <f t="shared" si="225"/>
        <v/>
      </c>
      <c r="D360" s="18" t="str">
        <f t="shared" si="250"/>
        <v/>
      </c>
      <c r="E360" s="18" t="str">
        <f>IF(R359&lt;&gt;1,"",IF(O359&gt;0,IF(O359&gt;CONTROL_PANEL!$B$11,CONTROL_PANEL!$B$11,O359),0))</f>
        <v/>
      </c>
      <c r="F360" s="18" t="str">
        <f t="shared" si="245"/>
        <v/>
      </c>
      <c r="G360" s="18" t="str">
        <f>IF(R360&lt;&gt;1,"",DATA_INPUT!I360)</f>
        <v/>
      </c>
      <c r="H360" s="18" t="str">
        <f>IF(R360&lt;&gt;1,"",G360*CONTROL_PANEL!$B$5)</f>
        <v/>
      </c>
      <c r="I360" s="18" t="str">
        <f>IF(R360&lt;&gt;1,"",DATA_INPUT!C360)</f>
        <v/>
      </c>
      <c r="J360" s="18" t="str">
        <f t="shared" si="226"/>
        <v/>
      </c>
      <c r="K360" s="18" t="str">
        <f>IF(R360&lt;&gt;1,"",DATA_INPUT!H360)</f>
        <v/>
      </c>
      <c r="L360" s="18" t="str">
        <f t="shared" si="227"/>
        <v/>
      </c>
      <c r="M360" s="18" t="str">
        <f>IF(R360&lt;&gt;1,"",H360*CONTROL_PANEL!$B$14)</f>
        <v/>
      </c>
      <c r="N360" s="18" t="str">
        <f>IF(R360&lt;&gt;1,"",DATA_INPUT!K360)</f>
        <v/>
      </c>
      <c r="O360" s="18" t="str">
        <f t="shared" si="228"/>
        <v/>
      </c>
      <c r="P360" s="18" t="str">
        <f>IF(R360&lt;&gt;1,"",IF(O360-CONTROL_PANEL!$B$11&lt;0,0,O360-CONTROL_PANEL!$B$11))</f>
        <v/>
      </c>
      <c r="Q360" s="18" t="str">
        <f>IF(R360&lt;&gt;1,"",IF(N360&lt;=0,0,MIN(N360,MAX(0,CONTROL_PANEL!$B$13-O360))))</f>
        <v/>
      </c>
      <c r="R360" s="18"/>
      <c r="T360" s="19">
        <f t="shared" si="256"/>
        <v>2045</v>
      </c>
      <c r="U360" s="19">
        <f t="shared" si="221"/>
        <v>5</v>
      </c>
      <c r="V360" s="18" t="str">
        <f t="shared" si="229"/>
        <v/>
      </c>
      <c r="W360" s="18" t="str">
        <f t="shared" si="251"/>
        <v/>
      </c>
      <c r="X360" s="18" t="str">
        <f>IF(AK359&lt;&gt;1,"",IF(AH359&gt;0,IF(AH359&gt;CONTROL_PANEL!$B$11,CONTROL_PANEL!$B$11,AH359),0))</f>
        <v/>
      </c>
      <c r="Y360" s="18" t="str">
        <f t="shared" si="246"/>
        <v/>
      </c>
      <c r="Z360" s="18" t="str">
        <f>IF(AK360&lt;&gt;1,"",DATA_INPUT!I360)</f>
        <v/>
      </c>
      <c r="AA360" s="18" t="str">
        <f>IF(AK360&lt;&gt;1,"",Z360*CONTROL_PANEL!$B$5)</f>
        <v/>
      </c>
      <c r="AB360" s="18" t="str">
        <f>IF(AK360&lt;&gt;1,"",DATA_INPUT!$C360)</f>
        <v/>
      </c>
      <c r="AC360" s="18" t="str">
        <f t="shared" si="230"/>
        <v/>
      </c>
      <c r="AD360" s="18" t="str">
        <f>IF(AK360&lt;&gt;1,"",DATA_INPUT!$H360)</f>
        <v/>
      </c>
      <c r="AE360" s="18" t="str">
        <f t="shared" si="231"/>
        <v/>
      </c>
      <c r="AF360" s="18" t="str">
        <f>IF(AK360&lt;&gt;1,"",AA360*CONTROL_PANEL!$B$14)</f>
        <v/>
      </c>
      <c r="AG360" s="18" t="str">
        <f>IF(AK360&lt;&gt;1,"",DATA_INPUT!$L360)</f>
        <v/>
      </c>
      <c r="AH360" s="18" t="str">
        <f t="shared" si="232"/>
        <v/>
      </c>
      <c r="AI360" s="18" t="str">
        <f>IF(AK360&lt;&gt;1,"",IF(AH360-CONTROL_PANEL!$B$11&lt;0,0,AH360-CONTROL_PANEL!$B$11))</f>
        <v/>
      </c>
      <c r="AJ360" s="18" t="str">
        <f>IF(AK360&lt;&gt;1,"",IF(AG360&lt;=0,0,MIN(AG360,MAX(0,CONTROL_PANEL!$B$13-AH360))))</f>
        <v/>
      </c>
      <c r="AK360" s="18"/>
      <c r="AM360" s="19">
        <f t="shared" si="257"/>
        <v>2045</v>
      </c>
      <c r="AN360" s="19">
        <f t="shared" si="222"/>
        <v>5</v>
      </c>
      <c r="AO360" s="18" t="str">
        <f t="shared" si="233"/>
        <v/>
      </c>
      <c r="AP360" s="18" t="str">
        <f t="shared" si="252"/>
        <v/>
      </c>
      <c r="AQ360" s="18" t="str">
        <f>IF(BD359&lt;&gt;1,"",IF(BA359&gt;0,IF(BA359&gt;CONTROL_PANEL!$B$11,CONTROL_PANEL!$B$11,BA359),0))</f>
        <v/>
      </c>
      <c r="AR360" s="18" t="str">
        <f t="shared" si="247"/>
        <v/>
      </c>
      <c r="AS360" s="18" t="str">
        <f>IF(BD360&lt;&gt;1,"",DATA_INPUT!$I360)</f>
        <v/>
      </c>
      <c r="AT360" s="18" t="str">
        <f>IF(BD360&lt;&gt;1,"",AS360*CONTROL_PANEL!$B$5)</f>
        <v/>
      </c>
      <c r="AU360" s="18" t="str">
        <f>IF(BD360&lt;&gt;1,"",DATA_INPUT!$C360)</f>
        <v/>
      </c>
      <c r="AV360" s="18" t="str">
        <f t="shared" si="234"/>
        <v/>
      </c>
      <c r="AW360" s="18" t="str">
        <f>IF(BD360&lt;&gt;1,"",DATA_INPUT!$H360)</f>
        <v/>
      </c>
      <c r="AX360" s="18" t="str">
        <f t="shared" si="235"/>
        <v/>
      </c>
      <c r="AY360" s="18" t="str">
        <f>IF(BD360&lt;&gt;1,"",AT360*CONTROL_PANEL!$B$14)</f>
        <v/>
      </c>
      <c r="AZ360" s="18" t="str">
        <f>IF(BD360&lt;&gt;1,"",DATA_INPUT!$M360)</f>
        <v/>
      </c>
      <c r="BA360" s="18" t="str">
        <f t="shared" si="236"/>
        <v/>
      </c>
      <c r="BB360" s="18" t="str">
        <f>IF(BD360&lt;&gt;1,"",IF(BA360-CONTROL_PANEL!$B$11&lt;0,0,BA360-CONTROL_PANEL!$B$11))</f>
        <v/>
      </c>
      <c r="BC360" s="18" t="str">
        <f>IF(BD360&lt;&gt;1,"",IF(AZ360&lt;=0,0,MIN(AZ360,MAX(0,CONTROL_PANEL!$B$13-BA360))))</f>
        <v/>
      </c>
      <c r="BD360" s="18"/>
      <c r="BF360" s="19">
        <f t="shared" si="258"/>
        <v>2045</v>
      </c>
      <c r="BG360" s="19">
        <f t="shared" si="223"/>
        <v>5</v>
      </c>
      <c r="BH360" s="18" t="str">
        <f t="shared" si="237"/>
        <v/>
      </c>
      <c r="BI360" s="18" t="str">
        <f t="shared" si="253"/>
        <v/>
      </c>
      <c r="BJ360" s="18" t="str">
        <f>IF(BW359&lt;&gt;1,"",IF(BT359&gt;0,IF(BT359&gt;CONTROL_PANEL!$B$11,CONTROL_PANEL!$B$11,BT359),0))</f>
        <v/>
      </c>
      <c r="BK360" s="18" t="str">
        <f t="shared" si="248"/>
        <v/>
      </c>
      <c r="BL360" s="18" t="str">
        <f>IF(BW360&lt;&gt;1,"",DATA_INPUT!$I360)</f>
        <v/>
      </c>
      <c r="BM360" s="18" t="str">
        <f>IF(BW360&lt;&gt;1,"",BL360*CONTROL_PANEL!$B$5)</f>
        <v/>
      </c>
      <c r="BN360" s="18" t="str">
        <f>IF(BW360&lt;&gt;1,"",DATA_INPUT!$C360)</f>
        <v/>
      </c>
      <c r="BO360" s="18" t="str">
        <f t="shared" si="238"/>
        <v/>
      </c>
      <c r="BP360" s="18" t="str">
        <f>IF(BW360&lt;&gt;1,"",DATA_INPUT!$H360)</f>
        <v/>
      </c>
      <c r="BQ360" s="18" t="str">
        <f t="shared" si="239"/>
        <v/>
      </c>
      <c r="BR360" s="18" t="str">
        <f>IF(BW360&lt;&gt;1,"",BM360*CONTROL_PANEL!$B$14)</f>
        <v/>
      </c>
      <c r="BS360" s="18" t="str">
        <f>IF(BW360&lt;&gt;1,"",DATA_INPUT!$N360)</f>
        <v/>
      </c>
      <c r="BT360" s="18" t="str">
        <f t="shared" si="240"/>
        <v/>
      </c>
      <c r="BU360" s="18" t="str">
        <f>IF(BW360&lt;&gt;1,"",IF(BT360-CONTROL_PANEL!$B$11&lt;0,0,BT360-CONTROL_PANEL!$B$11))</f>
        <v/>
      </c>
      <c r="BV360" s="18" t="str">
        <f>IF(BW360&lt;&gt;1,"",IF(BS360&lt;=0,0,MIN(BS360,MAX(0,CONTROL_PANEL!$B$13-BT360))))</f>
        <v/>
      </c>
      <c r="BW360" s="18"/>
      <c r="BY360" s="19">
        <f t="shared" si="259"/>
        <v>2045</v>
      </c>
      <c r="BZ360" s="19">
        <f t="shared" si="224"/>
        <v>5</v>
      </c>
      <c r="CA360" s="18" t="str">
        <f t="shared" si="241"/>
        <v/>
      </c>
      <c r="CB360" s="18" t="str">
        <f t="shared" si="254"/>
        <v/>
      </c>
      <c r="CC360" s="18" t="str">
        <f>IF(CP359&lt;&gt;1,"",IF(CM359&gt;0,IF(CM359&gt;CONTROL_PANEL!$B$11,CONTROL_PANEL!$B$11,CM359),0))</f>
        <v/>
      </c>
      <c r="CD360" s="18" t="str">
        <f t="shared" si="249"/>
        <v/>
      </c>
      <c r="CE360" s="18" t="str">
        <f>IF(CP360&lt;&gt;1,"",DATA_INPUT!$I360)</f>
        <v/>
      </c>
      <c r="CF360" s="18" t="str">
        <f>IF(CP360&lt;&gt;1,"",CE360*CONTROL_PANEL!$B$5)</f>
        <v/>
      </c>
      <c r="CG360" s="18" t="str">
        <f>IF(CP360&lt;&gt;1,"",DATA_INPUT!$C360)</f>
        <v/>
      </c>
      <c r="CH360" s="18" t="str">
        <f t="shared" si="242"/>
        <v/>
      </c>
      <c r="CI360" s="18" t="str">
        <f>IF(CP360&lt;&gt;1,"",DATA_INPUT!$H360)</f>
        <v/>
      </c>
      <c r="CJ360" s="18" t="str">
        <f t="shared" si="243"/>
        <v/>
      </c>
      <c r="CK360" s="18" t="str">
        <f>IF(CP360&lt;&gt;1,"",CF360*CONTROL_PANEL!$B$14)</f>
        <v/>
      </c>
      <c r="CL360" s="18" t="str">
        <f>IF(CP360&lt;&gt;1,"",DATA_INPUT!$O360)</f>
        <v/>
      </c>
      <c r="CM360" s="18" t="str">
        <f t="shared" si="244"/>
        <v/>
      </c>
      <c r="CN360" s="18" t="str">
        <f>IF(CP360&lt;&gt;1,"",IF(CM360-CONTROL_PANEL!$B$11&lt;0,0,CM360-CONTROL_PANEL!$B$11))</f>
        <v/>
      </c>
      <c r="CO360" s="18" t="str">
        <f>IF(CP360&lt;&gt;1,"",IF(CL360&lt;=0,0,MIN(CL360,MAX(0,CONTROL_PANEL!$B$13-CM360))))</f>
        <v/>
      </c>
      <c r="CP360" s="18"/>
    </row>
    <row r="361" spans="1:94" x14ac:dyDescent="0.25">
      <c r="A361" s="19">
        <f t="shared" si="255"/>
        <v>2045</v>
      </c>
      <c r="B361" s="19">
        <f t="shared" si="220"/>
        <v>6</v>
      </c>
      <c r="C361" s="18" t="str">
        <f t="shared" si="225"/>
        <v/>
      </c>
      <c r="D361" s="18" t="str">
        <f t="shared" si="250"/>
        <v/>
      </c>
      <c r="E361" s="18" t="str">
        <f>IF(R360&lt;&gt;1,"",IF(O360&gt;0,IF(O360&gt;CONTROL_PANEL!$B$11,CONTROL_PANEL!$B$11,O360),0))</f>
        <v/>
      </c>
      <c r="F361" s="18" t="str">
        <f t="shared" si="245"/>
        <v/>
      </c>
      <c r="G361" s="18" t="str">
        <f>IF(R361&lt;&gt;1,"",DATA_INPUT!I361)</f>
        <v/>
      </c>
      <c r="H361" s="18" t="str">
        <f>IF(R361&lt;&gt;1,"",G361*CONTROL_PANEL!$B$5)</f>
        <v/>
      </c>
      <c r="I361" s="18" t="str">
        <f>IF(R361&lt;&gt;1,"",DATA_INPUT!C361)</f>
        <v/>
      </c>
      <c r="J361" s="18" t="str">
        <f t="shared" si="226"/>
        <v/>
      </c>
      <c r="K361" s="18" t="str">
        <f>IF(R361&lt;&gt;1,"",DATA_INPUT!H361)</f>
        <v/>
      </c>
      <c r="L361" s="18" t="str">
        <f t="shared" si="227"/>
        <v/>
      </c>
      <c r="M361" s="18" t="str">
        <f>IF(R361&lt;&gt;1,"",H361*CONTROL_PANEL!$B$14)</f>
        <v/>
      </c>
      <c r="N361" s="18" t="str">
        <f>IF(R361&lt;&gt;1,"",DATA_INPUT!K361)</f>
        <v/>
      </c>
      <c r="O361" s="18" t="str">
        <f t="shared" si="228"/>
        <v/>
      </c>
      <c r="P361" s="18" t="str">
        <f>IF(R361&lt;&gt;1,"",IF(O361-CONTROL_PANEL!$B$11&lt;0,0,O361-CONTROL_PANEL!$B$11))</f>
        <v/>
      </c>
      <c r="Q361" s="18" t="str">
        <f>IF(R361&lt;&gt;1,"",IF(N361&lt;=0,0,MIN(N361,MAX(0,CONTROL_PANEL!$B$13-O361))))</f>
        <v/>
      </c>
      <c r="R361" s="18"/>
      <c r="T361" s="19">
        <f t="shared" si="256"/>
        <v>2045</v>
      </c>
      <c r="U361" s="19">
        <f t="shared" si="221"/>
        <v>6</v>
      </c>
      <c r="V361" s="18" t="str">
        <f t="shared" si="229"/>
        <v/>
      </c>
      <c r="W361" s="18" t="str">
        <f t="shared" si="251"/>
        <v/>
      </c>
      <c r="X361" s="18" t="str">
        <f>IF(AK360&lt;&gt;1,"",IF(AH360&gt;0,IF(AH360&gt;CONTROL_PANEL!$B$11,CONTROL_PANEL!$B$11,AH360),0))</f>
        <v/>
      </c>
      <c r="Y361" s="18" t="str">
        <f t="shared" si="246"/>
        <v/>
      </c>
      <c r="Z361" s="18" t="str">
        <f>IF(AK361&lt;&gt;1,"",DATA_INPUT!I361)</f>
        <v/>
      </c>
      <c r="AA361" s="18" t="str">
        <f>IF(AK361&lt;&gt;1,"",Z361*CONTROL_PANEL!$B$5)</f>
        <v/>
      </c>
      <c r="AB361" s="18" t="str">
        <f>IF(AK361&lt;&gt;1,"",DATA_INPUT!$C361)</f>
        <v/>
      </c>
      <c r="AC361" s="18" t="str">
        <f t="shared" si="230"/>
        <v/>
      </c>
      <c r="AD361" s="18" t="str">
        <f>IF(AK361&lt;&gt;1,"",DATA_INPUT!$H361)</f>
        <v/>
      </c>
      <c r="AE361" s="18" t="str">
        <f t="shared" si="231"/>
        <v/>
      </c>
      <c r="AF361" s="18" t="str">
        <f>IF(AK361&lt;&gt;1,"",AA361*CONTROL_PANEL!$B$14)</f>
        <v/>
      </c>
      <c r="AG361" s="18" t="str">
        <f>IF(AK361&lt;&gt;1,"",DATA_INPUT!$L361)</f>
        <v/>
      </c>
      <c r="AH361" s="18" t="str">
        <f t="shared" si="232"/>
        <v/>
      </c>
      <c r="AI361" s="18" t="str">
        <f>IF(AK361&lt;&gt;1,"",IF(AH361-CONTROL_PANEL!$B$11&lt;0,0,AH361-CONTROL_PANEL!$B$11))</f>
        <v/>
      </c>
      <c r="AJ361" s="18" t="str">
        <f>IF(AK361&lt;&gt;1,"",IF(AG361&lt;=0,0,MIN(AG361,MAX(0,CONTROL_PANEL!$B$13-AH361))))</f>
        <v/>
      </c>
      <c r="AK361" s="18"/>
      <c r="AM361" s="19">
        <f t="shared" si="257"/>
        <v>2045</v>
      </c>
      <c r="AN361" s="19">
        <f t="shared" si="222"/>
        <v>6</v>
      </c>
      <c r="AO361" s="18" t="str">
        <f t="shared" si="233"/>
        <v/>
      </c>
      <c r="AP361" s="18" t="str">
        <f t="shared" si="252"/>
        <v/>
      </c>
      <c r="AQ361" s="18" t="str">
        <f>IF(BD360&lt;&gt;1,"",IF(BA360&gt;0,IF(BA360&gt;CONTROL_PANEL!$B$11,CONTROL_PANEL!$B$11,BA360),0))</f>
        <v/>
      </c>
      <c r="AR361" s="18" t="str">
        <f t="shared" si="247"/>
        <v/>
      </c>
      <c r="AS361" s="18" t="str">
        <f>IF(BD361&lt;&gt;1,"",DATA_INPUT!$I361)</f>
        <v/>
      </c>
      <c r="AT361" s="18" t="str">
        <f>IF(BD361&lt;&gt;1,"",AS361*CONTROL_PANEL!$B$5)</f>
        <v/>
      </c>
      <c r="AU361" s="18" t="str">
        <f>IF(BD361&lt;&gt;1,"",DATA_INPUT!$C361)</f>
        <v/>
      </c>
      <c r="AV361" s="18" t="str">
        <f t="shared" si="234"/>
        <v/>
      </c>
      <c r="AW361" s="18" t="str">
        <f>IF(BD361&lt;&gt;1,"",DATA_INPUT!$H361)</f>
        <v/>
      </c>
      <c r="AX361" s="18" t="str">
        <f t="shared" si="235"/>
        <v/>
      </c>
      <c r="AY361" s="18" t="str">
        <f>IF(BD361&lt;&gt;1,"",AT361*CONTROL_PANEL!$B$14)</f>
        <v/>
      </c>
      <c r="AZ361" s="18" t="str">
        <f>IF(BD361&lt;&gt;1,"",DATA_INPUT!$M361)</f>
        <v/>
      </c>
      <c r="BA361" s="18" t="str">
        <f t="shared" si="236"/>
        <v/>
      </c>
      <c r="BB361" s="18" t="str">
        <f>IF(BD361&lt;&gt;1,"",IF(BA361-CONTROL_PANEL!$B$11&lt;0,0,BA361-CONTROL_PANEL!$B$11))</f>
        <v/>
      </c>
      <c r="BC361" s="18" t="str">
        <f>IF(BD361&lt;&gt;1,"",IF(AZ361&lt;=0,0,MIN(AZ361,MAX(0,CONTROL_PANEL!$B$13-BA361))))</f>
        <v/>
      </c>
      <c r="BD361" s="18"/>
      <c r="BF361" s="19">
        <f t="shared" si="258"/>
        <v>2045</v>
      </c>
      <c r="BG361" s="19">
        <f t="shared" si="223"/>
        <v>6</v>
      </c>
      <c r="BH361" s="18" t="str">
        <f t="shared" si="237"/>
        <v/>
      </c>
      <c r="BI361" s="18" t="str">
        <f t="shared" si="253"/>
        <v/>
      </c>
      <c r="BJ361" s="18" t="str">
        <f>IF(BW360&lt;&gt;1,"",IF(BT360&gt;0,IF(BT360&gt;CONTROL_PANEL!$B$11,CONTROL_PANEL!$B$11,BT360),0))</f>
        <v/>
      </c>
      <c r="BK361" s="18" t="str">
        <f t="shared" si="248"/>
        <v/>
      </c>
      <c r="BL361" s="18" t="str">
        <f>IF(BW361&lt;&gt;1,"",DATA_INPUT!$I361)</f>
        <v/>
      </c>
      <c r="BM361" s="18" t="str">
        <f>IF(BW361&lt;&gt;1,"",BL361*CONTROL_PANEL!$B$5)</f>
        <v/>
      </c>
      <c r="BN361" s="18" t="str">
        <f>IF(BW361&lt;&gt;1,"",DATA_INPUT!$C361)</f>
        <v/>
      </c>
      <c r="BO361" s="18" t="str">
        <f t="shared" si="238"/>
        <v/>
      </c>
      <c r="BP361" s="18" t="str">
        <f>IF(BW361&lt;&gt;1,"",DATA_INPUT!$H361)</f>
        <v/>
      </c>
      <c r="BQ361" s="18" t="str">
        <f t="shared" si="239"/>
        <v/>
      </c>
      <c r="BR361" s="18" t="str">
        <f>IF(BW361&lt;&gt;1,"",BM361*CONTROL_PANEL!$B$14)</f>
        <v/>
      </c>
      <c r="BS361" s="18" t="str">
        <f>IF(BW361&lt;&gt;1,"",DATA_INPUT!$N361)</f>
        <v/>
      </c>
      <c r="BT361" s="18" t="str">
        <f t="shared" si="240"/>
        <v/>
      </c>
      <c r="BU361" s="18" t="str">
        <f>IF(BW361&lt;&gt;1,"",IF(BT361-CONTROL_PANEL!$B$11&lt;0,0,BT361-CONTROL_PANEL!$B$11))</f>
        <v/>
      </c>
      <c r="BV361" s="18" t="str">
        <f>IF(BW361&lt;&gt;1,"",IF(BS361&lt;=0,0,MIN(BS361,MAX(0,CONTROL_PANEL!$B$13-BT361))))</f>
        <v/>
      </c>
      <c r="BW361" s="18"/>
      <c r="BY361" s="19">
        <f t="shared" si="259"/>
        <v>2045</v>
      </c>
      <c r="BZ361" s="19">
        <f t="shared" si="224"/>
        <v>6</v>
      </c>
      <c r="CA361" s="18" t="str">
        <f t="shared" si="241"/>
        <v/>
      </c>
      <c r="CB361" s="18" t="str">
        <f t="shared" si="254"/>
        <v/>
      </c>
      <c r="CC361" s="18" t="str">
        <f>IF(CP360&lt;&gt;1,"",IF(CM360&gt;0,IF(CM360&gt;CONTROL_PANEL!$B$11,CONTROL_PANEL!$B$11,CM360),0))</f>
        <v/>
      </c>
      <c r="CD361" s="18" t="str">
        <f t="shared" si="249"/>
        <v/>
      </c>
      <c r="CE361" s="18" t="str">
        <f>IF(CP361&lt;&gt;1,"",DATA_INPUT!$I361)</f>
        <v/>
      </c>
      <c r="CF361" s="18" t="str">
        <f>IF(CP361&lt;&gt;1,"",CE361*CONTROL_PANEL!$B$5)</f>
        <v/>
      </c>
      <c r="CG361" s="18" t="str">
        <f>IF(CP361&lt;&gt;1,"",DATA_INPUT!$C361)</f>
        <v/>
      </c>
      <c r="CH361" s="18" t="str">
        <f t="shared" si="242"/>
        <v/>
      </c>
      <c r="CI361" s="18" t="str">
        <f>IF(CP361&lt;&gt;1,"",DATA_INPUT!$H361)</f>
        <v/>
      </c>
      <c r="CJ361" s="18" t="str">
        <f t="shared" si="243"/>
        <v/>
      </c>
      <c r="CK361" s="18" t="str">
        <f>IF(CP361&lt;&gt;1,"",CF361*CONTROL_PANEL!$B$14)</f>
        <v/>
      </c>
      <c r="CL361" s="18" t="str">
        <f>IF(CP361&lt;&gt;1,"",DATA_INPUT!$O361)</f>
        <v/>
      </c>
      <c r="CM361" s="18" t="str">
        <f t="shared" si="244"/>
        <v/>
      </c>
      <c r="CN361" s="18" t="str">
        <f>IF(CP361&lt;&gt;1,"",IF(CM361-CONTROL_PANEL!$B$11&lt;0,0,CM361-CONTROL_PANEL!$B$11))</f>
        <v/>
      </c>
      <c r="CO361" s="18" t="str">
        <f>IF(CP361&lt;&gt;1,"",IF(CL361&lt;=0,0,MIN(CL361,MAX(0,CONTROL_PANEL!$B$13-CM361))))</f>
        <v/>
      </c>
      <c r="CP361" s="18"/>
    </row>
    <row r="362" spans="1:94" x14ac:dyDescent="0.25">
      <c r="A362" s="19">
        <f t="shared" si="255"/>
        <v>2045</v>
      </c>
      <c r="B362" s="19">
        <f t="shared" si="220"/>
        <v>7</v>
      </c>
      <c r="C362" s="18" t="str">
        <f t="shared" si="225"/>
        <v/>
      </c>
      <c r="D362" s="18" t="str">
        <f t="shared" si="250"/>
        <v/>
      </c>
      <c r="E362" s="18" t="str">
        <f>IF(R361&lt;&gt;1,"",IF(O361&gt;0,IF(O361&gt;CONTROL_PANEL!$B$11,CONTROL_PANEL!$B$11,O361),0))</f>
        <v/>
      </c>
      <c r="F362" s="18" t="str">
        <f t="shared" si="245"/>
        <v/>
      </c>
      <c r="G362" s="18" t="str">
        <f>IF(R362&lt;&gt;1,"",DATA_INPUT!I362)</f>
        <v/>
      </c>
      <c r="H362" s="18" t="str">
        <f>IF(R362&lt;&gt;1,"",G362*CONTROL_PANEL!$B$5)</f>
        <v/>
      </c>
      <c r="I362" s="18" t="str">
        <f>IF(R362&lt;&gt;1,"",DATA_INPUT!C362)</f>
        <v/>
      </c>
      <c r="J362" s="18" t="str">
        <f t="shared" si="226"/>
        <v/>
      </c>
      <c r="K362" s="18" t="str">
        <f>IF(R362&lt;&gt;1,"",DATA_INPUT!H362)</f>
        <v/>
      </c>
      <c r="L362" s="18" t="str">
        <f t="shared" si="227"/>
        <v/>
      </c>
      <c r="M362" s="18" t="str">
        <f>IF(R362&lt;&gt;1,"",H362*CONTROL_PANEL!$B$14)</f>
        <v/>
      </c>
      <c r="N362" s="18" t="str">
        <f>IF(R362&lt;&gt;1,"",DATA_INPUT!K362)</f>
        <v/>
      </c>
      <c r="O362" s="18" t="str">
        <f t="shared" si="228"/>
        <v/>
      </c>
      <c r="P362" s="18" t="str">
        <f>IF(R362&lt;&gt;1,"",IF(O362-CONTROL_PANEL!$B$11&lt;0,0,O362-CONTROL_PANEL!$B$11))</f>
        <v/>
      </c>
      <c r="Q362" s="18" t="str">
        <f>IF(R362&lt;&gt;1,"",IF(N362&lt;=0,0,MIN(N362,MAX(0,CONTROL_PANEL!$B$13-O362))))</f>
        <v/>
      </c>
      <c r="R362" s="18"/>
      <c r="T362" s="19">
        <f t="shared" si="256"/>
        <v>2045</v>
      </c>
      <c r="U362" s="19">
        <f t="shared" si="221"/>
        <v>7</v>
      </c>
      <c r="V362" s="18" t="str">
        <f t="shared" si="229"/>
        <v/>
      </c>
      <c r="W362" s="18" t="str">
        <f t="shared" si="251"/>
        <v/>
      </c>
      <c r="X362" s="18" t="str">
        <f>IF(AK361&lt;&gt;1,"",IF(AH361&gt;0,IF(AH361&gt;CONTROL_PANEL!$B$11,CONTROL_PANEL!$B$11,AH361),0))</f>
        <v/>
      </c>
      <c r="Y362" s="18" t="str">
        <f t="shared" si="246"/>
        <v/>
      </c>
      <c r="Z362" s="18" t="str">
        <f>IF(AK362&lt;&gt;1,"",DATA_INPUT!I362)</f>
        <v/>
      </c>
      <c r="AA362" s="18" t="str">
        <f>IF(AK362&lt;&gt;1,"",Z362*CONTROL_PANEL!$B$5)</f>
        <v/>
      </c>
      <c r="AB362" s="18" t="str">
        <f>IF(AK362&lt;&gt;1,"",DATA_INPUT!$C362)</f>
        <v/>
      </c>
      <c r="AC362" s="18" t="str">
        <f t="shared" si="230"/>
        <v/>
      </c>
      <c r="AD362" s="18" t="str">
        <f>IF(AK362&lt;&gt;1,"",DATA_INPUT!$H362)</f>
        <v/>
      </c>
      <c r="AE362" s="18" t="str">
        <f t="shared" si="231"/>
        <v/>
      </c>
      <c r="AF362" s="18" t="str">
        <f>IF(AK362&lt;&gt;1,"",AA362*CONTROL_PANEL!$B$14)</f>
        <v/>
      </c>
      <c r="AG362" s="18" t="str">
        <f>IF(AK362&lt;&gt;1,"",DATA_INPUT!$L362)</f>
        <v/>
      </c>
      <c r="AH362" s="18" t="str">
        <f t="shared" si="232"/>
        <v/>
      </c>
      <c r="AI362" s="18" t="str">
        <f>IF(AK362&lt;&gt;1,"",IF(AH362-CONTROL_PANEL!$B$11&lt;0,0,AH362-CONTROL_PANEL!$B$11))</f>
        <v/>
      </c>
      <c r="AJ362" s="18" t="str">
        <f>IF(AK362&lt;&gt;1,"",IF(AG362&lt;=0,0,MIN(AG362,MAX(0,CONTROL_PANEL!$B$13-AH362))))</f>
        <v/>
      </c>
      <c r="AK362" s="18"/>
      <c r="AM362" s="19">
        <f t="shared" si="257"/>
        <v>2045</v>
      </c>
      <c r="AN362" s="19">
        <f t="shared" si="222"/>
        <v>7</v>
      </c>
      <c r="AO362" s="18" t="str">
        <f t="shared" si="233"/>
        <v/>
      </c>
      <c r="AP362" s="18" t="str">
        <f t="shared" si="252"/>
        <v/>
      </c>
      <c r="AQ362" s="18" t="str">
        <f>IF(BD361&lt;&gt;1,"",IF(BA361&gt;0,IF(BA361&gt;CONTROL_PANEL!$B$11,CONTROL_PANEL!$B$11,BA361),0))</f>
        <v/>
      </c>
      <c r="AR362" s="18" t="str">
        <f t="shared" si="247"/>
        <v/>
      </c>
      <c r="AS362" s="18" t="str">
        <f>IF(BD362&lt;&gt;1,"",DATA_INPUT!$I362)</f>
        <v/>
      </c>
      <c r="AT362" s="18" t="str">
        <f>IF(BD362&lt;&gt;1,"",AS362*CONTROL_PANEL!$B$5)</f>
        <v/>
      </c>
      <c r="AU362" s="18" t="str">
        <f>IF(BD362&lt;&gt;1,"",DATA_INPUT!$C362)</f>
        <v/>
      </c>
      <c r="AV362" s="18" t="str">
        <f t="shared" si="234"/>
        <v/>
      </c>
      <c r="AW362" s="18" t="str">
        <f>IF(BD362&lt;&gt;1,"",DATA_INPUT!$H362)</f>
        <v/>
      </c>
      <c r="AX362" s="18" t="str">
        <f t="shared" si="235"/>
        <v/>
      </c>
      <c r="AY362" s="18" t="str">
        <f>IF(BD362&lt;&gt;1,"",AT362*CONTROL_PANEL!$B$14)</f>
        <v/>
      </c>
      <c r="AZ362" s="18" t="str">
        <f>IF(BD362&lt;&gt;1,"",DATA_INPUT!$M362)</f>
        <v/>
      </c>
      <c r="BA362" s="18" t="str">
        <f t="shared" si="236"/>
        <v/>
      </c>
      <c r="BB362" s="18" t="str">
        <f>IF(BD362&lt;&gt;1,"",IF(BA362-CONTROL_PANEL!$B$11&lt;0,0,BA362-CONTROL_PANEL!$B$11))</f>
        <v/>
      </c>
      <c r="BC362" s="18" t="str">
        <f>IF(BD362&lt;&gt;1,"",IF(AZ362&lt;=0,0,MIN(AZ362,MAX(0,CONTROL_PANEL!$B$13-BA362))))</f>
        <v/>
      </c>
      <c r="BD362" s="18"/>
      <c r="BF362" s="19">
        <f t="shared" si="258"/>
        <v>2045</v>
      </c>
      <c r="BG362" s="19">
        <f t="shared" si="223"/>
        <v>7</v>
      </c>
      <c r="BH362" s="18" t="str">
        <f t="shared" si="237"/>
        <v/>
      </c>
      <c r="BI362" s="18" t="str">
        <f t="shared" si="253"/>
        <v/>
      </c>
      <c r="BJ362" s="18" t="str">
        <f>IF(BW361&lt;&gt;1,"",IF(BT361&gt;0,IF(BT361&gt;CONTROL_PANEL!$B$11,CONTROL_PANEL!$B$11,BT361),0))</f>
        <v/>
      </c>
      <c r="BK362" s="18" t="str">
        <f t="shared" si="248"/>
        <v/>
      </c>
      <c r="BL362" s="18" t="str">
        <f>IF(BW362&lt;&gt;1,"",DATA_INPUT!$I362)</f>
        <v/>
      </c>
      <c r="BM362" s="18" t="str">
        <f>IF(BW362&lt;&gt;1,"",BL362*CONTROL_PANEL!$B$5)</f>
        <v/>
      </c>
      <c r="BN362" s="18" t="str">
        <f>IF(BW362&lt;&gt;1,"",DATA_INPUT!$C362)</f>
        <v/>
      </c>
      <c r="BO362" s="18" t="str">
        <f t="shared" si="238"/>
        <v/>
      </c>
      <c r="BP362" s="18" t="str">
        <f>IF(BW362&lt;&gt;1,"",DATA_INPUT!$H362)</f>
        <v/>
      </c>
      <c r="BQ362" s="18" t="str">
        <f t="shared" si="239"/>
        <v/>
      </c>
      <c r="BR362" s="18" t="str">
        <f>IF(BW362&lt;&gt;1,"",BM362*CONTROL_PANEL!$B$14)</f>
        <v/>
      </c>
      <c r="BS362" s="18" t="str">
        <f>IF(BW362&lt;&gt;1,"",DATA_INPUT!$N362)</f>
        <v/>
      </c>
      <c r="BT362" s="18" t="str">
        <f t="shared" si="240"/>
        <v/>
      </c>
      <c r="BU362" s="18" t="str">
        <f>IF(BW362&lt;&gt;1,"",IF(BT362-CONTROL_PANEL!$B$11&lt;0,0,BT362-CONTROL_PANEL!$B$11))</f>
        <v/>
      </c>
      <c r="BV362" s="18" t="str">
        <f>IF(BW362&lt;&gt;1,"",IF(BS362&lt;=0,0,MIN(BS362,MAX(0,CONTROL_PANEL!$B$13-BT362))))</f>
        <v/>
      </c>
      <c r="BW362" s="18"/>
      <c r="BY362" s="19">
        <f t="shared" si="259"/>
        <v>2045</v>
      </c>
      <c r="BZ362" s="19">
        <f t="shared" si="224"/>
        <v>7</v>
      </c>
      <c r="CA362" s="18" t="str">
        <f t="shared" si="241"/>
        <v/>
      </c>
      <c r="CB362" s="18" t="str">
        <f t="shared" si="254"/>
        <v/>
      </c>
      <c r="CC362" s="18" t="str">
        <f>IF(CP361&lt;&gt;1,"",IF(CM361&gt;0,IF(CM361&gt;CONTROL_PANEL!$B$11,CONTROL_PANEL!$B$11,CM361),0))</f>
        <v/>
      </c>
      <c r="CD362" s="18" t="str">
        <f t="shared" si="249"/>
        <v/>
      </c>
      <c r="CE362" s="18" t="str">
        <f>IF(CP362&lt;&gt;1,"",DATA_INPUT!$I362)</f>
        <v/>
      </c>
      <c r="CF362" s="18" t="str">
        <f>IF(CP362&lt;&gt;1,"",CE362*CONTROL_PANEL!$B$5)</f>
        <v/>
      </c>
      <c r="CG362" s="18" t="str">
        <f>IF(CP362&lt;&gt;1,"",DATA_INPUT!$C362)</f>
        <v/>
      </c>
      <c r="CH362" s="18" t="str">
        <f t="shared" si="242"/>
        <v/>
      </c>
      <c r="CI362" s="18" t="str">
        <f>IF(CP362&lt;&gt;1,"",DATA_INPUT!$H362)</f>
        <v/>
      </c>
      <c r="CJ362" s="18" t="str">
        <f t="shared" si="243"/>
        <v/>
      </c>
      <c r="CK362" s="18" t="str">
        <f>IF(CP362&lt;&gt;1,"",CF362*CONTROL_PANEL!$B$14)</f>
        <v/>
      </c>
      <c r="CL362" s="18" t="str">
        <f>IF(CP362&lt;&gt;1,"",DATA_INPUT!$O362)</f>
        <v/>
      </c>
      <c r="CM362" s="18" t="str">
        <f t="shared" si="244"/>
        <v/>
      </c>
      <c r="CN362" s="18" t="str">
        <f>IF(CP362&lt;&gt;1,"",IF(CM362-CONTROL_PANEL!$B$11&lt;0,0,CM362-CONTROL_PANEL!$B$11))</f>
        <v/>
      </c>
      <c r="CO362" s="18" t="str">
        <f>IF(CP362&lt;&gt;1,"",IF(CL362&lt;=0,0,MIN(CL362,MAX(0,CONTROL_PANEL!$B$13-CM362))))</f>
        <v/>
      </c>
      <c r="CP362" s="18"/>
    </row>
    <row r="363" spans="1:94" x14ac:dyDescent="0.25">
      <c r="A363" s="19">
        <f t="shared" si="255"/>
        <v>2045</v>
      </c>
      <c r="B363" s="19">
        <f t="shared" si="220"/>
        <v>8</v>
      </c>
      <c r="C363" s="18" t="str">
        <f t="shared" si="225"/>
        <v/>
      </c>
      <c r="D363" s="18" t="str">
        <f t="shared" si="250"/>
        <v/>
      </c>
      <c r="E363" s="18" t="str">
        <f>IF(R362&lt;&gt;1,"",IF(O362&gt;0,IF(O362&gt;CONTROL_PANEL!$B$11,CONTROL_PANEL!$B$11,O362),0))</f>
        <v/>
      </c>
      <c r="F363" s="18" t="str">
        <f t="shared" si="245"/>
        <v/>
      </c>
      <c r="G363" s="18" t="str">
        <f>IF(R363&lt;&gt;1,"",DATA_INPUT!I363)</f>
        <v/>
      </c>
      <c r="H363" s="18" t="str">
        <f>IF(R363&lt;&gt;1,"",G363*CONTROL_PANEL!$B$5)</f>
        <v/>
      </c>
      <c r="I363" s="18" t="str">
        <f>IF(R363&lt;&gt;1,"",DATA_INPUT!C363)</f>
        <v/>
      </c>
      <c r="J363" s="18" t="str">
        <f t="shared" si="226"/>
        <v/>
      </c>
      <c r="K363" s="18" t="str">
        <f>IF(R363&lt;&gt;1,"",DATA_INPUT!H363)</f>
        <v/>
      </c>
      <c r="L363" s="18" t="str">
        <f t="shared" si="227"/>
        <v/>
      </c>
      <c r="M363" s="18" t="str">
        <f>IF(R363&lt;&gt;1,"",H363*CONTROL_PANEL!$B$14)</f>
        <v/>
      </c>
      <c r="N363" s="18" t="str">
        <f>IF(R363&lt;&gt;1,"",DATA_INPUT!K363)</f>
        <v/>
      </c>
      <c r="O363" s="18" t="str">
        <f t="shared" si="228"/>
        <v/>
      </c>
      <c r="P363" s="18" t="str">
        <f>IF(R363&lt;&gt;1,"",IF(O363-CONTROL_PANEL!$B$11&lt;0,0,O363-CONTROL_PANEL!$B$11))</f>
        <v/>
      </c>
      <c r="Q363" s="18" t="str">
        <f>IF(R363&lt;&gt;1,"",IF(N363&lt;=0,0,MIN(N363,MAX(0,CONTROL_PANEL!$B$13-O363))))</f>
        <v/>
      </c>
      <c r="R363" s="18"/>
      <c r="T363" s="19">
        <f t="shared" si="256"/>
        <v>2045</v>
      </c>
      <c r="U363" s="19">
        <f t="shared" si="221"/>
        <v>8</v>
      </c>
      <c r="V363" s="18" t="str">
        <f t="shared" si="229"/>
        <v/>
      </c>
      <c r="W363" s="18" t="str">
        <f t="shared" si="251"/>
        <v/>
      </c>
      <c r="X363" s="18" t="str">
        <f>IF(AK362&lt;&gt;1,"",IF(AH362&gt;0,IF(AH362&gt;CONTROL_PANEL!$B$11,CONTROL_PANEL!$B$11,AH362),0))</f>
        <v/>
      </c>
      <c r="Y363" s="18" t="str">
        <f t="shared" si="246"/>
        <v/>
      </c>
      <c r="Z363" s="18" t="str">
        <f>IF(AK363&lt;&gt;1,"",DATA_INPUT!I363)</f>
        <v/>
      </c>
      <c r="AA363" s="18" t="str">
        <f>IF(AK363&lt;&gt;1,"",Z363*CONTROL_PANEL!$B$5)</f>
        <v/>
      </c>
      <c r="AB363" s="18" t="str">
        <f>IF(AK363&lt;&gt;1,"",DATA_INPUT!$C363)</f>
        <v/>
      </c>
      <c r="AC363" s="18" t="str">
        <f t="shared" si="230"/>
        <v/>
      </c>
      <c r="AD363" s="18" t="str">
        <f>IF(AK363&lt;&gt;1,"",DATA_INPUT!$H363)</f>
        <v/>
      </c>
      <c r="AE363" s="18" t="str">
        <f t="shared" si="231"/>
        <v/>
      </c>
      <c r="AF363" s="18" t="str">
        <f>IF(AK363&lt;&gt;1,"",AA363*CONTROL_PANEL!$B$14)</f>
        <v/>
      </c>
      <c r="AG363" s="18" t="str">
        <f>IF(AK363&lt;&gt;1,"",DATA_INPUT!$L363)</f>
        <v/>
      </c>
      <c r="AH363" s="18" t="str">
        <f t="shared" si="232"/>
        <v/>
      </c>
      <c r="AI363" s="18" t="str">
        <f>IF(AK363&lt;&gt;1,"",IF(AH363-CONTROL_PANEL!$B$11&lt;0,0,AH363-CONTROL_PANEL!$B$11))</f>
        <v/>
      </c>
      <c r="AJ363" s="18" t="str">
        <f>IF(AK363&lt;&gt;1,"",IF(AG363&lt;=0,0,MIN(AG363,MAX(0,CONTROL_PANEL!$B$13-AH363))))</f>
        <v/>
      </c>
      <c r="AK363" s="18"/>
      <c r="AM363" s="19">
        <f t="shared" si="257"/>
        <v>2045</v>
      </c>
      <c r="AN363" s="19">
        <f t="shared" si="222"/>
        <v>8</v>
      </c>
      <c r="AO363" s="18" t="str">
        <f t="shared" si="233"/>
        <v/>
      </c>
      <c r="AP363" s="18" t="str">
        <f t="shared" si="252"/>
        <v/>
      </c>
      <c r="AQ363" s="18" t="str">
        <f>IF(BD362&lt;&gt;1,"",IF(BA362&gt;0,IF(BA362&gt;CONTROL_PANEL!$B$11,CONTROL_PANEL!$B$11,BA362),0))</f>
        <v/>
      </c>
      <c r="AR363" s="18" t="str">
        <f t="shared" si="247"/>
        <v/>
      </c>
      <c r="AS363" s="18" t="str">
        <f>IF(BD363&lt;&gt;1,"",DATA_INPUT!$I363)</f>
        <v/>
      </c>
      <c r="AT363" s="18" t="str">
        <f>IF(BD363&lt;&gt;1,"",AS363*CONTROL_PANEL!$B$5)</f>
        <v/>
      </c>
      <c r="AU363" s="18" t="str">
        <f>IF(BD363&lt;&gt;1,"",DATA_INPUT!$C363)</f>
        <v/>
      </c>
      <c r="AV363" s="18" t="str">
        <f t="shared" si="234"/>
        <v/>
      </c>
      <c r="AW363" s="18" t="str">
        <f>IF(BD363&lt;&gt;1,"",DATA_INPUT!$H363)</f>
        <v/>
      </c>
      <c r="AX363" s="18" t="str">
        <f t="shared" si="235"/>
        <v/>
      </c>
      <c r="AY363" s="18" t="str">
        <f>IF(BD363&lt;&gt;1,"",AT363*CONTROL_PANEL!$B$14)</f>
        <v/>
      </c>
      <c r="AZ363" s="18" t="str">
        <f>IF(BD363&lt;&gt;1,"",DATA_INPUT!$M363)</f>
        <v/>
      </c>
      <c r="BA363" s="18" t="str">
        <f t="shared" si="236"/>
        <v/>
      </c>
      <c r="BB363" s="18" t="str">
        <f>IF(BD363&lt;&gt;1,"",IF(BA363-CONTROL_PANEL!$B$11&lt;0,0,BA363-CONTROL_PANEL!$B$11))</f>
        <v/>
      </c>
      <c r="BC363" s="18" t="str">
        <f>IF(BD363&lt;&gt;1,"",IF(AZ363&lt;=0,0,MIN(AZ363,MAX(0,CONTROL_PANEL!$B$13-BA363))))</f>
        <v/>
      </c>
      <c r="BD363" s="18"/>
      <c r="BF363" s="19">
        <f t="shared" si="258"/>
        <v>2045</v>
      </c>
      <c r="BG363" s="19">
        <f t="shared" si="223"/>
        <v>8</v>
      </c>
      <c r="BH363" s="18" t="str">
        <f t="shared" si="237"/>
        <v/>
      </c>
      <c r="BI363" s="18" t="str">
        <f t="shared" si="253"/>
        <v/>
      </c>
      <c r="BJ363" s="18" t="str">
        <f>IF(BW362&lt;&gt;1,"",IF(BT362&gt;0,IF(BT362&gt;CONTROL_PANEL!$B$11,CONTROL_PANEL!$B$11,BT362),0))</f>
        <v/>
      </c>
      <c r="BK363" s="18" t="str">
        <f t="shared" si="248"/>
        <v/>
      </c>
      <c r="BL363" s="18" t="str">
        <f>IF(BW363&lt;&gt;1,"",DATA_INPUT!$I363)</f>
        <v/>
      </c>
      <c r="BM363" s="18" t="str">
        <f>IF(BW363&lt;&gt;1,"",BL363*CONTROL_PANEL!$B$5)</f>
        <v/>
      </c>
      <c r="BN363" s="18" t="str">
        <f>IF(BW363&lt;&gt;1,"",DATA_INPUT!$C363)</f>
        <v/>
      </c>
      <c r="BO363" s="18" t="str">
        <f t="shared" si="238"/>
        <v/>
      </c>
      <c r="BP363" s="18" t="str">
        <f>IF(BW363&lt;&gt;1,"",DATA_INPUT!$H363)</f>
        <v/>
      </c>
      <c r="BQ363" s="18" t="str">
        <f t="shared" si="239"/>
        <v/>
      </c>
      <c r="BR363" s="18" t="str">
        <f>IF(BW363&lt;&gt;1,"",BM363*CONTROL_PANEL!$B$14)</f>
        <v/>
      </c>
      <c r="BS363" s="18" t="str">
        <f>IF(BW363&lt;&gt;1,"",DATA_INPUT!$N363)</f>
        <v/>
      </c>
      <c r="BT363" s="18" t="str">
        <f t="shared" si="240"/>
        <v/>
      </c>
      <c r="BU363" s="18" t="str">
        <f>IF(BW363&lt;&gt;1,"",IF(BT363-CONTROL_PANEL!$B$11&lt;0,0,BT363-CONTROL_PANEL!$B$11))</f>
        <v/>
      </c>
      <c r="BV363" s="18" t="str">
        <f>IF(BW363&lt;&gt;1,"",IF(BS363&lt;=0,0,MIN(BS363,MAX(0,CONTROL_PANEL!$B$13-BT363))))</f>
        <v/>
      </c>
      <c r="BW363" s="18"/>
      <c r="BY363" s="19">
        <f t="shared" si="259"/>
        <v>2045</v>
      </c>
      <c r="BZ363" s="19">
        <f t="shared" si="224"/>
        <v>8</v>
      </c>
      <c r="CA363" s="18" t="str">
        <f t="shared" si="241"/>
        <v/>
      </c>
      <c r="CB363" s="18" t="str">
        <f t="shared" si="254"/>
        <v/>
      </c>
      <c r="CC363" s="18" t="str">
        <f>IF(CP362&lt;&gt;1,"",IF(CM362&gt;0,IF(CM362&gt;CONTROL_PANEL!$B$11,CONTROL_PANEL!$B$11,CM362),0))</f>
        <v/>
      </c>
      <c r="CD363" s="18" t="str">
        <f t="shared" si="249"/>
        <v/>
      </c>
      <c r="CE363" s="18" t="str">
        <f>IF(CP363&lt;&gt;1,"",DATA_INPUT!$I363)</f>
        <v/>
      </c>
      <c r="CF363" s="18" t="str">
        <f>IF(CP363&lt;&gt;1,"",CE363*CONTROL_PANEL!$B$5)</f>
        <v/>
      </c>
      <c r="CG363" s="18" t="str">
        <f>IF(CP363&lt;&gt;1,"",DATA_INPUT!$C363)</f>
        <v/>
      </c>
      <c r="CH363" s="18" t="str">
        <f t="shared" si="242"/>
        <v/>
      </c>
      <c r="CI363" s="18" t="str">
        <f>IF(CP363&lt;&gt;1,"",DATA_INPUT!$H363)</f>
        <v/>
      </c>
      <c r="CJ363" s="18" t="str">
        <f t="shared" si="243"/>
        <v/>
      </c>
      <c r="CK363" s="18" t="str">
        <f>IF(CP363&lt;&gt;1,"",CF363*CONTROL_PANEL!$B$14)</f>
        <v/>
      </c>
      <c r="CL363" s="18" t="str">
        <f>IF(CP363&lt;&gt;1,"",DATA_INPUT!$O363)</f>
        <v/>
      </c>
      <c r="CM363" s="18" t="str">
        <f t="shared" si="244"/>
        <v/>
      </c>
      <c r="CN363" s="18" t="str">
        <f>IF(CP363&lt;&gt;1,"",IF(CM363-CONTROL_PANEL!$B$11&lt;0,0,CM363-CONTROL_PANEL!$B$11))</f>
        <v/>
      </c>
      <c r="CO363" s="18" t="str">
        <f>IF(CP363&lt;&gt;1,"",IF(CL363&lt;=0,0,MIN(CL363,MAX(0,CONTROL_PANEL!$B$13-CM363))))</f>
        <v/>
      </c>
      <c r="CP363" s="18"/>
    </row>
    <row r="364" spans="1:94" x14ac:dyDescent="0.25">
      <c r="A364" s="19">
        <f t="shared" si="255"/>
        <v>2045</v>
      </c>
      <c r="B364" s="19">
        <f t="shared" si="220"/>
        <v>9</v>
      </c>
      <c r="C364" s="18" t="str">
        <f t="shared" si="225"/>
        <v/>
      </c>
      <c r="D364" s="18" t="str">
        <f t="shared" si="250"/>
        <v/>
      </c>
      <c r="E364" s="18" t="str">
        <f>IF(R363&lt;&gt;1,"",IF(O363&gt;0,IF(O363&gt;CONTROL_PANEL!$B$11,CONTROL_PANEL!$B$11,O363),0))</f>
        <v/>
      </c>
      <c r="F364" s="18" t="str">
        <f t="shared" si="245"/>
        <v/>
      </c>
      <c r="G364" s="18" t="str">
        <f>IF(R364&lt;&gt;1,"",DATA_INPUT!I364)</f>
        <v/>
      </c>
      <c r="H364" s="18" t="str">
        <f>IF(R364&lt;&gt;1,"",G364*CONTROL_PANEL!$B$5)</f>
        <v/>
      </c>
      <c r="I364" s="18" t="str">
        <f>IF(R364&lt;&gt;1,"",DATA_INPUT!C364)</f>
        <v/>
      </c>
      <c r="J364" s="18" t="str">
        <f t="shared" si="226"/>
        <v/>
      </c>
      <c r="K364" s="18" t="str">
        <f>IF(R364&lt;&gt;1,"",DATA_INPUT!H364)</f>
        <v/>
      </c>
      <c r="L364" s="18" t="str">
        <f t="shared" si="227"/>
        <v/>
      </c>
      <c r="M364" s="18" t="str">
        <f>IF(R364&lt;&gt;1,"",H364*CONTROL_PANEL!$B$14)</f>
        <v/>
      </c>
      <c r="N364" s="18" t="str">
        <f>IF(R364&lt;&gt;1,"",DATA_INPUT!K364)</f>
        <v/>
      </c>
      <c r="O364" s="18" t="str">
        <f t="shared" si="228"/>
        <v/>
      </c>
      <c r="P364" s="18" t="str">
        <f>IF(R364&lt;&gt;1,"",IF(O364-CONTROL_PANEL!$B$11&lt;0,0,O364-CONTROL_PANEL!$B$11))</f>
        <v/>
      </c>
      <c r="Q364" s="18" t="str">
        <f>IF(R364&lt;&gt;1,"",IF(N364&lt;=0,0,MIN(N364,MAX(0,CONTROL_PANEL!$B$13-O364))))</f>
        <v/>
      </c>
      <c r="R364" s="18"/>
      <c r="T364" s="19">
        <f t="shared" si="256"/>
        <v>2045</v>
      </c>
      <c r="U364" s="19">
        <f t="shared" si="221"/>
        <v>9</v>
      </c>
      <c r="V364" s="18" t="str">
        <f t="shared" si="229"/>
        <v/>
      </c>
      <c r="W364" s="18" t="str">
        <f t="shared" si="251"/>
        <v/>
      </c>
      <c r="X364" s="18" t="str">
        <f>IF(AK363&lt;&gt;1,"",IF(AH363&gt;0,IF(AH363&gt;CONTROL_PANEL!$B$11,CONTROL_PANEL!$B$11,AH363),0))</f>
        <v/>
      </c>
      <c r="Y364" s="18" t="str">
        <f t="shared" si="246"/>
        <v/>
      </c>
      <c r="Z364" s="18" t="str">
        <f>IF(AK364&lt;&gt;1,"",DATA_INPUT!I364)</f>
        <v/>
      </c>
      <c r="AA364" s="18" t="str">
        <f>IF(AK364&lt;&gt;1,"",Z364*CONTROL_PANEL!$B$5)</f>
        <v/>
      </c>
      <c r="AB364" s="18" t="str">
        <f>IF(AK364&lt;&gt;1,"",DATA_INPUT!$C364)</f>
        <v/>
      </c>
      <c r="AC364" s="18" t="str">
        <f t="shared" si="230"/>
        <v/>
      </c>
      <c r="AD364" s="18" t="str">
        <f>IF(AK364&lt;&gt;1,"",DATA_INPUT!$H364)</f>
        <v/>
      </c>
      <c r="AE364" s="18" t="str">
        <f t="shared" si="231"/>
        <v/>
      </c>
      <c r="AF364" s="18" t="str">
        <f>IF(AK364&lt;&gt;1,"",AA364*CONTROL_PANEL!$B$14)</f>
        <v/>
      </c>
      <c r="AG364" s="18" t="str">
        <f>IF(AK364&lt;&gt;1,"",DATA_INPUT!$L364)</f>
        <v/>
      </c>
      <c r="AH364" s="18" t="str">
        <f t="shared" si="232"/>
        <v/>
      </c>
      <c r="AI364" s="18" t="str">
        <f>IF(AK364&lt;&gt;1,"",IF(AH364-CONTROL_PANEL!$B$11&lt;0,0,AH364-CONTROL_PANEL!$B$11))</f>
        <v/>
      </c>
      <c r="AJ364" s="18" t="str">
        <f>IF(AK364&lt;&gt;1,"",IF(AG364&lt;=0,0,MIN(AG364,MAX(0,CONTROL_PANEL!$B$13-AH364))))</f>
        <v/>
      </c>
      <c r="AK364" s="18"/>
      <c r="AM364" s="19">
        <f t="shared" si="257"/>
        <v>2045</v>
      </c>
      <c r="AN364" s="19">
        <f t="shared" si="222"/>
        <v>9</v>
      </c>
      <c r="AO364" s="18" t="str">
        <f t="shared" si="233"/>
        <v/>
      </c>
      <c r="AP364" s="18" t="str">
        <f t="shared" si="252"/>
        <v/>
      </c>
      <c r="AQ364" s="18" t="str">
        <f>IF(BD363&lt;&gt;1,"",IF(BA363&gt;0,IF(BA363&gt;CONTROL_PANEL!$B$11,CONTROL_PANEL!$B$11,BA363),0))</f>
        <v/>
      </c>
      <c r="AR364" s="18" t="str">
        <f t="shared" si="247"/>
        <v/>
      </c>
      <c r="AS364" s="18" t="str">
        <f>IF(BD364&lt;&gt;1,"",DATA_INPUT!$I364)</f>
        <v/>
      </c>
      <c r="AT364" s="18" t="str">
        <f>IF(BD364&lt;&gt;1,"",AS364*CONTROL_PANEL!$B$5)</f>
        <v/>
      </c>
      <c r="AU364" s="18" t="str">
        <f>IF(BD364&lt;&gt;1,"",DATA_INPUT!$C364)</f>
        <v/>
      </c>
      <c r="AV364" s="18" t="str">
        <f t="shared" si="234"/>
        <v/>
      </c>
      <c r="AW364" s="18" t="str">
        <f>IF(BD364&lt;&gt;1,"",DATA_INPUT!$H364)</f>
        <v/>
      </c>
      <c r="AX364" s="18" t="str">
        <f t="shared" si="235"/>
        <v/>
      </c>
      <c r="AY364" s="18" t="str">
        <f>IF(BD364&lt;&gt;1,"",AT364*CONTROL_PANEL!$B$14)</f>
        <v/>
      </c>
      <c r="AZ364" s="18" t="str">
        <f>IF(BD364&lt;&gt;1,"",DATA_INPUT!$M364)</f>
        <v/>
      </c>
      <c r="BA364" s="18" t="str">
        <f t="shared" si="236"/>
        <v/>
      </c>
      <c r="BB364" s="18" t="str">
        <f>IF(BD364&lt;&gt;1,"",IF(BA364-CONTROL_PANEL!$B$11&lt;0,0,BA364-CONTROL_PANEL!$B$11))</f>
        <v/>
      </c>
      <c r="BC364" s="18" t="str">
        <f>IF(BD364&lt;&gt;1,"",IF(AZ364&lt;=0,0,MIN(AZ364,MAX(0,CONTROL_PANEL!$B$13-BA364))))</f>
        <v/>
      </c>
      <c r="BD364" s="18"/>
      <c r="BF364" s="19">
        <f t="shared" si="258"/>
        <v>2045</v>
      </c>
      <c r="BG364" s="19">
        <f t="shared" si="223"/>
        <v>9</v>
      </c>
      <c r="BH364" s="18" t="str">
        <f t="shared" si="237"/>
        <v/>
      </c>
      <c r="BI364" s="18" t="str">
        <f t="shared" si="253"/>
        <v/>
      </c>
      <c r="BJ364" s="18" t="str">
        <f>IF(BW363&lt;&gt;1,"",IF(BT363&gt;0,IF(BT363&gt;CONTROL_PANEL!$B$11,CONTROL_PANEL!$B$11,BT363),0))</f>
        <v/>
      </c>
      <c r="BK364" s="18" t="str">
        <f t="shared" si="248"/>
        <v/>
      </c>
      <c r="BL364" s="18" t="str">
        <f>IF(BW364&lt;&gt;1,"",DATA_INPUT!$I364)</f>
        <v/>
      </c>
      <c r="BM364" s="18" t="str">
        <f>IF(BW364&lt;&gt;1,"",BL364*CONTROL_PANEL!$B$5)</f>
        <v/>
      </c>
      <c r="BN364" s="18" t="str">
        <f>IF(BW364&lt;&gt;1,"",DATA_INPUT!$C364)</f>
        <v/>
      </c>
      <c r="BO364" s="18" t="str">
        <f t="shared" si="238"/>
        <v/>
      </c>
      <c r="BP364" s="18" t="str">
        <f>IF(BW364&lt;&gt;1,"",DATA_INPUT!$H364)</f>
        <v/>
      </c>
      <c r="BQ364" s="18" t="str">
        <f t="shared" si="239"/>
        <v/>
      </c>
      <c r="BR364" s="18" t="str">
        <f>IF(BW364&lt;&gt;1,"",BM364*CONTROL_PANEL!$B$14)</f>
        <v/>
      </c>
      <c r="BS364" s="18" t="str">
        <f>IF(BW364&lt;&gt;1,"",DATA_INPUT!$N364)</f>
        <v/>
      </c>
      <c r="BT364" s="18" t="str">
        <f t="shared" si="240"/>
        <v/>
      </c>
      <c r="BU364" s="18" t="str">
        <f>IF(BW364&lt;&gt;1,"",IF(BT364-CONTROL_PANEL!$B$11&lt;0,0,BT364-CONTROL_PANEL!$B$11))</f>
        <v/>
      </c>
      <c r="BV364" s="18" t="str">
        <f>IF(BW364&lt;&gt;1,"",IF(BS364&lt;=0,0,MIN(BS364,MAX(0,CONTROL_PANEL!$B$13-BT364))))</f>
        <v/>
      </c>
      <c r="BW364" s="18"/>
      <c r="BY364" s="19">
        <f t="shared" si="259"/>
        <v>2045</v>
      </c>
      <c r="BZ364" s="19">
        <f t="shared" si="224"/>
        <v>9</v>
      </c>
      <c r="CA364" s="18" t="str">
        <f t="shared" si="241"/>
        <v/>
      </c>
      <c r="CB364" s="18" t="str">
        <f t="shared" si="254"/>
        <v/>
      </c>
      <c r="CC364" s="18" t="str">
        <f>IF(CP363&lt;&gt;1,"",IF(CM363&gt;0,IF(CM363&gt;CONTROL_PANEL!$B$11,CONTROL_PANEL!$B$11,CM363),0))</f>
        <v/>
      </c>
      <c r="CD364" s="18" t="str">
        <f t="shared" si="249"/>
        <v/>
      </c>
      <c r="CE364" s="18" t="str">
        <f>IF(CP364&lt;&gt;1,"",DATA_INPUT!$I364)</f>
        <v/>
      </c>
      <c r="CF364" s="18" t="str">
        <f>IF(CP364&lt;&gt;1,"",CE364*CONTROL_PANEL!$B$5)</f>
        <v/>
      </c>
      <c r="CG364" s="18" t="str">
        <f>IF(CP364&lt;&gt;1,"",DATA_INPUT!$C364)</f>
        <v/>
      </c>
      <c r="CH364" s="18" t="str">
        <f t="shared" si="242"/>
        <v/>
      </c>
      <c r="CI364" s="18" t="str">
        <f>IF(CP364&lt;&gt;1,"",DATA_INPUT!$H364)</f>
        <v/>
      </c>
      <c r="CJ364" s="18" t="str">
        <f t="shared" si="243"/>
        <v/>
      </c>
      <c r="CK364" s="18" t="str">
        <f>IF(CP364&lt;&gt;1,"",CF364*CONTROL_PANEL!$B$14)</f>
        <v/>
      </c>
      <c r="CL364" s="18" t="str">
        <f>IF(CP364&lt;&gt;1,"",DATA_INPUT!$O364)</f>
        <v/>
      </c>
      <c r="CM364" s="18" t="str">
        <f t="shared" si="244"/>
        <v/>
      </c>
      <c r="CN364" s="18" t="str">
        <f>IF(CP364&lt;&gt;1,"",IF(CM364-CONTROL_PANEL!$B$11&lt;0,0,CM364-CONTROL_PANEL!$B$11))</f>
        <v/>
      </c>
      <c r="CO364" s="18" t="str">
        <f>IF(CP364&lt;&gt;1,"",IF(CL364&lt;=0,0,MIN(CL364,MAX(0,CONTROL_PANEL!$B$13-CM364))))</f>
        <v/>
      </c>
      <c r="CP364" s="18"/>
    </row>
    <row r="365" spans="1:94" x14ac:dyDescent="0.25">
      <c r="J365"/>
      <c r="L365"/>
      <c r="AC365"/>
      <c r="AE365"/>
      <c r="AV365"/>
      <c r="AW365"/>
      <c r="AY365"/>
      <c r="BO365"/>
      <c r="BP365"/>
      <c r="BR365"/>
      <c r="CH365"/>
      <c r="CI365"/>
      <c r="CK365"/>
    </row>
    <row r="366" spans="1:94" x14ac:dyDescent="0.25">
      <c r="J366"/>
      <c r="L366"/>
      <c r="AC366"/>
      <c r="AE366"/>
      <c r="AV366"/>
      <c r="AW366"/>
      <c r="AY366"/>
      <c r="BO366"/>
      <c r="BP366"/>
      <c r="BR366"/>
      <c r="CH366"/>
      <c r="CI366"/>
      <c r="CK366"/>
    </row>
    <row r="367" spans="1:94" x14ac:dyDescent="0.25">
      <c r="J367"/>
      <c r="L367"/>
      <c r="AC367"/>
      <c r="AE367"/>
      <c r="AV367"/>
      <c r="AW367"/>
      <c r="AY367"/>
      <c r="BO367"/>
      <c r="BP367"/>
      <c r="BR367"/>
      <c r="CH367"/>
      <c r="CI367"/>
      <c r="CK367"/>
    </row>
    <row r="368" spans="1:94" x14ac:dyDescent="0.25">
      <c r="J368"/>
      <c r="L368"/>
      <c r="AC368"/>
      <c r="AE368"/>
      <c r="AV368"/>
      <c r="AW368"/>
      <c r="AY368"/>
      <c r="BO368"/>
      <c r="BP368"/>
      <c r="BR368"/>
      <c r="CH368"/>
      <c r="CI368"/>
      <c r="CK368"/>
    </row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</sheetData>
  <mergeCells count="1">
    <mergeCell ref="A1:C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S1807"/>
  <sheetViews>
    <sheetView workbookViewId="0">
      <pane ySplit="3" topLeftCell="A4" activePane="bottomLeft" state="frozen"/>
      <selection pane="bottomLeft" activeCell="R23" sqref="R23"/>
    </sheetView>
  </sheetViews>
  <sheetFormatPr defaultRowHeight="15" x14ac:dyDescent="0.25"/>
  <cols>
    <col min="1" max="1" width="24" style="32" customWidth="1"/>
    <col min="2" max="2" width="12" style="32" customWidth="1"/>
    <col min="3" max="4" width="8" style="32" customWidth="1"/>
    <col min="5" max="5" width="20" style="32" customWidth="1"/>
    <col min="6" max="6" width="14" style="32" customWidth="1"/>
    <col min="7" max="7" width="12.7109375" style="32" customWidth="1"/>
    <col min="8" max="8" width="16" style="32" customWidth="1"/>
    <col min="9" max="9" width="6.5703125" customWidth="1"/>
    <col min="10" max="10" width="18" customWidth="1"/>
    <col min="11" max="11" width="12" customWidth="1"/>
    <col min="12" max="13" width="14" customWidth="1"/>
    <col min="14" max="15" width="17" customWidth="1"/>
    <col min="16" max="16" width="12" customWidth="1"/>
    <col min="17" max="17" width="14" customWidth="1"/>
    <col min="18" max="18" width="25" customWidth="1"/>
    <col min="19" max="19" width="20" customWidth="1"/>
  </cols>
  <sheetData>
    <row r="1" spans="1:19" ht="18.75" x14ac:dyDescent="0.25">
      <c r="A1" s="64" t="s">
        <v>78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3" spans="1:19" ht="45" x14ac:dyDescent="0.25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5" t="s">
        <v>210</v>
      </c>
      <c r="J3" s="2" t="s">
        <v>87</v>
      </c>
      <c r="K3" s="2" t="s">
        <v>88</v>
      </c>
      <c r="L3" s="2" t="s">
        <v>89</v>
      </c>
      <c r="M3" s="2" t="s">
        <v>90</v>
      </c>
      <c r="N3" s="2" t="s">
        <v>91</v>
      </c>
      <c r="O3" s="2" t="s">
        <v>92</v>
      </c>
      <c r="P3" s="2" t="s">
        <v>93</v>
      </c>
      <c r="Q3" s="2" t="s">
        <v>94</v>
      </c>
      <c r="R3" s="2" t="s">
        <v>17</v>
      </c>
      <c r="S3" s="2" t="s">
        <v>95</v>
      </c>
    </row>
    <row r="4" spans="1:19" x14ac:dyDescent="0.25">
      <c r="A4" s="30" t="s">
        <v>96</v>
      </c>
      <c r="B4" s="31">
        <v>42278</v>
      </c>
      <c r="C4" s="30">
        <f>YEAR(BInputReservoir[[#This Row],[Date]])</f>
        <v>2015</v>
      </c>
      <c r="D4" s="30">
        <f>MONTH(BInputReservoir[[#This Row],[Date]])</f>
        <v>10</v>
      </c>
      <c r="E4" s="30">
        <f>IF(I4&lt;&gt;1,"",DATA_INPUT!$K5)</f>
        <v>0</v>
      </c>
      <c r="F4" s="30">
        <f>STORAGE_BALANCE_ENSEMBLE!P5</f>
        <v>0</v>
      </c>
      <c r="G4" s="30">
        <f>STORAGE_BALANCE_ENSEMBLE!Q5</f>
        <v>0</v>
      </c>
      <c r="H4" s="30">
        <f>STORAGE_BALANCE_ENSEMBLE!O5</f>
        <v>39118967.9204273</v>
      </c>
      <c r="I4" s="18">
        <f>IF(STORAGE_BALANCE_ENSEMBLE!R5&lt;&gt;1,"",1)</f>
        <v>1</v>
      </c>
      <c r="J4" s="8">
        <f t="shared" ref="J4" si="0">IF(I4&lt;&gt;1,"",IF(E4="","",MAX(0,E4-G4)))</f>
        <v>0</v>
      </c>
      <c r="K4" s="9">
        <f>IF(I4&lt;&gt;1,"",IF(OR(G4="",E4=""),"",IF(G4&gt;0,1,0)))</f>
        <v>0</v>
      </c>
      <c r="L4" s="10">
        <f>IF(I4&lt;&gt;1,"",IF(AND(K4=1,E4&gt;0),G4/E4,0))</f>
        <v>0</v>
      </c>
      <c r="M4" s="10">
        <f>IF(I4&lt;&gt;1,"",IF(H4="","",H4/CONTROL_PANEL!$B$11))</f>
        <v>0.782379358408546</v>
      </c>
      <c r="N4" s="9">
        <f>IF(I4&lt;&gt;1,"",IF(AND(K4=1,A5=A4),1,0))</f>
        <v>0</v>
      </c>
      <c r="O4" s="9">
        <f>IF(I4&lt;&gt;1,"",IF(AND(K4=1,A5=A4,K5=0),1,0))</f>
        <v>0</v>
      </c>
      <c r="P4" s="9">
        <f>IF(I4&lt;&gt;1,"",IF(F4&gt;0,1,0))</f>
        <v>0</v>
      </c>
      <c r="Q4" s="9">
        <f>IF(I4&lt;&gt;1,"",IF(G4&gt;0,1,0))</f>
        <v>0</v>
      </c>
      <c r="R4" s="11"/>
      <c r="S4" s="11" t="str">
        <f>IF(COUNTA(A4:H4)=0,"",IF(OR(A4="",C4="",D4=""),"ERROR: missing key fields","PASS"))</f>
        <v>PASS</v>
      </c>
    </row>
    <row r="5" spans="1:19" x14ac:dyDescent="0.25">
      <c r="A5" s="30" t="s">
        <v>96</v>
      </c>
      <c r="B5" s="31">
        <v>42309</v>
      </c>
      <c r="C5" s="30">
        <f>YEAR(BInputReservoir[[#This Row],[Date]])</f>
        <v>2015</v>
      </c>
      <c r="D5" s="30">
        <f>MONTH(BInputReservoir[[#This Row],[Date]])</f>
        <v>11</v>
      </c>
      <c r="E5" s="30">
        <f>IF(I5&lt;&gt;1,"",DATA_INPUT!$K6)</f>
        <v>0</v>
      </c>
      <c r="F5" s="30">
        <f>STORAGE_BALANCE_ENSEMBLE!P6</f>
        <v>0</v>
      </c>
      <c r="G5" s="30">
        <f>STORAGE_BALANCE_ENSEMBLE!Q6</f>
        <v>0</v>
      </c>
      <c r="H5" s="30">
        <f>STORAGE_BALANCE_ENSEMBLE!O6</f>
        <v>39024736.908796281</v>
      </c>
      <c r="I5" s="18">
        <f>IF(STORAGE_BALANCE_ENSEMBLE!R6&lt;&gt;1,"",1)</f>
        <v>1</v>
      </c>
      <c r="J5" s="8">
        <f t="shared" ref="J5:J68" si="1">IF(I5&lt;&gt;1,"",IF(E5="","",MAX(0,E5-G5)))</f>
        <v>0</v>
      </c>
      <c r="K5" s="9">
        <f t="shared" ref="K5:K68" si="2">IF(I5&lt;&gt;1,"",IF(OR(G5="",E5=""),"",IF(G5&gt;0,1,0)))</f>
        <v>0</v>
      </c>
      <c r="L5" s="10">
        <f t="shared" ref="L5:L68" si="3">IF(I5&lt;&gt;1,"",IF(AND(K5=1,E5&gt;0),G5/E5,0))</f>
        <v>0</v>
      </c>
      <c r="M5" s="10">
        <f>IF(I5&lt;&gt;1,"",IF(H5="","",H5/CONTROL_PANEL!$B$11))</f>
        <v>0.78049473817592563</v>
      </c>
      <c r="N5" s="9">
        <f t="shared" ref="N5:N68" si="4">IF(I5&lt;&gt;1,"",IF(AND(K5=1,A6=A5),1,0))</f>
        <v>0</v>
      </c>
      <c r="O5" s="9">
        <f t="shared" ref="O5:O68" si="5">IF(I5&lt;&gt;1,"",IF(AND(K5=1,A6=A5,K6=0),1,0))</f>
        <v>0</v>
      </c>
      <c r="P5" s="9">
        <f t="shared" ref="P5:P68" si="6">IF(I5&lt;&gt;1,"",IF(F5&gt;0,1,0))</f>
        <v>0</v>
      </c>
      <c r="Q5" s="9">
        <f t="shared" ref="Q5:Q68" si="7">IF(I5&lt;&gt;1,"",IF(G5&gt;0,1,0))</f>
        <v>0</v>
      </c>
      <c r="R5" s="11"/>
      <c r="S5" s="11" t="str">
        <f t="shared" ref="S5:S68" si="8">IF(COUNTA(A5:H5)=0,"",IF(OR(A5="",C5="",D5=""),"ERROR: missing key fields","PASS"))</f>
        <v>PASS</v>
      </c>
    </row>
    <row r="6" spans="1:19" x14ac:dyDescent="0.25">
      <c r="A6" s="30" t="s">
        <v>96</v>
      </c>
      <c r="B6" s="31">
        <v>42339</v>
      </c>
      <c r="C6" s="30">
        <f>YEAR(BInputReservoir[[#This Row],[Date]])</f>
        <v>2015</v>
      </c>
      <c r="D6" s="30">
        <f>MONTH(BInputReservoir[[#This Row],[Date]])</f>
        <v>12</v>
      </c>
      <c r="E6" s="30">
        <f>IF(I6&lt;&gt;1,"",DATA_INPUT!$K7)</f>
        <v>0</v>
      </c>
      <c r="F6" s="30">
        <f>STORAGE_BALANCE_ENSEMBLE!P7</f>
        <v>0</v>
      </c>
      <c r="G6" s="30">
        <f>STORAGE_BALANCE_ENSEMBLE!Q7</f>
        <v>0</v>
      </c>
      <c r="H6" s="30">
        <f>STORAGE_BALANCE_ENSEMBLE!O7</f>
        <v>39131395.305964693</v>
      </c>
      <c r="I6" s="18">
        <f>IF(STORAGE_BALANCE_ENSEMBLE!R7&lt;&gt;1,"",1)</f>
        <v>1</v>
      </c>
      <c r="J6" s="8">
        <f t="shared" si="1"/>
        <v>0</v>
      </c>
      <c r="K6" s="9">
        <f t="shared" si="2"/>
        <v>0</v>
      </c>
      <c r="L6" s="10">
        <f t="shared" si="3"/>
        <v>0</v>
      </c>
      <c r="M6" s="10">
        <f>IF(I6&lt;&gt;1,"",IF(H6="","",H6/CONTROL_PANEL!$B$11))</f>
        <v>0.78262790611929389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9">
        <f t="shared" si="7"/>
        <v>0</v>
      </c>
      <c r="R6" s="11"/>
      <c r="S6" s="11" t="str">
        <f t="shared" si="8"/>
        <v>PASS</v>
      </c>
    </row>
    <row r="7" spans="1:19" x14ac:dyDescent="0.25">
      <c r="A7" s="30" t="s">
        <v>96</v>
      </c>
      <c r="B7" s="31">
        <v>42370</v>
      </c>
      <c r="C7" s="30">
        <f>YEAR(BInputReservoir[[#This Row],[Date]])</f>
        <v>2016</v>
      </c>
      <c r="D7" s="30">
        <f>MONTH(BInputReservoir[[#This Row],[Date]])</f>
        <v>1</v>
      </c>
      <c r="E7" s="30">
        <f>IF(I7&lt;&gt;1,"",DATA_INPUT!$K8)</f>
        <v>0</v>
      </c>
      <c r="F7" s="30">
        <f>STORAGE_BALANCE_ENSEMBLE!P8</f>
        <v>0</v>
      </c>
      <c r="G7" s="30">
        <f>STORAGE_BALANCE_ENSEMBLE!Q8</f>
        <v>0</v>
      </c>
      <c r="H7" s="30">
        <f>STORAGE_BALANCE_ENSEMBLE!O8</f>
        <v>39659872.226584911</v>
      </c>
      <c r="I7" s="18">
        <f>IF(STORAGE_BALANCE_ENSEMBLE!R8&lt;&gt;1,"",1)</f>
        <v>1</v>
      </c>
      <c r="J7" s="8">
        <f t="shared" si="1"/>
        <v>0</v>
      </c>
      <c r="K7" s="9">
        <f t="shared" si="2"/>
        <v>0</v>
      </c>
      <c r="L7" s="10">
        <f t="shared" si="3"/>
        <v>0</v>
      </c>
      <c r="M7" s="10">
        <f>IF(I7&lt;&gt;1,"",IF(H7="","",H7/CONTROL_PANEL!$B$11))</f>
        <v>0.79319744453169827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9">
        <f t="shared" si="7"/>
        <v>0</v>
      </c>
      <c r="R7" s="11"/>
      <c r="S7" s="11" t="str">
        <f t="shared" si="8"/>
        <v>PASS</v>
      </c>
    </row>
    <row r="8" spans="1:19" x14ac:dyDescent="0.25">
      <c r="A8" s="30" t="s">
        <v>96</v>
      </c>
      <c r="B8" s="31">
        <v>42401</v>
      </c>
      <c r="C8" s="30">
        <f>YEAR(BInputReservoir[[#This Row],[Date]])</f>
        <v>2016</v>
      </c>
      <c r="D8" s="30">
        <f>MONTH(BInputReservoir[[#This Row],[Date]])</f>
        <v>2</v>
      </c>
      <c r="E8" s="30">
        <f>IF(I8&lt;&gt;1,"",DATA_INPUT!$K9)</f>
        <v>0</v>
      </c>
      <c r="F8" s="30">
        <f>STORAGE_BALANCE_ENSEMBLE!P9</f>
        <v>0</v>
      </c>
      <c r="G8" s="30">
        <f>STORAGE_BALANCE_ENSEMBLE!Q9</f>
        <v>0</v>
      </c>
      <c r="H8" s="30">
        <f>STORAGE_BALANCE_ENSEMBLE!O9</f>
        <v>39951026.353448421</v>
      </c>
      <c r="I8" s="18">
        <f>IF(STORAGE_BALANCE_ENSEMBLE!R9&lt;&gt;1,"",1)</f>
        <v>1</v>
      </c>
      <c r="J8" s="8">
        <f t="shared" si="1"/>
        <v>0</v>
      </c>
      <c r="K8" s="9">
        <f t="shared" si="2"/>
        <v>0</v>
      </c>
      <c r="L8" s="10">
        <f t="shared" si="3"/>
        <v>0</v>
      </c>
      <c r="M8" s="10">
        <f>IF(I8&lt;&gt;1,"",IF(H8="","",H8/CONTROL_PANEL!$B$11))</f>
        <v>0.79902052706896842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9">
        <f t="shared" si="7"/>
        <v>0</v>
      </c>
      <c r="R8" s="11"/>
      <c r="S8" s="11" t="str">
        <f t="shared" si="8"/>
        <v>PASS</v>
      </c>
    </row>
    <row r="9" spans="1:19" x14ac:dyDescent="0.25">
      <c r="A9" s="30" t="s">
        <v>96</v>
      </c>
      <c r="B9" s="31">
        <v>42430</v>
      </c>
      <c r="C9" s="30">
        <f>YEAR(BInputReservoir[[#This Row],[Date]])</f>
        <v>2016</v>
      </c>
      <c r="D9" s="30">
        <f>MONTH(BInputReservoir[[#This Row],[Date]])</f>
        <v>3</v>
      </c>
      <c r="E9" s="30">
        <f>IF(I9&lt;&gt;1,"",DATA_INPUT!$K10)</f>
        <v>0</v>
      </c>
      <c r="F9" s="30">
        <f>STORAGE_BALANCE_ENSEMBLE!P10</f>
        <v>0</v>
      </c>
      <c r="G9" s="30">
        <f>STORAGE_BALANCE_ENSEMBLE!Q10</f>
        <v>0</v>
      </c>
      <c r="H9" s="30">
        <f>STORAGE_BALANCE_ENSEMBLE!O10</f>
        <v>40426903.429343104</v>
      </c>
      <c r="I9" s="18">
        <f>IF(STORAGE_BALANCE_ENSEMBLE!R10&lt;&gt;1,"",1)</f>
        <v>1</v>
      </c>
      <c r="J9" s="8">
        <f t="shared" si="1"/>
        <v>0</v>
      </c>
      <c r="K9" s="9">
        <f t="shared" si="2"/>
        <v>0</v>
      </c>
      <c r="L9" s="10">
        <f t="shared" si="3"/>
        <v>0</v>
      </c>
      <c r="M9" s="10">
        <f>IF(I9&lt;&gt;1,"",IF(H9="","",H9/CONTROL_PANEL!$B$11))</f>
        <v>0.80853806858686206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9">
        <f t="shared" si="7"/>
        <v>0</v>
      </c>
      <c r="R9" s="11"/>
      <c r="S9" s="11" t="str">
        <f t="shared" si="8"/>
        <v>PASS</v>
      </c>
    </row>
    <row r="10" spans="1:19" x14ac:dyDescent="0.25">
      <c r="A10" s="30" t="s">
        <v>96</v>
      </c>
      <c r="B10" s="31">
        <v>42461</v>
      </c>
      <c r="C10" s="30">
        <f>YEAR(BInputReservoir[[#This Row],[Date]])</f>
        <v>2016</v>
      </c>
      <c r="D10" s="30">
        <f>MONTH(BInputReservoir[[#This Row],[Date]])</f>
        <v>4</v>
      </c>
      <c r="E10" s="30">
        <f>IF(I10&lt;&gt;1,"",DATA_INPUT!$K11)</f>
        <v>25674.230715770605</v>
      </c>
      <c r="F10" s="30">
        <f>STORAGE_BALANCE_ENSEMBLE!P11</f>
        <v>0</v>
      </c>
      <c r="G10" s="30">
        <f>STORAGE_BALANCE_ENSEMBLE!Q11</f>
        <v>0</v>
      </c>
      <c r="H10" s="30">
        <f>STORAGE_BALANCE_ENSEMBLE!O11</f>
        <v>41305275.900207326</v>
      </c>
      <c r="I10" s="18">
        <f>IF(STORAGE_BALANCE_ENSEMBLE!R11&lt;&gt;1,"",1)</f>
        <v>1</v>
      </c>
      <c r="J10" s="8">
        <f t="shared" si="1"/>
        <v>25674.230715770605</v>
      </c>
      <c r="K10" s="9">
        <f t="shared" si="2"/>
        <v>0</v>
      </c>
      <c r="L10" s="10">
        <f t="shared" si="3"/>
        <v>0</v>
      </c>
      <c r="M10" s="10">
        <f>IF(I10&lt;&gt;1,"",IF(H10="","",H10/CONTROL_PANEL!$B$11))</f>
        <v>0.82610551800414656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9">
        <f t="shared" si="7"/>
        <v>0</v>
      </c>
      <c r="R10" s="11"/>
      <c r="S10" s="11" t="str">
        <f t="shared" si="8"/>
        <v>PASS</v>
      </c>
    </row>
    <row r="11" spans="1:19" x14ac:dyDescent="0.25">
      <c r="A11" s="30" t="s">
        <v>96</v>
      </c>
      <c r="B11" s="31">
        <v>42491</v>
      </c>
      <c r="C11" s="30">
        <f>YEAR(BInputReservoir[[#This Row],[Date]])</f>
        <v>2016</v>
      </c>
      <c r="D11" s="30">
        <f>MONTH(BInputReservoir[[#This Row],[Date]])</f>
        <v>5</v>
      </c>
      <c r="E11" s="30">
        <f>IF(I11&lt;&gt;1,"",DATA_INPUT!$K12)</f>
        <v>90918.576134805277</v>
      </c>
      <c r="F11" s="30">
        <f>STORAGE_BALANCE_ENSEMBLE!P12</f>
        <v>0</v>
      </c>
      <c r="G11" s="30">
        <f>STORAGE_BALANCE_ENSEMBLE!Q12</f>
        <v>0</v>
      </c>
      <c r="H11" s="30">
        <f>STORAGE_BALANCE_ENSEMBLE!O12</f>
        <v>41580074.715505518</v>
      </c>
      <c r="I11" s="18">
        <f>IF(STORAGE_BALANCE_ENSEMBLE!R12&lt;&gt;1,"",1)</f>
        <v>1</v>
      </c>
      <c r="J11" s="8">
        <f t="shared" si="1"/>
        <v>90918.576134805277</v>
      </c>
      <c r="K11" s="9">
        <f t="shared" si="2"/>
        <v>0</v>
      </c>
      <c r="L11" s="10">
        <f t="shared" si="3"/>
        <v>0</v>
      </c>
      <c r="M11" s="10">
        <f>IF(I11&lt;&gt;1,"",IF(H11="","",H11/CONTROL_PANEL!$B$11))</f>
        <v>0.83160149431011032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9">
        <f t="shared" si="7"/>
        <v>0</v>
      </c>
      <c r="R11" s="11"/>
      <c r="S11" s="11" t="str">
        <f t="shared" si="8"/>
        <v>PASS</v>
      </c>
    </row>
    <row r="12" spans="1:19" x14ac:dyDescent="0.25">
      <c r="A12" s="30" t="s">
        <v>96</v>
      </c>
      <c r="B12" s="31">
        <v>42522</v>
      </c>
      <c r="C12" s="30">
        <f>YEAR(BInputReservoir[[#This Row],[Date]])</f>
        <v>2016</v>
      </c>
      <c r="D12" s="30">
        <f>MONTH(BInputReservoir[[#This Row],[Date]])</f>
        <v>6</v>
      </c>
      <c r="E12" s="30">
        <f>IF(I12&lt;&gt;1,"",DATA_INPUT!$K13)</f>
        <v>883210.25548892631</v>
      </c>
      <c r="F12" s="30">
        <f>STORAGE_BALANCE_ENSEMBLE!P13</f>
        <v>0</v>
      </c>
      <c r="G12" s="30">
        <f>STORAGE_BALANCE_ENSEMBLE!Q13</f>
        <v>0</v>
      </c>
      <c r="H12" s="30">
        <f>STORAGE_BALANCE_ENSEMBLE!O13</f>
        <v>39965568.681150004</v>
      </c>
      <c r="I12" s="18">
        <f>IF(STORAGE_BALANCE_ENSEMBLE!R13&lt;&gt;1,"",1)</f>
        <v>1</v>
      </c>
      <c r="J12" s="8">
        <f t="shared" si="1"/>
        <v>883210.25548892631</v>
      </c>
      <c r="K12" s="9">
        <f t="shared" si="2"/>
        <v>0</v>
      </c>
      <c r="L12" s="10">
        <f t="shared" si="3"/>
        <v>0</v>
      </c>
      <c r="M12" s="10">
        <f>IF(I12&lt;&gt;1,"",IF(H12="","",H12/CONTROL_PANEL!$B$11))</f>
        <v>0.79931137362300009</v>
      </c>
      <c r="N12" s="9">
        <f t="shared" si="4"/>
        <v>0</v>
      </c>
      <c r="O12" s="9">
        <f t="shared" si="5"/>
        <v>0</v>
      </c>
      <c r="P12" s="9">
        <f t="shared" si="6"/>
        <v>0</v>
      </c>
      <c r="Q12" s="9">
        <f t="shared" si="7"/>
        <v>0</v>
      </c>
      <c r="R12" s="11"/>
      <c r="S12" s="11" t="str">
        <f t="shared" si="8"/>
        <v>PASS</v>
      </c>
    </row>
    <row r="13" spans="1:19" x14ac:dyDescent="0.25">
      <c r="A13" s="30" t="s">
        <v>96</v>
      </c>
      <c r="B13" s="31">
        <v>42552</v>
      </c>
      <c r="C13" s="30">
        <f>YEAR(BInputReservoir[[#This Row],[Date]])</f>
        <v>2016</v>
      </c>
      <c r="D13" s="30">
        <f>MONTH(BInputReservoir[[#This Row],[Date]])</f>
        <v>7</v>
      </c>
      <c r="E13" s="30">
        <f>IF(I13&lt;&gt;1,"",DATA_INPUT!$K14)</f>
        <v>1549942.7825193105</v>
      </c>
      <c r="F13" s="30">
        <f>STORAGE_BALANCE_ENSEMBLE!P14</f>
        <v>0</v>
      </c>
      <c r="G13" s="30">
        <f>STORAGE_BALANCE_ENSEMBLE!Q14</f>
        <v>0</v>
      </c>
      <c r="H13" s="30">
        <f>STORAGE_BALANCE_ENSEMBLE!O14</f>
        <v>37522189.150168255</v>
      </c>
      <c r="I13" s="18">
        <f>IF(STORAGE_BALANCE_ENSEMBLE!R14&lt;&gt;1,"",1)</f>
        <v>1</v>
      </c>
      <c r="J13" s="8">
        <f t="shared" si="1"/>
        <v>1549942.7825193105</v>
      </c>
      <c r="K13" s="9">
        <f t="shared" si="2"/>
        <v>0</v>
      </c>
      <c r="L13" s="10">
        <f t="shared" si="3"/>
        <v>0</v>
      </c>
      <c r="M13" s="10">
        <f>IF(I13&lt;&gt;1,"",IF(H13="","",H13/CONTROL_PANEL!$B$11))</f>
        <v>0.75044378300336512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9">
        <f t="shared" si="7"/>
        <v>0</v>
      </c>
      <c r="R13" s="11"/>
      <c r="S13" s="11" t="str">
        <f t="shared" si="8"/>
        <v>PASS</v>
      </c>
    </row>
    <row r="14" spans="1:19" x14ac:dyDescent="0.25">
      <c r="A14" s="30" t="s">
        <v>96</v>
      </c>
      <c r="B14" s="31">
        <v>42583</v>
      </c>
      <c r="C14" s="30">
        <f>YEAR(BInputReservoir[[#This Row],[Date]])</f>
        <v>2016</v>
      </c>
      <c r="D14" s="30">
        <f>MONTH(BInputReservoir[[#This Row],[Date]])</f>
        <v>8</v>
      </c>
      <c r="E14" s="30">
        <f>IF(I14&lt;&gt;1,"",DATA_INPUT!$K15)</f>
        <v>1861619.5498922402</v>
      </c>
      <c r="F14" s="30">
        <f>STORAGE_BALANCE_ENSEMBLE!P15</f>
        <v>0</v>
      </c>
      <c r="G14" s="30">
        <f>STORAGE_BALANCE_ENSEMBLE!Q15</f>
        <v>0</v>
      </c>
      <c r="H14" s="30">
        <f>STORAGE_BALANCE_ENSEMBLE!O15</f>
        <v>34775132.072677203</v>
      </c>
      <c r="I14" s="18">
        <f>IF(STORAGE_BALANCE_ENSEMBLE!R15&lt;&gt;1,"",1)</f>
        <v>1</v>
      </c>
      <c r="J14" s="8">
        <f t="shared" si="1"/>
        <v>1861619.5498922402</v>
      </c>
      <c r="K14" s="9">
        <f t="shared" si="2"/>
        <v>0</v>
      </c>
      <c r="L14" s="10">
        <f t="shared" si="3"/>
        <v>0</v>
      </c>
      <c r="M14" s="10">
        <f>IF(I14&lt;&gt;1,"",IF(H14="","",H14/CONTROL_PANEL!$B$11))</f>
        <v>0.69550264145354401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9">
        <f t="shared" si="7"/>
        <v>0</v>
      </c>
      <c r="R14" s="11"/>
      <c r="S14" s="11" t="str">
        <f t="shared" si="8"/>
        <v>PASS</v>
      </c>
    </row>
    <row r="15" spans="1:19" x14ac:dyDescent="0.25">
      <c r="A15" s="30" t="s">
        <v>96</v>
      </c>
      <c r="B15" s="31">
        <v>42614</v>
      </c>
      <c r="C15" s="30">
        <f>YEAR(BInputReservoir[[#This Row],[Date]])</f>
        <v>2016</v>
      </c>
      <c r="D15" s="30">
        <f>MONTH(BInputReservoir[[#This Row],[Date]])</f>
        <v>9</v>
      </c>
      <c r="E15" s="30">
        <f>IF(I15&lt;&gt;1,"",DATA_INPUT!$K16)</f>
        <v>758226.85742398759</v>
      </c>
      <c r="F15" s="30">
        <f>STORAGE_BALANCE_ENSEMBLE!P16</f>
        <v>0</v>
      </c>
      <c r="G15" s="30">
        <f>STORAGE_BALANCE_ENSEMBLE!Q16</f>
        <v>0</v>
      </c>
      <c r="H15" s="30">
        <f>STORAGE_BALANCE_ENSEMBLE!O16</f>
        <v>33485371.021660604</v>
      </c>
      <c r="I15" s="18">
        <f>IF(STORAGE_BALANCE_ENSEMBLE!R16&lt;&gt;1,"",1)</f>
        <v>1</v>
      </c>
      <c r="J15" s="8">
        <f t="shared" si="1"/>
        <v>758226.85742398759</v>
      </c>
      <c r="K15" s="9">
        <f t="shared" si="2"/>
        <v>0</v>
      </c>
      <c r="L15" s="10">
        <f t="shared" si="3"/>
        <v>0</v>
      </c>
      <c r="M15" s="10">
        <f>IF(I15&lt;&gt;1,"",IF(H15="","",H15/CONTROL_PANEL!$B$11))</f>
        <v>0.66970742043321208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9">
        <f t="shared" si="7"/>
        <v>0</v>
      </c>
      <c r="R15" s="11"/>
      <c r="S15" s="11" t="str">
        <f t="shared" si="8"/>
        <v>PASS</v>
      </c>
    </row>
    <row r="16" spans="1:19" x14ac:dyDescent="0.25">
      <c r="A16" s="30" t="s">
        <v>96</v>
      </c>
      <c r="B16" s="31">
        <v>42644</v>
      </c>
      <c r="C16" s="30">
        <f>YEAR(BInputReservoir[[#This Row],[Date]])</f>
        <v>2016</v>
      </c>
      <c r="D16" s="30">
        <f>MONTH(BInputReservoir[[#This Row],[Date]])</f>
        <v>10</v>
      </c>
      <c r="E16" s="30">
        <f>IF(I16&lt;&gt;1,"",DATA_INPUT!$K17)</f>
        <v>245121.50066028442</v>
      </c>
      <c r="F16" s="30">
        <f>STORAGE_BALANCE_ENSEMBLE!P17</f>
        <v>0</v>
      </c>
      <c r="G16" s="30">
        <f>STORAGE_BALANCE_ENSEMBLE!Q17</f>
        <v>0</v>
      </c>
      <c r="H16" s="30">
        <f>STORAGE_BALANCE_ENSEMBLE!O17</f>
        <v>33196794.073363941</v>
      </c>
      <c r="I16" s="18">
        <f>IF(STORAGE_BALANCE_ENSEMBLE!R17&lt;&gt;1,"",1)</f>
        <v>1</v>
      </c>
      <c r="J16" s="8">
        <f t="shared" si="1"/>
        <v>245121.50066028442</v>
      </c>
      <c r="K16" s="9">
        <f t="shared" si="2"/>
        <v>0</v>
      </c>
      <c r="L16" s="10">
        <f t="shared" si="3"/>
        <v>0</v>
      </c>
      <c r="M16" s="10">
        <f>IF(I16&lt;&gt;1,"",IF(H16="","",H16/CONTROL_PANEL!$B$11))</f>
        <v>0.66393588146727878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9">
        <f t="shared" si="7"/>
        <v>0</v>
      </c>
      <c r="R16" s="11"/>
      <c r="S16" s="11" t="str">
        <f t="shared" si="8"/>
        <v>PASS</v>
      </c>
    </row>
    <row r="17" spans="1:19" x14ac:dyDescent="0.25">
      <c r="A17" s="30" t="s">
        <v>96</v>
      </c>
      <c r="B17" s="31">
        <v>42675</v>
      </c>
      <c r="C17" s="30">
        <f>YEAR(BInputReservoir[[#This Row],[Date]])</f>
        <v>2016</v>
      </c>
      <c r="D17" s="30">
        <f>MONTH(BInputReservoir[[#This Row],[Date]])</f>
        <v>11</v>
      </c>
      <c r="E17" s="30">
        <f>IF(I17&lt;&gt;1,"",DATA_INPUT!$K18)</f>
        <v>0</v>
      </c>
      <c r="F17" s="30">
        <f>STORAGE_BALANCE_ENSEMBLE!P18</f>
        <v>0</v>
      </c>
      <c r="G17" s="30">
        <f>STORAGE_BALANCE_ENSEMBLE!Q18</f>
        <v>0</v>
      </c>
      <c r="H17" s="30">
        <f>STORAGE_BALANCE_ENSEMBLE!O18</f>
        <v>33400651.01160289</v>
      </c>
      <c r="I17" s="18">
        <f>IF(STORAGE_BALANCE_ENSEMBLE!R18&lt;&gt;1,"",1)</f>
        <v>1</v>
      </c>
      <c r="J17" s="8">
        <f t="shared" si="1"/>
        <v>0</v>
      </c>
      <c r="K17" s="9">
        <f t="shared" si="2"/>
        <v>0</v>
      </c>
      <c r="L17" s="10">
        <f t="shared" si="3"/>
        <v>0</v>
      </c>
      <c r="M17" s="10">
        <f>IF(I17&lt;&gt;1,"",IF(H17="","",H17/CONTROL_PANEL!$B$11))</f>
        <v>0.66801302023205777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9">
        <f t="shared" si="7"/>
        <v>0</v>
      </c>
      <c r="R17" s="11"/>
      <c r="S17" s="11" t="str">
        <f t="shared" si="8"/>
        <v>PASS</v>
      </c>
    </row>
    <row r="18" spans="1:19" x14ac:dyDescent="0.25">
      <c r="A18" s="30" t="s">
        <v>96</v>
      </c>
      <c r="B18" s="31">
        <v>42705</v>
      </c>
      <c r="C18" s="30">
        <f>YEAR(BInputReservoir[[#This Row],[Date]])</f>
        <v>2016</v>
      </c>
      <c r="D18" s="30">
        <f>MONTH(BInputReservoir[[#This Row],[Date]])</f>
        <v>12</v>
      </c>
      <c r="E18" s="30">
        <f>IF(I18&lt;&gt;1,"",DATA_INPUT!$K19)</f>
        <v>0</v>
      </c>
      <c r="F18" s="30">
        <f>STORAGE_BALANCE_ENSEMBLE!P19</f>
        <v>0</v>
      </c>
      <c r="G18" s="30">
        <f>STORAGE_BALANCE_ENSEMBLE!Q19</f>
        <v>0</v>
      </c>
      <c r="H18" s="30">
        <f>STORAGE_BALANCE_ENSEMBLE!O19</f>
        <v>33575011.919182025</v>
      </c>
      <c r="I18" s="18">
        <f>IF(STORAGE_BALANCE_ENSEMBLE!R19&lt;&gt;1,"",1)</f>
        <v>1</v>
      </c>
      <c r="J18" s="8">
        <f t="shared" si="1"/>
        <v>0</v>
      </c>
      <c r="K18" s="9">
        <f t="shared" si="2"/>
        <v>0</v>
      </c>
      <c r="L18" s="10">
        <f t="shared" si="3"/>
        <v>0</v>
      </c>
      <c r="M18" s="10">
        <f>IF(I18&lt;&gt;1,"",IF(H18="","",H18/CONTROL_PANEL!$B$11))</f>
        <v>0.67150023838364048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9">
        <f t="shared" si="7"/>
        <v>0</v>
      </c>
      <c r="R18" s="11"/>
      <c r="S18" s="11" t="str">
        <f t="shared" si="8"/>
        <v>PASS</v>
      </c>
    </row>
    <row r="19" spans="1:19" x14ac:dyDescent="0.25">
      <c r="A19" s="30" t="s">
        <v>96</v>
      </c>
      <c r="B19" s="31">
        <v>42736</v>
      </c>
      <c r="C19" s="30">
        <f>YEAR(BInputReservoir[[#This Row],[Date]])</f>
        <v>2017</v>
      </c>
      <c r="D19" s="30">
        <f>MONTH(BInputReservoir[[#This Row],[Date]])</f>
        <v>1</v>
      </c>
      <c r="E19" s="30">
        <f>IF(I19&lt;&gt;1,"",DATA_INPUT!$K20)</f>
        <v>0</v>
      </c>
      <c r="F19" s="30">
        <f>STORAGE_BALANCE_ENSEMBLE!P20</f>
        <v>0</v>
      </c>
      <c r="G19" s="30">
        <f>STORAGE_BALANCE_ENSEMBLE!Q20</f>
        <v>0</v>
      </c>
      <c r="H19" s="30">
        <f>STORAGE_BALANCE_ENSEMBLE!O20</f>
        <v>33689041.568859771</v>
      </c>
      <c r="I19" s="18">
        <f>IF(STORAGE_BALANCE_ENSEMBLE!R20&lt;&gt;1,"",1)</f>
        <v>1</v>
      </c>
      <c r="J19" s="8">
        <f t="shared" si="1"/>
        <v>0</v>
      </c>
      <c r="K19" s="9">
        <f t="shared" si="2"/>
        <v>0</v>
      </c>
      <c r="L19" s="10">
        <f t="shared" si="3"/>
        <v>0</v>
      </c>
      <c r="M19" s="10">
        <f>IF(I19&lt;&gt;1,"",IF(H19="","",H19/CONTROL_PANEL!$B$11))</f>
        <v>0.67378083137719547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9">
        <f t="shared" si="7"/>
        <v>0</v>
      </c>
      <c r="R19" s="11"/>
      <c r="S19" s="11" t="str">
        <f t="shared" si="8"/>
        <v>PASS</v>
      </c>
    </row>
    <row r="20" spans="1:19" x14ac:dyDescent="0.25">
      <c r="A20" s="30" t="s">
        <v>96</v>
      </c>
      <c r="B20" s="31">
        <v>42767</v>
      </c>
      <c r="C20" s="30">
        <f>YEAR(BInputReservoir[[#This Row],[Date]])</f>
        <v>2017</v>
      </c>
      <c r="D20" s="30">
        <f>MONTH(BInputReservoir[[#This Row],[Date]])</f>
        <v>2</v>
      </c>
      <c r="E20" s="30">
        <f>IF(I20&lt;&gt;1,"",DATA_INPUT!$K21)</f>
        <v>0</v>
      </c>
      <c r="F20" s="30">
        <f>STORAGE_BALANCE_ENSEMBLE!P21</f>
        <v>0</v>
      </c>
      <c r="G20" s="30">
        <f>STORAGE_BALANCE_ENSEMBLE!Q21</f>
        <v>0</v>
      </c>
      <c r="H20" s="30">
        <f>STORAGE_BALANCE_ENSEMBLE!O21</f>
        <v>34152195.867207333</v>
      </c>
      <c r="I20" s="18">
        <f>IF(STORAGE_BALANCE_ENSEMBLE!R21&lt;&gt;1,"",1)</f>
        <v>1</v>
      </c>
      <c r="J20" s="8">
        <f t="shared" si="1"/>
        <v>0</v>
      </c>
      <c r="K20" s="9">
        <f t="shared" si="2"/>
        <v>0</v>
      </c>
      <c r="L20" s="10">
        <f t="shared" si="3"/>
        <v>0</v>
      </c>
      <c r="M20" s="10">
        <f>IF(I20&lt;&gt;1,"",IF(H20="","",H20/CONTROL_PANEL!$B$11))</f>
        <v>0.68304391734414671</v>
      </c>
      <c r="N20" s="9">
        <f t="shared" si="4"/>
        <v>0</v>
      </c>
      <c r="O20" s="9">
        <f t="shared" si="5"/>
        <v>0</v>
      </c>
      <c r="P20" s="9">
        <f t="shared" si="6"/>
        <v>0</v>
      </c>
      <c r="Q20" s="9">
        <f t="shared" si="7"/>
        <v>0</v>
      </c>
      <c r="R20" s="11"/>
      <c r="S20" s="11" t="str">
        <f t="shared" si="8"/>
        <v>PASS</v>
      </c>
    </row>
    <row r="21" spans="1:19" x14ac:dyDescent="0.25">
      <c r="A21" s="30" t="s">
        <v>96</v>
      </c>
      <c r="B21" s="31">
        <v>42795</v>
      </c>
      <c r="C21" s="30">
        <f>YEAR(BInputReservoir[[#This Row],[Date]])</f>
        <v>2017</v>
      </c>
      <c r="D21" s="30">
        <f>MONTH(BInputReservoir[[#This Row],[Date]])</f>
        <v>3</v>
      </c>
      <c r="E21" s="30">
        <f>IF(I21&lt;&gt;1,"",DATA_INPUT!$K22)</f>
        <v>0</v>
      </c>
      <c r="F21" s="30">
        <f>STORAGE_BALANCE_ENSEMBLE!P22</f>
        <v>0</v>
      </c>
      <c r="G21" s="30">
        <f>STORAGE_BALANCE_ENSEMBLE!Q22</f>
        <v>0</v>
      </c>
      <c r="H21" s="30">
        <f>STORAGE_BALANCE_ENSEMBLE!O22</f>
        <v>34446755.018602453</v>
      </c>
      <c r="I21" s="18">
        <f>IF(STORAGE_BALANCE_ENSEMBLE!R22&lt;&gt;1,"",1)</f>
        <v>1</v>
      </c>
      <c r="J21" s="8">
        <f t="shared" si="1"/>
        <v>0</v>
      </c>
      <c r="K21" s="9">
        <f t="shared" si="2"/>
        <v>0</v>
      </c>
      <c r="L21" s="10">
        <f t="shared" si="3"/>
        <v>0</v>
      </c>
      <c r="M21" s="10">
        <f>IF(I21&lt;&gt;1,"",IF(H21="","",H21/CONTROL_PANEL!$B$11))</f>
        <v>0.68893510037204908</v>
      </c>
      <c r="N21" s="9">
        <f t="shared" si="4"/>
        <v>0</v>
      </c>
      <c r="O21" s="9">
        <f t="shared" si="5"/>
        <v>0</v>
      </c>
      <c r="P21" s="9">
        <f t="shared" si="6"/>
        <v>0</v>
      </c>
      <c r="Q21" s="9">
        <f t="shared" si="7"/>
        <v>0</v>
      </c>
      <c r="R21" s="11"/>
      <c r="S21" s="11" t="str">
        <f t="shared" si="8"/>
        <v>PASS</v>
      </c>
    </row>
    <row r="22" spans="1:19" x14ac:dyDescent="0.25">
      <c r="A22" s="30" t="s">
        <v>96</v>
      </c>
      <c r="B22" s="31">
        <v>42826</v>
      </c>
      <c r="C22" s="30">
        <f>YEAR(BInputReservoir[[#This Row],[Date]])</f>
        <v>2017</v>
      </c>
      <c r="D22" s="30">
        <f>MONTH(BInputReservoir[[#This Row],[Date]])</f>
        <v>4</v>
      </c>
      <c r="E22" s="30">
        <f>IF(I22&lt;&gt;1,"",DATA_INPUT!$K23)</f>
        <v>375420.43608436408</v>
      </c>
      <c r="F22" s="30">
        <f>STORAGE_BALANCE_ENSEMBLE!P23</f>
        <v>0</v>
      </c>
      <c r="G22" s="30">
        <f>STORAGE_BALANCE_ENSEMBLE!Q23</f>
        <v>0</v>
      </c>
      <c r="H22" s="30">
        <f>STORAGE_BALANCE_ENSEMBLE!O23</f>
        <v>33737988.322204404</v>
      </c>
      <c r="I22" s="18">
        <f>IF(STORAGE_BALANCE_ENSEMBLE!R23&lt;&gt;1,"",1)</f>
        <v>1</v>
      </c>
      <c r="J22" s="8">
        <f t="shared" si="1"/>
        <v>375420.43608436408</v>
      </c>
      <c r="K22" s="9">
        <f t="shared" si="2"/>
        <v>0</v>
      </c>
      <c r="L22" s="10">
        <f t="shared" si="3"/>
        <v>0</v>
      </c>
      <c r="M22" s="10">
        <f>IF(I22&lt;&gt;1,"",IF(H22="","",H22/CONTROL_PANEL!$B$11))</f>
        <v>0.67475976644408808</v>
      </c>
      <c r="N22" s="9">
        <f t="shared" si="4"/>
        <v>0</v>
      </c>
      <c r="O22" s="9">
        <f t="shared" si="5"/>
        <v>0</v>
      </c>
      <c r="P22" s="9">
        <f t="shared" si="6"/>
        <v>0</v>
      </c>
      <c r="Q22" s="9">
        <f t="shared" si="7"/>
        <v>0</v>
      </c>
      <c r="R22" s="11"/>
      <c r="S22" s="11" t="str">
        <f t="shared" si="8"/>
        <v>PASS</v>
      </c>
    </row>
    <row r="23" spans="1:19" x14ac:dyDescent="0.25">
      <c r="A23" s="30" t="s">
        <v>96</v>
      </c>
      <c r="B23" s="31">
        <v>42856</v>
      </c>
      <c r="C23" s="30">
        <f>YEAR(BInputReservoir[[#This Row],[Date]])</f>
        <v>2017</v>
      </c>
      <c r="D23" s="30">
        <f>MONTH(BInputReservoir[[#This Row],[Date]])</f>
        <v>5</v>
      </c>
      <c r="E23" s="30">
        <f>IF(I23&lt;&gt;1,"",DATA_INPUT!$K24)</f>
        <v>217709.02161891002</v>
      </c>
      <c r="F23" s="30">
        <f>STORAGE_BALANCE_ENSEMBLE!P24</f>
        <v>0</v>
      </c>
      <c r="G23" s="30">
        <f>STORAGE_BALANCE_ENSEMBLE!Q24</f>
        <v>0</v>
      </c>
      <c r="H23" s="30">
        <f>STORAGE_BALANCE_ENSEMBLE!O24</f>
        <v>33280849.582173519</v>
      </c>
      <c r="I23" s="18">
        <f>IF(STORAGE_BALANCE_ENSEMBLE!R24&lt;&gt;1,"",1)</f>
        <v>1</v>
      </c>
      <c r="J23" s="8">
        <f t="shared" si="1"/>
        <v>217709.02161891002</v>
      </c>
      <c r="K23" s="9">
        <f t="shared" si="2"/>
        <v>0</v>
      </c>
      <c r="L23" s="10">
        <f t="shared" si="3"/>
        <v>0</v>
      </c>
      <c r="M23" s="10">
        <f>IF(I23&lt;&gt;1,"",IF(H23="","",H23/CONTROL_PANEL!$B$11))</f>
        <v>0.66561699164347032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9">
        <f t="shared" si="7"/>
        <v>0</v>
      </c>
      <c r="R23" s="11"/>
      <c r="S23" s="11" t="str">
        <f t="shared" si="8"/>
        <v>PASS</v>
      </c>
    </row>
    <row r="24" spans="1:19" x14ac:dyDescent="0.25">
      <c r="A24" s="30" t="s">
        <v>96</v>
      </c>
      <c r="B24" s="31">
        <v>42887</v>
      </c>
      <c r="C24" s="30">
        <f>YEAR(BInputReservoir[[#This Row],[Date]])</f>
        <v>2017</v>
      </c>
      <c r="D24" s="30">
        <f>MONTH(BInputReservoir[[#This Row],[Date]])</f>
        <v>6</v>
      </c>
      <c r="E24" s="30">
        <f>IF(I24&lt;&gt;1,"",DATA_INPUT!$K25)</f>
        <v>1084457.3766402253</v>
      </c>
      <c r="F24" s="30">
        <f>STORAGE_BALANCE_ENSEMBLE!P25</f>
        <v>0</v>
      </c>
      <c r="G24" s="30">
        <f>STORAGE_BALANCE_ENSEMBLE!Q25</f>
        <v>0</v>
      </c>
      <c r="H24" s="30">
        <f>STORAGE_BALANCE_ENSEMBLE!O25</f>
        <v>31488504.47833658</v>
      </c>
      <c r="I24" s="18">
        <f>IF(STORAGE_BALANCE_ENSEMBLE!R25&lt;&gt;1,"",1)</f>
        <v>1</v>
      </c>
      <c r="J24" s="8">
        <f t="shared" si="1"/>
        <v>1084457.3766402253</v>
      </c>
      <c r="K24" s="9">
        <f t="shared" si="2"/>
        <v>0</v>
      </c>
      <c r="L24" s="10">
        <f t="shared" si="3"/>
        <v>0</v>
      </c>
      <c r="M24" s="10">
        <f>IF(I24&lt;&gt;1,"",IF(H24="","",H24/CONTROL_PANEL!$B$11))</f>
        <v>0.62977008956673164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9">
        <f t="shared" si="7"/>
        <v>0</v>
      </c>
      <c r="R24" s="11"/>
      <c r="S24" s="11" t="str">
        <f t="shared" si="8"/>
        <v>PASS</v>
      </c>
    </row>
    <row r="25" spans="1:19" x14ac:dyDescent="0.25">
      <c r="A25" s="30" t="s">
        <v>96</v>
      </c>
      <c r="B25" s="31">
        <v>42917</v>
      </c>
      <c r="C25" s="30">
        <f>YEAR(BInputReservoir[[#This Row],[Date]])</f>
        <v>2017</v>
      </c>
      <c r="D25" s="30">
        <f>MONTH(BInputReservoir[[#This Row],[Date]])</f>
        <v>7</v>
      </c>
      <c r="E25" s="30">
        <f>IF(I25&lt;&gt;1,"",DATA_INPUT!$K26)</f>
        <v>1908588.9318682961</v>
      </c>
      <c r="F25" s="30">
        <f>STORAGE_BALANCE_ENSEMBLE!P26</f>
        <v>0</v>
      </c>
      <c r="G25" s="30">
        <f>STORAGE_BALANCE_ENSEMBLE!Q26</f>
        <v>0</v>
      </c>
      <c r="H25" s="30">
        <f>STORAGE_BALANCE_ENSEMBLE!O26</f>
        <v>28780675.331268732</v>
      </c>
      <c r="I25" s="18">
        <f>IF(STORAGE_BALANCE_ENSEMBLE!R26&lt;&gt;1,"",1)</f>
        <v>1</v>
      </c>
      <c r="J25" s="8">
        <f t="shared" si="1"/>
        <v>1908588.9318682961</v>
      </c>
      <c r="K25" s="9">
        <f t="shared" si="2"/>
        <v>0</v>
      </c>
      <c r="L25" s="10">
        <f t="shared" si="3"/>
        <v>0</v>
      </c>
      <c r="M25" s="10">
        <f>IF(I25&lt;&gt;1,"",IF(H25="","",H25/CONTROL_PANEL!$B$11))</f>
        <v>0.57561350662537458</v>
      </c>
      <c r="N25" s="9">
        <f t="shared" si="4"/>
        <v>0</v>
      </c>
      <c r="O25" s="9">
        <f t="shared" si="5"/>
        <v>0</v>
      </c>
      <c r="P25" s="9">
        <f t="shared" si="6"/>
        <v>0</v>
      </c>
      <c r="Q25" s="9">
        <f t="shared" si="7"/>
        <v>0</v>
      </c>
      <c r="R25" s="11"/>
      <c r="S25" s="11" t="str">
        <f t="shared" si="8"/>
        <v>PASS</v>
      </c>
    </row>
    <row r="26" spans="1:19" x14ac:dyDescent="0.25">
      <c r="A26" s="30" t="s">
        <v>96</v>
      </c>
      <c r="B26" s="31">
        <v>42948</v>
      </c>
      <c r="C26" s="30">
        <f>YEAR(BInputReservoir[[#This Row],[Date]])</f>
        <v>2017</v>
      </c>
      <c r="D26" s="30">
        <f>MONTH(BInputReservoir[[#This Row],[Date]])</f>
        <v>8</v>
      </c>
      <c r="E26" s="30">
        <f>IF(I26&lt;&gt;1,"",DATA_INPUT!$K27)</f>
        <v>1247883.4075799088</v>
      </c>
      <c r="F26" s="30">
        <f>STORAGE_BALANCE_ENSEMBLE!P27</f>
        <v>0</v>
      </c>
      <c r="G26" s="30">
        <f>STORAGE_BALANCE_ENSEMBLE!Q27</f>
        <v>0</v>
      </c>
      <c r="H26" s="30">
        <f>STORAGE_BALANCE_ENSEMBLE!O27</f>
        <v>26857128.180376023</v>
      </c>
      <c r="I26" s="18">
        <f>IF(STORAGE_BALANCE_ENSEMBLE!R27&lt;&gt;1,"",1)</f>
        <v>1</v>
      </c>
      <c r="J26" s="8">
        <f t="shared" si="1"/>
        <v>1247883.4075799088</v>
      </c>
      <c r="K26" s="9">
        <f t="shared" si="2"/>
        <v>0</v>
      </c>
      <c r="L26" s="10">
        <f t="shared" si="3"/>
        <v>0</v>
      </c>
      <c r="M26" s="10">
        <f>IF(I26&lt;&gt;1,"",IF(H26="","",H26/CONTROL_PANEL!$B$11))</f>
        <v>0.53714256360752044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9">
        <f t="shared" si="7"/>
        <v>0</v>
      </c>
      <c r="R26" s="11"/>
      <c r="S26" s="11" t="str">
        <f t="shared" si="8"/>
        <v>PASS</v>
      </c>
    </row>
    <row r="27" spans="1:19" x14ac:dyDescent="0.25">
      <c r="A27" s="30" t="s">
        <v>96</v>
      </c>
      <c r="B27" s="31">
        <v>42979</v>
      </c>
      <c r="C27" s="30">
        <f>YEAR(BInputReservoir[[#This Row],[Date]])</f>
        <v>2017</v>
      </c>
      <c r="D27" s="30">
        <f>MONTH(BInputReservoir[[#This Row],[Date]])</f>
        <v>9</v>
      </c>
      <c r="E27" s="30">
        <f>IF(I27&lt;&gt;1,"",DATA_INPUT!$K28)</f>
        <v>742727.29543785588</v>
      </c>
      <c r="F27" s="30">
        <f>STORAGE_BALANCE_ENSEMBLE!P28</f>
        <v>0</v>
      </c>
      <c r="G27" s="30">
        <f>STORAGE_BALANCE_ENSEMBLE!Q28</f>
        <v>0</v>
      </c>
      <c r="H27" s="30">
        <f>STORAGE_BALANCE_ENSEMBLE!O28</f>
        <v>25632066.671070594</v>
      </c>
      <c r="I27" s="18">
        <f>IF(STORAGE_BALANCE_ENSEMBLE!R28&lt;&gt;1,"",1)</f>
        <v>1</v>
      </c>
      <c r="J27" s="8">
        <f t="shared" si="1"/>
        <v>742727.29543785588</v>
      </c>
      <c r="K27" s="9">
        <f t="shared" si="2"/>
        <v>0</v>
      </c>
      <c r="L27" s="10">
        <f t="shared" si="3"/>
        <v>0</v>
      </c>
      <c r="M27" s="10">
        <f>IF(I27&lt;&gt;1,"",IF(H27="","",H27/CONTROL_PANEL!$B$11))</f>
        <v>0.51264133342141194</v>
      </c>
      <c r="N27" s="9">
        <f t="shared" si="4"/>
        <v>0</v>
      </c>
      <c r="O27" s="9">
        <f t="shared" si="5"/>
        <v>0</v>
      </c>
      <c r="P27" s="9">
        <f t="shared" si="6"/>
        <v>0</v>
      </c>
      <c r="Q27" s="9">
        <f t="shared" si="7"/>
        <v>0</v>
      </c>
      <c r="R27" s="11"/>
      <c r="S27" s="11" t="str">
        <f t="shared" si="8"/>
        <v>PASS</v>
      </c>
    </row>
    <row r="28" spans="1:19" x14ac:dyDescent="0.25">
      <c r="A28" s="30" t="s">
        <v>96</v>
      </c>
      <c r="B28" s="31">
        <v>43009</v>
      </c>
      <c r="C28" s="30">
        <f>YEAR(BInputReservoir[[#This Row],[Date]])</f>
        <v>2017</v>
      </c>
      <c r="D28" s="30">
        <f>MONTH(BInputReservoir[[#This Row],[Date]])</f>
        <v>10</v>
      </c>
      <c r="E28" s="30">
        <f>IF(I28&lt;&gt;1,"",DATA_INPUT!$K29)</f>
        <v>315397.27412237343</v>
      </c>
      <c r="F28" s="30">
        <f>STORAGE_BALANCE_ENSEMBLE!P29</f>
        <v>0</v>
      </c>
      <c r="G28" s="30">
        <f>STORAGE_BALANCE_ENSEMBLE!Q29</f>
        <v>0</v>
      </c>
      <c r="H28" s="30">
        <f>STORAGE_BALANCE_ENSEMBLE!O29</f>
        <v>25130253.96947854</v>
      </c>
      <c r="I28" s="18">
        <f>IF(STORAGE_BALANCE_ENSEMBLE!R29&lt;&gt;1,"",1)</f>
        <v>1</v>
      </c>
      <c r="J28" s="8">
        <f t="shared" si="1"/>
        <v>315397.27412237343</v>
      </c>
      <c r="K28" s="9">
        <f t="shared" si="2"/>
        <v>0</v>
      </c>
      <c r="L28" s="10">
        <f t="shared" si="3"/>
        <v>0</v>
      </c>
      <c r="M28" s="10">
        <f>IF(I28&lt;&gt;1,"",IF(H28="","",H28/CONTROL_PANEL!$B$11))</f>
        <v>0.50260507938957077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9">
        <f t="shared" si="7"/>
        <v>0</v>
      </c>
      <c r="R28" s="11"/>
      <c r="S28" s="11" t="str">
        <f t="shared" si="8"/>
        <v>PASS</v>
      </c>
    </row>
    <row r="29" spans="1:19" x14ac:dyDescent="0.25">
      <c r="A29" s="30" t="s">
        <v>96</v>
      </c>
      <c r="B29" s="31">
        <v>43040</v>
      </c>
      <c r="C29" s="30">
        <f>YEAR(BInputReservoir[[#This Row],[Date]])</f>
        <v>2017</v>
      </c>
      <c r="D29" s="30">
        <f>MONTH(BInputReservoir[[#This Row],[Date]])</f>
        <v>11</v>
      </c>
      <c r="E29" s="30">
        <f>IF(I29&lt;&gt;1,"",DATA_INPUT!$K30)</f>
        <v>0</v>
      </c>
      <c r="F29" s="30">
        <f>STORAGE_BALANCE_ENSEMBLE!P30</f>
        <v>0</v>
      </c>
      <c r="G29" s="30">
        <f>STORAGE_BALANCE_ENSEMBLE!Q30</f>
        <v>0</v>
      </c>
      <c r="H29" s="30">
        <f>STORAGE_BALANCE_ENSEMBLE!O30</f>
        <v>25172260.991303153</v>
      </c>
      <c r="I29" s="18">
        <f>IF(STORAGE_BALANCE_ENSEMBLE!R30&lt;&gt;1,"",1)</f>
        <v>1</v>
      </c>
      <c r="J29" s="8">
        <f t="shared" si="1"/>
        <v>0</v>
      </c>
      <c r="K29" s="9">
        <f t="shared" si="2"/>
        <v>0</v>
      </c>
      <c r="L29" s="10">
        <f t="shared" si="3"/>
        <v>0</v>
      </c>
      <c r="M29" s="10">
        <f>IF(I29&lt;&gt;1,"",IF(H29="","",H29/CONTROL_PANEL!$B$11))</f>
        <v>0.50344521982606305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9">
        <f t="shared" si="7"/>
        <v>0</v>
      </c>
      <c r="R29" s="11"/>
      <c r="S29" s="11" t="str">
        <f t="shared" si="8"/>
        <v>PASS</v>
      </c>
    </row>
    <row r="30" spans="1:19" x14ac:dyDescent="0.25">
      <c r="A30" s="30" t="s">
        <v>96</v>
      </c>
      <c r="B30" s="31">
        <v>43070</v>
      </c>
      <c r="C30" s="30">
        <f>YEAR(BInputReservoir[[#This Row],[Date]])</f>
        <v>2017</v>
      </c>
      <c r="D30" s="30">
        <f>MONTH(BInputReservoir[[#This Row],[Date]])</f>
        <v>12</v>
      </c>
      <c r="E30" s="30">
        <f>IF(I30&lt;&gt;1,"",DATA_INPUT!$K31)</f>
        <v>0</v>
      </c>
      <c r="F30" s="30">
        <f>STORAGE_BALANCE_ENSEMBLE!P31</f>
        <v>0</v>
      </c>
      <c r="G30" s="30">
        <f>STORAGE_BALANCE_ENSEMBLE!Q31</f>
        <v>0</v>
      </c>
      <c r="H30" s="30">
        <f>STORAGE_BALANCE_ENSEMBLE!O31</f>
        <v>25279921.260447267</v>
      </c>
      <c r="I30" s="18">
        <f>IF(STORAGE_BALANCE_ENSEMBLE!R31&lt;&gt;1,"",1)</f>
        <v>1</v>
      </c>
      <c r="J30" s="8">
        <f t="shared" si="1"/>
        <v>0</v>
      </c>
      <c r="K30" s="9">
        <f t="shared" si="2"/>
        <v>0</v>
      </c>
      <c r="L30" s="10">
        <f t="shared" si="3"/>
        <v>0</v>
      </c>
      <c r="M30" s="10">
        <f>IF(I30&lt;&gt;1,"",IF(H30="","",H30/CONTROL_PANEL!$B$11))</f>
        <v>0.50559842520894538</v>
      </c>
      <c r="N30" s="9">
        <f t="shared" si="4"/>
        <v>0</v>
      </c>
      <c r="O30" s="9">
        <f t="shared" si="5"/>
        <v>0</v>
      </c>
      <c r="P30" s="9">
        <f t="shared" si="6"/>
        <v>0</v>
      </c>
      <c r="Q30" s="9">
        <f t="shared" si="7"/>
        <v>0</v>
      </c>
      <c r="R30" s="11"/>
      <c r="S30" s="11" t="str">
        <f t="shared" si="8"/>
        <v>PASS</v>
      </c>
    </row>
    <row r="31" spans="1:19" x14ac:dyDescent="0.25">
      <c r="A31" s="30" t="s">
        <v>96</v>
      </c>
      <c r="B31" s="31">
        <v>43101</v>
      </c>
      <c r="C31" s="30">
        <f>YEAR(BInputReservoir[[#This Row],[Date]])</f>
        <v>2018</v>
      </c>
      <c r="D31" s="30">
        <f>MONTH(BInputReservoir[[#This Row],[Date]])</f>
        <v>1</v>
      </c>
      <c r="E31" s="30">
        <f>IF(I31&lt;&gt;1,"",DATA_INPUT!$K32)</f>
        <v>0</v>
      </c>
      <c r="F31" s="30">
        <f>STORAGE_BALANCE_ENSEMBLE!P32</f>
        <v>0</v>
      </c>
      <c r="G31" s="30">
        <f>STORAGE_BALANCE_ENSEMBLE!Q32</f>
        <v>0</v>
      </c>
      <c r="H31" s="30">
        <f>STORAGE_BALANCE_ENSEMBLE!O32</f>
        <v>25392634.701262873</v>
      </c>
      <c r="I31" s="18">
        <f>IF(STORAGE_BALANCE_ENSEMBLE!R32&lt;&gt;1,"",1)</f>
        <v>1</v>
      </c>
      <c r="J31" s="8">
        <f t="shared" si="1"/>
        <v>0</v>
      </c>
      <c r="K31" s="9">
        <f t="shared" si="2"/>
        <v>0</v>
      </c>
      <c r="L31" s="10">
        <f t="shared" si="3"/>
        <v>0</v>
      </c>
      <c r="M31" s="10">
        <f>IF(I31&lt;&gt;1,"",IF(H31="","",H31/CONTROL_PANEL!$B$11))</f>
        <v>0.50785269402525746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9">
        <f t="shared" si="7"/>
        <v>0</v>
      </c>
      <c r="R31" s="11"/>
      <c r="S31" s="11" t="str">
        <f t="shared" si="8"/>
        <v>PASS</v>
      </c>
    </row>
    <row r="32" spans="1:19" x14ac:dyDescent="0.25">
      <c r="A32" s="30" t="s">
        <v>96</v>
      </c>
      <c r="B32" s="31">
        <v>43132</v>
      </c>
      <c r="C32" s="30">
        <f>YEAR(BInputReservoir[[#This Row],[Date]])</f>
        <v>2018</v>
      </c>
      <c r="D32" s="30">
        <f>MONTH(BInputReservoir[[#This Row],[Date]])</f>
        <v>2</v>
      </c>
      <c r="E32" s="30">
        <f>IF(I32&lt;&gt;1,"",DATA_INPUT!$K33)</f>
        <v>0</v>
      </c>
      <c r="F32" s="30">
        <f>STORAGE_BALANCE_ENSEMBLE!P33</f>
        <v>0</v>
      </c>
      <c r="G32" s="30">
        <f>STORAGE_BALANCE_ENSEMBLE!Q33</f>
        <v>0</v>
      </c>
      <c r="H32" s="30">
        <f>STORAGE_BALANCE_ENSEMBLE!O33</f>
        <v>31110679.586885929</v>
      </c>
      <c r="I32" s="18">
        <f>IF(STORAGE_BALANCE_ENSEMBLE!R33&lt;&gt;1,"",1)</f>
        <v>1</v>
      </c>
      <c r="J32" s="8">
        <f t="shared" si="1"/>
        <v>0</v>
      </c>
      <c r="K32" s="9">
        <f t="shared" si="2"/>
        <v>0</v>
      </c>
      <c r="L32" s="10">
        <f t="shared" si="3"/>
        <v>0</v>
      </c>
      <c r="M32" s="10">
        <f>IF(I32&lt;&gt;1,"",IF(H32="","",H32/CONTROL_PANEL!$B$11))</f>
        <v>0.62221359173771862</v>
      </c>
      <c r="N32" s="9">
        <f t="shared" si="4"/>
        <v>0</v>
      </c>
      <c r="O32" s="9">
        <f t="shared" si="5"/>
        <v>0</v>
      </c>
      <c r="P32" s="9">
        <f t="shared" si="6"/>
        <v>0</v>
      </c>
      <c r="Q32" s="9">
        <f t="shared" si="7"/>
        <v>0</v>
      </c>
      <c r="R32" s="11"/>
      <c r="S32" s="11" t="str">
        <f t="shared" si="8"/>
        <v>PASS</v>
      </c>
    </row>
    <row r="33" spans="1:19" x14ac:dyDescent="0.25">
      <c r="A33" s="30" t="s">
        <v>96</v>
      </c>
      <c r="B33" s="31">
        <v>43160</v>
      </c>
      <c r="C33" s="30">
        <f>YEAR(BInputReservoir[[#This Row],[Date]])</f>
        <v>2018</v>
      </c>
      <c r="D33" s="30">
        <f>MONTH(BInputReservoir[[#This Row],[Date]])</f>
        <v>3</v>
      </c>
      <c r="E33" s="30">
        <f>IF(I33&lt;&gt;1,"",DATA_INPUT!$K34)</f>
        <v>0</v>
      </c>
      <c r="F33" s="30">
        <f>STORAGE_BALANCE_ENSEMBLE!P34</f>
        <v>0</v>
      </c>
      <c r="G33" s="30">
        <f>STORAGE_BALANCE_ENSEMBLE!Q34</f>
        <v>0</v>
      </c>
      <c r="H33" s="30">
        <f>STORAGE_BALANCE_ENSEMBLE!O34</f>
        <v>34305640.932543807</v>
      </c>
      <c r="I33" s="18">
        <f>IF(STORAGE_BALANCE_ENSEMBLE!R34&lt;&gt;1,"",1)</f>
        <v>1</v>
      </c>
      <c r="J33" s="8">
        <f t="shared" si="1"/>
        <v>0</v>
      </c>
      <c r="K33" s="9">
        <f t="shared" si="2"/>
        <v>0</v>
      </c>
      <c r="L33" s="10">
        <f t="shared" si="3"/>
        <v>0</v>
      </c>
      <c r="M33" s="10">
        <f>IF(I33&lt;&gt;1,"",IF(H33="","",H33/CONTROL_PANEL!$B$11))</f>
        <v>0.68611281865087614</v>
      </c>
      <c r="N33" s="9">
        <f t="shared" si="4"/>
        <v>0</v>
      </c>
      <c r="O33" s="9">
        <f t="shared" si="5"/>
        <v>0</v>
      </c>
      <c r="P33" s="9">
        <f t="shared" si="6"/>
        <v>0</v>
      </c>
      <c r="Q33" s="9">
        <f t="shared" si="7"/>
        <v>0</v>
      </c>
      <c r="R33" s="11"/>
      <c r="S33" s="11" t="str">
        <f t="shared" si="8"/>
        <v>PASS</v>
      </c>
    </row>
    <row r="34" spans="1:19" x14ac:dyDescent="0.25">
      <c r="A34" s="30" t="s">
        <v>96</v>
      </c>
      <c r="B34" s="31">
        <v>43191</v>
      </c>
      <c r="C34" s="30">
        <f>YEAR(BInputReservoir[[#This Row],[Date]])</f>
        <v>2018</v>
      </c>
      <c r="D34" s="30">
        <f>MONTH(BInputReservoir[[#This Row],[Date]])</f>
        <v>4</v>
      </c>
      <c r="E34" s="30">
        <f>IF(I34&lt;&gt;1,"",DATA_INPUT!$K35)</f>
        <v>10980.330344841714</v>
      </c>
      <c r="F34" s="30">
        <f>STORAGE_BALANCE_ENSEMBLE!P35</f>
        <v>0</v>
      </c>
      <c r="G34" s="30">
        <f>STORAGE_BALANCE_ENSEMBLE!Q35</f>
        <v>0</v>
      </c>
      <c r="H34" s="30">
        <f>STORAGE_BALANCE_ENSEMBLE!O35</f>
        <v>35089189.859092832</v>
      </c>
      <c r="I34" s="18">
        <f>IF(STORAGE_BALANCE_ENSEMBLE!R35&lt;&gt;1,"",1)</f>
        <v>1</v>
      </c>
      <c r="J34" s="8">
        <f t="shared" si="1"/>
        <v>10980.330344841714</v>
      </c>
      <c r="K34" s="9">
        <f t="shared" si="2"/>
        <v>0</v>
      </c>
      <c r="L34" s="10">
        <f t="shared" si="3"/>
        <v>0</v>
      </c>
      <c r="M34" s="10">
        <f>IF(I34&lt;&gt;1,"",IF(H34="","",H34/CONTROL_PANEL!$B$11))</f>
        <v>0.70178379718185668</v>
      </c>
      <c r="N34" s="9">
        <f t="shared" si="4"/>
        <v>0</v>
      </c>
      <c r="O34" s="9">
        <f t="shared" si="5"/>
        <v>0</v>
      </c>
      <c r="P34" s="9">
        <f t="shared" si="6"/>
        <v>0</v>
      </c>
      <c r="Q34" s="9">
        <f t="shared" si="7"/>
        <v>0</v>
      </c>
      <c r="R34" s="11"/>
      <c r="S34" s="11" t="str">
        <f t="shared" si="8"/>
        <v>PASS</v>
      </c>
    </row>
    <row r="35" spans="1:19" x14ac:dyDescent="0.25">
      <c r="A35" s="30" t="s">
        <v>96</v>
      </c>
      <c r="B35" s="31">
        <v>43221</v>
      </c>
      <c r="C35" s="30">
        <f>YEAR(BInputReservoir[[#This Row],[Date]])</f>
        <v>2018</v>
      </c>
      <c r="D35" s="30">
        <f>MONTH(BInputReservoir[[#This Row],[Date]])</f>
        <v>5</v>
      </c>
      <c r="E35" s="30">
        <f>IF(I35&lt;&gt;1,"",DATA_INPUT!$K36)</f>
        <v>68747.215254328839</v>
      </c>
      <c r="F35" s="30">
        <f>STORAGE_BALANCE_ENSEMBLE!P36</f>
        <v>0</v>
      </c>
      <c r="G35" s="30">
        <f>STORAGE_BALANCE_ENSEMBLE!Q36</f>
        <v>0</v>
      </c>
      <c r="H35" s="30">
        <f>STORAGE_BALANCE_ENSEMBLE!O36</f>
        <v>34924193.416432545</v>
      </c>
      <c r="I35" s="18">
        <f>IF(STORAGE_BALANCE_ENSEMBLE!R36&lt;&gt;1,"",1)</f>
        <v>1</v>
      </c>
      <c r="J35" s="8">
        <f t="shared" si="1"/>
        <v>68747.215254328839</v>
      </c>
      <c r="K35" s="9">
        <f t="shared" si="2"/>
        <v>0</v>
      </c>
      <c r="L35" s="10">
        <f t="shared" si="3"/>
        <v>0</v>
      </c>
      <c r="M35" s="10">
        <f>IF(I35&lt;&gt;1,"",IF(H35="","",H35/CONTROL_PANEL!$B$11))</f>
        <v>0.69848386832865084</v>
      </c>
      <c r="N35" s="9">
        <f t="shared" si="4"/>
        <v>0</v>
      </c>
      <c r="O35" s="9">
        <f t="shared" si="5"/>
        <v>0</v>
      </c>
      <c r="P35" s="9">
        <f t="shared" si="6"/>
        <v>0</v>
      </c>
      <c r="Q35" s="9">
        <f t="shared" si="7"/>
        <v>0</v>
      </c>
      <c r="R35" s="11"/>
      <c r="S35" s="11" t="str">
        <f t="shared" si="8"/>
        <v>PASS</v>
      </c>
    </row>
    <row r="36" spans="1:19" x14ac:dyDescent="0.25">
      <c r="A36" s="30" t="s">
        <v>96</v>
      </c>
      <c r="B36" s="31">
        <v>43252</v>
      </c>
      <c r="C36" s="30">
        <f>YEAR(BInputReservoir[[#This Row],[Date]])</f>
        <v>2018</v>
      </c>
      <c r="D36" s="30">
        <f>MONTH(BInputReservoir[[#This Row],[Date]])</f>
        <v>6</v>
      </c>
      <c r="E36" s="30">
        <f>IF(I36&lt;&gt;1,"",DATA_INPUT!$K37)</f>
        <v>402332.86955427483</v>
      </c>
      <c r="F36" s="30">
        <f>STORAGE_BALANCE_ENSEMBLE!P37</f>
        <v>0</v>
      </c>
      <c r="G36" s="30">
        <f>STORAGE_BALANCE_ENSEMBLE!Q37</f>
        <v>0</v>
      </c>
      <c r="H36" s="30">
        <f>STORAGE_BALANCE_ENSEMBLE!O37</f>
        <v>33976961.936932489</v>
      </c>
      <c r="I36" s="18">
        <f>IF(STORAGE_BALANCE_ENSEMBLE!R37&lt;&gt;1,"",1)</f>
        <v>1</v>
      </c>
      <c r="J36" s="8">
        <f t="shared" si="1"/>
        <v>402332.86955427483</v>
      </c>
      <c r="K36" s="9">
        <f t="shared" si="2"/>
        <v>0</v>
      </c>
      <c r="L36" s="10">
        <f t="shared" si="3"/>
        <v>0</v>
      </c>
      <c r="M36" s="10">
        <f>IF(I36&lt;&gt;1,"",IF(H36="","",H36/CONTROL_PANEL!$B$11))</f>
        <v>0.67953923873864974</v>
      </c>
      <c r="N36" s="9">
        <f t="shared" si="4"/>
        <v>0</v>
      </c>
      <c r="O36" s="9">
        <f t="shared" si="5"/>
        <v>0</v>
      </c>
      <c r="P36" s="9">
        <f t="shared" si="6"/>
        <v>0</v>
      </c>
      <c r="Q36" s="9">
        <f t="shared" si="7"/>
        <v>0</v>
      </c>
      <c r="R36" s="11"/>
      <c r="S36" s="11" t="str">
        <f t="shared" si="8"/>
        <v>PASS</v>
      </c>
    </row>
    <row r="37" spans="1:19" x14ac:dyDescent="0.25">
      <c r="A37" s="30" t="s">
        <v>96</v>
      </c>
      <c r="B37" s="31">
        <v>43282</v>
      </c>
      <c r="C37" s="30">
        <f>YEAR(BInputReservoir[[#This Row],[Date]])</f>
        <v>2018</v>
      </c>
      <c r="D37" s="30">
        <f>MONTH(BInputReservoir[[#This Row],[Date]])</f>
        <v>7</v>
      </c>
      <c r="E37" s="30">
        <f>IF(I37&lt;&gt;1,"",DATA_INPUT!$K38)</f>
        <v>1283117.6462223083</v>
      </c>
      <c r="F37" s="30">
        <f>STORAGE_BALANCE_ENSEMBLE!P38</f>
        <v>0</v>
      </c>
      <c r="G37" s="30">
        <f>STORAGE_BALANCE_ENSEMBLE!Q38</f>
        <v>0</v>
      </c>
      <c r="H37" s="30">
        <f>STORAGE_BALANCE_ENSEMBLE!O38</f>
        <v>31971494.881711699</v>
      </c>
      <c r="I37" s="18">
        <f>IF(STORAGE_BALANCE_ENSEMBLE!R38&lt;&gt;1,"",1)</f>
        <v>1</v>
      </c>
      <c r="J37" s="8">
        <f t="shared" si="1"/>
        <v>1283117.6462223083</v>
      </c>
      <c r="K37" s="9">
        <f t="shared" si="2"/>
        <v>0</v>
      </c>
      <c r="L37" s="10">
        <f t="shared" si="3"/>
        <v>0</v>
      </c>
      <c r="M37" s="10">
        <f>IF(I37&lt;&gt;1,"",IF(H37="","",H37/CONTROL_PANEL!$B$11))</f>
        <v>0.63942989763423397</v>
      </c>
      <c r="N37" s="9">
        <f t="shared" si="4"/>
        <v>0</v>
      </c>
      <c r="O37" s="9">
        <f t="shared" si="5"/>
        <v>0</v>
      </c>
      <c r="P37" s="9">
        <f t="shared" si="6"/>
        <v>0</v>
      </c>
      <c r="Q37" s="9">
        <f t="shared" si="7"/>
        <v>0</v>
      </c>
      <c r="R37" s="11"/>
      <c r="S37" s="11" t="str">
        <f t="shared" si="8"/>
        <v>PASS</v>
      </c>
    </row>
    <row r="38" spans="1:19" x14ac:dyDescent="0.25">
      <c r="A38" s="30" t="s">
        <v>96</v>
      </c>
      <c r="B38" s="31">
        <v>43313</v>
      </c>
      <c r="C38" s="30">
        <f>YEAR(BInputReservoir[[#This Row],[Date]])</f>
        <v>2018</v>
      </c>
      <c r="D38" s="30">
        <f>MONTH(BInputReservoir[[#This Row],[Date]])</f>
        <v>8</v>
      </c>
      <c r="E38" s="30">
        <f>IF(I38&lt;&gt;1,"",DATA_INPUT!$K39)</f>
        <v>1887307.4802341885</v>
      </c>
      <c r="F38" s="30">
        <f>STORAGE_BALANCE_ENSEMBLE!P39</f>
        <v>0</v>
      </c>
      <c r="G38" s="30">
        <f>STORAGE_BALANCE_ENSEMBLE!Q39</f>
        <v>0</v>
      </c>
      <c r="H38" s="30">
        <f>STORAGE_BALANCE_ENSEMBLE!O39</f>
        <v>29247793.768016502</v>
      </c>
      <c r="I38" s="18">
        <f>IF(STORAGE_BALANCE_ENSEMBLE!R39&lt;&gt;1,"",1)</f>
        <v>1</v>
      </c>
      <c r="J38" s="8">
        <f t="shared" si="1"/>
        <v>1887307.4802341885</v>
      </c>
      <c r="K38" s="9">
        <f t="shared" si="2"/>
        <v>0</v>
      </c>
      <c r="L38" s="10">
        <f t="shared" si="3"/>
        <v>0</v>
      </c>
      <c r="M38" s="10">
        <f>IF(I38&lt;&gt;1,"",IF(H38="","",H38/CONTROL_PANEL!$B$11))</f>
        <v>0.58495587536033</v>
      </c>
      <c r="N38" s="9">
        <f t="shared" si="4"/>
        <v>0</v>
      </c>
      <c r="O38" s="9">
        <f t="shared" si="5"/>
        <v>0</v>
      </c>
      <c r="P38" s="9">
        <f t="shared" si="6"/>
        <v>0</v>
      </c>
      <c r="Q38" s="9">
        <f t="shared" si="7"/>
        <v>0</v>
      </c>
      <c r="R38" s="11"/>
      <c r="S38" s="11" t="str">
        <f t="shared" si="8"/>
        <v>PASS</v>
      </c>
    </row>
    <row r="39" spans="1:19" x14ac:dyDescent="0.25">
      <c r="A39" s="30" t="s">
        <v>96</v>
      </c>
      <c r="B39" s="31">
        <v>43344</v>
      </c>
      <c r="C39" s="30">
        <f>YEAR(BInputReservoir[[#This Row],[Date]])</f>
        <v>2018</v>
      </c>
      <c r="D39" s="30">
        <f>MONTH(BInputReservoir[[#This Row],[Date]])</f>
        <v>9</v>
      </c>
      <c r="E39" s="30">
        <f>IF(I39&lt;&gt;1,"",DATA_INPUT!$K40)</f>
        <v>1014223.7619464051</v>
      </c>
      <c r="F39" s="30">
        <f>STORAGE_BALANCE_ENSEMBLE!P40</f>
        <v>0</v>
      </c>
      <c r="G39" s="30">
        <f>STORAGE_BALANCE_ENSEMBLE!Q40</f>
        <v>0</v>
      </c>
      <c r="H39" s="30">
        <f>STORAGE_BALANCE_ENSEMBLE!O40</f>
        <v>27689464.342738587</v>
      </c>
      <c r="I39" s="18">
        <f>IF(STORAGE_BALANCE_ENSEMBLE!R40&lt;&gt;1,"",1)</f>
        <v>1</v>
      </c>
      <c r="J39" s="8">
        <f t="shared" si="1"/>
        <v>1014223.7619464051</v>
      </c>
      <c r="K39" s="9">
        <f t="shared" si="2"/>
        <v>0</v>
      </c>
      <c r="L39" s="10">
        <f t="shared" si="3"/>
        <v>0</v>
      </c>
      <c r="M39" s="10">
        <f>IF(I39&lt;&gt;1,"",IF(H39="","",H39/CONTROL_PANEL!$B$11))</f>
        <v>0.5537892868547718</v>
      </c>
      <c r="N39" s="9">
        <f t="shared" si="4"/>
        <v>0</v>
      </c>
      <c r="O39" s="9">
        <f t="shared" si="5"/>
        <v>0</v>
      </c>
      <c r="P39" s="9">
        <f t="shared" si="6"/>
        <v>0</v>
      </c>
      <c r="Q39" s="9">
        <f t="shared" si="7"/>
        <v>0</v>
      </c>
      <c r="R39" s="11"/>
      <c r="S39" s="11" t="str">
        <f t="shared" si="8"/>
        <v>PASS</v>
      </c>
    </row>
    <row r="40" spans="1:19" x14ac:dyDescent="0.25">
      <c r="A40" s="30" t="s">
        <v>96</v>
      </c>
      <c r="B40" s="31">
        <v>43374</v>
      </c>
      <c r="C40" s="30">
        <f>YEAR(BInputReservoir[[#This Row],[Date]])</f>
        <v>2018</v>
      </c>
      <c r="D40" s="30">
        <f>MONTH(BInputReservoir[[#This Row],[Date]])</f>
        <v>10</v>
      </c>
      <c r="E40" s="30">
        <f>IF(I40&lt;&gt;1,"",DATA_INPUT!$K41)</f>
        <v>318171.49089406827</v>
      </c>
      <c r="F40" s="30">
        <f>STORAGE_BALANCE_ENSEMBLE!P41</f>
        <v>0</v>
      </c>
      <c r="G40" s="30">
        <f>STORAGE_BALANCE_ENSEMBLE!Q41</f>
        <v>0</v>
      </c>
      <c r="H40" s="30">
        <f>STORAGE_BALANCE_ENSEMBLE!O41</f>
        <v>27810179.207858816</v>
      </c>
      <c r="I40" s="18">
        <f>IF(STORAGE_BALANCE_ENSEMBLE!R41&lt;&gt;1,"",1)</f>
        <v>1</v>
      </c>
      <c r="J40" s="8">
        <f t="shared" si="1"/>
        <v>318171.49089406827</v>
      </c>
      <c r="K40" s="9">
        <f t="shared" si="2"/>
        <v>0</v>
      </c>
      <c r="L40" s="10">
        <f t="shared" si="3"/>
        <v>0</v>
      </c>
      <c r="M40" s="10">
        <f>IF(I40&lt;&gt;1,"",IF(H40="","",H40/CONTROL_PANEL!$B$11))</f>
        <v>0.5562035841571763</v>
      </c>
      <c r="N40" s="9">
        <f t="shared" si="4"/>
        <v>0</v>
      </c>
      <c r="O40" s="9">
        <f t="shared" si="5"/>
        <v>0</v>
      </c>
      <c r="P40" s="9">
        <f t="shared" si="6"/>
        <v>0</v>
      </c>
      <c r="Q40" s="9">
        <f t="shared" si="7"/>
        <v>0</v>
      </c>
      <c r="R40" s="11"/>
      <c r="S40" s="11" t="str">
        <f t="shared" si="8"/>
        <v>PASS</v>
      </c>
    </row>
    <row r="41" spans="1:19" x14ac:dyDescent="0.25">
      <c r="A41" s="30" t="s">
        <v>96</v>
      </c>
      <c r="B41" s="31">
        <v>43405</v>
      </c>
      <c r="C41" s="30">
        <f>YEAR(BInputReservoir[[#This Row],[Date]])</f>
        <v>2018</v>
      </c>
      <c r="D41" s="30">
        <f>MONTH(BInputReservoir[[#This Row],[Date]])</f>
        <v>11</v>
      </c>
      <c r="E41" s="30">
        <f>IF(I41&lt;&gt;1,"",DATA_INPUT!$K42)</f>
        <v>0</v>
      </c>
      <c r="F41" s="30">
        <f>STORAGE_BALANCE_ENSEMBLE!P42</f>
        <v>0</v>
      </c>
      <c r="G41" s="30">
        <f>STORAGE_BALANCE_ENSEMBLE!Q42</f>
        <v>0</v>
      </c>
      <c r="H41" s="30">
        <f>STORAGE_BALANCE_ENSEMBLE!O42</f>
        <v>28379371.582871035</v>
      </c>
      <c r="I41" s="18">
        <f>IF(STORAGE_BALANCE_ENSEMBLE!R42&lt;&gt;1,"",1)</f>
        <v>1</v>
      </c>
      <c r="J41" s="8">
        <f t="shared" si="1"/>
        <v>0</v>
      </c>
      <c r="K41" s="9">
        <f t="shared" si="2"/>
        <v>0</v>
      </c>
      <c r="L41" s="10">
        <f t="shared" si="3"/>
        <v>0</v>
      </c>
      <c r="M41" s="10">
        <f>IF(I41&lt;&gt;1,"",IF(H41="","",H41/CONTROL_PANEL!$B$11))</f>
        <v>0.56758743165742065</v>
      </c>
      <c r="N41" s="9">
        <f t="shared" si="4"/>
        <v>0</v>
      </c>
      <c r="O41" s="9">
        <f t="shared" si="5"/>
        <v>0</v>
      </c>
      <c r="P41" s="9">
        <f t="shared" si="6"/>
        <v>0</v>
      </c>
      <c r="Q41" s="9">
        <f t="shared" si="7"/>
        <v>0</v>
      </c>
      <c r="R41" s="11"/>
      <c r="S41" s="11" t="str">
        <f t="shared" si="8"/>
        <v>PASS</v>
      </c>
    </row>
    <row r="42" spans="1:19" x14ac:dyDescent="0.25">
      <c r="A42" s="30" t="s">
        <v>96</v>
      </c>
      <c r="B42" s="31">
        <v>43435</v>
      </c>
      <c r="C42" s="30">
        <f>YEAR(BInputReservoir[[#This Row],[Date]])</f>
        <v>2018</v>
      </c>
      <c r="D42" s="30">
        <f>MONTH(BInputReservoir[[#This Row],[Date]])</f>
        <v>12</v>
      </c>
      <c r="E42" s="30">
        <f>IF(I42&lt;&gt;1,"",DATA_INPUT!$K43)</f>
        <v>0</v>
      </c>
      <c r="F42" s="30">
        <f>STORAGE_BALANCE_ENSEMBLE!P43</f>
        <v>0</v>
      </c>
      <c r="G42" s="30">
        <f>STORAGE_BALANCE_ENSEMBLE!Q43</f>
        <v>0</v>
      </c>
      <c r="H42" s="30">
        <f>STORAGE_BALANCE_ENSEMBLE!O43</f>
        <v>28420346.200824324</v>
      </c>
      <c r="I42" s="18">
        <f>IF(STORAGE_BALANCE_ENSEMBLE!R43&lt;&gt;1,"",1)</f>
        <v>1</v>
      </c>
      <c r="J42" s="8">
        <f t="shared" si="1"/>
        <v>0</v>
      </c>
      <c r="K42" s="9">
        <f t="shared" si="2"/>
        <v>0</v>
      </c>
      <c r="L42" s="10">
        <f t="shared" si="3"/>
        <v>0</v>
      </c>
      <c r="M42" s="10">
        <f>IF(I42&lt;&gt;1,"",IF(H42="","",H42/CONTROL_PANEL!$B$11))</f>
        <v>0.56840692401648651</v>
      </c>
      <c r="N42" s="9">
        <f t="shared" si="4"/>
        <v>0</v>
      </c>
      <c r="O42" s="9">
        <f t="shared" si="5"/>
        <v>0</v>
      </c>
      <c r="P42" s="9">
        <f t="shared" si="6"/>
        <v>0</v>
      </c>
      <c r="Q42" s="9">
        <f t="shared" si="7"/>
        <v>0</v>
      </c>
      <c r="R42" s="11"/>
      <c r="S42" s="11" t="str">
        <f t="shared" si="8"/>
        <v>PASS</v>
      </c>
    </row>
    <row r="43" spans="1:19" x14ac:dyDescent="0.25">
      <c r="A43" s="30" t="s">
        <v>96</v>
      </c>
      <c r="B43" s="31">
        <v>43466</v>
      </c>
      <c r="C43" s="30">
        <f>YEAR(BInputReservoir[[#This Row],[Date]])</f>
        <v>2019</v>
      </c>
      <c r="D43" s="30">
        <f>MONTH(BInputReservoir[[#This Row],[Date]])</f>
        <v>1</v>
      </c>
      <c r="E43" s="30">
        <f>IF(I43&lt;&gt;1,"",DATA_INPUT!$K44)</f>
        <v>0</v>
      </c>
      <c r="F43" s="30">
        <f>STORAGE_BALANCE_ENSEMBLE!P44</f>
        <v>0</v>
      </c>
      <c r="G43" s="30">
        <f>STORAGE_BALANCE_ENSEMBLE!Q44</f>
        <v>0</v>
      </c>
      <c r="H43" s="30">
        <f>STORAGE_BALANCE_ENSEMBLE!O44</f>
        <v>28454012.512864891</v>
      </c>
      <c r="I43" s="18">
        <f>IF(STORAGE_BALANCE_ENSEMBLE!R44&lt;&gt;1,"",1)</f>
        <v>1</v>
      </c>
      <c r="J43" s="8">
        <f t="shared" si="1"/>
        <v>0</v>
      </c>
      <c r="K43" s="9">
        <f t="shared" si="2"/>
        <v>0</v>
      </c>
      <c r="L43" s="10">
        <f t="shared" si="3"/>
        <v>0</v>
      </c>
      <c r="M43" s="10">
        <f>IF(I43&lt;&gt;1,"",IF(H43="","",H43/CONTROL_PANEL!$B$11))</f>
        <v>0.5690802502572978</v>
      </c>
      <c r="N43" s="9">
        <f t="shared" si="4"/>
        <v>0</v>
      </c>
      <c r="O43" s="9">
        <f t="shared" si="5"/>
        <v>0</v>
      </c>
      <c r="P43" s="9">
        <f t="shared" si="6"/>
        <v>0</v>
      </c>
      <c r="Q43" s="9">
        <f t="shared" si="7"/>
        <v>0</v>
      </c>
      <c r="R43" s="11"/>
      <c r="S43" s="11" t="str">
        <f t="shared" si="8"/>
        <v>PASS</v>
      </c>
    </row>
    <row r="44" spans="1:19" x14ac:dyDescent="0.25">
      <c r="A44" s="30" t="s">
        <v>96</v>
      </c>
      <c r="B44" s="31">
        <v>43497</v>
      </c>
      <c r="C44" s="30">
        <f>YEAR(BInputReservoir[[#This Row],[Date]])</f>
        <v>2019</v>
      </c>
      <c r="D44" s="30">
        <f>MONTH(BInputReservoir[[#This Row],[Date]])</f>
        <v>2</v>
      </c>
      <c r="E44" s="30">
        <f>IF(I44&lt;&gt;1,"",DATA_INPUT!$K45)</f>
        <v>0</v>
      </c>
      <c r="F44" s="30">
        <f>STORAGE_BALANCE_ENSEMBLE!P45</f>
        <v>0</v>
      </c>
      <c r="G44" s="30">
        <f>STORAGE_BALANCE_ENSEMBLE!Q45</f>
        <v>0</v>
      </c>
      <c r="H44" s="30">
        <f>STORAGE_BALANCE_ENSEMBLE!O45</f>
        <v>28500541.271273173</v>
      </c>
      <c r="I44" s="18">
        <f>IF(STORAGE_BALANCE_ENSEMBLE!R45&lt;&gt;1,"",1)</f>
        <v>1</v>
      </c>
      <c r="J44" s="8">
        <f t="shared" si="1"/>
        <v>0</v>
      </c>
      <c r="K44" s="9">
        <f t="shared" si="2"/>
        <v>0</v>
      </c>
      <c r="L44" s="10">
        <f t="shared" si="3"/>
        <v>0</v>
      </c>
      <c r="M44" s="10">
        <f>IF(I44&lt;&gt;1,"",IF(H44="","",H44/CONTROL_PANEL!$B$11))</f>
        <v>0.57001082542546344</v>
      </c>
      <c r="N44" s="9">
        <f t="shared" si="4"/>
        <v>0</v>
      </c>
      <c r="O44" s="9">
        <f t="shared" si="5"/>
        <v>0</v>
      </c>
      <c r="P44" s="9">
        <f t="shared" si="6"/>
        <v>0</v>
      </c>
      <c r="Q44" s="9">
        <f t="shared" si="7"/>
        <v>0</v>
      </c>
      <c r="R44" s="11"/>
      <c r="S44" s="11" t="str">
        <f t="shared" si="8"/>
        <v>PASS</v>
      </c>
    </row>
    <row r="45" spans="1:19" x14ac:dyDescent="0.25">
      <c r="A45" s="30" t="s">
        <v>96</v>
      </c>
      <c r="B45" s="31">
        <v>43525</v>
      </c>
      <c r="C45" s="30">
        <f>YEAR(BInputReservoir[[#This Row],[Date]])</f>
        <v>2019</v>
      </c>
      <c r="D45" s="30">
        <f>MONTH(BInputReservoir[[#This Row],[Date]])</f>
        <v>3</v>
      </c>
      <c r="E45" s="30">
        <f>IF(I45&lt;&gt;1,"",DATA_INPUT!$K46)</f>
        <v>0</v>
      </c>
      <c r="F45" s="30">
        <f>STORAGE_BALANCE_ENSEMBLE!P46</f>
        <v>0</v>
      </c>
      <c r="G45" s="30">
        <f>STORAGE_BALANCE_ENSEMBLE!Q46</f>
        <v>0</v>
      </c>
      <c r="H45" s="30">
        <f>STORAGE_BALANCE_ENSEMBLE!O46</f>
        <v>28404058.482708801</v>
      </c>
      <c r="I45" s="18">
        <f>IF(STORAGE_BALANCE_ENSEMBLE!R46&lt;&gt;1,"",1)</f>
        <v>1</v>
      </c>
      <c r="J45" s="8">
        <f t="shared" si="1"/>
        <v>0</v>
      </c>
      <c r="K45" s="9">
        <f t="shared" si="2"/>
        <v>0</v>
      </c>
      <c r="L45" s="10">
        <f t="shared" si="3"/>
        <v>0</v>
      </c>
      <c r="M45" s="10">
        <f>IF(I45&lt;&gt;1,"",IF(H45="","",H45/CONTROL_PANEL!$B$11))</f>
        <v>0.56808116965417599</v>
      </c>
      <c r="N45" s="9">
        <f t="shared" si="4"/>
        <v>0</v>
      </c>
      <c r="O45" s="9">
        <f t="shared" si="5"/>
        <v>0</v>
      </c>
      <c r="P45" s="9">
        <f t="shared" si="6"/>
        <v>0</v>
      </c>
      <c r="Q45" s="9">
        <f t="shared" si="7"/>
        <v>0</v>
      </c>
      <c r="R45" s="11"/>
      <c r="S45" s="11" t="str">
        <f t="shared" si="8"/>
        <v>PASS</v>
      </c>
    </row>
    <row r="46" spans="1:19" x14ac:dyDescent="0.25">
      <c r="A46" s="30" t="s">
        <v>96</v>
      </c>
      <c r="B46" s="31">
        <v>43556</v>
      </c>
      <c r="C46" s="30">
        <f>YEAR(BInputReservoir[[#This Row],[Date]])</f>
        <v>2019</v>
      </c>
      <c r="D46" s="30">
        <f>MONTH(BInputReservoir[[#This Row],[Date]])</f>
        <v>4</v>
      </c>
      <c r="E46" s="30">
        <f>IF(I46&lt;&gt;1,"",DATA_INPUT!$K47)</f>
        <v>118466.2003974909</v>
      </c>
      <c r="F46" s="30">
        <f>STORAGE_BALANCE_ENSEMBLE!P47</f>
        <v>0</v>
      </c>
      <c r="G46" s="30">
        <f>STORAGE_BALANCE_ENSEMBLE!Q47</f>
        <v>0</v>
      </c>
      <c r="H46" s="30">
        <f>STORAGE_BALANCE_ENSEMBLE!O47</f>
        <v>28327748.092602476</v>
      </c>
      <c r="I46" s="18">
        <f>IF(STORAGE_BALANCE_ENSEMBLE!R47&lt;&gt;1,"",1)</f>
        <v>1</v>
      </c>
      <c r="J46" s="8">
        <f t="shared" si="1"/>
        <v>118466.2003974909</v>
      </c>
      <c r="K46" s="9">
        <f t="shared" si="2"/>
        <v>0</v>
      </c>
      <c r="L46" s="10">
        <f t="shared" si="3"/>
        <v>0</v>
      </c>
      <c r="M46" s="10">
        <f>IF(I46&lt;&gt;1,"",IF(H46="","",H46/CONTROL_PANEL!$B$11))</f>
        <v>0.56655496185204957</v>
      </c>
      <c r="N46" s="9">
        <f t="shared" si="4"/>
        <v>0</v>
      </c>
      <c r="O46" s="9">
        <f t="shared" si="5"/>
        <v>0</v>
      </c>
      <c r="P46" s="9">
        <f t="shared" si="6"/>
        <v>0</v>
      </c>
      <c r="Q46" s="9">
        <f t="shared" si="7"/>
        <v>0</v>
      </c>
      <c r="R46" s="11"/>
      <c r="S46" s="11" t="str">
        <f t="shared" si="8"/>
        <v>PASS</v>
      </c>
    </row>
    <row r="47" spans="1:19" x14ac:dyDescent="0.25">
      <c r="A47" s="30" t="s">
        <v>96</v>
      </c>
      <c r="B47" s="31">
        <v>43586</v>
      </c>
      <c r="C47" s="30">
        <f>YEAR(BInputReservoir[[#This Row],[Date]])</f>
        <v>2019</v>
      </c>
      <c r="D47" s="30">
        <f>MONTH(BInputReservoir[[#This Row],[Date]])</f>
        <v>5</v>
      </c>
      <c r="E47" s="30">
        <f>IF(I47&lt;&gt;1,"",DATA_INPUT!$K48)</f>
        <v>573946.64297074487</v>
      </c>
      <c r="F47" s="30">
        <f>STORAGE_BALANCE_ENSEMBLE!P48</f>
        <v>0</v>
      </c>
      <c r="G47" s="30">
        <f>STORAGE_BALANCE_ENSEMBLE!Q48</f>
        <v>0</v>
      </c>
      <c r="H47" s="30">
        <f>STORAGE_BALANCE_ENSEMBLE!O48</f>
        <v>27384282.498534892</v>
      </c>
      <c r="I47" s="18">
        <f>IF(STORAGE_BALANCE_ENSEMBLE!R48&lt;&gt;1,"",1)</f>
        <v>1</v>
      </c>
      <c r="J47" s="8">
        <f t="shared" si="1"/>
        <v>573946.64297074487</v>
      </c>
      <c r="K47" s="9">
        <f t="shared" si="2"/>
        <v>0</v>
      </c>
      <c r="L47" s="10">
        <f t="shared" si="3"/>
        <v>0</v>
      </c>
      <c r="M47" s="10">
        <f>IF(I47&lt;&gt;1,"",IF(H47="","",H47/CONTROL_PANEL!$B$11))</f>
        <v>0.5476856499706978</v>
      </c>
      <c r="N47" s="9">
        <f t="shared" si="4"/>
        <v>0</v>
      </c>
      <c r="O47" s="9">
        <f t="shared" si="5"/>
        <v>0</v>
      </c>
      <c r="P47" s="9">
        <f t="shared" si="6"/>
        <v>0</v>
      </c>
      <c r="Q47" s="9">
        <f t="shared" si="7"/>
        <v>0</v>
      </c>
      <c r="R47" s="11"/>
      <c r="S47" s="11" t="str">
        <f t="shared" si="8"/>
        <v>PASS</v>
      </c>
    </row>
    <row r="48" spans="1:19" x14ac:dyDescent="0.25">
      <c r="A48" s="30" t="s">
        <v>96</v>
      </c>
      <c r="B48" s="31">
        <v>43617</v>
      </c>
      <c r="C48" s="30">
        <f>YEAR(BInputReservoir[[#This Row],[Date]])</f>
        <v>2019</v>
      </c>
      <c r="D48" s="30">
        <f>MONTH(BInputReservoir[[#This Row],[Date]])</f>
        <v>6</v>
      </c>
      <c r="E48" s="30">
        <f>IF(I48&lt;&gt;1,"",DATA_INPUT!$K49)</f>
        <v>1029250.1224948455</v>
      </c>
      <c r="F48" s="30">
        <f>STORAGE_BALANCE_ENSEMBLE!P49</f>
        <v>0</v>
      </c>
      <c r="G48" s="30">
        <f>STORAGE_BALANCE_ENSEMBLE!Q49</f>
        <v>0</v>
      </c>
      <c r="H48" s="30">
        <f>STORAGE_BALANCE_ENSEMBLE!O49</f>
        <v>25798532.633703995</v>
      </c>
      <c r="I48" s="18">
        <f>IF(STORAGE_BALANCE_ENSEMBLE!R49&lt;&gt;1,"",1)</f>
        <v>1</v>
      </c>
      <c r="J48" s="8">
        <f t="shared" si="1"/>
        <v>1029250.1224948455</v>
      </c>
      <c r="K48" s="9">
        <f t="shared" si="2"/>
        <v>0</v>
      </c>
      <c r="L48" s="10">
        <f t="shared" si="3"/>
        <v>0</v>
      </c>
      <c r="M48" s="10">
        <f>IF(I48&lt;&gt;1,"",IF(H48="","",H48/CONTROL_PANEL!$B$11))</f>
        <v>0.51597065267407993</v>
      </c>
      <c r="N48" s="9">
        <f t="shared" si="4"/>
        <v>0</v>
      </c>
      <c r="O48" s="9">
        <f t="shared" si="5"/>
        <v>0</v>
      </c>
      <c r="P48" s="9">
        <f t="shared" si="6"/>
        <v>0</v>
      </c>
      <c r="Q48" s="9">
        <f t="shared" si="7"/>
        <v>0</v>
      </c>
      <c r="R48" s="11"/>
      <c r="S48" s="11" t="str">
        <f t="shared" si="8"/>
        <v>PASS</v>
      </c>
    </row>
    <row r="49" spans="1:19" x14ac:dyDescent="0.25">
      <c r="A49" s="30" t="s">
        <v>96</v>
      </c>
      <c r="B49" s="31">
        <v>43647</v>
      </c>
      <c r="C49" s="30">
        <f>YEAR(BInputReservoir[[#This Row],[Date]])</f>
        <v>2019</v>
      </c>
      <c r="D49" s="30">
        <f>MONTH(BInputReservoir[[#This Row],[Date]])</f>
        <v>7</v>
      </c>
      <c r="E49" s="30">
        <f>IF(I49&lt;&gt;1,"",DATA_INPUT!$K50)</f>
        <v>1842961.0013105709</v>
      </c>
      <c r="F49" s="30">
        <f>STORAGE_BALANCE_ENSEMBLE!P50</f>
        <v>0</v>
      </c>
      <c r="G49" s="30">
        <f>STORAGE_BALANCE_ENSEMBLE!Q50</f>
        <v>0</v>
      </c>
      <c r="H49" s="30">
        <f>STORAGE_BALANCE_ENSEMBLE!O50</f>
        <v>23301371.219651118</v>
      </c>
      <c r="I49" s="18">
        <f>IF(STORAGE_BALANCE_ENSEMBLE!R50&lt;&gt;1,"",1)</f>
        <v>1</v>
      </c>
      <c r="J49" s="8">
        <f t="shared" si="1"/>
        <v>1842961.0013105709</v>
      </c>
      <c r="K49" s="9">
        <f t="shared" si="2"/>
        <v>0</v>
      </c>
      <c r="L49" s="10">
        <f t="shared" si="3"/>
        <v>0</v>
      </c>
      <c r="M49" s="10">
        <f>IF(I49&lt;&gt;1,"",IF(H49="","",H49/CONTROL_PANEL!$B$11))</f>
        <v>0.46602742439302236</v>
      </c>
      <c r="N49" s="9">
        <f t="shared" si="4"/>
        <v>0</v>
      </c>
      <c r="O49" s="9">
        <f t="shared" si="5"/>
        <v>0</v>
      </c>
      <c r="P49" s="9">
        <f t="shared" si="6"/>
        <v>0</v>
      </c>
      <c r="Q49" s="9">
        <f t="shared" si="7"/>
        <v>0</v>
      </c>
      <c r="R49" s="11"/>
      <c r="S49" s="11" t="str">
        <f t="shared" si="8"/>
        <v>PASS</v>
      </c>
    </row>
    <row r="50" spans="1:19" x14ac:dyDescent="0.25">
      <c r="A50" s="30" t="s">
        <v>96</v>
      </c>
      <c r="B50" s="31">
        <v>43678</v>
      </c>
      <c r="C50" s="30">
        <f>YEAR(BInputReservoir[[#This Row],[Date]])</f>
        <v>2019</v>
      </c>
      <c r="D50" s="30">
        <f>MONTH(BInputReservoir[[#This Row],[Date]])</f>
        <v>8</v>
      </c>
      <c r="E50" s="30">
        <f>IF(I50&lt;&gt;1,"",DATA_INPUT!$K51)</f>
        <v>1437244.4634768332</v>
      </c>
      <c r="F50" s="30">
        <f>STORAGE_BALANCE_ENSEMBLE!P51</f>
        <v>0</v>
      </c>
      <c r="G50" s="30">
        <f>STORAGE_BALANCE_ENSEMBLE!Q51</f>
        <v>0</v>
      </c>
      <c r="H50" s="30">
        <f>STORAGE_BALANCE_ENSEMBLE!O51</f>
        <v>21281247.975147463</v>
      </c>
      <c r="I50" s="18">
        <f>IF(STORAGE_BALANCE_ENSEMBLE!R51&lt;&gt;1,"",1)</f>
        <v>1</v>
      </c>
      <c r="J50" s="8">
        <f t="shared" si="1"/>
        <v>1437244.4634768332</v>
      </c>
      <c r="K50" s="9">
        <f t="shared" si="2"/>
        <v>0</v>
      </c>
      <c r="L50" s="10">
        <f t="shared" si="3"/>
        <v>0</v>
      </c>
      <c r="M50" s="10">
        <f>IF(I50&lt;&gt;1,"",IF(H50="","",H50/CONTROL_PANEL!$B$11))</f>
        <v>0.42562495950294926</v>
      </c>
      <c r="N50" s="9">
        <f t="shared" si="4"/>
        <v>0</v>
      </c>
      <c r="O50" s="9">
        <f t="shared" si="5"/>
        <v>0</v>
      </c>
      <c r="P50" s="9">
        <f t="shared" si="6"/>
        <v>0</v>
      </c>
      <c r="Q50" s="9">
        <f t="shared" si="7"/>
        <v>0</v>
      </c>
      <c r="R50" s="11"/>
      <c r="S50" s="11" t="str">
        <f t="shared" si="8"/>
        <v>PASS</v>
      </c>
    </row>
    <row r="51" spans="1:19" x14ac:dyDescent="0.25">
      <c r="A51" s="30" t="s">
        <v>96</v>
      </c>
      <c r="B51" s="31">
        <v>43709</v>
      </c>
      <c r="C51" s="30">
        <f>YEAR(BInputReservoir[[#This Row],[Date]])</f>
        <v>2019</v>
      </c>
      <c r="D51" s="30">
        <f>MONTH(BInputReservoir[[#This Row],[Date]])</f>
        <v>9</v>
      </c>
      <c r="E51" s="30">
        <f>IF(I51&lt;&gt;1,"",DATA_INPUT!$K52)</f>
        <v>676485.9049861778</v>
      </c>
      <c r="F51" s="30">
        <f>STORAGE_BALANCE_ENSEMBLE!P52</f>
        <v>0</v>
      </c>
      <c r="G51" s="30">
        <f>STORAGE_BALANCE_ENSEMBLE!Q52</f>
        <v>0</v>
      </c>
      <c r="H51" s="30">
        <f>STORAGE_BALANCE_ENSEMBLE!O52</f>
        <v>20217316.692168407</v>
      </c>
      <c r="I51" s="18">
        <f>IF(STORAGE_BALANCE_ENSEMBLE!R52&lt;&gt;1,"",1)</f>
        <v>1</v>
      </c>
      <c r="J51" s="8">
        <f t="shared" si="1"/>
        <v>676485.9049861778</v>
      </c>
      <c r="K51" s="9">
        <f t="shared" si="2"/>
        <v>0</v>
      </c>
      <c r="L51" s="10">
        <f t="shared" si="3"/>
        <v>0</v>
      </c>
      <c r="M51" s="10">
        <f>IF(I51&lt;&gt;1,"",IF(H51="","",H51/CONTROL_PANEL!$B$11))</f>
        <v>0.40434633384336816</v>
      </c>
      <c r="N51" s="9">
        <f t="shared" si="4"/>
        <v>0</v>
      </c>
      <c r="O51" s="9">
        <f t="shared" si="5"/>
        <v>0</v>
      </c>
      <c r="P51" s="9">
        <f t="shared" si="6"/>
        <v>0</v>
      </c>
      <c r="Q51" s="9">
        <f t="shared" si="7"/>
        <v>0</v>
      </c>
      <c r="R51" s="11"/>
      <c r="S51" s="11" t="str">
        <f t="shared" si="8"/>
        <v>PASS</v>
      </c>
    </row>
    <row r="52" spans="1:19" x14ac:dyDescent="0.25">
      <c r="A52" s="30" t="s">
        <v>96</v>
      </c>
      <c r="B52" s="31">
        <v>43739</v>
      </c>
      <c r="C52" s="30">
        <f>YEAR(BInputReservoir[[#This Row],[Date]])</f>
        <v>2019</v>
      </c>
      <c r="D52" s="30">
        <f>MONTH(BInputReservoir[[#This Row],[Date]])</f>
        <v>10</v>
      </c>
      <c r="E52" s="30">
        <f>IF(I52&lt;&gt;1,"",DATA_INPUT!$K53)</f>
        <v>94180.209758936122</v>
      </c>
      <c r="F52" s="30">
        <f>STORAGE_BALANCE_ENSEMBLE!P53</f>
        <v>0</v>
      </c>
      <c r="G52" s="30">
        <f>STORAGE_BALANCE_ENSEMBLE!Q53</f>
        <v>0</v>
      </c>
      <c r="H52" s="30">
        <f>STORAGE_BALANCE_ENSEMBLE!O53</f>
        <v>20157366.593514867</v>
      </c>
      <c r="I52" s="18">
        <f>IF(STORAGE_BALANCE_ENSEMBLE!R53&lt;&gt;1,"",1)</f>
        <v>1</v>
      </c>
      <c r="J52" s="8">
        <f t="shared" si="1"/>
        <v>94180.209758936122</v>
      </c>
      <c r="K52" s="9">
        <f t="shared" si="2"/>
        <v>0</v>
      </c>
      <c r="L52" s="10">
        <f t="shared" si="3"/>
        <v>0</v>
      </c>
      <c r="M52" s="10">
        <f>IF(I52&lt;&gt;1,"",IF(H52="","",H52/CONTROL_PANEL!$B$11))</f>
        <v>0.40314733187029733</v>
      </c>
      <c r="N52" s="9">
        <f t="shared" si="4"/>
        <v>0</v>
      </c>
      <c r="O52" s="9">
        <f t="shared" si="5"/>
        <v>0</v>
      </c>
      <c r="P52" s="9">
        <f t="shared" si="6"/>
        <v>0</v>
      </c>
      <c r="Q52" s="9">
        <f t="shared" si="7"/>
        <v>0</v>
      </c>
      <c r="R52" s="11"/>
      <c r="S52" s="11" t="str">
        <f t="shared" si="8"/>
        <v>PASS</v>
      </c>
    </row>
    <row r="53" spans="1:19" x14ac:dyDescent="0.25">
      <c r="A53" s="30" t="s">
        <v>96</v>
      </c>
      <c r="B53" s="31">
        <v>43770</v>
      </c>
      <c r="C53" s="30">
        <f>YEAR(BInputReservoir[[#This Row],[Date]])</f>
        <v>2019</v>
      </c>
      <c r="D53" s="30">
        <f>MONTH(BInputReservoir[[#This Row],[Date]])</f>
        <v>11</v>
      </c>
      <c r="E53" s="30">
        <f>IF(I53&lt;&gt;1,"",DATA_INPUT!$K54)</f>
        <v>0</v>
      </c>
      <c r="F53" s="30">
        <f>STORAGE_BALANCE_ENSEMBLE!P54</f>
        <v>0</v>
      </c>
      <c r="G53" s="30">
        <f>STORAGE_BALANCE_ENSEMBLE!Q54</f>
        <v>0</v>
      </c>
      <c r="H53" s="30">
        <f>STORAGE_BALANCE_ENSEMBLE!O54</f>
        <v>21939342.554778833</v>
      </c>
      <c r="I53" s="18">
        <f>IF(STORAGE_BALANCE_ENSEMBLE!R54&lt;&gt;1,"",1)</f>
        <v>1</v>
      </c>
      <c r="J53" s="8">
        <f t="shared" si="1"/>
        <v>0</v>
      </c>
      <c r="K53" s="9">
        <f t="shared" si="2"/>
        <v>0</v>
      </c>
      <c r="L53" s="10">
        <f t="shared" si="3"/>
        <v>0</v>
      </c>
      <c r="M53" s="10">
        <f>IF(I53&lt;&gt;1,"",IF(H53="","",H53/CONTROL_PANEL!$B$11))</f>
        <v>0.43878685109557664</v>
      </c>
      <c r="N53" s="9">
        <f t="shared" si="4"/>
        <v>0</v>
      </c>
      <c r="O53" s="9">
        <f t="shared" si="5"/>
        <v>0</v>
      </c>
      <c r="P53" s="9">
        <f t="shared" si="6"/>
        <v>0</v>
      </c>
      <c r="Q53" s="9">
        <f t="shared" si="7"/>
        <v>0</v>
      </c>
      <c r="R53" s="11"/>
      <c r="S53" s="11" t="str">
        <f t="shared" si="8"/>
        <v>PASS</v>
      </c>
    </row>
    <row r="54" spans="1:19" x14ac:dyDescent="0.25">
      <c r="A54" s="30" t="s">
        <v>96</v>
      </c>
      <c r="B54" s="31">
        <v>43800</v>
      </c>
      <c r="C54" s="30">
        <f>YEAR(BInputReservoir[[#This Row],[Date]])</f>
        <v>2019</v>
      </c>
      <c r="D54" s="30">
        <f>MONTH(BInputReservoir[[#This Row],[Date]])</f>
        <v>12</v>
      </c>
      <c r="E54" s="30">
        <f>IF(I54&lt;&gt;1,"",DATA_INPUT!$K55)</f>
        <v>0</v>
      </c>
      <c r="F54" s="30">
        <f>STORAGE_BALANCE_ENSEMBLE!P55</f>
        <v>0</v>
      </c>
      <c r="G54" s="30">
        <f>STORAGE_BALANCE_ENSEMBLE!Q55</f>
        <v>0</v>
      </c>
      <c r="H54" s="30">
        <f>STORAGE_BALANCE_ENSEMBLE!O55</f>
        <v>23380527.3152619</v>
      </c>
      <c r="I54" s="18">
        <f>IF(STORAGE_BALANCE_ENSEMBLE!R55&lt;&gt;1,"",1)</f>
        <v>1</v>
      </c>
      <c r="J54" s="8">
        <f t="shared" si="1"/>
        <v>0</v>
      </c>
      <c r="K54" s="9">
        <f t="shared" si="2"/>
        <v>0</v>
      </c>
      <c r="L54" s="10">
        <f t="shared" si="3"/>
        <v>0</v>
      </c>
      <c r="M54" s="10">
        <f>IF(I54&lt;&gt;1,"",IF(H54="","",H54/CONTROL_PANEL!$B$11))</f>
        <v>0.46761054630523802</v>
      </c>
      <c r="N54" s="9">
        <f t="shared" si="4"/>
        <v>0</v>
      </c>
      <c r="O54" s="9">
        <f t="shared" si="5"/>
        <v>0</v>
      </c>
      <c r="P54" s="9">
        <f t="shared" si="6"/>
        <v>0</v>
      </c>
      <c r="Q54" s="9">
        <f t="shared" si="7"/>
        <v>0</v>
      </c>
      <c r="R54" s="11"/>
      <c r="S54" s="11" t="str">
        <f t="shared" si="8"/>
        <v>PASS</v>
      </c>
    </row>
    <row r="55" spans="1:19" x14ac:dyDescent="0.25">
      <c r="A55" s="30" t="s">
        <v>96</v>
      </c>
      <c r="B55" s="31">
        <v>43831</v>
      </c>
      <c r="C55" s="30">
        <f>YEAR(BInputReservoir[[#This Row],[Date]])</f>
        <v>2020</v>
      </c>
      <c r="D55" s="30">
        <f>MONTH(BInputReservoir[[#This Row],[Date]])</f>
        <v>1</v>
      </c>
      <c r="E55" s="30">
        <f>IF(I55&lt;&gt;1,"",DATA_INPUT!$K56)</f>
        <v>0</v>
      </c>
      <c r="F55" s="30">
        <f>STORAGE_BALANCE_ENSEMBLE!P56</f>
        <v>0</v>
      </c>
      <c r="G55" s="30">
        <f>STORAGE_BALANCE_ENSEMBLE!Q56</f>
        <v>0</v>
      </c>
      <c r="H55" s="30">
        <f>STORAGE_BALANCE_ENSEMBLE!O56</f>
        <v>23822449.887542427</v>
      </c>
      <c r="I55" s="18">
        <f>IF(STORAGE_BALANCE_ENSEMBLE!R56&lt;&gt;1,"",1)</f>
        <v>1</v>
      </c>
      <c r="J55" s="8">
        <f t="shared" si="1"/>
        <v>0</v>
      </c>
      <c r="K55" s="9">
        <f t="shared" si="2"/>
        <v>0</v>
      </c>
      <c r="L55" s="10">
        <f t="shared" si="3"/>
        <v>0</v>
      </c>
      <c r="M55" s="10">
        <f>IF(I55&lt;&gt;1,"",IF(H55="","",H55/CONTROL_PANEL!$B$11))</f>
        <v>0.47644899775084854</v>
      </c>
      <c r="N55" s="9">
        <f t="shared" si="4"/>
        <v>0</v>
      </c>
      <c r="O55" s="9">
        <f t="shared" si="5"/>
        <v>0</v>
      </c>
      <c r="P55" s="9">
        <f t="shared" si="6"/>
        <v>0</v>
      </c>
      <c r="Q55" s="9">
        <f t="shared" si="7"/>
        <v>0</v>
      </c>
      <c r="R55" s="11"/>
      <c r="S55" s="11" t="str">
        <f t="shared" si="8"/>
        <v>PASS</v>
      </c>
    </row>
    <row r="56" spans="1:19" x14ac:dyDescent="0.25">
      <c r="A56" s="30" t="s">
        <v>96</v>
      </c>
      <c r="B56" s="31">
        <v>43862</v>
      </c>
      <c r="C56" s="30">
        <f>YEAR(BInputReservoir[[#This Row],[Date]])</f>
        <v>2020</v>
      </c>
      <c r="D56" s="30">
        <f>MONTH(BInputReservoir[[#This Row],[Date]])</f>
        <v>2</v>
      </c>
      <c r="E56" s="30">
        <f>IF(I56&lt;&gt;1,"",DATA_INPUT!$K57)</f>
        <v>0</v>
      </c>
      <c r="F56" s="30">
        <f>STORAGE_BALANCE_ENSEMBLE!P57</f>
        <v>0</v>
      </c>
      <c r="G56" s="30">
        <f>STORAGE_BALANCE_ENSEMBLE!Q57</f>
        <v>0</v>
      </c>
      <c r="H56" s="30">
        <f>STORAGE_BALANCE_ENSEMBLE!O57</f>
        <v>23775902.64476547</v>
      </c>
      <c r="I56" s="18">
        <f>IF(STORAGE_BALANCE_ENSEMBLE!R57&lt;&gt;1,"",1)</f>
        <v>1</v>
      </c>
      <c r="J56" s="8">
        <f t="shared" si="1"/>
        <v>0</v>
      </c>
      <c r="K56" s="9">
        <f t="shared" si="2"/>
        <v>0</v>
      </c>
      <c r="L56" s="10">
        <f t="shared" si="3"/>
        <v>0</v>
      </c>
      <c r="M56" s="10">
        <f>IF(I56&lt;&gt;1,"",IF(H56="","",H56/CONTROL_PANEL!$B$11))</f>
        <v>0.47551805289530941</v>
      </c>
      <c r="N56" s="9">
        <f t="shared" si="4"/>
        <v>0</v>
      </c>
      <c r="O56" s="9">
        <f t="shared" si="5"/>
        <v>0</v>
      </c>
      <c r="P56" s="9">
        <f t="shared" si="6"/>
        <v>0</v>
      </c>
      <c r="Q56" s="9">
        <f t="shared" si="7"/>
        <v>0</v>
      </c>
      <c r="R56" s="11"/>
      <c r="S56" s="11" t="str">
        <f t="shared" si="8"/>
        <v>PASS</v>
      </c>
    </row>
    <row r="57" spans="1:19" x14ac:dyDescent="0.25">
      <c r="A57" s="30" t="s">
        <v>96</v>
      </c>
      <c r="B57" s="31">
        <v>43891</v>
      </c>
      <c r="C57" s="30">
        <f>YEAR(BInputReservoir[[#This Row],[Date]])</f>
        <v>2020</v>
      </c>
      <c r="D57" s="30">
        <f>MONTH(BInputReservoir[[#This Row],[Date]])</f>
        <v>3</v>
      </c>
      <c r="E57" s="30">
        <f>IF(I57&lt;&gt;1,"",DATA_INPUT!$K58)</f>
        <v>0</v>
      </c>
      <c r="F57" s="30">
        <f>STORAGE_BALANCE_ENSEMBLE!P58</f>
        <v>0</v>
      </c>
      <c r="G57" s="30">
        <f>STORAGE_BALANCE_ENSEMBLE!Q58</f>
        <v>0</v>
      </c>
      <c r="H57" s="30">
        <f>STORAGE_BALANCE_ENSEMBLE!O58</f>
        <v>24284460.858181313</v>
      </c>
      <c r="I57" s="18">
        <f>IF(STORAGE_BALANCE_ENSEMBLE!R58&lt;&gt;1,"",1)</f>
        <v>1</v>
      </c>
      <c r="J57" s="8">
        <f t="shared" si="1"/>
        <v>0</v>
      </c>
      <c r="K57" s="9">
        <f t="shared" si="2"/>
        <v>0</v>
      </c>
      <c r="L57" s="10">
        <f t="shared" si="3"/>
        <v>0</v>
      </c>
      <c r="M57" s="10">
        <f>IF(I57&lt;&gt;1,"",IF(H57="","",H57/CONTROL_PANEL!$B$11))</f>
        <v>0.48568921716362623</v>
      </c>
      <c r="N57" s="9">
        <f t="shared" si="4"/>
        <v>0</v>
      </c>
      <c r="O57" s="9">
        <f t="shared" si="5"/>
        <v>0</v>
      </c>
      <c r="P57" s="9">
        <f t="shared" si="6"/>
        <v>0</v>
      </c>
      <c r="Q57" s="9">
        <f t="shared" si="7"/>
        <v>0</v>
      </c>
      <c r="R57" s="11"/>
      <c r="S57" s="11" t="str">
        <f t="shared" si="8"/>
        <v>PASS</v>
      </c>
    </row>
    <row r="58" spans="1:19" x14ac:dyDescent="0.25">
      <c r="A58" s="30" t="s">
        <v>96</v>
      </c>
      <c r="B58" s="31">
        <v>43922</v>
      </c>
      <c r="C58" s="30">
        <f>YEAR(BInputReservoir[[#This Row],[Date]])</f>
        <v>2020</v>
      </c>
      <c r="D58" s="30">
        <f>MONTH(BInputReservoir[[#This Row],[Date]])</f>
        <v>4</v>
      </c>
      <c r="E58" s="30">
        <f>IF(I58&lt;&gt;1,"",DATA_INPUT!$K59)</f>
        <v>9084.7423802437588</v>
      </c>
      <c r="F58" s="30">
        <f>STORAGE_BALANCE_ENSEMBLE!P59</f>
        <v>0</v>
      </c>
      <c r="G58" s="30">
        <f>STORAGE_BALANCE_ENSEMBLE!Q59</f>
        <v>0</v>
      </c>
      <c r="H58" s="30">
        <f>STORAGE_BALANCE_ENSEMBLE!O59</f>
        <v>24630063.564097483</v>
      </c>
      <c r="I58" s="18">
        <f>IF(STORAGE_BALANCE_ENSEMBLE!R59&lt;&gt;1,"",1)</f>
        <v>1</v>
      </c>
      <c r="J58" s="8">
        <f t="shared" si="1"/>
        <v>9084.7423802437588</v>
      </c>
      <c r="K58" s="9">
        <f t="shared" si="2"/>
        <v>0</v>
      </c>
      <c r="L58" s="10">
        <f t="shared" si="3"/>
        <v>0</v>
      </c>
      <c r="M58" s="10">
        <f>IF(I58&lt;&gt;1,"",IF(H58="","",H58/CONTROL_PANEL!$B$11))</f>
        <v>0.49260127128194964</v>
      </c>
      <c r="N58" s="9">
        <f t="shared" si="4"/>
        <v>0</v>
      </c>
      <c r="O58" s="9">
        <f t="shared" si="5"/>
        <v>0</v>
      </c>
      <c r="P58" s="9">
        <f t="shared" si="6"/>
        <v>0</v>
      </c>
      <c r="Q58" s="9">
        <f t="shared" si="7"/>
        <v>0</v>
      </c>
      <c r="R58" s="11"/>
      <c r="S58" s="11" t="str">
        <f t="shared" si="8"/>
        <v>PASS</v>
      </c>
    </row>
    <row r="59" spans="1:19" x14ac:dyDescent="0.25">
      <c r="A59" s="30" t="s">
        <v>96</v>
      </c>
      <c r="B59" s="31">
        <v>43952</v>
      </c>
      <c r="C59" s="30">
        <f>YEAR(BInputReservoir[[#This Row],[Date]])</f>
        <v>2020</v>
      </c>
      <c r="D59" s="30">
        <f>MONTH(BInputReservoir[[#This Row],[Date]])</f>
        <v>5</v>
      </c>
      <c r="E59" s="30">
        <f>IF(I59&lt;&gt;1,"",DATA_INPUT!$K60)</f>
        <v>178950.36320360258</v>
      </c>
      <c r="F59" s="30">
        <f>STORAGE_BALANCE_ENSEMBLE!P60</f>
        <v>0</v>
      </c>
      <c r="G59" s="30">
        <f>STORAGE_BALANCE_ENSEMBLE!Q60</f>
        <v>0</v>
      </c>
      <c r="H59" s="30">
        <f>STORAGE_BALANCE_ENSEMBLE!O60</f>
        <v>24302447.971925233</v>
      </c>
      <c r="I59" s="18">
        <f>IF(STORAGE_BALANCE_ENSEMBLE!R60&lt;&gt;1,"",1)</f>
        <v>1</v>
      </c>
      <c r="J59" s="8">
        <f t="shared" si="1"/>
        <v>178950.36320360258</v>
      </c>
      <c r="K59" s="9">
        <f t="shared" si="2"/>
        <v>0</v>
      </c>
      <c r="L59" s="10">
        <f t="shared" si="3"/>
        <v>0</v>
      </c>
      <c r="M59" s="10">
        <f>IF(I59&lt;&gt;1,"",IF(H59="","",H59/CONTROL_PANEL!$B$11))</f>
        <v>0.48604895943850462</v>
      </c>
      <c r="N59" s="9">
        <f t="shared" si="4"/>
        <v>0</v>
      </c>
      <c r="O59" s="9">
        <f t="shared" si="5"/>
        <v>0</v>
      </c>
      <c r="P59" s="9">
        <f t="shared" si="6"/>
        <v>0</v>
      </c>
      <c r="Q59" s="9">
        <f t="shared" si="7"/>
        <v>0</v>
      </c>
      <c r="R59" s="11"/>
      <c r="S59" s="11" t="str">
        <f t="shared" si="8"/>
        <v>PASS</v>
      </c>
    </row>
    <row r="60" spans="1:19" x14ac:dyDescent="0.25">
      <c r="A60" s="30" t="s">
        <v>96</v>
      </c>
      <c r="B60" s="31">
        <v>43983</v>
      </c>
      <c r="C60" s="30">
        <f>YEAR(BInputReservoir[[#This Row],[Date]])</f>
        <v>2020</v>
      </c>
      <c r="D60" s="30">
        <f>MONTH(BInputReservoir[[#This Row],[Date]])</f>
        <v>6</v>
      </c>
      <c r="E60" s="30">
        <f>IF(I60&lt;&gt;1,"",DATA_INPUT!$K61)</f>
        <v>891368.20792563888</v>
      </c>
      <c r="F60" s="30">
        <f>STORAGE_BALANCE_ENSEMBLE!P61</f>
        <v>0</v>
      </c>
      <c r="G60" s="30">
        <f>STORAGE_BALANCE_ENSEMBLE!Q61</f>
        <v>0</v>
      </c>
      <c r="H60" s="30">
        <f>STORAGE_BALANCE_ENSEMBLE!O61</f>
        <v>22982664.456423599</v>
      </c>
      <c r="I60" s="18">
        <f>IF(STORAGE_BALANCE_ENSEMBLE!R61&lt;&gt;1,"",1)</f>
        <v>1</v>
      </c>
      <c r="J60" s="8">
        <f t="shared" si="1"/>
        <v>891368.20792563888</v>
      </c>
      <c r="K60" s="9">
        <f t="shared" si="2"/>
        <v>0</v>
      </c>
      <c r="L60" s="10">
        <f t="shared" si="3"/>
        <v>0</v>
      </c>
      <c r="M60" s="10">
        <f>IF(I60&lt;&gt;1,"",IF(H60="","",H60/CONTROL_PANEL!$B$11))</f>
        <v>0.45965328912847198</v>
      </c>
      <c r="N60" s="9">
        <f t="shared" si="4"/>
        <v>0</v>
      </c>
      <c r="O60" s="9">
        <f t="shared" si="5"/>
        <v>0</v>
      </c>
      <c r="P60" s="9">
        <f t="shared" si="6"/>
        <v>0</v>
      </c>
      <c r="Q60" s="9">
        <f t="shared" si="7"/>
        <v>0</v>
      </c>
      <c r="R60" s="11"/>
      <c r="S60" s="11" t="str">
        <f t="shared" si="8"/>
        <v>PASS</v>
      </c>
    </row>
    <row r="61" spans="1:19" x14ac:dyDescent="0.25">
      <c r="A61" s="30" t="s">
        <v>96</v>
      </c>
      <c r="B61" s="31">
        <v>44013</v>
      </c>
      <c r="C61" s="30">
        <f>YEAR(BInputReservoir[[#This Row],[Date]])</f>
        <v>2020</v>
      </c>
      <c r="D61" s="30">
        <f>MONTH(BInputReservoir[[#This Row],[Date]])</f>
        <v>7</v>
      </c>
      <c r="E61" s="30">
        <f>IF(I61&lt;&gt;1,"",DATA_INPUT!$K62)</f>
        <v>1875412.3425748148</v>
      </c>
      <c r="F61" s="30">
        <f>STORAGE_BALANCE_ENSEMBLE!P62</f>
        <v>0</v>
      </c>
      <c r="G61" s="30">
        <f>STORAGE_BALANCE_ENSEMBLE!Q62</f>
        <v>0</v>
      </c>
      <c r="H61" s="30">
        <f>STORAGE_BALANCE_ENSEMBLE!O62</f>
        <v>20578444.778626729</v>
      </c>
      <c r="I61" s="18">
        <f>IF(STORAGE_BALANCE_ENSEMBLE!R62&lt;&gt;1,"",1)</f>
        <v>1</v>
      </c>
      <c r="J61" s="8">
        <f t="shared" si="1"/>
        <v>1875412.3425748148</v>
      </c>
      <c r="K61" s="9">
        <f t="shared" si="2"/>
        <v>0</v>
      </c>
      <c r="L61" s="10">
        <f t="shared" si="3"/>
        <v>0</v>
      </c>
      <c r="M61" s="10">
        <f>IF(I61&lt;&gt;1,"",IF(H61="","",H61/CONTROL_PANEL!$B$11))</f>
        <v>0.41156889557253457</v>
      </c>
      <c r="N61" s="9">
        <f t="shared" si="4"/>
        <v>0</v>
      </c>
      <c r="O61" s="9">
        <f t="shared" si="5"/>
        <v>0</v>
      </c>
      <c r="P61" s="9">
        <f t="shared" si="6"/>
        <v>0</v>
      </c>
      <c r="Q61" s="9">
        <f t="shared" si="7"/>
        <v>0</v>
      </c>
      <c r="R61" s="11"/>
      <c r="S61" s="11" t="str">
        <f t="shared" si="8"/>
        <v>PASS</v>
      </c>
    </row>
    <row r="62" spans="1:19" x14ac:dyDescent="0.25">
      <c r="A62" s="30" t="s">
        <v>96</v>
      </c>
      <c r="B62" s="31">
        <v>44044</v>
      </c>
      <c r="C62" s="30">
        <f>YEAR(BInputReservoir[[#This Row],[Date]])</f>
        <v>2020</v>
      </c>
      <c r="D62" s="30">
        <f>MONTH(BInputReservoir[[#This Row],[Date]])</f>
        <v>8</v>
      </c>
      <c r="E62" s="30">
        <f>IF(I62&lt;&gt;1,"",DATA_INPUT!$K63)</f>
        <v>1613405.2937264829</v>
      </c>
      <c r="F62" s="30">
        <f>STORAGE_BALANCE_ENSEMBLE!P63</f>
        <v>0</v>
      </c>
      <c r="G62" s="30">
        <f>STORAGE_BALANCE_ENSEMBLE!Q63</f>
        <v>0</v>
      </c>
      <c r="H62" s="30">
        <f>STORAGE_BALANCE_ENSEMBLE!O63</f>
        <v>18564924.438023318</v>
      </c>
      <c r="I62" s="18">
        <f>IF(STORAGE_BALANCE_ENSEMBLE!R63&lt;&gt;1,"",1)</f>
        <v>1</v>
      </c>
      <c r="J62" s="8">
        <f t="shared" si="1"/>
        <v>1613405.2937264829</v>
      </c>
      <c r="K62" s="9">
        <f t="shared" si="2"/>
        <v>0</v>
      </c>
      <c r="L62" s="10">
        <f t="shared" si="3"/>
        <v>0</v>
      </c>
      <c r="M62" s="10">
        <f>IF(I62&lt;&gt;1,"",IF(H62="","",H62/CONTROL_PANEL!$B$11))</f>
        <v>0.37129848876046634</v>
      </c>
      <c r="N62" s="9">
        <f t="shared" si="4"/>
        <v>0</v>
      </c>
      <c r="O62" s="9">
        <f t="shared" si="5"/>
        <v>0</v>
      </c>
      <c r="P62" s="9">
        <f t="shared" si="6"/>
        <v>0</v>
      </c>
      <c r="Q62" s="9">
        <f t="shared" si="7"/>
        <v>0</v>
      </c>
      <c r="R62" s="11"/>
      <c r="S62" s="11" t="str">
        <f t="shared" si="8"/>
        <v>PASS</v>
      </c>
    </row>
    <row r="63" spans="1:19" x14ac:dyDescent="0.25">
      <c r="A63" s="30" t="s">
        <v>96</v>
      </c>
      <c r="B63" s="31">
        <v>44075</v>
      </c>
      <c r="C63" s="30">
        <f>YEAR(BInputReservoir[[#This Row],[Date]])</f>
        <v>2020</v>
      </c>
      <c r="D63" s="30">
        <f>MONTH(BInputReservoir[[#This Row],[Date]])</f>
        <v>9</v>
      </c>
      <c r="E63" s="30">
        <f>IF(I63&lt;&gt;1,"",DATA_INPUT!$K64)</f>
        <v>564560.21296826703</v>
      </c>
      <c r="F63" s="30">
        <f>STORAGE_BALANCE_ENSEMBLE!P64</f>
        <v>0</v>
      </c>
      <c r="G63" s="30">
        <f>STORAGE_BALANCE_ENSEMBLE!Q64</f>
        <v>0</v>
      </c>
      <c r="H63" s="30">
        <f>STORAGE_BALANCE_ENSEMBLE!O64</f>
        <v>17989007.393758349</v>
      </c>
      <c r="I63" s="18">
        <f>IF(STORAGE_BALANCE_ENSEMBLE!R64&lt;&gt;1,"",1)</f>
        <v>1</v>
      </c>
      <c r="J63" s="8">
        <f t="shared" si="1"/>
        <v>564560.21296826703</v>
      </c>
      <c r="K63" s="9">
        <f t="shared" si="2"/>
        <v>0</v>
      </c>
      <c r="L63" s="10">
        <f t="shared" si="3"/>
        <v>0</v>
      </c>
      <c r="M63" s="10">
        <f>IF(I63&lt;&gt;1,"",IF(H63="","",H63/CONTROL_PANEL!$B$11))</f>
        <v>0.35978014787516699</v>
      </c>
      <c r="N63" s="9">
        <f t="shared" si="4"/>
        <v>0</v>
      </c>
      <c r="O63" s="9">
        <f t="shared" si="5"/>
        <v>0</v>
      </c>
      <c r="P63" s="9">
        <f t="shared" si="6"/>
        <v>0</v>
      </c>
      <c r="Q63" s="9">
        <f t="shared" si="7"/>
        <v>0</v>
      </c>
      <c r="R63" s="11"/>
      <c r="S63" s="11" t="str">
        <f t="shared" si="8"/>
        <v>PASS</v>
      </c>
    </row>
    <row r="64" spans="1:19" x14ac:dyDescent="0.25">
      <c r="A64" s="30" t="s">
        <v>96</v>
      </c>
      <c r="B64" s="31">
        <v>44105</v>
      </c>
      <c r="C64" s="30">
        <f>YEAR(BInputReservoir[[#This Row],[Date]])</f>
        <v>2020</v>
      </c>
      <c r="D64" s="30">
        <f>MONTH(BInputReservoir[[#This Row],[Date]])</f>
        <v>10</v>
      </c>
      <c r="E64" s="30">
        <f>IF(I64&lt;&gt;1,"",DATA_INPUT!$K65)</f>
        <v>95822.921764101658</v>
      </c>
      <c r="F64" s="30">
        <f>STORAGE_BALANCE_ENSEMBLE!P65</f>
        <v>0</v>
      </c>
      <c r="G64" s="30">
        <f>STORAGE_BALANCE_ENSEMBLE!Q65</f>
        <v>0</v>
      </c>
      <c r="H64" s="30">
        <f>STORAGE_BALANCE_ENSEMBLE!O65</f>
        <v>18631683.80925715</v>
      </c>
      <c r="I64" s="18">
        <f>IF(STORAGE_BALANCE_ENSEMBLE!R65&lt;&gt;1,"",1)</f>
        <v>1</v>
      </c>
      <c r="J64" s="8">
        <f t="shared" si="1"/>
        <v>95822.921764101658</v>
      </c>
      <c r="K64" s="9">
        <f t="shared" si="2"/>
        <v>0</v>
      </c>
      <c r="L64" s="10">
        <f t="shared" si="3"/>
        <v>0</v>
      </c>
      <c r="M64" s="10">
        <f>IF(I64&lt;&gt;1,"",IF(H64="","",H64/CONTROL_PANEL!$B$11))</f>
        <v>0.37263367618514298</v>
      </c>
      <c r="N64" s="9">
        <f t="shared" si="4"/>
        <v>0</v>
      </c>
      <c r="O64" s="9">
        <f t="shared" si="5"/>
        <v>0</v>
      </c>
      <c r="P64" s="9">
        <f t="shared" si="6"/>
        <v>0</v>
      </c>
      <c r="Q64" s="9">
        <f t="shared" si="7"/>
        <v>0</v>
      </c>
      <c r="R64" s="11"/>
      <c r="S64" s="11" t="str">
        <f t="shared" si="8"/>
        <v>PASS</v>
      </c>
    </row>
    <row r="65" spans="1:19" x14ac:dyDescent="0.25">
      <c r="A65" s="30" t="s">
        <v>96</v>
      </c>
      <c r="B65" s="31">
        <v>44136</v>
      </c>
      <c r="C65" s="30">
        <f>YEAR(BInputReservoir[[#This Row],[Date]])</f>
        <v>2020</v>
      </c>
      <c r="D65" s="30">
        <f>MONTH(BInputReservoir[[#This Row],[Date]])</f>
        <v>11</v>
      </c>
      <c r="E65" s="30">
        <f>IF(I65&lt;&gt;1,"",DATA_INPUT!$K66)</f>
        <v>0</v>
      </c>
      <c r="F65" s="30">
        <f>STORAGE_BALANCE_ENSEMBLE!P66</f>
        <v>0</v>
      </c>
      <c r="G65" s="30">
        <f>STORAGE_BALANCE_ENSEMBLE!Q66</f>
        <v>0</v>
      </c>
      <c r="H65" s="30">
        <f>STORAGE_BALANCE_ENSEMBLE!O66</f>
        <v>19479003.871592112</v>
      </c>
      <c r="I65" s="18">
        <f>IF(STORAGE_BALANCE_ENSEMBLE!R66&lt;&gt;1,"",1)</f>
        <v>1</v>
      </c>
      <c r="J65" s="8">
        <f t="shared" si="1"/>
        <v>0</v>
      </c>
      <c r="K65" s="9">
        <f t="shared" si="2"/>
        <v>0</v>
      </c>
      <c r="L65" s="10">
        <f t="shared" si="3"/>
        <v>0</v>
      </c>
      <c r="M65" s="10">
        <f>IF(I65&lt;&gt;1,"",IF(H65="","",H65/CONTROL_PANEL!$B$11))</f>
        <v>0.38958007743184225</v>
      </c>
      <c r="N65" s="9">
        <f t="shared" si="4"/>
        <v>0</v>
      </c>
      <c r="O65" s="9">
        <f t="shared" si="5"/>
        <v>0</v>
      </c>
      <c r="P65" s="9">
        <f t="shared" si="6"/>
        <v>0</v>
      </c>
      <c r="Q65" s="9">
        <f t="shared" si="7"/>
        <v>0</v>
      </c>
      <c r="R65" s="11"/>
      <c r="S65" s="11" t="str">
        <f t="shared" si="8"/>
        <v>PASS</v>
      </c>
    </row>
    <row r="66" spans="1:19" x14ac:dyDescent="0.25">
      <c r="A66" s="30" t="s">
        <v>96</v>
      </c>
      <c r="B66" s="31">
        <v>44166</v>
      </c>
      <c r="C66" s="30">
        <f>YEAR(BInputReservoir[[#This Row],[Date]])</f>
        <v>2020</v>
      </c>
      <c r="D66" s="30">
        <f>MONTH(BInputReservoir[[#This Row],[Date]])</f>
        <v>12</v>
      </c>
      <c r="E66" s="30">
        <f>IF(I66&lt;&gt;1,"",DATA_INPUT!$K67)</f>
        <v>0</v>
      </c>
      <c r="F66" s="30">
        <f>STORAGE_BALANCE_ENSEMBLE!P67</f>
        <v>0</v>
      </c>
      <c r="G66" s="30">
        <f>STORAGE_BALANCE_ENSEMBLE!Q67</f>
        <v>0</v>
      </c>
      <c r="H66" s="30">
        <f>STORAGE_BALANCE_ENSEMBLE!O67</f>
        <v>21086296.94045306</v>
      </c>
      <c r="I66" s="18">
        <f>IF(STORAGE_BALANCE_ENSEMBLE!R67&lt;&gt;1,"",1)</f>
        <v>1</v>
      </c>
      <c r="J66" s="8">
        <f t="shared" si="1"/>
        <v>0</v>
      </c>
      <c r="K66" s="9">
        <f t="shared" si="2"/>
        <v>0</v>
      </c>
      <c r="L66" s="10">
        <f t="shared" si="3"/>
        <v>0</v>
      </c>
      <c r="M66" s="10">
        <f>IF(I66&lt;&gt;1,"",IF(H66="","",H66/CONTROL_PANEL!$B$11))</f>
        <v>0.42172593880906117</v>
      </c>
      <c r="N66" s="9">
        <f t="shared" si="4"/>
        <v>0</v>
      </c>
      <c r="O66" s="9">
        <f t="shared" si="5"/>
        <v>0</v>
      </c>
      <c r="P66" s="9">
        <f t="shared" si="6"/>
        <v>0</v>
      </c>
      <c r="Q66" s="9">
        <f t="shared" si="7"/>
        <v>0</v>
      </c>
      <c r="R66" s="11"/>
      <c r="S66" s="11" t="str">
        <f t="shared" si="8"/>
        <v>PASS</v>
      </c>
    </row>
    <row r="67" spans="1:19" x14ac:dyDescent="0.25">
      <c r="A67" s="30" t="s">
        <v>96</v>
      </c>
      <c r="B67" s="31">
        <v>44197</v>
      </c>
      <c r="C67" s="30">
        <f>YEAR(BInputReservoir[[#This Row],[Date]])</f>
        <v>2021</v>
      </c>
      <c r="D67" s="30">
        <f>MONTH(BInputReservoir[[#This Row],[Date]])</f>
        <v>1</v>
      </c>
      <c r="E67" s="30">
        <f>IF(I67&lt;&gt;1,"",DATA_INPUT!$K68)</f>
        <v>0</v>
      </c>
      <c r="F67" s="30">
        <f>STORAGE_BALANCE_ENSEMBLE!P68</f>
        <v>0</v>
      </c>
      <c r="G67" s="30">
        <f>STORAGE_BALANCE_ENSEMBLE!Q68</f>
        <v>0</v>
      </c>
      <c r="H67" s="30">
        <f>STORAGE_BALANCE_ENSEMBLE!O68</f>
        <v>26785351.143592376</v>
      </c>
      <c r="I67" s="18">
        <f>IF(STORAGE_BALANCE_ENSEMBLE!R68&lt;&gt;1,"",1)</f>
        <v>1</v>
      </c>
      <c r="J67" s="8">
        <f t="shared" si="1"/>
        <v>0</v>
      </c>
      <c r="K67" s="9">
        <f t="shared" si="2"/>
        <v>0</v>
      </c>
      <c r="L67" s="10">
        <f t="shared" si="3"/>
        <v>0</v>
      </c>
      <c r="M67" s="10">
        <f>IF(I67&lt;&gt;1,"",IF(H67="","",H67/CONTROL_PANEL!$B$11))</f>
        <v>0.53570702287184757</v>
      </c>
      <c r="N67" s="9">
        <f t="shared" si="4"/>
        <v>0</v>
      </c>
      <c r="O67" s="9">
        <f t="shared" si="5"/>
        <v>0</v>
      </c>
      <c r="P67" s="9">
        <f t="shared" si="6"/>
        <v>0</v>
      </c>
      <c r="Q67" s="9">
        <f t="shared" si="7"/>
        <v>0</v>
      </c>
      <c r="R67" s="11"/>
      <c r="S67" s="11" t="str">
        <f t="shared" si="8"/>
        <v>PASS</v>
      </c>
    </row>
    <row r="68" spans="1:19" x14ac:dyDescent="0.25">
      <c r="A68" s="30" t="s">
        <v>96</v>
      </c>
      <c r="B68" s="31">
        <v>44228</v>
      </c>
      <c r="C68" s="30">
        <f>YEAR(BInputReservoir[[#This Row],[Date]])</f>
        <v>2021</v>
      </c>
      <c r="D68" s="30">
        <f>MONTH(BInputReservoir[[#This Row],[Date]])</f>
        <v>2</v>
      </c>
      <c r="E68" s="30">
        <f>IF(I68&lt;&gt;1,"",DATA_INPUT!$K69)</f>
        <v>0</v>
      </c>
      <c r="F68" s="30">
        <f>STORAGE_BALANCE_ENSEMBLE!P69</f>
        <v>0</v>
      </c>
      <c r="G68" s="30">
        <f>STORAGE_BALANCE_ENSEMBLE!Q69</f>
        <v>0</v>
      </c>
      <c r="H68" s="30">
        <f>STORAGE_BALANCE_ENSEMBLE!O69</f>
        <v>28574446.989734247</v>
      </c>
      <c r="I68" s="18">
        <f>IF(STORAGE_BALANCE_ENSEMBLE!R69&lt;&gt;1,"",1)</f>
        <v>1</v>
      </c>
      <c r="J68" s="8">
        <f t="shared" si="1"/>
        <v>0</v>
      </c>
      <c r="K68" s="9">
        <f t="shared" si="2"/>
        <v>0</v>
      </c>
      <c r="L68" s="10">
        <f t="shared" si="3"/>
        <v>0</v>
      </c>
      <c r="M68" s="10">
        <f>IF(I68&lt;&gt;1,"",IF(H68="","",H68/CONTROL_PANEL!$B$11))</f>
        <v>0.57148893979468496</v>
      </c>
      <c r="N68" s="9">
        <f t="shared" si="4"/>
        <v>0</v>
      </c>
      <c r="O68" s="9">
        <f t="shared" si="5"/>
        <v>0</v>
      </c>
      <c r="P68" s="9">
        <f t="shared" si="6"/>
        <v>0</v>
      </c>
      <c r="Q68" s="9">
        <f t="shared" si="7"/>
        <v>0</v>
      </c>
      <c r="R68" s="11"/>
      <c r="S68" s="11" t="str">
        <f t="shared" si="8"/>
        <v>PASS</v>
      </c>
    </row>
    <row r="69" spans="1:19" x14ac:dyDescent="0.25">
      <c r="A69" s="30" t="s">
        <v>96</v>
      </c>
      <c r="B69" s="31">
        <v>44256</v>
      </c>
      <c r="C69" s="30">
        <f>YEAR(BInputReservoir[[#This Row],[Date]])</f>
        <v>2021</v>
      </c>
      <c r="D69" s="30">
        <f>MONTH(BInputReservoir[[#This Row],[Date]])</f>
        <v>3</v>
      </c>
      <c r="E69" s="30">
        <f>IF(I69&lt;&gt;1,"",DATA_INPUT!$K70)</f>
        <v>0</v>
      </c>
      <c r="F69" s="30">
        <f>STORAGE_BALANCE_ENSEMBLE!P70</f>
        <v>0</v>
      </c>
      <c r="G69" s="30">
        <f>STORAGE_BALANCE_ENSEMBLE!Q70</f>
        <v>0</v>
      </c>
      <c r="H69" s="30">
        <f>STORAGE_BALANCE_ENSEMBLE!O70</f>
        <v>28737270.406054705</v>
      </c>
      <c r="I69" s="18">
        <f>IF(STORAGE_BALANCE_ENSEMBLE!R70&lt;&gt;1,"",1)</f>
        <v>1</v>
      </c>
      <c r="J69" s="8">
        <f t="shared" ref="J69:J132" si="9">IF(I69&lt;&gt;1,"",IF(E69="","",MAX(0,E69-G69)))</f>
        <v>0</v>
      </c>
      <c r="K69" s="9">
        <f t="shared" ref="K69:K132" si="10">IF(I69&lt;&gt;1,"",IF(OR(G69="",E69=""),"",IF(G69&gt;0,1,0)))</f>
        <v>0</v>
      </c>
      <c r="L69" s="10">
        <f t="shared" ref="L69:L132" si="11">IF(I69&lt;&gt;1,"",IF(AND(K69=1,E69&gt;0),G69/E69,0))</f>
        <v>0</v>
      </c>
      <c r="M69" s="10">
        <f>IF(I69&lt;&gt;1,"",IF(H69="","",H69/CONTROL_PANEL!$B$11))</f>
        <v>0.57474540812109409</v>
      </c>
      <c r="N69" s="9">
        <f t="shared" ref="N69:N132" si="12">IF(I69&lt;&gt;1,"",IF(AND(K69=1,A70=A69),1,0))</f>
        <v>0</v>
      </c>
      <c r="O69" s="9">
        <f t="shared" ref="O69:O132" si="13">IF(I69&lt;&gt;1,"",IF(AND(K69=1,A70=A69,K70=0),1,0))</f>
        <v>0</v>
      </c>
      <c r="P69" s="9">
        <f t="shared" ref="P69:P132" si="14">IF(I69&lt;&gt;1,"",IF(F69&gt;0,1,0))</f>
        <v>0</v>
      </c>
      <c r="Q69" s="9">
        <f t="shared" ref="Q69:Q132" si="15">IF(I69&lt;&gt;1,"",IF(G69&gt;0,1,0))</f>
        <v>0</v>
      </c>
      <c r="R69" s="11"/>
      <c r="S69" s="11" t="str">
        <f t="shared" ref="S69:S132" si="16">IF(COUNTA(A69:H69)=0,"",IF(OR(A69="",C69="",D69=""),"ERROR: missing key fields","PASS"))</f>
        <v>PASS</v>
      </c>
    </row>
    <row r="70" spans="1:19" x14ac:dyDescent="0.25">
      <c r="A70" s="30" t="s">
        <v>96</v>
      </c>
      <c r="B70" s="31">
        <v>44287</v>
      </c>
      <c r="C70" s="30">
        <f>YEAR(BInputReservoir[[#This Row],[Date]])</f>
        <v>2021</v>
      </c>
      <c r="D70" s="30">
        <f>MONTH(BInputReservoir[[#This Row],[Date]])</f>
        <v>4</v>
      </c>
      <c r="E70" s="30">
        <f>IF(I70&lt;&gt;1,"",DATA_INPUT!$K71)</f>
        <v>190892.15805974739</v>
      </c>
      <c r="F70" s="30">
        <f>STORAGE_BALANCE_ENSEMBLE!P71</f>
        <v>0</v>
      </c>
      <c r="G70" s="30">
        <f>STORAGE_BALANCE_ENSEMBLE!Q71</f>
        <v>0</v>
      </c>
      <c r="H70" s="30">
        <f>STORAGE_BALANCE_ENSEMBLE!O71</f>
        <v>28576165.883130576</v>
      </c>
      <c r="I70" s="18">
        <f>IF(STORAGE_BALANCE_ENSEMBLE!R71&lt;&gt;1,"",1)</f>
        <v>1</v>
      </c>
      <c r="J70" s="8">
        <f t="shared" si="9"/>
        <v>190892.15805974739</v>
      </c>
      <c r="K70" s="9">
        <f t="shared" si="10"/>
        <v>0</v>
      </c>
      <c r="L70" s="10">
        <f t="shared" si="11"/>
        <v>0</v>
      </c>
      <c r="M70" s="10">
        <f>IF(I70&lt;&gt;1,"",IF(H70="","",H70/CONTROL_PANEL!$B$11))</f>
        <v>0.57152331766261155</v>
      </c>
      <c r="N70" s="9">
        <f t="shared" si="12"/>
        <v>0</v>
      </c>
      <c r="O70" s="9">
        <f t="shared" si="13"/>
        <v>0</v>
      </c>
      <c r="P70" s="9">
        <f t="shared" si="14"/>
        <v>0</v>
      </c>
      <c r="Q70" s="9">
        <f t="shared" si="15"/>
        <v>0</v>
      </c>
      <c r="R70" s="11"/>
      <c r="S70" s="11" t="str">
        <f t="shared" si="16"/>
        <v>PASS</v>
      </c>
    </row>
    <row r="71" spans="1:19" x14ac:dyDescent="0.25">
      <c r="A71" s="30" t="s">
        <v>96</v>
      </c>
      <c r="B71" s="31">
        <v>44317</v>
      </c>
      <c r="C71" s="30">
        <f>YEAR(BInputReservoir[[#This Row],[Date]])</f>
        <v>2021</v>
      </c>
      <c r="D71" s="30">
        <f>MONTH(BInputReservoir[[#This Row],[Date]])</f>
        <v>5</v>
      </c>
      <c r="E71" s="30">
        <f>IF(I71&lt;&gt;1,"",DATA_INPUT!$K72)</f>
        <v>377993.31364794727</v>
      </c>
      <c r="F71" s="30">
        <f>STORAGE_BALANCE_ENSEMBLE!P72</f>
        <v>0</v>
      </c>
      <c r="G71" s="30">
        <f>STORAGE_BALANCE_ENSEMBLE!Q72</f>
        <v>0</v>
      </c>
      <c r="H71" s="30">
        <f>STORAGE_BALANCE_ENSEMBLE!O72</f>
        <v>27875652.777909644</v>
      </c>
      <c r="I71" s="18">
        <f>IF(STORAGE_BALANCE_ENSEMBLE!R72&lt;&gt;1,"",1)</f>
        <v>1</v>
      </c>
      <c r="J71" s="8">
        <f t="shared" si="9"/>
        <v>377993.31364794727</v>
      </c>
      <c r="K71" s="9">
        <f t="shared" si="10"/>
        <v>0</v>
      </c>
      <c r="L71" s="10">
        <f t="shared" si="11"/>
        <v>0</v>
      </c>
      <c r="M71" s="10">
        <f>IF(I71&lt;&gt;1,"",IF(H71="","",H71/CONTROL_PANEL!$B$11))</f>
        <v>0.55751305555819286</v>
      </c>
      <c r="N71" s="9">
        <f t="shared" si="12"/>
        <v>0</v>
      </c>
      <c r="O71" s="9">
        <f t="shared" si="13"/>
        <v>0</v>
      </c>
      <c r="P71" s="9">
        <f t="shared" si="14"/>
        <v>0</v>
      </c>
      <c r="Q71" s="9">
        <f t="shared" si="15"/>
        <v>0</v>
      </c>
      <c r="R71" s="11"/>
      <c r="S71" s="11" t="str">
        <f t="shared" si="16"/>
        <v>PASS</v>
      </c>
    </row>
    <row r="72" spans="1:19" x14ac:dyDescent="0.25">
      <c r="A72" s="30" t="s">
        <v>96</v>
      </c>
      <c r="B72" s="31">
        <v>44348</v>
      </c>
      <c r="C72" s="30">
        <f>YEAR(BInputReservoir[[#This Row],[Date]])</f>
        <v>2021</v>
      </c>
      <c r="D72" s="30">
        <f>MONTH(BInputReservoir[[#This Row],[Date]])</f>
        <v>6</v>
      </c>
      <c r="E72" s="30">
        <f>IF(I72&lt;&gt;1,"",DATA_INPUT!$K73)</f>
        <v>936484.09994898271</v>
      </c>
      <c r="F72" s="30">
        <f>STORAGE_BALANCE_ENSEMBLE!P73</f>
        <v>0</v>
      </c>
      <c r="G72" s="30">
        <f>STORAGE_BALANCE_ENSEMBLE!Q73</f>
        <v>0</v>
      </c>
      <c r="H72" s="30">
        <f>STORAGE_BALANCE_ENSEMBLE!O73</f>
        <v>26456558.528608788</v>
      </c>
      <c r="I72" s="18">
        <f>IF(STORAGE_BALANCE_ENSEMBLE!R73&lt;&gt;1,"",1)</f>
        <v>1</v>
      </c>
      <c r="J72" s="8">
        <f t="shared" si="9"/>
        <v>936484.09994898271</v>
      </c>
      <c r="K72" s="9">
        <f t="shared" si="10"/>
        <v>0</v>
      </c>
      <c r="L72" s="10">
        <f t="shared" si="11"/>
        <v>0</v>
      </c>
      <c r="M72" s="10">
        <f>IF(I72&lt;&gt;1,"",IF(H72="","",H72/CONTROL_PANEL!$B$11))</f>
        <v>0.52913117057217574</v>
      </c>
      <c r="N72" s="9">
        <f t="shared" si="12"/>
        <v>0</v>
      </c>
      <c r="O72" s="9">
        <f t="shared" si="13"/>
        <v>0</v>
      </c>
      <c r="P72" s="9">
        <f t="shared" si="14"/>
        <v>0</v>
      </c>
      <c r="Q72" s="9">
        <f t="shared" si="15"/>
        <v>0</v>
      </c>
      <c r="R72" s="11"/>
      <c r="S72" s="11" t="str">
        <f t="shared" si="16"/>
        <v>PASS</v>
      </c>
    </row>
    <row r="73" spans="1:19" x14ac:dyDescent="0.25">
      <c r="A73" s="30" t="s">
        <v>96</v>
      </c>
      <c r="B73" s="31">
        <v>44378</v>
      </c>
      <c r="C73" s="30">
        <f>YEAR(BInputReservoir[[#This Row],[Date]])</f>
        <v>2021</v>
      </c>
      <c r="D73" s="30">
        <f>MONTH(BInputReservoir[[#This Row],[Date]])</f>
        <v>7</v>
      </c>
      <c r="E73" s="30">
        <f>IF(I73&lt;&gt;1,"",DATA_INPUT!$K74)</f>
        <v>1788244.7327200931</v>
      </c>
      <c r="F73" s="30">
        <f>STORAGE_BALANCE_ENSEMBLE!P74</f>
        <v>0</v>
      </c>
      <c r="G73" s="30">
        <f>STORAGE_BALANCE_ENSEMBLE!Q74</f>
        <v>0</v>
      </c>
      <c r="H73" s="30">
        <f>STORAGE_BALANCE_ENSEMBLE!O74</f>
        <v>24149277.969735954</v>
      </c>
      <c r="I73" s="18">
        <f>IF(STORAGE_BALANCE_ENSEMBLE!R74&lt;&gt;1,"",1)</f>
        <v>1</v>
      </c>
      <c r="J73" s="8">
        <f t="shared" si="9"/>
        <v>1788244.7327200931</v>
      </c>
      <c r="K73" s="9">
        <f t="shared" si="10"/>
        <v>0</v>
      </c>
      <c r="L73" s="10">
        <f t="shared" si="11"/>
        <v>0</v>
      </c>
      <c r="M73" s="10">
        <f>IF(I73&lt;&gt;1,"",IF(H73="","",H73/CONTROL_PANEL!$B$11))</f>
        <v>0.4829855593947191</v>
      </c>
      <c r="N73" s="9">
        <f t="shared" si="12"/>
        <v>0</v>
      </c>
      <c r="O73" s="9">
        <f t="shared" si="13"/>
        <v>0</v>
      </c>
      <c r="P73" s="9">
        <f t="shared" si="14"/>
        <v>0</v>
      </c>
      <c r="Q73" s="9">
        <f t="shared" si="15"/>
        <v>0</v>
      </c>
      <c r="R73" s="11"/>
      <c r="S73" s="11" t="str">
        <f t="shared" si="16"/>
        <v>PASS</v>
      </c>
    </row>
    <row r="74" spans="1:19" x14ac:dyDescent="0.25">
      <c r="A74" s="30" t="s">
        <v>96</v>
      </c>
      <c r="B74" s="31">
        <v>44409</v>
      </c>
      <c r="C74" s="30">
        <f>YEAR(BInputReservoir[[#This Row],[Date]])</f>
        <v>2021</v>
      </c>
      <c r="D74" s="30">
        <f>MONTH(BInputReservoir[[#This Row],[Date]])</f>
        <v>8</v>
      </c>
      <c r="E74" s="30">
        <f>IF(I74&lt;&gt;1,"",DATA_INPUT!$K75)</f>
        <v>1948934.2533351767</v>
      </c>
      <c r="F74" s="30">
        <f>STORAGE_BALANCE_ENSEMBLE!P75</f>
        <v>0</v>
      </c>
      <c r="G74" s="30">
        <f>STORAGE_BALANCE_ENSEMBLE!Q75</f>
        <v>0</v>
      </c>
      <c r="H74" s="30">
        <f>STORAGE_BALANCE_ENSEMBLE!O75</f>
        <v>21734504.529901318</v>
      </c>
      <c r="I74" s="18">
        <f>IF(STORAGE_BALANCE_ENSEMBLE!R75&lt;&gt;1,"",1)</f>
        <v>1</v>
      </c>
      <c r="J74" s="8">
        <f t="shared" si="9"/>
        <v>1948934.2533351767</v>
      </c>
      <c r="K74" s="9">
        <f t="shared" si="10"/>
        <v>0</v>
      </c>
      <c r="L74" s="10">
        <f t="shared" si="11"/>
        <v>0</v>
      </c>
      <c r="M74" s="10">
        <f>IF(I74&lt;&gt;1,"",IF(H74="","",H74/CONTROL_PANEL!$B$11))</f>
        <v>0.43469009059802638</v>
      </c>
      <c r="N74" s="9">
        <f t="shared" si="12"/>
        <v>0</v>
      </c>
      <c r="O74" s="9">
        <f t="shared" si="13"/>
        <v>0</v>
      </c>
      <c r="P74" s="9">
        <f t="shared" si="14"/>
        <v>0</v>
      </c>
      <c r="Q74" s="9">
        <f t="shared" si="15"/>
        <v>0</v>
      </c>
      <c r="R74" s="11"/>
      <c r="S74" s="11" t="str">
        <f t="shared" si="16"/>
        <v>PASS</v>
      </c>
    </row>
    <row r="75" spans="1:19" x14ac:dyDescent="0.25">
      <c r="A75" s="30" t="s">
        <v>96</v>
      </c>
      <c r="B75" s="31">
        <v>44440</v>
      </c>
      <c r="C75" s="30">
        <f>YEAR(BInputReservoir[[#This Row],[Date]])</f>
        <v>2021</v>
      </c>
      <c r="D75" s="30">
        <f>MONTH(BInputReservoir[[#This Row],[Date]])</f>
        <v>9</v>
      </c>
      <c r="E75" s="30">
        <f>IF(I75&lt;&gt;1,"",DATA_INPUT!$K76)</f>
        <v>451561.76028994092</v>
      </c>
      <c r="F75" s="30">
        <f>STORAGE_BALANCE_ENSEMBLE!P76</f>
        <v>0</v>
      </c>
      <c r="G75" s="30">
        <f>STORAGE_BALANCE_ENSEMBLE!Q76</f>
        <v>0</v>
      </c>
      <c r="H75" s="30">
        <f>STORAGE_BALANCE_ENSEMBLE!O76</f>
        <v>21179933.201598596</v>
      </c>
      <c r="I75" s="18">
        <f>IF(STORAGE_BALANCE_ENSEMBLE!R76&lt;&gt;1,"",1)</f>
        <v>1</v>
      </c>
      <c r="J75" s="8">
        <f t="shared" si="9"/>
        <v>451561.76028994092</v>
      </c>
      <c r="K75" s="9">
        <f t="shared" si="10"/>
        <v>0</v>
      </c>
      <c r="L75" s="10">
        <f t="shared" si="11"/>
        <v>0</v>
      </c>
      <c r="M75" s="10">
        <f>IF(I75&lt;&gt;1,"",IF(H75="","",H75/CONTROL_PANEL!$B$11))</f>
        <v>0.42359866403197194</v>
      </c>
      <c r="N75" s="9">
        <f t="shared" si="12"/>
        <v>0</v>
      </c>
      <c r="O75" s="9">
        <f t="shared" si="13"/>
        <v>0</v>
      </c>
      <c r="P75" s="9">
        <f t="shared" si="14"/>
        <v>0</v>
      </c>
      <c r="Q75" s="9">
        <f t="shared" si="15"/>
        <v>0</v>
      </c>
      <c r="R75" s="11"/>
      <c r="S75" s="11" t="str">
        <f t="shared" si="16"/>
        <v>PASS</v>
      </c>
    </row>
    <row r="76" spans="1:19" x14ac:dyDescent="0.25">
      <c r="A76" s="30" t="s">
        <v>96</v>
      </c>
      <c r="B76" s="31">
        <v>44470</v>
      </c>
      <c r="C76" s="30">
        <f>YEAR(BInputReservoir[[#This Row],[Date]])</f>
        <v>2021</v>
      </c>
      <c r="D76" s="30">
        <f>MONTH(BInputReservoir[[#This Row],[Date]])</f>
        <v>10</v>
      </c>
      <c r="E76" s="30">
        <f>IF(I76&lt;&gt;1,"",DATA_INPUT!$K77)</f>
        <v>177204.504631166</v>
      </c>
      <c r="F76" s="30">
        <f>STORAGE_BALANCE_ENSEMBLE!P77</f>
        <v>0</v>
      </c>
      <c r="G76" s="30">
        <f>STORAGE_BALANCE_ENSEMBLE!Q77</f>
        <v>0</v>
      </c>
      <c r="H76" s="30">
        <f>STORAGE_BALANCE_ENSEMBLE!O77</f>
        <v>21050924.264729518</v>
      </c>
      <c r="I76" s="18">
        <f>IF(STORAGE_BALANCE_ENSEMBLE!R77&lt;&gt;1,"",1)</f>
        <v>1</v>
      </c>
      <c r="J76" s="8">
        <f t="shared" si="9"/>
        <v>177204.504631166</v>
      </c>
      <c r="K76" s="9">
        <f t="shared" si="10"/>
        <v>0</v>
      </c>
      <c r="L76" s="10">
        <f t="shared" si="11"/>
        <v>0</v>
      </c>
      <c r="M76" s="10">
        <f>IF(I76&lt;&gt;1,"",IF(H76="","",H76/CONTROL_PANEL!$B$11))</f>
        <v>0.42101848529459035</v>
      </c>
      <c r="N76" s="9">
        <f t="shared" si="12"/>
        <v>0</v>
      </c>
      <c r="O76" s="9">
        <f t="shared" si="13"/>
        <v>0</v>
      </c>
      <c r="P76" s="9">
        <f t="shared" si="14"/>
        <v>0</v>
      </c>
      <c r="Q76" s="9">
        <f t="shared" si="15"/>
        <v>0</v>
      </c>
      <c r="R76" s="11"/>
      <c r="S76" s="11" t="str">
        <f t="shared" si="16"/>
        <v>PASS</v>
      </c>
    </row>
    <row r="77" spans="1:19" x14ac:dyDescent="0.25">
      <c r="A77" s="30" t="s">
        <v>96</v>
      </c>
      <c r="B77" s="31">
        <v>44501</v>
      </c>
      <c r="C77" s="30">
        <f>YEAR(BInputReservoir[[#This Row],[Date]])</f>
        <v>2021</v>
      </c>
      <c r="D77" s="30">
        <f>MONTH(BInputReservoir[[#This Row],[Date]])</f>
        <v>11</v>
      </c>
      <c r="E77" s="30">
        <f>IF(I77&lt;&gt;1,"",DATA_INPUT!$K78)</f>
        <v>0</v>
      </c>
      <c r="F77" s="30">
        <f>STORAGE_BALANCE_ENSEMBLE!P78</f>
        <v>0</v>
      </c>
      <c r="G77" s="30">
        <f>STORAGE_BALANCE_ENSEMBLE!Q78</f>
        <v>0</v>
      </c>
      <c r="H77" s="30">
        <f>STORAGE_BALANCE_ENSEMBLE!O78</f>
        <v>21017039.143531609</v>
      </c>
      <c r="I77" s="18">
        <f>IF(STORAGE_BALANCE_ENSEMBLE!R78&lt;&gt;1,"",1)</f>
        <v>1</v>
      </c>
      <c r="J77" s="8">
        <f t="shared" si="9"/>
        <v>0</v>
      </c>
      <c r="K77" s="9">
        <f t="shared" si="10"/>
        <v>0</v>
      </c>
      <c r="L77" s="10">
        <f t="shared" si="11"/>
        <v>0</v>
      </c>
      <c r="M77" s="10">
        <f>IF(I77&lt;&gt;1,"",IF(H77="","",H77/CONTROL_PANEL!$B$11))</f>
        <v>0.4203407828706322</v>
      </c>
      <c r="N77" s="9">
        <f t="shared" si="12"/>
        <v>0</v>
      </c>
      <c r="O77" s="9">
        <f t="shared" si="13"/>
        <v>0</v>
      </c>
      <c r="P77" s="9">
        <f t="shared" si="14"/>
        <v>0</v>
      </c>
      <c r="Q77" s="9">
        <f t="shared" si="15"/>
        <v>0</v>
      </c>
      <c r="R77" s="11"/>
      <c r="S77" s="11" t="str">
        <f t="shared" si="16"/>
        <v>PASS</v>
      </c>
    </row>
    <row r="78" spans="1:19" x14ac:dyDescent="0.25">
      <c r="A78" s="30" t="s">
        <v>96</v>
      </c>
      <c r="B78" s="31">
        <v>44531</v>
      </c>
      <c r="C78" s="30">
        <f>YEAR(BInputReservoir[[#This Row],[Date]])</f>
        <v>2021</v>
      </c>
      <c r="D78" s="30">
        <f>MONTH(BInputReservoir[[#This Row],[Date]])</f>
        <v>12</v>
      </c>
      <c r="E78" s="30">
        <f>IF(I78&lt;&gt;1,"",DATA_INPUT!$K79)</f>
        <v>0</v>
      </c>
      <c r="F78" s="30">
        <f>STORAGE_BALANCE_ENSEMBLE!P79</f>
        <v>0</v>
      </c>
      <c r="G78" s="30">
        <f>STORAGE_BALANCE_ENSEMBLE!Q79</f>
        <v>0</v>
      </c>
      <c r="H78" s="30">
        <f>STORAGE_BALANCE_ENSEMBLE!O79</f>
        <v>21166022.974092726</v>
      </c>
      <c r="I78" s="18">
        <f>IF(STORAGE_BALANCE_ENSEMBLE!R79&lt;&gt;1,"",1)</f>
        <v>1</v>
      </c>
      <c r="J78" s="8">
        <f t="shared" si="9"/>
        <v>0</v>
      </c>
      <c r="K78" s="9">
        <f t="shared" si="10"/>
        <v>0</v>
      </c>
      <c r="L78" s="10">
        <f t="shared" si="11"/>
        <v>0</v>
      </c>
      <c r="M78" s="10">
        <f>IF(I78&lt;&gt;1,"",IF(H78="","",H78/CONTROL_PANEL!$B$11))</f>
        <v>0.42332045948185454</v>
      </c>
      <c r="N78" s="9">
        <f t="shared" si="12"/>
        <v>0</v>
      </c>
      <c r="O78" s="9">
        <f t="shared" si="13"/>
        <v>0</v>
      </c>
      <c r="P78" s="9">
        <f t="shared" si="14"/>
        <v>0</v>
      </c>
      <c r="Q78" s="9">
        <f t="shared" si="15"/>
        <v>0</v>
      </c>
      <c r="R78" s="11"/>
      <c r="S78" s="11" t="str">
        <f t="shared" si="16"/>
        <v>PASS</v>
      </c>
    </row>
    <row r="79" spans="1:19" x14ac:dyDescent="0.25">
      <c r="A79" s="30" t="s">
        <v>96</v>
      </c>
      <c r="B79" s="31">
        <v>44562</v>
      </c>
      <c r="C79" s="30">
        <f>YEAR(BInputReservoir[[#This Row],[Date]])</f>
        <v>2022</v>
      </c>
      <c r="D79" s="30">
        <f>MONTH(BInputReservoir[[#This Row],[Date]])</f>
        <v>1</v>
      </c>
      <c r="E79" s="30">
        <f>IF(I79&lt;&gt;1,"",DATA_INPUT!$K80)</f>
        <v>0</v>
      </c>
      <c r="F79" s="30">
        <f>STORAGE_BALANCE_ENSEMBLE!P80</f>
        <v>0</v>
      </c>
      <c r="G79" s="30">
        <f>STORAGE_BALANCE_ENSEMBLE!Q80</f>
        <v>0</v>
      </c>
      <c r="H79" s="30">
        <f>STORAGE_BALANCE_ENSEMBLE!O80</f>
        <v>21104661.182198785</v>
      </c>
      <c r="I79" s="18">
        <f>IF(STORAGE_BALANCE_ENSEMBLE!R80&lt;&gt;1,"",1)</f>
        <v>1</v>
      </c>
      <c r="J79" s="8">
        <f t="shared" si="9"/>
        <v>0</v>
      </c>
      <c r="K79" s="9">
        <f t="shared" si="10"/>
        <v>0</v>
      </c>
      <c r="L79" s="10">
        <f t="shared" si="11"/>
        <v>0</v>
      </c>
      <c r="M79" s="10">
        <f>IF(I79&lt;&gt;1,"",IF(H79="","",H79/CONTROL_PANEL!$B$11))</f>
        <v>0.42209322364397572</v>
      </c>
      <c r="N79" s="9">
        <f t="shared" si="12"/>
        <v>0</v>
      </c>
      <c r="O79" s="9">
        <f t="shared" si="13"/>
        <v>0</v>
      </c>
      <c r="P79" s="9">
        <f t="shared" si="14"/>
        <v>0</v>
      </c>
      <c r="Q79" s="9">
        <f t="shared" si="15"/>
        <v>0</v>
      </c>
      <c r="R79" s="11"/>
      <c r="S79" s="11" t="str">
        <f t="shared" si="16"/>
        <v>PASS</v>
      </c>
    </row>
    <row r="80" spans="1:19" x14ac:dyDescent="0.25">
      <c r="A80" s="30" t="s">
        <v>96</v>
      </c>
      <c r="B80" s="31">
        <v>44593</v>
      </c>
      <c r="C80" s="30">
        <f>YEAR(BInputReservoir[[#This Row],[Date]])</f>
        <v>2022</v>
      </c>
      <c r="D80" s="30">
        <f>MONTH(BInputReservoir[[#This Row],[Date]])</f>
        <v>2</v>
      </c>
      <c r="E80" s="30">
        <f>IF(I80&lt;&gt;1,"",DATA_INPUT!$K81)</f>
        <v>0</v>
      </c>
      <c r="F80" s="30">
        <f>STORAGE_BALANCE_ENSEMBLE!P81</f>
        <v>0</v>
      </c>
      <c r="G80" s="30">
        <f>STORAGE_BALANCE_ENSEMBLE!Q81</f>
        <v>0</v>
      </c>
      <c r="H80" s="30">
        <f>STORAGE_BALANCE_ENSEMBLE!O81</f>
        <v>21248693.343820665</v>
      </c>
      <c r="I80" s="18">
        <f>IF(STORAGE_BALANCE_ENSEMBLE!R81&lt;&gt;1,"",1)</f>
        <v>1</v>
      </c>
      <c r="J80" s="8">
        <f t="shared" si="9"/>
        <v>0</v>
      </c>
      <c r="K80" s="9">
        <f t="shared" si="10"/>
        <v>0</v>
      </c>
      <c r="L80" s="10">
        <f t="shared" si="11"/>
        <v>0</v>
      </c>
      <c r="M80" s="10">
        <f>IF(I80&lt;&gt;1,"",IF(H80="","",H80/CONTROL_PANEL!$B$11))</f>
        <v>0.42497386687641331</v>
      </c>
      <c r="N80" s="9">
        <f t="shared" si="12"/>
        <v>0</v>
      </c>
      <c r="O80" s="9">
        <f t="shared" si="13"/>
        <v>0</v>
      </c>
      <c r="P80" s="9">
        <f t="shared" si="14"/>
        <v>0</v>
      </c>
      <c r="Q80" s="9">
        <f t="shared" si="15"/>
        <v>0</v>
      </c>
      <c r="R80" s="11"/>
      <c r="S80" s="11" t="str">
        <f t="shared" si="16"/>
        <v>PASS</v>
      </c>
    </row>
    <row r="81" spans="1:19" x14ac:dyDescent="0.25">
      <c r="A81" s="30" t="s">
        <v>96</v>
      </c>
      <c r="B81" s="31">
        <v>44621</v>
      </c>
      <c r="C81" s="30">
        <f>YEAR(BInputReservoir[[#This Row],[Date]])</f>
        <v>2022</v>
      </c>
      <c r="D81" s="30">
        <f>MONTH(BInputReservoir[[#This Row],[Date]])</f>
        <v>3</v>
      </c>
      <c r="E81" s="30">
        <f>IF(I81&lt;&gt;1,"",DATA_INPUT!$K82)</f>
        <v>0</v>
      </c>
      <c r="F81" s="30">
        <f>STORAGE_BALANCE_ENSEMBLE!P82</f>
        <v>0</v>
      </c>
      <c r="G81" s="30">
        <f>STORAGE_BALANCE_ENSEMBLE!Q82</f>
        <v>0</v>
      </c>
      <c r="H81" s="30">
        <f>STORAGE_BALANCE_ENSEMBLE!O82</f>
        <v>21579318.321952529</v>
      </c>
      <c r="I81" s="18">
        <f>IF(STORAGE_BALANCE_ENSEMBLE!R82&lt;&gt;1,"",1)</f>
        <v>1</v>
      </c>
      <c r="J81" s="8">
        <f t="shared" si="9"/>
        <v>0</v>
      </c>
      <c r="K81" s="9">
        <f t="shared" si="10"/>
        <v>0</v>
      </c>
      <c r="L81" s="10">
        <f t="shared" si="11"/>
        <v>0</v>
      </c>
      <c r="M81" s="10">
        <f>IF(I81&lt;&gt;1,"",IF(H81="","",H81/CONTROL_PANEL!$B$11))</f>
        <v>0.43158636643905057</v>
      </c>
      <c r="N81" s="9">
        <f t="shared" si="12"/>
        <v>0</v>
      </c>
      <c r="O81" s="9">
        <f t="shared" si="13"/>
        <v>0</v>
      </c>
      <c r="P81" s="9">
        <f t="shared" si="14"/>
        <v>0</v>
      </c>
      <c r="Q81" s="9">
        <f t="shared" si="15"/>
        <v>0</v>
      </c>
      <c r="R81" s="11"/>
      <c r="S81" s="11" t="str">
        <f t="shared" si="16"/>
        <v>PASS</v>
      </c>
    </row>
    <row r="82" spans="1:19" x14ac:dyDescent="0.25">
      <c r="A82" s="30" t="s">
        <v>96</v>
      </c>
      <c r="B82" s="31">
        <v>44652</v>
      </c>
      <c r="C82" s="30">
        <f>YEAR(BInputReservoir[[#This Row],[Date]])</f>
        <v>2022</v>
      </c>
      <c r="D82" s="30">
        <f>MONTH(BInputReservoir[[#This Row],[Date]])</f>
        <v>4</v>
      </c>
      <c r="E82" s="30">
        <f>IF(I82&lt;&gt;1,"",DATA_INPUT!$K83)</f>
        <v>106844.33390758678</v>
      </c>
      <c r="F82" s="30">
        <f>STORAGE_BALANCE_ENSEMBLE!P83</f>
        <v>0</v>
      </c>
      <c r="G82" s="30">
        <f>STORAGE_BALANCE_ENSEMBLE!Q83</f>
        <v>0</v>
      </c>
      <c r="H82" s="30">
        <f>STORAGE_BALANCE_ENSEMBLE!O83</f>
        <v>21401862.966089919</v>
      </c>
      <c r="I82" s="18">
        <f>IF(STORAGE_BALANCE_ENSEMBLE!R83&lt;&gt;1,"",1)</f>
        <v>1</v>
      </c>
      <c r="J82" s="8">
        <f t="shared" si="9"/>
        <v>106844.33390758678</v>
      </c>
      <c r="K82" s="9">
        <f t="shared" si="10"/>
        <v>0</v>
      </c>
      <c r="L82" s="10">
        <f t="shared" si="11"/>
        <v>0</v>
      </c>
      <c r="M82" s="10">
        <f>IF(I82&lt;&gt;1,"",IF(H82="","",H82/CONTROL_PANEL!$B$11))</f>
        <v>0.42803725932179837</v>
      </c>
      <c r="N82" s="9">
        <f t="shared" si="12"/>
        <v>0</v>
      </c>
      <c r="O82" s="9">
        <f t="shared" si="13"/>
        <v>0</v>
      </c>
      <c r="P82" s="9">
        <f t="shared" si="14"/>
        <v>0</v>
      </c>
      <c r="Q82" s="9">
        <f t="shared" si="15"/>
        <v>0</v>
      </c>
      <c r="R82" s="11"/>
      <c r="S82" s="11" t="str">
        <f t="shared" si="16"/>
        <v>PASS</v>
      </c>
    </row>
    <row r="83" spans="1:19" x14ac:dyDescent="0.25">
      <c r="A83" s="30" t="s">
        <v>96</v>
      </c>
      <c r="B83" s="31">
        <v>44682</v>
      </c>
      <c r="C83" s="30">
        <f>YEAR(BInputReservoir[[#This Row],[Date]])</f>
        <v>2022</v>
      </c>
      <c r="D83" s="30">
        <f>MONTH(BInputReservoir[[#This Row],[Date]])</f>
        <v>5</v>
      </c>
      <c r="E83" s="30">
        <f>IF(I83&lt;&gt;1,"",DATA_INPUT!$K84)</f>
        <v>799034.40804812929</v>
      </c>
      <c r="F83" s="30">
        <f>STORAGE_BALANCE_ENSEMBLE!P84</f>
        <v>0</v>
      </c>
      <c r="G83" s="30">
        <f>STORAGE_BALANCE_ENSEMBLE!Q84</f>
        <v>0</v>
      </c>
      <c r="H83" s="30">
        <f>STORAGE_BALANCE_ENSEMBLE!O84</f>
        <v>20252262.892800663</v>
      </c>
      <c r="I83" s="18">
        <f>IF(STORAGE_BALANCE_ENSEMBLE!R84&lt;&gt;1,"",1)</f>
        <v>1</v>
      </c>
      <c r="J83" s="8">
        <f t="shared" si="9"/>
        <v>799034.40804812929</v>
      </c>
      <c r="K83" s="9">
        <f t="shared" si="10"/>
        <v>0</v>
      </c>
      <c r="L83" s="10">
        <f t="shared" si="11"/>
        <v>0</v>
      </c>
      <c r="M83" s="10">
        <f>IF(I83&lt;&gt;1,"",IF(H83="","",H83/CONTROL_PANEL!$B$11))</f>
        <v>0.40504525785601325</v>
      </c>
      <c r="N83" s="9">
        <f t="shared" si="12"/>
        <v>0</v>
      </c>
      <c r="O83" s="9">
        <f t="shared" si="13"/>
        <v>0</v>
      </c>
      <c r="P83" s="9">
        <f t="shared" si="14"/>
        <v>0</v>
      </c>
      <c r="Q83" s="9">
        <f t="shared" si="15"/>
        <v>0</v>
      </c>
      <c r="R83" s="11"/>
      <c r="S83" s="11" t="str">
        <f t="shared" si="16"/>
        <v>PASS</v>
      </c>
    </row>
    <row r="84" spans="1:19" x14ac:dyDescent="0.25">
      <c r="A84" s="30" t="s">
        <v>96</v>
      </c>
      <c r="B84" s="31">
        <v>44713</v>
      </c>
      <c r="C84" s="30">
        <f>YEAR(BInputReservoir[[#This Row],[Date]])</f>
        <v>2022</v>
      </c>
      <c r="D84" s="30">
        <f>MONTH(BInputReservoir[[#This Row],[Date]])</f>
        <v>6</v>
      </c>
      <c r="E84" s="30">
        <f>IF(I84&lt;&gt;1,"",DATA_INPUT!$K85)</f>
        <v>1032226.7973317667</v>
      </c>
      <c r="F84" s="30">
        <f>STORAGE_BALANCE_ENSEMBLE!P85</f>
        <v>0</v>
      </c>
      <c r="G84" s="30">
        <f>STORAGE_BALANCE_ENSEMBLE!Q85</f>
        <v>0</v>
      </c>
      <c r="H84" s="30">
        <f>STORAGE_BALANCE_ENSEMBLE!O85</f>
        <v>18848380.348252624</v>
      </c>
      <c r="I84" s="18">
        <f>IF(STORAGE_BALANCE_ENSEMBLE!R85&lt;&gt;1,"",1)</f>
        <v>1</v>
      </c>
      <c r="J84" s="8">
        <f t="shared" si="9"/>
        <v>1032226.7973317667</v>
      </c>
      <c r="K84" s="9">
        <f t="shared" si="10"/>
        <v>0</v>
      </c>
      <c r="L84" s="10">
        <f t="shared" si="11"/>
        <v>0</v>
      </c>
      <c r="M84" s="10">
        <f>IF(I84&lt;&gt;1,"",IF(H84="","",H84/CONTROL_PANEL!$B$11))</f>
        <v>0.37696760696505249</v>
      </c>
      <c r="N84" s="9">
        <f t="shared" si="12"/>
        <v>0</v>
      </c>
      <c r="O84" s="9">
        <f t="shared" si="13"/>
        <v>0</v>
      </c>
      <c r="P84" s="9">
        <f t="shared" si="14"/>
        <v>0</v>
      </c>
      <c r="Q84" s="9">
        <f t="shared" si="15"/>
        <v>0</v>
      </c>
      <c r="R84" s="11"/>
      <c r="S84" s="11" t="str">
        <f t="shared" si="16"/>
        <v>PASS</v>
      </c>
    </row>
    <row r="85" spans="1:19" x14ac:dyDescent="0.25">
      <c r="A85" s="30" t="s">
        <v>96</v>
      </c>
      <c r="B85" s="31">
        <v>44743</v>
      </c>
      <c r="C85" s="30">
        <f>YEAR(BInputReservoir[[#This Row],[Date]])</f>
        <v>2022</v>
      </c>
      <c r="D85" s="30">
        <f>MONTH(BInputReservoir[[#This Row],[Date]])</f>
        <v>7</v>
      </c>
      <c r="E85" s="30">
        <f>IF(I85&lt;&gt;1,"",DATA_INPUT!$K86)</f>
        <v>2330216.2671388164</v>
      </c>
      <c r="F85" s="30">
        <f>STORAGE_BALANCE_ENSEMBLE!P86</f>
        <v>0</v>
      </c>
      <c r="G85" s="30">
        <f>STORAGE_BALANCE_ENSEMBLE!Q86</f>
        <v>0</v>
      </c>
      <c r="H85" s="30">
        <f>STORAGE_BALANCE_ENSEMBLE!O86</f>
        <v>16035935.447254747</v>
      </c>
      <c r="I85" s="18">
        <f>IF(STORAGE_BALANCE_ENSEMBLE!R86&lt;&gt;1,"",1)</f>
        <v>1</v>
      </c>
      <c r="J85" s="8">
        <f t="shared" si="9"/>
        <v>2330216.2671388164</v>
      </c>
      <c r="K85" s="9">
        <f t="shared" si="10"/>
        <v>0</v>
      </c>
      <c r="L85" s="10">
        <f t="shared" si="11"/>
        <v>0</v>
      </c>
      <c r="M85" s="10">
        <f>IF(I85&lt;&gt;1,"",IF(H85="","",H85/CONTROL_PANEL!$B$11))</f>
        <v>0.32071870894509497</v>
      </c>
      <c r="N85" s="9">
        <f t="shared" si="12"/>
        <v>0</v>
      </c>
      <c r="O85" s="9">
        <f t="shared" si="13"/>
        <v>0</v>
      </c>
      <c r="P85" s="9">
        <f t="shared" si="14"/>
        <v>0</v>
      </c>
      <c r="Q85" s="9">
        <f t="shared" si="15"/>
        <v>0</v>
      </c>
      <c r="R85" s="11"/>
      <c r="S85" s="11" t="str">
        <f t="shared" si="16"/>
        <v>PASS</v>
      </c>
    </row>
    <row r="86" spans="1:19" x14ac:dyDescent="0.25">
      <c r="A86" s="30" t="s">
        <v>96</v>
      </c>
      <c r="B86" s="31">
        <v>44774</v>
      </c>
      <c r="C86" s="30">
        <f>YEAR(BInputReservoir[[#This Row],[Date]])</f>
        <v>2022</v>
      </c>
      <c r="D86" s="30">
        <f>MONTH(BInputReservoir[[#This Row],[Date]])</f>
        <v>8</v>
      </c>
      <c r="E86" s="30">
        <f>IF(I86&lt;&gt;1,"",DATA_INPUT!$K87)</f>
        <v>1924504.0854197452</v>
      </c>
      <c r="F86" s="30">
        <f>STORAGE_BALANCE_ENSEMBLE!P87</f>
        <v>0</v>
      </c>
      <c r="G86" s="30">
        <f>STORAGE_BALANCE_ENSEMBLE!Q87</f>
        <v>0</v>
      </c>
      <c r="H86" s="30">
        <f>STORAGE_BALANCE_ENSEMBLE!O87</f>
        <v>13758982.327084536</v>
      </c>
      <c r="I86" s="18">
        <f>IF(STORAGE_BALANCE_ENSEMBLE!R87&lt;&gt;1,"",1)</f>
        <v>1</v>
      </c>
      <c r="J86" s="8">
        <f t="shared" si="9"/>
        <v>1924504.0854197452</v>
      </c>
      <c r="K86" s="9">
        <f t="shared" si="10"/>
        <v>0</v>
      </c>
      <c r="L86" s="10">
        <f t="shared" si="11"/>
        <v>0</v>
      </c>
      <c r="M86" s="10">
        <f>IF(I86&lt;&gt;1,"",IF(H86="","",H86/CONTROL_PANEL!$B$11))</f>
        <v>0.27517964654169069</v>
      </c>
      <c r="N86" s="9">
        <f t="shared" si="12"/>
        <v>0</v>
      </c>
      <c r="O86" s="9">
        <f t="shared" si="13"/>
        <v>0</v>
      </c>
      <c r="P86" s="9">
        <f t="shared" si="14"/>
        <v>0</v>
      </c>
      <c r="Q86" s="9">
        <f t="shared" si="15"/>
        <v>0</v>
      </c>
      <c r="R86" s="11"/>
      <c r="S86" s="11" t="str">
        <f t="shared" si="16"/>
        <v>PASS</v>
      </c>
    </row>
    <row r="87" spans="1:19" x14ac:dyDescent="0.25">
      <c r="A87" s="30" t="s">
        <v>96</v>
      </c>
      <c r="B87" s="31">
        <v>44805</v>
      </c>
      <c r="C87" s="30">
        <f>YEAR(BInputReservoir[[#This Row],[Date]])</f>
        <v>2022</v>
      </c>
      <c r="D87" s="30">
        <f>MONTH(BInputReservoir[[#This Row],[Date]])</f>
        <v>9</v>
      </c>
      <c r="E87" s="30">
        <f>IF(I87&lt;&gt;1,"",DATA_INPUT!$K88)</f>
        <v>432576.76892668096</v>
      </c>
      <c r="F87" s="30">
        <f>STORAGE_BALANCE_ENSEMBLE!P88</f>
        <v>0</v>
      </c>
      <c r="G87" s="30">
        <f>STORAGE_BALANCE_ENSEMBLE!Q88</f>
        <v>0</v>
      </c>
      <c r="H87" s="30">
        <f>STORAGE_BALANCE_ENSEMBLE!O88</f>
        <v>13259943.669529822</v>
      </c>
      <c r="I87" s="18">
        <f>IF(STORAGE_BALANCE_ENSEMBLE!R88&lt;&gt;1,"",1)</f>
        <v>1</v>
      </c>
      <c r="J87" s="8">
        <f t="shared" si="9"/>
        <v>432576.76892668096</v>
      </c>
      <c r="K87" s="9">
        <f t="shared" si="10"/>
        <v>0</v>
      </c>
      <c r="L87" s="10">
        <f t="shared" si="11"/>
        <v>0</v>
      </c>
      <c r="M87" s="10">
        <f>IF(I87&lt;&gt;1,"",IF(H87="","",H87/CONTROL_PANEL!$B$11))</f>
        <v>0.26519887339059645</v>
      </c>
      <c r="N87" s="9">
        <f t="shared" si="12"/>
        <v>0</v>
      </c>
      <c r="O87" s="9">
        <f t="shared" si="13"/>
        <v>0</v>
      </c>
      <c r="P87" s="9">
        <f t="shared" si="14"/>
        <v>0</v>
      </c>
      <c r="Q87" s="9">
        <f t="shared" si="15"/>
        <v>0</v>
      </c>
      <c r="R87" s="11"/>
      <c r="S87" s="11" t="str">
        <f t="shared" si="16"/>
        <v>PASS</v>
      </c>
    </row>
    <row r="88" spans="1:19" x14ac:dyDescent="0.25">
      <c r="A88" s="30" t="s">
        <v>96</v>
      </c>
      <c r="B88" s="31">
        <v>44835</v>
      </c>
      <c r="C88" s="30">
        <f>YEAR(BInputReservoir[[#This Row],[Date]])</f>
        <v>2022</v>
      </c>
      <c r="D88" s="30">
        <f>MONTH(BInputReservoir[[#This Row],[Date]])</f>
        <v>10</v>
      </c>
      <c r="E88" s="30">
        <f>IF(I88&lt;&gt;1,"",DATA_INPUT!$K89)</f>
        <v>173153.55434042486</v>
      </c>
      <c r="F88" s="30">
        <f>STORAGE_BALANCE_ENSEMBLE!P89</f>
        <v>0</v>
      </c>
      <c r="G88" s="30">
        <f>STORAGE_BALANCE_ENSEMBLE!Q89</f>
        <v>0</v>
      </c>
      <c r="H88" s="30">
        <f>STORAGE_BALANCE_ENSEMBLE!O89</f>
        <v>13094677.081092594</v>
      </c>
      <c r="I88" s="18">
        <f>IF(STORAGE_BALANCE_ENSEMBLE!R89&lt;&gt;1,"",1)</f>
        <v>1</v>
      </c>
      <c r="J88" s="8">
        <f t="shared" si="9"/>
        <v>173153.55434042486</v>
      </c>
      <c r="K88" s="9">
        <f t="shared" si="10"/>
        <v>0</v>
      </c>
      <c r="L88" s="10">
        <f t="shared" si="11"/>
        <v>0</v>
      </c>
      <c r="M88" s="10">
        <f>IF(I88&lt;&gt;1,"",IF(H88="","",H88/CONTROL_PANEL!$B$11))</f>
        <v>0.26189354162185191</v>
      </c>
      <c r="N88" s="9">
        <f t="shared" si="12"/>
        <v>0</v>
      </c>
      <c r="O88" s="9">
        <f t="shared" si="13"/>
        <v>0</v>
      </c>
      <c r="P88" s="9">
        <f t="shared" si="14"/>
        <v>0</v>
      </c>
      <c r="Q88" s="9">
        <f t="shared" si="15"/>
        <v>0</v>
      </c>
      <c r="R88" s="11"/>
      <c r="S88" s="11" t="str">
        <f t="shared" si="16"/>
        <v>PASS</v>
      </c>
    </row>
    <row r="89" spans="1:19" x14ac:dyDescent="0.25">
      <c r="A89" s="30" t="s">
        <v>96</v>
      </c>
      <c r="B89" s="31">
        <v>44866</v>
      </c>
      <c r="C89" s="30">
        <f>YEAR(BInputReservoir[[#This Row],[Date]])</f>
        <v>2022</v>
      </c>
      <c r="D89" s="30">
        <f>MONTH(BInputReservoir[[#This Row],[Date]])</f>
        <v>11</v>
      </c>
      <c r="E89" s="30">
        <f>IF(I89&lt;&gt;1,"",DATA_INPUT!$K90)</f>
        <v>0</v>
      </c>
      <c r="F89" s="30">
        <f>STORAGE_BALANCE_ENSEMBLE!P90</f>
        <v>0</v>
      </c>
      <c r="G89" s="30">
        <f>STORAGE_BALANCE_ENSEMBLE!Q90</f>
        <v>0</v>
      </c>
      <c r="H89" s="30">
        <f>STORAGE_BALANCE_ENSEMBLE!O90</f>
        <v>17167212.232113287</v>
      </c>
      <c r="I89" s="18">
        <f>IF(STORAGE_BALANCE_ENSEMBLE!R90&lt;&gt;1,"",1)</f>
        <v>1</v>
      </c>
      <c r="J89" s="8">
        <f t="shared" si="9"/>
        <v>0</v>
      </c>
      <c r="K89" s="9">
        <f t="shared" si="10"/>
        <v>0</v>
      </c>
      <c r="L89" s="10">
        <f t="shared" si="11"/>
        <v>0</v>
      </c>
      <c r="M89" s="10">
        <f>IF(I89&lt;&gt;1,"",IF(H89="","",H89/CONTROL_PANEL!$B$11))</f>
        <v>0.34334424464226576</v>
      </c>
      <c r="N89" s="9">
        <f t="shared" si="12"/>
        <v>0</v>
      </c>
      <c r="O89" s="9">
        <f t="shared" si="13"/>
        <v>0</v>
      </c>
      <c r="P89" s="9">
        <f t="shared" si="14"/>
        <v>0</v>
      </c>
      <c r="Q89" s="9">
        <f t="shared" si="15"/>
        <v>0</v>
      </c>
      <c r="R89" s="11"/>
      <c r="S89" s="11" t="str">
        <f t="shared" si="16"/>
        <v>PASS</v>
      </c>
    </row>
    <row r="90" spans="1:19" x14ac:dyDescent="0.25">
      <c r="A90" s="30" t="s">
        <v>96</v>
      </c>
      <c r="B90" s="31">
        <v>44896</v>
      </c>
      <c r="C90" s="30">
        <f>YEAR(BInputReservoir[[#This Row],[Date]])</f>
        <v>2022</v>
      </c>
      <c r="D90" s="30">
        <f>MONTH(BInputReservoir[[#This Row],[Date]])</f>
        <v>12</v>
      </c>
      <c r="E90" s="30">
        <f>IF(I90&lt;&gt;1,"",DATA_INPUT!$K91)</f>
        <v>0</v>
      </c>
      <c r="F90" s="30">
        <f>STORAGE_BALANCE_ENSEMBLE!P91</f>
        <v>0</v>
      </c>
      <c r="G90" s="30">
        <f>STORAGE_BALANCE_ENSEMBLE!Q91</f>
        <v>0</v>
      </c>
      <c r="H90" s="30">
        <f>STORAGE_BALANCE_ENSEMBLE!O91</f>
        <v>19026957.181923255</v>
      </c>
      <c r="I90" s="18">
        <f>IF(STORAGE_BALANCE_ENSEMBLE!R91&lt;&gt;1,"",1)</f>
        <v>1</v>
      </c>
      <c r="J90" s="8">
        <f t="shared" si="9"/>
        <v>0</v>
      </c>
      <c r="K90" s="9">
        <f t="shared" si="10"/>
        <v>0</v>
      </c>
      <c r="L90" s="10">
        <f t="shared" si="11"/>
        <v>0</v>
      </c>
      <c r="M90" s="10">
        <f>IF(I90&lt;&gt;1,"",IF(H90="","",H90/CONTROL_PANEL!$B$11))</f>
        <v>0.38053914363846508</v>
      </c>
      <c r="N90" s="9">
        <f t="shared" si="12"/>
        <v>0</v>
      </c>
      <c r="O90" s="9">
        <f t="shared" si="13"/>
        <v>0</v>
      </c>
      <c r="P90" s="9">
        <f t="shared" si="14"/>
        <v>0</v>
      </c>
      <c r="Q90" s="9">
        <f t="shared" si="15"/>
        <v>0</v>
      </c>
      <c r="R90" s="11"/>
      <c r="S90" s="11" t="str">
        <f t="shared" si="16"/>
        <v>PASS</v>
      </c>
    </row>
    <row r="91" spans="1:19" x14ac:dyDescent="0.25">
      <c r="A91" s="30" t="s">
        <v>96</v>
      </c>
      <c r="B91" s="31">
        <v>44927</v>
      </c>
      <c r="C91" s="30">
        <f>YEAR(BInputReservoir[[#This Row],[Date]])</f>
        <v>2023</v>
      </c>
      <c r="D91" s="30">
        <f>MONTH(BInputReservoir[[#This Row],[Date]])</f>
        <v>1</v>
      </c>
      <c r="E91" s="30">
        <f>IF(I91&lt;&gt;1,"",DATA_INPUT!$K92)</f>
        <v>0</v>
      </c>
      <c r="F91" s="30">
        <f>STORAGE_BALANCE_ENSEMBLE!P92</f>
        <v>0</v>
      </c>
      <c r="G91" s="30">
        <f>STORAGE_BALANCE_ENSEMBLE!Q92</f>
        <v>0</v>
      </c>
      <c r="H91" s="30">
        <f>STORAGE_BALANCE_ENSEMBLE!O92</f>
        <v>19404604.993146282</v>
      </c>
      <c r="I91" s="18">
        <f>IF(STORAGE_BALANCE_ENSEMBLE!R92&lt;&gt;1,"",1)</f>
        <v>1</v>
      </c>
      <c r="J91" s="8">
        <f t="shared" si="9"/>
        <v>0</v>
      </c>
      <c r="K91" s="9">
        <f t="shared" si="10"/>
        <v>0</v>
      </c>
      <c r="L91" s="10">
        <f t="shared" si="11"/>
        <v>0</v>
      </c>
      <c r="M91" s="10">
        <f>IF(I91&lt;&gt;1,"",IF(H91="","",H91/CONTROL_PANEL!$B$11))</f>
        <v>0.38809209986292564</v>
      </c>
      <c r="N91" s="9">
        <f t="shared" si="12"/>
        <v>0</v>
      </c>
      <c r="O91" s="9">
        <f t="shared" si="13"/>
        <v>0</v>
      </c>
      <c r="P91" s="9">
        <f t="shared" si="14"/>
        <v>0</v>
      </c>
      <c r="Q91" s="9">
        <f t="shared" si="15"/>
        <v>0</v>
      </c>
      <c r="R91" s="11"/>
      <c r="S91" s="11" t="str">
        <f t="shared" si="16"/>
        <v>PASS</v>
      </c>
    </row>
    <row r="92" spans="1:19" x14ac:dyDescent="0.25">
      <c r="A92" s="30" t="s">
        <v>96</v>
      </c>
      <c r="B92" s="31">
        <v>44958</v>
      </c>
      <c r="C92" s="30">
        <f>YEAR(BInputReservoir[[#This Row],[Date]])</f>
        <v>2023</v>
      </c>
      <c r="D92" s="30">
        <f>MONTH(BInputReservoir[[#This Row],[Date]])</f>
        <v>2</v>
      </c>
      <c r="E92" s="30">
        <f>IF(I92&lt;&gt;1,"",DATA_INPUT!$K93)</f>
        <v>0</v>
      </c>
      <c r="F92" s="30">
        <f>STORAGE_BALANCE_ENSEMBLE!P93</f>
        <v>0</v>
      </c>
      <c r="G92" s="30">
        <f>STORAGE_BALANCE_ENSEMBLE!Q93</f>
        <v>0</v>
      </c>
      <c r="H92" s="30">
        <f>STORAGE_BALANCE_ENSEMBLE!O93</f>
        <v>19382973.201570969</v>
      </c>
      <c r="I92" s="18">
        <f>IF(STORAGE_BALANCE_ENSEMBLE!R93&lt;&gt;1,"",1)</f>
        <v>1</v>
      </c>
      <c r="J92" s="8">
        <f t="shared" si="9"/>
        <v>0</v>
      </c>
      <c r="K92" s="9">
        <f t="shared" si="10"/>
        <v>0</v>
      </c>
      <c r="L92" s="10">
        <f t="shared" si="11"/>
        <v>0</v>
      </c>
      <c r="M92" s="10">
        <f>IF(I92&lt;&gt;1,"",IF(H92="","",H92/CONTROL_PANEL!$B$11))</f>
        <v>0.38765946403141938</v>
      </c>
      <c r="N92" s="9">
        <f t="shared" si="12"/>
        <v>0</v>
      </c>
      <c r="O92" s="9">
        <f t="shared" si="13"/>
        <v>0</v>
      </c>
      <c r="P92" s="9">
        <f t="shared" si="14"/>
        <v>0</v>
      </c>
      <c r="Q92" s="9">
        <f t="shared" si="15"/>
        <v>0</v>
      </c>
      <c r="R92" s="11"/>
      <c r="S92" s="11" t="str">
        <f t="shared" si="16"/>
        <v>PASS</v>
      </c>
    </row>
    <row r="93" spans="1:19" x14ac:dyDescent="0.25">
      <c r="A93" s="30" t="s">
        <v>96</v>
      </c>
      <c r="B93" s="31">
        <v>44986</v>
      </c>
      <c r="C93" s="30">
        <f>YEAR(BInputReservoir[[#This Row],[Date]])</f>
        <v>2023</v>
      </c>
      <c r="D93" s="30">
        <f>MONTH(BInputReservoir[[#This Row],[Date]])</f>
        <v>3</v>
      </c>
      <c r="E93" s="30">
        <f>IF(I93&lt;&gt;1,"",DATA_INPUT!$K94)</f>
        <v>0</v>
      </c>
      <c r="F93" s="30">
        <f>STORAGE_BALANCE_ENSEMBLE!P94</f>
        <v>0</v>
      </c>
      <c r="G93" s="30">
        <f>STORAGE_BALANCE_ENSEMBLE!Q94</f>
        <v>0</v>
      </c>
      <c r="H93" s="30">
        <f>STORAGE_BALANCE_ENSEMBLE!O94</f>
        <v>19297425.673398629</v>
      </c>
      <c r="I93" s="18">
        <f>IF(STORAGE_BALANCE_ENSEMBLE!R94&lt;&gt;1,"",1)</f>
        <v>1</v>
      </c>
      <c r="J93" s="8">
        <f t="shared" si="9"/>
        <v>0</v>
      </c>
      <c r="K93" s="9">
        <f t="shared" si="10"/>
        <v>0</v>
      </c>
      <c r="L93" s="10">
        <f t="shared" si="11"/>
        <v>0</v>
      </c>
      <c r="M93" s="10">
        <f>IF(I93&lt;&gt;1,"",IF(H93="","",H93/CONTROL_PANEL!$B$11))</f>
        <v>0.3859485134679726</v>
      </c>
      <c r="N93" s="9">
        <f t="shared" si="12"/>
        <v>0</v>
      </c>
      <c r="O93" s="9">
        <f t="shared" si="13"/>
        <v>0</v>
      </c>
      <c r="P93" s="9">
        <f t="shared" si="14"/>
        <v>0</v>
      </c>
      <c r="Q93" s="9">
        <f t="shared" si="15"/>
        <v>0</v>
      </c>
      <c r="R93" s="11"/>
      <c r="S93" s="11" t="str">
        <f t="shared" si="16"/>
        <v>PASS</v>
      </c>
    </row>
    <row r="94" spans="1:19" x14ac:dyDescent="0.25">
      <c r="A94" s="30" t="s">
        <v>96</v>
      </c>
      <c r="B94" s="31">
        <v>45017</v>
      </c>
      <c r="C94" s="30">
        <f>YEAR(BInputReservoir[[#This Row],[Date]])</f>
        <v>2023</v>
      </c>
      <c r="D94" s="30">
        <f>MONTH(BInputReservoir[[#This Row],[Date]])</f>
        <v>4</v>
      </c>
      <c r="E94" s="30">
        <f>IF(I94&lt;&gt;1,"",DATA_INPUT!$K95)</f>
        <v>761980.85393836233</v>
      </c>
      <c r="F94" s="30">
        <f>STORAGE_BALANCE_ENSEMBLE!P95</f>
        <v>0</v>
      </c>
      <c r="G94" s="30">
        <f>STORAGE_BALANCE_ENSEMBLE!Q95</f>
        <v>0</v>
      </c>
      <c r="H94" s="30">
        <f>STORAGE_BALANCE_ENSEMBLE!O95</f>
        <v>18276612.744892407</v>
      </c>
      <c r="I94" s="18">
        <f>IF(STORAGE_BALANCE_ENSEMBLE!R95&lt;&gt;1,"",1)</f>
        <v>1</v>
      </c>
      <c r="J94" s="8">
        <f t="shared" si="9"/>
        <v>761980.85393836233</v>
      </c>
      <c r="K94" s="9">
        <f t="shared" si="10"/>
        <v>0</v>
      </c>
      <c r="L94" s="10">
        <f t="shared" si="11"/>
        <v>0</v>
      </c>
      <c r="M94" s="10">
        <f>IF(I94&lt;&gt;1,"",IF(H94="","",H94/CONTROL_PANEL!$B$11))</f>
        <v>0.36553225489784813</v>
      </c>
      <c r="N94" s="9">
        <f t="shared" si="12"/>
        <v>0</v>
      </c>
      <c r="O94" s="9">
        <f t="shared" si="13"/>
        <v>0</v>
      </c>
      <c r="P94" s="9">
        <f t="shared" si="14"/>
        <v>0</v>
      </c>
      <c r="Q94" s="9">
        <f t="shared" si="15"/>
        <v>0</v>
      </c>
      <c r="R94" s="11"/>
      <c r="S94" s="11" t="str">
        <f t="shared" si="16"/>
        <v>PASS</v>
      </c>
    </row>
    <row r="95" spans="1:19" x14ac:dyDescent="0.25">
      <c r="A95" s="30" t="s">
        <v>96</v>
      </c>
      <c r="B95" s="31">
        <v>45047</v>
      </c>
      <c r="C95" s="30">
        <f>YEAR(BInputReservoir[[#This Row],[Date]])</f>
        <v>2023</v>
      </c>
      <c r="D95" s="30">
        <f>MONTH(BInputReservoir[[#This Row],[Date]])</f>
        <v>5</v>
      </c>
      <c r="E95" s="30">
        <f>IF(I95&lt;&gt;1,"",DATA_INPUT!$K96)</f>
        <v>641520.73999949964</v>
      </c>
      <c r="F95" s="30">
        <f>STORAGE_BALANCE_ENSEMBLE!P96</f>
        <v>0</v>
      </c>
      <c r="G95" s="30">
        <f>STORAGE_BALANCE_ENSEMBLE!Q96</f>
        <v>0</v>
      </c>
      <c r="H95" s="30">
        <f>STORAGE_BALANCE_ENSEMBLE!O96</f>
        <v>17404034.945246894</v>
      </c>
      <c r="I95" s="18">
        <f>IF(STORAGE_BALANCE_ENSEMBLE!R96&lt;&gt;1,"",1)</f>
        <v>1</v>
      </c>
      <c r="J95" s="8">
        <f t="shared" si="9"/>
        <v>641520.73999949964</v>
      </c>
      <c r="K95" s="9">
        <f t="shared" si="10"/>
        <v>0</v>
      </c>
      <c r="L95" s="10">
        <f t="shared" si="11"/>
        <v>0</v>
      </c>
      <c r="M95" s="10">
        <f>IF(I95&lt;&gt;1,"",IF(H95="","",H95/CONTROL_PANEL!$B$11))</f>
        <v>0.34808069890493787</v>
      </c>
      <c r="N95" s="9">
        <f t="shared" si="12"/>
        <v>0</v>
      </c>
      <c r="O95" s="9">
        <f t="shared" si="13"/>
        <v>0</v>
      </c>
      <c r="P95" s="9">
        <f t="shared" si="14"/>
        <v>0</v>
      </c>
      <c r="Q95" s="9">
        <f t="shared" si="15"/>
        <v>0</v>
      </c>
      <c r="R95" s="11"/>
      <c r="S95" s="11" t="str">
        <f t="shared" si="16"/>
        <v>PASS</v>
      </c>
    </row>
    <row r="96" spans="1:19" x14ac:dyDescent="0.25">
      <c r="A96" s="30" t="s">
        <v>96</v>
      </c>
      <c r="B96" s="31">
        <v>45078</v>
      </c>
      <c r="C96" s="30">
        <f>YEAR(BInputReservoir[[#This Row],[Date]])</f>
        <v>2023</v>
      </c>
      <c r="D96" s="30">
        <f>MONTH(BInputReservoir[[#This Row],[Date]])</f>
        <v>6</v>
      </c>
      <c r="E96" s="30">
        <f>IF(I96&lt;&gt;1,"",DATA_INPUT!$K97)</f>
        <v>1077763.0200883495</v>
      </c>
      <c r="F96" s="30">
        <f>STORAGE_BALANCE_ENSEMBLE!P97</f>
        <v>0</v>
      </c>
      <c r="G96" s="30">
        <f>STORAGE_BALANCE_ENSEMBLE!Q97</f>
        <v>0</v>
      </c>
      <c r="H96" s="30">
        <f>STORAGE_BALANCE_ENSEMBLE!O97</f>
        <v>16019766.043190584</v>
      </c>
      <c r="I96" s="18">
        <f>IF(STORAGE_BALANCE_ENSEMBLE!R97&lt;&gt;1,"",1)</f>
        <v>1</v>
      </c>
      <c r="J96" s="8">
        <f t="shared" si="9"/>
        <v>1077763.0200883495</v>
      </c>
      <c r="K96" s="9">
        <f t="shared" si="10"/>
        <v>0</v>
      </c>
      <c r="L96" s="10">
        <f t="shared" si="11"/>
        <v>0</v>
      </c>
      <c r="M96" s="10">
        <f>IF(I96&lt;&gt;1,"",IF(H96="","",H96/CONTROL_PANEL!$B$11))</f>
        <v>0.32039532086381167</v>
      </c>
      <c r="N96" s="9">
        <f t="shared" si="12"/>
        <v>0</v>
      </c>
      <c r="O96" s="9">
        <f t="shared" si="13"/>
        <v>0</v>
      </c>
      <c r="P96" s="9">
        <f t="shared" si="14"/>
        <v>0</v>
      </c>
      <c r="Q96" s="9">
        <f t="shared" si="15"/>
        <v>0</v>
      </c>
      <c r="R96" s="11"/>
      <c r="S96" s="11" t="str">
        <f t="shared" si="16"/>
        <v>PASS</v>
      </c>
    </row>
    <row r="97" spans="1:19" x14ac:dyDescent="0.25">
      <c r="A97" s="30" t="s">
        <v>96</v>
      </c>
      <c r="B97" s="31">
        <v>45108</v>
      </c>
      <c r="C97" s="30">
        <f>YEAR(BInputReservoir[[#This Row],[Date]])</f>
        <v>2023</v>
      </c>
      <c r="D97" s="30">
        <f>MONTH(BInputReservoir[[#This Row],[Date]])</f>
        <v>7</v>
      </c>
      <c r="E97" s="30">
        <f>IF(I97&lt;&gt;1,"",DATA_INPUT!$K98)</f>
        <v>2314360.4930263762</v>
      </c>
      <c r="F97" s="30">
        <f>STORAGE_BALANCE_ENSEMBLE!P98</f>
        <v>0</v>
      </c>
      <c r="G97" s="30">
        <f>STORAGE_BALANCE_ENSEMBLE!Q98</f>
        <v>0</v>
      </c>
      <c r="H97" s="30">
        <f>STORAGE_BALANCE_ENSEMBLE!O98</f>
        <v>13330950.796132194</v>
      </c>
      <c r="I97" s="18">
        <f>IF(STORAGE_BALANCE_ENSEMBLE!R98&lt;&gt;1,"",1)</f>
        <v>1</v>
      </c>
      <c r="J97" s="8">
        <f t="shared" si="9"/>
        <v>2314360.4930263762</v>
      </c>
      <c r="K97" s="9">
        <f t="shared" si="10"/>
        <v>0</v>
      </c>
      <c r="L97" s="10">
        <f t="shared" si="11"/>
        <v>0</v>
      </c>
      <c r="M97" s="10">
        <f>IF(I97&lt;&gt;1,"",IF(H97="","",H97/CONTROL_PANEL!$B$11))</f>
        <v>0.26661901592264386</v>
      </c>
      <c r="N97" s="9">
        <f t="shared" si="12"/>
        <v>0</v>
      </c>
      <c r="O97" s="9">
        <f t="shared" si="13"/>
        <v>0</v>
      </c>
      <c r="P97" s="9">
        <f t="shared" si="14"/>
        <v>0</v>
      </c>
      <c r="Q97" s="9">
        <f t="shared" si="15"/>
        <v>0</v>
      </c>
      <c r="R97" s="11"/>
      <c r="S97" s="11" t="str">
        <f t="shared" si="16"/>
        <v>PASS</v>
      </c>
    </row>
    <row r="98" spans="1:19" x14ac:dyDescent="0.25">
      <c r="A98" s="30" t="s">
        <v>96</v>
      </c>
      <c r="B98" s="31">
        <v>45139</v>
      </c>
      <c r="C98" s="30">
        <f>YEAR(BInputReservoir[[#This Row],[Date]])</f>
        <v>2023</v>
      </c>
      <c r="D98" s="30">
        <f>MONTH(BInputReservoir[[#This Row],[Date]])</f>
        <v>8</v>
      </c>
      <c r="E98" s="30">
        <f>IF(I98&lt;&gt;1,"",DATA_INPUT!$K99)</f>
        <v>2149203.1384588913</v>
      </c>
      <c r="F98" s="30">
        <f>STORAGE_BALANCE_ENSEMBLE!P99</f>
        <v>0</v>
      </c>
      <c r="G98" s="30">
        <f>STORAGE_BALANCE_ENSEMBLE!Q99</f>
        <v>0</v>
      </c>
      <c r="H98" s="30">
        <f>STORAGE_BALANCE_ENSEMBLE!O99</f>
        <v>10868174.584636217</v>
      </c>
      <c r="I98" s="18">
        <f>IF(STORAGE_BALANCE_ENSEMBLE!R99&lt;&gt;1,"",1)</f>
        <v>1</v>
      </c>
      <c r="J98" s="8">
        <f t="shared" si="9"/>
        <v>2149203.1384588913</v>
      </c>
      <c r="K98" s="9">
        <f t="shared" si="10"/>
        <v>0</v>
      </c>
      <c r="L98" s="10">
        <f t="shared" si="11"/>
        <v>0</v>
      </c>
      <c r="M98" s="10">
        <f>IF(I98&lt;&gt;1,"",IF(H98="","",H98/CONTROL_PANEL!$B$11))</f>
        <v>0.21736349169272434</v>
      </c>
      <c r="N98" s="9">
        <f t="shared" si="12"/>
        <v>0</v>
      </c>
      <c r="O98" s="9">
        <f t="shared" si="13"/>
        <v>0</v>
      </c>
      <c r="P98" s="9">
        <f t="shared" si="14"/>
        <v>0</v>
      </c>
      <c r="Q98" s="9">
        <f t="shared" si="15"/>
        <v>0</v>
      </c>
      <c r="R98" s="11"/>
      <c r="S98" s="11" t="str">
        <f t="shared" si="16"/>
        <v>PASS</v>
      </c>
    </row>
    <row r="99" spans="1:19" x14ac:dyDescent="0.25">
      <c r="A99" s="30" t="s">
        <v>96</v>
      </c>
      <c r="B99" s="31">
        <v>45170</v>
      </c>
      <c r="C99" s="30">
        <f>YEAR(BInputReservoir[[#This Row],[Date]])</f>
        <v>2023</v>
      </c>
      <c r="D99" s="30">
        <f>MONTH(BInputReservoir[[#This Row],[Date]])</f>
        <v>9</v>
      </c>
      <c r="E99" s="30">
        <f>IF(I99&lt;&gt;1,"",DATA_INPUT!$K100)</f>
        <v>587497.73223438207</v>
      </c>
      <c r="F99" s="30">
        <f>STORAGE_BALANCE_ENSEMBLE!P100</f>
        <v>0</v>
      </c>
      <c r="G99" s="30">
        <f>STORAGE_BALANCE_ENSEMBLE!Q100</f>
        <v>0</v>
      </c>
      <c r="H99" s="30">
        <f>STORAGE_BALANCE_ENSEMBLE!O100</f>
        <v>11294758.740391105</v>
      </c>
      <c r="I99" s="18">
        <f>IF(STORAGE_BALANCE_ENSEMBLE!R100&lt;&gt;1,"",1)</f>
        <v>1</v>
      </c>
      <c r="J99" s="8">
        <f t="shared" si="9"/>
        <v>587497.73223438207</v>
      </c>
      <c r="K99" s="9">
        <f t="shared" si="10"/>
        <v>0</v>
      </c>
      <c r="L99" s="10">
        <f t="shared" si="11"/>
        <v>0</v>
      </c>
      <c r="M99" s="10">
        <f>IF(I99&lt;&gt;1,"",IF(H99="","",H99/CONTROL_PANEL!$B$11))</f>
        <v>0.22589517480782212</v>
      </c>
      <c r="N99" s="9">
        <f t="shared" si="12"/>
        <v>0</v>
      </c>
      <c r="O99" s="9">
        <f t="shared" si="13"/>
        <v>0</v>
      </c>
      <c r="P99" s="9">
        <f t="shared" si="14"/>
        <v>0</v>
      </c>
      <c r="Q99" s="9">
        <f t="shared" si="15"/>
        <v>0</v>
      </c>
      <c r="R99" s="11"/>
      <c r="S99" s="11" t="str">
        <f t="shared" si="16"/>
        <v>PASS</v>
      </c>
    </row>
    <row r="100" spans="1:19" x14ac:dyDescent="0.25">
      <c r="A100" s="30" t="s">
        <v>96</v>
      </c>
      <c r="B100" s="31">
        <v>45200</v>
      </c>
      <c r="C100" s="30">
        <f>YEAR(BInputReservoir[[#This Row],[Date]])</f>
        <v>2023</v>
      </c>
      <c r="D100" s="30">
        <f>MONTH(BInputReservoir[[#This Row],[Date]])</f>
        <v>10</v>
      </c>
      <c r="E100" s="30">
        <f>IF(I100&lt;&gt;1,"",DATA_INPUT!$K101)</f>
        <v>117042.55764813126</v>
      </c>
      <c r="F100" s="30">
        <f>STORAGE_BALANCE_ENSEMBLE!P101</f>
        <v>0</v>
      </c>
      <c r="G100" s="30">
        <f>STORAGE_BALANCE_ENSEMBLE!Q101</f>
        <v>0</v>
      </c>
      <c r="H100" s="30">
        <f>STORAGE_BALANCE_ENSEMBLE!O101</f>
        <v>11915623.43833431</v>
      </c>
      <c r="I100" s="18">
        <f>IF(STORAGE_BALANCE_ENSEMBLE!R101&lt;&gt;1,"",1)</f>
        <v>1</v>
      </c>
      <c r="J100" s="8">
        <f t="shared" si="9"/>
        <v>117042.55764813126</v>
      </c>
      <c r="K100" s="9">
        <f t="shared" si="10"/>
        <v>0</v>
      </c>
      <c r="L100" s="10">
        <f t="shared" si="11"/>
        <v>0</v>
      </c>
      <c r="M100" s="10">
        <f>IF(I100&lt;&gt;1,"",IF(H100="","",H100/CONTROL_PANEL!$B$11))</f>
        <v>0.23831246876668621</v>
      </c>
      <c r="N100" s="9">
        <f t="shared" si="12"/>
        <v>0</v>
      </c>
      <c r="O100" s="9">
        <f t="shared" si="13"/>
        <v>0</v>
      </c>
      <c r="P100" s="9">
        <f t="shared" si="14"/>
        <v>0</v>
      </c>
      <c r="Q100" s="9">
        <f t="shared" si="15"/>
        <v>0</v>
      </c>
      <c r="R100" s="11"/>
      <c r="S100" s="11" t="str">
        <f t="shared" si="16"/>
        <v>PASS</v>
      </c>
    </row>
    <row r="101" spans="1:19" x14ac:dyDescent="0.25">
      <c r="A101" s="30" t="s">
        <v>96</v>
      </c>
      <c r="B101" s="31">
        <v>45231</v>
      </c>
      <c r="C101" s="30">
        <f>YEAR(BInputReservoir[[#This Row],[Date]])</f>
        <v>2023</v>
      </c>
      <c r="D101" s="30">
        <f>MONTH(BInputReservoir[[#This Row],[Date]])</f>
        <v>11</v>
      </c>
      <c r="E101" s="30">
        <f>IF(I101&lt;&gt;1,"",DATA_INPUT!$K102)</f>
        <v>0</v>
      </c>
      <c r="F101" s="30">
        <f>STORAGE_BALANCE_ENSEMBLE!P102</f>
        <v>0</v>
      </c>
      <c r="G101" s="30">
        <f>STORAGE_BALANCE_ENSEMBLE!Q102</f>
        <v>0</v>
      </c>
      <c r="H101" s="30">
        <f>STORAGE_BALANCE_ENSEMBLE!O102</f>
        <v>13297134.702454418</v>
      </c>
      <c r="I101" s="18">
        <f>IF(STORAGE_BALANCE_ENSEMBLE!R102&lt;&gt;1,"",1)</f>
        <v>1</v>
      </c>
      <c r="J101" s="8">
        <f t="shared" si="9"/>
        <v>0</v>
      </c>
      <c r="K101" s="9">
        <f t="shared" si="10"/>
        <v>0</v>
      </c>
      <c r="L101" s="10">
        <f t="shared" si="11"/>
        <v>0</v>
      </c>
      <c r="M101" s="10">
        <f>IF(I101&lt;&gt;1,"",IF(H101="","",H101/CONTROL_PANEL!$B$11))</f>
        <v>0.26594269404908838</v>
      </c>
      <c r="N101" s="9">
        <f t="shared" si="12"/>
        <v>0</v>
      </c>
      <c r="O101" s="9">
        <f t="shared" si="13"/>
        <v>0</v>
      </c>
      <c r="P101" s="9">
        <f t="shared" si="14"/>
        <v>0</v>
      </c>
      <c r="Q101" s="9">
        <f t="shared" si="15"/>
        <v>0</v>
      </c>
      <c r="R101" s="11"/>
      <c r="S101" s="11" t="str">
        <f t="shared" si="16"/>
        <v>PASS</v>
      </c>
    </row>
    <row r="102" spans="1:19" x14ac:dyDescent="0.25">
      <c r="A102" s="30" t="s">
        <v>96</v>
      </c>
      <c r="B102" s="31">
        <v>45261</v>
      </c>
      <c r="C102" s="30">
        <f>YEAR(BInputReservoir[[#This Row],[Date]])</f>
        <v>2023</v>
      </c>
      <c r="D102" s="30">
        <f>MONTH(BInputReservoir[[#This Row],[Date]])</f>
        <v>12</v>
      </c>
      <c r="E102" s="30">
        <f>IF(I102&lt;&gt;1,"",DATA_INPUT!$K103)</f>
        <v>0</v>
      </c>
      <c r="F102" s="30">
        <f>STORAGE_BALANCE_ENSEMBLE!P103</f>
        <v>0</v>
      </c>
      <c r="G102" s="30">
        <f>STORAGE_BALANCE_ENSEMBLE!Q103</f>
        <v>0</v>
      </c>
      <c r="H102" s="30">
        <f>STORAGE_BALANCE_ENSEMBLE!O103</f>
        <v>16879184.047771864</v>
      </c>
      <c r="I102" s="18">
        <f>IF(STORAGE_BALANCE_ENSEMBLE!R103&lt;&gt;1,"",1)</f>
        <v>1</v>
      </c>
      <c r="J102" s="8">
        <f t="shared" si="9"/>
        <v>0</v>
      </c>
      <c r="K102" s="9">
        <f t="shared" si="10"/>
        <v>0</v>
      </c>
      <c r="L102" s="10">
        <f t="shared" si="11"/>
        <v>0</v>
      </c>
      <c r="M102" s="10">
        <f>IF(I102&lt;&gt;1,"",IF(H102="","",H102/CONTROL_PANEL!$B$11))</f>
        <v>0.33758368095543728</v>
      </c>
      <c r="N102" s="9">
        <f t="shared" si="12"/>
        <v>0</v>
      </c>
      <c r="O102" s="9">
        <f t="shared" si="13"/>
        <v>0</v>
      </c>
      <c r="P102" s="9">
        <f t="shared" si="14"/>
        <v>0</v>
      </c>
      <c r="Q102" s="9">
        <f t="shared" si="15"/>
        <v>0</v>
      </c>
      <c r="R102" s="11"/>
      <c r="S102" s="11" t="str">
        <f t="shared" si="16"/>
        <v>PASS</v>
      </c>
    </row>
    <row r="103" spans="1:19" x14ac:dyDescent="0.25">
      <c r="A103" s="30" t="s">
        <v>96</v>
      </c>
      <c r="B103" s="31">
        <v>45292</v>
      </c>
      <c r="C103" s="30">
        <f>YEAR(BInputReservoir[[#This Row],[Date]])</f>
        <v>2024</v>
      </c>
      <c r="D103" s="30">
        <f>MONTH(BInputReservoir[[#This Row],[Date]])</f>
        <v>1</v>
      </c>
      <c r="E103" s="30">
        <f>IF(I103&lt;&gt;1,"",DATA_INPUT!$K104)</f>
        <v>0</v>
      </c>
      <c r="F103" s="30">
        <f>STORAGE_BALANCE_ENSEMBLE!P104</f>
        <v>0</v>
      </c>
      <c r="G103" s="30">
        <f>STORAGE_BALANCE_ENSEMBLE!Q104</f>
        <v>0</v>
      </c>
      <c r="H103" s="30">
        <f>STORAGE_BALANCE_ENSEMBLE!O104</f>
        <v>18953262.756077677</v>
      </c>
      <c r="I103" s="18">
        <f>IF(STORAGE_BALANCE_ENSEMBLE!R104&lt;&gt;1,"",1)</f>
        <v>1</v>
      </c>
      <c r="J103" s="8">
        <f t="shared" si="9"/>
        <v>0</v>
      </c>
      <c r="K103" s="9">
        <f t="shared" si="10"/>
        <v>0</v>
      </c>
      <c r="L103" s="10">
        <f t="shared" si="11"/>
        <v>0</v>
      </c>
      <c r="M103" s="10">
        <f>IF(I103&lt;&gt;1,"",IF(H103="","",H103/CONTROL_PANEL!$B$11))</f>
        <v>0.37906525512155353</v>
      </c>
      <c r="N103" s="9">
        <f t="shared" si="12"/>
        <v>0</v>
      </c>
      <c r="O103" s="9">
        <f t="shared" si="13"/>
        <v>0</v>
      </c>
      <c r="P103" s="9">
        <f t="shared" si="14"/>
        <v>0</v>
      </c>
      <c r="Q103" s="9">
        <f t="shared" si="15"/>
        <v>0</v>
      </c>
      <c r="R103" s="11"/>
      <c r="S103" s="11" t="str">
        <f t="shared" si="16"/>
        <v>PASS</v>
      </c>
    </row>
    <row r="104" spans="1:19" x14ac:dyDescent="0.25">
      <c r="A104" s="30" t="s">
        <v>96</v>
      </c>
      <c r="B104" s="31">
        <v>45323</v>
      </c>
      <c r="C104" s="30">
        <f>YEAR(BInputReservoir[[#This Row],[Date]])</f>
        <v>2024</v>
      </c>
      <c r="D104" s="30">
        <f>MONTH(BInputReservoir[[#This Row],[Date]])</f>
        <v>2</v>
      </c>
      <c r="E104" s="30">
        <f>IF(I104&lt;&gt;1,"",DATA_INPUT!$K105)</f>
        <v>0</v>
      </c>
      <c r="F104" s="30">
        <f>STORAGE_BALANCE_ENSEMBLE!P105</f>
        <v>0</v>
      </c>
      <c r="G104" s="30">
        <f>STORAGE_BALANCE_ENSEMBLE!Q105</f>
        <v>0</v>
      </c>
      <c r="H104" s="30">
        <f>STORAGE_BALANCE_ENSEMBLE!O105</f>
        <v>22925473.356667817</v>
      </c>
      <c r="I104" s="18">
        <f>IF(STORAGE_BALANCE_ENSEMBLE!R105&lt;&gt;1,"",1)</f>
        <v>1</v>
      </c>
      <c r="J104" s="8">
        <f t="shared" si="9"/>
        <v>0</v>
      </c>
      <c r="K104" s="9">
        <f t="shared" si="10"/>
        <v>0</v>
      </c>
      <c r="L104" s="10">
        <f t="shared" si="11"/>
        <v>0</v>
      </c>
      <c r="M104" s="10">
        <f>IF(I104&lt;&gt;1,"",IF(H104="","",H104/CONTROL_PANEL!$B$11))</f>
        <v>0.45850946713335633</v>
      </c>
      <c r="N104" s="9">
        <f t="shared" si="12"/>
        <v>0</v>
      </c>
      <c r="O104" s="9">
        <f t="shared" si="13"/>
        <v>0</v>
      </c>
      <c r="P104" s="9">
        <f t="shared" si="14"/>
        <v>0</v>
      </c>
      <c r="Q104" s="9">
        <f t="shared" si="15"/>
        <v>0</v>
      </c>
      <c r="R104" s="11"/>
      <c r="S104" s="11" t="str">
        <f t="shared" si="16"/>
        <v>PASS</v>
      </c>
    </row>
    <row r="105" spans="1:19" x14ac:dyDescent="0.25">
      <c r="A105" s="30" t="s">
        <v>96</v>
      </c>
      <c r="B105" s="31">
        <v>45352</v>
      </c>
      <c r="C105" s="30">
        <f>YEAR(BInputReservoir[[#This Row],[Date]])</f>
        <v>2024</v>
      </c>
      <c r="D105" s="30">
        <f>MONTH(BInputReservoir[[#This Row],[Date]])</f>
        <v>3</v>
      </c>
      <c r="E105" s="30">
        <f>IF(I105&lt;&gt;1,"",DATA_INPUT!$K106)</f>
        <v>0</v>
      </c>
      <c r="F105" s="30">
        <f>STORAGE_BALANCE_ENSEMBLE!P106</f>
        <v>0</v>
      </c>
      <c r="G105" s="30">
        <f>STORAGE_BALANCE_ENSEMBLE!Q106</f>
        <v>0</v>
      </c>
      <c r="H105" s="30">
        <f>STORAGE_BALANCE_ENSEMBLE!O106</f>
        <v>24239014.082132965</v>
      </c>
      <c r="I105" s="18">
        <f>IF(STORAGE_BALANCE_ENSEMBLE!R106&lt;&gt;1,"",1)</f>
        <v>1</v>
      </c>
      <c r="J105" s="8">
        <f t="shared" si="9"/>
        <v>0</v>
      </c>
      <c r="K105" s="9">
        <f t="shared" si="10"/>
        <v>0</v>
      </c>
      <c r="L105" s="10">
        <f t="shared" si="11"/>
        <v>0</v>
      </c>
      <c r="M105" s="10">
        <f>IF(I105&lt;&gt;1,"",IF(H105="","",H105/CONTROL_PANEL!$B$11))</f>
        <v>0.48478028164265929</v>
      </c>
      <c r="N105" s="9">
        <f t="shared" si="12"/>
        <v>0</v>
      </c>
      <c r="O105" s="9">
        <f t="shared" si="13"/>
        <v>0</v>
      </c>
      <c r="P105" s="9">
        <f t="shared" si="14"/>
        <v>0</v>
      </c>
      <c r="Q105" s="9">
        <f t="shared" si="15"/>
        <v>0</v>
      </c>
      <c r="R105" s="11"/>
      <c r="S105" s="11" t="str">
        <f t="shared" si="16"/>
        <v>PASS</v>
      </c>
    </row>
    <row r="106" spans="1:19" x14ac:dyDescent="0.25">
      <c r="A106" s="30" t="s">
        <v>96</v>
      </c>
      <c r="B106" s="31">
        <v>45383</v>
      </c>
      <c r="C106" s="30">
        <f>YEAR(BInputReservoir[[#This Row],[Date]])</f>
        <v>2024</v>
      </c>
      <c r="D106" s="30">
        <f>MONTH(BInputReservoir[[#This Row],[Date]])</f>
        <v>4</v>
      </c>
      <c r="E106" s="30">
        <f>IF(I106&lt;&gt;1,"",DATA_INPUT!$K107)</f>
        <v>22143.870035354801</v>
      </c>
      <c r="F106" s="30">
        <f>STORAGE_BALANCE_ENSEMBLE!P107</f>
        <v>0</v>
      </c>
      <c r="G106" s="30">
        <f>STORAGE_BALANCE_ENSEMBLE!Q107</f>
        <v>0</v>
      </c>
      <c r="H106" s="30">
        <f>STORAGE_BALANCE_ENSEMBLE!O107</f>
        <v>24292161.548255648</v>
      </c>
      <c r="I106" s="18">
        <f>IF(STORAGE_BALANCE_ENSEMBLE!R107&lt;&gt;1,"",1)</f>
        <v>1</v>
      </c>
      <c r="J106" s="8">
        <f t="shared" si="9"/>
        <v>22143.870035354801</v>
      </c>
      <c r="K106" s="9">
        <f t="shared" si="10"/>
        <v>0</v>
      </c>
      <c r="L106" s="10">
        <f t="shared" si="11"/>
        <v>0</v>
      </c>
      <c r="M106" s="10">
        <f>IF(I106&lt;&gt;1,"",IF(H106="","",H106/CONTROL_PANEL!$B$11))</f>
        <v>0.48584323096511295</v>
      </c>
      <c r="N106" s="9">
        <f t="shared" si="12"/>
        <v>0</v>
      </c>
      <c r="O106" s="9">
        <f t="shared" si="13"/>
        <v>0</v>
      </c>
      <c r="P106" s="9">
        <f t="shared" si="14"/>
        <v>0</v>
      </c>
      <c r="Q106" s="9">
        <f t="shared" si="15"/>
        <v>0</v>
      </c>
      <c r="R106" s="11"/>
      <c r="S106" s="11" t="str">
        <f t="shared" si="16"/>
        <v>PASS</v>
      </c>
    </row>
    <row r="107" spans="1:19" x14ac:dyDescent="0.25">
      <c r="A107" s="30" t="s">
        <v>96</v>
      </c>
      <c r="B107" s="31">
        <v>45413</v>
      </c>
      <c r="C107" s="30">
        <f>YEAR(BInputReservoir[[#This Row],[Date]])</f>
        <v>2024</v>
      </c>
      <c r="D107" s="30">
        <f>MONTH(BInputReservoir[[#This Row],[Date]])</f>
        <v>5</v>
      </c>
      <c r="E107" s="30">
        <f>IF(I107&lt;&gt;1,"",DATA_INPUT!$K108)</f>
        <v>443924.02967220853</v>
      </c>
      <c r="F107" s="30">
        <f>STORAGE_BALANCE_ENSEMBLE!P108</f>
        <v>0</v>
      </c>
      <c r="G107" s="30">
        <f>STORAGE_BALANCE_ENSEMBLE!Q108</f>
        <v>0</v>
      </c>
      <c r="H107" s="30">
        <f>STORAGE_BALANCE_ENSEMBLE!O108</f>
        <v>23580745.91186323</v>
      </c>
      <c r="I107" s="18">
        <f>IF(STORAGE_BALANCE_ENSEMBLE!R108&lt;&gt;1,"",1)</f>
        <v>1</v>
      </c>
      <c r="J107" s="8">
        <f t="shared" si="9"/>
        <v>443924.02967220853</v>
      </c>
      <c r="K107" s="9">
        <f t="shared" si="10"/>
        <v>0</v>
      </c>
      <c r="L107" s="10">
        <f t="shared" si="11"/>
        <v>0</v>
      </c>
      <c r="M107" s="10">
        <f>IF(I107&lt;&gt;1,"",IF(H107="","",H107/CONTROL_PANEL!$B$11))</f>
        <v>0.47161491823726459</v>
      </c>
      <c r="N107" s="9">
        <f t="shared" si="12"/>
        <v>0</v>
      </c>
      <c r="O107" s="9">
        <f t="shared" si="13"/>
        <v>0</v>
      </c>
      <c r="P107" s="9">
        <f t="shared" si="14"/>
        <v>0</v>
      </c>
      <c r="Q107" s="9">
        <f t="shared" si="15"/>
        <v>0</v>
      </c>
      <c r="R107" s="11"/>
      <c r="S107" s="11" t="str">
        <f t="shared" si="16"/>
        <v>PASS</v>
      </c>
    </row>
    <row r="108" spans="1:19" x14ac:dyDescent="0.25">
      <c r="A108" s="30" t="s">
        <v>96</v>
      </c>
      <c r="B108" s="31">
        <v>45444</v>
      </c>
      <c r="C108" s="30">
        <f>YEAR(BInputReservoir[[#This Row],[Date]])</f>
        <v>2024</v>
      </c>
      <c r="D108" s="30">
        <f>MONTH(BInputReservoir[[#This Row],[Date]])</f>
        <v>6</v>
      </c>
      <c r="E108" s="30">
        <f>IF(I108&lt;&gt;1,"",DATA_INPUT!$K109)</f>
        <v>566612.29215865058</v>
      </c>
      <c r="F108" s="30">
        <f>STORAGE_BALANCE_ENSEMBLE!P109</f>
        <v>0</v>
      </c>
      <c r="G108" s="30">
        <f>STORAGE_BALANCE_ENSEMBLE!Q109</f>
        <v>0</v>
      </c>
      <c r="H108" s="30">
        <f>STORAGE_BALANCE_ENSEMBLE!O109</f>
        <v>22732603.922168836</v>
      </c>
      <c r="I108" s="18">
        <f>IF(STORAGE_BALANCE_ENSEMBLE!R109&lt;&gt;1,"",1)</f>
        <v>1</v>
      </c>
      <c r="J108" s="8">
        <f t="shared" si="9"/>
        <v>566612.29215865058</v>
      </c>
      <c r="K108" s="9">
        <f t="shared" si="10"/>
        <v>0</v>
      </c>
      <c r="L108" s="10">
        <f t="shared" si="11"/>
        <v>0</v>
      </c>
      <c r="M108" s="10">
        <f>IF(I108&lt;&gt;1,"",IF(H108="","",H108/CONTROL_PANEL!$B$11))</f>
        <v>0.45465207844337674</v>
      </c>
      <c r="N108" s="9">
        <f t="shared" si="12"/>
        <v>0</v>
      </c>
      <c r="O108" s="9">
        <f t="shared" si="13"/>
        <v>0</v>
      </c>
      <c r="P108" s="9">
        <f t="shared" si="14"/>
        <v>0</v>
      </c>
      <c r="Q108" s="9">
        <f t="shared" si="15"/>
        <v>0</v>
      </c>
      <c r="R108" s="11"/>
      <c r="S108" s="11" t="str">
        <f t="shared" si="16"/>
        <v>PASS</v>
      </c>
    </row>
    <row r="109" spans="1:19" x14ac:dyDescent="0.25">
      <c r="A109" s="30" t="s">
        <v>96</v>
      </c>
      <c r="B109" s="31">
        <v>45474</v>
      </c>
      <c r="C109" s="30">
        <f>YEAR(BInputReservoir[[#This Row],[Date]])</f>
        <v>2024</v>
      </c>
      <c r="D109" s="30">
        <f>MONTH(BInputReservoir[[#This Row],[Date]])</f>
        <v>7</v>
      </c>
      <c r="E109" s="30">
        <f>IF(I109&lt;&gt;1,"",DATA_INPUT!$K110)</f>
        <v>1753206.373116272</v>
      </c>
      <c r="F109" s="30">
        <f>STORAGE_BALANCE_ENSEMBLE!P110</f>
        <v>0</v>
      </c>
      <c r="G109" s="30">
        <f>STORAGE_BALANCE_ENSEMBLE!Q110</f>
        <v>0</v>
      </c>
      <c r="H109" s="30">
        <f>STORAGE_BALANCE_ENSEMBLE!O110</f>
        <v>20542393.424556665</v>
      </c>
      <c r="I109" s="18">
        <f>IF(STORAGE_BALANCE_ENSEMBLE!R110&lt;&gt;1,"",1)</f>
        <v>1</v>
      </c>
      <c r="J109" s="8">
        <f t="shared" si="9"/>
        <v>1753206.373116272</v>
      </c>
      <c r="K109" s="9">
        <f t="shared" si="10"/>
        <v>0</v>
      </c>
      <c r="L109" s="10">
        <f t="shared" si="11"/>
        <v>0</v>
      </c>
      <c r="M109" s="10">
        <f>IF(I109&lt;&gt;1,"",IF(H109="","",H109/CONTROL_PANEL!$B$11))</f>
        <v>0.41084786849113331</v>
      </c>
      <c r="N109" s="9">
        <f t="shared" si="12"/>
        <v>0</v>
      </c>
      <c r="O109" s="9">
        <f t="shared" si="13"/>
        <v>0</v>
      </c>
      <c r="P109" s="9">
        <f t="shared" si="14"/>
        <v>0</v>
      </c>
      <c r="Q109" s="9">
        <f t="shared" si="15"/>
        <v>0</v>
      </c>
      <c r="R109" s="11"/>
      <c r="S109" s="11" t="str">
        <f t="shared" si="16"/>
        <v>PASS</v>
      </c>
    </row>
    <row r="110" spans="1:19" x14ac:dyDescent="0.25">
      <c r="A110" s="30" t="s">
        <v>96</v>
      </c>
      <c r="B110" s="31">
        <v>45505</v>
      </c>
      <c r="C110" s="30">
        <f>YEAR(BInputReservoir[[#This Row],[Date]])</f>
        <v>2024</v>
      </c>
      <c r="D110" s="30">
        <f>MONTH(BInputReservoir[[#This Row],[Date]])</f>
        <v>8</v>
      </c>
      <c r="E110" s="30">
        <f>IF(I110&lt;&gt;1,"",DATA_INPUT!$K111)</f>
        <v>2083911.7740986603</v>
      </c>
      <c r="F110" s="30">
        <f>STORAGE_BALANCE_ENSEMBLE!P111</f>
        <v>0</v>
      </c>
      <c r="G110" s="30">
        <f>STORAGE_BALANCE_ENSEMBLE!Q111</f>
        <v>0</v>
      </c>
      <c r="H110" s="30">
        <f>STORAGE_BALANCE_ENSEMBLE!O111</f>
        <v>18069765.78965798</v>
      </c>
      <c r="I110" s="18">
        <f>IF(STORAGE_BALANCE_ENSEMBLE!R111&lt;&gt;1,"",1)</f>
        <v>1</v>
      </c>
      <c r="J110" s="8">
        <f t="shared" si="9"/>
        <v>2083911.7740986603</v>
      </c>
      <c r="K110" s="9">
        <f t="shared" si="10"/>
        <v>0</v>
      </c>
      <c r="L110" s="10">
        <f t="shared" si="11"/>
        <v>0</v>
      </c>
      <c r="M110" s="10">
        <f>IF(I110&lt;&gt;1,"",IF(H110="","",H110/CONTROL_PANEL!$B$11))</f>
        <v>0.36139531579315959</v>
      </c>
      <c r="N110" s="9">
        <f t="shared" si="12"/>
        <v>0</v>
      </c>
      <c r="O110" s="9">
        <f t="shared" si="13"/>
        <v>0</v>
      </c>
      <c r="P110" s="9">
        <f t="shared" si="14"/>
        <v>0</v>
      </c>
      <c r="Q110" s="9">
        <f t="shared" si="15"/>
        <v>0</v>
      </c>
      <c r="R110" s="11"/>
      <c r="S110" s="11" t="str">
        <f t="shared" si="16"/>
        <v>PASS</v>
      </c>
    </row>
    <row r="111" spans="1:19" x14ac:dyDescent="0.25">
      <c r="A111" s="30" t="s">
        <v>96</v>
      </c>
      <c r="B111" s="31">
        <v>45536</v>
      </c>
      <c r="C111" s="30">
        <f>YEAR(BInputReservoir[[#This Row],[Date]])</f>
        <v>2024</v>
      </c>
      <c r="D111" s="30">
        <f>MONTH(BInputReservoir[[#This Row],[Date]])</f>
        <v>9</v>
      </c>
      <c r="E111" s="30">
        <f>IF(I111&lt;&gt;1,"",DATA_INPUT!$K112)</f>
        <v>998783.37613451632</v>
      </c>
      <c r="F111" s="30">
        <f>STORAGE_BALANCE_ENSEMBLE!P112</f>
        <v>0</v>
      </c>
      <c r="G111" s="30">
        <f>STORAGE_BALANCE_ENSEMBLE!Q112</f>
        <v>0</v>
      </c>
      <c r="H111" s="30">
        <f>STORAGE_BALANCE_ENSEMBLE!O112</f>
        <v>17532038.924590778</v>
      </c>
      <c r="I111" s="18">
        <f>IF(STORAGE_BALANCE_ENSEMBLE!R112&lt;&gt;1,"",1)</f>
        <v>1</v>
      </c>
      <c r="J111" s="8">
        <f t="shared" si="9"/>
        <v>998783.37613451632</v>
      </c>
      <c r="K111" s="9">
        <f t="shared" si="10"/>
        <v>0</v>
      </c>
      <c r="L111" s="10">
        <f t="shared" si="11"/>
        <v>0</v>
      </c>
      <c r="M111" s="10">
        <f>IF(I111&lt;&gt;1,"",IF(H111="","",H111/CONTROL_PANEL!$B$11))</f>
        <v>0.35064077849181557</v>
      </c>
      <c r="N111" s="9">
        <f t="shared" si="12"/>
        <v>0</v>
      </c>
      <c r="O111" s="9">
        <f t="shared" si="13"/>
        <v>0</v>
      </c>
      <c r="P111" s="9">
        <f t="shared" si="14"/>
        <v>0</v>
      </c>
      <c r="Q111" s="9">
        <f t="shared" si="15"/>
        <v>0</v>
      </c>
      <c r="R111" s="11"/>
      <c r="S111" s="11" t="str">
        <f t="shared" si="16"/>
        <v>PASS</v>
      </c>
    </row>
    <row r="112" spans="1:19" x14ac:dyDescent="0.25">
      <c r="A112" s="30" t="s">
        <v>96</v>
      </c>
      <c r="B112" s="31">
        <v>45566</v>
      </c>
      <c r="C112" s="30">
        <f>YEAR(BInputReservoir[[#This Row],[Date]])</f>
        <v>2024</v>
      </c>
      <c r="D112" s="30">
        <f>MONTH(BInputReservoir[[#This Row],[Date]])</f>
        <v>10</v>
      </c>
      <c r="E112" s="30">
        <f>IF(I112&lt;&gt;1,"",DATA_INPUT!$K113)</f>
        <v>127029.48514939565</v>
      </c>
      <c r="F112" s="30">
        <f>STORAGE_BALANCE_ENSEMBLE!P113</f>
        <v>0</v>
      </c>
      <c r="G112" s="30">
        <f>STORAGE_BALANCE_ENSEMBLE!Q113</f>
        <v>0</v>
      </c>
      <c r="H112" s="30">
        <f>STORAGE_BALANCE_ENSEMBLE!O113</f>
        <v>17997086.934449125</v>
      </c>
      <c r="I112" s="18">
        <f>IF(STORAGE_BALANCE_ENSEMBLE!R113&lt;&gt;1,"",1)</f>
        <v>1</v>
      </c>
      <c r="J112" s="8">
        <f t="shared" si="9"/>
        <v>127029.48514939565</v>
      </c>
      <c r="K112" s="9">
        <f t="shared" si="10"/>
        <v>0</v>
      </c>
      <c r="L112" s="10">
        <f t="shared" si="11"/>
        <v>0</v>
      </c>
      <c r="M112" s="10">
        <f>IF(I112&lt;&gt;1,"",IF(H112="","",H112/CONTROL_PANEL!$B$11))</f>
        <v>0.35994173868898249</v>
      </c>
      <c r="N112" s="9">
        <f t="shared" si="12"/>
        <v>0</v>
      </c>
      <c r="O112" s="9">
        <f t="shared" si="13"/>
        <v>0</v>
      </c>
      <c r="P112" s="9">
        <f t="shared" si="14"/>
        <v>0</v>
      </c>
      <c r="Q112" s="9">
        <f t="shared" si="15"/>
        <v>0</v>
      </c>
      <c r="R112" s="11"/>
      <c r="S112" s="11" t="str">
        <f t="shared" si="16"/>
        <v>PASS</v>
      </c>
    </row>
    <row r="113" spans="1:19" x14ac:dyDescent="0.25">
      <c r="A113" s="30" t="s">
        <v>96</v>
      </c>
      <c r="B113" s="31">
        <v>45597</v>
      </c>
      <c r="C113" s="30">
        <f>YEAR(BInputReservoir[[#This Row],[Date]])</f>
        <v>2024</v>
      </c>
      <c r="D113" s="30">
        <f>MONTH(BInputReservoir[[#This Row],[Date]])</f>
        <v>11</v>
      </c>
      <c r="E113" s="30">
        <f>IF(I113&lt;&gt;1,"",DATA_INPUT!$K114)</f>
        <v>0</v>
      </c>
      <c r="F113" s="30">
        <f>STORAGE_BALANCE_ENSEMBLE!P114</f>
        <v>0</v>
      </c>
      <c r="G113" s="30">
        <f>STORAGE_BALANCE_ENSEMBLE!Q114</f>
        <v>0</v>
      </c>
      <c r="H113" s="30">
        <f>STORAGE_BALANCE_ENSEMBLE!O114</f>
        <v>18169523.873933218</v>
      </c>
      <c r="I113" s="18">
        <f>IF(STORAGE_BALANCE_ENSEMBLE!R114&lt;&gt;1,"",1)</f>
        <v>1</v>
      </c>
      <c r="J113" s="8">
        <f t="shared" si="9"/>
        <v>0</v>
      </c>
      <c r="K113" s="9">
        <f t="shared" si="10"/>
        <v>0</v>
      </c>
      <c r="L113" s="10">
        <f t="shared" si="11"/>
        <v>0</v>
      </c>
      <c r="M113" s="10">
        <f>IF(I113&lt;&gt;1,"",IF(H113="","",H113/CONTROL_PANEL!$B$11))</f>
        <v>0.36339047747866438</v>
      </c>
      <c r="N113" s="9">
        <f t="shared" si="12"/>
        <v>0</v>
      </c>
      <c r="O113" s="9">
        <f t="shared" si="13"/>
        <v>0</v>
      </c>
      <c r="P113" s="9">
        <f t="shared" si="14"/>
        <v>0</v>
      </c>
      <c r="Q113" s="9">
        <f t="shared" si="15"/>
        <v>0</v>
      </c>
      <c r="R113" s="11"/>
      <c r="S113" s="11" t="str">
        <f t="shared" si="16"/>
        <v>PASS</v>
      </c>
    </row>
    <row r="114" spans="1:19" x14ac:dyDescent="0.25">
      <c r="A114" s="30" t="s">
        <v>96</v>
      </c>
      <c r="B114" s="31">
        <v>45627</v>
      </c>
      <c r="C114" s="30">
        <f>YEAR(BInputReservoir[[#This Row],[Date]])</f>
        <v>2024</v>
      </c>
      <c r="D114" s="30">
        <f>MONTH(BInputReservoir[[#This Row],[Date]])</f>
        <v>12</v>
      </c>
      <c r="E114" s="30">
        <f>IF(I114&lt;&gt;1,"",DATA_INPUT!$K115)</f>
        <v>0</v>
      </c>
      <c r="F114" s="30">
        <f>STORAGE_BALANCE_ENSEMBLE!P115</f>
        <v>0</v>
      </c>
      <c r="G114" s="30">
        <f>STORAGE_BALANCE_ENSEMBLE!Q115</f>
        <v>0</v>
      </c>
      <c r="H114" s="30">
        <f>STORAGE_BALANCE_ENSEMBLE!O115</f>
        <v>20443315.149960332</v>
      </c>
      <c r="I114" s="18">
        <f>IF(STORAGE_BALANCE_ENSEMBLE!R115&lt;&gt;1,"",1)</f>
        <v>1</v>
      </c>
      <c r="J114" s="8">
        <f t="shared" si="9"/>
        <v>0</v>
      </c>
      <c r="K114" s="9">
        <f t="shared" si="10"/>
        <v>0</v>
      </c>
      <c r="L114" s="10">
        <f t="shared" si="11"/>
        <v>0</v>
      </c>
      <c r="M114" s="10">
        <f>IF(I114&lt;&gt;1,"",IF(H114="","",H114/CONTROL_PANEL!$B$11))</f>
        <v>0.40886630299920662</v>
      </c>
      <c r="N114" s="9">
        <f t="shared" si="12"/>
        <v>0</v>
      </c>
      <c r="O114" s="9">
        <f t="shared" si="13"/>
        <v>0</v>
      </c>
      <c r="P114" s="9">
        <f t="shared" si="14"/>
        <v>0</v>
      </c>
      <c r="Q114" s="9">
        <f t="shared" si="15"/>
        <v>0</v>
      </c>
      <c r="R114" s="11"/>
      <c r="S114" s="11" t="str">
        <f t="shared" si="16"/>
        <v>PASS</v>
      </c>
    </row>
    <row r="115" spans="1:19" x14ac:dyDescent="0.25">
      <c r="A115" s="30" t="s">
        <v>96</v>
      </c>
      <c r="B115" s="31">
        <v>45658</v>
      </c>
      <c r="C115" s="30">
        <f>YEAR(BInputReservoir[[#This Row],[Date]])</f>
        <v>2025</v>
      </c>
      <c r="D115" s="30">
        <f>MONTH(BInputReservoir[[#This Row],[Date]])</f>
        <v>1</v>
      </c>
      <c r="E115" s="30">
        <f>IF(I115&lt;&gt;1,"",DATA_INPUT!$K116)</f>
        <v>0</v>
      </c>
      <c r="F115" s="30">
        <f>STORAGE_BALANCE_ENSEMBLE!P116</f>
        <v>0</v>
      </c>
      <c r="G115" s="30">
        <f>STORAGE_BALANCE_ENSEMBLE!Q116</f>
        <v>0</v>
      </c>
      <c r="H115" s="30">
        <f>STORAGE_BALANCE_ENSEMBLE!O116</f>
        <v>22285907.838505466</v>
      </c>
      <c r="I115" s="18">
        <f>IF(STORAGE_BALANCE_ENSEMBLE!R116&lt;&gt;1,"",1)</f>
        <v>1</v>
      </c>
      <c r="J115" s="8">
        <f t="shared" si="9"/>
        <v>0</v>
      </c>
      <c r="K115" s="9">
        <f t="shared" si="10"/>
        <v>0</v>
      </c>
      <c r="L115" s="10">
        <f t="shared" si="11"/>
        <v>0</v>
      </c>
      <c r="M115" s="10">
        <f>IF(I115&lt;&gt;1,"",IF(H115="","",H115/CONTROL_PANEL!$B$11))</f>
        <v>0.44571815677010929</v>
      </c>
      <c r="N115" s="9">
        <f t="shared" si="12"/>
        <v>0</v>
      </c>
      <c r="O115" s="9">
        <f t="shared" si="13"/>
        <v>0</v>
      </c>
      <c r="P115" s="9">
        <f t="shared" si="14"/>
        <v>0</v>
      </c>
      <c r="Q115" s="9">
        <f t="shared" si="15"/>
        <v>0</v>
      </c>
      <c r="R115" s="11"/>
      <c r="S115" s="11" t="str">
        <f t="shared" si="16"/>
        <v>PASS</v>
      </c>
    </row>
    <row r="116" spans="1:19" x14ac:dyDescent="0.25">
      <c r="A116" s="30" t="s">
        <v>96</v>
      </c>
      <c r="B116" s="31">
        <v>45689</v>
      </c>
      <c r="C116" s="30">
        <f>YEAR(BInputReservoir[[#This Row],[Date]])</f>
        <v>2025</v>
      </c>
      <c r="D116" s="30">
        <f>MONTH(BInputReservoir[[#This Row],[Date]])</f>
        <v>2</v>
      </c>
      <c r="E116" s="30">
        <f>IF(I116&lt;&gt;1,"",DATA_INPUT!$K117)</f>
        <v>0</v>
      </c>
      <c r="F116" s="30">
        <f>STORAGE_BALANCE_ENSEMBLE!P117</f>
        <v>0</v>
      </c>
      <c r="G116" s="30">
        <f>STORAGE_BALANCE_ENSEMBLE!Q117</f>
        <v>0</v>
      </c>
      <c r="H116" s="30">
        <f>STORAGE_BALANCE_ENSEMBLE!O117</f>
        <v>31233172.162312958</v>
      </c>
      <c r="I116" s="18">
        <f>IF(STORAGE_BALANCE_ENSEMBLE!R117&lt;&gt;1,"",1)</f>
        <v>1</v>
      </c>
      <c r="J116" s="8">
        <f t="shared" si="9"/>
        <v>0</v>
      </c>
      <c r="K116" s="9">
        <f t="shared" si="10"/>
        <v>0</v>
      </c>
      <c r="L116" s="10">
        <f t="shared" si="11"/>
        <v>0</v>
      </c>
      <c r="M116" s="10">
        <f>IF(I116&lt;&gt;1,"",IF(H116="","",H116/CONTROL_PANEL!$B$11))</f>
        <v>0.62466344324625922</v>
      </c>
      <c r="N116" s="9">
        <f t="shared" si="12"/>
        <v>0</v>
      </c>
      <c r="O116" s="9">
        <f t="shared" si="13"/>
        <v>0</v>
      </c>
      <c r="P116" s="9">
        <f t="shared" si="14"/>
        <v>0</v>
      </c>
      <c r="Q116" s="9">
        <f t="shared" si="15"/>
        <v>0</v>
      </c>
      <c r="R116" s="11"/>
      <c r="S116" s="11" t="str">
        <f t="shared" si="16"/>
        <v>PASS</v>
      </c>
    </row>
    <row r="117" spans="1:19" x14ac:dyDescent="0.25">
      <c r="A117" s="30" t="s">
        <v>96</v>
      </c>
      <c r="B117" s="31">
        <v>45717</v>
      </c>
      <c r="C117" s="30">
        <f>YEAR(BInputReservoir[[#This Row],[Date]])</f>
        <v>2025</v>
      </c>
      <c r="D117" s="30">
        <f>MONTH(BInputReservoir[[#This Row],[Date]])</f>
        <v>3</v>
      </c>
      <c r="E117" s="30">
        <f>IF(I117&lt;&gt;1,"",DATA_INPUT!$K118)</f>
        <v>0</v>
      </c>
      <c r="F117" s="30">
        <f>STORAGE_BALANCE_ENSEMBLE!P118</f>
        <v>0</v>
      </c>
      <c r="G117" s="30">
        <f>STORAGE_BALANCE_ENSEMBLE!Q118</f>
        <v>0</v>
      </c>
      <c r="H117" s="30">
        <f>STORAGE_BALANCE_ENSEMBLE!O118</f>
        <v>35251853.139784545</v>
      </c>
      <c r="I117" s="18">
        <f>IF(STORAGE_BALANCE_ENSEMBLE!R118&lt;&gt;1,"",1)</f>
        <v>1</v>
      </c>
      <c r="J117" s="8">
        <f t="shared" si="9"/>
        <v>0</v>
      </c>
      <c r="K117" s="9">
        <f t="shared" si="10"/>
        <v>0</v>
      </c>
      <c r="L117" s="10">
        <f t="shared" si="11"/>
        <v>0</v>
      </c>
      <c r="M117" s="10">
        <f>IF(I117&lt;&gt;1,"",IF(H117="","",H117/CONTROL_PANEL!$B$11))</f>
        <v>0.70503706279569089</v>
      </c>
      <c r="N117" s="9">
        <f t="shared" si="12"/>
        <v>0</v>
      </c>
      <c r="O117" s="9">
        <f t="shared" si="13"/>
        <v>0</v>
      </c>
      <c r="P117" s="9">
        <f t="shared" si="14"/>
        <v>0</v>
      </c>
      <c r="Q117" s="9">
        <f t="shared" si="15"/>
        <v>0</v>
      </c>
      <c r="R117" s="11"/>
      <c r="S117" s="11" t="str">
        <f t="shared" si="16"/>
        <v>PASS</v>
      </c>
    </row>
    <row r="118" spans="1:19" x14ac:dyDescent="0.25">
      <c r="A118" s="30" t="s">
        <v>96</v>
      </c>
      <c r="B118" s="31">
        <v>45748</v>
      </c>
      <c r="C118" s="30">
        <f>YEAR(BInputReservoir[[#This Row],[Date]])</f>
        <v>2025</v>
      </c>
      <c r="D118" s="30">
        <f>MONTH(BInputReservoir[[#This Row],[Date]])</f>
        <v>4</v>
      </c>
      <c r="E118" s="30">
        <f>IF(I118&lt;&gt;1,"",DATA_INPUT!$K119)</f>
        <v>6454.052840286623</v>
      </c>
      <c r="F118" s="30">
        <f>STORAGE_BALANCE_ENSEMBLE!P119</f>
        <v>0</v>
      </c>
      <c r="G118" s="30">
        <f>STORAGE_BALANCE_ENSEMBLE!Q119</f>
        <v>0</v>
      </c>
      <c r="H118" s="30">
        <f>STORAGE_BALANCE_ENSEMBLE!O119</f>
        <v>36242972.145610586</v>
      </c>
      <c r="I118" s="18">
        <f>IF(STORAGE_BALANCE_ENSEMBLE!R119&lt;&gt;1,"",1)</f>
        <v>1</v>
      </c>
      <c r="J118" s="8">
        <f t="shared" si="9"/>
        <v>6454.052840286623</v>
      </c>
      <c r="K118" s="9">
        <f t="shared" si="10"/>
        <v>0</v>
      </c>
      <c r="L118" s="10">
        <f t="shared" si="11"/>
        <v>0</v>
      </c>
      <c r="M118" s="10">
        <f>IF(I118&lt;&gt;1,"",IF(H118="","",H118/CONTROL_PANEL!$B$11))</f>
        <v>0.72485944291221172</v>
      </c>
      <c r="N118" s="9">
        <f t="shared" si="12"/>
        <v>0</v>
      </c>
      <c r="O118" s="9">
        <f t="shared" si="13"/>
        <v>0</v>
      </c>
      <c r="P118" s="9">
        <f t="shared" si="14"/>
        <v>0</v>
      </c>
      <c r="Q118" s="9">
        <f t="shared" si="15"/>
        <v>0</v>
      </c>
      <c r="R118" s="11"/>
      <c r="S118" s="11" t="str">
        <f t="shared" si="16"/>
        <v>PASS</v>
      </c>
    </row>
    <row r="119" spans="1:19" x14ac:dyDescent="0.25">
      <c r="A119" s="30" t="s">
        <v>96</v>
      </c>
      <c r="B119" s="31">
        <v>45778</v>
      </c>
      <c r="C119" s="30">
        <f>YEAR(BInputReservoir[[#This Row],[Date]])</f>
        <v>2025</v>
      </c>
      <c r="D119" s="30">
        <f>MONTH(BInputReservoir[[#This Row],[Date]])</f>
        <v>5</v>
      </c>
      <c r="E119" s="30">
        <f>IF(I119&lt;&gt;1,"",DATA_INPUT!$K120)</f>
        <v>321056.75209649204</v>
      </c>
      <c r="F119" s="30">
        <f>STORAGE_BALANCE_ENSEMBLE!P120</f>
        <v>0</v>
      </c>
      <c r="G119" s="30">
        <f>STORAGE_BALANCE_ENSEMBLE!Q120</f>
        <v>0</v>
      </c>
      <c r="H119" s="30">
        <f>STORAGE_BALANCE_ENSEMBLE!O120</f>
        <v>35724898.900677525</v>
      </c>
      <c r="I119" s="18">
        <f>IF(STORAGE_BALANCE_ENSEMBLE!R120&lt;&gt;1,"",1)</f>
        <v>1</v>
      </c>
      <c r="J119" s="8">
        <f t="shared" si="9"/>
        <v>321056.75209649204</v>
      </c>
      <c r="K119" s="9">
        <f t="shared" si="10"/>
        <v>0</v>
      </c>
      <c r="L119" s="10">
        <f t="shared" si="11"/>
        <v>0</v>
      </c>
      <c r="M119" s="10">
        <f>IF(I119&lt;&gt;1,"",IF(H119="","",H119/CONTROL_PANEL!$B$11))</f>
        <v>0.71449797801355053</v>
      </c>
      <c r="N119" s="9">
        <f t="shared" si="12"/>
        <v>0</v>
      </c>
      <c r="O119" s="9">
        <f t="shared" si="13"/>
        <v>0</v>
      </c>
      <c r="P119" s="9">
        <f t="shared" si="14"/>
        <v>0</v>
      </c>
      <c r="Q119" s="9">
        <f t="shared" si="15"/>
        <v>0</v>
      </c>
      <c r="R119" s="11"/>
      <c r="S119" s="11" t="str">
        <f t="shared" si="16"/>
        <v>PASS</v>
      </c>
    </row>
    <row r="120" spans="1:19" x14ac:dyDescent="0.25">
      <c r="A120" s="30" t="s">
        <v>96</v>
      </c>
      <c r="B120" s="31">
        <v>45809</v>
      </c>
      <c r="C120" s="30">
        <f>YEAR(BInputReservoir[[#This Row],[Date]])</f>
        <v>2025</v>
      </c>
      <c r="D120" s="30">
        <f>MONTH(BInputReservoir[[#This Row],[Date]])</f>
        <v>6</v>
      </c>
      <c r="E120" s="30">
        <f>IF(I120&lt;&gt;1,"",DATA_INPUT!$K121)</f>
        <v>1186080.9397020265</v>
      </c>
      <c r="F120" s="30">
        <f>STORAGE_BALANCE_ENSEMBLE!P121</f>
        <v>0</v>
      </c>
      <c r="G120" s="30">
        <f>STORAGE_BALANCE_ENSEMBLE!Q121</f>
        <v>0</v>
      </c>
      <c r="H120" s="30">
        <f>STORAGE_BALANCE_ENSEMBLE!O121</f>
        <v>34142801.995688193</v>
      </c>
      <c r="I120" s="18">
        <f>IF(STORAGE_BALANCE_ENSEMBLE!R121&lt;&gt;1,"",1)</f>
        <v>1</v>
      </c>
      <c r="J120" s="8">
        <f t="shared" si="9"/>
        <v>1186080.9397020265</v>
      </c>
      <c r="K120" s="9">
        <f t="shared" si="10"/>
        <v>0</v>
      </c>
      <c r="L120" s="10">
        <f t="shared" si="11"/>
        <v>0</v>
      </c>
      <c r="M120" s="10">
        <f>IF(I120&lt;&gt;1,"",IF(H120="","",H120/CONTROL_PANEL!$B$11))</f>
        <v>0.68285603991376387</v>
      </c>
      <c r="N120" s="9">
        <f t="shared" si="12"/>
        <v>0</v>
      </c>
      <c r="O120" s="9">
        <f t="shared" si="13"/>
        <v>0</v>
      </c>
      <c r="P120" s="9">
        <f t="shared" si="14"/>
        <v>0</v>
      </c>
      <c r="Q120" s="9">
        <f t="shared" si="15"/>
        <v>0</v>
      </c>
      <c r="R120" s="11"/>
      <c r="S120" s="11" t="str">
        <f t="shared" si="16"/>
        <v>PASS</v>
      </c>
    </row>
    <row r="121" spans="1:19" x14ac:dyDescent="0.25">
      <c r="A121" s="30" t="s">
        <v>96</v>
      </c>
      <c r="B121" s="31">
        <v>45839</v>
      </c>
      <c r="C121" s="30">
        <f>YEAR(BInputReservoir[[#This Row],[Date]])</f>
        <v>2025</v>
      </c>
      <c r="D121" s="30">
        <f>MONTH(BInputReservoir[[#This Row],[Date]])</f>
        <v>7</v>
      </c>
      <c r="E121" s="30">
        <f>IF(I121&lt;&gt;1,"",DATA_INPUT!$K122)</f>
        <v>1756788.791461505</v>
      </c>
      <c r="F121" s="30">
        <f>STORAGE_BALANCE_ENSEMBLE!P122</f>
        <v>0</v>
      </c>
      <c r="G121" s="30">
        <f>STORAGE_BALANCE_ENSEMBLE!Q122</f>
        <v>0</v>
      </c>
      <c r="H121" s="30">
        <f>STORAGE_BALANCE_ENSEMBLE!O122</f>
        <v>31753915.860300101</v>
      </c>
      <c r="I121" s="18">
        <f>IF(STORAGE_BALANCE_ENSEMBLE!R122&lt;&gt;1,"",1)</f>
        <v>1</v>
      </c>
      <c r="J121" s="8">
        <f t="shared" si="9"/>
        <v>1756788.791461505</v>
      </c>
      <c r="K121" s="9">
        <f t="shared" si="10"/>
        <v>0</v>
      </c>
      <c r="L121" s="10">
        <f t="shared" si="11"/>
        <v>0</v>
      </c>
      <c r="M121" s="10">
        <f>IF(I121&lt;&gt;1,"",IF(H121="","",H121/CONTROL_PANEL!$B$11))</f>
        <v>0.63507831720600205</v>
      </c>
      <c r="N121" s="9">
        <f t="shared" si="12"/>
        <v>0</v>
      </c>
      <c r="O121" s="9">
        <f t="shared" si="13"/>
        <v>0</v>
      </c>
      <c r="P121" s="9">
        <f t="shared" si="14"/>
        <v>0</v>
      </c>
      <c r="Q121" s="9">
        <f t="shared" si="15"/>
        <v>0</v>
      </c>
      <c r="R121" s="11"/>
      <c r="S121" s="11" t="str">
        <f t="shared" si="16"/>
        <v>PASS</v>
      </c>
    </row>
    <row r="122" spans="1:19" x14ac:dyDescent="0.25">
      <c r="A122" s="30" t="s">
        <v>96</v>
      </c>
      <c r="B122" s="31">
        <v>45870</v>
      </c>
      <c r="C122" s="30">
        <f>YEAR(BInputReservoir[[#This Row],[Date]])</f>
        <v>2025</v>
      </c>
      <c r="D122" s="30">
        <f>MONTH(BInputReservoir[[#This Row],[Date]])</f>
        <v>8</v>
      </c>
      <c r="E122" s="30">
        <f>IF(I122&lt;&gt;1,"",DATA_INPUT!$K123)</f>
        <v>2143227.5237673512</v>
      </c>
      <c r="F122" s="30">
        <f>STORAGE_BALANCE_ENSEMBLE!P123</f>
        <v>0</v>
      </c>
      <c r="G122" s="30">
        <f>STORAGE_BALANCE_ENSEMBLE!Q123</f>
        <v>0</v>
      </c>
      <c r="H122" s="30">
        <f>STORAGE_BALANCE_ENSEMBLE!O123</f>
        <v>29044087.429699387</v>
      </c>
      <c r="I122" s="18">
        <f>IF(STORAGE_BALANCE_ENSEMBLE!R123&lt;&gt;1,"",1)</f>
        <v>1</v>
      </c>
      <c r="J122" s="8">
        <f t="shared" si="9"/>
        <v>2143227.5237673512</v>
      </c>
      <c r="K122" s="9">
        <f t="shared" si="10"/>
        <v>0</v>
      </c>
      <c r="L122" s="10">
        <f t="shared" si="11"/>
        <v>0</v>
      </c>
      <c r="M122" s="10">
        <f>IF(I122&lt;&gt;1,"",IF(H122="","",H122/CONTROL_PANEL!$B$11))</f>
        <v>0.58088174859398778</v>
      </c>
      <c r="N122" s="9">
        <f t="shared" si="12"/>
        <v>0</v>
      </c>
      <c r="O122" s="9">
        <f t="shared" si="13"/>
        <v>0</v>
      </c>
      <c r="P122" s="9">
        <f t="shared" si="14"/>
        <v>0</v>
      </c>
      <c r="Q122" s="9">
        <f t="shared" si="15"/>
        <v>0</v>
      </c>
      <c r="R122" s="11"/>
      <c r="S122" s="11" t="str">
        <f t="shared" si="16"/>
        <v>PASS</v>
      </c>
    </row>
    <row r="123" spans="1:19" x14ac:dyDescent="0.25">
      <c r="A123" s="30" t="s">
        <v>96</v>
      </c>
      <c r="B123" s="31">
        <v>45901</v>
      </c>
      <c r="C123" s="30">
        <f>YEAR(BInputReservoir[[#This Row],[Date]])</f>
        <v>2025</v>
      </c>
      <c r="D123" s="30">
        <f>MONTH(BInputReservoir[[#This Row],[Date]])</f>
        <v>9</v>
      </c>
      <c r="E123" s="30">
        <f>IF(I123&lt;&gt;1,"",DATA_INPUT!$K124)</f>
        <v>864793.42322262237</v>
      </c>
      <c r="F123" s="30">
        <f>STORAGE_BALANCE_ENSEMBLE!P124</f>
        <v>0</v>
      </c>
      <c r="G123" s="30">
        <f>STORAGE_BALANCE_ENSEMBLE!Q124</f>
        <v>0</v>
      </c>
      <c r="H123" s="30">
        <f>STORAGE_BALANCE_ENSEMBLE!O124</f>
        <v>27869971.137302488</v>
      </c>
      <c r="I123" s="18">
        <f>IF(STORAGE_BALANCE_ENSEMBLE!R124&lt;&gt;1,"",1)</f>
        <v>1</v>
      </c>
      <c r="J123" s="8">
        <f t="shared" si="9"/>
        <v>864793.42322262237</v>
      </c>
      <c r="K123" s="9">
        <f t="shared" si="10"/>
        <v>0</v>
      </c>
      <c r="L123" s="10">
        <f t="shared" si="11"/>
        <v>0</v>
      </c>
      <c r="M123" s="10">
        <f>IF(I123&lt;&gt;1,"",IF(H123="","",H123/CONTROL_PANEL!$B$11))</f>
        <v>0.55739942274604981</v>
      </c>
      <c r="N123" s="9">
        <f t="shared" si="12"/>
        <v>0</v>
      </c>
      <c r="O123" s="9">
        <f t="shared" si="13"/>
        <v>0</v>
      </c>
      <c r="P123" s="9">
        <f t="shared" si="14"/>
        <v>0</v>
      </c>
      <c r="Q123" s="9">
        <f t="shared" si="15"/>
        <v>0</v>
      </c>
      <c r="R123" s="11"/>
      <c r="S123" s="11" t="str">
        <f t="shared" si="16"/>
        <v>PASS</v>
      </c>
    </row>
    <row r="124" spans="1:19" x14ac:dyDescent="0.25">
      <c r="A124" s="30" t="s">
        <v>96</v>
      </c>
      <c r="B124" s="31">
        <v>45931</v>
      </c>
      <c r="C124" s="30">
        <f>YEAR(BInputReservoir[[#This Row],[Date]])</f>
        <v>2025</v>
      </c>
      <c r="D124" s="30">
        <f>MONTH(BInputReservoir[[#This Row],[Date]])</f>
        <v>10</v>
      </c>
      <c r="E124" s="30">
        <f>IF(I124&lt;&gt;1,"",DATA_INPUT!$K125)</f>
        <v>287875.77714133158</v>
      </c>
      <c r="F124" s="30">
        <f>STORAGE_BALANCE_ENSEMBLE!P125</f>
        <v>0</v>
      </c>
      <c r="G124" s="30">
        <f>STORAGE_BALANCE_ENSEMBLE!Q125</f>
        <v>0</v>
      </c>
      <c r="H124" s="30">
        <f>STORAGE_BALANCE_ENSEMBLE!O125</f>
        <v>27486749.361328222</v>
      </c>
      <c r="I124" s="18">
        <f>IF(STORAGE_BALANCE_ENSEMBLE!R125&lt;&gt;1,"",1)</f>
        <v>1</v>
      </c>
      <c r="J124" s="8">
        <f t="shared" si="9"/>
        <v>287875.77714133158</v>
      </c>
      <c r="K124" s="9">
        <f t="shared" si="10"/>
        <v>0</v>
      </c>
      <c r="L124" s="10">
        <f t="shared" si="11"/>
        <v>0</v>
      </c>
      <c r="M124" s="10">
        <f>IF(I124&lt;&gt;1,"",IF(H124="","",H124/CONTROL_PANEL!$B$11))</f>
        <v>0.54973498722656444</v>
      </c>
      <c r="N124" s="9">
        <f t="shared" si="12"/>
        <v>0</v>
      </c>
      <c r="O124" s="9">
        <f t="shared" si="13"/>
        <v>0</v>
      </c>
      <c r="P124" s="9">
        <f t="shared" si="14"/>
        <v>0</v>
      </c>
      <c r="Q124" s="9">
        <f t="shared" si="15"/>
        <v>0</v>
      </c>
      <c r="R124" s="11"/>
      <c r="S124" s="11" t="str">
        <f t="shared" si="16"/>
        <v>PASS</v>
      </c>
    </row>
    <row r="125" spans="1:19" x14ac:dyDescent="0.25">
      <c r="A125" s="30" t="s">
        <v>96</v>
      </c>
      <c r="B125" s="31">
        <v>45962</v>
      </c>
      <c r="C125" s="30">
        <f>YEAR(BInputReservoir[[#This Row],[Date]])</f>
        <v>2025</v>
      </c>
      <c r="D125" s="30">
        <f>MONTH(BInputReservoir[[#This Row],[Date]])</f>
        <v>11</v>
      </c>
      <c r="E125" s="30">
        <f>IF(I125&lt;&gt;1,"",DATA_INPUT!$K126)</f>
        <v>0</v>
      </c>
      <c r="F125" s="30">
        <f>STORAGE_BALANCE_ENSEMBLE!P126</f>
        <v>0</v>
      </c>
      <c r="G125" s="30">
        <f>STORAGE_BALANCE_ENSEMBLE!Q126</f>
        <v>0</v>
      </c>
      <c r="H125" s="30">
        <f>STORAGE_BALANCE_ENSEMBLE!O126</f>
        <v>29871856.455386285</v>
      </c>
      <c r="I125" s="18">
        <f>IF(STORAGE_BALANCE_ENSEMBLE!R126&lt;&gt;1,"",1)</f>
        <v>1</v>
      </c>
      <c r="J125" s="8">
        <f t="shared" si="9"/>
        <v>0</v>
      </c>
      <c r="K125" s="9">
        <f t="shared" si="10"/>
        <v>0</v>
      </c>
      <c r="L125" s="10">
        <f t="shared" si="11"/>
        <v>0</v>
      </c>
      <c r="M125" s="10">
        <f>IF(I125&lt;&gt;1,"",IF(H125="","",H125/CONTROL_PANEL!$B$11))</f>
        <v>0.59743712910772573</v>
      </c>
      <c r="N125" s="9">
        <f t="shared" si="12"/>
        <v>0</v>
      </c>
      <c r="O125" s="9">
        <f t="shared" si="13"/>
        <v>0</v>
      </c>
      <c r="P125" s="9">
        <f t="shared" si="14"/>
        <v>0</v>
      </c>
      <c r="Q125" s="9">
        <f t="shared" si="15"/>
        <v>0</v>
      </c>
      <c r="R125" s="11"/>
      <c r="S125" s="11" t="str">
        <f t="shared" si="16"/>
        <v>PASS</v>
      </c>
    </row>
    <row r="126" spans="1:19" x14ac:dyDescent="0.25">
      <c r="A126" s="30" t="s">
        <v>96</v>
      </c>
      <c r="B126" s="31">
        <v>45992</v>
      </c>
      <c r="C126" s="30">
        <f>YEAR(BInputReservoir[[#This Row],[Date]])</f>
        <v>2025</v>
      </c>
      <c r="D126" s="30">
        <f>MONTH(BInputReservoir[[#This Row],[Date]])</f>
        <v>12</v>
      </c>
      <c r="E126" s="30">
        <f>IF(I126&lt;&gt;1,"",DATA_INPUT!$K127)</f>
        <v>0</v>
      </c>
      <c r="F126" s="30">
        <f>STORAGE_BALANCE_ENSEMBLE!P127</f>
        <v>0</v>
      </c>
      <c r="G126" s="30">
        <f>STORAGE_BALANCE_ENSEMBLE!Q127</f>
        <v>0</v>
      </c>
      <c r="H126" s="30">
        <f>STORAGE_BALANCE_ENSEMBLE!O127</f>
        <v>39168207.735609636</v>
      </c>
      <c r="I126" s="18">
        <f>IF(STORAGE_BALANCE_ENSEMBLE!R127&lt;&gt;1,"",1)</f>
        <v>1</v>
      </c>
      <c r="J126" s="8">
        <f t="shared" si="9"/>
        <v>0</v>
      </c>
      <c r="K126" s="9">
        <f t="shared" si="10"/>
        <v>0</v>
      </c>
      <c r="L126" s="10">
        <f t="shared" si="11"/>
        <v>0</v>
      </c>
      <c r="M126" s="10">
        <f>IF(I126&lt;&gt;1,"",IF(H126="","",H126/CONTROL_PANEL!$B$11))</f>
        <v>0.78336415471219267</v>
      </c>
      <c r="N126" s="9">
        <f t="shared" si="12"/>
        <v>0</v>
      </c>
      <c r="O126" s="9">
        <f t="shared" si="13"/>
        <v>0</v>
      </c>
      <c r="P126" s="9">
        <f t="shared" si="14"/>
        <v>0</v>
      </c>
      <c r="Q126" s="9">
        <f t="shared" si="15"/>
        <v>0</v>
      </c>
      <c r="R126" s="11"/>
      <c r="S126" s="11" t="str">
        <f t="shared" si="16"/>
        <v>PASS</v>
      </c>
    </row>
    <row r="127" spans="1:19" x14ac:dyDescent="0.25">
      <c r="A127" s="30" t="s">
        <v>96</v>
      </c>
      <c r="B127" s="31">
        <v>46023</v>
      </c>
      <c r="C127" s="30">
        <f>YEAR(BInputReservoir[[#This Row],[Date]])</f>
        <v>2026</v>
      </c>
      <c r="D127" s="30">
        <f>MONTH(BInputReservoir[[#This Row],[Date]])</f>
        <v>1</v>
      </c>
      <c r="E127" s="30">
        <f>IF(I127&lt;&gt;1,"",DATA_INPUT!$K128)</f>
        <v>0</v>
      </c>
      <c r="F127" s="30">
        <f>STORAGE_BALANCE_ENSEMBLE!P128</f>
        <v>4443688.4775522649</v>
      </c>
      <c r="G127" s="30">
        <f>STORAGE_BALANCE_ENSEMBLE!Q128</f>
        <v>0</v>
      </c>
      <c r="H127" s="30">
        <f>STORAGE_BALANCE_ENSEMBLE!O128</f>
        <v>54443688.477552265</v>
      </c>
      <c r="I127" s="18">
        <f>IF(STORAGE_BALANCE_ENSEMBLE!R128&lt;&gt;1,"",1)</f>
        <v>1</v>
      </c>
      <c r="J127" s="8">
        <f t="shared" si="9"/>
        <v>0</v>
      </c>
      <c r="K127" s="9">
        <f t="shared" si="10"/>
        <v>0</v>
      </c>
      <c r="L127" s="10">
        <f t="shared" si="11"/>
        <v>0</v>
      </c>
      <c r="M127" s="10">
        <f>IF(I127&lt;&gt;1,"",IF(H127="","",H127/CONTROL_PANEL!$B$11))</f>
        <v>1.0888737695510453</v>
      </c>
      <c r="N127" s="9">
        <f t="shared" si="12"/>
        <v>0</v>
      </c>
      <c r="O127" s="9">
        <f t="shared" si="13"/>
        <v>0</v>
      </c>
      <c r="P127" s="9">
        <f t="shared" si="14"/>
        <v>1</v>
      </c>
      <c r="Q127" s="9">
        <f t="shared" si="15"/>
        <v>0</v>
      </c>
      <c r="R127" s="11"/>
      <c r="S127" s="11" t="str">
        <f t="shared" si="16"/>
        <v>PASS</v>
      </c>
    </row>
    <row r="128" spans="1:19" x14ac:dyDescent="0.25">
      <c r="A128" s="30" t="s">
        <v>96</v>
      </c>
      <c r="B128" s="31">
        <v>46054</v>
      </c>
      <c r="C128" s="30">
        <f>YEAR(BInputReservoir[[#This Row],[Date]])</f>
        <v>2026</v>
      </c>
      <c r="D128" s="30">
        <f>MONTH(BInputReservoir[[#This Row],[Date]])</f>
        <v>2</v>
      </c>
      <c r="E128" s="30">
        <f>IF(I128&lt;&gt;1,"",DATA_INPUT!$K129)</f>
        <v>0</v>
      </c>
      <c r="F128" s="30">
        <f>STORAGE_BALANCE_ENSEMBLE!P129</f>
        <v>3914200.028947033</v>
      </c>
      <c r="G128" s="30">
        <f>STORAGE_BALANCE_ENSEMBLE!Q129</f>
        <v>0</v>
      </c>
      <c r="H128" s="30">
        <f>STORAGE_BALANCE_ENSEMBLE!O129</f>
        <v>53914200.028947033</v>
      </c>
      <c r="I128" s="18">
        <f>IF(STORAGE_BALANCE_ENSEMBLE!R129&lt;&gt;1,"",1)</f>
        <v>1</v>
      </c>
      <c r="J128" s="8">
        <f t="shared" si="9"/>
        <v>0</v>
      </c>
      <c r="K128" s="9">
        <f t="shared" si="10"/>
        <v>0</v>
      </c>
      <c r="L128" s="10">
        <f t="shared" si="11"/>
        <v>0</v>
      </c>
      <c r="M128" s="10">
        <f>IF(I128&lt;&gt;1,"",IF(H128="","",H128/CONTROL_PANEL!$B$11))</f>
        <v>1.0782840005789407</v>
      </c>
      <c r="N128" s="9">
        <f t="shared" si="12"/>
        <v>0</v>
      </c>
      <c r="O128" s="9">
        <f t="shared" si="13"/>
        <v>0</v>
      </c>
      <c r="P128" s="9">
        <f t="shared" si="14"/>
        <v>1</v>
      </c>
      <c r="Q128" s="9">
        <f t="shared" si="15"/>
        <v>0</v>
      </c>
      <c r="R128" s="11"/>
      <c r="S128" s="11" t="str">
        <f t="shared" si="16"/>
        <v>PASS</v>
      </c>
    </row>
    <row r="129" spans="1:19" x14ac:dyDescent="0.25">
      <c r="A129" s="30" t="s">
        <v>96</v>
      </c>
      <c r="B129" s="31">
        <v>46082</v>
      </c>
      <c r="C129" s="30">
        <f>YEAR(BInputReservoir[[#This Row],[Date]])</f>
        <v>2026</v>
      </c>
      <c r="D129" s="30">
        <f>MONTH(BInputReservoir[[#This Row],[Date]])</f>
        <v>3</v>
      </c>
      <c r="E129" s="30">
        <f>IF(I129&lt;&gt;1,"",DATA_INPUT!$K130)</f>
        <v>0</v>
      </c>
      <c r="F129" s="30">
        <f>STORAGE_BALANCE_ENSEMBLE!P130</f>
        <v>593316.7343211174</v>
      </c>
      <c r="G129" s="30">
        <f>STORAGE_BALANCE_ENSEMBLE!Q130</f>
        <v>0</v>
      </c>
      <c r="H129" s="30">
        <f>STORAGE_BALANCE_ENSEMBLE!O130</f>
        <v>50593316.734321117</v>
      </c>
      <c r="I129" s="18">
        <f>IF(STORAGE_BALANCE_ENSEMBLE!R130&lt;&gt;1,"",1)</f>
        <v>1</v>
      </c>
      <c r="J129" s="8">
        <f t="shared" si="9"/>
        <v>0</v>
      </c>
      <c r="K129" s="9">
        <f t="shared" si="10"/>
        <v>0</v>
      </c>
      <c r="L129" s="10">
        <f t="shared" si="11"/>
        <v>0</v>
      </c>
      <c r="M129" s="10">
        <f>IF(I129&lt;&gt;1,"",IF(H129="","",H129/CONTROL_PANEL!$B$11))</f>
        <v>1.0118663346864223</v>
      </c>
      <c r="N129" s="9">
        <f t="shared" si="12"/>
        <v>0</v>
      </c>
      <c r="O129" s="9">
        <f t="shared" si="13"/>
        <v>0</v>
      </c>
      <c r="P129" s="9">
        <f t="shared" si="14"/>
        <v>1</v>
      </c>
      <c r="Q129" s="9">
        <f t="shared" si="15"/>
        <v>0</v>
      </c>
      <c r="R129" s="11"/>
      <c r="S129" s="11" t="str">
        <f t="shared" si="16"/>
        <v>PASS</v>
      </c>
    </row>
    <row r="130" spans="1:19" x14ac:dyDescent="0.25">
      <c r="A130" s="30" t="s">
        <v>96</v>
      </c>
      <c r="B130" s="31">
        <v>46113</v>
      </c>
      <c r="C130" s="30">
        <f>YEAR(BInputReservoir[[#This Row],[Date]])</f>
        <v>2026</v>
      </c>
      <c r="D130" s="30">
        <f>MONTH(BInputReservoir[[#This Row],[Date]])</f>
        <v>4</v>
      </c>
      <c r="E130" s="30">
        <f>IF(I130&lt;&gt;1,"",DATA_INPUT!$K131)</f>
        <v>6454.052840286623</v>
      </c>
      <c r="F130" s="30">
        <f>STORAGE_BALANCE_ENSEMBLE!P131</f>
        <v>0</v>
      </c>
      <c r="G130" s="30">
        <f>STORAGE_BALANCE_ENSEMBLE!Q131</f>
        <v>0</v>
      </c>
      <c r="H130" s="30">
        <f>STORAGE_BALANCE_ENSEMBLE!O131</f>
        <v>49754246.67805177</v>
      </c>
      <c r="I130" s="18">
        <f>IF(STORAGE_BALANCE_ENSEMBLE!R131&lt;&gt;1,"",1)</f>
        <v>1</v>
      </c>
      <c r="J130" s="8">
        <f t="shared" si="9"/>
        <v>6454.052840286623</v>
      </c>
      <c r="K130" s="9">
        <f t="shared" si="10"/>
        <v>0</v>
      </c>
      <c r="L130" s="10">
        <f t="shared" si="11"/>
        <v>0</v>
      </c>
      <c r="M130" s="10">
        <f>IF(I130&lt;&gt;1,"",IF(H130="","",H130/CONTROL_PANEL!$B$11))</f>
        <v>0.99508493356103545</v>
      </c>
      <c r="N130" s="9">
        <f t="shared" si="12"/>
        <v>0</v>
      </c>
      <c r="O130" s="9">
        <f t="shared" si="13"/>
        <v>0</v>
      </c>
      <c r="P130" s="9">
        <f t="shared" si="14"/>
        <v>0</v>
      </c>
      <c r="Q130" s="9">
        <f t="shared" si="15"/>
        <v>0</v>
      </c>
      <c r="R130" s="11"/>
      <c r="S130" s="11" t="str">
        <f t="shared" si="16"/>
        <v>PASS</v>
      </c>
    </row>
    <row r="131" spans="1:19" x14ac:dyDescent="0.25">
      <c r="A131" s="30" t="s">
        <v>96</v>
      </c>
      <c r="B131" s="31">
        <v>46143</v>
      </c>
      <c r="C131" s="30">
        <f>YEAR(BInputReservoir[[#This Row],[Date]])</f>
        <v>2026</v>
      </c>
      <c r="D131" s="30">
        <f>MONTH(BInputReservoir[[#This Row],[Date]])</f>
        <v>5</v>
      </c>
      <c r="E131" s="30">
        <f>IF(I131&lt;&gt;1,"",DATA_INPUT!$K132)</f>
        <v>321056.75209649204</v>
      </c>
      <c r="F131" s="30">
        <f>STORAGE_BALANCE_ENSEMBLE!P132</f>
        <v>0</v>
      </c>
      <c r="G131" s="30">
        <f>STORAGE_BALANCE_ENSEMBLE!Q132</f>
        <v>0</v>
      </c>
      <c r="H131" s="30">
        <f>STORAGE_BALANCE_ENSEMBLE!O132</f>
        <v>48959129.30947613</v>
      </c>
      <c r="I131" s="18">
        <f>IF(STORAGE_BALANCE_ENSEMBLE!R132&lt;&gt;1,"",1)</f>
        <v>1</v>
      </c>
      <c r="J131" s="8">
        <f t="shared" si="9"/>
        <v>321056.75209649204</v>
      </c>
      <c r="K131" s="9">
        <f t="shared" si="10"/>
        <v>0</v>
      </c>
      <c r="L131" s="10">
        <f t="shared" si="11"/>
        <v>0</v>
      </c>
      <c r="M131" s="10">
        <f>IF(I131&lt;&gt;1,"",IF(H131="","",H131/CONTROL_PANEL!$B$11))</f>
        <v>0.97918258618952259</v>
      </c>
      <c r="N131" s="9">
        <f t="shared" si="12"/>
        <v>0</v>
      </c>
      <c r="O131" s="9">
        <f t="shared" si="13"/>
        <v>0</v>
      </c>
      <c r="P131" s="9">
        <f t="shared" si="14"/>
        <v>0</v>
      </c>
      <c r="Q131" s="9">
        <f t="shared" si="15"/>
        <v>0</v>
      </c>
      <c r="R131" s="11"/>
      <c r="S131" s="11" t="str">
        <f t="shared" si="16"/>
        <v>PASS</v>
      </c>
    </row>
    <row r="132" spans="1:19" x14ac:dyDescent="0.25">
      <c r="A132" s="30" t="s">
        <v>96</v>
      </c>
      <c r="B132" s="31">
        <v>46174</v>
      </c>
      <c r="C132" s="30">
        <f>YEAR(BInputReservoir[[#This Row],[Date]])</f>
        <v>2026</v>
      </c>
      <c r="D132" s="30">
        <f>MONTH(BInputReservoir[[#This Row],[Date]])</f>
        <v>6</v>
      </c>
      <c r="E132" s="30" t="str">
        <f>IF(I132&lt;&gt;1,"",DATA_INPUT!$K133)</f>
        <v/>
      </c>
      <c r="F132" s="30" t="str">
        <f>STORAGE_BALANCE_ENSEMBLE!P133</f>
        <v/>
      </c>
      <c r="G132" s="30" t="str">
        <f>STORAGE_BALANCE_ENSEMBLE!Q133</f>
        <v/>
      </c>
      <c r="H132" s="30" t="str">
        <f>STORAGE_BALANCE_ENSEMBLE!O133</f>
        <v/>
      </c>
      <c r="I132" s="18" t="str">
        <f>IF(STORAGE_BALANCE_ENSEMBLE!R133&lt;&gt;1,"",1)</f>
        <v/>
      </c>
      <c r="J132" s="8" t="str">
        <f t="shared" si="9"/>
        <v/>
      </c>
      <c r="K132" s="9" t="str">
        <f t="shared" si="10"/>
        <v/>
      </c>
      <c r="L132" s="10" t="str">
        <f t="shared" si="11"/>
        <v/>
      </c>
      <c r="M132" s="10" t="str">
        <f>IF(I132&lt;&gt;1,"",IF(H132="","",H132/CONTROL_PANEL!$B$11))</f>
        <v/>
      </c>
      <c r="N132" s="9" t="str">
        <f t="shared" si="12"/>
        <v/>
      </c>
      <c r="O132" s="9" t="str">
        <f t="shared" si="13"/>
        <v/>
      </c>
      <c r="P132" s="9" t="str">
        <f t="shared" si="14"/>
        <v/>
      </c>
      <c r="Q132" s="9" t="str">
        <f t="shared" si="15"/>
        <v/>
      </c>
      <c r="R132" s="11"/>
      <c r="S132" s="11" t="str">
        <f t="shared" si="16"/>
        <v>PASS</v>
      </c>
    </row>
    <row r="133" spans="1:19" x14ac:dyDescent="0.25">
      <c r="A133" s="30" t="s">
        <v>96</v>
      </c>
      <c r="B133" s="31">
        <v>46204</v>
      </c>
      <c r="C133" s="30">
        <f>YEAR(BInputReservoir[[#This Row],[Date]])</f>
        <v>2026</v>
      </c>
      <c r="D133" s="30">
        <f>MONTH(BInputReservoir[[#This Row],[Date]])</f>
        <v>7</v>
      </c>
      <c r="E133" s="30" t="str">
        <f>IF(I133&lt;&gt;1,"",DATA_INPUT!$K134)</f>
        <v/>
      </c>
      <c r="F133" s="30" t="str">
        <f>STORAGE_BALANCE_ENSEMBLE!P134</f>
        <v/>
      </c>
      <c r="G133" s="30" t="str">
        <f>STORAGE_BALANCE_ENSEMBLE!Q134</f>
        <v/>
      </c>
      <c r="H133" s="30" t="str">
        <f>STORAGE_BALANCE_ENSEMBLE!O134</f>
        <v/>
      </c>
      <c r="I133" s="18" t="str">
        <f>IF(STORAGE_BALANCE_ENSEMBLE!R134&lt;&gt;1,"",1)</f>
        <v/>
      </c>
      <c r="J133" s="8" t="str">
        <f t="shared" ref="J133:J196" si="17">IF(I133&lt;&gt;1,"",IF(E133="","",MAX(0,E133-G133)))</f>
        <v/>
      </c>
      <c r="K133" s="9" t="str">
        <f t="shared" ref="K133:K196" si="18">IF(I133&lt;&gt;1,"",IF(OR(G133="",E133=""),"",IF(G133&gt;0,1,0)))</f>
        <v/>
      </c>
      <c r="L133" s="10" t="str">
        <f t="shared" ref="L133:L196" si="19">IF(I133&lt;&gt;1,"",IF(AND(K133=1,E133&gt;0),G133/E133,0))</f>
        <v/>
      </c>
      <c r="M133" s="10" t="str">
        <f>IF(I133&lt;&gt;1,"",IF(H133="","",H133/CONTROL_PANEL!$B$11))</f>
        <v/>
      </c>
      <c r="N133" s="9" t="str">
        <f t="shared" ref="N133:N196" si="20">IF(I133&lt;&gt;1,"",IF(AND(K133=1,A134=A133),1,0))</f>
        <v/>
      </c>
      <c r="O133" s="9" t="str">
        <f t="shared" ref="O133:O196" si="21">IF(I133&lt;&gt;1,"",IF(AND(K133=1,A134=A133,K134=0),1,0))</f>
        <v/>
      </c>
      <c r="P133" s="9" t="str">
        <f t="shared" ref="P133:P196" si="22">IF(I133&lt;&gt;1,"",IF(F133&gt;0,1,0))</f>
        <v/>
      </c>
      <c r="Q133" s="9" t="str">
        <f t="shared" ref="Q133:Q196" si="23">IF(I133&lt;&gt;1,"",IF(G133&gt;0,1,0))</f>
        <v/>
      </c>
      <c r="R133" s="11"/>
      <c r="S133" s="11" t="str">
        <f t="shared" ref="S133:S196" si="24">IF(COUNTA(A133:H133)=0,"",IF(OR(A133="",C133="",D133=""),"ERROR: missing key fields","PASS"))</f>
        <v>PASS</v>
      </c>
    </row>
    <row r="134" spans="1:19" x14ac:dyDescent="0.25">
      <c r="A134" s="30" t="s">
        <v>96</v>
      </c>
      <c r="B134" s="31">
        <v>46235</v>
      </c>
      <c r="C134" s="30">
        <f>YEAR(BInputReservoir[[#This Row],[Date]])</f>
        <v>2026</v>
      </c>
      <c r="D134" s="30">
        <f>MONTH(BInputReservoir[[#This Row],[Date]])</f>
        <v>8</v>
      </c>
      <c r="E134" s="30" t="str">
        <f>IF(I134&lt;&gt;1,"",DATA_INPUT!$K135)</f>
        <v/>
      </c>
      <c r="F134" s="30" t="str">
        <f>STORAGE_BALANCE_ENSEMBLE!P135</f>
        <v/>
      </c>
      <c r="G134" s="30" t="str">
        <f>STORAGE_BALANCE_ENSEMBLE!Q135</f>
        <v/>
      </c>
      <c r="H134" s="30" t="str">
        <f>STORAGE_BALANCE_ENSEMBLE!O135</f>
        <v/>
      </c>
      <c r="I134" s="18" t="str">
        <f>IF(STORAGE_BALANCE_ENSEMBLE!R135&lt;&gt;1,"",1)</f>
        <v/>
      </c>
      <c r="J134" s="8" t="str">
        <f t="shared" si="17"/>
        <v/>
      </c>
      <c r="K134" s="9" t="str">
        <f t="shared" si="18"/>
        <v/>
      </c>
      <c r="L134" s="10" t="str">
        <f t="shared" si="19"/>
        <v/>
      </c>
      <c r="M134" s="10" t="str">
        <f>IF(I134&lt;&gt;1,"",IF(H134="","",H134/CONTROL_PANEL!$B$11))</f>
        <v/>
      </c>
      <c r="N134" s="9" t="str">
        <f t="shared" si="20"/>
        <v/>
      </c>
      <c r="O134" s="9" t="str">
        <f t="shared" si="21"/>
        <v/>
      </c>
      <c r="P134" s="9" t="str">
        <f t="shared" si="22"/>
        <v/>
      </c>
      <c r="Q134" s="9" t="str">
        <f t="shared" si="23"/>
        <v/>
      </c>
      <c r="R134" s="11"/>
      <c r="S134" s="11" t="str">
        <f t="shared" si="24"/>
        <v>PASS</v>
      </c>
    </row>
    <row r="135" spans="1:19" x14ac:dyDescent="0.25">
      <c r="A135" s="30" t="s">
        <v>96</v>
      </c>
      <c r="B135" s="31">
        <v>46266</v>
      </c>
      <c r="C135" s="30">
        <f>YEAR(BInputReservoir[[#This Row],[Date]])</f>
        <v>2026</v>
      </c>
      <c r="D135" s="30">
        <f>MONTH(BInputReservoir[[#This Row],[Date]])</f>
        <v>9</v>
      </c>
      <c r="E135" s="30" t="str">
        <f>IF(I135&lt;&gt;1,"",DATA_INPUT!$K136)</f>
        <v/>
      </c>
      <c r="F135" s="30" t="str">
        <f>STORAGE_BALANCE_ENSEMBLE!P136</f>
        <v/>
      </c>
      <c r="G135" s="30" t="str">
        <f>STORAGE_BALANCE_ENSEMBLE!Q136</f>
        <v/>
      </c>
      <c r="H135" s="30" t="str">
        <f>STORAGE_BALANCE_ENSEMBLE!O136</f>
        <v/>
      </c>
      <c r="I135" s="18" t="str">
        <f>IF(STORAGE_BALANCE_ENSEMBLE!R136&lt;&gt;1,"",1)</f>
        <v/>
      </c>
      <c r="J135" s="8" t="str">
        <f t="shared" si="17"/>
        <v/>
      </c>
      <c r="K135" s="9" t="str">
        <f t="shared" si="18"/>
        <v/>
      </c>
      <c r="L135" s="10" t="str">
        <f t="shared" si="19"/>
        <v/>
      </c>
      <c r="M135" s="10" t="str">
        <f>IF(I135&lt;&gt;1,"",IF(H135="","",H135/CONTROL_PANEL!$B$11))</f>
        <v/>
      </c>
      <c r="N135" s="9" t="str">
        <f t="shared" si="20"/>
        <v/>
      </c>
      <c r="O135" s="9" t="str">
        <f t="shared" si="21"/>
        <v/>
      </c>
      <c r="P135" s="9" t="str">
        <f t="shared" si="22"/>
        <v/>
      </c>
      <c r="Q135" s="9" t="str">
        <f t="shared" si="23"/>
        <v/>
      </c>
      <c r="R135" s="11"/>
      <c r="S135" s="11" t="str">
        <f t="shared" si="24"/>
        <v>PASS</v>
      </c>
    </row>
    <row r="136" spans="1:19" x14ac:dyDescent="0.25">
      <c r="A136" s="30" t="s">
        <v>96</v>
      </c>
      <c r="B136" s="31">
        <v>46296</v>
      </c>
      <c r="C136" s="30">
        <f>YEAR(BInputReservoir[[#This Row],[Date]])</f>
        <v>2026</v>
      </c>
      <c r="D136" s="30">
        <f>MONTH(BInputReservoir[[#This Row],[Date]])</f>
        <v>10</v>
      </c>
      <c r="E136" s="30" t="str">
        <f>IF(I136&lt;&gt;1,"",DATA_INPUT!$K137)</f>
        <v/>
      </c>
      <c r="F136" s="30" t="str">
        <f>STORAGE_BALANCE_ENSEMBLE!P137</f>
        <v/>
      </c>
      <c r="G136" s="30" t="str">
        <f>STORAGE_BALANCE_ENSEMBLE!Q137</f>
        <v/>
      </c>
      <c r="H136" s="30" t="str">
        <f>STORAGE_BALANCE_ENSEMBLE!O137</f>
        <v/>
      </c>
      <c r="I136" s="18" t="str">
        <f>IF(STORAGE_BALANCE_ENSEMBLE!R137&lt;&gt;1,"",1)</f>
        <v/>
      </c>
      <c r="J136" s="8" t="str">
        <f t="shared" si="17"/>
        <v/>
      </c>
      <c r="K136" s="9" t="str">
        <f t="shared" si="18"/>
        <v/>
      </c>
      <c r="L136" s="10" t="str">
        <f t="shared" si="19"/>
        <v/>
      </c>
      <c r="M136" s="10" t="str">
        <f>IF(I136&lt;&gt;1,"",IF(H136="","",H136/CONTROL_PANEL!$B$11))</f>
        <v/>
      </c>
      <c r="N136" s="9" t="str">
        <f t="shared" si="20"/>
        <v/>
      </c>
      <c r="O136" s="9" t="str">
        <f t="shared" si="21"/>
        <v/>
      </c>
      <c r="P136" s="9" t="str">
        <f t="shared" si="22"/>
        <v/>
      </c>
      <c r="Q136" s="9" t="str">
        <f t="shared" si="23"/>
        <v/>
      </c>
      <c r="R136" s="11"/>
      <c r="S136" s="11" t="str">
        <f t="shared" si="24"/>
        <v>PASS</v>
      </c>
    </row>
    <row r="137" spans="1:19" x14ac:dyDescent="0.25">
      <c r="A137" s="30" t="s">
        <v>96</v>
      </c>
      <c r="B137" s="31">
        <v>46327</v>
      </c>
      <c r="C137" s="30">
        <f>YEAR(BInputReservoir[[#This Row],[Date]])</f>
        <v>2026</v>
      </c>
      <c r="D137" s="30">
        <f>MONTH(BInputReservoir[[#This Row],[Date]])</f>
        <v>11</v>
      </c>
      <c r="E137" s="30" t="str">
        <f>IF(I137&lt;&gt;1,"",DATA_INPUT!$K138)</f>
        <v/>
      </c>
      <c r="F137" s="30" t="str">
        <f>STORAGE_BALANCE_ENSEMBLE!P138</f>
        <v/>
      </c>
      <c r="G137" s="30" t="str">
        <f>STORAGE_BALANCE_ENSEMBLE!Q138</f>
        <v/>
      </c>
      <c r="H137" s="30" t="str">
        <f>STORAGE_BALANCE_ENSEMBLE!O138</f>
        <v/>
      </c>
      <c r="I137" s="18" t="str">
        <f>IF(STORAGE_BALANCE_ENSEMBLE!R138&lt;&gt;1,"",1)</f>
        <v/>
      </c>
      <c r="J137" s="8" t="str">
        <f t="shared" si="17"/>
        <v/>
      </c>
      <c r="K137" s="9" t="str">
        <f t="shared" si="18"/>
        <v/>
      </c>
      <c r="L137" s="10" t="str">
        <f t="shared" si="19"/>
        <v/>
      </c>
      <c r="M137" s="10" t="str">
        <f>IF(I137&lt;&gt;1,"",IF(H137="","",H137/CONTROL_PANEL!$B$11))</f>
        <v/>
      </c>
      <c r="N137" s="9" t="str">
        <f t="shared" si="20"/>
        <v/>
      </c>
      <c r="O137" s="9" t="str">
        <f t="shared" si="21"/>
        <v/>
      </c>
      <c r="P137" s="9" t="str">
        <f t="shared" si="22"/>
        <v/>
      </c>
      <c r="Q137" s="9" t="str">
        <f t="shared" si="23"/>
        <v/>
      </c>
      <c r="R137" s="11"/>
      <c r="S137" s="11" t="str">
        <f t="shared" si="24"/>
        <v>PASS</v>
      </c>
    </row>
    <row r="138" spans="1:19" x14ac:dyDescent="0.25">
      <c r="A138" s="30" t="s">
        <v>96</v>
      </c>
      <c r="B138" s="31">
        <v>46357</v>
      </c>
      <c r="C138" s="30">
        <f>YEAR(BInputReservoir[[#This Row],[Date]])</f>
        <v>2026</v>
      </c>
      <c r="D138" s="30">
        <f>MONTH(BInputReservoir[[#This Row],[Date]])</f>
        <v>12</v>
      </c>
      <c r="E138" s="30" t="str">
        <f>IF(I138&lt;&gt;1,"",DATA_INPUT!$K139)</f>
        <v/>
      </c>
      <c r="F138" s="30" t="str">
        <f>STORAGE_BALANCE_ENSEMBLE!P139</f>
        <v/>
      </c>
      <c r="G138" s="30" t="str">
        <f>STORAGE_BALANCE_ENSEMBLE!Q139</f>
        <v/>
      </c>
      <c r="H138" s="30" t="str">
        <f>STORAGE_BALANCE_ENSEMBLE!O139</f>
        <v/>
      </c>
      <c r="I138" s="18" t="str">
        <f>IF(STORAGE_BALANCE_ENSEMBLE!R139&lt;&gt;1,"",1)</f>
        <v/>
      </c>
      <c r="J138" s="8" t="str">
        <f t="shared" si="17"/>
        <v/>
      </c>
      <c r="K138" s="9" t="str">
        <f t="shared" si="18"/>
        <v/>
      </c>
      <c r="L138" s="10" t="str">
        <f t="shared" si="19"/>
        <v/>
      </c>
      <c r="M138" s="10" t="str">
        <f>IF(I138&lt;&gt;1,"",IF(H138="","",H138/CONTROL_PANEL!$B$11))</f>
        <v/>
      </c>
      <c r="N138" s="9" t="str">
        <f t="shared" si="20"/>
        <v/>
      </c>
      <c r="O138" s="9" t="str">
        <f t="shared" si="21"/>
        <v/>
      </c>
      <c r="P138" s="9" t="str">
        <f t="shared" si="22"/>
        <v/>
      </c>
      <c r="Q138" s="9" t="str">
        <f t="shared" si="23"/>
        <v/>
      </c>
      <c r="R138" s="11"/>
      <c r="S138" s="11" t="str">
        <f t="shared" si="24"/>
        <v>PASS</v>
      </c>
    </row>
    <row r="139" spans="1:19" x14ac:dyDescent="0.25">
      <c r="A139" s="30" t="s">
        <v>96</v>
      </c>
      <c r="B139" s="31">
        <v>46388</v>
      </c>
      <c r="C139" s="30">
        <f>YEAR(BInputReservoir[[#This Row],[Date]])</f>
        <v>2027</v>
      </c>
      <c r="D139" s="30">
        <f>MONTH(BInputReservoir[[#This Row],[Date]])</f>
        <v>1</v>
      </c>
      <c r="E139" s="30" t="str">
        <f>IF(I139&lt;&gt;1,"",DATA_INPUT!$K140)</f>
        <v/>
      </c>
      <c r="F139" s="30" t="str">
        <f>STORAGE_BALANCE_ENSEMBLE!P140</f>
        <v/>
      </c>
      <c r="G139" s="30"/>
      <c r="H139" s="30" t="str">
        <f>STORAGE_BALANCE_ENSEMBLE!O140</f>
        <v/>
      </c>
      <c r="I139" s="18" t="str">
        <f>IF(STORAGE_BALANCE_ENSEMBLE!R140&lt;&gt;1,"",1)</f>
        <v/>
      </c>
      <c r="J139" s="8" t="str">
        <f t="shared" si="17"/>
        <v/>
      </c>
      <c r="K139" s="9" t="str">
        <f t="shared" si="18"/>
        <v/>
      </c>
      <c r="L139" s="10" t="str">
        <f t="shared" si="19"/>
        <v/>
      </c>
      <c r="M139" s="10" t="str">
        <f>IF(I139&lt;&gt;1,"",IF(H139="","",H139/CONTROL_PANEL!$B$11))</f>
        <v/>
      </c>
      <c r="N139" s="9" t="str">
        <f t="shared" si="20"/>
        <v/>
      </c>
      <c r="O139" s="9" t="str">
        <f t="shared" si="21"/>
        <v/>
      </c>
      <c r="P139" s="9" t="str">
        <f t="shared" si="22"/>
        <v/>
      </c>
      <c r="Q139" s="9" t="str">
        <f t="shared" si="23"/>
        <v/>
      </c>
      <c r="R139" s="11"/>
      <c r="S139" s="11" t="str">
        <f t="shared" si="24"/>
        <v>PASS</v>
      </c>
    </row>
    <row r="140" spans="1:19" x14ac:dyDescent="0.25">
      <c r="A140" s="30" t="s">
        <v>96</v>
      </c>
      <c r="B140" s="31">
        <v>46419</v>
      </c>
      <c r="C140" s="30">
        <f>YEAR(BInputReservoir[[#This Row],[Date]])</f>
        <v>2027</v>
      </c>
      <c r="D140" s="30">
        <f>MONTH(BInputReservoir[[#This Row],[Date]])</f>
        <v>2</v>
      </c>
      <c r="E140" s="30" t="str">
        <f>IF(I140&lt;&gt;1,"",DATA_INPUT!$K141)</f>
        <v/>
      </c>
      <c r="F140" s="30" t="str">
        <f>STORAGE_BALANCE_ENSEMBLE!P141</f>
        <v/>
      </c>
      <c r="G140" s="30"/>
      <c r="H140" s="30" t="str">
        <f>STORAGE_BALANCE_ENSEMBLE!O141</f>
        <v/>
      </c>
      <c r="I140" s="18" t="str">
        <f>IF(STORAGE_BALANCE_ENSEMBLE!R141&lt;&gt;1,"",1)</f>
        <v/>
      </c>
      <c r="J140" s="8" t="str">
        <f t="shared" si="17"/>
        <v/>
      </c>
      <c r="K140" s="9" t="str">
        <f t="shared" si="18"/>
        <v/>
      </c>
      <c r="L140" s="10" t="str">
        <f t="shared" si="19"/>
        <v/>
      </c>
      <c r="M140" s="10" t="str">
        <f>IF(I140&lt;&gt;1,"",IF(H140="","",H140/CONTROL_PANEL!$B$11))</f>
        <v/>
      </c>
      <c r="N140" s="9" t="str">
        <f t="shared" si="20"/>
        <v/>
      </c>
      <c r="O140" s="9" t="str">
        <f t="shared" si="21"/>
        <v/>
      </c>
      <c r="P140" s="9" t="str">
        <f t="shared" si="22"/>
        <v/>
      </c>
      <c r="Q140" s="9" t="str">
        <f t="shared" si="23"/>
        <v/>
      </c>
      <c r="R140" s="11"/>
      <c r="S140" s="11" t="str">
        <f t="shared" si="24"/>
        <v>PASS</v>
      </c>
    </row>
    <row r="141" spans="1:19" x14ac:dyDescent="0.25">
      <c r="A141" s="30" t="s">
        <v>96</v>
      </c>
      <c r="B141" s="31">
        <v>46447</v>
      </c>
      <c r="C141" s="30">
        <f>YEAR(BInputReservoir[[#This Row],[Date]])</f>
        <v>2027</v>
      </c>
      <c r="D141" s="30">
        <f>MONTH(BInputReservoir[[#This Row],[Date]])</f>
        <v>3</v>
      </c>
      <c r="E141" s="30" t="str">
        <f>IF(I141&lt;&gt;1,"",DATA_INPUT!$K142)</f>
        <v/>
      </c>
      <c r="F141" s="30" t="str">
        <f>STORAGE_BALANCE_ENSEMBLE!P142</f>
        <v/>
      </c>
      <c r="G141" s="30"/>
      <c r="H141" s="30"/>
      <c r="I141" s="18" t="str">
        <f>IF(STORAGE_BALANCE_ENSEMBLE!R142&lt;&gt;1,"",1)</f>
        <v/>
      </c>
      <c r="J141" s="8" t="str">
        <f t="shared" si="17"/>
        <v/>
      </c>
      <c r="K141" s="9" t="str">
        <f t="shared" si="18"/>
        <v/>
      </c>
      <c r="L141" s="10" t="str">
        <f t="shared" si="19"/>
        <v/>
      </c>
      <c r="M141" s="10" t="str">
        <f>IF(I141&lt;&gt;1,"",IF(H141="","",H141/CONTROL_PANEL!$B$11))</f>
        <v/>
      </c>
      <c r="N141" s="9" t="str">
        <f t="shared" si="20"/>
        <v/>
      </c>
      <c r="O141" s="9" t="str">
        <f t="shared" si="21"/>
        <v/>
      </c>
      <c r="P141" s="9" t="str">
        <f t="shared" si="22"/>
        <v/>
      </c>
      <c r="Q141" s="9" t="str">
        <f t="shared" si="23"/>
        <v/>
      </c>
      <c r="R141" s="11"/>
      <c r="S141" s="11" t="str">
        <f t="shared" si="24"/>
        <v>PASS</v>
      </c>
    </row>
    <row r="142" spans="1:19" x14ac:dyDescent="0.25">
      <c r="A142" s="30" t="s">
        <v>96</v>
      </c>
      <c r="B142" s="31">
        <v>46478</v>
      </c>
      <c r="C142" s="30">
        <f>YEAR(BInputReservoir[[#This Row],[Date]])</f>
        <v>2027</v>
      </c>
      <c r="D142" s="30">
        <f>MONTH(BInputReservoir[[#This Row],[Date]])</f>
        <v>4</v>
      </c>
      <c r="E142" s="30" t="str">
        <f>IF(I142&lt;&gt;1,"",DATA_INPUT!$K143)</f>
        <v/>
      </c>
      <c r="F142" s="30"/>
      <c r="G142" s="30"/>
      <c r="H142" s="30"/>
      <c r="I142" s="18" t="str">
        <f>IF(STORAGE_BALANCE_ENSEMBLE!R143&lt;&gt;1,"",1)</f>
        <v/>
      </c>
      <c r="J142" s="8" t="str">
        <f t="shared" si="17"/>
        <v/>
      </c>
      <c r="K142" s="9" t="str">
        <f t="shared" si="18"/>
        <v/>
      </c>
      <c r="L142" s="10" t="str">
        <f t="shared" si="19"/>
        <v/>
      </c>
      <c r="M142" s="10" t="str">
        <f>IF(I142&lt;&gt;1,"",IF(H142="","",H142/CONTROL_PANEL!$B$11))</f>
        <v/>
      </c>
      <c r="N142" s="9" t="str">
        <f t="shared" si="20"/>
        <v/>
      </c>
      <c r="O142" s="9" t="str">
        <f t="shared" si="21"/>
        <v/>
      </c>
      <c r="P142" s="9" t="str">
        <f t="shared" si="22"/>
        <v/>
      </c>
      <c r="Q142" s="9" t="str">
        <f t="shared" si="23"/>
        <v/>
      </c>
      <c r="R142" s="11"/>
      <c r="S142" s="11" t="str">
        <f t="shared" si="24"/>
        <v>PASS</v>
      </c>
    </row>
    <row r="143" spans="1:19" x14ac:dyDescent="0.25">
      <c r="A143" s="30" t="s">
        <v>96</v>
      </c>
      <c r="B143" s="31">
        <v>46508</v>
      </c>
      <c r="C143" s="30">
        <f>YEAR(BInputReservoir[[#This Row],[Date]])</f>
        <v>2027</v>
      </c>
      <c r="D143" s="30">
        <f>MONTH(BInputReservoir[[#This Row],[Date]])</f>
        <v>5</v>
      </c>
      <c r="E143" s="30" t="str">
        <f>IF(I143&lt;&gt;1,"",DATA_INPUT!$K144)</f>
        <v/>
      </c>
      <c r="F143" s="30"/>
      <c r="G143" s="30"/>
      <c r="H143" s="30"/>
      <c r="I143" s="18" t="str">
        <f>IF(STORAGE_BALANCE_ENSEMBLE!R144&lt;&gt;1,"",1)</f>
        <v/>
      </c>
      <c r="J143" s="8" t="str">
        <f t="shared" si="17"/>
        <v/>
      </c>
      <c r="K143" s="9" t="str">
        <f t="shared" si="18"/>
        <v/>
      </c>
      <c r="L143" s="10" t="str">
        <f t="shared" si="19"/>
        <v/>
      </c>
      <c r="M143" s="10" t="str">
        <f>IF(I143&lt;&gt;1,"",IF(H143="","",H143/CONTROL_PANEL!$B$11))</f>
        <v/>
      </c>
      <c r="N143" s="9" t="str">
        <f t="shared" si="20"/>
        <v/>
      </c>
      <c r="O143" s="9" t="str">
        <f t="shared" si="21"/>
        <v/>
      </c>
      <c r="P143" s="9" t="str">
        <f t="shared" si="22"/>
        <v/>
      </c>
      <c r="Q143" s="9" t="str">
        <f t="shared" si="23"/>
        <v/>
      </c>
      <c r="R143" s="11"/>
      <c r="S143" s="11" t="str">
        <f t="shared" si="24"/>
        <v>PASS</v>
      </c>
    </row>
    <row r="144" spans="1:19" x14ac:dyDescent="0.25">
      <c r="A144" s="30" t="s">
        <v>96</v>
      </c>
      <c r="B144" s="31">
        <v>46539</v>
      </c>
      <c r="C144" s="30">
        <f>YEAR(BInputReservoir[[#This Row],[Date]])</f>
        <v>2027</v>
      </c>
      <c r="D144" s="30">
        <f>MONTH(BInputReservoir[[#This Row],[Date]])</f>
        <v>6</v>
      </c>
      <c r="E144" s="30" t="str">
        <f>IF(I144&lt;&gt;1,"",DATA_INPUT!$K145)</f>
        <v/>
      </c>
      <c r="F144" s="30"/>
      <c r="G144" s="30"/>
      <c r="H144" s="30"/>
      <c r="I144" s="18" t="str">
        <f>IF(STORAGE_BALANCE_ENSEMBLE!R145&lt;&gt;1,"",1)</f>
        <v/>
      </c>
      <c r="J144" s="8" t="str">
        <f t="shared" si="17"/>
        <v/>
      </c>
      <c r="K144" s="9" t="str">
        <f t="shared" si="18"/>
        <v/>
      </c>
      <c r="L144" s="10" t="str">
        <f t="shared" si="19"/>
        <v/>
      </c>
      <c r="M144" s="10" t="str">
        <f>IF(I144&lt;&gt;1,"",IF(H144="","",H144/CONTROL_PANEL!$B$11))</f>
        <v/>
      </c>
      <c r="N144" s="9" t="str">
        <f t="shared" si="20"/>
        <v/>
      </c>
      <c r="O144" s="9" t="str">
        <f t="shared" si="21"/>
        <v/>
      </c>
      <c r="P144" s="9" t="str">
        <f t="shared" si="22"/>
        <v/>
      </c>
      <c r="Q144" s="9" t="str">
        <f t="shared" si="23"/>
        <v/>
      </c>
      <c r="R144" s="11"/>
      <c r="S144" s="11" t="str">
        <f t="shared" si="24"/>
        <v>PASS</v>
      </c>
    </row>
    <row r="145" spans="1:19" x14ac:dyDescent="0.25">
      <c r="A145" s="30" t="s">
        <v>96</v>
      </c>
      <c r="B145" s="31">
        <v>46569</v>
      </c>
      <c r="C145" s="30">
        <f>YEAR(BInputReservoir[[#This Row],[Date]])</f>
        <v>2027</v>
      </c>
      <c r="D145" s="30">
        <f>MONTH(BInputReservoir[[#This Row],[Date]])</f>
        <v>7</v>
      </c>
      <c r="E145" s="30" t="str">
        <f>IF(I145&lt;&gt;1,"",DATA_INPUT!$K146)</f>
        <v/>
      </c>
      <c r="F145" s="30"/>
      <c r="G145" s="30"/>
      <c r="H145" s="30"/>
      <c r="I145" s="18" t="str">
        <f>IF(STORAGE_BALANCE_ENSEMBLE!R146&lt;&gt;1,"",1)</f>
        <v/>
      </c>
      <c r="J145" s="8" t="str">
        <f t="shared" si="17"/>
        <v/>
      </c>
      <c r="K145" s="9" t="str">
        <f t="shared" si="18"/>
        <v/>
      </c>
      <c r="L145" s="10" t="str">
        <f t="shared" si="19"/>
        <v/>
      </c>
      <c r="M145" s="10" t="str">
        <f>IF(I145&lt;&gt;1,"",IF(H145="","",H145/CONTROL_PANEL!$B$11))</f>
        <v/>
      </c>
      <c r="N145" s="9" t="str">
        <f t="shared" si="20"/>
        <v/>
      </c>
      <c r="O145" s="9" t="str">
        <f t="shared" si="21"/>
        <v/>
      </c>
      <c r="P145" s="9" t="str">
        <f t="shared" si="22"/>
        <v/>
      </c>
      <c r="Q145" s="9" t="str">
        <f t="shared" si="23"/>
        <v/>
      </c>
      <c r="R145" s="11"/>
      <c r="S145" s="11" t="str">
        <f t="shared" si="24"/>
        <v>PASS</v>
      </c>
    </row>
    <row r="146" spans="1:19" x14ac:dyDescent="0.25">
      <c r="A146" s="30" t="s">
        <v>96</v>
      </c>
      <c r="B146" s="31">
        <v>46600</v>
      </c>
      <c r="C146" s="30">
        <f>YEAR(BInputReservoir[[#This Row],[Date]])</f>
        <v>2027</v>
      </c>
      <c r="D146" s="30">
        <f>MONTH(BInputReservoir[[#This Row],[Date]])</f>
        <v>8</v>
      </c>
      <c r="E146" s="30" t="str">
        <f>IF(I146&lt;&gt;1,"",DATA_INPUT!$K147)</f>
        <v/>
      </c>
      <c r="F146" s="30"/>
      <c r="G146" s="30"/>
      <c r="H146" s="30"/>
      <c r="I146" s="18" t="str">
        <f>IF(STORAGE_BALANCE_ENSEMBLE!R147&lt;&gt;1,"",1)</f>
        <v/>
      </c>
      <c r="J146" s="8" t="str">
        <f t="shared" si="17"/>
        <v/>
      </c>
      <c r="K146" s="9" t="str">
        <f t="shared" si="18"/>
        <v/>
      </c>
      <c r="L146" s="10" t="str">
        <f t="shared" si="19"/>
        <v/>
      </c>
      <c r="M146" s="10" t="str">
        <f>IF(I146&lt;&gt;1,"",IF(H146="","",H146/CONTROL_PANEL!$B$11))</f>
        <v/>
      </c>
      <c r="N146" s="9" t="str">
        <f t="shared" si="20"/>
        <v/>
      </c>
      <c r="O146" s="9" t="str">
        <f t="shared" si="21"/>
        <v/>
      </c>
      <c r="P146" s="9" t="str">
        <f t="shared" si="22"/>
        <v/>
      </c>
      <c r="Q146" s="9" t="str">
        <f t="shared" si="23"/>
        <v/>
      </c>
      <c r="R146" s="11"/>
      <c r="S146" s="11" t="str">
        <f t="shared" si="24"/>
        <v>PASS</v>
      </c>
    </row>
    <row r="147" spans="1:19" x14ac:dyDescent="0.25">
      <c r="A147" s="30" t="s">
        <v>96</v>
      </c>
      <c r="B147" s="31">
        <v>46631</v>
      </c>
      <c r="C147" s="30">
        <f>YEAR(BInputReservoir[[#This Row],[Date]])</f>
        <v>2027</v>
      </c>
      <c r="D147" s="30">
        <f>MONTH(BInputReservoir[[#This Row],[Date]])</f>
        <v>9</v>
      </c>
      <c r="E147" s="30" t="str">
        <f>IF(I147&lt;&gt;1,"",DATA_INPUT!$K148)</f>
        <v/>
      </c>
      <c r="F147" s="30"/>
      <c r="G147" s="30"/>
      <c r="H147" s="30"/>
      <c r="I147" s="18" t="str">
        <f>IF(STORAGE_BALANCE_ENSEMBLE!R148&lt;&gt;1,"",1)</f>
        <v/>
      </c>
      <c r="J147" s="8" t="str">
        <f t="shared" si="17"/>
        <v/>
      </c>
      <c r="K147" s="9" t="str">
        <f t="shared" si="18"/>
        <v/>
      </c>
      <c r="L147" s="10" t="str">
        <f t="shared" si="19"/>
        <v/>
      </c>
      <c r="M147" s="10" t="str">
        <f>IF(I147&lt;&gt;1,"",IF(H147="","",H147/CONTROL_PANEL!$B$11))</f>
        <v/>
      </c>
      <c r="N147" s="9" t="str">
        <f t="shared" si="20"/>
        <v/>
      </c>
      <c r="O147" s="9" t="str">
        <f t="shared" si="21"/>
        <v/>
      </c>
      <c r="P147" s="9" t="str">
        <f t="shared" si="22"/>
        <v/>
      </c>
      <c r="Q147" s="9" t="str">
        <f t="shared" si="23"/>
        <v/>
      </c>
      <c r="R147" s="11"/>
      <c r="S147" s="11" t="str">
        <f t="shared" si="24"/>
        <v>PASS</v>
      </c>
    </row>
    <row r="148" spans="1:19" x14ac:dyDescent="0.25">
      <c r="A148" s="30" t="s">
        <v>96</v>
      </c>
      <c r="B148" s="31">
        <v>46661</v>
      </c>
      <c r="C148" s="30">
        <f>YEAR(BInputReservoir[[#This Row],[Date]])</f>
        <v>2027</v>
      </c>
      <c r="D148" s="30">
        <f>MONTH(BInputReservoir[[#This Row],[Date]])</f>
        <v>10</v>
      </c>
      <c r="E148" s="30" t="str">
        <f>IF(I148&lt;&gt;1,"",DATA_INPUT!$K149)</f>
        <v/>
      </c>
      <c r="F148" s="30"/>
      <c r="G148" s="30"/>
      <c r="H148" s="30"/>
      <c r="I148" s="18" t="str">
        <f>IF(STORAGE_BALANCE_ENSEMBLE!R149&lt;&gt;1,"",1)</f>
        <v/>
      </c>
      <c r="J148" s="8" t="str">
        <f t="shared" si="17"/>
        <v/>
      </c>
      <c r="K148" s="9" t="str">
        <f t="shared" si="18"/>
        <v/>
      </c>
      <c r="L148" s="10" t="str">
        <f t="shared" si="19"/>
        <v/>
      </c>
      <c r="M148" s="10" t="str">
        <f>IF(I148&lt;&gt;1,"",IF(H148="","",H148/CONTROL_PANEL!$B$11))</f>
        <v/>
      </c>
      <c r="N148" s="9" t="str">
        <f t="shared" si="20"/>
        <v/>
      </c>
      <c r="O148" s="9" t="str">
        <f t="shared" si="21"/>
        <v/>
      </c>
      <c r="P148" s="9" t="str">
        <f t="shared" si="22"/>
        <v/>
      </c>
      <c r="Q148" s="9" t="str">
        <f t="shared" si="23"/>
        <v/>
      </c>
      <c r="R148" s="11"/>
      <c r="S148" s="11" t="str">
        <f t="shared" si="24"/>
        <v>PASS</v>
      </c>
    </row>
    <row r="149" spans="1:19" x14ac:dyDescent="0.25">
      <c r="A149" s="30" t="s">
        <v>96</v>
      </c>
      <c r="B149" s="31">
        <v>46692</v>
      </c>
      <c r="C149" s="30">
        <f>YEAR(BInputReservoir[[#This Row],[Date]])</f>
        <v>2027</v>
      </c>
      <c r="D149" s="30">
        <f>MONTH(BInputReservoir[[#This Row],[Date]])</f>
        <v>11</v>
      </c>
      <c r="E149" s="30" t="str">
        <f>IF(I149&lt;&gt;1,"",DATA_INPUT!$K150)</f>
        <v/>
      </c>
      <c r="F149" s="30"/>
      <c r="G149" s="30"/>
      <c r="H149" s="30"/>
      <c r="I149" s="18" t="str">
        <f>IF(STORAGE_BALANCE_ENSEMBLE!R150&lt;&gt;1,"",1)</f>
        <v/>
      </c>
      <c r="J149" s="8" t="str">
        <f t="shared" si="17"/>
        <v/>
      </c>
      <c r="K149" s="9" t="str">
        <f t="shared" si="18"/>
        <v/>
      </c>
      <c r="L149" s="10" t="str">
        <f t="shared" si="19"/>
        <v/>
      </c>
      <c r="M149" s="10" t="str">
        <f>IF(I149&lt;&gt;1,"",IF(H149="","",H149/CONTROL_PANEL!$B$11))</f>
        <v/>
      </c>
      <c r="N149" s="9" t="str">
        <f t="shared" si="20"/>
        <v/>
      </c>
      <c r="O149" s="9" t="str">
        <f t="shared" si="21"/>
        <v/>
      </c>
      <c r="P149" s="9" t="str">
        <f t="shared" si="22"/>
        <v/>
      </c>
      <c r="Q149" s="9" t="str">
        <f t="shared" si="23"/>
        <v/>
      </c>
      <c r="R149" s="11"/>
      <c r="S149" s="11" t="str">
        <f t="shared" si="24"/>
        <v>PASS</v>
      </c>
    </row>
    <row r="150" spans="1:19" x14ac:dyDescent="0.25">
      <c r="A150" s="30" t="s">
        <v>96</v>
      </c>
      <c r="B150" s="31">
        <v>46722</v>
      </c>
      <c r="C150" s="30">
        <f>YEAR(BInputReservoir[[#This Row],[Date]])</f>
        <v>2027</v>
      </c>
      <c r="D150" s="30">
        <f>MONTH(BInputReservoir[[#This Row],[Date]])</f>
        <v>12</v>
      </c>
      <c r="E150" s="30" t="str">
        <f>IF(I150&lt;&gt;1,"",DATA_INPUT!$K151)</f>
        <v/>
      </c>
      <c r="F150" s="30"/>
      <c r="G150" s="30"/>
      <c r="H150" s="30"/>
      <c r="I150" s="18" t="str">
        <f>IF(STORAGE_BALANCE_ENSEMBLE!R151&lt;&gt;1,"",1)</f>
        <v/>
      </c>
      <c r="J150" s="8" t="str">
        <f t="shared" si="17"/>
        <v/>
      </c>
      <c r="K150" s="9" t="str">
        <f t="shared" si="18"/>
        <v/>
      </c>
      <c r="L150" s="10" t="str">
        <f t="shared" si="19"/>
        <v/>
      </c>
      <c r="M150" s="10" t="str">
        <f>IF(I150&lt;&gt;1,"",IF(H150="","",H150/CONTROL_PANEL!$B$11))</f>
        <v/>
      </c>
      <c r="N150" s="9" t="str">
        <f t="shared" si="20"/>
        <v/>
      </c>
      <c r="O150" s="9" t="str">
        <f t="shared" si="21"/>
        <v/>
      </c>
      <c r="P150" s="9" t="str">
        <f t="shared" si="22"/>
        <v/>
      </c>
      <c r="Q150" s="9" t="str">
        <f t="shared" si="23"/>
        <v/>
      </c>
      <c r="R150" s="11"/>
      <c r="S150" s="11" t="str">
        <f t="shared" si="24"/>
        <v>PASS</v>
      </c>
    </row>
    <row r="151" spans="1:19" x14ac:dyDescent="0.25">
      <c r="A151" s="30" t="s">
        <v>96</v>
      </c>
      <c r="B151" s="31">
        <v>46753</v>
      </c>
      <c r="C151" s="30">
        <f>YEAR(BInputReservoir[[#This Row],[Date]])</f>
        <v>2028</v>
      </c>
      <c r="D151" s="30">
        <f>MONTH(BInputReservoir[[#This Row],[Date]])</f>
        <v>1</v>
      </c>
      <c r="E151" s="30" t="str">
        <f>IF(I151&lt;&gt;1,"",DATA_INPUT!$K152)</f>
        <v/>
      </c>
      <c r="F151" s="30"/>
      <c r="G151" s="30"/>
      <c r="H151" s="30"/>
      <c r="I151" s="18" t="str">
        <f>IF(STORAGE_BALANCE_ENSEMBLE!R152&lt;&gt;1,"",1)</f>
        <v/>
      </c>
      <c r="J151" s="8" t="str">
        <f t="shared" si="17"/>
        <v/>
      </c>
      <c r="K151" s="9" t="str">
        <f t="shared" si="18"/>
        <v/>
      </c>
      <c r="L151" s="10" t="str">
        <f t="shared" si="19"/>
        <v/>
      </c>
      <c r="M151" s="10" t="str">
        <f>IF(I151&lt;&gt;1,"",IF(H151="","",H151/CONTROL_PANEL!$B$11))</f>
        <v/>
      </c>
      <c r="N151" s="9" t="str">
        <f t="shared" si="20"/>
        <v/>
      </c>
      <c r="O151" s="9" t="str">
        <f t="shared" si="21"/>
        <v/>
      </c>
      <c r="P151" s="9" t="str">
        <f t="shared" si="22"/>
        <v/>
      </c>
      <c r="Q151" s="9" t="str">
        <f t="shared" si="23"/>
        <v/>
      </c>
      <c r="R151" s="11"/>
      <c r="S151" s="11" t="str">
        <f t="shared" si="24"/>
        <v>PASS</v>
      </c>
    </row>
    <row r="152" spans="1:19" x14ac:dyDescent="0.25">
      <c r="A152" s="30" t="s">
        <v>96</v>
      </c>
      <c r="B152" s="31">
        <v>46784</v>
      </c>
      <c r="C152" s="30">
        <f>YEAR(BInputReservoir[[#This Row],[Date]])</f>
        <v>2028</v>
      </c>
      <c r="D152" s="30">
        <f>MONTH(BInputReservoir[[#This Row],[Date]])</f>
        <v>2</v>
      </c>
      <c r="E152" s="30" t="str">
        <f>IF(I152&lt;&gt;1,"",DATA_INPUT!$K153)</f>
        <v/>
      </c>
      <c r="F152" s="30"/>
      <c r="G152" s="30"/>
      <c r="H152" s="30"/>
      <c r="I152" s="18" t="str">
        <f>IF(STORAGE_BALANCE_ENSEMBLE!R153&lt;&gt;1,"",1)</f>
        <v/>
      </c>
      <c r="J152" s="8" t="str">
        <f t="shared" si="17"/>
        <v/>
      </c>
      <c r="K152" s="9" t="str">
        <f t="shared" si="18"/>
        <v/>
      </c>
      <c r="L152" s="10" t="str">
        <f t="shared" si="19"/>
        <v/>
      </c>
      <c r="M152" s="10" t="str">
        <f>IF(I152&lt;&gt;1,"",IF(H152="","",H152/CONTROL_PANEL!$B$11))</f>
        <v/>
      </c>
      <c r="N152" s="9" t="str">
        <f t="shared" si="20"/>
        <v/>
      </c>
      <c r="O152" s="9" t="str">
        <f t="shared" si="21"/>
        <v/>
      </c>
      <c r="P152" s="9" t="str">
        <f t="shared" si="22"/>
        <v/>
      </c>
      <c r="Q152" s="9" t="str">
        <f t="shared" si="23"/>
        <v/>
      </c>
      <c r="R152" s="11"/>
      <c r="S152" s="11" t="str">
        <f t="shared" si="24"/>
        <v>PASS</v>
      </c>
    </row>
    <row r="153" spans="1:19" x14ac:dyDescent="0.25">
      <c r="A153" s="30" t="s">
        <v>96</v>
      </c>
      <c r="B153" s="31">
        <v>46813</v>
      </c>
      <c r="C153" s="30">
        <f>YEAR(BInputReservoir[[#This Row],[Date]])</f>
        <v>2028</v>
      </c>
      <c r="D153" s="30">
        <f>MONTH(BInputReservoir[[#This Row],[Date]])</f>
        <v>3</v>
      </c>
      <c r="E153" s="30" t="str">
        <f>IF(I153&lt;&gt;1,"",DATA_INPUT!$K154)</f>
        <v/>
      </c>
      <c r="F153" s="30"/>
      <c r="G153" s="30"/>
      <c r="H153" s="30"/>
      <c r="I153" s="18" t="str">
        <f>IF(STORAGE_BALANCE_ENSEMBLE!R154&lt;&gt;1,"",1)</f>
        <v/>
      </c>
      <c r="J153" s="8" t="str">
        <f t="shared" si="17"/>
        <v/>
      </c>
      <c r="K153" s="9" t="str">
        <f t="shared" si="18"/>
        <v/>
      </c>
      <c r="L153" s="10" t="str">
        <f t="shared" si="19"/>
        <v/>
      </c>
      <c r="M153" s="10" t="str">
        <f>IF(I153&lt;&gt;1,"",IF(H153="","",H153/CONTROL_PANEL!$B$11))</f>
        <v/>
      </c>
      <c r="N153" s="9" t="str">
        <f t="shared" si="20"/>
        <v/>
      </c>
      <c r="O153" s="9" t="str">
        <f t="shared" si="21"/>
        <v/>
      </c>
      <c r="P153" s="9" t="str">
        <f t="shared" si="22"/>
        <v/>
      </c>
      <c r="Q153" s="9" t="str">
        <f t="shared" si="23"/>
        <v/>
      </c>
      <c r="R153" s="11"/>
      <c r="S153" s="11" t="str">
        <f t="shared" si="24"/>
        <v>PASS</v>
      </c>
    </row>
    <row r="154" spans="1:19" x14ac:dyDescent="0.25">
      <c r="A154" s="30" t="s">
        <v>96</v>
      </c>
      <c r="B154" s="31">
        <v>46844</v>
      </c>
      <c r="C154" s="30">
        <f>YEAR(BInputReservoir[[#This Row],[Date]])</f>
        <v>2028</v>
      </c>
      <c r="D154" s="30">
        <f>MONTH(BInputReservoir[[#This Row],[Date]])</f>
        <v>4</v>
      </c>
      <c r="E154" s="30" t="str">
        <f>IF(I154&lt;&gt;1,"",DATA_INPUT!$K155)</f>
        <v/>
      </c>
      <c r="F154" s="30"/>
      <c r="G154" s="30"/>
      <c r="H154" s="30"/>
      <c r="I154" s="18" t="str">
        <f>IF(STORAGE_BALANCE_ENSEMBLE!R155&lt;&gt;1,"",1)</f>
        <v/>
      </c>
      <c r="J154" s="8" t="str">
        <f t="shared" si="17"/>
        <v/>
      </c>
      <c r="K154" s="9" t="str">
        <f t="shared" si="18"/>
        <v/>
      </c>
      <c r="L154" s="10" t="str">
        <f t="shared" si="19"/>
        <v/>
      </c>
      <c r="M154" s="10" t="str">
        <f>IF(I154&lt;&gt;1,"",IF(H154="","",H154/CONTROL_PANEL!$B$11))</f>
        <v/>
      </c>
      <c r="N154" s="9" t="str">
        <f t="shared" si="20"/>
        <v/>
      </c>
      <c r="O154" s="9" t="str">
        <f t="shared" si="21"/>
        <v/>
      </c>
      <c r="P154" s="9" t="str">
        <f t="shared" si="22"/>
        <v/>
      </c>
      <c r="Q154" s="9" t="str">
        <f t="shared" si="23"/>
        <v/>
      </c>
      <c r="R154" s="11"/>
      <c r="S154" s="11" t="str">
        <f t="shared" si="24"/>
        <v>PASS</v>
      </c>
    </row>
    <row r="155" spans="1:19" x14ac:dyDescent="0.25">
      <c r="A155" s="30" t="s">
        <v>96</v>
      </c>
      <c r="B155" s="31">
        <v>46874</v>
      </c>
      <c r="C155" s="30">
        <f>YEAR(BInputReservoir[[#This Row],[Date]])</f>
        <v>2028</v>
      </c>
      <c r="D155" s="30">
        <f>MONTH(BInputReservoir[[#This Row],[Date]])</f>
        <v>5</v>
      </c>
      <c r="E155" s="30" t="str">
        <f>IF(I155&lt;&gt;1,"",DATA_INPUT!$K156)</f>
        <v/>
      </c>
      <c r="F155" s="30"/>
      <c r="G155" s="30"/>
      <c r="H155" s="30"/>
      <c r="I155" s="18" t="str">
        <f>IF(STORAGE_BALANCE_ENSEMBLE!R156&lt;&gt;1,"",1)</f>
        <v/>
      </c>
      <c r="J155" s="8" t="str">
        <f t="shared" si="17"/>
        <v/>
      </c>
      <c r="K155" s="9" t="str">
        <f t="shared" si="18"/>
        <v/>
      </c>
      <c r="L155" s="10" t="str">
        <f t="shared" si="19"/>
        <v/>
      </c>
      <c r="M155" s="10" t="str">
        <f>IF(I155&lt;&gt;1,"",IF(H155="","",H155/CONTROL_PANEL!$B$11))</f>
        <v/>
      </c>
      <c r="N155" s="9" t="str">
        <f t="shared" si="20"/>
        <v/>
      </c>
      <c r="O155" s="9" t="str">
        <f t="shared" si="21"/>
        <v/>
      </c>
      <c r="P155" s="9" t="str">
        <f t="shared" si="22"/>
        <v/>
      </c>
      <c r="Q155" s="9" t="str">
        <f t="shared" si="23"/>
        <v/>
      </c>
      <c r="R155" s="11"/>
      <c r="S155" s="11" t="str">
        <f t="shared" si="24"/>
        <v>PASS</v>
      </c>
    </row>
    <row r="156" spans="1:19" x14ac:dyDescent="0.25">
      <c r="A156" s="30" t="s">
        <v>96</v>
      </c>
      <c r="B156" s="31">
        <v>46905</v>
      </c>
      <c r="C156" s="30">
        <f>YEAR(BInputReservoir[[#This Row],[Date]])</f>
        <v>2028</v>
      </c>
      <c r="D156" s="30">
        <f>MONTH(BInputReservoir[[#This Row],[Date]])</f>
        <v>6</v>
      </c>
      <c r="E156" s="30" t="str">
        <f>IF(I156&lt;&gt;1,"",DATA_INPUT!$K157)</f>
        <v/>
      </c>
      <c r="F156" s="30"/>
      <c r="G156" s="30"/>
      <c r="H156" s="30"/>
      <c r="I156" s="18" t="str">
        <f>IF(STORAGE_BALANCE_ENSEMBLE!R157&lt;&gt;1,"",1)</f>
        <v/>
      </c>
      <c r="J156" s="8" t="str">
        <f t="shared" si="17"/>
        <v/>
      </c>
      <c r="K156" s="9" t="str">
        <f t="shared" si="18"/>
        <v/>
      </c>
      <c r="L156" s="10" t="str">
        <f t="shared" si="19"/>
        <v/>
      </c>
      <c r="M156" s="10" t="str">
        <f>IF(I156&lt;&gt;1,"",IF(H156="","",H156/CONTROL_PANEL!$B$11))</f>
        <v/>
      </c>
      <c r="N156" s="9" t="str">
        <f t="shared" si="20"/>
        <v/>
      </c>
      <c r="O156" s="9" t="str">
        <f t="shared" si="21"/>
        <v/>
      </c>
      <c r="P156" s="9" t="str">
        <f t="shared" si="22"/>
        <v/>
      </c>
      <c r="Q156" s="9" t="str">
        <f t="shared" si="23"/>
        <v/>
      </c>
      <c r="R156" s="11"/>
      <c r="S156" s="11" t="str">
        <f t="shared" si="24"/>
        <v>PASS</v>
      </c>
    </row>
    <row r="157" spans="1:19" x14ac:dyDescent="0.25">
      <c r="A157" s="30" t="s">
        <v>96</v>
      </c>
      <c r="B157" s="31">
        <v>46935</v>
      </c>
      <c r="C157" s="30">
        <f>YEAR(BInputReservoir[[#This Row],[Date]])</f>
        <v>2028</v>
      </c>
      <c r="D157" s="30">
        <f>MONTH(BInputReservoir[[#This Row],[Date]])</f>
        <v>7</v>
      </c>
      <c r="E157" s="30" t="str">
        <f>IF(I157&lt;&gt;1,"",DATA_INPUT!$K158)</f>
        <v/>
      </c>
      <c r="F157" s="30"/>
      <c r="G157" s="30"/>
      <c r="H157" s="30"/>
      <c r="I157" s="18" t="str">
        <f>IF(STORAGE_BALANCE_ENSEMBLE!R158&lt;&gt;1,"",1)</f>
        <v/>
      </c>
      <c r="J157" s="8" t="str">
        <f t="shared" si="17"/>
        <v/>
      </c>
      <c r="K157" s="9" t="str">
        <f t="shared" si="18"/>
        <v/>
      </c>
      <c r="L157" s="10" t="str">
        <f t="shared" si="19"/>
        <v/>
      </c>
      <c r="M157" s="10" t="str">
        <f>IF(I157&lt;&gt;1,"",IF(H157="","",H157/CONTROL_PANEL!$B$11))</f>
        <v/>
      </c>
      <c r="N157" s="9" t="str">
        <f t="shared" si="20"/>
        <v/>
      </c>
      <c r="O157" s="9" t="str">
        <f t="shared" si="21"/>
        <v/>
      </c>
      <c r="P157" s="9" t="str">
        <f t="shared" si="22"/>
        <v/>
      </c>
      <c r="Q157" s="9" t="str">
        <f t="shared" si="23"/>
        <v/>
      </c>
      <c r="R157" s="11"/>
      <c r="S157" s="11" t="str">
        <f t="shared" si="24"/>
        <v>PASS</v>
      </c>
    </row>
    <row r="158" spans="1:19" x14ac:dyDescent="0.25">
      <c r="A158" s="30" t="s">
        <v>96</v>
      </c>
      <c r="B158" s="31">
        <v>46966</v>
      </c>
      <c r="C158" s="30">
        <f>YEAR(BInputReservoir[[#This Row],[Date]])</f>
        <v>2028</v>
      </c>
      <c r="D158" s="30">
        <f>MONTH(BInputReservoir[[#This Row],[Date]])</f>
        <v>8</v>
      </c>
      <c r="E158" s="30" t="str">
        <f>IF(I158&lt;&gt;1,"",DATA_INPUT!$K159)</f>
        <v/>
      </c>
      <c r="F158" s="30"/>
      <c r="G158" s="30"/>
      <c r="H158" s="30"/>
      <c r="I158" s="18" t="str">
        <f>IF(STORAGE_BALANCE_ENSEMBLE!R159&lt;&gt;1,"",1)</f>
        <v/>
      </c>
      <c r="J158" s="8" t="str">
        <f t="shared" si="17"/>
        <v/>
      </c>
      <c r="K158" s="9" t="str">
        <f t="shared" si="18"/>
        <v/>
      </c>
      <c r="L158" s="10" t="str">
        <f t="shared" si="19"/>
        <v/>
      </c>
      <c r="M158" s="10" t="str">
        <f>IF(I158&lt;&gt;1,"",IF(H158="","",H158/CONTROL_PANEL!$B$11))</f>
        <v/>
      </c>
      <c r="N158" s="9" t="str">
        <f t="shared" si="20"/>
        <v/>
      </c>
      <c r="O158" s="9" t="str">
        <f t="shared" si="21"/>
        <v/>
      </c>
      <c r="P158" s="9" t="str">
        <f t="shared" si="22"/>
        <v/>
      </c>
      <c r="Q158" s="9" t="str">
        <f t="shared" si="23"/>
        <v/>
      </c>
      <c r="R158" s="11"/>
      <c r="S158" s="11" t="str">
        <f t="shared" si="24"/>
        <v>PASS</v>
      </c>
    </row>
    <row r="159" spans="1:19" x14ac:dyDescent="0.25">
      <c r="A159" s="30" t="s">
        <v>96</v>
      </c>
      <c r="B159" s="31">
        <v>46997</v>
      </c>
      <c r="C159" s="30">
        <f>YEAR(BInputReservoir[[#This Row],[Date]])</f>
        <v>2028</v>
      </c>
      <c r="D159" s="30">
        <f>MONTH(BInputReservoir[[#This Row],[Date]])</f>
        <v>9</v>
      </c>
      <c r="E159" s="30" t="str">
        <f>IF(I159&lt;&gt;1,"",DATA_INPUT!$K160)</f>
        <v/>
      </c>
      <c r="F159" s="30"/>
      <c r="G159" s="30"/>
      <c r="H159" s="30"/>
      <c r="I159" s="18" t="str">
        <f>IF(STORAGE_BALANCE_ENSEMBLE!R160&lt;&gt;1,"",1)</f>
        <v/>
      </c>
      <c r="J159" s="8" t="str">
        <f t="shared" si="17"/>
        <v/>
      </c>
      <c r="K159" s="9" t="str">
        <f t="shared" si="18"/>
        <v/>
      </c>
      <c r="L159" s="10" t="str">
        <f t="shared" si="19"/>
        <v/>
      </c>
      <c r="M159" s="10" t="str">
        <f>IF(I159&lt;&gt;1,"",IF(H159="","",H159/CONTROL_PANEL!$B$11))</f>
        <v/>
      </c>
      <c r="N159" s="9" t="str">
        <f t="shared" si="20"/>
        <v/>
      </c>
      <c r="O159" s="9" t="str">
        <f t="shared" si="21"/>
        <v/>
      </c>
      <c r="P159" s="9" t="str">
        <f t="shared" si="22"/>
        <v/>
      </c>
      <c r="Q159" s="9" t="str">
        <f t="shared" si="23"/>
        <v/>
      </c>
      <c r="R159" s="11"/>
      <c r="S159" s="11" t="str">
        <f t="shared" si="24"/>
        <v>PASS</v>
      </c>
    </row>
    <row r="160" spans="1:19" x14ac:dyDescent="0.25">
      <c r="A160" s="30" t="s">
        <v>96</v>
      </c>
      <c r="B160" s="31">
        <v>47027</v>
      </c>
      <c r="C160" s="30">
        <f>YEAR(BInputReservoir[[#This Row],[Date]])</f>
        <v>2028</v>
      </c>
      <c r="D160" s="30">
        <f>MONTH(BInputReservoir[[#This Row],[Date]])</f>
        <v>10</v>
      </c>
      <c r="E160" s="30" t="str">
        <f>IF(I160&lt;&gt;1,"",DATA_INPUT!$K161)</f>
        <v/>
      </c>
      <c r="F160" s="30"/>
      <c r="G160" s="30"/>
      <c r="H160" s="30"/>
      <c r="I160" s="18" t="str">
        <f>IF(STORAGE_BALANCE_ENSEMBLE!R161&lt;&gt;1,"",1)</f>
        <v/>
      </c>
      <c r="J160" s="8" t="str">
        <f t="shared" si="17"/>
        <v/>
      </c>
      <c r="K160" s="9" t="str">
        <f t="shared" si="18"/>
        <v/>
      </c>
      <c r="L160" s="10" t="str">
        <f t="shared" si="19"/>
        <v/>
      </c>
      <c r="M160" s="10" t="str">
        <f>IF(I160&lt;&gt;1,"",IF(H160="","",H160/CONTROL_PANEL!$B$11))</f>
        <v/>
      </c>
      <c r="N160" s="9" t="str">
        <f t="shared" si="20"/>
        <v/>
      </c>
      <c r="O160" s="9" t="str">
        <f t="shared" si="21"/>
        <v/>
      </c>
      <c r="P160" s="9" t="str">
        <f t="shared" si="22"/>
        <v/>
      </c>
      <c r="Q160" s="9" t="str">
        <f t="shared" si="23"/>
        <v/>
      </c>
      <c r="R160" s="11"/>
      <c r="S160" s="11" t="str">
        <f t="shared" si="24"/>
        <v>PASS</v>
      </c>
    </row>
    <row r="161" spans="1:19" x14ac:dyDescent="0.25">
      <c r="A161" s="30" t="s">
        <v>96</v>
      </c>
      <c r="B161" s="31">
        <v>47058</v>
      </c>
      <c r="C161" s="30">
        <f>YEAR(BInputReservoir[[#This Row],[Date]])</f>
        <v>2028</v>
      </c>
      <c r="D161" s="30">
        <f>MONTH(BInputReservoir[[#This Row],[Date]])</f>
        <v>11</v>
      </c>
      <c r="E161" s="30" t="str">
        <f>IF(I161&lt;&gt;1,"",DATA_INPUT!$K162)</f>
        <v/>
      </c>
      <c r="F161" s="30"/>
      <c r="G161" s="30"/>
      <c r="H161" s="30"/>
      <c r="I161" s="18" t="str">
        <f>IF(STORAGE_BALANCE_ENSEMBLE!R162&lt;&gt;1,"",1)</f>
        <v/>
      </c>
      <c r="J161" s="8" t="str">
        <f t="shared" si="17"/>
        <v/>
      </c>
      <c r="K161" s="9" t="str">
        <f t="shared" si="18"/>
        <v/>
      </c>
      <c r="L161" s="10" t="str">
        <f t="shared" si="19"/>
        <v/>
      </c>
      <c r="M161" s="10" t="str">
        <f>IF(I161&lt;&gt;1,"",IF(H161="","",H161/CONTROL_PANEL!$B$11))</f>
        <v/>
      </c>
      <c r="N161" s="9" t="str">
        <f t="shared" si="20"/>
        <v/>
      </c>
      <c r="O161" s="9" t="str">
        <f t="shared" si="21"/>
        <v/>
      </c>
      <c r="P161" s="9" t="str">
        <f t="shared" si="22"/>
        <v/>
      </c>
      <c r="Q161" s="9" t="str">
        <f t="shared" si="23"/>
        <v/>
      </c>
      <c r="R161" s="11"/>
      <c r="S161" s="11" t="str">
        <f t="shared" si="24"/>
        <v>PASS</v>
      </c>
    </row>
    <row r="162" spans="1:19" x14ac:dyDescent="0.25">
      <c r="A162" s="30" t="s">
        <v>96</v>
      </c>
      <c r="B162" s="31">
        <v>47088</v>
      </c>
      <c r="C162" s="30">
        <f>YEAR(BInputReservoir[[#This Row],[Date]])</f>
        <v>2028</v>
      </c>
      <c r="D162" s="30">
        <f>MONTH(BInputReservoir[[#This Row],[Date]])</f>
        <v>12</v>
      </c>
      <c r="E162" s="30" t="str">
        <f>IF(I162&lt;&gt;1,"",DATA_INPUT!$K163)</f>
        <v/>
      </c>
      <c r="F162" s="30"/>
      <c r="G162" s="30"/>
      <c r="H162" s="30"/>
      <c r="I162" s="18" t="str">
        <f>IF(STORAGE_BALANCE_ENSEMBLE!R163&lt;&gt;1,"",1)</f>
        <v/>
      </c>
      <c r="J162" s="8" t="str">
        <f t="shared" si="17"/>
        <v/>
      </c>
      <c r="K162" s="9" t="str">
        <f t="shared" si="18"/>
        <v/>
      </c>
      <c r="L162" s="10" t="str">
        <f t="shared" si="19"/>
        <v/>
      </c>
      <c r="M162" s="10" t="str">
        <f>IF(I162&lt;&gt;1,"",IF(H162="","",H162/CONTROL_PANEL!$B$11))</f>
        <v/>
      </c>
      <c r="N162" s="9" t="str">
        <f t="shared" si="20"/>
        <v/>
      </c>
      <c r="O162" s="9" t="str">
        <f t="shared" si="21"/>
        <v/>
      </c>
      <c r="P162" s="9" t="str">
        <f t="shared" si="22"/>
        <v/>
      </c>
      <c r="Q162" s="9" t="str">
        <f t="shared" si="23"/>
        <v/>
      </c>
      <c r="R162" s="11"/>
      <c r="S162" s="11" t="str">
        <f t="shared" si="24"/>
        <v>PASS</v>
      </c>
    </row>
    <row r="163" spans="1:19" x14ac:dyDescent="0.25">
      <c r="A163" s="30" t="s">
        <v>96</v>
      </c>
      <c r="B163" s="31">
        <v>47119</v>
      </c>
      <c r="C163" s="30">
        <f>YEAR(BInputReservoir[[#This Row],[Date]])</f>
        <v>2029</v>
      </c>
      <c r="D163" s="30">
        <f>MONTH(BInputReservoir[[#This Row],[Date]])</f>
        <v>1</v>
      </c>
      <c r="E163" s="30" t="str">
        <f>IF(I163&lt;&gt;1,"",DATA_INPUT!$K164)</f>
        <v/>
      </c>
      <c r="F163" s="30"/>
      <c r="G163" s="30"/>
      <c r="H163" s="30"/>
      <c r="I163" s="18" t="str">
        <f>IF(STORAGE_BALANCE_ENSEMBLE!R164&lt;&gt;1,"",1)</f>
        <v/>
      </c>
      <c r="J163" s="8" t="str">
        <f t="shared" si="17"/>
        <v/>
      </c>
      <c r="K163" s="9" t="str">
        <f t="shared" si="18"/>
        <v/>
      </c>
      <c r="L163" s="10" t="str">
        <f t="shared" si="19"/>
        <v/>
      </c>
      <c r="M163" s="10" t="str">
        <f>IF(I163&lt;&gt;1,"",IF(H163="","",H163/CONTROL_PANEL!$B$11))</f>
        <v/>
      </c>
      <c r="N163" s="9" t="str">
        <f t="shared" si="20"/>
        <v/>
      </c>
      <c r="O163" s="9" t="str">
        <f t="shared" si="21"/>
        <v/>
      </c>
      <c r="P163" s="9" t="str">
        <f t="shared" si="22"/>
        <v/>
      </c>
      <c r="Q163" s="9" t="str">
        <f t="shared" si="23"/>
        <v/>
      </c>
      <c r="R163" s="11"/>
      <c r="S163" s="11" t="str">
        <f t="shared" si="24"/>
        <v>PASS</v>
      </c>
    </row>
    <row r="164" spans="1:19" x14ac:dyDescent="0.25">
      <c r="A164" s="30" t="s">
        <v>96</v>
      </c>
      <c r="B164" s="31">
        <v>47150</v>
      </c>
      <c r="C164" s="30">
        <f>YEAR(BInputReservoir[[#This Row],[Date]])</f>
        <v>2029</v>
      </c>
      <c r="D164" s="30">
        <f>MONTH(BInputReservoir[[#This Row],[Date]])</f>
        <v>2</v>
      </c>
      <c r="E164" s="30" t="str">
        <f>IF(I164&lt;&gt;1,"",DATA_INPUT!$K165)</f>
        <v/>
      </c>
      <c r="F164" s="30"/>
      <c r="G164" s="30"/>
      <c r="H164" s="30"/>
      <c r="I164" s="18" t="str">
        <f>IF(STORAGE_BALANCE_ENSEMBLE!R165&lt;&gt;1,"",1)</f>
        <v/>
      </c>
      <c r="J164" s="8" t="str">
        <f t="shared" si="17"/>
        <v/>
      </c>
      <c r="K164" s="9" t="str">
        <f t="shared" si="18"/>
        <v/>
      </c>
      <c r="L164" s="10" t="str">
        <f t="shared" si="19"/>
        <v/>
      </c>
      <c r="M164" s="10" t="str">
        <f>IF(I164&lt;&gt;1,"",IF(H164="","",H164/CONTROL_PANEL!$B$11))</f>
        <v/>
      </c>
      <c r="N164" s="9" t="str">
        <f t="shared" si="20"/>
        <v/>
      </c>
      <c r="O164" s="9" t="str">
        <f t="shared" si="21"/>
        <v/>
      </c>
      <c r="P164" s="9" t="str">
        <f t="shared" si="22"/>
        <v/>
      </c>
      <c r="Q164" s="9" t="str">
        <f t="shared" si="23"/>
        <v/>
      </c>
      <c r="R164" s="11"/>
      <c r="S164" s="11" t="str">
        <f t="shared" si="24"/>
        <v>PASS</v>
      </c>
    </row>
    <row r="165" spans="1:19" x14ac:dyDescent="0.25">
      <c r="A165" s="30" t="s">
        <v>96</v>
      </c>
      <c r="B165" s="31">
        <v>47178</v>
      </c>
      <c r="C165" s="30">
        <f>YEAR(BInputReservoir[[#This Row],[Date]])</f>
        <v>2029</v>
      </c>
      <c r="D165" s="30">
        <f>MONTH(BInputReservoir[[#This Row],[Date]])</f>
        <v>3</v>
      </c>
      <c r="E165" s="30" t="str">
        <f>IF(I165&lt;&gt;1,"",DATA_INPUT!$K166)</f>
        <v/>
      </c>
      <c r="F165" s="30"/>
      <c r="G165" s="30"/>
      <c r="H165" s="30"/>
      <c r="I165" s="18" t="str">
        <f>IF(STORAGE_BALANCE_ENSEMBLE!R166&lt;&gt;1,"",1)</f>
        <v/>
      </c>
      <c r="J165" s="8" t="str">
        <f t="shared" si="17"/>
        <v/>
      </c>
      <c r="K165" s="9" t="str">
        <f t="shared" si="18"/>
        <v/>
      </c>
      <c r="L165" s="10" t="str">
        <f t="shared" si="19"/>
        <v/>
      </c>
      <c r="M165" s="10" t="str">
        <f>IF(I165&lt;&gt;1,"",IF(H165="","",H165/CONTROL_PANEL!$B$11))</f>
        <v/>
      </c>
      <c r="N165" s="9" t="str">
        <f t="shared" si="20"/>
        <v/>
      </c>
      <c r="O165" s="9" t="str">
        <f t="shared" si="21"/>
        <v/>
      </c>
      <c r="P165" s="9" t="str">
        <f t="shared" si="22"/>
        <v/>
      </c>
      <c r="Q165" s="9" t="str">
        <f t="shared" si="23"/>
        <v/>
      </c>
      <c r="R165" s="11"/>
      <c r="S165" s="11" t="str">
        <f t="shared" si="24"/>
        <v>PASS</v>
      </c>
    </row>
    <row r="166" spans="1:19" x14ac:dyDescent="0.25">
      <c r="A166" s="30" t="s">
        <v>96</v>
      </c>
      <c r="B166" s="31">
        <v>47209</v>
      </c>
      <c r="C166" s="30">
        <f>YEAR(BInputReservoir[[#This Row],[Date]])</f>
        <v>2029</v>
      </c>
      <c r="D166" s="30">
        <f>MONTH(BInputReservoir[[#This Row],[Date]])</f>
        <v>4</v>
      </c>
      <c r="E166" s="30" t="str">
        <f>IF(I166&lt;&gt;1,"",DATA_INPUT!$K167)</f>
        <v/>
      </c>
      <c r="F166" s="30"/>
      <c r="G166" s="30"/>
      <c r="H166" s="30"/>
      <c r="I166" s="18" t="str">
        <f>IF(STORAGE_BALANCE_ENSEMBLE!R167&lt;&gt;1,"",1)</f>
        <v/>
      </c>
      <c r="J166" s="8" t="str">
        <f t="shared" si="17"/>
        <v/>
      </c>
      <c r="K166" s="9" t="str">
        <f t="shared" si="18"/>
        <v/>
      </c>
      <c r="L166" s="10" t="str">
        <f t="shared" si="19"/>
        <v/>
      </c>
      <c r="M166" s="10" t="str">
        <f>IF(I166&lt;&gt;1,"",IF(H166="","",H166/CONTROL_PANEL!$B$11))</f>
        <v/>
      </c>
      <c r="N166" s="9" t="str">
        <f t="shared" si="20"/>
        <v/>
      </c>
      <c r="O166" s="9" t="str">
        <f t="shared" si="21"/>
        <v/>
      </c>
      <c r="P166" s="9" t="str">
        <f t="shared" si="22"/>
        <v/>
      </c>
      <c r="Q166" s="9" t="str">
        <f t="shared" si="23"/>
        <v/>
      </c>
      <c r="R166" s="11"/>
      <c r="S166" s="11" t="str">
        <f t="shared" si="24"/>
        <v>PASS</v>
      </c>
    </row>
    <row r="167" spans="1:19" x14ac:dyDescent="0.25">
      <c r="A167" s="30" t="s">
        <v>96</v>
      </c>
      <c r="B167" s="31">
        <v>47239</v>
      </c>
      <c r="C167" s="30">
        <f>YEAR(BInputReservoir[[#This Row],[Date]])</f>
        <v>2029</v>
      </c>
      <c r="D167" s="30">
        <f>MONTH(BInputReservoir[[#This Row],[Date]])</f>
        <v>5</v>
      </c>
      <c r="E167" s="30" t="str">
        <f>IF(I167&lt;&gt;1,"",DATA_INPUT!$K168)</f>
        <v/>
      </c>
      <c r="F167" s="30"/>
      <c r="G167" s="30"/>
      <c r="H167" s="30"/>
      <c r="I167" s="18" t="str">
        <f>IF(STORAGE_BALANCE_ENSEMBLE!R168&lt;&gt;1,"",1)</f>
        <v/>
      </c>
      <c r="J167" s="8" t="str">
        <f t="shared" si="17"/>
        <v/>
      </c>
      <c r="K167" s="9" t="str">
        <f t="shared" si="18"/>
        <v/>
      </c>
      <c r="L167" s="10" t="str">
        <f t="shared" si="19"/>
        <v/>
      </c>
      <c r="M167" s="10" t="str">
        <f>IF(I167&lt;&gt;1,"",IF(H167="","",H167/CONTROL_PANEL!$B$11))</f>
        <v/>
      </c>
      <c r="N167" s="9" t="str">
        <f t="shared" si="20"/>
        <v/>
      </c>
      <c r="O167" s="9" t="str">
        <f t="shared" si="21"/>
        <v/>
      </c>
      <c r="P167" s="9" t="str">
        <f t="shared" si="22"/>
        <v/>
      </c>
      <c r="Q167" s="9" t="str">
        <f t="shared" si="23"/>
        <v/>
      </c>
      <c r="R167" s="11"/>
      <c r="S167" s="11" t="str">
        <f t="shared" si="24"/>
        <v>PASS</v>
      </c>
    </row>
    <row r="168" spans="1:19" x14ac:dyDescent="0.25">
      <c r="A168" s="30" t="s">
        <v>96</v>
      </c>
      <c r="B168" s="31">
        <v>47270</v>
      </c>
      <c r="C168" s="30">
        <f>YEAR(BInputReservoir[[#This Row],[Date]])</f>
        <v>2029</v>
      </c>
      <c r="D168" s="30">
        <f>MONTH(BInputReservoir[[#This Row],[Date]])</f>
        <v>6</v>
      </c>
      <c r="E168" s="30" t="str">
        <f>IF(I168&lt;&gt;1,"",DATA_INPUT!$K169)</f>
        <v/>
      </c>
      <c r="F168" s="30"/>
      <c r="G168" s="30"/>
      <c r="H168" s="30"/>
      <c r="I168" s="18" t="str">
        <f>IF(STORAGE_BALANCE_ENSEMBLE!R169&lt;&gt;1,"",1)</f>
        <v/>
      </c>
      <c r="J168" s="8" t="str">
        <f t="shared" si="17"/>
        <v/>
      </c>
      <c r="K168" s="9" t="str">
        <f t="shared" si="18"/>
        <v/>
      </c>
      <c r="L168" s="10" t="str">
        <f t="shared" si="19"/>
        <v/>
      </c>
      <c r="M168" s="10" t="str">
        <f>IF(I168&lt;&gt;1,"",IF(H168="","",H168/CONTROL_PANEL!$B$11))</f>
        <v/>
      </c>
      <c r="N168" s="9" t="str">
        <f t="shared" si="20"/>
        <v/>
      </c>
      <c r="O168" s="9" t="str">
        <f t="shared" si="21"/>
        <v/>
      </c>
      <c r="P168" s="9" t="str">
        <f t="shared" si="22"/>
        <v/>
      </c>
      <c r="Q168" s="9" t="str">
        <f t="shared" si="23"/>
        <v/>
      </c>
      <c r="R168" s="11"/>
      <c r="S168" s="11" t="str">
        <f t="shared" si="24"/>
        <v>PASS</v>
      </c>
    </row>
    <row r="169" spans="1:19" x14ac:dyDescent="0.25">
      <c r="A169" s="30" t="s">
        <v>96</v>
      </c>
      <c r="B169" s="31">
        <v>47300</v>
      </c>
      <c r="C169" s="30">
        <f>YEAR(BInputReservoir[[#This Row],[Date]])</f>
        <v>2029</v>
      </c>
      <c r="D169" s="30">
        <f>MONTH(BInputReservoir[[#This Row],[Date]])</f>
        <v>7</v>
      </c>
      <c r="E169" s="30" t="str">
        <f>IF(I169&lt;&gt;1,"",DATA_INPUT!$K170)</f>
        <v/>
      </c>
      <c r="F169" s="30"/>
      <c r="G169" s="30"/>
      <c r="H169" s="30"/>
      <c r="I169" s="18" t="str">
        <f>IF(STORAGE_BALANCE_ENSEMBLE!R170&lt;&gt;1,"",1)</f>
        <v/>
      </c>
      <c r="J169" s="8" t="str">
        <f t="shared" si="17"/>
        <v/>
      </c>
      <c r="K169" s="9" t="str">
        <f t="shared" si="18"/>
        <v/>
      </c>
      <c r="L169" s="10" t="str">
        <f t="shared" si="19"/>
        <v/>
      </c>
      <c r="M169" s="10" t="str">
        <f>IF(I169&lt;&gt;1,"",IF(H169="","",H169/CONTROL_PANEL!$B$11))</f>
        <v/>
      </c>
      <c r="N169" s="9" t="str">
        <f t="shared" si="20"/>
        <v/>
      </c>
      <c r="O169" s="9" t="str">
        <f t="shared" si="21"/>
        <v/>
      </c>
      <c r="P169" s="9" t="str">
        <f t="shared" si="22"/>
        <v/>
      </c>
      <c r="Q169" s="9" t="str">
        <f t="shared" si="23"/>
        <v/>
      </c>
      <c r="R169" s="11"/>
      <c r="S169" s="11" t="str">
        <f t="shared" si="24"/>
        <v>PASS</v>
      </c>
    </row>
    <row r="170" spans="1:19" x14ac:dyDescent="0.25">
      <c r="A170" s="30" t="s">
        <v>96</v>
      </c>
      <c r="B170" s="31">
        <v>47331</v>
      </c>
      <c r="C170" s="30">
        <f>YEAR(BInputReservoir[[#This Row],[Date]])</f>
        <v>2029</v>
      </c>
      <c r="D170" s="30">
        <f>MONTH(BInputReservoir[[#This Row],[Date]])</f>
        <v>8</v>
      </c>
      <c r="E170" s="30" t="str">
        <f>IF(I170&lt;&gt;1,"",DATA_INPUT!$K171)</f>
        <v/>
      </c>
      <c r="F170" s="30"/>
      <c r="G170" s="30"/>
      <c r="H170" s="30"/>
      <c r="I170" s="18" t="str">
        <f>IF(STORAGE_BALANCE_ENSEMBLE!R171&lt;&gt;1,"",1)</f>
        <v/>
      </c>
      <c r="J170" s="8" t="str">
        <f t="shared" si="17"/>
        <v/>
      </c>
      <c r="K170" s="9" t="str">
        <f t="shared" si="18"/>
        <v/>
      </c>
      <c r="L170" s="10" t="str">
        <f t="shared" si="19"/>
        <v/>
      </c>
      <c r="M170" s="10" t="str">
        <f>IF(I170&lt;&gt;1,"",IF(H170="","",H170/CONTROL_PANEL!$B$11))</f>
        <v/>
      </c>
      <c r="N170" s="9" t="str">
        <f t="shared" si="20"/>
        <v/>
      </c>
      <c r="O170" s="9" t="str">
        <f t="shared" si="21"/>
        <v/>
      </c>
      <c r="P170" s="9" t="str">
        <f t="shared" si="22"/>
        <v/>
      </c>
      <c r="Q170" s="9" t="str">
        <f t="shared" si="23"/>
        <v/>
      </c>
      <c r="R170" s="11"/>
      <c r="S170" s="11" t="str">
        <f t="shared" si="24"/>
        <v>PASS</v>
      </c>
    </row>
    <row r="171" spans="1:19" x14ac:dyDescent="0.25">
      <c r="A171" s="30" t="s">
        <v>96</v>
      </c>
      <c r="B171" s="31">
        <v>47362</v>
      </c>
      <c r="C171" s="30">
        <f>YEAR(BInputReservoir[[#This Row],[Date]])</f>
        <v>2029</v>
      </c>
      <c r="D171" s="30">
        <f>MONTH(BInputReservoir[[#This Row],[Date]])</f>
        <v>9</v>
      </c>
      <c r="E171" s="30" t="str">
        <f>IF(I171&lt;&gt;1,"",DATA_INPUT!$K172)</f>
        <v/>
      </c>
      <c r="F171" s="30"/>
      <c r="G171" s="30"/>
      <c r="H171" s="30"/>
      <c r="I171" s="18" t="str">
        <f>IF(STORAGE_BALANCE_ENSEMBLE!R172&lt;&gt;1,"",1)</f>
        <v/>
      </c>
      <c r="J171" s="8" t="str">
        <f t="shared" si="17"/>
        <v/>
      </c>
      <c r="K171" s="9" t="str">
        <f t="shared" si="18"/>
        <v/>
      </c>
      <c r="L171" s="10" t="str">
        <f t="shared" si="19"/>
        <v/>
      </c>
      <c r="M171" s="10" t="str">
        <f>IF(I171&lt;&gt;1,"",IF(H171="","",H171/CONTROL_PANEL!$B$11))</f>
        <v/>
      </c>
      <c r="N171" s="9" t="str">
        <f t="shared" si="20"/>
        <v/>
      </c>
      <c r="O171" s="9" t="str">
        <f t="shared" si="21"/>
        <v/>
      </c>
      <c r="P171" s="9" t="str">
        <f t="shared" si="22"/>
        <v/>
      </c>
      <c r="Q171" s="9" t="str">
        <f t="shared" si="23"/>
        <v/>
      </c>
      <c r="R171" s="11"/>
      <c r="S171" s="11" t="str">
        <f t="shared" si="24"/>
        <v>PASS</v>
      </c>
    </row>
    <row r="172" spans="1:19" x14ac:dyDescent="0.25">
      <c r="A172" s="30" t="s">
        <v>96</v>
      </c>
      <c r="B172" s="31">
        <v>47392</v>
      </c>
      <c r="C172" s="30">
        <f>YEAR(BInputReservoir[[#This Row],[Date]])</f>
        <v>2029</v>
      </c>
      <c r="D172" s="30">
        <f>MONTH(BInputReservoir[[#This Row],[Date]])</f>
        <v>10</v>
      </c>
      <c r="E172" s="30" t="str">
        <f>IF(I172&lt;&gt;1,"",DATA_INPUT!$K173)</f>
        <v/>
      </c>
      <c r="F172" s="30"/>
      <c r="G172" s="30"/>
      <c r="H172" s="30"/>
      <c r="I172" s="18" t="str">
        <f>IF(STORAGE_BALANCE_ENSEMBLE!R173&lt;&gt;1,"",1)</f>
        <v/>
      </c>
      <c r="J172" s="8" t="str">
        <f t="shared" si="17"/>
        <v/>
      </c>
      <c r="K172" s="9" t="str">
        <f t="shared" si="18"/>
        <v/>
      </c>
      <c r="L172" s="10" t="str">
        <f t="shared" si="19"/>
        <v/>
      </c>
      <c r="M172" s="10" t="str">
        <f>IF(I172&lt;&gt;1,"",IF(H172="","",H172/CONTROL_PANEL!$B$11))</f>
        <v/>
      </c>
      <c r="N172" s="9" t="str">
        <f t="shared" si="20"/>
        <v/>
      </c>
      <c r="O172" s="9" t="str">
        <f t="shared" si="21"/>
        <v/>
      </c>
      <c r="P172" s="9" t="str">
        <f t="shared" si="22"/>
        <v/>
      </c>
      <c r="Q172" s="9" t="str">
        <f t="shared" si="23"/>
        <v/>
      </c>
      <c r="R172" s="11"/>
      <c r="S172" s="11" t="str">
        <f t="shared" si="24"/>
        <v>PASS</v>
      </c>
    </row>
    <row r="173" spans="1:19" x14ac:dyDescent="0.25">
      <c r="A173" s="30" t="s">
        <v>96</v>
      </c>
      <c r="B173" s="31">
        <v>47423</v>
      </c>
      <c r="C173" s="30">
        <f>YEAR(BInputReservoir[[#This Row],[Date]])</f>
        <v>2029</v>
      </c>
      <c r="D173" s="30">
        <f>MONTH(BInputReservoir[[#This Row],[Date]])</f>
        <v>11</v>
      </c>
      <c r="E173" s="30" t="str">
        <f>IF(I173&lt;&gt;1,"",DATA_INPUT!$K174)</f>
        <v/>
      </c>
      <c r="F173" s="30"/>
      <c r="G173" s="30"/>
      <c r="H173" s="30"/>
      <c r="I173" s="18" t="str">
        <f>IF(STORAGE_BALANCE_ENSEMBLE!R174&lt;&gt;1,"",1)</f>
        <v/>
      </c>
      <c r="J173" s="8" t="str">
        <f t="shared" si="17"/>
        <v/>
      </c>
      <c r="K173" s="9" t="str">
        <f t="shared" si="18"/>
        <v/>
      </c>
      <c r="L173" s="10" t="str">
        <f t="shared" si="19"/>
        <v/>
      </c>
      <c r="M173" s="10" t="str">
        <f>IF(I173&lt;&gt;1,"",IF(H173="","",H173/CONTROL_PANEL!$B$11))</f>
        <v/>
      </c>
      <c r="N173" s="9" t="str">
        <f t="shared" si="20"/>
        <v/>
      </c>
      <c r="O173" s="9" t="str">
        <f t="shared" si="21"/>
        <v/>
      </c>
      <c r="P173" s="9" t="str">
        <f t="shared" si="22"/>
        <v/>
      </c>
      <c r="Q173" s="9" t="str">
        <f t="shared" si="23"/>
        <v/>
      </c>
      <c r="R173" s="11"/>
      <c r="S173" s="11" t="str">
        <f t="shared" si="24"/>
        <v>PASS</v>
      </c>
    </row>
    <row r="174" spans="1:19" x14ac:dyDescent="0.25">
      <c r="A174" s="30" t="s">
        <v>96</v>
      </c>
      <c r="B174" s="31">
        <v>47453</v>
      </c>
      <c r="C174" s="30">
        <f>YEAR(BInputReservoir[[#This Row],[Date]])</f>
        <v>2029</v>
      </c>
      <c r="D174" s="30">
        <f>MONTH(BInputReservoir[[#This Row],[Date]])</f>
        <v>12</v>
      </c>
      <c r="E174" s="30" t="str">
        <f>IF(I174&lt;&gt;1,"",DATA_INPUT!$K175)</f>
        <v/>
      </c>
      <c r="F174" s="30"/>
      <c r="G174" s="30"/>
      <c r="H174" s="30"/>
      <c r="I174" s="18" t="str">
        <f>IF(STORAGE_BALANCE_ENSEMBLE!R175&lt;&gt;1,"",1)</f>
        <v/>
      </c>
      <c r="J174" s="8" t="str">
        <f t="shared" si="17"/>
        <v/>
      </c>
      <c r="K174" s="9" t="str">
        <f t="shared" si="18"/>
        <v/>
      </c>
      <c r="L174" s="10" t="str">
        <f t="shared" si="19"/>
        <v/>
      </c>
      <c r="M174" s="10" t="str">
        <f>IF(I174&lt;&gt;1,"",IF(H174="","",H174/CONTROL_PANEL!$B$11))</f>
        <v/>
      </c>
      <c r="N174" s="9" t="str">
        <f t="shared" si="20"/>
        <v/>
      </c>
      <c r="O174" s="9" t="str">
        <f t="shared" si="21"/>
        <v/>
      </c>
      <c r="P174" s="9" t="str">
        <f t="shared" si="22"/>
        <v/>
      </c>
      <c r="Q174" s="9" t="str">
        <f t="shared" si="23"/>
        <v/>
      </c>
      <c r="R174" s="11"/>
      <c r="S174" s="11" t="str">
        <f t="shared" si="24"/>
        <v>PASS</v>
      </c>
    </row>
    <row r="175" spans="1:19" x14ac:dyDescent="0.25">
      <c r="A175" s="30" t="s">
        <v>96</v>
      </c>
      <c r="B175" s="31">
        <v>47484</v>
      </c>
      <c r="C175" s="30">
        <f>YEAR(BInputReservoir[[#This Row],[Date]])</f>
        <v>2030</v>
      </c>
      <c r="D175" s="30">
        <f>MONTH(BInputReservoir[[#This Row],[Date]])</f>
        <v>1</v>
      </c>
      <c r="E175" s="30" t="str">
        <f>IF(I175&lt;&gt;1,"",DATA_INPUT!$K176)</f>
        <v/>
      </c>
      <c r="F175" s="30"/>
      <c r="G175" s="30"/>
      <c r="H175" s="30"/>
      <c r="I175" s="18" t="str">
        <f>IF(STORAGE_BALANCE_ENSEMBLE!R176&lt;&gt;1,"",1)</f>
        <v/>
      </c>
      <c r="J175" s="8" t="str">
        <f t="shared" si="17"/>
        <v/>
      </c>
      <c r="K175" s="9" t="str">
        <f t="shared" si="18"/>
        <v/>
      </c>
      <c r="L175" s="10" t="str">
        <f t="shared" si="19"/>
        <v/>
      </c>
      <c r="M175" s="10" t="str">
        <f>IF(I175&lt;&gt;1,"",IF(H175="","",H175/CONTROL_PANEL!$B$11))</f>
        <v/>
      </c>
      <c r="N175" s="9" t="str">
        <f t="shared" si="20"/>
        <v/>
      </c>
      <c r="O175" s="9" t="str">
        <f t="shared" si="21"/>
        <v/>
      </c>
      <c r="P175" s="9" t="str">
        <f t="shared" si="22"/>
        <v/>
      </c>
      <c r="Q175" s="9" t="str">
        <f t="shared" si="23"/>
        <v/>
      </c>
      <c r="R175" s="11"/>
      <c r="S175" s="11" t="str">
        <f t="shared" si="24"/>
        <v>PASS</v>
      </c>
    </row>
    <row r="176" spans="1:19" x14ac:dyDescent="0.25">
      <c r="A176" s="30" t="s">
        <v>96</v>
      </c>
      <c r="B176" s="31">
        <v>47515</v>
      </c>
      <c r="C176" s="30">
        <f>YEAR(BInputReservoir[[#This Row],[Date]])</f>
        <v>2030</v>
      </c>
      <c r="D176" s="30">
        <f>MONTH(BInputReservoir[[#This Row],[Date]])</f>
        <v>2</v>
      </c>
      <c r="E176" s="30" t="str">
        <f>IF(I176&lt;&gt;1,"",DATA_INPUT!$K177)</f>
        <v/>
      </c>
      <c r="F176" s="30"/>
      <c r="G176" s="30"/>
      <c r="H176" s="30"/>
      <c r="I176" s="18" t="str">
        <f>IF(STORAGE_BALANCE_ENSEMBLE!R177&lt;&gt;1,"",1)</f>
        <v/>
      </c>
      <c r="J176" s="8" t="str">
        <f t="shared" si="17"/>
        <v/>
      </c>
      <c r="K176" s="9" t="str">
        <f t="shared" si="18"/>
        <v/>
      </c>
      <c r="L176" s="10" t="str">
        <f t="shared" si="19"/>
        <v/>
      </c>
      <c r="M176" s="10" t="str">
        <f>IF(I176&lt;&gt;1,"",IF(H176="","",H176/CONTROL_PANEL!$B$11))</f>
        <v/>
      </c>
      <c r="N176" s="9" t="str">
        <f t="shared" si="20"/>
        <v/>
      </c>
      <c r="O176" s="9" t="str">
        <f t="shared" si="21"/>
        <v/>
      </c>
      <c r="P176" s="9" t="str">
        <f t="shared" si="22"/>
        <v/>
      </c>
      <c r="Q176" s="9" t="str">
        <f t="shared" si="23"/>
        <v/>
      </c>
      <c r="R176" s="11"/>
      <c r="S176" s="11" t="str">
        <f t="shared" si="24"/>
        <v>PASS</v>
      </c>
    </row>
    <row r="177" spans="1:19" x14ac:dyDescent="0.25">
      <c r="A177" s="30" t="s">
        <v>96</v>
      </c>
      <c r="B177" s="31">
        <v>47543</v>
      </c>
      <c r="C177" s="30">
        <f>YEAR(BInputReservoir[[#This Row],[Date]])</f>
        <v>2030</v>
      </c>
      <c r="D177" s="30">
        <f>MONTH(BInputReservoir[[#This Row],[Date]])</f>
        <v>3</v>
      </c>
      <c r="E177" s="30" t="str">
        <f>IF(I177&lt;&gt;1,"",DATA_INPUT!$K178)</f>
        <v/>
      </c>
      <c r="F177" s="30"/>
      <c r="G177" s="30"/>
      <c r="H177" s="30"/>
      <c r="I177" s="18" t="str">
        <f>IF(STORAGE_BALANCE_ENSEMBLE!R178&lt;&gt;1,"",1)</f>
        <v/>
      </c>
      <c r="J177" s="8" t="str">
        <f t="shared" si="17"/>
        <v/>
      </c>
      <c r="K177" s="9" t="str">
        <f t="shared" si="18"/>
        <v/>
      </c>
      <c r="L177" s="10" t="str">
        <f t="shared" si="19"/>
        <v/>
      </c>
      <c r="M177" s="10" t="str">
        <f>IF(I177&lt;&gt;1,"",IF(H177="","",H177/CONTROL_PANEL!$B$11))</f>
        <v/>
      </c>
      <c r="N177" s="9" t="str">
        <f t="shared" si="20"/>
        <v/>
      </c>
      <c r="O177" s="9" t="str">
        <f t="shared" si="21"/>
        <v/>
      </c>
      <c r="P177" s="9" t="str">
        <f t="shared" si="22"/>
        <v/>
      </c>
      <c r="Q177" s="9" t="str">
        <f t="shared" si="23"/>
        <v/>
      </c>
      <c r="R177" s="11"/>
      <c r="S177" s="11" t="str">
        <f t="shared" si="24"/>
        <v>PASS</v>
      </c>
    </row>
    <row r="178" spans="1:19" x14ac:dyDescent="0.25">
      <c r="A178" s="30" t="s">
        <v>96</v>
      </c>
      <c r="B178" s="31">
        <v>47574</v>
      </c>
      <c r="C178" s="30">
        <f>YEAR(BInputReservoir[[#This Row],[Date]])</f>
        <v>2030</v>
      </c>
      <c r="D178" s="30">
        <f>MONTH(BInputReservoir[[#This Row],[Date]])</f>
        <v>4</v>
      </c>
      <c r="E178" s="30" t="str">
        <f>IF(I178&lt;&gt;1,"",DATA_INPUT!$K179)</f>
        <v/>
      </c>
      <c r="F178" s="30"/>
      <c r="G178" s="30"/>
      <c r="H178" s="30"/>
      <c r="I178" s="18" t="str">
        <f>IF(STORAGE_BALANCE_ENSEMBLE!R179&lt;&gt;1,"",1)</f>
        <v/>
      </c>
      <c r="J178" s="8" t="str">
        <f t="shared" si="17"/>
        <v/>
      </c>
      <c r="K178" s="9" t="str">
        <f t="shared" si="18"/>
        <v/>
      </c>
      <c r="L178" s="10" t="str">
        <f t="shared" si="19"/>
        <v/>
      </c>
      <c r="M178" s="10" t="str">
        <f>IF(I178&lt;&gt;1,"",IF(H178="","",H178/CONTROL_PANEL!$B$11))</f>
        <v/>
      </c>
      <c r="N178" s="9" t="str">
        <f t="shared" si="20"/>
        <v/>
      </c>
      <c r="O178" s="9" t="str">
        <f t="shared" si="21"/>
        <v/>
      </c>
      <c r="P178" s="9" t="str">
        <f t="shared" si="22"/>
        <v/>
      </c>
      <c r="Q178" s="9" t="str">
        <f t="shared" si="23"/>
        <v/>
      </c>
      <c r="R178" s="11"/>
      <c r="S178" s="11" t="str">
        <f t="shared" si="24"/>
        <v>PASS</v>
      </c>
    </row>
    <row r="179" spans="1:19" x14ac:dyDescent="0.25">
      <c r="A179" s="30" t="s">
        <v>96</v>
      </c>
      <c r="B179" s="31">
        <v>47604</v>
      </c>
      <c r="C179" s="30">
        <f>YEAR(BInputReservoir[[#This Row],[Date]])</f>
        <v>2030</v>
      </c>
      <c r="D179" s="30">
        <f>MONTH(BInputReservoir[[#This Row],[Date]])</f>
        <v>5</v>
      </c>
      <c r="E179" s="30" t="str">
        <f>IF(I179&lt;&gt;1,"",DATA_INPUT!$K180)</f>
        <v/>
      </c>
      <c r="F179" s="30"/>
      <c r="G179" s="30"/>
      <c r="H179" s="30"/>
      <c r="I179" s="18" t="str">
        <f>IF(STORAGE_BALANCE_ENSEMBLE!R180&lt;&gt;1,"",1)</f>
        <v/>
      </c>
      <c r="J179" s="8" t="str">
        <f t="shared" si="17"/>
        <v/>
      </c>
      <c r="K179" s="9" t="str">
        <f t="shared" si="18"/>
        <v/>
      </c>
      <c r="L179" s="10" t="str">
        <f t="shared" si="19"/>
        <v/>
      </c>
      <c r="M179" s="10" t="str">
        <f>IF(I179&lt;&gt;1,"",IF(H179="","",H179/CONTROL_PANEL!$B$11))</f>
        <v/>
      </c>
      <c r="N179" s="9" t="str">
        <f t="shared" si="20"/>
        <v/>
      </c>
      <c r="O179" s="9" t="str">
        <f t="shared" si="21"/>
        <v/>
      </c>
      <c r="P179" s="9" t="str">
        <f t="shared" si="22"/>
        <v/>
      </c>
      <c r="Q179" s="9" t="str">
        <f t="shared" si="23"/>
        <v/>
      </c>
      <c r="R179" s="11"/>
      <c r="S179" s="11" t="str">
        <f t="shared" si="24"/>
        <v>PASS</v>
      </c>
    </row>
    <row r="180" spans="1:19" x14ac:dyDescent="0.25">
      <c r="A180" s="30" t="s">
        <v>96</v>
      </c>
      <c r="B180" s="31">
        <v>47635</v>
      </c>
      <c r="C180" s="30">
        <f>YEAR(BInputReservoir[[#This Row],[Date]])</f>
        <v>2030</v>
      </c>
      <c r="D180" s="30">
        <f>MONTH(BInputReservoir[[#This Row],[Date]])</f>
        <v>6</v>
      </c>
      <c r="E180" s="30" t="str">
        <f>IF(I180&lt;&gt;1,"",DATA_INPUT!$K181)</f>
        <v/>
      </c>
      <c r="F180" s="30"/>
      <c r="G180" s="30"/>
      <c r="H180" s="30"/>
      <c r="I180" s="18" t="str">
        <f>IF(STORAGE_BALANCE_ENSEMBLE!R181&lt;&gt;1,"",1)</f>
        <v/>
      </c>
      <c r="J180" s="8" t="str">
        <f t="shared" si="17"/>
        <v/>
      </c>
      <c r="K180" s="9" t="str">
        <f t="shared" si="18"/>
        <v/>
      </c>
      <c r="L180" s="10" t="str">
        <f t="shared" si="19"/>
        <v/>
      </c>
      <c r="M180" s="10" t="str">
        <f>IF(I180&lt;&gt;1,"",IF(H180="","",H180/CONTROL_PANEL!$B$11))</f>
        <v/>
      </c>
      <c r="N180" s="9" t="str">
        <f t="shared" si="20"/>
        <v/>
      </c>
      <c r="O180" s="9" t="str">
        <f t="shared" si="21"/>
        <v/>
      </c>
      <c r="P180" s="9" t="str">
        <f t="shared" si="22"/>
        <v/>
      </c>
      <c r="Q180" s="9" t="str">
        <f t="shared" si="23"/>
        <v/>
      </c>
      <c r="R180" s="11"/>
      <c r="S180" s="11" t="str">
        <f t="shared" si="24"/>
        <v>PASS</v>
      </c>
    </row>
    <row r="181" spans="1:19" x14ac:dyDescent="0.25">
      <c r="A181" s="30" t="s">
        <v>96</v>
      </c>
      <c r="B181" s="31">
        <v>47665</v>
      </c>
      <c r="C181" s="30">
        <f>YEAR(BInputReservoir[[#This Row],[Date]])</f>
        <v>2030</v>
      </c>
      <c r="D181" s="30">
        <f>MONTH(BInputReservoir[[#This Row],[Date]])</f>
        <v>7</v>
      </c>
      <c r="E181" s="30" t="str">
        <f>IF(I181&lt;&gt;1,"",DATA_INPUT!$K182)</f>
        <v/>
      </c>
      <c r="F181" s="30"/>
      <c r="G181" s="30"/>
      <c r="H181" s="30"/>
      <c r="I181" s="18" t="str">
        <f>IF(STORAGE_BALANCE_ENSEMBLE!R182&lt;&gt;1,"",1)</f>
        <v/>
      </c>
      <c r="J181" s="8" t="str">
        <f t="shared" si="17"/>
        <v/>
      </c>
      <c r="K181" s="9" t="str">
        <f t="shared" si="18"/>
        <v/>
      </c>
      <c r="L181" s="10" t="str">
        <f t="shared" si="19"/>
        <v/>
      </c>
      <c r="M181" s="10" t="str">
        <f>IF(I181&lt;&gt;1,"",IF(H181="","",H181/CONTROL_PANEL!$B$11))</f>
        <v/>
      </c>
      <c r="N181" s="9" t="str">
        <f t="shared" si="20"/>
        <v/>
      </c>
      <c r="O181" s="9" t="str">
        <f t="shared" si="21"/>
        <v/>
      </c>
      <c r="P181" s="9" t="str">
        <f t="shared" si="22"/>
        <v/>
      </c>
      <c r="Q181" s="9" t="str">
        <f t="shared" si="23"/>
        <v/>
      </c>
      <c r="R181" s="11"/>
      <c r="S181" s="11" t="str">
        <f t="shared" si="24"/>
        <v>PASS</v>
      </c>
    </row>
    <row r="182" spans="1:19" x14ac:dyDescent="0.25">
      <c r="A182" s="30" t="s">
        <v>96</v>
      </c>
      <c r="B182" s="31">
        <v>47696</v>
      </c>
      <c r="C182" s="30">
        <f>YEAR(BInputReservoir[[#This Row],[Date]])</f>
        <v>2030</v>
      </c>
      <c r="D182" s="30">
        <f>MONTH(BInputReservoir[[#This Row],[Date]])</f>
        <v>8</v>
      </c>
      <c r="E182" s="30" t="str">
        <f>IF(I182&lt;&gt;1,"",DATA_INPUT!$K183)</f>
        <v/>
      </c>
      <c r="F182" s="30"/>
      <c r="G182" s="30"/>
      <c r="H182" s="30"/>
      <c r="I182" s="18" t="str">
        <f>IF(STORAGE_BALANCE_ENSEMBLE!R183&lt;&gt;1,"",1)</f>
        <v/>
      </c>
      <c r="J182" s="8" t="str">
        <f t="shared" si="17"/>
        <v/>
      </c>
      <c r="K182" s="9" t="str">
        <f t="shared" si="18"/>
        <v/>
      </c>
      <c r="L182" s="10" t="str">
        <f t="shared" si="19"/>
        <v/>
      </c>
      <c r="M182" s="10" t="str">
        <f>IF(I182&lt;&gt;1,"",IF(H182="","",H182/CONTROL_PANEL!$B$11))</f>
        <v/>
      </c>
      <c r="N182" s="9" t="str">
        <f t="shared" si="20"/>
        <v/>
      </c>
      <c r="O182" s="9" t="str">
        <f t="shared" si="21"/>
        <v/>
      </c>
      <c r="P182" s="9" t="str">
        <f t="shared" si="22"/>
        <v/>
      </c>
      <c r="Q182" s="9" t="str">
        <f t="shared" si="23"/>
        <v/>
      </c>
      <c r="R182" s="11"/>
      <c r="S182" s="11" t="str">
        <f t="shared" si="24"/>
        <v>PASS</v>
      </c>
    </row>
    <row r="183" spans="1:19" x14ac:dyDescent="0.25">
      <c r="A183" s="30" t="s">
        <v>96</v>
      </c>
      <c r="B183" s="31">
        <v>47727</v>
      </c>
      <c r="C183" s="30">
        <f>YEAR(BInputReservoir[[#This Row],[Date]])</f>
        <v>2030</v>
      </c>
      <c r="D183" s="30">
        <f>MONTH(BInputReservoir[[#This Row],[Date]])</f>
        <v>9</v>
      </c>
      <c r="E183" s="30" t="str">
        <f>IF(I183&lt;&gt;1,"",DATA_INPUT!$K184)</f>
        <v/>
      </c>
      <c r="F183" s="30"/>
      <c r="G183" s="30"/>
      <c r="H183" s="30"/>
      <c r="I183" s="18" t="str">
        <f>IF(STORAGE_BALANCE_ENSEMBLE!R184&lt;&gt;1,"",1)</f>
        <v/>
      </c>
      <c r="J183" s="8" t="str">
        <f t="shared" si="17"/>
        <v/>
      </c>
      <c r="K183" s="9" t="str">
        <f t="shared" si="18"/>
        <v/>
      </c>
      <c r="L183" s="10" t="str">
        <f t="shared" si="19"/>
        <v/>
      </c>
      <c r="M183" s="10" t="str">
        <f>IF(I183&lt;&gt;1,"",IF(H183="","",H183/CONTROL_PANEL!$B$11))</f>
        <v/>
      </c>
      <c r="N183" s="9" t="str">
        <f t="shared" si="20"/>
        <v/>
      </c>
      <c r="O183" s="9" t="str">
        <f t="shared" si="21"/>
        <v/>
      </c>
      <c r="P183" s="9" t="str">
        <f t="shared" si="22"/>
        <v/>
      </c>
      <c r="Q183" s="9" t="str">
        <f t="shared" si="23"/>
        <v/>
      </c>
      <c r="R183" s="11"/>
      <c r="S183" s="11" t="str">
        <f t="shared" si="24"/>
        <v>PASS</v>
      </c>
    </row>
    <row r="184" spans="1:19" x14ac:dyDescent="0.25">
      <c r="A184" s="30" t="s">
        <v>96</v>
      </c>
      <c r="B184" s="31">
        <v>47757</v>
      </c>
      <c r="C184" s="30">
        <f>YEAR(BInputReservoir[[#This Row],[Date]])</f>
        <v>2030</v>
      </c>
      <c r="D184" s="30">
        <f>MONTH(BInputReservoir[[#This Row],[Date]])</f>
        <v>10</v>
      </c>
      <c r="E184" s="30" t="str">
        <f>IF(I184&lt;&gt;1,"",DATA_INPUT!$K185)</f>
        <v/>
      </c>
      <c r="F184" s="30"/>
      <c r="G184" s="30"/>
      <c r="H184" s="30"/>
      <c r="I184" s="18" t="str">
        <f>IF(STORAGE_BALANCE_ENSEMBLE!R185&lt;&gt;1,"",1)</f>
        <v/>
      </c>
      <c r="J184" s="8" t="str">
        <f t="shared" si="17"/>
        <v/>
      </c>
      <c r="K184" s="9" t="str">
        <f t="shared" si="18"/>
        <v/>
      </c>
      <c r="L184" s="10" t="str">
        <f t="shared" si="19"/>
        <v/>
      </c>
      <c r="M184" s="10" t="str">
        <f>IF(I184&lt;&gt;1,"",IF(H184="","",H184/CONTROL_PANEL!$B$11))</f>
        <v/>
      </c>
      <c r="N184" s="9" t="str">
        <f t="shared" si="20"/>
        <v/>
      </c>
      <c r="O184" s="9" t="str">
        <f t="shared" si="21"/>
        <v/>
      </c>
      <c r="P184" s="9" t="str">
        <f t="shared" si="22"/>
        <v/>
      </c>
      <c r="Q184" s="9" t="str">
        <f t="shared" si="23"/>
        <v/>
      </c>
      <c r="R184" s="11"/>
      <c r="S184" s="11" t="str">
        <f t="shared" si="24"/>
        <v>PASS</v>
      </c>
    </row>
    <row r="185" spans="1:19" x14ac:dyDescent="0.25">
      <c r="A185" s="30" t="s">
        <v>96</v>
      </c>
      <c r="B185" s="31">
        <v>47788</v>
      </c>
      <c r="C185" s="30">
        <f>YEAR(BInputReservoir[[#This Row],[Date]])</f>
        <v>2030</v>
      </c>
      <c r="D185" s="30">
        <f>MONTH(BInputReservoir[[#This Row],[Date]])</f>
        <v>11</v>
      </c>
      <c r="E185" s="30" t="str">
        <f>IF(I185&lt;&gt;1,"",DATA_INPUT!$K186)</f>
        <v/>
      </c>
      <c r="F185" s="30"/>
      <c r="G185" s="30"/>
      <c r="H185" s="30"/>
      <c r="I185" s="18" t="str">
        <f>IF(STORAGE_BALANCE_ENSEMBLE!R186&lt;&gt;1,"",1)</f>
        <v/>
      </c>
      <c r="J185" s="8" t="str">
        <f t="shared" si="17"/>
        <v/>
      </c>
      <c r="K185" s="9" t="str">
        <f t="shared" si="18"/>
        <v/>
      </c>
      <c r="L185" s="10" t="str">
        <f t="shared" si="19"/>
        <v/>
      </c>
      <c r="M185" s="10" t="str">
        <f>IF(I185&lt;&gt;1,"",IF(H185="","",H185/CONTROL_PANEL!$B$11))</f>
        <v/>
      </c>
      <c r="N185" s="9" t="str">
        <f t="shared" si="20"/>
        <v/>
      </c>
      <c r="O185" s="9" t="str">
        <f t="shared" si="21"/>
        <v/>
      </c>
      <c r="P185" s="9" t="str">
        <f t="shared" si="22"/>
        <v/>
      </c>
      <c r="Q185" s="9" t="str">
        <f t="shared" si="23"/>
        <v/>
      </c>
      <c r="R185" s="11"/>
      <c r="S185" s="11" t="str">
        <f t="shared" si="24"/>
        <v>PASS</v>
      </c>
    </row>
    <row r="186" spans="1:19" x14ac:dyDescent="0.25">
      <c r="A186" s="30" t="s">
        <v>96</v>
      </c>
      <c r="B186" s="31">
        <v>47818</v>
      </c>
      <c r="C186" s="30">
        <f>YEAR(BInputReservoir[[#This Row],[Date]])</f>
        <v>2030</v>
      </c>
      <c r="D186" s="30">
        <f>MONTH(BInputReservoir[[#This Row],[Date]])</f>
        <v>12</v>
      </c>
      <c r="E186" s="30" t="str">
        <f>IF(I186&lt;&gt;1,"",DATA_INPUT!$K187)</f>
        <v/>
      </c>
      <c r="F186" s="30"/>
      <c r="G186" s="30"/>
      <c r="H186" s="30"/>
      <c r="I186" s="18" t="str">
        <f>IF(STORAGE_BALANCE_ENSEMBLE!R187&lt;&gt;1,"",1)</f>
        <v/>
      </c>
      <c r="J186" s="8" t="str">
        <f t="shared" si="17"/>
        <v/>
      </c>
      <c r="K186" s="9" t="str">
        <f t="shared" si="18"/>
        <v/>
      </c>
      <c r="L186" s="10" t="str">
        <f t="shared" si="19"/>
        <v/>
      </c>
      <c r="M186" s="10" t="str">
        <f>IF(I186&lt;&gt;1,"",IF(H186="","",H186/CONTROL_PANEL!$B$11))</f>
        <v/>
      </c>
      <c r="N186" s="9" t="str">
        <f t="shared" si="20"/>
        <v/>
      </c>
      <c r="O186" s="9" t="str">
        <f t="shared" si="21"/>
        <v/>
      </c>
      <c r="P186" s="9" t="str">
        <f t="shared" si="22"/>
        <v/>
      </c>
      <c r="Q186" s="9" t="str">
        <f t="shared" si="23"/>
        <v/>
      </c>
      <c r="R186" s="11"/>
      <c r="S186" s="11" t="str">
        <f t="shared" si="24"/>
        <v>PASS</v>
      </c>
    </row>
    <row r="187" spans="1:19" x14ac:dyDescent="0.25">
      <c r="A187" s="30" t="s">
        <v>96</v>
      </c>
      <c r="B187" s="31">
        <v>47849</v>
      </c>
      <c r="C187" s="30">
        <f>YEAR(BInputReservoir[[#This Row],[Date]])</f>
        <v>2031</v>
      </c>
      <c r="D187" s="30">
        <f>MONTH(BInputReservoir[[#This Row],[Date]])</f>
        <v>1</v>
      </c>
      <c r="E187" s="30" t="str">
        <f>IF(I187&lt;&gt;1,"",DATA_INPUT!$K188)</f>
        <v/>
      </c>
      <c r="F187" s="30"/>
      <c r="G187" s="30"/>
      <c r="H187" s="30"/>
      <c r="I187" s="18" t="str">
        <f>IF(STORAGE_BALANCE_ENSEMBLE!R188&lt;&gt;1,"",1)</f>
        <v/>
      </c>
      <c r="J187" s="8" t="str">
        <f t="shared" si="17"/>
        <v/>
      </c>
      <c r="K187" s="9" t="str">
        <f t="shared" si="18"/>
        <v/>
      </c>
      <c r="L187" s="10" t="str">
        <f t="shared" si="19"/>
        <v/>
      </c>
      <c r="M187" s="10" t="str">
        <f>IF(I187&lt;&gt;1,"",IF(H187="","",H187/CONTROL_PANEL!$B$11))</f>
        <v/>
      </c>
      <c r="N187" s="9" t="str">
        <f t="shared" si="20"/>
        <v/>
      </c>
      <c r="O187" s="9" t="str">
        <f t="shared" si="21"/>
        <v/>
      </c>
      <c r="P187" s="9" t="str">
        <f t="shared" si="22"/>
        <v/>
      </c>
      <c r="Q187" s="9" t="str">
        <f t="shared" si="23"/>
        <v/>
      </c>
      <c r="R187" s="11"/>
      <c r="S187" s="11" t="str">
        <f t="shared" si="24"/>
        <v>PASS</v>
      </c>
    </row>
    <row r="188" spans="1:19" x14ac:dyDescent="0.25">
      <c r="A188" s="30" t="s">
        <v>96</v>
      </c>
      <c r="B188" s="31">
        <v>47880</v>
      </c>
      <c r="C188" s="30">
        <f>YEAR(BInputReservoir[[#This Row],[Date]])</f>
        <v>2031</v>
      </c>
      <c r="D188" s="30">
        <f>MONTH(BInputReservoir[[#This Row],[Date]])</f>
        <v>2</v>
      </c>
      <c r="E188" s="30" t="str">
        <f>IF(I188&lt;&gt;1,"",DATA_INPUT!$K189)</f>
        <v/>
      </c>
      <c r="F188" s="30"/>
      <c r="G188" s="30"/>
      <c r="H188" s="30"/>
      <c r="I188" s="18" t="str">
        <f>IF(STORAGE_BALANCE_ENSEMBLE!R189&lt;&gt;1,"",1)</f>
        <v/>
      </c>
      <c r="J188" s="8" t="str">
        <f t="shared" si="17"/>
        <v/>
      </c>
      <c r="K188" s="9" t="str">
        <f t="shared" si="18"/>
        <v/>
      </c>
      <c r="L188" s="10" t="str">
        <f t="shared" si="19"/>
        <v/>
      </c>
      <c r="M188" s="10" t="str">
        <f>IF(I188&lt;&gt;1,"",IF(H188="","",H188/CONTROL_PANEL!$B$11))</f>
        <v/>
      </c>
      <c r="N188" s="9" t="str">
        <f t="shared" si="20"/>
        <v/>
      </c>
      <c r="O188" s="9" t="str">
        <f t="shared" si="21"/>
        <v/>
      </c>
      <c r="P188" s="9" t="str">
        <f t="shared" si="22"/>
        <v/>
      </c>
      <c r="Q188" s="9" t="str">
        <f t="shared" si="23"/>
        <v/>
      </c>
      <c r="R188" s="11"/>
      <c r="S188" s="11" t="str">
        <f t="shared" si="24"/>
        <v>PASS</v>
      </c>
    </row>
    <row r="189" spans="1:19" x14ac:dyDescent="0.25">
      <c r="A189" s="30" t="s">
        <v>96</v>
      </c>
      <c r="B189" s="31">
        <v>47908</v>
      </c>
      <c r="C189" s="30">
        <f>YEAR(BInputReservoir[[#This Row],[Date]])</f>
        <v>2031</v>
      </c>
      <c r="D189" s="30">
        <f>MONTH(BInputReservoir[[#This Row],[Date]])</f>
        <v>3</v>
      </c>
      <c r="E189" s="30" t="str">
        <f>IF(I189&lt;&gt;1,"",DATA_INPUT!$K190)</f>
        <v/>
      </c>
      <c r="F189" s="30"/>
      <c r="G189" s="30"/>
      <c r="H189" s="30"/>
      <c r="I189" s="18" t="str">
        <f>IF(STORAGE_BALANCE_ENSEMBLE!R190&lt;&gt;1,"",1)</f>
        <v/>
      </c>
      <c r="J189" s="8" t="str">
        <f t="shared" si="17"/>
        <v/>
      </c>
      <c r="K189" s="9" t="str">
        <f t="shared" si="18"/>
        <v/>
      </c>
      <c r="L189" s="10" t="str">
        <f t="shared" si="19"/>
        <v/>
      </c>
      <c r="M189" s="10" t="str">
        <f>IF(I189&lt;&gt;1,"",IF(H189="","",H189/CONTROL_PANEL!$B$11))</f>
        <v/>
      </c>
      <c r="N189" s="9" t="str">
        <f t="shared" si="20"/>
        <v/>
      </c>
      <c r="O189" s="9" t="str">
        <f t="shared" si="21"/>
        <v/>
      </c>
      <c r="P189" s="9" t="str">
        <f t="shared" si="22"/>
        <v/>
      </c>
      <c r="Q189" s="9" t="str">
        <f t="shared" si="23"/>
        <v/>
      </c>
      <c r="R189" s="11"/>
      <c r="S189" s="11" t="str">
        <f t="shared" si="24"/>
        <v>PASS</v>
      </c>
    </row>
    <row r="190" spans="1:19" x14ac:dyDescent="0.25">
      <c r="A190" s="30" t="s">
        <v>96</v>
      </c>
      <c r="B190" s="31">
        <v>47939</v>
      </c>
      <c r="C190" s="30">
        <f>YEAR(BInputReservoir[[#This Row],[Date]])</f>
        <v>2031</v>
      </c>
      <c r="D190" s="30">
        <f>MONTH(BInputReservoir[[#This Row],[Date]])</f>
        <v>4</v>
      </c>
      <c r="E190" s="30" t="str">
        <f>IF(I190&lt;&gt;1,"",DATA_INPUT!$K191)</f>
        <v/>
      </c>
      <c r="F190" s="30"/>
      <c r="G190" s="30"/>
      <c r="H190" s="30"/>
      <c r="I190" s="18" t="str">
        <f>IF(STORAGE_BALANCE_ENSEMBLE!R191&lt;&gt;1,"",1)</f>
        <v/>
      </c>
      <c r="J190" s="8" t="str">
        <f t="shared" si="17"/>
        <v/>
      </c>
      <c r="K190" s="9" t="str">
        <f t="shared" si="18"/>
        <v/>
      </c>
      <c r="L190" s="10" t="str">
        <f t="shared" si="19"/>
        <v/>
      </c>
      <c r="M190" s="10" t="str">
        <f>IF(I190&lt;&gt;1,"",IF(H190="","",H190/CONTROL_PANEL!$B$11))</f>
        <v/>
      </c>
      <c r="N190" s="9" t="str">
        <f t="shared" si="20"/>
        <v/>
      </c>
      <c r="O190" s="9" t="str">
        <f t="shared" si="21"/>
        <v/>
      </c>
      <c r="P190" s="9" t="str">
        <f t="shared" si="22"/>
        <v/>
      </c>
      <c r="Q190" s="9" t="str">
        <f t="shared" si="23"/>
        <v/>
      </c>
      <c r="R190" s="11"/>
      <c r="S190" s="11" t="str">
        <f t="shared" si="24"/>
        <v>PASS</v>
      </c>
    </row>
    <row r="191" spans="1:19" x14ac:dyDescent="0.25">
      <c r="A191" s="30" t="s">
        <v>96</v>
      </c>
      <c r="B191" s="31">
        <v>47969</v>
      </c>
      <c r="C191" s="30">
        <f>YEAR(BInputReservoir[[#This Row],[Date]])</f>
        <v>2031</v>
      </c>
      <c r="D191" s="30">
        <f>MONTH(BInputReservoir[[#This Row],[Date]])</f>
        <v>5</v>
      </c>
      <c r="E191" s="30" t="str">
        <f>IF(I191&lt;&gt;1,"",DATA_INPUT!$K192)</f>
        <v/>
      </c>
      <c r="F191" s="30"/>
      <c r="G191" s="30"/>
      <c r="H191" s="30"/>
      <c r="I191" s="18" t="str">
        <f>IF(STORAGE_BALANCE_ENSEMBLE!R192&lt;&gt;1,"",1)</f>
        <v/>
      </c>
      <c r="J191" s="8" t="str">
        <f t="shared" si="17"/>
        <v/>
      </c>
      <c r="K191" s="9" t="str">
        <f t="shared" si="18"/>
        <v/>
      </c>
      <c r="L191" s="10" t="str">
        <f t="shared" si="19"/>
        <v/>
      </c>
      <c r="M191" s="10" t="str">
        <f>IF(I191&lt;&gt;1,"",IF(H191="","",H191/CONTROL_PANEL!$B$11))</f>
        <v/>
      </c>
      <c r="N191" s="9" t="str">
        <f t="shared" si="20"/>
        <v/>
      </c>
      <c r="O191" s="9" t="str">
        <f t="shared" si="21"/>
        <v/>
      </c>
      <c r="P191" s="9" t="str">
        <f t="shared" si="22"/>
        <v/>
      </c>
      <c r="Q191" s="9" t="str">
        <f t="shared" si="23"/>
        <v/>
      </c>
      <c r="R191" s="11"/>
      <c r="S191" s="11" t="str">
        <f t="shared" si="24"/>
        <v>PASS</v>
      </c>
    </row>
    <row r="192" spans="1:19" x14ac:dyDescent="0.25">
      <c r="A192" s="30" t="s">
        <v>96</v>
      </c>
      <c r="B192" s="31">
        <v>48000</v>
      </c>
      <c r="C192" s="30">
        <f>YEAR(BInputReservoir[[#This Row],[Date]])</f>
        <v>2031</v>
      </c>
      <c r="D192" s="30">
        <f>MONTH(BInputReservoir[[#This Row],[Date]])</f>
        <v>6</v>
      </c>
      <c r="E192" s="30" t="str">
        <f>IF(I192&lt;&gt;1,"",DATA_INPUT!$K193)</f>
        <v/>
      </c>
      <c r="F192" s="30"/>
      <c r="G192" s="30"/>
      <c r="H192" s="30"/>
      <c r="I192" s="18" t="str">
        <f>IF(STORAGE_BALANCE_ENSEMBLE!R193&lt;&gt;1,"",1)</f>
        <v/>
      </c>
      <c r="J192" s="8" t="str">
        <f t="shared" si="17"/>
        <v/>
      </c>
      <c r="K192" s="9" t="str">
        <f t="shared" si="18"/>
        <v/>
      </c>
      <c r="L192" s="10" t="str">
        <f t="shared" si="19"/>
        <v/>
      </c>
      <c r="M192" s="10" t="str">
        <f>IF(I192&lt;&gt;1,"",IF(H192="","",H192/CONTROL_PANEL!$B$11))</f>
        <v/>
      </c>
      <c r="N192" s="9" t="str">
        <f t="shared" si="20"/>
        <v/>
      </c>
      <c r="O192" s="9" t="str">
        <f t="shared" si="21"/>
        <v/>
      </c>
      <c r="P192" s="9" t="str">
        <f t="shared" si="22"/>
        <v/>
      </c>
      <c r="Q192" s="9" t="str">
        <f t="shared" si="23"/>
        <v/>
      </c>
      <c r="R192" s="11"/>
      <c r="S192" s="11" t="str">
        <f t="shared" si="24"/>
        <v>PASS</v>
      </c>
    </row>
    <row r="193" spans="1:19" x14ac:dyDescent="0.25">
      <c r="A193" s="30" t="s">
        <v>96</v>
      </c>
      <c r="B193" s="31">
        <v>48030</v>
      </c>
      <c r="C193" s="30">
        <f>YEAR(BInputReservoir[[#This Row],[Date]])</f>
        <v>2031</v>
      </c>
      <c r="D193" s="30">
        <f>MONTH(BInputReservoir[[#This Row],[Date]])</f>
        <v>7</v>
      </c>
      <c r="E193" s="30" t="str">
        <f>IF(I193&lt;&gt;1,"",DATA_INPUT!$K194)</f>
        <v/>
      </c>
      <c r="F193" s="30"/>
      <c r="G193" s="30"/>
      <c r="H193" s="30"/>
      <c r="I193" s="18" t="str">
        <f>IF(STORAGE_BALANCE_ENSEMBLE!R194&lt;&gt;1,"",1)</f>
        <v/>
      </c>
      <c r="J193" s="8" t="str">
        <f t="shared" si="17"/>
        <v/>
      </c>
      <c r="K193" s="9" t="str">
        <f t="shared" si="18"/>
        <v/>
      </c>
      <c r="L193" s="10" t="str">
        <f t="shared" si="19"/>
        <v/>
      </c>
      <c r="M193" s="10" t="str">
        <f>IF(I193&lt;&gt;1,"",IF(H193="","",H193/CONTROL_PANEL!$B$11))</f>
        <v/>
      </c>
      <c r="N193" s="9" t="str">
        <f t="shared" si="20"/>
        <v/>
      </c>
      <c r="O193" s="9" t="str">
        <f t="shared" si="21"/>
        <v/>
      </c>
      <c r="P193" s="9" t="str">
        <f t="shared" si="22"/>
        <v/>
      </c>
      <c r="Q193" s="9" t="str">
        <f t="shared" si="23"/>
        <v/>
      </c>
      <c r="R193" s="11"/>
      <c r="S193" s="11" t="str">
        <f t="shared" si="24"/>
        <v>PASS</v>
      </c>
    </row>
    <row r="194" spans="1:19" x14ac:dyDescent="0.25">
      <c r="A194" s="30" t="s">
        <v>96</v>
      </c>
      <c r="B194" s="31">
        <v>48061</v>
      </c>
      <c r="C194" s="30">
        <f>YEAR(BInputReservoir[[#This Row],[Date]])</f>
        <v>2031</v>
      </c>
      <c r="D194" s="30">
        <f>MONTH(BInputReservoir[[#This Row],[Date]])</f>
        <v>8</v>
      </c>
      <c r="E194" s="30" t="str">
        <f>IF(I194&lt;&gt;1,"",DATA_INPUT!$K195)</f>
        <v/>
      </c>
      <c r="F194" s="30"/>
      <c r="G194" s="30"/>
      <c r="H194" s="30"/>
      <c r="I194" s="18" t="str">
        <f>IF(STORAGE_BALANCE_ENSEMBLE!R195&lt;&gt;1,"",1)</f>
        <v/>
      </c>
      <c r="J194" s="8" t="str">
        <f t="shared" si="17"/>
        <v/>
      </c>
      <c r="K194" s="9" t="str">
        <f t="shared" si="18"/>
        <v/>
      </c>
      <c r="L194" s="10" t="str">
        <f t="shared" si="19"/>
        <v/>
      </c>
      <c r="M194" s="10" t="str">
        <f>IF(I194&lt;&gt;1,"",IF(H194="","",H194/CONTROL_PANEL!$B$11))</f>
        <v/>
      </c>
      <c r="N194" s="9" t="str">
        <f t="shared" si="20"/>
        <v/>
      </c>
      <c r="O194" s="9" t="str">
        <f t="shared" si="21"/>
        <v/>
      </c>
      <c r="P194" s="9" t="str">
        <f t="shared" si="22"/>
        <v/>
      </c>
      <c r="Q194" s="9" t="str">
        <f t="shared" si="23"/>
        <v/>
      </c>
      <c r="R194" s="11"/>
      <c r="S194" s="11" t="str">
        <f t="shared" si="24"/>
        <v>PASS</v>
      </c>
    </row>
    <row r="195" spans="1:19" x14ac:dyDescent="0.25">
      <c r="A195" s="30" t="s">
        <v>96</v>
      </c>
      <c r="B195" s="31">
        <v>48092</v>
      </c>
      <c r="C195" s="30">
        <f>YEAR(BInputReservoir[[#This Row],[Date]])</f>
        <v>2031</v>
      </c>
      <c r="D195" s="30">
        <f>MONTH(BInputReservoir[[#This Row],[Date]])</f>
        <v>9</v>
      </c>
      <c r="E195" s="30" t="str">
        <f>IF(I195&lt;&gt;1,"",DATA_INPUT!$K196)</f>
        <v/>
      </c>
      <c r="F195" s="30"/>
      <c r="G195" s="30"/>
      <c r="H195" s="30"/>
      <c r="I195" s="18" t="str">
        <f>IF(STORAGE_BALANCE_ENSEMBLE!R196&lt;&gt;1,"",1)</f>
        <v/>
      </c>
      <c r="J195" s="8" t="str">
        <f t="shared" si="17"/>
        <v/>
      </c>
      <c r="K195" s="9" t="str">
        <f t="shared" si="18"/>
        <v/>
      </c>
      <c r="L195" s="10" t="str">
        <f t="shared" si="19"/>
        <v/>
      </c>
      <c r="M195" s="10" t="str">
        <f>IF(I195&lt;&gt;1,"",IF(H195="","",H195/CONTROL_PANEL!$B$11))</f>
        <v/>
      </c>
      <c r="N195" s="9" t="str">
        <f t="shared" si="20"/>
        <v/>
      </c>
      <c r="O195" s="9" t="str">
        <f t="shared" si="21"/>
        <v/>
      </c>
      <c r="P195" s="9" t="str">
        <f t="shared" si="22"/>
        <v/>
      </c>
      <c r="Q195" s="9" t="str">
        <f t="shared" si="23"/>
        <v/>
      </c>
      <c r="R195" s="11"/>
      <c r="S195" s="11" t="str">
        <f t="shared" si="24"/>
        <v>PASS</v>
      </c>
    </row>
    <row r="196" spans="1:19" x14ac:dyDescent="0.25">
      <c r="A196" s="30" t="s">
        <v>96</v>
      </c>
      <c r="B196" s="31">
        <v>48122</v>
      </c>
      <c r="C196" s="30">
        <f>YEAR(BInputReservoir[[#This Row],[Date]])</f>
        <v>2031</v>
      </c>
      <c r="D196" s="30">
        <f>MONTH(BInputReservoir[[#This Row],[Date]])</f>
        <v>10</v>
      </c>
      <c r="E196" s="30" t="str">
        <f>IF(I196&lt;&gt;1,"",DATA_INPUT!$K197)</f>
        <v/>
      </c>
      <c r="F196" s="30"/>
      <c r="G196" s="30"/>
      <c r="H196" s="30"/>
      <c r="I196" s="18" t="str">
        <f>IF(STORAGE_BALANCE_ENSEMBLE!R197&lt;&gt;1,"",1)</f>
        <v/>
      </c>
      <c r="J196" s="8" t="str">
        <f t="shared" si="17"/>
        <v/>
      </c>
      <c r="K196" s="9" t="str">
        <f t="shared" si="18"/>
        <v/>
      </c>
      <c r="L196" s="10" t="str">
        <f t="shared" si="19"/>
        <v/>
      </c>
      <c r="M196" s="10" t="str">
        <f>IF(I196&lt;&gt;1,"",IF(H196="","",H196/CONTROL_PANEL!$B$11))</f>
        <v/>
      </c>
      <c r="N196" s="9" t="str">
        <f t="shared" si="20"/>
        <v/>
      </c>
      <c r="O196" s="9" t="str">
        <f t="shared" si="21"/>
        <v/>
      </c>
      <c r="P196" s="9" t="str">
        <f t="shared" si="22"/>
        <v/>
      </c>
      <c r="Q196" s="9" t="str">
        <f t="shared" si="23"/>
        <v/>
      </c>
      <c r="R196" s="11"/>
      <c r="S196" s="11" t="str">
        <f t="shared" si="24"/>
        <v>PASS</v>
      </c>
    </row>
    <row r="197" spans="1:19" x14ac:dyDescent="0.25">
      <c r="A197" s="30" t="s">
        <v>96</v>
      </c>
      <c r="B197" s="31">
        <v>48153</v>
      </c>
      <c r="C197" s="30">
        <f>YEAR(BInputReservoir[[#This Row],[Date]])</f>
        <v>2031</v>
      </c>
      <c r="D197" s="30">
        <f>MONTH(BInputReservoir[[#This Row],[Date]])</f>
        <v>11</v>
      </c>
      <c r="E197" s="30" t="str">
        <f>IF(I197&lt;&gt;1,"",DATA_INPUT!$K198)</f>
        <v/>
      </c>
      <c r="F197" s="30"/>
      <c r="G197" s="30"/>
      <c r="H197" s="30"/>
      <c r="I197" s="18" t="str">
        <f>IF(STORAGE_BALANCE_ENSEMBLE!R198&lt;&gt;1,"",1)</f>
        <v/>
      </c>
      <c r="J197" s="8" t="str">
        <f t="shared" ref="J197:J260" si="25">IF(I197&lt;&gt;1,"",IF(E197="","",MAX(0,E197-G197)))</f>
        <v/>
      </c>
      <c r="K197" s="9" t="str">
        <f t="shared" ref="K197:K260" si="26">IF(I197&lt;&gt;1,"",IF(OR(G197="",E197=""),"",IF(G197&gt;0,1,0)))</f>
        <v/>
      </c>
      <c r="L197" s="10" t="str">
        <f t="shared" ref="L197:L260" si="27">IF(I197&lt;&gt;1,"",IF(AND(K197=1,E197&gt;0),G197/E197,0))</f>
        <v/>
      </c>
      <c r="M197" s="10" t="str">
        <f>IF(I197&lt;&gt;1,"",IF(H197="","",H197/CONTROL_PANEL!$B$11))</f>
        <v/>
      </c>
      <c r="N197" s="9" t="str">
        <f t="shared" ref="N197:N260" si="28">IF(I197&lt;&gt;1,"",IF(AND(K197=1,A198=A197),1,0))</f>
        <v/>
      </c>
      <c r="O197" s="9" t="str">
        <f t="shared" ref="O197:O260" si="29">IF(I197&lt;&gt;1,"",IF(AND(K197=1,A198=A197,K198=0),1,0))</f>
        <v/>
      </c>
      <c r="P197" s="9" t="str">
        <f t="shared" ref="P197:P260" si="30">IF(I197&lt;&gt;1,"",IF(F197&gt;0,1,0))</f>
        <v/>
      </c>
      <c r="Q197" s="9" t="str">
        <f t="shared" ref="Q197:Q260" si="31">IF(I197&lt;&gt;1,"",IF(G197&gt;0,1,0))</f>
        <v/>
      </c>
      <c r="R197" s="11"/>
      <c r="S197" s="11" t="str">
        <f t="shared" ref="S197:S260" si="32">IF(COUNTA(A197:H197)=0,"",IF(OR(A197="",C197="",D197=""),"ERROR: missing key fields","PASS"))</f>
        <v>PASS</v>
      </c>
    </row>
    <row r="198" spans="1:19" x14ac:dyDescent="0.25">
      <c r="A198" s="30" t="s">
        <v>96</v>
      </c>
      <c r="B198" s="31">
        <v>48183</v>
      </c>
      <c r="C198" s="30">
        <f>YEAR(BInputReservoir[[#This Row],[Date]])</f>
        <v>2031</v>
      </c>
      <c r="D198" s="30">
        <f>MONTH(BInputReservoir[[#This Row],[Date]])</f>
        <v>12</v>
      </c>
      <c r="E198" s="30" t="str">
        <f>IF(I198&lt;&gt;1,"",DATA_INPUT!$K199)</f>
        <v/>
      </c>
      <c r="F198" s="30"/>
      <c r="G198" s="30"/>
      <c r="H198" s="30"/>
      <c r="I198" s="18" t="str">
        <f>IF(STORAGE_BALANCE_ENSEMBLE!R199&lt;&gt;1,"",1)</f>
        <v/>
      </c>
      <c r="J198" s="8" t="str">
        <f t="shared" si="25"/>
        <v/>
      </c>
      <c r="K198" s="9" t="str">
        <f t="shared" si="26"/>
        <v/>
      </c>
      <c r="L198" s="10" t="str">
        <f t="shared" si="27"/>
        <v/>
      </c>
      <c r="M198" s="10" t="str">
        <f>IF(I198&lt;&gt;1,"",IF(H198="","",H198/CONTROL_PANEL!$B$11))</f>
        <v/>
      </c>
      <c r="N198" s="9" t="str">
        <f t="shared" si="28"/>
        <v/>
      </c>
      <c r="O198" s="9" t="str">
        <f t="shared" si="29"/>
        <v/>
      </c>
      <c r="P198" s="9" t="str">
        <f t="shared" si="30"/>
        <v/>
      </c>
      <c r="Q198" s="9" t="str">
        <f t="shared" si="31"/>
        <v/>
      </c>
      <c r="R198" s="11"/>
      <c r="S198" s="11" t="str">
        <f t="shared" si="32"/>
        <v>PASS</v>
      </c>
    </row>
    <row r="199" spans="1:19" x14ac:dyDescent="0.25">
      <c r="A199" s="30" t="s">
        <v>96</v>
      </c>
      <c r="B199" s="31">
        <v>48214</v>
      </c>
      <c r="C199" s="30">
        <f>YEAR(BInputReservoir[[#This Row],[Date]])</f>
        <v>2032</v>
      </c>
      <c r="D199" s="30">
        <f>MONTH(BInputReservoir[[#This Row],[Date]])</f>
        <v>1</v>
      </c>
      <c r="E199" s="30" t="str">
        <f>IF(I199&lt;&gt;1,"",DATA_INPUT!$K200)</f>
        <v/>
      </c>
      <c r="F199" s="30"/>
      <c r="G199" s="30"/>
      <c r="H199" s="30"/>
      <c r="I199" s="18" t="str">
        <f>IF(STORAGE_BALANCE_ENSEMBLE!R200&lt;&gt;1,"",1)</f>
        <v/>
      </c>
      <c r="J199" s="8" t="str">
        <f t="shared" si="25"/>
        <v/>
      </c>
      <c r="K199" s="9" t="str">
        <f t="shared" si="26"/>
        <v/>
      </c>
      <c r="L199" s="10" t="str">
        <f t="shared" si="27"/>
        <v/>
      </c>
      <c r="M199" s="10" t="str">
        <f>IF(I199&lt;&gt;1,"",IF(H199="","",H199/CONTROL_PANEL!$B$11))</f>
        <v/>
      </c>
      <c r="N199" s="9" t="str">
        <f t="shared" si="28"/>
        <v/>
      </c>
      <c r="O199" s="9" t="str">
        <f t="shared" si="29"/>
        <v/>
      </c>
      <c r="P199" s="9" t="str">
        <f t="shared" si="30"/>
        <v/>
      </c>
      <c r="Q199" s="9" t="str">
        <f t="shared" si="31"/>
        <v/>
      </c>
      <c r="R199" s="11"/>
      <c r="S199" s="11" t="str">
        <f t="shared" si="32"/>
        <v>PASS</v>
      </c>
    </row>
    <row r="200" spans="1:19" x14ac:dyDescent="0.25">
      <c r="A200" s="30" t="s">
        <v>96</v>
      </c>
      <c r="B200" s="31">
        <v>48245</v>
      </c>
      <c r="C200" s="30">
        <f>YEAR(BInputReservoir[[#This Row],[Date]])</f>
        <v>2032</v>
      </c>
      <c r="D200" s="30">
        <f>MONTH(BInputReservoir[[#This Row],[Date]])</f>
        <v>2</v>
      </c>
      <c r="E200" s="30" t="str">
        <f>IF(I200&lt;&gt;1,"",DATA_INPUT!$K201)</f>
        <v/>
      </c>
      <c r="F200" s="30"/>
      <c r="G200" s="30"/>
      <c r="H200" s="30"/>
      <c r="I200" s="18" t="str">
        <f>IF(STORAGE_BALANCE_ENSEMBLE!R201&lt;&gt;1,"",1)</f>
        <v/>
      </c>
      <c r="J200" s="8" t="str">
        <f t="shared" si="25"/>
        <v/>
      </c>
      <c r="K200" s="9" t="str">
        <f t="shared" si="26"/>
        <v/>
      </c>
      <c r="L200" s="10" t="str">
        <f t="shared" si="27"/>
        <v/>
      </c>
      <c r="M200" s="10" t="str">
        <f>IF(I200&lt;&gt;1,"",IF(H200="","",H200/CONTROL_PANEL!$B$11))</f>
        <v/>
      </c>
      <c r="N200" s="9" t="str">
        <f t="shared" si="28"/>
        <v/>
      </c>
      <c r="O200" s="9" t="str">
        <f t="shared" si="29"/>
        <v/>
      </c>
      <c r="P200" s="9" t="str">
        <f t="shared" si="30"/>
        <v/>
      </c>
      <c r="Q200" s="9" t="str">
        <f t="shared" si="31"/>
        <v/>
      </c>
      <c r="R200" s="11"/>
      <c r="S200" s="11" t="str">
        <f t="shared" si="32"/>
        <v>PASS</v>
      </c>
    </row>
    <row r="201" spans="1:19" x14ac:dyDescent="0.25">
      <c r="A201" s="30" t="s">
        <v>96</v>
      </c>
      <c r="B201" s="31">
        <v>48274</v>
      </c>
      <c r="C201" s="30">
        <f>YEAR(BInputReservoir[[#This Row],[Date]])</f>
        <v>2032</v>
      </c>
      <c r="D201" s="30">
        <f>MONTH(BInputReservoir[[#This Row],[Date]])</f>
        <v>3</v>
      </c>
      <c r="E201" s="30" t="str">
        <f>IF(I201&lt;&gt;1,"",DATA_INPUT!$K202)</f>
        <v/>
      </c>
      <c r="F201" s="30"/>
      <c r="G201" s="30"/>
      <c r="H201" s="30"/>
      <c r="I201" s="18" t="str">
        <f>IF(STORAGE_BALANCE_ENSEMBLE!R202&lt;&gt;1,"",1)</f>
        <v/>
      </c>
      <c r="J201" s="8" t="str">
        <f t="shared" si="25"/>
        <v/>
      </c>
      <c r="K201" s="9" t="str">
        <f t="shared" si="26"/>
        <v/>
      </c>
      <c r="L201" s="10" t="str">
        <f t="shared" si="27"/>
        <v/>
      </c>
      <c r="M201" s="10" t="str">
        <f>IF(I201&lt;&gt;1,"",IF(H201="","",H201/CONTROL_PANEL!$B$11))</f>
        <v/>
      </c>
      <c r="N201" s="9" t="str">
        <f t="shared" si="28"/>
        <v/>
      </c>
      <c r="O201" s="9" t="str">
        <f t="shared" si="29"/>
        <v/>
      </c>
      <c r="P201" s="9" t="str">
        <f t="shared" si="30"/>
        <v/>
      </c>
      <c r="Q201" s="9" t="str">
        <f t="shared" si="31"/>
        <v/>
      </c>
      <c r="R201" s="11"/>
      <c r="S201" s="11" t="str">
        <f t="shared" si="32"/>
        <v>PASS</v>
      </c>
    </row>
    <row r="202" spans="1:19" x14ac:dyDescent="0.25">
      <c r="A202" s="30" t="s">
        <v>96</v>
      </c>
      <c r="B202" s="31">
        <v>48305</v>
      </c>
      <c r="C202" s="30">
        <f>YEAR(BInputReservoir[[#This Row],[Date]])</f>
        <v>2032</v>
      </c>
      <c r="D202" s="30">
        <f>MONTH(BInputReservoir[[#This Row],[Date]])</f>
        <v>4</v>
      </c>
      <c r="E202" s="30" t="str">
        <f>IF(I202&lt;&gt;1,"",DATA_INPUT!$K203)</f>
        <v/>
      </c>
      <c r="F202" s="30"/>
      <c r="G202" s="30"/>
      <c r="H202" s="30"/>
      <c r="I202" s="18" t="str">
        <f>IF(STORAGE_BALANCE_ENSEMBLE!R203&lt;&gt;1,"",1)</f>
        <v/>
      </c>
      <c r="J202" s="8" t="str">
        <f t="shared" si="25"/>
        <v/>
      </c>
      <c r="K202" s="9" t="str">
        <f t="shared" si="26"/>
        <v/>
      </c>
      <c r="L202" s="10" t="str">
        <f t="shared" si="27"/>
        <v/>
      </c>
      <c r="M202" s="10" t="str">
        <f>IF(I202&lt;&gt;1,"",IF(H202="","",H202/CONTROL_PANEL!$B$11))</f>
        <v/>
      </c>
      <c r="N202" s="9" t="str">
        <f t="shared" si="28"/>
        <v/>
      </c>
      <c r="O202" s="9" t="str">
        <f t="shared" si="29"/>
        <v/>
      </c>
      <c r="P202" s="9" t="str">
        <f t="shared" si="30"/>
        <v/>
      </c>
      <c r="Q202" s="9" t="str">
        <f t="shared" si="31"/>
        <v/>
      </c>
      <c r="R202" s="11"/>
      <c r="S202" s="11" t="str">
        <f t="shared" si="32"/>
        <v>PASS</v>
      </c>
    </row>
    <row r="203" spans="1:19" x14ac:dyDescent="0.25">
      <c r="A203" s="30" t="s">
        <v>96</v>
      </c>
      <c r="B203" s="31">
        <v>48335</v>
      </c>
      <c r="C203" s="30">
        <f>YEAR(BInputReservoir[[#This Row],[Date]])</f>
        <v>2032</v>
      </c>
      <c r="D203" s="30">
        <f>MONTH(BInputReservoir[[#This Row],[Date]])</f>
        <v>5</v>
      </c>
      <c r="E203" s="30" t="str">
        <f>IF(I203&lt;&gt;1,"",DATA_INPUT!$K204)</f>
        <v/>
      </c>
      <c r="F203" s="30"/>
      <c r="G203" s="30"/>
      <c r="H203" s="30"/>
      <c r="I203" s="18" t="str">
        <f>IF(STORAGE_BALANCE_ENSEMBLE!R204&lt;&gt;1,"",1)</f>
        <v/>
      </c>
      <c r="J203" s="8" t="str">
        <f t="shared" si="25"/>
        <v/>
      </c>
      <c r="K203" s="9" t="str">
        <f t="shared" si="26"/>
        <v/>
      </c>
      <c r="L203" s="10" t="str">
        <f t="shared" si="27"/>
        <v/>
      </c>
      <c r="M203" s="10" t="str">
        <f>IF(I203&lt;&gt;1,"",IF(H203="","",H203/CONTROL_PANEL!$B$11))</f>
        <v/>
      </c>
      <c r="N203" s="9" t="str">
        <f t="shared" si="28"/>
        <v/>
      </c>
      <c r="O203" s="9" t="str">
        <f t="shared" si="29"/>
        <v/>
      </c>
      <c r="P203" s="9" t="str">
        <f t="shared" si="30"/>
        <v/>
      </c>
      <c r="Q203" s="9" t="str">
        <f t="shared" si="31"/>
        <v/>
      </c>
      <c r="R203" s="11"/>
      <c r="S203" s="11" t="str">
        <f t="shared" si="32"/>
        <v>PASS</v>
      </c>
    </row>
    <row r="204" spans="1:19" x14ac:dyDescent="0.25">
      <c r="A204" s="30" t="s">
        <v>96</v>
      </c>
      <c r="B204" s="31">
        <v>48366</v>
      </c>
      <c r="C204" s="30">
        <f>YEAR(BInputReservoir[[#This Row],[Date]])</f>
        <v>2032</v>
      </c>
      <c r="D204" s="30">
        <f>MONTH(BInputReservoir[[#This Row],[Date]])</f>
        <v>6</v>
      </c>
      <c r="E204" s="30" t="str">
        <f>IF(I204&lt;&gt;1,"",DATA_INPUT!$K205)</f>
        <v/>
      </c>
      <c r="F204" s="30"/>
      <c r="G204" s="30"/>
      <c r="H204" s="30"/>
      <c r="I204" s="18" t="str">
        <f>IF(STORAGE_BALANCE_ENSEMBLE!R205&lt;&gt;1,"",1)</f>
        <v/>
      </c>
      <c r="J204" s="8" t="str">
        <f t="shared" si="25"/>
        <v/>
      </c>
      <c r="K204" s="9" t="str">
        <f t="shared" si="26"/>
        <v/>
      </c>
      <c r="L204" s="10" t="str">
        <f t="shared" si="27"/>
        <v/>
      </c>
      <c r="M204" s="10" t="str">
        <f>IF(I204&lt;&gt;1,"",IF(H204="","",H204/CONTROL_PANEL!$B$11))</f>
        <v/>
      </c>
      <c r="N204" s="9" t="str">
        <f t="shared" si="28"/>
        <v/>
      </c>
      <c r="O204" s="9" t="str">
        <f t="shared" si="29"/>
        <v/>
      </c>
      <c r="P204" s="9" t="str">
        <f t="shared" si="30"/>
        <v/>
      </c>
      <c r="Q204" s="9" t="str">
        <f t="shared" si="31"/>
        <v/>
      </c>
      <c r="R204" s="11"/>
      <c r="S204" s="11" t="str">
        <f t="shared" si="32"/>
        <v>PASS</v>
      </c>
    </row>
    <row r="205" spans="1:19" x14ac:dyDescent="0.25">
      <c r="A205" s="30" t="s">
        <v>96</v>
      </c>
      <c r="B205" s="31">
        <v>48396</v>
      </c>
      <c r="C205" s="30">
        <f>YEAR(BInputReservoir[[#This Row],[Date]])</f>
        <v>2032</v>
      </c>
      <c r="D205" s="30">
        <f>MONTH(BInputReservoir[[#This Row],[Date]])</f>
        <v>7</v>
      </c>
      <c r="E205" s="30" t="str">
        <f>IF(I205&lt;&gt;1,"",DATA_INPUT!$K206)</f>
        <v/>
      </c>
      <c r="F205" s="30"/>
      <c r="G205" s="30"/>
      <c r="H205" s="30"/>
      <c r="I205" s="18" t="str">
        <f>IF(STORAGE_BALANCE_ENSEMBLE!R206&lt;&gt;1,"",1)</f>
        <v/>
      </c>
      <c r="J205" s="8" t="str">
        <f t="shared" si="25"/>
        <v/>
      </c>
      <c r="K205" s="9" t="str">
        <f t="shared" si="26"/>
        <v/>
      </c>
      <c r="L205" s="10" t="str">
        <f t="shared" si="27"/>
        <v/>
      </c>
      <c r="M205" s="10" t="str">
        <f>IF(I205&lt;&gt;1,"",IF(H205="","",H205/CONTROL_PANEL!$B$11))</f>
        <v/>
      </c>
      <c r="N205" s="9" t="str">
        <f t="shared" si="28"/>
        <v/>
      </c>
      <c r="O205" s="9" t="str">
        <f t="shared" si="29"/>
        <v/>
      </c>
      <c r="P205" s="9" t="str">
        <f t="shared" si="30"/>
        <v/>
      </c>
      <c r="Q205" s="9" t="str">
        <f t="shared" si="31"/>
        <v/>
      </c>
      <c r="R205" s="11"/>
      <c r="S205" s="11" t="str">
        <f t="shared" si="32"/>
        <v>PASS</v>
      </c>
    </row>
    <row r="206" spans="1:19" x14ac:dyDescent="0.25">
      <c r="A206" s="30" t="s">
        <v>96</v>
      </c>
      <c r="B206" s="31">
        <v>48427</v>
      </c>
      <c r="C206" s="30">
        <f>YEAR(BInputReservoir[[#This Row],[Date]])</f>
        <v>2032</v>
      </c>
      <c r="D206" s="30">
        <f>MONTH(BInputReservoir[[#This Row],[Date]])</f>
        <v>8</v>
      </c>
      <c r="E206" s="30" t="str">
        <f>IF(I206&lt;&gt;1,"",DATA_INPUT!$K207)</f>
        <v/>
      </c>
      <c r="F206" s="30"/>
      <c r="G206" s="30"/>
      <c r="H206" s="30"/>
      <c r="I206" s="18" t="str">
        <f>IF(STORAGE_BALANCE_ENSEMBLE!R207&lt;&gt;1,"",1)</f>
        <v/>
      </c>
      <c r="J206" s="8" t="str">
        <f t="shared" si="25"/>
        <v/>
      </c>
      <c r="K206" s="9" t="str">
        <f t="shared" si="26"/>
        <v/>
      </c>
      <c r="L206" s="10" t="str">
        <f t="shared" si="27"/>
        <v/>
      </c>
      <c r="M206" s="10" t="str">
        <f>IF(I206&lt;&gt;1,"",IF(H206="","",H206/CONTROL_PANEL!$B$11))</f>
        <v/>
      </c>
      <c r="N206" s="9" t="str">
        <f t="shared" si="28"/>
        <v/>
      </c>
      <c r="O206" s="9" t="str">
        <f t="shared" si="29"/>
        <v/>
      </c>
      <c r="P206" s="9" t="str">
        <f t="shared" si="30"/>
        <v/>
      </c>
      <c r="Q206" s="9" t="str">
        <f t="shared" si="31"/>
        <v/>
      </c>
      <c r="R206" s="11"/>
      <c r="S206" s="11" t="str">
        <f t="shared" si="32"/>
        <v>PASS</v>
      </c>
    </row>
    <row r="207" spans="1:19" x14ac:dyDescent="0.25">
      <c r="A207" s="30" t="s">
        <v>96</v>
      </c>
      <c r="B207" s="31">
        <v>48458</v>
      </c>
      <c r="C207" s="30">
        <f>YEAR(BInputReservoir[[#This Row],[Date]])</f>
        <v>2032</v>
      </c>
      <c r="D207" s="30">
        <f>MONTH(BInputReservoir[[#This Row],[Date]])</f>
        <v>9</v>
      </c>
      <c r="E207" s="30" t="str">
        <f>IF(I207&lt;&gt;1,"",DATA_INPUT!$K208)</f>
        <v/>
      </c>
      <c r="F207" s="30"/>
      <c r="G207" s="30"/>
      <c r="H207" s="30"/>
      <c r="I207" s="18" t="str">
        <f>IF(STORAGE_BALANCE_ENSEMBLE!R208&lt;&gt;1,"",1)</f>
        <v/>
      </c>
      <c r="J207" s="8" t="str">
        <f t="shared" si="25"/>
        <v/>
      </c>
      <c r="K207" s="9" t="str">
        <f t="shared" si="26"/>
        <v/>
      </c>
      <c r="L207" s="10" t="str">
        <f t="shared" si="27"/>
        <v/>
      </c>
      <c r="M207" s="10" t="str">
        <f>IF(I207&lt;&gt;1,"",IF(H207="","",H207/CONTROL_PANEL!$B$11))</f>
        <v/>
      </c>
      <c r="N207" s="9" t="str">
        <f t="shared" si="28"/>
        <v/>
      </c>
      <c r="O207" s="9" t="str">
        <f t="shared" si="29"/>
        <v/>
      </c>
      <c r="P207" s="9" t="str">
        <f t="shared" si="30"/>
        <v/>
      </c>
      <c r="Q207" s="9" t="str">
        <f t="shared" si="31"/>
        <v/>
      </c>
      <c r="R207" s="11"/>
      <c r="S207" s="11" t="str">
        <f t="shared" si="32"/>
        <v>PASS</v>
      </c>
    </row>
    <row r="208" spans="1:19" x14ac:dyDescent="0.25">
      <c r="A208" s="30" t="s">
        <v>96</v>
      </c>
      <c r="B208" s="31">
        <v>48488</v>
      </c>
      <c r="C208" s="30">
        <f>YEAR(BInputReservoir[[#This Row],[Date]])</f>
        <v>2032</v>
      </c>
      <c r="D208" s="30">
        <f>MONTH(BInputReservoir[[#This Row],[Date]])</f>
        <v>10</v>
      </c>
      <c r="E208" s="30" t="str">
        <f>IF(I208&lt;&gt;1,"",DATA_INPUT!$K209)</f>
        <v/>
      </c>
      <c r="F208" s="30"/>
      <c r="G208" s="30"/>
      <c r="H208" s="30"/>
      <c r="I208" s="18" t="str">
        <f>IF(STORAGE_BALANCE_ENSEMBLE!R209&lt;&gt;1,"",1)</f>
        <v/>
      </c>
      <c r="J208" s="8" t="str">
        <f t="shared" si="25"/>
        <v/>
      </c>
      <c r="K208" s="9" t="str">
        <f t="shared" si="26"/>
        <v/>
      </c>
      <c r="L208" s="10" t="str">
        <f t="shared" si="27"/>
        <v/>
      </c>
      <c r="M208" s="10" t="str">
        <f>IF(I208&lt;&gt;1,"",IF(H208="","",H208/CONTROL_PANEL!$B$11))</f>
        <v/>
      </c>
      <c r="N208" s="9" t="str">
        <f t="shared" si="28"/>
        <v/>
      </c>
      <c r="O208" s="9" t="str">
        <f t="shared" si="29"/>
        <v/>
      </c>
      <c r="P208" s="9" t="str">
        <f t="shared" si="30"/>
        <v/>
      </c>
      <c r="Q208" s="9" t="str">
        <f t="shared" si="31"/>
        <v/>
      </c>
      <c r="R208" s="11"/>
      <c r="S208" s="11" t="str">
        <f t="shared" si="32"/>
        <v>PASS</v>
      </c>
    </row>
    <row r="209" spans="1:19" x14ac:dyDescent="0.25">
      <c r="A209" s="30" t="s">
        <v>96</v>
      </c>
      <c r="B209" s="31">
        <v>48519</v>
      </c>
      <c r="C209" s="30">
        <f>YEAR(BInputReservoir[[#This Row],[Date]])</f>
        <v>2032</v>
      </c>
      <c r="D209" s="30">
        <f>MONTH(BInputReservoir[[#This Row],[Date]])</f>
        <v>11</v>
      </c>
      <c r="E209" s="30" t="str">
        <f>IF(I209&lt;&gt;1,"",DATA_INPUT!$K210)</f>
        <v/>
      </c>
      <c r="F209" s="30"/>
      <c r="G209" s="30"/>
      <c r="H209" s="30"/>
      <c r="I209" s="18" t="str">
        <f>IF(STORAGE_BALANCE_ENSEMBLE!R210&lt;&gt;1,"",1)</f>
        <v/>
      </c>
      <c r="J209" s="8" t="str">
        <f t="shared" si="25"/>
        <v/>
      </c>
      <c r="K209" s="9" t="str">
        <f t="shared" si="26"/>
        <v/>
      </c>
      <c r="L209" s="10" t="str">
        <f t="shared" si="27"/>
        <v/>
      </c>
      <c r="M209" s="10" t="str">
        <f>IF(I209&lt;&gt;1,"",IF(H209="","",H209/CONTROL_PANEL!$B$11))</f>
        <v/>
      </c>
      <c r="N209" s="9" t="str">
        <f t="shared" si="28"/>
        <v/>
      </c>
      <c r="O209" s="9" t="str">
        <f t="shared" si="29"/>
        <v/>
      </c>
      <c r="P209" s="9" t="str">
        <f t="shared" si="30"/>
        <v/>
      </c>
      <c r="Q209" s="9" t="str">
        <f t="shared" si="31"/>
        <v/>
      </c>
      <c r="R209" s="11"/>
      <c r="S209" s="11" t="str">
        <f t="shared" si="32"/>
        <v>PASS</v>
      </c>
    </row>
    <row r="210" spans="1:19" x14ac:dyDescent="0.25">
      <c r="A210" s="30" t="s">
        <v>96</v>
      </c>
      <c r="B210" s="31">
        <v>48549</v>
      </c>
      <c r="C210" s="30">
        <f>YEAR(BInputReservoir[[#This Row],[Date]])</f>
        <v>2032</v>
      </c>
      <c r="D210" s="30">
        <f>MONTH(BInputReservoir[[#This Row],[Date]])</f>
        <v>12</v>
      </c>
      <c r="E210" s="30" t="str">
        <f>IF(I210&lt;&gt;1,"",DATA_INPUT!$K211)</f>
        <v/>
      </c>
      <c r="F210" s="30"/>
      <c r="G210" s="30"/>
      <c r="H210" s="30"/>
      <c r="I210" s="18" t="str">
        <f>IF(STORAGE_BALANCE_ENSEMBLE!R211&lt;&gt;1,"",1)</f>
        <v/>
      </c>
      <c r="J210" s="8" t="str">
        <f t="shared" si="25"/>
        <v/>
      </c>
      <c r="K210" s="9" t="str">
        <f t="shared" si="26"/>
        <v/>
      </c>
      <c r="L210" s="10" t="str">
        <f t="shared" si="27"/>
        <v/>
      </c>
      <c r="M210" s="10" t="str">
        <f>IF(I210&lt;&gt;1,"",IF(H210="","",H210/CONTROL_PANEL!$B$11))</f>
        <v/>
      </c>
      <c r="N210" s="9" t="str">
        <f t="shared" si="28"/>
        <v/>
      </c>
      <c r="O210" s="9" t="str">
        <f t="shared" si="29"/>
        <v/>
      </c>
      <c r="P210" s="9" t="str">
        <f t="shared" si="30"/>
        <v/>
      </c>
      <c r="Q210" s="9" t="str">
        <f t="shared" si="31"/>
        <v/>
      </c>
      <c r="R210" s="11"/>
      <c r="S210" s="11" t="str">
        <f t="shared" si="32"/>
        <v>PASS</v>
      </c>
    </row>
    <row r="211" spans="1:19" x14ac:dyDescent="0.25">
      <c r="A211" s="30" t="s">
        <v>96</v>
      </c>
      <c r="B211" s="31">
        <v>48580</v>
      </c>
      <c r="C211" s="30">
        <f>YEAR(BInputReservoir[[#This Row],[Date]])</f>
        <v>2033</v>
      </c>
      <c r="D211" s="30">
        <f>MONTH(BInputReservoir[[#This Row],[Date]])</f>
        <v>1</v>
      </c>
      <c r="E211" s="30" t="str">
        <f>IF(I211&lt;&gt;1,"",DATA_INPUT!$K212)</f>
        <v/>
      </c>
      <c r="F211" s="30"/>
      <c r="G211" s="30"/>
      <c r="H211" s="30"/>
      <c r="I211" s="18" t="str">
        <f>IF(STORAGE_BALANCE_ENSEMBLE!R212&lt;&gt;1,"",1)</f>
        <v/>
      </c>
      <c r="J211" s="8" t="str">
        <f t="shared" si="25"/>
        <v/>
      </c>
      <c r="K211" s="9" t="str">
        <f t="shared" si="26"/>
        <v/>
      </c>
      <c r="L211" s="10" t="str">
        <f t="shared" si="27"/>
        <v/>
      </c>
      <c r="M211" s="10" t="str">
        <f>IF(I211&lt;&gt;1,"",IF(H211="","",H211/CONTROL_PANEL!$B$11))</f>
        <v/>
      </c>
      <c r="N211" s="9" t="str">
        <f t="shared" si="28"/>
        <v/>
      </c>
      <c r="O211" s="9" t="str">
        <f t="shared" si="29"/>
        <v/>
      </c>
      <c r="P211" s="9" t="str">
        <f t="shared" si="30"/>
        <v/>
      </c>
      <c r="Q211" s="9" t="str">
        <f t="shared" si="31"/>
        <v/>
      </c>
      <c r="R211" s="11"/>
      <c r="S211" s="11" t="str">
        <f t="shared" si="32"/>
        <v>PASS</v>
      </c>
    </row>
    <row r="212" spans="1:19" x14ac:dyDescent="0.25">
      <c r="A212" s="30" t="s">
        <v>96</v>
      </c>
      <c r="B212" s="31">
        <v>48611</v>
      </c>
      <c r="C212" s="30">
        <f>YEAR(BInputReservoir[[#This Row],[Date]])</f>
        <v>2033</v>
      </c>
      <c r="D212" s="30">
        <f>MONTH(BInputReservoir[[#This Row],[Date]])</f>
        <v>2</v>
      </c>
      <c r="E212" s="30" t="str">
        <f>IF(I212&lt;&gt;1,"",DATA_INPUT!$K213)</f>
        <v/>
      </c>
      <c r="F212" s="30"/>
      <c r="G212" s="30"/>
      <c r="H212" s="30"/>
      <c r="I212" s="18" t="str">
        <f>IF(STORAGE_BALANCE_ENSEMBLE!R213&lt;&gt;1,"",1)</f>
        <v/>
      </c>
      <c r="J212" s="8" t="str">
        <f t="shared" si="25"/>
        <v/>
      </c>
      <c r="K212" s="9" t="str">
        <f t="shared" si="26"/>
        <v/>
      </c>
      <c r="L212" s="10" t="str">
        <f t="shared" si="27"/>
        <v/>
      </c>
      <c r="M212" s="10" t="str">
        <f>IF(I212&lt;&gt;1,"",IF(H212="","",H212/CONTROL_PANEL!$B$11))</f>
        <v/>
      </c>
      <c r="N212" s="9" t="str">
        <f t="shared" si="28"/>
        <v/>
      </c>
      <c r="O212" s="9" t="str">
        <f t="shared" si="29"/>
        <v/>
      </c>
      <c r="P212" s="9" t="str">
        <f t="shared" si="30"/>
        <v/>
      </c>
      <c r="Q212" s="9" t="str">
        <f t="shared" si="31"/>
        <v/>
      </c>
      <c r="R212" s="11"/>
      <c r="S212" s="11" t="str">
        <f t="shared" si="32"/>
        <v>PASS</v>
      </c>
    </row>
    <row r="213" spans="1:19" x14ac:dyDescent="0.25">
      <c r="A213" s="30" t="s">
        <v>96</v>
      </c>
      <c r="B213" s="31">
        <v>48639</v>
      </c>
      <c r="C213" s="30">
        <f>YEAR(BInputReservoir[[#This Row],[Date]])</f>
        <v>2033</v>
      </c>
      <c r="D213" s="30">
        <f>MONTH(BInputReservoir[[#This Row],[Date]])</f>
        <v>3</v>
      </c>
      <c r="E213" s="30" t="str">
        <f>IF(I213&lt;&gt;1,"",DATA_INPUT!$K214)</f>
        <v/>
      </c>
      <c r="F213" s="30"/>
      <c r="G213" s="30"/>
      <c r="H213" s="30"/>
      <c r="I213" s="18" t="str">
        <f>IF(STORAGE_BALANCE_ENSEMBLE!R214&lt;&gt;1,"",1)</f>
        <v/>
      </c>
      <c r="J213" s="8" t="str">
        <f t="shared" si="25"/>
        <v/>
      </c>
      <c r="K213" s="9" t="str">
        <f t="shared" si="26"/>
        <v/>
      </c>
      <c r="L213" s="10" t="str">
        <f t="shared" si="27"/>
        <v/>
      </c>
      <c r="M213" s="10" t="str">
        <f>IF(I213&lt;&gt;1,"",IF(H213="","",H213/CONTROL_PANEL!$B$11))</f>
        <v/>
      </c>
      <c r="N213" s="9" t="str">
        <f t="shared" si="28"/>
        <v/>
      </c>
      <c r="O213" s="9" t="str">
        <f t="shared" si="29"/>
        <v/>
      </c>
      <c r="P213" s="9" t="str">
        <f t="shared" si="30"/>
        <v/>
      </c>
      <c r="Q213" s="9" t="str">
        <f t="shared" si="31"/>
        <v/>
      </c>
      <c r="R213" s="11"/>
      <c r="S213" s="11" t="str">
        <f t="shared" si="32"/>
        <v>PASS</v>
      </c>
    </row>
    <row r="214" spans="1:19" x14ac:dyDescent="0.25">
      <c r="A214" s="30" t="s">
        <v>96</v>
      </c>
      <c r="B214" s="31">
        <v>48670</v>
      </c>
      <c r="C214" s="30">
        <f>YEAR(BInputReservoir[[#This Row],[Date]])</f>
        <v>2033</v>
      </c>
      <c r="D214" s="30">
        <f>MONTH(BInputReservoir[[#This Row],[Date]])</f>
        <v>4</v>
      </c>
      <c r="E214" s="30" t="str">
        <f>IF(I214&lt;&gt;1,"",DATA_INPUT!$K215)</f>
        <v/>
      </c>
      <c r="F214" s="30"/>
      <c r="G214" s="30"/>
      <c r="H214" s="30"/>
      <c r="I214" s="18" t="str">
        <f>IF(STORAGE_BALANCE_ENSEMBLE!R215&lt;&gt;1,"",1)</f>
        <v/>
      </c>
      <c r="J214" s="8" t="str">
        <f t="shared" si="25"/>
        <v/>
      </c>
      <c r="K214" s="9" t="str">
        <f t="shared" si="26"/>
        <v/>
      </c>
      <c r="L214" s="10" t="str">
        <f t="shared" si="27"/>
        <v/>
      </c>
      <c r="M214" s="10" t="str">
        <f>IF(I214&lt;&gt;1,"",IF(H214="","",H214/CONTROL_PANEL!$B$11))</f>
        <v/>
      </c>
      <c r="N214" s="9" t="str">
        <f t="shared" si="28"/>
        <v/>
      </c>
      <c r="O214" s="9" t="str">
        <f t="shared" si="29"/>
        <v/>
      </c>
      <c r="P214" s="9" t="str">
        <f t="shared" si="30"/>
        <v/>
      </c>
      <c r="Q214" s="9" t="str">
        <f t="shared" si="31"/>
        <v/>
      </c>
      <c r="R214" s="11"/>
      <c r="S214" s="11" t="str">
        <f t="shared" si="32"/>
        <v>PASS</v>
      </c>
    </row>
    <row r="215" spans="1:19" x14ac:dyDescent="0.25">
      <c r="A215" s="30" t="s">
        <v>96</v>
      </c>
      <c r="B215" s="31">
        <v>48700</v>
      </c>
      <c r="C215" s="30">
        <f>YEAR(BInputReservoir[[#This Row],[Date]])</f>
        <v>2033</v>
      </c>
      <c r="D215" s="30">
        <f>MONTH(BInputReservoir[[#This Row],[Date]])</f>
        <v>5</v>
      </c>
      <c r="E215" s="30" t="str">
        <f>IF(I215&lt;&gt;1,"",DATA_INPUT!$K216)</f>
        <v/>
      </c>
      <c r="F215" s="30"/>
      <c r="G215" s="30"/>
      <c r="H215" s="30"/>
      <c r="I215" s="18" t="str">
        <f>IF(STORAGE_BALANCE_ENSEMBLE!R216&lt;&gt;1,"",1)</f>
        <v/>
      </c>
      <c r="J215" s="8" t="str">
        <f t="shared" si="25"/>
        <v/>
      </c>
      <c r="K215" s="9" t="str">
        <f t="shared" si="26"/>
        <v/>
      </c>
      <c r="L215" s="10" t="str">
        <f t="shared" si="27"/>
        <v/>
      </c>
      <c r="M215" s="10" t="str">
        <f>IF(I215&lt;&gt;1,"",IF(H215="","",H215/CONTROL_PANEL!$B$11))</f>
        <v/>
      </c>
      <c r="N215" s="9" t="str">
        <f t="shared" si="28"/>
        <v/>
      </c>
      <c r="O215" s="9" t="str">
        <f t="shared" si="29"/>
        <v/>
      </c>
      <c r="P215" s="9" t="str">
        <f t="shared" si="30"/>
        <v/>
      </c>
      <c r="Q215" s="9" t="str">
        <f t="shared" si="31"/>
        <v/>
      </c>
      <c r="R215" s="11"/>
      <c r="S215" s="11" t="str">
        <f t="shared" si="32"/>
        <v>PASS</v>
      </c>
    </row>
    <row r="216" spans="1:19" x14ac:dyDescent="0.25">
      <c r="A216" s="30" t="s">
        <v>96</v>
      </c>
      <c r="B216" s="31">
        <v>48731</v>
      </c>
      <c r="C216" s="30">
        <f>YEAR(BInputReservoir[[#This Row],[Date]])</f>
        <v>2033</v>
      </c>
      <c r="D216" s="30">
        <f>MONTH(BInputReservoir[[#This Row],[Date]])</f>
        <v>6</v>
      </c>
      <c r="E216" s="30" t="str">
        <f>IF(I216&lt;&gt;1,"",DATA_INPUT!$K217)</f>
        <v/>
      </c>
      <c r="F216" s="30"/>
      <c r="G216" s="30"/>
      <c r="H216" s="30"/>
      <c r="I216" s="18" t="str">
        <f>IF(STORAGE_BALANCE_ENSEMBLE!R217&lt;&gt;1,"",1)</f>
        <v/>
      </c>
      <c r="J216" s="8" t="str">
        <f t="shared" si="25"/>
        <v/>
      </c>
      <c r="K216" s="9" t="str">
        <f t="shared" si="26"/>
        <v/>
      </c>
      <c r="L216" s="10" t="str">
        <f t="shared" si="27"/>
        <v/>
      </c>
      <c r="M216" s="10" t="str">
        <f>IF(I216&lt;&gt;1,"",IF(H216="","",H216/CONTROL_PANEL!$B$11))</f>
        <v/>
      </c>
      <c r="N216" s="9" t="str">
        <f t="shared" si="28"/>
        <v/>
      </c>
      <c r="O216" s="9" t="str">
        <f t="shared" si="29"/>
        <v/>
      </c>
      <c r="P216" s="9" t="str">
        <f t="shared" si="30"/>
        <v/>
      </c>
      <c r="Q216" s="9" t="str">
        <f t="shared" si="31"/>
        <v/>
      </c>
      <c r="R216" s="11"/>
      <c r="S216" s="11" t="str">
        <f t="shared" si="32"/>
        <v>PASS</v>
      </c>
    </row>
    <row r="217" spans="1:19" x14ac:dyDescent="0.25">
      <c r="A217" s="30" t="s">
        <v>96</v>
      </c>
      <c r="B217" s="31">
        <v>48761</v>
      </c>
      <c r="C217" s="30">
        <f>YEAR(BInputReservoir[[#This Row],[Date]])</f>
        <v>2033</v>
      </c>
      <c r="D217" s="30">
        <f>MONTH(BInputReservoir[[#This Row],[Date]])</f>
        <v>7</v>
      </c>
      <c r="E217" s="30" t="str">
        <f>IF(I217&lt;&gt;1,"",DATA_INPUT!$K218)</f>
        <v/>
      </c>
      <c r="F217" s="30"/>
      <c r="G217" s="30"/>
      <c r="H217" s="30"/>
      <c r="I217" s="18" t="str">
        <f>IF(STORAGE_BALANCE_ENSEMBLE!R218&lt;&gt;1,"",1)</f>
        <v/>
      </c>
      <c r="J217" s="8" t="str">
        <f t="shared" si="25"/>
        <v/>
      </c>
      <c r="K217" s="9" t="str">
        <f t="shared" si="26"/>
        <v/>
      </c>
      <c r="L217" s="10" t="str">
        <f t="shared" si="27"/>
        <v/>
      </c>
      <c r="M217" s="10" t="str">
        <f>IF(I217&lt;&gt;1,"",IF(H217="","",H217/CONTROL_PANEL!$B$11))</f>
        <v/>
      </c>
      <c r="N217" s="9" t="str">
        <f t="shared" si="28"/>
        <v/>
      </c>
      <c r="O217" s="9" t="str">
        <f t="shared" si="29"/>
        <v/>
      </c>
      <c r="P217" s="9" t="str">
        <f t="shared" si="30"/>
        <v/>
      </c>
      <c r="Q217" s="9" t="str">
        <f t="shared" si="31"/>
        <v/>
      </c>
      <c r="R217" s="11"/>
      <c r="S217" s="11" t="str">
        <f t="shared" si="32"/>
        <v>PASS</v>
      </c>
    </row>
    <row r="218" spans="1:19" x14ac:dyDescent="0.25">
      <c r="A218" s="30" t="s">
        <v>96</v>
      </c>
      <c r="B218" s="31">
        <v>48792</v>
      </c>
      <c r="C218" s="30">
        <f>YEAR(BInputReservoir[[#This Row],[Date]])</f>
        <v>2033</v>
      </c>
      <c r="D218" s="30">
        <f>MONTH(BInputReservoir[[#This Row],[Date]])</f>
        <v>8</v>
      </c>
      <c r="E218" s="30" t="str">
        <f>IF(I218&lt;&gt;1,"",DATA_INPUT!$K219)</f>
        <v/>
      </c>
      <c r="F218" s="30"/>
      <c r="G218" s="30"/>
      <c r="H218" s="30"/>
      <c r="I218" s="18" t="str">
        <f>IF(STORAGE_BALANCE_ENSEMBLE!R219&lt;&gt;1,"",1)</f>
        <v/>
      </c>
      <c r="J218" s="8" t="str">
        <f t="shared" si="25"/>
        <v/>
      </c>
      <c r="K218" s="9" t="str">
        <f t="shared" si="26"/>
        <v/>
      </c>
      <c r="L218" s="10" t="str">
        <f t="shared" si="27"/>
        <v/>
      </c>
      <c r="M218" s="10" t="str">
        <f>IF(I218&lt;&gt;1,"",IF(H218="","",H218/CONTROL_PANEL!$B$11))</f>
        <v/>
      </c>
      <c r="N218" s="9" t="str">
        <f t="shared" si="28"/>
        <v/>
      </c>
      <c r="O218" s="9" t="str">
        <f t="shared" si="29"/>
        <v/>
      </c>
      <c r="P218" s="9" t="str">
        <f t="shared" si="30"/>
        <v/>
      </c>
      <c r="Q218" s="9" t="str">
        <f t="shared" si="31"/>
        <v/>
      </c>
      <c r="R218" s="11"/>
      <c r="S218" s="11" t="str">
        <f t="shared" si="32"/>
        <v>PASS</v>
      </c>
    </row>
    <row r="219" spans="1:19" x14ac:dyDescent="0.25">
      <c r="A219" s="30" t="s">
        <v>96</v>
      </c>
      <c r="B219" s="31">
        <v>48823</v>
      </c>
      <c r="C219" s="30">
        <f>YEAR(BInputReservoir[[#This Row],[Date]])</f>
        <v>2033</v>
      </c>
      <c r="D219" s="30">
        <f>MONTH(BInputReservoir[[#This Row],[Date]])</f>
        <v>9</v>
      </c>
      <c r="E219" s="30" t="str">
        <f>IF(I219&lt;&gt;1,"",DATA_INPUT!$K220)</f>
        <v/>
      </c>
      <c r="F219" s="30"/>
      <c r="G219" s="30"/>
      <c r="H219" s="30"/>
      <c r="I219" s="18" t="str">
        <f>IF(STORAGE_BALANCE_ENSEMBLE!R220&lt;&gt;1,"",1)</f>
        <v/>
      </c>
      <c r="J219" s="8" t="str">
        <f t="shared" si="25"/>
        <v/>
      </c>
      <c r="K219" s="9" t="str">
        <f t="shared" si="26"/>
        <v/>
      </c>
      <c r="L219" s="10" t="str">
        <f t="shared" si="27"/>
        <v/>
      </c>
      <c r="M219" s="10" t="str">
        <f>IF(I219&lt;&gt;1,"",IF(H219="","",H219/CONTROL_PANEL!$B$11))</f>
        <v/>
      </c>
      <c r="N219" s="9" t="str">
        <f t="shared" si="28"/>
        <v/>
      </c>
      <c r="O219" s="9" t="str">
        <f t="shared" si="29"/>
        <v/>
      </c>
      <c r="P219" s="9" t="str">
        <f t="shared" si="30"/>
        <v/>
      </c>
      <c r="Q219" s="9" t="str">
        <f t="shared" si="31"/>
        <v/>
      </c>
      <c r="R219" s="11"/>
      <c r="S219" s="11" t="str">
        <f t="shared" si="32"/>
        <v>PASS</v>
      </c>
    </row>
    <row r="220" spans="1:19" x14ac:dyDescent="0.25">
      <c r="A220" s="30" t="s">
        <v>96</v>
      </c>
      <c r="B220" s="31">
        <v>48853</v>
      </c>
      <c r="C220" s="30">
        <f>YEAR(BInputReservoir[[#This Row],[Date]])</f>
        <v>2033</v>
      </c>
      <c r="D220" s="30">
        <f>MONTH(BInputReservoir[[#This Row],[Date]])</f>
        <v>10</v>
      </c>
      <c r="E220" s="30" t="str">
        <f>IF(I220&lt;&gt;1,"",DATA_INPUT!$K221)</f>
        <v/>
      </c>
      <c r="F220" s="30"/>
      <c r="G220" s="30"/>
      <c r="H220" s="30"/>
      <c r="I220" s="18" t="str">
        <f>IF(STORAGE_BALANCE_ENSEMBLE!R221&lt;&gt;1,"",1)</f>
        <v/>
      </c>
      <c r="J220" s="8" t="str">
        <f t="shared" si="25"/>
        <v/>
      </c>
      <c r="K220" s="9" t="str">
        <f t="shared" si="26"/>
        <v/>
      </c>
      <c r="L220" s="10" t="str">
        <f t="shared" si="27"/>
        <v/>
      </c>
      <c r="M220" s="10" t="str">
        <f>IF(I220&lt;&gt;1,"",IF(H220="","",H220/CONTROL_PANEL!$B$11))</f>
        <v/>
      </c>
      <c r="N220" s="9" t="str">
        <f t="shared" si="28"/>
        <v/>
      </c>
      <c r="O220" s="9" t="str">
        <f t="shared" si="29"/>
        <v/>
      </c>
      <c r="P220" s="9" t="str">
        <f t="shared" si="30"/>
        <v/>
      </c>
      <c r="Q220" s="9" t="str">
        <f t="shared" si="31"/>
        <v/>
      </c>
      <c r="R220" s="11"/>
      <c r="S220" s="11" t="str">
        <f t="shared" si="32"/>
        <v>PASS</v>
      </c>
    </row>
    <row r="221" spans="1:19" x14ac:dyDescent="0.25">
      <c r="A221" s="30" t="s">
        <v>96</v>
      </c>
      <c r="B221" s="31">
        <v>48884</v>
      </c>
      <c r="C221" s="30">
        <f>YEAR(BInputReservoir[[#This Row],[Date]])</f>
        <v>2033</v>
      </c>
      <c r="D221" s="30">
        <f>MONTH(BInputReservoir[[#This Row],[Date]])</f>
        <v>11</v>
      </c>
      <c r="E221" s="30" t="str">
        <f>IF(I221&lt;&gt;1,"",DATA_INPUT!$K222)</f>
        <v/>
      </c>
      <c r="F221" s="30"/>
      <c r="G221" s="30"/>
      <c r="H221" s="30"/>
      <c r="I221" s="18" t="str">
        <f>IF(STORAGE_BALANCE_ENSEMBLE!R222&lt;&gt;1,"",1)</f>
        <v/>
      </c>
      <c r="J221" s="8" t="str">
        <f t="shared" si="25"/>
        <v/>
      </c>
      <c r="K221" s="9" t="str">
        <f t="shared" si="26"/>
        <v/>
      </c>
      <c r="L221" s="10" t="str">
        <f t="shared" si="27"/>
        <v/>
      </c>
      <c r="M221" s="10" t="str">
        <f>IF(I221&lt;&gt;1,"",IF(H221="","",H221/CONTROL_PANEL!$B$11))</f>
        <v/>
      </c>
      <c r="N221" s="9" t="str">
        <f t="shared" si="28"/>
        <v/>
      </c>
      <c r="O221" s="9" t="str">
        <f t="shared" si="29"/>
        <v/>
      </c>
      <c r="P221" s="9" t="str">
        <f t="shared" si="30"/>
        <v/>
      </c>
      <c r="Q221" s="9" t="str">
        <f t="shared" si="31"/>
        <v/>
      </c>
      <c r="R221" s="11"/>
      <c r="S221" s="11" t="str">
        <f t="shared" si="32"/>
        <v>PASS</v>
      </c>
    </row>
    <row r="222" spans="1:19" x14ac:dyDescent="0.25">
      <c r="A222" s="30" t="s">
        <v>96</v>
      </c>
      <c r="B222" s="31">
        <v>48914</v>
      </c>
      <c r="C222" s="30">
        <f>YEAR(BInputReservoir[[#This Row],[Date]])</f>
        <v>2033</v>
      </c>
      <c r="D222" s="30">
        <f>MONTH(BInputReservoir[[#This Row],[Date]])</f>
        <v>12</v>
      </c>
      <c r="E222" s="30" t="str">
        <f>IF(I222&lt;&gt;1,"",DATA_INPUT!$K223)</f>
        <v/>
      </c>
      <c r="F222" s="30"/>
      <c r="G222" s="30"/>
      <c r="H222" s="30"/>
      <c r="I222" s="18" t="str">
        <f>IF(STORAGE_BALANCE_ENSEMBLE!R223&lt;&gt;1,"",1)</f>
        <v/>
      </c>
      <c r="J222" s="8" t="str">
        <f t="shared" si="25"/>
        <v/>
      </c>
      <c r="K222" s="9" t="str">
        <f t="shared" si="26"/>
        <v/>
      </c>
      <c r="L222" s="10" t="str">
        <f t="shared" si="27"/>
        <v/>
      </c>
      <c r="M222" s="10" t="str">
        <f>IF(I222&lt;&gt;1,"",IF(H222="","",H222/CONTROL_PANEL!$B$11))</f>
        <v/>
      </c>
      <c r="N222" s="9" t="str">
        <f t="shared" si="28"/>
        <v/>
      </c>
      <c r="O222" s="9" t="str">
        <f t="shared" si="29"/>
        <v/>
      </c>
      <c r="P222" s="9" t="str">
        <f t="shared" si="30"/>
        <v/>
      </c>
      <c r="Q222" s="9" t="str">
        <f t="shared" si="31"/>
        <v/>
      </c>
      <c r="R222" s="11"/>
      <c r="S222" s="11" t="str">
        <f t="shared" si="32"/>
        <v>PASS</v>
      </c>
    </row>
    <row r="223" spans="1:19" x14ac:dyDescent="0.25">
      <c r="A223" s="30" t="s">
        <v>96</v>
      </c>
      <c r="B223" s="31">
        <v>48945</v>
      </c>
      <c r="C223" s="30">
        <f>YEAR(BInputReservoir[[#This Row],[Date]])</f>
        <v>2034</v>
      </c>
      <c r="D223" s="30">
        <f>MONTH(BInputReservoir[[#This Row],[Date]])</f>
        <v>1</v>
      </c>
      <c r="E223" s="30" t="str">
        <f>IF(I223&lt;&gt;1,"",DATA_INPUT!$K224)</f>
        <v/>
      </c>
      <c r="F223" s="30"/>
      <c r="G223" s="30"/>
      <c r="H223" s="30"/>
      <c r="I223" s="18" t="str">
        <f>IF(STORAGE_BALANCE_ENSEMBLE!R224&lt;&gt;1,"",1)</f>
        <v/>
      </c>
      <c r="J223" s="8" t="str">
        <f t="shared" si="25"/>
        <v/>
      </c>
      <c r="K223" s="9" t="str">
        <f t="shared" si="26"/>
        <v/>
      </c>
      <c r="L223" s="10" t="str">
        <f t="shared" si="27"/>
        <v/>
      </c>
      <c r="M223" s="10" t="str">
        <f>IF(I223&lt;&gt;1,"",IF(H223="","",H223/CONTROL_PANEL!$B$11))</f>
        <v/>
      </c>
      <c r="N223" s="9" t="str">
        <f t="shared" si="28"/>
        <v/>
      </c>
      <c r="O223" s="9" t="str">
        <f t="shared" si="29"/>
        <v/>
      </c>
      <c r="P223" s="9" t="str">
        <f t="shared" si="30"/>
        <v/>
      </c>
      <c r="Q223" s="9" t="str">
        <f t="shared" si="31"/>
        <v/>
      </c>
      <c r="R223" s="11"/>
      <c r="S223" s="11" t="str">
        <f t="shared" si="32"/>
        <v>PASS</v>
      </c>
    </row>
    <row r="224" spans="1:19" x14ac:dyDescent="0.25">
      <c r="A224" s="30" t="s">
        <v>96</v>
      </c>
      <c r="B224" s="31">
        <v>48976</v>
      </c>
      <c r="C224" s="30">
        <f>YEAR(BInputReservoir[[#This Row],[Date]])</f>
        <v>2034</v>
      </c>
      <c r="D224" s="30">
        <f>MONTH(BInputReservoir[[#This Row],[Date]])</f>
        <v>2</v>
      </c>
      <c r="E224" s="30" t="str">
        <f>IF(I224&lt;&gt;1,"",DATA_INPUT!$K225)</f>
        <v/>
      </c>
      <c r="F224" s="30"/>
      <c r="G224" s="30"/>
      <c r="H224" s="30"/>
      <c r="I224" s="18" t="str">
        <f>IF(STORAGE_BALANCE_ENSEMBLE!R225&lt;&gt;1,"",1)</f>
        <v/>
      </c>
      <c r="J224" s="8" t="str">
        <f t="shared" si="25"/>
        <v/>
      </c>
      <c r="K224" s="9" t="str">
        <f t="shared" si="26"/>
        <v/>
      </c>
      <c r="L224" s="10" t="str">
        <f t="shared" si="27"/>
        <v/>
      </c>
      <c r="M224" s="10" t="str">
        <f>IF(I224&lt;&gt;1,"",IF(H224="","",H224/CONTROL_PANEL!$B$11))</f>
        <v/>
      </c>
      <c r="N224" s="9" t="str">
        <f t="shared" si="28"/>
        <v/>
      </c>
      <c r="O224" s="9" t="str">
        <f t="shared" si="29"/>
        <v/>
      </c>
      <c r="P224" s="9" t="str">
        <f t="shared" si="30"/>
        <v/>
      </c>
      <c r="Q224" s="9" t="str">
        <f t="shared" si="31"/>
        <v/>
      </c>
      <c r="R224" s="11"/>
      <c r="S224" s="11" t="str">
        <f t="shared" si="32"/>
        <v>PASS</v>
      </c>
    </row>
    <row r="225" spans="1:19" x14ac:dyDescent="0.25">
      <c r="A225" s="30" t="s">
        <v>96</v>
      </c>
      <c r="B225" s="31">
        <v>49004</v>
      </c>
      <c r="C225" s="30">
        <f>YEAR(BInputReservoir[[#This Row],[Date]])</f>
        <v>2034</v>
      </c>
      <c r="D225" s="30">
        <f>MONTH(BInputReservoir[[#This Row],[Date]])</f>
        <v>3</v>
      </c>
      <c r="E225" s="30" t="str">
        <f>IF(I225&lt;&gt;1,"",DATA_INPUT!$K226)</f>
        <v/>
      </c>
      <c r="F225" s="30"/>
      <c r="G225" s="30"/>
      <c r="H225" s="30"/>
      <c r="I225" s="18" t="str">
        <f>IF(STORAGE_BALANCE_ENSEMBLE!R226&lt;&gt;1,"",1)</f>
        <v/>
      </c>
      <c r="J225" s="8" t="str">
        <f t="shared" si="25"/>
        <v/>
      </c>
      <c r="K225" s="9" t="str">
        <f t="shared" si="26"/>
        <v/>
      </c>
      <c r="L225" s="10" t="str">
        <f t="shared" si="27"/>
        <v/>
      </c>
      <c r="M225" s="10" t="str">
        <f>IF(I225&lt;&gt;1,"",IF(H225="","",H225/CONTROL_PANEL!$B$11))</f>
        <v/>
      </c>
      <c r="N225" s="9" t="str">
        <f t="shared" si="28"/>
        <v/>
      </c>
      <c r="O225" s="9" t="str">
        <f t="shared" si="29"/>
        <v/>
      </c>
      <c r="P225" s="9" t="str">
        <f t="shared" si="30"/>
        <v/>
      </c>
      <c r="Q225" s="9" t="str">
        <f t="shared" si="31"/>
        <v/>
      </c>
      <c r="R225" s="11"/>
      <c r="S225" s="11" t="str">
        <f t="shared" si="32"/>
        <v>PASS</v>
      </c>
    </row>
    <row r="226" spans="1:19" x14ac:dyDescent="0.25">
      <c r="A226" s="30" t="s">
        <v>96</v>
      </c>
      <c r="B226" s="31">
        <v>49035</v>
      </c>
      <c r="C226" s="30">
        <f>YEAR(BInputReservoir[[#This Row],[Date]])</f>
        <v>2034</v>
      </c>
      <c r="D226" s="30">
        <f>MONTH(BInputReservoir[[#This Row],[Date]])</f>
        <v>4</v>
      </c>
      <c r="E226" s="30" t="str">
        <f>IF(I226&lt;&gt;1,"",DATA_INPUT!$K227)</f>
        <v/>
      </c>
      <c r="F226" s="30"/>
      <c r="G226" s="30"/>
      <c r="H226" s="30"/>
      <c r="I226" s="18" t="str">
        <f>IF(STORAGE_BALANCE_ENSEMBLE!R227&lt;&gt;1,"",1)</f>
        <v/>
      </c>
      <c r="J226" s="8" t="str">
        <f t="shared" si="25"/>
        <v/>
      </c>
      <c r="K226" s="9" t="str">
        <f t="shared" si="26"/>
        <v/>
      </c>
      <c r="L226" s="10" t="str">
        <f t="shared" si="27"/>
        <v/>
      </c>
      <c r="M226" s="10" t="str">
        <f>IF(I226&lt;&gt;1,"",IF(H226="","",H226/CONTROL_PANEL!$B$11))</f>
        <v/>
      </c>
      <c r="N226" s="9" t="str">
        <f t="shared" si="28"/>
        <v/>
      </c>
      <c r="O226" s="9" t="str">
        <f t="shared" si="29"/>
        <v/>
      </c>
      <c r="P226" s="9" t="str">
        <f t="shared" si="30"/>
        <v/>
      </c>
      <c r="Q226" s="9" t="str">
        <f t="shared" si="31"/>
        <v/>
      </c>
      <c r="R226" s="11"/>
      <c r="S226" s="11" t="str">
        <f t="shared" si="32"/>
        <v>PASS</v>
      </c>
    </row>
    <row r="227" spans="1:19" x14ac:dyDescent="0.25">
      <c r="A227" s="30" t="s">
        <v>96</v>
      </c>
      <c r="B227" s="31">
        <v>49065</v>
      </c>
      <c r="C227" s="30">
        <f>YEAR(BInputReservoir[[#This Row],[Date]])</f>
        <v>2034</v>
      </c>
      <c r="D227" s="30">
        <f>MONTH(BInputReservoir[[#This Row],[Date]])</f>
        <v>5</v>
      </c>
      <c r="E227" s="30" t="str">
        <f>IF(I227&lt;&gt;1,"",DATA_INPUT!$K228)</f>
        <v/>
      </c>
      <c r="F227" s="30"/>
      <c r="G227" s="30"/>
      <c r="H227" s="30"/>
      <c r="I227" s="18" t="str">
        <f>IF(STORAGE_BALANCE_ENSEMBLE!R228&lt;&gt;1,"",1)</f>
        <v/>
      </c>
      <c r="J227" s="8" t="str">
        <f t="shared" si="25"/>
        <v/>
      </c>
      <c r="K227" s="9" t="str">
        <f t="shared" si="26"/>
        <v/>
      </c>
      <c r="L227" s="10" t="str">
        <f t="shared" si="27"/>
        <v/>
      </c>
      <c r="M227" s="10" t="str">
        <f>IF(I227&lt;&gt;1,"",IF(H227="","",H227/CONTROL_PANEL!$B$11))</f>
        <v/>
      </c>
      <c r="N227" s="9" t="str">
        <f t="shared" si="28"/>
        <v/>
      </c>
      <c r="O227" s="9" t="str">
        <f t="shared" si="29"/>
        <v/>
      </c>
      <c r="P227" s="9" t="str">
        <f t="shared" si="30"/>
        <v/>
      </c>
      <c r="Q227" s="9" t="str">
        <f t="shared" si="31"/>
        <v/>
      </c>
      <c r="R227" s="11"/>
      <c r="S227" s="11" t="str">
        <f t="shared" si="32"/>
        <v>PASS</v>
      </c>
    </row>
    <row r="228" spans="1:19" x14ac:dyDescent="0.25">
      <c r="A228" s="30" t="s">
        <v>96</v>
      </c>
      <c r="B228" s="31">
        <v>49096</v>
      </c>
      <c r="C228" s="30">
        <f>YEAR(BInputReservoir[[#This Row],[Date]])</f>
        <v>2034</v>
      </c>
      <c r="D228" s="30">
        <f>MONTH(BInputReservoir[[#This Row],[Date]])</f>
        <v>6</v>
      </c>
      <c r="E228" s="30" t="str">
        <f>IF(I228&lt;&gt;1,"",DATA_INPUT!$K229)</f>
        <v/>
      </c>
      <c r="F228" s="30"/>
      <c r="G228" s="30"/>
      <c r="H228" s="30"/>
      <c r="I228" s="18" t="str">
        <f>IF(STORAGE_BALANCE_ENSEMBLE!R229&lt;&gt;1,"",1)</f>
        <v/>
      </c>
      <c r="J228" s="8" t="str">
        <f t="shared" si="25"/>
        <v/>
      </c>
      <c r="K228" s="9" t="str">
        <f t="shared" si="26"/>
        <v/>
      </c>
      <c r="L228" s="10" t="str">
        <f t="shared" si="27"/>
        <v/>
      </c>
      <c r="M228" s="10" t="str">
        <f>IF(I228&lt;&gt;1,"",IF(H228="","",H228/CONTROL_PANEL!$B$11))</f>
        <v/>
      </c>
      <c r="N228" s="9" t="str">
        <f t="shared" si="28"/>
        <v/>
      </c>
      <c r="O228" s="9" t="str">
        <f t="shared" si="29"/>
        <v/>
      </c>
      <c r="P228" s="9" t="str">
        <f t="shared" si="30"/>
        <v/>
      </c>
      <c r="Q228" s="9" t="str">
        <f t="shared" si="31"/>
        <v/>
      </c>
      <c r="R228" s="11"/>
      <c r="S228" s="11" t="str">
        <f t="shared" si="32"/>
        <v>PASS</v>
      </c>
    </row>
    <row r="229" spans="1:19" x14ac:dyDescent="0.25">
      <c r="A229" s="30" t="s">
        <v>96</v>
      </c>
      <c r="B229" s="31">
        <v>49126</v>
      </c>
      <c r="C229" s="30">
        <f>YEAR(BInputReservoir[[#This Row],[Date]])</f>
        <v>2034</v>
      </c>
      <c r="D229" s="30">
        <f>MONTH(BInputReservoir[[#This Row],[Date]])</f>
        <v>7</v>
      </c>
      <c r="E229" s="30" t="str">
        <f>IF(I229&lt;&gt;1,"",DATA_INPUT!$K230)</f>
        <v/>
      </c>
      <c r="F229" s="30"/>
      <c r="G229" s="30"/>
      <c r="H229" s="30"/>
      <c r="I229" s="18" t="str">
        <f>IF(STORAGE_BALANCE_ENSEMBLE!R230&lt;&gt;1,"",1)</f>
        <v/>
      </c>
      <c r="J229" s="8" t="str">
        <f t="shared" si="25"/>
        <v/>
      </c>
      <c r="K229" s="9" t="str">
        <f t="shared" si="26"/>
        <v/>
      </c>
      <c r="L229" s="10" t="str">
        <f t="shared" si="27"/>
        <v/>
      </c>
      <c r="M229" s="10" t="str">
        <f>IF(I229&lt;&gt;1,"",IF(H229="","",H229/CONTROL_PANEL!$B$11))</f>
        <v/>
      </c>
      <c r="N229" s="9" t="str">
        <f t="shared" si="28"/>
        <v/>
      </c>
      <c r="O229" s="9" t="str">
        <f t="shared" si="29"/>
        <v/>
      </c>
      <c r="P229" s="9" t="str">
        <f t="shared" si="30"/>
        <v/>
      </c>
      <c r="Q229" s="9" t="str">
        <f t="shared" si="31"/>
        <v/>
      </c>
      <c r="R229" s="11"/>
      <c r="S229" s="11" t="str">
        <f t="shared" si="32"/>
        <v>PASS</v>
      </c>
    </row>
    <row r="230" spans="1:19" x14ac:dyDescent="0.25">
      <c r="A230" s="30" t="s">
        <v>96</v>
      </c>
      <c r="B230" s="31">
        <v>49157</v>
      </c>
      <c r="C230" s="30">
        <f>YEAR(BInputReservoir[[#This Row],[Date]])</f>
        <v>2034</v>
      </c>
      <c r="D230" s="30">
        <f>MONTH(BInputReservoir[[#This Row],[Date]])</f>
        <v>8</v>
      </c>
      <c r="E230" s="30" t="str">
        <f>IF(I230&lt;&gt;1,"",DATA_INPUT!$K231)</f>
        <v/>
      </c>
      <c r="F230" s="30"/>
      <c r="G230" s="30"/>
      <c r="H230" s="30"/>
      <c r="I230" s="18" t="str">
        <f>IF(STORAGE_BALANCE_ENSEMBLE!R231&lt;&gt;1,"",1)</f>
        <v/>
      </c>
      <c r="J230" s="8" t="str">
        <f t="shared" si="25"/>
        <v/>
      </c>
      <c r="K230" s="9" t="str">
        <f t="shared" si="26"/>
        <v/>
      </c>
      <c r="L230" s="10" t="str">
        <f t="shared" si="27"/>
        <v/>
      </c>
      <c r="M230" s="10" t="str">
        <f>IF(I230&lt;&gt;1,"",IF(H230="","",H230/CONTROL_PANEL!$B$11))</f>
        <v/>
      </c>
      <c r="N230" s="9" t="str">
        <f t="shared" si="28"/>
        <v/>
      </c>
      <c r="O230" s="9" t="str">
        <f t="shared" si="29"/>
        <v/>
      </c>
      <c r="P230" s="9" t="str">
        <f t="shared" si="30"/>
        <v/>
      </c>
      <c r="Q230" s="9" t="str">
        <f t="shared" si="31"/>
        <v/>
      </c>
      <c r="R230" s="11"/>
      <c r="S230" s="11" t="str">
        <f t="shared" si="32"/>
        <v>PASS</v>
      </c>
    </row>
    <row r="231" spans="1:19" x14ac:dyDescent="0.25">
      <c r="A231" s="30" t="s">
        <v>96</v>
      </c>
      <c r="B231" s="31">
        <v>49188</v>
      </c>
      <c r="C231" s="30">
        <f>YEAR(BInputReservoir[[#This Row],[Date]])</f>
        <v>2034</v>
      </c>
      <c r="D231" s="30">
        <f>MONTH(BInputReservoir[[#This Row],[Date]])</f>
        <v>9</v>
      </c>
      <c r="E231" s="30" t="str">
        <f>IF(I231&lt;&gt;1,"",DATA_INPUT!$K232)</f>
        <v/>
      </c>
      <c r="F231" s="30"/>
      <c r="G231" s="30"/>
      <c r="H231" s="30"/>
      <c r="I231" s="18" t="str">
        <f>IF(STORAGE_BALANCE_ENSEMBLE!R232&lt;&gt;1,"",1)</f>
        <v/>
      </c>
      <c r="J231" s="8" t="str">
        <f t="shared" si="25"/>
        <v/>
      </c>
      <c r="K231" s="9" t="str">
        <f t="shared" si="26"/>
        <v/>
      </c>
      <c r="L231" s="10" t="str">
        <f t="shared" si="27"/>
        <v/>
      </c>
      <c r="M231" s="10" t="str">
        <f>IF(I231&lt;&gt;1,"",IF(H231="","",H231/CONTROL_PANEL!$B$11))</f>
        <v/>
      </c>
      <c r="N231" s="9" t="str">
        <f t="shared" si="28"/>
        <v/>
      </c>
      <c r="O231" s="9" t="str">
        <f t="shared" si="29"/>
        <v/>
      </c>
      <c r="P231" s="9" t="str">
        <f t="shared" si="30"/>
        <v/>
      </c>
      <c r="Q231" s="9" t="str">
        <f t="shared" si="31"/>
        <v/>
      </c>
      <c r="R231" s="11"/>
      <c r="S231" s="11" t="str">
        <f t="shared" si="32"/>
        <v>PASS</v>
      </c>
    </row>
    <row r="232" spans="1:19" x14ac:dyDescent="0.25">
      <c r="A232" s="30" t="s">
        <v>96</v>
      </c>
      <c r="B232" s="31">
        <v>49218</v>
      </c>
      <c r="C232" s="30">
        <f>YEAR(BInputReservoir[[#This Row],[Date]])</f>
        <v>2034</v>
      </c>
      <c r="D232" s="30">
        <f>MONTH(BInputReservoir[[#This Row],[Date]])</f>
        <v>10</v>
      </c>
      <c r="E232" s="30" t="str">
        <f>IF(I232&lt;&gt;1,"",DATA_INPUT!$K233)</f>
        <v/>
      </c>
      <c r="F232" s="30"/>
      <c r="G232" s="30"/>
      <c r="H232" s="30"/>
      <c r="I232" s="18" t="str">
        <f>IF(STORAGE_BALANCE_ENSEMBLE!R233&lt;&gt;1,"",1)</f>
        <v/>
      </c>
      <c r="J232" s="8" t="str">
        <f t="shared" si="25"/>
        <v/>
      </c>
      <c r="K232" s="9" t="str">
        <f t="shared" si="26"/>
        <v/>
      </c>
      <c r="L232" s="10" t="str">
        <f t="shared" si="27"/>
        <v/>
      </c>
      <c r="M232" s="10" t="str">
        <f>IF(I232&lt;&gt;1,"",IF(H232="","",H232/CONTROL_PANEL!$B$11))</f>
        <v/>
      </c>
      <c r="N232" s="9" t="str">
        <f t="shared" si="28"/>
        <v/>
      </c>
      <c r="O232" s="9" t="str">
        <f t="shared" si="29"/>
        <v/>
      </c>
      <c r="P232" s="9" t="str">
        <f t="shared" si="30"/>
        <v/>
      </c>
      <c r="Q232" s="9" t="str">
        <f t="shared" si="31"/>
        <v/>
      </c>
      <c r="R232" s="11"/>
      <c r="S232" s="11" t="str">
        <f t="shared" si="32"/>
        <v>PASS</v>
      </c>
    </row>
    <row r="233" spans="1:19" x14ac:dyDescent="0.25">
      <c r="A233" s="30" t="s">
        <v>96</v>
      </c>
      <c r="B233" s="31">
        <v>49249</v>
      </c>
      <c r="C233" s="30">
        <f>YEAR(BInputReservoir[[#This Row],[Date]])</f>
        <v>2034</v>
      </c>
      <c r="D233" s="30">
        <f>MONTH(BInputReservoir[[#This Row],[Date]])</f>
        <v>11</v>
      </c>
      <c r="E233" s="30" t="str">
        <f>IF(I233&lt;&gt;1,"",DATA_INPUT!$K234)</f>
        <v/>
      </c>
      <c r="F233" s="30"/>
      <c r="G233" s="30"/>
      <c r="H233" s="30"/>
      <c r="I233" s="18" t="str">
        <f>IF(STORAGE_BALANCE_ENSEMBLE!R234&lt;&gt;1,"",1)</f>
        <v/>
      </c>
      <c r="J233" s="8" t="str">
        <f t="shared" si="25"/>
        <v/>
      </c>
      <c r="K233" s="9" t="str">
        <f t="shared" si="26"/>
        <v/>
      </c>
      <c r="L233" s="10" t="str">
        <f t="shared" si="27"/>
        <v/>
      </c>
      <c r="M233" s="10" t="str">
        <f>IF(I233&lt;&gt;1,"",IF(H233="","",H233/CONTROL_PANEL!$B$11))</f>
        <v/>
      </c>
      <c r="N233" s="9" t="str">
        <f t="shared" si="28"/>
        <v/>
      </c>
      <c r="O233" s="9" t="str">
        <f t="shared" si="29"/>
        <v/>
      </c>
      <c r="P233" s="9" t="str">
        <f t="shared" si="30"/>
        <v/>
      </c>
      <c r="Q233" s="9" t="str">
        <f t="shared" si="31"/>
        <v/>
      </c>
      <c r="R233" s="11"/>
      <c r="S233" s="11" t="str">
        <f t="shared" si="32"/>
        <v>PASS</v>
      </c>
    </row>
    <row r="234" spans="1:19" x14ac:dyDescent="0.25">
      <c r="A234" s="30" t="s">
        <v>96</v>
      </c>
      <c r="B234" s="31">
        <v>49279</v>
      </c>
      <c r="C234" s="30">
        <f>YEAR(BInputReservoir[[#This Row],[Date]])</f>
        <v>2034</v>
      </c>
      <c r="D234" s="30">
        <f>MONTH(BInputReservoir[[#This Row],[Date]])</f>
        <v>12</v>
      </c>
      <c r="E234" s="30" t="str">
        <f>IF(I234&lt;&gt;1,"",DATA_INPUT!$K235)</f>
        <v/>
      </c>
      <c r="F234" s="30"/>
      <c r="G234" s="30"/>
      <c r="H234" s="30"/>
      <c r="I234" s="18" t="str">
        <f>IF(STORAGE_BALANCE_ENSEMBLE!R235&lt;&gt;1,"",1)</f>
        <v/>
      </c>
      <c r="J234" s="8" t="str">
        <f t="shared" si="25"/>
        <v/>
      </c>
      <c r="K234" s="9" t="str">
        <f t="shared" si="26"/>
        <v/>
      </c>
      <c r="L234" s="10" t="str">
        <f t="shared" si="27"/>
        <v/>
      </c>
      <c r="M234" s="10" t="str">
        <f>IF(I234&lt;&gt;1,"",IF(H234="","",H234/CONTROL_PANEL!$B$11))</f>
        <v/>
      </c>
      <c r="N234" s="9" t="str">
        <f t="shared" si="28"/>
        <v/>
      </c>
      <c r="O234" s="9" t="str">
        <f t="shared" si="29"/>
        <v/>
      </c>
      <c r="P234" s="9" t="str">
        <f t="shared" si="30"/>
        <v/>
      </c>
      <c r="Q234" s="9" t="str">
        <f t="shared" si="31"/>
        <v/>
      </c>
      <c r="R234" s="11"/>
      <c r="S234" s="11" t="str">
        <f t="shared" si="32"/>
        <v>PASS</v>
      </c>
    </row>
    <row r="235" spans="1:19" x14ac:dyDescent="0.25">
      <c r="A235" s="30" t="s">
        <v>96</v>
      </c>
      <c r="B235" s="31">
        <v>49310</v>
      </c>
      <c r="C235" s="30">
        <f>YEAR(BInputReservoir[[#This Row],[Date]])</f>
        <v>2035</v>
      </c>
      <c r="D235" s="30">
        <f>MONTH(BInputReservoir[[#This Row],[Date]])</f>
        <v>1</v>
      </c>
      <c r="E235" s="30" t="str">
        <f>IF(I235&lt;&gt;1,"",DATA_INPUT!$K236)</f>
        <v/>
      </c>
      <c r="F235" s="30"/>
      <c r="G235" s="30"/>
      <c r="H235" s="30"/>
      <c r="I235" s="18" t="str">
        <f>IF(STORAGE_BALANCE_ENSEMBLE!R236&lt;&gt;1,"",1)</f>
        <v/>
      </c>
      <c r="J235" s="8" t="str">
        <f t="shared" si="25"/>
        <v/>
      </c>
      <c r="K235" s="9" t="str">
        <f t="shared" si="26"/>
        <v/>
      </c>
      <c r="L235" s="10" t="str">
        <f t="shared" si="27"/>
        <v/>
      </c>
      <c r="M235" s="10" t="str">
        <f>IF(I235&lt;&gt;1,"",IF(H235="","",H235/CONTROL_PANEL!$B$11))</f>
        <v/>
      </c>
      <c r="N235" s="9" t="str">
        <f t="shared" si="28"/>
        <v/>
      </c>
      <c r="O235" s="9" t="str">
        <f t="shared" si="29"/>
        <v/>
      </c>
      <c r="P235" s="9" t="str">
        <f t="shared" si="30"/>
        <v/>
      </c>
      <c r="Q235" s="9" t="str">
        <f t="shared" si="31"/>
        <v/>
      </c>
      <c r="R235" s="11"/>
      <c r="S235" s="11" t="str">
        <f t="shared" si="32"/>
        <v>PASS</v>
      </c>
    </row>
    <row r="236" spans="1:19" x14ac:dyDescent="0.25">
      <c r="A236" s="30" t="s">
        <v>96</v>
      </c>
      <c r="B236" s="31">
        <v>49341</v>
      </c>
      <c r="C236" s="30">
        <f>YEAR(BInputReservoir[[#This Row],[Date]])</f>
        <v>2035</v>
      </c>
      <c r="D236" s="30">
        <f>MONTH(BInputReservoir[[#This Row],[Date]])</f>
        <v>2</v>
      </c>
      <c r="E236" s="30" t="str">
        <f>IF(I236&lt;&gt;1,"",DATA_INPUT!$K237)</f>
        <v/>
      </c>
      <c r="F236" s="30"/>
      <c r="G236" s="30"/>
      <c r="H236" s="30"/>
      <c r="I236" s="18" t="str">
        <f>IF(STORAGE_BALANCE_ENSEMBLE!R237&lt;&gt;1,"",1)</f>
        <v/>
      </c>
      <c r="J236" s="8" t="str">
        <f t="shared" si="25"/>
        <v/>
      </c>
      <c r="K236" s="9" t="str">
        <f t="shared" si="26"/>
        <v/>
      </c>
      <c r="L236" s="10" t="str">
        <f t="shared" si="27"/>
        <v/>
      </c>
      <c r="M236" s="10" t="str">
        <f>IF(I236&lt;&gt;1,"",IF(H236="","",H236/CONTROL_PANEL!$B$11))</f>
        <v/>
      </c>
      <c r="N236" s="9" t="str">
        <f t="shared" si="28"/>
        <v/>
      </c>
      <c r="O236" s="9" t="str">
        <f t="shared" si="29"/>
        <v/>
      </c>
      <c r="P236" s="9" t="str">
        <f t="shared" si="30"/>
        <v/>
      </c>
      <c r="Q236" s="9" t="str">
        <f t="shared" si="31"/>
        <v/>
      </c>
      <c r="R236" s="11"/>
      <c r="S236" s="11" t="str">
        <f t="shared" si="32"/>
        <v>PASS</v>
      </c>
    </row>
    <row r="237" spans="1:19" x14ac:dyDescent="0.25">
      <c r="A237" s="30" t="s">
        <v>96</v>
      </c>
      <c r="B237" s="31">
        <v>49369</v>
      </c>
      <c r="C237" s="30">
        <f>YEAR(BInputReservoir[[#This Row],[Date]])</f>
        <v>2035</v>
      </c>
      <c r="D237" s="30">
        <f>MONTH(BInputReservoir[[#This Row],[Date]])</f>
        <v>3</v>
      </c>
      <c r="E237" s="30" t="str">
        <f>IF(I237&lt;&gt;1,"",DATA_INPUT!$K238)</f>
        <v/>
      </c>
      <c r="F237" s="30"/>
      <c r="G237" s="30"/>
      <c r="H237" s="30"/>
      <c r="I237" s="18" t="str">
        <f>IF(STORAGE_BALANCE_ENSEMBLE!R238&lt;&gt;1,"",1)</f>
        <v/>
      </c>
      <c r="J237" s="8" t="str">
        <f t="shared" si="25"/>
        <v/>
      </c>
      <c r="K237" s="9" t="str">
        <f t="shared" si="26"/>
        <v/>
      </c>
      <c r="L237" s="10" t="str">
        <f t="shared" si="27"/>
        <v/>
      </c>
      <c r="M237" s="10" t="str">
        <f>IF(I237&lt;&gt;1,"",IF(H237="","",H237/CONTROL_PANEL!$B$11))</f>
        <v/>
      </c>
      <c r="N237" s="9" t="str">
        <f t="shared" si="28"/>
        <v/>
      </c>
      <c r="O237" s="9" t="str">
        <f t="shared" si="29"/>
        <v/>
      </c>
      <c r="P237" s="9" t="str">
        <f t="shared" si="30"/>
        <v/>
      </c>
      <c r="Q237" s="9" t="str">
        <f t="shared" si="31"/>
        <v/>
      </c>
      <c r="R237" s="11"/>
      <c r="S237" s="11" t="str">
        <f t="shared" si="32"/>
        <v>PASS</v>
      </c>
    </row>
    <row r="238" spans="1:19" x14ac:dyDescent="0.25">
      <c r="A238" s="30" t="s">
        <v>96</v>
      </c>
      <c r="B238" s="31">
        <v>49400</v>
      </c>
      <c r="C238" s="30">
        <f>YEAR(BInputReservoir[[#This Row],[Date]])</f>
        <v>2035</v>
      </c>
      <c r="D238" s="30">
        <f>MONTH(BInputReservoir[[#This Row],[Date]])</f>
        <v>4</v>
      </c>
      <c r="E238" s="30" t="str">
        <f>IF(I238&lt;&gt;1,"",DATA_INPUT!$K239)</f>
        <v/>
      </c>
      <c r="F238" s="30"/>
      <c r="G238" s="30"/>
      <c r="H238" s="30"/>
      <c r="I238" s="18" t="str">
        <f>IF(STORAGE_BALANCE_ENSEMBLE!R239&lt;&gt;1,"",1)</f>
        <v/>
      </c>
      <c r="J238" s="8" t="str">
        <f t="shared" si="25"/>
        <v/>
      </c>
      <c r="K238" s="9" t="str">
        <f t="shared" si="26"/>
        <v/>
      </c>
      <c r="L238" s="10" t="str">
        <f t="shared" si="27"/>
        <v/>
      </c>
      <c r="M238" s="10" t="str">
        <f>IF(I238&lt;&gt;1,"",IF(H238="","",H238/CONTROL_PANEL!$B$11))</f>
        <v/>
      </c>
      <c r="N238" s="9" t="str">
        <f t="shared" si="28"/>
        <v/>
      </c>
      <c r="O238" s="9" t="str">
        <f t="shared" si="29"/>
        <v/>
      </c>
      <c r="P238" s="9" t="str">
        <f t="shared" si="30"/>
        <v/>
      </c>
      <c r="Q238" s="9" t="str">
        <f t="shared" si="31"/>
        <v/>
      </c>
      <c r="R238" s="11"/>
      <c r="S238" s="11" t="str">
        <f t="shared" si="32"/>
        <v>PASS</v>
      </c>
    </row>
    <row r="239" spans="1:19" x14ac:dyDescent="0.25">
      <c r="A239" s="30" t="s">
        <v>96</v>
      </c>
      <c r="B239" s="31">
        <v>49430</v>
      </c>
      <c r="C239" s="30">
        <f>YEAR(BInputReservoir[[#This Row],[Date]])</f>
        <v>2035</v>
      </c>
      <c r="D239" s="30">
        <f>MONTH(BInputReservoir[[#This Row],[Date]])</f>
        <v>5</v>
      </c>
      <c r="E239" s="30" t="str">
        <f>IF(I239&lt;&gt;1,"",DATA_INPUT!$K240)</f>
        <v/>
      </c>
      <c r="F239" s="30"/>
      <c r="G239" s="30"/>
      <c r="H239" s="30"/>
      <c r="I239" s="18" t="str">
        <f>IF(STORAGE_BALANCE_ENSEMBLE!R240&lt;&gt;1,"",1)</f>
        <v/>
      </c>
      <c r="J239" s="8" t="str">
        <f t="shared" si="25"/>
        <v/>
      </c>
      <c r="K239" s="9" t="str">
        <f t="shared" si="26"/>
        <v/>
      </c>
      <c r="L239" s="10" t="str">
        <f t="shared" si="27"/>
        <v/>
      </c>
      <c r="M239" s="10" t="str">
        <f>IF(I239&lt;&gt;1,"",IF(H239="","",H239/CONTROL_PANEL!$B$11))</f>
        <v/>
      </c>
      <c r="N239" s="9" t="str">
        <f t="shared" si="28"/>
        <v/>
      </c>
      <c r="O239" s="9" t="str">
        <f t="shared" si="29"/>
        <v/>
      </c>
      <c r="P239" s="9" t="str">
        <f t="shared" si="30"/>
        <v/>
      </c>
      <c r="Q239" s="9" t="str">
        <f t="shared" si="31"/>
        <v/>
      </c>
      <c r="R239" s="11"/>
      <c r="S239" s="11" t="str">
        <f t="shared" si="32"/>
        <v>PASS</v>
      </c>
    </row>
    <row r="240" spans="1:19" x14ac:dyDescent="0.25">
      <c r="A240" s="30" t="s">
        <v>96</v>
      </c>
      <c r="B240" s="31">
        <v>49461</v>
      </c>
      <c r="C240" s="30">
        <f>YEAR(BInputReservoir[[#This Row],[Date]])</f>
        <v>2035</v>
      </c>
      <c r="D240" s="30">
        <f>MONTH(BInputReservoir[[#This Row],[Date]])</f>
        <v>6</v>
      </c>
      <c r="E240" s="30" t="str">
        <f>IF(I240&lt;&gt;1,"",DATA_INPUT!$K241)</f>
        <v/>
      </c>
      <c r="F240" s="30"/>
      <c r="G240" s="30"/>
      <c r="H240" s="30"/>
      <c r="I240" s="18" t="str">
        <f>IF(STORAGE_BALANCE_ENSEMBLE!R241&lt;&gt;1,"",1)</f>
        <v/>
      </c>
      <c r="J240" s="8" t="str">
        <f t="shared" si="25"/>
        <v/>
      </c>
      <c r="K240" s="9" t="str">
        <f t="shared" si="26"/>
        <v/>
      </c>
      <c r="L240" s="10" t="str">
        <f t="shared" si="27"/>
        <v/>
      </c>
      <c r="M240" s="10" t="str">
        <f>IF(I240&lt;&gt;1,"",IF(H240="","",H240/CONTROL_PANEL!$B$11))</f>
        <v/>
      </c>
      <c r="N240" s="9" t="str">
        <f t="shared" si="28"/>
        <v/>
      </c>
      <c r="O240" s="9" t="str">
        <f t="shared" si="29"/>
        <v/>
      </c>
      <c r="P240" s="9" t="str">
        <f t="shared" si="30"/>
        <v/>
      </c>
      <c r="Q240" s="9" t="str">
        <f t="shared" si="31"/>
        <v/>
      </c>
      <c r="R240" s="11"/>
      <c r="S240" s="11" t="str">
        <f t="shared" si="32"/>
        <v>PASS</v>
      </c>
    </row>
    <row r="241" spans="1:19" x14ac:dyDescent="0.25">
      <c r="A241" s="30" t="s">
        <v>96</v>
      </c>
      <c r="B241" s="31">
        <v>49491</v>
      </c>
      <c r="C241" s="30">
        <f>YEAR(BInputReservoir[[#This Row],[Date]])</f>
        <v>2035</v>
      </c>
      <c r="D241" s="30">
        <f>MONTH(BInputReservoir[[#This Row],[Date]])</f>
        <v>7</v>
      </c>
      <c r="E241" s="30" t="str">
        <f>IF(I241&lt;&gt;1,"",DATA_INPUT!$K242)</f>
        <v/>
      </c>
      <c r="F241" s="30"/>
      <c r="G241" s="30"/>
      <c r="H241" s="30"/>
      <c r="I241" s="18" t="str">
        <f>IF(STORAGE_BALANCE_ENSEMBLE!R242&lt;&gt;1,"",1)</f>
        <v/>
      </c>
      <c r="J241" s="8" t="str">
        <f t="shared" si="25"/>
        <v/>
      </c>
      <c r="K241" s="9" t="str">
        <f t="shared" si="26"/>
        <v/>
      </c>
      <c r="L241" s="10" t="str">
        <f t="shared" si="27"/>
        <v/>
      </c>
      <c r="M241" s="10" t="str">
        <f>IF(I241&lt;&gt;1,"",IF(H241="","",H241/CONTROL_PANEL!$B$11))</f>
        <v/>
      </c>
      <c r="N241" s="9" t="str">
        <f t="shared" si="28"/>
        <v/>
      </c>
      <c r="O241" s="9" t="str">
        <f t="shared" si="29"/>
        <v/>
      </c>
      <c r="P241" s="9" t="str">
        <f t="shared" si="30"/>
        <v/>
      </c>
      <c r="Q241" s="9" t="str">
        <f t="shared" si="31"/>
        <v/>
      </c>
      <c r="R241" s="11"/>
      <c r="S241" s="11" t="str">
        <f t="shared" si="32"/>
        <v>PASS</v>
      </c>
    </row>
    <row r="242" spans="1:19" x14ac:dyDescent="0.25">
      <c r="A242" s="30" t="s">
        <v>96</v>
      </c>
      <c r="B242" s="31">
        <v>49522</v>
      </c>
      <c r="C242" s="30">
        <f>YEAR(BInputReservoir[[#This Row],[Date]])</f>
        <v>2035</v>
      </c>
      <c r="D242" s="30">
        <f>MONTH(BInputReservoir[[#This Row],[Date]])</f>
        <v>8</v>
      </c>
      <c r="E242" s="30" t="str">
        <f>IF(I242&lt;&gt;1,"",DATA_INPUT!$K243)</f>
        <v/>
      </c>
      <c r="F242" s="30"/>
      <c r="G242" s="30"/>
      <c r="H242" s="30"/>
      <c r="I242" s="18" t="str">
        <f>IF(STORAGE_BALANCE_ENSEMBLE!R243&lt;&gt;1,"",1)</f>
        <v/>
      </c>
      <c r="J242" s="8" t="str">
        <f t="shared" si="25"/>
        <v/>
      </c>
      <c r="K242" s="9" t="str">
        <f t="shared" si="26"/>
        <v/>
      </c>
      <c r="L242" s="10" t="str">
        <f t="shared" si="27"/>
        <v/>
      </c>
      <c r="M242" s="10" t="str">
        <f>IF(I242&lt;&gt;1,"",IF(H242="","",H242/CONTROL_PANEL!$B$11))</f>
        <v/>
      </c>
      <c r="N242" s="9" t="str">
        <f t="shared" si="28"/>
        <v/>
      </c>
      <c r="O242" s="9" t="str">
        <f t="shared" si="29"/>
        <v/>
      </c>
      <c r="P242" s="9" t="str">
        <f t="shared" si="30"/>
        <v/>
      </c>
      <c r="Q242" s="9" t="str">
        <f t="shared" si="31"/>
        <v/>
      </c>
      <c r="R242" s="11"/>
      <c r="S242" s="11" t="str">
        <f t="shared" si="32"/>
        <v>PASS</v>
      </c>
    </row>
    <row r="243" spans="1:19" x14ac:dyDescent="0.25">
      <c r="A243" s="30" t="s">
        <v>96</v>
      </c>
      <c r="B243" s="31">
        <v>49553</v>
      </c>
      <c r="C243" s="30">
        <f>YEAR(BInputReservoir[[#This Row],[Date]])</f>
        <v>2035</v>
      </c>
      <c r="D243" s="30">
        <f>MONTH(BInputReservoir[[#This Row],[Date]])</f>
        <v>9</v>
      </c>
      <c r="E243" s="30" t="str">
        <f>IF(I243&lt;&gt;1,"",DATA_INPUT!$K244)</f>
        <v/>
      </c>
      <c r="F243" s="30"/>
      <c r="G243" s="30"/>
      <c r="H243" s="30"/>
      <c r="I243" s="18" t="str">
        <f>IF(STORAGE_BALANCE_ENSEMBLE!R244&lt;&gt;1,"",1)</f>
        <v/>
      </c>
      <c r="J243" s="8" t="str">
        <f t="shared" si="25"/>
        <v/>
      </c>
      <c r="K243" s="9" t="str">
        <f t="shared" si="26"/>
        <v/>
      </c>
      <c r="L243" s="10" t="str">
        <f t="shared" si="27"/>
        <v/>
      </c>
      <c r="M243" s="10" t="str">
        <f>IF(I243&lt;&gt;1,"",IF(H243="","",H243/CONTROL_PANEL!$B$11))</f>
        <v/>
      </c>
      <c r="N243" s="9" t="str">
        <f t="shared" si="28"/>
        <v/>
      </c>
      <c r="O243" s="9" t="str">
        <f t="shared" si="29"/>
        <v/>
      </c>
      <c r="P243" s="9" t="str">
        <f t="shared" si="30"/>
        <v/>
      </c>
      <c r="Q243" s="9" t="str">
        <f t="shared" si="31"/>
        <v/>
      </c>
      <c r="R243" s="11"/>
      <c r="S243" s="11" t="str">
        <f t="shared" si="32"/>
        <v>PASS</v>
      </c>
    </row>
    <row r="244" spans="1:19" x14ac:dyDescent="0.25">
      <c r="A244" s="30" t="s">
        <v>96</v>
      </c>
      <c r="B244" s="31">
        <v>49583</v>
      </c>
      <c r="C244" s="30">
        <f>YEAR(BInputReservoir[[#This Row],[Date]])</f>
        <v>2035</v>
      </c>
      <c r="D244" s="30">
        <f>MONTH(BInputReservoir[[#This Row],[Date]])</f>
        <v>10</v>
      </c>
      <c r="E244" s="30" t="str">
        <f>IF(I244&lt;&gt;1,"",DATA_INPUT!$K245)</f>
        <v/>
      </c>
      <c r="F244" s="30"/>
      <c r="G244" s="30"/>
      <c r="H244" s="30"/>
      <c r="I244" s="18" t="str">
        <f>IF(STORAGE_BALANCE_ENSEMBLE!R245&lt;&gt;1,"",1)</f>
        <v/>
      </c>
      <c r="J244" s="8" t="str">
        <f t="shared" si="25"/>
        <v/>
      </c>
      <c r="K244" s="9" t="str">
        <f t="shared" si="26"/>
        <v/>
      </c>
      <c r="L244" s="10" t="str">
        <f t="shared" si="27"/>
        <v/>
      </c>
      <c r="M244" s="10" t="str">
        <f>IF(I244&lt;&gt;1,"",IF(H244="","",H244/CONTROL_PANEL!$B$11))</f>
        <v/>
      </c>
      <c r="N244" s="9" t="str">
        <f t="shared" si="28"/>
        <v/>
      </c>
      <c r="O244" s="9" t="str">
        <f t="shared" si="29"/>
        <v/>
      </c>
      <c r="P244" s="9" t="str">
        <f t="shared" si="30"/>
        <v/>
      </c>
      <c r="Q244" s="9" t="str">
        <f t="shared" si="31"/>
        <v/>
      </c>
      <c r="R244" s="11"/>
      <c r="S244" s="11" t="str">
        <f t="shared" si="32"/>
        <v>PASS</v>
      </c>
    </row>
    <row r="245" spans="1:19" x14ac:dyDescent="0.25">
      <c r="A245" s="30" t="s">
        <v>96</v>
      </c>
      <c r="B245" s="31">
        <v>49614</v>
      </c>
      <c r="C245" s="30">
        <f>YEAR(BInputReservoir[[#This Row],[Date]])</f>
        <v>2035</v>
      </c>
      <c r="D245" s="30">
        <f>MONTH(BInputReservoir[[#This Row],[Date]])</f>
        <v>11</v>
      </c>
      <c r="E245" s="30" t="str">
        <f>IF(I245&lt;&gt;1,"",DATA_INPUT!$K246)</f>
        <v/>
      </c>
      <c r="F245" s="30"/>
      <c r="G245" s="30"/>
      <c r="H245" s="30"/>
      <c r="I245" s="18" t="str">
        <f>IF(STORAGE_BALANCE_ENSEMBLE!R246&lt;&gt;1,"",1)</f>
        <v/>
      </c>
      <c r="J245" s="8" t="str">
        <f t="shared" si="25"/>
        <v/>
      </c>
      <c r="K245" s="9" t="str">
        <f t="shared" si="26"/>
        <v/>
      </c>
      <c r="L245" s="10" t="str">
        <f t="shared" si="27"/>
        <v/>
      </c>
      <c r="M245" s="10" t="str">
        <f>IF(I245&lt;&gt;1,"",IF(H245="","",H245/CONTROL_PANEL!$B$11))</f>
        <v/>
      </c>
      <c r="N245" s="9" t="str">
        <f t="shared" si="28"/>
        <v/>
      </c>
      <c r="O245" s="9" t="str">
        <f t="shared" si="29"/>
        <v/>
      </c>
      <c r="P245" s="9" t="str">
        <f t="shared" si="30"/>
        <v/>
      </c>
      <c r="Q245" s="9" t="str">
        <f t="shared" si="31"/>
        <v/>
      </c>
      <c r="R245" s="11"/>
      <c r="S245" s="11" t="str">
        <f t="shared" si="32"/>
        <v>PASS</v>
      </c>
    </row>
    <row r="246" spans="1:19" x14ac:dyDescent="0.25">
      <c r="A246" s="30" t="s">
        <v>96</v>
      </c>
      <c r="B246" s="31">
        <v>49644</v>
      </c>
      <c r="C246" s="30">
        <f>YEAR(BInputReservoir[[#This Row],[Date]])</f>
        <v>2035</v>
      </c>
      <c r="D246" s="30">
        <f>MONTH(BInputReservoir[[#This Row],[Date]])</f>
        <v>12</v>
      </c>
      <c r="E246" s="30" t="str">
        <f>IF(I246&lt;&gt;1,"",DATA_INPUT!$K247)</f>
        <v/>
      </c>
      <c r="F246" s="30"/>
      <c r="G246" s="30"/>
      <c r="H246" s="30"/>
      <c r="I246" s="18" t="str">
        <f>IF(STORAGE_BALANCE_ENSEMBLE!R247&lt;&gt;1,"",1)</f>
        <v/>
      </c>
      <c r="J246" s="8" t="str">
        <f t="shared" si="25"/>
        <v/>
      </c>
      <c r="K246" s="9" t="str">
        <f t="shared" si="26"/>
        <v/>
      </c>
      <c r="L246" s="10" t="str">
        <f t="shared" si="27"/>
        <v/>
      </c>
      <c r="M246" s="10" t="str">
        <f>IF(I246&lt;&gt;1,"",IF(H246="","",H246/CONTROL_PANEL!$B$11))</f>
        <v/>
      </c>
      <c r="N246" s="9" t="str">
        <f t="shared" si="28"/>
        <v/>
      </c>
      <c r="O246" s="9" t="str">
        <f t="shared" si="29"/>
        <v/>
      </c>
      <c r="P246" s="9" t="str">
        <f t="shared" si="30"/>
        <v/>
      </c>
      <c r="Q246" s="9" t="str">
        <f t="shared" si="31"/>
        <v/>
      </c>
      <c r="R246" s="11"/>
      <c r="S246" s="11" t="str">
        <f t="shared" si="32"/>
        <v>PASS</v>
      </c>
    </row>
    <row r="247" spans="1:19" x14ac:dyDescent="0.25">
      <c r="A247" s="30" t="s">
        <v>96</v>
      </c>
      <c r="B247" s="31">
        <v>49675</v>
      </c>
      <c r="C247" s="30">
        <f>YEAR(BInputReservoir[[#This Row],[Date]])</f>
        <v>2036</v>
      </c>
      <c r="D247" s="30">
        <f>MONTH(BInputReservoir[[#This Row],[Date]])</f>
        <v>1</v>
      </c>
      <c r="E247" s="30" t="str">
        <f>IF(I247&lt;&gt;1,"",DATA_INPUT!$K248)</f>
        <v/>
      </c>
      <c r="F247" s="30"/>
      <c r="G247" s="30"/>
      <c r="H247" s="30"/>
      <c r="I247" s="18" t="str">
        <f>IF(STORAGE_BALANCE_ENSEMBLE!R248&lt;&gt;1,"",1)</f>
        <v/>
      </c>
      <c r="J247" s="8" t="str">
        <f t="shared" si="25"/>
        <v/>
      </c>
      <c r="K247" s="9" t="str">
        <f t="shared" si="26"/>
        <v/>
      </c>
      <c r="L247" s="10" t="str">
        <f t="shared" si="27"/>
        <v/>
      </c>
      <c r="M247" s="10" t="str">
        <f>IF(I247&lt;&gt;1,"",IF(H247="","",H247/CONTROL_PANEL!$B$11))</f>
        <v/>
      </c>
      <c r="N247" s="9" t="str">
        <f t="shared" si="28"/>
        <v/>
      </c>
      <c r="O247" s="9" t="str">
        <f t="shared" si="29"/>
        <v/>
      </c>
      <c r="P247" s="9" t="str">
        <f t="shared" si="30"/>
        <v/>
      </c>
      <c r="Q247" s="9" t="str">
        <f t="shared" si="31"/>
        <v/>
      </c>
      <c r="R247" s="11"/>
      <c r="S247" s="11" t="str">
        <f t="shared" si="32"/>
        <v>PASS</v>
      </c>
    </row>
    <row r="248" spans="1:19" x14ac:dyDescent="0.25">
      <c r="A248" s="30" t="s">
        <v>96</v>
      </c>
      <c r="B248" s="31">
        <v>49706</v>
      </c>
      <c r="C248" s="30">
        <f>YEAR(BInputReservoir[[#This Row],[Date]])</f>
        <v>2036</v>
      </c>
      <c r="D248" s="30">
        <f>MONTH(BInputReservoir[[#This Row],[Date]])</f>
        <v>2</v>
      </c>
      <c r="E248" s="30" t="str">
        <f>IF(I248&lt;&gt;1,"",DATA_INPUT!$K249)</f>
        <v/>
      </c>
      <c r="F248" s="30"/>
      <c r="G248" s="30"/>
      <c r="H248" s="30"/>
      <c r="I248" s="18" t="str">
        <f>IF(STORAGE_BALANCE_ENSEMBLE!R249&lt;&gt;1,"",1)</f>
        <v/>
      </c>
      <c r="J248" s="8" t="str">
        <f t="shared" si="25"/>
        <v/>
      </c>
      <c r="K248" s="9" t="str">
        <f t="shared" si="26"/>
        <v/>
      </c>
      <c r="L248" s="10" t="str">
        <f t="shared" si="27"/>
        <v/>
      </c>
      <c r="M248" s="10" t="str">
        <f>IF(I248&lt;&gt;1,"",IF(H248="","",H248/CONTROL_PANEL!$B$11))</f>
        <v/>
      </c>
      <c r="N248" s="9" t="str">
        <f t="shared" si="28"/>
        <v/>
      </c>
      <c r="O248" s="9" t="str">
        <f t="shared" si="29"/>
        <v/>
      </c>
      <c r="P248" s="9" t="str">
        <f t="shared" si="30"/>
        <v/>
      </c>
      <c r="Q248" s="9" t="str">
        <f t="shared" si="31"/>
        <v/>
      </c>
      <c r="R248" s="11"/>
      <c r="S248" s="11" t="str">
        <f t="shared" si="32"/>
        <v>PASS</v>
      </c>
    </row>
    <row r="249" spans="1:19" x14ac:dyDescent="0.25">
      <c r="A249" s="30" t="s">
        <v>96</v>
      </c>
      <c r="B249" s="31">
        <v>49735</v>
      </c>
      <c r="C249" s="30">
        <f>YEAR(BInputReservoir[[#This Row],[Date]])</f>
        <v>2036</v>
      </c>
      <c r="D249" s="30">
        <f>MONTH(BInputReservoir[[#This Row],[Date]])</f>
        <v>3</v>
      </c>
      <c r="E249" s="30" t="str">
        <f>IF(I249&lt;&gt;1,"",DATA_INPUT!$K250)</f>
        <v/>
      </c>
      <c r="F249" s="30"/>
      <c r="G249" s="30"/>
      <c r="H249" s="30"/>
      <c r="I249" s="18" t="str">
        <f>IF(STORAGE_BALANCE_ENSEMBLE!R250&lt;&gt;1,"",1)</f>
        <v/>
      </c>
      <c r="J249" s="8" t="str">
        <f t="shared" si="25"/>
        <v/>
      </c>
      <c r="K249" s="9" t="str">
        <f t="shared" si="26"/>
        <v/>
      </c>
      <c r="L249" s="10" t="str">
        <f t="shared" si="27"/>
        <v/>
      </c>
      <c r="M249" s="10" t="str">
        <f>IF(I249&lt;&gt;1,"",IF(H249="","",H249/CONTROL_PANEL!$B$11))</f>
        <v/>
      </c>
      <c r="N249" s="9" t="str">
        <f t="shared" si="28"/>
        <v/>
      </c>
      <c r="O249" s="9" t="str">
        <f t="shared" si="29"/>
        <v/>
      </c>
      <c r="P249" s="9" t="str">
        <f t="shared" si="30"/>
        <v/>
      </c>
      <c r="Q249" s="9" t="str">
        <f t="shared" si="31"/>
        <v/>
      </c>
      <c r="R249" s="11"/>
      <c r="S249" s="11" t="str">
        <f t="shared" si="32"/>
        <v>PASS</v>
      </c>
    </row>
    <row r="250" spans="1:19" x14ac:dyDescent="0.25">
      <c r="A250" s="30" t="s">
        <v>96</v>
      </c>
      <c r="B250" s="31">
        <v>49766</v>
      </c>
      <c r="C250" s="30">
        <f>YEAR(BInputReservoir[[#This Row],[Date]])</f>
        <v>2036</v>
      </c>
      <c r="D250" s="30">
        <f>MONTH(BInputReservoir[[#This Row],[Date]])</f>
        <v>4</v>
      </c>
      <c r="E250" s="30" t="str">
        <f>IF(I250&lt;&gt;1,"",DATA_INPUT!$K251)</f>
        <v/>
      </c>
      <c r="F250" s="30"/>
      <c r="G250" s="30"/>
      <c r="H250" s="30"/>
      <c r="I250" s="18" t="str">
        <f>IF(STORAGE_BALANCE_ENSEMBLE!R251&lt;&gt;1,"",1)</f>
        <v/>
      </c>
      <c r="J250" s="8" t="str">
        <f t="shared" si="25"/>
        <v/>
      </c>
      <c r="K250" s="9" t="str">
        <f t="shared" si="26"/>
        <v/>
      </c>
      <c r="L250" s="10" t="str">
        <f t="shared" si="27"/>
        <v/>
      </c>
      <c r="M250" s="10" t="str">
        <f>IF(I250&lt;&gt;1,"",IF(H250="","",H250/CONTROL_PANEL!$B$11))</f>
        <v/>
      </c>
      <c r="N250" s="9" t="str">
        <f t="shared" si="28"/>
        <v/>
      </c>
      <c r="O250" s="9" t="str">
        <f t="shared" si="29"/>
        <v/>
      </c>
      <c r="P250" s="9" t="str">
        <f t="shared" si="30"/>
        <v/>
      </c>
      <c r="Q250" s="9" t="str">
        <f t="shared" si="31"/>
        <v/>
      </c>
      <c r="R250" s="11"/>
      <c r="S250" s="11" t="str">
        <f t="shared" si="32"/>
        <v>PASS</v>
      </c>
    </row>
    <row r="251" spans="1:19" x14ac:dyDescent="0.25">
      <c r="A251" s="30" t="s">
        <v>96</v>
      </c>
      <c r="B251" s="31">
        <v>49796</v>
      </c>
      <c r="C251" s="30">
        <f>YEAR(BInputReservoir[[#This Row],[Date]])</f>
        <v>2036</v>
      </c>
      <c r="D251" s="30">
        <f>MONTH(BInputReservoir[[#This Row],[Date]])</f>
        <v>5</v>
      </c>
      <c r="E251" s="30" t="str">
        <f>IF(I251&lt;&gt;1,"",DATA_INPUT!$K252)</f>
        <v/>
      </c>
      <c r="F251" s="30"/>
      <c r="G251" s="30"/>
      <c r="H251" s="30"/>
      <c r="I251" s="18" t="str">
        <f>IF(STORAGE_BALANCE_ENSEMBLE!R252&lt;&gt;1,"",1)</f>
        <v/>
      </c>
      <c r="J251" s="8" t="str">
        <f t="shared" si="25"/>
        <v/>
      </c>
      <c r="K251" s="9" t="str">
        <f t="shared" si="26"/>
        <v/>
      </c>
      <c r="L251" s="10" t="str">
        <f t="shared" si="27"/>
        <v/>
      </c>
      <c r="M251" s="10" t="str">
        <f>IF(I251&lt;&gt;1,"",IF(H251="","",H251/CONTROL_PANEL!$B$11))</f>
        <v/>
      </c>
      <c r="N251" s="9" t="str">
        <f t="shared" si="28"/>
        <v/>
      </c>
      <c r="O251" s="9" t="str">
        <f t="shared" si="29"/>
        <v/>
      </c>
      <c r="P251" s="9" t="str">
        <f t="shared" si="30"/>
        <v/>
      </c>
      <c r="Q251" s="9" t="str">
        <f t="shared" si="31"/>
        <v/>
      </c>
      <c r="R251" s="11"/>
      <c r="S251" s="11" t="str">
        <f t="shared" si="32"/>
        <v>PASS</v>
      </c>
    </row>
    <row r="252" spans="1:19" x14ac:dyDescent="0.25">
      <c r="A252" s="30" t="s">
        <v>96</v>
      </c>
      <c r="B252" s="31">
        <v>49827</v>
      </c>
      <c r="C252" s="30">
        <f>YEAR(BInputReservoir[[#This Row],[Date]])</f>
        <v>2036</v>
      </c>
      <c r="D252" s="30">
        <f>MONTH(BInputReservoir[[#This Row],[Date]])</f>
        <v>6</v>
      </c>
      <c r="E252" s="30" t="str">
        <f>IF(I252&lt;&gt;1,"",DATA_INPUT!$K253)</f>
        <v/>
      </c>
      <c r="F252" s="30"/>
      <c r="G252" s="30"/>
      <c r="H252" s="30"/>
      <c r="I252" s="18" t="str">
        <f>IF(STORAGE_BALANCE_ENSEMBLE!R253&lt;&gt;1,"",1)</f>
        <v/>
      </c>
      <c r="J252" s="8" t="str">
        <f t="shared" si="25"/>
        <v/>
      </c>
      <c r="K252" s="9" t="str">
        <f t="shared" si="26"/>
        <v/>
      </c>
      <c r="L252" s="10" t="str">
        <f t="shared" si="27"/>
        <v/>
      </c>
      <c r="M252" s="10" t="str">
        <f>IF(I252&lt;&gt;1,"",IF(H252="","",H252/CONTROL_PANEL!$B$11))</f>
        <v/>
      </c>
      <c r="N252" s="9" t="str">
        <f t="shared" si="28"/>
        <v/>
      </c>
      <c r="O252" s="9" t="str">
        <f t="shared" si="29"/>
        <v/>
      </c>
      <c r="P252" s="9" t="str">
        <f t="shared" si="30"/>
        <v/>
      </c>
      <c r="Q252" s="9" t="str">
        <f t="shared" si="31"/>
        <v/>
      </c>
      <c r="R252" s="11"/>
      <c r="S252" s="11" t="str">
        <f t="shared" si="32"/>
        <v>PASS</v>
      </c>
    </row>
    <row r="253" spans="1:19" x14ac:dyDescent="0.25">
      <c r="A253" s="30" t="s">
        <v>96</v>
      </c>
      <c r="B253" s="31">
        <v>49857</v>
      </c>
      <c r="C253" s="30">
        <f>YEAR(BInputReservoir[[#This Row],[Date]])</f>
        <v>2036</v>
      </c>
      <c r="D253" s="30">
        <f>MONTH(BInputReservoir[[#This Row],[Date]])</f>
        <v>7</v>
      </c>
      <c r="E253" s="30" t="str">
        <f>IF(I253&lt;&gt;1,"",DATA_INPUT!$K254)</f>
        <v/>
      </c>
      <c r="F253" s="30"/>
      <c r="G253" s="30"/>
      <c r="H253" s="30"/>
      <c r="I253" s="18" t="str">
        <f>IF(STORAGE_BALANCE_ENSEMBLE!R254&lt;&gt;1,"",1)</f>
        <v/>
      </c>
      <c r="J253" s="8" t="str">
        <f t="shared" si="25"/>
        <v/>
      </c>
      <c r="K253" s="9" t="str">
        <f t="shared" si="26"/>
        <v/>
      </c>
      <c r="L253" s="10" t="str">
        <f t="shared" si="27"/>
        <v/>
      </c>
      <c r="M253" s="10" t="str">
        <f>IF(I253&lt;&gt;1,"",IF(H253="","",H253/CONTROL_PANEL!$B$11))</f>
        <v/>
      </c>
      <c r="N253" s="9" t="str">
        <f t="shared" si="28"/>
        <v/>
      </c>
      <c r="O253" s="9" t="str">
        <f t="shared" si="29"/>
        <v/>
      </c>
      <c r="P253" s="9" t="str">
        <f t="shared" si="30"/>
        <v/>
      </c>
      <c r="Q253" s="9" t="str">
        <f t="shared" si="31"/>
        <v/>
      </c>
      <c r="R253" s="11"/>
      <c r="S253" s="11" t="str">
        <f t="shared" si="32"/>
        <v>PASS</v>
      </c>
    </row>
    <row r="254" spans="1:19" x14ac:dyDescent="0.25">
      <c r="A254" s="30" t="s">
        <v>96</v>
      </c>
      <c r="B254" s="31">
        <v>49888</v>
      </c>
      <c r="C254" s="30">
        <f>YEAR(BInputReservoir[[#This Row],[Date]])</f>
        <v>2036</v>
      </c>
      <c r="D254" s="30">
        <f>MONTH(BInputReservoir[[#This Row],[Date]])</f>
        <v>8</v>
      </c>
      <c r="E254" s="30" t="str">
        <f>IF(I254&lt;&gt;1,"",DATA_INPUT!$K255)</f>
        <v/>
      </c>
      <c r="F254" s="30"/>
      <c r="G254" s="30"/>
      <c r="H254" s="30"/>
      <c r="I254" s="18" t="str">
        <f>IF(STORAGE_BALANCE_ENSEMBLE!R255&lt;&gt;1,"",1)</f>
        <v/>
      </c>
      <c r="J254" s="8" t="str">
        <f t="shared" si="25"/>
        <v/>
      </c>
      <c r="K254" s="9" t="str">
        <f t="shared" si="26"/>
        <v/>
      </c>
      <c r="L254" s="10" t="str">
        <f t="shared" si="27"/>
        <v/>
      </c>
      <c r="M254" s="10" t="str">
        <f>IF(I254&lt;&gt;1,"",IF(H254="","",H254/CONTROL_PANEL!$B$11))</f>
        <v/>
      </c>
      <c r="N254" s="9" t="str">
        <f t="shared" si="28"/>
        <v/>
      </c>
      <c r="O254" s="9" t="str">
        <f t="shared" si="29"/>
        <v/>
      </c>
      <c r="P254" s="9" t="str">
        <f t="shared" si="30"/>
        <v/>
      </c>
      <c r="Q254" s="9" t="str">
        <f t="shared" si="31"/>
        <v/>
      </c>
      <c r="R254" s="11"/>
      <c r="S254" s="11" t="str">
        <f t="shared" si="32"/>
        <v>PASS</v>
      </c>
    </row>
    <row r="255" spans="1:19" x14ac:dyDescent="0.25">
      <c r="A255" s="30" t="s">
        <v>96</v>
      </c>
      <c r="B255" s="31">
        <v>49919</v>
      </c>
      <c r="C255" s="30">
        <f>YEAR(BInputReservoir[[#This Row],[Date]])</f>
        <v>2036</v>
      </c>
      <c r="D255" s="30">
        <f>MONTH(BInputReservoir[[#This Row],[Date]])</f>
        <v>9</v>
      </c>
      <c r="E255" s="30" t="str">
        <f>IF(I255&lt;&gt;1,"",DATA_INPUT!$K256)</f>
        <v/>
      </c>
      <c r="F255" s="30"/>
      <c r="G255" s="30"/>
      <c r="H255" s="30"/>
      <c r="I255" s="18" t="str">
        <f>IF(STORAGE_BALANCE_ENSEMBLE!R256&lt;&gt;1,"",1)</f>
        <v/>
      </c>
      <c r="J255" s="8" t="str">
        <f t="shared" si="25"/>
        <v/>
      </c>
      <c r="K255" s="9" t="str">
        <f t="shared" si="26"/>
        <v/>
      </c>
      <c r="L255" s="10" t="str">
        <f t="shared" si="27"/>
        <v/>
      </c>
      <c r="M255" s="10" t="str">
        <f>IF(I255&lt;&gt;1,"",IF(H255="","",H255/CONTROL_PANEL!$B$11))</f>
        <v/>
      </c>
      <c r="N255" s="9" t="str">
        <f t="shared" si="28"/>
        <v/>
      </c>
      <c r="O255" s="9" t="str">
        <f t="shared" si="29"/>
        <v/>
      </c>
      <c r="P255" s="9" t="str">
        <f t="shared" si="30"/>
        <v/>
      </c>
      <c r="Q255" s="9" t="str">
        <f t="shared" si="31"/>
        <v/>
      </c>
      <c r="R255" s="11"/>
      <c r="S255" s="11" t="str">
        <f t="shared" si="32"/>
        <v>PASS</v>
      </c>
    </row>
    <row r="256" spans="1:19" x14ac:dyDescent="0.25">
      <c r="A256" s="30" t="s">
        <v>96</v>
      </c>
      <c r="B256" s="31">
        <v>49949</v>
      </c>
      <c r="C256" s="30">
        <f>YEAR(BInputReservoir[[#This Row],[Date]])</f>
        <v>2036</v>
      </c>
      <c r="D256" s="30">
        <f>MONTH(BInputReservoir[[#This Row],[Date]])</f>
        <v>10</v>
      </c>
      <c r="E256" s="30" t="str">
        <f>IF(I256&lt;&gt;1,"",DATA_INPUT!$K257)</f>
        <v/>
      </c>
      <c r="F256" s="30"/>
      <c r="G256" s="30"/>
      <c r="H256" s="30"/>
      <c r="I256" s="18" t="str">
        <f>IF(STORAGE_BALANCE_ENSEMBLE!R257&lt;&gt;1,"",1)</f>
        <v/>
      </c>
      <c r="J256" s="8" t="str">
        <f t="shared" si="25"/>
        <v/>
      </c>
      <c r="K256" s="9" t="str">
        <f t="shared" si="26"/>
        <v/>
      </c>
      <c r="L256" s="10" t="str">
        <f t="shared" si="27"/>
        <v/>
      </c>
      <c r="M256" s="10" t="str">
        <f>IF(I256&lt;&gt;1,"",IF(H256="","",H256/CONTROL_PANEL!$B$11))</f>
        <v/>
      </c>
      <c r="N256" s="9" t="str">
        <f t="shared" si="28"/>
        <v/>
      </c>
      <c r="O256" s="9" t="str">
        <f t="shared" si="29"/>
        <v/>
      </c>
      <c r="P256" s="9" t="str">
        <f t="shared" si="30"/>
        <v/>
      </c>
      <c r="Q256" s="9" t="str">
        <f t="shared" si="31"/>
        <v/>
      </c>
      <c r="R256" s="11"/>
      <c r="S256" s="11" t="str">
        <f t="shared" si="32"/>
        <v>PASS</v>
      </c>
    </row>
    <row r="257" spans="1:19" x14ac:dyDescent="0.25">
      <c r="A257" s="30" t="s">
        <v>96</v>
      </c>
      <c r="B257" s="31">
        <v>49980</v>
      </c>
      <c r="C257" s="30">
        <f>YEAR(BInputReservoir[[#This Row],[Date]])</f>
        <v>2036</v>
      </c>
      <c r="D257" s="30">
        <f>MONTH(BInputReservoir[[#This Row],[Date]])</f>
        <v>11</v>
      </c>
      <c r="E257" s="30" t="str">
        <f>IF(I257&lt;&gt;1,"",DATA_INPUT!$K258)</f>
        <v/>
      </c>
      <c r="F257" s="30"/>
      <c r="G257" s="30"/>
      <c r="H257" s="30"/>
      <c r="I257" s="18" t="str">
        <f>IF(STORAGE_BALANCE_ENSEMBLE!R258&lt;&gt;1,"",1)</f>
        <v/>
      </c>
      <c r="J257" s="8" t="str">
        <f t="shared" si="25"/>
        <v/>
      </c>
      <c r="K257" s="9" t="str">
        <f t="shared" si="26"/>
        <v/>
      </c>
      <c r="L257" s="10" t="str">
        <f t="shared" si="27"/>
        <v/>
      </c>
      <c r="M257" s="10" t="str">
        <f>IF(I257&lt;&gt;1,"",IF(H257="","",H257/CONTROL_PANEL!$B$11))</f>
        <v/>
      </c>
      <c r="N257" s="9" t="str">
        <f t="shared" si="28"/>
        <v/>
      </c>
      <c r="O257" s="9" t="str">
        <f t="shared" si="29"/>
        <v/>
      </c>
      <c r="P257" s="9" t="str">
        <f t="shared" si="30"/>
        <v/>
      </c>
      <c r="Q257" s="9" t="str">
        <f t="shared" si="31"/>
        <v/>
      </c>
      <c r="R257" s="11"/>
      <c r="S257" s="11" t="str">
        <f t="shared" si="32"/>
        <v>PASS</v>
      </c>
    </row>
    <row r="258" spans="1:19" x14ac:dyDescent="0.25">
      <c r="A258" s="30" t="s">
        <v>96</v>
      </c>
      <c r="B258" s="31">
        <v>50010</v>
      </c>
      <c r="C258" s="30">
        <f>YEAR(BInputReservoir[[#This Row],[Date]])</f>
        <v>2036</v>
      </c>
      <c r="D258" s="30">
        <f>MONTH(BInputReservoir[[#This Row],[Date]])</f>
        <v>12</v>
      </c>
      <c r="E258" s="30" t="str">
        <f>IF(I258&lt;&gt;1,"",DATA_INPUT!$K259)</f>
        <v/>
      </c>
      <c r="F258" s="30"/>
      <c r="G258" s="30"/>
      <c r="H258" s="30"/>
      <c r="I258" s="18" t="str">
        <f>IF(STORAGE_BALANCE_ENSEMBLE!R259&lt;&gt;1,"",1)</f>
        <v/>
      </c>
      <c r="J258" s="8" t="str">
        <f t="shared" si="25"/>
        <v/>
      </c>
      <c r="K258" s="9" t="str">
        <f t="shared" si="26"/>
        <v/>
      </c>
      <c r="L258" s="10" t="str">
        <f t="shared" si="27"/>
        <v/>
      </c>
      <c r="M258" s="10" t="str">
        <f>IF(I258&lt;&gt;1,"",IF(H258="","",H258/CONTROL_PANEL!$B$11))</f>
        <v/>
      </c>
      <c r="N258" s="9" t="str">
        <f t="shared" si="28"/>
        <v/>
      </c>
      <c r="O258" s="9" t="str">
        <f t="shared" si="29"/>
        <v/>
      </c>
      <c r="P258" s="9" t="str">
        <f t="shared" si="30"/>
        <v/>
      </c>
      <c r="Q258" s="9" t="str">
        <f t="shared" si="31"/>
        <v/>
      </c>
      <c r="R258" s="11"/>
      <c r="S258" s="11" t="str">
        <f t="shared" si="32"/>
        <v>PASS</v>
      </c>
    </row>
    <row r="259" spans="1:19" x14ac:dyDescent="0.25">
      <c r="A259" s="30" t="s">
        <v>96</v>
      </c>
      <c r="B259" s="31">
        <v>50041</v>
      </c>
      <c r="C259" s="30">
        <f>YEAR(BInputReservoir[[#This Row],[Date]])</f>
        <v>2037</v>
      </c>
      <c r="D259" s="30">
        <f>MONTH(BInputReservoir[[#This Row],[Date]])</f>
        <v>1</v>
      </c>
      <c r="E259" s="30" t="str">
        <f>IF(I259&lt;&gt;1,"",DATA_INPUT!$K260)</f>
        <v/>
      </c>
      <c r="F259" s="30"/>
      <c r="G259" s="30"/>
      <c r="H259" s="30"/>
      <c r="I259" s="18" t="str">
        <f>IF(STORAGE_BALANCE_ENSEMBLE!R260&lt;&gt;1,"",1)</f>
        <v/>
      </c>
      <c r="J259" s="8" t="str">
        <f t="shared" si="25"/>
        <v/>
      </c>
      <c r="K259" s="9" t="str">
        <f t="shared" si="26"/>
        <v/>
      </c>
      <c r="L259" s="10" t="str">
        <f t="shared" si="27"/>
        <v/>
      </c>
      <c r="M259" s="10" t="str">
        <f>IF(I259&lt;&gt;1,"",IF(H259="","",H259/CONTROL_PANEL!$B$11))</f>
        <v/>
      </c>
      <c r="N259" s="9" t="str">
        <f t="shared" si="28"/>
        <v/>
      </c>
      <c r="O259" s="9" t="str">
        <f t="shared" si="29"/>
        <v/>
      </c>
      <c r="P259" s="9" t="str">
        <f t="shared" si="30"/>
        <v/>
      </c>
      <c r="Q259" s="9" t="str">
        <f t="shared" si="31"/>
        <v/>
      </c>
      <c r="R259" s="11"/>
      <c r="S259" s="11" t="str">
        <f t="shared" si="32"/>
        <v>PASS</v>
      </c>
    </row>
    <row r="260" spans="1:19" x14ac:dyDescent="0.25">
      <c r="A260" s="30" t="s">
        <v>96</v>
      </c>
      <c r="B260" s="31">
        <v>50072</v>
      </c>
      <c r="C260" s="30">
        <f>YEAR(BInputReservoir[[#This Row],[Date]])</f>
        <v>2037</v>
      </c>
      <c r="D260" s="30">
        <f>MONTH(BInputReservoir[[#This Row],[Date]])</f>
        <v>2</v>
      </c>
      <c r="E260" s="30" t="str">
        <f>IF(I260&lt;&gt;1,"",DATA_INPUT!$K261)</f>
        <v/>
      </c>
      <c r="F260" s="30"/>
      <c r="G260" s="30"/>
      <c r="H260" s="30"/>
      <c r="I260" s="18" t="str">
        <f>IF(STORAGE_BALANCE_ENSEMBLE!R261&lt;&gt;1,"",1)</f>
        <v/>
      </c>
      <c r="J260" s="8" t="str">
        <f t="shared" si="25"/>
        <v/>
      </c>
      <c r="K260" s="9" t="str">
        <f t="shared" si="26"/>
        <v/>
      </c>
      <c r="L260" s="10" t="str">
        <f t="shared" si="27"/>
        <v/>
      </c>
      <c r="M260" s="10" t="str">
        <f>IF(I260&lt;&gt;1,"",IF(H260="","",H260/CONTROL_PANEL!$B$11))</f>
        <v/>
      </c>
      <c r="N260" s="9" t="str">
        <f t="shared" si="28"/>
        <v/>
      </c>
      <c r="O260" s="9" t="str">
        <f t="shared" si="29"/>
        <v/>
      </c>
      <c r="P260" s="9" t="str">
        <f t="shared" si="30"/>
        <v/>
      </c>
      <c r="Q260" s="9" t="str">
        <f t="shared" si="31"/>
        <v/>
      </c>
      <c r="R260" s="11"/>
      <c r="S260" s="11" t="str">
        <f t="shared" si="32"/>
        <v>PASS</v>
      </c>
    </row>
    <row r="261" spans="1:19" x14ac:dyDescent="0.25">
      <c r="A261" s="30" t="s">
        <v>96</v>
      </c>
      <c r="B261" s="31">
        <v>50100</v>
      </c>
      <c r="C261" s="30">
        <f>YEAR(BInputReservoir[[#This Row],[Date]])</f>
        <v>2037</v>
      </c>
      <c r="D261" s="30">
        <f>MONTH(BInputReservoir[[#This Row],[Date]])</f>
        <v>3</v>
      </c>
      <c r="E261" s="30" t="str">
        <f>IF(I261&lt;&gt;1,"",DATA_INPUT!$K262)</f>
        <v/>
      </c>
      <c r="F261" s="30"/>
      <c r="G261" s="30"/>
      <c r="H261" s="30"/>
      <c r="I261" s="18" t="str">
        <f>IF(STORAGE_BALANCE_ENSEMBLE!R262&lt;&gt;1,"",1)</f>
        <v/>
      </c>
      <c r="J261" s="8" t="str">
        <f t="shared" ref="J261:J324" si="33">IF(I261&lt;&gt;1,"",IF(E261="","",MAX(0,E261-G261)))</f>
        <v/>
      </c>
      <c r="K261" s="9" t="str">
        <f t="shared" ref="K261:K324" si="34">IF(I261&lt;&gt;1,"",IF(OR(G261="",E261=""),"",IF(G261&gt;0,1,0)))</f>
        <v/>
      </c>
      <c r="L261" s="10" t="str">
        <f t="shared" ref="L261:L324" si="35">IF(I261&lt;&gt;1,"",IF(AND(K261=1,E261&gt;0),G261/E261,0))</f>
        <v/>
      </c>
      <c r="M261" s="10" t="str">
        <f>IF(I261&lt;&gt;1,"",IF(H261="","",H261/CONTROL_PANEL!$B$11))</f>
        <v/>
      </c>
      <c r="N261" s="9" t="str">
        <f t="shared" ref="N261:N324" si="36">IF(I261&lt;&gt;1,"",IF(AND(K261=1,A262=A261),1,0))</f>
        <v/>
      </c>
      <c r="O261" s="9" t="str">
        <f t="shared" ref="O261:O324" si="37">IF(I261&lt;&gt;1,"",IF(AND(K261=1,A262=A261,K262=0),1,0))</f>
        <v/>
      </c>
      <c r="P261" s="9" t="str">
        <f t="shared" ref="P261:P324" si="38">IF(I261&lt;&gt;1,"",IF(F261&gt;0,1,0))</f>
        <v/>
      </c>
      <c r="Q261" s="9" t="str">
        <f t="shared" ref="Q261:Q324" si="39">IF(I261&lt;&gt;1,"",IF(G261&gt;0,1,0))</f>
        <v/>
      </c>
      <c r="R261" s="11"/>
      <c r="S261" s="11" t="str">
        <f t="shared" ref="S261:S324" si="40">IF(COUNTA(A261:H261)=0,"",IF(OR(A261="",C261="",D261=""),"ERROR: missing key fields","PASS"))</f>
        <v>PASS</v>
      </c>
    </row>
    <row r="262" spans="1:19" x14ac:dyDescent="0.25">
      <c r="A262" s="30" t="s">
        <v>96</v>
      </c>
      <c r="B262" s="31">
        <v>50131</v>
      </c>
      <c r="C262" s="30">
        <f>YEAR(BInputReservoir[[#This Row],[Date]])</f>
        <v>2037</v>
      </c>
      <c r="D262" s="30">
        <f>MONTH(BInputReservoir[[#This Row],[Date]])</f>
        <v>4</v>
      </c>
      <c r="E262" s="30" t="str">
        <f>IF(I262&lt;&gt;1,"",DATA_INPUT!$K263)</f>
        <v/>
      </c>
      <c r="F262" s="30"/>
      <c r="G262" s="30"/>
      <c r="H262" s="30"/>
      <c r="I262" s="18" t="str">
        <f>IF(STORAGE_BALANCE_ENSEMBLE!R263&lt;&gt;1,"",1)</f>
        <v/>
      </c>
      <c r="J262" s="8" t="str">
        <f t="shared" si="33"/>
        <v/>
      </c>
      <c r="K262" s="9" t="str">
        <f t="shared" si="34"/>
        <v/>
      </c>
      <c r="L262" s="10" t="str">
        <f t="shared" si="35"/>
        <v/>
      </c>
      <c r="M262" s="10" t="str">
        <f>IF(I262&lt;&gt;1,"",IF(H262="","",H262/CONTROL_PANEL!$B$11))</f>
        <v/>
      </c>
      <c r="N262" s="9" t="str">
        <f t="shared" si="36"/>
        <v/>
      </c>
      <c r="O262" s="9" t="str">
        <f t="shared" si="37"/>
        <v/>
      </c>
      <c r="P262" s="9" t="str">
        <f t="shared" si="38"/>
        <v/>
      </c>
      <c r="Q262" s="9" t="str">
        <f t="shared" si="39"/>
        <v/>
      </c>
      <c r="R262" s="11"/>
      <c r="S262" s="11" t="str">
        <f t="shared" si="40"/>
        <v>PASS</v>
      </c>
    </row>
    <row r="263" spans="1:19" x14ac:dyDescent="0.25">
      <c r="A263" s="30" t="s">
        <v>96</v>
      </c>
      <c r="B263" s="31">
        <v>50161</v>
      </c>
      <c r="C263" s="30">
        <f>YEAR(BInputReservoir[[#This Row],[Date]])</f>
        <v>2037</v>
      </c>
      <c r="D263" s="30">
        <f>MONTH(BInputReservoir[[#This Row],[Date]])</f>
        <v>5</v>
      </c>
      <c r="E263" s="30" t="str">
        <f>IF(I263&lt;&gt;1,"",DATA_INPUT!$K264)</f>
        <v/>
      </c>
      <c r="F263" s="30"/>
      <c r="G263" s="30"/>
      <c r="H263" s="30"/>
      <c r="I263" s="18" t="str">
        <f>IF(STORAGE_BALANCE_ENSEMBLE!R264&lt;&gt;1,"",1)</f>
        <v/>
      </c>
      <c r="J263" s="8" t="str">
        <f t="shared" si="33"/>
        <v/>
      </c>
      <c r="K263" s="9" t="str">
        <f t="shared" si="34"/>
        <v/>
      </c>
      <c r="L263" s="10" t="str">
        <f t="shared" si="35"/>
        <v/>
      </c>
      <c r="M263" s="10" t="str">
        <f>IF(I263&lt;&gt;1,"",IF(H263="","",H263/CONTROL_PANEL!$B$11))</f>
        <v/>
      </c>
      <c r="N263" s="9" t="str">
        <f t="shared" si="36"/>
        <v/>
      </c>
      <c r="O263" s="9" t="str">
        <f t="shared" si="37"/>
        <v/>
      </c>
      <c r="P263" s="9" t="str">
        <f t="shared" si="38"/>
        <v/>
      </c>
      <c r="Q263" s="9" t="str">
        <f t="shared" si="39"/>
        <v/>
      </c>
      <c r="R263" s="11"/>
      <c r="S263" s="11" t="str">
        <f t="shared" si="40"/>
        <v>PASS</v>
      </c>
    </row>
    <row r="264" spans="1:19" x14ac:dyDescent="0.25">
      <c r="A264" s="30" t="s">
        <v>96</v>
      </c>
      <c r="B264" s="31">
        <v>50192</v>
      </c>
      <c r="C264" s="30">
        <f>YEAR(BInputReservoir[[#This Row],[Date]])</f>
        <v>2037</v>
      </c>
      <c r="D264" s="30">
        <f>MONTH(BInputReservoir[[#This Row],[Date]])</f>
        <v>6</v>
      </c>
      <c r="E264" s="30" t="str">
        <f>IF(I264&lt;&gt;1,"",DATA_INPUT!$K265)</f>
        <v/>
      </c>
      <c r="F264" s="30"/>
      <c r="G264" s="30"/>
      <c r="H264" s="30"/>
      <c r="I264" s="18" t="str">
        <f>IF(STORAGE_BALANCE_ENSEMBLE!R265&lt;&gt;1,"",1)</f>
        <v/>
      </c>
      <c r="J264" s="8" t="str">
        <f t="shared" si="33"/>
        <v/>
      </c>
      <c r="K264" s="9" t="str">
        <f t="shared" si="34"/>
        <v/>
      </c>
      <c r="L264" s="10" t="str">
        <f t="shared" si="35"/>
        <v/>
      </c>
      <c r="M264" s="10" t="str">
        <f>IF(I264&lt;&gt;1,"",IF(H264="","",H264/CONTROL_PANEL!$B$11))</f>
        <v/>
      </c>
      <c r="N264" s="9" t="str">
        <f t="shared" si="36"/>
        <v/>
      </c>
      <c r="O264" s="9" t="str">
        <f t="shared" si="37"/>
        <v/>
      </c>
      <c r="P264" s="9" t="str">
        <f t="shared" si="38"/>
        <v/>
      </c>
      <c r="Q264" s="9" t="str">
        <f t="shared" si="39"/>
        <v/>
      </c>
      <c r="R264" s="11"/>
      <c r="S264" s="11" t="str">
        <f t="shared" si="40"/>
        <v>PASS</v>
      </c>
    </row>
    <row r="265" spans="1:19" x14ac:dyDescent="0.25">
      <c r="A265" s="30" t="s">
        <v>96</v>
      </c>
      <c r="B265" s="31">
        <v>50222</v>
      </c>
      <c r="C265" s="30">
        <f>YEAR(BInputReservoir[[#This Row],[Date]])</f>
        <v>2037</v>
      </c>
      <c r="D265" s="30">
        <f>MONTH(BInputReservoir[[#This Row],[Date]])</f>
        <v>7</v>
      </c>
      <c r="E265" s="30" t="str">
        <f>IF(I265&lt;&gt;1,"",DATA_INPUT!$K266)</f>
        <v/>
      </c>
      <c r="F265" s="30"/>
      <c r="G265" s="30"/>
      <c r="H265" s="30"/>
      <c r="I265" s="18" t="str">
        <f>IF(STORAGE_BALANCE_ENSEMBLE!R266&lt;&gt;1,"",1)</f>
        <v/>
      </c>
      <c r="J265" s="8" t="str">
        <f t="shared" si="33"/>
        <v/>
      </c>
      <c r="K265" s="9" t="str">
        <f t="shared" si="34"/>
        <v/>
      </c>
      <c r="L265" s="10" t="str">
        <f t="shared" si="35"/>
        <v/>
      </c>
      <c r="M265" s="10" t="str">
        <f>IF(I265&lt;&gt;1,"",IF(H265="","",H265/CONTROL_PANEL!$B$11))</f>
        <v/>
      </c>
      <c r="N265" s="9" t="str">
        <f t="shared" si="36"/>
        <v/>
      </c>
      <c r="O265" s="9" t="str">
        <f t="shared" si="37"/>
        <v/>
      </c>
      <c r="P265" s="9" t="str">
        <f t="shared" si="38"/>
        <v/>
      </c>
      <c r="Q265" s="9" t="str">
        <f t="shared" si="39"/>
        <v/>
      </c>
      <c r="R265" s="11"/>
      <c r="S265" s="11" t="str">
        <f t="shared" si="40"/>
        <v>PASS</v>
      </c>
    </row>
    <row r="266" spans="1:19" x14ac:dyDescent="0.25">
      <c r="A266" s="30" t="s">
        <v>96</v>
      </c>
      <c r="B266" s="31">
        <v>50253</v>
      </c>
      <c r="C266" s="30">
        <f>YEAR(BInputReservoir[[#This Row],[Date]])</f>
        <v>2037</v>
      </c>
      <c r="D266" s="30">
        <f>MONTH(BInputReservoir[[#This Row],[Date]])</f>
        <v>8</v>
      </c>
      <c r="E266" s="30" t="str">
        <f>IF(I266&lt;&gt;1,"",DATA_INPUT!$K267)</f>
        <v/>
      </c>
      <c r="F266" s="30"/>
      <c r="G266" s="30"/>
      <c r="H266" s="30"/>
      <c r="I266" s="18" t="str">
        <f>IF(STORAGE_BALANCE_ENSEMBLE!R267&lt;&gt;1,"",1)</f>
        <v/>
      </c>
      <c r="J266" s="8" t="str">
        <f t="shared" si="33"/>
        <v/>
      </c>
      <c r="K266" s="9" t="str">
        <f t="shared" si="34"/>
        <v/>
      </c>
      <c r="L266" s="10" t="str">
        <f t="shared" si="35"/>
        <v/>
      </c>
      <c r="M266" s="10" t="str">
        <f>IF(I266&lt;&gt;1,"",IF(H266="","",H266/CONTROL_PANEL!$B$11))</f>
        <v/>
      </c>
      <c r="N266" s="9" t="str">
        <f t="shared" si="36"/>
        <v/>
      </c>
      <c r="O266" s="9" t="str">
        <f t="shared" si="37"/>
        <v/>
      </c>
      <c r="P266" s="9" t="str">
        <f t="shared" si="38"/>
        <v/>
      </c>
      <c r="Q266" s="9" t="str">
        <f t="shared" si="39"/>
        <v/>
      </c>
      <c r="R266" s="11"/>
      <c r="S266" s="11" t="str">
        <f t="shared" si="40"/>
        <v>PASS</v>
      </c>
    </row>
    <row r="267" spans="1:19" x14ac:dyDescent="0.25">
      <c r="A267" s="30" t="s">
        <v>96</v>
      </c>
      <c r="B267" s="31">
        <v>50284</v>
      </c>
      <c r="C267" s="30">
        <f>YEAR(BInputReservoir[[#This Row],[Date]])</f>
        <v>2037</v>
      </c>
      <c r="D267" s="30">
        <f>MONTH(BInputReservoir[[#This Row],[Date]])</f>
        <v>9</v>
      </c>
      <c r="E267" s="30" t="str">
        <f>IF(I267&lt;&gt;1,"",DATA_INPUT!$K268)</f>
        <v/>
      </c>
      <c r="F267" s="30"/>
      <c r="G267" s="30"/>
      <c r="H267" s="30"/>
      <c r="I267" s="18" t="str">
        <f>IF(STORAGE_BALANCE_ENSEMBLE!R268&lt;&gt;1,"",1)</f>
        <v/>
      </c>
      <c r="J267" s="8" t="str">
        <f t="shared" si="33"/>
        <v/>
      </c>
      <c r="K267" s="9" t="str">
        <f t="shared" si="34"/>
        <v/>
      </c>
      <c r="L267" s="10" t="str">
        <f t="shared" si="35"/>
        <v/>
      </c>
      <c r="M267" s="10" t="str">
        <f>IF(I267&lt;&gt;1,"",IF(H267="","",H267/CONTROL_PANEL!$B$11))</f>
        <v/>
      </c>
      <c r="N267" s="9" t="str">
        <f t="shared" si="36"/>
        <v/>
      </c>
      <c r="O267" s="9" t="str">
        <f t="shared" si="37"/>
        <v/>
      </c>
      <c r="P267" s="9" t="str">
        <f t="shared" si="38"/>
        <v/>
      </c>
      <c r="Q267" s="9" t="str">
        <f t="shared" si="39"/>
        <v/>
      </c>
      <c r="R267" s="11"/>
      <c r="S267" s="11" t="str">
        <f t="shared" si="40"/>
        <v>PASS</v>
      </c>
    </row>
    <row r="268" spans="1:19" x14ac:dyDescent="0.25">
      <c r="A268" s="30" t="s">
        <v>96</v>
      </c>
      <c r="B268" s="31">
        <v>50314</v>
      </c>
      <c r="C268" s="30">
        <f>YEAR(BInputReservoir[[#This Row],[Date]])</f>
        <v>2037</v>
      </c>
      <c r="D268" s="30">
        <f>MONTH(BInputReservoir[[#This Row],[Date]])</f>
        <v>10</v>
      </c>
      <c r="E268" s="30" t="str">
        <f>IF(I268&lt;&gt;1,"",DATA_INPUT!$K269)</f>
        <v/>
      </c>
      <c r="F268" s="30"/>
      <c r="G268" s="30"/>
      <c r="H268" s="30"/>
      <c r="I268" s="18" t="str">
        <f>IF(STORAGE_BALANCE_ENSEMBLE!R269&lt;&gt;1,"",1)</f>
        <v/>
      </c>
      <c r="J268" s="8" t="str">
        <f t="shared" si="33"/>
        <v/>
      </c>
      <c r="K268" s="9" t="str">
        <f t="shared" si="34"/>
        <v/>
      </c>
      <c r="L268" s="10" t="str">
        <f t="shared" si="35"/>
        <v/>
      </c>
      <c r="M268" s="10" t="str">
        <f>IF(I268&lt;&gt;1,"",IF(H268="","",H268/CONTROL_PANEL!$B$11))</f>
        <v/>
      </c>
      <c r="N268" s="9" t="str">
        <f t="shared" si="36"/>
        <v/>
      </c>
      <c r="O268" s="9" t="str">
        <f t="shared" si="37"/>
        <v/>
      </c>
      <c r="P268" s="9" t="str">
        <f t="shared" si="38"/>
        <v/>
      </c>
      <c r="Q268" s="9" t="str">
        <f t="shared" si="39"/>
        <v/>
      </c>
      <c r="R268" s="11"/>
      <c r="S268" s="11" t="str">
        <f t="shared" si="40"/>
        <v>PASS</v>
      </c>
    </row>
    <row r="269" spans="1:19" x14ac:dyDescent="0.25">
      <c r="A269" s="30" t="s">
        <v>96</v>
      </c>
      <c r="B269" s="31">
        <v>50345</v>
      </c>
      <c r="C269" s="30">
        <f>YEAR(BInputReservoir[[#This Row],[Date]])</f>
        <v>2037</v>
      </c>
      <c r="D269" s="30">
        <f>MONTH(BInputReservoir[[#This Row],[Date]])</f>
        <v>11</v>
      </c>
      <c r="E269" s="30" t="str">
        <f>IF(I269&lt;&gt;1,"",DATA_INPUT!$K270)</f>
        <v/>
      </c>
      <c r="F269" s="30"/>
      <c r="G269" s="30"/>
      <c r="H269" s="30"/>
      <c r="I269" s="18" t="str">
        <f>IF(STORAGE_BALANCE_ENSEMBLE!R270&lt;&gt;1,"",1)</f>
        <v/>
      </c>
      <c r="J269" s="8" t="str">
        <f t="shared" si="33"/>
        <v/>
      </c>
      <c r="K269" s="9" t="str">
        <f t="shared" si="34"/>
        <v/>
      </c>
      <c r="L269" s="10" t="str">
        <f t="shared" si="35"/>
        <v/>
      </c>
      <c r="M269" s="10" t="str">
        <f>IF(I269&lt;&gt;1,"",IF(H269="","",H269/CONTROL_PANEL!$B$11))</f>
        <v/>
      </c>
      <c r="N269" s="9" t="str">
        <f t="shared" si="36"/>
        <v/>
      </c>
      <c r="O269" s="9" t="str">
        <f t="shared" si="37"/>
        <v/>
      </c>
      <c r="P269" s="9" t="str">
        <f t="shared" si="38"/>
        <v/>
      </c>
      <c r="Q269" s="9" t="str">
        <f t="shared" si="39"/>
        <v/>
      </c>
      <c r="R269" s="11"/>
      <c r="S269" s="11" t="str">
        <f t="shared" si="40"/>
        <v>PASS</v>
      </c>
    </row>
    <row r="270" spans="1:19" x14ac:dyDescent="0.25">
      <c r="A270" s="30" t="s">
        <v>96</v>
      </c>
      <c r="B270" s="31">
        <v>50375</v>
      </c>
      <c r="C270" s="30">
        <f>YEAR(BInputReservoir[[#This Row],[Date]])</f>
        <v>2037</v>
      </c>
      <c r="D270" s="30">
        <f>MONTH(BInputReservoir[[#This Row],[Date]])</f>
        <v>12</v>
      </c>
      <c r="E270" s="30" t="str">
        <f>IF(I270&lt;&gt;1,"",DATA_INPUT!$K271)</f>
        <v/>
      </c>
      <c r="F270" s="30"/>
      <c r="G270" s="30"/>
      <c r="H270" s="30"/>
      <c r="I270" s="18" t="str">
        <f>IF(STORAGE_BALANCE_ENSEMBLE!R271&lt;&gt;1,"",1)</f>
        <v/>
      </c>
      <c r="J270" s="8" t="str">
        <f t="shared" si="33"/>
        <v/>
      </c>
      <c r="K270" s="9" t="str">
        <f t="shared" si="34"/>
        <v/>
      </c>
      <c r="L270" s="10" t="str">
        <f t="shared" si="35"/>
        <v/>
      </c>
      <c r="M270" s="10" t="str">
        <f>IF(I270&lt;&gt;1,"",IF(H270="","",H270/CONTROL_PANEL!$B$11))</f>
        <v/>
      </c>
      <c r="N270" s="9" t="str">
        <f t="shared" si="36"/>
        <v/>
      </c>
      <c r="O270" s="9" t="str">
        <f t="shared" si="37"/>
        <v/>
      </c>
      <c r="P270" s="9" t="str">
        <f t="shared" si="38"/>
        <v/>
      </c>
      <c r="Q270" s="9" t="str">
        <f t="shared" si="39"/>
        <v/>
      </c>
      <c r="R270" s="11"/>
      <c r="S270" s="11" t="str">
        <f t="shared" si="40"/>
        <v>PASS</v>
      </c>
    </row>
    <row r="271" spans="1:19" x14ac:dyDescent="0.25">
      <c r="A271" s="30" t="s">
        <v>96</v>
      </c>
      <c r="B271" s="31">
        <v>50406</v>
      </c>
      <c r="C271" s="30">
        <f>YEAR(BInputReservoir[[#This Row],[Date]])</f>
        <v>2038</v>
      </c>
      <c r="D271" s="30">
        <f>MONTH(BInputReservoir[[#This Row],[Date]])</f>
        <v>1</v>
      </c>
      <c r="E271" s="30" t="str">
        <f>IF(I271&lt;&gt;1,"",DATA_INPUT!$K272)</f>
        <v/>
      </c>
      <c r="F271" s="30"/>
      <c r="G271" s="30"/>
      <c r="H271" s="30"/>
      <c r="I271" s="18" t="str">
        <f>IF(STORAGE_BALANCE_ENSEMBLE!R272&lt;&gt;1,"",1)</f>
        <v/>
      </c>
      <c r="J271" s="8" t="str">
        <f t="shared" si="33"/>
        <v/>
      </c>
      <c r="K271" s="9" t="str">
        <f t="shared" si="34"/>
        <v/>
      </c>
      <c r="L271" s="10" t="str">
        <f t="shared" si="35"/>
        <v/>
      </c>
      <c r="M271" s="10" t="str">
        <f>IF(I271&lt;&gt;1,"",IF(H271="","",H271/CONTROL_PANEL!$B$11))</f>
        <v/>
      </c>
      <c r="N271" s="9" t="str">
        <f t="shared" si="36"/>
        <v/>
      </c>
      <c r="O271" s="9" t="str">
        <f t="shared" si="37"/>
        <v/>
      </c>
      <c r="P271" s="9" t="str">
        <f t="shared" si="38"/>
        <v/>
      </c>
      <c r="Q271" s="9" t="str">
        <f t="shared" si="39"/>
        <v/>
      </c>
      <c r="R271" s="11"/>
      <c r="S271" s="11" t="str">
        <f t="shared" si="40"/>
        <v>PASS</v>
      </c>
    </row>
    <row r="272" spans="1:19" x14ac:dyDescent="0.25">
      <c r="A272" s="30" t="s">
        <v>96</v>
      </c>
      <c r="B272" s="31">
        <v>50437</v>
      </c>
      <c r="C272" s="30">
        <f>YEAR(BInputReservoir[[#This Row],[Date]])</f>
        <v>2038</v>
      </c>
      <c r="D272" s="30">
        <f>MONTH(BInputReservoir[[#This Row],[Date]])</f>
        <v>2</v>
      </c>
      <c r="E272" s="30" t="str">
        <f>IF(I272&lt;&gt;1,"",DATA_INPUT!$K273)</f>
        <v/>
      </c>
      <c r="F272" s="30"/>
      <c r="G272" s="30"/>
      <c r="H272" s="30"/>
      <c r="I272" s="18" t="str">
        <f>IF(STORAGE_BALANCE_ENSEMBLE!R273&lt;&gt;1,"",1)</f>
        <v/>
      </c>
      <c r="J272" s="8" t="str">
        <f t="shared" si="33"/>
        <v/>
      </c>
      <c r="K272" s="9" t="str">
        <f t="shared" si="34"/>
        <v/>
      </c>
      <c r="L272" s="10" t="str">
        <f t="shared" si="35"/>
        <v/>
      </c>
      <c r="M272" s="10" t="str">
        <f>IF(I272&lt;&gt;1,"",IF(H272="","",H272/CONTROL_PANEL!$B$11))</f>
        <v/>
      </c>
      <c r="N272" s="9" t="str">
        <f t="shared" si="36"/>
        <v/>
      </c>
      <c r="O272" s="9" t="str">
        <f t="shared" si="37"/>
        <v/>
      </c>
      <c r="P272" s="9" t="str">
        <f t="shared" si="38"/>
        <v/>
      </c>
      <c r="Q272" s="9" t="str">
        <f t="shared" si="39"/>
        <v/>
      </c>
      <c r="R272" s="11"/>
      <c r="S272" s="11" t="str">
        <f t="shared" si="40"/>
        <v>PASS</v>
      </c>
    </row>
    <row r="273" spans="1:19" x14ac:dyDescent="0.25">
      <c r="A273" s="30" t="s">
        <v>96</v>
      </c>
      <c r="B273" s="31">
        <v>50465</v>
      </c>
      <c r="C273" s="30">
        <f>YEAR(BInputReservoir[[#This Row],[Date]])</f>
        <v>2038</v>
      </c>
      <c r="D273" s="30">
        <f>MONTH(BInputReservoir[[#This Row],[Date]])</f>
        <v>3</v>
      </c>
      <c r="E273" s="30" t="str">
        <f>IF(I273&lt;&gt;1,"",DATA_INPUT!$K274)</f>
        <v/>
      </c>
      <c r="F273" s="30"/>
      <c r="G273" s="30"/>
      <c r="H273" s="30"/>
      <c r="I273" s="18" t="str">
        <f>IF(STORAGE_BALANCE_ENSEMBLE!R274&lt;&gt;1,"",1)</f>
        <v/>
      </c>
      <c r="J273" s="8" t="str">
        <f t="shared" si="33"/>
        <v/>
      </c>
      <c r="K273" s="9" t="str">
        <f t="shared" si="34"/>
        <v/>
      </c>
      <c r="L273" s="10" t="str">
        <f t="shared" si="35"/>
        <v/>
      </c>
      <c r="M273" s="10" t="str">
        <f>IF(I273&lt;&gt;1,"",IF(H273="","",H273/CONTROL_PANEL!$B$11))</f>
        <v/>
      </c>
      <c r="N273" s="9" t="str">
        <f t="shared" si="36"/>
        <v/>
      </c>
      <c r="O273" s="9" t="str">
        <f t="shared" si="37"/>
        <v/>
      </c>
      <c r="P273" s="9" t="str">
        <f t="shared" si="38"/>
        <v/>
      </c>
      <c r="Q273" s="9" t="str">
        <f t="shared" si="39"/>
        <v/>
      </c>
      <c r="R273" s="11"/>
      <c r="S273" s="11" t="str">
        <f t="shared" si="40"/>
        <v>PASS</v>
      </c>
    </row>
    <row r="274" spans="1:19" x14ac:dyDescent="0.25">
      <c r="A274" s="30" t="s">
        <v>96</v>
      </c>
      <c r="B274" s="31">
        <v>50496</v>
      </c>
      <c r="C274" s="30">
        <f>YEAR(BInputReservoir[[#This Row],[Date]])</f>
        <v>2038</v>
      </c>
      <c r="D274" s="30">
        <f>MONTH(BInputReservoir[[#This Row],[Date]])</f>
        <v>4</v>
      </c>
      <c r="E274" s="30" t="str">
        <f>IF(I274&lt;&gt;1,"",DATA_INPUT!$K275)</f>
        <v/>
      </c>
      <c r="F274" s="30"/>
      <c r="G274" s="30"/>
      <c r="H274" s="30"/>
      <c r="I274" s="18" t="str">
        <f>IF(STORAGE_BALANCE_ENSEMBLE!R275&lt;&gt;1,"",1)</f>
        <v/>
      </c>
      <c r="J274" s="8" t="str">
        <f t="shared" si="33"/>
        <v/>
      </c>
      <c r="K274" s="9" t="str">
        <f t="shared" si="34"/>
        <v/>
      </c>
      <c r="L274" s="10" t="str">
        <f t="shared" si="35"/>
        <v/>
      </c>
      <c r="M274" s="10" t="str">
        <f>IF(I274&lt;&gt;1,"",IF(H274="","",H274/CONTROL_PANEL!$B$11))</f>
        <v/>
      </c>
      <c r="N274" s="9" t="str">
        <f t="shared" si="36"/>
        <v/>
      </c>
      <c r="O274" s="9" t="str">
        <f t="shared" si="37"/>
        <v/>
      </c>
      <c r="P274" s="9" t="str">
        <f t="shared" si="38"/>
        <v/>
      </c>
      <c r="Q274" s="9" t="str">
        <f t="shared" si="39"/>
        <v/>
      </c>
      <c r="R274" s="11"/>
      <c r="S274" s="11" t="str">
        <f t="shared" si="40"/>
        <v>PASS</v>
      </c>
    </row>
    <row r="275" spans="1:19" x14ac:dyDescent="0.25">
      <c r="A275" s="30" t="s">
        <v>96</v>
      </c>
      <c r="B275" s="31">
        <v>50526</v>
      </c>
      <c r="C275" s="30">
        <f>YEAR(BInputReservoir[[#This Row],[Date]])</f>
        <v>2038</v>
      </c>
      <c r="D275" s="30">
        <f>MONTH(BInputReservoir[[#This Row],[Date]])</f>
        <v>5</v>
      </c>
      <c r="E275" s="30" t="str">
        <f>IF(I275&lt;&gt;1,"",DATA_INPUT!$K276)</f>
        <v/>
      </c>
      <c r="F275" s="30"/>
      <c r="G275" s="30"/>
      <c r="H275" s="30"/>
      <c r="I275" s="18" t="str">
        <f>IF(STORAGE_BALANCE_ENSEMBLE!R276&lt;&gt;1,"",1)</f>
        <v/>
      </c>
      <c r="J275" s="8" t="str">
        <f t="shared" si="33"/>
        <v/>
      </c>
      <c r="K275" s="9" t="str">
        <f t="shared" si="34"/>
        <v/>
      </c>
      <c r="L275" s="10" t="str">
        <f t="shared" si="35"/>
        <v/>
      </c>
      <c r="M275" s="10" t="str">
        <f>IF(I275&lt;&gt;1,"",IF(H275="","",H275/CONTROL_PANEL!$B$11))</f>
        <v/>
      </c>
      <c r="N275" s="9" t="str">
        <f t="shared" si="36"/>
        <v/>
      </c>
      <c r="O275" s="9" t="str">
        <f t="shared" si="37"/>
        <v/>
      </c>
      <c r="P275" s="9" t="str">
        <f t="shared" si="38"/>
        <v/>
      </c>
      <c r="Q275" s="9" t="str">
        <f t="shared" si="39"/>
        <v/>
      </c>
      <c r="R275" s="11"/>
      <c r="S275" s="11" t="str">
        <f t="shared" si="40"/>
        <v>PASS</v>
      </c>
    </row>
    <row r="276" spans="1:19" x14ac:dyDescent="0.25">
      <c r="A276" s="30" t="s">
        <v>96</v>
      </c>
      <c r="B276" s="31">
        <v>50557</v>
      </c>
      <c r="C276" s="30">
        <f>YEAR(BInputReservoir[[#This Row],[Date]])</f>
        <v>2038</v>
      </c>
      <c r="D276" s="30">
        <f>MONTH(BInputReservoir[[#This Row],[Date]])</f>
        <v>6</v>
      </c>
      <c r="E276" s="30" t="str">
        <f>IF(I276&lt;&gt;1,"",DATA_INPUT!$K277)</f>
        <v/>
      </c>
      <c r="F276" s="30"/>
      <c r="G276" s="30"/>
      <c r="H276" s="30"/>
      <c r="I276" s="18" t="str">
        <f>IF(STORAGE_BALANCE_ENSEMBLE!R277&lt;&gt;1,"",1)</f>
        <v/>
      </c>
      <c r="J276" s="8" t="str">
        <f t="shared" si="33"/>
        <v/>
      </c>
      <c r="K276" s="9" t="str">
        <f t="shared" si="34"/>
        <v/>
      </c>
      <c r="L276" s="10" t="str">
        <f t="shared" si="35"/>
        <v/>
      </c>
      <c r="M276" s="10" t="str">
        <f>IF(I276&lt;&gt;1,"",IF(H276="","",H276/CONTROL_PANEL!$B$11))</f>
        <v/>
      </c>
      <c r="N276" s="9" t="str">
        <f t="shared" si="36"/>
        <v/>
      </c>
      <c r="O276" s="9" t="str">
        <f t="shared" si="37"/>
        <v/>
      </c>
      <c r="P276" s="9" t="str">
        <f t="shared" si="38"/>
        <v/>
      </c>
      <c r="Q276" s="9" t="str">
        <f t="shared" si="39"/>
        <v/>
      </c>
      <c r="R276" s="11"/>
      <c r="S276" s="11" t="str">
        <f t="shared" si="40"/>
        <v>PASS</v>
      </c>
    </row>
    <row r="277" spans="1:19" x14ac:dyDescent="0.25">
      <c r="A277" s="30" t="s">
        <v>96</v>
      </c>
      <c r="B277" s="31">
        <v>50587</v>
      </c>
      <c r="C277" s="30">
        <f>YEAR(BInputReservoir[[#This Row],[Date]])</f>
        <v>2038</v>
      </c>
      <c r="D277" s="30">
        <f>MONTH(BInputReservoir[[#This Row],[Date]])</f>
        <v>7</v>
      </c>
      <c r="E277" s="30" t="str">
        <f>IF(I277&lt;&gt;1,"",DATA_INPUT!$K278)</f>
        <v/>
      </c>
      <c r="F277" s="30"/>
      <c r="G277" s="30"/>
      <c r="H277" s="30"/>
      <c r="I277" s="18" t="str">
        <f>IF(STORAGE_BALANCE_ENSEMBLE!R278&lt;&gt;1,"",1)</f>
        <v/>
      </c>
      <c r="J277" s="8" t="str">
        <f t="shared" si="33"/>
        <v/>
      </c>
      <c r="K277" s="9" t="str">
        <f t="shared" si="34"/>
        <v/>
      </c>
      <c r="L277" s="10" t="str">
        <f t="shared" si="35"/>
        <v/>
      </c>
      <c r="M277" s="10" t="str">
        <f>IF(I277&lt;&gt;1,"",IF(H277="","",H277/CONTROL_PANEL!$B$11))</f>
        <v/>
      </c>
      <c r="N277" s="9" t="str">
        <f t="shared" si="36"/>
        <v/>
      </c>
      <c r="O277" s="9" t="str">
        <f t="shared" si="37"/>
        <v/>
      </c>
      <c r="P277" s="9" t="str">
        <f t="shared" si="38"/>
        <v/>
      </c>
      <c r="Q277" s="9" t="str">
        <f t="shared" si="39"/>
        <v/>
      </c>
      <c r="R277" s="11"/>
      <c r="S277" s="11" t="str">
        <f t="shared" si="40"/>
        <v>PASS</v>
      </c>
    </row>
    <row r="278" spans="1:19" x14ac:dyDescent="0.25">
      <c r="A278" s="30" t="s">
        <v>96</v>
      </c>
      <c r="B278" s="31">
        <v>50618</v>
      </c>
      <c r="C278" s="30">
        <f>YEAR(BInputReservoir[[#This Row],[Date]])</f>
        <v>2038</v>
      </c>
      <c r="D278" s="30">
        <f>MONTH(BInputReservoir[[#This Row],[Date]])</f>
        <v>8</v>
      </c>
      <c r="E278" s="30" t="str">
        <f>IF(I278&lt;&gt;1,"",DATA_INPUT!$K279)</f>
        <v/>
      </c>
      <c r="F278" s="30"/>
      <c r="G278" s="30"/>
      <c r="H278" s="30"/>
      <c r="I278" s="18" t="str">
        <f>IF(STORAGE_BALANCE_ENSEMBLE!R279&lt;&gt;1,"",1)</f>
        <v/>
      </c>
      <c r="J278" s="8" t="str">
        <f t="shared" si="33"/>
        <v/>
      </c>
      <c r="K278" s="9" t="str">
        <f t="shared" si="34"/>
        <v/>
      </c>
      <c r="L278" s="10" t="str">
        <f t="shared" si="35"/>
        <v/>
      </c>
      <c r="M278" s="10" t="str">
        <f>IF(I278&lt;&gt;1,"",IF(H278="","",H278/CONTROL_PANEL!$B$11))</f>
        <v/>
      </c>
      <c r="N278" s="9" t="str">
        <f t="shared" si="36"/>
        <v/>
      </c>
      <c r="O278" s="9" t="str">
        <f t="shared" si="37"/>
        <v/>
      </c>
      <c r="P278" s="9" t="str">
        <f t="shared" si="38"/>
        <v/>
      </c>
      <c r="Q278" s="9" t="str">
        <f t="shared" si="39"/>
        <v/>
      </c>
      <c r="R278" s="11"/>
      <c r="S278" s="11" t="str">
        <f t="shared" si="40"/>
        <v>PASS</v>
      </c>
    </row>
    <row r="279" spans="1:19" x14ac:dyDescent="0.25">
      <c r="A279" s="30" t="s">
        <v>96</v>
      </c>
      <c r="B279" s="31">
        <v>50649</v>
      </c>
      <c r="C279" s="30">
        <f>YEAR(BInputReservoir[[#This Row],[Date]])</f>
        <v>2038</v>
      </c>
      <c r="D279" s="30">
        <f>MONTH(BInputReservoir[[#This Row],[Date]])</f>
        <v>9</v>
      </c>
      <c r="E279" s="30" t="str">
        <f>IF(I279&lt;&gt;1,"",DATA_INPUT!$K280)</f>
        <v/>
      </c>
      <c r="F279" s="30"/>
      <c r="G279" s="30"/>
      <c r="H279" s="30"/>
      <c r="I279" s="18" t="str">
        <f>IF(STORAGE_BALANCE_ENSEMBLE!R280&lt;&gt;1,"",1)</f>
        <v/>
      </c>
      <c r="J279" s="8" t="str">
        <f t="shared" si="33"/>
        <v/>
      </c>
      <c r="K279" s="9" t="str">
        <f t="shared" si="34"/>
        <v/>
      </c>
      <c r="L279" s="10" t="str">
        <f t="shared" si="35"/>
        <v/>
      </c>
      <c r="M279" s="10" t="str">
        <f>IF(I279&lt;&gt;1,"",IF(H279="","",H279/CONTROL_PANEL!$B$11))</f>
        <v/>
      </c>
      <c r="N279" s="9" t="str">
        <f t="shared" si="36"/>
        <v/>
      </c>
      <c r="O279" s="9" t="str">
        <f t="shared" si="37"/>
        <v/>
      </c>
      <c r="P279" s="9" t="str">
        <f t="shared" si="38"/>
        <v/>
      </c>
      <c r="Q279" s="9" t="str">
        <f t="shared" si="39"/>
        <v/>
      </c>
      <c r="R279" s="11"/>
      <c r="S279" s="11" t="str">
        <f t="shared" si="40"/>
        <v>PASS</v>
      </c>
    </row>
    <row r="280" spans="1:19" x14ac:dyDescent="0.25">
      <c r="A280" s="30" t="s">
        <v>96</v>
      </c>
      <c r="B280" s="31">
        <v>50679</v>
      </c>
      <c r="C280" s="30">
        <f>YEAR(BInputReservoir[[#This Row],[Date]])</f>
        <v>2038</v>
      </c>
      <c r="D280" s="30">
        <f>MONTH(BInputReservoir[[#This Row],[Date]])</f>
        <v>10</v>
      </c>
      <c r="E280" s="30" t="str">
        <f>IF(I280&lt;&gt;1,"",DATA_INPUT!$K281)</f>
        <v/>
      </c>
      <c r="F280" s="30"/>
      <c r="G280" s="30"/>
      <c r="H280" s="30"/>
      <c r="I280" s="18" t="str">
        <f>IF(STORAGE_BALANCE_ENSEMBLE!R281&lt;&gt;1,"",1)</f>
        <v/>
      </c>
      <c r="J280" s="8" t="str">
        <f t="shared" si="33"/>
        <v/>
      </c>
      <c r="K280" s="9" t="str">
        <f t="shared" si="34"/>
        <v/>
      </c>
      <c r="L280" s="10" t="str">
        <f t="shared" si="35"/>
        <v/>
      </c>
      <c r="M280" s="10" t="str">
        <f>IF(I280&lt;&gt;1,"",IF(H280="","",H280/CONTROL_PANEL!$B$11))</f>
        <v/>
      </c>
      <c r="N280" s="9" t="str">
        <f t="shared" si="36"/>
        <v/>
      </c>
      <c r="O280" s="9" t="str">
        <f t="shared" si="37"/>
        <v/>
      </c>
      <c r="P280" s="9" t="str">
        <f t="shared" si="38"/>
        <v/>
      </c>
      <c r="Q280" s="9" t="str">
        <f t="shared" si="39"/>
        <v/>
      </c>
      <c r="R280" s="11"/>
      <c r="S280" s="11" t="str">
        <f t="shared" si="40"/>
        <v>PASS</v>
      </c>
    </row>
    <row r="281" spans="1:19" x14ac:dyDescent="0.25">
      <c r="A281" s="30" t="s">
        <v>96</v>
      </c>
      <c r="B281" s="31">
        <v>50710</v>
      </c>
      <c r="C281" s="30">
        <f>YEAR(BInputReservoir[[#This Row],[Date]])</f>
        <v>2038</v>
      </c>
      <c r="D281" s="30">
        <f>MONTH(BInputReservoir[[#This Row],[Date]])</f>
        <v>11</v>
      </c>
      <c r="E281" s="30" t="str">
        <f>IF(I281&lt;&gt;1,"",DATA_INPUT!$K282)</f>
        <v/>
      </c>
      <c r="F281" s="30"/>
      <c r="G281" s="30"/>
      <c r="H281" s="30"/>
      <c r="I281" s="18" t="str">
        <f>IF(STORAGE_BALANCE_ENSEMBLE!R282&lt;&gt;1,"",1)</f>
        <v/>
      </c>
      <c r="J281" s="8" t="str">
        <f t="shared" si="33"/>
        <v/>
      </c>
      <c r="K281" s="9" t="str">
        <f t="shared" si="34"/>
        <v/>
      </c>
      <c r="L281" s="10" t="str">
        <f t="shared" si="35"/>
        <v/>
      </c>
      <c r="M281" s="10" t="str">
        <f>IF(I281&lt;&gt;1,"",IF(H281="","",H281/CONTROL_PANEL!$B$11))</f>
        <v/>
      </c>
      <c r="N281" s="9" t="str">
        <f t="shared" si="36"/>
        <v/>
      </c>
      <c r="O281" s="9" t="str">
        <f t="shared" si="37"/>
        <v/>
      </c>
      <c r="P281" s="9" t="str">
        <f t="shared" si="38"/>
        <v/>
      </c>
      <c r="Q281" s="9" t="str">
        <f t="shared" si="39"/>
        <v/>
      </c>
      <c r="R281" s="11"/>
      <c r="S281" s="11" t="str">
        <f t="shared" si="40"/>
        <v>PASS</v>
      </c>
    </row>
    <row r="282" spans="1:19" x14ac:dyDescent="0.25">
      <c r="A282" s="30" t="s">
        <v>96</v>
      </c>
      <c r="B282" s="31">
        <v>50740</v>
      </c>
      <c r="C282" s="30">
        <f>YEAR(BInputReservoir[[#This Row],[Date]])</f>
        <v>2038</v>
      </c>
      <c r="D282" s="30">
        <f>MONTH(BInputReservoir[[#This Row],[Date]])</f>
        <v>12</v>
      </c>
      <c r="E282" s="30" t="str">
        <f>IF(I282&lt;&gt;1,"",DATA_INPUT!$K283)</f>
        <v/>
      </c>
      <c r="F282" s="30"/>
      <c r="G282" s="30"/>
      <c r="H282" s="30"/>
      <c r="I282" s="18" t="str">
        <f>IF(STORAGE_BALANCE_ENSEMBLE!R283&lt;&gt;1,"",1)</f>
        <v/>
      </c>
      <c r="J282" s="8" t="str">
        <f t="shared" si="33"/>
        <v/>
      </c>
      <c r="K282" s="9" t="str">
        <f t="shared" si="34"/>
        <v/>
      </c>
      <c r="L282" s="10" t="str">
        <f t="shared" si="35"/>
        <v/>
      </c>
      <c r="M282" s="10" t="str">
        <f>IF(I282&lt;&gt;1,"",IF(H282="","",H282/CONTROL_PANEL!$B$11))</f>
        <v/>
      </c>
      <c r="N282" s="9" t="str">
        <f t="shared" si="36"/>
        <v/>
      </c>
      <c r="O282" s="9" t="str">
        <f t="shared" si="37"/>
        <v/>
      </c>
      <c r="P282" s="9" t="str">
        <f t="shared" si="38"/>
        <v/>
      </c>
      <c r="Q282" s="9" t="str">
        <f t="shared" si="39"/>
        <v/>
      </c>
      <c r="R282" s="11"/>
      <c r="S282" s="11" t="str">
        <f t="shared" si="40"/>
        <v>PASS</v>
      </c>
    </row>
    <row r="283" spans="1:19" x14ac:dyDescent="0.25">
      <c r="A283" s="30" t="s">
        <v>96</v>
      </c>
      <c r="B283" s="31">
        <v>50771</v>
      </c>
      <c r="C283" s="30">
        <f>YEAR(BInputReservoir[[#This Row],[Date]])</f>
        <v>2039</v>
      </c>
      <c r="D283" s="30">
        <f>MONTH(BInputReservoir[[#This Row],[Date]])</f>
        <v>1</v>
      </c>
      <c r="E283" s="30" t="str">
        <f>IF(I283&lt;&gt;1,"",DATA_INPUT!$K284)</f>
        <v/>
      </c>
      <c r="F283" s="30"/>
      <c r="G283" s="30"/>
      <c r="H283" s="30"/>
      <c r="I283" s="18" t="str">
        <f>IF(STORAGE_BALANCE_ENSEMBLE!R284&lt;&gt;1,"",1)</f>
        <v/>
      </c>
      <c r="J283" s="8" t="str">
        <f t="shared" si="33"/>
        <v/>
      </c>
      <c r="K283" s="9" t="str">
        <f t="shared" si="34"/>
        <v/>
      </c>
      <c r="L283" s="10" t="str">
        <f t="shared" si="35"/>
        <v/>
      </c>
      <c r="M283" s="10" t="str">
        <f>IF(I283&lt;&gt;1,"",IF(H283="","",H283/CONTROL_PANEL!$B$11))</f>
        <v/>
      </c>
      <c r="N283" s="9" t="str">
        <f t="shared" si="36"/>
        <v/>
      </c>
      <c r="O283" s="9" t="str">
        <f t="shared" si="37"/>
        <v/>
      </c>
      <c r="P283" s="9" t="str">
        <f t="shared" si="38"/>
        <v/>
      </c>
      <c r="Q283" s="9" t="str">
        <f t="shared" si="39"/>
        <v/>
      </c>
      <c r="R283" s="11"/>
      <c r="S283" s="11" t="str">
        <f t="shared" si="40"/>
        <v>PASS</v>
      </c>
    </row>
    <row r="284" spans="1:19" x14ac:dyDescent="0.25">
      <c r="A284" s="30" t="s">
        <v>96</v>
      </c>
      <c r="B284" s="31">
        <v>50802</v>
      </c>
      <c r="C284" s="30">
        <f>YEAR(BInputReservoir[[#This Row],[Date]])</f>
        <v>2039</v>
      </c>
      <c r="D284" s="30">
        <f>MONTH(BInputReservoir[[#This Row],[Date]])</f>
        <v>2</v>
      </c>
      <c r="E284" s="30" t="str">
        <f>IF(I284&lt;&gt;1,"",DATA_INPUT!$K285)</f>
        <v/>
      </c>
      <c r="F284" s="30"/>
      <c r="G284" s="30"/>
      <c r="H284" s="30"/>
      <c r="I284" s="18" t="str">
        <f>IF(STORAGE_BALANCE_ENSEMBLE!R285&lt;&gt;1,"",1)</f>
        <v/>
      </c>
      <c r="J284" s="8" t="str">
        <f t="shared" si="33"/>
        <v/>
      </c>
      <c r="K284" s="9" t="str">
        <f t="shared" si="34"/>
        <v/>
      </c>
      <c r="L284" s="10" t="str">
        <f t="shared" si="35"/>
        <v/>
      </c>
      <c r="M284" s="10" t="str">
        <f>IF(I284&lt;&gt;1,"",IF(H284="","",H284/CONTROL_PANEL!$B$11))</f>
        <v/>
      </c>
      <c r="N284" s="9" t="str">
        <f t="shared" si="36"/>
        <v/>
      </c>
      <c r="O284" s="9" t="str">
        <f t="shared" si="37"/>
        <v/>
      </c>
      <c r="P284" s="9" t="str">
        <f t="shared" si="38"/>
        <v/>
      </c>
      <c r="Q284" s="9" t="str">
        <f t="shared" si="39"/>
        <v/>
      </c>
      <c r="R284" s="11"/>
      <c r="S284" s="11" t="str">
        <f t="shared" si="40"/>
        <v>PASS</v>
      </c>
    </row>
    <row r="285" spans="1:19" x14ac:dyDescent="0.25">
      <c r="A285" s="30" t="s">
        <v>96</v>
      </c>
      <c r="B285" s="31">
        <v>50830</v>
      </c>
      <c r="C285" s="30">
        <f>YEAR(BInputReservoir[[#This Row],[Date]])</f>
        <v>2039</v>
      </c>
      <c r="D285" s="30">
        <f>MONTH(BInputReservoir[[#This Row],[Date]])</f>
        <v>3</v>
      </c>
      <c r="E285" s="30" t="str">
        <f>IF(I285&lt;&gt;1,"",DATA_INPUT!$K286)</f>
        <v/>
      </c>
      <c r="F285" s="30"/>
      <c r="G285" s="30"/>
      <c r="H285" s="30"/>
      <c r="I285" s="18" t="str">
        <f>IF(STORAGE_BALANCE_ENSEMBLE!R286&lt;&gt;1,"",1)</f>
        <v/>
      </c>
      <c r="J285" s="8" t="str">
        <f t="shared" si="33"/>
        <v/>
      </c>
      <c r="K285" s="9" t="str">
        <f t="shared" si="34"/>
        <v/>
      </c>
      <c r="L285" s="10" t="str">
        <f t="shared" si="35"/>
        <v/>
      </c>
      <c r="M285" s="10" t="str">
        <f>IF(I285&lt;&gt;1,"",IF(H285="","",H285/CONTROL_PANEL!$B$11))</f>
        <v/>
      </c>
      <c r="N285" s="9" t="str">
        <f t="shared" si="36"/>
        <v/>
      </c>
      <c r="O285" s="9" t="str">
        <f t="shared" si="37"/>
        <v/>
      </c>
      <c r="P285" s="9" t="str">
        <f t="shared" si="38"/>
        <v/>
      </c>
      <c r="Q285" s="9" t="str">
        <f t="shared" si="39"/>
        <v/>
      </c>
      <c r="R285" s="11"/>
      <c r="S285" s="11" t="str">
        <f t="shared" si="40"/>
        <v>PASS</v>
      </c>
    </row>
    <row r="286" spans="1:19" x14ac:dyDescent="0.25">
      <c r="A286" s="30" t="s">
        <v>96</v>
      </c>
      <c r="B286" s="31">
        <v>50861</v>
      </c>
      <c r="C286" s="30">
        <f>YEAR(BInputReservoir[[#This Row],[Date]])</f>
        <v>2039</v>
      </c>
      <c r="D286" s="30">
        <f>MONTH(BInputReservoir[[#This Row],[Date]])</f>
        <v>4</v>
      </c>
      <c r="E286" s="30" t="str">
        <f>IF(I286&lt;&gt;1,"",DATA_INPUT!$K287)</f>
        <v/>
      </c>
      <c r="F286" s="30"/>
      <c r="G286" s="30"/>
      <c r="H286" s="30"/>
      <c r="I286" s="18" t="str">
        <f>IF(STORAGE_BALANCE_ENSEMBLE!R287&lt;&gt;1,"",1)</f>
        <v/>
      </c>
      <c r="J286" s="8" t="str">
        <f t="shared" si="33"/>
        <v/>
      </c>
      <c r="K286" s="9" t="str">
        <f t="shared" si="34"/>
        <v/>
      </c>
      <c r="L286" s="10" t="str">
        <f t="shared" si="35"/>
        <v/>
      </c>
      <c r="M286" s="10" t="str">
        <f>IF(I286&lt;&gt;1,"",IF(H286="","",H286/CONTROL_PANEL!$B$11))</f>
        <v/>
      </c>
      <c r="N286" s="9" t="str">
        <f t="shared" si="36"/>
        <v/>
      </c>
      <c r="O286" s="9" t="str">
        <f t="shared" si="37"/>
        <v/>
      </c>
      <c r="P286" s="9" t="str">
        <f t="shared" si="38"/>
        <v/>
      </c>
      <c r="Q286" s="9" t="str">
        <f t="shared" si="39"/>
        <v/>
      </c>
      <c r="R286" s="11"/>
      <c r="S286" s="11" t="str">
        <f t="shared" si="40"/>
        <v>PASS</v>
      </c>
    </row>
    <row r="287" spans="1:19" x14ac:dyDescent="0.25">
      <c r="A287" s="30" t="s">
        <v>96</v>
      </c>
      <c r="B287" s="31">
        <v>50891</v>
      </c>
      <c r="C287" s="30">
        <f>YEAR(BInputReservoir[[#This Row],[Date]])</f>
        <v>2039</v>
      </c>
      <c r="D287" s="30">
        <f>MONTH(BInputReservoir[[#This Row],[Date]])</f>
        <v>5</v>
      </c>
      <c r="E287" s="30" t="str">
        <f>IF(I287&lt;&gt;1,"",DATA_INPUT!$K288)</f>
        <v/>
      </c>
      <c r="F287" s="30"/>
      <c r="G287" s="30"/>
      <c r="H287" s="30"/>
      <c r="I287" s="18" t="str">
        <f>IF(STORAGE_BALANCE_ENSEMBLE!R288&lt;&gt;1,"",1)</f>
        <v/>
      </c>
      <c r="J287" s="8" t="str">
        <f t="shared" si="33"/>
        <v/>
      </c>
      <c r="K287" s="9" t="str">
        <f t="shared" si="34"/>
        <v/>
      </c>
      <c r="L287" s="10" t="str">
        <f t="shared" si="35"/>
        <v/>
      </c>
      <c r="M287" s="10" t="str">
        <f>IF(I287&lt;&gt;1,"",IF(H287="","",H287/CONTROL_PANEL!$B$11))</f>
        <v/>
      </c>
      <c r="N287" s="9" t="str">
        <f t="shared" si="36"/>
        <v/>
      </c>
      <c r="O287" s="9" t="str">
        <f t="shared" si="37"/>
        <v/>
      </c>
      <c r="P287" s="9" t="str">
        <f t="shared" si="38"/>
        <v/>
      </c>
      <c r="Q287" s="9" t="str">
        <f t="shared" si="39"/>
        <v/>
      </c>
      <c r="R287" s="11"/>
      <c r="S287" s="11" t="str">
        <f t="shared" si="40"/>
        <v>PASS</v>
      </c>
    </row>
    <row r="288" spans="1:19" x14ac:dyDescent="0.25">
      <c r="A288" s="30" t="s">
        <v>96</v>
      </c>
      <c r="B288" s="31">
        <v>50922</v>
      </c>
      <c r="C288" s="30">
        <f>YEAR(BInputReservoir[[#This Row],[Date]])</f>
        <v>2039</v>
      </c>
      <c r="D288" s="30">
        <f>MONTH(BInputReservoir[[#This Row],[Date]])</f>
        <v>6</v>
      </c>
      <c r="E288" s="30" t="str">
        <f>IF(I288&lt;&gt;1,"",DATA_INPUT!$K289)</f>
        <v/>
      </c>
      <c r="F288" s="30"/>
      <c r="G288" s="30"/>
      <c r="H288" s="30"/>
      <c r="I288" s="18" t="str">
        <f>IF(STORAGE_BALANCE_ENSEMBLE!R289&lt;&gt;1,"",1)</f>
        <v/>
      </c>
      <c r="J288" s="8" t="str">
        <f t="shared" si="33"/>
        <v/>
      </c>
      <c r="K288" s="9" t="str">
        <f t="shared" si="34"/>
        <v/>
      </c>
      <c r="L288" s="10" t="str">
        <f t="shared" si="35"/>
        <v/>
      </c>
      <c r="M288" s="10" t="str">
        <f>IF(I288&lt;&gt;1,"",IF(H288="","",H288/CONTROL_PANEL!$B$11))</f>
        <v/>
      </c>
      <c r="N288" s="9" t="str">
        <f t="shared" si="36"/>
        <v/>
      </c>
      <c r="O288" s="9" t="str">
        <f t="shared" si="37"/>
        <v/>
      </c>
      <c r="P288" s="9" t="str">
        <f t="shared" si="38"/>
        <v/>
      </c>
      <c r="Q288" s="9" t="str">
        <f t="shared" si="39"/>
        <v/>
      </c>
      <c r="R288" s="11"/>
      <c r="S288" s="11" t="str">
        <f t="shared" si="40"/>
        <v>PASS</v>
      </c>
    </row>
    <row r="289" spans="1:19" x14ac:dyDescent="0.25">
      <c r="A289" s="30" t="s">
        <v>96</v>
      </c>
      <c r="B289" s="31">
        <v>50952</v>
      </c>
      <c r="C289" s="30">
        <f>YEAR(BInputReservoir[[#This Row],[Date]])</f>
        <v>2039</v>
      </c>
      <c r="D289" s="30">
        <f>MONTH(BInputReservoir[[#This Row],[Date]])</f>
        <v>7</v>
      </c>
      <c r="E289" s="30" t="str">
        <f>IF(I289&lt;&gt;1,"",DATA_INPUT!$K290)</f>
        <v/>
      </c>
      <c r="F289" s="30"/>
      <c r="G289" s="30"/>
      <c r="H289" s="30"/>
      <c r="I289" s="18" t="str">
        <f>IF(STORAGE_BALANCE_ENSEMBLE!R290&lt;&gt;1,"",1)</f>
        <v/>
      </c>
      <c r="J289" s="8" t="str">
        <f t="shared" si="33"/>
        <v/>
      </c>
      <c r="K289" s="9" t="str">
        <f t="shared" si="34"/>
        <v/>
      </c>
      <c r="L289" s="10" t="str">
        <f t="shared" si="35"/>
        <v/>
      </c>
      <c r="M289" s="10" t="str">
        <f>IF(I289&lt;&gt;1,"",IF(H289="","",H289/CONTROL_PANEL!$B$11))</f>
        <v/>
      </c>
      <c r="N289" s="9" t="str">
        <f t="shared" si="36"/>
        <v/>
      </c>
      <c r="O289" s="9" t="str">
        <f t="shared" si="37"/>
        <v/>
      </c>
      <c r="P289" s="9" t="str">
        <f t="shared" si="38"/>
        <v/>
      </c>
      <c r="Q289" s="9" t="str">
        <f t="shared" si="39"/>
        <v/>
      </c>
      <c r="R289" s="11"/>
      <c r="S289" s="11" t="str">
        <f t="shared" si="40"/>
        <v>PASS</v>
      </c>
    </row>
    <row r="290" spans="1:19" x14ac:dyDescent="0.25">
      <c r="A290" s="30" t="s">
        <v>96</v>
      </c>
      <c r="B290" s="31">
        <v>50983</v>
      </c>
      <c r="C290" s="30">
        <f>YEAR(BInputReservoir[[#This Row],[Date]])</f>
        <v>2039</v>
      </c>
      <c r="D290" s="30">
        <f>MONTH(BInputReservoir[[#This Row],[Date]])</f>
        <v>8</v>
      </c>
      <c r="E290" s="30" t="str">
        <f>IF(I290&lt;&gt;1,"",DATA_INPUT!$K291)</f>
        <v/>
      </c>
      <c r="F290" s="30"/>
      <c r="G290" s="30"/>
      <c r="H290" s="30"/>
      <c r="I290" s="18" t="str">
        <f>IF(STORAGE_BALANCE_ENSEMBLE!R291&lt;&gt;1,"",1)</f>
        <v/>
      </c>
      <c r="J290" s="8" t="str">
        <f t="shared" si="33"/>
        <v/>
      </c>
      <c r="K290" s="9" t="str">
        <f t="shared" si="34"/>
        <v/>
      </c>
      <c r="L290" s="10" t="str">
        <f t="shared" si="35"/>
        <v/>
      </c>
      <c r="M290" s="10" t="str">
        <f>IF(I290&lt;&gt;1,"",IF(H290="","",H290/CONTROL_PANEL!$B$11))</f>
        <v/>
      </c>
      <c r="N290" s="9" t="str">
        <f t="shared" si="36"/>
        <v/>
      </c>
      <c r="O290" s="9" t="str">
        <f t="shared" si="37"/>
        <v/>
      </c>
      <c r="P290" s="9" t="str">
        <f t="shared" si="38"/>
        <v/>
      </c>
      <c r="Q290" s="9" t="str">
        <f t="shared" si="39"/>
        <v/>
      </c>
      <c r="R290" s="11"/>
      <c r="S290" s="11" t="str">
        <f t="shared" si="40"/>
        <v>PASS</v>
      </c>
    </row>
    <row r="291" spans="1:19" x14ac:dyDescent="0.25">
      <c r="A291" s="30" t="s">
        <v>96</v>
      </c>
      <c r="B291" s="31">
        <v>51014</v>
      </c>
      <c r="C291" s="30">
        <f>YEAR(BInputReservoir[[#This Row],[Date]])</f>
        <v>2039</v>
      </c>
      <c r="D291" s="30">
        <f>MONTH(BInputReservoir[[#This Row],[Date]])</f>
        <v>9</v>
      </c>
      <c r="E291" s="30" t="str">
        <f>IF(I291&lt;&gt;1,"",DATA_INPUT!$K292)</f>
        <v/>
      </c>
      <c r="F291" s="30"/>
      <c r="G291" s="30"/>
      <c r="H291" s="30"/>
      <c r="I291" s="18" t="str">
        <f>IF(STORAGE_BALANCE_ENSEMBLE!R292&lt;&gt;1,"",1)</f>
        <v/>
      </c>
      <c r="J291" s="8" t="str">
        <f t="shared" si="33"/>
        <v/>
      </c>
      <c r="K291" s="9" t="str">
        <f t="shared" si="34"/>
        <v/>
      </c>
      <c r="L291" s="10" t="str">
        <f t="shared" si="35"/>
        <v/>
      </c>
      <c r="M291" s="10" t="str">
        <f>IF(I291&lt;&gt;1,"",IF(H291="","",H291/CONTROL_PANEL!$B$11))</f>
        <v/>
      </c>
      <c r="N291" s="9" t="str">
        <f t="shared" si="36"/>
        <v/>
      </c>
      <c r="O291" s="9" t="str">
        <f t="shared" si="37"/>
        <v/>
      </c>
      <c r="P291" s="9" t="str">
        <f t="shared" si="38"/>
        <v/>
      </c>
      <c r="Q291" s="9" t="str">
        <f t="shared" si="39"/>
        <v/>
      </c>
      <c r="R291" s="11"/>
      <c r="S291" s="11" t="str">
        <f t="shared" si="40"/>
        <v>PASS</v>
      </c>
    </row>
    <row r="292" spans="1:19" x14ac:dyDescent="0.25">
      <c r="A292" s="30" t="s">
        <v>96</v>
      </c>
      <c r="B292" s="31">
        <v>51044</v>
      </c>
      <c r="C292" s="30">
        <f>YEAR(BInputReservoir[[#This Row],[Date]])</f>
        <v>2039</v>
      </c>
      <c r="D292" s="30">
        <f>MONTH(BInputReservoir[[#This Row],[Date]])</f>
        <v>10</v>
      </c>
      <c r="E292" s="30" t="str">
        <f>IF(I292&lt;&gt;1,"",DATA_INPUT!$K293)</f>
        <v/>
      </c>
      <c r="F292" s="30"/>
      <c r="G292" s="30"/>
      <c r="H292" s="30"/>
      <c r="I292" s="18" t="str">
        <f>IF(STORAGE_BALANCE_ENSEMBLE!R293&lt;&gt;1,"",1)</f>
        <v/>
      </c>
      <c r="J292" s="8" t="str">
        <f t="shared" si="33"/>
        <v/>
      </c>
      <c r="K292" s="9" t="str">
        <f t="shared" si="34"/>
        <v/>
      </c>
      <c r="L292" s="10" t="str">
        <f t="shared" si="35"/>
        <v/>
      </c>
      <c r="M292" s="10" t="str">
        <f>IF(I292&lt;&gt;1,"",IF(H292="","",H292/CONTROL_PANEL!$B$11))</f>
        <v/>
      </c>
      <c r="N292" s="9" t="str">
        <f t="shared" si="36"/>
        <v/>
      </c>
      <c r="O292" s="9" t="str">
        <f t="shared" si="37"/>
        <v/>
      </c>
      <c r="P292" s="9" t="str">
        <f t="shared" si="38"/>
        <v/>
      </c>
      <c r="Q292" s="9" t="str">
        <f t="shared" si="39"/>
        <v/>
      </c>
      <c r="R292" s="11"/>
      <c r="S292" s="11" t="str">
        <f t="shared" si="40"/>
        <v>PASS</v>
      </c>
    </row>
    <row r="293" spans="1:19" x14ac:dyDescent="0.25">
      <c r="A293" s="30" t="s">
        <v>96</v>
      </c>
      <c r="B293" s="31">
        <v>51075</v>
      </c>
      <c r="C293" s="30">
        <f>YEAR(BInputReservoir[[#This Row],[Date]])</f>
        <v>2039</v>
      </c>
      <c r="D293" s="30">
        <f>MONTH(BInputReservoir[[#This Row],[Date]])</f>
        <v>11</v>
      </c>
      <c r="E293" s="30" t="str">
        <f>IF(I293&lt;&gt;1,"",DATA_INPUT!$K294)</f>
        <v/>
      </c>
      <c r="F293" s="30"/>
      <c r="G293" s="30"/>
      <c r="H293" s="30"/>
      <c r="I293" s="18" t="str">
        <f>IF(STORAGE_BALANCE_ENSEMBLE!R294&lt;&gt;1,"",1)</f>
        <v/>
      </c>
      <c r="J293" s="8" t="str">
        <f t="shared" si="33"/>
        <v/>
      </c>
      <c r="K293" s="9" t="str">
        <f t="shared" si="34"/>
        <v/>
      </c>
      <c r="L293" s="10" t="str">
        <f t="shared" si="35"/>
        <v/>
      </c>
      <c r="M293" s="10" t="str">
        <f>IF(I293&lt;&gt;1,"",IF(H293="","",H293/CONTROL_PANEL!$B$11))</f>
        <v/>
      </c>
      <c r="N293" s="9" t="str">
        <f t="shared" si="36"/>
        <v/>
      </c>
      <c r="O293" s="9" t="str">
        <f t="shared" si="37"/>
        <v/>
      </c>
      <c r="P293" s="9" t="str">
        <f t="shared" si="38"/>
        <v/>
      </c>
      <c r="Q293" s="9" t="str">
        <f t="shared" si="39"/>
        <v/>
      </c>
      <c r="R293" s="11"/>
      <c r="S293" s="11" t="str">
        <f t="shared" si="40"/>
        <v>PASS</v>
      </c>
    </row>
    <row r="294" spans="1:19" x14ac:dyDescent="0.25">
      <c r="A294" s="30" t="s">
        <v>96</v>
      </c>
      <c r="B294" s="31">
        <v>51105</v>
      </c>
      <c r="C294" s="30">
        <f>YEAR(BInputReservoir[[#This Row],[Date]])</f>
        <v>2039</v>
      </c>
      <c r="D294" s="30">
        <f>MONTH(BInputReservoir[[#This Row],[Date]])</f>
        <v>12</v>
      </c>
      <c r="E294" s="30" t="str">
        <f>IF(I294&lt;&gt;1,"",DATA_INPUT!$K295)</f>
        <v/>
      </c>
      <c r="F294" s="30"/>
      <c r="G294" s="30"/>
      <c r="H294" s="30"/>
      <c r="I294" s="18" t="str">
        <f>IF(STORAGE_BALANCE_ENSEMBLE!R295&lt;&gt;1,"",1)</f>
        <v/>
      </c>
      <c r="J294" s="8" t="str">
        <f t="shared" si="33"/>
        <v/>
      </c>
      <c r="K294" s="9" t="str">
        <f t="shared" si="34"/>
        <v/>
      </c>
      <c r="L294" s="10" t="str">
        <f t="shared" si="35"/>
        <v/>
      </c>
      <c r="M294" s="10" t="str">
        <f>IF(I294&lt;&gt;1,"",IF(H294="","",H294/CONTROL_PANEL!$B$11))</f>
        <v/>
      </c>
      <c r="N294" s="9" t="str">
        <f t="shared" si="36"/>
        <v/>
      </c>
      <c r="O294" s="9" t="str">
        <f t="shared" si="37"/>
        <v/>
      </c>
      <c r="P294" s="9" t="str">
        <f t="shared" si="38"/>
        <v/>
      </c>
      <c r="Q294" s="9" t="str">
        <f t="shared" si="39"/>
        <v/>
      </c>
      <c r="R294" s="11"/>
      <c r="S294" s="11" t="str">
        <f t="shared" si="40"/>
        <v>PASS</v>
      </c>
    </row>
    <row r="295" spans="1:19" x14ac:dyDescent="0.25">
      <c r="A295" s="30" t="s">
        <v>96</v>
      </c>
      <c r="B295" s="31">
        <v>51136</v>
      </c>
      <c r="C295" s="30">
        <f>YEAR(BInputReservoir[[#This Row],[Date]])</f>
        <v>2040</v>
      </c>
      <c r="D295" s="30">
        <f>MONTH(BInputReservoir[[#This Row],[Date]])</f>
        <v>1</v>
      </c>
      <c r="E295" s="30" t="str">
        <f>IF(I295&lt;&gt;1,"",DATA_INPUT!$K296)</f>
        <v/>
      </c>
      <c r="F295" s="30"/>
      <c r="G295" s="30"/>
      <c r="H295" s="30"/>
      <c r="I295" s="18" t="str">
        <f>IF(STORAGE_BALANCE_ENSEMBLE!R296&lt;&gt;1,"",1)</f>
        <v/>
      </c>
      <c r="J295" s="8" t="str">
        <f t="shared" si="33"/>
        <v/>
      </c>
      <c r="K295" s="9" t="str">
        <f t="shared" si="34"/>
        <v/>
      </c>
      <c r="L295" s="10" t="str">
        <f t="shared" si="35"/>
        <v/>
      </c>
      <c r="M295" s="10" t="str">
        <f>IF(I295&lt;&gt;1,"",IF(H295="","",H295/CONTROL_PANEL!$B$11))</f>
        <v/>
      </c>
      <c r="N295" s="9" t="str">
        <f t="shared" si="36"/>
        <v/>
      </c>
      <c r="O295" s="9" t="str">
        <f t="shared" si="37"/>
        <v/>
      </c>
      <c r="P295" s="9" t="str">
        <f t="shared" si="38"/>
        <v/>
      </c>
      <c r="Q295" s="9" t="str">
        <f t="shared" si="39"/>
        <v/>
      </c>
      <c r="R295" s="11"/>
      <c r="S295" s="11" t="str">
        <f t="shared" si="40"/>
        <v>PASS</v>
      </c>
    </row>
    <row r="296" spans="1:19" x14ac:dyDescent="0.25">
      <c r="A296" s="30" t="s">
        <v>96</v>
      </c>
      <c r="B296" s="31">
        <v>51167</v>
      </c>
      <c r="C296" s="30">
        <f>YEAR(BInputReservoir[[#This Row],[Date]])</f>
        <v>2040</v>
      </c>
      <c r="D296" s="30">
        <f>MONTH(BInputReservoir[[#This Row],[Date]])</f>
        <v>2</v>
      </c>
      <c r="E296" s="30" t="str">
        <f>IF(I296&lt;&gt;1,"",DATA_INPUT!$K297)</f>
        <v/>
      </c>
      <c r="F296" s="30"/>
      <c r="G296" s="30"/>
      <c r="H296" s="30"/>
      <c r="I296" s="18" t="str">
        <f>IF(STORAGE_BALANCE_ENSEMBLE!R297&lt;&gt;1,"",1)</f>
        <v/>
      </c>
      <c r="J296" s="8" t="str">
        <f t="shared" si="33"/>
        <v/>
      </c>
      <c r="K296" s="9" t="str">
        <f t="shared" si="34"/>
        <v/>
      </c>
      <c r="L296" s="10" t="str">
        <f t="shared" si="35"/>
        <v/>
      </c>
      <c r="M296" s="10" t="str">
        <f>IF(I296&lt;&gt;1,"",IF(H296="","",H296/CONTROL_PANEL!$B$11))</f>
        <v/>
      </c>
      <c r="N296" s="9" t="str">
        <f t="shared" si="36"/>
        <v/>
      </c>
      <c r="O296" s="9" t="str">
        <f t="shared" si="37"/>
        <v/>
      </c>
      <c r="P296" s="9" t="str">
        <f t="shared" si="38"/>
        <v/>
      </c>
      <c r="Q296" s="9" t="str">
        <f t="shared" si="39"/>
        <v/>
      </c>
      <c r="R296" s="11"/>
      <c r="S296" s="11" t="str">
        <f t="shared" si="40"/>
        <v>PASS</v>
      </c>
    </row>
    <row r="297" spans="1:19" x14ac:dyDescent="0.25">
      <c r="A297" s="30" t="s">
        <v>96</v>
      </c>
      <c r="B297" s="31">
        <v>51196</v>
      </c>
      <c r="C297" s="30">
        <f>YEAR(BInputReservoir[[#This Row],[Date]])</f>
        <v>2040</v>
      </c>
      <c r="D297" s="30">
        <f>MONTH(BInputReservoir[[#This Row],[Date]])</f>
        <v>3</v>
      </c>
      <c r="E297" s="30" t="str">
        <f>IF(I297&lt;&gt;1,"",DATA_INPUT!$K298)</f>
        <v/>
      </c>
      <c r="F297" s="30"/>
      <c r="G297" s="30"/>
      <c r="H297" s="30"/>
      <c r="I297" s="18" t="str">
        <f>IF(STORAGE_BALANCE_ENSEMBLE!R298&lt;&gt;1,"",1)</f>
        <v/>
      </c>
      <c r="J297" s="8" t="str">
        <f t="shared" si="33"/>
        <v/>
      </c>
      <c r="K297" s="9" t="str">
        <f t="shared" si="34"/>
        <v/>
      </c>
      <c r="L297" s="10" t="str">
        <f t="shared" si="35"/>
        <v/>
      </c>
      <c r="M297" s="10" t="str">
        <f>IF(I297&lt;&gt;1,"",IF(H297="","",H297/CONTROL_PANEL!$B$11))</f>
        <v/>
      </c>
      <c r="N297" s="9" t="str">
        <f t="shared" si="36"/>
        <v/>
      </c>
      <c r="O297" s="9" t="str">
        <f t="shared" si="37"/>
        <v/>
      </c>
      <c r="P297" s="9" t="str">
        <f t="shared" si="38"/>
        <v/>
      </c>
      <c r="Q297" s="9" t="str">
        <f t="shared" si="39"/>
        <v/>
      </c>
      <c r="R297" s="11"/>
      <c r="S297" s="11" t="str">
        <f t="shared" si="40"/>
        <v>PASS</v>
      </c>
    </row>
    <row r="298" spans="1:19" x14ac:dyDescent="0.25">
      <c r="A298" s="30" t="s">
        <v>96</v>
      </c>
      <c r="B298" s="31">
        <v>51227</v>
      </c>
      <c r="C298" s="30">
        <f>YEAR(BInputReservoir[[#This Row],[Date]])</f>
        <v>2040</v>
      </c>
      <c r="D298" s="30">
        <f>MONTH(BInputReservoir[[#This Row],[Date]])</f>
        <v>4</v>
      </c>
      <c r="E298" s="30" t="str">
        <f>IF(I298&lt;&gt;1,"",DATA_INPUT!$K299)</f>
        <v/>
      </c>
      <c r="F298" s="30"/>
      <c r="G298" s="30"/>
      <c r="H298" s="30"/>
      <c r="I298" s="18" t="str">
        <f>IF(STORAGE_BALANCE_ENSEMBLE!R299&lt;&gt;1,"",1)</f>
        <v/>
      </c>
      <c r="J298" s="8" t="str">
        <f t="shared" si="33"/>
        <v/>
      </c>
      <c r="K298" s="9" t="str">
        <f t="shared" si="34"/>
        <v/>
      </c>
      <c r="L298" s="10" t="str">
        <f t="shared" si="35"/>
        <v/>
      </c>
      <c r="M298" s="10" t="str">
        <f>IF(I298&lt;&gt;1,"",IF(H298="","",H298/CONTROL_PANEL!$B$11))</f>
        <v/>
      </c>
      <c r="N298" s="9" t="str">
        <f t="shared" si="36"/>
        <v/>
      </c>
      <c r="O298" s="9" t="str">
        <f t="shared" si="37"/>
        <v/>
      </c>
      <c r="P298" s="9" t="str">
        <f t="shared" si="38"/>
        <v/>
      </c>
      <c r="Q298" s="9" t="str">
        <f t="shared" si="39"/>
        <v/>
      </c>
      <c r="R298" s="11"/>
      <c r="S298" s="11" t="str">
        <f t="shared" si="40"/>
        <v>PASS</v>
      </c>
    </row>
    <row r="299" spans="1:19" x14ac:dyDescent="0.25">
      <c r="A299" s="30" t="s">
        <v>96</v>
      </c>
      <c r="B299" s="31">
        <v>51257</v>
      </c>
      <c r="C299" s="30">
        <f>YEAR(BInputReservoir[[#This Row],[Date]])</f>
        <v>2040</v>
      </c>
      <c r="D299" s="30">
        <f>MONTH(BInputReservoir[[#This Row],[Date]])</f>
        <v>5</v>
      </c>
      <c r="E299" s="30" t="str">
        <f>IF(I299&lt;&gt;1,"",DATA_INPUT!$K300)</f>
        <v/>
      </c>
      <c r="F299" s="30"/>
      <c r="G299" s="30"/>
      <c r="H299" s="30"/>
      <c r="I299" s="18" t="str">
        <f>IF(STORAGE_BALANCE_ENSEMBLE!R300&lt;&gt;1,"",1)</f>
        <v/>
      </c>
      <c r="J299" s="8" t="str">
        <f t="shared" si="33"/>
        <v/>
      </c>
      <c r="K299" s="9" t="str">
        <f t="shared" si="34"/>
        <v/>
      </c>
      <c r="L299" s="10" t="str">
        <f t="shared" si="35"/>
        <v/>
      </c>
      <c r="M299" s="10" t="str">
        <f>IF(I299&lt;&gt;1,"",IF(H299="","",H299/CONTROL_PANEL!$B$11))</f>
        <v/>
      </c>
      <c r="N299" s="9" t="str">
        <f t="shared" si="36"/>
        <v/>
      </c>
      <c r="O299" s="9" t="str">
        <f t="shared" si="37"/>
        <v/>
      </c>
      <c r="P299" s="9" t="str">
        <f t="shared" si="38"/>
        <v/>
      </c>
      <c r="Q299" s="9" t="str">
        <f t="shared" si="39"/>
        <v/>
      </c>
      <c r="R299" s="11"/>
      <c r="S299" s="11" t="str">
        <f t="shared" si="40"/>
        <v>PASS</v>
      </c>
    </row>
    <row r="300" spans="1:19" x14ac:dyDescent="0.25">
      <c r="A300" s="30" t="s">
        <v>96</v>
      </c>
      <c r="B300" s="31">
        <v>51288</v>
      </c>
      <c r="C300" s="30">
        <f>YEAR(BInputReservoir[[#This Row],[Date]])</f>
        <v>2040</v>
      </c>
      <c r="D300" s="30">
        <f>MONTH(BInputReservoir[[#This Row],[Date]])</f>
        <v>6</v>
      </c>
      <c r="E300" s="30" t="str">
        <f>IF(I300&lt;&gt;1,"",DATA_INPUT!$K301)</f>
        <v/>
      </c>
      <c r="F300" s="30"/>
      <c r="G300" s="30"/>
      <c r="H300" s="30"/>
      <c r="I300" s="18" t="str">
        <f>IF(STORAGE_BALANCE_ENSEMBLE!R301&lt;&gt;1,"",1)</f>
        <v/>
      </c>
      <c r="J300" s="8" t="str">
        <f t="shared" si="33"/>
        <v/>
      </c>
      <c r="K300" s="9" t="str">
        <f t="shared" si="34"/>
        <v/>
      </c>
      <c r="L300" s="10" t="str">
        <f t="shared" si="35"/>
        <v/>
      </c>
      <c r="M300" s="10" t="str">
        <f>IF(I300&lt;&gt;1,"",IF(H300="","",H300/CONTROL_PANEL!$B$11))</f>
        <v/>
      </c>
      <c r="N300" s="9" t="str">
        <f t="shared" si="36"/>
        <v/>
      </c>
      <c r="O300" s="9" t="str">
        <f t="shared" si="37"/>
        <v/>
      </c>
      <c r="P300" s="9" t="str">
        <f t="shared" si="38"/>
        <v/>
      </c>
      <c r="Q300" s="9" t="str">
        <f t="shared" si="39"/>
        <v/>
      </c>
      <c r="R300" s="11"/>
      <c r="S300" s="11" t="str">
        <f t="shared" si="40"/>
        <v>PASS</v>
      </c>
    </row>
    <row r="301" spans="1:19" x14ac:dyDescent="0.25">
      <c r="A301" s="30" t="s">
        <v>96</v>
      </c>
      <c r="B301" s="31">
        <v>51318</v>
      </c>
      <c r="C301" s="30">
        <f>YEAR(BInputReservoir[[#This Row],[Date]])</f>
        <v>2040</v>
      </c>
      <c r="D301" s="30">
        <f>MONTH(BInputReservoir[[#This Row],[Date]])</f>
        <v>7</v>
      </c>
      <c r="E301" s="30" t="str">
        <f>IF(I301&lt;&gt;1,"",DATA_INPUT!$K302)</f>
        <v/>
      </c>
      <c r="F301" s="30"/>
      <c r="G301" s="30"/>
      <c r="H301" s="30"/>
      <c r="I301" s="18" t="str">
        <f>IF(STORAGE_BALANCE_ENSEMBLE!R302&lt;&gt;1,"",1)</f>
        <v/>
      </c>
      <c r="J301" s="8" t="str">
        <f t="shared" si="33"/>
        <v/>
      </c>
      <c r="K301" s="9" t="str">
        <f t="shared" si="34"/>
        <v/>
      </c>
      <c r="L301" s="10" t="str">
        <f t="shared" si="35"/>
        <v/>
      </c>
      <c r="M301" s="10" t="str">
        <f>IF(I301&lt;&gt;1,"",IF(H301="","",H301/CONTROL_PANEL!$B$11))</f>
        <v/>
      </c>
      <c r="N301" s="9" t="str">
        <f t="shared" si="36"/>
        <v/>
      </c>
      <c r="O301" s="9" t="str">
        <f t="shared" si="37"/>
        <v/>
      </c>
      <c r="P301" s="9" t="str">
        <f t="shared" si="38"/>
        <v/>
      </c>
      <c r="Q301" s="9" t="str">
        <f t="shared" si="39"/>
        <v/>
      </c>
      <c r="R301" s="11"/>
      <c r="S301" s="11" t="str">
        <f t="shared" si="40"/>
        <v>PASS</v>
      </c>
    </row>
    <row r="302" spans="1:19" x14ac:dyDescent="0.25">
      <c r="A302" s="30" t="s">
        <v>96</v>
      </c>
      <c r="B302" s="31">
        <v>51349</v>
      </c>
      <c r="C302" s="30">
        <f>YEAR(BInputReservoir[[#This Row],[Date]])</f>
        <v>2040</v>
      </c>
      <c r="D302" s="30">
        <f>MONTH(BInputReservoir[[#This Row],[Date]])</f>
        <v>8</v>
      </c>
      <c r="E302" s="30" t="str">
        <f>IF(I302&lt;&gt;1,"",DATA_INPUT!$K303)</f>
        <v/>
      </c>
      <c r="F302" s="30"/>
      <c r="G302" s="30"/>
      <c r="H302" s="30"/>
      <c r="I302" s="18" t="str">
        <f>IF(STORAGE_BALANCE_ENSEMBLE!R303&lt;&gt;1,"",1)</f>
        <v/>
      </c>
      <c r="J302" s="8" t="str">
        <f t="shared" si="33"/>
        <v/>
      </c>
      <c r="K302" s="9" t="str">
        <f t="shared" si="34"/>
        <v/>
      </c>
      <c r="L302" s="10" t="str">
        <f t="shared" si="35"/>
        <v/>
      </c>
      <c r="M302" s="10" t="str">
        <f>IF(I302&lt;&gt;1,"",IF(H302="","",H302/CONTROL_PANEL!$B$11))</f>
        <v/>
      </c>
      <c r="N302" s="9" t="str">
        <f t="shared" si="36"/>
        <v/>
      </c>
      <c r="O302" s="9" t="str">
        <f t="shared" si="37"/>
        <v/>
      </c>
      <c r="P302" s="9" t="str">
        <f t="shared" si="38"/>
        <v/>
      </c>
      <c r="Q302" s="9" t="str">
        <f t="shared" si="39"/>
        <v/>
      </c>
      <c r="R302" s="11"/>
      <c r="S302" s="11" t="str">
        <f t="shared" si="40"/>
        <v>PASS</v>
      </c>
    </row>
    <row r="303" spans="1:19" x14ac:dyDescent="0.25">
      <c r="A303" s="30" t="s">
        <v>96</v>
      </c>
      <c r="B303" s="31">
        <v>51380</v>
      </c>
      <c r="C303" s="30">
        <f>YEAR(BInputReservoir[[#This Row],[Date]])</f>
        <v>2040</v>
      </c>
      <c r="D303" s="30">
        <f>MONTH(BInputReservoir[[#This Row],[Date]])</f>
        <v>9</v>
      </c>
      <c r="E303" s="30" t="str">
        <f>IF(I303&lt;&gt;1,"",DATA_INPUT!$K304)</f>
        <v/>
      </c>
      <c r="F303" s="30"/>
      <c r="G303" s="30"/>
      <c r="H303" s="30"/>
      <c r="I303" s="18" t="str">
        <f>IF(STORAGE_BALANCE_ENSEMBLE!R304&lt;&gt;1,"",1)</f>
        <v/>
      </c>
      <c r="J303" s="8" t="str">
        <f t="shared" si="33"/>
        <v/>
      </c>
      <c r="K303" s="9" t="str">
        <f t="shared" si="34"/>
        <v/>
      </c>
      <c r="L303" s="10" t="str">
        <f t="shared" si="35"/>
        <v/>
      </c>
      <c r="M303" s="10" t="str">
        <f>IF(I303&lt;&gt;1,"",IF(H303="","",H303/CONTROL_PANEL!$B$11))</f>
        <v/>
      </c>
      <c r="N303" s="9" t="str">
        <f t="shared" si="36"/>
        <v/>
      </c>
      <c r="O303" s="9" t="str">
        <f t="shared" si="37"/>
        <v/>
      </c>
      <c r="P303" s="9" t="str">
        <f t="shared" si="38"/>
        <v/>
      </c>
      <c r="Q303" s="9" t="str">
        <f t="shared" si="39"/>
        <v/>
      </c>
      <c r="R303" s="11"/>
      <c r="S303" s="11" t="str">
        <f t="shared" si="40"/>
        <v>PASS</v>
      </c>
    </row>
    <row r="304" spans="1:19" x14ac:dyDescent="0.25">
      <c r="A304" s="30" t="s">
        <v>96</v>
      </c>
      <c r="B304" s="31">
        <v>51410</v>
      </c>
      <c r="C304" s="30">
        <f>YEAR(BInputReservoir[[#This Row],[Date]])</f>
        <v>2040</v>
      </c>
      <c r="D304" s="30">
        <f>MONTH(BInputReservoir[[#This Row],[Date]])</f>
        <v>10</v>
      </c>
      <c r="E304" s="30" t="str">
        <f>IF(I304&lt;&gt;1,"",DATA_INPUT!$K305)</f>
        <v/>
      </c>
      <c r="F304" s="30"/>
      <c r="G304" s="30"/>
      <c r="H304" s="30"/>
      <c r="I304" s="18" t="str">
        <f>IF(STORAGE_BALANCE_ENSEMBLE!R305&lt;&gt;1,"",1)</f>
        <v/>
      </c>
      <c r="J304" s="8" t="str">
        <f t="shared" si="33"/>
        <v/>
      </c>
      <c r="K304" s="9" t="str">
        <f t="shared" si="34"/>
        <v/>
      </c>
      <c r="L304" s="10" t="str">
        <f t="shared" si="35"/>
        <v/>
      </c>
      <c r="M304" s="10" t="str">
        <f>IF(I304&lt;&gt;1,"",IF(H304="","",H304/CONTROL_PANEL!$B$11))</f>
        <v/>
      </c>
      <c r="N304" s="9" t="str">
        <f t="shared" si="36"/>
        <v/>
      </c>
      <c r="O304" s="9" t="str">
        <f t="shared" si="37"/>
        <v/>
      </c>
      <c r="P304" s="9" t="str">
        <f t="shared" si="38"/>
        <v/>
      </c>
      <c r="Q304" s="9" t="str">
        <f t="shared" si="39"/>
        <v/>
      </c>
      <c r="R304" s="11"/>
      <c r="S304" s="11" t="str">
        <f t="shared" si="40"/>
        <v>PASS</v>
      </c>
    </row>
    <row r="305" spans="1:19" x14ac:dyDescent="0.25">
      <c r="A305" s="30" t="s">
        <v>96</v>
      </c>
      <c r="B305" s="31">
        <v>51441</v>
      </c>
      <c r="C305" s="30">
        <f>YEAR(BInputReservoir[[#This Row],[Date]])</f>
        <v>2040</v>
      </c>
      <c r="D305" s="30">
        <f>MONTH(BInputReservoir[[#This Row],[Date]])</f>
        <v>11</v>
      </c>
      <c r="E305" s="30" t="str">
        <f>IF(I305&lt;&gt;1,"",DATA_INPUT!$K306)</f>
        <v/>
      </c>
      <c r="F305" s="30"/>
      <c r="G305" s="30"/>
      <c r="H305" s="30"/>
      <c r="I305" s="18" t="str">
        <f>IF(STORAGE_BALANCE_ENSEMBLE!R306&lt;&gt;1,"",1)</f>
        <v/>
      </c>
      <c r="J305" s="8" t="str">
        <f t="shared" si="33"/>
        <v/>
      </c>
      <c r="K305" s="9" t="str">
        <f t="shared" si="34"/>
        <v/>
      </c>
      <c r="L305" s="10" t="str">
        <f t="shared" si="35"/>
        <v/>
      </c>
      <c r="M305" s="10" t="str">
        <f>IF(I305&lt;&gt;1,"",IF(H305="","",H305/CONTROL_PANEL!$B$11))</f>
        <v/>
      </c>
      <c r="N305" s="9" t="str">
        <f t="shared" si="36"/>
        <v/>
      </c>
      <c r="O305" s="9" t="str">
        <f t="shared" si="37"/>
        <v/>
      </c>
      <c r="P305" s="9" t="str">
        <f t="shared" si="38"/>
        <v/>
      </c>
      <c r="Q305" s="9" t="str">
        <f t="shared" si="39"/>
        <v/>
      </c>
      <c r="R305" s="11"/>
      <c r="S305" s="11" t="str">
        <f t="shared" si="40"/>
        <v>PASS</v>
      </c>
    </row>
    <row r="306" spans="1:19" x14ac:dyDescent="0.25">
      <c r="A306" s="30" t="s">
        <v>96</v>
      </c>
      <c r="B306" s="31">
        <v>51471</v>
      </c>
      <c r="C306" s="30">
        <f>YEAR(BInputReservoir[[#This Row],[Date]])</f>
        <v>2040</v>
      </c>
      <c r="D306" s="30">
        <f>MONTH(BInputReservoir[[#This Row],[Date]])</f>
        <v>12</v>
      </c>
      <c r="E306" s="30" t="str">
        <f>IF(I306&lt;&gt;1,"",DATA_INPUT!$K307)</f>
        <v/>
      </c>
      <c r="F306" s="30"/>
      <c r="G306" s="30"/>
      <c r="H306" s="30"/>
      <c r="I306" s="18" t="str">
        <f>IF(STORAGE_BALANCE_ENSEMBLE!R307&lt;&gt;1,"",1)</f>
        <v/>
      </c>
      <c r="J306" s="8" t="str">
        <f t="shared" si="33"/>
        <v/>
      </c>
      <c r="K306" s="9" t="str">
        <f t="shared" si="34"/>
        <v/>
      </c>
      <c r="L306" s="10" t="str">
        <f t="shared" si="35"/>
        <v/>
      </c>
      <c r="M306" s="10" t="str">
        <f>IF(I306&lt;&gt;1,"",IF(H306="","",H306/CONTROL_PANEL!$B$11))</f>
        <v/>
      </c>
      <c r="N306" s="9" t="str">
        <f t="shared" si="36"/>
        <v/>
      </c>
      <c r="O306" s="9" t="str">
        <f t="shared" si="37"/>
        <v/>
      </c>
      <c r="P306" s="9" t="str">
        <f t="shared" si="38"/>
        <v/>
      </c>
      <c r="Q306" s="9" t="str">
        <f t="shared" si="39"/>
        <v/>
      </c>
      <c r="R306" s="11"/>
      <c r="S306" s="11" t="str">
        <f t="shared" si="40"/>
        <v>PASS</v>
      </c>
    </row>
    <row r="307" spans="1:19" x14ac:dyDescent="0.25">
      <c r="A307" s="30" t="s">
        <v>96</v>
      </c>
      <c r="B307" s="31">
        <v>51502</v>
      </c>
      <c r="C307" s="30">
        <f>YEAR(BInputReservoir[[#This Row],[Date]])</f>
        <v>2041</v>
      </c>
      <c r="D307" s="30">
        <f>MONTH(BInputReservoir[[#This Row],[Date]])</f>
        <v>1</v>
      </c>
      <c r="E307" s="30" t="str">
        <f>IF(I307&lt;&gt;1,"",DATA_INPUT!$K308)</f>
        <v/>
      </c>
      <c r="F307" s="30"/>
      <c r="G307" s="30"/>
      <c r="H307" s="30"/>
      <c r="I307" s="18" t="str">
        <f>IF(STORAGE_BALANCE_ENSEMBLE!R308&lt;&gt;1,"",1)</f>
        <v/>
      </c>
      <c r="J307" s="8" t="str">
        <f t="shared" si="33"/>
        <v/>
      </c>
      <c r="K307" s="9" t="str">
        <f t="shared" si="34"/>
        <v/>
      </c>
      <c r="L307" s="10" t="str">
        <f t="shared" si="35"/>
        <v/>
      </c>
      <c r="M307" s="10" t="str">
        <f>IF(I307&lt;&gt;1,"",IF(H307="","",H307/CONTROL_PANEL!$B$11))</f>
        <v/>
      </c>
      <c r="N307" s="9" t="str">
        <f t="shared" si="36"/>
        <v/>
      </c>
      <c r="O307" s="9" t="str">
        <f t="shared" si="37"/>
        <v/>
      </c>
      <c r="P307" s="9" t="str">
        <f t="shared" si="38"/>
        <v/>
      </c>
      <c r="Q307" s="9" t="str">
        <f t="shared" si="39"/>
        <v/>
      </c>
      <c r="R307" s="11"/>
      <c r="S307" s="11" t="str">
        <f t="shared" si="40"/>
        <v>PASS</v>
      </c>
    </row>
    <row r="308" spans="1:19" x14ac:dyDescent="0.25">
      <c r="A308" s="30" t="s">
        <v>96</v>
      </c>
      <c r="B308" s="31">
        <v>51533</v>
      </c>
      <c r="C308" s="30">
        <f>YEAR(BInputReservoir[[#This Row],[Date]])</f>
        <v>2041</v>
      </c>
      <c r="D308" s="30">
        <f>MONTH(BInputReservoir[[#This Row],[Date]])</f>
        <v>2</v>
      </c>
      <c r="E308" s="30" t="str">
        <f>IF(I308&lt;&gt;1,"",DATA_INPUT!$K309)</f>
        <v/>
      </c>
      <c r="F308" s="30"/>
      <c r="G308" s="30"/>
      <c r="H308" s="30"/>
      <c r="I308" s="18" t="str">
        <f>IF(STORAGE_BALANCE_ENSEMBLE!R309&lt;&gt;1,"",1)</f>
        <v/>
      </c>
      <c r="J308" s="8" t="str">
        <f t="shared" si="33"/>
        <v/>
      </c>
      <c r="K308" s="9" t="str">
        <f t="shared" si="34"/>
        <v/>
      </c>
      <c r="L308" s="10" t="str">
        <f t="shared" si="35"/>
        <v/>
      </c>
      <c r="M308" s="10" t="str">
        <f>IF(I308&lt;&gt;1,"",IF(H308="","",H308/CONTROL_PANEL!$B$11))</f>
        <v/>
      </c>
      <c r="N308" s="9" t="str">
        <f t="shared" si="36"/>
        <v/>
      </c>
      <c r="O308" s="9" t="str">
        <f t="shared" si="37"/>
        <v/>
      </c>
      <c r="P308" s="9" t="str">
        <f t="shared" si="38"/>
        <v/>
      </c>
      <c r="Q308" s="9" t="str">
        <f t="shared" si="39"/>
        <v/>
      </c>
      <c r="R308" s="11"/>
      <c r="S308" s="11" t="str">
        <f t="shared" si="40"/>
        <v>PASS</v>
      </c>
    </row>
    <row r="309" spans="1:19" x14ac:dyDescent="0.25">
      <c r="A309" s="30" t="s">
        <v>96</v>
      </c>
      <c r="B309" s="31">
        <v>51561</v>
      </c>
      <c r="C309" s="30">
        <f>YEAR(BInputReservoir[[#This Row],[Date]])</f>
        <v>2041</v>
      </c>
      <c r="D309" s="30">
        <f>MONTH(BInputReservoir[[#This Row],[Date]])</f>
        <v>3</v>
      </c>
      <c r="E309" s="30" t="str">
        <f>IF(I309&lt;&gt;1,"",DATA_INPUT!$K310)</f>
        <v/>
      </c>
      <c r="F309" s="30"/>
      <c r="G309" s="30"/>
      <c r="H309" s="30"/>
      <c r="I309" s="18" t="str">
        <f>IF(STORAGE_BALANCE_ENSEMBLE!R310&lt;&gt;1,"",1)</f>
        <v/>
      </c>
      <c r="J309" s="8" t="str">
        <f t="shared" si="33"/>
        <v/>
      </c>
      <c r="K309" s="9" t="str">
        <f t="shared" si="34"/>
        <v/>
      </c>
      <c r="L309" s="10" t="str">
        <f t="shared" si="35"/>
        <v/>
      </c>
      <c r="M309" s="10" t="str">
        <f>IF(I309&lt;&gt;1,"",IF(H309="","",H309/CONTROL_PANEL!$B$11))</f>
        <v/>
      </c>
      <c r="N309" s="9" t="str">
        <f t="shared" si="36"/>
        <v/>
      </c>
      <c r="O309" s="9" t="str">
        <f t="shared" si="37"/>
        <v/>
      </c>
      <c r="P309" s="9" t="str">
        <f t="shared" si="38"/>
        <v/>
      </c>
      <c r="Q309" s="9" t="str">
        <f t="shared" si="39"/>
        <v/>
      </c>
      <c r="R309" s="11"/>
      <c r="S309" s="11" t="str">
        <f t="shared" si="40"/>
        <v>PASS</v>
      </c>
    </row>
    <row r="310" spans="1:19" x14ac:dyDescent="0.25">
      <c r="A310" s="30" t="s">
        <v>96</v>
      </c>
      <c r="B310" s="31">
        <v>51592</v>
      </c>
      <c r="C310" s="30">
        <f>YEAR(BInputReservoir[[#This Row],[Date]])</f>
        <v>2041</v>
      </c>
      <c r="D310" s="30">
        <f>MONTH(BInputReservoir[[#This Row],[Date]])</f>
        <v>4</v>
      </c>
      <c r="E310" s="30" t="str">
        <f>IF(I310&lt;&gt;1,"",DATA_INPUT!$K311)</f>
        <v/>
      </c>
      <c r="F310" s="30"/>
      <c r="G310" s="30"/>
      <c r="H310" s="30"/>
      <c r="I310" s="18" t="str">
        <f>IF(STORAGE_BALANCE_ENSEMBLE!R311&lt;&gt;1,"",1)</f>
        <v/>
      </c>
      <c r="J310" s="8" t="str">
        <f t="shared" si="33"/>
        <v/>
      </c>
      <c r="K310" s="9" t="str">
        <f t="shared" si="34"/>
        <v/>
      </c>
      <c r="L310" s="10" t="str">
        <f t="shared" si="35"/>
        <v/>
      </c>
      <c r="M310" s="10" t="str">
        <f>IF(I310&lt;&gt;1,"",IF(H310="","",H310/CONTROL_PANEL!$B$11))</f>
        <v/>
      </c>
      <c r="N310" s="9" t="str">
        <f t="shared" si="36"/>
        <v/>
      </c>
      <c r="O310" s="9" t="str">
        <f t="shared" si="37"/>
        <v/>
      </c>
      <c r="P310" s="9" t="str">
        <f t="shared" si="38"/>
        <v/>
      </c>
      <c r="Q310" s="9" t="str">
        <f t="shared" si="39"/>
        <v/>
      </c>
      <c r="R310" s="11"/>
      <c r="S310" s="11" t="str">
        <f t="shared" si="40"/>
        <v>PASS</v>
      </c>
    </row>
    <row r="311" spans="1:19" x14ac:dyDescent="0.25">
      <c r="A311" s="30" t="s">
        <v>96</v>
      </c>
      <c r="B311" s="31">
        <v>51622</v>
      </c>
      <c r="C311" s="30">
        <f>YEAR(BInputReservoir[[#This Row],[Date]])</f>
        <v>2041</v>
      </c>
      <c r="D311" s="30">
        <f>MONTH(BInputReservoir[[#This Row],[Date]])</f>
        <v>5</v>
      </c>
      <c r="E311" s="30" t="str">
        <f>IF(I311&lt;&gt;1,"",DATA_INPUT!$K312)</f>
        <v/>
      </c>
      <c r="F311" s="30"/>
      <c r="G311" s="30"/>
      <c r="H311" s="30"/>
      <c r="I311" s="18" t="str">
        <f>IF(STORAGE_BALANCE_ENSEMBLE!R312&lt;&gt;1,"",1)</f>
        <v/>
      </c>
      <c r="J311" s="8" t="str">
        <f t="shared" si="33"/>
        <v/>
      </c>
      <c r="K311" s="9" t="str">
        <f t="shared" si="34"/>
        <v/>
      </c>
      <c r="L311" s="10" t="str">
        <f t="shared" si="35"/>
        <v/>
      </c>
      <c r="M311" s="10" t="str">
        <f>IF(I311&lt;&gt;1,"",IF(H311="","",H311/CONTROL_PANEL!$B$11))</f>
        <v/>
      </c>
      <c r="N311" s="9" t="str">
        <f t="shared" si="36"/>
        <v/>
      </c>
      <c r="O311" s="9" t="str">
        <f t="shared" si="37"/>
        <v/>
      </c>
      <c r="P311" s="9" t="str">
        <f t="shared" si="38"/>
        <v/>
      </c>
      <c r="Q311" s="9" t="str">
        <f t="shared" si="39"/>
        <v/>
      </c>
      <c r="R311" s="11"/>
      <c r="S311" s="11" t="str">
        <f t="shared" si="40"/>
        <v>PASS</v>
      </c>
    </row>
    <row r="312" spans="1:19" x14ac:dyDescent="0.25">
      <c r="A312" s="30" t="s">
        <v>96</v>
      </c>
      <c r="B312" s="31">
        <v>51653</v>
      </c>
      <c r="C312" s="30">
        <f>YEAR(BInputReservoir[[#This Row],[Date]])</f>
        <v>2041</v>
      </c>
      <c r="D312" s="30">
        <f>MONTH(BInputReservoir[[#This Row],[Date]])</f>
        <v>6</v>
      </c>
      <c r="E312" s="30" t="str">
        <f>IF(I312&lt;&gt;1,"",DATA_INPUT!$K313)</f>
        <v/>
      </c>
      <c r="F312" s="30"/>
      <c r="G312" s="30"/>
      <c r="H312" s="30"/>
      <c r="I312" s="18" t="str">
        <f>IF(STORAGE_BALANCE_ENSEMBLE!R313&lt;&gt;1,"",1)</f>
        <v/>
      </c>
      <c r="J312" s="8" t="str">
        <f t="shared" si="33"/>
        <v/>
      </c>
      <c r="K312" s="9" t="str">
        <f t="shared" si="34"/>
        <v/>
      </c>
      <c r="L312" s="10" t="str">
        <f t="shared" si="35"/>
        <v/>
      </c>
      <c r="M312" s="10" t="str">
        <f>IF(I312&lt;&gt;1,"",IF(H312="","",H312/CONTROL_PANEL!$B$11))</f>
        <v/>
      </c>
      <c r="N312" s="9" t="str">
        <f t="shared" si="36"/>
        <v/>
      </c>
      <c r="O312" s="9" t="str">
        <f t="shared" si="37"/>
        <v/>
      </c>
      <c r="P312" s="9" t="str">
        <f t="shared" si="38"/>
        <v/>
      </c>
      <c r="Q312" s="9" t="str">
        <f t="shared" si="39"/>
        <v/>
      </c>
      <c r="R312" s="11"/>
      <c r="S312" s="11" t="str">
        <f t="shared" si="40"/>
        <v>PASS</v>
      </c>
    </row>
    <row r="313" spans="1:19" x14ac:dyDescent="0.25">
      <c r="A313" s="30" t="s">
        <v>96</v>
      </c>
      <c r="B313" s="31">
        <v>51683</v>
      </c>
      <c r="C313" s="30">
        <f>YEAR(BInputReservoir[[#This Row],[Date]])</f>
        <v>2041</v>
      </c>
      <c r="D313" s="30">
        <f>MONTH(BInputReservoir[[#This Row],[Date]])</f>
        <v>7</v>
      </c>
      <c r="E313" s="30" t="str">
        <f>IF(I313&lt;&gt;1,"",DATA_INPUT!$K314)</f>
        <v/>
      </c>
      <c r="F313" s="30"/>
      <c r="G313" s="30"/>
      <c r="H313" s="30"/>
      <c r="I313" s="18" t="str">
        <f>IF(STORAGE_BALANCE_ENSEMBLE!R314&lt;&gt;1,"",1)</f>
        <v/>
      </c>
      <c r="J313" s="8" t="str">
        <f t="shared" si="33"/>
        <v/>
      </c>
      <c r="K313" s="9" t="str">
        <f t="shared" si="34"/>
        <v/>
      </c>
      <c r="L313" s="10" t="str">
        <f t="shared" si="35"/>
        <v/>
      </c>
      <c r="M313" s="10" t="str">
        <f>IF(I313&lt;&gt;1,"",IF(H313="","",H313/CONTROL_PANEL!$B$11))</f>
        <v/>
      </c>
      <c r="N313" s="9" t="str">
        <f t="shared" si="36"/>
        <v/>
      </c>
      <c r="O313" s="9" t="str">
        <f t="shared" si="37"/>
        <v/>
      </c>
      <c r="P313" s="9" t="str">
        <f t="shared" si="38"/>
        <v/>
      </c>
      <c r="Q313" s="9" t="str">
        <f t="shared" si="39"/>
        <v/>
      </c>
      <c r="R313" s="11"/>
      <c r="S313" s="11" t="str">
        <f t="shared" si="40"/>
        <v>PASS</v>
      </c>
    </row>
    <row r="314" spans="1:19" x14ac:dyDescent="0.25">
      <c r="A314" s="30" t="s">
        <v>96</v>
      </c>
      <c r="B314" s="31">
        <v>51714</v>
      </c>
      <c r="C314" s="30">
        <f>YEAR(BInputReservoir[[#This Row],[Date]])</f>
        <v>2041</v>
      </c>
      <c r="D314" s="30">
        <f>MONTH(BInputReservoir[[#This Row],[Date]])</f>
        <v>8</v>
      </c>
      <c r="E314" s="30" t="str">
        <f>IF(I314&lt;&gt;1,"",DATA_INPUT!$K315)</f>
        <v/>
      </c>
      <c r="F314" s="30"/>
      <c r="G314" s="30"/>
      <c r="H314" s="30"/>
      <c r="I314" s="18" t="str">
        <f>IF(STORAGE_BALANCE_ENSEMBLE!R315&lt;&gt;1,"",1)</f>
        <v/>
      </c>
      <c r="J314" s="8" t="str">
        <f t="shared" si="33"/>
        <v/>
      </c>
      <c r="K314" s="9" t="str">
        <f t="shared" si="34"/>
        <v/>
      </c>
      <c r="L314" s="10" t="str">
        <f t="shared" si="35"/>
        <v/>
      </c>
      <c r="M314" s="10" t="str">
        <f>IF(I314&lt;&gt;1,"",IF(H314="","",H314/CONTROL_PANEL!$B$11))</f>
        <v/>
      </c>
      <c r="N314" s="9" t="str">
        <f t="shared" si="36"/>
        <v/>
      </c>
      <c r="O314" s="9" t="str">
        <f t="shared" si="37"/>
        <v/>
      </c>
      <c r="P314" s="9" t="str">
        <f t="shared" si="38"/>
        <v/>
      </c>
      <c r="Q314" s="9" t="str">
        <f t="shared" si="39"/>
        <v/>
      </c>
      <c r="R314" s="11"/>
      <c r="S314" s="11" t="str">
        <f t="shared" si="40"/>
        <v>PASS</v>
      </c>
    </row>
    <row r="315" spans="1:19" x14ac:dyDescent="0.25">
      <c r="A315" s="30" t="s">
        <v>96</v>
      </c>
      <c r="B315" s="31">
        <v>51745</v>
      </c>
      <c r="C315" s="30">
        <f>YEAR(BInputReservoir[[#This Row],[Date]])</f>
        <v>2041</v>
      </c>
      <c r="D315" s="30">
        <f>MONTH(BInputReservoir[[#This Row],[Date]])</f>
        <v>9</v>
      </c>
      <c r="E315" s="30" t="str">
        <f>IF(I315&lt;&gt;1,"",DATA_INPUT!$K316)</f>
        <v/>
      </c>
      <c r="F315" s="30"/>
      <c r="G315" s="30"/>
      <c r="H315" s="30"/>
      <c r="I315" s="18" t="str">
        <f>IF(STORAGE_BALANCE_ENSEMBLE!R316&lt;&gt;1,"",1)</f>
        <v/>
      </c>
      <c r="J315" s="8" t="str">
        <f t="shared" si="33"/>
        <v/>
      </c>
      <c r="K315" s="9" t="str">
        <f t="shared" si="34"/>
        <v/>
      </c>
      <c r="L315" s="10" t="str">
        <f t="shared" si="35"/>
        <v/>
      </c>
      <c r="M315" s="10" t="str">
        <f>IF(I315&lt;&gt;1,"",IF(H315="","",H315/CONTROL_PANEL!$B$11))</f>
        <v/>
      </c>
      <c r="N315" s="9" t="str">
        <f t="shared" si="36"/>
        <v/>
      </c>
      <c r="O315" s="9" t="str">
        <f t="shared" si="37"/>
        <v/>
      </c>
      <c r="P315" s="9" t="str">
        <f t="shared" si="38"/>
        <v/>
      </c>
      <c r="Q315" s="9" t="str">
        <f t="shared" si="39"/>
        <v/>
      </c>
      <c r="R315" s="11"/>
      <c r="S315" s="11" t="str">
        <f t="shared" si="40"/>
        <v>PASS</v>
      </c>
    </row>
    <row r="316" spans="1:19" x14ac:dyDescent="0.25">
      <c r="A316" s="30" t="s">
        <v>96</v>
      </c>
      <c r="B316" s="31">
        <v>51775</v>
      </c>
      <c r="C316" s="30">
        <f>YEAR(BInputReservoir[[#This Row],[Date]])</f>
        <v>2041</v>
      </c>
      <c r="D316" s="30">
        <f>MONTH(BInputReservoir[[#This Row],[Date]])</f>
        <v>10</v>
      </c>
      <c r="E316" s="30" t="str">
        <f>IF(I316&lt;&gt;1,"",DATA_INPUT!$K317)</f>
        <v/>
      </c>
      <c r="F316" s="30"/>
      <c r="G316" s="30"/>
      <c r="H316" s="30"/>
      <c r="I316" s="18" t="str">
        <f>IF(STORAGE_BALANCE_ENSEMBLE!R317&lt;&gt;1,"",1)</f>
        <v/>
      </c>
      <c r="J316" s="8" t="str">
        <f t="shared" si="33"/>
        <v/>
      </c>
      <c r="K316" s="9" t="str">
        <f t="shared" si="34"/>
        <v/>
      </c>
      <c r="L316" s="10" t="str">
        <f t="shared" si="35"/>
        <v/>
      </c>
      <c r="M316" s="10" t="str">
        <f>IF(I316&lt;&gt;1,"",IF(H316="","",H316/CONTROL_PANEL!$B$11))</f>
        <v/>
      </c>
      <c r="N316" s="9" t="str">
        <f t="shared" si="36"/>
        <v/>
      </c>
      <c r="O316" s="9" t="str">
        <f t="shared" si="37"/>
        <v/>
      </c>
      <c r="P316" s="9" t="str">
        <f t="shared" si="38"/>
        <v/>
      </c>
      <c r="Q316" s="9" t="str">
        <f t="shared" si="39"/>
        <v/>
      </c>
      <c r="R316" s="11"/>
      <c r="S316" s="11" t="str">
        <f t="shared" si="40"/>
        <v>PASS</v>
      </c>
    </row>
    <row r="317" spans="1:19" x14ac:dyDescent="0.25">
      <c r="A317" s="30" t="s">
        <v>96</v>
      </c>
      <c r="B317" s="31">
        <v>51806</v>
      </c>
      <c r="C317" s="30">
        <f>YEAR(BInputReservoir[[#This Row],[Date]])</f>
        <v>2041</v>
      </c>
      <c r="D317" s="30">
        <f>MONTH(BInputReservoir[[#This Row],[Date]])</f>
        <v>11</v>
      </c>
      <c r="E317" s="30" t="str">
        <f>IF(I317&lt;&gt;1,"",DATA_INPUT!$K318)</f>
        <v/>
      </c>
      <c r="F317" s="30"/>
      <c r="G317" s="30"/>
      <c r="H317" s="30"/>
      <c r="I317" s="18" t="str">
        <f>IF(STORAGE_BALANCE_ENSEMBLE!R318&lt;&gt;1,"",1)</f>
        <v/>
      </c>
      <c r="J317" s="8" t="str">
        <f t="shared" si="33"/>
        <v/>
      </c>
      <c r="K317" s="9" t="str">
        <f t="shared" si="34"/>
        <v/>
      </c>
      <c r="L317" s="10" t="str">
        <f t="shared" si="35"/>
        <v/>
      </c>
      <c r="M317" s="10" t="str">
        <f>IF(I317&lt;&gt;1,"",IF(H317="","",H317/CONTROL_PANEL!$B$11))</f>
        <v/>
      </c>
      <c r="N317" s="9" t="str">
        <f t="shared" si="36"/>
        <v/>
      </c>
      <c r="O317" s="9" t="str">
        <f t="shared" si="37"/>
        <v/>
      </c>
      <c r="P317" s="9" t="str">
        <f t="shared" si="38"/>
        <v/>
      </c>
      <c r="Q317" s="9" t="str">
        <f t="shared" si="39"/>
        <v/>
      </c>
      <c r="R317" s="11"/>
      <c r="S317" s="11" t="str">
        <f t="shared" si="40"/>
        <v>PASS</v>
      </c>
    </row>
    <row r="318" spans="1:19" x14ac:dyDescent="0.25">
      <c r="A318" s="30" t="s">
        <v>96</v>
      </c>
      <c r="B318" s="31">
        <v>51836</v>
      </c>
      <c r="C318" s="30">
        <f>YEAR(BInputReservoir[[#This Row],[Date]])</f>
        <v>2041</v>
      </c>
      <c r="D318" s="30">
        <f>MONTH(BInputReservoir[[#This Row],[Date]])</f>
        <v>12</v>
      </c>
      <c r="E318" s="30" t="str">
        <f>IF(I318&lt;&gt;1,"",DATA_INPUT!$K319)</f>
        <v/>
      </c>
      <c r="F318" s="30"/>
      <c r="G318" s="30"/>
      <c r="H318" s="30"/>
      <c r="I318" s="18" t="str">
        <f>IF(STORAGE_BALANCE_ENSEMBLE!R319&lt;&gt;1,"",1)</f>
        <v/>
      </c>
      <c r="J318" s="8" t="str">
        <f t="shared" si="33"/>
        <v/>
      </c>
      <c r="K318" s="9" t="str">
        <f t="shared" si="34"/>
        <v/>
      </c>
      <c r="L318" s="10" t="str">
        <f t="shared" si="35"/>
        <v/>
      </c>
      <c r="M318" s="10" t="str">
        <f>IF(I318&lt;&gt;1,"",IF(H318="","",H318/CONTROL_PANEL!$B$11))</f>
        <v/>
      </c>
      <c r="N318" s="9" t="str">
        <f t="shared" si="36"/>
        <v/>
      </c>
      <c r="O318" s="9" t="str">
        <f t="shared" si="37"/>
        <v/>
      </c>
      <c r="P318" s="9" t="str">
        <f t="shared" si="38"/>
        <v/>
      </c>
      <c r="Q318" s="9" t="str">
        <f t="shared" si="39"/>
        <v/>
      </c>
      <c r="R318" s="11"/>
      <c r="S318" s="11" t="str">
        <f t="shared" si="40"/>
        <v>PASS</v>
      </c>
    </row>
    <row r="319" spans="1:19" x14ac:dyDescent="0.25">
      <c r="A319" s="30" t="s">
        <v>96</v>
      </c>
      <c r="B319" s="31">
        <v>51867</v>
      </c>
      <c r="C319" s="30">
        <f>YEAR(BInputReservoir[[#This Row],[Date]])</f>
        <v>2042</v>
      </c>
      <c r="D319" s="30">
        <f>MONTH(BInputReservoir[[#This Row],[Date]])</f>
        <v>1</v>
      </c>
      <c r="E319" s="30" t="str">
        <f>IF(I319&lt;&gt;1,"",DATA_INPUT!$K320)</f>
        <v/>
      </c>
      <c r="F319" s="30"/>
      <c r="G319" s="30"/>
      <c r="H319" s="30"/>
      <c r="I319" s="18" t="str">
        <f>IF(STORAGE_BALANCE_ENSEMBLE!R320&lt;&gt;1,"",1)</f>
        <v/>
      </c>
      <c r="J319" s="8" t="str">
        <f t="shared" si="33"/>
        <v/>
      </c>
      <c r="K319" s="9" t="str">
        <f t="shared" si="34"/>
        <v/>
      </c>
      <c r="L319" s="10" t="str">
        <f t="shared" si="35"/>
        <v/>
      </c>
      <c r="M319" s="10" t="str">
        <f>IF(I319&lt;&gt;1,"",IF(H319="","",H319/CONTROL_PANEL!$B$11))</f>
        <v/>
      </c>
      <c r="N319" s="9" t="str">
        <f t="shared" si="36"/>
        <v/>
      </c>
      <c r="O319" s="9" t="str">
        <f t="shared" si="37"/>
        <v/>
      </c>
      <c r="P319" s="9" t="str">
        <f t="shared" si="38"/>
        <v/>
      </c>
      <c r="Q319" s="9" t="str">
        <f t="shared" si="39"/>
        <v/>
      </c>
      <c r="R319" s="11"/>
      <c r="S319" s="11" t="str">
        <f t="shared" si="40"/>
        <v>PASS</v>
      </c>
    </row>
    <row r="320" spans="1:19" x14ac:dyDescent="0.25">
      <c r="A320" s="30" t="s">
        <v>96</v>
      </c>
      <c r="B320" s="31">
        <v>51898</v>
      </c>
      <c r="C320" s="30">
        <f>YEAR(BInputReservoir[[#This Row],[Date]])</f>
        <v>2042</v>
      </c>
      <c r="D320" s="30">
        <f>MONTH(BInputReservoir[[#This Row],[Date]])</f>
        <v>2</v>
      </c>
      <c r="E320" s="30" t="str">
        <f>IF(I320&lt;&gt;1,"",DATA_INPUT!$K321)</f>
        <v/>
      </c>
      <c r="F320" s="30"/>
      <c r="G320" s="30"/>
      <c r="H320" s="30"/>
      <c r="I320" s="18" t="str">
        <f>IF(STORAGE_BALANCE_ENSEMBLE!R321&lt;&gt;1,"",1)</f>
        <v/>
      </c>
      <c r="J320" s="8" t="str">
        <f t="shared" si="33"/>
        <v/>
      </c>
      <c r="K320" s="9" t="str">
        <f t="shared" si="34"/>
        <v/>
      </c>
      <c r="L320" s="10" t="str">
        <f t="shared" si="35"/>
        <v/>
      </c>
      <c r="M320" s="10" t="str">
        <f>IF(I320&lt;&gt;1,"",IF(H320="","",H320/CONTROL_PANEL!$B$11))</f>
        <v/>
      </c>
      <c r="N320" s="9" t="str">
        <f t="shared" si="36"/>
        <v/>
      </c>
      <c r="O320" s="9" t="str">
        <f t="shared" si="37"/>
        <v/>
      </c>
      <c r="P320" s="9" t="str">
        <f t="shared" si="38"/>
        <v/>
      </c>
      <c r="Q320" s="9" t="str">
        <f t="shared" si="39"/>
        <v/>
      </c>
      <c r="R320" s="11"/>
      <c r="S320" s="11" t="str">
        <f t="shared" si="40"/>
        <v>PASS</v>
      </c>
    </row>
    <row r="321" spans="1:19" x14ac:dyDescent="0.25">
      <c r="A321" s="30" t="s">
        <v>96</v>
      </c>
      <c r="B321" s="31">
        <v>51926</v>
      </c>
      <c r="C321" s="30">
        <f>YEAR(BInputReservoir[[#This Row],[Date]])</f>
        <v>2042</v>
      </c>
      <c r="D321" s="30">
        <f>MONTH(BInputReservoir[[#This Row],[Date]])</f>
        <v>3</v>
      </c>
      <c r="E321" s="30" t="str">
        <f>IF(I321&lt;&gt;1,"",DATA_INPUT!$K322)</f>
        <v/>
      </c>
      <c r="F321" s="30"/>
      <c r="G321" s="30"/>
      <c r="H321" s="30"/>
      <c r="I321" s="18" t="str">
        <f>IF(STORAGE_BALANCE_ENSEMBLE!R322&lt;&gt;1,"",1)</f>
        <v/>
      </c>
      <c r="J321" s="8" t="str">
        <f t="shared" si="33"/>
        <v/>
      </c>
      <c r="K321" s="9" t="str">
        <f t="shared" si="34"/>
        <v/>
      </c>
      <c r="L321" s="10" t="str">
        <f t="shared" si="35"/>
        <v/>
      </c>
      <c r="M321" s="10" t="str">
        <f>IF(I321&lt;&gt;1,"",IF(H321="","",H321/CONTROL_PANEL!$B$11))</f>
        <v/>
      </c>
      <c r="N321" s="9" t="str">
        <f t="shared" si="36"/>
        <v/>
      </c>
      <c r="O321" s="9" t="str">
        <f t="shared" si="37"/>
        <v/>
      </c>
      <c r="P321" s="9" t="str">
        <f t="shared" si="38"/>
        <v/>
      </c>
      <c r="Q321" s="9" t="str">
        <f t="shared" si="39"/>
        <v/>
      </c>
      <c r="R321" s="11"/>
      <c r="S321" s="11" t="str">
        <f t="shared" si="40"/>
        <v>PASS</v>
      </c>
    </row>
    <row r="322" spans="1:19" x14ac:dyDescent="0.25">
      <c r="A322" s="30" t="s">
        <v>96</v>
      </c>
      <c r="B322" s="31">
        <v>51957</v>
      </c>
      <c r="C322" s="30">
        <f>YEAR(BInputReservoir[[#This Row],[Date]])</f>
        <v>2042</v>
      </c>
      <c r="D322" s="30">
        <f>MONTH(BInputReservoir[[#This Row],[Date]])</f>
        <v>4</v>
      </c>
      <c r="E322" s="30" t="str">
        <f>IF(I322&lt;&gt;1,"",DATA_INPUT!$K323)</f>
        <v/>
      </c>
      <c r="F322" s="30"/>
      <c r="G322" s="30"/>
      <c r="H322" s="30"/>
      <c r="I322" s="18" t="str">
        <f>IF(STORAGE_BALANCE_ENSEMBLE!R323&lt;&gt;1,"",1)</f>
        <v/>
      </c>
      <c r="J322" s="8" t="str">
        <f t="shared" si="33"/>
        <v/>
      </c>
      <c r="K322" s="9" t="str">
        <f t="shared" si="34"/>
        <v/>
      </c>
      <c r="L322" s="10" t="str">
        <f t="shared" si="35"/>
        <v/>
      </c>
      <c r="M322" s="10" t="str">
        <f>IF(I322&lt;&gt;1,"",IF(H322="","",H322/CONTROL_PANEL!$B$11))</f>
        <v/>
      </c>
      <c r="N322" s="9" t="str">
        <f t="shared" si="36"/>
        <v/>
      </c>
      <c r="O322" s="9" t="str">
        <f t="shared" si="37"/>
        <v/>
      </c>
      <c r="P322" s="9" t="str">
        <f t="shared" si="38"/>
        <v/>
      </c>
      <c r="Q322" s="9" t="str">
        <f t="shared" si="39"/>
        <v/>
      </c>
      <c r="R322" s="11"/>
      <c r="S322" s="11" t="str">
        <f t="shared" si="40"/>
        <v>PASS</v>
      </c>
    </row>
    <row r="323" spans="1:19" x14ac:dyDescent="0.25">
      <c r="A323" s="30" t="s">
        <v>96</v>
      </c>
      <c r="B323" s="31">
        <v>51987</v>
      </c>
      <c r="C323" s="30">
        <f>YEAR(BInputReservoir[[#This Row],[Date]])</f>
        <v>2042</v>
      </c>
      <c r="D323" s="30">
        <f>MONTH(BInputReservoir[[#This Row],[Date]])</f>
        <v>5</v>
      </c>
      <c r="E323" s="30" t="str">
        <f>IF(I323&lt;&gt;1,"",DATA_INPUT!$K324)</f>
        <v/>
      </c>
      <c r="F323" s="30"/>
      <c r="G323" s="30"/>
      <c r="H323" s="30"/>
      <c r="I323" s="18" t="str">
        <f>IF(STORAGE_BALANCE_ENSEMBLE!R324&lt;&gt;1,"",1)</f>
        <v/>
      </c>
      <c r="J323" s="8" t="str">
        <f t="shared" si="33"/>
        <v/>
      </c>
      <c r="K323" s="9" t="str">
        <f t="shared" si="34"/>
        <v/>
      </c>
      <c r="L323" s="10" t="str">
        <f t="shared" si="35"/>
        <v/>
      </c>
      <c r="M323" s="10" t="str">
        <f>IF(I323&lt;&gt;1,"",IF(H323="","",H323/CONTROL_PANEL!$B$11))</f>
        <v/>
      </c>
      <c r="N323" s="9" t="str">
        <f t="shared" si="36"/>
        <v/>
      </c>
      <c r="O323" s="9" t="str">
        <f t="shared" si="37"/>
        <v/>
      </c>
      <c r="P323" s="9" t="str">
        <f t="shared" si="38"/>
        <v/>
      </c>
      <c r="Q323" s="9" t="str">
        <f t="shared" si="39"/>
        <v/>
      </c>
      <c r="R323" s="11"/>
      <c r="S323" s="11" t="str">
        <f t="shared" si="40"/>
        <v>PASS</v>
      </c>
    </row>
    <row r="324" spans="1:19" x14ac:dyDescent="0.25">
      <c r="A324" s="30" t="s">
        <v>96</v>
      </c>
      <c r="B324" s="31">
        <v>52018</v>
      </c>
      <c r="C324" s="30">
        <f>YEAR(BInputReservoir[[#This Row],[Date]])</f>
        <v>2042</v>
      </c>
      <c r="D324" s="30">
        <f>MONTH(BInputReservoir[[#This Row],[Date]])</f>
        <v>6</v>
      </c>
      <c r="E324" s="30" t="str">
        <f>IF(I324&lt;&gt;1,"",DATA_INPUT!$K325)</f>
        <v/>
      </c>
      <c r="F324" s="30"/>
      <c r="G324" s="30"/>
      <c r="H324" s="30"/>
      <c r="I324" s="18" t="str">
        <f>IF(STORAGE_BALANCE_ENSEMBLE!R325&lt;&gt;1,"",1)</f>
        <v/>
      </c>
      <c r="J324" s="8" t="str">
        <f t="shared" si="33"/>
        <v/>
      </c>
      <c r="K324" s="9" t="str">
        <f t="shared" si="34"/>
        <v/>
      </c>
      <c r="L324" s="10" t="str">
        <f t="shared" si="35"/>
        <v/>
      </c>
      <c r="M324" s="10" t="str">
        <f>IF(I324&lt;&gt;1,"",IF(H324="","",H324/CONTROL_PANEL!$B$11))</f>
        <v/>
      </c>
      <c r="N324" s="9" t="str">
        <f t="shared" si="36"/>
        <v/>
      </c>
      <c r="O324" s="9" t="str">
        <f t="shared" si="37"/>
        <v/>
      </c>
      <c r="P324" s="9" t="str">
        <f t="shared" si="38"/>
        <v/>
      </c>
      <c r="Q324" s="9" t="str">
        <f t="shared" si="39"/>
        <v/>
      </c>
      <c r="R324" s="11"/>
      <c r="S324" s="11" t="str">
        <f t="shared" si="40"/>
        <v>PASS</v>
      </c>
    </row>
    <row r="325" spans="1:19" x14ac:dyDescent="0.25">
      <c r="A325" s="30" t="s">
        <v>96</v>
      </c>
      <c r="B325" s="31">
        <v>52048</v>
      </c>
      <c r="C325" s="30">
        <f>YEAR(BInputReservoir[[#This Row],[Date]])</f>
        <v>2042</v>
      </c>
      <c r="D325" s="30">
        <f>MONTH(BInputReservoir[[#This Row],[Date]])</f>
        <v>7</v>
      </c>
      <c r="E325" s="30" t="str">
        <f>IF(I325&lt;&gt;1,"",DATA_INPUT!$K326)</f>
        <v/>
      </c>
      <c r="F325" s="30"/>
      <c r="G325" s="30"/>
      <c r="H325" s="30"/>
      <c r="I325" s="18" t="str">
        <f>IF(STORAGE_BALANCE_ENSEMBLE!R326&lt;&gt;1,"",1)</f>
        <v/>
      </c>
      <c r="J325" s="8" t="str">
        <f t="shared" ref="J325:J388" si="41">IF(I325&lt;&gt;1,"",IF(E325="","",MAX(0,E325-G325)))</f>
        <v/>
      </c>
      <c r="K325" s="9" t="str">
        <f t="shared" ref="K325:K388" si="42">IF(I325&lt;&gt;1,"",IF(OR(G325="",E325=""),"",IF(G325&gt;0,1,0)))</f>
        <v/>
      </c>
      <c r="L325" s="10" t="str">
        <f t="shared" ref="L325:L388" si="43">IF(I325&lt;&gt;1,"",IF(AND(K325=1,E325&gt;0),G325/E325,0))</f>
        <v/>
      </c>
      <c r="M325" s="10" t="str">
        <f>IF(I325&lt;&gt;1,"",IF(H325="","",H325/CONTROL_PANEL!$B$11))</f>
        <v/>
      </c>
      <c r="N325" s="9" t="str">
        <f t="shared" ref="N325:N388" si="44">IF(I325&lt;&gt;1,"",IF(AND(K325=1,A326=A325),1,0))</f>
        <v/>
      </c>
      <c r="O325" s="9" t="str">
        <f t="shared" ref="O325:O388" si="45">IF(I325&lt;&gt;1,"",IF(AND(K325=1,A326=A325,K326=0),1,0))</f>
        <v/>
      </c>
      <c r="P325" s="9" t="str">
        <f t="shared" ref="P325:P388" si="46">IF(I325&lt;&gt;1,"",IF(F325&gt;0,1,0))</f>
        <v/>
      </c>
      <c r="Q325" s="9" t="str">
        <f t="shared" ref="Q325:Q388" si="47">IF(I325&lt;&gt;1,"",IF(G325&gt;0,1,0))</f>
        <v/>
      </c>
      <c r="R325" s="11"/>
      <c r="S325" s="11" t="str">
        <f t="shared" ref="S325:S363" si="48">IF(COUNTA(A325:H325)=0,"",IF(OR(A325="",C325="",D325=""),"ERROR: missing key fields","PASS"))</f>
        <v>PASS</v>
      </c>
    </row>
    <row r="326" spans="1:19" x14ac:dyDescent="0.25">
      <c r="A326" s="30" t="s">
        <v>96</v>
      </c>
      <c r="B326" s="31">
        <v>52079</v>
      </c>
      <c r="C326" s="30">
        <f>YEAR(BInputReservoir[[#This Row],[Date]])</f>
        <v>2042</v>
      </c>
      <c r="D326" s="30">
        <f>MONTH(BInputReservoir[[#This Row],[Date]])</f>
        <v>8</v>
      </c>
      <c r="E326" s="30" t="str">
        <f>IF(I326&lt;&gt;1,"",DATA_INPUT!$K327)</f>
        <v/>
      </c>
      <c r="F326" s="30"/>
      <c r="G326" s="30"/>
      <c r="H326" s="30"/>
      <c r="I326" s="18" t="str">
        <f>IF(STORAGE_BALANCE_ENSEMBLE!R327&lt;&gt;1,"",1)</f>
        <v/>
      </c>
      <c r="J326" s="8" t="str">
        <f t="shared" si="41"/>
        <v/>
      </c>
      <c r="K326" s="9" t="str">
        <f t="shared" si="42"/>
        <v/>
      </c>
      <c r="L326" s="10" t="str">
        <f t="shared" si="43"/>
        <v/>
      </c>
      <c r="M326" s="10" t="str">
        <f>IF(I326&lt;&gt;1,"",IF(H326="","",H326/CONTROL_PANEL!$B$11))</f>
        <v/>
      </c>
      <c r="N326" s="9" t="str">
        <f t="shared" si="44"/>
        <v/>
      </c>
      <c r="O326" s="9" t="str">
        <f t="shared" si="45"/>
        <v/>
      </c>
      <c r="P326" s="9" t="str">
        <f t="shared" si="46"/>
        <v/>
      </c>
      <c r="Q326" s="9" t="str">
        <f t="shared" si="47"/>
        <v/>
      </c>
      <c r="R326" s="11"/>
      <c r="S326" s="11" t="str">
        <f t="shared" si="48"/>
        <v>PASS</v>
      </c>
    </row>
    <row r="327" spans="1:19" x14ac:dyDescent="0.25">
      <c r="A327" s="30" t="s">
        <v>96</v>
      </c>
      <c r="B327" s="31">
        <v>52110</v>
      </c>
      <c r="C327" s="30">
        <f>YEAR(BInputReservoir[[#This Row],[Date]])</f>
        <v>2042</v>
      </c>
      <c r="D327" s="30">
        <f>MONTH(BInputReservoir[[#This Row],[Date]])</f>
        <v>9</v>
      </c>
      <c r="E327" s="30" t="str">
        <f>IF(I327&lt;&gt;1,"",DATA_INPUT!$K328)</f>
        <v/>
      </c>
      <c r="F327" s="30"/>
      <c r="G327" s="30"/>
      <c r="H327" s="30"/>
      <c r="I327" s="18" t="str">
        <f>IF(STORAGE_BALANCE_ENSEMBLE!R328&lt;&gt;1,"",1)</f>
        <v/>
      </c>
      <c r="J327" s="8" t="str">
        <f t="shared" si="41"/>
        <v/>
      </c>
      <c r="K327" s="9" t="str">
        <f t="shared" si="42"/>
        <v/>
      </c>
      <c r="L327" s="10" t="str">
        <f t="shared" si="43"/>
        <v/>
      </c>
      <c r="M327" s="10" t="str">
        <f>IF(I327&lt;&gt;1,"",IF(H327="","",H327/CONTROL_PANEL!$B$11))</f>
        <v/>
      </c>
      <c r="N327" s="9" t="str">
        <f t="shared" si="44"/>
        <v/>
      </c>
      <c r="O327" s="9" t="str">
        <f t="shared" si="45"/>
        <v/>
      </c>
      <c r="P327" s="9" t="str">
        <f t="shared" si="46"/>
        <v/>
      </c>
      <c r="Q327" s="9" t="str">
        <f t="shared" si="47"/>
        <v/>
      </c>
      <c r="R327" s="11"/>
      <c r="S327" s="11" t="str">
        <f t="shared" si="48"/>
        <v>PASS</v>
      </c>
    </row>
    <row r="328" spans="1:19" x14ac:dyDescent="0.25">
      <c r="A328" s="30" t="s">
        <v>96</v>
      </c>
      <c r="B328" s="31">
        <v>52140</v>
      </c>
      <c r="C328" s="30">
        <f>YEAR(BInputReservoir[[#This Row],[Date]])</f>
        <v>2042</v>
      </c>
      <c r="D328" s="30">
        <f>MONTH(BInputReservoir[[#This Row],[Date]])</f>
        <v>10</v>
      </c>
      <c r="E328" s="30" t="str">
        <f>IF(I328&lt;&gt;1,"",DATA_INPUT!$K329)</f>
        <v/>
      </c>
      <c r="F328" s="30"/>
      <c r="G328" s="30"/>
      <c r="H328" s="30"/>
      <c r="I328" s="18" t="str">
        <f>IF(STORAGE_BALANCE_ENSEMBLE!R329&lt;&gt;1,"",1)</f>
        <v/>
      </c>
      <c r="J328" s="8" t="str">
        <f t="shared" si="41"/>
        <v/>
      </c>
      <c r="K328" s="9" t="str">
        <f t="shared" si="42"/>
        <v/>
      </c>
      <c r="L328" s="10" t="str">
        <f t="shared" si="43"/>
        <v/>
      </c>
      <c r="M328" s="10" t="str">
        <f>IF(I328&lt;&gt;1,"",IF(H328="","",H328/CONTROL_PANEL!$B$11))</f>
        <v/>
      </c>
      <c r="N328" s="9" t="str">
        <f t="shared" si="44"/>
        <v/>
      </c>
      <c r="O328" s="9" t="str">
        <f t="shared" si="45"/>
        <v/>
      </c>
      <c r="P328" s="9" t="str">
        <f t="shared" si="46"/>
        <v/>
      </c>
      <c r="Q328" s="9" t="str">
        <f t="shared" si="47"/>
        <v/>
      </c>
      <c r="R328" s="11"/>
      <c r="S328" s="11" t="str">
        <f t="shared" si="48"/>
        <v>PASS</v>
      </c>
    </row>
    <row r="329" spans="1:19" x14ac:dyDescent="0.25">
      <c r="A329" s="30" t="s">
        <v>96</v>
      </c>
      <c r="B329" s="31">
        <v>52171</v>
      </c>
      <c r="C329" s="30">
        <f>YEAR(BInputReservoir[[#This Row],[Date]])</f>
        <v>2042</v>
      </c>
      <c r="D329" s="30">
        <f>MONTH(BInputReservoir[[#This Row],[Date]])</f>
        <v>11</v>
      </c>
      <c r="E329" s="30" t="str">
        <f>IF(I329&lt;&gt;1,"",DATA_INPUT!$K330)</f>
        <v/>
      </c>
      <c r="F329" s="30"/>
      <c r="G329" s="30"/>
      <c r="H329" s="30"/>
      <c r="I329" s="18" t="str">
        <f>IF(STORAGE_BALANCE_ENSEMBLE!R330&lt;&gt;1,"",1)</f>
        <v/>
      </c>
      <c r="J329" s="8" t="str">
        <f t="shared" si="41"/>
        <v/>
      </c>
      <c r="K329" s="9" t="str">
        <f t="shared" si="42"/>
        <v/>
      </c>
      <c r="L329" s="10" t="str">
        <f t="shared" si="43"/>
        <v/>
      </c>
      <c r="M329" s="10" t="str">
        <f>IF(I329&lt;&gt;1,"",IF(H329="","",H329/CONTROL_PANEL!$B$11))</f>
        <v/>
      </c>
      <c r="N329" s="9" t="str">
        <f t="shared" si="44"/>
        <v/>
      </c>
      <c r="O329" s="9" t="str">
        <f t="shared" si="45"/>
        <v/>
      </c>
      <c r="P329" s="9" t="str">
        <f t="shared" si="46"/>
        <v/>
      </c>
      <c r="Q329" s="9" t="str">
        <f t="shared" si="47"/>
        <v/>
      </c>
      <c r="R329" s="11"/>
      <c r="S329" s="11" t="str">
        <f t="shared" si="48"/>
        <v>PASS</v>
      </c>
    </row>
    <row r="330" spans="1:19" x14ac:dyDescent="0.25">
      <c r="A330" s="30" t="s">
        <v>96</v>
      </c>
      <c r="B330" s="31">
        <v>52201</v>
      </c>
      <c r="C330" s="30">
        <f>YEAR(BInputReservoir[[#This Row],[Date]])</f>
        <v>2042</v>
      </c>
      <c r="D330" s="30">
        <f>MONTH(BInputReservoir[[#This Row],[Date]])</f>
        <v>12</v>
      </c>
      <c r="E330" s="30" t="str">
        <f>IF(I330&lt;&gt;1,"",DATA_INPUT!$K331)</f>
        <v/>
      </c>
      <c r="F330" s="30"/>
      <c r="G330" s="30"/>
      <c r="H330" s="30"/>
      <c r="I330" s="18" t="str">
        <f>IF(STORAGE_BALANCE_ENSEMBLE!R331&lt;&gt;1,"",1)</f>
        <v/>
      </c>
      <c r="J330" s="8" t="str">
        <f t="shared" si="41"/>
        <v/>
      </c>
      <c r="K330" s="9" t="str">
        <f t="shared" si="42"/>
        <v/>
      </c>
      <c r="L330" s="10" t="str">
        <f t="shared" si="43"/>
        <v/>
      </c>
      <c r="M330" s="10" t="str">
        <f>IF(I330&lt;&gt;1,"",IF(H330="","",H330/CONTROL_PANEL!$B$11))</f>
        <v/>
      </c>
      <c r="N330" s="9" t="str">
        <f t="shared" si="44"/>
        <v/>
      </c>
      <c r="O330" s="9" t="str">
        <f t="shared" si="45"/>
        <v/>
      </c>
      <c r="P330" s="9" t="str">
        <f t="shared" si="46"/>
        <v/>
      </c>
      <c r="Q330" s="9" t="str">
        <f t="shared" si="47"/>
        <v/>
      </c>
      <c r="R330" s="11"/>
      <c r="S330" s="11" t="str">
        <f t="shared" si="48"/>
        <v>PASS</v>
      </c>
    </row>
    <row r="331" spans="1:19" x14ac:dyDescent="0.25">
      <c r="A331" s="30" t="s">
        <v>96</v>
      </c>
      <c r="B331" s="31">
        <v>52232</v>
      </c>
      <c r="C331" s="30">
        <f>YEAR(BInputReservoir[[#This Row],[Date]])</f>
        <v>2043</v>
      </c>
      <c r="D331" s="30">
        <f>MONTH(BInputReservoir[[#This Row],[Date]])</f>
        <v>1</v>
      </c>
      <c r="E331" s="30" t="str">
        <f>IF(I331&lt;&gt;1,"",DATA_INPUT!$K332)</f>
        <v/>
      </c>
      <c r="F331" s="30"/>
      <c r="G331" s="30"/>
      <c r="H331" s="30"/>
      <c r="I331" s="18" t="str">
        <f>IF(STORAGE_BALANCE_ENSEMBLE!R332&lt;&gt;1,"",1)</f>
        <v/>
      </c>
      <c r="J331" s="8" t="str">
        <f t="shared" si="41"/>
        <v/>
      </c>
      <c r="K331" s="9" t="str">
        <f t="shared" si="42"/>
        <v/>
      </c>
      <c r="L331" s="10" t="str">
        <f t="shared" si="43"/>
        <v/>
      </c>
      <c r="M331" s="10" t="str">
        <f>IF(I331&lt;&gt;1,"",IF(H331="","",H331/CONTROL_PANEL!$B$11))</f>
        <v/>
      </c>
      <c r="N331" s="9" t="str">
        <f t="shared" si="44"/>
        <v/>
      </c>
      <c r="O331" s="9" t="str">
        <f t="shared" si="45"/>
        <v/>
      </c>
      <c r="P331" s="9" t="str">
        <f t="shared" si="46"/>
        <v/>
      </c>
      <c r="Q331" s="9" t="str">
        <f t="shared" si="47"/>
        <v/>
      </c>
      <c r="R331" s="11"/>
      <c r="S331" s="11" t="str">
        <f t="shared" si="48"/>
        <v>PASS</v>
      </c>
    </row>
    <row r="332" spans="1:19" x14ac:dyDescent="0.25">
      <c r="A332" s="30" t="s">
        <v>96</v>
      </c>
      <c r="B332" s="31">
        <v>52263</v>
      </c>
      <c r="C332" s="30">
        <f>YEAR(BInputReservoir[[#This Row],[Date]])</f>
        <v>2043</v>
      </c>
      <c r="D332" s="30">
        <f>MONTH(BInputReservoir[[#This Row],[Date]])</f>
        <v>2</v>
      </c>
      <c r="E332" s="30" t="str">
        <f>IF(I332&lt;&gt;1,"",DATA_INPUT!$K333)</f>
        <v/>
      </c>
      <c r="F332" s="30"/>
      <c r="G332" s="30"/>
      <c r="H332" s="30"/>
      <c r="I332" s="18" t="str">
        <f>IF(STORAGE_BALANCE_ENSEMBLE!R333&lt;&gt;1,"",1)</f>
        <v/>
      </c>
      <c r="J332" s="8" t="str">
        <f t="shared" si="41"/>
        <v/>
      </c>
      <c r="K332" s="9" t="str">
        <f t="shared" si="42"/>
        <v/>
      </c>
      <c r="L332" s="10" t="str">
        <f t="shared" si="43"/>
        <v/>
      </c>
      <c r="M332" s="10" t="str">
        <f>IF(I332&lt;&gt;1,"",IF(H332="","",H332/CONTROL_PANEL!$B$11))</f>
        <v/>
      </c>
      <c r="N332" s="9" t="str">
        <f t="shared" si="44"/>
        <v/>
      </c>
      <c r="O332" s="9" t="str">
        <f t="shared" si="45"/>
        <v/>
      </c>
      <c r="P332" s="9" t="str">
        <f t="shared" si="46"/>
        <v/>
      </c>
      <c r="Q332" s="9" t="str">
        <f t="shared" si="47"/>
        <v/>
      </c>
      <c r="R332" s="11"/>
      <c r="S332" s="11" t="str">
        <f t="shared" si="48"/>
        <v>PASS</v>
      </c>
    </row>
    <row r="333" spans="1:19" x14ac:dyDescent="0.25">
      <c r="A333" s="30" t="s">
        <v>96</v>
      </c>
      <c r="B333" s="31">
        <v>52291</v>
      </c>
      <c r="C333" s="30">
        <f>YEAR(BInputReservoir[[#This Row],[Date]])</f>
        <v>2043</v>
      </c>
      <c r="D333" s="30">
        <f>MONTH(BInputReservoir[[#This Row],[Date]])</f>
        <v>3</v>
      </c>
      <c r="E333" s="30" t="str">
        <f>IF(I333&lt;&gt;1,"",DATA_INPUT!$K334)</f>
        <v/>
      </c>
      <c r="F333" s="30"/>
      <c r="G333" s="30"/>
      <c r="H333" s="30"/>
      <c r="I333" s="18" t="str">
        <f>IF(STORAGE_BALANCE_ENSEMBLE!R334&lt;&gt;1,"",1)</f>
        <v/>
      </c>
      <c r="J333" s="8" t="str">
        <f t="shared" si="41"/>
        <v/>
      </c>
      <c r="K333" s="9" t="str">
        <f t="shared" si="42"/>
        <v/>
      </c>
      <c r="L333" s="10" t="str">
        <f t="shared" si="43"/>
        <v/>
      </c>
      <c r="M333" s="10" t="str">
        <f>IF(I333&lt;&gt;1,"",IF(H333="","",H333/CONTROL_PANEL!$B$11))</f>
        <v/>
      </c>
      <c r="N333" s="9" t="str">
        <f t="shared" si="44"/>
        <v/>
      </c>
      <c r="O333" s="9" t="str">
        <f t="shared" si="45"/>
        <v/>
      </c>
      <c r="P333" s="9" t="str">
        <f t="shared" si="46"/>
        <v/>
      </c>
      <c r="Q333" s="9" t="str">
        <f t="shared" si="47"/>
        <v/>
      </c>
      <c r="R333" s="11"/>
      <c r="S333" s="11" t="str">
        <f t="shared" si="48"/>
        <v>PASS</v>
      </c>
    </row>
    <row r="334" spans="1:19" x14ac:dyDescent="0.25">
      <c r="A334" s="30" t="s">
        <v>96</v>
      </c>
      <c r="B334" s="31">
        <v>52322</v>
      </c>
      <c r="C334" s="30">
        <f>YEAR(BInputReservoir[[#This Row],[Date]])</f>
        <v>2043</v>
      </c>
      <c r="D334" s="30">
        <f>MONTH(BInputReservoir[[#This Row],[Date]])</f>
        <v>4</v>
      </c>
      <c r="E334" s="30" t="str">
        <f>IF(I334&lt;&gt;1,"",DATA_INPUT!$K335)</f>
        <v/>
      </c>
      <c r="F334" s="30"/>
      <c r="G334" s="30"/>
      <c r="H334" s="30"/>
      <c r="I334" s="18" t="str">
        <f>IF(STORAGE_BALANCE_ENSEMBLE!R335&lt;&gt;1,"",1)</f>
        <v/>
      </c>
      <c r="J334" s="8" t="str">
        <f t="shared" si="41"/>
        <v/>
      </c>
      <c r="K334" s="9" t="str">
        <f t="shared" si="42"/>
        <v/>
      </c>
      <c r="L334" s="10" t="str">
        <f t="shared" si="43"/>
        <v/>
      </c>
      <c r="M334" s="10" t="str">
        <f>IF(I334&lt;&gt;1,"",IF(H334="","",H334/CONTROL_PANEL!$B$11))</f>
        <v/>
      </c>
      <c r="N334" s="9" t="str">
        <f t="shared" si="44"/>
        <v/>
      </c>
      <c r="O334" s="9" t="str">
        <f t="shared" si="45"/>
        <v/>
      </c>
      <c r="P334" s="9" t="str">
        <f t="shared" si="46"/>
        <v/>
      </c>
      <c r="Q334" s="9" t="str">
        <f t="shared" si="47"/>
        <v/>
      </c>
      <c r="R334" s="11"/>
      <c r="S334" s="11" t="str">
        <f t="shared" si="48"/>
        <v>PASS</v>
      </c>
    </row>
    <row r="335" spans="1:19" x14ac:dyDescent="0.25">
      <c r="A335" s="30" t="s">
        <v>96</v>
      </c>
      <c r="B335" s="31">
        <v>52352</v>
      </c>
      <c r="C335" s="30">
        <f>YEAR(BInputReservoir[[#This Row],[Date]])</f>
        <v>2043</v>
      </c>
      <c r="D335" s="30">
        <f>MONTH(BInputReservoir[[#This Row],[Date]])</f>
        <v>5</v>
      </c>
      <c r="E335" s="30" t="str">
        <f>IF(I335&lt;&gt;1,"",DATA_INPUT!$K336)</f>
        <v/>
      </c>
      <c r="F335" s="30"/>
      <c r="G335" s="30"/>
      <c r="H335" s="30"/>
      <c r="I335" s="18" t="str">
        <f>IF(STORAGE_BALANCE_ENSEMBLE!R336&lt;&gt;1,"",1)</f>
        <v/>
      </c>
      <c r="J335" s="8" t="str">
        <f t="shared" si="41"/>
        <v/>
      </c>
      <c r="K335" s="9" t="str">
        <f t="shared" si="42"/>
        <v/>
      </c>
      <c r="L335" s="10" t="str">
        <f t="shared" si="43"/>
        <v/>
      </c>
      <c r="M335" s="10" t="str">
        <f>IF(I335&lt;&gt;1,"",IF(H335="","",H335/CONTROL_PANEL!$B$11))</f>
        <v/>
      </c>
      <c r="N335" s="9" t="str">
        <f t="shared" si="44"/>
        <v/>
      </c>
      <c r="O335" s="9" t="str">
        <f t="shared" si="45"/>
        <v/>
      </c>
      <c r="P335" s="9" t="str">
        <f t="shared" si="46"/>
        <v/>
      </c>
      <c r="Q335" s="9" t="str">
        <f t="shared" si="47"/>
        <v/>
      </c>
      <c r="R335" s="11"/>
      <c r="S335" s="11" t="str">
        <f t="shared" si="48"/>
        <v>PASS</v>
      </c>
    </row>
    <row r="336" spans="1:19" x14ac:dyDescent="0.25">
      <c r="A336" s="30" t="s">
        <v>96</v>
      </c>
      <c r="B336" s="31">
        <v>52383</v>
      </c>
      <c r="C336" s="30">
        <f>YEAR(BInputReservoir[[#This Row],[Date]])</f>
        <v>2043</v>
      </c>
      <c r="D336" s="30">
        <f>MONTH(BInputReservoir[[#This Row],[Date]])</f>
        <v>6</v>
      </c>
      <c r="E336" s="30" t="str">
        <f>IF(I336&lt;&gt;1,"",DATA_INPUT!$K337)</f>
        <v/>
      </c>
      <c r="F336" s="30"/>
      <c r="G336" s="30"/>
      <c r="H336" s="30"/>
      <c r="I336" s="18" t="str">
        <f>IF(STORAGE_BALANCE_ENSEMBLE!R337&lt;&gt;1,"",1)</f>
        <v/>
      </c>
      <c r="J336" s="8" t="str">
        <f t="shared" si="41"/>
        <v/>
      </c>
      <c r="K336" s="9" t="str">
        <f t="shared" si="42"/>
        <v/>
      </c>
      <c r="L336" s="10" t="str">
        <f t="shared" si="43"/>
        <v/>
      </c>
      <c r="M336" s="10" t="str">
        <f>IF(I336&lt;&gt;1,"",IF(H336="","",H336/CONTROL_PANEL!$B$11))</f>
        <v/>
      </c>
      <c r="N336" s="9" t="str">
        <f t="shared" si="44"/>
        <v/>
      </c>
      <c r="O336" s="9" t="str">
        <f t="shared" si="45"/>
        <v/>
      </c>
      <c r="P336" s="9" t="str">
        <f t="shared" si="46"/>
        <v/>
      </c>
      <c r="Q336" s="9" t="str">
        <f t="shared" si="47"/>
        <v/>
      </c>
      <c r="R336" s="11"/>
      <c r="S336" s="11" t="str">
        <f t="shared" si="48"/>
        <v>PASS</v>
      </c>
    </row>
    <row r="337" spans="1:19" x14ac:dyDescent="0.25">
      <c r="A337" s="30" t="s">
        <v>96</v>
      </c>
      <c r="B337" s="31">
        <v>52413</v>
      </c>
      <c r="C337" s="30">
        <f>YEAR(BInputReservoir[[#This Row],[Date]])</f>
        <v>2043</v>
      </c>
      <c r="D337" s="30">
        <f>MONTH(BInputReservoir[[#This Row],[Date]])</f>
        <v>7</v>
      </c>
      <c r="E337" s="30" t="str">
        <f>IF(I337&lt;&gt;1,"",DATA_INPUT!$K338)</f>
        <v/>
      </c>
      <c r="F337" s="30"/>
      <c r="G337" s="30"/>
      <c r="H337" s="30"/>
      <c r="I337" s="18" t="str">
        <f>IF(STORAGE_BALANCE_ENSEMBLE!R338&lt;&gt;1,"",1)</f>
        <v/>
      </c>
      <c r="J337" s="8" t="str">
        <f t="shared" si="41"/>
        <v/>
      </c>
      <c r="K337" s="9" t="str">
        <f t="shared" si="42"/>
        <v/>
      </c>
      <c r="L337" s="10" t="str">
        <f t="shared" si="43"/>
        <v/>
      </c>
      <c r="M337" s="10" t="str">
        <f>IF(I337&lt;&gt;1,"",IF(H337="","",H337/CONTROL_PANEL!$B$11))</f>
        <v/>
      </c>
      <c r="N337" s="9" t="str">
        <f t="shared" si="44"/>
        <v/>
      </c>
      <c r="O337" s="9" t="str">
        <f t="shared" si="45"/>
        <v/>
      </c>
      <c r="P337" s="9" t="str">
        <f t="shared" si="46"/>
        <v/>
      </c>
      <c r="Q337" s="9" t="str">
        <f t="shared" si="47"/>
        <v/>
      </c>
      <c r="R337" s="11"/>
      <c r="S337" s="11" t="str">
        <f t="shared" si="48"/>
        <v>PASS</v>
      </c>
    </row>
    <row r="338" spans="1:19" x14ac:dyDescent="0.25">
      <c r="A338" s="30" t="s">
        <v>96</v>
      </c>
      <c r="B338" s="31">
        <v>52444</v>
      </c>
      <c r="C338" s="30">
        <f>YEAR(BInputReservoir[[#This Row],[Date]])</f>
        <v>2043</v>
      </c>
      <c r="D338" s="30">
        <f>MONTH(BInputReservoir[[#This Row],[Date]])</f>
        <v>8</v>
      </c>
      <c r="E338" s="30" t="str">
        <f>IF(I338&lt;&gt;1,"",DATA_INPUT!$K339)</f>
        <v/>
      </c>
      <c r="F338" s="30"/>
      <c r="G338" s="30"/>
      <c r="H338" s="30"/>
      <c r="I338" s="18" t="str">
        <f>IF(STORAGE_BALANCE_ENSEMBLE!R339&lt;&gt;1,"",1)</f>
        <v/>
      </c>
      <c r="J338" s="8" t="str">
        <f t="shared" si="41"/>
        <v/>
      </c>
      <c r="K338" s="9" t="str">
        <f t="shared" si="42"/>
        <v/>
      </c>
      <c r="L338" s="10" t="str">
        <f t="shared" si="43"/>
        <v/>
      </c>
      <c r="M338" s="10" t="str">
        <f>IF(I338&lt;&gt;1,"",IF(H338="","",H338/CONTROL_PANEL!$B$11))</f>
        <v/>
      </c>
      <c r="N338" s="9" t="str">
        <f t="shared" si="44"/>
        <v/>
      </c>
      <c r="O338" s="9" t="str">
        <f t="shared" si="45"/>
        <v/>
      </c>
      <c r="P338" s="9" t="str">
        <f t="shared" si="46"/>
        <v/>
      </c>
      <c r="Q338" s="9" t="str">
        <f t="shared" si="47"/>
        <v/>
      </c>
      <c r="R338" s="11"/>
      <c r="S338" s="11" t="str">
        <f t="shared" si="48"/>
        <v>PASS</v>
      </c>
    </row>
    <row r="339" spans="1:19" x14ac:dyDescent="0.25">
      <c r="A339" s="30" t="s">
        <v>96</v>
      </c>
      <c r="B339" s="31">
        <v>52475</v>
      </c>
      <c r="C339" s="30">
        <f>YEAR(BInputReservoir[[#This Row],[Date]])</f>
        <v>2043</v>
      </c>
      <c r="D339" s="30">
        <f>MONTH(BInputReservoir[[#This Row],[Date]])</f>
        <v>9</v>
      </c>
      <c r="E339" s="30" t="str">
        <f>IF(I339&lt;&gt;1,"",DATA_INPUT!$K340)</f>
        <v/>
      </c>
      <c r="F339" s="30"/>
      <c r="G339" s="30"/>
      <c r="H339" s="30"/>
      <c r="I339" s="18" t="str">
        <f>IF(STORAGE_BALANCE_ENSEMBLE!R340&lt;&gt;1,"",1)</f>
        <v/>
      </c>
      <c r="J339" s="8" t="str">
        <f t="shared" si="41"/>
        <v/>
      </c>
      <c r="K339" s="9" t="str">
        <f t="shared" si="42"/>
        <v/>
      </c>
      <c r="L339" s="10" t="str">
        <f t="shared" si="43"/>
        <v/>
      </c>
      <c r="M339" s="10" t="str">
        <f>IF(I339&lt;&gt;1,"",IF(H339="","",H339/CONTROL_PANEL!$B$11))</f>
        <v/>
      </c>
      <c r="N339" s="9" t="str">
        <f t="shared" si="44"/>
        <v/>
      </c>
      <c r="O339" s="9" t="str">
        <f t="shared" si="45"/>
        <v/>
      </c>
      <c r="P339" s="9" t="str">
        <f t="shared" si="46"/>
        <v/>
      </c>
      <c r="Q339" s="9" t="str">
        <f t="shared" si="47"/>
        <v/>
      </c>
      <c r="R339" s="11"/>
      <c r="S339" s="11" t="str">
        <f t="shared" si="48"/>
        <v>PASS</v>
      </c>
    </row>
    <row r="340" spans="1:19" x14ac:dyDescent="0.25">
      <c r="A340" s="30" t="s">
        <v>96</v>
      </c>
      <c r="B340" s="31">
        <v>52505</v>
      </c>
      <c r="C340" s="30">
        <f>YEAR(BInputReservoir[[#This Row],[Date]])</f>
        <v>2043</v>
      </c>
      <c r="D340" s="30">
        <f>MONTH(BInputReservoir[[#This Row],[Date]])</f>
        <v>10</v>
      </c>
      <c r="E340" s="30" t="str">
        <f>IF(I340&lt;&gt;1,"",DATA_INPUT!$K341)</f>
        <v/>
      </c>
      <c r="F340" s="30"/>
      <c r="G340" s="30"/>
      <c r="H340" s="30"/>
      <c r="I340" s="18" t="str">
        <f>IF(STORAGE_BALANCE_ENSEMBLE!R341&lt;&gt;1,"",1)</f>
        <v/>
      </c>
      <c r="J340" s="8" t="str">
        <f t="shared" si="41"/>
        <v/>
      </c>
      <c r="K340" s="9" t="str">
        <f t="shared" si="42"/>
        <v/>
      </c>
      <c r="L340" s="10" t="str">
        <f t="shared" si="43"/>
        <v/>
      </c>
      <c r="M340" s="10" t="str">
        <f>IF(I340&lt;&gt;1,"",IF(H340="","",H340/CONTROL_PANEL!$B$11))</f>
        <v/>
      </c>
      <c r="N340" s="9" t="str">
        <f t="shared" si="44"/>
        <v/>
      </c>
      <c r="O340" s="9" t="str">
        <f t="shared" si="45"/>
        <v/>
      </c>
      <c r="P340" s="9" t="str">
        <f t="shared" si="46"/>
        <v/>
      </c>
      <c r="Q340" s="9" t="str">
        <f t="shared" si="47"/>
        <v/>
      </c>
      <c r="R340" s="11"/>
      <c r="S340" s="11" t="str">
        <f t="shared" si="48"/>
        <v>PASS</v>
      </c>
    </row>
    <row r="341" spans="1:19" x14ac:dyDescent="0.25">
      <c r="A341" s="30" t="s">
        <v>96</v>
      </c>
      <c r="B341" s="31">
        <v>52536</v>
      </c>
      <c r="C341" s="30">
        <f>YEAR(BInputReservoir[[#This Row],[Date]])</f>
        <v>2043</v>
      </c>
      <c r="D341" s="30">
        <f>MONTH(BInputReservoir[[#This Row],[Date]])</f>
        <v>11</v>
      </c>
      <c r="E341" s="30" t="str">
        <f>IF(I341&lt;&gt;1,"",DATA_INPUT!$K342)</f>
        <v/>
      </c>
      <c r="F341" s="30"/>
      <c r="G341" s="30"/>
      <c r="H341" s="30"/>
      <c r="I341" s="18" t="str">
        <f>IF(STORAGE_BALANCE_ENSEMBLE!R342&lt;&gt;1,"",1)</f>
        <v/>
      </c>
      <c r="J341" s="8" t="str">
        <f t="shared" si="41"/>
        <v/>
      </c>
      <c r="K341" s="9" t="str">
        <f t="shared" si="42"/>
        <v/>
      </c>
      <c r="L341" s="10" t="str">
        <f t="shared" si="43"/>
        <v/>
      </c>
      <c r="M341" s="10" t="str">
        <f>IF(I341&lt;&gt;1,"",IF(H341="","",H341/CONTROL_PANEL!$B$11))</f>
        <v/>
      </c>
      <c r="N341" s="9" t="str">
        <f t="shared" si="44"/>
        <v/>
      </c>
      <c r="O341" s="9" t="str">
        <f t="shared" si="45"/>
        <v/>
      </c>
      <c r="P341" s="9" t="str">
        <f t="shared" si="46"/>
        <v/>
      </c>
      <c r="Q341" s="9" t="str">
        <f t="shared" si="47"/>
        <v/>
      </c>
      <c r="R341" s="11"/>
      <c r="S341" s="11" t="str">
        <f t="shared" si="48"/>
        <v>PASS</v>
      </c>
    </row>
    <row r="342" spans="1:19" x14ac:dyDescent="0.25">
      <c r="A342" s="30" t="s">
        <v>96</v>
      </c>
      <c r="B342" s="31">
        <v>52566</v>
      </c>
      <c r="C342" s="30">
        <f>YEAR(BInputReservoir[[#This Row],[Date]])</f>
        <v>2043</v>
      </c>
      <c r="D342" s="30">
        <f>MONTH(BInputReservoir[[#This Row],[Date]])</f>
        <v>12</v>
      </c>
      <c r="E342" s="30" t="str">
        <f>IF(I342&lt;&gt;1,"",DATA_INPUT!$K343)</f>
        <v/>
      </c>
      <c r="F342" s="30"/>
      <c r="G342" s="30"/>
      <c r="H342" s="30"/>
      <c r="I342" s="18" t="str">
        <f>IF(STORAGE_BALANCE_ENSEMBLE!R343&lt;&gt;1,"",1)</f>
        <v/>
      </c>
      <c r="J342" s="8" t="str">
        <f t="shared" si="41"/>
        <v/>
      </c>
      <c r="K342" s="9" t="str">
        <f t="shared" si="42"/>
        <v/>
      </c>
      <c r="L342" s="10" t="str">
        <f t="shared" si="43"/>
        <v/>
      </c>
      <c r="M342" s="10" t="str">
        <f>IF(I342&lt;&gt;1,"",IF(H342="","",H342/CONTROL_PANEL!$B$11))</f>
        <v/>
      </c>
      <c r="N342" s="9" t="str">
        <f t="shared" si="44"/>
        <v/>
      </c>
      <c r="O342" s="9" t="str">
        <f t="shared" si="45"/>
        <v/>
      </c>
      <c r="P342" s="9" t="str">
        <f t="shared" si="46"/>
        <v/>
      </c>
      <c r="Q342" s="9" t="str">
        <f t="shared" si="47"/>
        <v/>
      </c>
      <c r="R342" s="11"/>
      <c r="S342" s="11" t="str">
        <f t="shared" si="48"/>
        <v>PASS</v>
      </c>
    </row>
    <row r="343" spans="1:19" x14ac:dyDescent="0.25">
      <c r="A343" s="30" t="s">
        <v>96</v>
      </c>
      <c r="B343" s="31">
        <v>52597</v>
      </c>
      <c r="C343" s="30">
        <f>YEAR(BInputReservoir[[#This Row],[Date]])</f>
        <v>2044</v>
      </c>
      <c r="D343" s="30">
        <f>MONTH(BInputReservoir[[#This Row],[Date]])</f>
        <v>1</v>
      </c>
      <c r="E343" s="30" t="str">
        <f>IF(I343&lt;&gt;1,"",DATA_INPUT!$K344)</f>
        <v/>
      </c>
      <c r="F343" s="30"/>
      <c r="G343" s="30"/>
      <c r="H343" s="30"/>
      <c r="I343" s="18" t="str">
        <f>IF(STORAGE_BALANCE_ENSEMBLE!R344&lt;&gt;1,"",1)</f>
        <v/>
      </c>
      <c r="J343" s="8" t="str">
        <f t="shared" si="41"/>
        <v/>
      </c>
      <c r="K343" s="9" t="str">
        <f t="shared" si="42"/>
        <v/>
      </c>
      <c r="L343" s="10" t="str">
        <f t="shared" si="43"/>
        <v/>
      </c>
      <c r="M343" s="10" t="str">
        <f>IF(I343&lt;&gt;1,"",IF(H343="","",H343/CONTROL_PANEL!$B$11))</f>
        <v/>
      </c>
      <c r="N343" s="9" t="str">
        <f t="shared" si="44"/>
        <v/>
      </c>
      <c r="O343" s="9" t="str">
        <f t="shared" si="45"/>
        <v/>
      </c>
      <c r="P343" s="9" t="str">
        <f t="shared" si="46"/>
        <v/>
      </c>
      <c r="Q343" s="9" t="str">
        <f t="shared" si="47"/>
        <v/>
      </c>
      <c r="R343" s="11"/>
      <c r="S343" s="11" t="str">
        <f t="shared" si="48"/>
        <v>PASS</v>
      </c>
    </row>
    <row r="344" spans="1:19" x14ac:dyDescent="0.25">
      <c r="A344" s="30" t="s">
        <v>96</v>
      </c>
      <c r="B344" s="31">
        <v>52628</v>
      </c>
      <c r="C344" s="30">
        <f>YEAR(BInputReservoir[[#This Row],[Date]])</f>
        <v>2044</v>
      </c>
      <c r="D344" s="30">
        <f>MONTH(BInputReservoir[[#This Row],[Date]])</f>
        <v>2</v>
      </c>
      <c r="E344" s="30" t="str">
        <f>IF(I344&lt;&gt;1,"",DATA_INPUT!$K345)</f>
        <v/>
      </c>
      <c r="F344" s="30"/>
      <c r="G344" s="30"/>
      <c r="H344" s="30"/>
      <c r="I344" s="18" t="str">
        <f>IF(STORAGE_BALANCE_ENSEMBLE!R345&lt;&gt;1,"",1)</f>
        <v/>
      </c>
      <c r="J344" s="8" t="str">
        <f t="shared" si="41"/>
        <v/>
      </c>
      <c r="K344" s="9" t="str">
        <f t="shared" si="42"/>
        <v/>
      </c>
      <c r="L344" s="10" t="str">
        <f t="shared" si="43"/>
        <v/>
      </c>
      <c r="M344" s="10" t="str">
        <f>IF(I344&lt;&gt;1,"",IF(H344="","",H344/CONTROL_PANEL!$B$11))</f>
        <v/>
      </c>
      <c r="N344" s="9" t="str">
        <f t="shared" si="44"/>
        <v/>
      </c>
      <c r="O344" s="9" t="str">
        <f t="shared" si="45"/>
        <v/>
      </c>
      <c r="P344" s="9" t="str">
        <f t="shared" si="46"/>
        <v/>
      </c>
      <c r="Q344" s="9" t="str">
        <f t="shared" si="47"/>
        <v/>
      </c>
      <c r="R344" s="11"/>
      <c r="S344" s="11" t="str">
        <f t="shared" si="48"/>
        <v>PASS</v>
      </c>
    </row>
    <row r="345" spans="1:19" x14ac:dyDescent="0.25">
      <c r="A345" s="30" t="s">
        <v>96</v>
      </c>
      <c r="B345" s="31">
        <v>52657</v>
      </c>
      <c r="C345" s="30">
        <f>YEAR(BInputReservoir[[#This Row],[Date]])</f>
        <v>2044</v>
      </c>
      <c r="D345" s="30">
        <f>MONTH(BInputReservoir[[#This Row],[Date]])</f>
        <v>3</v>
      </c>
      <c r="E345" s="30" t="str">
        <f>IF(I345&lt;&gt;1,"",DATA_INPUT!$K346)</f>
        <v/>
      </c>
      <c r="F345" s="30"/>
      <c r="G345" s="30"/>
      <c r="H345" s="30"/>
      <c r="I345" s="18" t="str">
        <f>IF(STORAGE_BALANCE_ENSEMBLE!R346&lt;&gt;1,"",1)</f>
        <v/>
      </c>
      <c r="J345" s="8" t="str">
        <f t="shared" si="41"/>
        <v/>
      </c>
      <c r="K345" s="9" t="str">
        <f t="shared" si="42"/>
        <v/>
      </c>
      <c r="L345" s="10" t="str">
        <f t="shared" si="43"/>
        <v/>
      </c>
      <c r="M345" s="10" t="str">
        <f>IF(I345&lt;&gt;1,"",IF(H345="","",H345/CONTROL_PANEL!$B$11))</f>
        <v/>
      </c>
      <c r="N345" s="9" t="str">
        <f t="shared" si="44"/>
        <v/>
      </c>
      <c r="O345" s="9" t="str">
        <f t="shared" si="45"/>
        <v/>
      </c>
      <c r="P345" s="9" t="str">
        <f t="shared" si="46"/>
        <v/>
      </c>
      <c r="Q345" s="9" t="str">
        <f t="shared" si="47"/>
        <v/>
      </c>
      <c r="R345" s="11"/>
      <c r="S345" s="11" t="str">
        <f t="shared" si="48"/>
        <v>PASS</v>
      </c>
    </row>
    <row r="346" spans="1:19" x14ac:dyDescent="0.25">
      <c r="A346" s="30" t="s">
        <v>96</v>
      </c>
      <c r="B346" s="31">
        <v>52688</v>
      </c>
      <c r="C346" s="30">
        <f>YEAR(BInputReservoir[[#This Row],[Date]])</f>
        <v>2044</v>
      </c>
      <c r="D346" s="30">
        <f>MONTH(BInputReservoir[[#This Row],[Date]])</f>
        <v>4</v>
      </c>
      <c r="E346" s="30" t="str">
        <f>IF(I346&lt;&gt;1,"",DATA_INPUT!$K347)</f>
        <v/>
      </c>
      <c r="F346" s="30"/>
      <c r="G346" s="30"/>
      <c r="H346" s="30"/>
      <c r="I346" s="18" t="str">
        <f>IF(STORAGE_BALANCE_ENSEMBLE!R347&lt;&gt;1,"",1)</f>
        <v/>
      </c>
      <c r="J346" s="8" t="str">
        <f t="shared" si="41"/>
        <v/>
      </c>
      <c r="K346" s="9" t="str">
        <f t="shared" si="42"/>
        <v/>
      </c>
      <c r="L346" s="10" t="str">
        <f t="shared" si="43"/>
        <v/>
      </c>
      <c r="M346" s="10" t="str">
        <f>IF(I346&lt;&gt;1,"",IF(H346="","",H346/CONTROL_PANEL!$B$11))</f>
        <v/>
      </c>
      <c r="N346" s="9" t="str">
        <f t="shared" si="44"/>
        <v/>
      </c>
      <c r="O346" s="9" t="str">
        <f t="shared" si="45"/>
        <v/>
      </c>
      <c r="P346" s="9" t="str">
        <f t="shared" si="46"/>
        <v/>
      </c>
      <c r="Q346" s="9" t="str">
        <f t="shared" si="47"/>
        <v/>
      </c>
      <c r="R346" s="11"/>
      <c r="S346" s="11" t="str">
        <f t="shared" si="48"/>
        <v>PASS</v>
      </c>
    </row>
    <row r="347" spans="1:19" x14ac:dyDescent="0.25">
      <c r="A347" s="30" t="s">
        <v>96</v>
      </c>
      <c r="B347" s="31">
        <v>52718</v>
      </c>
      <c r="C347" s="30">
        <f>YEAR(BInputReservoir[[#This Row],[Date]])</f>
        <v>2044</v>
      </c>
      <c r="D347" s="30">
        <f>MONTH(BInputReservoir[[#This Row],[Date]])</f>
        <v>5</v>
      </c>
      <c r="E347" s="30" t="str">
        <f>IF(I347&lt;&gt;1,"",DATA_INPUT!$K348)</f>
        <v/>
      </c>
      <c r="F347" s="30"/>
      <c r="G347" s="30"/>
      <c r="H347" s="30"/>
      <c r="I347" s="18" t="str">
        <f>IF(STORAGE_BALANCE_ENSEMBLE!R348&lt;&gt;1,"",1)</f>
        <v/>
      </c>
      <c r="J347" s="8" t="str">
        <f t="shared" si="41"/>
        <v/>
      </c>
      <c r="K347" s="9" t="str">
        <f t="shared" si="42"/>
        <v/>
      </c>
      <c r="L347" s="10" t="str">
        <f t="shared" si="43"/>
        <v/>
      </c>
      <c r="M347" s="10" t="str">
        <f>IF(I347&lt;&gt;1,"",IF(H347="","",H347/CONTROL_PANEL!$B$11))</f>
        <v/>
      </c>
      <c r="N347" s="9" t="str">
        <f t="shared" si="44"/>
        <v/>
      </c>
      <c r="O347" s="9" t="str">
        <f t="shared" si="45"/>
        <v/>
      </c>
      <c r="P347" s="9" t="str">
        <f t="shared" si="46"/>
        <v/>
      </c>
      <c r="Q347" s="9" t="str">
        <f t="shared" si="47"/>
        <v/>
      </c>
      <c r="R347" s="11"/>
      <c r="S347" s="11" t="str">
        <f t="shared" si="48"/>
        <v>PASS</v>
      </c>
    </row>
    <row r="348" spans="1:19" x14ac:dyDescent="0.25">
      <c r="A348" s="30" t="s">
        <v>96</v>
      </c>
      <c r="B348" s="31">
        <v>52749</v>
      </c>
      <c r="C348" s="30">
        <f>YEAR(BInputReservoir[[#This Row],[Date]])</f>
        <v>2044</v>
      </c>
      <c r="D348" s="30">
        <f>MONTH(BInputReservoir[[#This Row],[Date]])</f>
        <v>6</v>
      </c>
      <c r="E348" s="30" t="str">
        <f>IF(I348&lt;&gt;1,"",DATA_INPUT!$K349)</f>
        <v/>
      </c>
      <c r="F348" s="30"/>
      <c r="G348" s="30"/>
      <c r="H348" s="30"/>
      <c r="I348" s="18" t="str">
        <f>IF(STORAGE_BALANCE_ENSEMBLE!R349&lt;&gt;1,"",1)</f>
        <v/>
      </c>
      <c r="J348" s="8" t="str">
        <f t="shared" si="41"/>
        <v/>
      </c>
      <c r="K348" s="9" t="str">
        <f t="shared" si="42"/>
        <v/>
      </c>
      <c r="L348" s="10" t="str">
        <f t="shared" si="43"/>
        <v/>
      </c>
      <c r="M348" s="10" t="str">
        <f>IF(I348&lt;&gt;1,"",IF(H348="","",H348/CONTROL_PANEL!$B$11))</f>
        <v/>
      </c>
      <c r="N348" s="9" t="str">
        <f t="shared" si="44"/>
        <v/>
      </c>
      <c r="O348" s="9" t="str">
        <f t="shared" si="45"/>
        <v/>
      </c>
      <c r="P348" s="9" t="str">
        <f t="shared" si="46"/>
        <v/>
      </c>
      <c r="Q348" s="9" t="str">
        <f t="shared" si="47"/>
        <v/>
      </c>
      <c r="R348" s="11"/>
      <c r="S348" s="11" t="str">
        <f t="shared" si="48"/>
        <v>PASS</v>
      </c>
    </row>
    <row r="349" spans="1:19" x14ac:dyDescent="0.25">
      <c r="A349" s="30" t="s">
        <v>96</v>
      </c>
      <c r="B349" s="31">
        <v>52779</v>
      </c>
      <c r="C349" s="30">
        <f>YEAR(BInputReservoir[[#This Row],[Date]])</f>
        <v>2044</v>
      </c>
      <c r="D349" s="30">
        <f>MONTH(BInputReservoir[[#This Row],[Date]])</f>
        <v>7</v>
      </c>
      <c r="E349" s="30" t="str">
        <f>IF(I349&lt;&gt;1,"",DATA_INPUT!$K350)</f>
        <v/>
      </c>
      <c r="F349" s="30"/>
      <c r="G349" s="30"/>
      <c r="H349" s="30"/>
      <c r="I349" s="18" t="str">
        <f>IF(STORAGE_BALANCE_ENSEMBLE!R350&lt;&gt;1,"",1)</f>
        <v/>
      </c>
      <c r="J349" s="8" t="str">
        <f t="shared" si="41"/>
        <v/>
      </c>
      <c r="K349" s="9" t="str">
        <f t="shared" si="42"/>
        <v/>
      </c>
      <c r="L349" s="10" t="str">
        <f t="shared" si="43"/>
        <v/>
      </c>
      <c r="M349" s="10" t="str">
        <f>IF(I349&lt;&gt;1,"",IF(H349="","",H349/CONTROL_PANEL!$B$11))</f>
        <v/>
      </c>
      <c r="N349" s="9" t="str">
        <f t="shared" si="44"/>
        <v/>
      </c>
      <c r="O349" s="9" t="str">
        <f t="shared" si="45"/>
        <v/>
      </c>
      <c r="P349" s="9" t="str">
        <f t="shared" si="46"/>
        <v/>
      </c>
      <c r="Q349" s="9" t="str">
        <f t="shared" si="47"/>
        <v/>
      </c>
      <c r="R349" s="11"/>
      <c r="S349" s="11" t="str">
        <f t="shared" si="48"/>
        <v>PASS</v>
      </c>
    </row>
    <row r="350" spans="1:19" x14ac:dyDescent="0.25">
      <c r="A350" s="30" t="s">
        <v>96</v>
      </c>
      <c r="B350" s="31">
        <v>52810</v>
      </c>
      <c r="C350" s="30">
        <f>YEAR(BInputReservoir[[#This Row],[Date]])</f>
        <v>2044</v>
      </c>
      <c r="D350" s="30">
        <f>MONTH(BInputReservoir[[#This Row],[Date]])</f>
        <v>8</v>
      </c>
      <c r="E350" s="30" t="str">
        <f>IF(I350&lt;&gt;1,"",DATA_INPUT!$K351)</f>
        <v/>
      </c>
      <c r="F350" s="30"/>
      <c r="G350" s="30"/>
      <c r="H350" s="30"/>
      <c r="I350" s="18" t="str">
        <f>IF(STORAGE_BALANCE_ENSEMBLE!R351&lt;&gt;1,"",1)</f>
        <v/>
      </c>
      <c r="J350" s="8" t="str">
        <f t="shared" si="41"/>
        <v/>
      </c>
      <c r="K350" s="9" t="str">
        <f t="shared" si="42"/>
        <v/>
      </c>
      <c r="L350" s="10" t="str">
        <f t="shared" si="43"/>
        <v/>
      </c>
      <c r="M350" s="10" t="str">
        <f>IF(I350&lt;&gt;1,"",IF(H350="","",H350/CONTROL_PANEL!$B$11))</f>
        <v/>
      </c>
      <c r="N350" s="9" t="str">
        <f t="shared" si="44"/>
        <v/>
      </c>
      <c r="O350" s="9" t="str">
        <f t="shared" si="45"/>
        <v/>
      </c>
      <c r="P350" s="9" t="str">
        <f t="shared" si="46"/>
        <v/>
      </c>
      <c r="Q350" s="9" t="str">
        <f t="shared" si="47"/>
        <v/>
      </c>
      <c r="R350" s="11"/>
      <c r="S350" s="11" t="str">
        <f t="shared" si="48"/>
        <v>PASS</v>
      </c>
    </row>
    <row r="351" spans="1:19" x14ac:dyDescent="0.25">
      <c r="A351" s="30" t="s">
        <v>96</v>
      </c>
      <c r="B351" s="31">
        <v>52841</v>
      </c>
      <c r="C351" s="30">
        <f>YEAR(BInputReservoir[[#This Row],[Date]])</f>
        <v>2044</v>
      </c>
      <c r="D351" s="30">
        <f>MONTH(BInputReservoir[[#This Row],[Date]])</f>
        <v>9</v>
      </c>
      <c r="E351" s="30" t="str">
        <f>IF(I351&lt;&gt;1,"",DATA_INPUT!$K352)</f>
        <v/>
      </c>
      <c r="F351" s="30"/>
      <c r="G351" s="30"/>
      <c r="H351" s="30"/>
      <c r="I351" s="18" t="str">
        <f>IF(STORAGE_BALANCE_ENSEMBLE!R352&lt;&gt;1,"",1)</f>
        <v/>
      </c>
      <c r="J351" s="8" t="str">
        <f t="shared" si="41"/>
        <v/>
      </c>
      <c r="K351" s="9" t="str">
        <f t="shared" si="42"/>
        <v/>
      </c>
      <c r="L351" s="10" t="str">
        <f t="shared" si="43"/>
        <v/>
      </c>
      <c r="M351" s="10" t="str">
        <f>IF(I351&lt;&gt;1,"",IF(H351="","",H351/CONTROL_PANEL!$B$11))</f>
        <v/>
      </c>
      <c r="N351" s="9" t="str">
        <f t="shared" si="44"/>
        <v/>
      </c>
      <c r="O351" s="9" t="str">
        <f t="shared" si="45"/>
        <v/>
      </c>
      <c r="P351" s="9" t="str">
        <f t="shared" si="46"/>
        <v/>
      </c>
      <c r="Q351" s="9" t="str">
        <f t="shared" si="47"/>
        <v/>
      </c>
      <c r="R351" s="11"/>
      <c r="S351" s="11" t="str">
        <f t="shared" si="48"/>
        <v>PASS</v>
      </c>
    </row>
    <row r="352" spans="1:19" x14ac:dyDescent="0.25">
      <c r="A352" s="30" t="s">
        <v>96</v>
      </c>
      <c r="B352" s="31">
        <v>52871</v>
      </c>
      <c r="C352" s="30">
        <f>YEAR(BInputReservoir[[#This Row],[Date]])</f>
        <v>2044</v>
      </c>
      <c r="D352" s="30">
        <f>MONTH(BInputReservoir[[#This Row],[Date]])</f>
        <v>10</v>
      </c>
      <c r="E352" s="30" t="str">
        <f>IF(I352&lt;&gt;1,"",DATA_INPUT!$K353)</f>
        <v/>
      </c>
      <c r="F352" s="30"/>
      <c r="G352" s="30"/>
      <c r="H352" s="30"/>
      <c r="I352" s="18" t="str">
        <f>IF(STORAGE_BALANCE_ENSEMBLE!R353&lt;&gt;1,"",1)</f>
        <v/>
      </c>
      <c r="J352" s="8" t="str">
        <f t="shared" si="41"/>
        <v/>
      </c>
      <c r="K352" s="9" t="str">
        <f t="shared" si="42"/>
        <v/>
      </c>
      <c r="L352" s="10" t="str">
        <f t="shared" si="43"/>
        <v/>
      </c>
      <c r="M352" s="10" t="str">
        <f>IF(I352&lt;&gt;1,"",IF(H352="","",H352/CONTROL_PANEL!$B$11))</f>
        <v/>
      </c>
      <c r="N352" s="9" t="str">
        <f t="shared" si="44"/>
        <v/>
      </c>
      <c r="O352" s="9" t="str">
        <f t="shared" si="45"/>
        <v/>
      </c>
      <c r="P352" s="9" t="str">
        <f t="shared" si="46"/>
        <v/>
      </c>
      <c r="Q352" s="9" t="str">
        <f t="shared" si="47"/>
        <v/>
      </c>
      <c r="R352" s="11"/>
      <c r="S352" s="11" t="str">
        <f t="shared" si="48"/>
        <v>PASS</v>
      </c>
    </row>
    <row r="353" spans="1:19" x14ac:dyDescent="0.25">
      <c r="A353" s="30" t="s">
        <v>96</v>
      </c>
      <c r="B353" s="31">
        <v>52902</v>
      </c>
      <c r="C353" s="30">
        <f>YEAR(BInputReservoir[[#This Row],[Date]])</f>
        <v>2044</v>
      </c>
      <c r="D353" s="30">
        <f>MONTH(BInputReservoir[[#This Row],[Date]])</f>
        <v>11</v>
      </c>
      <c r="E353" s="30" t="str">
        <f>IF(I353&lt;&gt;1,"",DATA_INPUT!$K354)</f>
        <v/>
      </c>
      <c r="F353" s="30"/>
      <c r="G353" s="30"/>
      <c r="H353" s="30"/>
      <c r="I353" s="18" t="str">
        <f>IF(STORAGE_BALANCE_ENSEMBLE!R354&lt;&gt;1,"",1)</f>
        <v/>
      </c>
      <c r="J353" s="8" t="str">
        <f t="shared" si="41"/>
        <v/>
      </c>
      <c r="K353" s="9" t="str">
        <f t="shared" si="42"/>
        <v/>
      </c>
      <c r="L353" s="10" t="str">
        <f t="shared" si="43"/>
        <v/>
      </c>
      <c r="M353" s="10" t="str">
        <f>IF(I353&lt;&gt;1,"",IF(H353="","",H353/CONTROL_PANEL!$B$11))</f>
        <v/>
      </c>
      <c r="N353" s="9" t="str">
        <f t="shared" si="44"/>
        <v/>
      </c>
      <c r="O353" s="9" t="str">
        <f t="shared" si="45"/>
        <v/>
      </c>
      <c r="P353" s="9" t="str">
        <f t="shared" si="46"/>
        <v/>
      </c>
      <c r="Q353" s="9" t="str">
        <f t="shared" si="47"/>
        <v/>
      </c>
      <c r="R353" s="11"/>
      <c r="S353" s="11" t="str">
        <f t="shared" si="48"/>
        <v>PASS</v>
      </c>
    </row>
    <row r="354" spans="1:19" x14ac:dyDescent="0.25">
      <c r="A354" s="30" t="s">
        <v>96</v>
      </c>
      <c r="B354" s="31">
        <v>52932</v>
      </c>
      <c r="C354" s="30">
        <f>YEAR(BInputReservoir[[#This Row],[Date]])</f>
        <v>2044</v>
      </c>
      <c r="D354" s="30">
        <f>MONTH(BInputReservoir[[#This Row],[Date]])</f>
        <v>12</v>
      </c>
      <c r="E354" s="30" t="str">
        <f>IF(I354&lt;&gt;1,"",DATA_INPUT!$K355)</f>
        <v/>
      </c>
      <c r="F354" s="30"/>
      <c r="G354" s="30"/>
      <c r="H354" s="30"/>
      <c r="I354" s="18" t="str">
        <f>IF(STORAGE_BALANCE_ENSEMBLE!R355&lt;&gt;1,"",1)</f>
        <v/>
      </c>
      <c r="J354" s="8" t="str">
        <f t="shared" si="41"/>
        <v/>
      </c>
      <c r="K354" s="9" t="str">
        <f t="shared" si="42"/>
        <v/>
      </c>
      <c r="L354" s="10" t="str">
        <f t="shared" si="43"/>
        <v/>
      </c>
      <c r="M354" s="10" t="str">
        <f>IF(I354&lt;&gt;1,"",IF(H354="","",H354/CONTROL_PANEL!$B$11))</f>
        <v/>
      </c>
      <c r="N354" s="9" t="str">
        <f t="shared" si="44"/>
        <v/>
      </c>
      <c r="O354" s="9" t="str">
        <f t="shared" si="45"/>
        <v/>
      </c>
      <c r="P354" s="9" t="str">
        <f t="shared" si="46"/>
        <v/>
      </c>
      <c r="Q354" s="9" t="str">
        <f t="shared" si="47"/>
        <v/>
      </c>
      <c r="R354" s="11"/>
      <c r="S354" s="11" t="str">
        <f t="shared" si="48"/>
        <v>PASS</v>
      </c>
    </row>
    <row r="355" spans="1:19" x14ac:dyDescent="0.25">
      <c r="A355" s="30" t="s">
        <v>96</v>
      </c>
      <c r="B355" s="31">
        <v>52963</v>
      </c>
      <c r="C355" s="30">
        <f>YEAR(BInputReservoir[[#This Row],[Date]])</f>
        <v>2045</v>
      </c>
      <c r="D355" s="30">
        <f>MONTH(BInputReservoir[[#This Row],[Date]])</f>
        <v>1</v>
      </c>
      <c r="E355" s="30" t="str">
        <f>IF(I355&lt;&gt;1,"",DATA_INPUT!$K356)</f>
        <v/>
      </c>
      <c r="F355" s="30"/>
      <c r="G355" s="30"/>
      <c r="H355" s="30"/>
      <c r="I355" s="18" t="str">
        <f>IF(STORAGE_BALANCE_ENSEMBLE!R356&lt;&gt;1,"",1)</f>
        <v/>
      </c>
      <c r="J355" s="8" t="str">
        <f t="shared" si="41"/>
        <v/>
      </c>
      <c r="K355" s="9" t="str">
        <f t="shared" si="42"/>
        <v/>
      </c>
      <c r="L355" s="10" t="str">
        <f t="shared" si="43"/>
        <v/>
      </c>
      <c r="M355" s="10" t="str">
        <f>IF(I355&lt;&gt;1,"",IF(H355="","",H355/CONTROL_PANEL!$B$11))</f>
        <v/>
      </c>
      <c r="N355" s="9" t="str">
        <f t="shared" si="44"/>
        <v/>
      </c>
      <c r="O355" s="9" t="str">
        <f t="shared" si="45"/>
        <v/>
      </c>
      <c r="P355" s="9" t="str">
        <f t="shared" si="46"/>
        <v/>
      </c>
      <c r="Q355" s="9" t="str">
        <f t="shared" si="47"/>
        <v/>
      </c>
      <c r="R355" s="11"/>
      <c r="S355" s="11" t="str">
        <f t="shared" si="48"/>
        <v>PASS</v>
      </c>
    </row>
    <row r="356" spans="1:19" x14ac:dyDescent="0.25">
      <c r="A356" s="30" t="s">
        <v>96</v>
      </c>
      <c r="B356" s="31">
        <v>52994</v>
      </c>
      <c r="C356" s="30">
        <f>YEAR(BInputReservoir[[#This Row],[Date]])</f>
        <v>2045</v>
      </c>
      <c r="D356" s="30">
        <f>MONTH(BInputReservoir[[#This Row],[Date]])</f>
        <v>2</v>
      </c>
      <c r="E356" s="30" t="str">
        <f>IF(I356&lt;&gt;1,"",DATA_INPUT!$K357)</f>
        <v/>
      </c>
      <c r="F356" s="30"/>
      <c r="G356" s="30"/>
      <c r="H356" s="30"/>
      <c r="I356" s="18" t="str">
        <f>IF(STORAGE_BALANCE_ENSEMBLE!R357&lt;&gt;1,"",1)</f>
        <v/>
      </c>
      <c r="J356" s="8" t="str">
        <f t="shared" si="41"/>
        <v/>
      </c>
      <c r="K356" s="9" t="str">
        <f t="shared" si="42"/>
        <v/>
      </c>
      <c r="L356" s="10" t="str">
        <f t="shared" si="43"/>
        <v/>
      </c>
      <c r="M356" s="10" t="str">
        <f>IF(I356&lt;&gt;1,"",IF(H356="","",H356/CONTROL_PANEL!$B$11))</f>
        <v/>
      </c>
      <c r="N356" s="9" t="str">
        <f t="shared" si="44"/>
        <v/>
      </c>
      <c r="O356" s="9" t="str">
        <f t="shared" si="45"/>
        <v/>
      </c>
      <c r="P356" s="9" t="str">
        <f t="shared" si="46"/>
        <v/>
      </c>
      <c r="Q356" s="9" t="str">
        <f t="shared" si="47"/>
        <v/>
      </c>
      <c r="R356" s="11"/>
      <c r="S356" s="11" t="str">
        <f t="shared" si="48"/>
        <v>PASS</v>
      </c>
    </row>
    <row r="357" spans="1:19" x14ac:dyDescent="0.25">
      <c r="A357" s="30" t="s">
        <v>96</v>
      </c>
      <c r="B357" s="31">
        <v>53022</v>
      </c>
      <c r="C357" s="30">
        <f>YEAR(BInputReservoir[[#This Row],[Date]])</f>
        <v>2045</v>
      </c>
      <c r="D357" s="30">
        <f>MONTH(BInputReservoir[[#This Row],[Date]])</f>
        <v>3</v>
      </c>
      <c r="E357" s="30" t="str">
        <f>IF(I357&lt;&gt;1,"",DATA_INPUT!$K358)</f>
        <v/>
      </c>
      <c r="F357" s="30"/>
      <c r="G357" s="30"/>
      <c r="H357" s="30"/>
      <c r="I357" s="18" t="str">
        <f>IF(STORAGE_BALANCE_ENSEMBLE!R358&lt;&gt;1,"",1)</f>
        <v/>
      </c>
      <c r="J357" s="8" t="str">
        <f t="shared" si="41"/>
        <v/>
      </c>
      <c r="K357" s="9" t="str">
        <f t="shared" si="42"/>
        <v/>
      </c>
      <c r="L357" s="10" t="str">
        <f t="shared" si="43"/>
        <v/>
      </c>
      <c r="M357" s="10" t="str">
        <f>IF(I357&lt;&gt;1,"",IF(H357="","",H357/CONTROL_PANEL!$B$11))</f>
        <v/>
      </c>
      <c r="N357" s="9" t="str">
        <f t="shared" si="44"/>
        <v/>
      </c>
      <c r="O357" s="9" t="str">
        <f t="shared" si="45"/>
        <v/>
      </c>
      <c r="P357" s="9" t="str">
        <f t="shared" si="46"/>
        <v/>
      </c>
      <c r="Q357" s="9" t="str">
        <f t="shared" si="47"/>
        <v/>
      </c>
      <c r="R357" s="11"/>
      <c r="S357" s="11" t="str">
        <f t="shared" si="48"/>
        <v>PASS</v>
      </c>
    </row>
    <row r="358" spans="1:19" x14ac:dyDescent="0.25">
      <c r="A358" s="30" t="s">
        <v>96</v>
      </c>
      <c r="B358" s="31">
        <v>53053</v>
      </c>
      <c r="C358" s="30">
        <f>YEAR(BInputReservoir[[#This Row],[Date]])</f>
        <v>2045</v>
      </c>
      <c r="D358" s="30">
        <f>MONTH(BInputReservoir[[#This Row],[Date]])</f>
        <v>4</v>
      </c>
      <c r="E358" s="30" t="str">
        <f>IF(I358&lt;&gt;1,"",DATA_INPUT!$K359)</f>
        <v/>
      </c>
      <c r="F358" s="30"/>
      <c r="G358" s="30"/>
      <c r="H358" s="30"/>
      <c r="I358" s="18" t="str">
        <f>IF(STORAGE_BALANCE_ENSEMBLE!R359&lt;&gt;1,"",1)</f>
        <v/>
      </c>
      <c r="J358" s="8" t="str">
        <f t="shared" si="41"/>
        <v/>
      </c>
      <c r="K358" s="9" t="str">
        <f t="shared" si="42"/>
        <v/>
      </c>
      <c r="L358" s="10" t="str">
        <f t="shared" si="43"/>
        <v/>
      </c>
      <c r="M358" s="10" t="str">
        <f>IF(I358&lt;&gt;1,"",IF(H358="","",H358/CONTROL_PANEL!$B$11))</f>
        <v/>
      </c>
      <c r="N358" s="9" t="str">
        <f t="shared" si="44"/>
        <v/>
      </c>
      <c r="O358" s="9" t="str">
        <f t="shared" si="45"/>
        <v/>
      </c>
      <c r="P358" s="9" t="str">
        <f t="shared" si="46"/>
        <v/>
      </c>
      <c r="Q358" s="9" t="str">
        <f t="shared" si="47"/>
        <v/>
      </c>
      <c r="R358" s="11"/>
      <c r="S358" s="11" t="str">
        <f t="shared" si="48"/>
        <v>PASS</v>
      </c>
    </row>
    <row r="359" spans="1:19" x14ac:dyDescent="0.25">
      <c r="A359" s="30" t="s">
        <v>96</v>
      </c>
      <c r="B359" s="31">
        <v>53083</v>
      </c>
      <c r="C359" s="30">
        <f>YEAR(BInputReservoir[[#This Row],[Date]])</f>
        <v>2045</v>
      </c>
      <c r="D359" s="30">
        <f>MONTH(BInputReservoir[[#This Row],[Date]])</f>
        <v>5</v>
      </c>
      <c r="E359" s="30" t="str">
        <f>IF(I359&lt;&gt;1,"",DATA_INPUT!$K360)</f>
        <v/>
      </c>
      <c r="F359" s="30"/>
      <c r="G359" s="30"/>
      <c r="H359" s="30"/>
      <c r="I359" s="18" t="str">
        <f>IF(STORAGE_BALANCE_ENSEMBLE!R360&lt;&gt;1,"",1)</f>
        <v/>
      </c>
      <c r="J359" s="8" t="str">
        <f t="shared" si="41"/>
        <v/>
      </c>
      <c r="K359" s="9" t="str">
        <f t="shared" si="42"/>
        <v/>
      </c>
      <c r="L359" s="10" t="str">
        <f t="shared" si="43"/>
        <v/>
      </c>
      <c r="M359" s="10" t="str">
        <f>IF(I359&lt;&gt;1,"",IF(H359="","",H359/CONTROL_PANEL!$B$11))</f>
        <v/>
      </c>
      <c r="N359" s="9" t="str">
        <f t="shared" si="44"/>
        <v/>
      </c>
      <c r="O359" s="9" t="str">
        <f t="shared" si="45"/>
        <v/>
      </c>
      <c r="P359" s="9" t="str">
        <f t="shared" si="46"/>
        <v/>
      </c>
      <c r="Q359" s="9" t="str">
        <f t="shared" si="47"/>
        <v/>
      </c>
      <c r="R359" s="11"/>
      <c r="S359" s="11" t="str">
        <f t="shared" si="48"/>
        <v>PASS</v>
      </c>
    </row>
    <row r="360" spans="1:19" x14ac:dyDescent="0.25">
      <c r="A360" s="30" t="s">
        <v>96</v>
      </c>
      <c r="B360" s="31">
        <v>53114</v>
      </c>
      <c r="C360" s="30">
        <f>YEAR(BInputReservoir[[#This Row],[Date]])</f>
        <v>2045</v>
      </c>
      <c r="D360" s="30">
        <f>MONTH(BInputReservoir[[#This Row],[Date]])</f>
        <v>6</v>
      </c>
      <c r="E360" s="30" t="str">
        <f>IF(I360&lt;&gt;1,"",DATA_INPUT!$K361)</f>
        <v/>
      </c>
      <c r="F360" s="30"/>
      <c r="G360" s="30"/>
      <c r="H360" s="30"/>
      <c r="I360" s="18" t="str">
        <f>IF(STORAGE_BALANCE_ENSEMBLE!R361&lt;&gt;1,"",1)</f>
        <v/>
      </c>
      <c r="J360" s="8" t="str">
        <f t="shared" si="41"/>
        <v/>
      </c>
      <c r="K360" s="9" t="str">
        <f t="shared" si="42"/>
        <v/>
      </c>
      <c r="L360" s="10" t="str">
        <f t="shared" si="43"/>
        <v/>
      </c>
      <c r="M360" s="10" t="str">
        <f>IF(I360&lt;&gt;1,"",IF(H360="","",H360/CONTROL_PANEL!$B$11))</f>
        <v/>
      </c>
      <c r="N360" s="9" t="str">
        <f t="shared" si="44"/>
        <v/>
      </c>
      <c r="O360" s="9" t="str">
        <f t="shared" si="45"/>
        <v/>
      </c>
      <c r="P360" s="9" t="str">
        <f t="shared" si="46"/>
        <v/>
      </c>
      <c r="Q360" s="9" t="str">
        <f t="shared" si="47"/>
        <v/>
      </c>
      <c r="R360" s="11"/>
      <c r="S360" s="11" t="str">
        <f t="shared" si="48"/>
        <v>PASS</v>
      </c>
    </row>
    <row r="361" spans="1:19" x14ac:dyDescent="0.25">
      <c r="A361" s="30" t="s">
        <v>96</v>
      </c>
      <c r="B361" s="31">
        <v>53144</v>
      </c>
      <c r="C361" s="30">
        <f>YEAR(BInputReservoir[[#This Row],[Date]])</f>
        <v>2045</v>
      </c>
      <c r="D361" s="30">
        <f>MONTH(BInputReservoir[[#This Row],[Date]])</f>
        <v>7</v>
      </c>
      <c r="E361" s="30" t="str">
        <f>IF(I361&lt;&gt;1,"",DATA_INPUT!$K362)</f>
        <v/>
      </c>
      <c r="F361" s="30"/>
      <c r="G361" s="30"/>
      <c r="H361" s="30"/>
      <c r="I361" s="18" t="str">
        <f>IF(STORAGE_BALANCE_ENSEMBLE!R362&lt;&gt;1,"",1)</f>
        <v/>
      </c>
      <c r="J361" s="8" t="str">
        <f t="shared" si="41"/>
        <v/>
      </c>
      <c r="K361" s="9" t="str">
        <f t="shared" si="42"/>
        <v/>
      </c>
      <c r="L361" s="10" t="str">
        <f t="shared" si="43"/>
        <v/>
      </c>
      <c r="M361" s="10" t="str">
        <f>IF(I361&lt;&gt;1,"",IF(H361="","",H361/CONTROL_PANEL!$B$11))</f>
        <v/>
      </c>
      <c r="N361" s="9" t="str">
        <f t="shared" si="44"/>
        <v/>
      </c>
      <c r="O361" s="9" t="str">
        <f t="shared" si="45"/>
        <v/>
      </c>
      <c r="P361" s="9" t="str">
        <f t="shared" si="46"/>
        <v/>
      </c>
      <c r="Q361" s="9" t="str">
        <f t="shared" si="47"/>
        <v/>
      </c>
      <c r="R361" s="11"/>
      <c r="S361" s="11" t="str">
        <f t="shared" si="48"/>
        <v>PASS</v>
      </c>
    </row>
    <row r="362" spans="1:19" x14ac:dyDescent="0.25">
      <c r="A362" s="30" t="s">
        <v>96</v>
      </c>
      <c r="B362" s="31">
        <v>53175</v>
      </c>
      <c r="C362" s="30">
        <f>YEAR(BInputReservoir[[#This Row],[Date]])</f>
        <v>2045</v>
      </c>
      <c r="D362" s="30">
        <f>MONTH(BInputReservoir[[#This Row],[Date]])</f>
        <v>8</v>
      </c>
      <c r="E362" s="30" t="str">
        <f>IF(I362&lt;&gt;1,"",DATA_INPUT!$K363)</f>
        <v/>
      </c>
      <c r="F362" s="30"/>
      <c r="G362" s="30"/>
      <c r="H362" s="30"/>
      <c r="I362" s="18" t="str">
        <f>IF(STORAGE_BALANCE_ENSEMBLE!R363&lt;&gt;1,"",1)</f>
        <v/>
      </c>
      <c r="J362" s="8" t="str">
        <f t="shared" si="41"/>
        <v/>
      </c>
      <c r="K362" s="9" t="str">
        <f t="shared" si="42"/>
        <v/>
      </c>
      <c r="L362" s="10" t="str">
        <f t="shared" si="43"/>
        <v/>
      </c>
      <c r="M362" s="10" t="str">
        <f>IF(I362&lt;&gt;1,"",IF(H362="","",H362/CONTROL_PANEL!$B$11))</f>
        <v/>
      </c>
      <c r="N362" s="9" t="str">
        <f t="shared" si="44"/>
        <v/>
      </c>
      <c r="O362" s="9" t="str">
        <f t="shared" si="45"/>
        <v/>
      </c>
      <c r="P362" s="9" t="str">
        <f t="shared" si="46"/>
        <v/>
      </c>
      <c r="Q362" s="9" t="str">
        <f t="shared" si="47"/>
        <v/>
      </c>
      <c r="R362" s="11"/>
      <c r="S362" s="11" t="str">
        <f t="shared" si="48"/>
        <v>PASS</v>
      </c>
    </row>
    <row r="363" spans="1:19" x14ac:dyDescent="0.25">
      <c r="A363" s="30" t="s">
        <v>96</v>
      </c>
      <c r="B363" s="31">
        <v>53206</v>
      </c>
      <c r="C363" s="30">
        <f>YEAR(BInputReservoir[[#This Row],[Date]])</f>
        <v>2045</v>
      </c>
      <c r="D363" s="30">
        <f>MONTH(BInputReservoir[[#This Row],[Date]])</f>
        <v>9</v>
      </c>
      <c r="E363" s="30" t="str">
        <f>IF(I363&lt;&gt;1,"",DATA_INPUT!$K364)</f>
        <v/>
      </c>
      <c r="F363" s="30"/>
      <c r="G363" s="30"/>
      <c r="H363" s="30"/>
      <c r="I363" s="18" t="str">
        <f>IF(STORAGE_BALANCE_ENSEMBLE!R364&lt;&gt;1,"",1)</f>
        <v/>
      </c>
      <c r="J363" s="8" t="str">
        <f t="shared" si="41"/>
        <v/>
      </c>
      <c r="K363" s="9" t="str">
        <f t="shared" si="42"/>
        <v/>
      </c>
      <c r="L363" s="10" t="str">
        <f t="shared" si="43"/>
        <v/>
      </c>
      <c r="M363" s="10" t="str">
        <f>IF(I363&lt;&gt;1,"",IF(H363="","",H363/CONTROL_PANEL!$B$11))</f>
        <v/>
      </c>
      <c r="N363" s="9" t="str">
        <f t="shared" si="44"/>
        <v/>
      </c>
      <c r="O363" s="9" t="str">
        <f t="shared" si="45"/>
        <v/>
      </c>
      <c r="P363" s="9" t="str">
        <f t="shared" si="46"/>
        <v/>
      </c>
      <c r="Q363" s="9" t="str">
        <f t="shared" si="47"/>
        <v/>
      </c>
      <c r="R363" s="11"/>
      <c r="S363" s="11" t="str">
        <f t="shared" si="48"/>
        <v>PASS</v>
      </c>
    </row>
    <row r="364" spans="1:19" x14ac:dyDescent="0.25">
      <c r="A364" s="30"/>
      <c r="B364" s="31"/>
      <c r="C364" s="30"/>
      <c r="D364" s="30"/>
      <c r="E364" s="30" t="str">
        <f>IF(I364&lt;&gt;1,"",DATA_INPUT!$K365)</f>
        <v/>
      </c>
      <c r="F364" s="30"/>
      <c r="G364" s="30"/>
      <c r="H364" s="30"/>
      <c r="I364" s="4"/>
      <c r="J364" s="8" t="str">
        <f t="shared" si="41"/>
        <v/>
      </c>
      <c r="K364" s="9" t="str">
        <f t="shared" si="42"/>
        <v/>
      </c>
      <c r="L364" s="10" t="str">
        <f t="shared" si="43"/>
        <v/>
      </c>
      <c r="M364" s="10" t="str">
        <f>IF(I364&lt;&gt;1,"",IF(H364="","",H364/CONTROL_PANEL!$B$11))</f>
        <v/>
      </c>
      <c r="N364" s="9" t="str">
        <f t="shared" si="44"/>
        <v/>
      </c>
      <c r="O364" s="9" t="str">
        <f t="shared" si="45"/>
        <v/>
      </c>
      <c r="P364" s="9" t="str">
        <f t="shared" si="46"/>
        <v/>
      </c>
      <c r="Q364" s="9" t="str">
        <f t="shared" si="47"/>
        <v/>
      </c>
      <c r="R364" s="11"/>
      <c r="S364" s="11"/>
    </row>
    <row r="365" spans="1:19" s="32" customFormat="1" x14ac:dyDescent="0.25">
      <c r="A365" s="30" t="s">
        <v>97</v>
      </c>
      <c r="B365" s="31">
        <f t="shared" ref="B365:B396" si="49">B4</f>
        <v>42278</v>
      </c>
      <c r="C365" s="30">
        <f>YEAR(BInputReservoir[[#This Row],[Date]])</f>
        <v>2015</v>
      </c>
      <c r="D365" s="30">
        <f>MONTH(BInputReservoir[[#This Row],[Date]])</f>
        <v>10</v>
      </c>
      <c r="E365" s="30">
        <f>IF(I365&lt;&gt;1,"",DATA_INPUT!$L5)</f>
        <v>0</v>
      </c>
      <c r="F365" s="30">
        <f>STORAGE_BALANCE_ENSEMBLE!AI5</f>
        <v>0</v>
      </c>
      <c r="G365" s="30">
        <f>STORAGE_BALANCE_ENSEMBLE!AJ5</f>
        <v>0</v>
      </c>
      <c r="H365" s="30">
        <f>STORAGE_BALANCE_ENSEMBLE!AH5</f>
        <v>39118967.9204273</v>
      </c>
      <c r="I365" s="33">
        <f>I4</f>
        <v>1</v>
      </c>
      <c r="J365" s="34">
        <f t="shared" si="41"/>
        <v>0</v>
      </c>
      <c r="K365" s="35">
        <f t="shared" si="42"/>
        <v>0</v>
      </c>
      <c r="L365" s="36">
        <f t="shared" si="43"/>
        <v>0</v>
      </c>
      <c r="M365" s="36">
        <f>IF(I365&lt;&gt;1,"",IF(H365="","",H365/CONTROL_PANEL!$B$11))</f>
        <v>0.782379358408546</v>
      </c>
      <c r="N365" s="35">
        <f t="shared" si="44"/>
        <v>0</v>
      </c>
      <c r="O365" s="35">
        <f t="shared" si="45"/>
        <v>0</v>
      </c>
      <c r="P365" s="35">
        <f t="shared" si="46"/>
        <v>0</v>
      </c>
      <c r="Q365" s="35">
        <f t="shared" si="47"/>
        <v>0</v>
      </c>
      <c r="R365" s="37"/>
      <c r="S365" s="37" t="str">
        <f t="shared" ref="S365:S396" si="50">IF(COUNTA(A365:H365)=0,"",IF(OR(A365="",C365="",D365=""),"ERROR: missing key fields","PASS"))</f>
        <v>PASS</v>
      </c>
    </row>
    <row r="366" spans="1:19" x14ac:dyDescent="0.25">
      <c r="A366" s="30" t="s">
        <v>97</v>
      </c>
      <c r="B366" s="31">
        <f t="shared" si="49"/>
        <v>42309</v>
      </c>
      <c r="C366" s="30">
        <f>YEAR(BInputReservoir[[#This Row],[Date]])</f>
        <v>2015</v>
      </c>
      <c r="D366" s="30">
        <f>MONTH(BInputReservoir[[#This Row],[Date]])</f>
        <v>11</v>
      </c>
      <c r="E366" s="30">
        <f>IF(I366&lt;&gt;1,"",DATA_INPUT!$L6)</f>
        <v>0</v>
      </c>
      <c r="F366" s="30">
        <f>STORAGE_BALANCE_ENSEMBLE!AI6</f>
        <v>0</v>
      </c>
      <c r="G366" s="30">
        <f>STORAGE_BALANCE_ENSEMBLE!AJ6</f>
        <v>0</v>
      </c>
      <c r="H366" s="30">
        <f>STORAGE_BALANCE_ENSEMBLE!AH6</f>
        <v>39024736.908796281</v>
      </c>
      <c r="I366" s="18">
        <f t="shared" ref="I366:I429" si="51">I5</f>
        <v>1</v>
      </c>
      <c r="J366" s="8">
        <f t="shared" si="41"/>
        <v>0</v>
      </c>
      <c r="K366" s="9">
        <f t="shared" si="42"/>
        <v>0</v>
      </c>
      <c r="L366" s="10">
        <f t="shared" si="43"/>
        <v>0</v>
      </c>
      <c r="M366" s="10">
        <f>IF(I366&lt;&gt;1,"",IF(H366="","",H366/CONTROL_PANEL!$B$11))</f>
        <v>0.78049473817592563</v>
      </c>
      <c r="N366" s="9">
        <f t="shared" si="44"/>
        <v>0</v>
      </c>
      <c r="O366" s="9">
        <f t="shared" si="45"/>
        <v>0</v>
      </c>
      <c r="P366" s="9">
        <f t="shared" si="46"/>
        <v>0</v>
      </c>
      <c r="Q366" s="9">
        <f t="shared" si="47"/>
        <v>0</v>
      </c>
      <c r="R366" s="11"/>
      <c r="S366" s="11" t="str">
        <f t="shared" si="50"/>
        <v>PASS</v>
      </c>
    </row>
    <row r="367" spans="1:19" x14ac:dyDescent="0.25">
      <c r="A367" s="30" t="s">
        <v>97</v>
      </c>
      <c r="B367" s="31">
        <f t="shared" si="49"/>
        <v>42339</v>
      </c>
      <c r="C367" s="30">
        <f>YEAR(BInputReservoir[[#This Row],[Date]])</f>
        <v>2015</v>
      </c>
      <c r="D367" s="30">
        <f>MONTH(BInputReservoir[[#This Row],[Date]])</f>
        <v>12</v>
      </c>
      <c r="E367" s="30">
        <f>IF(I367&lt;&gt;1,"",DATA_INPUT!$L7)</f>
        <v>0</v>
      </c>
      <c r="F367" s="30">
        <f>STORAGE_BALANCE_ENSEMBLE!AI7</f>
        <v>0</v>
      </c>
      <c r="G367" s="30">
        <f>STORAGE_BALANCE_ENSEMBLE!AJ7</f>
        <v>0</v>
      </c>
      <c r="H367" s="30">
        <f>STORAGE_BALANCE_ENSEMBLE!AH7</f>
        <v>39131395.305964693</v>
      </c>
      <c r="I367" s="18">
        <f t="shared" si="51"/>
        <v>1</v>
      </c>
      <c r="J367" s="8">
        <f t="shared" si="41"/>
        <v>0</v>
      </c>
      <c r="K367" s="9">
        <f t="shared" si="42"/>
        <v>0</v>
      </c>
      <c r="L367" s="10">
        <f t="shared" si="43"/>
        <v>0</v>
      </c>
      <c r="M367" s="10">
        <f>IF(I367&lt;&gt;1,"",IF(H367="","",H367/CONTROL_PANEL!$B$11))</f>
        <v>0.78262790611929389</v>
      </c>
      <c r="N367" s="9">
        <f t="shared" si="44"/>
        <v>0</v>
      </c>
      <c r="O367" s="9">
        <f t="shared" si="45"/>
        <v>0</v>
      </c>
      <c r="P367" s="9">
        <f t="shared" si="46"/>
        <v>0</v>
      </c>
      <c r="Q367" s="9">
        <f t="shared" si="47"/>
        <v>0</v>
      </c>
      <c r="R367" s="11"/>
      <c r="S367" s="11" t="str">
        <f t="shared" si="50"/>
        <v>PASS</v>
      </c>
    </row>
    <row r="368" spans="1:19" x14ac:dyDescent="0.25">
      <c r="A368" s="30" t="s">
        <v>97</v>
      </c>
      <c r="B368" s="31">
        <f t="shared" si="49"/>
        <v>42370</v>
      </c>
      <c r="C368" s="30">
        <f>YEAR(BInputReservoir[[#This Row],[Date]])</f>
        <v>2016</v>
      </c>
      <c r="D368" s="30">
        <f>MONTH(BInputReservoir[[#This Row],[Date]])</f>
        <v>1</v>
      </c>
      <c r="E368" s="30">
        <f>IF(I368&lt;&gt;1,"",DATA_INPUT!$L8)</f>
        <v>0</v>
      </c>
      <c r="F368" s="30">
        <f>STORAGE_BALANCE_ENSEMBLE!AI8</f>
        <v>0</v>
      </c>
      <c r="G368" s="30">
        <f>STORAGE_BALANCE_ENSEMBLE!AJ8</f>
        <v>0</v>
      </c>
      <c r="H368" s="30">
        <f>STORAGE_BALANCE_ENSEMBLE!AH8</f>
        <v>39659872.226584911</v>
      </c>
      <c r="I368" s="18">
        <f t="shared" si="51"/>
        <v>1</v>
      </c>
      <c r="J368" s="8">
        <f t="shared" si="41"/>
        <v>0</v>
      </c>
      <c r="K368" s="9">
        <f t="shared" si="42"/>
        <v>0</v>
      </c>
      <c r="L368" s="10">
        <f t="shared" si="43"/>
        <v>0</v>
      </c>
      <c r="M368" s="10">
        <f>IF(I368&lt;&gt;1,"",IF(H368="","",H368/CONTROL_PANEL!$B$11))</f>
        <v>0.79319744453169827</v>
      </c>
      <c r="N368" s="9">
        <f t="shared" si="44"/>
        <v>0</v>
      </c>
      <c r="O368" s="9">
        <f t="shared" si="45"/>
        <v>0</v>
      </c>
      <c r="P368" s="9">
        <f t="shared" si="46"/>
        <v>0</v>
      </c>
      <c r="Q368" s="9">
        <f t="shared" si="47"/>
        <v>0</v>
      </c>
      <c r="R368" s="11"/>
      <c r="S368" s="11" t="str">
        <f t="shared" si="50"/>
        <v>PASS</v>
      </c>
    </row>
    <row r="369" spans="1:19" x14ac:dyDescent="0.25">
      <c r="A369" s="30" t="s">
        <v>97</v>
      </c>
      <c r="B369" s="31">
        <f t="shared" si="49"/>
        <v>42401</v>
      </c>
      <c r="C369" s="30">
        <f>YEAR(BInputReservoir[[#This Row],[Date]])</f>
        <v>2016</v>
      </c>
      <c r="D369" s="30">
        <f>MONTH(BInputReservoir[[#This Row],[Date]])</f>
        <v>2</v>
      </c>
      <c r="E369" s="30">
        <f>IF(I369&lt;&gt;1,"",DATA_INPUT!$L9)</f>
        <v>0</v>
      </c>
      <c r="F369" s="30">
        <f>STORAGE_BALANCE_ENSEMBLE!AI9</f>
        <v>0</v>
      </c>
      <c r="G369" s="30">
        <f>STORAGE_BALANCE_ENSEMBLE!AJ9</f>
        <v>0</v>
      </c>
      <c r="H369" s="30">
        <f>STORAGE_BALANCE_ENSEMBLE!AH9</f>
        <v>39951026.353448421</v>
      </c>
      <c r="I369" s="18">
        <f t="shared" si="51"/>
        <v>1</v>
      </c>
      <c r="J369" s="8">
        <f t="shared" si="41"/>
        <v>0</v>
      </c>
      <c r="K369" s="9">
        <f t="shared" si="42"/>
        <v>0</v>
      </c>
      <c r="L369" s="10">
        <f t="shared" si="43"/>
        <v>0</v>
      </c>
      <c r="M369" s="10">
        <f>IF(I369&lt;&gt;1,"",IF(H369="","",H369/CONTROL_PANEL!$B$11))</f>
        <v>0.79902052706896842</v>
      </c>
      <c r="N369" s="9">
        <f t="shared" si="44"/>
        <v>0</v>
      </c>
      <c r="O369" s="9">
        <f t="shared" si="45"/>
        <v>0</v>
      </c>
      <c r="P369" s="9">
        <f t="shared" si="46"/>
        <v>0</v>
      </c>
      <c r="Q369" s="9">
        <f t="shared" si="47"/>
        <v>0</v>
      </c>
      <c r="R369" s="11"/>
      <c r="S369" s="11" t="str">
        <f t="shared" si="50"/>
        <v>PASS</v>
      </c>
    </row>
    <row r="370" spans="1:19" x14ac:dyDescent="0.25">
      <c r="A370" s="30" t="s">
        <v>97</v>
      </c>
      <c r="B370" s="31">
        <f t="shared" si="49"/>
        <v>42430</v>
      </c>
      <c r="C370" s="30">
        <f>YEAR(BInputReservoir[[#This Row],[Date]])</f>
        <v>2016</v>
      </c>
      <c r="D370" s="30">
        <f>MONTH(BInputReservoir[[#This Row],[Date]])</f>
        <v>3</v>
      </c>
      <c r="E370" s="30">
        <f>IF(I370&lt;&gt;1,"",DATA_INPUT!$L10)</f>
        <v>0</v>
      </c>
      <c r="F370" s="30">
        <f>STORAGE_BALANCE_ENSEMBLE!AI10</f>
        <v>0</v>
      </c>
      <c r="G370" s="30">
        <f>STORAGE_BALANCE_ENSEMBLE!AJ10</f>
        <v>0</v>
      </c>
      <c r="H370" s="30">
        <f>STORAGE_BALANCE_ENSEMBLE!AH10</f>
        <v>40426903.429343104</v>
      </c>
      <c r="I370" s="18">
        <f t="shared" si="51"/>
        <v>1</v>
      </c>
      <c r="J370" s="8">
        <f t="shared" si="41"/>
        <v>0</v>
      </c>
      <c r="K370" s="9">
        <f t="shared" si="42"/>
        <v>0</v>
      </c>
      <c r="L370" s="10">
        <f t="shared" si="43"/>
        <v>0</v>
      </c>
      <c r="M370" s="10">
        <f>IF(I370&lt;&gt;1,"",IF(H370="","",H370/CONTROL_PANEL!$B$11))</f>
        <v>0.80853806858686206</v>
      </c>
      <c r="N370" s="9">
        <f t="shared" si="44"/>
        <v>0</v>
      </c>
      <c r="O370" s="9">
        <f t="shared" si="45"/>
        <v>0</v>
      </c>
      <c r="P370" s="9">
        <f t="shared" si="46"/>
        <v>0</v>
      </c>
      <c r="Q370" s="9">
        <f t="shared" si="47"/>
        <v>0</v>
      </c>
      <c r="R370" s="11"/>
      <c r="S370" s="11" t="str">
        <f t="shared" si="50"/>
        <v>PASS</v>
      </c>
    </row>
    <row r="371" spans="1:19" x14ac:dyDescent="0.25">
      <c r="A371" s="30" t="s">
        <v>97</v>
      </c>
      <c r="B371" s="31">
        <f t="shared" si="49"/>
        <v>42461</v>
      </c>
      <c r="C371" s="30">
        <f>YEAR(BInputReservoir[[#This Row],[Date]])</f>
        <v>2016</v>
      </c>
      <c r="D371" s="30">
        <f>MONTH(BInputReservoir[[#This Row],[Date]])</f>
        <v>4</v>
      </c>
      <c r="E371" s="30">
        <f>IF(I371&lt;&gt;1,"",DATA_INPUT!$L11)</f>
        <v>32339.153170441212</v>
      </c>
      <c r="F371" s="30">
        <f>STORAGE_BALANCE_ENSEMBLE!AI11</f>
        <v>0</v>
      </c>
      <c r="G371" s="30">
        <f>STORAGE_BALANCE_ENSEMBLE!AJ11</f>
        <v>0</v>
      </c>
      <c r="H371" s="30">
        <f>STORAGE_BALANCE_ENSEMBLE!AH11</f>
        <v>41298610.977752656</v>
      </c>
      <c r="I371" s="18">
        <f t="shared" si="51"/>
        <v>1</v>
      </c>
      <c r="J371" s="8">
        <f t="shared" si="41"/>
        <v>32339.153170441212</v>
      </c>
      <c r="K371" s="9">
        <f t="shared" si="42"/>
        <v>0</v>
      </c>
      <c r="L371" s="10">
        <f t="shared" si="43"/>
        <v>0</v>
      </c>
      <c r="M371" s="10">
        <f>IF(I371&lt;&gt;1,"",IF(H371="","",H371/CONTROL_PANEL!$B$11))</f>
        <v>0.82597221955505307</v>
      </c>
      <c r="N371" s="9">
        <f t="shared" si="44"/>
        <v>0</v>
      </c>
      <c r="O371" s="9">
        <f t="shared" si="45"/>
        <v>0</v>
      </c>
      <c r="P371" s="9">
        <f t="shared" si="46"/>
        <v>0</v>
      </c>
      <c r="Q371" s="9">
        <f t="shared" si="47"/>
        <v>0</v>
      </c>
      <c r="R371" s="11"/>
      <c r="S371" s="11" t="str">
        <f t="shared" si="50"/>
        <v>PASS</v>
      </c>
    </row>
    <row r="372" spans="1:19" x14ac:dyDescent="0.25">
      <c r="A372" s="30" t="s">
        <v>97</v>
      </c>
      <c r="B372" s="31">
        <f t="shared" si="49"/>
        <v>42491</v>
      </c>
      <c r="C372" s="30">
        <f>YEAR(BInputReservoir[[#This Row],[Date]])</f>
        <v>2016</v>
      </c>
      <c r="D372" s="30">
        <f>MONTH(BInputReservoir[[#This Row],[Date]])</f>
        <v>5</v>
      </c>
      <c r="E372" s="30">
        <f>IF(I372&lt;&gt;1,"",DATA_INPUT!$L12)</f>
        <v>115730.35647755317</v>
      </c>
      <c r="F372" s="30">
        <f>STORAGE_BALANCE_ENSEMBLE!AI12</f>
        <v>0</v>
      </c>
      <c r="G372" s="30">
        <f>STORAGE_BALANCE_ENSEMBLE!AJ12</f>
        <v>0</v>
      </c>
      <c r="H372" s="30">
        <f>STORAGE_BALANCE_ENSEMBLE!AH12</f>
        <v>41548584.859433219</v>
      </c>
      <c r="I372" s="18">
        <f t="shared" si="51"/>
        <v>1</v>
      </c>
      <c r="J372" s="8">
        <f t="shared" si="41"/>
        <v>115730.35647755317</v>
      </c>
      <c r="K372" s="9">
        <f t="shared" si="42"/>
        <v>0</v>
      </c>
      <c r="L372" s="10">
        <f t="shared" si="43"/>
        <v>0</v>
      </c>
      <c r="M372" s="10">
        <f>IF(I372&lt;&gt;1,"",IF(H372="","",H372/CONTROL_PANEL!$B$11))</f>
        <v>0.83097169718866437</v>
      </c>
      <c r="N372" s="9">
        <f t="shared" si="44"/>
        <v>0</v>
      </c>
      <c r="O372" s="9">
        <f t="shared" si="45"/>
        <v>0</v>
      </c>
      <c r="P372" s="9">
        <f t="shared" si="46"/>
        <v>0</v>
      </c>
      <c r="Q372" s="9">
        <f t="shared" si="47"/>
        <v>0</v>
      </c>
      <c r="R372" s="11"/>
      <c r="S372" s="11" t="str">
        <f t="shared" si="50"/>
        <v>PASS</v>
      </c>
    </row>
    <row r="373" spans="1:19" x14ac:dyDescent="0.25">
      <c r="A373" s="30" t="s">
        <v>97</v>
      </c>
      <c r="B373" s="31">
        <f t="shared" si="49"/>
        <v>42522</v>
      </c>
      <c r="C373" s="30">
        <f>YEAR(BInputReservoir[[#This Row],[Date]])</f>
        <v>2016</v>
      </c>
      <c r="D373" s="30">
        <f>MONTH(BInputReservoir[[#This Row],[Date]])</f>
        <v>6</v>
      </c>
      <c r="E373" s="30">
        <f>IF(I373&lt;&gt;1,"",DATA_INPUT!$L13)</f>
        <v>1124425.4317282184</v>
      </c>
      <c r="F373" s="30">
        <f>STORAGE_BALANCE_ENSEMBLE!AI13</f>
        <v>0</v>
      </c>
      <c r="G373" s="30">
        <f>STORAGE_BALANCE_ENSEMBLE!AJ13</f>
        <v>0</v>
      </c>
      <c r="H373" s="30">
        <f>STORAGE_BALANCE_ENSEMBLE!AH13</f>
        <v>39693252.564706892</v>
      </c>
      <c r="I373" s="18">
        <f t="shared" si="51"/>
        <v>1</v>
      </c>
      <c r="J373" s="8">
        <f t="shared" si="41"/>
        <v>1124425.4317282184</v>
      </c>
      <c r="K373" s="9">
        <f t="shared" si="42"/>
        <v>0</v>
      </c>
      <c r="L373" s="10">
        <f t="shared" si="43"/>
        <v>0</v>
      </c>
      <c r="M373" s="10">
        <f>IF(I373&lt;&gt;1,"",IF(H373="","",H373/CONTROL_PANEL!$B$11))</f>
        <v>0.79386505129413787</v>
      </c>
      <c r="N373" s="9">
        <f t="shared" si="44"/>
        <v>0</v>
      </c>
      <c r="O373" s="9">
        <f t="shared" si="45"/>
        <v>0</v>
      </c>
      <c r="P373" s="9">
        <f t="shared" si="46"/>
        <v>0</v>
      </c>
      <c r="Q373" s="9">
        <f t="shared" si="47"/>
        <v>0</v>
      </c>
      <c r="R373" s="11"/>
      <c r="S373" s="11" t="str">
        <f t="shared" si="50"/>
        <v>PASS</v>
      </c>
    </row>
    <row r="374" spans="1:19" x14ac:dyDescent="0.25">
      <c r="A374" s="30" t="s">
        <v>97</v>
      </c>
      <c r="B374" s="31">
        <f t="shared" si="49"/>
        <v>42552</v>
      </c>
      <c r="C374" s="30">
        <f>YEAR(BInputReservoir[[#This Row],[Date]])</f>
        <v>2016</v>
      </c>
      <c r="D374" s="30">
        <f>MONTH(BInputReservoir[[#This Row],[Date]])</f>
        <v>7</v>
      </c>
      <c r="E374" s="30">
        <f>IF(I374&lt;&gt;1,"",DATA_INPUT!$L14)</f>
        <v>1973736.0303489363</v>
      </c>
      <c r="F374" s="30">
        <f>STORAGE_BALANCE_ENSEMBLE!AI14</f>
        <v>0</v>
      </c>
      <c r="G374" s="30">
        <f>STORAGE_BALANCE_ENSEMBLE!AJ14</f>
        <v>0</v>
      </c>
      <c r="H374" s="30">
        <f>STORAGE_BALANCE_ENSEMBLE!AH14</f>
        <v>36830179.252833329</v>
      </c>
      <c r="I374" s="18">
        <f t="shared" si="51"/>
        <v>1</v>
      </c>
      <c r="J374" s="8">
        <f t="shared" si="41"/>
        <v>1973736.0303489363</v>
      </c>
      <c r="K374" s="9">
        <f t="shared" si="42"/>
        <v>0</v>
      </c>
      <c r="L374" s="10">
        <f t="shared" si="43"/>
        <v>0</v>
      </c>
      <c r="M374" s="10">
        <f>IF(I374&lt;&gt;1,"",IF(H374="","",H374/CONTROL_PANEL!$B$11))</f>
        <v>0.73660358505666657</v>
      </c>
      <c r="N374" s="9">
        <f t="shared" si="44"/>
        <v>0</v>
      </c>
      <c r="O374" s="9">
        <f t="shared" si="45"/>
        <v>0</v>
      </c>
      <c r="P374" s="9">
        <f t="shared" si="46"/>
        <v>0</v>
      </c>
      <c r="Q374" s="9">
        <f t="shared" si="47"/>
        <v>0</v>
      </c>
      <c r="R374" s="11"/>
      <c r="S374" s="11" t="str">
        <f t="shared" si="50"/>
        <v>PASS</v>
      </c>
    </row>
    <row r="375" spans="1:19" x14ac:dyDescent="0.25">
      <c r="A375" s="30" t="s">
        <v>97</v>
      </c>
      <c r="B375" s="31">
        <f t="shared" si="49"/>
        <v>42583</v>
      </c>
      <c r="C375" s="30">
        <f>YEAR(BInputReservoir[[#This Row],[Date]])</f>
        <v>2016</v>
      </c>
      <c r="D375" s="30">
        <f>MONTH(BInputReservoir[[#This Row],[Date]])</f>
        <v>8</v>
      </c>
      <c r="E375" s="30">
        <f>IF(I375&lt;&gt;1,"",DATA_INPUT!$L15)</f>
        <v>2372617.4151894273</v>
      </c>
      <c r="F375" s="30">
        <f>STORAGE_BALANCE_ENSEMBLE!AI15</f>
        <v>0</v>
      </c>
      <c r="G375" s="30">
        <f>STORAGE_BALANCE_ENSEMBLE!AJ15</f>
        <v>0</v>
      </c>
      <c r="H375" s="30">
        <f>STORAGE_BALANCE_ENSEMBLE!AH15</f>
        <v>33583089.083254874</v>
      </c>
      <c r="I375" s="18">
        <f t="shared" si="51"/>
        <v>1</v>
      </c>
      <c r="J375" s="8">
        <f t="shared" si="41"/>
        <v>2372617.4151894273</v>
      </c>
      <c r="K375" s="9">
        <f t="shared" si="42"/>
        <v>0</v>
      </c>
      <c r="L375" s="10">
        <f t="shared" si="43"/>
        <v>0</v>
      </c>
      <c r="M375" s="10">
        <f>IF(I375&lt;&gt;1,"",IF(H375="","",H375/CONTROL_PANEL!$B$11))</f>
        <v>0.67166178166509749</v>
      </c>
      <c r="N375" s="9">
        <f t="shared" si="44"/>
        <v>0</v>
      </c>
      <c r="O375" s="9">
        <f t="shared" si="45"/>
        <v>0</v>
      </c>
      <c r="P375" s="9">
        <f t="shared" si="46"/>
        <v>0</v>
      </c>
      <c r="Q375" s="9">
        <f t="shared" si="47"/>
        <v>0</v>
      </c>
      <c r="R375" s="11"/>
      <c r="S375" s="11" t="str">
        <f t="shared" si="50"/>
        <v>PASS</v>
      </c>
    </row>
    <row r="376" spans="1:19" x14ac:dyDescent="0.25">
      <c r="A376" s="30" t="s">
        <v>97</v>
      </c>
      <c r="B376" s="31">
        <f t="shared" si="49"/>
        <v>42614</v>
      </c>
      <c r="C376" s="30">
        <f>YEAR(BInputReservoir[[#This Row],[Date]])</f>
        <v>2016</v>
      </c>
      <c r="D376" s="30">
        <f>MONTH(BInputReservoir[[#This Row],[Date]])</f>
        <v>9</v>
      </c>
      <c r="E376" s="30">
        <f>IF(I376&lt;&gt;1,"",DATA_INPUT!$L16)</f>
        <v>966543.28850312147</v>
      </c>
      <c r="F376" s="30">
        <f>STORAGE_BALANCE_ENSEMBLE!AI16</f>
        <v>0</v>
      </c>
      <c r="G376" s="30">
        <f>STORAGE_BALANCE_ENSEMBLE!AJ16</f>
        <v>0</v>
      </c>
      <c r="H376" s="30">
        <f>STORAGE_BALANCE_ENSEMBLE!AH16</f>
        <v>32097271.266341683</v>
      </c>
      <c r="I376" s="18">
        <f t="shared" si="51"/>
        <v>1</v>
      </c>
      <c r="J376" s="8">
        <f t="shared" si="41"/>
        <v>966543.28850312147</v>
      </c>
      <c r="K376" s="9">
        <f t="shared" si="42"/>
        <v>0</v>
      </c>
      <c r="L376" s="10">
        <f t="shared" si="43"/>
        <v>0</v>
      </c>
      <c r="M376" s="10">
        <f>IF(I376&lt;&gt;1,"",IF(H376="","",H376/CONTROL_PANEL!$B$11))</f>
        <v>0.64194542532683363</v>
      </c>
      <c r="N376" s="9">
        <f t="shared" si="44"/>
        <v>0</v>
      </c>
      <c r="O376" s="9">
        <f t="shared" si="45"/>
        <v>0</v>
      </c>
      <c r="P376" s="9">
        <f t="shared" si="46"/>
        <v>0</v>
      </c>
      <c r="Q376" s="9">
        <f t="shared" si="47"/>
        <v>0</v>
      </c>
      <c r="R376" s="11"/>
      <c r="S376" s="11" t="str">
        <f t="shared" si="50"/>
        <v>PASS</v>
      </c>
    </row>
    <row r="377" spans="1:19" x14ac:dyDescent="0.25">
      <c r="A377" s="30" t="s">
        <v>97</v>
      </c>
      <c r="B377" s="31">
        <f t="shared" si="49"/>
        <v>42644</v>
      </c>
      <c r="C377" s="30">
        <f>YEAR(BInputReservoir[[#This Row],[Date]])</f>
        <v>2016</v>
      </c>
      <c r="D377" s="30">
        <f>MONTH(BInputReservoir[[#This Row],[Date]])</f>
        <v>10</v>
      </c>
      <c r="E377" s="30">
        <f>IF(I377&lt;&gt;1,"",DATA_INPUT!$L17)</f>
        <v>312876.66118542751</v>
      </c>
      <c r="F377" s="30">
        <f>STORAGE_BALANCE_ENSEMBLE!AI17</f>
        <v>0</v>
      </c>
      <c r="G377" s="30">
        <f>STORAGE_BALANCE_ENSEMBLE!AJ17</f>
        <v>0</v>
      </c>
      <c r="H377" s="30">
        <f>STORAGE_BALANCE_ENSEMBLE!AH17</f>
        <v>31742152.88531867</v>
      </c>
      <c r="I377" s="18">
        <f t="shared" si="51"/>
        <v>1</v>
      </c>
      <c r="J377" s="8">
        <f t="shared" si="41"/>
        <v>312876.66118542751</v>
      </c>
      <c r="K377" s="9">
        <f t="shared" si="42"/>
        <v>0</v>
      </c>
      <c r="L377" s="10">
        <f t="shared" si="43"/>
        <v>0</v>
      </c>
      <c r="M377" s="10">
        <f>IF(I377&lt;&gt;1,"",IF(H377="","",H377/CONTROL_PANEL!$B$11))</f>
        <v>0.63484305770637339</v>
      </c>
      <c r="N377" s="9">
        <f t="shared" si="44"/>
        <v>0</v>
      </c>
      <c r="O377" s="9">
        <f t="shared" si="45"/>
        <v>0</v>
      </c>
      <c r="P377" s="9">
        <f t="shared" si="46"/>
        <v>0</v>
      </c>
      <c r="Q377" s="9">
        <f t="shared" si="47"/>
        <v>0</v>
      </c>
      <c r="R377" s="11"/>
      <c r="S377" s="11" t="str">
        <f t="shared" si="50"/>
        <v>PASS</v>
      </c>
    </row>
    <row r="378" spans="1:19" x14ac:dyDescent="0.25">
      <c r="A378" s="30" t="s">
        <v>97</v>
      </c>
      <c r="B378" s="31">
        <f t="shared" si="49"/>
        <v>42675</v>
      </c>
      <c r="C378" s="30">
        <f>YEAR(BInputReservoir[[#This Row],[Date]])</f>
        <v>2016</v>
      </c>
      <c r="D378" s="30">
        <f>MONTH(BInputReservoir[[#This Row],[Date]])</f>
        <v>11</v>
      </c>
      <c r="E378" s="30">
        <f>IF(I378&lt;&gt;1,"",DATA_INPUT!$L18)</f>
        <v>0</v>
      </c>
      <c r="F378" s="30">
        <f>STORAGE_BALANCE_ENSEMBLE!AI18</f>
        <v>0</v>
      </c>
      <c r="G378" s="30">
        <f>STORAGE_BALANCE_ENSEMBLE!AJ18</f>
        <v>0</v>
      </c>
      <c r="H378" s="30">
        <f>STORAGE_BALANCE_ENSEMBLE!AH18</f>
        <v>31939990.787824634</v>
      </c>
      <c r="I378" s="18">
        <f t="shared" si="51"/>
        <v>1</v>
      </c>
      <c r="J378" s="8">
        <f t="shared" si="41"/>
        <v>0</v>
      </c>
      <c r="K378" s="9">
        <f t="shared" si="42"/>
        <v>0</v>
      </c>
      <c r="L378" s="10">
        <f t="shared" si="43"/>
        <v>0</v>
      </c>
      <c r="M378" s="10">
        <f>IF(I378&lt;&gt;1,"",IF(H378="","",H378/CONTROL_PANEL!$B$11))</f>
        <v>0.63879981575649269</v>
      </c>
      <c r="N378" s="9">
        <f t="shared" si="44"/>
        <v>0</v>
      </c>
      <c r="O378" s="9">
        <f t="shared" si="45"/>
        <v>0</v>
      </c>
      <c r="P378" s="9">
        <f t="shared" si="46"/>
        <v>0</v>
      </c>
      <c r="Q378" s="9">
        <f t="shared" si="47"/>
        <v>0</v>
      </c>
      <c r="R378" s="11"/>
      <c r="S378" s="11" t="str">
        <f t="shared" si="50"/>
        <v>PASS</v>
      </c>
    </row>
    <row r="379" spans="1:19" x14ac:dyDescent="0.25">
      <c r="A379" s="30" t="s">
        <v>97</v>
      </c>
      <c r="B379" s="31">
        <f t="shared" si="49"/>
        <v>42705</v>
      </c>
      <c r="C379" s="30">
        <f>YEAR(BInputReservoir[[#This Row],[Date]])</f>
        <v>2016</v>
      </c>
      <c r="D379" s="30">
        <f>MONTH(BInputReservoir[[#This Row],[Date]])</f>
        <v>12</v>
      </c>
      <c r="E379" s="30">
        <f>IF(I379&lt;&gt;1,"",DATA_INPUT!$L19)</f>
        <v>0</v>
      </c>
      <c r="F379" s="30">
        <f>STORAGE_BALANCE_ENSEMBLE!AI19</f>
        <v>0</v>
      </c>
      <c r="G379" s="30">
        <f>STORAGE_BALANCE_ENSEMBLE!AJ19</f>
        <v>0</v>
      </c>
      <c r="H379" s="30">
        <f>STORAGE_BALANCE_ENSEMBLE!AH19</f>
        <v>32109213.834352925</v>
      </c>
      <c r="I379" s="18">
        <f t="shared" si="51"/>
        <v>1</v>
      </c>
      <c r="J379" s="8">
        <f t="shared" si="41"/>
        <v>0</v>
      </c>
      <c r="K379" s="9">
        <f t="shared" si="42"/>
        <v>0</v>
      </c>
      <c r="L379" s="10">
        <f t="shared" si="43"/>
        <v>0</v>
      </c>
      <c r="M379" s="10">
        <f>IF(I379&lt;&gt;1,"",IF(H379="","",H379/CONTROL_PANEL!$B$11))</f>
        <v>0.64218427668705846</v>
      </c>
      <c r="N379" s="9">
        <f t="shared" si="44"/>
        <v>0</v>
      </c>
      <c r="O379" s="9">
        <f t="shared" si="45"/>
        <v>0</v>
      </c>
      <c r="P379" s="9">
        <f t="shared" si="46"/>
        <v>0</v>
      </c>
      <c r="Q379" s="9">
        <f t="shared" si="47"/>
        <v>0</v>
      </c>
      <c r="R379" s="11"/>
      <c r="S379" s="11" t="str">
        <f t="shared" si="50"/>
        <v>PASS</v>
      </c>
    </row>
    <row r="380" spans="1:19" x14ac:dyDescent="0.25">
      <c r="A380" s="30" t="s">
        <v>97</v>
      </c>
      <c r="B380" s="31">
        <f t="shared" si="49"/>
        <v>42736</v>
      </c>
      <c r="C380" s="30">
        <f>YEAR(BInputReservoir[[#This Row],[Date]])</f>
        <v>2017</v>
      </c>
      <c r="D380" s="30">
        <f>MONTH(BInputReservoir[[#This Row],[Date]])</f>
        <v>1</v>
      </c>
      <c r="E380" s="30">
        <f>IF(I380&lt;&gt;1,"",DATA_INPUT!$L20)</f>
        <v>0</v>
      </c>
      <c r="F380" s="30">
        <f>STORAGE_BALANCE_ENSEMBLE!AI20</f>
        <v>0</v>
      </c>
      <c r="G380" s="30">
        <f>STORAGE_BALANCE_ENSEMBLE!AJ20</f>
        <v>0</v>
      </c>
      <c r="H380" s="30">
        <f>STORAGE_BALANCE_ENSEMBLE!AH20</f>
        <v>32220112.998891037</v>
      </c>
      <c r="I380" s="18">
        <f t="shared" si="51"/>
        <v>1</v>
      </c>
      <c r="J380" s="8">
        <f t="shared" si="41"/>
        <v>0</v>
      </c>
      <c r="K380" s="9">
        <f t="shared" si="42"/>
        <v>0</v>
      </c>
      <c r="L380" s="10">
        <f t="shared" si="43"/>
        <v>0</v>
      </c>
      <c r="M380" s="10">
        <f>IF(I380&lt;&gt;1,"",IF(H380="","",H380/CONTROL_PANEL!$B$11))</f>
        <v>0.64440225997782075</v>
      </c>
      <c r="N380" s="9">
        <f t="shared" si="44"/>
        <v>0</v>
      </c>
      <c r="O380" s="9">
        <f t="shared" si="45"/>
        <v>0</v>
      </c>
      <c r="P380" s="9">
        <f t="shared" si="46"/>
        <v>0</v>
      </c>
      <c r="Q380" s="9">
        <f t="shared" si="47"/>
        <v>0</v>
      </c>
      <c r="R380" s="11"/>
      <c r="S380" s="11" t="str">
        <f t="shared" si="50"/>
        <v>PASS</v>
      </c>
    </row>
    <row r="381" spans="1:19" x14ac:dyDescent="0.25">
      <c r="A381" s="30" t="s">
        <v>97</v>
      </c>
      <c r="B381" s="31">
        <f t="shared" si="49"/>
        <v>42767</v>
      </c>
      <c r="C381" s="30">
        <f>YEAR(BInputReservoir[[#This Row],[Date]])</f>
        <v>2017</v>
      </c>
      <c r="D381" s="30">
        <f>MONTH(BInputReservoir[[#This Row],[Date]])</f>
        <v>2</v>
      </c>
      <c r="E381" s="30">
        <f>IF(I381&lt;&gt;1,"",DATA_INPUT!$L21)</f>
        <v>0</v>
      </c>
      <c r="F381" s="30">
        <f>STORAGE_BALANCE_ENSEMBLE!AI21</f>
        <v>0</v>
      </c>
      <c r="G381" s="30">
        <f>STORAGE_BALANCE_ENSEMBLE!AJ21</f>
        <v>0</v>
      </c>
      <c r="H381" s="30">
        <f>STORAGE_BALANCE_ENSEMBLE!AH21</f>
        <v>32679298.71359038</v>
      </c>
      <c r="I381" s="18">
        <f t="shared" si="51"/>
        <v>1</v>
      </c>
      <c r="J381" s="8">
        <f t="shared" si="41"/>
        <v>0</v>
      </c>
      <c r="K381" s="9">
        <f t="shared" si="42"/>
        <v>0</v>
      </c>
      <c r="L381" s="10">
        <f t="shared" si="43"/>
        <v>0</v>
      </c>
      <c r="M381" s="10">
        <f>IF(I381&lt;&gt;1,"",IF(H381="","",H381/CONTROL_PANEL!$B$11))</f>
        <v>0.65358597427180765</v>
      </c>
      <c r="N381" s="9">
        <f t="shared" si="44"/>
        <v>0</v>
      </c>
      <c r="O381" s="9">
        <f t="shared" si="45"/>
        <v>0</v>
      </c>
      <c r="P381" s="9">
        <f t="shared" si="46"/>
        <v>0</v>
      </c>
      <c r="Q381" s="9">
        <f t="shared" si="47"/>
        <v>0</v>
      </c>
      <c r="R381" s="11"/>
      <c r="S381" s="11" t="str">
        <f t="shared" si="50"/>
        <v>PASS</v>
      </c>
    </row>
    <row r="382" spans="1:19" x14ac:dyDescent="0.25">
      <c r="A382" s="30" t="s">
        <v>97</v>
      </c>
      <c r="B382" s="31">
        <f t="shared" si="49"/>
        <v>42795</v>
      </c>
      <c r="C382" s="30">
        <f>YEAR(BInputReservoir[[#This Row],[Date]])</f>
        <v>2017</v>
      </c>
      <c r="D382" s="30">
        <f>MONTH(BInputReservoir[[#This Row],[Date]])</f>
        <v>3</v>
      </c>
      <c r="E382" s="30">
        <f>IF(I382&lt;&gt;1,"",DATA_INPUT!$L22)</f>
        <v>0</v>
      </c>
      <c r="F382" s="30">
        <f>STORAGE_BALANCE_ENSEMBLE!AI22</f>
        <v>0</v>
      </c>
      <c r="G382" s="30">
        <f>STORAGE_BALANCE_ENSEMBLE!AJ22</f>
        <v>0</v>
      </c>
      <c r="H382" s="30">
        <f>STORAGE_BALANCE_ENSEMBLE!AH22</f>
        <v>32969664.594684765</v>
      </c>
      <c r="I382" s="18">
        <f t="shared" si="51"/>
        <v>1</v>
      </c>
      <c r="J382" s="8">
        <f t="shared" si="41"/>
        <v>0</v>
      </c>
      <c r="K382" s="9">
        <f t="shared" si="42"/>
        <v>0</v>
      </c>
      <c r="L382" s="10">
        <f t="shared" si="43"/>
        <v>0</v>
      </c>
      <c r="M382" s="10">
        <f>IF(I382&lt;&gt;1,"",IF(H382="","",H382/CONTROL_PANEL!$B$11))</f>
        <v>0.65939329189369533</v>
      </c>
      <c r="N382" s="9">
        <f t="shared" si="44"/>
        <v>0</v>
      </c>
      <c r="O382" s="9">
        <f t="shared" si="45"/>
        <v>0</v>
      </c>
      <c r="P382" s="9">
        <f t="shared" si="46"/>
        <v>0</v>
      </c>
      <c r="Q382" s="9">
        <f t="shared" si="47"/>
        <v>0</v>
      </c>
      <c r="R382" s="11"/>
      <c r="S382" s="11" t="str">
        <f t="shared" si="50"/>
        <v>PASS</v>
      </c>
    </row>
    <row r="383" spans="1:19" x14ac:dyDescent="0.25">
      <c r="A383" s="30" t="s">
        <v>97</v>
      </c>
      <c r="B383" s="31">
        <f t="shared" si="49"/>
        <v>42826</v>
      </c>
      <c r="C383" s="30">
        <f>YEAR(BInputReservoir[[#This Row],[Date]])</f>
        <v>2017</v>
      </c>
      <c r="D383" s="30">
        <f>MONTH(BInputReservoir[[#This Row],[Date]])</f>
        <v>4</v>
      </c>
      <c r="E383" s="30">
        <f>IF(I383&lt;&gt;1,"",DATA_INPUT!$L23)</f>
        <v>479261.33898832981</v>
      </c>
      <c r="F383" s="30">
        <f>STORAGE_BALANCE_ENSEMBLE!AI23</f>
        <v>0</v>
      </c>
      <c r="G383" s="30">
        <f>STORAGE_BALANCE_ENSEMBLE!AJ23</f>
        <v>0</v>
      </c>
      <c r="H383" s="30">
        <f>STORAGE_BALANCE_ENSEMBLE!AH23</f>
        <v>32167334.453105371</v>
      </c>
      <c r="I383" s="18">
        <f t="shared" si="51"/>
        <v>1</v>
      </c>
      <c r="J383" s="8">
        <f t="shared" si="41"/>
        <v>479261.33898832981</v>
      </c>
      <c r="K383" s="9">
        <f t="shared" si="42"/>
        <v>0</v>
      </c>
      <c r="L383" s="10">
        <f t="shared" si="43"/>
        <v>0</v>
      </c>
      <c r="M383" s="10">
        <f>IF(I383&lt;&gt;1,"",IF(H383="","",H383/CONTROL_PANEL!$B$11))</f>
        <v>0.64334668906210746</v>
      </c>
      <c r="N383" s="9">
        <f t="shared" si="44"/>
        <v>0</v>
      </c>
      <c r="O383" s="9">
        <f t="shared" si="45"/>
        <v>0</v>
      </c>
      <c r="P383" s="9">
        <f t="shared" si="46"/>
        <v>0</v>
      </c>
      <c r="Q383" s="9">
        <f t="shared" si="47"/>
        <v>0</v>
      </c>
      <c r="R383" s="11"/>
      <c r="S383" s="11" t="str">
        <f t="shared" si="50"/>
        <v>PASS</v>
      </c>
    </row>
    <row r="384" spans="1:19" x14ac:dyDescent="0.25">
      <c r="A384" s="30" t="s">
        <v>97</v>
      </c>
      <c r="B384" s="31">
        <f t="shared" si="49"/>
        <v>42856</v>
      </c>
      <c r="C384" s="30">
        <f>YEAR(BInputReservoir[[#This Row],[Date]])</f>
        <v>2017</v>
      </c>
      <c r="D384" s="30">
        <f>MONTH(BInputReservoir[[#This Row],[Date]])</f>
        <v>5</v>
      </c>
      <c r="E384" s="30">
        <f>IF(I384&lt;&gt;1,"",DATA_INPUT!$L24)</f>
        <v>276912.65820814337</v>
      </c>
      <c r="F384" s="30">
        <f>STORAGE_BALANCE_ENSEMBLE!AI24</f>
        <v>0</v>
      </c>
      <c r="G384" s="30">
        <f>STORAGE_BALANCE_ENSEMBLE!AJ24</f>
        <v>0</v>
      </c>
      <c r="H384" s="30">
        <f>STORAGE_BALANCE_ENSEMBLE!AH24</f>
        <v>31658602.716904424</v>
      </c>
      <c r="I384" s="18">
        <f t="shared" si="51"/>
        <v>1</v>
      </c>
      <c r="J384" s="8">
        <f t="shared" si="41"/>
        <v>276912.65820814337</v>
      </c>
      <c r="K384" s="9">
        <f t="shared" si="42"/>
        <v>0</v>
      </c>
      <c r="L384" s="10">
        <f t="shared" si="43"/>
        <v>0</v>
      </c>
      <c r="M384" s="10">
        <f>IF(I384&lt;&gt;1,"",IF(H384="","",H384/CONTROL_PANEL!$B$11))</f>
        <v>0.63317205433808843</v>
      </c>
      <c r="N384" s="9">
        <f t="shared" si="44"/>
        <v>0</v>
      </c>
      <c r="O384" s="9">
        <f t="shared" si="45"/>
        <v>0</v>
      </c>
      <c r="P384" s="9">
        <f t="shared" si="46"/>
        <v>0</v>
      </c>
      <c r="Q384" s="9">
        <f t="shared" si="47"/>
        <v>0</v>
      </c>
      <c r="R384" s="11"/>
      <c r="S384" s="11" t="str">
        <f t="shared" si="50"/>
        <v>PASS</v>
      </c>
    </row>
    <row r="385" spans="1:19" x14ac:dyDescent="0.25">
      <c r="A385" s="30" t="s">
        <v>97</v>
      </c>
      <c r="B385" s="31">
        <f t="shared" si="49"/>
        <v>42887</v>
      </c>
      <c r="C385" s="30">
        <f>YEAR(BInputReservoir[[#This Row],[Date]])</f>
        <v>2017</v>
      </c>
      <c r="D385" s="30">
        <f>MONTH(BInputReservoir[[#This Row],[Date]])</f>
        <v>6</v>
      </c>
      <c r="E385" s="30">
        <f>IF(I385&lt;&gt;1,"",DATA_INPUT!$L25)</f>
        <v>1381067.4971373866</v>
      </c>
      <c r="F385" s="30">
        <f>STORAGE_BALANCE_ENSEMBLE!AI25</f>
        <v>0</v>
      </c>
      <c r="G385" s="30">
        <f>STORAGE_BALANCE_ENSEMBLE!AJ25</f>
        <v>0</v>
      </c>
      <c r="H385" s="30">
        <f>STORAGE_BALANCE_ENSEMBLE!AH25</f>
        <v>29592932.710390598</v>
      </c>
      <c r="I385" s="18">
        <f t="shared" si="51"/>
        <v>1</v>
      </c>
      <c r="J385" s="8">
        <f t="shared" si="41"/>
        <v>1381067.4971373866</v>
      </c>
      <c r="K385" s="9">
        <f t="shared" si="42"/>
        <v>0</v>
      </c>
      <c r="L385" s="10">
        <f t="shared" si="43"/>
        <v>0</v>
      </c>
      <c r="M385" s="10">
        <f>IF(I385&lt;&gt;1,"",IF(H385="","",H385/CONTROL_PANEL!$B$11))</f>
        <v>0.59185865420781192</v>
      </c>
      <c r="N385" s="9">
        <f t="shared" si="44"/>
        <v>0</v>
      </c>
      <c r="O385" s="9">
        <f t="shared" si="45"/>
        <v>0</v>
      </c>
      <c r="P385" s="9">
        <f t="shared" si="46"/>
        <v>0</v>
      </c>
      <c r="Q385" s="9">
        <f t="shared" si="47"/>
        <v>0</v>
      </c>
      <c r="R385" s="11"/>
      <c r="S385" s="11" t="str">
        <f t="shared" si="50"/>
        <v>PASS</v>
      </c>
    </row>
    <row r="386" spans="1:19" x14ac:dyDescent="0.25">
      <c r="A386" s="30" t="s">
        <v>97</v>
      </c>
      <c r="B386" s="31">
        <f t="shared" si="49"/>
        <v>42917</v>
      </c>
      <c r="C386" s="30">
        <f>YEAR(BInputReservoir[[#This Row],[Date]])</f>
        <v>2017</v>
      </c>
      <c r="D386" s="30">
        <f>MONTH(BInputReservoir[[#This Row],[Date]])</f>
        <v>7</v>
      </c>
      <c r="E386" s="30">
        <f>IF(I386&lt;&gt;1,"",DATA_INPUT!$L26)</f>
        <v>2431776.8962272569</v>
      </c>
      <c r="F386" s="30">
        <f>STORAGE_BALANCE_ENSEMBLE!AI26</f>
        <v>0</v>
      </c>
      <c r="G386" s="30">
        <f>STORAGE_BALANCE_ENSEMBLE!AJ26</f>
        <v>0</v>
      </c>
      <c r="H386" s="30">
        <f>STORAGE_BALANCE_ENSEMBLE!AH26</f>
        <v>26394429.575510181</v>
      </c>
      <c r="I386" s="18">
        <f t="shared" si="51"/>
        <v>1</v>
      </c>
      <c r="J386" s="8">
        <f t="shared" si="41"/>
        <v>2431776.8962272569</v>
      </c>
      <c r="K386" s="9">
        <f t="shared" si="42"/>
        <v>0</v>
      </c>
      <c r="L386" s="10">
        <f t="shared" si="43"/>
        <v>0</v>
      </c>
      <c r="M386" s="10">
        <f>IF(I386&lt;&gt;1,"",IF(H386="","",H386/CONTROL_PANEL!$B$11))</f>
        <v>0.52788859151020362</v>
      </c>
      <c r="N386" s="9">
        <f t="shared" si="44"/>
        <v>0</v>
      </c>
      <c r="O386" s="9">
        <f t="shared" si="45"/>
        <v>0</v>
      </c>
      <c r="P386" s="9">
        <f t="shared" si="46"/>
        <v>0</v>
      </c>
      <c r="Q386" s="9">
        <f t="shared" si="47"/>
        <v>0</v>
      </c>
      <c r="R386" s="11"/>
      <c r="S386" s="11" t="str">
        <f t="shared" si="50"/>
        <v>PASS</v>
      </c>
    </row>
    <row r="387" spans="1:19" x14ac:dyDescent="0.25">
      <c r="A387" s="30" t="s">
        <v>97</v>
      </c>
      <c r="B387" s="31">
        <f t="shared" si="49"/>
        <v>42948</v>
      </c>
      <c r="C387" s="30">
        <f>YEAR(BInputReservoir[[#This Row],[Date]])</f>
        <v>2017</v>
      </c>
      <c r="D387" s="30">
        <f>MONTH(BInputReservoir[[#This Row],[Date]])</f>
        <v>8</v>
      </c>
      <c r="E387" s="30">
        <f>IF(I387&lt;&gt;1,"",DATA_INPUT!$L27)</f>
        <v>1588730.703421592</v>
      </c>
      <c r="F387" s="30">
        <f>STORAGE_BALANCE_ENSEMBLE!AI27</f>
        <v>0</v>
      </c>
      <c r="G387" s="30">
        <f>STORAGE_BALANCE_ENSEMBLE!AJ27</f>
        <v>0</v>
      </c>
      <c r="H387" s="30">
        <f>STORAGE_BALANCE_ENSEMBLE!AH27</f>
        <v>24168040.344552007</v>
      </c>
      <c r="I387" s="18">
        <f t="shared" si="51"/>
        <v>1</v>
      </c>
      <c r="J387" s="8">
        <f t="shared" si="41"/>
        <v>1588730.703421592</v>
      </c>
      <c r="K387" s="9">
        <f t="shared" si="42"/>
        <v>0</v>
      </c>
      <c r="L387" s="10">
        <f t="shared" si="43"/>
        <v>0</v>
      </c>
      <c r="M387" s="10">
        <f>IF(I387&lt;&gt;1,"",IF(H387="","",H387/CONTROL_PANEL!$B$11))</f>
        <v>0.48336080689104011</v>
      </c>
      <c r="N387" s="9">
        <f t="shared" si="44"/>
        <v>0</v>
      </c>
      <c r="O387" s="9">
        <f t="shared" si="45"/>
        <v>0</v>
      </c>
      <c r="P387" s="9">
        <f t="shared" si="46"/>
        <v>0</v>
      </c>
      <c r="Q387" s="9">
        <f t="shared" si="47"/>
        <v>0</v>
      </c>
      <c r="R387" s="11"/>
      <c r="S387" s="11" t="str">
        <f t="shared" si="50"/>
        <v>PASS</v>
      </c>
    </row>
    <row r="388" spans="1:19" x14ac:dyDescent="0.25">
      <c r="A388" s="30" t="s">
        <v>97</v>
      </c>
      <c r="B388" s="31">
        <f t="shared" si="49"/>
        <v>42979</v>
      </c>
      <c r="C388" s="30">
        <f>YEAR(BInputReservoir[[#This Row],[Date]])</f>
        <v>2017</v>
      </c>
      <c r="D388" s="30">
        <f>MONTH(BInputReservoir[[#This Row],[Date]])</f>
        <v>9</v>
      </c>
      <c r="E388" s="30">
        <f>IF(I388&lt;&gt;1,"",DATA_INPUT!$L28)</f>
        <v>946943.89607429807</v>
      </c>
      <c r="F388" s="30">
        <f>STORAGE_BALANCE_ENSEMBLE!AI28</f>
        <v>0</v>
      </c>
      <c r="G388" s="30">
        <f>STORAGE_BALANCE_ENSEMBLE!AJ28</f>
        <v>0</v>
      </c>
      <c r="H388" s="30">
        <f>STORAGE_BALANCE_ENSEMBLE!AH28</f>
        <v>22771625.71660579</v>
      </c>
      <c r="I388" s="18">
        <f t="shared" si="51"/>
        <v>1</v>
      </c>
      <c r="J388" s="8">
        <f t="shared" si="41"/>
        <v>946943.89607429807</v>
      </c>
      <c r="K388" s="9">
        <f t="shared" si="42"/>
        <v>0</v>
      </c>
      <c r="L388" s="10">
        <f t="shared" si="43"/>
        <v>0</v>
      </c>
      <c r="M388" s="10">
        <f>IF(I388&lt;&gt;1,"",IF(H388="","",H388/CONTROL_PANEL!$B$11))</f>
        <v>0.45543251433211579</v>
      </c>
      <c r="N388" s="9">
        <f t="shared" si="44"/>
        <v>0</v>
      </c>
      <c r="O388" s="9">
        <f t="shared" si="45"/>
        <v>0</v>
      </c>
      <c r="P388" s="9">
        <f t="shared" si="46"/>
        <v>0</v>
      </c>
      <c r="Q388" s="9">
        <f t="shared" si="47"/>
        <v>0</v>
      </c>
      <c r="R388" s="11"/>
      <c r="S388" s="11" t="str">
        <f t="shared" si="50"/>
        <v>PASS</v>
      </c>
    </row>
    <row r="389" spans="1:19" x14ac:dyDescent="0.25">
      <c r="A389" s="30" t="s">
        <v>97</v>
      </c>
      <c r="B389" s="31">
        <f t="shared" si="49"/>
        <v>43009</v>
      </c>
      <c r="C389" s="30">
        <f>YEAR(BInputReservoir[[#This Row],[Date]])</f>
        <v>2017</v>
      </c>
      <c r="D389" s="30">
        <f>MONTH(BInputReservoir[[#This Row],[Date]])</f>
        <v>10</v>
      </c>
      <c r="E389" s="30">
        <f>IF(I389&lt;&gt;1,"",DATA_INPUT!$L29)</f>
        <v>402329.62934352393</v>
      </c>
      <c r="F389" s="30">
        <f>STORAGE_BALANCE_ENSEMBLE!AI29</f>
        <v>0</v>
      </c>
      <c r="G389" s="30">
        <f>STORAGE_BALANCE_ENSEMBLE!AJ29</f>
        <v>0</v>
      </c>
      <c r="H389" s="30">
        <f>STORAGE_BALANCE_ENSEMBLE!AH29</f>
        <v>22197066.14756215</v>
      </c>
      <c r="I389" s="18">
        <f t="shared" si="51"/>
        <v>1</v>
      </c>
      <c r="J389" s="8">
        <f t="shared" ref="J389:J452" si="52">IF(I389&lt;&gt;1,"",IF(E389="","",MAX(0,E389-G389)))</f>
        <v>402329.62934352393</v>
      </c>
      <c r="K389" s="9">
        <f t="shared" ref="K389:K452" si="53">IF(I389&lt;&gt;1,"",IF(OR(G389="",E389=""),"",IF(G389&gt;0,1,0)))</f>
        <v>0</v>
      </c>
      <c r="L389" s="10">
        <f t="shared" ref="L389:L452" si="54">IF(I389&lt;&gt;1,"",IF(AND(K389=1,E389&gt;0),G389/E389,0))</f>
        <v>0</v>
      </c>
      <c r="M389" s="10">
        <f>IF(I389&lt;&gt;1,"",IF(H389="","",H389/CONTROL_PANEL!$B$11))</f>
        <v>0.443941322951243</v>
      </c>
      <c r="N389" s="9">
        <f t="shared" ref="N389:N452" si="55">IF(I389&lt;&gt;1,"",IF(AND(K389=1,A390=A389),1,0))</f>
        <v>0</v>
      </c>
      <c r="O389" s="9">
        <f t="shared" ref="O389:O452" si="56">IF(I389&lt;&gt;1,"",IF(AND(K389=1,A390=A389,K390=0),1,0))</f>
        <v>0</v>
      </c>
      <c r="P389" s="9">
        <f t="shared" ref="P389:P452" si="57">IF(I389&lt;&gt;1,"",IF(F389&gt;0,1,0))</f>
        <v>0</v>
      </c>
      <c r="Q389" s="9">
        <f t="shared" ref="Q389:Q452" si="58">IF(I389&lt;&gt;1,"",IF(G389&gt;0,1,0))</f>
        <v>0</v>
      </c>
      <c r="R389" s="11"/>
      <c r="S389" s="11" t="str">
        <f t="shared" si="50"/>
        <v>PASS</v>
      </c>
    </row>
    <row r="390" spans="1:19" x14ac:dyDescent="0.25">
      <c r="A390" s="30" t="s">
        <v>97</v>
      </c>
      <c r="B390" s="31">
        <f t="shared" si="49"/>
        <v>43040</v>
      </c>
      <c r="C390" s="30">
        <f>YEAR(BInputReservoir[[#This Row],[Date]])</f>
        <v>2017</v>
      </c>
      <c r="D390" s="30">
        <f>MONTH(BInputReservoir[[#This Row],[Date]])</f>
        <v>11</v>
      </c>
      <c r="E390" s="30">
        <f>IF(I390&lt;&gt;1,"",DATA_INPUT!$L30)</f>
        <v>0</v>
      </c>
      <c r="F390" s="30">
        <f>STORAGE_BALANCE_ENSEMBLE!AI30</f>
        <v>0</v>
      </c>
      <c r="G390" s="30">
        <f>STORAGE_BALANCE_ENSEMBLE!AJ30</f>
        <v>0</v>
      </c>
      <c r="H390" s="30">
        <f>STORAGE_BALANCE_ENSEMBLE!AH30</f>
        <v>22235726.759836156</v>
      </c>
      <c r="I390" s="18">
        <f t="shared" si="51"/>
        <v>1</v>
      </c>
      <c r="J390" s="8">
        <f t="shared" si="52"/>
        <v>0</v>
      </c>
      <c r="K390" s="9">
        <f t="shared" si="53"/>
        <v>0</v>
      </c>
      <c r="L390" s="10">
        <f t="shared" si="54"/>
        <v>0</v>
      </c>
      <c r="M390" s="10">
        <f>IF(I390&lt;&gt;1,"",IF(H390="","",H390/CONTROL_PANEL!$B$11))</f>
        <v>0.4447145351967231</v>
      </c>
      <c r="N390" s="9">
        <f t="shared" si="55"/>
        <v>0</v>
      </c>
      <c r="O390" s="9">
        <f t="shared" si="56"/>
        <v>0</v>
      </c>
      <c r="P390" s="9">
        <f t="shared" si="57"/>
        <v>0</v>
      </c>
      <c r="Q390" s="9">
        <f t="shared" si="58"/>
        <v>0</v>
      </c>
      <c r="R390" s="11"/>
      <c r="S390" s="11" t="str">
        <f t="shared" si="50"/>
        <v>PASS</v>
      </c>
    </row>
    <row r="391" spans="1:19" x14ac:dyDescent="0.25">
      <c r="A391" s="30" t="s">
        <v>97</v>
      </c>
      <c r="B391" s="31">
        <f t="shared" si="49"/>
        <v>43070</v>
      </c>
      <c r="C391" s="30">
        <f>YEAR(BInputReservoir[[#This Row],[Date]])</f>
        <v>2017</v>
      </c>
      <c r="D391" s="30">
        <f>MONTH(BInputReservoir[[#This Row],[Date]])</f>
        <v>12</v>
      </c>
      <c r="E391" s="30">
        <f>IF(I391&lt;&gt;1,"",DATA_INPUT!$L31)</f>
        <v>0</v>
      </c>
      <c r="F391" s="30">
        <f>STORAGE_BALANCE_ENSEMBLE!AI31</f>
        <v>0</v>
      </c>
      <c r="G391" s="30">
        <f>STORAGE_BALANCE_ENSEMBLE!AJ31</f>
        <v>0</v>
      </c>
      <c r="H391" s="30">
        <f>STORAGE_BALANCE_ENSEMBLE!AH31</f>
        <v>22334815.113016501</v>
      </c>
      <c r="I391" s="18">
        <f t="shared" si="51"/>
        <v>1</v>
      </c>
      <c r="J391" s="8">
        <f t="shared" si="52"/>
        <v>0</v>
      </c>
      <c r="K391" s="9">
        <f t="shared" si="53"/>
        <v>0</v>
      </c>
      <c r="L391" s="10">
        <f t="shared" si="54"/>
        <v>0</v>
      </c>
      <c r="M391" s="10">
        <f>IF(I391&lt;&gt;1,"",IF(H391="","",H391/CONTROL_PANEL!$B$11))</f>
        <v>0.44669630226033002</v>
      </c>
      <c r="N391" s="9">
        <f t="shared" si="55"/>
        <v>0</v>
      </c>
      <c r="O391" s="9">
        <f t="shared" si="56"/>
        <v>0</v>
      </c>
      <c r="P391" s="9">
        <f t="shared" si="57"/>
        <v>0</v>
      </c>
      <c r="Q391" s="9">
        <f t="shared" si="58"/>
        <v>0</v>
      </c>
      <c r="R391" s="11"/>
      <c r="S391" s="11" t="str">
        <f t="shared" si="50"/>
        <v>PASS</v>
      </c>
    </row>
    <row r="392" spans="1:19" x14ac:dyDescent="0.25">
      <c r="A392" s="30" t="s">
        <v>97</v>
      </c>
      <c r="B392" s="31">
        <f t="shared" si="49"/>
        <v>43101</v>
      </c>
      <c r="C392" s="30">
        <f>YEAR(BInputReservoir[[#This Row],[Date]])</f>
        <v>2018</v>
      </c>
      <c r="D392" s="30">
        <f>MONTH(BInputReservoir[[#This Row],[Date]])</f>
        <v>1</v>
      </c>
      <c r="E392" s="30">
        <f>IF(I392&lt;&gt;1,"",DATA_INPUT!$L32)</f>
        <v>0</v>
      </c>
      <c r="F392" s="30">
        <f>STORAGE_BALANCE_ENSEMBLE!AI32</f>
        <v>0</v>
      </c>
      <c r="G392" s="30">
        <f>STORAGE_BALANCE_ENSEMBLE!AJ32</f>
        <v>0</v>
      </c>
      <c r="H392" s="30">
        <f>STORAGE_BALANCE_ENSEMBLE!AH32</f>
        <v>22438566.693692449</v>
      </c>
      <c r="I392" s="18">
        <f t="shared" si="51"/>
        <v>1</v>
      </c>
      <c r="J392" s="8">
        <f t="shared" si="52"/>
        <v>0</v>
      </c>
      <c r="K392" s="9">
        <f t="shared" si="53"/>
        <v>0</v>
      </c>
      <c r="L392" s="10">
        <f t="shared" si="54"/>
        <v>0</v>
      </c>
      <c r="M392" s="10">
        <f>IF(I392&lt;&gt;1,"",IF(H392="","",H392/CONTROL_PANEL!$B$11))</f>
        <v>0.44877133387384899</v>
      </c>
      <c r="N392" s="9">
        <f t="shared" si="55"/>
        <v>0</v>
      </c>
      <c r="O392" s="9">
        <f t="shared" si="56"/>
        <v>0</v>
      </c>
      <c r="P392" s="9">
        <f t="shared" si="57"/>
        <v>0</v>
      </c>
      <c r="Q392" s="9">
        <f t="shared" si="58"/>
        <v>0</v>
      </c>
      <c r="R392" s="11"/>
      <c r="S392" s="11" t="str">
        <f t="shared" si="50"/>
        <v>PASS</v>
      </c>
    </row>
    <row r="393" spans="1:19" x14ac:dyDescent="0.25">
      <c r="A393" s="30" t="s">
        <v>97</v>
      </c>
      <c r="B393" s="31">
        <f t="shared" si="49"/>
        <v>43132</v>
      </c>
      <c r="C393" s="30">
        <f>YEAR(BInputReservoir[[#This Row],[Date]])</f>
        <v>2018</v>
      </c>
      <c r="D393" s="30">
        <f>MONTH(BInputReservoir[[#This Row],[Date]])</f>
        <v>2</v>
      </c>
      <c r="E393" s="30">
        <f>IF(I393&lt;&gt;1,"",DATA_INPUT!$L33)</f>
        <v>0</v>
      </c>
      <c r="F393" s="30">
        <f>STORAGE_BALANCE_ENSEMBLE!AI33</f>
        <v>0</v>
      </c>
      <c r="G393" s="30">
        <f>STORAGE_BALANCE_ENSEMBLE!AJ33</f>
        <v>0</v>
      </c>
      <c r="H393" s="30">
        <f>STORAGE_BALANCE_ENSEMBLE!AH33</f>
        <v>28148783.923121929</v>
      </c>
      <c r="I393" s="18">
        <f t="shared" si="51"/>
        <v>1</v>
      </c>
      <c r="J393" s="8">
        <f t="shared" si="52"/>
        <v>0</v>
      </c>
      <c r="K393" s="9">
        <f t="shared" si="53"/>
        <v>0</v>
      </c>
      <c r="L393" s="10">
        <f t="shared" si="54"/>
        <v>0</v>
      </c>
      <c r="M393" s="10">
        <f>IF(I393&lt;&gt;1,"",IF(H393="","",H393/CONTROL_PANEL!$B$11))</f>
        <v>0.56297567846243857</v>
      </c>
      <c r="N393" s="9">
        <f t="shared" si="55"/>
        <v>0</v>
      </c>
      <c r="O393" s="9">
        <f t="shared" si="56"/>
        <v>0</v>
      </c>
      <c r="P393" s="9">
        <f t="shared" si="57"/>
        <v>0</v>
      </c>
      <c r="Q393" s="9">
        <f t="shared" si="58"/>
        <v>0</v>
      </c>
      <c r="R393" s="11"/>
      <c r="S393" s="11" t="str">
        <f t="shared" si="50"/>
        <v>PASS</v>
      </c>
    </row>
    <row r="394" spans="1:19" x14ac:dyDescent="0.25">
      <c r="A394" s="30" t="s">
        <v>97</v>
      </c>
      <c r="B394" s="31">
        <f t="shared" si="49"/>
        <v>43160</v>
      </c>
      <c r="C394" s="30">
        <f>YEAR(BInputReservoir[[#This Row],[Date]])</f>
        <v>2018</v>
      </c>
      <c r="D394" s="30">
        <f>MONTH(BInputReservoir[[#This Row],[Date]])</f>
        <v>3</v>
      </c>
      <c r="E394" s="30">
        <f>IF(I394&lt;&gt;1,"",DATA_INPUT!$L34)</f>
        <v>0</v>
      </c>
      <c r="F394" s="30">
        <f>STORAGE_BALANCE_ENSEMBLE!AI34</f>
        <v>0</v>
      </c>
      <c r="G394" s="30">
        <f>STORAGE_BALANCE_ENSEMBLE!AJ34</f>
        <v>0</v>
      </c>
      <c r="H394" s="30">
        <f>STORAGE_BALANCE_ENSEMBLE!AH34</f>
        <v>31297031.987283275</v>
      </c>
      <c r="I394" s="18">
        <f t="shared" si="51"/>
        <v>1</v>
      </c>
      <c r="J394" s="8">
        <f t="shared" si="52"/>
        <v>0</v>
      </c>
      <c r="K394" s="9">
        <f t="shared" si="53"/>
        <v>0</v>
      </c>
      <c r="L394" s="10">
        <f t="shared" si="54"/>
        <v>0</v>
      </c>
      <c r="M394" s="10">
        <f>IF(I394&lt;&gt;1,"",IF(H394="","",H394/CONTROL_PANEL!$B$11))</f>
        <v>0.62594063974566549</v>
      </c>
      <c r="N394" s="9">
        <f t="shared" si="55"/>
        <v>0</v>
      </c>
      <c r="O394" s="9">
        <f t="shared" si="56"/>
        <v>0</v>
      </c>
      <c r="P394" s="9">
        <f t="shared" si="57"/>
        <v>0</v>
      </c>
      <c r="Q394" s="9">
        <f t="shared" si="58"/>
        <v>0</v>
      </c>
      <c r="R394" s="11"/>
      <c r="S394" s="11" t="str">
        <f t="shared" si="50"/>
        <v>PASS</v>
      </c>
    </row>
    <row r="395" spans="1:19" x14ac:dyDescent="0.25">
      <c r="A395" s="30" t="s">
        <v>97</v>
      </c>
      <c r="B395" s="31">
        <f t="shared" si="49"/>
        <v>43191</v>
      </c>
      <c r="C395" s="30">
        <f>YEAR(BInputReservoir[[#This Row],[Date]])</f>
        <v>2018</v>
      </c>
      <c r="D395" s="30">
        <f>MONTH(BInputReservoir[[#This Row],[Date]])</f>
        <v>4</v>
      </c>
      <c r="E395" s="30">
        <f>IF(I395&lt;&gt;1,"",DATA_INPUT!$L35)</f>
        <v>13729.92999548964</v>
      </c>
      <c r="F395" s="30">
        <f>STORAGE_BALANCE_ENSEMBLE!AI35</f>
        <v>0</v>
      </c>
      <c r="G395" s="30">
        <f>STORAGE_BALANCE_ENSEMBLE!AJ35</f>
        <v>0</v>
      </c>
      <c r="H395" s="30">
        <f>STORAGE_BALANCE_ENSEMBLE!AH35</f>
        <v>32071154.544793572</v>
      </c>
      <c r="I395" s="18">
        <f t="shared" si="51"/>
        <v>1</v>
      </c>
      <c r="J395" s="8">
        <f t="shared" si="52"/>
        <v>13729.92999548964</v>
      </c>
      <c r="K395" s="9">
        <f t="shared" si="53"/>
        <v>0</v>
      </c>
      <c r="L395" s="10">
        <f t="shared" si="54"/>
        <v>0</v>
      </c>
      <c r="M395" s="10">
        <f>IF(I395&lt;&gt;1,"",IF(H395="","",H395/CONTROL_PANEL!$B$11))</f>
        <v>0.64142309089587146</v>
      </c>
      <c r="N395" s="9">
        <f t="shared" si="55"/>
        <v>0</v>
      </c>
      <c r="O395" s="9">
        <f t="shared" si="56"/>
        <v>0</v>
      </c>
      <c r="P395" s="9">
        <f t="shared" si="57"/>
        <v>0</v>
      </c>
      <c r="Q395" s="9">
        <f t="shared" si="58"/>
        <v>0</v>
      </c>
      <c r="R395" s="11"/>
      <c r="S395" s="11" t="str">
        <f t="shared" si="50"/>
        <v>PASS</v>
      </c>
    </row>
    <row r="396" spans="1:19" x14ac:dyDescent="0.25">
      <c r="A396" s="30" t="s">
        <v>97</v>
      </c>
      <c r="B396" s="31">
        <f t="shared" si="49"/>
        <v>43221</v>
      </c>
      <c r="C396" s="30">
        <f>YEAR(BInputReservoir[[#This Row],[Date]])</f>
        <v>2018</v>
      </c>
      <c r="D396" s="30">
        <f>MONTH(BInputReservoir[[#This Row],[Date]])</f>
        <v>5</v>
      </c>
      <c r="E396" s="30">
        <f>IF(I396&lt;&gt;1,"",DATA_INPUT!$L36)</f>
        <v>87117.337390809203</v>
      </c>
      <c r="F396" s="30">
        <f>STORAGE_BALANCE_ENSEMBLE!AI36</f>
        <v>0</v>
      </c>
      <c r="G396" s="30">
        <f>STORAGE_BALANCE_ENSEMBLE!AJ36</f>
        <v>0</v>
      </c>
      <c r="H396" s="30">
        <f>STORAGE_BALANCE_ENSEMBLE!AH36</f>
        <v>31898900.78817752</v>
      </c>
      <c r="I396" s="18">
        <f t="shared" si="51"/>
        <v>1</v>
      </c>
      <c r="J396" s="8">
        <f t="shared" si="52"/>
        <v>87117.337390809203</v>
      </c>
      <c r="K396" s="9">
        <f t="shared" si="53"/>
        <v>0</v>
      </c>
      <c r="L396" s="10">
        <f t="shared" si="54"/>
        <v>0</v>
      </c>
      <c r="M396" s="10">
        <f>IF(I396&lt;&gt;1,"",IF(H396="","",H396/CONTROL_PANEL!$B$11))</f>
        <v>0.6379780157635504</v>
      </c>
      <c r="N396" s="9">
        <f t="shared" si="55"/>
        <v>0</v>
      </c>
      <c r="O396" s="9">
        <f t="shared" si="56"/>
        <v>0</v>
      </c>
      <c r="P396" s="9">
        <f t="shared" si="57"/>
        <v>0</v>
      </c>
      <c r="Q396" s="9">
        <f t="shared" si="58"/>
        <v>0</v>
      </c>
      <c r="R396" s="11"/>
      <c r="S396" s="11" t="str">
        <f t="shared" si="50"/>
        <v>PASS</v>
      </c>
    </row>
    <row r="397" spans="1:19" x14ac:dyDescent="0.25">
      <c r="A397" s="30" t="s">
        <v>97</v>
      </c>
      <c r="B397" s="31">
        <f t="shared" ref="B397:B428" si="59">B36</f>
        <v>43252</v>
      </c>
      <c r="C397" s="30">
        <f>YEAR(BInputReservoir[[#This Row],[Date]])</f>
        <v>2018</v>
      </c>
      <c r="D397" s="30">
        <f>MONTH(BInputReservoir[[#This Row],[Date]])</f>
        <v>6</v>
      </c>
      <c r="E397" s="30">
        <f>IF(I397&lt;&gt;1,"",DATA_INPUT!$L37)</f>
        <v>510910.9819837847</v>
      </c>
      <c r="F397" s="30">
        <f>STORAGE_BALANCE_ENSEMBLE!AI37</f>
        <v>0</v>
      </c>
      <c r="G397" s="30">
        <f>STORAGE_BALANCE_ENSEMBLE!AJ37</f>
        <v>0</v>
      </c>
      <c r="H397" s="30">
        <f>STORAGE_BALANCE_ENSEMBLE!AH37</f>
        <v>30875959.528135907</v>
      </c>
      <c r="I397" s="18">
        <f t="shared" si="51"/>
        <v>1</v>
      </c>
      <c r="J397" s="8">
        <f t="shared" si="52"/>
        <v>510910.9819837847</v>
      </c>
      <c r="K397" s="9">
        <f t="shared" si="53"/>
        <v>0</v>
      </c>
      <c r="L397" s="10">
        <f t="shared" si="54"/>
        <v>0</v>
      </c>
      <c r="M397" s="10">
        <f>IF(I397&lt;&gt;1,"",IF(H397="","",H397/CONTROL_PANEL!$B$11))</f>
        <v>0.61751919056271809</v>
      </c>
      <c r="N397" s="9">
        <f t="shared" si="55"/>
        <v>0</v>
      </c>
      <c r="O397" s="9">
        <f t="shared" si="56"/>
        <v>0</v>
      </c>
      <c r="P397" s="9">
        <f t="shared" si="57"/>
        <v>0</v>
      </c>
      <c r="Q397" s="9">
        <f t="shared" si="58"/>
        <v>0</v>
      </c>
      <c r="R397" s="11"/>
      <c r="S397" s="11" t="str">
        <f t="shared" ref="S397:S428" si="60">IF(COUNTA(A397:H397)=0,"",IF(OR(A397="",C397="",D397=""),"ERROR: missing key fields","PASS"))</f>
        <v>PASS</v>
      </c>
    </row>
    <row r="398" spans="1:19" x14ac:dyDescent="0.25">
      <c r="A398" s="30" t="s">
        <v>97</v>
      </c>
      <c r="B398" s="31">
        <f t="shared" si="59"/>
        <v>43282</v>
      </c>
      <c r="C398" s="30">
        <f>YEAR(BInputReservoir[[#This Row],[Date]])</f>
        <v>2018</v>
      </c>
      <c r="D398" s="30">
        <f>MONTH(BInputReservoir[[#This Row],[Date]])</f>
        <v>7</v>
      </c>
      <c r="E398" s="30">
        <f>IF(I398&lt;&gt;1,"",DATA_INPUT!$L38)</f>
        <v>1632719.5900386907</v>
      </c>
      <c r="F398" s="30">
        <f>STORAGE_BALANCE_ENSEMBLE!AI38</f>
        <v>0</v>
      </c>
      <c r="G398" s="30">
        <f>STORAGE_BALANCE_ENSEMBLE!AJ38</f>
        <v>0</v>
      </c>
      <c r="H398" s="30">
        <f>STORAGE_BALANCE_ENSEMBLE!AH38</f>
        <v>28565802.8779856</v>
      </c>
      <c r="I398" s="18">
        <f t="shared" si="51"/>
        <v>1</v>
      </c>
      <c r="J398" s="8">
        <f t="shared" si="52"/>
        <v>1632719.5900386907</v>
      </c>
      <c r="K398" s="9">
        <f t="shared" si="53"/>
        <v>0</v>
      </c>
      <c r="L398" s="10">
        <f t="shared" si="54"/>
        <v>0</v>
      </c>
      <c r="M398" s="10">
        <f>IF(I398&lt;&gt;1,"",IF(H398="","",H398/CONTROL_PANEL!$B$11))</f>
        <v>0.57131605755971204</v>
      </c>
      <c r="N398" s="9">
        <f t="shared" si="55"/>
        <v>0</v>
      </c>
      <c r="O398" s="9">
        <f t="shared" si="56"/>
        <v>0</v>
      </c>
      <c r="P398" s="9">
        <f t="shared" si="57"/>
        <v>0</v>
      </c>
      <c r="Q398" s="9">
        <f t="shared" si="58"/>
        <v>0</v>
      </c>
      <c r="R398" s="11"/>
      <c r="S398" s="11" t="str">
        <f t="shared" si="60"/>
        <v>PASS</v>
      </c>
    </row>
    <row r="399" spans="1:19" x14ac:dyDescent="0.25">
      <c r="A399" s="30" t="s">
        <v>97</v>
      </c>
      <c r="B399" s="31">
        <f t="shared" si="59"/>
        <v>43313</v>
      </c>
      <c r="C399" s="30">
        <f>YEAR(BInputReservoir[[#This Row],[Date]])</f>
        <v>2018</v>
      </c>
      <c r="D399" s="30">
        <f>MONTH(BInputReservoir[[#This Row],[Date]])</f>
        <v>8</v>
      </c>
      <c r="E399" s="30">
        <f>IF(I399&lt;&gt;1,"",DATA_INPUT!$L39)</f>
        <v>2405438.7955809552</v>
      </c>
      <c r="F399" s="30">
        <f>STORAGE_BALANCE_ENSEMBLE!AI39</f>
        <v>0</v>
      </c>
      <c r="G399" s="30">
        <f>STORAGE_BALANCE_ENSEMBLE!AJ39</f>
        <v>0</v>
      </c>
      <c r="H399" s="30">
        <f>STORAGE_BALANCE_ENSEMBLE!AH39</f>
        <v>25384687.079375789</v>
      </c>
      <c r="I399" s="18">
        <f t="shared" si="51"/>
        <v>1</v>
      </c>
      <c r="J399" s="8">
        <f t="shared" si="52"/>
        <v>2405438.7955809552</v>
      </c>
      <c r="K399" s="9">
        <f t="shared" si="53"/>
        <v>0</v>
      </c>
      <c r="L399" s="10">
        <f t="shared" si="54"/>
        <v>0</v>
      </c>
      <c r="M399" s="10">
        <f>IF(I399&lt;&gt;1,"",IF(H399="","",H399/CONTROL_PANEL!$B$11))</f>
        <v>0.50769374158751579</v>
      </c>
      <c r="N399" s="9">
        <f t="shared" si="55"/>
        <v>0</v>
      </c>
      <c r="O399" s="9">
        <f t="shared" si="56"/>
        <v>0</v>
      </c>
      <c r="P399" s="9">
        <f t="shared" si="57"/>
        <v>0</v>
      </c>
      <c r="Q399" s="9">
        <f t="shared" si="58"/>
        <v>0</v>
      </c>
      <c r="R399" s="11"/>
      <c r="S399" s="11" t="str">
        <f t="shared" si="60"/>
        <v>PASS</v>
      </c>
    </row>
    <row r="400" spans="1:19" x14ac:dyDescent="0.25">
      <c r="A400" s="30" t="s">
        <v>97</v>
      </c>
      <c r="B400" s="31">
        <f t="shared" si="59"/>
        <v>43344</v>
      </c>
      <c r="C400" s="30">
        <f>YEAR(BInputReservoir[[#This Row],[Date]])</f>
        <v>2018</v>
      </c>
      <c r="D400" s="30">
        <f>MONTH(BInputReservoir[[#This Row],[Date]])</f>
        <v>9</v>
      </c>
      <c r="E400" s="30">
        <f>IF(I400&lt;&gt;1,"",DATA_INPUT!$L40)</f>
        <v>1292989.9683508116</v>
      </c>
      <c r="F400" s="30">
        <f>STORAGE_BALANCE_ENSEMBLE!AI40</f>
        <v>0</v>
      </c>
      <c r="G400" s="30">
        <f>STORAGE_BALANCE_ENSEMBLE!AJ40</f>
        <v>0</v>
      </c>
      <c r="H400" s="30">
        <f>STORAGE_BALANCE_ENSEMBLE!AH40</f>
        <v>23596782.71073338</v>
      </c>
      <c r="I400" s="18">
        <f t="shared" si="51"/>
        <v>1</v>
      </c>
      <c r="J400" s="8">
        <f t="shared" si="52"/>
        <v>1292989.9683508116</v>
      </c>
      <c r="K400" s="9">
        <f t="shared" si="53"/>
        <v>0</v>
      </c>
      <c r="L400" s="10">
        <f t="shared" si="54"/>
        <v>0</v>
      </c>
      <c r="M400" s="10">
        <f>IF(I400&lt;&gt;1,"",IF(H400="","",H400/CONTROL_PANEL!$B$11))</f>
        <v>0.4719356542146676</v>
      </c>
      <c r="N400" s="9">
        <f t="shared" si="55"/>
        <v>0</v>
      </c>
      <c r="O400" s="9">
        <f t="shared" si="56"/>
        <v>0</v>
      </c>
      <c r="P400" s="9">
        <f t="shared" si="57"/>
        <v>0</v>
      </c>
      <c r="Q400" s="9">
        <f t="shared" si="58"/>
        <v>0</v>
      </c>
      <c r="R400" s="11"/>
      <c r="S400" s="11" t="str">
        <f t="shared" si="60"/>
        <v>PASS</v>
      </c>
    </row>
    <row r="401" spans="1:19" x14ac:dyDescent="0.25">
      <c r="A401" s="30" t="s">
        <v>97</v>
      </c>
      <c r="B401" s="31">
        <f t="shared" si="59"/>
        <v>43374</v>
      </c>
      <c r="C401" s="30">
        <f>YEAR(BInputReservoir[[#This Row],[Date]])</f>
        <v>2018</v>
      </c>
      <c r="D401" s="30">
        <f>MONTH(BInputReservoir[[#This Row],[Date]])</f>
        <v>10</v>
      </c>
      <c r="E401" s="30">
        <f>IF(I401&lt;&gt;1,"",DATA_INPUT!$L41)</f>
        <v>406185.82887233066</v>
      </c>
      <c r="F401" s="30">
        <f>STORAGE_BALANCE_ENSEMBLE!AI41</f>
        <v>0</v>
      </c>
      <c r="G401" s="30">
        <f>STORAGE_BALANCE_ENSEMBLE!AJ41</f>
        <v>0</v>
      </c>
      <c r="H401" s="30">
        <f>STORAGE_BALANCE_ENSEMBLE!AH41</f>
        <v>23632122.410101824</v>
      </c>
      <c r="I401" s="18">
        <f t="shared" si="51"/>
        <v>1</v>
      </c>
      <c r="J401" s="8">
        <f t="shared" si="52"/>
        <v>406185.82887233066</v>
      </c>
      <c r="K401" s="9">
        <f t="shared" si="53"/>
        <v>0</v>
      </c>
      <c r="L401" s="10">
        <f t="shared" si="54"/>
        <v>0</v>
      </c>
      <c r="M401" s="10">
        <f>IF(I401&lt;&gt;1,"",IF(H401="","",H401/CONTROL_PANEL!$B$11))</f>
        <v>0.47264244820203649</v>
      </c>
      <c r="N401" s="9">
        <f t="shared" si="55"/>
        <v>0</v>
      </c>
      <c r="O401" s="9">
        <f t="shared" si="56"/>
        <v>0</v>
      </c>
      <c r="P401" s="9">
        <f t="shared" si="57"/>
        <v>0</v>
      </c>
      <c r="Q401" s="9">
        <f t="shared" si="58"/>
        <v>0</v>
      </c>
      <c r="R401" s="11"/>
      <c r="S401" s="11" t="str">
        <f t="shared" si="60"/>
        <v>PASS</v>
      </c>
    </row>
    <row r="402" spans="1:19" x14ac:dyDescent="0.25">
      <c r="A402" s="30" t="s">
        <v>97</v>
      </c>
      <c r="B402" s="31">
        <f t="shared" si="59"/>
        <v>43405</v>
      </c>
      <c r="C402" s="30">
        <f>YEAR(BInputReservoir[[#This Row],[Date]])</f>
        <v>2018</v>
      </c>
      <c r="D402" s="30">
        <f>MONTH(BInputReservoir[[#This Row],[Date]])</f>
        <v>11</v>
      </c>
      <c r="E402" s="30">
        <f>IF(I402&lt;&gt;1,"",DATA_INPUT!$L42)</f>
        <v>0</v>
      </c>
      <c r="F402" s="30">
        <f>STORAGE_BALANCE_ENSEMBLE!AI42</f>
        <v>0</v>
      </c>
      <c r="G402" s="30">
        <f>STORAGE_BALANCE_ENSEMBLE!AJ42</f>
        <v>0</v>
      </c>
      <c r="H402" s="30">
        <f>STORAGE_BALANCE_ENSEMBLE!AH42</f>
        <v>24165285.715557382</v>
      </c>
      <c r="I402" s="18">
        <f t="shared" si="51"/>
        <v>1</v>
      </c>
      <c r="J402" s="8">
        <f t="shared" si="52"/>
        <v>0</v>
      </c>
      <c r="K402" s="9">
        <f t="shared" si="53"/>
        <v>0</v>
      </c>
      <c r="L402" s="10">
        <f t="shared" si="54"/>
        <v>0</v>
      </c>
      <c r="M402" s="10">
        <f>IF(I402&lt;&gt;1,"",IF(H402="","",H402/CONTROL_PANEL!$B$11))</f>
        <v>0.48330571431114761</v>
      </c>
      <c r="N402" s="9">
        <f t="shared" si="55"/>
        <v>0</v>
      </c>
      <c r="O402" s="9">
        <f t="shared" si="56"/>
        <v>0</v>
      </c>
      <c r="P402" s="9">
        <f t="shared" si="57"/>
        <v>0</v>
      </c>
      <c r="Q402" s="9">
        <f t="shared" si="58"/>
        <v>0</v>
      </c>
      <c r="R402" s="11"/>
      <c r="S402" s="11" t="str">
        <f t="shared" si="60"/>
        <v>PASS</v>
      </c>
    </row>
    <row r="403" spans="1:19" x14ac:dyDescent="0.25">
      <c r="A403" s="30" t="s">
        <v>97</v>
      </c>
      <c r="B403" s="31">
        <f t="shared" si="59"/>
        <v>43435</v>
      </c>
      <c r="C403" s="30">
        <f>YEAR(BInputReservoir[[#This Row],[Date]])</f>
        <v>2018</v>
      </c>
      <c r="D403" s="30">
        <f>MONTH(BInputReservoir[[#This Row],[Date]])</f>
        <v>12</v>
      </c>
      <c r="E403" s="30">
        <f>IF(I403&lt;&gt;1,"",DATA_INPUT!$L43)</f>
        <v>0</v>
      </c>
      <c r="F403" s="30">
        <f>STORAGE_BALANCE_ENSEMBLE!AI43</f>
        <v>0</v>
      </c>
      <c r="G403" s="30">
        <f>STORAGE_BALANCE_ENSEMBLE!AJ43</f>
        <v>0</v>
      </c>
      <c r="H403" s="30">
        <f>STORAGE_BALANCE_ENSEMBLE!AH43</f>
        <v>24205187.921610635</v>
      </c>
      <c r="I403" s="18">
        <f t="shared" si="51"/>
        <v>1</v>
      </c>
      <c r="J403" s="8">
        <f t="shared" si="52"/>
        <v>0</v>
      </c>
      <c r="K403" s="9">
        <f t="shared" si="53"/>
        <v>0</v>
      </c>
      <c r="L403" s="10">
        <f t="shared" si="54"/>
        <v>0</v>
      </c>
      <c r="M403" s="10">
        <f>IF(I403&lt;&gt;1,"",IF(H403="","",H403/CONTROL_PANEL!$B$11))</f>
        <v>0.48410375843221271</v>
      </c>
      <c r="N403" s="9">
        <f t="shared" si="55"/>
        <v>0</v>
      </c>
      <c r="O403" s="9">
        <f t="shared" si="56"/>
        <v>0</v>
      </c>
      <c r="P403" s="9">
        <f t="shared" si="57"/>
        <v>0</v>
      </c>
      <c r="Q403" s="9">
        <f t="shared" si="58"/>
        <v>0</v>
      </c>
      <c r="R403" s="11"/>
      <c r="S403" s="11" t="str">
        <f t="shared" si="60"/>
        <v>PASS</v>
      </c>
    </row>
    <row r="404" spans="1:19" x14ac:dyDescent="0.25">
      <c r="A404" s="30" t="s">
        <v>97</v>
      </c>
      <c r="B404" s="31">
        <f t="shared" si="59"/>
        <v>43466</v>
      </c>
      <c r="C404" s="30">
        <f>YEAR(BInputReservoir[[#This Row],[Date]])</f>
        <v>2019</v>
      </c>
      <c r="D404" s="30">
        <f>MONTH(BInputReservoir[[#This Row],[Date]])</f>
        <v>1</v>
      </c>
      <c r="E404" s="30">
        <f>IF(I404&lt;&gt;1,"",DATA_INPUT!$L44)</f>
        <v>0</v>
      </c>
      <c r="F404" s="30">
        <f>STORAGE_BALANCE_ENSEMBLE!AI44</f>
        <v>0</v>
      </c>
      <c r="G404" s="30">
        <f>STORAGE_BALANCE_ENSEMBLE!AJ44</f>
        <v>0</v>
      </c>
      <c r="H404" s="30">
        <f>STORAGE_BALANCE_ENSEMBLE!AH44</f>
        <v>24235841.217627723</v>
      </c>
      <c r="I404" s="18">
        <f t="shared" si="51"/>
        <v>1</v>
      </c>
      <c r="J404" s="8">
        <f t="shared" si="52"/>
        <v>0</v>
      </c>
      <c r="K404" s="9">
        <f t="shared" si="53"/>
        <v>0</v>
      </c>
      <c r="L404" s="10">
        <f t="shared" si="54"/>
        <v>0</v>
      </c>
      <c r="M404" s="10">
        <f>IF(I404&lt;&gt;1,"",IF(H404="","",H404/CONTROL_PANEL!$B$11))</f>
        <v>0.48471682435255448</v>
      </c>
      <c r="N404" s="9">
        <f t="shared" si="55"/>
        <v>0</v>
      </c>
      <c r="O404" s="9">
        <f t="shared" si="56"/>
        <v>0</v>
      </c>
      <c r="P404" s="9">
        <f t="shared" si="57"/>
        <v>0</v>
      </c>
      <c r="Q404" s="9">
        <f t="shared" si="58"/>
        <v>0</v>
      </c>
      <c r="R404" s="11"/>
      <c r="S404" s="11" t="str">
        <f t="shared" si="60"/>
        <v>PASS</v>
      </c>
    </row>
    <row r="405" spans="1:19" x14ac:dyDescent="0.25">
      <c r="A405" s="30" t="s">
        <v>97</v>
      </c>
      <c r="B405" s="31">
        <f t="shared" si="59"/>
        <v>43497</v>
      </c>
      <c r="C405" s="30">
        <f>YEAR(BInputReservoir[[#This Row],[Date]])</f>
        <v>2019</v>
      </c>
      <c r="D405" s="30">
        <f>MONTH(BInputReservoir[[#This Row],[Date]])</f>
        <v>2</v>
      </c>
      <c r="E405" s="30">
        <f>IF(I405&lt;&gt;1,"",DATA_INPUT!$L45)</f>
        <v>0</v>
      </c>
      <c r="F405" s="30">
        <f>STORAGE_BALANCE_ENSEMBLE!AI45</f>
        <v>0</v>
      </c>
      <c r="G405" s="30">
        <f>STORAGE_BALANCE_ENSEMBLE!AJ45</f>
        <v>0</v>
      </c>
      <c r="H405" s="30">
        <f>STORAGE_BALANCE_ENSEMBLE!AH45</f>
        <v>24277706.836963221</v>
      </c>
      <c r="I405" s="18">
        <f t="shared" si="51"/>
        <v>1</v>
      </c>
      <c r="J405" s="8">
        <f t="shared" si="52"/>
        <v>0</v>
      </c>
      <c r="K405" s="9">
        <f t="shared" si="53"/>
        <v>0</v>
      </c>
      <c r="L405" s="10">
        <f t="shared" si="54"/>
        <v>0</v>
      </c>
      <c r="M405" s="10">
        <f>IF(I405&lt;&gt;1,"",IF(H405="","",H405/CONTROL_PANEL!$B$11))</f>
        <v>0.48555413673926445</v>
      </c>
      <c r="N405" s="9">
        <f t="shared" si="55"/>
        <v>0</v>
      </c>
      <c r="O405" s="9">
        <f t="shared" si="56"/>
        <v>0</v>
      </c>
      <c r="P405" s="9">
        <f t="shared" si="57"/>
        <v>0</v>
      </c>
      <c r="Q405" s="9">
        <f t="shared" si="58"/>
        <v>0</v>
      </c>
      <c r="R405" s="11"/>
      <c r="S405" s="11" t="str">
        <f t="shared" si="60"/>
        <v>PASS</v>
      </c>
    </row>
    <row r="406" spans="1:19" x14ac:dyDescent="0.25">
      <c r="A406" s="30" t="s">
        <v>97</v>
      </c>
      <c r="B406" s="31">
        <f t="shared" si="59"/>
        <v>43525</v>
      </c>
      <c r="C406" s="30">
        <f>YEAR(BInputReservoir[[#This Row],[Date]])</f>
        <v>2019</v>
      </c>
      <c r="D406" s="30">
        <f>MONTH(BInputReservoir[[#This Row],[Date]])</f>
        <v>3</v>
      </c>
      <c r="E406" s="30">
        <f>IF(I406&lt;&gt;1,"",DATA_INPUT!$L46)</f>
        <v>0</v>
      </c>
      <c r="F406" s="30">
        <f>STORAGE_BALANCE_ENSEMBLE!AI46</f>
        <v>0</v>
      </c>
      <c r="G406" s="30">
        <f>STORAGE_BALANCE_ENSEMBLE!AJ46</f>
        <v>0</v>
      </c>
      <c r="H406" s="30">
        <f>STORAGE_BALANCE_ENSEMBLE!AH46</f>
        <v>24191047.281490203</v>
      </c>
      <c r="I406" s="18">
        <f t="shared" si="51"/>
        <v>1</v>
      </c>
      <c r="J406" s="8">
        <f t="shared" si="52"/>
        <v>0</v>
      </c>
      <c r="K406" s="9">
        <f t="shared" si="53"/>
        <v>0</v>
      </c>
      <c r="L406" s="10">
        <f t="shared" si="54"/>
        <v>0</v>
      </c>
      <c r="M406" s="10">
        <f>IF(I406&lt;&gt;1,"",IF(H406="","",H406/CONTROL_PANEL!$B$11))</f>
        <v>0.48382094562980404</v>
      </c>
      <c r="N406" s="9">
        <f t="shared" si="55"/>
        <v>0</v>
      </c>
      <c r="O406" s="9">
        <f t="shared" si="56"/>
        <v>0</v>
      </c>
      <c r="P406" s="9">
        <f t="shared" si="57"/>
        <v>0</v>
      </c>
      <c r="Q406" s="9">
        <f t="shared" si="58"/>
        <v>0</v>
      </c>
      <c r="R406" s="11"/>
      <c r="S406" s="11" t="str">
        <f t="shared" si="60"/>
        <v>PASS</v>
      </c>
    </row>
    <row r="407" spans="1:19" x14ac:dyDescent="0.25">
      <c r="A407" s="30" t="s">
        <v>97</v>
      </c>
      <c r="B407" s="31">
        <f t="shared" si="59"/>
        <v>43556</v>
      </c>
      <c r="C407" s="30">
        <f>YEAR(BInputReservoir[[#This Row],[Date]])</f>
        <v>2019</v>
      </c>
      <c r="D407" s="30">
        <f>MONTH(BInputReservoir[[#This Row],[Date]])</f>
        <v>4</v>
      </c>
      <c r="E407" s="30">
        <f>IF(I407&lt;&gt;1,"",DATA_INPUT!$L47)</f>
        <v>150915.72009696288</v>
      </c>
      <c r="F407" s="30">
        <f>STORAGE_BALANCE_ENSEMBLE!AI47</f>
        <v>0</v>
      </c>
      <c r="G407" s="30">
        <f>STORAGE_BALANCE_ENSEMBLE!AJ47</f>
        <v>0</v>
      </c>
      <c r="H407" s="30">
        <f>STORAGE_BALANCE_ENSEMBLE!AH47</f>
        <v>24077996.439908765</v>
      </c>
      <c r="I407" s="18">
        <f t="shared" si="51"/>
        <v>1</v>
      </c>
      <c r="J407" s="8">
        <f t="shared" si="52"/>
        <v>150915.72009696288</v>
      </c>
      <c r="K407" s="9">
        <f t="shared" si="53"/>
        <v>0</v>
      </c>
      <c r="L407" s="10">
        <f t="shared" si="54"/>
        <v>0</v>
      </c>
      <c r="M407" s="10">
        <f>IF(I407&lt;&gt;1,"",IF(H407="","",H407/CONTROL_PANEL!$B$11))</f>
        <v>0.48155992879817533</v>
      </c>
      <c r="N407" s="9">
        <f t="shared" si="55"/>
        <v>0</v>
      </c>
      <c r="O407" s="9">
        <f t="shared" si="56"/>
        <v>0</v>
      </c>
      <c r="P407" s="9">
        <f t="shared" si="57"/>
        <v>0</v>
      </c>
      <c r="Q407" s="9">
        <f t="shared" si="58"/>
        <v>0</v>
      </c>
      <c r="R407" s="11"/>
      <c r="S407" s="11" t="str">
        <f t="shared" si="60"/>
        <v>PASS</v>
      </c>
    </row>
    <row r="408" spans="1:19" x14ac:dyDescent="0.25">
      <c r="A408" s="30" t="s">
        <v>97</v>
      </c>
      <c r="B408" s="31">
        <f t="shared" si="59"/>
        <v>43586</v>
      </c>
      <c r="C408" s="30">
        <f>YEAR(BInputReservoir[[#This Row],[Date]])</f>
        <v>2019</v>
      </c>
      <c r="D408" s="30">
        <f>MONTH(BInputReservoir[[#This Row],[Date]])</f>
        <v>5</v>
      </c>
      <c r="E408" s="30">
        <f>IF(I408&lt;&gt;1,"",DATA_INPUT!$L48)</f>
        <v>729376.00064045633</v>
      </c>
      <c r="F408" s="30">
        <f>STORAGE_BALANCE_ENSEMBLE!AI48</f>
        <v>0</v>
      </c>
      <c r="G408" s="30">
        <f>STORAGE_BALANCE_ENSEMBLE!AJ48</f>
        <v>0</v>
      </c>
      <c r="H408" s="30">
        <f>STORAGE_BALANCE_ENSEMBLE!AH48</f>
        <v>23017169.327077381</v>
      </c>
      <c r="I408" s="18">
        <f t="shared" si="51"/>
        <v>1</v>
      </c>
      <c r="J408" s="8">
        <f t="shared" si="52"/>
        <v>729376.00064045633</v>
      </c>
      <c r="K408" s="9">
        <f t="shared" si="53"/>
        <v>0</v>
      </c>
      <c r="L408" s="10">
        <f t="shared" si="54"/>
        <v>0</v>
      </c>
      <c r="M408" s="10">
        <f>IF(I408&lt;&gt;1,"",IF(H408="","",H408/CONTROL_PANEL!$B$11))</f>
        <v>0.46034338654154761</v>
      </c>
      <c r="N408" s="9">
        <f t="shared" si="55"/>
        <v>0</v>
      </c>
      <c r="O408" s="9">
        <f t="shared" si="56"/>
        <v>0</v>
      </c>
      <c r="P408" s="9">
        <f t="shared" si="57"/>
        <v>0</v>
      </c>
      <c r="Q408" s="9">
        <f t="shared" si="58"/>
        <v>0</v>
      </c>
      <c r="R408" s="11"/>
      <c r="S408" s="11" t="str">
        <f t="shared" si="60"/>
        <v>PASS</v>
      </c>
    </row>
    <row r="409" spans="1:19" x14ac:dyDescent="0.25">
      <c r="A409" s="30" t="s">
        <v>97</v>
      </c>
      <c r="B409" s="31">
        <f t="shared" si="59"/>
        <v>43617</v>
      </c>
      <c r="C409" s="30">
        <f>YEAR(BInputReservoir[[#This Row],[Date]])</f>
        <v>2019</v>
      </c>
      <c r="D409" s="30">
        <f>MONTH(BInputReservoir[[#This Row],[Date]])</f>
        <v>6</v>
      </c>
      <c r="E409" s="30">
        <f>IF(I409&lt;&gt;1,"",DATA_INPUT!$L49)</f>
        <v>1307831.1256657976</v>
      </c>
      <c r="F409" s="30">
        <f>STORAGE_BALANCE_ENSEMBLE!AI49</f>
        <v>0</v>
      </c>
      <c r="G409" s="30">
        <f>STORAGE_BALANCE_ENSEMBLE!AJ49</f>
        <v>0</v>
      </c>
      <c r="H409" s="30">
        <f>STORAGE_BALANCE_ENSEMBLE!AH49</f>
        <v>21213889.438551676</v>
      </c>
      <c r="I409" s="18">
        <f t="shared" si="51"/>
        <v>1</v>
      </c>
      <c r="J409" s="8">
        <f t="shared" si="52"/>
        <v>1307831.1256657976</v>
      </c>
      <c r="K409" s="9">
        <f t="shared" si="53"/>
        <v>0</v>
      </c>
      <c r="L409" s="10">
        <f t="shared" si="54"/>
        <v>0</v>
      </c>
      <c r="M409" s="10">
        <f>IF(I409&lt;&gt;1,"",IF(H409="","",H409/CONTROL_PANEL!$B$11))</f>
        <v>0.4242777887710335</v>
      </c>
      <c r="N409" s="9">
        <f t="shared" si="55"/>
        <v>0</v>
      </c>
      <c r="O409" s="9">
        <f t="shared" si="56"/>
        <v>0</v>
      </c>
      <c r="P409" s="9">
        <f t="shared" si="57"/>
        <v>0</v>
      </c>
      <c r="Q409" s="9">
        <f t="shared" si="58"/>
        <v>0</v>
      </c>
      <c r="R409" s="11"/>
      <c r="S409" s="11" t="str">
        <f t="shared" si="60"/>
        <v>PASS</v>
      </c>
    </row>
    <row r="410" spans="1:19" x14ac:dyDescent="0.25">
      <c r="A410" s="30" t="s">
        <v>97</v>
      </c>
      <c r="B410" s="31">
        <f t="shared" si="59"/>
        <v>43647</v>
      </c>
      <c r="C410" s="30">
        <f>YEAR(BInputReservoir[[#This Row],[Date]])</f>
        <v>2019</v>
      </c>
      <c r="D410" s="30">
        <f>MONTH(BInputReservoir[[#This Row],[Date]])</f>
        <v>7</v>
      </c>
      <c r="E410" s="30">
        <f>IF(I410&lt;&gt;1,"",DATA_INPUT!$L50)</f>
        <v>2346161.2610757784</v>
      </c>
      <c r="F410" s="30">
        <f>STORAGE_BALANCE_ENSEMBLE!AI50</f>
        <v>0</v>
      </c>
      <c r="G410" s="30">
        <f>STORAGE_BALANCE_ENSEMBLE!AJ50</f>
        <v>0</v>
      </c>
      <c r="H410" s="30">
        <f>STORAGE_BALANCE_ENSEMBLE!AH50</f>
        <v>18293779.016534083</v>
      </c>
      <c r="I410" s="18">
        <f t="shared" si="51"/>
        <v>1</v>
      </c>
      <c r="J410" s="8">
        <f t="shared" si="52"/>
        <v>2346161.2610757784</v>
      </c>
      <c r="K410" s="9">
        <f t="shared" si="53"/>
        <v>0</v>
      </c>
      <c r="L410" s="10">
        <f t="shared" si="54"/>
        <v>0</v>
      </c>
      <c r="M410" s="10">
        <f>IF(I410&lt;&gt;1,"",IF(H410="","",H410/CONTROL_PANEL!$B$11))</f>
        <v>0.36587558033068163</v>
      </c>
      <c r="N410" s="9">
        <f t="shared" si="55"/>
        <v>0</v>
      </c>
      <c r="O410" s="9">
        <f t="shared" si="56"/>
        <v>0</v>
      </c>
      <c r="P410" s="9">
        <f t="shared" si="57"/>
        <v>0</v>
      </c>
      <c r="Q410" s="9">
        <f t="shared" si="58"/>
        <v>0</v>
      </c>
      <c r="R410" s="11"/>
      <c r="S410" s="11" t="str">
        <f t="shared" si="60"/>
        <v>PASS</v>
      </c>
    </row>
    <row r="411" spans="1:19" x14ac:dyDescent="0.25">
      <c r="A411" s="30" t="s">
        <v>97</v>
      </c>
      <c r="B411" s="31">
        <f t="shared" si="59"/>
        <v>43678</v>
      </c>
      <c r="C411" s="30">
        <f>YEAR(BInputReservoir[[#This Row],[Date]])</f>
        <v>2019</v>
      </c>
      <c r="D411" s="30">
        <f>MONTH(BInputReservoir[[#This Row],[Date]])</f>
        <v>8</v>
      </c>
      <c r="E411" s="30">
        <f>IF(I411&lt;&gt;1,"",DATA_INPUT!$L51)</f>
        <v>1831864.2621802636</v>
      </c>
      <c r="F411" s="30">
        <f>STORAGE_BALANCE_ENSEMBLE!AI51</f>
        <v>0</v>
      </c>
      <c r="G411" s="30">
        <f>STORAGE_BALANCE_ENSEMBLE!AJ51</f>
        <v>0</v>
      </c>
      <c r="H411" s="30">
        <f>STORAGE_BALANCE_ENSEMBLE!AH51</f>
        <v>15966128.763350466</v>
      </c>
      <c r="I411" s="18">
        <f t="shared" si="51"/>
        <v>1</v>
      </c>
      <c r="J411" s="8">
        <f t="shared" si="52"/>
        <v>1831864.2621802636</v>
      </c>
      <c r="K411" s="9">
        <f t="shared" si="53"/>
        <v>0</v>
      </c>
      <c r="L411" s="10">
        <f t="shared" si="54"/>
        <v>0</v>
      </c>
      <c r="M411" s="10">
        <f>IF(I411&lt;&gt;1,"",IF(H411="","",H411/CONTROL_PANEL!$B$11))</f>
        <v>0.3193225752670093</v>
      </c>
      <c r="N411" s="9">
        <f t="shared" si="55"/>
        <v>0</v>
      </c>
      <c r="O411" s="9">
        <f t="shared" si="56"/>
        <v>0</v>
      </c>
      <c r="P411" s="9">
        <f t="shared" si="57"/>
        <v>0</v>
      </c>
      <c r="Q411" s="9">
        <f t="shared" si="58"/>
        <v>0</v>
      </c>
      <c r="R411" s="11"/>
      <c r="S411" s="11" t="str">
        <f t="shared" si="60"/>
        <v>PASS</v>
      </c>
    </row>
    <row r="412" spans="1:19" x14ac:dyDescent="0.25">
      <c r="A412" s="30" t="s">
        <v>97</v>
      </c>
      <c r="B412" s="31">
        <f t="shared" si="59"/>
        <v>43709</v>
      </c>
      <c r="C412" s="30">
        <f>YEAR(BInputReservoir[[#This Row],[Date]])</f>
        <v>2019</v>
      </c>
      <c r="D412" s="30">
        <f>MONTH(BInputReservoir[[#This Row],[Date]])</f>
        <v>9</v>
      </c>
      <c r="E412" s="30">
        <f>IF(I412&lt;&gt;1,"",DATA_INPUT!$L52)</f>
        <v>861532.52774287085</v>
      </c>
      <c r="F412" s="30">
        <f>STORAGE_BALANCE_ENSEMBLE!AI52</f>
        <v>0</v>
      </c>
      <c r="G412" s="30">
        <f>STORAGE_BALANCE_ENSEMBLE!AJ52</f>
        <v>0</v>
      </c>
      <c r="H412" s="30">
        <f>STORAGE_BALANCE_ENSEMBLE!AH52</f>
        <v>14784900.6178573</v>
      </c>
      <c r="I412" s="18">
        <f t="shared" si="51"/>
        <v>1</v>
      </c>
      <c r="J412" s="8">
        <f t="shared" si="52"/>
        <v>861532.52774287085</v>
      </c>
      <c r="K412" s="9">
        <f t="shared" si="53"/>
        <v>0</v>
      </c>
      <c r="L412" s="10">
        <f t="shared" si="54"/>
        <v>0</v>
      </c>
      <c r="M412" s="10">
        <f>IF(I412&lt;&gt;1,"",IF(H412="","",H412/CONTROL_PANEL!$B$11))</f>
        <v>0.29569801235714599</v>
      </c>
      <c r="N412" s="9">
        <f t="shared" si="55"/>
        <v>0</v>
      </c>
      <c r="O412" s="9">
        <f t="shared" si="56"/>
        <v>0</v>
      </c>
      <c r="P412" s="9">
        <f t="shared" si="57"/>
        <v>0</v>
      </c>
      <c r="Q412" s="9">
        <f t="shared" si="58"/>
        <v>0</v>
      </c>
      <c r="R412" s="11"/>
      <c r="S412" s="11" t="str">
        <f t="shared" si="60"/>
        <v>PASS</v>
      </c>
    </row>
    <row r="413" spans="1:19" x14ac:dyDescent="0.25">
      <c r="A413" s="30" t="s">
        <v>97</v>
      </c>
      <c r="B413" s="31">
        <f t="shared" si="59"/>
        <v>43739</v>
      </c>
      <c r="C413" s="30">
        <f>YEAR(BInputReservoir[[#This Row],[Date]])</f>
        <v>2019</v>
      </c>
      <c r="D413" s="30">
        <f>MONTH(BInputReservoir[[#This Row],[Date]])</f>
        <v>10</v>
      </c>
      <c r="E413" s="30">
        <f>IF(I413&lt;&gt;1,"",DATA_INPUT!$L53)</f>
        <v>119869.58679024622</v>
      </c>
      <c r="F413" s="30">
        <f>STORAGE_BALANCE_ENSEMBLE!AI53</f>
        <v>0</v>
      </c>
      <c r="G413" s="30">
        <f>STORAGE_BALANCE_ENSEMBLE!AJ53</f>
        <v>0</v>
      </c>
      <c r="H413" s="30">
        <f>STORAGE_BALANCE_ENSEMBLE!AH53</f>
        <v>14716902.796866158</v>
      </c>
      <c r="I413" s="18">
        <f t="shared" si="51"/>
        <v>1</v>
      </c>
      <c r="J413" s="8">
        <f t="shared" si="52"/>
        <v>119869.58679024622</v>
      </c>
      <c r="K413" s="9">
        <f t="shared" si="53"/>
        <v>0</v>
      </c>
      <c r="L413" s="10">
        <f t="shared" si="54"/>
        <v>0</v>
      </c>
      <c r="M413" s="10">
        <f>IF(I413&lt;&gt;1,"",IF(H413="","",H413/CONTROL_PANEL!$B$11))</f>
        <v>0.29433805593732315</v>
      </c>
      <c r="N413" s="9">
        <f t="shared" si="55"/>
        <v>0</v>
      </c>
      <c r="O413" s="9">
        <f t="shared" si="56"/>
        <v>0</v>
      </c>
      <c r="P413" s="9">
        <f t="shared" si="57"/>
        <v>0</v>
      </c>
      <c r="Q413" s="9">
        <f t="shared" si="58"/>
        <v>0</v>
      </c>
      <c r="R413" s="11"/>
      <c r="S413" s="11" t="str">
        <f t="shared" si="60"/>
        <v>PASS</v>
      </c>
    </row>
    <row r="414" spans="1:19" x14ac:dyDescent="0.25">
      <c r="A414" s="30" t="s">
        <v>97</v>
      </c>
      <c r="B414" s="31">
        <f t="shared" si="59"/>
        <v>43770</v>
      </c>
      <c r="C414" s="30">
        <f>YEAR(BInputReservoir[[#This Row],[Date]])</f>
        <v>2019</v>
      </c>
      <c r="D414" s="30">
        <f>MONTH(BInputReservoir[[#This Row],[Date]])</f>
        <v>11</v>
      </c>
      <c r="E414" s="30">
        <f>IF(I414&lt;&gt;1,"",DATA_INPUT!$L54)</f>
        <v>0</v>
      </c>
      <c r="F414" s="30">
        <f>STORAGE_BALANCE_ENSEMBLE!AI54</f>
        <v>0</v>
      </c>
      <c r="G414" s="30">
        <f>STORAGE_BALANCE_ENSEMBLE!AJ54</f>
        <v>0</v>
      </c>
      <c r="H414" s="30">
        <f>STORAGE_BALANCE_ENSEMBLE!AH54</f>
        <v>16452671.943144487</v>
      </c>
      <c r="I414" s="18">
        <f t="shared" si="51"/>
        <v>1</v>
      </c>
      <c r="J414" s="8">
        <f t="shared" si="52"/>
        <v>0</v>
      </c>
      <c r="K414" s="9">
        <f t="shared" si="53"/>
        <v>0</v>
      </c>
      <c r="L414" s="10">
        <f t="shared" si="54"/>
        <v>0</v>
      </c>
      <c r="M414" s="10">
        <f>IF(I414&lt;&gt;1,"",IF(H414="","",H414/CONTROL_PANEL!$B$11))</f>
        <v>0.32905343886288974</v>
      </c>
      <c r="N414" s="9">
        <f t="shared" si="55"/>
        <v>0</v>
      </c>
      <c r="O414" s="9">
        <f t="shared" si="56"/>
        <v>0</v>
      </c>
      <c r="P414" s="9">
        <f t="shared" si="57"/>
        <v>0</v>
      </c>
      <c r="Q414" s="9">
        <f t="shared" si="58"/>
        <v>0</v>
      </c>
      <c r="R414" s="11"/>
      <c r="S414" s="11" t="str">
        <f t="shared" si="60"/>
        <v>PASS</v>
      </c>
    </row>
    <row r="415" spans="1:19" x14ac:dyDescent="0.25">
      <c r="A415" s="30" t="s">
        <v>97</v>
      </c>
      <c r="B415" s="31">
        <f t="shared" si="59"/>
        <v>43800</v>
      </c>
      <c r="C415" s="30">
        <f>YEAR(BInputReservoir[[#This Row],[Date]])</f>
        <v>2019</v>
      </c>
      <c r="D415" s="30">
        <f>MONTH(BInputReservoir[[#This Row],[Date]])</f>
        <v>12</v>
      </c>
      <c r="E415" s="30">
        <f>IF(I415&lt;&gt;1,"",DATA_INPUT!$L55)</f>
        <v>0</v>
      </c>
      <c r="F415" s="30">
        <f>STORAGE_BALANCE_ENSEMBLE!AI55</f>
        <v>0</v>
      </c>
      <c r="G415" s="30">
        <f>STORAGE_BALANCE_ENSEMBLE!AJ55</f>
        <v>0</v>
      </c>
      <c r="H415" s="30">
        <f>STORAGE_BALANCE_ENSEMBLE!AH55</f>
        <v>17843994.161819473</v>
      </c>
      <c r="I415" s="18">
        <f t="shared" si="51"/>
        <v>1</v>
      </c>
      <c r="J415" s="8">
        <f t="shared" si="52"/>
        <v>0</v>
      </c>
      <c r="K415" s="9">
        <f t="shared" si="53"/>
        <v>0</v>
      </c>
      <c r="L415" s="10">
        <f t="shared" si="54"/>
        <v>0</v>
      </c>
      <c r="M415" s="10">
        <f>IF(I415&lt;&gt;1,"",IF(H415="","",H415/CONTROL_PANEL!$B$11))</f>
        <v>0.35687988323638947</v>
      </c>
      <c r="N415" s="9">
        <f t="shared" si="55"/>
        <v>0</v>
      </c>
      <c r="O415" s="9">
        <f t="shared" si="56"/>
        <v>0</v>
      </c>
      <c r="P415" s="9">
        <f t="shared" si="57"/>
        <v>0</v>
      </c>
      <c r="Q415" s="9">
        <f t="shared" si="58"/>
        <v>0</v>
      </c>
      <c r="R415" s="11"/>
      <c r="S415" s="11" t="str">
        <f t="shared" si="60"/>
        <v>PASS</v>
      </c>
    </row>
    <row r="416" spans="1:19" x14ac:dyDescent="0.25">
      <c r="A416" s="30" t="s">
        <v>97</v>
      </c>
      <c r="B416" s="31">
        <f t="shared" si="59"/>
        <v>43831</v>
      </c>
      <c r="C416" s="30">
        <f>YEAR(BInputReservoir[[#This Row],[Date]])</f>
        <v>2020</v>
      </c>
      <c r="D416" s="30">
        <f>MONTH(BInputReservoir[[#This Row],[Date]])</f>
        <v>1</v>
      </c>
      <c r="E416" s="30">
        <f>IF(I416&lt;&gt;1,"",DATA_INPUT!$L56)</f>
        <v>0</v>
      </c>
      <c r="F416" s="30">
        <f>STORAGE_BALANCE_ENSEMBLE!AI56</f>
        <v>0</v>
      </c>
      <c r="G416" s="30">
        <f>STORAGE_BALANCE_ENSEMBLE!AJ56</f>
        <v>0</v>
      </c>
      <c r="H416" s="30">
        <f>STORAGE_BALANCE_ENSEMBLE!AH56</f>
        <v>18267973.253318194</v>
      </c>
      <c r="I416" s="18">
        <f t="shared" si="51"/>
        <v>1</v>
      </c>
      <c r="J416" s="8">
        <f t="shared" si="52"/>
        <v>0</v>
      </c>
      <c r="K416" s="9">
        <f t="shared" si="53"/>
        <v>0</v>
      </c>
      <c r="L416" s="10">
        <f t="shared" si="54"/>
        <v>0</v>
      </c>
      <c r="M416" s="10">
        <f>IF(I416&lt;&gt;1,"",IF(H416="","",H416/CONTROL_PANEL!$B$11))</f>
        <v>0.36535946506636391</v>
      </c>
      <c r="N416" s="9">
        <f t="shared" si="55"/>
        <v>0</v>
      </c>
      <c r="O416" s="9">
        <f t="shared" si="56"/>
        <v>0</v>
      </c>
      <c r="P416" s="9">
        <f t="shared" si="57"/>
        <v>0</v>
      </c>
      <c r="Q416" s="9">
        <f t="shared" si="58"/>
        <v>0</v>
      </c>
      <c r="R416" s="11"/>
      <c r="S416" s="11" t="str">
        <f t="shared" si="60"/>
        <v>PASS</v>
      </c>
    </row>
    <row r="417" spans="1:19" x14ac:dyDescent="0.25">
      <c r="A417" s="30" t="s">
        <v>97</v>
      </c>
      <c r="B417" s="31">
        <f t="shared" si="59"/>
        <v>43862</v>
      </c>
      <c r="C417" s="30">
        <f>YEAR(BInputReservoir[[#This Row],[Date]])</f>
        <v>2020</v>
      </c>
      <c r="D417" s="30">
        <f>MONTH(BInputReservoir[[#This Row],[Date]])</f>
        <v>2</v>
      </c>
      <c r="E417" s="30">
        <f>IF(I417&lt;&gt;1,"",DATA_INPUT!$L57)</f>
        <v>0</v>
      </c>
      <c r="F417" s="30">
        <f>STORAGE_BALANCE_ENSEMBLE!AI57</f>
        <v>0</v>
      </c>
      <c r="G417" s="30">
        <f>STORAGE_BALANCE_ENSEMBLE!AJ57</f>
        <v>0</v>
      </c>
      <c r="H417" s="30">
        <f>STORAGE_BALANCE_ENSEMBLE!AH57</f>
        <v>18237995.296653874</v>
      </c>
      <c r="I417" s="18">
        <f t="shared" si="51"/>
        <v>1</v>
      </c>
      <c r="J417" s="8">
        <f t="shared" si="52"/>
        <v>0</v>
      </c>
      <c r="K417" s="9">
        <f t="shared" si="53"/>
        <v>0</v>
      </c>
      <c r="L417" s="10">
        <f t="shared" si="54"/>
        <v>0</v>
      </c>
      <c r="M417" s="10">
        <f>IF(I417&lt;&gt;1,"",IF(H417="","",H417/CONTROL_PANEL!$B$11))</f>
        <v>0.3647599059330775</v>
      </c>
      <c r="N417" s="9">
        <f t="shared" si="55"/>
        <v>0</v>
      </c>
      <c r="O417" s="9">
        <f t="shared" si="56"/>
        <v>0</v>
      </c>
      <c r="P417" s="9">
        <f t="shared" si="57"/>
        <v>0</v>
      </c>
      <c r="Q417" s="9">
        <f t="shared" si="58"/>
        <v>0</v>
      </c>
      <c r="R417" s="11"/>
      <c r="S417" s="11" t="str">
        <f t="shared" si="60"/>
        <v>PASS</v>
      </c>
    </row>
    <row r="418" spans="1:19" x14ac:dyDescent="0.25">
      <c r="A418" s="30" t="s">
        <v>97</v>
      </c>
      <c r="B418" s="31">
        <f t="shared" si="59"/>
        <v>43891</v>
      </c>
      <c r="C418" s="30">
        <f>YEAR(BInputReservoir[[#This Row],[Date]])</f>
        <v>2020</v>
      </c>
      <c r="D418" s="30">
        <f>MONTH(BInputReservoir[[#This Row],[Date]])</f>
        <v>3</v>
      </c>
      <c r="E418" s="30">
        <f>IF(I418&lt;&gt;1,"",DATA_INPUT!$L58)</f>
        <v>0</v>
      </c>
      <c r="F418" s="30">
        <f>STORAGE_BALANCE_ENSEMBLE!AI58</f>
        <v>0</v>
      </c>
      <c r="G418" s="30">
        <f>STORAGE_BALANCE_ENSEMBLE!AJ58</f>
        <v>0</v>
      </c>
      <c r="H418" s="30">
        <f>STORAGE_BALANCE_ENSEMBLE!AH58</f>
        <v>18744720.926680505</v>
      </c>
      <c r="I418" s="18">
        <f t="shared" si="51"/>
        <v>1</v>
      </c>
      <c r="J418" s="8">
        <f t="shared" si="52"/>
        <v>0</v>
      </c>
      <c r="K418" s="9">
        <f t="shared" si="53"/>
        <v>0</v>
      </c>
      <c r="L418" s="10">
        <f t="shared" si="54"/>
        <v>0</v>
      </c>
      <c r="M418" s="10">
        <f>IF(I418&lt;&gt;1,"",IF(H418="","",H418/CONTROL_PANEL!$B$11))</f>
        <v>0.37489441853361011</v>
      </c>
      <c r="N418" s="9">
        <f t="shared" si="55"/>
        <v>0</v>
      </c>
      <c r="O418" s="9">
        <f t="shared" si="56"/>
        <v>0</v>
      </c>
      <c r="P418" s="9">
        <f t="shared" si="57"/>
        <v>0</v>
      </c>
      <c r="Q418" s="9">
        <f t="shared" si="58"/>
        <v>0</v>
      </c>
      <c r="R418" s="11"/>
      <c r="S418" s="11" t="str">
        <f t="shared" si="60"/>
        <v>PASS</v>
      </c>
    </row>
    <row r="419" spans="1:19" x14ac:dyDescent="0.25">
      <c r="A419" s="30" t="s">
        <v>97</v>
      </c>
      <c r="B419" s="31">
        <f t="shared" si="59"/>
        <v>43922</v>
      </c>
      <c r="C419" s="30">
        <f>YEAR(BInputReservoir[[#This Row],[Date]])</f>
        <v>2020</v>
      </c>
      <c r="D419" s="30">
        <f>MONTH(BInputReservoir[[#This Row],[Date]])</f>
        <v>4</v>
      </c>
      <c r="E419" s="30">
        <f>IF(I419&lt;&gt;1,"",DATA_INPUT!$L59)</f>
        <v>11358.388773563018</v>
      </c>
      <c r="F419" s="30">
        <f>STORAGE_BALANCE_ENSEMBLE!AI59</f>
        <v>0</v>
      </c>
      <c r="G419" s="30">
        <f>STORAGE_BALANCE_ENSEMBLE!AJ59</f>
        <v>0</v>
      </c>
      <c r="H419" s="30">
        <f>STORAGE_BALANCE_ENSEMBLE!AH59</f>
        <v>19068424.628632635</v>
      </c>
      <c r="I419" s="18">
        <f t="shared" si="51"/>
        <v>1</v>
      </c>
      <c r="J419" s="8">
        <f t="shared" si="52"/>
        <v>11358.388773563018</v>
      </c>
      <c r="K419" s="9">
        <f t="shared" si="53"/>
        <v>0</v>
      </c>
      <c r="L419" s="10">
        <f t="shared" si="54"/>
        <v>0</v>
      </c>
      <c r="M419" s="10">
        <f>IF(I419&lt;&gt;1,"",IF(H419="","",H419/CONTROL_PANEL!$B$11))</f>
        <v>0.38136849257265271</v>
      </c>
      <c r="N419" s="9">
        <f t="shared" si="55"/>
        <v>0</v>
      </c>
      <c r="O419" s="9">
        <f t="shared" si="56"/>
        <v>0</v>
      </c>
      <c r="P419" s="9">
        <f t="shared" si="57"/>
        <v>0</v>
      </c>
      <c r="Q419" s="9">
        <f t="shared" si="58"/>
        <v>0</v>
      </c>
      <c r="R419" s="11"/>
      <c r="S419" s="11" t="str">
        <f t="shared" si="60"/>
        <v>PASS</v>
      </c>
    </row>
    <row r="420" spans="1:19" x14ac:dyDescent="0.25">
      <c r="A420" s="30" t="s">
        <v>97</v>
      </c>
      <c r="B420" s="31">
        <f t="shared" si="59"/>
        <v>43952</v>
      </c>
      <c r="C420" s="30">
        <f>YEAR(BInputReservoir[[#This Row],[Date]])</f>
        <v>2020</v>
      </c>
      <c r="D420" s="30">
        <f>MONTH(BInputReservoir[[#This Row],[Date]])</f>
        <v>5</v>
      </c>
      <c r="E420" s="30">
        <f>IF(I420&lt;&gt;1,"",DATA_INPUT!$L60)</f>
        <v>227506.91785011944</v>
      </c>
      <c r="F420" s="30">
        <f>STORAGE_BALANCE_ENSEMBLE!AI60</f>
        <v>0</v>
      </c>
      <c r="G420" s="30">
        <f>STORAGE_BALANCE_ENSEMBLE!AJ60</f>
        <v>0</v>
      </c>
      <c r="H420" s="30">
        <f>STORAGE_BALANCE_ENSEMBLE!AH60</f>
        <v>18720627.398976434</v>
      </c>
      <c r="I420" s="18">
        <f t="shared" si="51"/>
        <v>1</v>
      </c>
      <c r="J420" s="8">
        <f t="shared" si="52"/>
        <v>227506.91785011944</v>
      </c>
      <c r="K420" s="9">
        <f t="shared" si="53"/>
        <v>0</v>
      </c>
      <c r="L420" s="10">
        <f t="shared" si="54"/>
        <v>0</v>
      </c>
      <c r="M420" s="10">
        <f>IF(I420&lt;&gt;1,"",IF(H420="","",H420/CONTROL_PANEL!$B$11))</f>
        <v>0.37441254797952866</v>
      </c>
      <c r="N420" s="9">
        <f t="shared" si="55"/>
        <v>0</v>
      </c>
      <c r="O420" s="9">
        <f t="shared" si="56"/>
        <v>0</v>
      </c>
      <c r="P420" s="9">
        <f t="shared" si="57"/>
        <v>0</v>
      </c>
      <c r="Q420" s="9">
        <f t="shared" si="58"/>
        <v>0</v>
      </c>
      <c r="R420" s="11"/>
      <c r="S420" s="11" t="str">
        <f t="shared" si="60"/>
        <v>PASS</v>
      </c>
    </row>
    <row r="421" spans="1:19" x14ac:dyDescent="0.25">
      <c r="A421" s="30" t="s">
        <v>97</v>
      </c>
      <c r="B421" s="31">
        <f t="shared" si="59"/>
        <v>43983</v>
      </c>
      <c r="C421" s="30">
        <f>YEAR(BInputReservoir[[#This Row],[Date]])</f>
        <v>2020</v>
      </c>
      <c r="D421" s="30">
        <f>MONTH(BInputReservoir[[#This Row],[Date]])</f>
        <v>6</v>
      </c>
      <c r="E421" s="30">
        <f>IF(I421&lt;&gt;1,"",DATA_INPUT!$L61)</f>
        <v>1133831.4449962273</v>
      </c>
      <c r="F421" s="30">
        <f>STORAGE_BALANCE_ENSEMBLE!AI61</f>
        <v>0</v>
      </c>
      <c r="G421" s="30">
        <f>STORAGE_BALANCE_ENSEMBLE!AJ61</f>
        <v>0</v>
      </c>
      <c r="H421" s="30">
        <f>STORAGE_BALANCE_ENSEMBLE!AH61</f>
        <v>17227752.221632395</v>
      </c>
      <c r="I421" s="18">
        <f t="shared" si="51"/>
        <v>1</v>
      </c>
      <c r="J421" s="8">
        <f t="shared" si="52"/>
        <v>1133831.4449962273</v>
      </c>
      <c r="K421" s="9">
        <f t="shared" si="53"/>
        <v>0</v>
      </c>
      <c r="L421" s="10">
        <f t="shared" si="54"/>
        <v>0</v>
      </c>
      <c r="M421" s="10">
        <f>IF(I421&lt;&gt;1,"",IF(H421="","",H421/CONTROL_PANEL!$B$11))</f>
        <v>0.34455504443264789</v>
      </c>
      <c r="N421" s="9">
        <f t="shared" si="55"/>
        <v>0</v>
      </c>
      <c r="O421" s="9">
        <f t="shared" si="56"/>
        <v>0</v>
      </c>
      <c r="P421" s="9">
        <f t="shared" si="57"/>
        <v>0</v>
      </c>
      <c r="Q421" s="9">
        <f t="shared" si="58"/>
        <v>0</v>
      </c>
      <c r="R421" s="11"/>
      <c r="S421" s="11" t="str">
        <f t="shared" si="60"/>
        <v>PASS</v>
      </c>
    </row>
    <row r="422" spans="1:19" x14ac:dyDescent="0.25">
      <c r="A422" s="30" t="s">
        <v>97</v>
      </c>
      <c r="B422" s="31">
        <f t="shared" si="59"/>
        <v>44013</v>
      </c>
      <c r="C422" s="30">
        <f>YEAR(BInputReservoir[[#This Row],[Date]])</f>
        <v>2020</v>
      </c>
      <c r="D422" s="30">
        <f>MONTH(BInputReservoir[[#This Row],[Date]])</f>
        <v>7</v>
      </c>
      <c r="E422" s="30">
        <f>IF(I422&lt;&gt;1,"",DATA_INPUT!$L62)</f>
        <v>2386045.8366903556</v>
      </c>
      <c r="F422" s="30">
        <f>STORAGE_BALANCE_ENSEMBLE!AI62</f>
        <v>0</v>
      </c>
      <c r="G422" s="30">
        <f>STORAGE_BALANCE_ENSEMBLE!AJ62</f>
        <v>0</v>
      </c>
      <c r="H422" s="30">
        <f>STORAGE_BALANCE_ENSEMBLE!AH62</f>
        <v>14405733.907151572</v>
      </c>
      <c r="I422" s="18">
        <f t="shared" si="51"/>
        <v>1</v>
      </c>
      <c r="J422" s="8">
        <f t="shared" si="52"/>
        <v>2386045.8366903556</v>
      </c>
      <c r="K422" s="9">
        <f t="shared" si="53"/>
        <v>0</v>
      </c>
      <c r="L422" s="10">
        <f t="shared" si="54"/>
        <v>0</v>
      </c>
      <c r="M422" s="10">
        <f>IF(I422&lt;&gt;1,"",IF(H422="","",H422/CONTROL_PANEL!$B$11))</f>
        <v>0.28811467814303143</v>
      </c>
      <c r="N422" s="9">
        <f t="shared" si="55"/>
        <v>0</v>
      </c>
      <c r="O422" s="9">
        <f t="shared" si="56"/>
        <v>0</v>
      </c>
      <c r="P422" s="9">
        <f t="shared" si="57"/>
        <v>0</v>
      </c>
      <c r="Q422" s="9">
        <f t="shared" si="58"/>
        <v>0</v>
      </c>
      <c r="R422" s="11"/>
      <c r="S422" s="11" t="str">
        <f t="shared" si="60"/>
        <v>PASS</v>
      </c>
    </row>
    <row r="423" spans="1:19" x14ac:dyDescent="0.25">
      <c r="A423" s="30" t="s">
        <v>97</v>
      </c>
      <c r="B423" s="31">
        <f t="shared" si="59"/>
        <v>44044</v>
      </c>
      <c r="C423" s="30">
        <f>YEAR(BInputReservoir[[#This Row],[Date]])</f>
        <v>2020</v>
      </c>
      <c r="D423" s="30">
        <f>MONTH(BInputReservoir[[#This Row],[Date]])</f>
        <v>8</v>
      </c>
      <c r="E423" s="30">
        <f>IF(I423&lt;&gt;1,"",DATA_INPUT!$L63)</f>
        <v>2053334.8467610986</v>
      </c>
      <c r="F423" s="30">
        <f>STORAGE_BALANCE_ENSEMBLE!AI63</f>
        <v>0</v>
      </c>
      <c r="G423" s="30">
        <f>STORAGE_BALANCE_ENSEMBLE!AJ63</f>
        <v>0</v>
      </c>
      <c r="H423" s="30">
        <f>STORAGE_BALANCE_ENSEMBLE!AH63</f>
        <v>12037214.198967539</v>
      </c>
      <c r="I423" s="18">
        <f t="shared" si="51"/>
        <v>1</v>
      </c>
      <c r="J423" s="8">
        <f t="shared" si="52"/>
        <v>2053334.8467610986</v>
      </c>
      <c r="K423" s="9">
        <f t="shared" si="53"/>
        <v>0</v>
      </c>
      <c r="L423" s="10">
        <f t="shared" si="54"/>
        <v>0</v>
      </c>
      <c r="M423" s="10">
        <f>IF(I423&lt;&gt;1,"",IF(H423="","",H423/CONTROL_PANEL!$B$11))</f>
        <v>0.24074428397935077</v>
      </c>
      <c r="N423" s="9">
        <f t="shared" si="55"/>
        <v>0</v>
      </c>
      <c r="O423" s="9">
        <f t="shared" si="56"/>
        <v>0</v>
      </c>
      <c r="P423" s="9">
        <f t="shared" si="57"/>
        <v>0</v>
      </c>
      <c r="Q423" s="9">
        <f t="shared" si="58"/>
        <v>0</v>
      </c>
      <c r="R423" s="11"/>
      <c r="S423" s="11" t="str">
        <f t="shared" si="60"/>
        <v>PASS</v>
      </c>
    </row>
    <row r="424" spans="1:19" x14ac:dyDescent="0.25">
      <c r="A424" s="30" t="s">
        <v>97</v>
      </c>
      <c r="B424" s="31">
        <f t="shared" si="59"/>
        <v>44075</v>
      </c>
      <c r="C424" s="30">
        <f>YEAR(BInputReservoir[[#This Row],[Date]])</f>
        <v>2020</v>
      </c>
      <c r="D424" s="30">
        <f>MONTH(BInputReservoir[[#This Row],[Date]])</f>
        <v>9</v>
      </c>
      <c r="E424" s="30">
        <f>IF(I424&lt;&gt;1,"",DATA_INPUT!$L64)</f>
        <v>717593.01585752575</v>
      </c>
      <c r="F424" s="30">
        <f>STORAGE_BALANCE_ENSEMBLE!AI64</f>
        <v>0</v>
      </c>
      <c r="G424" s="30">
        <f>STORAGE_BALANCE_ENSEMBLE!AJ64</f>
        <v>0</v>
      </c>
      <c r="H424" s="30">
        <f>STORAGE_BALANCE_ENSEMBLE!AH64</f>
        <v>11347222.158822199</v>
      </c>
      <c r="I424" s="18">
        <f t="shared" si="51"/>
        <v>1</v>
      </c>
      <c r="J424" s="8">
        <f t="shared" si="52"/>
        <v>717593.01585752575</v>
      </c>
      <c r="K424" s="9">
        <f t="shared" si="53"/>
        <v>0</v>
      </c>
      <c r="L424" s="10">
        <f t="shared" si="54"/>
        <v>0</v>
      </c>
      <c r="M424" s="10">
        <f>IF(I424&lt;&gt;1,"",IF(H424="","",H424/CONTROL_PANEL!$B$11))</f>
        <v>0.22694444317644399</v>
      </c>
      <c r="N424" s="9">
        <f t="shared" si="55"/>
        <v>0</v>
      </c>
      <c r="O424" s="9">
        <f t="shared" si="56"/>
        <v>0</v>
      </c>
      <c r="P424" s="9">
        <f t="shared" si="57"/>
        <v>0</v>
      </c>
      <c r="Q424" s="9">
        <f t="shared" si="58"/>
        <v>0</v>
      </c>
      <c r="R424" s="11"/>
      <c r="S424" s="11" t="str">
        <f t="shared" si="60"/>
        <v>PASS</v>
      </c>
    </row>
    <row r="425" spans="1:19" x14ac:dyDescent="0.25">
      <c r="A425" s="30" t="s">
        <v>97</v>
      </c>
      <c r="B425" s="31">
        <f t="shared" si="59"/>
        <v>44105</v>
      </c>
      <c r="C425" s="30">
        <f>YEAR(BInputReservoir[[#This Row],[Date]])</f>
        <v>2020</v>
      </c>
      <c r="D425" s="30">
        <f>MONTH(BInputReservoir[[#This Row],[Date]])</f>
        <v>10</v>
      </c>
      <c r="E425" s="30">
        <f>IF(I425&lt;&gt;1,"",DATA_INPUT!$L65)</f>
        <v>122477.0570586689</v>
      </c>
      <c r="F425" s="30">
        <f>STORAGE_BALANCE_ENSEMBLE!AI65</f>
        <v>0</v>
      </c>
      <c r="G425" s="30">
        <f>STORAGE_BALANCE_ENSEMBLE!AJ65</f>
        <v>0</v>
      </c>
      <c r="H425" s="30">
        <f>STORAGE_BALANCE_ENSEMBLE!AH65</f>
        <v>11920164.366174722</v>
      </c>
      <c r="I425" s="18">
        <f t="shared" si="51"/>
        <v>1</v>
      </c>
      <c r="J425" s="8">
        <f t="shared" si="52"/>
        <v>122477.0570586689</v>
      </c>
      <c r="K425" s="9">
        <f t="shared" si="53"/>
        <v>0</v>
      </c>
      <c r="L425" s="10">
        <f t="shared" si="54"/>
        <v>0</v>
      </c>
      <c r="M425" s="10">
        <f>IF(I425&lt;&gt;1,"",IF(H425="","",H425/CONTROL_PANEL!$B$11))</f>
        <v>0.23840328732349444</v>
      </c>
      <c r="N425" s="9">
        <f t="shared" si="55"/>
        <v>0</v>
      </c>
      <c r="O425" s="9">
        <f t="shared" si="56"/>
        <v>0</v>
      </c>
      <c r="P425" s="9">
        <f t="shared" si="57"/>
        <v>0</v>
      </c>
      <c r="Q425" s="9">
        <f t="shared" si="58"/>
        <v>0</v>
      </c>
      <c r="R425" s="11"/>
      <c r="S425" s="11" t="str">
        <f t="shared" si="60"/>
        <v>PASS</v>
      </c>
    </row>
    <row r="426" spans="1:19" x14ac:dyDescent="0.25">
      <c r="A426" s="30" t="s">
        <v>97</v>
      </c>
      <c r="B426" s="31">
        <f t="shared" si="59"/>
        <v>44136</v>
      </c>
      <c r="C426" s="30">
        <f>YEAR(BInputReservoir[[#This Row],[Date]])</f>
        <v>2020</v>
      </c>
      <c r="D426" s="30">
        <f>MONTH(BInputReservoir[[#This Row],[Date]])</f>
        <v>11</v>
      </c>
      <c r="E426" s="30">
        <f>IF(I426&lt;&gt;1,"",DATA_INPUT!$L66)</f>
        <v>0</v>
      </c>
      <c r="F426" s="30">
        <f>STORAGE_BALANCE_ENSEMBLE!AI66</f>
        <v>0</v>
      </c>
      <c r="G426" s="30">
        <f>STORAGE_BALANCE_ENSEMBLE!AJ66</f>
        <v>0</v>
      </c>
      <c r="H426" s="30">
        <f>STORAGE_BALANCE_ENSEMBLE!AH66</f>
        <v>12711619.983383754</v>
      </c>
      <c r="I426" s="18">
        <f t="shared" si="51"/>
        <v>1</v>
      </c>
      <c r="J426" s="8">
        <f t="shared" si="52"/>
        <v>0</v>
      </c>
      <c r="K426" s="9">
        <f t="shared" si="53"/>
        <v>0</v>
      </c>
      <c r="L426" s="10">
        <f t="shared" si="54"/>
        <v>0</v>
      </c>
      <c r="M426" s="10">
        <f>IF(I426&lt;&gt;1,"",IF(H426="","",H426/CONTROL_PANEL!$B$11))</f>
        <v>0.25423239966767508</v>
      </c>
      <c r="N426" s="9">
        <f t="shared" si="55"/>
        <v>0</v>
      </c>
      <c r="O426" s="9">
        <f t="shared" si="56"/>
        <v>0</v>
      </c>
      <c r="P426" s="9">
        <f t="shared" si="57"/>
        <v>0</v>
      </c>
      <c r="Q426" s="9">
        <f t="shared" si="58"/>
        <v>0</v>
      </c>
      <c r="R426" s="11"/>
      <c r="S426" s="11" t="str">
        <f t="shared" si="60"/>
        <v>PASS</v>
      </c>
    </row>
    <row r="427" spans="1:19" x14ac:dyDescent="0.25">
      <c r="A427" s="30" t="s">
        <v>97</v>
      </c>
      <c r="B427" s="31">
        <f t="shared" si="59"/>
        <v>44166</v>
      </c>
      <c r="C427" s="30">
        <f>YEAR(BInputReservoir[[#This Row],[Date]])</f>
        <v>2020</v>
      </c>
      <c r="D427" s="30">
        <f>MONTH(BInputReservoir[[#This Row],[Date]])</f>
        <v>12</v>
      </c>
      <c r="E427" s="30">
        <f>IF(I427&lt;&gt;1,"",DATA_INPUT!$L67)</f>
        <v>0</v>
      </c>
      <c r="F427" s="30">
        <f>STORAGE_BALANCE_ENSEMBLE!AI67</f>
        <v>0</v>
      </c>
      <c r="G427" s="30">
        <f>STORAGE_BALANCE_ENSEMBLE!AJ67</f>
        <v>0</v>
      </c>
      <c r="H427" s="30">
        <f>STORAGE_BALANCE_ENSEMBLE!AH67</f>
        <v>14284179.6239479</v>
      </c>
      <c r="I427" s="18">
        <f t="shared" si="51"/>
        <v>1</v>
      </c>
      <c r="J427" s="8">
        <f t="shared" si="52"/>
        <v>0</v>
      </c>
      <c r="K427" s="9">
        <f t="shared" si="53"/>
        <v>0</v>
      </c>
      <c r="L427" s="10">
        <f t="shared" si="54"/>
        <v>0</v>
      </c>
      <c r="M427" s="10">
        <f>IF(I427&lt;&gt;1,"",IF(H427="","",H427/CONTROL_PANEL!$B$11))</f>
        <v>0.28568359247895797</v>
      </c>
      <c r="N427" s="9">
        <f t="shared" si="55"/>
        <v>0</v>
      </c>
      <c r="O427" s="9">
        <f t="shared" si="56"/>
        <v>0</v>
      </c>
      <c r="P427" s="9">
        <f t="shared" si="57"/>
        <v>0</v>
      </c>
      <c r="Q427" s="9">
        <f t="shared" si="58"/>
        <v>0</v>
      </c>
      <c r="R427" s="11"/>
      <c r="S427" s="11" t="str">
        <f t="shared" si="60"/>
        <v>PASS</v>
      </c>
    </row>
    <row r="428" spans="1:19" x14ac:dyDescent="0.25">
      <c r="A428" s="30" t="s">
        <v>97</v>
      </c>
      <c r="B428" s="31">
        <f t="shared" si="59"/>
        <v>44197</v>
      </c>
      <c r="C428" s="30">
        <f>YEAR(BInputReservoir[[#This Row],[Date]])</f>
        <v>2021</v>
      </c>
      <c r="D428" s="30">
        <f>MONTH(BInputReservoir[[#This Row],[Date]])</f>
        <v>1</v>
      </c>
      <c r="E428" s="30">
        <f>IF(I428&lt;&gt;1,"",DATA_INPUT!$L68)</f>
        <v>0</v>
      </c>
      <c r="F428" s="30">
        <f>STORAGE_BALANCE_ENSEMBLE!AI68</f>
        <v>0</v>
      </c>
      <c r="G428" s="30">
        <f>STORAGE_BALANCE_ENSEMBLE!AJ68</f>
        <v>0</v>
      </c>
      <c r="H428" s="30">
        <f>STORAGE_BALANCE_ENSEMBLE!AH68</f>
        <v>19946035.139702108</v>
      </c>
      <c r="I428" s="18">
        <f t="shared" si="51"/>
        <v>1</v>
      </c>
      <c r="J428" s="8">
        <f t="shared" si="52"/>
        <v>0</v>
      </c>
      <c r="K428" s="9">
        <f t="shared" si="53"/>
        <v>0</v>
      </c>
      <c r="L428" s="10">
        <f t="shared" si="54"/>
        <v>0</v>
      </c>
      <c r="M428" s="10">
        <f>IF(I428&lt;&gt;1,"",IF(H428="","",H428/CONTROL_PANEL!$B$11))</f>
        <v>0.39892070279404218</v>
      </c>
      <c r="N428" s="9">
        <f t="shared" si="55"/>
        <v>0</v>
      </c>
      <c r="O428" s="9">
        <f t="shared" si="56"/>
        <v>0</v>
      </c>
      <c r="P428" s="9">
        <f t="shared" si="57"/>
        <v>0</v>
      </c>
      <c r="Q428" s="9">
        <f t="shared" si="58"/>
        <v>0</v>
      </c>
      <c r="R428" s="11"/>
      <c r="S428" s="11" t="str">
        <f t="shared" si="60"/>
        <v>PASS</v>
      </c>
    </row>
    <row r="429" spans="1:19" x14ac:dyDescent="0.25">
      <c r="A429" s="30" t="s">
        <v>97</v>
      </c>
      <c r="B429" s="31">
        <f t="shared" ref="B429:B460" si="61">B68</f>
        <v>44228</v>
      </c>
      <c r="C429" s="30">
        <f>YEAR(BInputReservoir[[#This Row],[Date]])</f>
        <v>2021</v>
      </c>
      <c r="D429" s="30">
        <f>MONTH(BInputReservoir[[#This Row],[Date]])</f>
        <v>2</v>
      </c>
      <c r="E429" s="30">
        <f>IF(I429&lt;&gt;1,"",DATA_INPUT!$L69)</f>
        <v>0</v>
      </c>
      <c r="F429" s="30">
        <f>STORAGE_BALANCE_ENSEMBLE!AI69</f>
        <v>0</v>
      </c>
      <c r="G429" s="30">
        <f>STORAGE_BALANCE_ENSEMBLE!AJ69</f>
        <v>0</v>
      </c>
      <c r="H429" s="30">
        <f>STORAGE_BALANCE_ENSEMBLE!AH69</f>
        <v>21670192.999837063</v>
      </c>
      <c r="I429" s="18">
        <f t="shared" si="51"/>
        <v>1</v>
      </c>
      <c r="J429" s="8">
        <f t="shared" si="52"/>
        <v>0</v>
      </c>
      <c r="K429" s="9">
        <f t="shared" si="53"/>
        <v>0</v>
      </c>
      <c r="L429" s="10">
        <f t="shared" si="54"/>
        <v>0</v>
      </c>
      <c r="M429" s="10">
        <f>IF(I429&lt;&gt;1,"",IF(H429="","",H429/CONTROL_PANEL!$B$11))</f>
        <v>0.43340385999674125</v>
      </c>
      <c r="N429" s="9">
        <f t="shared" si="55"/>
        <v>0</v>
      </c>
      <c r="O429" s="9">
        <f t="shared" si="56"/>
        <v>0</v>
      </c>
      <c r="P429" s="9">
        <f t="shared" si="57"/>
        <v>0</v>
      </c>
      <c r="Q429" s="9">
        <f t="shared" si="58"/>
        <v>0</v>
      </c>
      <c r="R429" s="11"/>
      <c r="S429" s="11" t="str">
        <f t="shared" ref="S429:S460" si="62">IF(COUNTA(A429:H429)=0,"",IF(OR(A429="",C429="",D429=""),"ERROR: missing key fields","PASS"))</f>
        <v>PASS</v>
      </c>
    </row>
    <row r="430" spans="1:19" x14ac:dyDescent="0.25">
      <c r="A430" s="30" t="s">
        <v>97</v>
      </c>
      <c r="B430" s="31">
        <f t="shared" si="61"/>
        <v>44256</v>
      </c>
      <c r="C430" s="30">
        <f>YEAR(BInputReservoir[[#This Row],[Date]])</f>
        <v>2021</v>
      </c>
      <c r="D430" s="30">
        <f>MONTH(BInputReservoir[[#This Row],[Date]])</f>
        <v>3</v>
      </c>
      <c r="E430" s="30">
        <f>IF(I430&lt;&gt;1,"",DATA_INPUT!$L70)</f>
        <v>0</v>
      </c>
      <c r="F430" s="30">
        <f>STORAGE_BALANCE_ENSEMBLE!AI70</f>
        <v>0</v>
      </c>
      <c r="G430" s="30">
        <f>STORAGE_BALANCE_ENSEMBLE!AJ70</f>
        <v>0</v>
      </c>
      <c r="H430" s="30">
        <f>STORAGE_BALANCE_ENSEMBLE!AH70</f>
        <v>21853878.152794141</v>
      </c>
      <c r="I430" s="18">
        <f t="shared" ref="I430:I493" si="63">I69</f>
        <v>1</v>
      </c>
      <c r="J430" s="8">
        <f t="shared" si="52"/>
        <v>0</v>
      </c>
      <c r="K430" s="9">
        <f t="shared" si="53"/>
        <v>0</v>
      </c>
      <c r="L430" s="10">
        <f t="shared" si="54"/>
        <v>0</v>
      </c>
      <c r="M430" s="10">
        <f>IF(I430&lt;&gt;1,"",IF(H430="","",H430/CONTROL_PANEL!$B$11))</f>
        <v>0.4370775630558828</v>
      </c>
      <c r="N430" s="9">
        <f t="shared" si="55"/>
        <v>0</v>
      </c>
      <c r="O430" s="9">
        <f t="shared" si="56"/>
        <v>0</v>
      </c>
      <c r="P430" s="9">
        <f t="shared" si="57"/>
        <v>0</v>
      </c>
      <c r="Q430" s="9">
        <f t="shared" si="58"/>
        <v>0</v>
      </c>
      <c r="R430" s="11"/>
      <c r="S430" s="11" t="str">
        <f t="shared" si="62"/>
        <v>PASS</v>
      </c>
    </row>
    <row r="431" spans="1:19" x14ac:dyDescent="0.25">
      <c r="A431" s="30" t="s">
        <v>97</v>
      </c>
      <c r="B431" s="31">
        <f t="shared" si="61"/>
        <v>44287</v>
      </c>
      <c r="C431" s="30">
        <f>YEAR(BInputReservoir[[#This Row],[Date]])</f>
        <v>2021</v>
      </c>
      <c r="D431" s="30">
        <f>MONTH(BInputReservoir[[#This Row],[Date]])</f>
        <v>4</v>
      </c>
      <c r="E431" s="30">
        <f>IF(I431&lt;&gt;1,"",DATA_INPUT!$L71)</f>
        <v>243891.5863046404</v>
      </c>
      <c r="F431" s="30">
        <f>STORAGE_BALANCE_ENSEMBLE!AI71</f>
        <v>0</v>
      </c>
      <c r="G431" s="30">
        <f>STORAGE_BALANCE_ENSEMBLE!AJ71</f>
        <v>0</v>
      </c>
      <c r="H431" s="30">
        <f>STORAGE_BALANCE_ENSEMBLE!AH71</f>
        <v>21647058.84587488</v>
      </c>
      <c r="I431" s="18">
        <f t="shared" si="63"/>
        <v>1</v>
      </c>
      <c r="J431" s="8">
        <f t="shared" si="52"/>
        <v>243891.5863046404</v>
      </c>
      <c r="K431" s="9">
        <f t="shared" si="53"/>
        <v>0</v>
      </c>
      <c r="L431" s="10">
        <f t="shared" si="54"/>
        <v>0</v>
      </c>
      <c r="M431" s="10">
        <f>IF(I431&lt;&gt;1,"",IF(H431="","",H431/CONTROL_PANEL!$B$11))</f>
        <v>0.43294117691749762</v>
      </c>
      <c r="N431" s="9">
        <f t="shared" si="55"/>
        <v>0</v>
      </c>
      <c r="O431" s="9">
        <f t="shared" si="56"/>
        <v>0</v>
      </c>
      <c r="P431" s="9">
        <f t="shared" si="57"/>
        <v>0</v>
      </c>
      <c r="Q431" s="9">
        <f t="shared" si="58"/>
        <v>0</v>
      </c>
      <c r="R431" s="11"/>
      <c r="S431" s="11" t="str">
        <f t="shared" si="62"/>
        <v>PASS</v>
      </c>
    </row>
    <row r="432" spans="1:19" x14ac:dyDescent="0.25">
      <c r="A432" s="30" t="s">
        <v>97</v>
      </c>
      <c r="B432" s="31">
        <f t="shared" si="61"/>
        <v>44317</v>
      </c>
      <c r="C432" s="30">
        <f>YEAR(BInputReservoir[[#This Row],[Date]])</f>
        <v>2021</v>
      </c>
      <c r="D432" s="30">
        <f>MONTH(BInputReservoir[[#This Row],[Date]])</f>
        <v>5</v>
      </c>
      <c r="E432" s="30">
        <f>IF(I432&lt;&gt;1,"",DATA_INPUT!$L72)</f>
        <v>480084.78030669794</v>
      </c>
      <c r="F432" s="30">
        <f>STORAGE_BALANCE_ENSEMBLE!AI72</f>
        <v>0</v>
      </c>
      <c r="G432" s="30">
        <f>STORAGE_BALANCE_ENSEMBLE!AJ72</f>
        <v>0</v>
      </c>
      <c r="H432" s="30">
        <f>STORAGE_BALANCE_ENSEMBLE!AH72</f>
        <v>20900829.523574762</v>
      </c>
      <c r="I432" s="18">
        <f t="shared" si="63"/>
        <v>1</v>
      </c>
      <c r="J432" s="8">
        <f t="shared" si="52"/>
        <v>480084.78030669794</v>
      </c>
      <c r="K432" s="9">
        <f t="shared" si="53"/>
        <v>0</v>
      </c>
      <c r="L432" s="10">
        <f t="shared" si="54"/>
        <v>0</v>
      </c>
      <c r="M432" s="10">
        <f>IF(I432&lt;&gt;1,"",IF(H432="","",H432/CONTROL_PANEL!$B$11))</f>
        <v>0.41801659047149525</v>
      </c>
      <c r="N432" s="9">
        <f t="shared" si="55"/>
        <v>0</v>
      </c>
      <c r="O432" s="9">
        <f t="shared" si="56"/>
        <v>0</v>
      </c>
      <c r="P432" s="9">
        <f t="shared" si="57"/>
        <v>0</v>
      </c>
      <c r="Q432" s="9">
        <f t="shared" si="58"/>
        <v>0</v>
      </c>
      <c r="R432" s="11"/>
      <c r="S432" s="11" t="str">
        <f t="shared" si="62"/>
        <v>PASS</v>
      </c>
    </row>
    <row r="433" spans="1:19" x14ac:dyDescent="0.25">
      <c r="A433" s="30" t="s">
        <v>97</v>
      </c>
      <c r="B433" s="31">
        <f t="shared" si="61"/>
        <v>44348</v>
      </c>
      <c r="C433" s="30">
        <f>YEAR(BInputReservoir[[#This Row],[Date]])</f>
        <v>2021</v>
      </c>
      <c r="D433" s="30">
        <f>MONTH(BInputReservoir[[#This Row],[Date]])</f>
        <v>6</v>
      </c>
      <c r="E433" s="30">
        <f>IF(I433&lt;&gt;1,"",DATA_INPUT!$L73)</f>
        <v>1189742.9484990726</v>
      </c>
      <c r="F433" s="30">
        <f>STORAGE_BALANCE_ENSEMBLE!AI73</f>
        <v>0</v>
      </c>
      <c r="G433" s="30">
        <f>STORAGE_BALANCE_ENSEMBLE!AJ73</f>
        <v>0</v>
      </c>
      <c r="H433" s="30">
        <f>STORAGE_BALANCE_ENSEMBLE!AH73</f>
        <v>19313291.292378169</v>
      </c>
      <c r="I433" s="18">
        <f t="shared" si="63"/>
        <v>1</v>
      </c>
      <c r="J433" s="8">
        <f t="shared" si="52"/>
        <v>1189742.9484990726</v>
      </c>
      <c r="K433" s="9">
        <f t="shared" si="53"/>
        <v>0</v>
      </c>
      <c r="L433" s="10">
        <f t="shared" si="54"/>
        <v>0</v>
      </c>
      <c r="M433" s="10">
        <f>IF(I433&lt;&gt;1,"",IF(H433="","",H433/CONTROL_PANEL!$B$11))</f>
        <v>0.38626582584756336</v>
      </c>
      <c r="N433" s="9">
        <f t="shared" si="55"/>
        <v>0</v>
      </c>
      <c r="O433" s="9">
        <f t="shared" si="56"/>
        <v>0</v>
      </c>
      <c r="P433" s="9">
        <f t="shared" si="57"/>
        <v>0</v>
      </c>
      <c r="Q433" s="9">
        <f t="shared" si="58"/>
        <v>0</v>
      </c>
      <c r="R433" s="11"/>
      <c r="S433" s="11" t="str">
        <f t="shared" si="62"/>
        <v>PASS</v>
      </c>
    </row>
    <row r="434" spans="1:19" x14ac:dyDescent="0.25">
      <c r="A434" s="30" t="s">
        <v>97</v>
      </c>
      <c r="B434" s="31">
        <f t="shared" si="61"/>
        <v>44378</v>
      </c>
      <c r="C434" s="30">
        <f>YEAR(BInputReservoir[[#This Row],[Date]])</f>
        <v>2021</v>
      </c>
      <c r="D434" s="30">
        <f>MONTH(BInputReservoir[[#This Row],[Date]])</f>
        <v>7</v>
      </c>
      <c r="E434" s="30">
        <f>IF(I434&lt;&gt;1,"",DATA_INPUT!$L74)</f>
        <v>2275178.8802364869</v>
      </c>
      <c r="F434" s="30">
        <f>STORAGE_BALANCE_ENSEMBLE!AI74</f>
        <v>0</v>
      </c>
      <c r="G434" s="30">
        <f>STORAGE_BALANCE_ENSEMBLE!AJ74</f>
        <v>0</v>
      </c>
      <c r="H434" s="30">
        <f>STORAGE_BALANCE_ENSEMBLE!AH74</f>
        <v>16617640.56249547</v>
      </c>
      <c r="I434" s="18">
        <f t="shared" si="63"/>
        <v>1</v>
      </c>
      <c r="J434" s="8">
        <f t="shared" si="52"/>
        <v>2275178.8802364869</v>
      </c>
      <c r="K434" s="9">
        <f t="shared" si="53"/>
        <v>0</v>
      </c>
      <c r="L434" s="10">
        <f t="shared" si="54"/>
        <v>0</v>
      </c>
      <c r="M434" s="10">
        <f>IF(I434&lt;&gt;1,"",IF(H434="","",H434/CONTROL_PANEL!$B$11))</f>
        <v>0.3323528112499094</v>
      </c>
      <c r="N434" s="9">
        <f t="shared" si="55"/>
        <v>0</v>
      </c>
      <c r="O434" s="9">
        <f t="shared" si="56"/>
        <v>0</v>
      </c>
      <c r="P434" s="9">
        <f t="shared" si="57"/>
        <v>0</v>
      </c>
      <c r="Q434" s="9">
        <f t="shared" si="58"/>
        <v>0</v>
      </c>
      <c r="R434" s="11"/>
      <c r="S434" s="11" t="str">
        <f t="shared" si="62"/>
        <v>PASS</v>
      </c>
    </row>
    <row r="435" spans="1:19" x14ac:dyDescent="0.25">
      <c r="A435" s="30" t="s">
        <v>97</v>
      </c>
      <c r="B435" s="31">
        <f t="shared" si="61"/>
        <v>44409</v>
      </c>
      <c r="C435" s="30">
        <f>YEAR(BInputReservoir[[#This Row],[Date]])</f>
        <v>2021</v>
      </c>
      <c r="D435" s="30">
        <f>MONTH(BInputReservoir[[#This Row],[Date]])</f>
        <v>8</v>
      </c>
      <c r="E435" s="30">
        <f>IF(I435&lt;&gt;1,"",DATA_INPUT!$L75)</f>
        <v>2481227.5039037415</v>
      </c>
      <c r="F435" s="30">
        <f>STORAGE_BALANCE_ENSEMBLE!AI75</f>
        <v>0</v>
      </c>
      <c r="G435" s="30">
        <f>STORAGE_BALANCE_ENSEMBLE!AJ75</f>
        <v>0</v>
      </c>
      <c r="H435" s="30">
        <f>STORAGE_BALANCE_ENSEMBLE!AH75</f>
        <v>13773630.041347353</v>
      </c>
      <c r="I435" s="18">
        <f t="shared" si="63"/>
        <v>1</v>
      </c>
      <c r="J435" s="8">
        <f t="shared" si="52"/>
        <v>2481227.5039037415</v>
      </c>
      <c r="K435" s="9">
        <f t="shared" si="53"/>
        <v>0</v>
      </c>
      <c r="L435" s="10">
        <f t="shared" si="54"/>
        <v>0</v>
      </c>
      <c r="M435" s="10">
        <f>IF(I435&lt;&gt;1,"",IF(H435="","",H435/CONTROL_PANEL!$B$11))</f>
        <v>0.27547260082694708</v>
      </c>
      <c r="N435" s="9">
        <f t="shared" si="55"/>
        <v>0</v>
      </c>
      <c r="O435" s="9">
        <f t="shared" si="56"/>
        <v>0</v>
      </c>
      <c r="P435" s="9">
        <f t="shared" si="57"/>
        <v>0</v>
      </c>
      <c r="Q435" s="9">
        <f t="shared" si="58"/>
        <v>0</v>
      </c>
      <c r="R435" s="11"/>
      <c r="S435" s="11" t="str">
        <f t="shared" si="62"/>
        <v>PASS</v>
      </c>
    </row>
    <row r="436" spans="1:19" x14ac:dyDescent="0.25">
      <c r="A436" s="30" t="s">
        <v>97</v>
      </c>
      <c r="B436" s="31">
        <f t="shared" si="61"/>
        <v>44440</v>
      </c>
      <c r="C436" s="30">
        <f>YEAR(BInputReservoir[[#This Row],[Date]])</f>
        <v>2021</v>
      </c>
      <c r="D436" s="30">
        <f>MONTH(BInputReservoir[[#This Row],[Date]])</f>
        <v>9</v>
      </c>
      <c r="E436" s="30">
        <f>IF(I436&lt;&gt;1,"",DATA_INPUT!$L76)</f>
        <v>574509.46222416277</v>
      </c>
      <c r="F436" s="30">
        <f>STORAGE_BALANCE_ENSEMBLE!AI76</f>
        <v>0</v>
      </c>
      <c r="G436" s="30">
        <f>STORAGE_BALANCE_ENSEMBLE!AJ76</f>
        <v>0</v>
      </c>
      <c r="H436" s="30">
        <f>STORAGE_BALANCE_ENSEMBLE!AH76</f>
        <v>13123198.808147404</v>
      </c>
      <c r="I436" s="18">
        <f t="shared" si="63"/>
        <v>1</v>
      </c>
      <c r="J436" s="8">
        <f t="shared" si="52"/>
        <v>574509.46222416277</v>
      </c>
      <c r="K436" s="9">
        <f t="shared" si="53"/>
        <v>0</v>
      </c>
      <c r="L436" s="10">
        <f t="shared" si="54"/>
        <v>0</v>
      </c>
      <c r="M436" s="10">
        <f>IF(I436&lt;&gt;1,"",IF(H436="","",H436/CONTROL_PANEL!$B$11))</f>
        <v>0.26246397616294809</v>
      </c>
      <c r="N436" s="9">
        <f t="shared" si="55"/>
        <v>0</v>
      </c>
      <c r="O436" s="9">
        <f t="shared" si="56"/>
        <v>0</v>
      </c>
      <c r="P436" s="9">
        <f t="shared" si="57"/>
        <v>0</v>
      </c>
      <c r="Q436" s="9">
        <f t="shared" si="58"/>
        <v>0</v>
      </c>
      <c r="R436" s="11"/>
      <c r="S436" s="11" t="str">
        <f t="shared" si="62"/>
        <v>PASS</v>
      </c>
    </row>
    <row r="437" spans="1:19" x14ac:dyDescent="0.25">
      <c r="A437" s="30" t="s">
        <v>97</v>
      </c>
      <c r="B437" s="31">
        <f t="shared" si="61"/>
        <v>44470</v>
      </c>
      <c r="C437" s="30">
        <f>YEAR(BInputReservoir[[#This Row],[Date]])</f>
        <v>2021</v>
      </c>
      <c r="D437" s="30">
        <f>MONTH(BInputReservoir[[#This Row],[Date]])</f>
        <v>10</v>
      </c>
      <c r="E437" s="30">
        <f>IF(I437&lt;&gt;1,"",DATA_INPUT!$L77)</f>
        <v>226449.33711914186</v>
      </c>
      <c r="F437" s="30">
        <f>STORAGE_BALANCE_ENSEMBLE!AI77</f>
        <v>0</v>
      </c>
      <c r="G437" s="30">
        <f>STORAGE_BALANCE_ENSEMBLE!AJ77</f>
        <v>0</v>
      </c>
      <c r="H437" s="30">
        <f>STORAGE_BALANCE_ENSEMBLE!AH77</f>
        <v>12931740.784789599</v>
      </c>
      <c r="I437" s="18">
        <f t="shared" si="63"/>
        <v>1</v>
      </c>
      <c r="J437" s="8">
        <f t="shared" si="52"/>
        <v>226449.33711914186</v>
      </c>
      <c r="K437" s="9">
        <f t="shared" si="53"/>
        <v>0</v>
      </c>
      <c r="L437" s="10">
        <f t="shared" si="54"/>
        <v>0</v>
      </c>
      <c r="M437" s="10">
        <f>IF(I437&lt;&gt;1,"",IF(H437="","",H437/CONTROL_PANEL!$B$11))</f>
        <v>0.258634815695792</v>
      </c>
      <c r="N437" s="9">
        <f t="shared" si="55"/>
        <v>0</v>
      </c>
      <c r="O437" s="9">
        <f t="shared" si="56"/>
        <v>0</v>
      </c>
      <c r="P437" s="9">
        <f t="shared" si="57"/>
        <v>0</v>
      </c>
      <c r="Q437" s="9">
        <f t="shared" si="58"/>
        <v>0</v>
      </c>
      <c r="R437" s="11"/>
      <c r="S437" s="11" t="str">
        <f t="shared" si="62"/>
        <v>PASS</v>
      </c>
    </row>
    <row r="438" spans="1:19" x14ac:dyDescent="0.25">
      <c r="A438" s="30" t="s">
        <v>97</v>
      </c>
      <c r="B438" s="31">
        <f t="shared" si="61"/>
        <v>44501</v>
      </c>
      <c r="C438" s="30">
        <f>YEAR(BInputReservoir[[#This Row],[Date]])</f>
        <v>2021</v>
      </c>
      <c r="D438" s="30">
        <f>MONTH(BInputReservoir[[#This Row],[Date]])</f>
        <v>11</v>
      </c>
      <c r="E438" s="30">
        <f>IF(I438&lt;&gt;1,"",DATA_INPUT!$L78)</f>
        <v>0</v>
      </c>
      <c r="F438" s="30">
        <f>STORAGE_BALANCE_ENSEMBLE!AI78</f>
        <v>0</v>
      </c>
      <c r="G438" s="30">
        <f>STORAGE_BALANCE_ENSEMBLE!AJ78</f>
        <v>0</v>
      </c>
      <c r="H438" s="30">
        <f>STORAGE_BALANCE_ENSEMBLE!AH78</f>
        <v>12907280.283244016</v>
      </c>
      <c r="I438" s="18">
        <f t="shared" si="63"/>
        <v>1</v>
      </c>
      <c r="J438" s="8">
        <f t="shared" si="52"/>
        <v>0</v>
      </c>
      <c r="K438" s="9">
        <f t="shared" si="53"/>
        <v>0</v>
      </c>
      <c r="L438" s="10">
        <f t="shared" si="54"/>
        <v>0</v>
      </c>
      <c r="M438" s="10">
        <f>IF(I438&lt;&gt;1,"",IF(H438="","",H438/CONTROL_PANEL!$B$11))</f>
        <v>0.25814560566488032</v>
      </c>
      <c r="N438" s="9">
        <f t="shared" si="55"/>
        <v>0</v>
      </c>
      <c r="O438" s="9">
        <f t="shared" si="56"/>
        <v>0</v>
      </c>
      <c r="P438" s="9">
        <f t="shared" si="57"/>
        <v>0</v>
      </c>
      <c r="Q438" s="9">
        <f t="shared" si="58"/>
        <v>0</v>
      </c>
      <c r="R438" s="11"/>
      <c r="S438" s="11" t="str">
        <f t="shared" si="62"/>
        <v>PASS</v>
      </c>
    </row>
    <row r="439" spans="1:19" x14ac:dyDescent="0.25">
      <c r="A439" s="30" t="s">
        <v>97</v>
      </c>
      <c r="B439" s="31">
        <f t="shared" si="61"/>
        <v>44531</v>
      </c>
      <c r="C439" s="30">
        <f>YEAR(BInputReservoir[[#This Row],[Date]])</f>
        <v>2021</v>
      </c>
      <c r="D439" s="30">
        <f>MONTH(BInputReservoir[[#This Row],[Date]])</f>
        <v>12</v>
      </c>
      <c r="E439" s="30">
        <f>IF(I439&lt;&gt;1,"",DATA_INPUT!$L79)</f>
        <v>0</v>
      </c>
      <c r="F439" s="30">
        <f>STORAGE_BALANCE_ENSEMBLE!AI79</f>
        <v>0</v>
      </c>
      <c r="G439" s="30">
        <f>STORAGE_BALANCE_ENSEMBLE!AJ79</f>
        <v>0</v>
      </c>
      <c r="H439" s="30">
        <f>STORAGE_BALANCE_ENSEMBLE!AH79</f>
        <v>13014806.379308684</v>
      </c>
      <c r="I439" s="18">
        <f t="shared" si="63"/>
        <v>1</v>
      </c>
      <c r="J439" s="8">
        <f t="shared" si="52"/>
        <v>0</v>
      </c>
      <c r="K439" s="9">
        <f t="shared" si="53"/>
        <v>0</v>
      </c>
      <c r="L439" s="10">
        <f t="shared" si="54"/>
        <v>0</v>
      </c>
      <c r="M439" s="10">
        <f>IF(I439&lt;&gt;1,"",IF(H439="","",H439/CONTROL_PANEL!$B$11))</f>
        <v>0.26029612758617365</v>
      </c>
      <c r="N439" s="9">
        <f t="shared" si="55"/>
        <v>0</v>
      </c>
      <c r="O439" s="9">
        <f t="shared" si="56"/>
        <v>0</v>
      </c>
      <c r="P439" s="9">
        <f t="shared" si="57"/>
        <v>0</v>
      </c>
      <c r="Q439" s="9">
        <f t="shared" si="58"/>
        <v>0</v>
      </c>
      <c r="R439" s="11"/>
      <c r="S439" s="11" t="str">
        <f t="shared" si="62"/>
        <v>PASS</v>
      </c>
    </row>
    <row r="440" spans="1:19" x14ac:dyDescent="0.25">
      <c r="A440" s="30" t="s">
        <v>97</v>
      </c>
      <c r="B440" s="31">
        <f t="shared" si="61"/>
        <v>44562</v>
      </c>
      <c r="C440" s="30">
        <f>YEAR(BInputReservoir[[#This Row],[Date]])</f>
        <v>2022</v>
      </c>
      <c r="D440" s="30">
        <f>MONTH(BInputReservoir[[#This Row],[Date]])</f>
        <v>1</v>
      </c>
      <c r="E440" s="30">
        <f>IF(I440&lt;&gt;1,"",DATA_INPUT!$L80)</f>
        <v>0</v>
      </c>
      <c r="F440" s="30">
        <f>STORAGE_BALANCE_ENSEMBLE!AI80</f>
        <v>0</v>
      </c>
      <c r="G440" s="30">
        <f>STORAGE_BALANCE_ENSEMBLE!AJ80</f>
        <v>0</v>
      </c>
      <c r="H440" s="30">
        <f>STORAGE_BALANCE_ENSEMBLE!AH80</f>
        <v>12970483.214166235</v>
      </c>
      <c r="I440" s="18">
        <f t="shared" si="63"/>
        <v>1</v>
      </c>
      <c r="J440" s="8">
        <f t="shared" si="52"/>
        <v>0</v>
      </c>
      <c r="K440" s="9">
        <f t="shared" si="53"/>
        <v>0</v>
      </c>
      <c r="L440" s="10">
        <f t="shared" si="54"/>
        <v>0</v>
      </c>
      <c r="M440" s="10">
        <f>IF(I440&lt;&gt;1,"",IF(H440="","",H440/CONTROL_PANEL!$B$11))</f>
        <v>0.25940966428332468</v>
      </c>
      <c r="N440" s="9">
        <f t="shared" si="55"/>
        <v>0</v>
      </c>
      <c r="O440" s="9">
        <f t="shared" si="56"/>
        <v>0</v>
      </c>
      <c r="P440" s="9">
        <f t="shared" si="57"/>
        <v>0</v>
      </c>
      <c r="Q440" s="9">
        <f t="shared" si="58"/>
        <v>0</v>
      </c>
      <c r="R440" s="11"/>
      <c r="S440" s="11" t="str">
        <f t="shared" si="62"/>
        <v>PASS</v>
      </c>
    </row>
    <row r="441" spans="1:19" x14ac:dyDescent="0.25">
      <c r="A441" s="30" t="s">
        <v>97</v>
      </c>
      <c r="B441" s="31">
        <f t="shared" si="61"/>
        <v>44593</v>
      </c>
      <c r="C441" s="30">
        <f>YEAR(BInputReservoir[[#This Row],[Date]])</f>
        <v>2022</v>
      </c>
      <c r="D441" s="30">
        <f>MONTH(BInputReservoir[[#This Row],[Date]])</f>
        <v>2</v>
      </c>
      <c r="E441" s="30">
        <f>IF(I441&lt;&gt;1,"",DATA_INPUT!$L81)</f>
        <v>0</v>
      </c>
      <c r="F441" s="30">
        <f>STORAGE_BALANCE_ENSEMBLE!AI81</f>
        <v>0</v>
      </c>
      <c r="G441" s="30">
        <f>STORAGE_BALANCE_ENSEMBLE!AJ81</f>
        <v>0</v>
      </c>
      <c r="H441" s="30">
        <f>STORAGE_BALANCE_ENSEMBLE!AH81</f>
        <v>13136821.673641875</v>
      </c>
      <c r="I441" s="18">
        <f t="shared" si="63"/>
        <v>1</v>
      </c>
      <c r="J441" s="8">
        <f t="shared" si="52"/>
        <v>0</v>
      </c>
      <c r="K441" s="9">
        <f t="shared" si="53"/>
        <v>0</v>
      </c>
      <c r="L441" s="10">
        <f t="shared" si="54"/>
        <v>0</v>
      </c>
      <c r="M441" s="10">
        <f>IF(I441&lt;&gt;1,"",IF(H441="","",H441/CONTROL_PANEL!$B$11))</f>
        <v>0.26273643347283748</v>
      </c>
      <c r="N441" s="9">
        <f t="shared" si="55"/>
        <v>0</v>
      </c>
      <c r="O441" s="9">
        <f t="shared" si="56"/>
        <v>0</v>
      </c>
      <c r="P441" s="9">
        <f t="shared" si="57"/>
        <v>0</v>
      </c>
      <c r="Q441" s="9">
        <f t="shared" si="58"/>
        <v>0</v>
      </c>
      <c r="R441" s="11"/>
      <c r="S441" s="11" t="str">
        <f t="shared" si="62"/>
        <v>PASS</v>
      </c>
    </row>
    <row r="442" spans="1:19" x14ac:dyDescent="0.25">
      <c r="A442" s="30" t="s">
        <v>97</v>
      </c>
      <c r="B442" s="31">
        <f t="shared" si="61"/>
        <v>44621</v>
      </c>
      <c r="C442" s="30">
        <f>YEAR(BInputReservoir[[#This Row],[Date]])</f>
        <v>2022</v>
      </c>
      <c r="D442" s="30">
        <f>MONTH(BInputReservoir[[#This Row],[Date]])</f>
        <v>3</v>
      </c>
      <c r="E442" s="30">
        <f>IF(I442&lt;&gt;1,"",DATA_INPUT!$L82)</f>
        <v>0</v>
      </c>
      <c r="F442" s="30">
        <f>STORAGE_BALANCE_ENSEMBLE!AI82</f>
        <v>0</v>
      </c>
      <c r="G442" s="30">
        <f>STORAGE_BALANCE_ENSEMBLE!AJ82</f>
        <v>0</v>
      </c>
      <c r="H442" s="30">
        <f>STORAGE_BALANCE_ENSEMBLE!AH82</f>
        <v>13405782.435655609</v>
      </c>
      <c r="I442" s="18">
        <f t="shared" si="63"/>
        <v>1</v>
      </c>
      <c r="J442" s="8">
        <f t="shared" si="52"/>
        <v>0</v>
      </c>
      <c r="K442" s="9">
        <f t="shared" si="53"/>
        <v>0</v>
      </c>
      <c r="L442" s="10">
        <f t="shared" si="54"/>
        <v>0</v>
      </c>
      <c r="M442" s="10">
        <f>IF(I442&lt;&gt;1,"",IF(H442="","",H442/CONTROL_PANEL!$B$11))</f>
        <v>0.26811564871311216</v>
      </c>
      <c r="N442" s="9">
        <f t="shared" si="55"/>
        <v>0</v>
      </c>
      <c r="O442" s="9">
        <f t="shared" si="56"/>
        <v>0</v>
      </c>
      <c r="P442" s="9">
        <f t="shared" si="57"/>
        <v>0</v>
      </c>
      <c r="Q442" s="9">
        <f t="shared" si="58"/>
        <v>0</v>
      </c>
      <c r="R442" s="11"/>
      <c r="S442" s="11" t="str">
        <f t="shared" si="62"/>
        <v>PASS</v>
      </c>
    </row>
    <row r="443" spans="1:19" x14ac:dyDescent="0.25">
      <c r="A443" s="30" t="s">
        <v>97</v>
      </c>
      <c r="B443" s="31">
        <f t="shared" si="61"/>
        <v>44652</v>
      </c>
      <c r="C443" s="30">
        <f>YEAR(BInputReservoir[[#This Row],[Date]])</f>
        <v>2022</v>
      </c>
      <c r="D443" s="30">
        <f>MONTH(BInputReservoir[[#This Row],[Date]])</f>
        <v>4</v>
      </c>
      <c r="E443" s="30">
        <f>IF(I443&lt;&gt;1,"",DATA_INPUT!$L83)</f>
        <v>136092.67871269336</v>
      </c>
      <c r="F443" s="30">
        <f>STORAGE_BALANCE_ENSEMBLE!AI83</f>
        <v>0</v>
      </c>
      <c r="G443" s="30">
        <f>STORAGE_BALANCE_ENSEMBLE!AJ83</f>
        <v>0</v>
      </c>
      <c r="H443" s="30">
        <f>STORAGE_BALANCE_ENSEMBLE!AH83</f>
        <v>13222662.989881653</v>
      </c>
      <c r="I443" s="18">
        <f t="shared" si="63"/>
        <v>1</v>
      </c>
      <c r="J443" s="8">
        <f t="shared" si="52"/>
        <v>136092.67871269336</v>
      </c>
      <c r="K443" s="9">
        <f t="shared" si="53"/>
        <v>0</v>
      </c>
      <c r="L443" s="10">
        <f t="shared" si="54"/>
        <v>0</v>
      </c>
      <c r="M443" s="10">
        <f>IF(I443&lt;&gt;1,"",IF(H443="","",H443/CONTROL_PANEL!$B$11))</f>
        <v>0.26445325979763307</v>
      </c>
      <c r="N443" s="9">
        <f t="shared" si="55"/>
        <v>0</v>
      </c>
      <c r="O443" s="9">
        <f t="shared" si="56"/>
        <v>0</v>
      </c>
      <c r="P443" s="9">
        <f t="shared" si="57"/>
        <v>0</v>
      </c>
      <c r="Q443" s="9">
        <f t="shared" si="58"/>
        <v>0</v>
      </c>
      <c r="R443" s="11"/>
      <c r="S443" s="11" t="str">
        <f t="shared" si="62"/>
        <v>PASS</v>
      </c>
    </row>
    <row r="444" spans="1:19" x14ac:dyDescent="0.25">
      <c r="A444" s="30" t="s">
        <v>97</v>
      </c>
      <c r="B444" s="31">
        <f t="shared" si="61"/>
        <v>44682</v>
      </c>
      <c r="C444" s="30">
        <f>YEAR(BInputReservoir[[#This Row],[Date]])</f>
        <v>2022</v>
      </c>
      <c r="D444" s="30">
        <f>MONTH(BInputReservoir[[#This Row],[Date]])</f>
        <v>5</v>
      </c>
      <c r="E444" s="30">
        <f>IF(I444&lt;&gt;1,"",DATA_INPUT!$L84)</f>
        <v>1013095.7873587573</v>
      </c>
      <c r="F444" s="30">
        <f>STORAGE_BALANCE_ENSEMBLE!AI84</f>
        <v>0</v>
      </c>
      <c r="G444" s="30">
        <f>STORAGE_BALANCE_ENSEMBLE!AJ84</f>
        <v>0</v>
      </c>
      <c r="H444" s="30">
        <f>STORAGE_BALANCE_ENSEMBLE!AH84</f>
        <v>11956135.39014414</v>
      </c>
      <c r="I444" s="18">
        <f t="shared" si="63"/>
        <v>1</v>
      </c>
      <c r="J444" s="8">
        <f t="shared" si="52"/>
        <v>1013095.7873587573</v>
      </c>
      <c r="K444" s="9">
        <f t="shared" si="53"/>
        <v>0</v>
      </c>
      <c r="L444" s="10">
        <f t="shared" si="54"/>
        <v>0</v>
      </c>
      <c r="M444" s="10">
        <f>IF(I444&lt;&gt;1,"",IF(H444="","",H444/CONTROL_PANEL!$B$11))</f>
        <v>0.23912270780288278</v>
      </c>
      <c r="N444" s="9">
        <f t="shared" si="55"/>
        <v>0</v>
      </c>
      <c r="O444" s="9">
        <f t="shared" si="56"/>
        <v>0</v>
      </c>
      <c r="P444" s="9">
        <f t="shared" si="57"/>
        <v>0</v>
      </c>
      <c r="Q444" s="9">
        <f t="shared" si="58"/>
        <v>0</v>
      </c>
      <c r="R444" s="11"/>
      <c r="S444" s="11" t="str">
        <f t="shared" si="62"/>
        <v>PASS</v>
      </c>
    </row>
    <row r="445" spans="1:19" x14ac:dyDescent="0.25">
      <c r="A445" s="30" t="s">
        <v>97</v>
      </c>
      <c r="B445" s="31">
        <f t="shared" si="61"/>
        <v>44713</v>
      </c>
      <c r="C445" s="30">
        <f>YEAR(BInputReservoir[[#This Row],[Date]])</f>
        <v>2022</v>
      </c>
      <c r="D445" s="30">
        <f>MONTH(BInputReservoir[[#This Row],[Date]])</f>
        <v>6</v>
      </c>
      <c r="E445" s="30">
        <f>IF(I445&lt;&gt;1,"",DATA_INPUT!$L85)</f>
        <v>1306926.2734411221</v>
      </c>
      <c r="F445" s="30">
        <f>STORAGE_BALANCE_ENSEMBLE!AI85</f>
        <v>0</v>
      </c>
      <c r="G445" s="30">
        <f>STORAGE_BALANCE_ENSEMBLE!AJ85</f>
        <v>0</v>
      </c>
      <c r="H445" s="30">
        <f>STORAGE_BALANCE_ENSEMBLE!AH85</f>
        <v>10388060.985268407</v>
      </c>
      <c r="I445" s="18">
        <f t="shared" si="63"/>
        <v>1</v>
      </c>
      <c r="J445" s="8">
        <f t="shared" si="52"/>
        <v>1306926.2734411221</v>
      </c>
      <c r="K445" s="9">
        <f t="shared" si="53"/>
        <v>0</v>
      </c>
      <c r="L445" s="10">
        <f t="shared" si="54"/>
        <v>0</v>
      </c>
      <c r="M445" s="10">
        <f>IF(I445&lt;&gt;1,"",IF(H445="","",H445/CONTROL_PANEL!$B$11))</f>
        <v>0.20776121970536812</v>
      </c>
      <c r="N445" s="9">
        <f t="shared" si="55"/>
        <v>0</v>
      </c>
      <c r="O445" s="9">
        <f t="shared" si="56"/>
        <v>0</v>
      </c>
      <c r="P445" s="9">
        <f t="shared" si="57"/>
        <v>0</v>
      </c>
      <c r="Q445" s="9">
        <f t="shared" si="58"/>
        <v>0</v>
      </c>
      <c r="R445" s="11"/>
      <c r="S445" s="11" t="str">
        <f t="shared" si="62"/>
        <v>PASS</v>
      </c>
    </row>
    <row r="446" spans="1:19" x14ac:dyDescent="0.25">
      <c r="A446" s="30" t="s">
        <v>97</v>
      </c>
      <c r="B446" s="31">
        <f t="shared" si="61"/>
        <v>44743</v>
      </c>
      <c r="C446" s="30">
        <f>YEAR(BInputReservoir[[#This Row],[Date]])</f>
        <v>2022</v>
      </c>
      <c r="D446" s="30">
        <f>MONTH(BInputReservoir[[#This Row],[Date]])</f>
        <v>7</v>
      </c>
      <c r="E446" s="30">
        <f>IF(I446&lt;&gt;1,"",DATA_INPUT!$L86)</f>
        <v>2957077.0183678321</v>
      </c>
      <c r="F446" s="30">
        <f>STORAGE_BALANCE_ENSEMBLE!AI86</f>
        <v>0</v>
      </c>
      <c r="G446" s="30">
        <f>STORAGE_BALANCE_ENSEMBLE!AJ86</f>
        <v>0</v>
      </c>
      <c r="H446" s="30">
        <f>STORAGE_BALANCE_ENSEMBLE!AH86</f>
        <v>7107264.3642026428</v>
      </c>
      <c r="I446" s="18">
        <f t="shared" si="63"/>
        <v>1</v>
      </c>
      <c r="J446" s="8">
        <f t="shared" si="52"/>
        <v>2957077.0183678321</v>
      </c>
      <c r="K446" s="9">
        <f t="shared" si="53"/>
        <v>0</v>
      </c>
      <c r="L446" s="10">
        <f t="shared" si="54"/>
        <v>0</v>
      </c>
      <c r="M446" s="10">
        <f>IF(I446&lt;&gt;1,"",IF(H446="","",H446/CONTROL_PANEL!$B$11))</f>
        <v>0.14214528728405285</v>
      </c>
      <c r="N446" s="9">
        <f t="shared" si="55"/>
        <v>0</v>
      </c>
      <c r="O446" s="9">
        <f t="shared" si="56"/>
        <v>0</v>
      </c>
      <c r="P446" s="9">
        <f t="shared" si="57"/>
        <v>0</v>
      </c>
      <c r="Q446" s="9">
        <f t="shared" si="58"/>
        <v>0</v>
      </c>
      <c r="R446" s="11"/>
      <c r="S446" s="11" t="str">
        <f t="shared" si="62"/>
        <v>PASS</v>
      </c>
    </row>
    <row r="447" spans="1:19" x14ac:dyDescent="0.25">
      <c r="A447" s="30" t="s">
        <v>97</v>
      </c>
      <c r="B447" s="31">
        <f t="shared" si="61"/>
        <v>44774</v>
      </c>
      <c r="C447" s="30">
        <f>YEAR(BInputReservoir[[#This Row],[Date]])</f>
        <v>2022</v>
      </c>
      <c r="D447" s="30">
        <f>MONTH(BInputReservoir[[#This Row],[Date]])</f>
        <v>8</v>
      </c>
      <c r="E447" s="30">
        <f>IF(I447&lt;&gt;1,"",DATA_INPUT!$L87)</f>
        <v>2442034.7326615029</v>
      </c>
      <c r="F447" s="30">
        <f>STORAGE_BALANCE_ENSEMBLE!AI87</f>
        <v>0</v>
      </c>
      <c r="G447" s="30">
        <f>STORAGE_BALANCE_ENSEMBLE!AJ87</f>
        <v>0</v>
      </c>
      <c r="H447" s="30">
        <f>STORAGE_BALANCE_ENSEMBLE!AH87</f>
        <v>4460718.8650113847</v>
      </c>
      <c r="I447" s="18">
        <f t="shared" si="63"/>
        <v>1</v>
      </c>
      <c r="J447" s="8">
        <f t="shared" si="52"/>
        <v>2442034.7326615029</v>
      </c>
      <c r="K447" s="9">
        <f t="shared" si="53"/>
        <v>0</v>
      </c>
      <c r="L447" s="10">
        <f t="shared" si="54"/>
        <v>0</v>
      </c>
      <c r="M447" s="10">
        <f>IF(I447&lt;&gt;1,"",IF(H447="","",H447/CONTROL_PANEL!$B$11))</f>
        <v>8.9214377300227687E-2</v>
      </c>
      <c r="N447" s="9">
        <f t="shared" si="55"/>
        <v>0</v>
      </c>
      <c r="O447" s="9">
        <f t="shared" si="56"/>
        <v>0</v>
      </c>
      <c r="P447" s="9">
        <f t="shared" si="57"/>
        <v>0</v>
      </c>
      <c r="Q447" s="9">
        <f t="shared" si="58"/>
        <v>0</v>
      </c>
      <c r="R447" s="11"/>
      <c r="S447" s="11" t="str">
        <f t="shared" si="62"/>
        <v>PASS</v>
      </c>
    </row>
    <row r="448" spans="1:19" x14ac:dyDescent="0.25">
      <c r="A448" s="30" t="s">
        <v>97</v>
      </c>
      <c r="B448" s="31">
        <f t="shared" si="61"/>
        <v>44805</v>
      </c>
      <c r="C448" s="30">
        <f>YEAR(BInputReservoir[[#This Row],[Date]])</f>
        <v>2022</v>
      </c>
      <c r="D448" s="30">
        <f>MONTH(BInputReservoir[[#This Row],[Date]])</f>
        <v>9</v>
      </c>
      <c r="E448" s="30">
        <f>IF(I448&lt;&gt;1,"",DATA_INPUT!$L88)</f>
        <v>548246.60076018632</v>
      </c>
      <c r="F448" s="30">
        <f>STORAGE_BALANCE_ENSEMBLE!AI88</f>
        <v>0</v>
      </c>
      <c r="G448" s="30">
        <f>STORAGE_BALANCE_ENSEMBLE!AJ88</f>
        <v>0</v>
      </c>
      <c r="H448" s="30">
        <f>STORAGE_BALANCE_ENSEMBLE!AH88</f>
        <v>3881185.1796795474</v>
      </c>
      <c r="I448" s="18">
        <f t="shared" si="63"/>
        <v>1</v>
      </c>
      <c r="J448" s="8">
        <f t="shared" si="52"/>
        <v>548246.60076018632</v>
      </c>
      <c r="K448" s="9">
        <f t="shared" si="53"/>
        <v>0</v>
      </c>
      <c r="L448" s="10">
        <f t="shared" si="54"/>
        <v>0</v>
      </c>
      <c r="M448" s="10">
        <f>IF(I448&lt;&gt;1,"",IF(H448="","",H448/CONTROL_PANEL!$B$11))</f>
        <v>7.7623703593590943E-2</v>
      </c>
      <c r="N448" s="9">
        <f t="shared" si="55"/>
        <v>0</v>
      </c>
      <c r="O448" s="9">
        <f t="shared" si="56"/>
        <v>0</v>
      </c>
      <c r="P448" s="9">
        <f t="shared" si="57"/>
        <v>0</v>
      </c>
      <c r="Q448" s="9">
        <f t="shared" si="58"/>
        <v>0</v>
      </c>
      <c r="R448" s="11"/>
      <c r="S448" s="11" t="str">
        <f t="shared" si="62"/>
        <v>PASS</v>
      </c>
    </row>
    <row r="449" spans="1:19" x14ac:dyDescent="0.25">
      <c r="A449" s="30" t="s">
        <v>97</v>
      </c>
      <c r="B449" s="31">
        <f t="shared" si="61"/>
        <v>44835</v>
      </c>
      <c r="C449" s="30">
        <f>YEAR(BInputReservoir[[#This Row],[Date]])</f>
        <v>2022</v>
      </c>
      <c r="D449" s="30">
        <f>MONTH(BInputReservoir[[#This Row],[Date]])</f>
        <v>10</v>
      </c>
      <c r="E449" s="30">
        <f>IF(I449&lt;&gt;1,"",DATA_INPUT!$L89)</f>
        <v>220726.2520518192</v>
      </c>
      <c r="F449" s="30">
        <f>STORAGE_BALANCE_ENSEMBLE!AI89</f>
        <v>0</v>
      </c>
      <c r="G449" s="30">
        <f>STORAGE_BALANCE_ENSEMBLE!AJ89</f>
        <v>0</v>
      </c>
      <c r="H449" s="30">
        <f>STORAGE_BALANCE_ENSEMBLE!AH89</f>
        <v>3663926.4773430801</v>
      </c>
      <c r="I449" s="18">
        <f t="shared" si="63"/>
        <v>1</v>
      </c>
      <c r="J449" s="8">
        <f t="shared" si="52"/>
        <v>220726.2520518192</v>
      </c>
      <c r="K449" s="9">
        <f t="shared" si="53"/>
        <v>0</v>
      </c>
      <c r="L449" s="10">
        <f t="shared" si="54"/>
        <v>0</v>
      </c>
      <c r="M449" s="10">
        <f>IF(I449&lt;&gt;1,"",IF(H449="","",H449/CONTROL_PANEL!$B$11))</f>
        <v>7.3278529546861607E-2</v>
      </c>
      <c r="N449" s="9">
        <f t="shared" si="55"/>
        <v>0</v>
      </c>
      <c r="O449" s="9">
        <f t="shared" si="56"/>
        <v>0</v>
      </c>
      <c r="P449" s="9">
        <f t="shared" si="57"/>
        <v>0</v>
      </c>
      <c r="Q449" s="9">
        <f t="shared" si="58"/>
        <v>0</v>
      </c>
      <c r="R449" s="11"/>
      <c r="S449" s="11" t="str">
        <f t="shared" si="62"/>
        <v>PASS</v>
      </c>
    </row>
    <row r="450" spans="1:19" x14ac:dyDescent="0.25">
      <c r="A450" s="30" t="s">
        <v>97</v>
      </c>
      <c r="B450" s="31">
        <f t="shared" si="61"/>
        <v>44866</v>
      </c>
      <c r="C450" s="30">
        <f>YEAR(BInputReservoir[[#This Row],[Date]])</f>
        <v>2022</v>
      </c>
      <c r="D450" s="30">
        <f>MONTH(BInputReservoir[[#This Row],[Date]])</f>
        <v>11</v>
      </c>
      <c r="E450" s="30">
        <f>IF(I450&lt;&gt;1,"",DATA_INPUT!$L90)</f>
        <v>0</v>
      </c>
      <c r="F450" s="30">
        <f>STORAGE_BALANCE_ENSEMBLE!AI90</f>
        <v>0</v>
      </c>
      <c r="G450" s="30">
        <f>STORAGE_BALANCE_ENSEMBLE!AJ90</f>
        <v>0</v>
      </c>
      <c r="H450" s="30">
        <f>STORAGE_BALANCE_ENSEMBLE!AH90</f>
        <v>7699380.9998324616</v>
      </c>
      <c r="I450" s="18">
        <f t="shared" si="63"/>
        <v>1</v>
      </c>
      <c r="J450" s="8">
        <f t="shared" si="52"/>
        <v>0</v>
      </c>
      <c r="K450" s="9">
        <f t="shared" si="53"/>
        <v>0</v>
      </c>
      <c r="L450" s="10">
        <f t="shared" si="54"/>
        <v>0</v>
      </c>
      <c r="M450" s="10">
        <f>IF(I450&lt;&gt;1,"",IF(H450="","",H450/CONTROL_PANEL!$B$11))</f>
        <v>0.15398761999664923</v>
      </c>
      <c r="N450" s="9">
        <f t="shared" si="55"/>
        <v>0</v>
      </c>
      <c r="O450" s="9">
        <f t="shared" si="56"/>
        <v>0</v>
      </c>
      <c r="P450" s="9">
        <f t="shared" si="57"/>
        <v>0</v>
      </c>
      <c r="Q450" s="9">
        <f t="shared" si="58"/>
        <v>0</v>
      </c>
      <c r="R450" s="11"/>
      <c r="S450" s="11" t="str">
        <f t="shared" si="62"/>
        <v>PASS</v>
      </c>
    </row>
    <row r="451" spans="1:19" x14ac:dyDescent="0.25">
      <c r="A451" s="30" t="s">
        <v>97</v>
      </c>
      <c r="B451" s="31">
        <f t="shared" si="61"/>
        <v>44896</v>
      </c>
      <c r="C451" s="30">
        <f>YEAR(BInputReservoir[[#This Row],[Date]])</f>
        <v>2022</v>
      </c>
      <c r="D451" s="30">
        <f>MONTH(BInputReservoir[[#This Row],[Date]])</f>
        <v>12</v>
      </c>
      <c r="E451" s="30">
        <f>IF(I451&lt;&gt;1,"",DATA_INPUT!$L91)</f>
        <v>0</v>
      </c>
      <c r="F451" s="30">
        <f>STORAGE_BALANCE_ENSEMBLE!AI91</f>
        <v>0</v>
      </c>
      <c r="G451" s="30">
        <f>STORAGE_BALANCE_ENSEMBLE!AJ91</f>
        <v>0</v>
      </c>
      <c r="H451" s="30">
        <f>STORAGE_BALANCE_ENSEMBLE!AH91</f>
        <v>9367402.8609903082</v>
      </c>
      <c r="I451" s="18">
        <f t="shared" si="63"/>
        <v>1</v>
      </c>
      <c r="J451" s="8">
        <f t="shared" si="52"/>
        <v>0</v>
      </c>
      <c r="K451" s="9">
        <f t="shared" si="53"/>
        <v>0</v>
      </c>
      <c r="L451" s="10">
        <f t="shared" si="54"/>
        <v>0</v>
      </c>
      <c r="M451" s="10">
        <f>IF(I451&lt;&gt;1,"",IF(H451="","",H451/CONTROL_PANEL!$B$11))</f>
        <v>0.18734805721980616</v>
      </c>
      <c r="N451" s="9">
        <f t="shared" si="55"/>
        <v>0</v>
      </c>
      <c r="O451" s="9">
        <f t="shared" si="56"/>
        <v>0</v>
      </c>
      <c r="P451" s="9">
        <f t="shared" si="57"/>
        <v>0</v>
      </c>
      <c r="Q451" s="9">
        <f t="shared" si="58"/>
        <v>0</v>
      </c>
      <c r="R451" s="11"/>
      <c r="S451" s="11" t="str">
        <f t="shared" si="62"/>
        <v>PASS</v>
      </c>
    </row>
    <row r="452" spans="1:19" x14ac:dyDescent="0.25">
      <c r="A452" s="30" t="s">
        <v>97</v>
      </c>
      <c r="B452" s="31">
        <f t="shared" si="61"/>
        <v>44927</v>
      </c>
      <c r="C452" s="30">
        <f>YEAR(BInputReservoir[[#This Row],[Date]])</f>
        <v>2023</v>
      </c>
      <c r="D452" s="30">
        <f>MONTH(BInputReservoir[[#This Row],[Date]])</f>
        <v>1</v>
      </c>
      <c r="E452" s="30">
        <f>IF(I452&lt;&gt;1,"",DATA_INPUT!$L92)</f>
        <v>0</v>
      </c>
      <c r="F452" s="30">
        <f>STORAGE_BALANCE_ENSEMBLE!AI92</f>
        <v>0</v>
      </c>
      <c r="G452" s="30">
        <f>STORAGE_BALANCE_ENSEMBLE!AJ92</f>
        <v>0</v>
      </c>
      <c r="H452" s="30">
        <f>STORAGE_BALANCE_ENSEMBLE!AH92</f>
        <v>9715315.908019403</v>
      </c>
      <c r="I452" s="18">
        <f t="shared" si="63"/>
        <v>1</v>
      </c>
      <c r="J452" s="8">
        <f t="shared" si="52"/>
        <v>0</v>
      </c>
      <c r="K452" s="9">
        <f t="shared" si="53"/>
        <v>0</v>
      </c>
      <c r="L452" s="10">
        <f t="shared" si="54"/>
        <v>0</v>
      </c>
      <c r="M452" s="10">
        <f>IF(I452&lt;&gt;1,"",IF(H452="","",H452/CONTROL_PANEL!$B$11))</f>
        <v>0.19430631816038807</v>
      </c>
      <c r="N452" s="9">
        <f t="shared" si="55"/>
        <v>0</v>
      </c>
      <c r="O452" s="9">
        <f t="shared" si="56"/>
        <v>0</v>
      </c>
      <c r="P452" s="9">
        <f t="shared" si="57"/>
        <v>0</v>
      </c>
      <c r="Q452" s="9">
        <f t="shared" si="58"/>
        <v>0</v>
      </c>
      <c r="R452" s="11"/>
      <c r="S452" s="11" t="str">
        <f t="shared" si="62"/>
        <v>PASS</v>
      </c>
    </row>
    <row r="453" spans="1:19" x14ac:dyDescent="0.25">
      <c r="A453" s="30" t="s">
        <v>97</v>
      </c>
      <c r="B453" s="31">
        <f t="shared" si="61"/>
        <v>44958</v>
      </c>
      <c r="C453" s="30">
        <f>YEAR(BInputReservoir[[#This Row],[Date]])</f>
        <v>2023</v>
      </c>
      <c r="D453" s="30">
        <f>MONTH(BInputReservoir[[#This Row],[Date]])</f>
        <v>2</v>
      </c>
      <c r="E453" s="30">
        <f>IF(I453&lt;&gt;1,"",DATA_INPUT!$L93)</f>
        <v>0</v>
      </c>
      <c r="F453" s="30">
        <f>STORAGE_BALANCE_ENSEMBLE!AI93</f>
        <v>0</v>
      </c>
      <c r="G453" s="30">
        <f>STORAGE_BALANCE_ENSEMBLE!AJ93</f>
        <v>0</v>
      </c>
      <c r="H453" s="30">
        <f>STORAGE_BALANCE_ENSEMBLE!AH93</f>
        <v>9720908.9452955462</v>
      </c>
      <c r="I453" s="18">
        <f t="shared" si="63"/>
        <v>1</v>
      </c>
      <c r="J453" s="8">
        <f t="shared" ref="J453:J516" si="64">IF(I453&lt;&gt;1,"",IF(E453="","",MAX(0,E453-G453)))</f>
        <v>0</v>
      </c>
      <c r="K453" s="9">
        <f t="shared" ref="K453:K516" si="65">IF(I453&lt;&gt;1,"",IF(OR(G453="",E453=""),"",IF(G453&gt;0,1,0)))</f>
        <v>0</v>
      </c>
      <c r="L453" s="10">
        <f t="shared" ref="L453:L516" si="66">IF(I453&lt;&gt;1,"",IF(AND(K453=1,E453&gt;0),G453/E453,0))</f>
        <v>0</v>
      </c>
      <c r="M453" s="10">
        <f>IF(I453&lt;&gt;1,"",IF(H453="","",H453/CONTROL_PANEL!$B$11))</f>
        <v>0.19441817890591093</v>
      </c>
      <c r="N453" s="9">
        <f t="shared" ref="N453:N516" si="67">IF(I453&lt;&gt;1,"",IF(AND(K453=1,A454=A453),1,0))</f>
        <v>0</v>
      </c>
      <c r="O453" s="9">
        <f t="shared" ref="O453:O516" si="68">IF(I453&lt;&gt;1,"",IF(AND(K453=1,A454=A453,K454=0),1,0))</f>
        <v>0</v>
      </c>
      <c r="P453" s="9">
        <f t="shared" ref="P453:P516" si="69">IF(I453&lt;&gt;1,"",IF(F453&gt;0,1,0))</f>
        <v>0</v>
      </c>
      <c r="Q453" s="9">
        <f t="shared" ref="Q453:Q516" si="70">IF(I453&lt;&gt;1,"",IF(G453&gt;0,1,0))</f>
        <v>0</v>
      </c>
      <c r="R453" s="11"/>
      <c r="S453" s="11" t="str">
        <f t="shared" si="62"/>
        <v>PASS</v>
      </c>
    </row>
    <row r="454" spans="1:19" x14ac:dyDescent="0.25">
      <c r="A454" s="30" t="s">
        <v>97</v>
      </c>
      <c r="B454" s="31">
        <f t="shared" si="61"/>
        <v>44986</v>
      </c>
      <c r="C454" s="30">
        <f>YEAR(BInputReservoir[[#This Row],[Date]])</f>
        <v>2023</v>
      </c>
      <c r="D454" s="30">
        <f>MONTH(BInputReservoir[[#This Row],[Date]])</f>
        <v>3</v>
      </c>
      <c r="E454" s="30">
        <f>IF(I454&lt;&gt;1,"",DATA_INPUT!$L94)</f>
        <v>0</v>
      </c>
      <c r="F454" s="30">
        <f>STORAGE_BALANCE_ENSEMBLE!AI94</f>
        <v>0</v>
      </c>
      <c r="G454" s="30">
        <f>STORAGE_BALANCE_ENSEMBLE!AJ94</f>
        <v>0</v>
      </c>
      <c r="H454" s="30">
        <f>STORAGE_BALANCE_ENSEMBLE!AH94</f>
        <v>9669617.1316624805</v>
      </c>
      <c r="I454" s="18">
        <f t="shared" si="63"/>
        <v>1</v>
      </c>
      <c r="J454" s="8">
        <f t="shared" si="64"/>
        <v>0</v>
      </c>
      <c r="K454" s="9">
        <f t="shared" si="65"/>
        <v>0</v>
      </c>
      <c r="L454" s="10">
        <f t="shared" si="66"/>
        <v>0</v>
      </c>
      <c r="M454" s="10">
        <f>IF(I454&lt;&gt;1,"",IF(H454="","",H454/CONTROL_PANEL!$B$11))</f>
        <v>0.19339234263324961</v>
      </c>
      <c r="N454" s="9">
        <f t="shared" si="67"/>
        <v>0</v>
      </c>
      <c r="O454" s="9">
        <f t="shared" si="68"/>
        <v>0</v>
      </c>
      <c r="P454" s="9">
        <f t="shared" si="69"/>
        <v>0</v>
      </c>
      <c r="Q454" s="9">
        <f t="shared" si="70"/>
        <v>0</v>
      </c>
      <c r="R454" s="11"/>
      <c r="S454" s="11" t="str">
        <f t="shared" si="62"/>
        <v>PASS</v>
      </c>
    </row>
    <row r="455" spans="1:19" x14ac:dyDescent="0.25">
      <c r="A455" s="30" t="s">
        <v>97</v>
      </c>
      <c r="B455" s="31">
        <f t="shared" si="61"/>
        <v>45017</v>
      </c>
      <c r="C455" s="30">
        <f>YEAR(BInputReservoir[[#This Row],[Date]])</f>
        <v>2023</v>
      </c>
      <c r="D455" s="30">
        <f>MONTH(BInputReservoir[[#This Row],[Date]])</f>
        <v>4</v>
      </c>
      <c r="E455" s="30">
        <f>IF(I455&lt;&gt;1,"",DATA_INPUT!$L95)</f>
        <v>967598.6347982994</v>
      </c>
      <c r="F455" s="30">
        <f>STORAGE_BALANCE_ENSEMBLE!AI95</f>
        <v>0</v>
      </c>
      <c r="G455" s="30">
        <f>STORAGE_BALANCE_ENSEMBLE!AJ95</f>
        <v>0</v>
      </c>
      <c r="H455" s="30">
        <f>STORAGE_BALANCE_ENSEMBLE!AH95</f>
        <v>8539370.0890863761</v>
      </c>
      <c r="I455" s="18">
        <f t="shared" si="63"/>
        <v>1</v>
      </c>
      <c r="J455" s="8">
        <f t="shared" si="64"/>
        <v>967598.6347982994</v>
      </c>
      <c r="K455" s="9">
        <f t="shared" si="65"/>
        <v>0</v>
      </c>
      <c r="L455" s="10">
        <f t="shared" si="66"/>
        <v>0</v>
      </c>
      <c r="M455" s="10">
        <f>IF(I455&lt;&gt;1,"",IF(H455="","",H455/CONTROL_PANEL!$B$11))</f>
        <v>0.17078740178172752</v>
      </c>
      <c r="N455" s="9">
        <f t="shared" si="67"/>
        <v>0</v>
      </c>
      <c r="O455" s="9">
        <f t="shared" si="68"/>
        <v>0</v>
      </c>
      <c r="P455" s="9">
        <f t="shared" si="69"/>
        <v>0</v>
      </c>
      <c r="Q455" s="9">
        <f t="shared" si="70"/>
        <v>0</v>
      </c>
      <c r="R455" s="11"/>
      <c r="S455" s="11" t="str">
        <f t="shared" si="62"/>
        <v>PASS</v>
      </c>
    </row>
    <row r="456" spans="1:19" x14ac:dyDescent="0.25">
      <c r="A456" s="30" t="s">
        <v>97</v>
      </c>
      <c r="B456" s="31">
        <f t="shared" si="61"/>
        <v>45047</v>
      </c>
      <c r="C456" s="30">
        <f>YEAR(BInputReservoir[[#This Row],[Date]])</f>
        <v>2023</v>
      </c>
      <c r="D456" s="30">
        <f>MONTH(BInputReservoir[[#This Row],[Date]])</f>
        <v>5</v>
      </c>
      <c r="E456" s="30">
        <f>IF(I456&lt;&gt;1,"",DATA_INPUT!$L96)</f>
        <v>811805.14638988848</v>
      </c>
      <c r="F456" s="30">
        <f>STORAGE_BALANCE_ENSEMBLE!AI96</f>
        <v>0</v>
      </c>
      <c r="G456" s="30">
        <f>STORAGE_BALANCE_ENSEMBLE!AJ96</f>
        <v>0</v>
      </c>
      <c r="H456" s="30">
        <f>STORAGE_BALANCE_ENSEMBLE!AH96</f>
        <v>7588731.075776645</v>
      </c>
      <c r="I456" s="18">
        <f t="shared" si="63"/>
        <v>1</v>
      </c>
      <c r="J456" s="8">
        <f t="shared" si="64"/>
        <v>811805.14638988848</v>
      </c>
      <c r="K456" s="9">
        <f t="shared" si="65"/>
        <v>0</v>
      </c>
      <c r="L456" s="10">
        <f t="shared" si="66"/>
        <v>0</v>
      </c>
      <c r="M456" s="10">
        <f>IF(I456&lt;&gt;1,"",IF(H456="","",H456/CONTROL_PANEL!$B$11))</f>
        <v>0.15177462151553289</v>
      </c>
      <c r="N456" s="9">
        <f t="shared" si="67"/>
        <v>0</v>
      </c>
      <c r="O456" s="9">
        <f t="shared" si="68"/>
        <v>0</v>
      </c>
      <c r="P456" s="9">
        <f t="shared" si="69"/>
        <v>0</v>
      </c>
      <c r="Q456" s="9">
        <f t="shared" si="70"/>
        <v>0</v>
      </c>
      <c r="R456" s="11"/>
      <c r="S456" s="11" t="str">
        <f t="shared" si="62"/>
        <v>PASS</v>
      </c>
    </row>
    <row r="457" spans="1:19" x14ac:dyDescent="0.25">
      <c r="A457" s="30" t="s">
        <v>97</v>
      </c>
      <c r="B457" s="31">
        <f t="shared" si="61"/>
        <v>45078</v>
      </c>
      <c r="C457" s="30">
        <f>YEAR(BInputReservoir[[#This Row],[Date]])</f>
        <v>2023</v>
      </c>
      <c r="D457" s="30">
        <f>MONTH(BInputReservoir[[#This Row],[Date]])</f>
        <v>6</v>
      </c>
      <c r="E457" s="30">
        <f>IF(I457&lt;&gt;1,"",DATA_INPUT!$L97)</f>
        <v>1362779.4415955136</v>
      </c>
      <c r="F457" s="30">
        <f>STORAGE_BALANCE_ENSEMBLE!AI97</f>
        <v>0</v>
      </c>
      <c r="G457" s="30">
        <f>STORAGE_BALANCE_ENSEMBLE!AJ97</f>
        <v>0</v>
      </c>
      <c r="H457" s="30">
        <f>STORAGE_BALANCE_ENSEMBLE!AH97</f>
        <v>6050037.8946512844</v>
      </c>
      <c r="I457" s="18">
        <f t="shared" si="63"/>
        <v>1</v>
      </c>
      <c r="J457" s="8">
        <f t="shared" si="64"/>
        <v>1362779.4415955136</v>
      </c>
      <c r="K457" s="9">
        <f t="shared" si="65"/>
        <v>0</v>
      </c>
      <c r="L457" s="10">
        <f t="shared" si="66"/>
        <v>0</v>
      </c>
      <c r="M457" s="10">
        <f>IF(I457&lt;&gt;1,"",IF(H457="","",H457/CONTROL_PANEL!$B$11))</f>
        <v>0.1210007578930257</v>
      </c>
      <c r="N457" s="9">
        <f t="shared" si="67"/>
        <v>0</v>
      </c>
      <c r="O457" s="9">
        <f t="shared" si="68"/>
        <v>0</v>
      </c>
      <c r="P457" s="9">
        <f t="shared" si="69"/>
        <v>0</v>
      </c>
      <c r="Q457" s="9">
        <f t="shared" si="70"/>
        <v>0</v>
      </c>
      <c r="R457" s="11"/>
      <c r="S457" s="11" t="str">
        <f t="shared" si="62"/>
        <v>PASS</v>
      </c>
    </row>
    <row r="458" spans="1:19" x14ac:dyDescent="0.25">
      <c r="A458" s="30" t="s">
        <v>97</v>
      </c>
      <c r="B458" s="31">
        <f t="shared" si="61"/>
        <v>45108</v>
      </c>
      <c r="C458" s="30">
        <f>YEAR(BInputReservoir[[#This Row],[Date]])</f>
        <v>2023</v>
      </c>
      <c r="D458" s="30">
        <f>MONTH(BInputReservoir[[#This Row],[Date]])</f>
        <v>7</v>
      </c>
      <c r="E458" s="30">
        <f>IF(I458&lt;&gt;1,"",DATA_INPUT!$L98)</f>
        <v>2935609.6578204338</v>
      </c>
      <c r="F458" s="30">
        <f>STORAGE_BALANCE_ENSEMBLE!AI98</f>
        <v>0</v>
      </c>
      <c r="G458" s="30">
        <f>STORAGE_BALANCE_ENSEMBLE!AJ98</f>
        <v>0</v>
      </c>
      <c r="H458" s="30">
        <f>STORAGE_BALANCE_ENSEMBLE!AH98</f>
        <v>2919205.4274204238</v>
      </c>
      <c r="I458" s="18">
        <f t="shared" si="63"/>
        <v>1</v>
      </c>
      <c r="J458" s="8">
        <f t="shared" si="64"/>
        <v>2935609.6578204338</v>
      </c>
      <c r="K458" s="9">
        <f t="shared" si="65"/>
        <v>0</v>
      </c>
      <c r="L458" s="10">
        <f t="shared" si="66"/>
        <v>0</v>
      </c>
      <c r="M458" s="10">
        <f>IF(I458&lt;&gt;1,"",IF(H458="","",H458/CONTROL_PANEL!$B$11))</f>
        <v>5.8384108548408475E-2</v>
      </c>
      <c r="N458" s="9">
        <f t="shared" si="67"/>
        <v>0</v>
      </c>
      <c r="O458" s="9">
        <f t="shared" si="68"/>
        <v>0</v>
      </c>
      <c r="P458" s="9">
        <f t="shared" si="69"/>
        <v>0</v>
      </c>
      <c r="Q458" s="9">
        <f t="shared" si="70"/>
        <v>0</v>
      </c>
      <c r="R458" s="11"/>
      <c r="S458" s="11" t="str">
        <f t="shared" si="62"/>
        <v>PASS</v>
      </c>
    </row>
    <row r="459" spans="1:19" x14ac:dyDescent="0.25">
      <c r="A459" s="30" t="s">
        <v>97</v>
      </c>
      <c r="B459" s="31">
        <f t="shared" si="61"/>
        <v>45139</v>
      </c>
      <c r="C459" s="30">
        <f>YEAR(BInputReservoir[[#This Row],[Date]])</f>
        <v>2023</v>
      </c>
      <c r="D459" s="30">
        <f>MONTH(BInputReservoir[[#This Row],[Date]])</f>
        <v>8</v>
      </c>
      <c r="E459" s="30">
        <f>IF(I459&lt;&gt;1,"",DATA_INPUT!$L99)</f>
        <v>2728334.8116342248</v>
      </c>
      <c r="F459" s="30">
        <f>STORAGE_BALANCE_ENSEMBLE!AI99</f>
        <v>0</v>
      </c>
      <c r="G459" s="30">
        <f>STORAGE_BALANCE_ENSEMBLE!AJ99</f>
        <v>2022669.8624616619</v>
      </c>
      <c r="H459" s="30">
        <f>STORAGE_BALANCE_ENSEMBLE!AH99</f>
        <v>77330.13753833808</v>
      </c>
      <c r="I459" s="18">
        <f t="shared" si="63"/>
        <v>1</v>
      </c>
      <c r="J459" s="8">
        <f t="shared" si="64"/>
        <v>705664.94917256292</v>
      </c>
      <c r="K459" s="9">
        <f t="shared" si="65"/>
        <v>1</v>
      </c>
      <c r="L459" s="10">
        <f t="shared" si="66"/>
        <v>0.74135690892354889</v>
      </c>
      <c r="M459" s="10">
        <f>IF(I459&lt;&gt;1,"",IF(H459="","",H459/CONTROL_PANEL!$B$11))</f>
        <v>1.5466027507667617E-3</v>
      </c>
      <c r="N459" s="9">
        <f t="shared" si="67"/>
        <v>1</v>
      </c>
      <c r="O459" s="9">
        <f t="shared" si="68"/>
        <v>0</v>
      </c>
      <c r="P459" s="9">
        <f t="shared" si="69"/>
        <v>0</v>
      </c>
      <c r="Q459" s="9">
        <f t="shared" si="70"/>
        <v>1</v>
      </c>
      <c r="R459" s="11"/>
      <c r="S459" s="11" t="str">
        <f t="shared" si="62"/>
        <v>PASS</v>
      </c>
    </row>
    <row r="460" spans="1:19" x14ac:dyDescent="0.25">
      <c r="A460" s="30" t="s">
        <v>97</v>
      </c>
      <c r="B460" s="31">
        <f t="shared" si="61"/>
        <v>45170</v>
      </c>
      <c r="C460" s="30">
        <f>YEAR(BInputReservoir[[#This Row],[Date]])</f>
        <v>2023</v>
      </c>
      <c r="D460" s="30">
        <f>MONTH(BInputReservoir[[#This Row],[Date]])</f>
        <v>9</v>
      </c>
      <c r="E460" s="30">
        <f>IF(I460&lt;&gt;1,"",DATA_INPUT!$L100)</f>
        <v>746449.77405308385</v>
      </c>
      <c r="F460" s="30">
        <f>STORAGE_BALANCE_ENSEMBLE!AI100</f>
        <v>0</v>
      </c>
      <c r="G460" s="30">
        <f>STORAGE_BALANCE_ENSEMBLE!AJ100</f>
        <v>746449.77405308385</v>
      </c>
      <c r="H460" s="30">
        <f>STORAGE_BALANCE_ENSEMBLE!AH100</f>
        <v>447824.90018054901</v>
      </c>
      <c r="I460" s="18">
        <f t="shared" si="63"/>
        <v>1</v>
      </c>
      <c r="J460" s="8">
        <f t="shared" si="64"/>
        <v>0</v>
      </c>
      <c r="K460" s="9">
        <f t="shared" si="65"/>
        <v>1</v>
      </c>
      <c r="L460" s="10">
        <f t="shared" si="66"/>
        <v>1</v>
      </c>
      <c r="M460" s="10">
        <f>IF(I460&lt;&gt;1,"",IF(H460="","",H460/CONTROL_PANEL!$B$11))</f>
        <v>8.9564980036109798E-3</v>
      </c>
      <c r="N460" s="9">
        <f t="shared" si="67"/>
        <v>1</v>
      </c>
      <c r="O460" s="9">
        <f t="shared" si="68"/>
        <v>0</v>
      </c>
      <c r="P460" s="9">
        <f t="shared" si="69"/>
        <v>0</v>
      </c>
      <c r="Q460" s="9">
        <f t="shared" si="70"/>
        <v>1</v>
      </c>
      <c r="R460" s="11"/>
      <c r="S460" s="11" t="str">
        <f t="shared" si="62"/>
        <v>PASS</v>
      </c>
    </row>
    <row r="461" spans="1:19" x14ac:dyDescent="0.25">
      <c r="A461" s="30" t="s">
        <v>97</v>
      </c>
      <c r="B461" s="31">
        <f t="shared" ref="B461:B484" si="71">B100</f>
        <v>45200</v>
      </c>
      <c r="C461" s="30">
        <f>YEAR(BInputReservoir[[#This Row],[Date]])</f>
        <v>2023</v>
      </c>
      <c r="D461" s="30">
        <f>MONTH(BInputReservoir[[#This Row],[Date]])</f>
        <v>10</v>
      </c>
      <c r="E461" s="30">
        <f>IF(I461&lt;&gt;1,"",DATA_INPUT!$L101)</f>
        <v>147660.359109162</v>
      </c>
      <c r="F461" s="30">
        <f>STORAGE_BALANCE_ENSEMBLE!AI101</f>
        <v>0</v>
      </c>
      <c r="G461" s="30">
        <f>STORAGE_BALANCE_ENSEMBLE!AJ101</f>
        <v>147660.359109162</v>
      </c>
      <c r="H461" s="30">
        <f>STORAGE_BALANCE_ENSEMBLE!AH101</f>
        <v>851982.68154989893</v>
      </c>
      <c r="I461" s="18">
        <f t="shared" si="63"/>
        <v>1</v>
      </c>
      <c r="J461" s="8">
        <f t="shared" si="64"/>
        <v>0</v>
      </c>
      <c r="K461" s="9">
        <f t="shared" si="65"/>
        <v>1</v>
      </c>
      <c r="L461" s="10">
        <f t="shared" si="66"/>
        <v>1</v>
      </c>
      <c r="M461" s="10">
        <f>IF(I461&lt;&gt;1,"",IF(H461="","",H461/CONTROL_PANEL!$B$11))</f>
        <v>1.7039653630997978E-2</v>
      </c>
      <c r="N461" s="9">
        <f t="shared" si="67"/>
        <v>1</v>
      </c>
      <c r="O461" s="9">
        <f t="shared" si="68"/>
        <v>1</v>
      </c>
      <c r="P461" s="9">
        <f t="shared" si="69"/>
        <v>0</v>
      </c>
      <c r="Q461" s="9">
        <f t="shared" si="70"/>
        <v>1</v>
      </c>
      <c r="R461" s="11"/>
      <c r="S461" s="11" t="str">
        <f t="shared" ref="S461:S484" si="72">IF(COUNTA(A461:H461)=0,"",IF(OR(A461="",C461="",D461=""),"ERROR: missing key fields","PASS"))</f>
        <v>PASS</v>
      </c>
    </row>
    <row r="462" spans="1:19" x14ac:dyDescent="0.25">
      <c r="A462" s="30" t="s">
        <v>97</v>
      </c>
      <c r="B462" s="31">
        <f t="shared" si="71"/>
        <v>45231</v>
      </c>
      <c r="C462" s="30">
        <f>YEAR(BInputReservoir[[#This Row],[Date]])</f>
        <v>2023</v>
      </c>
      <c r="D462" s="30">
        <f>MONTH(BInputReservoir[[#This Row],[Date]])</f>
        <v>11</v>
      </c>
      <c r="E462" s="30">
        <f>IF(I462&lt;&gt;1,"",DATA_INPUT!$L102)</f>
        <v>0</v>
      </c>
      <c r="F462" s="30">
        <f>STORAGE_BALANCE_ENSEMBLE!AI102</f>
        <v>0</v>
      </c>
      <c r="G462" s="30">
        <f>STORAGE_BALANCE_ENSEMBLE!AJ102</f>
        <v>0</v>
      </c>
      <c r="H462" s="30">
        <f>STORAGE_BALANCE_ENSEMBLE!AH102</f>
        <v>2155744.7516048513</v>
      </c>
      <c r="I462" s="18">
        <f t="shared" si="63"/>
        <v>1</v>
      </c>
      <c r="J462" s="8">
        <f t="shared" si="64"/>
        <v>0</v>
      </c>
      <c r="K462" s="9">
        <f t="shared" si="65"/>
        <v>0</v>
      </c>
      <c r="L462" s="10">
        <f t="shared" si="66"/>
        <v>0</v>
      </c>
      <c r="M462" s="10">
        <f>IF(I462&lt;&gt;1,"",IF(H462="","",H462/CONTROL_PANEL!$B$11))</f>
        <v>4.3114895032097027E-2</v>
      </c>
      <c r="N462" s="9">
        <f t="shared" si="67"/>
        <v>0</v>
      </c>
      <c r="O462" s="9">
        <f t="shared" si="68"/>
        <v>0</v>
      </c>
      <c r="P462" s="9">
        <f t="shared" si="69"/>
        <v>0</v>
      </c>
      <c r="Q462" s="9">
        <f t="shared" si="70"/>
        <v>0</v>
      </c>
      <c r="R462" s="11"/>
      <c r="S462" s="11" t="str">
        <f t="shared" si="72"/>
        <v>PASS</v>
      </c>
    </row>
    <row r="463" spans="1:19" x14ac:dyDescent="0.25">
      <c r="A463" s="30" t="s">
        <v>97</v>
      </c>
      <c r="B463" s="31">
        <f t="shared" si="71"/>
        <v>45261</v>
      </c>
      <c r="C463" s="30">
        <f>YEAR(BInputReservoir[[#This Row],[Date]])</f>
        <v>2023</v>
      </c>
      <c r="D463" s="30">
        <f>MONTH(BInputReservoir[[#This Row],[Date]])</f>
        <v>12</v>
      </c>
      <c r="E463" s="30">
        <f>IF(I463&lt;&gt;1,"",DATA_INPUT!$L103)</f>
        <v>0</v>
      </c>
      <c r="F463" s="30">
        <f>STORAGE_BALANCE_ENSEMBLE!AI103</f>
        <v>0</v>
      </c>
      <c r="G463" s="30">
        <f>STORAGE_BALANCE_ENSEMBLE!AJ103</f>
        <v>0</v>
      </c>
      <c r="H463" s="30">
        <f>STORAGE_BALANCE_ENSEMBLE!AH103</f>
        <v>5637512.9351829113</v>
      </c>
      <c r="I463" s="18">
        <f t="shared" si="63"/>
        <v>1</v>
      </c>
      <c r="J463" s="8">
        <f t="shared" si="64"/>
        <v>0</v>
      </c>
      <c r="K463" s="9">
        <f t="shared" si="65"/>
        <v>0</v>
      </c>
      <c r="L463" s="10">
        <f t="shared" si="66"/>
        <v>0</v>
      </c>
      <c r="M463" s="10">
        <f>IF(I463&lt;&gt;1,"",IF(H463="","",H463/CONTROL_PANEL!$B$11))</f>
        <v>0.11275025870365822</v>
      </c>
      <c r="N463" s="9">
        <f t="shared" si="67"/>
        <v>0</v>
      </c>
      <c r="O463" s="9">
        <f t="shared" si="68"/>
        <v>0</v>
      </c>
      <c r="P463" s="9">
        <f t="shared" si="69"/>
        <v>0</v>
      </c>
      <c r="Q463" s="9">
        <f t="shared" si="70"/>
        <v>0</v>
      </c>
      <c r="R463" s="11"/>
      <c r="S463" s="11" t="str">
        <f t="shared" si="72"/>
        <v>PASS</v>
      </c>
    </row>
    <row r="464" spans="1:19" x14ac:dyDescent="0.25">
      <c r="A464" s="30" t="s">
        <v>97</v>
      </c>
      <c r="B464" s="31">
        <f t="shared" si="71"/>
        <v>45292</v>
      </c>
      <c r="C464" s="30">
        <f>YEAR(BInputReservoir[[#This Row],[Date]])</f>
        <v>2024</v>
      </c>
      <c r="D464" s="30">
        <f>MONTH(BInputReservoir[[#This Row],[Date]])</f>
        <v>1</v>
      </c>
      <c r="E464" s="30">
        <f>IF(I464&lt;&gt;1,"",DATA_INPUT!$L104)</f>
        <v>0</v>
      </c>
      <c r="F464" s="30">
        <f>STORAGE_BALANCE_ENSEMBLE!AI104</f>
        <v>0</v>
      </c>
      <c r="G464" s="30">
        <f>STORAGE_BALANCE_ENSEMBLE!AJ104</f>
        <v>0</v>
      </c>
      <c r="H464" s="30">
        <f>STORAGE_BALANCE_ENSEMBLE!AH104</f>
        <v>7609459.795569052</v>
      </c>
      <c r="I464" s="18">
        <f t="shared" si="63"/>
        <v>1</v>
      </c>
      <c r="J464" s="8">
        <f t="shared" si="64"/>
        <v>0</v>
      </c>
      <c r="K464" s="9">
        <f t="shared" si="65"/>
        <v>0</v>
      </c>
      <c r="L464" s="10">
        <f t="shared" si="66"/>
        <v>0</v>
      </c>
      <c r="M464" s="10">
        <f>IF(I464&lt;&gt;1,"",IF(H464="","",H464/CONTROL_PANEL!$B$11))</f>
        <v>0.15218919591138105</v>
      </c>
      <c r="N464" s="9">
        <f t="shared" si="67"/>
        <v>0</v>
      </c>
      <c r="O464" s="9">
        <f t="shared" si="68"/>
        <v>0</v>
      </c>
      <c r="P464" s="9">
        <f t="shared" si="69"/>
        <v>0</v>
      </c>
      <c r="Q464" s="9">
        <f t="shared" si="70"/>
        <v>0</v>
      </c>
      <c r="R464" s="11"/>
      <c r="S464" s="11" t="str">
        <f t="shared" si="72"/>
        <v>PASS</v>
      </c>
    </row>
    <row r="465" spans="1:19" x14ac:dyDescent="0.25">
      <c r="A465" s="30" t="s">
        <v>97</v>
      </c>
      <c r="B465" s="31">
        <f t="shared" si="71"/>
        <v>45323</v>
      </c>
      <c r="C465" s="30">
        <f>YEAR(BInputReservoir[[#This Row],[Date]])</f>
        <v>2024</v>
      </c>
      <c r="D465" s="30">
        <f>MONTH(BInputReservoir[[#This Row],[Date]])</f>
        <v>2</v>
      </c>
      <c r="E465" s="30">
        <f>IF(I465&lt;&gt;1,"",DATA_INPUT!$L105)</f>
        <v>0</v>
      </c>
      <c r="F465" s="30">
        <f>STORAGE_BALANCE_ENSEMBLE!AI105</f>
        <v>0</v>
      </c>
      <c r="G465" s="30">
        <f>STORAGE_BALANCE_ENSEMBLE!AJ105</f>
        <v>0</v>
      </c>
      <c r="H465" s="30">
        <f>STORAGE_BALANCE_ENSEMBLE!AH105</f>
        <v>11552059.136746503</v>
      </c>
      <c r="I465" s="18">
        <f t="shared" si="63"/>
        <v>1</v>
      </c>
      <c r="J465" s="8">
        <f t="shared" si="64"/>
        <v>0</v>
      </c>
      <c r="K465" s="9">
        <f t="shared" si="65"/>
        <v>0</v>
      </c>
      <c r="L465" s="10">
        <f t="shared" si="66"/>
        <v>0</v>
      </c>
      <c r="M465" s="10">
        <f>IF(I465&lt;&gt;1,"",IF(H465="","",H465/CONTROL_PANEL!$B$11))</f>
        <v>0.23104118273493007</v>
      </c>
      <c r="N465" s="9">
        <f t="shared" si="67"/>
        <v>0</v>
      </c>
      <c r="O465" s="9">
        <f t="shared" si="68"/>
        <v>0</v>
      </c>
      <c r="P465" s="9">
        <f t="shared" si="69"/>
        <v>0</v>
      </c>
      <c r="Q465" s="9">
        <f t="shared" si="70"/>
        <v>0</v>
      </c>
      <c r="R465" s="11"/>
      <c r="S465" s="11" t="str">
        <f t="shared" si="72"/>
        <v>PASS</v>
      </c>
    </row>
    <row r="466" spans="1:19" x14ac:dyDescent="0.25">
      <c r="A466" s="30" t="s">
        <v>97</v>
      </c>
      <c r="B466" s="31">
        <f t="shared" si="71"/>
        <v>45352</v>
      </c>
      <c r="C466" s="30">
        <f>YEAR(BInputReservoir[[#This Row],[Date]])</f>
        <v>2024</v>
      </c>
      <c r="D466" s="30">
        <f>MONTH(BInputReservoir[[#This Row],[Date]])</f>
        <v>3</v>
      </c>
      <c r="E466" s="30">
        <f>IF(I466&lt;&gt;1,"",DATA_INPUT!$L106)</f>
        <v>0</v>
      </c>
      <c r="F466" s="30">
        <f>STORAGE_BALANCE_ENSEMBLE!AI106</f>
        <v>0</v>
      </c>
      <c r="G466" s="30">
        <f>STORAGE_BALANCE_ENSEMBLE!AJ106</f>
        <v>0</v>
      </c>
      <c r="H466" s="30">
        <f>STORAGE_BALANCE_ENSEMBLE!AH106</f>
        <v>12783469.505895015</v>
      </c>
      <c r="I466" s="18">
        <f t="shared" si="63"/>
        <v>1</v>
      </c>
      <c r="J466" s="8">
        <f t="shared" si="64"/>
        <v>0</v>
      </c>
      <c r="K466" s="9">
        <f t="shared" si="65"/>
        <v>0</v>
      </c>
      <c r="L466" s="10">
        <f t="shared" si="66"/>
        <v>0</v>
      </c>
      <c r="M466" s="10">
        <f>IF(I466&lt;&gt;1,"",IF(H466="","",H466/CONTROL_PANEL!$B$11))</f>
        <v>0.2556693901179003</v>
      </c>
      <c r="N466" s="9">
        <f t="shared" si="67"/>
        <v>0</v>
      </c>
      <c r="O466" s="9">
        <f t="shared" si="68"/>
        <v>0</v>
      </c>
      <c r="P466" s="9">
        <f t="shared" si="69"/>
        <v>0</v>
      </c>
      <c r="Q466" s="9">
        <f t="shared" si="70"/>
        <v>0</v>
      </c>
      <c r="R466" s="11"/>
      <c r="S466" s="11" t="str">
        <f t="shared" si="72"/>
        <v>PASS</v>
      </c>
    </row>
    <row r="467" spans="1:19" x14ac:dyDescent="0.25">
      <c r="A467" s="30" t="s">
        <v>97</v>
      </c>
      <c r="B467" s="31">
        <f t="shared" si="71"/>
        <v>45383</v>
      </c>
      <c r="C467" s="30">
        <f>YEAR(BInputReservoir[[#This Row],[Date]])</f>
        <v>2024</v>
      </c>
      <c r="D467" s="30">
        <f>MONTH(BInputReservoir[[#This Row],[Date]])</f>
        <v>4</v>
      </c>
      <c r="E467" s="30">
        <f>IF(I467&lt;&gt;1,"",DATA_INPUT!$L107)</f>
        <v>28096.69940884165</v>
      </c>
      <c r="F467" s="30">
        <f>STORAGE_BALANCE_ENSEMBLE!AI107</f>
        <v>0</v>
      </c>
      <c r="G467" s="30">
        <f>STORAGE_BALANCE_ENSEMBLE!AJ107</f>
        <v>0</v>
      </c>
      <c r="H467" s="30">
        <f>STORAGE_BALANCE_ENSEMBLE!AH107</f>
        <v>12872135.849187238</v>
      </c>
      <c r="I467" s="18">
        <f t="shared" si="63"/>
        <v>1</v>
      </c>
      <c r="J467" s="8">
        <f t="shared" si="64"/>
        <v>28096.69940884165</v>
      </c>
      <c r="K467" s="9">
        <f t="shared" si="65"/>
        <v>0</v>
      </c>
      <c r="L467" s="10">
        <f t="shared" si="66"/>
        <v>0</v>
      </c>
      <c r="M467" s="10">
        <f>IF(I467&lt;&gt;1,"",IF(H467="","",H467/CONTROL_PANEL!$B$11))</f>
        <v>0.25744271698374477</v>
      </c>
      <c r="N467" s="9">
        <f t="shared" si="67"/>
        <v>0</v>
      </c>
      <c r="O467" s="9">
        <f t="shared" si="68"/>
        <v>0</v>
      </c>
      <c r="P467" s="9">
        <f t="shared" si="69"/>
        <v>0</v>
      </c>
      <c r="Q467" s="9">
        <f t="shared" si="70"/>
        <v>0</v>
      </c>
      <c r="R467" s="11"/>
      <c r="S467" s="11" t="str">
        <f t="shared" si="72"/>
        <v>PASS</v>
      </c>
    </row>
    <row r="468" spans="1:19" x14ac:dyDescent="0.25">
      <c r="A468" s="30" t="s">
        <v>97</v>
      </c>
      <c r="B468" s="31">
        <f t="shared" si="71"/>
        <v>45413</v>
      </c>
      <c r="C468" s="30">
        <f>YEAR(BInputReservoir[[#This Row],[Date]])</f>
        <v>2024</v>
      </c>
      <c r="D468" s="30">
        <f>MONTH(BInputReservoir[[#This Row],[Date]])</f>
        <v>5</v>
      </c>
      <c r="E468" s="30">
        <f>IF(I468&lt;&gt;1,"",DATA_INPUT!$L108)</f>
        <v>559436.00396629819</v>
      </c>
      <c r="F468" s="30">
        <f>STORAGE_BALANCE_ENSEMBLE!AI108</f>
        <v>0</v>
      </c>
      <c r="G468" s="30">
        <f>STORAGE_BALANCE_ENSEMBLE!AJ108</f>
        <v>0</v>
      </c>
      <c r="H468" s="30">
        <f>STORAGE_BALANCE_ENSEMBLE!AH108</f>
        <v>12147002.633515755</v>
      </c>
      <c r="I468" s="18">
        <f t="shared" si="63"/>
        <v>1</v>
      </c>
      <c r="J468" s="8">
        <f t="shared" si="64"/>
        <v>559436.00396629819</v>
      </c>
      <c r="K468" s="9">
        <f t="shared" si="65"/>
        <v>0</v>
      </c>
      <c r="L468" s="10">
        <f t="shared" si="66"/>
        <v>0</v>
      </c>
      <c r="M468" s="10">
        <f>IF(I468&lt;&gt;1,"",IF(H468="","",H468/CONTROL_PANEL!$B$11))</f>
        <v>0.2429400526703151</v>
      </c>
      <c r="N468" s="9">
        <f t="shared" si="67"/>
        <v>0</v>
      </c>
      <c r="O468" s="9">
        <f t="shared" si="68"/>
        <v>0</v>
      </c>
      <c r="P468" s="9">
        <f t="shared" si="69"/>
        <v>0</v>
      </c>
      <c r="Q468" s="9">
        <f t="shared" si="70"/>
        <v>0</v>
      </c>
      <c r="R468" s="11"/>
      <c r="S468" s="11" t="str">
        <f t="shared" si="72"/>
        <v>PASS</v>
      </c>
    </row>
    <row r="469" spans="1:19" x14ac:dyDescent="0.25">
      <c r="A469" s="30" t="s">
        <v>97</v>
      </c>
      <c r="B469" s="31">
        <f t="shared" si="71"/>
        <v>45444</v>
      </c>
      <c r="C469" s="30">
        <f>YEAR(BInputReservoir[[#This Row],[Date]])</f>
        <v>2024</v>
      </c>
      <c r="D469" s="30">
        <f>MONTH(BInputReservoir[[#This Row],[Date]])</f>
        <v>6</v>
      </c>
      <c r="E469" s="30">
        <f>IF(I469&lt;&gt;1,"",DATA_INPUT!$L109)</f>
        <v>713665.08546549268</v>
      </c>
      <c r="F469" s="30">
        <f>STORAGE_BALANCE_ENSEMBLE!AI109</f>
        <v>0</v>
      </c>
      <c r="G469" s="30">
        <f>STORAGE_BALANCE_ENSEMBLE!AJ109</f>
        <v>0</v>
      </c>
      <c r="H469" s="30">
        <f>STORAGE_BALANCE_ENSEMBLE!AH109</f>
        <v>11254114.379498275</v>
      </c>
      <c r="I469" s="18">
        <f t="shared" si="63"/>
        <v>1</v>
      </c>
      <c r="J469" s="8">
        <f t="shared" si="64"/>
        <v>713665.08546549268</v>
      </c>
      <c r="K469" s="9">
        <f t="shared" si="65"/>
        <v>0</v>
      </c>
      <c r="L469" s="10">
        <f t="shared" si="66"/>
        <v>0</v>
      </c>
      <c r="M469" s="10">
        <f>IF(I469&lt;&gt;1,"",IF(H469="","",H469/CONTROL_PANEL!$B$11))</f>
        <v>0.22508228758996551</v>
      </c>
      <c r="N469" s="9">
        <f t="shared" si="67"/>
        <v>0</v>
      </c>
      <c r="O469" s="9">
        <f t="shared" si="68"/>
        <v>0</v>
      </c>
      <c r="P469" s="9">
        <f t="shared" si="69"/>
        <v>0</v>
      </c>
      <c r="Q469" s="9">
        <f t="shared" si="70"/>
        <v>0</v>
      </c>
      <c r="R469" s="11"/>
      <c r="S469" s="11" t="str">
        <f t="shared" si="72"/>
        <v>PASS</v>
      </c>
    </row>
    <row r="470" spans="1:19" x14ac:dyDescent="0.25">
      <c r="A470" s="30" t="s">
        <v>97</v>
      </c>
      <c r="B470" s="31">
        <f t="shared" si="71"/>
        <v>45474</v>
      </c>
      <c r="C470" s="30">
        <f>YEAR(BInputReservoir[[#This Row],[Date]])</f>
        <v>2024</v>
      </c>
      <c r="D470" s="30">
        <f>MONTH(BInputReservoir[[#This Row],[Date]])</f>
        <v>7</v>
      </c>
      <c r="E470" s="30">
        <f>IF(I470&lt;&gt;1,"",DATA_INPUT!$L110)</f>
        <v>2219916.7028240757</v>
      </c>
      <c r="F470" s="30">
        <f>STORAGE_BALANCE_ENSEMBLE!AI110</f>
        <v>0</v>
      </c>
      <c r="G470" s="30">
        <f>STORAGE_BALANCE_ENSEMBLE!AJ110</f>
        <v>0</v>
      </c>
      <c r="H470" s="30">
        <f>STORAGE_BALANCE_ENSEMBLE!AH110</f>
        <v>8761347.2119122371</v>
      </c>
      <c r="I470" s="18">
        <f t="shared" si="63"/>
        <v>1</v>
      </c>
      <c r="J470" s="8">
        <f t="shared" si="64"/>
        <v>2219916.7028240757</v>
      </c>
      <c r="K470" s="9">
        <f t="shared" si="65"/>
        <v>0</v>
      </c>
      <c r="L470" s="10">
        <f t="shared" si="66"/>
        <v>0</v>
      </c>
      <c r="M470" s="10">
        <f>IF(I470&lt;&gt;1,"",IF(H470="","",H470/CONTROL_PANEL!$B$11))</f>
        <v>0.17522694423824475</v>
      </c>
      <c r="N470" s="9">
        <f t="shared" si="67"/>
        <v>0</v>
      </c>
      <c r="O470" s="9">
        <f t="shared" si="68"/>
        <v>0</v>
      </c>
      <c r="P470" s="9">
        <f t="shared" si="69"/>
        <v>0</v>
      </c>
      <c r="Q470" s="9">
        <f t="shared" si="70"/>
        <v>0</v>
      </c>
      <c r="R470" s="11"/>
      <c r="S470" s="11" t="str">
        <f t="shared" si="72"/>
        <v>PASS</v>
      </c>
    </row>
    <row r="471" spans="1:19" x14ac:dyDescent="0.25">
      <c r="A471" s="30" t="s">
        <v>97</v>
      </c>
      <c r="B471" s="31">
        <f t="shared" si="71"/>
        <v>45505</v>
      </c>
      <c r="C471" s="30">
        <f>YEAR(BInputReservoir[[#This Row],[Date]])</f>
        <v>2024</v>
      </c>
      <c r="D471" s="30">
        <f>MONTH(BInputReservoir[[#This Row],[Date]])</f>
        <v>8</v>
      </c>
      <c r="E471" s="30">
        <f>IF(I471&lt;&gt;1,"",DATA_INPUT!$L111)</f>
        <v>2642621.7655101959</v>
      </c>
      <c r="F471" s="30">
        <f>STORAGE_BALANCE_ENSEMBLE!AI111</f>
        <v>0</v>
      </c>
      <c r="G471" s="30">
        <f>STORAGE_BALANCE_ENSEMBLE!AJ111</f>
        <v>0</v>
      </c>
      <c r="H471" s="30">
        <f>STORAGE_BALANCE_ENSEMBLE!AH111</f>
        <v>5898923.99646133</v>
      </c>
      <c r="I471" s="18">
        <f t="shared" si="63"/>
        <v>1</v>
      </c>
      <c r="J471" s="8">
        <f t="shared" si="64"/>
        <v>2642621.7655101959</v>
      </c>
      <c r="K471" s="9">
        <f t="shared" si="65"/>
        <v>0</v>
      </c>
      <c r="L471" s="10">
        <f t="shared" si="66"/>
        <v>0</v>
      </c>
      <c r="M471" s="10">
        <f>IF(I471&lt;&gt;1,"",IF(H471="","",H471/CONTROL_PANEL!$B$11))</f>
        <v>0.1179784799292266</v>
      </c>
      <c r="N471" s="9">
        <f t="shared" si="67"/>
        <v>0</v>
      </c>
      <c r="O471" s="9">
        <f t="shared" si="68"/>
        <v>0</v>
      </c>
      <c r="P471" s="9">
        <f t="shared" si="69"/>
        <v>0</v>
      </c>
      <c r="Q471" s="9">
        <f t="shared" si="70"/>
        <v>0</v>
      </c>
      <c r="R471" s="11"/>
      <c r="S471" s="11" t="str">
        <f t="shared" si="72"/>
        <v>PASS</v>
      </c>
    </row>
    <row r="472" spans="1:19" x14ac:dyDescent="0.25">
      <c r="A472" s="30" t="s">
        <v>97</v>
      </c>
      <c r="B472" s="31">
        <f t="shared" si="71"/>
        <v>45536</v>
      </c>
      <c r="C472" s="30">
        <f>YEAR(BInputReservoir[[#This Row],[Date]])</f>
        <v>2024</v>
      </c>
      <c r="D472" s="30">
        <f>MONTH(BInputReservoir[[#This Row],[Date]])</f>
        <v>9</v>
      </c>
      <c r="E472" s="30">
        <f>IF(I472&lt;&gt;1,"",DATA_INPUT!$L112)</f>
        <v>1265892.6639501308</v>
      </c>
      <c r="F472" s="30">
        <f>STORAGE_BALANCE_ENSEMBLE!AI112</f>
        <v>0</v>
      </c>
      <c r="G472" s="30">
        <f>STORAGE_BALANCE_ENSEMBLE!AJ112</f>
        <v>0</v>
      </c>
      <c r="H472" s="30">
        <f>STORAGE_BALANCE_ENSEMBLE!AH112</f>
        <v>5206182.8744346919</v>
      </c>
      <c r="I472" s="18">
        <f t="shared" si="63"/>
        <v>1</v>
      </c>
      <c r="J472" s="8">
        <f t="shared" si="64"/>
        <v>1265892.6639501308</v>
      </c>
      <c r="K472" s="9">
        <f t="shared" si="65"/>
        <v>0</v>
      </c>
      <c r="L472" s="10">
        <f t="shared" si="66"/>
        <v>0</v>
      </c>
      <c r="M472" s="10">
        <f>IF(I472&lt;&gt;1,"",IF(H472="","",H472/CONTROL_PANEL!$B$11))</f>
        <v>0.10412365748869384</v>
      </c>
      <c r="N472" s="9">
        <f t="shared" si="67"/>
        <v>0</v>
      </c>
      <c r="O472" s="9">
        <f t="shared" si="68"/>
        <v>0</v>
      </c>
      <c r="P472" s="9">
        <f t="shared" si="69"/>
        <v>0</v>
      </c>
      <c r="Q472" s="9">
        <f t="shared" si="70"/>
        <v>0</v>
      </c>
      <c r="R472" s="11"/>
      <c r="S472" s="11" t="str">
        <f t="shared" si="72"/>
        <v>PASS</v>
      </c>
    </row>
    <row r="473" spans="1:19" x14ac:dyDescent="0.25">
      <c r="A473" s="30" t="s">
        <v>97</v>
      </c>
      <c r="B473" s="31">
        <f t="shared" si="71"/>
        <v>45566</v>
      </c>
      <c r="C473" s="30">
        <f>YEAR(BInputReservoir[[#This Row],[Date]])</f>
        <v>2024</v>
      </c>
      <c r="D473" s="30">
        <f>MONTH(BInputReservoir[[#This Row],[Date]])</f>
        <v>10</v>
      </c>
      <c r="E473" s="30">
        <f>IF(I473&lt;&gt;1,"",DATA_INPUT!$L113)</f>
        <v>161873.89302809499</v>
      </c>
      <c r="F473" s="30">
        <f>STORAGE_BALANCE_ENSEMBLE!AI113</f>
        <v>0</v>
      </c>
      <c r="G473" s="30">
        <f>STORAGE_BALANCE_ENSEMBLE!AJ113</f>
        <v>0</v>
      </c>
      <c r="H473" s="30">
        <f>STORAGE_BALANCE_ENSEMBLE!AH113</f>
        <v>5493691.9537590574</v>
      </c>
      <c r="I473" s="18">
        <f t="shared" si="63"/>
        <v>1</v>
      </c>
      <c r="J473" s="8">
        <f t="shared" si="64"/>
        <v>161873.89302809499</v>
      </c>
      <c r="K473" s="9">
        <f t="shared" si="65"/>
        <v>0</v>
      </c>
      <c r="L473" s="10">
        <f t="shared" si="66"/>
        <v>0</v>
      </c>
      <c r="M473" s="10">
        <f>IF(I473&lt;&gt;1,"",IF(H473="","",H473/CONTROL_PANEL!$B$11))</f>
        <v>0.10987383907518115</v>
      </c>
      <c r="N473" s="9">
        <f t="shared" si="67"/>
        <v>0</v>
      </c>
      <c r="O473" s="9">
        <f t="shared" si="68"/>
        <v>0</v>
      </c>
      <c r="P473" s="9">
        <f t="shared" si="69"/>
        <v>0</v>
      </c>
      <c r="Q473" s="9">
        <f t="shared" si="70"/>
        <v>0</v>
      </c>
      <c r="R473" s="11"/>
      <c r="S473" s="11" t="str">
        <f t="shared" si="72"/>
        <v>PASS</v>
      </c>
    </row>
    <row r="474" spans="1:19" x14ac:dyDescent="0.25">
      <c r="A474" s="30" t="s">
        <v>97</v>
      </c>
      <c r="B474" s="31">
        <f t="shared" si="71"/>
        <v>45597</v>
      </c>
      <c r="C474" s="30">
        <f>YEAR(BInputReservoir[[#This Row],[Date]])</f>
        <v>2024</v>
      </c>
      <c r="D474" s="30">
        <f>MONTH(BInputReservoir[[#This Row],[Date]])</f>
        <v>11</v>
      </c>
      <c r="E474" s="30">
        <f>IF(I474&lt;&gt;1,"",DATA_INPUT!$L114)</f>
        <v>0</v>
      </c>
      <c r="F474" s="30">
        <f>STORAGE_BALANCE_ENSEMBLE!AI114</f>
        <v>0</v>
      </c>
      <c r="G474" s="30">
        <f>STORAGE_BALANCE_ENSEMBLE!AJ114</f>
        <v>0</v>
      </c>
      <c r="H474" s="30">
        <f>STORAGE_BALANCE_ENSEMBLE!AH114</f>
        <v>5609222.2926899754</v>
      </c>
      <c r="I474" s="18">
        <f t="shared" si="63"/>
        <v>1</v>
      </c>
      <c r="J474" s="8">
        <f t="shared" si="64"/>
        <v>0</v>
      </c>
      <c r="K474" s="9">
        <f t="shared" si="65"/>
        <v>0</v>
      </c>
      <c r="L474" s="10">
        <f t="shared" si="66"/>
        <v>0</v>
      </c>
      <c r="M474" s="10">
        <f>IF(I474&lt;&gt;1,"",IF(H474="","",H474/CONTROL_PANEL!$B$11))</f>
        <v>0.11218444585379951</v>
      </c>
      <c r="N474" s="9">
        <f t="shared" si="67"/>
        <v>0</v>
      </c>
      <c r="O474" s="9">
        <f t="shared" si="68"/>
        <v>0</v>
      </c>
      <c r="P474" s="9">
        <f t="shared" si="69"/>
        <v>0</v>
      </c>
      <c r="Q474" s="9">
        <f t="shared" si="70"/>
        <v>0</v>
      </c>
      <c r="R474" s="11"/>
      <c r="S474" s="11" t="str">
        <f t="shared" si="72"/>
        <v>PASS</v>
      </c>
    </row>
    <row r="475" spans="1:19" x14ac:dyDescent="0.25">
      <c r="A475" s="30" t="s">
        <v>97</v>
      </c>
      <c r="B475" s="31">
        <f t="shared" si="71"/>
        <v>45627</v>
      </c>
      <c r="C475" s="30">
        <f>YEAR(BInputReservoir[[#This Row],[Date]])</f>
        <v>2024</v>
      </c>
      <c r="D475" s="30">
        <f>MONTH(BInputReservoir[[#This Row],[Date]])</f>
        <v>12</v>
      </c>
      <c r="E475" s="30">
        <f>IF(I475&lt;&gt;1,"",DATA_INPUT!$L115)</f>
        <v>0</v>
      </c>
      <c r="F475" s="30">
        <f>STORAGE_BALANCE_ENSEMBLE!AI115</f>
        <v>0</v>
      </c>
      <c r="G475" s="30">
        <f>STORAGE_BALANCE_ENSEMBLE!AJ115</f>
        <v>0</v>
      </c>
      <c r="H475" s="30">
        <f>STORAGE_BALANCE_ENSEMBLE!AH115</f>
        <v>7904653.8170765573</v>
      </c>
      <c r="I475" s="18">
        <f t="shared" si="63"/>
        <v>1</v>
      </c>
      <c r="J475" s="8">
        <f t="shared" si="64"/>
        <v>0</v>
      </c>
      <c r="K475" s="9">
        <f t="shared" si="65"/>
        <v>0</v>
      </c>
      <c r="L475" s="10">
        <f t="shared" si="66"/>
        <v>0</v>
      </c>
      <c r="M475" s="10">
        <f>IF(I475&lt;&gt;1,"",IF(H475="","",H475/CONTROL_PANEL!$B$11))</f>
        <v>0.15809307634153114</v>
      </c>
      <c r="N475" s="9">
        <f t="shared" si="67"/>
        <v>0</v>
      </c>
      <c r="O475" s="9">
        <f t="shared" si="68"/>
        <v>0</v>
      </c>
      <c r="P475" s="9">
        <f t="shared" si="69"/>
        <v>0</v>
      </c>
      <c r="Q475" s="9">
        <f t="shared" si="70"/>
        <v>0</v>
      </c>
      <c r="R475" s="11"/>
      <c r="S475" s="11" t="str">
        <f t="shared" si="72"/>
        <v>PASS</v>
      </c>
    </row>
    <row r="476" spans="1:19" x14ac:dyDescent="0.25">
      <c r="A476" s="30" t="s">
        <v>97</v>
      </c>
      <c r="B476" s="31">
        <f t="shared" si="71"/>
        <v>45658</v>
      </c>
      <c r="C476" s="30">
        <f>YEAR(BInputReservoir[[#This Row],[Date]])</f>
        <v>2025</v>
      </c>
      <c r="D476" s="30">
        <f>MONTH(BInputReservoir[[#This Row],[Date]])</f>
        <v>1</v>
      </c>
      <c r="E476" s="30">
        <f>IF(I476&lt;&gt;1,"",DATA_INPUT!$L116)</f>
        <v>0</v>
      </c>
      <c r="F476" s="30">
        <f>STORAGE_BALANCE_ENSEMBLE!AI116</f>
        <v>0</v>
      </c>
      <c r="G476" s="30">
        <f>STORAGE_BALANCE_ENSEMBLE!AJ116</f>
        <v>0</v>
      </c>
      <c r="H476" s="30">
        <f>STORAGE_BALANCE_ENSEMBLE!AH116</f>
        <v>9593777.7828846294</v>
      </c>
      <c r="I476" s="18">
        <f t="shared" si="63"/>
        <v>1</v>
      </c>
      <c r="J476" s="8">
        <f t="shared" si="64"/>
        <v>0</v>
      </c>
      <c r="K476" s="9">
        <f t="shared" si="65"/>
        <v>0</v>
      </c>
      <c r="L476" s="10">
        <f t="shared" si="66"/>
        <v>0</v>
      </c>
      <c r="M476" s="10">
        <f>IF(I476&lt;&gt;1,"",IF(H476="","",H476/CONTROL_PANEL!$B$11))</f>
        <v>0.1918755556576926</v>
      </c>
      <c r="N476" s="9">
        <f t="shared" si="67"/>
        <v>0</v>
      </c>
      <c r="O476" s="9">
        <f t="shared" si="68"/>
        <v>0</v>
      </c>
      <c r="P476" s="9">
        <f t="shared" si="69"/>
        <v>0</v>
      </c>
      <c r="Q476" s="9">
        <f t="shared" si="70"/>
        <v>0</v>
      </c>
      <c r="R476" s="11"/>
      <c r="S476" s="11" t="str">
        <f t="shared" si="72"/>
        <v>PASS</v>
      </c>
    </row>
    <row r="477" spans="1:19" x14ac:dyDescent="0.25">
      <c r="A477" s="30" t="s">
        <v>97</v>
      </c>
      <c r="B477" s="31">
        <f t="shared" si="71"/>
        <v>45689</v>
      </c>
      <c r="C477" s="30">
        <f>YEAR(BInputReservoir[[#This Row],[Date]])</f>
        <v>2025</v>
      </c>
      <c r="D477" s="30">
        <f>MONTH(BInputReservoir[[#This Row],[Date]])</f>
        <v>2</v>
      </c>
      <c r="E477" s="30">
        <f>IF(I477&lt;&gt;1,"",DATA_INPUT!$L117)</f>
        <v>0</v>
      </c>
      <c r="F477" s="30">
        <f>STORAGE_BALANCE_ENSEMBLE!AI117</f>
        <v>0</v>
      </c>
      <c r="G477" s="30">
        <f>STORAGE_BALANCE_ENSEMBLE!AJ117</f>
        <v>0</v>
      </c>
      <c r="H477" s="30">
        <f>STORAGE_BALANCE_ENSEMBLE!AH117</f>
        <v>18494340.588996265</v>
      </c>
      <c r="I477" s="18">
        <f t="shared" si="63"/>
        <v>1</v>
      </c>
      <c r="J477" s="8">
        <f t="shared" si="64"/>
        <v>0</v>
      </c>
      <c r="K477" s="9">
        <f t="shared" si="65"/>
        <v>0</v>
      </c>
      <c r="L477" s="10">
        <f t="shared" si="66"/>
        <v>0</v>
      </c>
      <c r="M477" s="10">
        <f>IF(I477&lt;&gt;1,"",IF(H477="","",H477/CONTROL_PANEL!$B$11))</f>
        <v>0.36988681177992533</v>
      </c>
      <c r="N477" s="9">
        <f t="shared" si="67"/>
        <v>0</v>
      </c>
      <c r="O477" s="9">
        <f t="shared" si="68"/>
        <v>0</v>
      </c>
      <c r="P477" s="9">
        <f t="shared" si="69"/>
        <v>0</v>
      </c>
      <c r="Q477" s="9">
        <f t="shared" si="70"/>
        <v>0</v>
      </c>
      <c r="R477" s="11"/>
      <c r="S477" s="11" t="str">
        <f t="shared" si="72"/>
        <v>PASS</v>
      </c>
    </row>
    <row r="478" spans="1:19" x14ac:dyDescent="0.25">
      <c r="A478" s="30" t="s">
        <v>97</v>
      </c>
      <c r="B478" s="31">
        <f t="shared" si="71"/>
        <v>45717</v>
      </c>
      <c r="C478" s="30">
        <f>YEAR(BInputReservoir[[#This Row],[Date]])</f>
        <v>2025</v>
      </c>
      <c r="D478" s="30">
        <f>MONTH(BInputReservoir[[#This Row],[Date]])</f>
        <v>3</v>
      </c>
      <c r="E478" s="30">
        <f>IF(I478&lt;&gt;1,"",DATA_INPUT!$L118)</f>
        <v>0</v>
      </c>
      <c r="F478" s="30">
        <f>STORAGE_BALANCE_ENSEMBLE!AI118</f>
        <v>0</v>
      </c>
      <c r="G478" s="30">
        <f>STORAGE_BALANCE_ENSEMBLE!AJ118</f>
        <v>0</v>
      </c>
      <c r="H478" s="30">
        <f>STORAGE_BALANCE_ENSEMBLE!AH118</f>
        <v>22335692.740559462</v>
      </c>
      <c r="I478" s="18">
        <f t="shared" si="63"/>
        <v>1</v>
      </c>
      <c r="J478" s="8">
        <f t="shared" si="64"/>
        <v>0</v>
      </c>
      <c r="K478" s="9">
        <f t="shared" si="65"/>
        <v>0</v>
      </c>
      <c r="L478" s="10">
        <f t="shared" si="66"/>
        <v>0</v>
      </c>
      <c r="M478" s="10">
        <f>IF(I478&lt;&gt;1,"",IF(H478="","",H478/CONTROL_PANEL!$B$11))</f>
        <v>0.44671385481118925</v>
      </c>
      <c r="N478" s="9">
        <f t="shared" si="67"/>
        <v>0</v>
      </c>
      <c r="O478" s="9">
        <f t="shared" si="68"/>
        <v>0</v>
      </c>
      <c r="P478" s="9">
        <f t="shared" si="69"/>
        <v>0</v>
      </c>
      <c r="Q478" s="9">
        <f t="shared" si="70"/>
        <v>0</v>
      </c>
      <c r="R478" s="11"/>
      <c r="S478" s="11" t="str">
        <f t="shared" si="72"/>
        <v>PASS</v>
      </c>
    </row>
    <row r="479" spans="1:19" x14ac:dyDescent="0.25">
      <c r="A479" s="30" t="s">
        <v>97</v>
      </c>
      <c r="B479" s="31">
        <f t="shared" si="71"/>
        <v>45748</v>
      </c>
      <c r="C479" s="30">
        <f>YEAR(BInputReservoir[[#This Row],[Date]])</f>
        <v>2025</v>
      </c>
      <c r="D479" s="30">
        <f>MONTH(BInputReservoir[[#This Row],[Date]])</f>
        <v>4</v>
      </c>
      <c r="E479" s="30">
        <f>IF(I479&lt;&gt;1,"",DATA_INPUT!$L119)</f>
        <v>8070.0461892539333</v>
      </c>
      <c r="F479" s="30">
        <f>STORAGE_BALANCE_ENSEMBLE!AI119</f>
        <v>0</v>
      </c>
      <c r="G479" s="30">
        <f>STORAGE_BALANCE_ENSEMBLE!AJ119</f>
        <v>0</v>
      </c>
      <c r="H479" s="30">
        <f>STORAGE_BALANCE_ENSEMBLE!AH119</f>
        <v>23300089.419114836</v>
      </c>
      <c r="I479" s="18">
        <f t="shared" si="63"/>
        <v>1</v>
      </c>
      <c r="J479" s="8">
        <f t="shared" si="64"/>
        <v>8070.0461892539333</v>
      </c>
      <c r="K479" s="9">
        <f t="shared" si="65"/>
        <v>0</v>
      </c>
      <c r="L479" s="10">
        <f t="shared" si="66"/>
        <v>0</v>
      </c>
      <c r="M479" s="10">
        <f>IF(I479&lt;&gt;1,"",IF(H479="","",H479/CONTROL_PANEL!$B$11))</f>
        <v>0.46600178838229672</v>
      </c>
      <c r="N479" s="9">
        <f t="shared" si="67"/>
        <v>0</v>
      </c>
      <c r="O479" s="9">
        <f t="shared" si="68"/>
        <v>0</v>
      </c>
      <c r="P479" s="9">
        <f t="shared" si="69"/>
        <v>0</v>
      </c>
      <c r="Q479" s="9">
        <f t="shared" si="70"/>
        <v>0</v>
      </c>
      <c r="R479" s="11"/>
      <c r="S479" s="11" t="str">
        <f t="shared" si="72"/>
        <v>PASS</v>
      </c>
    </row>
    <row r="480" spans="1:19" x14ac:dyDescent="0.25">
      <c r="A480" s="30" t="s">
        <v>97</v>
      </c>
      <c r="B480" s="31">
        <f t="shared" si="71"/>
        <v>45778</v>
      </c>
      <c r="C480" s="30">
        <f>YEAR(BInputReservoir[[#This Row],[Date]])</f>
        <v>2025</v>
      </c>
      <c r="D480" s="30">
        <f>MONTH(BInputReservoir[[#This Row],[Date]])</f>
        <v>5</v>
      </c>
      <c r="E480" s="30">
        <f>IF(I480&lt;&gt;1,"",DATA_INPUT!$L120)</f>
        <v>405531.53059089987</v>
      </c>
      <c r="F480" s="30">
        <f>STORAGE_BALANCE_ENSEMBLE!AI120</f>
        <v>0</v>
      </c>
      <c r="G480" s="30">
        <f>STORAGE_BALANCE_ENSEMBLE!AJ120</f>
        <v>0</v>
      </c>
      <c r="H480" s="30">
        <f>STORAGE_BALANCE_ENSEMBLE!AH120</f>
        <v>22779561.816280458</v>
      </c>
      <c r="I480" s="18">
        <f t="shared" si="63"/>
        <v>1</v>
      </c>
      <c r="J480" s="8">
        <f t="shared" si="64"/>
        <v>405531.53059089987</v>
      </c>
      <c r="K480" s="9">
        <f t="shared" si="65"/>
        <v>0</v>
      </c>
      <c r="L480" s="10">
        <f t="shared" si="66"/>
        <v>0</v>
      </c>
      <c r="M480" s="10">
        <f>IF(I480&lt;&gt;1,"",IF(H480="","",H480/CONTROL_PANEL!$B$11))</f>
        <v>0.45559123632560916</v>
      </c>
      <c r="N480" s="9">
        <f t="shared" si="67"/>
        <v>0</v>
      </c>
      <c r="O480" s="9">
        <f t="shared" si="68"/>
        <v>0</v>
      </c>
      <c r="P480" s="9">
        <f t="shared" si="69"/>
        <v>0</v>
      </c>
      <c r="Q480" s="9">
        <f t="shared" si="70"/>
        <v>0</v>
      </c>
      <c r="R480" s="11"/>
      <c r="S480" s="11" t="str">
        <f t="shared" si="72"/>
        <v>PASS</v>
      </c>
    </row>
    <row r="481" spans="1:19" x14ac:dyDescent="0.25">
      <c r="A481" s="30" t="s">
        <v>97</v>
      </c>
      <c r="B481" s="31">
        <f t="shared" si="71"/>
        <v>45809</v>
      </c>
      <c r="C481" s="30">
        <f>YEAR(BInputReservoir[[#This Row],[Date]])</f>
        <v>2025</v>
      </c>
      <c r="D481" s="30">
        <f>MONTH(BInputReservoir[[#This Row],[Date]])</f>
        <v>6</v>
      </c>
      <c r="E481" s="30">
        <f>IF(I481&lt;&gt;1,"",DATA_INPUT!$L121)</f>
        <v>1500439.8429118483</v>
      </c>
      <c r="F481" s="30">
        <f>STORAGE_BALANCE_ENSEMBLE!AI121</f>
        <v>0</v>
      </c>
      <c r="G481" s="30">
        <f>STORAGE_BALANCE_ENSEMBLE!AJ121</f>
        <v>0</v>
      </c>
      <c r="H481" s="30">
        <f>STORAGE_BALANCE_ENSEMBLE!AH121</f>
        <v>20990824.533042114</v>
      </c>
      <c r="I481" s="18">
        <f t="shared" si="63"/>
        <v>1</v>
      </c>
      <c r="J481" s="8">
        <f t="shared" si="64"/>
        <v>1500439.8429118483</v>
      </c>
      <c r="K481" s="9">
        <f t="shared" si="65"/>
        <v>0</v>
      </c>
      <c r="L481" s="10">
        <f t="shared" si="66"/>
        <v>0</v>
      </c>
      <c r="M481" s="10">
        <f>IF(I481&lt;&gt;1,"",IF(H481="","",H481/CONTROL_PANEL!$B$11))</f>
        <v>0.41981649066084231</v>
      </c>
      <c r="N481" s="9">
        <f t="shared" si="67"/>
        <v>0</v>
      </c>
      <c r="O481" s="9">
        <f t="shared" si="68"/>
        <v>0</v>
      </c>
      <c r="P481" s="9">
        <f t="shared" si="69"/>
        <v>0</v>
      </c>
      <c r="Q481" s="9">
        <f t="shared" si="70"/>
        <v>0</v>
      </c>
      <c r="R481" s="11"/>
      <c r="S481" s="11" t="str">
        <f t="shared" si="72"/>
        <v>PASS</v>
      </c>
    </row>
    <row r="482" spans="1:19" x14ac:dyDescent="0.25">
      <c r="A482" s="30" t="s">
        <v>97</v>
      </c>
      <c r="B482" s="31">
        <f t="shared" si="71"/>
        <v>45839</v>
      </c>
      <c r="C482" s="30">
        <f>YEAR(BInputReservoir[[#This Row],[Date]])</f>
        <v>2025</v>
      </c>
      <c r="D482" s="30">
        <f>MONTH(BInputReservoir[[#This Row],[Date]])</f>
        <v>7</v>
      </c>
      <c r="E482" s="30">
        <f>IF(I482&lt;&gt;1,"",DATA_INPUT!$L122)</f>
        <v>2226213.4477965455</v>
      </c>
      <c r="F482" s="30">
        <f>STORAGE_BALANCE_ENSEMBLE!AI122</f>
        <v>0</v>
      </c>
      <c r="G482" s="30">
        <f>STORAGE_BALANCE_ENSEMBLE!AJ122</f>
        <v>0</v>
      </c>
      <c r="H482" s="30">
        <f>STORAGE_BALANCE_ENSEMBLE!AH122</f>
        <v>18308787.88051904</v>
      </c>
      <c r="I482" s="18">
        <f t="shared" si="63"/>
        <v>1</v>
      </c>
      <c r="J482" s="8">
        <f t="shared" si="64"/>
        <v>2226213.4477965455</v>
      </c>
      <c r="K482" s="9">
        <f t="shared" si="65"/>
        <v>0</v>
      </c>
      <c r="L482" s="10">
        <f t="shared" si="66"/>
        <v>0</v>
      </c>
      <c r="M482" s="10">
        <f>IF(I482&lt;&gt;1,"",IF(H482="","",H482/CONTROL_PANEL!$B$11))</f>
        <v>0.36617575761038079</v>
      </c>
      <c r="N482" s="9">
        <f t="shared" si="67"/>
        <v>0</v>
      </c>
      <c r="O482" s="9">
        <f t="shared" si="68"/>
        <v>0</v>
      </c>
      <c r="P482" s="9">
        <f t="shared" si="69"/>
        <v>0</v>
      </c>
      <c r="Q482" s="9">
        <f t="shared" si="70"/>
        <v>0</v>
      </c>
      <c r="R482" s="11"/>
      <c r="S482" s="11" t="str">
        <f t="shared" si="72"/>
        <v>PASS</v>
      </c>
    </row>
    <row r="483" spans="1:19" x14ac:dyDescent="0.25">
      <c r="A483" s="30" t="s">
        <v>97</v>
      </c>
      <c r="B483" s="31">
        <f t="shared" si="71"/>
        <v>45870</v>
      </c>
      <c r="C483" s="30">
        <f>YEAR(BInputReservoir[[#This Row],[Date]])</f>
        <v>2025</v>
      </c>
      <c r="D483" s="30">
        <f>MONTH(BInputReservoir[[#This Row],[Date]])</f>
        <v>8</v>
      </c>
      <c r="E483" s="30">
        <f>IF(I483&lt;&gt;1,"",DATA_INPUT!$L123)</f>
        <v>2721358.3760772571</v>
      </c>
      <c r="F483" s="30">
        <f>STORAGE_BALANCE_ENSEMBLE!AI123</f>
        <v>0</v>
      </c>
      <c r="G483" s="30">
        <f>STORAGE_BALANCE_ENSEMBLE!AJ123</f>
        <v>0</v>
      </c>
      <c r="H483" s="30">
        <f>STORAGE_BALANCE_ENSEMBLE!AH123</f>
        <v>15195502.736892762</v>
      </c>
      <c r="I483" s="18">
        <f t="shared" si="63"/>
        <v>1</v>
      </c>
      <c r="J483" s="8">
        <f t="shared" si="64"/>
        <v>2721358.3760772571</v>
      </c>
      <c r="K483" s="9">
        <f t="shared" si="65"/>
        <v>0</v>
      </c>
      <c r="L483" s="10">
        <f t="shared" si="66"/>
        <v>0</v>
      </c>
      <c r="M483" s="10">
        <f>IF(I483&lt;&gt;1,"",IF(H483="","",H483/CONTROL_PANEL!$B$11))</f>
        <v>0.30391005473785521</v>
      </c>
      <c r="N483" s="9">
        <f t="shared" si="67"/>
        <v>0</v>
      </c>
      <c r="O483" s="9">
        <f t="shared" si="68"/>
        <v>0</v>
      </c>
      <c r="P483" s="9">
        <f t="shared" si="69"/>
        <v>0</v>
      </c>
      <c r="Q483" s="9">
        <f t="shared" si="70"/>
        <v>0</v>
      </c>
      <c r="R483" s="11"/>
      <c r="S483" s="11" t="str">
        <f t="shared" si="72"/>
        <v>PASS</v>
      </c>
    </row>
    <row r="484" spans="1:19" x14ac:dyDescent="0.25">
      <c r="A484" s="30" t="s">
        <v>97</v>
      </c>
      <c r="B484" s="31">
        <f t="shared" si="71"/>
        <v>45901</v>
      </c>
      <c r="C484" s="30">
        <f>YEAR(BInputReservoir[[#This Row],[Date]])</f>
        <v>2025</v>
      </c>
      <c r="D484" s="30">
        <f>MONTH(BInputReservoir[[#This Row],[Date]])</f>
        <v>9</v>
      </c>
      <c r="E484" s="30">
        <f>IF(I484&lt;&gt;1,"",DATA_INPUT!$L124)</f>
        <v>1098114.9771094767</v>
      </c>
      <c r="F484" s="30">
        <f>STORAGE_BALANCE_ENSEMBLE!AI124</f>
        <v>0</v>
      </c>
      <c r="G484" s="30">
        <f>STORAGE_BALANCE_ENSEMBLE!AJ124</f>
        <v>0</v>
      </c>
      <c r="H484" s="30">
        <f>STORAGE_BALANCE_ENSEMBLE!AH124</f>
        <v>13896853.078040106</v>
      </c>
      <c r="I484" s="18">
        <f t="shared" si="63"/>
        <v>1</v>
      </c>
      <c r="J484" s="8">
        <f t="shared" si="64"/>
        <v>1098114.9771094767</v>
      </c>
      <c r="K484" s="9">
        <f t="shared" si="65"/>
        <v>0</v>
      </c>
      <c r="L484" s="10">
        <f t="shared" si="66"/>
        <v>0</v>
      </c>
      <c r="M484" s="10">
        <f>IF(I484&lt;&gt;1,"",IF(H484="","",H484/CONTROL_PANEL!$B$11))</f>
        <v>0.27793706156080211</v>
      </c>
      <c r="N484" s="9">
        <f t="shared" si="67"/>
        <v>0</v>
      </c>
      <c r="O484" s="9">
        <f t="shared" si="68"/>
        <v>0</v>
      </c>
      <c r="P484" s="9">
        <f t="shared" si="69"/>
        <v>0</v>
      </c>
      <c r="Q484" s="9">
        <f t="shared" si="70"/>
        <v>0</v>
      </c>
      <c r="R484" s="11"/>
      <c r="S484" s="11" t="str">
        <f t="shared" si="72"/>
        <v>PASS</v>
      </c>
    </row>
    <row r="485" spans="1:19" x14ac:dyDescent="0.25">
      <c r="A485" s="30" t="s">
        <v>97</v>
      </c>
      <c r="B485" s="31">
        <f t="shared" ref="B485:B548" si="73">B124</f>
        <v>45931</v>
      </c>
      <c r="C485" s="30">
        <f>YEAR(BInputReservoir[[#This Row],[Date]])</f>
        <v>2025</v>
      </c>
      <c r="D485" s="30">
        <f>MONTH(BInputReservoir[[#This Row],[Date]])</f>
        <v>10</v>
      </c>
      <c r="E485" s="30">
        <f>IF(I485&lt;&gt;1,"",DATA_INPUT!$L125)</f>
        <v>366227.0508126507</v>
      </c>
      <c r="F485" s="30">
        <f>STORAGE_BALANCE_ENSEMBLE!AI125</f>
        <v>0</v>
      </c>
      <c r="G485" s="30">
        <f>STORAGE_BALANCE_ENSEMBLE!AJ125</f>
        <v>0</v>
      </c>
      <c r="H485" s="30">
        <f>STORAGE_BALANCE_ENSEMBLE!AH125</f>
        <v>13471246.642390056</v>
      </c>
      <c r="I485" s="18">
        <f t="shared" si="63"/>
        <v>1</v>
      </c>
      <c r="J485" s="8">
        <f t="shared" si="64"/>
        <v>366227.0508126507</v>
      </c>
      <c r="K485" s="9">
        <f t="shared" si="65"/>
        <v>0</v>
      </c>
      <c r="L485" s="10">
        <f t="shared" si="66"/>
        <v>0</v>
      </c>
      <c r="M485" s="10">
        <f>IF(I485&lt;&gt;1,"",IF(H485="","",H485/CONTROL_PANEL!$B$11))</f>
        <v>0.26942493284780111</v>
      </c>
      <c r="N485" s="9">
        <f t="shared" si="67"/>
        <v>0</v>
      </c>
      <c r="O485" s="9">
        <f t="shared" si="68"/>
        <v>0</v>
      </c>
      <c r="P485" s="9">
        <f t="shared" si="69"/>
        <v>0</v>
      </c>
      <c r="Q485" s="9">
        <f t="shared" si="70"/>
        <v>0</v>
      </c>
      <c r="R485" s="11"/>
      <c r="S485" s="11"/>
    </row>
    <row r="486" spans="1:19" x14ac:dyDescent="0.25">
      <c r="A486" s="30" t="s">
        <v>97</v>
      </c>
      <c r="B486" s="31">
        <f t="shared" si="73"/>
        <v>45962</v>
      </c>
      <c r="C486" s="30">
        <f>YEAR(BInputReservoir[[#This Row],[Date]])</f>
        <v>2025</v>
      </c>
      <c r="D486" s="30">
        <f>MONTH(BInputReservoir[[#This Row],[Date]])</f>
        <v>11</v>
      </c>
      <c r="E486" s="30">
        <f>IF(I486&lt;&gt;1,"",DATA_INPUT!$L126)</f>
        <v>0</v>
      </c>
      <c r="F486" s="30">
        <f>STORAGE_BALANCE_ENSEMBLE!AI126</f>
        <v>0</v>
      </c>
      <c r="G486" s="30">
        <f>STORAGE_BALANCE_ENSEMBLE!AJ126</f>
        <v>0</v>
      </c>
      <c r="H486" s="30">
        <f>STORAGE_BALANCE_ENSEMBLE!AH126</f>
        <v>15768847.602282437</v>
      </c>
      <c r="I486" s="18">
        <f t="shared" si="63"/>
        <v>1</v>
      </c>
      <c r="J486" s="8">
        <f t="shared" si="64"/>
        <v>0</v>
      </c>
      <c r="K486" s="9">
        <f t="shared" si="65"/>
        <v>0</v>
      </c>
      <c r="L486" s="10">
        <f t="shared" si="66"/>
        <v>0</v>
      </c>
      <c r="M486" s="10">
        <f>IF(I486&lt;&gt;1,"",IF(H486="","",H486/CONTROL_PANEL!$B$11))</f>
        <v>0.31537695204564875</v>
      </c>
      <c r="N486" s="9">
        <f t="shared" si="67"/>
        <v>0</v>
      </c>
      <c r="O486" s="9">
        <f t="shared" si="68"/>
        <v>0</v>
      </c>
      <c r="P486" s="9">
        <f t="shared" si="69"/>
        <v>0</v>
      </c>
      <c r="Q486" s="9">
        <f t="shared" si="70"/>
        <v>0</v>
      </c>
      <c r="R486" s="11"/>
      <c r="S486" s="11"/>
    </row>
    <row r="487" spans="1:19" x14ac:dyDescent="0.25">
      <c r="A487" s="30" t="s">
        <v>97</v>
      </c>
      <c r="B487" s="31">
        <f t="shared" si="73"/>
        <v>45992</v>
      </c>
      <c r="C487" s="30">
        <f>YEAR(BInputReservoir[[#This Row],[Date]])</f>
        <v>2025</v>
      </c>
      <c r="D487" s="30">
        <f>MONTH(BInputReservoir[[#This Row],[Date]])</f>
        <v>12</v>
      </c>
      <c r="E487" s="30">
        <f>IF(I487&lt;&gt;1,"",DATA_INPUT!$L127)</f>
        <v>0</v>
      </c>
      <c r="F487" s="30">
        <f>STORAGE_BALANCE_ENSEMBLE!AI127</f>
        <v>0</v>
      </c>
      <c r="G487" s="30">
        <f>STORAGE_BALANCE_ENSEMBLE!AJ127</f>
        <v>0</v>
      </c>
      <c r="H487" s="30">
        <f>STORAGE_BALANCE_ENSEMBLE!AH127</f>
        <v>24908160.248895712</v>
      </c>
      <c r="I487" s="18">
        <f t="shared" si="63"/>
        <v>1</v>
      </c>
      <c r="J487" s="8">
        <f t="shared" si="64"/>
        <v>0</v>
      </c>
      <c r="K487" s="9">
        <f t="shared" si="65"/>
        <v>0</v>
      </c>
      <c r="L487" s="10">
        <f t="shared" si="66"/>
        <v>0</v>
      </c>
      <c r="M487" s="10">
        <f>IF(I487&lt;&gt;1,"",IF(H487="","",H487/CONTROL_PANEL!$B$11))</f>
        <v>0.49816320497791422</v>
      </c>
      <c r="N487" s="9">
        <f t="shared" si="67"/>
        <v>0</v>
      </c>
      <c r="O487" s="9">
        <f t="shared" si="68"/>
        <v>0</v>
      </c>
      <c r="P487" s="9">
        <f t="shared" si="69"/>
        <v>0</v>
      </c>
      <c r="Q487" s="9">
        <f t="shared" si="70"/>
        <v>0</v>
      </c>
      <c r="R487" s="11"/>
      <c r="S487" s="11"/>
    </row>
    <row r="488" spans="1:19" x14ac:dyDescent="0.25">
      <c r="A488" s="30" t="s">
        <v>97</v>
      </c>
      <c r="B488" s="31">
        <f t="shared" si="73"/>
        <v>46023</v>
      </c>
      <c r="C488" s="30">
        <f>YEAR(BInputReservoir[[#This Row],[Date]])</f>
        <v>2026</v>
      </c>
      <c r="D488" s="30">
        <f>MONTH(BInputReservoir[[#This Row],[Date]])</f>
        <v>1</v>
      </c>
      <c r="E488" s="30">
        <f>IF(I488&lt;&gt;1,"",DATA_INPUT!$L128)</f>
        <v>0</v>
      </c>
      <c r="F488" s="30">
        <f>STORAGE_BALANCE_ENSEMBLE!AI128</f>
        <v>0</v>
      </c>
      <c r="G488" s="30">
        <f>STORAGE_BALANCE_ENSEMBLE!AJ128</f>
        <v>0</v>
      </c>
      <c r="H488" s="30">
        <f>STORAGE_BALANCE_ENSEMBLE!AH128</f>
        <v>39998060.38145709</v>
      </c>
      <c r="I488" s="18">
        <f t="shared" si="63"/>
        <v>1</v>
      </c>
      <c r="J488" s="8">
        <f t="shared" si="64"/>
        <v>0</v>
      </c>
      <c r="K488" s="9">
        <f t="shared" si="65"/>
        <v>0</v>
      </c>
      <c r="L488" s="10">
        <f t="shared" si="66"/>
        <v>0</v>
      </c>
      <c r="M488" s="10">
        <f>IF(I488&lt;&gt;1,"",IF(H488="","",H488/CONTROL_PANEL!$B$11))</f>
        <v>0.7999612076291418</v>
      </c>
      <c r="N488" s="9">
        <f t="shared" si="67"/>
        <v>0</v>
      </c>
      <c r="O488" s="9">
        <f t="shared" si="68"/>
        <v>0</v>
      </c>
      <c r="P488" s="9">
        <f t="shared" si="69"/>
        <v>0</v>
      </c>
      <c r="Q488" s="9">
        <f t="shared" si="70"/>
        <v>0</v>
      </c>
      <c r="R488" s="11"/>
      <c r="S488" s="11"/>
    </row>
    <row r="489" spans="1:19" x14ac:dyDescent="0.25">
      <c r="A489" s="30" t="s">
        <v>97</v>
      </c>
      <c r="B489" s="31">
        <f t="shared" si="73"/>
        <v>46054</v>
      </c>
      <c r="C489" s="30">
        <f>YEAR(BInputReservoir[[#This Row],[Date]])</f>
        <v>2026</v>
      </c>
      <c r="D489" s="30">
        <f>MONTH(BInputReservoir[[#This Row],[Date]])</f>
        <v>2</v>
      </c>
      <c r="E489" s="30">
        <f>IF(I489&lt;&gt;1,"",DATA_INPUT!$L129)</f>
        <v>0</v>
      </c>
      <c r="F489" s="30">
        <f>STORAGE_BALANCE_ENSEMBLE!AI129</f>
        <v>0</v>
      </c>
      <c r="G489" s="30">
        <f>STORAGE_BALANCE_ENSEMBLE!AJ129</f>
        <v>0</v>
      </c>
      <c r="H489" s="30">
        <f>STORAGE_BALANCE_ENSEMBLE!AH129</f>
        <v>43768879.403900519</v>
      </c>
      <c r="I489" s="18">
        <f t="shared" si="63"/>
        <v>1</v>
      </c>
      <c r="J489" s="8">
        <f t="shared" si="64"/>
        <v>0</v>
      </c>
      <c r="K489" s="9">
        <f t="shared" si="65"/>
        <v>0</v>
      </c>
      <c r="L489" s="10">
        <f t="shared" si="66"/>
        <v>0</v>
      </c>
      <c r="M489" s="10">
        <f>IF(I489&lt;&gt;1,"",IF(H489="","",H489/CONTROL_PANEL!$B$11))</f>
        <v>0.87537758807801036</v>
      </c>
      <c r="N489" s="9">
        <f t="shared" si="67"/>
        <v>0</v>
      </c>
      <c r="O489" s="9">
        <f t="shared" si="68"/>
        <v>0</v>
      </c>
      <c r="P489" s="9">
        <f t="shared" si="69"/>
        <v>0</v>
      </c>
      <c r="Q489" s="9">
        <f t="shared" si="70"/>
        <v>0</v>
      </c>
      <c r="R489" s="11"/>
      <c r="S489" s="11"/>
    </row>
    <row r="490" spans="1:19" x14ac:dyDescent="0.25">
      <c r="A490" s="30" t="s">
        <v>97</v>
      </c>
      <c r="B490" s="31">
        <f t="shared" si="73"/>
        <v>46082</v>
      </c>
      <c r="C490" s="30">
        <f>YEAR(BInputReservoir[[#This Row],[Date]])</f>
        <v>2026</v>
      </c>
      <c r="D490" s="30">
        <f>MONTH(BInputReservoir[[#This Row],[Date]])</f>
        <v>3</v>
      </c>
      <c r="E490" s="30">
        <f>IF(I490&lt;&gt;1,"",DATA_INPUT!$L130)</f>
        <v>0</v>
      </c>
      <c r="F490" s="30">
        <f>STORAGE_BALANCE_ENSEMBLE!AI130</f>
        <v>0</v>
      </c>
      <c r="G490" s="30">
        <f>STORAGE_BALANCE_ENSEMBLE!AJ130</f>
        <v>0</v>
      </c>
      <c r="H490" s="30">
        <f>STORAGE_BALANCE_ENSEMBLE!AH130</f>
        <v>44361805.036579423</v>
      </c>
      <c r="I490" s="18">
        <f t="shared" si="63"/>
        <v>1</v>
      </c>
      <c r="J490" s="8">
        <f t="shared" si="64"/>
        <v>0</v>
      </c>
      <c r="K490" s="9">
        <f t="shared" si="65"/>
        <v>0</v>
      </c>
      <c r="L490" s="10">
        <f t="shared" si="66"/>
        <v>0</v>
      </c>
      <c r="M490" s="10">
        <f>IF(I490&lt;&gt;1,"",IF(H490="","",H490/CONTROL_PANEL!$B$11))</f>
        <v>0.88723610073158843</v>
      </c>
      <c r="N490" s="9">
        <f t="shared" si="67"/>
        <v>0</v>
      </c>
      <c r="O490" s="9">
        <f t="shared" si="68"/>
        <v>0</v>
      </c>
      <c r="P490" s="9">
        <f t="shared" si="69"/>
        <v>0</v>
      </c>
      <c r="Q490" s="9">
        <f t="shared" si="70"/>
        <v>0</v>
      </c>
      <c r="R490" s="11"/>
      <c r="S490" s="11"/>
    </row>
    <row r="491" spans="1:19" x14ac:dyDescent="0.25">
      <c r="A491" s="30" t="s">
        <v>97</v>
      </c>
      <c r="B491" s="31">
        <f t="shared" si="73"/>
        <v>46113</v>
      </c>
      <c r="C491" s="30">
        <f>YEAR(BInputReservoir[[#This Row],[Date]])</f>
        <v>2026</v>
      </c>
      <c r="D491" s="30">
        <f>MONTH(BInputReservoir[[#This Row],[Date]])</f>
        <v>4</v>
      </c>
      <c r="E491" s="30">
        <f>IF(I491&lt;&gt;1,"",DATA_INPUT!$L131)</f>
        <v>8070.0461892539333</v>
      </c>
      <c r="F491" s="30">
        <f>STORAGE_BALANCE_ENSEMBLE!AI131</f>
        <v>0</v>
      </c>
      <c r="G491" s="30">
        <f>STORAGE_BALANCE_ENSEMBLE!AJ131</f>
        <v>0</v>
      </c>
      <c r="H491" s="30">
        <f>STORAGE_BALANCE_ENSEMBLE!AH131</f>
        <v>44139592.762681521</v>
      </c>
      <c r="I491" s="18">
        <f t="shared" si="63"/>
        <v>1</v>
      </c>
      <c r="J491" s="8">
        <f t="shared" si="64"/>
        <v>8070.0461892539333</v>
      </c>
      <c r="K491" s="9">
        <f t="shared" si="65"/>
        <v>0</v>
      </c>
      <c r="L491" s="10">
        <f t="shared" si="66"/>
        <v>0</v>
      </c>
      <c r="M491" s="10">
        <f>IF(I491&lt;&gt;1,"",IF(H491="","",H491/CONTROL_PANEL!$B$11))</f>
        <v>0.88279185525363046</v>
      </c>
      <c r="N491" s="9">
        <f t="shared" si="67"/>
        <v>0</v>
      </c>
      <c r="O491" s="9">
        <f t="shared" si="68"/>
        <v>0</v>
      </c>
      <c r="P491" s="9">
        <f t="shared" si="69"/>
        <v>0</v>
      </c>
      <c r="Q491" s="9">
        <f t="shared" si="70"/>
        <v>0</v>
      </c>
      <c r="R491" s="11"/>
      <c r="S491" s="11"/>
    </row>
    <row r="492" spans="1:19" x14ac:dyDescent="0.25">
      <c r="A492" s="30" t="s">
        <v>97</v>
      </c>
      <c r="B492" s="31">
        <f t="shared" si="73"/>
        <v>46143</v>
      </c>
      <c r="C492" s="30">
        <f>YEAR(BInputReservoir[[#This Row],[Date]])</f>
        <v>2026</v>
      </c>
      <c r="D492" s="30">
        <f>MONTH(BInputReservoir[[#This Row],[Date]])</f>
        <v>5</v>
      </c>
      <c r="E492" s="30">
        <f>IF(I492&lt;&gt;1,"",DATA_INPUT!$L132)</f>
        <v>405531.53059089987</v>
      </c>
      <c r="F492" s="30">
        <f>STORAGE_BALANCE_ENSEMBLE!AI132</f>
        <v>0</v>
      </c>
      <c r="G492" s="30">
        <f>STORAGE_BALANCE_ENSEMBLE!AJ132</f>
        <v>0</v>
      </c>
      <c r="H492" s="30">
        <f>STORAGE_BALANCE_ENSEMBLE!AH132</f>
        <v>43296487.549508512</v>
      </c>
      <c r="I492" s="18">
        <f t="shared" si="63"/>
        <v>1</v>
      </c>
      <c r="J492" s="8">
        <f t="shared" si="64"/>
        <v>405531.53059089987</v>
      </c>
      <c r="K492" s="9">
        <f t="shared" si="65"/>
        <v>0</v>
      </c>
      <c r="L492" s="10">
        <f t="shared" si="66"/>
        <v>0</v>
      </c>
      <c r="M492" s="10">
        <f>IF(I492&lt;&gt;1,"",IF(H492="","",H492/CONTROL_PANEL!$B$11))</f>
        <v>0.86592975099017022</v>
      </c>
      <c r="N492" s="9">
        <f t="shared" si="67"/>
        <v>0</v>
      </c>
      <c r="O492" s="9">
        <f t="shared" si="68"/>
        <v>0</v>
      </c>
      <c r="P492" s="9">
        <f t="shared" si="69"/>
        <v>0</v>
      </c>
      <c r="Q492" s="9">
        <f t="shared" si="70"/>
        <v>0</v>
      </c>
      <c r="R492" s="11"/>
      <c r="S492" s="11"/>
    </row>
    <row r="493" spans="1:19" x14ac:dyDescent="0.25">
      <c r="A493" s="30" t="s">
        <v>97</v>
      </c>
      <c r="B493" s="31">
        <f t="shared" si="73"/>
        <v>46174</v>
      </c>
      <c r="C493" s="30">
        <f>YEAR(BInputReservoir[[#This Row],[Date]])</f>
        <v>2026</v>
      </c>
      <c r="D493" s="30">
        <f>MONTH(BInputReservoir[[#This Row],[Date]])</f>
        <v>6</v>
      </c>
      <c r="E493" s="30" t="str">
        <f>IF(I493&lt;&gt;1,"",DATA_INPUT!$L133)</f>
        <v/>
      </c>
      <c r="F493" s="30" t="str">
        <f>STORAGE_BALANCE_ENSEMBLE!AI133</f>
        <v/>
      </c>
      <c r="G493" s="30" t="str">
        <f>STORAGE_BALANCE_ENSEMBLE!AJ133</f>
        <v/>
      </c>
      <c r="H493" s="30" t="str">
        <f>STORAGE_BALANCE_ENSEMBLE!AH133</f>
        <v/>
      </c>
      <c r="I493" s="18" t="str">
        <f t="shared" si="63"/>
        <v/>
      </c>
      <c r="J493" s="8" t="str">
        <f t="shared" si="64"/>
        <v/>
      </c>
      <c r="K493" s="9" t="str">
        <f t="shared" si="65"/>
        <v/>
      </c>
      <c r="L493" s="10" t="str">
        <f t="shared" si="66"/>
        <v/>
      </c>
      <c r="M493" s="10" t="str">
        <f>IF(I493&lt;&gt;1,"",IF(H493="","",H493/CONTROL_PANEL!$B$11))</f>
        <v/>
      </c>
      <c r="N493" s="9" t="str">
        <f t="shared" si="67"/>
        <v/>
      </c>
      <c r="O493" s="9" t="str">
        <f t="shared" si="68"/>
        <v/>
      </c>
      <c r="P493" s="9" t="str">
        <f t="shared" si="69"/>
        <v/>
      </c>
      <c r="Q493" s="9" t="str">
        <f t="shared" si="70"/>
        <v/>
      </c>
      <c r="R493" s="11"/>
      <c r="S493" s="11"/>
    </row>
    <row r="494" spans="1:19" x14ac:dyDescent="0.25">
      <c r="A494" s="30" t="s">
        <v>97</v>
      </c>
      <c r="B494" s="31">
        <f t="shared" si="73"/>
        <v>46204</v>
      </c>
      <c r="C494" s="30">
        <f>YEAR(BInputReservoir[[#This Row],[Date]])</f>
        <v>2026</v>
      </c>
      <c r="D494" s="30">
        <f>MONTH(BInputReservoir[[#This Row],[Date]])</f>
        <v>7</v>
      </c>
      <c r="E494" s="30" t="str">
        <f>IF(I494&lt;&gt;1,"",DATA_INPUT!$L134)</f>
        <v/>
      </c>
      <c r="F494" s="30" t="str">
        <f>STORAGE_BALANCE_ENSEMBLE!AI134</f>
        <v/>
      </c>
      <c r="G494" s="30" t="str">
        <f>STORAGE_BALANCE_ENSEMBLE!AJ134</f>
        <v/>
      </c>
      <c r="H494" s="30" t="str">
        <f>STORAGE_BALANCE_ENSEMBLE!AH134</f>
        <v/>
      </c>
      <c r="I494" s="18" t="str">
        <f t="shared" ref="I494:I557" si="74">I133</f>
        <v/>
      </c>
      <c r="J494" s="8" t="str">
        <f t="shared" si="64"/>
        <v/>
      </c>
      <c r="K494" s="9" t="str">
        <f t="shared" si="65"/>
        <v/>
      </c>
      <c r="L494" s="10" t="str">
        <f t="shared" si="66"/>
        <v/>
      </c>
      <c r="M494" s="10" t="str">
        <f>IF(I494&lt;&gt;1,"",IF(H494="","",H494/CONTROL_PANEL!$B$11))</f>
        <v/>
      </c>
      <c r="N494" s="9" t="str">
        <f t="shared" si="67"/>
        <v/>
      </c>
      <c r="O494" s="9" t="str">
        <f t="shared" si="68"/>
        <v/>
      </c>
      <c r="P494" s="9" t="str">
        <f t="shared" si="69"/>
        <v/>
      </c>
      <c r="Q494" s="9" t="str">
        <f t="shared" si="70"/>
        <v/>
      </c>
      <c r="R494" s="11"/>
      <c r="S494" s="11"/>
    </row>
    <row r="495" spans="1:19" x14ac:dyDescent="0.25">
      <c r="A495" s="30" t="s">
        <v>97</v>
      </c>
      <c r="B495" s="31">
        <f t="shared" si="73"/>
        <v>46235</v>
      </c>
      <c r="C495" s="30">
        <f>YEAR(BInputReservoir[[#This Row],[Date]])</f>
        <v>2026</v>
      </c>
      <c r="D495" s="30">
        <f>MONTH(BInputReservoir[[#This Row],[Date]])</f>
        <v>8</v>
      </c>
      <c r="E495" s="30" t="str">
        <f>IF(I495&lt;&gt;1,"",DATA_INPUT!$L135)</f>
        <v/>
      </c>
      <c r="F495" s="30" t="str">
        <f>STORAGE_BALANCE_ENSEMBLE!AI135</f>
        <v/>
      </c>
      <c r="G495" s="30" t="str">
        <f>STORAGE_BALANCE_ENSEMBLE!AJ135</f>
        <v/>
      </c>
      <c r="H495" s="30" t="str">
        <f>STORAGE_BALANCE_ENSEMBLE!AH135</f>
        <v/>
      </c>
      <c r="I495" s="18" t="str">
        <f t="shared" si="74"/>
        <v/>
      </c>
      <c r="J495" s="8" t="str">
        <f t="shared" si="64"/>
        <v/>
      </c>
      <c r="K495" s="9" t="str">
        <f t="shared" si="65"/>
        <v/>
      </c>
      <c r="L495" s="10" t="str">
        <f t="shared" si="66"/>
        <v/>
      </c>
      <c r="M495" s="10" t="str">
        <f>IF(I495&lt;&gt;1,"",IF(H495="","",H495/CONTROL_PANEL!$B$11))</f>
        <v/>
      </c>
      <c r="N495" s="9" t="str">
        <f t="shared" si="67"/>
        <v/>
      </c>
      <c r="O495" s="9" t="str">
        <f t="shared" si="68"/>
        <v/>
      </c>
      <c r="P495" s="9" t="str">
        <f t="shared" si="69"/>
        <v/>
      </c>
      <c r="Q495" s="9" t="str">
        <f t="shared" si="70"/>
        <v/>
      </c>
      <c r="R495" s="11"/>
      <c r="S495" s="11"/>
    </row>
    <row r="496" spans="1:19" x14ac:dyDescent="0.25">
      <c r="A496" s="30" t="s">
        <v>97</v>
      </c>
      <c r="B496" s="31">
        <f t="shared" si="73"/>
        <v>46266</v>
      </c>
      <c r="C496" s="30">
        <f>YEAR(BInputReservoir[[#This Row],[Date]])</f>
        <v>2026</v>
      </c>
      <c r="D496" s="30">
        <f>MONTH(BInputReservoir[[#This Row],[Date]])</f>
        <v>9</v>
      </c>
      <c r="E496" s="30" t="str">
        <f>IF(I496&lt;&gt;1,"",DATA_INPUT!$L136)</f>
        <v/>
      </c>
      <c r="F496" s="30" t="str">
        <f>STORAGE_BALANCE_ENSEMBLE!AI136</f>
        <v/>
      </c>
      <c r="G496" s="30" t="str">
        <f>STORAGE_BALANCE_ENSEMBLE!AJ136</f>
        <v/>
      </c>
      <c r="H496" s="30" t="str">
        <f>STORAGE_BALANCE_ENSEMBLE!AH136</f>
        <v/>
      </c>
      <c r="I496" s="18" t="str">
        <f t="shared" si="74"/>
        <v/>
      </c>
      <c r="J496" s="8" t="str">
        <f t="shared" si="64"/>
        <v/>
      </c>
      <c r="K496" s="9" t="str">
        <f t="shared" si="65"/>
        <v/>
      </c>
      <c r="L496" s="10" t="str">
        <f t="shared" si="66"/>
        <v/>
      </c>
      <c r="M496" s="10" t="str">
        <f>IF(I496&lt;&gt;1,"",IF(H496="","",H496/CONTROL_PANEL!$B$11))</f>
        <v/>
      </c>
      <c r="N496" s="9" t="str">
        <f t="shared" si="67"/>
        <v/>
      </c>
      <c r="O496" s="9" t="str">
        <f t="shared" si="68"/>
        <v/>
      </c>
      <c r="P496" s="9" t="str">
        <f t="shared" si="69"/>
        <v/>
      </c>
      <c r="Q496" s="9" t="str">
        <f t="shared" si="70"/>
        <v/>
      </c>
      <c r="R496" s="11"/>
      <c r="S496" s="11"/>
    </row>
    <row r="497" spans="1:19" x14ac:dyDescent="0.25">
      <c r="A497" s="30" t="s">
        <v>97</v>
      </c>
      <c r="B497" s="31">
        <f t="shared" si="73"/>
        <v>46296</v>
      </c>
      <c r="C497" s="30">
        <f>YEAR(BInputReservoir[[#This Row],[Date]])</f>
        <v>2026</v>
      </c>
      <c r="D497" s="30">
        <f>MONTH(BInputReservoir[[#This Row],[Date]])</f>
        <v>10</v>
      </c>
      <c r="E497" s="30" t="str">
        <f>IF(I497&lt;&gt;1,"",DATA_INPUT!$L137)</f>
        <v/>
      </c>
      <c r="F497" s="30" t="str">
        <f>STORAGE_BALANCE_ENSEMBLE!AI137</f>
        <v/>
      </c>
      <c r="G497" s="30" t="str">
        <f>STORAGE_BALANCE_ENSEMBLE!AJ137</f>
        <v/>
      </c>
      <c r="H497" s="30" t="str">
        <f>STORAGE_BALANCE_ENSEMBLE!AH137</f>
        <v/>
      </c>
      <c r="I497" s="18" t="str">
        <f t="shared" si="74"/>
        <v/>
      </c>
      <c r="J497" s="8" t="str">
        <f t="shared" si="64"/>
        <v/>
      </c>
      <c r="K497" s="9" t="str">
        <f t="shared" si="65"/>
        <v/>
      </c>
      <c r="L497" s="10" t="str">
        <f t="shared" si="66"/>
        <v/>
      </c>
      <c r="M497" s="10" t="str">
        <f>IF(I497&lt;&gt;1,"",IF(H497="","",H497/CONTROL_PANEL!$B$11))</f>
        <v/>
      </c>
      <c r="N497" s="9" t="str">
        <f t="shared" si="67"/>
        <v/>
      </c>
      <c r="O497" s="9" t="str">
        <f t="shared" si="68"/>
        <v/>
      </c>
      <c r="P497" s="9" t="str">
        <f t="shared" si="69"/>
        <v/>
      </c>
      <c r="Q497" s="9" t="str">
        <f t="shared" si="70"/>
        <v/>
      </c>
      <c r="R497" s="11"/>
      <c r="S497" s="11"/>
    </row>
    <row r="498" spans="1:19" x14ac:dyDescent="0.25">
      <c r="A498" s="30" t="s">
        <v>97</v>
      </c>
      <c r="B498" s="31">
        <f t="shared" si="73"/>
        <v>46327</v>
      </c>
      <c r="C498" s="30">
        <f>YEAR(BInputReservoir[[#This Row],[Date]])</f>
        <v>2026</v>
      </c>
      <c r="D498" s="30">
        <f>MONTH(BInputReservoir[[#This Row],[Date]])</f>
        <v>11</v>
      </c>
      <c r="E498" s="30" t="str">
        <f>IF(I498&lt;&gt;1,"",DATA_INPUT!$L138)</f>
        <v/>
      </c>
      <c r="F498" s="30" t="str">
        <f>STORAGE_BALANCE_ENSEMBLE!AI138</f>
        <v/>
      </c>
      <c r="G498" s="30" t="str">
        <f>STORAGE_BALANCE_ENSEMBLE!AJ138</f>
        <v/>
      </c>
      <c r="H498" s="30" t="str">
        <f>STORAGE_BALANCE_ENSEMBLE!AH138</f>
        <v/>
      </c>
      <c r="I498" s="18" t="str">
        <f t="shared" si="74"/>
        <v/>
      </c>
      <c r="J498" s="8" t="str">
        <f t="shared" si="64"/>
        <v/>
      </c>
      <c r="K498" s="9" t="str">
        <f t="shared" si="65"/>
        <v/>
      </c>
      <c r="L498" s="10" t="str">
        <f t="shared" si="66"/>
        <v/>
      </c>
      <c r="M498" s="10" t="str">
        <f>IF(I498&lt;&gt;1,"",IF(H498="","",H498/CONTROL_PANEL!$B$11))</f>
        <v/>
      </c>
      <c r="N498" s="9" t="str">
        <f t="shared" si="67"/>
        <v/>
      </c>
      <c r="O498" s="9" t="str">
        <f t="shared" si="68"/>
        <v/>
      </c>
      <c r="P498" s="9" t="str">
        <f t="shared" si="69"/>
        <v/>
      </c>
      <c r="Q498" s="9" t="str">
        <f t="shared" si="70"/>
        <v/>
      </c>
      <c r="R498" s="11"/>
      <c r="S498" s="11"/>
    </row>
    <row r="499" spans="1:19" x14ac:dyDescent="0.25">
      <c r="A499" s="30" t="s">
        <v>97</v>
      </c>
      <c r="B499" s="31">
        <f t="shared" si="73"/>
        <v>46357</v>
      </c>
      <c r="C499" s="30">
        <f>YEAR(BInputReservoir[[#This Row],[Date]])</f>
        <v>2026</v>
      </c>
      <c r="D499" s="30">
        <f>MONTH(BInputReservoir[[#This Row],[Date]])</f>
        <v>12</v>
      </c>
      <c r="E499" s="30" t="str">
        <f>IF(I499&lt;&gt;1,"",DATA_INPUT!$L139)</f>
        <v/>
      </c>
      <c r="F499" s="30" t="str">
        <f>STORAGE_BALANCE_ENSEMBLE!AI139</f>
        <v/>
      </c>
      <c r="G499" s="30" t="str">
        <f>STORAGE_BALANCE_ENSEMBLE!AJ139</f>
        <v/>
      </c>
      <c r="H499" s="30" t="str">
        <f>STORAGE_BALANCE_ENSEMBLE!AH139</f>
        <v/>
      </c>
      <c r="I499" s="18" t="str">
        <f t="shared" si="74"/>
        <v/>
      </c>
      <c r="J499" s="8" t="str">
        <f t="shared" si="64"/>
        <v/>
      </c>
      <c r="K499" s="9" t="str">
        <f t="shared" si="65"/>
        <v/>
      </c>
      <c r="L499" s="10" t="str">
        <f t="shared" si="66"/>
        <v/>
      </c>
      <c r="M499" s="10" t="str">
        <f>IF(I499&lt;&gt;1,"",IF(H499="","",H499/CONTROL_PANEL!$B$11))</f>
        <v/>
      </c>
      <c r="N499" s="9" t="str">
        <f t="shared" si="67"/>
        <v/>
      </c>
      <c r="O499" s="9" t="str">
        <f t="shared" si="68"/>
        <v/>
      </c>
      <c r="P499" s="9" t="str">
        <f t="shared" si="69"/>
        <v/>
      </c>
      <c r="Q499" s="9" t="str">
        <f t="shared" si="70"/>
        <v/>
      </c>
      <c r="R499" s="11"/>
      <c r="S499" s="11"/>
    </row>
    <row r="500" spans="1:19" x14ac:dyDescent="0.25">
      <c r="A500" s="30" t="s">
        <v>97</v>
      </c>
      <c r="B500" s="31">
        <f t="shared" si="73"/>
        <v>46388</v>
      </c>
      <c r="C500" s="30">
        <f>YEAR(BInputReservoir[[#This Row],[Date]])</f>
        <v>2027</v>
      </c>
      <c r="D500" s="30">
        <f>MONTH(BInputReservoir[[#This Row],[Date]])</f>
        <v>1</v>
      </c>
      <c r="E500" s="30" t="str">
        <f>IF(I500&lt;&gt;1,"",DATA_INPUT!$L140)</f>
        <v/>
      </c>
      <c r="F500" s="30" t="str">
        <f>STORAGE_BALANCE_ENSEMBLE!AI140</f>
        <v/>
      </c>
      <c r="G500" s="30" t="str">
        <f>STORAGE_BALANCE_ENSEMBLE!AJ140</f>
        <v/>
      </c>
      <c r="H500" s="30" t="str">
        <f>STORAGE_BALANCE_ENSEMBLE!AH140</f>
        <v/>
      </c>
      <c r="I500" s="18" t="str">
        <f t="shared" si="74"/>
        <v/>
      </c>
      <c r="J500" s="8" t="str">
        <f t="shared" si="64"/>
        <v/>
      </c>
      <c r="K500" s="9" t="str">
        <f t="shared" si="65"/>
        <v/>
      </c>
      <c r="L500" s="10" t="str">
        <f t="shared" si="66"/>
        <v/>
      </c>
      <c r="M500" s="10" t="str">
        <f>IF(I500&lt;&gt;1,"",IF(H500="","",H500/CONTROL_PANEL!$B$11))</f>
        <v/>
      </c>
      <c r="N500" s="9" t="str">
        <f t="shared" si="67"/>
        <v/>
      </c>
      <c r="O500" s="9" t="str">
        <f t="shared" si="68"/>
        <v/>
      </c>
      <c r="P500" s="9" t="str">
        <f t="shared" si="69"/>
        <v/>
      </c>
      <c r="Q500" s="9" t="str">
        <f t="shared" si="70"/>
        <v/>
      </c>
      <c r="R500" s="11"/>
      <c r="S500" s="11"/>
    </row>
    <row r="501" spans="1:19" x14ac:dyDescent="0.25">
      <c r="A501" s="30" t="s">
        <v>97</v>
      </c>
      <c r="B501" s="31">
        <f t="shared" si="73"/>
        <v>46419</v>
      </c>
      <c r="C501" s="30">
        <f>YEAR(BInputReservoir[[#This Row],[Date]])</f>
        <v>2027</v>
      </c>
      <c r="D501" s="30">
        <f>MONTH(BInputReservoir[[#This Row],[Date]])</f>
        <v>2</v>
      </c>
      <c r="E501" s="30" t="str">
        <f>IF(I501&lt;&gt;1,"",DATA_INPUT!$L141)</f>
        <v/>
      </c>
      <c r="F501" s="30" t="str">
        <f>STORAGE_BALANCE_ENSEMBLE!AI141</f>
        <v/>
      </c>
      <c r="G501" s="30" t="str">
        <f>STORAGE_BALANCE_ENSEMBLE!AJ141</f>
        <v/>
      </c>
      <c r="H501" s="30" t="str">
        <f>STORAGE_BALANCE_ENSEMBLE!AH141</f>
        <v/>
      </c>
      <c r="I501" s="18" t="str">
        <f t="shared" si="74"/>
        <v/>
      </c>
      <c r="J501" s="8" t="str">
        <f t="shared" si="64"/>
        <v/>
      </c>
      <c r="K501" s="9" t="str">
        <f t="shared" si="65"/>
        <v/>
      </c>
      <c r="L501" s="10" t="str">
        <f t="shared" si="66"/>
        <v/>
      </c>
      <c r="M501" s="10" t="str">
        <f>IF(I501&lt;&gt;1,"",IF(H501="","",H501/CONTROL_PANEL!$B$11))</f>
        <v/>
      </c>
      <c r="N501" s="9" t="str">
        <f t="shared" si="67"/>
        <v/>
      </c>
      <c r="O501" s="9" t="str">
        <f t="shared" si="68"/>
        <v/>
      </c>
      <c r="P501" s="9" t="str">
        <f t="shared" si="69"/>
        <v/>
      </c>
      <c r="Q501" s="9" t="str">
        <f t="shared" si="70"/>
        <v/>
      </c>
      <c r="R501" s="11"/>
      <c r="S501" s="11"/>
    </row>
    <row r="502" spans="1:19" x14ac:dyDescent="0.25">
      <c r="A502" s="30" t="s">
        <v>97</v>
      </c>
      <c r="B502" s="31">
        <f t="shared" si="73"/>
        <v>46447</v>
      </c>
      <c r="C502" s="30">
        <f>YEAR(BInputReservoir[[#This Row],[Date]])</f>
        <v>2027</v>
      </c>
      <c r="D502" s="30">
        <f>MONTH(BInputReservoir[[#This Row],[Date]])</f>
        <v>3</v>
      </c>
      <c r="E502" s="30" t="str">
        <f>IF(I502&lt;&gt;1,"",DATA_INPUT!$L142)</f>
        <v/>
      </c>
      <c r="F502" s="30" t="str">
        <f>STORAGE_BALANCE_ENSEMBLE!AI142</f>
        <v/>
      </c>
      <c r="G502" s="30" t="str">
        <f>STORAGE_BALANCE_ENSEMBLE!AJ142</f>
        <v/>
      </c>
      <c r="H502" s="30" t="str">
        <f>STORAGE_BALANCE_ENSEMBLE!AH142</f>
        <v/>
      </c>
      <c r="I502" s="18" t="str">
        <f t="shared" si="74"/>
        <v/>
      </c>
      <c r="J502" s="8" t="str">
        <f t="shared" si="64"/>
        <v/>
      </c>
      <c r="K502" s="9" t="str">
        <f t="shared" si="65"/>
        <v/>
      </c>
      <c r="L502" s="10" t="str">
        <f t="shared" si="66"/>
        <v/>
      </c>
      <c r="M502" s="10" t="str">
        <f>IF(I502&lt;&gt;1,"",IF(H502="","",H502/CONTROL_PANEL!$B$11))</f>
        <v/>
      </c>
      <c r="N502" s="9" t="str">
        <f t="shared" si="67"/>
        <v/>
      </c>
      <c r="O502" s="9" t="str">
        <f t="shared" si="68"/>
        <v/>
      </c>
      <c r="P502" s="9" t="str">
        <f t="shared" si="69"/>
        <v/>
      </c>
      <c r="Q502" s="9" t="str">
        <f t="shared" si="70"/>
        <v/>
      </c>
      <c r="R502" s="11"/>
      <c r="S502" s="11"/>
    </row>
    <row r="503" spans="1:19" x14ac:dyDescent="0.25">
      <c r="A503" s="30" t="s">
        <v>97</v>
      </c>
      <c r="B503" s="31">
        <f t="shared" si="73"/>
        <v>46478</v>
      </c>
      <c r="C503" s="30">
        <f>YEAR(BInputReservoir[[#This Row],[Date]])</f>
        <v>2027</v>
      </c>
      <c r="D503" s="30">
        <f>MONTH(BInputReservoir[[#This Row],[Date]])</f>
        <v>4</v>
      </c>
      <c r="E503" s="30" t="str">
        <f>IF(I503&lt;&gt;1,"",DATA_INPUT!$L143)</f>
        <v/>
      </c>
      <c r="F503" s="30" t="str">
        <f>STORAGE_BALANCE_ENSEMBLE!AI143</f>
        <v/>
      </c>
      <c r="G503" s="30" t="str">
        <f>STORAGE_BALANCE_ENSEMBLE!AJ143</f>
        <v/>
      </c>
      <c r="H503" s="30" t="str">
        <f>STORAGE_BALANCE_ENSEMBLE!AH143</f>
        <v/>
      </c>
      <c r="I503" s="18" t="str">
        <f t="shared" si="74"/>
        <v/>
      </c>
      <c r="J503" s="8" t="str">
        <f t="shared" si="64"/>
        <v/>
      </c>
      <c r="K503" s="9" t="str">
        <f t="shared" si="65"/>
        <v/>
      </c>
      <c r="L503" s="10" t="str">
        <f t="shared" si="66"/>
        <v/>
      </c>
      <c r="M503" s="10" t="str">
        <f>IF(I503&lt;&gt;1,"",IF(H503="","",H503/CONTROL_PANEL!$B$11))</f>
        <v/>
      </c>
      <c r="N503" s="9" t="str">
        <f t="shared" si="67"/>
        <v/>
      </c>
      <c r="O503" s="9" t="str">
        <f t="shared" si="68"/>
        <v/>
      </c>
      <c r="P503" s="9" t="str">
        <f t="shared" si="69"/>
        <v/>
      </c>
      <c r="Q503" s="9" t="str">
        <f t="shared" si="70"/>
        <v/>
      </c>
      <c r="R503" s="11"/>
      <c r="S503" s="11"/>
    </row>
    <row r="504" spans="1:19" x14ac:dyDescent="0.25">
      <c r="A504" s="30" t="s">
        <v>97</v>
      </c>
      <c r="B504" s="31">
        <f t="shared" si="73"/>
        <v>46508</v>
      </c>
      <c r="C504" s="30">
        <f>YEAR(BInputReservoir[[#This Row],[Date]])</f>
        <v>2027</v>
      </c>
      <c r="D504" s="30">
        <f>MONTH(BInputReservoir[[#This Row],[Date]])</f>
        <v>5</v>
      </c>
      <c r="E504" s="30" t="str">
        <f>IF(I504&lt;&gt;1,"",DATA_INPUT!$L144)</f>
        <v/>
      </c>
      <c r="F504" s="30" t="str">
        <f>STORAGE_BALANCE_ENSEMBLE!AI144</f>
        <v/>
      </c>
      <c r="G504" s="30" t="str">
        <f>STORAGE_BALANCE_ENSEMBLE!AJ144</f>
        <v/>
      </c>
      <c r="H504" s="30" t="str">
        <f>STORAGE_BALANCE_ENSEMBLE!AH144</f>
        <v/>
      </c>
      <c r="I504" s="18" t="str">
        <f t="shared" si="74"/>
        <v/>
      </c>
      <c r="J504" s="8" t="str">
        <f t="shared" si="64"/>
        <v/>
      </c>
      <c r="K504" s="9" t="str">
        <f t="shared" si="65"/>
        <v/>
      </c>
      <c r="L504" s="10" t="str">
        <f t="shared" si="66"/>
        <v/>
      </c>
      <c r="M504" s="10" t="str">
        <f>IF(I504&lt;&gt;1,"",IF(H504="","",H504/CONTROL_PANEL!$B$11))</f>
        <v/>
      </c>
      <c r="N504" s="9" t="str">
        <f t="shared" si="67"/>
        <v/>
      </c>
      <c r="O504" s="9" t="str">
        <f t="shared" si="68"/>
        <v/>
      </c>
      <c r="P504" s="9" t="str">
        <f t="shared" si="69"/>
        <v/>
      </c>
      <c r="Q504" s="9" t="str">
        <f t="shared" si="70"/>
        <v/>
      </c>
      <c r="R504" s="11"/>
      <c r="S504" s="11"/>
    </row>
    <row r="505" spans="1:19" x14ac:dyDescent="0.25">
      <c r="A505" s="30" t="s">
        <v>97</v>
      </c>
      <c r="B505" s="31">
        <f t="shared" si="73"/>
        <v>46539</v>
      </c>
      <c r="C505" s="30">
        <f>YEAR(BInputReservoir[[#This Row],[Date]])</f>
        <v>2027</v>
      </c>
      <c r="D505" s="30">
        <f>MONTH(BInputReservoir[[#This Row],[Date]])</f>
        <v>6</v>
      </c>
      <c r="E505" s="30" t="str">
        <f>IF(I505&lt;&gt;1,"",DATA_INPUT!$L145)</f>
        <v/>
      </c>
      <c r="F505" s="30" t="str">
        <f>STORAGE_BALANCE_ENSEMBLE!AI145</f>
        <v/>
      </c>
      <c r="G505" s="30" t="str">
        <f>STORAGE_BALANCE_ENSEMBLE!AJ145</f>
        <v/>
      </c>
      <c r="H505" s="30" t="str">
        <f>STORAGE_BALANCE_ENSEMBLE!AH145</f>
        <v/>
      </c>
      <c r="I505" s="18" t="str">
        <f t="shared" si="74"/>
        <v/>
      </c>
      <c r="J505" s="8" t="str">
        <f t="shared" si="64"/>
        <v/>
      </c>
      <c r="K505" s="9" t="str">
        <f t="shared" si="65"/>
        <v/>
      </c>
      <c r="L505" s="10" t="str">
        <f t="shared" si="66"/>
        <v/>
      </c>
      <c r="M505" s="10" t="str">
        <f>IF(I505&lt;&gt;1,"",IF(H505="","",H505/CONTROL_PANEL!$B$11))</f>
        <v/>
      </c>
      <c r="N505" s="9" t="str">
        <f t="shared" si="67"/>
        <v/>
      </c>
      <c r="O505" s="9" t="str">
        <f t="shared" si="68"/>
        <v/>
      </c>
      <c r="P505" s="9" t="str">
        <f t="shared" si="69"/>
        <v/>
      </c>
      <c r="Q505" s="9" t="str">
        <f t="shared" si="70"/>
        <v/>
      </c>
      <c r="R505" s="11"/>
      <c r="S505" s="11"/>
    </row>
    <row r="506" spans="1:19" x14ac:dyDescent="0.25">
      <c r="A506" s="30" t="s">
        <v>97</v>
      </c>
      <c r="B506" s="31">
        <f t="shared" si="73"/>
        <v>46569</v>
      </c>
      <c r="C506" s="30">
        <f>YEAR(BInputReservoir[[#This Row],[Date]])</f>
        <v>2027</v>
      </c>
      <c r="D506" s="30">
        <f>MONTH(BInputReservoir[[#This Row],[Date]])</f>
        <v>7</v>
      </c>
      <c r="E506" s="30" t="str">
        <f>IF(I506&lt;&gt;1,"",DATA_INPUT!$L146)</f>
        <v/>
      </c>
      <c r="F506" s="30" t="str">
        <f>STORAGE_BALANCE_ENSEMBLE!AI146</f>
        <v/>
      </c>
      <c r="G506" s="30" t="str">
        <f>STORAGE_BALANCE_ENSEMBLE!AJ146</f>
        <v/>
      </c>
      <c r="H506" s="30" t="str">
        <f>STORAGE_BALANCE_ENSEMBLE!AH146</f>
        <v/>
      </c>
      <c r="I506" s="18" t="str">
        <f t="shared" si="74"/>
        <v/>
      </c>
      <c r="J506" s="8" t="str">
        <f t="shared" si="64"/>
        <v/>
      </c>
      <c r="K506" s="9" t="str">
        <f t="shared" si="65"/>
        <v/>
      </c>
      <c r="L506" s="10" t="str">
        <f t="shared" si="66"/>
        <v/>
      </c>
      <c r="M506" s="10" t="str">
        <f>IF(I506&lt;&gt;1,"",IF(H506="","",H506/CONTROL_PANEL!$B$11))</f>
        <v/>
      </c>
      <c r="N506" s="9" t="str">
        <f t="shared" si="67"/>
        <v/>
      </c>
      <c r="O506" s="9" t="str">
        <f t="shared" si="68"/>
        <v/>
      </c>
      <c r="P506" s="9" t="str">
        <f t="shared" si="69"/>
        <v/>
      </c>
      <c r="Q506" s="9" t="str">
        <f t="shared" si="70"/>
        <v/>
      </c>
      <c r="R506" s="11"/>
      <c r="S506" s="11"/>
    </row>
    <row r="507" spans="1:19" x14ac:dyDescent="0.25">
      <c r="A507" s="30" t="s">
        <v>97</v>
      </c>
      <c r="B507" s="31">
        <f t="shared" si="73"/>
        <v>46600</v>
      </c>
      <c r="C507" s="30">
        <f>YEAR(BInputReservoir[[#This Row],[Date]])</f>
        <v>2027</v>
      </c>
      <c r="D507" s="30">
        <f>MONTH(BInputReservoir[[#This Row],[Date]])</f>
        <v>8</v>
      </c>
      <c r="E507" s="30" t="str">
        <f>IF(I507&lt;&gt;1,"",DATA_INPUT!$L147)</f>
        <v/>
      </c>
      <c r="F507" s="30" t="str">
        <f>STORAGE_BALANCE_ENSEMBLE!AI147</f>
        <v/>
      </c>
      <c r="G507" s="30" t="str">
        <f>STORAGE_BALANCE_ENSEMBLE!AJ147</f>
        <v/>
      </c>
      <c r="H507" s="30" t="str">
        <f>STORAGE_BALANCE_ENSEMBLE!AH147</f>
        <v/>
      </c>
      <c r="I507" s="18" t="str">
        <f t="shared" si="74"/>
        <v/>
      </c>
      <c r="J507" s="8" t="str">
        <f t="shared" si="64"/>
        <v/>
      </c>
      <c r="K507" s="9" t="str">
        <f t="shared" si="65"/>
        <v/>
      </c>
      <c r="L507" s="10" t="str">
        <f t="shared" si="66"/>
        <v/>
      </c>
      <c r="M507" s="10" t="str">
        <f>IF(I507&lt;&gt;1,"",IF(H507="","",H507/CONTROL_PANEL!$B$11))</f>
        <v/>
      </c>
      <c r="N507" s="9" t="str">
        <f t="shared" si="67"/>
        <v/>
      </c>
      <c r="O507" s="9" t="str">
        <f t="shared" si="68"/>
        <v/>
      </c>
      <c r="P507" s="9" t="str">
        <f t="shared" si="69"/>
        <v/>
      </c>
      <c r="Q507" s="9" t="str">
        <f t="shared" si="70"/>
        <v/>
      </c>
      <c r="R507" s="11"/>
      <c r="S507" s="11"/>
    </row>
    <row r="508" spans="1:19" x14ac:dyDescent="0.25">
      <c r="A508" s="30" t="s">
        <v>97</v>
      </c>
      <c r="B508" s="31">
        <f t="shared" si="73"/>
        <v>46631</v>
      </c>
      <c r="C508" s="30">
        <f>YEAR(BInputReservoir[[#This Row],[Date]])</f>
        <v>2027</v>
      </c>
      <c r="D508" s="30">
        <f>MONTH(BInputReservoir[[#This Row],[Date]])</f>
        <v>9</v>
      </c>
      <c r="E508" s="30" t="str">
        <f>IF(I508&lt;&gt;1,"",DATA_INPUT!$L148)</f>
        <v/>
      </c>
      <c r="F508" s="30" t="str">
        <f>STORAGE_BALANCE_ENSEMBLE!AI148</f>
        <v/>
      </c>
      <c r="G508" s="30" t="str">
        <f>STORAGE_BALANCE_ENSEMBLE!AJ148</f>
        <v/>
      </c>
      <c r="H508" s="30" t="str">
        <f>STORAGE_BALANCE_ENSEMBLE!AH148</f>
        <v/>
      </c>
      <c r="I508" s="18" t="str">
        <f t="shared" si="74"/>
        <v/>
      </c>
      <c r="J508" s="8" t="str">
        <f t="shared" si="64"/>
        <v/>
      </c>
      <c r="K508" s="9" t="str">
        <f t="shared" si="65"/>
        <v/>
      </c>
      <c r="L508" s="10" t="str">
        <f t="shared" si="66"/>
        <v/>
      </c>
      <c r="M508" s="10" t="str">
        <f>IF(I508&lt;&gt;1,"",IF(H508="","",H508/CONTROL_PANEL!$B$11))</f>
        <v/>
      </c>
      <c r="N508" s="9" t="str">
        <f t="shared" si="67"/>
        <v/>
      </c>
      <c r="O508" s="9" t="str">
        <f t="shared" si="68"/>
        <v/>
      </c>
      <c r="P508" s="9" t="str">
        <f t="shared" si="69"/>
        <v/>
      </c>
      <c r="Q508" s="9" t="str">
        <f t="shared" si="70"/>
        <v/>
      </c>
      <c r="R508" s="11"/>
      <c r="S508" s="11"/>
    </row>
    <row r="509" spans="1:19" x14ac:dyDescent="0.25">
      <c r="A509" s="30" t="s">
        <v>97</v>
      </c>
      <c r="B509" s="31">
        <f t="shared" si="73"/>
        <v>46661</v>
      </c>
      <c r="C509" s="30">
        <f>YEAR(BInputReservoir[[#This Row],[Date]])</f>
        <v>2027</v>
      </c>
      <c r="D509" s="30">
        <f>MONTH(BInputReservoir[[#This Row],[Date]])</f>
        <v>10</v>
      </c>
      <c r="E509" s="30" t="str">
        <f>IF(I509&lt;&gt;1,"",DATA_INPUT!$L149)</f>
        <v/>
      </c>
      <c r="F509" s="30" t="str">
        <f>STORAGE_BALANCE_ENSEMBLE!AI149</f>
        <v/>
      </c>
      <c r="G509" s="30" t="str">
        <f>STORAGE_BALANCE_ENSEMBLE!AJ149</f>
        <v/>
      </c>
      <c r="H509" s="30" t="str">
        <f>STORAGE_BALANCE_ENSEMBLE!AH149</f>
        <v/>
      </c>
      <c r="I509" s="18" t="str">
        <f t="shared" si="74"/>
        <v/>
      </c>
      <c r="J509" s="8" t="str">
        <f t="shared" si="64"/>
        <v/>
      </c>
      <c r="K509" s="9" t="str">
        <f t="shared" si="65"/>
        <v/>
      </c>
      <c r="L509" s="10" t="str">
        <f t="shared" si="66"/>
        <v/>
      </c>
      <c r="M509" s="10" t="str">
        <f>IF(I509&lt;&gt;1,"",IF(H509="","",H509/CONTROL_PANEL!$B$11))</f>
        <v/>
      </c>
      <c r="N509" s="9" t="str">
        <f t="shared" si="67"/>
        <v/>
      </c>
      <c r="O509" s="9" t="str">
        <f t="shared" si="68"/>
        <v/>
      </c>
      <c r="P509" s="9" t="str">
        <f t="shared" si="69"/>
        <v/>
      </c>
      <c r="Q509" s="9" t="str">
        <f t="shared" si="70"/>
        <v/>
      </c>
      <c r="R509" s="11"/>
      <c r="S509" s="11"/>
    </row>
    <row r="510" spans="1:19" x14ac:dyDescent="0.25">
      <c r="A510" s="30" t="s">
        <v>97</v>
      </c>
      <c r="B510" s="31">
        <f t="shared" si="73"/>
        <v>46692</v>
      </c>
      <c r="C510" s="30">
        <f>YEAR(BInputReservoir[[#This Row],[Date]])</f>
        <v>2027</v>
      </c>
      <c r="D510" s="30">
        <f>MONTH(BInputReservoir[[#This Row],[Date]])</f>
        <v>11</v>
      </c>
      <c r="E510" s="30" t="str">
        <f>IF(I510&lt;&gt;1,"",DATA_INPUT!$L150)</f>
        <v/>
      </c>
      <c r="F510" s="30" t="str">
        <f>STORAGE_BALANCE_ENSEMBLE!AI150</f>
        <v/>
      </c>
      <c r="G510" s="30" t="str">
        <f>STORAGE_BALANCE_ENSEMBLE!AJ150</f>
        <v/>
      </c>
      <c r="H510" s="30" t="str">
        <f>STORAGE_BALANCE_ENSEMBLE!AH150</f>
        <v/>
      </c>
      <c r="I510" s="18" t="str">
        <f t="shared" si="74"/>
        <v/>
      </c>
      <c r="J510" s="8" t="str">
        <f t="shared" si="64"/>
        <v/>
      </c>
      <c r="K510" s="9" t="str">
        <f t="shared" si="65"/>
        <v/>
      </c>
      <c r="L510" s="10" t="str">
        <f t="shared" si="66"/>
        <v/>
      </c>
      <c r="M510" s="10" t="str">
        <f>IF(I510&lt;&gt;1,"",IF(H510="","",H510/CONTROL_PANEL!$B$11))</f>
        <v/>
      </c>
      <c r="N510" s="9" t="str">
        <f t="shared" si="67"/>
        <v/>
      </c>
      <c r="O510" s="9" t="str">
        <f t="shared" si="68"/>
        <v/>
      </c>
      <c r="P510" s="9" t="str">
        <f t="shared" si="69"/>
        <v/>
      </c>
      <c r="Q510" s="9" t="str">
        <f t="shared" si="70"/>
        <v/>
      </c>
      <c r="R510" s="11"/>
      <c r="S510" s="11"/>
    </row>
    <row r="511" spans="1:19" x14ac:dyDescent="0.25">
      <c r="A511" s="30" t="s">
        <v>97</v>
      </c>
      <c r="B511" s="31">
        <f t="shared" si="73"/>
        <v>46722</v>
      </c>
      <c r="C511" s="30">
        <f>YEAR(BInputReservoir[[#This Row],[Date]])</f>
        <v>2027</v>
      </c>
      <c r="D511" s="30">
        <f>MONTH(BInputReservoir[[#This Row],[Date]])</f>
        <v>12</v>
      </c>
      <c r="E511" s="30" t="str">
        <f>IF(I511&lt;&gt;1,"",DATA_INPUT!$L151)</f>
        <v/>
      </c>
      <c r="F511" s="30" t="str">
        <f>STORAGE_BALANCE_ENSEMBLE!AI151</f>
        <v/>
      </c>
      <c r="G511" s="30" t="str">
        <f>STORAGE_BALANCE_ENSEMBLE!AJ151</f>
        <v/>
      </c>
      <c r="H511" s="30" t="str">
        <f>STORAGE_BALANCE_ENSEMBLE!AH151</f>
        <v/>
      </c>
      <c r="I511" s="18" t="str">
        <f t="shared" si="74"/>
        <v/>
      </c>
      <c r="J511" s="8" t="str">
        <f t="shared" si="64"/>
        <v/>
      </c>
      <c r="K511" s="9" t="str">
        <f t="shared" si="65"/>
        <v/>
      </c>
      <c r="L511" s="10" t="str">
        <f t="shared" si="66"/>
        <v/>
      </c>
      <c r="M511" s="10" t="str">
        <f>IF(I511&lt;&gt;1,"",IF(H511="","",H511/CONTROL_PANEL!$B$11))</f>
        <v/>
      </c>
      <c r="N511" s="9" t="str">
        <f t="shared" si="67"/>
        <v/>
      </c>
      <c r="O511" s="9" t="str">
        <f t="shared" si="68"/>
        <v/>
      </c>
      <c r="P511" s="9" t="str">
        <f t="shared" si="69"/>
        <v/>
      </c>
      <c r="Q511" s="9" t="str">
        <f t="shared" si="70"/>
        <v/>
      </c>
      <c r="R511" s="11"/>
      <c r="S511" s="11"/>
    </row>
    <row r="512" spans="1:19" x14ac:dyDescent="0.25">
      <c r="A512" s="30" t="s">
        <v>97</v>
      </c>
      <c r="B512" s="31">
        <f t="shared" si="73"/>
        <v>46753</v>
      </c>
      <c r="C512" s="30">
        <f>YEAR(BInputReservoir[[#This Row],[Date]])</f>
        <v>2028</v>
      </c>
      <c r="D512" s="30">
        <f>MONTH(BInputReservoir[[#This Row],[Date]])</f>
        <v>1</v>
      </c>
      <c r="E512" s="30" t="str">
        <f>IF(I512&lt;&gt;1,"",DATA_INPUT!$L152)</f>
        <v/>
      </c>
      <c r="F512" s="30" t="str">
        <f>STORAGE_BALANCE_ENSEMBLE!AI152</f>
        <v/>
      </c>
      <c r="G512" s="30" t="str">
        <f>STORAGE_BALANCE_ENSEMBLE!AJ152</f>
        <v/>
      </c>
      <c r="H512" s="30" t="str">
        <f>STORAGE_BALANCE_ENSEMBLE!AH152</f>
        <v/>
      </c>
      <c r="I512" s="18" t="str">
        <f t="shared" si="74"/>
        <v/>
      </c>
      <c r="J512" s="8" t="str">
        <f t="shared" si="64"/>
        <v/>
      </c>
      <c r="K512" s="9" t="str">
        <f t="shared" si="65"/>
        <v/>
      </c>
      <c r="L512" s="10" t="str">
        <f t="shared" si="66"/>
        <v/>
      </c>
      <c r="M512" s="10" t="str">
        <f>IF(I512&lt;&gt;1,"",IF(H512="","",H512/CONTROL_PANEL!$B$11))</f>
        <v/>
      </c>
      <c r="N512" s="9" t="str">
        <f t="shared" si="67"/>
        <v/>
      </c>
      <c r="O512" s="9" t="str">
        <f t="shared" si="68"/>
        <v/>
      </c>
      <c r="P512" s="9" t="str">
        <f t="shared" si="69"/>
        <v/>
      </c>
      <c r="Q512" s="9" t="str">
        <f t="shared" si="70"/>
        <v/>
      </c>
      <c r="R512" s="11"/>
      <c r="S512" s="11"/>
    </row>
    <row r="513" spans="1:19" x14ac:dyDescent="0.25">
      <c r="A513" s="30" t="s">
        <v>97</v>
      </c>
      <c r="B513" s="31">
        <f t="shared" si="73"/>
        <v>46784</v>
      </c>
      <c r="C513" s="30">
        <f>YEAR(BInputReservoir[[#This Row],[Date]])</f>
        <v>2028</v>
      </c>
      <c r="D513" s="30">
        <f>MONTH(BInputReservoir[[#This Row],[Date]])</f>
        <v>2</v>
      </c>
      <c r="E513" s="30" t="str">
        <f>IF(I513&lt;&gt;1,"",DATA_INPUT!$L153)</f>
        <v/>
      </c>
      <c r="F513" s="30" t="str">
        <f>STORAGE_BALANCE_ENSEMBLE!AI153</f>
        <v/>
      </c>
      <c r="G513" s="30" t="str">
        <f>STORAGE_BALANCE_ENSEMBLE!AJ153</f>
        <v/>
      </c>
      <c r="H513" s="30" t="str">
        <f>STORAGE_BALANCE_ENSEMBLE!AH153</f>
        <v/>
      </c>
      <c r="I513" s="18" t="str">
        <f t="shared" si="74"/>
        <v/>
      </c>
      <c r="J513" s="8" t="str">
        <f t="shared" si="64"/>
        <v/>
      </c>
      <c r="K513" s="9" t="str">
        <f t="shared" si="65"/>
        <v/>
      </c>
      <c r="L513" s="10" t="str">
        <f t="shared" si="66"/>
        <v/>
      </c>
      <c r="M513" s="10" t="str">
        <f>IF(I513&lt;&gt;1,"",IF(H513="","",H513/CONTROL_PANEL!$B$11))</f>
        <v/>
      </c>
      <c r="N513" s="9" t="str">
        <f t="shared" si="67"/>
        <v/>
      </c>
      <c r="O513" s="9" t="str">
        <f t="shared" si="68"/>
        <v/>
      </c>
      <c r="P513" s="9" t="str">
        <f t="shared" si="69"/>
        <v/>
      </c>
      <c r="Q513" s="9" t="str">
        <f t="shared" si="70"/>
        <v/>
      </c>
      <c r="R513" s="11"/>
      <c r="S513" s="11"/>
    </row>
    <row r="514" spans="1:19" x14ac:dyDescent="0.25">
      <c r="A514" s="30" t="s">
        <v>97</v>
      </c>
      <c r="B514" s="31">
        <f t="shared" si="73"/>
        <v>46813</v>
      </c>
      <c r="C514" s="30">
        <f>YEAR(BInputReservoir[[#This Row],[Date]])</f>
        <v>2028</v>
      </c>
      <c r="D514" s="30">
        <f>MONTH(BInputReservoir[[#This Row],[Date]])</f>
        <v>3</v>
      </c>
      <c r="E514" s="30" t="str">
        <f>IF(I514&lt;&gt;1,"",DATA_INPUT!$L154)</f>
        <v/>
      </c>
      <c r="F514" s="30" t="str">
        <f>STORAGE_BALANCE_ENSEMBLE!AI154</f>
        <v/>
      </c>
      <c r="G514" s="30" t="str">
        <f>STORAGE_BALANCE_ENSEMBLE!AJ154</f>
        <v/>
      </c>
      <c r="H514" s="30" t="str">
        <f>STORAGE_BALANCE_ENSEMBLE!AH154</f>
        <v/>
      </c>
      <c r="I514" s="18" t="str">
        <f t="shared" si="74"/>
        <v/>
      </c>
      <c r="J514" s="8" t="str">
        <f t="shared" si="64"/>
        <v/>
      </c>
      <c r="K514" s="9" t="str">
        <f t="shared" si="65"/>
        <v/>
      </c>
      <c r="L514" s="10" t="str">
        <f t="shared" si="66"/>
        <v/>
      </c>
      <c r="M514" s="10" t="str">
        <f>IF(I514&lt;&gt;1,"",IF(H514="","",H514/CONTROL_PANEL!$B$11))</f>
        <v/>
      </c>
      <c r="N514" s="9" t="str">
        <f t="shared" si="67"/>
        <v/>
      </c>
      <c r="O514" s="9" t="str">
        <f t="shared" si="68"/>
        <v/>
      </c>
      <c r="P514" s="9" t="str">
        <f t="shared" si="69"/>
        <v/>
      </c>
      <c r="Q514" s="9" t="str">
        <f t="shared" si="70"/>
        <v/>
      </c>
      <c r="R514" s="11"/>
      <c r="S514" s="11"/>
    </row>
    <row r="515" spans="1:19" x14ac:dyDescent="0.25">
      <c r="A515" s="30" t="s">
        <v>97</v>
      </c>
      <c r="B515" s="31">
        <f t="shared" si="73"/>
        <v>46844</v>
      </c>
      <c r="C515" s="30">
        <f>YEAR(BInputReservoir[[#This Row],[Date]])</f>
        <v>2028</v>
      </c>
      <c r="D515" s="30">
        <f>MONTH(BInputReservoir[[#This Row],[Date]])</f>
        <v>4</v>
      </c>
      <c r="E515" s="30" t="str">
        <f>IF(I515&lt;&gt;1,"",DATA_INPUT!$L155)</f>
        <v/>
      </c>
      <c r="F515" s="30" t="str">
        <f>STORAGE_BALANCE_ENSEMBLE!AI155</f>
        <v/>
      </c>
      <c r="G515" s="30" t="str">
        <f>STORAGE_BALANCE_ENSEMBLE!AJ155</f>
        <v/>
      </c>
      <c r="H515" s="30" t="str">
        <f>STORAGE_BALANCE_ENSEMBLE!AH155</f>
        <v/>
      </c>
      <c r="I515" s="18" t="str">
        <f t="shared" si="74"/>
        <v/>
      </c>
      <c r="J515" s="8" t="str">
        <f t="shared" si="64"/>
        <v/>
      </c>
      <c r="K515" s="9" t="str">
        <f t="shared" si="65"/>
        <v/>
      </c>
      <c r="L515" s="10" t="str">
        <f t="shared" si="66"/>
        <v/>
      </c>
      <c r="M515" s="10" t="str">
        <f>IF(I515&lt;&gt;1,"",IF(H515="","",H515/CONTROL_PANEL!$B$11))</f>
        <v/>
      </c>
      <c r="N515" s="9" t="str">
        <f t="shared" si="67"/>
        <v/>
      </c>
      <c r="O515" s="9" t="str">
        <f t="shared" si="68"/>
        <v/>
      </c>
      <c r="P515" s="9" t="str">
        <f t="shared" si="69"/>
        <v/>
      </c>
      <c r="Q515" s="9" t="str">
        <f t="shared" si="70"/>
        <v/>
      </c>
      <c r="R515" s="11"/>
      <c r="S515" s="11"/>
    </row>
    <row r="516" spans="1:19" x14ac:dyDescent="0.25">
      <c r="A516" s="30" t="s">
        <v>97</v>
      </c>
      <c r="B516" s="31">
        <f t="shared" si="73"/>
        <v>46874</v>
      </c>
      <c r="C516" s="30">
        <f>YEAR(BInputReservoir[[#This Row],[Date]])</f>
        <v>2028</v>
      </c>
      <c r="D516" s="30">
        <f>MONTH(BInputReservoir[[#This Row],[Date]])</f>
        <v>5</v>
      </c>
      <c r="E516" s="30" t="str">
        <f>IF(I516&lt;&gt;1,"",DATA_INPUT!$L156)</f>
        <v/>
      </c>
      <c r="F516" s="30" t="str">
        <f>STORAGE_BALANCE_ENSEMBLE!AI156</f>
        <v/>
      </c>
      <c r="G516" s="30" t="str">
        <f>STORAGE_BALANCE_ENSEMBLE!AJ156</f>
        <v/>
      </c>
      <c r="H516" s="30" t="str">
        <f>STORAGE_BALANCE_ENSEMBLE!AH156</f>
        <v/>
      </c>
      <c r="I516" s="18" t="str">
        <f t="shared" si="74"/>
        <v/>
      </c>
      <c r="J516" s="8" t="str">
        <f t="shared" si="64"/>
        <v/>
      </c>
      <c r="K516" s="9" t="str">
        <f t="shared" si="65"/>
        <v/>
      </c>
      <c r="L516" s="10" t="str">
        <f t="shared" si="66"/>
        <v/>
      </c>
      <c r="M516" s="10" t="str">
        <f>IF(I516&lt;&gt;1,"",IF(H516="","",H516/CONTROL_PANEL!$B$11))</f>
        <v/>
      </c>
      <c r="N516" s="9" t="str">
        <f t="shared" si="67"/>
        <v/>
      </c>
      <c r="O516" s="9" t="str">
        <f t="shared" si="68"/>
        <v/>
      </c>
      <c r="P516" s="9" t="str">
        <f t="shared" si="69"/>
        <v/>
      </c>
      <c r="Q516" s="9" t="str">
        <f t="shared" si="70"/>
        <v/>
      </c>
      <c r="R516" s="11"/>
      <c r="S516" s="11"/>
    </row>
    <row r="517" spans="1:19" x14ac:dyDescent="0.25">
      <c r="A517" s="30" t="s">
        <v>97</v>
      </c>
      <c r="B517" s="31">
        <f t="shared" si="73"/>
        <v>46905</v>
      </c>
      <c r="C517" s="30">
        <f>YEAR(BInputReservoir[[#This Row],[Date]])</f>
        <v>2028</v>
      </c>
      <c r="D517" s="30">
        <f>MONTH(BInputReservoir[[#This Row],[Date]])</f>
        <v>6</v>
      </c>
      <c r="E517" s="30" t="str">
        <f>IF(I517&lt;&gt;1,"",DATA_INPUT!$L157)</f>
        <v/>
      </c>
      <c r="F517" s="30" t="str">
        <f>STORAGE_BALANCE_ENSEMBLE!AI157</f>
        <v/>
      </c>
      <c r="G517" s="30" t="str">
        <f>STORAGE_BALANCE_ENSEMBLE!AJ157</f>
        <v/>
      </c>
      <c r="H517" s="30" t="str">
        <f>STORAGE_BALANCE_ENSEMBLE!AH157</f>
        <v/>
      </c>
      <c r="I517" s="18" t="str">
        <f t="shared" si="74"/>
        <v/>
      </c>
      <c r="J517" s="8" t="str">
        <f t="shared" ref="J517:J580" si="75">IF(I517&lt;&gt;1,"",IF(E517="","",MAX(0,E517-G517)))</f>
        <v/>
      </c>
      <c r="K517" s="9" t="str">
        <f t="shared" ref="K517:K580" si="76">IF(I517&lt;&gt;1,"",IF(OR(G517="",E517=""),"",IF(G517&gt;0,1,0)))</f>
        <v/>
      </c>
      <c r="L517" s="10" t="str">
        <f t="shared" ref="L517:L580" si="77">IF(I517&lt;&gt;1,"",IF(AND(K517=1,E517&gt;0),G517/E517,0))</f>
        <v/>
      </c>
      <c r="M517" s="10" t="str">
        <f>IF(I517&lt;&gt;1,"",IF(H517="","",H517/CONTROL_PANEL!$B$11))</f>
        <v/>
      </c>
      <c r="N517" s="9" t="str">
        <f t="shared" ref="N517:N580" si="78">IF(I517&lt;&gt;1,"",IF(AND(K517=1,A518=A517),1,0))</f>
        <v/>
      </c>
      <c r="O517" s="9" t="str">
        <f t="shared" ref="O517:O580" si="79">IF(I517&lt;&gt;1,"",IF(AND(K517=1,A518=A517,K518=0),1,0))</f>
        <v/>
      </c>
      <c r="P517" s="9" t="str">
        <f t="shared" ref="P517:P580" si="80">IF(I517&lt;&gt;1,"",IF(F517&gt;0,1,0))</f>
        <v/>
      </c>
      <c r="Q517" s="9" t="str">
        <f t="shared" ref="Q517:Q580" si="81">IF(I517&lt;&gt;1,"",IF(G517&gt;0,1,0))</f>
        <v/>
      </c>
      <c r="R517" s="11"/>
      <c r="S517" s="11"/>
    </row>
    <row r="518" spans="1:19" x14ac:dyDescent="0.25">
      <c r="A518" s="30" t="s">
        <v>97</v>
      </c>
      <c r="B518" s="31">
        <f t="shared" si="73"/>
        <v>46935</v>
      </c>
      <c r="C518" s="30">
        <f>YEAR(BInputReservoir[[#This Row],[Date]])</f>
        <v>2028</v>
      </c>
      <c r="D518" s="30">
        <f>MONTH(BInputReservoir[[#This Row],[Date]])</f>
        <v>7</v>
      </c>
      <c r="E518" s="30" t="str">
        <f>IF(I518&lt;&gt;1,"",DATA_INPUT!$L158)</f>
        <v/>
      </c>
      <c r="F518" s="30" t="str">
        <f>STORAGE_BALANCE_ENSEMBLE!AI158</f>
        <v/>
      </c>
      <c r="G518" s="30" t="str">
        <f>STORAGE_BALANCE_ENSEMBLE!AJ158</f>
        <v/>
      </c>
      <c r="H518" s="30" t="str">
        <f>STORAGE_BALANCE_ENSEMBLE!AH158</f>
        <v/>
      </c>
      <c r="I518" s="18" t="str">
        <f t="shared" si="74"/>
        <v/>
      </c>
      <c r="J518" s="8" t="str">
        <f t="shared" si="75"/>
        <v/>
      </c>
      <c r="K518" s="9" t="str">
        <f t="shared" si="76"/>
        <v/>
      </c>
      <c r="L518" s="10" t="str">
        <f t="shared" si="77"/>
        <v/>
      </c>
      <c r="M518" s="10" t="str">
        <f>IF(I518&lt;&gt;1,"",IF(H518="","",H518/CONTROL_PANEL!$B$11))</f>
        <v/>
      </c>
      <c r="N518" s="9" t="str">
        <f t="shared" si="78"/>
        <v/>
      </c>
      <c r="O518" s="9" t="str">
        <f t="shared" si="79"/>
        <v/>
      </c>
      <c r="P518" s="9" t="str">
        <f t="shared" si="80"/>
        <v/>
      </c>
      <c r="Q518" s="9" t="str">
        <f t="shared" si="81"/>
        <v/>
      </c>
      <c r="R518" s="11"/>
      <c r="S518" s="11"/>
    </row>
    <row r="519" spans="1:19" x14ac:dyDescent="0.25">
      <c r="A519" s="30" t="s">
        <v>97</v>
      </c>
      <c r="B519" s="31">
        <f t="shared" si="73"/>
        <v>46966</v>
      </c>
      <c r="C519" s="30">
        <f>YEAR(BInputReservoir[[#This Row],[Date]])</f>
        <v>2028</v>
      </c>
      <c r="D519" s="30">
        <f>MONTH(BInputReservoir[[#This Row],[Date]])</f>
        <v>8</v>
      </c>
      <c r="E519" s="30" t="str">
        <f>IF(I519&lt;&gt;1,"",DATA_INPUT!$L159)</f>
        <v/>
      </c>
      <c r="F519" s="30" t="str">
        <f>STORAGE_BALANCE_ENSEMBLE!AI159</f>
        <v/>
      </c>
      <c r="G519" s="30" t="str">
        <f>STORAGE_BALANCE_ENSEMBLE!AJ159</f>
        <v/>
      </c>
      <c r="H519" s="30" t="str">
        <f>STORAGE_BALANCE_ENSEMBLE!AH159</f>
        <v/>
      </c>
      <c r="I519" s="18" t="str">
        <f t="shared" si="74"/>
        <v/>
      </c>
      <c r="J519" s="8" t="str">
        <f t="shared" si="75"/>
        <v/>
      </c>
      <c r="K519" s="9" t="str">
        <f t="shared" si="76"/>
        <v/>
      </c>
      <c r="L519" s="10" t="str">
        <f t="shared" si="77"/>
        <v/>
      </c>
      <c r="M519" s="10" t="str">
        <f>IF(I519&lt;&gt;1,"",IF(H519="","",H519/CONTROL_PANEL!$B$11))</f>
        <v/>
      </c>
      <c r="N519" s="9" t="str">
        <f t="shared" si="78"/>
        <v/>
      </c>
      <c r="O519" s="9" t="str">
        <f t="shared" si="79"/>
        <v/>
      </c>
      <c r="P519" s="9" t="str">
        <f t="shared" si="80"/>
        <v/>
      </c>
      <c r="Q519" s="9" t="str">
        <f t="shared" si="81"/>
        <v/>
      </c>
      <c r="R519" s="11"/>
      <c r="S519" s="11"/>
    </row>
    <row r="520" spans="1:19" x14ac:dyDescent="0.25">
      <c r="A520" s="30" t="s">
        <v>97</v>
      </c>
      <c r="B520" s="31">
        <f t="shared" si="73"/>
        <v>46997</v>
      </c>
      <c r="C520" s="30">
        <f>YEAR(BInputReservoir[[#This Row],[Date]])</f>
        <v>2028</v>
      </c>
      <c r="D520" s="30">
        <f>MONTH(BInputReservoir[[#This Row],[Date]])</f>
        <v>9</v>
      </c>
      <c r="E520" s="30" t="str">
        <f>IF(I520&lt;&gt;1,"",DATA_INPUT!$L160)</f>
        <v/>
      </c>
      <c r="F520" s="30" t="str">
        <f>STORAGE_BALANCE_ENSEMBLE!AI160</f>
        <v/>
      </c>
      <c r="G520" s="30" t="str">
        <f>STORAGE_BALANCE_ENSEMBLE!AJ160</f>
        <v/>
      </c>
      <c r="H520" s="30" t="str">
        <f>STORAGE_BALANCE_ENSEMBLE!AH160</f>
        <v/>
      </c>
      <c r="I520" s="18" t="str">
        <f t="shared" si="74"/>
        <v/>
      </c>
      <c r="J520" s="8" t="str">
        <f t="shared" si="75"/>
        <v/>
      </c>
      <c r="K520" s="9" t="str">
        <f t="shared" si="76"/>
        <v/>
      </c>
      <c r="L520" s="10" t="str">
        <f t="shared" si="77"/>
        <v/>
      </c>
      <c r="M520" s="10" t="str">
        <f>IF(I520&lt;&gt;1,"",IF(H520="","",H520/CONTROL_PANEL!$B$11))</f>
        <v/>
      </c>
      <c r="N520" s="9" t="str">
        <f t="shared" si="78"/>
        <v/>
      </c>
      <c r="O520" s="9" t="str">
        <f t="shared" si="79"/>
        <v/>
      </c>
      <c r="P520" s="9" t="str">
        <f t="shared" si="80"/>
        <v/>
      </c>
      <c r="Q520" s="9" t="str">
        <f t="shared" si="81"/>
        <v/>
      </c>
      <c r="R520" s="11"/>
      <c r="S520" s="11"/>
    </row>
    <row r="521" spans="1:19" x14ac:dyDescent="0.25">
      <c r="A521" s="30" t="s">
        <v>97</v>
      </c>
      <c r="B521" s="31">
        <f t="shared" si="73"/>
        <v>47027</v>
      </c>
      <c r="C521" s="30">
        <f>YEAR(BInputReservoir[[#This Row],[Date]])</f>
        <v>2028</v>
      </c>
      <c r="D521" s="30">
        <f>MONTH(BInputReservoir[[#This Row],[Date]])</f>
        <v>10</v>
      </c>
      <c r="E521" s="30" t="str">
        <f>IF(I521&lt;&gt;1,"",DATA_INPUT!$L161)</f>
        <v/>
      </c>
      <c r="F521" s="30" t="str">
        <f>STORAGE_BALANCE_ENSEMBLE!AI161</f>
        <v/>
      </c>
      <c r="G521" s="30" t="str">
        <f>STORAGE_BALANCE_ENSEMBLE!AJ161</f>
        <v/>
      </c>
      <c r="H521" s="30" t="str">
        <f>STORAGE_BALANCE_ENSEMBLE!AH161</f>
        <v/>
      </c>
      <c r="I521" s="18" t="str">
        <f t="shared" si="74"/>
        <v/>
      </c>
      <c r="J521" s="8" t="str">
        <f t="shared" si="75"/>
        <v/>
      </c>
      <c r="K521" s="9" t="str">
        <f t="shared" si="76"/>
        <v/>
      </c>
      <c r="L521" s="10" t="str">
        <f t="shared" si="77"/>
        <v/>
      </c>
      <c r="M521" s="10" t="str">
        <f>IF(I521&lt;&gt;1,"",IF(H521="","",H521/CONTROL_PANEL!$B$11))</f>
        <v/>
      </c>
      <c r="N521" s="9" t="str">
        <f t="shared" si="78"/>
        <v/>
      </c>
      <c r="O521" s="9" t="str">
        <f t="shared" si="79"/>
        <v/>
      </c>
      <c r="P521" s="9" t="str">
        <f t="shared" si="80"/>
        <v/>
      </c>
      <c r="Q521" s="9" t="str">
        <f t="shared" si="81"/>
        <v/>
      </c>
      <c r="R521" s="11"/>
      <c r="S521" s="11"/>
    </row>
    <row r="522" spans="1:19" x14ac:dyDescent="0.25">
      <c r="A522" s="30" t="s">
        <v>97</v>
      </c>
      <c r="B522" s="31">
        <f t="shared" si="73"/>
        <v>47058</v>
      </c>
      <c r="C522" s="30">
        <f>YEAR(BInputReservoir[[#This Row],[Date]])</f>
        <v>2028</v>
      </c>
      <c r="D522" s="30">
        <f>MONTH(BInputReservoir[[#This Row],[Date]])</f>
        <v>11</v>
      </c>
      <c r="E522" s="30" t="str">
        <f>IF(I522&lt;&gt;1,"",DATA_INPUT!$L162)</f>
        <v/>
      </c>
      <c r="F522" s="30" t="str">
        <f>STORAGE_BALANCE_ENSEMBLE!AI162</f>
        <v/>
      </c>
      <c r="G522" s="30" t="str">
        <f>STORAGE_BALANCE_ENSEMBLE!AJ162</f>
        <v/>
      </c>
      <c r="H522" s="30" t="str">
        <f>STORAGE_BALANCE_ENSEMBLE!AH162</f>
        <v/>
      </c>
      <c r="I522" s="18" t="str">
        <f t="shared" si="74"/>
        <v/>
      </c>
      <c r="J522" s="8" t="str">
        <f t="shared" si="75"/>
        <v/>
      </c>
      <c r="K522" s="9" t="str">
        <f t="shared" si="76"/>
        <v/>
      </c>
      <c r="L522" s="10" t="str">
        <f t="shared" si="77"/>
        <v/>
      </c>
      <c r="M522" s="10" t="str">
        <f>IF(I522&lt;&gt;1,"",IF(H522="","",H522/CONTROL_PANEL!$B$11))</f>
        <v/>
      </c>
      <c r="N522" s="9" t="str">
        <f t="shared" si="78"/>
        <v/>
      </c>
      <c r="O522" s="9" t="str">
        <f t="shared" si="79"/>
        <v/>
      </c>
      <c r="P522" s="9" t="str">
        <f t="shared" si="80"/>
        <v/>
      </c>
      <c r="Q522" s="9" t="str">
        <f t="shared" si="81"/>
        <v/>
      </c>
      <c r="R522" s="11"/>
      <c r="S522" s="11"/>
    </row>
    <row r="523" spans="1:19" x14ac:dyDescent="0.25">
      <c r="A523" s="30" t="s">
        <v>97</v>
      </c>
      <c r="B523" s="31">
        <f t="shared" si="73"/>
        <v>47088</v>
      </c>
      <c r="C523" s="30">
        <f>YEAR(BInputReservoir[[#This Row],[Date]])</f>
        <v>2028</v>
      </c>
      <c r="D523" s="30">
        <f>MONTH(BInputReservoir[[#This Row],[Date]])</f>
        <v>12</v>
      </c>
      <c r="E523" s="30" t="str">
        <f>IF(I523&lt;&gt;1,"",DATA_INPUT!$L163)</f>
        <v/>
      </c>
      <c r="F523" s="30" t="str">
        <f>STORAGE_BALANCE_ENSEMBLE!AI163</f>
        <v/>
      </c>
      <c r="G523" s="30" t="str">
        <f>STORAGE_BALANCE_ENSEMBLE!AJ163</f>
        <v/>
      </c>
      <c r="H523" s="30" t="str">
        <f>STORAGE_BALANCE_ENSEMBLE!AH163</f>
        <v/>
      </c>
      <c r="I523" s="18" t="str">
        <f t="shared" si="74"/>
        <v/>
      </c>
      <c r="J523" s="8" t="str">
        <f t="shared" si="75"/>
        <v/>
      </c>
      <c r="K523" s="9" t="str">
        <f t="shared" si="76"/>
        <v/>
      </c>
      <c r="L523" s="10" t="str">
        <f t="shared" si="77"/>
        <v/>
      </c>
      <c r="M523" s="10" t="str">
        <f>IF(I523&lt;&gt;1,"",IF(H523="","",H523/CONTROL_PANEL!$B$11))</f>
        <v/>
      </c>
      <c r="N523" s="9" t="str">
        <f t="shared" si="78"/>
        <v/>
      </c>
      <c r="O523" s="9" t="str">
        <f t="shared" si="79"/>
        <v/>
      </c>
      <c r="P523" s="9" t="str">
        <f t="shared" si="80"/>
        <v/>
      </c>
      <c r="Q523" s="9" t="str">
        <f t="shared" si="81"/>
        <v/>
      </c>
      <c r="R523" s="11"/>
      <c r="S523" s="11"/>
    </row>
    <row r="524" spans="1:19" x14ac:dyDescent="0.25">
      <c r="A524" s="30" t="s">
        <v>97</v>
      </c>
      <c r="B524" s="31">
        <f t="shared" si="73"/>
        <v>47119</v>
      </c>
      <c r="C524" s="30">
        <f>YEAR(BInputReservoir[[#This Row],[Date]])</f>
        <v>2029</v>
      </c>
      <c r="D524" s="30">
        <f>MONTH(BInputReservoir[[#This Row],[Date]])</f>
        <v>1</v>
      </c>
      <c r="E524" s="30" t="str">
        <f>IF(I524&lt;&gt;1,"",DATA_INPUT!$L164)</f>
        <v/>
      </c>
      <c r="F524" s="30" t="str">
        <f>STORAGE_BALANCE_ENSEMBLE!AI164</f>
        <v/>
      </c>
      <c r="G524" s="30" t="str">
        <f>STORAGE_BALANCE_ENSEMBLE!AJ164</f>
        <v/>
      </c>
      <c r="H524" s="30" t="str">
        <f>STORAGE_BALANCE_ENSEMBLE!AH164</f>
        <v/>
      </c>
      <c r="I524" s="18" t="str">
        <f t="shared" si="74"/>
        <v/>
      </c>
      <c r="J524" s="8" t="str">
        <f t="shared" si="75"/>
        <v/>
      </c>
      <c r="K524" s="9" t="str">
        <f t="shared" si="76"/>
        <v/>
      </c>
      <c r="L524" s="10" t="str">
        <f t="shared" si="77"/>
        <v/>
      </c>
      <c r="M524" s="10" t="str">
        <f>IF(I524&lt;&gt;1,"",IF(H524="","",H524/CONTROL_PANEL!$B$11))</f>
        <v/>
      </c>
      <c r="N524" s="9" t="str">
        <f t="shared" si="78"/>
        <v/>
      </c>
      <c r="O524" s="9" t="str">
        <f t="shared" si="79"/>
        <v/>
      </c>
      <c r="P524" s="9" t="str">
        <f t="shared" si="80"/>
        <v/>
      </c>
      <c r="Q524" s="9" t="str">
        <f t="shared" si="81"/>
        <v/>
      </c>
      <c r="R524" s="11"/>
      <c r="S524" s="11"/>
    </row>
    <row r="525" spans="1:19" x14ac:dyDescent="0.25">
      <c r="A525" s="30" t="s">
        <v>97</v>
      </c>
      <c r="B525" s="31">
        <f t="shared" si="73"/>
        <v>47150</v>
      </c>
      <c r="C525" s="30">
        <f>YEAR(BInputReservoir[[#This Row],[Date]])</f>
        <v>2029</v>
      </c>
      <c r="D525" s="30">
        <f>MONTH(BInputReservoir[[#This Row],[Date]])</f>
        <v>2</v>
      </c>
      <c r="E525" s="30" t="str">
        <f>IF(I525&lt;&gt;1,"",DATA_INPUT!$L165)</f>
        <v/>
      </c>
      <c r="F525" s="30" t="str">
        <f>STORAGE_BALANCE_ENSEMBLE!AI165</f>
        <v/>
      </c>
      <c r="G525" s="30" t="str">
        <f>STORAGE_BALANCE_ENSEMBLE!AJ165</f>
        <v/>
      </c>
      <c r="H525" s="30" t="str">
        <f>STORAGE_BALANCE_ENSEMBLE!AH165</f>
        <v/>
      </c>
      <c r="I525" s="18" t="str">
        <f t="shared" si="74"/>
        <v/>
      </c>
      <c r="J525" s="8" t="str">
        <f t="shared" si="75"/>
        <v/>
      </c>
      <c r="K525" s="9" t="str">
        <f t="shared" si="76"/>
        <v/>
      </c>
      <c r="L525" s="10" t="str">
        <f t="shared" si="77"/>
        <v/>
      </c>
      <c r="M525" s="10" t="str">
        <f>IF(I525&lt;&gt;1,"",IF(H525="","",H525/CONTROL_PANEL!$B$11))</f>
        <v/>
      </c>
      <c r="N525" s="9" t="str">
        <f t="shared" si="78"/>
        <v/>
      </c>
      <c r="O525" s="9" t="str">
        <f t="shared" si="79"/>
        <v/>
      </c>
      <c r="P525" s="9" t="str">
        <f t="shared" si="80"/>
        <v/>
      </c>
      <c r="Q525" s="9" t="str">
        <f t="shared" si="81"/>
        <v/>
      </c>
      <c r="R525" s="11"/>
      <c r="S525" s="11"/>
    </row>
    <row r="526" spans="1:19" x14ac:dyDescent="0.25">
      <c r="A526" s="30" t="s">
        <v>97</v>
      </c>
      <c r="B526" s="31">
        <f t="shared" si="73"/>
        <v>47178</v>
      </c>
      <c r="C526" s="30">
        <f>YEAR(BInputReservoir[[#This Row],[Date]])</f>
        <v>2029</v>
      </c>
      <c r="D526" s="30">
        <f>MONTH(BInputReservoir[[#This Row],[Date]])</f>
        <v>3</v>
      </c>
      <c r="E526" s="30" t="str">
        <f>IF(I526&lt;&gt;1,"",DATA_INPUT!$L166)</f>
        <v/>
      </c>
      <c r="F526" s="30" t="str">
        <f>STORAGE_BALANCE_ENSEMBLE!AI166</f>
        <v/>
      </c>
      <c r="G526" s="30" t="str">
        <f>STORAGE_BALANCE_ENSEMBLE!AJ166</f>
        <v/>
      </c>
      <c r="H526" s="30" t="str">
        <f>STORAGE_BALANCE_ENSEMBLE!AH166</f>
        <v/>
      </c>
      <c r="I526" s="18" t="str">
        <f t="shared" si="74"/>
        <v/>
      </c>
      <c r="J526" s="8" t="str">
        <f t="shared" si="75"/>
        <v/>
      </c>
      <c r="K526" s="9" t="str">
        <f t="shared" si="76"/>
        <v/>
      </c>
      <c r="L526" s="10" t="str">
        <f t="shared" si="77"/>
        <v/>
      </c>
      <c r="M526" s="10" t="str">
        <f>IF(I526&lt;&gt;1,"",IF(H526="","",H526/CONTROL_PANEL!$B$11))</f>
        <v/>
      </c>
      <c r="N526" s="9" t="str">
        <f t="shared" si="78"/>
        <v/>
      </c>
      <c r="O526" s="9" t="str">
        <f t="shared" si="79"/>
        <v/>
      </c>
      <c r="P526" s="9" t="str">
        <f t="shared" si="80"/>
        <v/>
      </c>
      <c r="Q526" s="9" t="str">
        <f t="shared" si="81"/>
        <v/>
      </c>
      <c r="R526" s="11"/>
      <c r="S526" s="11"/>
    </row>
    <row r="527" spans="1:19" x14ac:dyDescent="0.25">
      <c r="A527" s="30" t="s">
        <v>97</v>
      </c>
      <c r="B527" s="31">
        <f t="shared" si="73"/>
        <v>47209</v>
      </c>
      <c r="C527" s="30">
        <f>YEAR(BInputReservoir[[#This Row],[Date]])</f>
        <v>2029</v>
      </c>
      <c r="D527" s="30">
        <f>MONTH(BInputReservoir[[#This Row],[Date]])</f>
        <v>4</v>
      </c>
      <c r="E527" s="30" t="str">
        <f>IF(I527&lt;&gt;1,"",DATA_INPUT!$L167)</f>
        <v/>
      </c>
      <c r="F527" s="30" t="str">
        <f>STORAGE_BALANCE_ENSEMBLE!AI167</f>
        <v/>
      </c>
      <c r="G527" s="30" t="str">
        <f>STORAGE_BALANCE_ENSEMBLE!AJ167</f>
        <v/>
      </c>
      <c r="H527" s="30" t="str">
        <f>STORAGE_BALANCE_ENSEMBLE!AH167</f>
        <v/>
      </c>
      <c r="I527" s="18" t="str">
        <f t="shared" si="74"/>
        <v/>
      </c>
      <c r="J527" s="8" t="str">
        <f t="shared" si="75"/>
        <v/>
      </c>
      <c r="K527" s="9" t="str">
        <f t="shared" si="76"/>
        <v/>
      </c>
      <c r="L527" s="10" t="str">
        <f t="shared" si="77"/>
        <v/>
      </c>
      <c r="M527" s="10" t="str">
        <f>IF(I527&lt;&gt;1,"",IF(H527="","",H527/CONTROL_PANEL!$B$11))</f>
        <v/>
      </c>
      <c r="N527" s="9" t="str">
        <f t="shared" si="78"/>
        <v/>
      </c>
      <c r="O527" s="9" t="str">
        <f t="shared" si="79"/>
        <v/>
      </c>
      <c r="P527" s="9" t="str">
        <f t="shared" si="80"/>
        <v/>
      </c>
      <c r="Q527" s="9" t="str">
        <f t="shared" si="81"/>
        <v/>
      </c>
      <c r="R527" s="11"/>
      <c r="S527" s="11"/>
    </row>
    <row r="528" spans="1:19" x14ac:dyDescent="0.25">
      <c r="A528" s="30" t="s">
        <v>97</v>
      </c>
      <c r="B528" s="31">
        <f t="shared" si="73"/>
        <v>47239</v>
      </c>
      <c r="C528" s="30">
        <f>YEAR(BInputReservoir[[#This Row],[Date]])</f>
        <v>2029</v>
      </c>
      <c r="D528" s="30">
        <f>MONTH(BInputReservoir[[#This Row],[Date]])</f>
        <v>5</v>
      </c>
      <c r="E528" s="30" t="str">
        <f>IF(I528&lt;&gt;1,"",DATA_INPUT!$L168)</f>
        <v/>
      </c>
      <c r="F528" s="30" t="str">
        <f>STORAGE_BALANCE_ENSEMBLE!AI168</f>
        <v/>
      </c>
      <c r="G528" s="30" t="str">
        <f>STORAGE_BALANCE_ENSEMBLE!AJ168</f>
        <v/>
      </c>
      <c r="H528" s="30" t="str">
        <f>STORAGE_BALANCE_ENSEMBLE!AH168</f>
        <v/>
      </c>
      <c r="I528" s="18" t="str">
        <f t="shared" si="74"/>
        <v/>
      </c>
      <c r="J528" s="8" t="str">
        <f t="shared" si="75"/>
        <v/>
      </c>
      <c r="K528" s="9" t="str">
        <f t="shared" si="76"/>
        <v/>
      </c>
      <c r="L528" s="10" t="str">
        <f t="shared" si="77"/>
        <v/>
      </c>
      <c r="M528" s="10" t="str">
        <f>IF(I528&lt;&gt;1,"",IF(H528="","",H528/CONTROL_PANEL!$B$11))</f>
        <v/>
      </c>
      <c r="N528" s="9" t="str">
        <f t="shared" si="78"/>
        <v/>
      </c>
      <c r="O528" s="9" t="str">
        <f t="shared" si="79"/>
        <v/>
      </c>
      <c r="P528" s="9" t="str">
        <f t="shared" si="80"/>
        <v/>
      </c>
      <c r="Q528" s="9" t="str">
        <f t="shared" si="81"/>
        <v/>
      </c>
      <c r="R528" s="11"/>
      <c r="S528" s="11"/>
    </row>
    <row r="529" spans="1:19" x14ac:dyDescent="0.25">
      <c r="A529" s="30" t="s">
        <v>97</v>
      </c>
      <c r="B529" s="31">
        <f t="shared" si="73"/>
        <v>47270</v>
      </c>
      <c r="C529" s="30">
        <f>YEAR(BInputReservoir[[#This Row],[Date]])</f>
        <v>2029</v>
      </c>
      <c r="D529" s="30">
        <f>MONTH(BInputReservoir[[#This Row],[Date]])</f>
        <v>6</v>
      </c>
      <c r="E529" s="30" t="str">
        <f>IF(I529&lt;&gt;1,"",DATA_INPUT!$L169)</f>
        <v/>
      </c>
      <c r="F529" s="30" t="str">
        <f>STORAGE_BALANCE_ENSEMBLE!AI169</f>
        <v/>
      </c>
      <c r="G529" s="30" t="str">
        <f>STORAGE_BALANCE_ENSEMBLE!AJ169</f>
        <v/>
      </c>
      <c r="H529" s="30" t="str">
        <f>STORAGE_BALANCE_ENSEMBLE!AH169</f>
        <v/>
      </c>
      <c r="I529" s="18" t="str">
        <f t="shared" si="74"/>
        <v/>
      </c>
      <c r="J529" s="8" t="str">
        <f t="shared" si="75"/>
        <v/>
      </c>
      <c r="K529" s="9" t="str">
        <f t="shared" si="76"/>
        <v/>
      </c>
      <c r="L529" s="10" t="str">
        <f t="shared" si="77"/>
        <v/>
      </c>
      <c r="M529" s="10" t="str">
        <f>IF(I529&lt;&gt;1,"",IF(H529="","",H529/CONTROL_PANEL!$B$11))</f>
        <v/>
      </c>
      <c r="N529" s="9" t="str">
        <f t="shared" si="78"/>
        <v/>
      </c>
      <c r="O529" s="9" t="str">
        <f t="shared" si="79"/>
        <v/>
      </c>
      <c r="P529" s="9" t="str">
        <f t="shared" si="80"/>
        <v/>
      </c>
      <c r="Q529" s="9" t="str">
        <f t="shared" si="81"/>
        <v/>
      </c>
      <c r="R529" s="11"/>
      <c r="S529" s="11"/>
    </row>
    <row r="530" spans="1:19" x14ac:dyDescent="0.25">
      <c r="A530" s="30" t="s">
        <v>97</v>
      </c>
      <c r="B530" s="31">
        <f t="shared" si="73"/>
        <v>47300</v>
      </c>
      <c r="C530" s="30">
        <f>YEAR(BInputReservoir[[#This Row],[Date]])</f>
        <v>2029</v>
      </c>
      <c r="D530" s="30">
        <f>MONTH(BInputReservoir[[#This Row],[Date]])</f>
        <v>7</v>
      </c>
      <c r="E530" s="30" t="str">
        <f>IF(I530&lt;&gt;1,"",DATA_INPUT!$L170)</f>
        <v/>
      </c>
      <c r="F530" s="30" t="str">
        <f>STORAGE_BALANCE_ENSEMBLE!AI170</f>
        <v/>
      </c>
      <c r="G530" s="30" t="str">
        <f>STORAGE_BALANCE_ENSEMBLE!AJ170</f>
        <v/>
      </c>
      <c r="H530" s="30" t="str">
        <f>STORAGE_BALANCE_ENSEMBLE!AH170</f>
        <v/>
      </c>
      <c r="I530" s="18" t="str">
        <f t="shared" si="74"/>
        <v/>
      </c>
      <c r="J530" s="8" t="str">
        <f t="shared" si="75"/>
        <v/>
      </c>
      <c r="K530" s="9" t="str">
        <f t="shared" si="76"/>
        <v/>
      </c>
      <c r="L530" s="10" t="str">
        <f t="shared" si="77"/>
        <v/>
      </c>
      <c r="M530" s="10" t="str">
        <f>IF(I530&lt;&gt;1,"",IF(H530="","",H530/CONTROL_PANEL!$B$11))</f>
        <v/>
      </c>
      <c r="N530" s="9" t="str">
        <f t="shared" si="78"/>
        <v/>
      </c>
      <c r="O530" s="9" t="str">
        <f t="shared" si="79"/>
        <v/>
      </c>
      <c r="P530" s="9" t="str">
        <f t="shared" si="80"/>
        <v/>
      </c>
      <c r="Q530" s="9" t="str">
        <f t="shared" si="81"/>
        <v/>
      </c>
      <c r="R530" s="11"/>
      <c r="S530" s="11"/>
    </row>
    <row r="531" spans="1:19" x14ac:dyDescent="0.25">
      <c r="A531" s="30" t="s">
        <v>97</v>
      </c>
      <c r="B531" s="31">
        <f t="shared" si="73"/>
        <v>47331</v>
      </c>
      <c r="C531" s="30">
        <f>YEAR(BInputReservoir[[#This Row],[Date]])</f>
        <v>2029</v>
      </c>
      <c r="D531" s="30">
        <f>MONTH(BInputReservoir[[#This Row],[Date]])</f>
        <v>8</v>
      </c>
      <c r="E531" s="30" t="str">
        <f>IF(I531&lt;&gt;1,"",DATA_INPUT!$L171)</f>
        <v/>
      </c>
      <c r="F531" s="30" t="str">
        <f>STORAGE_BALANCE_ENSEMBLE!AI171</f>
        <v/>
      </c>
      <c r="G531" s="30" t="str">
        <f>STORAGE_BALANCE_ENSEMBLE!AJ171</f>
        <v/>
      </c>
      <c r="H531" s="30" t="str">
        <f>STORAGE_BALANCE_ENSEMBLE!AH171</f>
        <v/>
      </c>
      <c r="I531" s="18" t="str">
        <f t="shared" si="74"/>
        <v/>
      </c>
      <c r="J531" s="8" t="str">
        <f t="shared" si="75"/>
        <v/>
      </c>
      <c r="K531" s="9" t="str">
        <f t="shared" si="76"/>
        <v/>
      </c>
      <c r="L531" s="10" t="str">
        <f t="shared" si="77"/>
        <v/>
      </c>
      <c r="M531" s="10" t="str">
        <f>IF(I531&lt;&gt;1,"",IF(H531="","",H531/CONTROL_PANEL!$B$11))</f>
        <v/>
      </c>
      <c r="N531" s="9" t="str">
        <f t="shared" si="78"/>
        <v/>
      </c>
      <c r="O531" s="9" t="str">
        <f t="shared" si="79"/>
        <v/>
      </c>
      <c r="P531" s="9" t="str">
        <f t="shared" si="80"/>
        <v/>
      </c>
      <c r="Q531" s="9" t="str">
        <f t="shared" si="81"/>
        <v/>
      </c>
      <c r="R531" s="11"/>
      <c r="S531" s="11"/>
    </row>
    <row r="532" spans="1:19" x14ac:dyDescent="0.25">
      <c r="A532" s="30" t="s">
        <v>97</v>
      </c>
      <c r="B532" s="31">
        <f t="shared" si="73"/>
        <v>47362</v>
      </c>
      <c r="C532" s="30">
        <f>YEAR(BInputReservoir[[#This Row],[Date]])</f>
        <v>2029</v>
      </c>
      <c r="D532" s="30">
        <f>MONTH(BInputReservoir[[#This Row],[Date]])</f>
        <v>9</v>
      </c>
      <c r="E532" s="30" t="str">
        <f>IF(I532&lt;&gt;1,"",DATA_INPUT!$L172)</f>
        <v/>
      </c>
      <c r="F532" s="30" t="str">
        <f>STORAGE_BALANCE_ENSEMBLE!AI172</f>
        <v/>
      </c>
      <c r="G532" s="30" t="str">
        <f>STORAGE_BALANCE_ENSEMBLE!AJ172</f>
        <v/>
      </c>
      <c r="H532" s="30" t="str">
        <f>STORAGE_BALANCE_ENSEMBLE!AH172</f>
        <v/>
      </c>
      <c r="I532" s="18" t="str">
        <f t="shared" si="74"/>
        <v/>
      </c>
      <c r="J532" s="8" t="str">
        <f t="shared" si="75"/>
        <v/>
      </c>
      <c r="K532" s="9" t="str">
        <f t="shared" si="76"/>
        <v/>
      </c>
      <c r="L532" s="10" t="str">
        <f t="shared" si="77"/>
        <v/>
      </c>
      <c r="M532" s="10" t="str">
        <f>IF(I532&lt;&gt;1,"",IF(H532="","",H532/CONTROL_PANEL!$B$11))</f>
        <v/>
      </c>
      <c r="N532" s="9" t="str">
        <f t="shared" si="78"/>
        <v/>
      </c>
      <c r="O532" s="9" t="str">
        <f t="shared" si="79"/>
        <v/>
      </c>
      <c r="P532" s="9" t="str">
        <f t="shared" si="80"/>
        <v/>
      </c>
      <c r="Q532" s="9" t="str">
        <f t="shared" si="81"/>
        <v/>
      </c>
      <c r="R532" s="11"/>
      <c r="S532" s="11"/>
    </row>
    <row r="533" spans="1:19" x14ac:dyDescent="0.25">
      <c r="A533" s="30" t="s">
        <v>97</v>
      </c>
      <c r="B533" s="31">
        <f t="shared" si="73"/>
        <v>47392</v>
      </c>
      <c r="C533" s="30">
        <f>YEAR(BInputReservoir[[#This Row],[Date]])</f>
        <v>2029</v>
      </c>
      <c r="D533" s="30">
        <f>MONTH(BInputReservoir[[#This Row],[Date]])</f>
        <v>10</v>
      </c>
      <c r="E533" s="30" t="str">
        <f>IF(I533&lt;&gt;1,"",DATA_INPUT!$L173)</f>
        <v/>
      </c>
      <c r="F533" s="30" t="str">
        <f>STORAGE_BALANCE_ENSEMBLE!AI173</f>
        <v/>
      </c>
      <c r="G533" s="30" t="str">
        <f>STORAGE_BALANCE_ENSEMBLE!AJ173</f>
        <v/>
      </c>
      <c r="H533" s="30" t="str">
        <f>STORAGE_BALANCE_ENSEMBLE!AH173</f>
        <v/>
      </c>
      <c r="I533" s="18" t="str">
        <f t="shared" si="74"/>
        <v/>
      </c>
      <c r="J533" s="8" t="str">
        <f t="shared" si="75"/>
        <v/>
      </c>
      <c r="K533" s="9" t="str">
        <f t="shared" si="76"/>
        <v/>
      </c>
      <c r="L533" s="10" t="str">
        <f t="shared" si="77"/>
        <v/>
      </c>
      <c r="M533" s="10" t="str">
        <f>IF(I533&lt;&gt;1,"",IF(H533="","",H533/CONTROL_PANEL!$B$11))</f>
        <v/>
      </c>
      <c r="N533" s="9" t="str">
        <f t="shared" si="78"/>
        <v/>
      </c>
      <c r="O533" s="9" t="str">
        <f t="shared" si="79"/>
        <v/>
      </c>
      <c r="P533" s="9" t="str">
        <f t="shared" si="80"/>
        <v/>
      </c>
      <c r="Q533" s="9" t="str">
        <f t="shared" si="81"/>
        <v/>
      </c>
      <c r="R533" s="11"/>
      <c r="S533" s="11"/>
    </row>
    <row r="534" spans="1:19" x14ac:dyDescent="0.25">
      <c r="A534" s="30" t="s">
        <v>97</v>
      </c>
      <c r="B534" s="31">
        <f t="shared" si="73"/>
        <v>47423</v>
      </c>
      <c r="C534" s="30">
        <f>YEAR(BInputReservoir[[#This Row],[Date]])</f>
        <v>2029</v>
      </c>
      <c r="D534" s="30">
        <f>MONTH(BInputReservoir[[#This Row],[Date]])</f>
        <v>11</v>
      </c>
      <c r="E534" s="30" t="str">
        <f>IF(I534&lt;&gt;1,"",DATA_INPUT!$L174)</f>
        <v/>
      </c>
      <c r="F534" s="30" t="str">
        <f>STORAGE_BALANCE_ENSEMBLE!AI174</f>
        <v/>
      </c>
      <c r="G534" s="30" t="str">
        <f>STORAGE_BALANCE_ENSEMBLE!AJ174</f>
        <v/>
      </c>
      <c r="H534" s="30" t="str">
        <f>STORAGE_BALANCE_ENSEMBLE!AH174</f>
        <v/>
      </c>
      <c r="I534" s="18" t="str">
        <f t="shared" si="74"/>
        <v/>
      </c>
      <c r="J534" s="8" t="str">
        <f t="shared" si="75"/>
        <v/>
      </c>
      <c r="K534" s="9" t="str">
        <f t="shared" si="76"/>
        <v/>
      </c>
      <c r="L534" s="10" t="str">
        <f t="shared" si="77"/>
        <v/>
      </c>
      <c r="M534" s="10" t="str">
        <f>IF(I534&lt;&gt;1,"",IF(H534="","",H534/CONTROL_PANEL!$B$11))</f>
        <v/>
      </c>
      <c r="N534" s="9" t="str">
        <f t="shared" si="78"/>
        <v/>
      </c>
      <c r="O534" s="9" t="str">
        <f t="shared" si="79"/>
        <v/>
      </c>
      <c r="P534" s="9" t="str">
        <f t="shared" si="80"/>
        <v/>
      </c>
      <c r="Q534" s="9" t="str">
        <f t="shared" si="81"/>
        <v/>
      </c>
      <c r="R534" s="11"/>
      <c r="S534" s="11"/>
    </row>
    <row r="535" spans="1:19" x14ac:dyDescent="0.25">
      <c r="A535" s="30" t="s">
        <v>97</v>
      </c>
      <c r="B535" s="31">
        <f t="shared" si="73"/>
        <v>47453</v>
      </c>
      <c r="C535" s="30">
        <f>YEAR(BInputReservoir[[#This Row],[Date]])</f>
        <v>2029</v>
      </c>
      <c r="D535" s="30">
        <f>MONTH(BInputReservoir[[#This Row],[Date]])</f>
        <v>12</v>
      </c>
      <c r="E535" s="30" t="str">
        <f>IF(I535&lt;&gt;1,"",DATA_INPUT!$L175)</f>
        <v/>
      </c>
      <c r="F535" s="30" t="str">
        <f>STORAGE_BALANCE_ENSEMBLE!AI175</f>
        <v/>
      </c>
      <c r="G535" s="30" t="str">
        <f>STORAGE_BALANCE_ENSEMBLE!AJ175</f>
        <v/>
      </c>
      <c r="H535" s="30" t="str">
        <f>STORAGE_BALANCE_ENSEMBLE!AH175</f>
        <v/>
      </c>
      <c r="I535" s="18" t="str">
        <f t="shared" si="74"/>
        <v/>
      </c>
      <c r="J535" s="8" t="str">
        <f t="shared" si="75"/>
        <v/>
      </c>
      <c r="K535" s="9" t="str">
        <f t="shared" si="76"/>
        <v/>
      </c>
      <c r="L535" s="10" t="str">
        <f t="shared" si="77"/>
        <v/>
      </c>
      <c r="M535" s="10" t="str">
        <f>IF(I535&lt;&gt;1,"",IF(H535="","",H535/CONTROL_PANEL!$B$11))</f>
        <v/>
      </c>
      <c r="N535" s="9" t="str">
        <f t="shared" si="78"/>
        <v/>
      </c>
      <c r="O535" s="9" t="str">
        <f t="shared" si="79"/>
        <v/>
      </c>
      <c r="P535" s="9" t="str">
        <f t="shared" si="80"/>
        <v/>
      </c>
      <c r="Q535" s="9" t="str">
        <f t="shared" si="81"/>
        <v/>
      </c>
      <c r="R535" s="11"/>
      <c r="S535" s="11"/>
    </row>
    <row r="536" spans="1:19" x14ac:dyDescent="0.25">
      <c r="A536" s="30" t="s">
        <v>97</v>
      </c>
      <c r="B536" s="31">
        <f t="shared" si="73"/>
        <v>47484</v>
      </c>
      <c r="C536" s="30">
        <f>YEAR(BInputReservoir[[#This Row],[Date]])</f>
        <v>2030</v>
      </c>
      <c r="D536" s="30">
        <f>MONTH(BInputReservoir[[#This Row],[Date]])</f>
        <v>1</v>
      </c>
      <c r="E536" s="30" t="str">
        <f>IF(I536&lt;&gt;1,"",DATA_INPUT!$L176)</f>
        <v/>
      </c>
      <c r="F536" s="30" t="str">
        <f>STORAGE_BALANCE_ENSEMBLE!AI176</f>
        <v/>
      </c>
      <c r="G536" s="30" t="str">
        <f>STORAGE_BALANCE_ENSEMBLE!AJ176</f>
        <v/>
      </c>
      <c r="H536" s="30" t="str">
        <f>STORAGE_BALANCE_ENSEMBLE!AH176</f>
        <v/>
      </c>
      <c r="I536" s="18" t="str">
        <f t="shared" si="74"/>
        <v/>
      </c>
      <c r="J536" s="8" t="str">
        <f t="shared" si="75"/>
        <v/>
      </c>
      <c r="K536" s="9" t="str">
        <f t="shared" si="76"/>
        <v/>
      </c>
      <c r="L536" s="10" t="str">
        <f t="shared" si="77"/>
        <v/>
      </c>
      <c r="M536" s="10" t="str">
        <f>IF(I536&lt;&gt;1,"",IF(H536="","",H536/CONTROL_PANEL!$B$11))</f>
        <v/>
      </c>
      <c r="N536" s="9" t="str">
        <f t="shared" si="78"/>
        <v/>
      </c>
      <c r="O536" s="9" t="str">
        <f t="shared" si="79"/>
        <v/>
      </c>
      <c r="P536" s="9" t="str">
        <f t="shared" si="80"/>
        <v/>
      </c>
      <c r="Q536" s="9" t="str">
        <f t="shared" si="81"/>
        <v/>
      </c>
      <c r="R536" s="11"/>
      <c r="S536" s="11"/>
    </row>
    <row r="537" spans="1:19" x14ac:dyDescent="0.25">
      <c r="A537" s="30" t="s">
        <v>97</v>
      </c>
      <c r="B537" s="31">
        <f t="shared" si="73"/>
        <v>47515</v>
      </c>
      <c r="C537" s="30">
        <f>YEAR(BInputReservoir[[#This Row],[Date]])</f>
        <v>2030</v>
      </c>
      <c r="D537" s="30">
        <f>MONTH(BInputReservoir[[#This Row],[Date]])</f>
        <v>2</v>
      </c>
      <c r="E537" s="30" t="str">
        <f>IF(I537&lt;&gt;1,"",DATA_INPUT!$L177)</f>
        <v/>
      </c>
      <c r="F537" s="30" t="str">
        <f>STORAGE_BALANCE_ENSEMBLE!AI177</f>
        <v/>
      </c>
      <c r="G537" s="30" t="str">
        <f>STORAGE_BALANCE_ENSEMBLE!AJ177</f>
        <v/>
      </c>
      <c r="H537" s="30" t="str">
        <f>STORAGE_BALANCE_ENSEMBLE!AH177</f>
        <v/>
      </c>
      <c r="I537" s="18" t="str">
        <f t="shared" si="74"/>
        <v/>
      </c>
      <c r="J537" s="8" t="str">
        <f t="shared" si="75"/>
        <v/>
      </c>
      <c r="K537" s="9" t="str">
        <f t="shared" si="76"/>
        <v/>
      </c>
      <c r="L537" s="10" t="str">
        <f t="shared" si="77"/>
        <v/>
      </c>
      <c r="M537" s="10" t="str">
        <f>IF(I537&lt;&gt;1,"",IF(H537="","",H537/CONTROL_PANEL!$B$11))</f>
        <v/>
      </c>
      <c r="N537" s="9" t="str">
        <f t="shared" si="78"/>
        <v/>
      </c>
      <c r="O537" s="9" t="str">
        <f t="shared" si="79"/>
        <v/>
      </c>
      <c r="P537" s="9" t="str">
        <f t="shared" si="80"/>
        <v/>
      </c>
      <c r="Q537" s="9" t="str">
        <f t="shared" si="81"/>
        <v/>
      </c>
      <c r="R537" s="11"/>
      <c r="S537" s="11"/>
    </row>
    <row r="538" spans="1:19" x14ac:dyDescent="0.25">
      <c r="A538" s="30" t="s">
        <v>97</v>
      </c>
      <c r="B538" s="31">
        <f t="shared" si="73"/>
        <v>47543</v>
      </c>
      <c r="C538" s="30">
        <f>YEAR(BInputReservoir[[#This Row],[Date]])</f>
        <v>2030</v>
      </c>
      <c r="D538" s="30">
        <f>MONTH(BInputReservoir[[#This Row],[Date]])</f>
        <v>3</v>
      </c>
      <c r="E538" s="30" t="str">
        <f>IF(I538&lt;&gt;1,"",DATA_INPUT!$L178)</f>
        <v/>
      </c>
      <c r="F538" s="30" t="str">
        <f>STORAGE_BALANCE_ENSEMBLE!AI178</f>
        <v/>
      </c>
      <c r="G538" s="30" t="str">
        <f>STORAGE_BALANCE_ENSEMBLE!AJ178</f>
        <v/>
      </c>
      <c r="H538" s="30" t="str">
        <f>STORAGE_BALANCE_ENSEMBLE!AH178</f>
        <v/>
      </c>
      <c r="I538" s="18" t="str">
        <f t="shared" si="74"/>
        <v/>
      </c>
      <c r="J538" s="8" t="str">
        <f t="shared" si="75"/>
        <v/>
      </c>
      <c r="K538" s="9" t="str">
        <f t="shared" si="76"/>
        <v/>
      </c>
      <c r="L538" s="10" t="str">
        <f t="shared" si="77"/>
        <v/>
      </c>
      <c r="M538" s="10" t="str">
        <f>IF(I538&lt;&gt;1,"",IF(H538="","",H538/CONTROL_PANEL!$B$11))</f>
        <v/>
      </c>
      <c r="N538" s="9" t="str">
        <f t="shared" si="78"/>
        <v/>
      </c>
      <c r="O538" s="9" t="str">
        <f t="shared" si="79"/>
        <v/>
      </c>
      <c r="P538" s="9" t="str">
        <f t="shared" si="80"/>
        <v/>
      </c>
      <c r="Q538" s="9" t="str">
        <f t="shared" si="81"/>
        <v/>
      </c>
      <c r="R538" s="11"/>
      <c r="S538" s="11"/>
    </row>
    <row r="539" spans="1:19" x14ac:dyDescent="0.25">
      <c r="A539" s="30" t="s">
        <v>97</v>
      </c>
      <c r="B539" s="31">
        <f t="shared" si="73"/>
        <v>47574</v>
      </c>
      <c r="C539" s="30">
        <f>YEAR(BInputReservoir[[#This Row],[Date]])</f>
        <v>2030</v>
      </c>
      <c r="D539" s="30">
        <f>MONTH(BInputReservoir[[#This Row],[Date]])</f>
        <v>4</v>
      </c>
      <c r="E539" s="30" t="str">
        <f>IF(I539&lt;&gt;1,"",DATA_INPUT!$L179)</f>
        <v/>
      </c>
      <c r="F539" s="30" t="str">
        <f>STORAGE_BALANCE_ENSEMBLE!AI179</f>
        <v/>
      </c>
      <c r="G539" s="30" t="str">
        <f>STORAGE_BALANCE_ENSEMBLE!AJ179</f>
        <v/>
      </c>
      <c r="H539" s="30" t="str">
        <f>STORAGE_BALANCE_ENSEMBLE!AH179</f>
        <v/>
      </c>
      <c r="I539" s="18" t="str">
        <f t="shared" si="74"/>
        <v/>
      </c>
      <c r="J539" s="8" t="str">
        <f t="shared" si="75"/>
        <v/>
      </c>
      <c r="K539" s="9" t="str">
        <f t="shared" si="76"/>
        <v/>
      </c>
      <c r="L539" s="10" t="str">
        <f t="shared" si="77"/>
        <v/>
      </c>
      <c r="M539" s="10" t="str">
        <f>IF(I539&lt;&gt;1,"",IF(H539="","",H539/CONTROL_PANEL!$B$11))</f>
        <v/>
      </c>
      <c r="N539" s="9" t="str">
        <f t="shared" si="78"/>
        <v/>
      </c>
      <c r="O539" s="9" t="str">
        <f t="shared" si="79"/>
        <v/>
      </c>
      <c r="P539" s="9" t="str">
        <f t="shared" si="80"/>
        <v/>
      </c>
      <c r="Q539" s="9" t="str">
        <f t="shared" si="81"/>
        <v/>
      </c>
      <c r="R539" s="11"/>
      <c r="S539" s="11"/>
    </row>
    <row r="540" spans="1:19" x14ac:dyDescent="0.25">
      <c r="A540" s="30" t="s">
        <v>97</v>
      </c>
      <c r="B540" s="31">
        <f t="shared" si="73"/>
        <v>47604</v>
      </c>
      <c r="C540" s="30">
        <f>YEAR(BInputReservoir[[#This Row],[Date]])</f>
        <v>2030</v>
      </c>
      <c r="D540" s="30">
        <f>MONTH(BInputReservoir[[#This Row],[Date]])</f>
        <v>5</v>
      </c>
      <c r="E540" s="30" t="str">
        <f>IF(I540&lt;&gt;1,"",DATA_INPUT!$L180)</f>
        <v/>
      </c>
      <c r="F540" s="30" t="str">
        <f>STORAGE_BALANCE_ENSEMBLE!AI180</f>
        <v/>
      </c>
      <c r="G540" s="30" t="str">
        <f>STORAGE_BALANCE_ENSEMBLE!AJ180</f>
        <v/>
      </c>
      <c r="H540" s="30" t="str">
        <f>STORAGE_BALANCE_ENSEMBLE!AH180</f>
        <v/>
      </c>
      <c r="I540" s="18" t="str">
        <f t="shared" si="74"/>
        <v/>
      </c>
      <c r="J540" s="8" t="str">
        <f t="shared" si="75"/>
        <v/>
      </c>
      <c r="K540" s="9" t="str">
        <f t="shared" si="76"/>
        <v/>
      </c>
      <c r="L540" s="10" t="str">
        <f t="shared" si="77"/>
        <v/>
      </c>
      <c r="M540" s="10" t="str">
        <f>IF(I540&lt;&gt;1,"",IF(H540="","",H540/CONTROL_PANEL!$B$11))</f>
        <v/>
      </c>
      <c r="N540" s="9" t="str">
        <f t="shared" si="78"/>
        <v/>
      </c>
      <c r="O540" s="9" t="str">
        <f t="shared" si="79"/>
        <v/>
      </c>
      <c r="P540" s="9" t="str">
        <f t="shared" si="80"/>
        <v/>
      </c>
      <c r="Q540" s="9" t="str">
        <f t="shared" si="81"/>
        <v/>
      </c>
      <c r="R540" s="11"/>
      <c r="S540" s="11"/>
    </row>
    <row r="541" spans="1:19" x14ac:dyDescent="0.25">
      <c r="A541" s="30" t="s">
        <v>97</v>
      </c>
      <c r="B541" s="31">
        <f t="shared" si="73"/>
        <v>47635</v>
      </c>
      <c r="C541" s="30">
        <f>YEAR(BInputReservoir[[#This Row],[Date]])</f>
        <v>2030</v>
      </c>
      <c r="D541" s="30">
        <f>MONTH(BInputReservoir[[#This Row],[Date]])</f>
        <v>6</v>
      </c>
      <c r="E541" s="30" t="str">
        <f>IF(I541&lt;&gt;1,"",DATA_INPUT!$L181)</f>
        <v/>
      </c>
      <c r="F541" s="30" t="str">
        <f>STORAGE_BALANCE_ENSEMBLE!AI181</f>
        <v/>
      </c>
      <c r="G541" s="30" t="str">
        <f>STORAGE_BALANCE_ENSEMBLE!AJ181</f>
        <v/>
      </c>
      <c r="H541" s="30" t="str">
        <f>STORAGE_BALANCE_ENSEMBLE!AH181</f>
        <v/>
      </c>
      <c r="I541" s="18" t="str">
        <f t="shared" si="74"/>
        <v/>
      </c>
      <c r="J541" s="8" t="str">
        <f t="shared" si="75"/>
        <v/>
      </c>
      <c r="K541" s="9" t="str">
        <f t="shared" si="76"/>
        <v/>
      </c>
      <c r="L541" s="10" t="str">
        <f t="shared" si="77"/>
        <v/>
      </c>
      <c r="M541" s="10" t="str">
        <f>IF(I541&lt;&gt;1,"",IF(H541="","",H541/CONTROL_PANEL!$B$11))</f>
        <v/>
      </c>
      <c r="N541" s="9" t="str">
        <f t="shared" si="78"/>
        <v/>
      </c>
      <c r="O541" s="9" t="str">
        <f t="shared" si="79"/>
        <v/>
      </c>
      <c r="P541" s="9" t="str">
        <f t="shared" si="80"/>
        <v/>
      </c>
      <c r="Q541" s="9" t="str">
        <f t="shared" si="81"/>
        <v/>
      </c>
      <c r="R541" s="11"/>
      <c r="S541" s="11"/>
    </row>
    <row r="542" spans="1:19" x14ac:dyDescent="0.25">
      <c r="A542" s="30" t="s">
        <v>97</v>
      </c>
      <c r="B542" s="31">
        <f t="shared" si="73"/>
        <v>47665</v>
      </c>
      <c r="C542" s="30">
        <f>YEAR(BInputReservoir[[#This Row],[Date]])</f>
        <v>2030</v>
      </c>
      <c r="D542" s="30">
        <f>MONTH(BInputReservoir[[#This Row],[Date]])</f>
        <v>7</v>
      </c>
      <c r="E542" s="30" t="str">
        <f>IF(I542&lt;&gt;1,"",DATA_INPUT!$L182)</f>
        <v/>
      </c>
      <c r="F542" s="30" t="str">
        <f>STORAGE_BALANCE_ENSEMBLE!AI182</f>
        <v/>
      </c>
      <c r="G542" s="30" t="str">
        <f>STORAGE_BALANCE_ENSEMBLE!AJ182</f>
        <v/>
      </c>
      <c r="H542" s="30" t="str">
        <f>STORAGE_BALANCE_ENSEMBLE!AH182</f>
        <v/>
      </c>
      <c r="I542" s="18" t="str">
        <f t="shared" si="74"/>
        <v/>
      </c>
      <c r="J542" s="8" t="str">
        <f t="shared" si="75"/>
        <v/>
      </c>
      <c r="K542" s="9" t="str">
        <f t="shared" si="76"/>
        <v/>
      </c>
      <c r="L542" s="10" t="str">
        <f t="shared" si="77"/>
        <v/>
      </c>
      <c r="M542" s="10" t="str">
        <f>IF(I542&lt;&gt;1,"",IF(H542="","",H542/CONTROL_PANEL!$B$11))</f>
        <v/>
      </c>
      <c r="N542" s="9" t="str">
        <f t="shared" si="78"/>
        <v/>
      </c>
      <c r="O542" s="9" t="str">
        <f t="shared" si="79"/>
        <v/>
      </c>
      <c r="P542" s="9" t="str">
        <f t="shared" si="80"/>
        <v/>
      </c>
      <c r="Q542" s="9" t="str">
        <f t="shared" si="81"/>
        <v/>
      </c>
      <c r="R542" s="11"/>
      <c r="S542" s="11"/>
    </row>
    <row r="543" spans="1:19" x14ac:dyDescent="0.25">
      <c r="A543" s="30" t="s">
        <v>97</v>
      </c>
      <c r="B543" s="31">
        <f t="shared" si="73"/>
        <v>47696</v>
      </c>
      <c r="C543" s="30">
        <f>YEAR(BInputReservoir[[#This Row],[Date]])</f>
        <v>2030</v>
      </c>
      <c r="D543" s="30">
        <f>MONTH(BInputReservoir[[#This Row],[Date]])</f>
        <v>8</v>
      </c>
      <c r="E543" s="30" t="str">
        <f>IF(I543&lt;&gt;1,"",DATA_INPUT!$L183)</f>
        <v/>
      </c>
      <c r="F543" s="30" t="str">
        <f>STORAGE_BALANCE_ENSEMBLE!AI183</f>
        <v/>
      </c>
      <c r="G543" s="30" t="str">
        <f>STORAGE_BALANCE_ENSEMBLE!AJ183</f>
        <v/>
      </c>
      <c r="H543" s="30" t="str">
        <f>STORAGE_BALANCE_ENSEMBLE!AH183</f>
        <v/>
      </c>
      <c r="I543" s="18" t="str">
        <f t="shared" si="74"/>
        <v/>
      </c>
      <c r="J543" s="8" t="str">
        <f t="shared" si="75"/>
        <v/>
      </c>
      <c r="K543" s="9" t="str">
        <f t="shared" si="76"/>
        <v/>
      </c>
      <c r="L543" s="10" t="str">
        <f t="shared" si="77"/>
        <v/>
      </c>
      <c r="M543" s="10" t="str">
        <f>IF(I543&lt;&gt;1,"",IF(H543="","",H543/CONTROL_PANEL!$B$11))</f>
        <v/>
      </c>
      <c r="N543" s="9" t="str">
        <f t="shared" si="78"/>
        <v/>
      </c>
      <c r="O543" s="9" t="str">
        <f t="shared" si="79"/>
        <v/>
      </c>
      <c r="P543" s="9" t="str">
        <f t="shared" si="80"/>
        <v/>
      </c>
      <c r="Q543" s="9" t="str">
        <f t="shared" si="81"/>
        <v/>
      </c>
      <c r="R543" s="11"/>
      <c r="S543" s="11"/>
    </row>
    <row r="544" spans="1:19" x14ac:dyDescent="0.25">
      <c r="A544" s="30" t="s">
        <v>97</v>
      </c>
      <c r="B544" s="31">
        <f t="shared" si="73"/>
        <v>47727</v>
      </c>
      <c r="C544" s="30">
        <f>YEAR(BInputReservoir[[#This Row],[Date]])</f>
        <v>2030</v>
      </c>
      <c r="D544" s="30">
        <f>MONTH(BInputReservoir[[#This Row],[Date]])</f>
        <v>9</v>
      </c>
      <c r="E544" s="30" t="str">
        <f>IF(I544&lt;&gt;1,"",DATA_INPUT!$L184)</f>
        <v/>
      </c>
      <c r="F544" s="30" t="str">
        <f>STORAGE_BALANCE_ENSEMBLE!AI184</f>
        <v/>
      </c>
      <c r="G544" s="30" t="str">
        <f>STORAGE_BALANCE_ENSEMBLE!AJ184</f>
        <v/>
      </c>
      <c r="H544" s="30" t="str">
        <f>STORAGE_BALANCE_ENSEMBLE!AH184</f>
        <v/>
      </c>
      <c r="I544" s="18" t="str">
        <f t="shared" si="74"/>
        <v/>
      </c>
      <c r="J544" s="8" t="str">
        <f t="shared" si="75"/>
        <v/>
      </c>
      <c r="K544" s="9" t="str">
        <f t="shared" si="76"/>
        <v/>
      </c>
      <c r="L544" s="10" t="str">
        <f t="shared" si="77"/>
        <v/>
      </c>
      <c r="M544" s="10" t="str">
        <f>IF(I544&lt;&gt;1,"",IF(H544="","",H544/CONTROL_PANEL!$B$11))</f>
        <v/>
      </c>
      <c r="N544" s="9" t="str">
        <f t="shared" si="78"/>
        <v/>
      </c>
      <c r="O544" s="9" t="str">
        <f t="shared" si="79"/>
        <v/>
      </c>
      <c r="P544" s="9" t="str">
        <f t="shared" si="80"/>
        <v/>
      </c>
      <c r="Q544" s="9" t="str">
        <f t="shared" si="81"/>
        <v/>
      </c>
      <c r="R544" s="11"/>
      <c r="S544" s="11"/>
    </row>
    <row r="545" spans="1:19" x14ac:dyDescent="0.25">
      <c r="A545" s="30" t="s">
        <v>97</v>
      </c>
      <c r="B545" s="31">
        <f t="shared" si="73"/>
        <v>47757</v>
      </c>
      <c r="C545" s="30">
        <f>YEAR(BInputReservoir[[#This Row],[Date]])</f>
        <v>2030</v>
      </c>
      <c r="D545" s="30">
        <f>MONTH(BInputReservoir[[#This Row],[Date]])</f>
        <v>10</v>
      </c>
      <c r="E545" s="30" t="str">
        <f>IF(I545&lt;&gt;1,"",DATA_INPUT!$L185)</f>
        <v/>
      </c>
      <c r="F545" s="30" t="str">
        <f>STORAGE_BALANCE_ENSEMBLE!AI185</f>
        <v/>
      </c>
      <c r="G545" s="30" t="str">
        <f>STORAGE_BALANCE_ENSEMBLE!AJ185</f>
        <v/>
      </c>
      <c r="H545" s="30" t="str">
        <f>STORAGE_BALANCE_ENSEMBLE!AH185</f>
        <v/>
      </c>
      <c r="I545" s="18" t="str">
        <f t="shared" si="74"/>
        <v/>
      </c>
      <c r="J545" s="8" t="str">
        <f t="shared" si="75"/>
        <v/>
      </c>
      <c r="K545" s="9" t="str">
        <f t="shared" si="76"/>
        <v/>
      </c>
      <c r="L545" s="10" t="str">
        <f t="shared" si="77"/>
        <v/>
      </c>
      <c r="M545" s="10" t="str">
        <f>IF(I545&lt;&gt;1,"",IF(H545="","",H545/CONTROL_PANEL!$B$11))</f>
        <v/>
      </c>
      <c r="N545" s="9" t="str">
        <f t="shared" si="78"/>
        <v/>
      </c>
      <c r="O545" s="9" t="str">
        <f t="shared" si="79"/>
        <v/>
      </c>
      <c r="P545" s="9" t="str">
        <f t="shared" si="80"/>
        <v/>
      </c>
      <c r="Q545" s="9" t="str">
        <f t="shared" si="81"/>
        <v/>
      </c>
      <c r="R545" s="11"/>
      <c r="S545" s="11"/>
    </row>
    <row r="546" spans="1:19" x14ac:dyDescent="0.25">
      <c r="A546" s="30" t="s">
        <v>97</v>
      </c>
      <c r="B546" s="31">
        <f t="shared" si="73"/>
        <v>47788</v>
      </c>
      <c r="C546" s="30">
        <f>YEAR(BInputReservoir[[#This Row],[Date]])</f>
        <v>2030</v>
      </c>
      <c r="D546" s="30">
        <f>MONTH(BInputReservoir[[#This Row],[Date]])</f>
        <v>11</v>
      </c>
      <c r="E546" s="30" t="str">
        <f>IF(I546&lt;&gt;1,"",DATA_INPUT!$L186)</f>
        <v/>
      </c>
      <c r="F546" s="30" t="str">
        <f>STORAGE_BALANCE_ENSEMBLE!AI186</f>
        <v/>
      </c>
      <c r="G546" s="30" t="str">
        <f>STORAGE_BALANCE_ENSEMBLE!AJ186</f>
        <v/>
      </c>
      <c r="H546" s="30" t="str">
        <f>STORAGE_BALANCE_ENSEMBLE!AH186</f>
        <v/>
      </c>
      <c r="I546" s="18" t="str">
        <f t="shared" si="74"/>
        <v/>
      </c>
      <c r="J546" s="8" t="str">
        <f t="shared" si="75"/>
        <v/>
      </c>
      <c r="K546" s="9" t="str">
        <f t="shared" si="76"/>
        <v/>
      </c>
      <c r="L546" s="10" t="str">
        <f t="shared" si="77"/>
        <v/>
      </c>
      <c r="M546" s="10" t="str">
        <f>IF(I546&lt;&gt;1,"",IF(H546="","",H546/CONTROL_PANEL!$B$11))</f>
        <v/>
      </c>
      <c r="N546" s="9" t="str">
        <f t="shared" si="78"/>
        <v/>
      </c>
      <c r="O546" s="9" t="str">
        <f t="shared" si="79"/>
        <v/>
      </c>
      <c r="P546" s="9" t="str">
        <f t="shared" si="80"/>
        <v/>
      </c>
      <c r="Q546" s="9" t="str">
        <f t="shared" si="81"/>
        <v/>
      </c>
      <c r="R546" s="11"/>
      <c r="S546" s="11"/>
    </row>
    <row r="547" spans="1:19" x14ac:dyDescent="0.25">
      <c r="A547" s="30" t="s">
        <v>97</v>
      </c>
      <c r="B547" s="31">
        <f t="shared" si="73"/>
        <v>47818</v>
      </c>
      <c r="C547" s="30">
        <f>YEAR(BInputReservoir[[#This Row],[Date]])</f>
        <v>2030</v>
      </c>
      <c r="D547" s="30">
        <f>MONTH(BInputReservoir[[#This Row],[Date]])</f>
        <v>12</v>
      </c>
      <c r="E547" s="30" t="str">
        <f>IF(I547&lt;&gt;1,"",DATA_INPUT!$L187)</f>
        <v/>
      </c>
      <c r="F547" s="30" t="str">
        <f>STORAGE_BALANCE_ENSEMBLE!AI187</f>
        <v/>
      </c>
      <c r="G547" s="30" t="str">
        <f>STORAGE_BALANCE_ENSEMBLE!AJ187</f>
        <v/>
      </c>
      <c r="H547" s="30" t="str">
        <f>STORAGE_BALANCE_ENSEMBLE!AH187</f>
        <v/>
      </c>
      <c r="I547" s="18" t="str">
        <f t="shared" si="74"/>
        <v/>
      </c>
      <c r="J547" s="8" t="str">
        <f t="shared" si="75"/>
        <v/>
      </c>
      <c r="K547" s="9" t="str">
        <f t="shared" si="76"/>
        <v/>
      </c>
      <c r="L547" s="10" t="str">
        <f t="shared" si="77"/>
        <v/>
      </c>
      <c r="M547" s="10" t="str">
        <f>IF(I547&lt;&gt;1,"",IF(H547="","",H547/CONTROL_PANEL!$B$11))</f>
        <v/>
      </c>
      <c r="N547" s="9" t="str">
        <f t="shared" si="78"/>
        <v/>
      </c>
      <c r="O547" s="9" t="str">
        <f t="shared" si="79"/>
        <v/>
      </c>
      <c r="P547" s="9" t="str">
        <f t="shared" si="80"/>
        <v/>
      </c>
      <c r="Q547" s="9" t="str">
        <f t="shared" si="81"/>
        <v/>
      </c>
      <c r="R547" s="11"/>
      <c r="S547" s="11"/>
    </row>
    <row r="548" spans="1:19" x14ac:dyDescent="0.25">
      <c r="A548" s="30" t="s">
        <v>97</v>
      </c>
      <c r="B548" s="31">
        <f t="shared" si="73"/>
        <v>47849</v>
      </c>
      <c r="C548" s="30">
        <f>YEAR(BInputReservoir[[#This Row],[Date]])</f>
        <v>2031</v>
      </c>
      <c r="D548" s="30">
        <f>MONTH(BInputReservoir[[#This Row],[Date]])</f>
        <v>1</v>
      </c>
      <c r="E548" s="30" t="str">
        <f>IF(I548&lt;&gt;1,"",DATA_INPUT!$L188)</f>
        <v/>
      </c>
      <c r="F548" s="30" t="str">
        <f>STORAGE_BALANCE_ENSEMBLE!AI188</f>
        <v/>
      </c>
      <c r="G548" s="30" t="str">
        <f>STORAGE_BALANCE_ENSEMBLE!AJ188</f>
        <v/>
      </c>
      <c r="H548" s="30" t="str">
        <f>STORAGE_BALANCE_ENSEMBLE!AH188</f>
        <v/>
      </c>
      <c r="I548" s="18" t="str">
        <f t="shared" si="74"/>
        <v/>
      </c>
      <c r="J548" s="8" t="str">
        <f t="shared" si="75"/>
        <v/>
      </c>
      <c r="K548" s="9" t="str">
        <f t="shared" si="76"/>
        <v/>
      </c>
      <c r="L548" s="10" t="str">
        <f t="shared" si="77"/>
        <v/>
      </c>
      <c r="M548" s="10" t="str">
        <f>IF(I548&lt;&gt;1,"",IF(H548="","",H548/CONTROL_PANEL!$B$11))</f>
        <v/>
      </c>
      <c r="N548" s="9" t="str">
        <f t="shared" si="78"/>
        <v/>
      </c>
      <c r="O548" s="9" t="str">
        <f t="shared" si="79"/>
        <v/>
      </c>
      <c r="P548" s="9" t="str">
        <f t="shared" si="80"/>
        <v/>
      </c>
      <c r="Q548" s="9" t="str">
        <f t="shared" si="81"/>
        <v/>
      </c>
      <c r="R548" s="11"/>
      <c r="S548" s="11"/>
    </row>
    <row r="549" spans="1:19" x14ac:dyDescent="0.25">
      <c r="A549" s="30" t="s">
        <v>97</v>
      </c>
      <c r="B549" s="31">
        <f t="shared" ref="B549:B612" si="82">B188</f>
        <v>47880</v>
      </c>
      <c r="C549" s="30">
        <f>YEAR(BInputReservoir[[#This Row],[Date]])</f>
        <v>2031</v>
      </c>
      <c r="D549" s="30">
        <f>MONTH(BInputReservoir[[#This Row],[Date]])</f>
        <v>2</v>
      </c>
      <c r="E549" s="30" t="str">
        <f>IF(I549&lt;&gt;1,"",DATA_INPUT!$L189)</f>
        <v/>
      </c>
      <c r="F549" s="30" t="str">
        <f>STORAGE_BALANCE_ENSEMBLE!AI189</f>
        <v/>
      </c>
      <c r="G549" s="30" t="str">
        <f>STORAGE_BALANCE_ENSEMBLE!AJ189</f>
        <v/>
      </c>
      <c r="H549" s="30" t="str">
        <f>STORAGE_BALANCE_ENSEMBLE!AH189</f>
        <v/>
      </c>
      <c r="I549" s="18" t="str">
        <f t="shared" si="74"/>
        <v/>
      </c>
      <c r="J549" s="8" t="str">
        <f t="shared" si="75"/>
        <v/>
      </c>
      <c r="K549" s="9" t="str">
        <f t="shared" si="76"/>
        <v/>
      </c>
      <c r="L549" s="10" t="str">
        <f t="shared" si="77"/>
        <v/>
      </c>
      <c r="M549" s="10" t="str">
        <f>IF(I549&lt;&gt;1,"",IF(H549="","",H549/CONTROL_PANEL!$B$11))</f>
        <v/>
      </c>
      <c r="N549" s="9" t="str">
        <f t="shared" si="78"/>
        <v/>
      </c>
      <c r="O549" s="9" t="str">
        <f t="shared" si="79"/>
        <v/>
      </c>
      <c r="P549" s="9" t="str">
        <f t="shared" si="80"/>
        <v/>
      </c>
      <c r="Q549" s="9" t="str">
        <f t="shared" si="81"/>
        <v/>
      </c>
      <c r="R549" s="11"/>
      <c r="S549" s="11"/>
    </row>
    <row r="550" spans="1:19" x14ac:dyDescent="0.25">
      <c r="A550" s="30" t="s">
        <v>97</v>
      </c>
      <c r="B550" s="31">
        <f t="shared" si="82"/>
        <v>47908</v>
      </c>
      <c r="C550" s="30">
        <f>YEAR(BInputReservoir[[#This Row],[Date]])</f>
        <v>2031</v>
      </c>
      <c r="D550" s="30">
        <f>MONTH(BInputReservoir[[#This Row],[Date]])</f>
        <v>3</v>
      </c>
      <c r="E550" s="30" t="str">
        <f>IF(I550&lt;&gt;1,"",DATA_INPUT!$L190)</f>
        <v/>
      </c>
      <c r="F550" s="30" t="str">
        <f>STORAGE_BALANCE_ENSEMBLE!AI190</f>
        <v/>
      </c>
      <c r="G550" s="30" t="str">
        <f>STORAGE_BALANCE_ENSEMBLE!AJ190</f>
        <v/>
      </c>
      <c r="H550" s="30" t="str">
        <f>STORAGE_BALANCE_ENSEMBLE!AH190</f>
        <v/>
      </c>
      <c r="I550" s="18" t="str">
        <f t="shared" si="74"/>
        <v/>
      </c>
      <c r="J550" s="8" t="str">
        <f t="shared" si="75"/>
        <v/>
      </c>
      <c r="K550" s="9" t="str">
        <f t="shared" si="76"/>
        <v/>
      </c>
      <c r="L550" s="10" t="str">
        <f t="shared" si="77"/>
        <v/>
      </c>
      <c r="M550" s="10" t="str">
        <f>IF(I550&lt;&gt;1,"",IF(H550="","",H550/CONTROL_PANEL!$B$11))</f>
        <v/>
      </c>
      <c r="N550" s="9" t="str">
        <f t="shared" si="78"/>
        <v/>
      </c>
      <c r="O550" s="9" t="str">
        <f t="shared" si="79"/>
        <v/>
      </c>
      <c r="P550" s="9" t="str">
        <f t="shared" si="80"/>
        <v/>
      </c>
      <c r="Q550" s="9" t="str">
        <f t="shared" si="81"/>
        <v/>
      </c>
      <c r="R550" s="11"/>
      <c r="S550" s="11"/>
    </row>
    <row r="551" spans="1:19" x14ac:dyDescent="0.25">
      <c r="A551" s="30" t="s">
        <v>97</v>
      </c>
      <c r="B551" s="31">
        <f t="shared" si="82"/>
        <v>47939</v>
      </c>
      <c r="C551" s="30">
        <f>YEAR(BInputReservoir[[#This Row],[Date]])</f>
        <v>2031</v>
      </c>
      <c r="D551" s="30">
        <f>MONTH(BInputReservoir[[#This Row],[Date]])</f>
        <v>4</v>
      </c>
      <c r="E551" s="30" t="str">
        <f>IF(I551&lt;&gt;1,"",DATA_INPUT!$L191)</f>
        <v/>
      </c>
      <c r="F551" s="30" t="str">
        <f>STORAGE_BALANCE_ENSEMBLE!AI191</f>
        <v/>
      </c>
      <c r="G551" s="30" t="str">
        <f>STORAGE_BALANCE_ENSEMBLE!AJ191</f>
        <v/>
      </c>
      <c r="H551" s="30" t="str">
        <f>STORAGE_BALANCE_ENSEMBLE!AH191</f>
        <v/>
      </c>
      <c r="I551" s="18" t="str">
        <f t="shared" si="74"/>
        <v/>
      </c>
      <c r="J551" s="8" t="str">
        <f t="shared" si="75"/>
        <v/>
      </c>
      <c r="K551" s="9" t="str">
        <f t="shared" si="76"/>
        <v/>
      </c>
      <c r="L551" s="10" t="str">
        <f t="shared" si="77"/>
        <v/>
      </c>
      <c r="M551" s="10" t="str">
        <f>IF(I551&lt;&gt;1,"",IF(H551="","",H551/CONTROL_PANEL!$B$11))</f>
        <v/>
      </c>
      <c r="N551" s="9" t="str">
        <f t="shared" si="78"/>
        <v/>
      </c>
      <c r="O551" s="9" t="str">
        <f t="shared" si="79"/>
        <v/>
      </c>
      <c r="P551" s="9" t="str">
        <f t="shared" si="80"/>
        <v/>
      </c>
      <c r="Q551" s="9" t="str">
        <f t="shared" si="81"/>
        <v/>
      </c>
      <c r="R551" s="11"/>
      <c r="S551" s="11"/>
    </row>
    <row r="552" spans="1:19" x14ac:dyDescent="0.25">
      <c r="A552" s="30" t="s">
        <v>97</v>
      </c>
      <c r="B552" s="31">
        <f t="shared" si="82"/>
        <v>47969</v>
      </c>
      <c r="C552" s="30">
        <f>YEAR(BInputReservoir[[#This Row],[Date]])</f>
        <v>2031</v>
      </c>
      <c r="D552" s="30">
        <f>MONTH(BInputReservoir[[#This Row],[Date]])</f>
        <v>5</v>
      </c>
      <c r="E552" s="30" t="str">
        <f>IF(I552&lt;&gt;1,"",DATA_INPUT!$L192)</f>
        <v/>
      </c>
      <c r="F552" s="30" t="str">
        <f>STORAGE_BALANCE_ENSEMBLE!AI192</f>
        <v/>
      </c>
      <c r="G552" s="30" t="str">
        <f>STORAGE_BALANCE_ENSEMBLE!AJ192</f>
        <v/>
      </c>
      <c r="H552" s="30" t="str">
        <f>STORAGE_BALANCE_ENSEMBLE!AH192</f>
        <v/>
      </c>
      <c r="I552" s="18" t="str">
        <f t="shared" si="74"/>
        <v/>
      </c>
      <c r="J552" s="8" t="str">
        <f t="shared" si="75"/>
        <v/>
      </c>
      <c r="K552" s="9" t="str">
        <f t="shared" si="76"/>
        <v/>
      </c>
      <c r="L552" s="10" t="str">
        <f t="shared" si="77"/>
        <v/>
      </c>
      <c r="M552" s="10" t="str">
        <f>IF(I552&lt;&gt;1,"",IF(H552="","",H552/CONTROL_PANEL!$B$11))</f>
        <v/>
      </c>
      <c r="N552" s="9" t="str">
        <f t="shared" si="78"/>
        <v/>
      </c>
      <c r="O552" s="9" t="str">
        <f t="shared" si="79"/>
        <v/>
      </c>
      <c r="P552" s="9" t="str">
        <f t="shared" si="80"/>
        <v/>
      </c>
      <c r="Q552" s="9" t="str">
        <f t="shared" si="81"/>
        <v/>
      </c>
      <c r="R552" s="11"/>
      <c r="S552" s="11"/>
    </row>
    <row r="553" spans="1:19" x14ac:dyDescent="0.25">
      <c r="A553" s="30" t="s">
        <v>97</v>
      </c>
      <c r="B553" s="31">
        <f t="shared" si="82"/>
        <v>48000</v>
      </c>
      <c r="C553" s="30">
        <f>YEAR(BInputReservoir[[#This Row],[Date]])</f>
        <v>2031</v>
      </c>
      <c r="D553" s="30">
        <f>MONTH(BInputReservoir[[#This Row],[Date]])</f>
        <v>6</v>
      </c>
      <c r="E553" s="30" t="str">
        <f>IF(I553&lt;&gt;1,"",DATA_INPUT!$L193)</f>
        <v/>
      </c>
      <c r="F553" s="30" t="str">
        <f>STORAGE_BALANCE_ENSEMBLE!AI193</f>
        <v/>
      </c>
      <c r="G553" s="30" t="str">
        <f>STORAGE_BALANCE_ENSEMBLE!AJ193</f>
        <v/>
      </c>
      <c r="H553" s="30" t="str">
        <f>STORAGE_BALANCE_ENSEMBLE!AH193</f>
        <v/>
      </c>
      <c r="I553" s="18" t="str">
        <f t="shared" si="74"/>
        <v/>
      </c>
      <c r="J553" s="8" t="str">
        <f t="shared" si="75"/>
        <v/>
      </c>
      <c r="K553" s="9" t="str">
        <f t="shared" si="76"/>
        <v/>
      </c>
      <c r="L553" s="10" t="str">
        <f t="shared" si="77"/>
        <v/>
      </c>
      <c r="M553" s="10" t="str">
        <f>IF(I553&lt;&gt;1,"",IF(H553="","",H553/CONTROL_PANEL!$B$11))</f>
        <v/>
      </c>
      <c r="N553" s="9" t="str">
        <f t="shared" si="78"/>
        <v/>
      </c>
      <c r="O553" s="9" t="str">
        <f t="shared" si="79"/>
        <v/>
      </c>
      <c r="P553" s="9" t="str">
        <f t="shared" si="80"/>
        <v/>
      </c>
      <c r="Q553" s="9" t="str">
        <f t="shared" si="81"/>
        <v/>
      </c>
      <c r="R553" s="11"/>
      <c r="S553" s="11"/>
    </row>
    <row r="554" spans="1:19" x14ac:dyDescent="0.25">
      <c r="A554" s="30" t="s">
        <v>97</v>
      </c>
      <c r="B554" s="31">
        <f t="shared" si="82"/>
        <v>48030</v>
      </c>
      <c r="C554" s="30">
        <f>YEAR(BInputReservoir[[#This Row],[Date]])</f>
        <v>2031</v>
      </c>
      <c r="D554" s="30">
        <f>MONTH(BInputReservoir[[#This Row],[Date]])</f>
        <v>7</v>
      </c>
      <c r="E554" s="30" t="str">
        <f>IF(I554&lt;&gt;1,"",DATA_INPUT!$L194)</f>
        <v/>
      </c>
      <c r="F554" s="30" t="str">
        <f>STORAGE_BALANCE_ENSEMBLE!AI194</f>
        <v/>
      </c>
      <c r="G554" s="30" t="str">
        <f>STORAGE_BALANCE_ENSEMBLE!AJ194</f>
        <v/>
      </c>
      <c r="H554" s="30" t="str">
        <f>STORAGE_BALANCE_ENSEMBLE!AH194</f>
        <v/>
      </c>
      <c r="I554" s="18" t="str">
        <f t="shared" si="74"/>
        <v/>
      </c>
      <c r="J554" s="8" t="str">
        <f t="shared" si="75"/>
        <v/>
      </c>
      <c r="K554" s="9" t="str">
        <f t="shared" si="76"/>
        <v/>
      </c>
      <c r="L554" s="10" t="str">
        <f t="shared" si="77"/>
        <v/>
      </c>
      <c r="M554" s="10" t="str">
        <f>IF(I554&lt;&gt;1,"",IF(H554="","",H554/CONTROL_PANEL!$B$11))</f>
        <v/>
      </c>
      <c r="N554" s="9" t="str">
        <f t="shared" si="78"/>
        <v/>
      </c>
      <c r="O554" s="9" t="str">
        <f t="shared" si="79"/>
        <v/>
      </c>
      <c r="P554" s="9" t="str">
        <f t="shared" si="80"/>
        <v/>
      </c>
      <c r="Q554" s="9" t="str">
        <f t="shared" si="81"/>
        <v/>
      </c>
      <c r="R554" s="11"/>
      <c r="S554" s="11"/>
    </row>
    <row r="555" spans="1:19" x14ac:dyDescent="0.25">
      <c r="A555" s="30" t="s">
        <v>97</v>
      </c>
      <c r="B555" s="31">
        <f t="shared" si="82"/>
        <v>48061</v>
      </c>
      <c r="C555" s="30">
        <f>YEAR(BInputReservoir[[#This Row],[Date]])</f>
        <v>2031</v>
      </c>
      <c r="D555" s="30">
        <f>MONTH(BInputReservoir[[#This Row],[Date]])</f>
        <v>8</v>
      </c>
      <c r="E555" s="30" t="str">
        <f>IF(I555&lt;&gt;1,"",DATA_INPUT!$L195)</f>
        <v/>
      </c>
      <c r="F555" s="30" t="str">
        <f>STORAGE_BALANCE_ENSEMBLE!AI195</f>
        <v/>
      </c>
      <c r="G555" s="30" t="str">
        <f>STORAGE_BALANCE_ENSEMBLE!AJ195</f>
        <v/>
      </c>
      <c r="H555" s="30" t="str">
        <f>STORAGE_BALANCE_ENSEMBLE!AH195</f>
        <v/>
      </c>
      <c r="I555" s="18" t="str">
        <f t="shared" si="74"/>
        <v/>
      </c>
      <c r="J555" s="8" t="str">
        <f t="shared" si="75"/>
        <v/>
      </c>
      <c r="K555" s="9" t="str">
        <f t="shared" si="76"/>
        <v/>
      </c>
      <c r="L555" s="10" t="str">
        <f t="shared" si="77"/>
        <v/>
      </c>
      <c r="M555" s="10" t="str">
        <f>IF(I555&lt;&gt;1,"",IF(H555="","",H555/CONTROL_PANEL!$B$11))</f>
        <v/>
      </c>
      <c r="N555" s="9" t="str">
        <f t="shared" si="78"/>
        <v/>
      </c>
      <c r="O555" s="9" t="str">
        <f t="shared" si="79"/>
        <v/>
      </c>
      <c r="P555" s="9" t="str">
        <f t="shared" si="80"/>
        <v/>
      </c>
      <c r="Q555" s="9" t="str">
        <f t="shared" si="81"/>
        <v/>
      </c>
      <c r="R555" s="11"/>
      <c r="S555" s="11"/>
    </row>
    <row r="556" spans="1:19" x14ac:dyDescent="0.25">
      <c r="A556" s="30" t="s">
        <v>97</v>
      </c>
      <c r="B556" s="31">
        <f t="shared" si="82"/>
        <v>48092</v>
      </c>
      <c r="C556" s="30">
        <f>YEAR(BInputReservoir[[#This Row],[Date]])</f>
        <v>2031</v>
      </c>
      <c r="D556" s="30">
        <f>MONTH(BInputReservoir[[#This Row],[Date]])</f>
        <v>9</v>
      </c>
      <c r="E556" s="30" t="str">
        <f>IF(I556&lt;&gt;1,"",DATA_INPUT!$L196)</f>
        <v/>
      </c>
      <c r="F556" s="30" t="str">
        <f>STORAGE_BALANCE_ENSEMBLE!AI196</f>
        <v/>
      </c>
      <c r="G556" s="30" t="str">
        <f>STORAGE_BALANCE_ENSEMBLE!AJ196</f>
        <v/>
      </c>
      <c r="H556" s="30" t="str">
        <f>STORAGE_BALANCE_ENSEMBLE!AH196</f>
        <v/>
      </c>
      <c r="I556" s="18" t="str">
        <f t="shared" si="74"/>
        <v/>
      </c>
      <c r="J556" s="8" t="str">
        <f t="shared" si="75"/>
        <v/>
      </c>
      <c r="K556" s="9" t="str">
        <f t="shared" si="76"/>
        <v/>
      </c>
      <c r="L556" s="10" t="str">
        <f t="shared" si="77"/>
        <v/>
      </c>
      <c r="M556" s="10" t="str">
        <f>IF(I556&lt;&gt;1,"",IF(H556="","",H556/CONTROL_PANEL!$B$11))</f>
        <v/>
      </c>
      <c r="N556" s="9" t="str">
        <f t="shared" si="78"/>
        <v/>
      </c>
      <c r="O556" s="9" t="str">
        <f t="shared" si="79"/>
        <v/>
      </c>
      <c r="P556" s="9" t="str">
        <f t="shared" si="80"/>
        <v/>
      </c>
      <c r="Q556" s="9" t="str">
        <f t="shared" si="81"/>
        <v/>
      </c>
      <c r="R556" s="11"/>
      <c r="S556" s="11"/>
    </row>
    <row r="557" spans="1:19" x14ac:dyDescent="0.25">
      <c r="A557" s="30" t="s">
        <v>97</v>
      </c>
      <c r="B557" s="31">
        <f t="shared" si="82"/>
        <v>48122</v>
      </c>
      <c r="C557" s="30">
        <f>YEAR(BInputReservoir[[#This Row],[Date]])</f>
        <v>2031</v>
      </c>
      <c r="D557" s="30">
        <f>MONTH(BInputReservoir[[#This Row],[Date]])</f>
        <v>10</v>
      </c>
      <c r="E557" s="30" t="str">
        <f>IF(I557&lt;&gt;1,"",DATA_INPUT!$L197)</f>
        <v/>
      </c>
      <c r="F557" s="30" t="str">
        <f>STORAGE_BALANCE_ENSEMBLE!AI197</f>
        <v/>
      </c>
      <c r="G557" s="30" t="str">
        <f>STORAGE_BALANCE_ENSEMBLE!AJ197</f>
        <v/>
      </c>
      <c r="H557" s="30" t="str">
        <f>STORAGE_BALANCE_ENSEMBLE!AH197</f>
        <v/>
      </c>
      <c r="I557" s="18" t="str">
        <f t="shared" si="74"/>
        <v/>
      </c>
      <c r="J557" s="8" t="str">
        <f t="shared" si="75"/>
        <v/>
      </c>
      <c r="K557" s="9" t="str">
        <f t="shared" si="76"/>
        <v/>
      </c>
      <c r="L557" s="10" t="str">
        <f t="shared" si="77"/>
        <v/>
      </c>
      <c r="M557" s="10" t="str">
        <f>IF(I557&lt;&gt;1,"",IF(H557="","",H557/CONTROL_PANEL!$B$11))</f>
        <v/>
      </c>
      <c r="N557" s="9" t="str">
        <f t="shared" si="78"/>
        <v/>
      </c>
      <c r="O557" s="9" t="str">
        <f t="shared" si="79"/>
        <v/>
      </c>
      <c r="P557" s="9" t="str">
        <f t="shared" si="80"/>
        <v/>
      </c>
      <c r="Q557" s="9" t="str">
        <f t="shared" si="81"/>
        <v/>
      </c>
      <c r="R557" s="11"/>
      <c r="S557" s="11"/>
    </row>
    <row r="558" spans="1:19" x14ac:dyDescent="0.25">
      <c r="A558" s="30" t="s">
        <v>97</v>
      </c>
      <c r="B558" s="31">
        <f t="shared" si="82"/>
        <v>48153</v>
      </c>
      <c r="C558" s="30">
        <f>YEAR(BInputReservoir[[#This Row],[Date]])</f>
        <v>2031</v>
      </c>
      <c r="D558" s="30">
        <f>MONTH(BInputReservoir[[#This Row],[Date]])</f>
        <v>11</v>
      </c>
      <c r="E558" s="30" t="str">
        <f>IF(I558&lt;&gt;1,"",DATA_INPUT!$L198)</f>
        <v/>
      </c>
      <c r="F558" s="30" t="str">
        <f>STORAGE_BALANCE_ENSEMBLE!AI198</f>
        <v/>
      </c>
      <c r="G558" s="30" t="str">
        <f>STORAGE_BALANCE_ENSEMBLE!AJ198</f>
        <v/>
      </c>
      <c r="H558" s="30" t="str">
        <f>STORAGE_BALANCE_ENSEMBLE!AH198</f>
        <v/>
      </c>
      <c r="I558" s="18" t="str">
        <f t="shared" ref="I558:I621" si="83">I197</f>
        <v/>
      </c>
      <c r="J558" s="8" t="str">
        <f t="shared" si="75"/>
        <v/>
      </c>
      <c r="K558" s="9" t="str">
        <f t="shared" si="76"/>
        <v/>
      </c>
      <c r="L558" s="10" t="str">
        <f t="shared" si="77"/>
        <v/>
      </c>
      <c r="M558" s="10" t="str">
        <f>IF(I558&lt;&gt;1,"",IF(H558="","",H558/CONTROL_PANEL!$B$11))</f>
        <v/>
      </c>
      <c r="N558" s="9" t="str">
        <f t="shared" si="78"/>
        <v/>
      </c>
      <c r="O558" s="9" t="str">
        <f t="shared" si="79"/>
        <v/>
      </c>
      <c r="P558" s="9" t="str">
        <f t="shared" si="80"/>
        <v/>
      </c>
      <c r="Q558" s="9" t="str">
        <f t="shared" si="81"/>
        <v/>
      </c>
      <c r="R558" s="11"/>
      <c r="S558" s="11"/>
    </row>
    <row r="559" spans="1:19" x14ac:dyDescent="0.25">
      <c r="A559" s="30" t="s">
        <v>97</v>
      </c>
      <c r="B559" s="31">
        <f t="shared" si="82"/>
        <v>48183</v>
      </c>
      <c r="C559" s="30">
        <f>YEAR(BInputReservoir[[#This Row],[Date]])</f>
        <v>2031</v>
      </c>
      <c r="D559" s="30">
        <f>MONTH(BInputReservoir[[#This Row],[Date]])</f>
        <v>12</v>
      </c>
      <c r="E559" s="30" t="str">
        <f>IF(I559&lt;&gt;1,"",DATA_INPUT!$L199)</f>
        <v/>
      </c>
      <c r="F559" s="30" t="str">
        <f>STORAGE_BALANCE_ENSEMBLE!AI199</f>
        <v/>
      </c>
      <c r="G559" s="30" t="str">
        <f>STORAGE_BALANCE_ENSEMBLE!AJ199</f>
        <v/>
      </c>
      <c r="H559" s="30" t="str">
        <f>STORAGE_BALANCE_ENSEMBLE!AH199</f>
        <v/>
      </c>
      <c r="I559" s="18" t="str">
        <f t="shared" si="83"/>
        <v/>
      </c>
      <c r="J559" s="8" t="str">
        <f t="shared" si="75"/>
        <v/>
      </c>
      <c r="K559" s="9" t="str">
        <f t="shared" si="76"/>
        <v/>
      </c>
      <c r="L559" s="10" t="str">
        <f t="shared" si="77"/>
        <v/>
      </c>
      <c r="M559" s="10" t="str">
        <f>IF(I559&lt;&gt;1,"",IF(H559="","",H559/CONTROL_PANEL!$B$11))</f>
        <v/>
      </c>
      <c r="N559" s="9" t="str">
        <f t="shared" si="78"/>
        <v/>
      </c>
      <c r="O559" s="9" t="str">
        <f t="shared" si="79"/>
        <v/>
      </c>
      <c r="P559" s="9" t="str">
        <f t="shared" si="80"/>
        <v/>
      </c>
      <c r="Q559" s="9" t="str">
        <f t="shared" si="81"/>
        <v/>
      </c>
      <c r="R559" s="11"/>
      <c r="S559" s="11"/>
    </row>
    <row r="560" spans="1:19" x14ac:dyDescent="0.25">
      <c r="A560" s="30" t="s">
        <v>97</v>
      </c>
      <c r="B560" s="31">
        <f t="shared" si="82"/>
        <v>48214</v>
      </c>
      <c r="C560" s="30">
        <f>YEAR(BInputReservoir[[#This Row],[Date]])</f>
        <v>2032</v>
      </c>
      <c r="D560" s="30">
        <f>MONTH(BInputReservoir[[#This Row],[Date]])</f>
        <v>1</v>
      </c>
      <c r="E560" s="30" t="str">
        <f>IF(I560&lt;&gt;1,"",DATA_INPUT!$L200)</f>
        <v/>
      </c>
      <c r="F560" s="30" t="str">
        <f>STORAGE_BALANCE_ENSEMBLE!AI200</f>
        <v/>
      </c>
      <c r="G560" s="30" t="str">
        <f>STORAGE_BALANCE_ENSEMBLE!AJ200</f>
        <v/>
      </c>
      <c r="H560" s="30" t="str">
        <f>STORAGE_BALANCE_ENSEMBLE!AH200</f>
        <v/>
      </c>
      <c r="I560" s="18" t="str">
        <f t="shared" si="83"/>
        <v/>
      </c>
      <c r="J560" s="8" t="str">
        <f t="shared" si="75"/>
        <v/>
      </c>
      <c r="K560" s="9" t="str">
        <f t="shared" si="76"/>
        <v/>
      </c>
      <c r="L560" s="10" t="str">
        <f t="shared" si="77"/>
        <v/>
      </c>
      <c r="M560" s="10" t="str">
        <f>IF(I560&lt;&gt;1,"",IF(H560="","",H560/CONTROL_PANEL!$B$11))</f>
        <v/>
      </c>
      <c r="N560" s="9" t="str">
        <f t="shared" si="78"/>
        <v/>
      </c>
      <c r="O560" s="9" t="str">
        <f t="shared" si="79"/>
        <v/>
      </c>
      <c r="P560" s="9" t="str">
        <f t="shared" si="80"/>
        <v/>
      </c>
      <c r="Q560" s="9" t="str">
        <f t="shared" si="81"/>
        <v/>
      </c>
      <c r="R560" s="11"/>
      <c r="S560" s="11"/>
    </row>
    <row r="561" spans="1:19" x14ac:dyDescent="0.25">
      <c r="A561" s="30" t="s">
        <v>97</v>
      </c>
      <c r="B561" s="31">
        <f t="shared" si="82"/>
        <v>48245</v>
      </c>
      <c r="C561" s="30">
        <f>YEAR(BInputReservoir[[#This Row],[Date]])</f>
        <v>2032</v>
      </c>
      <c r="D561" s="30">
        <f>MONTH(BInputReservoir[[#This Row],[Date]])</f>
        <v>2</v>
      </c>
      <c r="E561" s="30" t="str">
        <f>IF(I561&lt;&gt;1,"",DATA_INPUT!$L201)</f>
        <v/>
      </c>
      <c r="F561" s="30" t="str">
        <f>STORAGE_BALANCE_ENSEMBLE!AI201</f>
        <v/>
      </c>
      <c r="G561" s="30" t="str">
        <f>STORAGE_BALANCE_ENSEMBLE!AJ201</f>
        <v/>
      </c>
      <c r="H561" s="30" t="str">
        <f>STORAGE_BALANCE_ENSEMBLE!AH201</f>
        <v/>
      </c>
      <c r="I561" s="18" t="str">
        <f t="shared" si="83"/>
        <v/>
      </c>
      <c r="J561" s="8" t="str">
        <f t="shared" si="75"/>
        <v/>
      </c>
      <c r="K561" s="9" t="str">
        <f t="shared" si="76"/>
        <v/>
      </c>
      <c r="L561" s="10" t="str">
        <f t="shared" si="77"/>
        <v/>
      </c>
      <c r="M561" s="10" t="str">
        <f>IF(I561&lt;&gt;1,"",IF(H561="","",H561/CONTROL_PANEL!$B$11))</f>
        <v/>
      </c>
      <c r="N561" s="9" t="str">
        <f t="shared" si="78"/>
        <v/>
      </c>
      <c r="O561" s="9" t="str">
        <f t="shared" si="79"/>
        <v/>
      </c>
      <c r="P561" s="9" t="str">
        <f t="shared" si="80"/>
        <v/>
      </c>
      <c r="Q561" s="9" t="str">
        <f t="shared" si="81"/>
        <v/>
      </c>
      <c r="R561" s="11"/>
      <c r="S561" s="11"/>
    </row>
    <row r="562" spans="1:19" x14ac:dyDescent="0.25">
      <c r="A562" s="30" t="s">
        <v>97</v>
      </c>
      <c r="B562" s="31">
        <f t="shared" si="82"/>
        <v>48274</v>
      </c>
      <c r="C562" s="30">
        <f>YEAR(BInputReservoir[[#This Row],[Date]])</f>
        <v>2032</v>
      </c>
      <c r="D562" s="30">
        <f>MONTH(BInputReservoir[[#This Row],[Date]])</f>
        <v>3</v>
      </c>
      <c r="E562" s="30" t="str">
        <f>IF(I562&lt;&gt;1,"",DATA_INPUT!$L202)</f>
        <v/>
      </c>
      <c r="F562" s="30" t="str">
        <f>STORAGE_BALANCE_ENSEMBLE!AI202</f>
        <v/>
      </c>
      <c r="G562" s="30" t="str">
        <f>STORAGE_BALANCE_ENSEMBLE!AJ202</f>
        <v/>
      </c>
      <c r="H562" s="30" t="str">
        <f>STORAGE_BALANCE_ENSEMBLE!AH202</f>
        <v/>
      </c>
      <c r="I562" s="18" t="str">
        <f t="shared" si="83"/>
        <v/>
      </c>
      <c r="J562" s="8" t="str">
        <f t="shared" si="75"/>
        <v/>
      </c>
      <c r="K562" s="9" t="str">
        <f t="shared" si="76"/>
        <v/>
      </c>
      <c r="L562" s="10" t="str">
        <f t="shared" si="77"/>
        <v/>
      </c>
      <c r="M562" s="10" t="str">
        <f>IF(I562&lt;&gt;1,"",IF(H562="","",H562/CONTROL_PANEL!$B$11))</f>
        <v/>
      </c>
      <c r="N562" s="9" t="str">
        <f t="shared" si="78"/>
        <v/>
      </c>
      <c r="O562" s="9" t="str">
        <f t="shared" si="79"/>
        <v/>
      </c>
      <c r="P562" s="9" t="str">
        <f t="shared" si="80"/>
        <v/>
      </c>
      <c r="Q562" s="9" t="str">
        <f t="shared" si="81"/>
        <v/>
      </c>
      <c r="R562" s="11"/>
      <c r="S562" s="11"/>
    </row>
    <row r="563" spans="1:19" x14ac:dyDescent="0.25">
      <c r="A563" s="30" t="s">
        <v>97</v>
      </c>
      <c r="B563" s="31">
        <f t="shared" si="82"/>
        <v>48305</v>
      </c>
      <c r="C563" s="30">
        <f>YEAR(BInputReservoir[[#This Row],[Date]])</f>
        <v>2032</v>
      </c>
      <c r="D563" s="30">
        <f>MONTH(BInputReservoir[[#This Row],[Date]])</f>
        <v>4</v>
      </c>
      <c r="E563" s="30" t="str">
        <f>IF(I563&lt;&gt;1,"",DATA_INPUT!$L203)</f>
        <v/>
      </c>
      <c r="F563" s="30" t="str">
        <f>STORAGE_BALANCE_ENSEMBLE!AI203</f>
        <v/>
      </c>
      <c r="G563" s="30" t="str">
        <f>STORAGE_BALANCE_ENSEMBLE!AJ203</f>
        <v/>
      </c>
      <c r="H563" s="30" t="str">
        <f>STORAGE_BALANCE_ENSEMBLE!AH203</f>
        <v/>
      </c>
      <c r="I563" s="18" t="str">
        <f t="shared" si="83"/>
        <v/>
      </c>
      <c r="J563" s="8" t="str">
        <f t="shared" si="75"/>
        <v/>
      </c>
      <c r="K563" s="9" t="str">
        <f t="shared" si="76"/>
        <v/>
      </c>
      <c r="L563" s="10" t="str">
        <f t="shared" si="77"/>
        <v/>
      </c>
      <c r="M563" s="10" t="str">
        <f>IF(I563&lt;&gt;1,"",IF(H563="","",H563/CONTROL_PANEL!$B$11))</f>
        <v/>
      </c>
      <c r="N563" s="9" t="str">
        <f t="shared" si="78"/>
        <v/>
      </c>
      <c r="O563" s="9" t="str">
        <f t="shared" si="79"/>
        <v/>
      </c>
      <c r="P563" s="9" t="str">
        <f t="shared" si="80"/>
        <v/>
      </c>
      <c r="Q563" s="9" t="str">
        <f t="shared" si="81"/>
        <v/>
      </c>
      <c r="R563" s="11"/>
      <c r="S563" s="11"/>
    </row>
    <row r="564" spans="1:19" x14ac:dyDescent="0.25">
      <c r="A564" s="30" t="s">
        <v>97</v>
      </c>
      <c r="B564" s="31">
        <f t="shared" si="82"/>
        <v>48335</v>
      </c>
      <c r="C564" s="30">
        <f>YEAR(BInputReservoir[[#This Row],[Date]])</f>
        <v>2032</v>
      </c>
      <c r="D564" s="30">
        <f>MONTH(BInputReservoir[[#This Row],[Date]])</f>
        <v>5</v>
      </c>
      <c r="E564" s="30" t="str">
        <f>IF(I564&lt;&gt;1,"",DATA_INPUT!$L204)</f>
        <v/>
      </c>
      <c r="F564" s="30" t="str">
        <f>STORAGE_BALANCE_ENSEMBLE!AI204</f>
        <v/>
      </c>
      <c r="G564" s="30" t="str">
        <f>STORAGE_BALANCE_ENSEMBLE!AJ204</f>
        <v/>
      </c>
      <c r="H564" s="30" t="str">
        <f>STORAGE_BALANCE_ENSEMBLE!AH204</f>
        <v/>
      </c>
      <c r="I564" s="18" t="str">
        <f t="shared" si="83"/>
        <v/>
      </c>
      <c r="J564" s="8" t="str">
        <f t="shared" si="75"/>
        <v/>
      </c>
      <c r="K564" s="9" t="str">
        <f t="shared" si="76"/>
        <v/>
      </c>
      <c r="L564" s="10" t="str">
        <f t="shared" si="77"/>
        <v/>
      </c>
      <c r="M564" s="10" t="str">
        <f>IF(I564&lt;&gt;1,"",IF(H564="","",H564/CONTROL_PANEL!$B$11))</f>
        <v/>
      </c>
      <c r="N564" s="9" t="str">
        <f t="shared" si="78"/>
        <v/>
      </c>
      <c r="O564" s="9" t="str">
        <f t="shared" si="79"/>
        <v/>
      </c>
      <c r="P564" s="9" t="str">
        <f t="shared" si="80"/>
        <v/>
      </c>
      <c r="Q564" s="9" t="str">
        <f t="shared" si="81"/>
        <v/>
      </c>
      <c r="R564" s="11"/>
      <c r="S564" s="11"/>
    </row>
    <row r="565" spans="1:19" x14ac:dyDescent="0.25">
      <c r="A565" s="30" t="s">
        <v>97</v>
      </c>
      <c r="B565" s="31">
        <f t="shared" si="82"/>
        <v>48366</v>
      </c>
      <c r="C565" s="30">
        <f>YEAR(BInputReservoir[[#This Row],[Date]])</f>
        <v>2032</v>
      </c>
      <c r="D565" s="30">
        <f>MONTH(BInputReservoir[[#This Row],[Date]])</f>
        <v>6</v>
      </c>
      <c r="E565" s="30" t="str">
        <f>IF(I565&lt;&gt;1,"",DATA_INPUT!$L205)</f>
        <v/>
      </c>
      <c r="F565" s="30" t="str">
        <f>STORAGE_BALANCE_ENSEMBLE!AI205</f>
        <v/>
      </c>
      <c r="G565" s="30" t="str">
        <f>STORAGE_BALANCE_ENSEMBLE!AJ205</f>
        <v/>
      </c>
      <c r="H565" s="30" t="str">
        <f>STORAGE_BALANCE_ENSEMBLE!AH205</f>
        <v/>
      </c>
      <c r="I565" s="18" t="str">
        <f t="shared" si="83"/>
        <v/>
      </c>
      <c r="J565" s="8" t="str">
        <f t="shared" si="75"/>
        <v/>
      </c>
      <c r="K565" s="9" t="str">
        <f t="shared" si="76"/>
        <v/>
      </c>
      <c r="L565" s="10" t="str">
        <f t="shared" si="77"/>
        <v/>
      </c>
      <c r="M565" s="10" t="str">
        <f>IF(I565&lt;&gt;1,"",IF(H565="","",H565/CONTROL_PANEL!$B$11))</f>
        <v/>
      </c>
      <c r="N565" s="9" t="str">
        <f t="shared" si="78"/>
        <v/>
      </c>
      <c r="O565" s="9" t="str">
        <f t="shared" si="79"/>
        <v/>
      </c>
      <c r="P565" s="9" t="str">
        <f t="shared" si="80"/>
        <v/>
      </c>
      <c r="Q565" s="9" t="str">
        <f t="shared" si="81"/>
        <v/>
      </c>
      <c r="R565" s="11"/>
      <c r="S565" s="11"/>
    </row>
    <row r="566" spans="1:19" x14ac:dyDescent="0.25">
      <c r="A566" s="30" t="s">
        <v>97</v>
      </c>
      <c r="B566" s="31">
        <f t="shared" si="82"/>
        <v>48396</v>
      </c>
      <c r="C566" s="30">
        <f>YEAR(BInputReservoir[[#This Row],[Date]])</f>
        <v>2032</v>
      </c>
      <c r="D566" s="30">
        <f>MONTH(BInputReservoir[[#This Row],[Date]])</f>
        <v>7</v>
      </c>
      <c r="E566" s="30" t="str">
        <f>IF(I566&lt;&gt;1,"",DATA_INPUT!$L206)</f>
        <v/>
      </c>
      <c r="F566" s="30" t="str">
        <f>STORAGE_BALANCE_ENSEMBLE!AI206</f>
        <v/>
      </c>
      <c r="G566" s="30" t="str">
        <f>STORAGE_BALANCE_ENSEMBLE!AJ206</f>
        <v/>
      </c>
      <c r="H566" s="30" t="str">
        <f>STORAGE_BALANCE_ENSEMBLE!AH206</f>
        <v/>
      </c>
      <c r="I566" s="18" t="str">
        <f t="shared" si="83"/>
        <v/>
      </c>
      <c r="J566" s="8" t="str">
        <f t="shared" si="75"/>
        <v/>
      </c>
      <c r="K566" s="9" t="str">
        <f t="shared" si="76"/>
        <v/>
      </c>
      <c r="L566" s="10" t="str">
        <f t="shared" si="77"/>
        <v/>
      </c>
      <c r="M566" s="10" t="str">
        <f>IF(I566&lt;&gt;1,"",IF(H566="","",H566/CONTROL_PANEL!$B$11))</f>
        <v/>
      </c>
      <c r="N566" s="9" t="str">
        <f t="shared" si="78"/>
        <v/>
      </c>
      <c r="O566" s="9" t="str">
        <f t="shared" si="79"/>
        <v/>
      </c>
      <c r="P566" s="9" t="str">
        <f t="shared" si="80"/>
        <v/>
      </c>
      <c r="Q566" s="9" t="str">
        <f t="shared" si="81"/>
        <v/>
      </c>
      <c r="R566" s="11"/>
      <c r="S566" s="11"/>
    </row>
    <row r="567" spans="1:19" x14ac:dyDescent="0.25">
      <c r="A567" s="30" t="s">
        <v>97</v>
      </c>
      <c r="B567" s="31">
        <f t="shared" si="82"/>
        <v>48427</v>
      </c>
      <c r="C567" s="30">
        <f>YEAR(BInputReservoir[[#This Row],[Date]])</f>
        <v>2032</v>
      </c>
      <c r="D567" s="30">
        <f>MONTH(BInputReservoir[[#This Row],[Date]])</f>
        <v>8</v>
      </c>
      <c r="E567" s="30" t="str">
        <f>IF(I567&lt;&gt;1,"",DATA_INPUT!$L207)</f>
        <v/>
      </c>
      <c r="F567" s="30" t="str">
        <f>STORAGE_BALANCE_ENSEMBLE!AI207</f>
        <v/>
      </c>
      <c r="G567" s="30" t="str">
        <f>STORAGE_BALANCE_ENSEMBLE!AJ207</f>
        <v/>
      </c>
      <c r="H567" s="30" t="str">
        <f>STORAGE_BALANCE_ENSEMBLE!AH207</f>
        <v/>
      </c>
      <c r="I567" s="18" t="str">
        <f t="shared" si="83"/>
        <v/>
      </c>
      <c r="J567" s="8" t="str">
        <f t="shared" si="75"/>
        <v/>
      </c>
      <c r="K567" s="9" t="str">
        <f t="shared" si="76"/>
        <v/>
      </c>
      <c r="L567" s="10" t="str">
        <f t="shared" si="77"/>
        <v/>
      </c>
      <c r="M567" s="10" t="str">
        <f>IF(I567&lt;&gt;1,"",IF(H567="","",H567/CONTROL_PANEL!$B$11))</f>
        <v/>
      </c>
      <c r="N567" s="9" t="str">
        <f t="shared" si="78"/>
        <v/>
      </c>
      <c r="O567" s="9" t="str">
        <f t="shared" si="79"/>
        <v/>
      </c>
      <c r="P567" s="9" t="str">
        <f t="shared" si="80"/>
        <v/>
      </c>
      <c r="Q567" s="9" t="str">
        <f t="shared" si="81"/>
        <v/>
      </c>
      <c r="R567" s="11"/>
      <c r="S567" s="11"/>
    </row>
    <row r="568" spans="1:19" x14ac:dyDescent="0.25">
      <c r="A568" s="30" t="s">
        <v>97</v>
      </c>
      <c r="B568" s="31">
        <f t="shared" si="82"/>
        <v>48458</v>
      </c>
      <c r="C568" s="30">
        <f>YEAR(BInputReservoir[[#This Row],[Date]])</f>
        <v>2032</v>
      </c>
      <c r="D568" s="30">
        <f>MONTH(BInputReservoir[[#This Row],[Date]])</f>
        <v>9</v>
      </c>
      <c r="E568" s="30" t="str">
        <f>IF(I568&lt;&gt;1,"",DATA_INPUT!$L208)</f>
        <v/>
      </c>
      <c r="F568" s="30" t="str">
        <f>STORAGE_BALANCE_ENSEMBLE!AI208</f>
        <v/>
      </c>
      <c r="G568" s="30" t="str">
        <f>STORAGE_BALANCE_ENSEMBLE!AJ208</f>
        <v/>
      </c>
      <c r="H568" s="30" t="str">
        <f>STORAGE_BALANCE_ENSEMBLE!AH208</f>
        <v/>
      </c>
      <c r="I568" s="18" t="str">
        <f t="shared" si="83"/>
        <v/>
      </c>
      <c r="J568" s="8" t="str">
        <f t="shared" si="75"/>
        <v/>
      </c>
      <c r="K568" s="9" t="str">
        <f t="shared" si="76"/>
        <v/>
      </c>
      <c r="L568" s="10" t="str">
        <f t="shared" si="77"/>
        <v/>
      </c>
      <c r="M568" s="10" t="str">
        <f>IF(I568&lt;&gt;1,"",IF(H568="","",H568/CONTROL_PANEL!$B$11))</f>
        <v/>
      </c>
      <c r="N568" s="9" t="str">
        <f t="shared" si="78"/>
        <v/>
      </c>
      <c r="O568" s="9" t="str">
        <f t="shared" si="79"/>
        <v/>
      </c>
      <c r="P568" s="9" t="str">
        <f t="shared" si="80"/>
        <v/>
      </c>
      <c r="Q568" s="9" t="str">
        <f t="shared" si="81"/>
        <v/>
      </c>
      <c r="R568" s="11"/>
      <c r="S568" s="11"/>
    </row>
    <row r="569" spans="1:19" x14ac:dyDescent="0.25">
      <c r="A569" s="30" t="s">
        <v>97</v>
      </c>
      <c r="B569" s="31">
        <f t="shared" si="82"/>
        <v>48488</v>
      </c>
      <c r="C569" s="30">
        <f>YEAR(BInputReservoir[[#This Row],[Date]])</f>
        <v>2032</v>
      </c>
      <c r="D569" s="30">
        <f>MONTH(BInputReservoir[[#This Row],[Date]])</f>
        <v>10</v>
      </c>
      <c r="E569" s="30" t="str">
        <f>IF(I569&lt;&gt;1,"",DATA_INPUT!$L209)</f>
        <v/>
      </c>
      <c r="F569" s="30" t="str">
        <f>STORAGE_BALANCE_ENSEMBLE!AI209</f>
        <v/>
      </c>
      <c r="G569" s="30" t="str">
        <f>STORAGE_BALANCE_ENSEMBLE!AJ209</f>
        <v/>
      </c>
      <c r="H569" s="30" t="str">
        <f>STORAGE_BALANCE_ENSEMBLE!AH209</f>
        <v/>
      </c>
      <c r="I569" s="18" t="str">
        <f t="shared" si="83"/>
        <v/>
      </c>
      <c r="J569" s="8" t="str">
        <f t="shared" si="75"/>
        <v/>
      </c>
      <c r="K569" s="9" t="str">
        <f t="shared" si="76"/>
        <v/>
      </c>
      <c r="L569" s="10" t="str">
        <f t="shared" si="77"/>
        <v/>
      </c>
      <c r="M569" s="10" t="str">
        <f>IF(I569&lt;&gt;1,"",IF(H569="","",H569/CONTROL_PANEL!$B$11))</f>
        <v/>
      </c>
      <c r="N569" s="9" t="str">
        <f t="shared" si="78"/>
        <v/>
      </c>
      <c r="O569" s="9" t="str">
        <f t="shared" si="79"/>
        <v/>
      </c>
      <c r="P569" s="9" t="str">
        <f t="shared" si="80"/>
        <v/>
      </c>
      <c r="Q569" s="9" t="str">
        <f t="shared" si="81"/>
        <v/>
      </c>
      <c r="R569" s="11"/>
      <c r="S569" s="11"/>
    </row>
    <row r="570" spans="1:19" x14ac:dyDescent="0.25">
      <c r="A570" s="30" t="s">
        <v>97</v>
      </c>
      <c r="B570" s="31">
        <f t="shared" si="82"/>
        <v>48519</v>
      </c>
      <c r="C570" s="30">
        <f>YEAR(BInputReservoir[[#This Row],[Date]])</f>
        <v>2032</v>
      </c>
      <c r="D570" s="30">
        <f>MONTH(BInputReservoir[[#This Row],[Date]])</f>
        <v>11</v>
      </c>
      <c r="E570" s="30" t="str">
        <f>IF(I570&lt;&gt;1,"",DATA_INPUT!$L210)</f>
        <v/>
      </c>
      <c r="F570" s="30" t="str">
        <f>STORAGE_BALANCE_ENSEMBLE!AI210</f>
        <v/>
      </c>
      <c r="G570" s="30" t="str">
        <f>STORAGE_BALANCE_ENSEMBLE!AJ210</f>
        <v/>
      </c>
      <c r="H570" s="30" t="str">
        <f>STORAGE_BALANCE_ENSEMBLE!AH210</f>
        <v/>
      </c>
      <c r="I570" s="18" t="str">
        <f t="shared" si="83"/>
        <v/>
      </c>
      <c r="J570" s="8" t="str">
        <f t="shared" si="75"/>
        <v/>
      </c>
      <c r="K570" s="9" t="str">
        <f t="shared" si="76"/>
        <v/>
      </c>
      <c r="L570" s="10" t="str">
        <f t="shared" si="77"/>
        <v/>
      </c>
      <c r="M570" s="10" t="str">
        <f>IF(I570&lt;&gt;1,"",IF(H570="","",H570/CONTROL_PANEL!$B$11))</f>
        <v/>
      </c>
      <c r="N570" s="9" t="str">
        <f t="shared" si="78"/>
        <v/>
      </c>
      <c r="O570" s="9" t="str">
        <f t="shared" si="79"/>
        <v/>
      </c>
      <c r="P570" s="9" t="str">
        <f t="shared" si="80"/>
        <v/>
      </c>
      <c r="Q570" s="9" t="str">
        <f t="shared" si="81"/>
        <v/>
      </c>
      <c r="R570" s="11"/>
      <c r="S570" s="11"/>
    </row>
    <row r="571" spans="1:19" x14ac:dyDescent="0.25">
      <c r="A571" s="30" t="s">
        <v>97</v>
      </c>
      <c r="B571" s="31">
        <f t="shared" si="82"/>
        <v>48549</v>
      </c>
      <c r="C571" s="30">
        <f>YEAR(BInputReservoir[[#This Row],[Date]])</f>
        <v>2032</v>
      </c>
      <c r="D571" s="30">
        <f>MONTH(BInputReservoir[[#This Row],[Date]])</f>
        <v>12</v>
      </c>
      <c r="E571" s="30" t="str">
        <f>IF(I571&lt;&gt;1,"",DATA_INPUT!$L211)</f>
        <v/>
      </c>
      <c r="F571" s="30" t="str">
        <f>STORAGE_BALANCE_ENSEMBLE!AI211</f>
        <v/>
      </c>
      <c r="G571" s="30" t="str">
        <f>STORAGE_BALANCE_ENSEMBLE!AJ211</f>
        <v/>
      </c>
      <c r="H571" s="30" t="str">
        <f>STORAGE_BALANCE_ENSEMBLE!AH211</f>
        <v/>
      </c>
      <c r="I571" s="18" t="str">
        <f t="shared" si="83"/>
        <v/>
      </c>
      <c r="J571" s="8" t="str">
        <f t="shared" si="75"/>
        <v/>
      </c>
      <c r="K571" s="9" t="str">
        <f t="shared" si="76"/>
        <v/>
      </c>
      <c r="L571" s="10" t="str">
        <f t="shared" si="77"/>
        <v/>
      </c>
      <c r="M571" s="10" t="str">
        <f>IF(I571&lt;&gt;1,"",IF(H571="","",H571/CONTROL_PANEL!$B$11))</f>
        <v/>
      </c>
      <c r="N571" s="9" t="str">
        <f t="shared" si="78"/>
        <v/>
      </c>
      <c r="O571" s="9" t="str">
        <f t="shared" si="79"/>
        <v/>
      </c>
      <c r="P571" s="9" t="str">
        <f t="shared" si="80"/>
        <v/>
      </c>
      <c r="Q571" s="9" t="str">
        <f t="shared" si="81"/>
        <v/>
      </c>
      <c r="R571" s="11"/>
      <c r="S571" s="11"/>
    </row>
    <row r="572" spans="1:19" x14ac:dyDescent="0.25">
      <c r="A572" s="30" t="s">
        <v>97</v>
      </c>
      <c r="B572" s="31">
        <f t="shared" si="82"/>
        <v>48580</v>
      </c>
      <c r="C572" s="30">
        <f>YEAR(BInputReservoir[[#This Row],[Date]])</f>
        <v>2033</v>
      </c>
      <c r="D572" s="30">
        <f>MONTH(BInputReservoir[[#This Row],[Date]])</f>
        <v>1</v>
      </c>
      <c r="E572" s="30" t="str">
        <f>IF(I572&lt;&gt;1,"",DATA_INPUT!$L212)</f>
        <v/>
      </c>
      <c r="F572" s="30" t="str">
        <f>STORAGE_BALANCE_ENSEMBLE!AI212</f>
        <v/>
      </c>
      <c r="G572" s="30" t="str">
        <f>STORAGE_BALANCE_ENSEMBLE!AJ212</f>
        <v/>
      </c>
      <c r="H572" s="30" t="str">
        <f>STORAGE_BALANCE_ENSEMBLE!AH212</f>
        <v/>
      </c>
      <c r="I572" s="18" t="str">
        <f t="shared" si="83"/>
        <v/>
      </c>
      <c r="J572" s="8" t="str">
        <f t="shared" si="75"/>
        <v/>
      </c>
      <c r="K572" s="9" t="str">
        <f t="shared" si="76"/>
        <v/>
      </c>
      <c r="L572" s="10" t="str">
        <f t="shared" si="77"/>
        <v/>
      </c>
      <c r="M572" s="10" t="str">
        <f>IF(I572&lt;&gt;1,"",IF(H572="","",H572/CONTROL_PANEL!$B$11))</f>
        <v/>
      </c>
      <c r="N572" s="9" t="str">
        <f t="shared" si="78"/>
        <v/>
      </c>
      <c r="O572" s="9" t="str">
        <f t="shared" si="79"/>
        <v/>
      </c>
      <c r="P572" s="9" t="str">
        <f t="shared" si="80"/>
        <v/>
      </c>
      <c r="Q572" s="9" t="str">
        <f t="shared" si="81"/>
        <v/>
      </c>
      <c r="R572" s="11"/>
      <c r="S572" s="11"/>
    </row>
    <row r="573" spans="1:19" x14ac:dyDescent="0.25">
      <c r="A573" s="30" t="s">
        <v>97</v>
      </c>
      <c r="B573" s="31">
        <f t="shared" si="82"/>
        <v>48611</v>
      </c>
      <c r="C573" s="30">
        <f>YEAR(BInputReservoir[[#This Row],[Date]])</f>
        <v>2033</v>
      </c>
      <c r="D573" s="30">
        <f>MONTH(BInputReservoir[[#This Row],[Date]])</f>
        <v>2</v>
      </c>
      <c r="E573" s="30" t="str">
        <f>IF(I573&lt;&gt;1,"",DATA_INPUT!$L213)</f>
        <v/>
      </c>
      <c r="F573" s="30" t="str">
        <f>STORAGE_BALANCE_ENSEMBLE!AI213</f>
        <v/>
      </c>
      <c r="G573" s="30" t="str">
        <f>STORAGE_BALANCE_ENSEMBLE!AJ213</f>
        <v/>
      </c>
      <c r="H573" s="30" t="str">
        <f>STORAGE_BALANCE_ENSEMBLE!AH213</f>
        <v/>
      </c>
      <c r="I573" s="18" t="str">
        <f t="shared" si="83"/>
        <v/>
      </c>
      <c r="J573" s="8" t="str">
        <f t="shared" si="75"/>
        <v/>
      </c>
      <c r="K573" s="9" t="str">
        <f t="shared" si="76"/>
        <v/>
      </c>
      <c r="L573" s="10" t="str">
        <f t="shared" si="77"/>
        <v/>
      </c>
      <c r="M573" s="10" t="str">
        <f>IF(I573&lt;&gt;1,"",IF(H573="","",H573/CONTROL_PANEL!$B$11))</f>
        <v/>
      </c>
      <c r="N573" s="9" t="str">
        <f t="shared" si="78"/>
        <v/>
      </c>
      <c r="O573" s="9" t="str">
        <f t="shared" si="79"/>
        <v/>
      </c>
      <c r="P573" s="9" t="str">
        <f t="shared" si="80"/>
        <v/>
      </c>
      <c r="Q573" s="9" t="str">
        <f t="shared" si="81"/>
        <v/>
      </c>
      <c r="R573" s="11"/>
      <c r="S573" s="11"/>
    </row>
    <row r="574" spans="1:19" x14ac:dyDescent="0.25">
      <c r="A574" s="30" t="s">
        <v>97</v>
      </c>
      <c r="B574" s="31">
        <f t="shared" si="82"/>
        <v>48639</v>
      </c>
      <c r="C574" s="30">
        <f>YEAR(BInputReservoir[[#This Row],[Date]])</f>
        <v>2033</v>
      </c>
      <c r="D574" s="30">
        <f>MONTH(BInputReservoir[[#This Row],[Date]])</f>
        <v>3</v>
      </c>
      <c r="E574" s="30" t="str">
        <f>IF(I574&lt;&gt;1,"",DATA_INPUT!$L214)</f>
        <v/>
      </c>
      <c r="F574" s="30" t="str">
        <f>STORAGE_BALANCE_ENSEMBLE!AI214</f>
        <v/>
      </c>
      <c r="G574" s="30" t="str">
        <f>STORAGE_BALANCE_ENSEMBLE!AJ214</f>
        <v/>
      </c>
      <c r="H574" s="30" t="str">
        <f>STORAGE_BALANCE_ENSEMBLE!AH214</f>
        <v/>
      </c>
      <c r="I574" s="18" t="str">
        <f t="shared" si="83"/>
        <v/>
      </c>
      <c r="J574" s="8" t="str">
        <f t="shared" si="75"/>
        <v/>
      </c>
      <c r="K574" s="9" t="str">
        <f t="shared" si="76"/>
        <v/>
      </c>
      <c r="L574" s="10" t="str">
        <f t="shared" si="77"/>
        <v/>
      </c>
      <c r="M574" s="10" t="str">
        <f>IF(I574&lt;&gt;1,"",IF(H574="","",H574/CONTROL_PANEL!$B$11))</f>
        <v/>
      </c>
      <c r="N574" s="9" t="str">
        <f t="shared" si="78"/>
        <v/>
      </c>
      <c r="O574" s="9" t="str">
        <f t="shared" si="79"/>
        <v/>
      </c>
      <c r="P574" s="9" t="str">
        <f t="shared" si="80"/>
        <v/>
      </c>
      <c r="Q574" s="9" t="str">
        <f t="shared" si="81"/>
        <v/>
      </c>
      <c r="R574" s="11"/>
      <c r="S574" s="11"/>
    </row>
    <row r="575" spans="1:19" x14ac:dyDescent="0.25">
      <c r="A575" s="30" t="s">
        <v>97</v>
      </c>
      <c r="B575" s="31">
        <f t="shared" si="82"/>
        <v>48670</v>
      </c>
      <c r="C575" s="30">
        <f>YEAR(BInputReservoir[[#This Row],[Date]])</f>
        <v>2033</v>
      </c>
      <c r="D575" s="30">
        <f>MONTH(BInputReservoir[[#This Row],[Date]])</f>
        <v>4</v>
      </c>
      <c r="E575" s="30" t="str">
        <f>IF(I575&lt;&gt;1,"",DATA_INPUT!$L215)</f>
        <v/>
      </c>
      <c r="F575" s="30" t="str">
        <f>STORAGE_BALANCE_ENSEMBLE!AI215</f>
        <v/>
      </c>
      <c r="G575" s="30" t="str">
        <f>STORAGE_BALANCE_ENSEMBLE!AJ215</f>
        <v/>
      </c>
      <c r="H575" s="30" t="str">
        <f>STORAGE_BALANCE_ENSEMBLE!AH215</f>
        <v/>
      </c>
      <c r="I575" s="18" t="str">
        <f t="shared" si="83"/>
        <v/>
      </c>
      <c r="J575" s="8" t="str">
        <f t="shared" si="75"/>
        <v/>
      </c>
      <c r="K575" s="9" t="str">
        <f t="shared" si="76"/>
        <v/>
      </c>
      <c r="L575" s="10" t="str">
        <f t="shared" si="77"/>
        <v/>
      </c>
      <c r="M575" s="10" t="str">
        <f>IF(I575&lt;&gt;1,"",IF(H575="","",H575/CONTROL_PANEL!$B$11))</f>
        <v/>
      </c>
      <c r="N575" s="9" t="str">
        <f t="shared" si="78"/>
        <v/>
      </c>
      <c r="O575" s="9" t="str">
        <f t="shared" si="79"/>
        <v/>
      </c>
      <c r="P575" s="9" t="str">
        <f t="shared" si="80"/>
        <v/>
      </c>
      <c r="Q575" s="9" t="str">
        <f t="shared" si="81"/>
        <v/>
      </c>
      <c r="R575" s="11"/>
      <c r="S575" s="11"/>
    </row>
    <row r="576" spans="1:19" x14ac:dyDescent="0.25">
      <c r="A576" s="30" t="s">
        <v>97</v>
      </c>
      <c r="B576" s="31">
        <f t="shared" si="82"/>
        <v>48700</v>
      </c>
      <c r="C576" s="30">
        <f>YEAR(BInputReservoir[[#This Row],[Date]])</f>
        <v>2033</v>
      </c>
      <c r="D576" s="30">
        <f>MONTH(BInputReservoir[[#This Row],[Date]])</f>
        <v>5</v>
      </c>
      <c r="E576" s="30" t="str">
        <f>IF(I576&lt;&gt;1,"",DATA_INPUT!$L216)</f>
        <v/>
      </c>
      <c r="F576" s="30" t="str">
        <f>STORAGE_BALANCE_ENSEMBLE!AI216</f>
        <v/>
      </c>
      <c r="G576" s="30" t="str">
        <f>STORAGE_BALANCE_ENSEMBLE!AJ216</f>
        <v/>
      </c>
      <c r="H576" s="30" t="str">
        <f>STORAGE_BALANCE_ENSEMBLE!AH216</f>
        <v/>
      </c>
      <c r="I576" s="18" t="str">
        <f t="shared" si="83"/>
        <v/>
      </c>
      <c r="J576" s="8" t="str">
        <f t="shared" si="75"/>
        <v/>
      </c>
      <c r="K576" s="9" t="str">
        <f t="shared" si="76"/>
        <v/>
      </c>
      <c r="L576" s="10" t="str">
        <f t="shared" si="77"/>
        <v/>
      </c>
      <c r="M576" s="10" t="str">
        <f>IF(I576&lt;&gt;1,"",IF(H576="","",H576/CONTROL_PANEL!$B$11))</f>
        <v/>
      </c>
      <c r="N576" s="9" t="str">
        <f t="shared" si="78"/>
        <v/>
      </c>
      <c r="O576" s="9" t="str">
        <f t="shared" si="79"/>
        <v/>
      </c>
      <c r="P576" s="9" t="str">
        <f t="shared" si="80"/>
        <v/>
      </c>
      <c r="Q576" s="9" t="str">
        <f t="shared" si="81"/>
        <v/>
      </c>
      <c r="R576" s="11"/>
      <c r="S576" s="11"/>
    </row>
    <row r="577" spans="1:19" x14ac:dyDescent="0.25">
      <c r="A577" s="30" t="s">
        <v>97</v>
      </c>
      <c r="B577" s="31">
        <f t="shared" si="82"/>
        <v>48731</v>
      </c>
      <c r="C577" s="30">
        <f>YEAR(BInputReservoir[[#This Row],[Date]])</f>
        <v>2033</v>
      </c>
      <c r="D577" s="30">
        <f>MONTH(BInputReservoir[[#This Row],[Date]])</f>
        <v>6</v>
      </c>
      <c r="E577" s="30" t="str">
        <f>IF(I577&lt;&gt;1,"",DATA_INPUT!$L217)</f>
        <v/>
      </c>
      <c r="F577" s="30" t="str">
        <f>STORAGE_BALANCE_ENSEMBLE!AI217</f>
        <v/>
      </c>
      <c r="G577" s="30" t="str">
        <f>STORAGE_BALANCE_ENSEMBLE!AJ217</f>
        <v/>
      </c>
      <c r="H577" s="30" t="str">
        <f>STORAGE_BALANCE_ENSEMBLE!AH217</f>
        <v/>
      </c>
      <c r="I577" s="18" t="str">
        <f t="shared" si="83"/>
        <v/>
      </c>
      <c r="J577" s="8" t="str">
        <f t="shared" si="75"/>
        <v/>
      </c>
      <c r="K577" s="9" t="str">
        <f t="shared" si="76"/>
        <v/>
      </c>
      <c r="L577" s="10" t="str">
        <f t="shared" si="77"/>
        <v/>
      </c>
      <c r="M577" s="10" t="str">
        <f>IF(I577&lt;&gt;1,"",IF(H577="","",H577/CONTROL_PANEL!$B$11))</f>
        <v/>
      </c>
      <c r="N577" s="9" t="str">
        <f t="shared" si="78"/>
        <v/>
      </c>
      <c r="O577" s="9" t="str">
        <f t="shared" si="79"/>
        <v/>
      </c>
      <c r="P577" s="9" t="str">
        <f t="shared" si="80"/>
        <v/>
      </c>
      <c r="Q577" s="9" t="str">
        <f t="shared" si="81"/>
        <v/>
      </c>
      <c r="R577" s="11"/>
      <c r="S577" s="11"/>
    </row>
    <row r="578" spans="1:19" x14ac:dyDescent="0.25">
      <c r="A578" s="30" t="s">
        <v>97</v>
      </c>
      <c r="B578" s="31">
        <f t="shared" si="82"/>
        <v>48761</v>
      </c>
      <c r="C578" s="30">
        <f>YEAR(BInputReservoir[[#This Row],[Date]])</f>
        <v>2033</v>
      </c>
      <c r="D578" s="30">
        <f>MONTH(BInputReservoir[[#This Row],[Date]])</f>
        <v>7</v>
      </c>
      <c r="E578" s="30" t="str">
        <f>IF(I578&lt;&gt;1,"",DATA_INPUT!$L218)</f>
        <v/>
      </c>
      <c r="F578" s="30" t="str">
        <f>STORAGE_BALANCE_ENSEMBLE!AI218</f>
        <v/>
      </c>
      <c r="G578" s="30" t="str">
        <f>STORAGE_BALANCE_ENSEMBLE!AJ218</f>
        <v/>
      </c>
      <c r="H578" s="30" t="str">
        <f>STORAGE_BALANCE_ENSEMBLE!AH218</f>
        <v/>
      </c>
      <c r="I578" s="18" t="str">
        <f t="shared" si="83"/>
        <v/>
      </c>
      <c r="J578" s="8" t="str">
        <f t="shared" si="75"/>
        <v/>
      </c>
      <c r="K578" s="9" t="str">
        <f t="shared" si="76"/>
        <v/>
      </c>
      <c r="L578" s="10" t="str">
        <f t="shared" si="77"/>
        <v/>
      </c>
      <c r="M578" s="10" t="str">
        <f>IF(I578&lt;&gt;1,"",IF(H578="","",H578/CONTROL_PANEL!$B$11))</f>
        <v/>
      </c>
      <c r="N578" s="9" t="str">
        <f t="shared" si="78"/>
        <v/>
      </c>
      <c r="O578" s="9" t="str">
        <f t="shared" si="79"/>
        <v/>
      </c>
      <c r="P578" s="9" t="str">
        <f t="shared" si="80"/>
        <v/>
      </c>
      <c r="Q578" s="9" t="str">
        <f t="shared" si="81"/>
        <v/>
      </c>
      <c r="R578" s="11"/>
      <c r="S578" s="11"/>
    </row>
    <row r="579" spans="1:19" x14ac:dyDescent="0.25">
      <c r="A579" s="30" t="s">
        <v>97</v>
      </c>
      <c r="B579" s="31">
        <f t="shared" si="82"/>
        <v>48792</v>
      </c>
      <c r="C579" s="30">
        <f>YEAR(BInputReservoir[[#This Row],[Date]])</f>
        <v>2033</v>
      </c>
      <c r="D579" s="30">
        <f>MONTH(BInputReservoir[[#This Row],[Date]])</f>
        <v>8</v>
      </c>
      <c r="E579" s="30" t="str">
        <f>IF(I579&lt;&gt;1,"",DATA_INPUT!$L219)</f>
        <v/>
      </c>
      <c r="F579" s="30" t="str">
        <f>STORAGE_BALANCE_ENSEMBLE!AI219</f>
        <v/>
      </c>
      <c r="G579" s="30" t="str">
        <f>STORAGE_BALANCE_ENSEMBLE!AJ219</f>
        <v/>
      </c>
      <c r="H579" s="30" t="str">
        <f>STORAGE_BALANCE_ENSEMBLE!AH219</f>
        <v/>
      </c>
      <c r="I579" s="18" t="str">
        <f t="shared" si="83"/>
        <v/>
      </c>
      <c r="J579" s="8" t="str">
        <f t="shared" si="75"/>
        <v/>
      </c>
      <c r="K579" s="9" t="str">
        <f t="shared" si="76"/>
        <v/>
      </c>
      <c r="L579" s="10" t="str">
        <f t="shared" si="77"/>
        <v/>
      </c>
      <c r="M579" s="10" t="str">
        <f>IF(I579&lt;&gt;1,"",IF(H579="","",H579/CONTROL_PANEL!$B$11))</f>
        <v/>
      </c>
      <c r="N579" s="9" t="str">
        <f t="shared" si="78"/>
        <v/>
      </c>
      <c r="O579" s="9" t="str">
        <f t="shared" si="79"/>
        <v/>
      </c>
      <c r="P579" s="9" t="str">
        <f t="shared" si="80"/>
        <v/>
      </c>
      <c r="Q579" s="9" t="str">
        <f t="shared" si="81"/>
        <v/>
      </c>
      <c r="R579" s="11"/>
      <c r="S579" s="11"/>
    </row>
    <row r="580" spans="1:19" x14ac:dyDescent="0.25">
      <c r="A580" s="30" t="s">
        <v>97</v>
      </c>
      <c r="B580" s="31">
        <f t="shared" si="82"/>
        <v>48823</v>
      </c>
      <c r="C580" s="30">
        <f>YEAR(BInputReservoir[[#This Row],[Date]])</f>
        <v>2033</v>
      </c>
      <c r="D580" s="30">
        <f>MONTH(BInputReservoir[[#This Row],[Date]])</f>
        <v>9</v>
      </c>
      <c r="E580" s="30" t="str">
        <f>IF(I580&lt;&gt;1,"",DATA_INPUT!$L220)</f>
        <v/>
      </c>
      <c r="F580" s="30" t="str">
        <f>STORAGE_BALANCE_ENSEMBLE!AI220</f>
        <v/>
      </c>
      <c r="G580" s="30" t="str">
        <f>STORAGE_BALANCE_ENSEMBLE!AJ220</f>
        <v/>
      </c>
      <c r="H580" s="30" t="str">
        <f>STORAGE_BALANCE_ENSEMBLE!AH220</f>
        <v/>
      </c>
      <c r="I580" s="18" t="str">
        <f t="shared" si="83"/>
        <v/>
      </c>
      <c r="J580" s="8" t="str">
        <f t="shared" si="75"/>
        <v/>
      </c>
      <c r="K580" s="9" t="str">
        <f t="shared" si="76"/>
        <v/>
      </c>
      <c r="L580" s="10" t="str">
        <f t="shared" si="77"/>
        <v/>
      </c>
      <c r="M580" s="10" t="str">
        <f>IF(I580&lt;&gt;1,"",IF(H580="","",H580/CONTROL_PANEL!$B$11))</f>
        <v/>
      </c>
      <c r="N580" s="9" t="str">
        <f t="shared" si="78"/>
        <v/>
      </c>
      <c r="O580" s="9" t="str">
        <f t="shared" si="79"/>
        <v/>
      </c>
      <c r="P580" s="9" t="str">
        <f t="shared" si="80"/>
        <v/>
      </c>
      <c r="Q580" s="9" t="str">
        <f t="shared" si="81"/>
        <v/>
      </c>
      <c r="R580" s="11"/>
      <c r="S580" s="11"/>
    </row>
    <row r="581" spans="1:19" x14ac:dyDescent="0.25">
      <c r="A581" s="30" t="s">
        <v>97</v>
      </c>
      <c r="B581" s="31">
        <f t="shared" si="82"/>
        <v>48853</v>
      </c>
      <c r="C581" s="30">
        <f>YEAR(BInputReservoir[[#This Row],[Date]])</f>
        <v>2033</v>
      </c>
      <c r="D581" s="30">
        <f>MONTH(BInputReservoir[[#This Row],[Date]])</f>
        <v>10</v>
      </c>
      <c r="E581" s="30" t="str">
        <f>IF(I581&lt;&gt;1,"",DATA_INPUT!$L221)</f>
        <v/>
      </c>
      <c r="F581" s="30" t="str">
        <f>STORAGE_BALANCE_ENSEMBLE!AI221</f>
        <v/>
      </c>
      <c r="G581" s="30" t="str">
        <f>STORAGE_BALANCE_ENSEMBLE!AJ221</f>
        <v/>
      </c>
      <c r="H581" s="30" t="str">
        <f>STORAGE_BALANCE_ENSEMBLE!AH221</f>
        <v/>
      </c>
      <c r="I581" s="18" t="str">
        <f t="shared" si="83"/>
        <v/>
      </c>
      <c r="J581" s="8" t="str">
        <f t="shared" ref="J581:J644" si="84">IF(I581&lt;&gt;1,"",IF(E581="","",MAX(0,E581-G581)))</f>
        <v/>
      </c>
      <c r="K581" s="9" t="str">
        <f t="shared" ref="K581:K644" si="85">IF(I581&lt;&gt;1,"",IF(OR(G581="",E581=""),"",IF(G581&gt;0,1,0)))</f>
        <v/>
      </c>
      <c r="L581" s="10" t="str">
        <f t="shared" ref="L581:L644" si="86">IF(I581&lt;&gt;1,"",IF(AND(K581=1,E581&gt;0),G581/E581,0))</f>
        <v/>
      </c>
      <c r="M581" s="10" t="str">
        <f>IF(I581&lt;&gt;1,"",IF(H581="","",H581/CONTROL_PANEL!$B$11))</f>
        <v/>
      </c>
      <c r="N581" s="9" t="str">
        <f t="shared" ref="N581:N644" si="87">IF(I581&lt;&gt;1,"",IF(AND(K581=1,A582=A581),1,0))</f>
        <v/>
      </c>
      <c r="O581" s="9" t="str">
        <f t="shared" ref="O581:O644" si="88">IF(I581&lt;&gt;1,"",IF(AND(K581=1,A582=A581,K582=0),1,0))</f>
        <v/>
      </c>
      <c r="P581" s="9" t="str">
        <f t="shared" ref="P581:P644" si="89">IF(I581&lt;&gt;1,"",IF(F581&gt;0,1,0))</f>
        <v/>
      </c>
      <c r="Q581" s="9" t="str">
        <f t="shared" ref="Q581:Q644" si="90">IF(I581&lt;&gt;1,"",IF(G581&gt;0,1,0))</f>
        <v/>
      </c>
      <c r="R581" s="11"/>
      <c r="S581" s="11"/>
    </row>
    <row r="582" spans="1:19" x14ac:dyDescent="0.25">
      <c r="A582" s="30" t="s">
        <v>97</v>
      </c>
      <c r="B582" s="31">
        <f t="shared" si="82"/>
        <v>48884</v>
      </c>
      <c r="C582" s="30">
        <f>YEAR(BInputReservoir[[#This Row],[Date]])</f>
        <v>2033</v>
      </c>
      <c r="D582" s="30">
        <f>MONTH(BInputReservoir[[#This Row],[Date]])</f>
        <v>11</v>
      </c>
      <c r="E582" s="30" t="str">
        <f>IF(I582&lt;&gt;1,"",DATA_INPUT!$L222)</f>
        <v/>
      </c>
      <c r="F582" s="30" t="str">
        <f>STORAGE_BALANCE_ENSEMBLE!AI222</f>
        <v/>
      </c>
      <c r="G582" s="30" t="str">
        <f>STORAGE_BALANCE_ENSEMBLE!AJ222</f>
        <v/>
      </c>
      <c r="H582" s="30" t="str">
        <f>STORAGE_BALANCE_ENSEMBLE!AH222</f>
        <v/>
      </c>
      <c r="I582" s="18" t="str">
        <f t="shared" si="83"/>
        <v/>
      </c>
      <c r="J582" s="8" t="str">
        <f t="shared" si="84"/>
        <v/>
      </c>
      <c r="K582" s="9" t="str">
        <f t="shared" si="85"/>
        <v/>
      </c>
      <c r="L582" s="10" t="str">
        <f t="shared" si="86"/>
        <v/>
      </c>
      <c r="M582" s="10" t="str">
        <f>IF(I582&lt;&gt;1,"",IF(H582="","",H582/CONTROL_PANEL!$B$11))</f>
        <v/>
      </c>
      <c r="N582" s="9" t="str">
        <f t="shared" si="87"/>
        <v/>
      </c>
      <c r="O582" s="9" t="str">
        <f t="shared" si="88"/>
        <v/>
      </c>
      <c r="P582" s="9" t="str">
        <f t="shared" si="89"/>
        <v/>
      </c>
      <c r="Q582" s="9" t="str">
        <f t="shared" si="90"/>
        <v/>
      </c>
      <c r="R582" s="11"/>
      <c r="S582" s="11"/>
    </row>
    <row r="583" spans="1:19" x14ac:dyDescent="0.25">
      <c r="A583" s="30" t="s">
        <v>97</v>
      </c>
      <c r="B583" s="31">
        <f t="shared" si="82"/>
        <v>48914</v>
      </c>
      <c r="C583" s="30">
        <f>YEAR(BInputReservoir[[#This Row],[Date]])</f>
        <v>2033</v>
      </c>
      <c r="D583" s="30">
        <f>MONTH(BInputReservoir[[#This Row],[Date]])</f>
        <v>12</v>
      </c>
      <c r="E583" s="30" t="str">
        <f>IF(I583&lt;&gt;1,"",DATA_INPUT!$L223)</f>
        <v/>
      </c>
      <c r="F583" s="30" t="str">
        <f>STORAGE_BALANCE_ENSEMBLE!AI223</f>
        <v/>
      </c>
      <c r="G583" s="30" t="str">
        <f>STORAGE_BALANCE_ENSEMBLE!AJ223</f>
        <v/>
      </c>
      <c r="H583" s="30" t="str">
        <f>STORAGE_BALANCE_ENSEMBLE!AH223</f>
        <v/>
      </c>
      <c r="I583" s="18" t="str">
        <f t="shared" si="83"/>
        <v/>
      </c>
      <c r="J583" s="8" t="str">
        <f t="shared" si="84"/>
        <v/>
      </c>
      <c r="K583" s="9" t="str">
        <f t="shared" si="85"/>
        <v/>
      </c>
      <c r="L583" s="10" t="str">
        <f t="shared" si="86"/>
        <v/>
      </c>
      <c r="M583" s="10" t="str">
        <f>IF(I583&lt;&gt;1,"",IF(H583="","",H583/CONTROL_PANEL!$B$11))</f>
        <v/>
      </c>
      <c r="N583" s="9" t="str">
        <f t="shared" si="87"/>
        <v/>
      </c>
      <c r="O583" s="9" t="str">
        <f t="shared" si="88"/>
        <v/>
      </c>
      <c r="P583" s="9" t="str">
        <f t="shared" si="89"/>
        <v/>
      </c>
      <c r="Q583" s="9" t="str">
        <f t="shared" si="90"/>
        <v/>
      </c>
      <c r="R583" s="11"/>
      <c r="S583" s="11"/>
    </row>
    <row r="584" spans="1:19" x14ac:dyDescent="0.25">
      <c r="A584" s="30" t="s">
        <v>97</v>
      </c>
      <c r="B584" s="31">
        <f t="shared" si="82"/>
        <v>48945</v>
      </c>
      <c r="C584" s="30">
        <f>YEAR(BInputReservoir[[#This Row],[Date]])</f>
        <v>2034</v>
      </c>
      <c r="D584" s="30">
        <f>MONTH(BInputReservoir[[#This Row],[Date]])</f>
        <v>1</v>
      </c>
      <c r="E584" s="30" t="str">
        <f>IF(I584&lt;&gt;1,"",DATA_INPUT!$L224)</f>
        <v/>
      </c>
      <c r="F584" s="30" t="str">
        <f>STORAGE_BALANCE_ENSEMBLE!AI224</f>
        <v/>
      </c>
      <c r="G584" s="30" t="str">
        <f>STORAGE_BALANCE_ENSEMBLE!AJ224</f>
        <v/>
      </c>
      <c r="H584" s="30" t="str">
        <f>STORAGE_BALANCE_ENSEMBLE!AH224</f>
        <v/>
      </c>
      <c r="I584" s="18" t="str">
        <f t="shared" si="83"/>
        <v/>
      </c>
      <c r="J584" s="8" t="str">
        <f t="shared" si="84"/>
        <v/>
      </c>
      <c r="K584" s="9" t="str">
        <f t="shared" si="85"/>
        <v/>
      </c>
      <c r="L584" s="10" t="str">
        <f t="shared" si="86"/>
        <v/>
      </c>
      <c r="M584" s="10" t="str">
        <f>IF(I584&lt;&gt;1,"",IF(H584="","",H584/CONTROL_PANEL!$B$11))</f>
        <v/>
      </c>
      <c r="N584" s="9" t="str">
        <f t="shared" si="87"/>
        <v/>
      </c>
      <c r="O584" s="9" t="str">
        <f t="shared" si="88"/>
        <v/>
      </c>
      <c r="P584" s="9" t="str">
        <f t="shared" si="89"/>
        <v/>
      </c>
      <c r="Q584" s="9" t="str">
        <f t="shared" si="90"/>
        <v/>
      </c>
      <c r="R584" s="11"/>
      <c r="S584" s="11"/>
    </row>
    <row r="585" spans="1:19" x14ac:dyDescent="0.25">
      <c r="A585" s="30" t="s">
        <v>97</v>
      </c>
      <c r="B585" s="31">
        <f t="shared" si="82"/>
        <v>48976</v>
      </c>
      <c r="C585" s="30">
        <f>YEAR(BInputReservoir[[#This Row],[Date]])</f>
        <v>2034</v>
      </c>
      <c r="D585" s="30">
        <f>MONTH(BInputReservoir[[#This Row],[Date]])</f>
        <v>2</v>
      </c>
      <c r="E585" s="30" t="str">
        <f>IF(I585&lt;&gt;1,"",DATA_INPUT!$L225)</f>
        <v/>
      </c>
      <c r="F585" s="30" t="str">
        <f>STORAGE_BALANCE_ENSEMBLE!AI225</f>
        <v/>
      </c>
      <c r="G585" s="30" t="str">
        <f>STORAGE_BALANCE_ENSEMBLE!AJ225</f>
        <v/>
      </c>
      <c r="H585" s="30" t="str">
        <f>STORAGE_BALANCE_ENSEMBLE!AH225</f>
        <v/>
      </c>
      <c r="I585" s="18" t="str">
        <f t="shared" si="83"/>
        <v/>
      </c>
      <c r="J585" s="8" t="str">
        <f t="shared" si="84"/>
        <v/>
      </c>
      <c r="K585" s="9" t="str">
        <f t="shared" si="85"/>
        <v/>
      </c>
      <c r="L585" s="10" t="str">
        <f t="shared" si="86"/>
        <v/>
      </c>
      <c r="M585" s="10" t="str">
        <f>IF(I585&lt;&gt;1,"",IF(H585="","",H585/CONTROL_PANEL!$B$11))</f>
        <v/>
      </c>
      <c r="N585" s="9" t="str">
        <f t="shared" si="87"/>
        <v/>
      </c>
      <c r="O585" s="9" t="str">
        <f t="shared" si="88"/>
        <v/>
      </c>
      <c r="P585" s="9" t="str">
        <f t="shared" si="89"/>
        <v/>
      </c>
      <c r="Q585" s="9" t="str">
        <f t="shared" si="90"/>
        <v/>
      </c>
      <c r="R585" s="11"/>
      <c r="S585" s="11"/>
    </row>
    <row r="586" spans="1:19" x14ac:dyDescent="0.25">
      <c r="A586" s="30" t="s">
        <v>97</v>
      </c>
      <c r="B586" s="31">
        <f t="shared" si="82"/>
        <v>49004</v>
      </c>
      <c r="C586" s="30">
        <f>YEAR(BInputReservoir[[#This Row],[Date]])</f>
        <v>2034</v>
      </c>
      <c r="D586" s="30">
        <f>MONTH(BInputReservoir[[#This Row],[Date]])</f>
        <v>3</v>
      </c>
      <c r="E586" s="30" t="str">
        <f>IF(I586&lt;&gt;1,"",DATA_INPUT!$L226)</f>
        <v/>
      </c>
      <c r="F586" s="30" t="str">
        <f>STORAGE_BALANCE_ENSEMBLE!AI226</f>
        <v/>
      </c>
      <c r="G586" s="30" t="str">
        <f>STORAGE_BALANCE_ENSEMBLE!AJ226</f>
        <v/>
      </c>
      <c r="H586" s="30" t="str">
        <f>STORAGE_BALANCE_ENSEMBLE!AH226</f>
        <v/>
      </c>
      <c r="I586" s="18" t="str">
        <f t="shared" si="83"/>
        <v/>
      </c>
      <c r="J586" s="8" t="str">
        <f t="shared" si="84"/>
        <v/>
      </c>
      <c r="K586" s="9" t="str">
        <f t="shared" si="85"/>
        <v/>
      </c>
      <c r="L586" s="10" t="str">
        <f t="shared" si="86"/>
        <v/>
      </c>
      <c r="M586" s="10" t="str">
        <f>IF(I586&lt;&gt;1,"",IF(H586="","",H586/CONTROL_PANEL!$B$11))</f>
        <v/>
      </c>
      <c r="N586" s="9" t="str">
        <f t="shared" si="87"/>
        <v/>
      </c>
      <c r="O586" s="9" t="str">
        <f t="shared" si="88"/>
        <v/>
      </c>
      <c r="P586" s="9" t="str">
        <f t="shared" si="89"/>
        <v/>
      </c>
      <c r="Q586" s="9" t="str">
        <f t="shared" si="90"/>
        <v/>
      </c>
      <c r="R586" s="11"/>
      <c r="S586" s="11"/>
    </row>
    <row r="587" spans="1:19" x14ac:dyDescent="0.25">
      <c r="A587" s="30" t="s">
        <v>97</v>
      </c>
      <c r="B587" s="31">
        <f t="shared" si="82"/>
        <v>49035</v>
      </c>
      <c r="C587" s="30">
        <f>YEAR(BInputReservoir[[#This Row],[Date]])</f>
        <v>2034</v>
      </c>
      <c r="D587" s="30">
        <f>MONTH(BInputReservoir[[#This Row],[Date]])</f>
        <v>4</v>
      </c>
      <c r="E587" s="30" t="str">
        <f>IF(I587&lt;&gt;1,"",DATA_INPUT!$L227)</f>
        <v/>
      </c>
      <c r="F587" s="30" t="str">
        <f>STORAGE_BALANCE_ENSEMBLE!AI227</f>
        <v/>
      </c>
      <c r="G587" s="30" t="str">
        <f>STORAGE_BALANCE_ENSEMBLE!AJ227</f>
        <v/>
      </c>
      <c r="H587" s="30" t="str">
        <f>STORAGE_BALANCE_ENSEMBLE!AH227</f>
        <v/>
      </c>
      <c r="I587" s="18" t="str">
        <f t="shared" si="83"/>
        <v/>
      </c>
      <c r="J587" s="8" t="str">
        <f t="shared" si="84"/>
        <v/>
      </c>
      <c r="K587" s="9" t="str">
        <f t="shared" si="85"/>
        <v/>
      </c>
      <c r="L587" s="10" t="str">
        <f t="shared" si="86"/>
        <v/>
      </c>
      <c r="M587" s="10" t="str">
        <f>IF(I587&lt;&gt;1,"",IF(H587="","",H587/CONTROL_PANEL!$B$11))</f>
        <v/>
      </c>
      <c r="N587" s="9" t="str">
        <f t="shared" si="87"/>
        <v/>
      </c>
      <c r="O587" s="9" t="str">
        <f t="shared" si="88"/>
        <v/>
      </c>
      <c r="P587" s="9" t="str">
        <f t="shared" si="89"/>
        <v/>
      </c>
      <c r="Q587" s="9" t="str">
        <f t="shared" si="90"/>
        <v/>
      </c>
      <c r="R587" s="11"/>
      <c r="S587" s="11"/>
    </row>
    <row r="588" spans="1:19" x14ac:dyDescent="0.25">
      <c r="A588" s="30" t="s">
        <v>97</v>
      </c>
      <c r="B588" s="31">
        <f t="shared" si="82"/>
        <v>49065</v>
      </c>
      <c r="C588" s="30">
        <f>YEAR(BInputReservoir[[#This Row],[Date]])</f>
        <v>2034</v>
      </c>
      <c r="D588" s="30">
        <f>MONTH(BInputReservoir[[#This Row],[Date]])</f>
        <v>5</v>
      </c>
      <c r="E588" s="30" t="str">
        <f>IF(I588&lt;&gt;1,"",DATA_INPUT!$L228)</f>
        <v/>
      </c>
      <c r="F588" s="30" t="str">
        <f>STORAGE_BALANCE_ENSEMBLE!AI228</f>
        <v/>
      </c>
      <c r="G588" s="30" t="str">
        <f>STORAGE_BALANCE_ENSEMBLE!AJ228</f>
        <v/>
      </c>
      <c r="H588" s="30" t="str">
        <f>STORAGE_BALANCE_ENSEMBLE!AH228</f>
        <v/>
      </c>
      <c r="I588" s="18" t="str">
        <f t="shared" si="83"/>
        <v/>
      </c>
      <c r="J588" s="8" t="str">
        <f t="shared" si="84"/>
        <v/>
      </c>
      <c r="K588" s="9" t="str">
        <f t="shared" si="85"/>
        <v/>
      </c>
      <c r="L588" s="10" t="str">
        <f t="shared" si="86"/>
        <v/>
      </c>
      <c r="M588" s="10" t="str">
        <f>IF(I588&lt;&gt;1,"",IF(H588="","",H588/CONTROL_PANEL!$B$11))</f>
        <v/>
      </c>
      <c r="N588" s="9" t="str">
        <f t="shared" si="87"/>
        <v/>
      </c>
      <c r="O588" s="9" t="str">
        <f t="shared" si="88"/>
        <v/>
      </c>
      <c r="P588" s="9" t="str">
        <f t="shared" si="89"/>
        <v/>
      </c>
      <c r="Q588" s="9" t="str">
        <f t="shared" si="90"/>
        <v/>
      </c>
      <c r="R588" s="11"/>
      <c r="S588" s="11"/>
    </row>
    <row r="589" spans="1:19" x14ac:dyDescent="0.25">
      <c r="A589" s="30" t="s">
        <v>97</v>
      </c>
      <c r="B589" s="31">
        <f t="shared" si="82"/>
        <v>49096</v>
      </c>
      <c r="C589" s="30">
        <f>YEAR(BInputReservoir[[#This Row],[Date]])</f>
        <v>2034</v>
      </c>
      <c r="D589" s="30">
        <f>MONTH(BInputReservoir[[#This Row],[Date]])</f>
        <v>6</v>
      </c>
      <c r="E589" s="30" t="str">
        <f>IF(I589&lt;&gt;1,"",DATA_INPUT!$L229)</f>
        <v/>
      </c>
      <c r="F589" s="30" t="str">
        <f>STORAGE_BALANCE_ENSEMBLE!AI229</f>
        <v/>
      </c>
      <c r="G589" s="30" t="str">
        <f>STORAGE_BALANCE_ENSEMBLE!AJ229</f>
        <v/>
      </c>
      <c r="H589" s="30" t="str">
        <f>STORAGE_BALANCE_ENSEMBLE!AH229</f>
        <v/>
      </c>
      <c r="I589" s="18" t="str">
        <f t="shared" si="83"/>
        <v/>
      </c>
      <c r="J589" s="8" t="str">
        <f t="shared" si="84"/>
        <v/>
      </c>
      <c r="K589" s="9" t="str">
        <f t="shared" si="85"/>
        <v/>
      </c>
      <c r="L589" s="10" t="str">
        <f t="shared" si="86"/>
        <v/>
      </c>
      <c r="M589" s="10" t="str">
        <f>IF(I589&lt;&gt;1,"",IF(H589="","",H589/CONTROL_PANEL!$B$11))</f>
        <v/>
      </c>
      <c r="N589" s="9" t="str">
        <f t="shared" si="87"/>
        <v/>
      </c>
      <c r="O589" s="9" t="str">
        <f t="shared" si="88"/>
        <v/>
      </c>
      <c r="P589" s="9" t="str">
        <f t="shared" si="89"/>
        <v/>
      </c>
      <c r="Q589" s="9" t="str">
        <f t="shared" si="90"/>
        <v/>
      </c>
      <c r="R589" s="11"/>
      <c r="S589" s="11"/>
    </row>
    <row r="590" spans="1:19" x14ac:dyDescent="0.25">
      <c r="A590" s="30" t="s">
        <v>97</v>
      </c>
      <c r="B590" s="31">
        <f t="shared" si="82"/>
        <v>49126</v>
      </c>
      <c r="C590" s="30">
        <f>YEAR(BInputReservoir[[#This Row],[Date]])</f>
        <v>2034</v>
      </c>
      <c r="D590" s="30">
        <f>MONTH(BInputReservoir[[#This Row],[Date]])</f>
        <v>7</v>
      </c>
      <c r="E590" s="30" t="str">
        <f>IF(I590&lt;&gt;1,"",DATA_INPUT!$L230)</f>
        <v/>
      </c>
      <c r="F590" s="30" t="str">
        <f>STORAGE_BALANCE_ENSEMBLE!AI230</f>
        <v/>
      </c>
      <c r="G590" s="30" t="str">
        <f>STORAGE_BALANCE_ENSEMBLE!AJ230</f>
        <v/>
      </c>
      <c r="H590" s="30" t="str">
        <f>STORAGE_BALANCE_ENSEMBLE!AH230</f>
        <v/>
      </c>
      <c r="I590" s="18" t="str">
        <f t="shared" si="83"/>
        <v/>
      </c>
      <c r="J590" s="8" t="str">
        <f t="shared" si="84"/>
        <v/>
      </c>
      <c r="K590" s="9" t="str">
        <f t="shared" si="85"/>
        <v/>
      </c>
      <c r="L590" s="10" t="str">
        <f t="shared" si="86"/>
        <v/>
      </c>
      <c r="M590" s="10" t="str">
        <f>IF(I590&lt;&gt;1,"",IF(H590="","",H590/CONTROL_PANEL!$B$11))</f>
        <v/>
      </c>
      <c r="N590" s="9" t="str">
        <f t="shared" si="87"/>
        <v/>
      </c>
      <c r="O590" s="9" t="str">
        <f t="shared" si="88"/>
        <v/>
      </c>
      <c r="P590" s="9" t="str">
        <f t="shared" si="89"/>
        <v/>
      </c>
      <c r="Q590" s="9" t="str">
        <f t="shared" si="90"/>
        <v/>
      </c>
      <c r="R590" s="11"/>
      <c r="S590" s="11"/>
    </row>
    <row r="591" spans="1:19" x14ac:dyDescent="0.25">
      <c r="A591" s="30" t="s">
        <v>97</v>
      </c>
      <c r="B591" s="31">
        <f t="shared" si="82"/>
        <v>49157</v>
      </c>
      <c r="C591" s="30">
        <f>YEAR(BInputReservoir[[#This Row],[Date]])</f>
        <v>2034</v>
      </c>
      <c r="D591" s="30">
        <f>MONTH(BInputReservoir[[#This Row],[Date]])</f>
        <v>8</v>
      </c>
      <c r="E591" s="30" t="str">
        <f>IF(I591&lt;&gt;1,"",DATA_INPUT!$L231)</f>
        <v/>
      </c>
      <c r="F591" s="30" t="str">
        <f>STORAGE_BALANCE_ENSEMBLE!AI231</f>
        <v/>
      </c>
      <c r="G591" s="30" t="str">
        <f>STORAGE_BALANCE_ENSEMBLE!AJ231</f>
        <v/>
      </c>
      <c r="H591" s="30" t="str">
        <f>STORAGE_BALANCE_ENSEMBLE!AH231</f>
        <v/>
      </c>
      <c r="I591" s="18" t="str">
        <f t="shared" si="83"/>
        <v/>
      </c>
      <c r="J591" s="8" t="str">
        <f t="shared" si="84"/>
        <v/>
      </c>
      <c r="K591" s="9" t="str">
        <f t="shared" si="85"/>
        <v/>
      </c>
      <c r="L591" s="10" t="str">
        <f t="shared" si="86"/>
        <v/>
      </c>
      <c r="M591" s="10" t="str">
        <f>IF(I591&lt;&gt;1,"",IF(H591="","",H591/CONTROL_PANEL!$B$11))</f>
        <v/>
      </c>
      <c r="N591" s="9" t="str">
        <f t="shared" si="87"/>
        <v/>
      </c>
      <c r="O591" s="9" t="str">
        <f t="shared" si="88"/>
        <v/>
      </c>
      <c r="P591" s="9" t="str">
        <f t="shared" si="89"/>
        <v/>
      </c>
      <c r="Q591" s="9" t="str">
        <f t="shared" si="90"/>
        <v/>
      </c>
      <c r="R591" s="11"/>
      <c r="S591" s="11"/>
    </row>
    <row r="592" spans="1:19" x14ac:dyDescent="0.25">
      <c r="A592" s="30" t="s">
        <v>97</v>
      </c>
      <c r="B592" s="31">
        <f t="shared" si="82"/>
        <v>49188</v>
      </c>
      <c r="C592" s="30">
        <f>YEAR(BInputReservoir[[#This Row],[Date]])</f>
        <v>2034</v>
      </c>
      <c r="D592" s="30">
        <f>MONTH(BInputReservoir[[#This Row],[Date]])</f>
        <v>9</v>
      </c>
      <c r="E592" s="30" t="str">
        <f>IF(I592&lt;&gt;1,"",DATA_INPUT!$L232)</f>
        <v/>
      </c>
      <c r="F592" s="30" t="str">
        <f>STORAGE_BALANCE_ENSEMBLE!AI232</f>
        <v/>
      </c>
      <c r="G592" s="30" t="str">
        <f>STORAGE_BALANCE_ENSEMBLE!AJ232</f>
        <v/>
      </c>
      <c r="H592" s="30" t="str">
        <f>STORAGE_BALANCE_ENSEMBLE!AH232</f>
        <v/>
      </c>
      <c r="I592" s="18" t="str">
        <f t="shared" si="83"/>
        <v/>
      </c>
      <c r="J592" s="8" t="str">
        <f t="shared" si="84"/>
        <v/>
      </c>
      <c r="K592" s="9" t="str">
        <f t="shared" si="85"/>
        <v/>
      </c>
      <c r="L592" s="10" t="str">
        <f t="shared" si="86"/>
        <v/>
      </c>
      <c r="M592" s="10" t="str">
        <f>IF(I592&lt;&gt;1,"",IF(H592="","",H592/CONTROL_PANEL!$B$11))</f>
        <v/>
      </c>
      <c r="N592" s="9" t="str">
        <f t="shared" si="87"/>
        <v/>
      </c>
      <c r="O592" s="9" t="str">
        <f t="shared" si="88"/>
        <v/>
      </c>
      <c r="P592" s="9" t="str">
        <f t="shared" si="89"/>
        <v/>
      </c>
      <c r="Q592" s="9" t="str">
        <f t="shared" si="90"/>
        <v/>
      </c>
      <c r="R592" s="11"/>
      <c r="S592" s="11"/>
    </row>
    <row r="593" spans="1:19" x14ac:dyDescent="0.25">
      <c r="A593" s="30" t="s">
        <v>97</v>
      </c>
      <c r="B593" s="31">
        <f t="shared" si="82"/>
        <v>49218</v>
      </c>
      <c r="C593" s="30">
        <f>YEAR(BInputReservoir[[#This Row],[Date]])</f>
        <v>2034</v>
      </c>
      <c r="D593" s="30">
        <f>MONTH(BInputReservoir[[#This Row],[Date]])</f>
        <v>10</v>
      </c>
      <c r="E593" s="30" t="str">
        <f>IF(I593&lt;&gt;1,"",DATA_INPUT!$L233)</f>
        <v/>
      </c>
      <c r="F593" s="30" t="str">
        <f>STORAGE_BALANCE_ENSEMBLE!AI233</f>
        <v/>
      </c>
      <c r="G593" s="30" t="str">
        <f>STORAGE_BALANCE_ENSEMBLE!AJ233</f>
        <v/>
      </c>
      <c r="H593" s="30" t="str">
        <f>STORAGE_BALANCE_ENSEMBLE!AH233</f>
        <v/>
      </c>
      <c r="I593" s="18" t="str">
        <f t="shared" si="83"/>
        <v/>
      </c>
      <c r="J593" s="8" t="str">
        <f t="shared" si="84"/>
        <v/>
      </c>
      <c r="K593" s="9" t="str">
        <f t="shared" si="85"/>
        <v/>
      </c>
      <c r="L593" s="10" t="str">
        <f t="shared" si="86"/>
        <v/>
      </c>
      <c r="M593" s="10" t="str">
        <f>IF(I593&lt;&gt;1,"",IF(H593="","",H593/CONTROL_PANEL!$B$11))</f>
        <v/>
      </c>
      <c r="N593" s="9" t="str">
        <f t="shared" si="87"/>
        <v/>
      </c>
      <c r="O593" s="9" t="str">
        <f t="shared" si="88"/>
        <v/>
      </c>
      <c r="P593" s="9" t="str">
        <f t="shared" si="89"/>
        <v/>
      </c>
      <c r="Q593" s="9" t="str">
        <f t="shared" si="90"/>
        <v/>
      </c>
      <c r="R593" s="11"/>
      <c r="S593" s="11"/>
    </row>
    <row r="594" spans="1:19" x14ac:dyDescent="0.25">
      <c r="A594" s="30" t="s">
        <v>97</v>
      </c>
      <c r="B594" s="31">
        <f t="shared" si="82"/>
        <v>49249</v>
      </c>
      <c r="C594" s="30">
        <f>YEAR(BInputReservoir[[#This Row],[Date]])</f>
        <v>2034</v>
      </c>
      <c r="D594" s="30">
        <f>MONTH(BInputReservoir[[#This Row],[Date]])</f>
        <v>11</v>
      </c>
      <c r="E594" s="30" t="str">
        <f>IF(I594&lt;&gt;1,"",DATA_INPUT!$L234)</f>
        <v/>
      </c>
      <c r="F594" s="30" t="str">
        <f>STORAGE_BALANCE_ENSEMBLE!AI234</f>
        <v/>
      </c>
      <c r="G594" s="30" t="str">
        <f>STORAGE_BALANCE_ENSEMBLE!AJ234</f>
        <v/>
      </c>
      <c r="H594" s="30" t="str">
        <f>STORAGE_BALANCE_ENSEMBLE!AH234</f>
        <v/>
      </c>
      <c r="I594" s="18" t="str">
        <f t="shared" si="83"/>
        <v/>
      </c>
      <c r="J594" s="8" t="str">
        <f t="shared" si="84"/>
        <v/>
      </c>
      <c r="K594" s="9" t="str">
        <f t="shared" si="85"/>
        <v/>
      </c>
      <c r="L594" s="10" t="str">
        <f t="shared" si="86"/>
        <v/>
      </c>
      <c r="M594" s="10" t="str">
        <f>IF(I594&lt;&gt;1,"",IF(H594="","",H594/CONTROL_PANEL!$B$11))</f>
        <v/>
      </c>
      <c r="N594" s="9" t="str">
        <f t="shared" si="87"/>
        <v/>
      </c>
      <c r="O594" s="9" t="str">
        <f t="shared" si="88"/>
        <v/>
      </c>
      <c r="P594" s="9" t="str">
        <f t="shared" si="89"/>
        <v/>
      </c>
      <c r="Q594" s="9" t="str">
        <f t="shared" si="90"/>
        <v/>
      </c>
      <c r="R594" s="11"/>
      <c r="S594" s="11"/>
    </row>
    <row r="595" spans="1:19" x14ac:dyDescent="0.25">
      <c r="A595" s="30" t="s">
        <v>97</v>
      </c>
      <c r="B595" s="31">
        <f t="shared" si="82"/>
        <v>49279</v>
      </c>
      <c r="C595" s="30">
        <f>YEAR(BInputReservoir[[#This Row],[Date]])</f>
        <v>2034</v>
      </c>
      <c r="D595" s="30">
        <f>MONTH(BInputReservoir[[#This Row],[Date]])</f>
        <v>12</v>
      </c>
      <c r="E595" s="30" t="str">
        <f>IF(I595&lt;&gt;1,"",DATA_INPUT!$L235)</f>
        <v/>
      </c>
      <c r="F595" s="30" t="str">
        <f>STORAGE_BALANCE_ENSEMBLE!AI235</f>
        <v/>
      </c>
      <c r="G595" s="30" t="str">
        <f>STORAGE_BALANCE_ENSEMBLE!AJ235</f>
        <v/>
      </c>
      <c r="H595" s="30" t="str">
        <f>STORAGE_BALANCE_ENSEMBLE!AH235</f>
        <v/>
      </c>
      <c r="I595" s="18" t="str">
        <f t="shared" si="83"/>
        <v/>
      </c>
      <c r="J595" s="8" t="str">
        <f t="shared" si="84"/>
        <v/>
      </c>
      <c r="K595" s="9" t="str">
        <f t="shared" si="85"/>
        <v/>
      </c>
      <c r="L595" s="10" t="str">
        <f t="shared" si="86"/>
        <v/>
      </c>
      <c r="M595" s="10" t="str">
        <f>IF(I595&lt;&gt;1,"",IF(H595="","",H595/CONTROL_PANEL!$B$11))</f>
        <v/>
      </c>
      <c r="N595" s="9" t="str">
        <f t="shared" si="87"/>
        <v/>
      </c>
      <c r="O595" s="9" t="str">
        <f t="shared" si="88"/>
        <v/>
      </c>
      <c r="P595" s="9" t="str">
        <f t="shared" si="89"/>
        <v/>
      </c>
      <c r="Q595" s="9" t="str">
        <f t="shared" si="90"/>
        <v/>
      </c>
      <c r="R595" s="11"/>
      <c r="S595" s="11"/>
    </row>
    <row r="596" spans="1:19" x14ac:dyDescent="0.25">
      <c r="A596" s="30" t="s">
        <v>97</v>
      </c>
      <c r="B596" s="31">
        <f t="shared" si="82"/>
        <v>49310</v>
      </c>
      <c r="C596" s="30">
        <f>YEAR(BInputReservoir[[#This Row],[Date]])</f>
        <v>2035</v>
      </c>
      <c r="D596" s="30">
        <f>MONTH(BInputReservoir[[#This Row],[Date]])</f>
        <v>1</v>
      </c>
      <c r="E596" s="30" t="str">
        <f>IF(I596&lt;&gt;1,"",DATA_INPUT!$L236)</f>
        <v/>
      </c>
      <c r="F596" s="30" t="str">
        <f>STORAGE_BALANCE_ENSEMBLE!AI236</f>
        <v/>
      </c>
      <c r="G596" s="30" t="str">
        <f>STORAGE_BALANCE_ENSEMBLE!AJ236</f>
        <v/>
      </c>
      <c r="H596" s="30" t="str">
        <f>STORAGE_BALANCE_ENSEMBLE!AH236</f>
        <v/>
      </c>
      <c r="I596" s="18" t="str">
        <f t="shared" si="83"/>
        <v/>
      </c>
      <c r="J596" s="8" t="str">
        <f t="shared" si="84"/>
        <v/>
      </c>
      <c r="K596" s="9" t="str">
        <f t="shared" si="85"/>
        <v/>
      </c>
      <c r="L596" s="10" t="str">
        <f t="shared" si="86"/>
        <v/>
      </c>
      <c r="M596" s="10" t="str">
        <f>IF(I596&lt;&gt;1,"",IF(H596="","",H596/CONTROL_PANEL!$B$11))</f>
        <v/>
      </c>
      <c r="N596" s="9" t="str">
        <f t="shared" si="87"/>
        <v/>
      </c>
      <c r="O596" s="9" t="str">
        <f t="shared" si="88"/>
        <v/>
      </c>
      <c r="P596" s="9" t="str">
        <f t="shared" si="89"/>
        <v/>
      </c>
      <c r="Q596" s="9" t="str">
        <f t="shared" si="90"/>
        <v/>
      </c>
      <c r="R596" s="11"/>
      <c r="S596" s="11"/>
    </row>
    <row r="597" spans="1:19" x14ac:dyDescent="0.25">
      <c r="A597" s="30" t="s">
        <v>97</v>
      </c>
      <c r="B597" s="31">
        <f t="shared" si="82"/>
        <v>49341</v>
      </c>
      <c r="C597" s="30">
        <f>YEAR(BInputReservoir[[#This Row],[Date]])</f>
        <v>2035</v>
      </c>
      <c r="D597" s="30">
        <f>MONTH(BInputReservoir[[#This Row],[Date]])</f>
        <v>2</v>
      </c>
      <c r="E597" s="30" t="str">
        <f>IF(I597&lt;&gt;1,"",DATA_INPUT!$L237)</f>
        <v/>
      </c>
      <c r="F597" s="30" t="str">
        <f>STORAGE_BALANCE_ENSEMBLE!AI237</f>
        <v/>
      </c>
      <c r="G597" s="30" t="str">
        <f>STORAGE_BALANCE_ENSEMBLE!AJ237</f>
        <v/>
      </c>
      <c r="H597" s="30" t="str">
        <f>STORAGE_BALANCE_ENSEMBLE!AH237</f>
        <v/>
      </c>
      <c r="I597" s="18" t="str">
        <f t="shared" si="83"/>
        <v/>
      </c>
      <c r="J597" s="8" t="str">
        <f t="shared" si="84"/>
        <v/>
      </c>
      <c r="K597" s="9" t="str">
        <f t="shared" si="85"/>
        <v/>
      </c>
      <c r="L597" s="10" t="str">
        <f t="shared" si="86"/>
        <v/>
      </c>
      <c r="M597" s="10" t="str">
        <f>IF(I597&lt;&gt;1,"",IF(H597="","",H597/CONTROL_PANEL!$B$11))</f>
        <v/>
      </c>
      <c r="N597" s="9" t="str">
        <f t="shared" si="87"/>
        <v/>
      </c>
      <c r="O597" s="9" t="str">
        <f t="shared" si="88"/>
        <v/>
      </c>
      <c r="P597" s="9" t="str">
        <f t="shared" si="89"/>
        <v/>
      </c>
      <c r="Q597" s="9" t="str">
        <f t="shared" si="90"/>
        <v/>
      </c>
      <c r="R597" s="11"/>
      <c r="S597" s="11"/>
    </row>
    <row r="598" spans="1:19" x14ac:dyDescent="0.25">
      <c r="A598" s="30" t="s">
        <v>97</v>
      </c>
      <c r="B598" s="31">
        <f t="shared" si="82"/>
        <v>49369</v>
      </c>
      <c r="C598" s="30">
        <f>YEAR(BInputReservoir[[#This Row],[Date]])</f>
        <v>2035</v>
      </c>
      <c r="D598" s="30">
        <f>MONTH(BInputReservoir[[#This Row],[Date]])</f>
        <v>3</v>
      </c>
      <c r="E598" s="30" t="str">
        <f>IF(I598&lt;&gt;1,"",DATA_INPUT!$L238)</f>
        <v/>
      </c>
      <c r="F598" s="30" t="str">
        <f>STORAGE_BALANCE_ENSEMBLE!AI238</f>
        <v/>
      </c>
      <c r="G598" s="30" t="str">
        <f>STORAGE_BALANCE_ENSEMBLE!AJ238</f>
        <v/>
      </c>
      <c r="H598" s="30" t="str">
        <f>STORAGE_BALANCE_ENSEMBLE!AH238</f>
        <v/>
      </c>
      <c r="I598" s="18" t="str">
        <f t="shared" si="83"/>
        <v/>
      </c>
      <c r="J598" s="8" t="str">
        <f t="shared" si="84"/>
        <v/>
      </c>
      <c r="K598" s="9" t="str">
        <f t="shared" si="85"/>
        <v/>
      </c>
      <c r="L598" s="10" t="str">
        <f t="shared" si="86"/>
        <v/>
      </c>
      <c r="M598" s="10" t="str">
        <f>IF(I598&lt;&gt;1,"",IF(H598="","",H598/CONTROL_PANEL!$B$11))</f>
        <v/>
      </c>
      <c r="N598" s="9" t="str">
        <f t="shared" si="87"/>
        <v/>
      </c>
      <c r="O598" s="9" t="str">
        <f t="shared" si="88"/>
        <v/>
      </c>
      <c r="P598" s="9" t="str">
        <f t="shared" si="89"/>
        <v/>
      </c>
      <c r="Q598" s="9" t="str">
        <f t="shared" si="90"/>
        <v/>
      </c>
      <c r="R598" s="11"/>
      <c r="S598" s="11"/>
    </row>
    <row r="599" spans="1:19" x14ac:dyDescent="0.25">
      <c r="A599" s="30" t="s">
        <v>97</v>
      </c>
      <c r="B599" s="31">
        <f t="shared" si="82"/>
        <v>49400</v>
      </c>
      <c r="C599" s="30">
        <f>YEAR(BInputReservoir[[#This Row],[Date]])</f>
        <v>2035</v>
      </c>
      <c r="D599" s="30">
        <f>MONTH(BInputReservoir[[#This Row],[Date]])</f>
        <v>4</v>
      </c>
      <c r="E599" s="30" t="str">
        <f>IF(I599&lt;&gt;1,"",DATA_INPUT!$L239)</f>
        <v/>
      </c>
      <c r="F599" s="30" t="str">
        <f>STORAGE_BALANCE_ENSEMBLE!AI239</f>
        <v/>
      </c>
      <c r="G599" s="30" t="str">
        <f>STORAGE_BALANCE_ENSEMBLE!AJ239</f>
        <v/>
      </c>
      <c r="H599" s="30" t="str">
        <f>STORAGE_BALANCE_ENSEMBLE!AH239</f>
        <v/>
      </c>
      <c r="I599" s="18" t="str">
        <f t="shared" si="83"/>
        <v/>
      </c>
      <c r="J599" s="8" t="str">
        <f t="shared" si="84"/>
        <v/>
      </c>
      <c r="K599" s="9" t="str">
        <f t="shared" si="85"/>
        <v/>
      </c>
      <c r="L599" s="10" t="str">
        <f t="shared" si="86"/>
        <v/>
      </c>
      <c r="M599" s="10" t="str">
        <f>IF(I599&lt;&gt;1,"",IF(H599="","",H599/CONTROL_PANEL!$B$11))</f>
        <v/>
      </c>
      <c r="N599" s="9" t="str">
        <f t="shared" si="87"/>
        <v/>
      </c>
      <c r="O599" s="9" t="str">
        <f t="shared" si="88"/>
        <v/>
      </c>
      <c r="P599" s="9" t="str">
        <f t="shared" si="89"/>
        <v/>
      </c>
      <c r="Q599" s="9" t="str">
        <f t="shared" si="90"/>
        <v/>
      </c>
      <c r="R599" s="11"/>
      <c r="S599" s="11"/>
    </row>
    <row r="600" spans="1:19" x14ac:dyDescent="0.25">
      <c r="A600" s="30" t="s">
        <v>97</v>
      </c>
      <c r="B600" s="31">
        <f t="shared" si="82"/>
        <v>49430</v>
      </c>
      <c r="C600" s="30">
        <f>YEAR(BInputReservoir[[#This Row],[Date]])</f>
        <v>2035</v>
      </c>
      <c r="D600" s="30">
        <f>MONTH(BInputReservoir[[#This Row],[Date]])</f>
        <v>5</v>
      </c>
      <c r="E600" s="30" t="str">
        <f>IF(I600&lt;&gt;1,"",DATA_INPUT!$L240)</f>
        <v/>
      </c>
      <c r="F600" s="30" t="str">
        <f>STORAGE_BALANCE_ENSEMBLE!AI240</f>
        <v/>
      </c>
      <c r="G600" s="30" t="str">
        <f>STORAGE_BALANCE_ENSEMBLE!AJ240</f>
        <v/>
      </c>
      <c r="H600" s="30" t="str">
        <f>STORAGE_BALANCE_ENSEMBLE!AH240</f>
        <v/>
      </c>
      <c r="I600" s="18" t="str">
        <f t="shared" si="83"/>
        <v/>
      </c>
      <c r="J600" s="8" t="str">
        <f t="shared" si="84"/>
        <v/>
      </c>
      <c r="K600" s="9" t="str">
        <f t="shared" si="85"/>
        <v/>
      </c>
      <c r="L600" s="10" t="str">
        <f t="shared" si="86"/>
        <v/>
      </c>
      <c r="M600" s="10" t="str">
        <f>IF(I600&lt;&gt;1,"",IF(H600="","",H600/CONTROL_PANEL!$B$11))</f>
        <v/>
      </c>
      <c r="N600" s="9" t="str">
        <f t="shared" si="87"/>
        <v/>
      </c>
      <c r="O600" s="9" t="str">
        <f t="shared" si="88"/>
        <v/>
      </c>
      <c r="P600" s="9" t="str">
        <f t="shared" si="89"/>
        <v/>
      </c>
      <c r="Q600" s="9" t="str">
        <f t="shared" si="90"/>
        <v/>
      </c>
      <c r="R600" s="11"/>
      <c r="S600" s="11"/>
    </row>
    <row r="601" spans="1:19" x14ac:dyDescent="0.25">
      <c r="A601" s="30" t="s">
        <v>97</v>
      </c>
      <c r="B601" s="31">
        <f t="shared" si="82"/>
        <v>49461</v>
      </c>
      <c r="C601" s="30">
        <f>YEAR(BInputReservoir[[#This Row],[Date]])</f>
        <v>2035</v>
      </c>
      <c r="D601" s="30">
        <f>MONTH(BInputReservoir[[#This Row],[Date]])</f>
        <v>6</v>
      </c>
      <c r="E601" s="30" t="str">
        <f>IF(I601&lt;&gt;1,"",DATA_INPUT!$L241)</f>
        <v/>
      </c>
      <c r="F601" s="30" t="str">
        <f>STORAGE_BALANCE_ENSEMBLE!AI241</f>
        <v/>
      </c>
      <c r="G601" s="30" t="str">
        <f>STORAGE_BALANCE_ENSEMBLE!AJ241</f>
        <v/>
      </c>
      <c r="H601" s="30" t="str">
        <f>STORAGE_BALANCE_ENSEMBLE!AH241</f>
        <v/>
      </c>
      <c r="I601" s="18" t="str">
        <f t="shared" si="83"/>
        <v/>
      </c>
      <c r="J601" s="8" t="str">
        <f t="shared" si="84"/>
        <v/>
      </c>
      <c r="K601" s="9" t="str">
        <f t="shared" si="85"/>
        <v/>
      </c>
      <c r="L601" s="10" t="str">
        <f t="shared" si="86"/>
        <v/>
      </c>
      <c r="M601" s="10" t="str">
        <f>IF(I601&lt;&gt;1,"",IF(H601="","",H601/CONTROL_PANEL!$B$11))</f>
        <v/>
      </c>
      <c r="N601" s="9" t="str">
        <f t="shared" si="87"/>
        <v/>
      </c>
      <c r="O601" s="9" t="str">
        <f t="shared" si="88"/>
        <v/>
      </c>
      <c r="P601" s="9" t="str">
        <f t="shared" si="89"/>
        <v/>
      </c>
      <c r="Q601" s="9" t="str">
        <f t="shared" si="90"/>
        <v/>
      </c>
      <c r="R601" s="11"/>
      <c r="S601" s="11"/>
    </row>
    <row r="602" spans="1:19" x14ac:dyDescent="0.25">
      <c r="A602" s="30" t="s">
        <v>97</v>
      </c>
      <c r="B602" s="31">
        <f t="shared" si="82"/>
        <v>49491</v>
      </c>
      <c r="C602" s="30">
        <f>YEAR(BInputReservoir[[#This Row],[Date]])</f>
        <v>2035</v>
      </c>
      <c r="D602" s="30">
        <f>MONTH(BInputReservoir[[#This Row],[Date]])</f>
        <v>7</v>
      </c>
      <c r="E602" s="30" t="str">
        <f>IF(I602&lt;&gt;1,"",DATA_INPUT!$L242)</f>
        <v/>
      </c>
      <c r="F602" s="30" t="str">
        <f>STORAGE_BALANCE_ENSEMBLE!AI242</f>
        <v/>
      </c>
      <c r="G602" s="30" t="str">
        <f>STORAGE_BALANCE_ENSEMBLE!AJ242</f>
        <v/>
      </c>
      <c r="H602" s="30" t="str">
        <f>STORAGE_BALANCE_ENSEMBLE!AH242</f>
        <v/>
      </c>
      <c r="I602" s="18" t="str">
        <f t="shared" si="83"/>
        <v/>
      </c>
      <c r="J602" s="8" t="str">
        <f t="shared" si="84"/>
        <v/>
      </c>
      <c r="K602" s="9" t="str">
        <f t="shared" si="85"/>
        <v/>
      </c>
      <c r="L602" s="10" t="str">
        <f t="shared" si="86"/>
        <v/>
      </c>
      <c r="M602" s="10" t="str">
        <f>IF(I602&lt;&gt;1,"",IF(H602="","",H602/CONTROL_PANEL!$B$11))</f>
        <v/>
      </c>
      <c r="N602" s="9" t="str">
        <f t="shared" si="87"/>
        <v/>
      </c>
      <c r="O602" s="9" t="str">
        <f t="shared" si="88"/>
        <v/>
      </c>
      <c r="P602" s="9" t="str">
        <f t="shared" si="89"/>
        <v/>
      </c>
      <c r="Q602" s="9" t="str">
        <f t="shared" si="90"/>
        <v/>
      </c>
      <c r="R602" s="11"/>
      <c r="S602" s="11"/>
    </row>
    <row r="603" spans="1:19" x14ac:dyDescent="0.25">
      <c r="A603" s="30" t="s">
        <v>97</v>
      </c>
      <c r="B603" s="31">
        <f t="shared" si="82"/>
        <v>49522</v>
      </c>
      <c r="C603" s="30">
        <f>YEAR(BInputReservoir[[#This Row],[Date]])</f>
        <v>2035</v>
      </c>
      <c r="D603" s="30">
        <f>MONTH(BInputReservoir[[#This Row],[Date]])</f>
        <v>8</v>
      </c>
      <c r="E603" s="30" t="str">
        <f>IF(I603&lt;&gt;1,"",DATA_INPUT!$L243)</f>
        <v/>
      </c>
      <c r="F603" s="30" t="str">
        <f>STORAGE_BALANCE_ENSEMBLE!AI243</f>
        <v/>
      </c>
      <c r="G603" s="30" t="str">
        <f>STORAGE_BALANCE_ENSEMBLE!AJ243</f>
        <v/>
      </c>
      <c r="H603" s="30" t="str">
        <f>STORAGE_BALANCE_ENSEMBLE!AH243</f>
        <v/>
      </c>
      <c r="I603" s="18" t="str">
        <f t="shared" si="83"/>
        <v/>
      </c>
      <c r="J603" s="8" t="str">
        <f t="shared" si="84"/>
        <v/>
      </c>
      <c r="K603" s="9" t="str">
        <f t="shared" si="85"/>
        <v/>
      </c>
      <c r="L603" s="10" t="str">
        <f t="shared" si="86"/>
        <v/>
      </c>
      <c r="M603" s="10" t="str">
        <f>IF(I603&lt;&gt;1,"",IF(H603="","",H603/CONTROL_PANEL!$B$11))</f>
        <v/>
      </c>
      <c r="N603" s="9" t="str">
        <f t="shared" si="87"/>
        <v/>
      </c>
      <c r="O603" s="9" t="str">
        <f t="shared" si="88"/>
        <v/>
      </c>
      <c r="P603" s="9" t="str">
        <f t="shared" si="89"/>
        <v/>
      </c>
      <c r="Q603" s="9" t="str">
        <f t="shared" si="90"/>
        <v/>
      </c>
      <c r="R603" s="11"/>
      <c r="S603" s="11"/>
    </row>
    <row r="604" spans="1:19" x14ac:dyDescent="0.25">
      <c r="A604" s="30" t="s">
        <v>97</v>
      </c>
      <c r="B604" s="31">
        <f t="shared" si="82"/>
        <v>49553</v>
      </c>
      <c r="C604" s="30">
        <f>YEAR(BInputReservoir[[#This Row],[Date]])</f>
        <v>2035</v>
      </c>
      <c r="D604" s="30">
        <f>MONTH(BInputReservoir[[#This Row],[Date]])</f>
        <v>9</v>
      </c>
      <c r="E604" s="30" t="str">
        <f>IF(I604&lt;&gt;1,"",DATA_INPUT!$L244)</f>
        <v/>
      </c>
      <c r="F604" s="30" t="str">
        <f>STORAGE_BALANCE_ENSEMBLE!AI244</f>
        <v/>
      </c>
      <c r="G604" s="30" t="str">
        <f>STORAGE_BALANCE_ENSEMBLE!AJ244</f>
        <v/>
      </c>
      <c r="H604" s="30" t="str">
        <f>STORAGE_BALANCE_ENSEMBLE!AH244</f>
        <v/>
      </c>
      <c r="I604" s="18" t="str">
        <f t="shared" si="83"/>
        <v/>
      </c>
      <c r="J604" s="8" t="str">
        <f t="shared" si="84"/>
        <v/>
      </c>
      <c r="K604" s="9" t="str">
        <f t="shared" si="85"/>
        <v/>
      </c>
      <c r="L604" s="10" t="str">
        <f t="shared" si="86"/>
        <v/>
      </c>
      <c r="M604" s="10" t="str">
        <f>IF(I604&lt;&gt;1,"",IF(H604="","",H604/CONTROL_PANEL!$B$11))</f>
        <v/>
      </c>
      <c r="N604" s="9" t="str">
        <f t="shared" si="87"/>
        <v/>
      </c>
      <c r="O604" s="9" t="str">
        <f t="shared" si="88"/>
        <v/>
      </c>
      <c r="P604" s="9" t="str">
        <f t="shared" si="89"/>
        <v/>
      </c>
      <c r="Q604" s="9" t="str">
        <f t="shared" si="90"/>
        <v/>
      </c>
      <c r="R604" s="11"/>
      <c r="S604" s="11"/>
    </row>
    <row r="605" spans="1:19" x14ac:dyDescent="0.25">
      <c r="A605" s="30" t="s">
        <v>97</v>
      </c>
      <c r="B605" s="31">
        <f t="shared" si="82"/>
        <v>49583</v>
      </c>
      <c r="C605" s="30">
        <f>YEAR(BInputReservoir[[#This Row],[Date]])</f>
        <v>2035</v>
      </c>
      <c r="D605" s="30">
        <f>MONTH(BInputReservoir[[#This Row],[Date]])</f>
        <v>10</v>
      </c>
      <c r="E605" s="30" t="str">
        <f>IF(I605&lt;&gt;1,"",DATA_INPUT!$L245)</f>
        <v/>
      </c>
      <c r="F605" s="30" t="str">
        <f>STORAGE_BALANCE_ENSEMBLE!AI245</f>
        <v/>
      </c>
      <c r="G605" s="30" t="str">
        <f>STORAGE_BALANCE_ENSEMBLE!AJ245</f>
        <v/>
      </c>
      <c r="H605" s="30" t="str">
        <f>STORAGE_BALANCE_ENSEMBLE!AH245</f>
        <v/>
      </c>
      <c r="I605" s="18" t="str">
        <f t="shared" si="83"/>
        <v/>
      </c>
      <c r="J605" s="8" t="str">
        <f t="shared" si="84"/>
        <v/>
      </c>
      <c r="K605" s="9" t="str">
        <f t="shared" si="85"/>
        <v/>
      </c>
      <c r="L605" s="10" t="str">
        <f t="shared" si="86"/>
        <v/>
      </c>
      <c r="M605" s="10" t="str">
        <f>IF(I605&lt;&gt;1,"",IF(H605="","",H605/CONTROL_PANEL!$B$11))</f>
        <v/>
      </c>
      <c r="N605" s="9" t="str">
        <f t="shared" si="87"/>
        <v/>
      </c>
      <c r="O605" s="9" t="str">
        <f t="shared" si="88"/>
        <v/>
      </c>
      <c r="P605" s="9" t="str">
        <f t="shared" si="89"/>
        <v/>
      </c>
      <c r="Q605" s="9" t="str">
        <f t="shared" si="90"/>
        <v/>
      </c>
      <c r="R605" s="11"/>
      <c r="S605" s="11"/>
    </row>
    <row r="606" spans="1:19" x14ac:dyDescent="0.25">
      <c r="A606" s="30" t="s">
        <v>97</v>
      </c>
      <c r="B606" s="31">
        <f t="shared" si="82"/>
        <v>49614</v>
      </c>
      <c r="C606" s="30">
        <f>YEAR(BInputReservoir[[#This Row],[Date]])</f>
        <v>2035</v>
      </c>
      <c r="D606" s="30">
        <f>MONTH(BInputReservoir[[#This Row],[Date]])</f>
        <v>11</v>
      </c>
      <c r="E606" s="30" t="str">
        <f>IF(I606&lt;&gt;1,"",DATA_INPUT!$L246)</f>
        <v/>
      </c>
      <c r="F606" s="30" t="str">
        <f>STORAGE_BALANCE_ENSEMBLE!AI246</f>
        <v/>
      </c>
      <c r="G606" s="30" t="str">
        <f>STORAGE_BALANCE_ENSEMBLE!AJ246</f>
        <v/>
      </c>
      <c r="H606" s="30" t="str">
        <f>STORAGE_BALANCE_ENSEMBLE!AH246</f>
        <v/>
      </c>
      <c r="I606" s="18" t="str">
        <f t="shared" si="83"/>
        <v/>
      </c>
      <c r="J606" s="8" t="str">
        <f t="shared" si="84"/>
        <v/>
      </c>
      <c r="K606" s="9" t="str">
        <f t="shared" si="85"/>
        <v/>
      </c>
      <c r="L606" s="10" t="str">
        <f t="shared" si="86"/>
        <v/>
      </c>
      <c r="M606" s="10" t="str">
        <f>IF(I606&lt;&gt;1,"",IF(H606="","",H606/CONTROL_PANEL!$B$11))</f>
        <v/>
      </c>
      <c r="N606" s="9" t="str">
        <f t="shared" si="87"/>
        <v/>
      </c>
      <c r="O606" s="9" t="str">
        <f t="shared" si="88"/>
        <v/>
      </c>
      <c r="P606" s="9" t="str">
        <f t="shared" si="89"/>
        <v/>
      </c>
      <c r="Q606" s="9" t="str">
        <f t="shared" si="90"/>
        <v/>
      </c>
      <c r="R606" s="11"/>
      <c r="S606" s="11"/>
    </row>
    <row r="607" spans="1:19" x14ac:dyDescent="0.25">
      <c r="A607" s="30" t="s">
        <v>97</v>
      </c>
      <c r="B607" s="31">
        <f t="shared" si="82"/>
        <v>49644</v>
      </c>
      <c r="C607" s="30">
        <f>YEAR(BInputReservoir[[#This Row],[Date]])</f>
        <v>2035</v>
      </c>
      <c r="D607" s="30">
        <f>MONTH(BInputReservoir[[#This Row],[Date]])</f>
        <v>12</v>
      </c>
      <c r="E607" s="30" t="str">
        <f>IF(I607&lt;&gt;1,"",DATA_INPUT!$L247)</f>
        <v/>
      </c>
      <c r="F607" s="30" t="str">
        <f>STORAGE_BALANCE_ENSEMBLE!AI247</f>
        <v/>
      </c>
      <c r="G607" s="30" t="str">
        <f>STORAGE_BALANCE_ENSEMBLE!AJ247</f>
        <v/>
      </c>
      <c r="H607" s="30" t="str">
        <f>STORAGE_BALANCE_ENSEMBLE!AH247</f>
        <v/>
      </c>
      <c r="I607" s="18" t="str">
        <f t="shared" si="83"/>
        <v/>
      </c>
      <c r="J607" s="8" t="str">
        <f t="shared" si="84"/>
        <v/>
      </c>
      <c r="K607" s="9" t="str">
        <f t="shared" si="85"/>
        <v/>
      </c>
      <c r="L607" s="10" t="str">
        <f t="shared" si="86"/>
        <v/>
      </c>
      <c r="M607" s="10" t="str">
        <f>IF(I607&lt;&gt;1,"",IF(H607="","",H607/CONTROL_PANEL!$B$11))</f>
        <v/>
      </c>
      <c r="N607" s="9" t="str">
        <f t="shared" si="87"/>
        <v/>
      </c>
      <c r="O607" s="9" t="str">
        <f t="shared" si="88"/>
        <v/>
      </c>
      <c r="P607" s="9" t="str">
        <f t="shared" si="89"/>
        <v/>
      </c>
      <c r="Q607" s="9" t="str">
        <f t="shared" si="90"/>
        <v/>
      </c>
      <c r="R607" s="11"/>
      <c r="S607" s="11"/>
    </row>
    <row r="608" spans="1:19" x14ac:dyDescent="0.25">
      <c r="A608" s="30" t="s">
        <v>97</v>
      </c>
      <c r="B608" s="31">
        <f t="shared" si="82"/>
        <v>49675</v>
      </c>
      <c r="C608" s="30">
        <f>YEAR(BInputReservoir[[#This Row],[Date]])</f>
        <v>2036</v>
      </c>
      <c r="D608" s="30">
        <f>MONTH(BInputReservoir[[#This Row],[Date]])</f>
        <v>1</v>
      </c>
      <c r="E608" s="30" t="str">
        <f>IF(I608&lt;&gt;1,"",DATA_INPUT!$L248)</f>
        <v/>
      </c>
      <c r="F608" s="30" t="str">
        <f>STORAGE_BALANCE_ENSEMBLE!AI248</f>
        <v/>
      </c>
      <c r="G608" s="30" t="str">
        <f>STORAGE_BALANCE_ENSEMBLE!AJ248</f>
        <v/>
      </c>
      <c r="H608" s="30" t="str">
        <f>STORAGE_BALANCE_ENSEMBLE!AH248</f>
        <v/>
      </c>
      <c r="I608" s="18" t="str">
        <f t="shared" si="83"/>
        <v/>
      </c>
      <c r="J608" s="8" t="str">
        <f t="shared" si="84"/>
        <v/>
      </c>
      <c r="K608" s="9" t="str">
        <f t="shared" si="85"/>
        <v/>
      </c>
      <c r="L608" s="10" t="str">
        <f t="shared" si="86"/>
        <v/>
      </c>
      <c r="M608" s="10" t="str">
        <f>IF(I608&lt;&gt;1,"",IF(H608="","",H608/CONTROL_PANEL!$B$11))</f>
        <v/>
      </c>
      <c r="N608" s="9" t="str">
        <f t="shared" si="87"/>
        <v/>
      </c>
      <c r="O608" s="9" t="str">
        <f t="shared" si="88"/>
        <v/>
      </c>
      <c r="P608" s="9" t="str">
        <f t="shared" si="89"/>
        <v/>
      </c>
      <c r="Q608" s="9" t="str">
        <f t="shared" si="90"/>
        <v/>
      </c>
      <c r="R608" s="11"/>
      <c r="S608" s="11"/>
    </row>
    <row r="609" spans="1:19" x14ac:dyDescent="0.25">
      <c r="A609" s="30" t="s">
        <v>97</v>
      </c>
      <c r="B609" s="31">
        <f t="shared" si="82"/>
        <v>49706</v>
      </c>
      <c r="C609" s="30">
        <f>YEAR(BInputReservoir[[#This Row],[Date]])</f>
        <v>2036</v>
      </c>
      <c r="D609" s="30">
        <f>MONTH(BInputReservoir[[#This Row],[Date]])</f>
        <v>2</v>
      </c>
      <c r="E609" s="30" t="str">
        <f>IF(I609&lt;&gt;1,"",DATA_INPUT!$L249)</f>
        <v/>
      </c>
      <c r="F609" s="30" t="str">
        <f>STORAGE_BALANCE_ENSEMBLE!AI249</f>
        <v/>
      </c>
      <c r="G609" s="30" t="str">
        <f>STORAGE_BALANCE_ENSEMBLE!AJ249</f>
        <v/>
      </c>
      <c r="H609" s="30" t="str">
        <f>STORAGE_BALANCE_ENSEMBLE!AH249</f>
        <v/>
      </c>
      <c r="I609" s="18" t="str">
        <f t="shared" si="83"/>
        <v/>
      </c>
      <c r="J609" s="8" t="str">
        <f t="shared" si="84"/>
        <v/>
      </c>
      <c r="K609" s="9" t="str">
        <f t="shared" si="85"/>
        <v/>
      </c>
      <c r="L609" s="10" t="str">
        <f t="shared" si="86"/>
        <v/>
      </c>
      <c r="M609" s="10" t="str">
        <f>IF(I609&lt;&gt;1,"",IF(H609="","",H609/CONTROL_PANEL!$B$11))</f>
        <v/>
      </c>
      <c r="N609" s="9" t="str">
        <f t="shared" si="87"/>
        <v/>
      </c>
      <c r="O609" s="9" t="str">
        <f t="shared" si="88"/>
        <v/>
      </c>
      <c r="P609" s="9" t="str">
        <f t="shared" si="89"/>
        <v/>
      </c>
      <c r="Q609" s="9" t="str">
        <f t="shared" si="90"/>
        <v/>
      </c>
      <c r="R609" s="11"/>
      <c r="S609" s="11"/>
    </row>
    <row r="610" spans="1:19" x14ac:dyDescent="0.25">
      <c r="A610" s="30" t="s">
        <v>97</v>
      </c>
      <c r="B610" s="31">
        <f t="shared" si="82"/>
        <v>49735</v>
      </c>
      <c r="C610" s="30">
        <f>YEAR(BInputReservoir[[#This Row],[Date]])</f>
        <v>2036</v>
      </c>
      <c r="D610" s="30">
        <f>MONTH(BInputReservoir[[#This Row],[Date]])</f>
        <v>3</v>
      </c>
      <c r="E610" s="30" t="str">
        <f>IF(I610&lt;&gt;1,"",DATA_INPUT!$L250)</f>
        <v/>
      </c>
      <c r="F610" s="30" t="str">
        <f>STORAGE_BALANCE_ENSEMBLE!AI250</f>
        <v/>
      </c>
      <c r="G610" s="30" t="str">
        <f>STORAGE_BALANCE_ENSEMBLE!AJ250</f>
        <v/>
      </c>
      <c r="H610" s="30" t="str">
        <f>STORAGE_BALANCE_ENSEMBLE!AH250</f>
        <v/>
      </c>
      <c r="I610" s="18" t="str">
        <f t="shared" si="83"/>
        <v/>
      </c>
      <c r="J610" s="8" t="str">
        <f t="shared" si="84"/>
        <v/>
      </c>
      <c r="K610" s="9" t="str">
        <f t="shared" si="85"/>
        <v/>
      </c>
      <c r="L610" s="10" t="str">
        <f t="shared" si="86"/>
        <v/>
      </c>
      <c r="M610" s="10" t="str">
        <f>IF(I610&lt;&gt;1,"",IF(H610="","",H610/CONTROL_PANEL!$B$11))</f>
        <v/>
      </c>
      <c r="N610" s="9" t="str">
        <f t="shared" si="87"/>
        <v/>
      </c>
      <c r="O610" s="9" t="str">
        <f t="shared" si="88"/>
        <v/>
      </c>
      <c r="P610" s="9" t="str">
        <f t="shared" si="89"/>
        <v/>
      </c>
      <c r="Q610" s="9" t="str">
        <f t="shared" si="90"/>
        <v/>
      </c>
      <c r="R610" s="11"/>
      <c r="S610" s="11"/>
    </row>
    <row r="611" spans="1:19" x14ac:dyDescent="0.25">
      <c r="A611" s="30" t="s">
        <v>97</v>
      </c>
      <c r="B611" s="31">
        <f t="shared" si="82"/>
        <v>49766</v>
      </c>
      <c r="C611" s="30">
        <f>YEAR(BInputReservoir[[#This Row],[Date]])</f>
        <v>2036</v>
      </c>
      <c r="D611" s="30">
        <f>MONTH(BInputReservoir[[#This Row],[Date]])</f>
        <v>4</v>
      </c>
      <c r="E611" s="30" t="str">
        <f>IF(I611&lt;&gt;1,"",DATA_INPUT!$L251)</f>
        <v/>
      </c>
      <c r="F611" s="30" t="str">
        <f>STORAGE_BALANCE_ENSEMBLE!AI251</f>
        <v/>
      </c>
      <c r="G611" s="30" t="str">
        <f>STORAGE_BALANCE_ENSEMBLE!AJ251</f>
        <v/>
      </c>
      <c r="H611" s="30" t="str">
        <f>STORAGE_BALANCE_ENSEMBLE!AH251</f>
        <v/>
      </c>
      <c r="I611" s="18" t="str">
        <f t="shared" si="83"/>
        <v/>
      </c>
      <c r="J611" s="8" t="str">
        <f t="shared" si="84"/>
        <v/>
      </c>
      <c r="K611" s="9" t="str">
        <f t="shared" si="85"/>
        <v/>
      </c>
      <c r="L611" s="10" t="str">
        <f t="shared" si="86"/>
        <v/>
      </c>
      <c r="M611" s="10" t="str">
        <f>IF(I611&lt;&gt;1,"",IF(H611="","",H611/CONTROL_PANEL!$B$11))</f>
        <v/>
      </c>
      <c r="N611" s="9" t="str">
        <f t="shared" si="87"/>
        <v/>
      </c>
      <c r="O611" s="9" t="str">
        <f t="shared" si="88"/>
        <v/>
      </c>
      <c r="P611" s="9" t="str">
        <f t="shared" si="89"/>
        <v/>
      </c>
      <c r="Q611" s="9" t="str">
        <f t="shared" si="90"/>
        <v/>
      </c>
      <c r="R611" s="11"/>
      <c r="S611" s="11"/>
    </row>
    <row r="612" spans="1:19" x14ac:dyDescent="0.25">
      <c r="A612" s="30" t="s">
        <v>97</v>
      </c>
      <c r="B612" s="31">
        <f t="shared" si="82"/>
        <v>49796</v>
      </c>
      <c r="C612" s="30">
        <f>YEAR(BInputReservoir[[#This Row],[Date]])</f>
        <v>2036</v>
      </c>
      <c r="D612" s="30">
        <f>MONTH(BInputReservoir[[#This Row],[Date]])</f>
        <v>5</v>
      </c>
      <c r="E612" s="30" t="str">
        <f>IF(I612&lt;&gt;1,"",DATA_INPUT!$L252)</f>
        <v/>
      </c>
      <c r="F612" s="30" t="str">
        <f>STORAGE_BALANCE_ENSEMBLE!AI252</f>
        <v/>
      </c>
      <c r="G612" s="30" t="str">
        <f>STORAGE_BALANCE_ENSEMBLE!AJ252</f>
        <v/>
      </c>
      <c r="H612" s="30" t="str">
        <f>STORAGE_BALANCE_ENSEMBLE!AH252</f>
        <v/>
      </c>
      <c r="I612" s="18" t="str">
        <f t="shared" si="83"/>
        <v/>
      </c>
      <c r="J612" s="8" t="str">
        <f t="shared" si="84"/>
        <v/>
      </c>
      <c r="K612" s="9" t="str">
        <f t="shared" si="85"/>
        <v/>
      </c>
      <c r="L612" s="10" t="str">
        <f t="shared" si="86"/>
        <v/>
      </c>
      <c r="M612" s="10" t="str">
        <f>IF(I612&lt;&gt;1,"",IF(H612="","",H612/CONTROL_PANEL!$B$11))</f>
        <v/>
      </c>
      <c r="N612" s="9" t="str">
        <f t="shared" si="87"/>
        <v/>
      </c>
      <c r="O612" s="9" t="str">
        <f t="shared" si="88"/>
        <v/>
      </c>
      <c r="P612" s="9" t="str">
        <f t="shared" si="89"/>
        <v/>
      </c>
      <c r="Q612" s="9" t="str">
        <f t="shared" si="90"/>
        <v/>
      </c>
      <c r="R612" s="11"/>
      <c r="S612" s="11"/>
    </row>
    <row r="613" spans="1:19" x14ac:dyDescent="0.25">
      <c r="A613" s="30" t="s">
        <v>97</v>
      </c>
      <c r="B613" s="31">
        <f t="shared" ref="B613:B676" si="91">B252</f>
        <v>49827</v>
      </c>
      <c r="C613" s="30">
        <f>YEAR(BInputReservoir[[#This Row],[Date]])</f>
        <v>2036</v>
      </c>
      <c r="D613" s="30">
        <f>MONTH(BInputReservoir[[#This Row],[Date]])</f>
        <v>6</v>
      </c>
      <c r="E613" s="30" t="str">
        <f>IF(I613&lt;&gt;1,"",DATA_INPUT!$L253)</f>
        <v/>
      </c>
      <c r="F613" s="30" t="str">
        <f>STORAGE_BALANCE_ENSEMBLE!AI253</f>
        <v/>
      </c>
      <c r="G613" s="30" t="str">
        <f>STORAGE_BALANCE_ENSEMBLE!AJ253</f>
        <v/>
      </c>
      <c r="H613" s="30" t="str">
        <f>STORAGE_BALANCE_ENSEMBLE!AH253</f>
        <v/>
      </c>
      <c r="I613" s="18" t="str">
        <f t="shared" si="83"/>
        <v/>
      </c>
      <c r="J613" s="8" t="str">
        <f t="shared" si="84"/>
        <v/>
      </c>
      <c r="K613" s="9" t="str">
        <f t="shared" si="85"/>
        <v/>
      </c>
      <c r="L613" s="10" t="str">
        <f t="shared" si="86"/>
        <v/>
      </c>
      <c r="M613" s="10" t="str">
        <f>IF(I613&lt;&gt;1,"",IF(H613="","",H613/CONTROL_PANEL!$B$11))</f>
        <v/>
      </c>
      <c r="N613" s="9" t="str">
        <f t="shared" si="87"/>
        <v/>
      </c>
      <c r="O613" s="9" t="str">
        <f t="shared" si="88"/>
        <v/>
      </c>
      <c r="P613" s="9" t="str">
        <f t="shared" si="89"/>
        <v/>
      </c>
      <c r="Q613" s="9" t="str">
        <f t="shared" si="90"/>
        <v/>
      </c>
      <c r="R613" s="11"/>
      <c r="S613" s="11"/>
    </row>
    <row r="614" spans="1:19" x14ac:dyDescent="0.25">
      <c r="A614" s="30" t="s">
        <v>97</v>
      </c>
      <c r="B614" s="31">
        <f t="shared" si="91"/>
        <v>49857</v>
      </c>
      <c r="C614" s="30">
        <f>YEAR(BInputReservoir[[#This Row],[Date]])</f>
        <v>2036</v>
      </c>
      <c r="D614" s="30">
        <f>MONTH(BInputReservoir[[#This Row],[Date]])</f>
        <v>7</v>
      </c>
      <c r="E614" s="30" t="str">
        <f>IF(I614&lt;&gt;1,"",DATA_INPUT!$L254)</f>
        <v/>
      </c>
      <c r="F614" s="30" t="str">
        <f>STORAGE_BALANCE_ENSEMBLE!AI254</f>
        <v/>
      </c>
      <c r="G614" s="30" t="str">
        <f>STORAGE_BALANCE_ENSEMBLE!AJ254</f>
        <v/>
      </c>
      <c r="H614" s="30" t="str">
        <f>STORAGE_BALANCE_ENSEMBLE!AH254</f>
        <v/>
      </c>
      <c r="I614" s="18" t="str">
        <f t="shared" si="83"/>
        <v/>
      </c>
      <c r="J614" s="8" t="str">
        <f t="shared" si="84"/>
        <v/>
      </c>
      <c r="K614" s="9" t="str">
        <f t="shared" si="85"/>
        <v/>
      </c>
      <c r="L614" s="10" t="str">
        <f t="shared" si="86"/>
        <v/>
      </c>
      <c r="M614" s="10" t="str">
        <f>IF(I614&lt;&gt;1,"",IF(H614="","",H614/CONTROL_PANEL!$B$11))</f>
        <v/>
      </c>
      <c r="N614" s="9" t="str">
        <f t="shared" si="87"/>
        <v/>
      </c>
      <c r="O614" s="9" t="str">
        <f t="shared" si="88"/>
        <v/>
      </c>
      <c r="P614" s="9" t="str">
        <f t="shared" si="89"/>
        <v/>
      </c>
      <c r="Q614" s="9" t="str">
        <f t="shared" si="90"/>
        <v/>
      </c>
      <c r="R614" s="11"/>
      <c r="S614" s="11"/>
    </row>
    <row r="615" spans="1:19" x14ac:dyDescent="0.25">
      <c r="A615" s="30" t="s">
        <v>97</v>
      </c>
      <c r="B615" s="31">
        <f t="shared" si="91"/>
        <v>49888</v>
      </c>
      <c r="C615" s="30">
        <f>YEAR(BInputReservoir[[#This Row],[Date]])</f>
        <v>2036</v>
      </c>
      <c r="D615" s="30">
        <f>MONTH(BInputReservoir[[#This Row],[Date]])</f>
        <v>8</v>
      </c>
      <c r="E615" s="30" t="str">
        <f>IF(I615&lt;&gt;1,"",DATA_INPUT!$L255)</f>
        <v/>
      </c>
      <c r="F615" s="30" t="str">
        <f>STORAGE_BALANCE_ENSEMBLE!AI255</f>
        <v/>
      </c>
      <c r="G615" s="30" t="str">
        <f>STORAGE_BALANCE_ENSEMBLE!AJ255</f>
        <v/>
      </c>
      <c r="H615" s="30" t="str">
        <f>STORAGE_BALANCE_ENSEMBLE!AH255</f>
        <v/>
      </c>
      <c r="I615" s="18" t="str">
        <f t="shared" si="83"/>
        <v/>
      </c>
      <c r="J615" s="8" t="str">
        <f t="shared" si="84"/>
        <v/>
      </c>
      <c r="K615" s="9" t="str">
        <f t="shared" si="85"/>
        <v/>
      </c>
      <c r="L615" s="10" t="str">
        <f t="shared" si="86"/>
        <v/>
      </c>
      <c r="M615" s="10" t="str">
        <f>IF(I615&lt;&gt;1,"",IF(H615="","",H615/CONTROL_PANEL!$B$11))</f>
        <v/>
      </c>
      <c r="N615" s="9" t="str">
        <f t="shared" si="87"/>
        <v/>
      </c>
      <c r="O615" s="9" t="str">
        <f t="shared" si="88"/>
        <v/>
      </c>
      <c r="P615" s="9" t="str">
        <f t="shared" si="89"/>
        <v/>
      </c>
      <c r="Q615" s="9" t="str">
        <f t="shared" si="90"/>
        <v/>
      </c>
      <c r="R615" s="11"/>
      <c r="S615" s="11"/>
    </row>
    <row r="616" spans="1:19" x14ac:dyDescent="0.25">
      <c r="A616" s="30" t="s">
        <v>97</v>
      </c>
      <c r="B616" s="31">
        <f t="shared" si="91"/>
        <v>49919</v>
      </c>
      <c r="C616" s="30">
        <f>YEAR(BInputReservoir[[#This Row],[Date]])</f>
        <v>2036</v>
      </c>
      <c r="D616" s="30">
        <f>MONTH(BInputReservoir[[#This Row],[Date]])</f>
        <v>9</v>
      </c>
      <c r="E616" s="30" t="str">
        <f>IF(I616&lt;&gt;1,"",DATA_INPUT!$L256)</f>
        <v/>
      </c>
      <c r="F616" s="30" t="str">
        <f>STORAGE_BALANCE_ENSEMBLE!AI256</f>
        <v/>
      </c>
      <c r="G616" s="30" t="str">
        <f>STORAGE_BALANCE_ENSEMBLE!AJ256</f>
        <v/>
      </c>
      <c r="H616" s="30" t="str">
        <f>STORAGE_BALANCE_ENSEMBLE!AH256</f>
        <v/>
      </c>
      <c r="I616" s="18" t="str">
        <f t="shared" si="83"/>
        <v/>
      </c>
      <c r="J616" s="8" t="str">
        <f t="shared" si="84"/>
        <v/>
      </c>
      <c r="K616" s="9" t="str">
        <f t="shared" si="85"/>
        <v/>
      </c>
      <c r="L616" s="10" t="str">
        <f t="shared" si="86"/>
        <v/>
      </c>
      <c r="M616" s="10" t="str">
        <f>IF(I616&lt;&gt;1,"",IF(H616="","",H616/CONTROL_PANEL!$B$11))</f>
        <v/>
      </c>
      <c r="N616" s="9" t="str">
        <f t="shared" si="87"/>
        <v/>
      </c>
      <c r="O616" s="9" t="str">
        <f t="shared" si="88"/>
        <v/>
      </c>
      <c r="P616" s="9" t="str">
        <f t="shared" si="89"/>
        <v/>
      </c>
      <c r="Q616" s="9" t="str">
        <f t="shared" si="90"/>
        <v/>
      </c>
      <c r="R616" s="11"/>
      <c r="S616" s="11"/>
    </row>
    <row r="617" spans="1:19" x14ac:dyDescent="0.25">
      <c r="A617" s="30" t="s">
        <v>97</v>
      </c>
      <c r="B617" s="31">
        <f t="shared" si="91"/>
        <v>49949</v>
      </c>
      <c r="C617" s="30">
        <f>YEAR(BInputReservoir[[#This Row],[Date]])</f>
        <v>2036</v>
      </c>
      <c r="D617" s="30">
        <f>MONTH(BInputReservoir[[#This Row],[Date]])</f>
        <v>10</v>
      </c>
      <c r="E617" s="30" t="str">
        <f>IF(I617&lt;&gt;1,"",DATA_INPUT!$L257)</f>
        <v/>
      </c>
      <c r="F617" s="30" t="str">
        <f>STORAGE_BALANCE_ENSEMBLE!AI257</f>
        <v/>
      </c>
      <c r="G617" s="30" t="str">
        <f>STORAGE_BALANCE_ENSEMBLE!AJ257</f>
        <v/>
      </c>
      <c r="H617" s="30" t="str">
        <f>STORAGE_BALANCE_ENSEMBLE!AH257</f>
        <v/>
      </c>
      <c r="I617" s="18" t="str">
        <f t="shared" si="83"/>
        <v/>
      </c>
      <c r="J617" s="8" t="str">
        <f t="shared" si="84"/>
        <v/>
      </c>
      <c r="K617" s="9" t="str">
        <f t="shared" si="85"/>
        <v/>
      </c>
      <c r="L617" s="10" t="str">
        <f t="shared" si="86"/>
        <v/>
      </c>
      <c r="M617" s="10" t="str">
        <f>IF(I617&lt;&gt;1,"",IF(H617="","",H617/CONTROL_PANEL!$B$11))</f>
        <v/>
      </c>
      <c r="N617" s="9" t="str">
        <f t="shared" si="87"/>
        <v/>
      </c>
      <c r="O617" s="9" t="str">
        <f t="shared" si="88"/>
        <v/>
      </c>
      <c r="P617" s="9" t="str">
        <f t="shared" si="89"/>
        <v/>
      </c>
      <c r="Q617" s="9" t="str">
        <f t="shared" si="90"/>
        <v/>
      </c>
      <c r="R617" s="11"/>
      <c r="S617" s="11"/>
    </row>
    <row r="618" spans="1:19" x14ac:dyDescent="0.25">
      <c r="A618" s="30" t="s">
        <v>97</v>
      </c>
      <c r="B618" s="31">
        <f t="shared" si="91"/>
        <v>49980</v>
      </c>
      <c r="C618" s="30">
        <f>YEAR(BInputReservoir[[#This Row],[Date]])</f>
        <v>2036</v>
      </c>
      <c r="D618" s="30">
        <f>MONTH(BInputReservoir[[#This Row],[Date]])</f>
        <v>11</v>
      </c>
      <c r="E618" s="30" t="str">
        <f>IF(I618&lt;&gt;1,"",DATA_INPUT!$L258)</f>
        <v/>
      </c>
      <c r="F618" s="30" t="str">
        <f>STORAGE_BALANCE_ENSEMBLE!AI258</f>
        <v/>
      </c>
      <c r="G618" s="30" t="str">
        <f>STORAGE_BALANCE_ENSEMBLE!AJ258</f>
        <v/>
      </c>
      <c r="H618" s="30" t="str">
        <f>STORAGE_BALANCE_ENSEMBLE!AH258</f>
        <v/>
      </c>
      <c r="I618" s="18" t="str">
        <f t="shared" si="83"/>
        <v/>
      </c>
      <c r="J618" s="8" t="str">
        <f t="shared" si="84"/>
        <v/>
      </c>
      <c r="K618" s="9" t="str">
        <f t="shared" si="85"/>
        <v/>
      </c>
      <c r="L618" s="10" t="str">
        <f t="shared" si="86"/>
        <v/>
      </c>
      <c r="M618" s="10" t="str">
        <f>IF(I618&lt;&gt;1,"",IF(H618="","",H618/CONTROL_PANEL!$B$11))</f>
        <v/>
      </c>
      <c r="N618" s="9" t="str">
        <f t="shared" si="87"/>
        <v/>
      </c>
      <c r="O618" s="9" t="str">
        <f t="shared" si="88"/>
        <v/>
      </c>
      <c r="P618" s="9" t="str">
        <f t="shared" si="89"/>
        <v/>
      </c>
      <c r="Q618" s="9" t="str">
        <f t="shared" si="90"/>
        <v/>
      </c>
      <c r="R618" s="11"/>
      <c r="S618" s="11"/>
    </row>
    <row r="619" spans="1:19" x14ac:dyDescent="0.25">
      <c r="A619" s="30" t="s">
        <v>97</v>
      </c>
      <c r="B619" s="31">
        <f t="shared" si="91"/>
        <v>50010</v>
      </c>
      <c r="C619" s="30">
        <f>YEAR(BInputReservoir[[#This Row],[Date]])</f>
        <v>2036</v>
      </c>
      <c r="D619" s="30">
        <f>MONTH(BInputReservoir[[#This Row],[Date]])</f>
        <v>12</v>
      </c>
      <c r="E619" s="30" t="str">
        <f>IF(I619&lt;&gt;1,"",DATA_INPUT!$L259)</f>
        <v/>
      </c>
      <c r="F619" s="30" t="str">
        <f>STORAGE_BALANCE_ENSEMBLE!AI259</f>
        <v/>
      </c>
      <c r="G619" s="30" t="str">
        <f>STORAGE_BALANCE_ENSEMBLE!AJ259</f>
        <v/>
      </c>
      <c r="H619" s="30" t="str">
        <f>STORAGE_BALANCE_ENSEMBLE!AH259</f>
        <v/>
      </c>
      <c r="I619" s="18" t="str">
        <f t="shared" si="83"/>
        <v/>
      </c>
      <c r="J619" s="8" t="str">
        <f t="shared" si="84"/>
        <v/>
      </c>
      <c r="K619" s="9" t="str">
        <f t="shared" si="85"/>
        <v/>
      </c>
      <c r="L619" s="10" t="str">
        <f t="shared" si="86"/>
        <v/>
      </c>
      <c r="M619" s="10" t="str">
        <f>IF(I619&lt;&gt;1,"",IF(H619="","",H619/CONTROL_PANEL!$B$11))</f>
        <v/>
      </c>
      <c r="N619" s="9" t="str">
        <f t="shared" si="87"/>
        <v/>
      </c>
      <c r="O619" s="9" t="str">
        <f t="shared" si="88"/>
        <v/>
      </c>
      <c r="P619" s="9" t="str">
        <f t="shared" si="89"/>
        <v/>
      </c>
      <c r="Q619" s="9" t="str">
        <f t="shared" si="90"/>
        <v/>
      </c>
      <c r="R619" s="11"/>
      <c r="S619" s="11"/>
    </row>
    <row r="620" spans="1:19" x14ac:dyDescent="0.25">
      <c r="A620" s="30" t="s">
        <v>97</v>
      </c>
      <c r="B620" s="31">
        <f t="shared" si="91"/>
        <v>50041</v>
      </c>
      <c r="C620" s="30">
        <f>YEAR(BInputReservoir[[#This Row],[Date]])</f>
        <v>2037</v>
      </c>
      <c r="D620" s="30">
        <f>MONTH(BInputReservoir[[#This Row],[Date]])</f>
        <v>1</v>
      </c>
      <c r="E620" s="30" t="str">
        <f>IF(I620&lt;&gt;1,"",DATA_INPUT!$L260)</f>
        <v/>
      </c>
      <c r="F620" s="30" t="str">
        <f>STORAGE_BALANCE_ENSEMBLE!AI260</f>
        <v/>
      </c>
      <c r="G620" s="30" t="str">
        <f>STORAGE_BALANCE_ENSEMBLE!AJ260</f>
        <v/>
      </c>
      <c r="H620" s="30" t="str">
        <f>STORAGE_BALANCE_ENSEMBLE!AH260</f>
        <v/>
      </c>
      <c r="I620" s="18" t="str">
        <f t="shared" si="83"/>
        <v/>
      </c>
      <c r="J620" s="8" t="str">
        <f t="shared" si="84"/>
        <v/>
      </c>
      <c r="K620" s="9" t="str">
        <f t="shared" si="85"/>
        <v/>
      </c>
      <c r="L620" s="10" t="str">
        <f t="shared" si="86"/>
        <v/>
      </c>
      <c r="M620" s="10" t="str">
        <f>IF(I620&lt;&gt;1,"",IF(H620="","",H620/CONTROL_PANEL!$B$11))</f>
        <v/>
      </c>
      <c r="N620" s="9" t="str">
        <f t="shared" si="87"/>
        <v/>
      </c>
      <c r="O620" s="9" t="str">
        <f t="shared" si="88"/>
        <v/>
      </c>
      <c r="P620" s="9" t="str">
        <f t="shared" si="89"/>
        <v/>
      </c>
      <c r="Q620" s="9" t="str">
        <f t="shared" si="90"/>
        <v/>
      </c>
      <c r="R620" s="11"/>
      <c r="S620" s="11"/>
    </row>
    <row r="621" spans="1:19" x14ac:dyDescent="0.25">
      <c r="A621" s="30" t="s">
        <v>97</v>
      </c>
      <c r="B621" s="31">
        <f t="shared" si="91"/>
        <v>50072</v>
      </c>
      <c r="C621" s="30">
        <f>YEAR(BInputReservoir[[#This Row],[Date]])</f>
        <v>2037</v>
      </c>
      <c r="D621" s="30">
        <f>MONTH(BInputReservoir[[#This Row],[Date]])</f>
        <v>2</v>
      </c>
      <c r="E621" s="30" t="str">
        <f>IF(I621&lt;&gt;1,"",DATA_INPUT!$L261)</f>
        <v/>
      </c>
      <c r="F621" s="30" t="str">
        <f>STORAGE_BALANCE_ENSEMBLE!AI261</f>
        <v/>
      </c>
      <c r="G621" s="30" t="str">
        <f>STORAGE_BALANCE_ENSEMBLE!AJ261</f>
        <v/>
      </c>
      <c r="H621" s="30" t="str">
        <f>STORAGE_BALANCE_ENSEMBLE!AH261</f>
        <v/>
      </c>
      <c r="I621" s="18" t="str">
        <f t="shared" si="83"/>
        <v/>
      </c>
      <c r="J621" s="8" t="str">
        <f t="shared" si="84"/>
        <v/>
      </c>
      <c r="K621" s="9" t="str">
        <f t="shared" si="85"/>
        <v/>
      </c>
      <c r="L621" s="10" t="str">
        <f t="shared" si="86"/>
        <v/>
      </c>
      <c r="M621" s="10" t="str">
        <f>IF(I621&lt;&gt;1,"",IF(H621="","",H621/CONTROL_PANEL!$B$11))</f>
        <v/>
      </c>
      <c r="N621" s="9" t="str">
        <f t="shared" si="87"/>
        <v/>
      </c>
      <c r="O621" s="9" t="str">
        <f t="shared" si="88"/>
        <v/>
      </c>
      <c r="P621" s="9" t="str">
        <f t="shared" si="89"/>
        <v/>
      </c>
      <c r="Q621" s="9" t="str">
        <f t="shared" si="90"/>
        <v/>
      </c>
      <c r="R621" s="11"/>
      <c r="S621" s="11"/>
    </row>
    <row r="622" spans="1:19" x14ac:dyDescent="0.25">
      <c r="A622" s="30" t="s">
        <v>97</v>
      </c>
      <c r="B622" s="31">
        <f t="shared" si="91"/>
        <v>50100</v>
      </c>
      <c r="C622" s="30">
        <f>YEAR(BInputReservoir[[#This Row],[Date]])</f>
        <v>2037</v>
      </c>
      <c r="D622" s="30">
        <f>MONTH(BInputReservoir[[#This Row],[Date]])</f>
        <v>3</v>
      </c>
      <c r="E622" s="30" t="str">
        <f>IF(I622&lt;&gt;1,"",DATA_INPUT!$L262)</f>
        <v/>
      </c>
      <c r="F622" s="30" t="str">
        <f>STORAGE_BALANCE_ENSEMBLE!AI262</f>
        <v/>
      </c>
      <c r="G622" s="30" t="str">
        <f>STORAGE_BALANCE_ENSEMBLE!AJ262</f>
        <v/>
      </c>
      <c r="H622" s="30" t="str">
        <f>STORAGE_BALANCE_ENSEMBLE!AH262</f>
        <v/>
      </c>
      <c r="I622" s="18" t="str">
        <f t="shared" ref="I622:I685" si="92">I261</f>
        <v/>
      </c>
      <c r="J622" s="8" t="str">
        <f t="shared" si="84"/>
        <v/>
      </c>
      <c r="K622" s="9" t="str">
        <f t="shared" si="85"/>
        <v/>
      </c>
      <c r="L622" s="10" t="str">
        <f t="shared" si="86"/>
        <v/>
      </c>
      <c r="M622" s="10" t="str">
        <f>IF(I622&lt;&gt;1,"",IF(H622="","",H622/CONTROL_PANEL!$B$11))</f>
        <v/>
      </c>
      <c r="N622" s="9" t="str">
        <f t="shared" si="87"/>
        <v/>
      </c>
      <c r="O622" s="9" t="str">
        <f t="shared" si="88"/>
        <v/>
      </c>
      <c r="P622" s="9" t="str">
        <f t="shared" si="89"/>
        <v/>
      </c>
      <c r="Q622" s="9" t="str">
        <f t="shared" si="90"/>
        <v/>
      </c>
      <c r="R622" s="11"/>
      <c r="S622" s="11"/>
    </row>
    <row r="623" spans="1:19" x14ac:dyDescent="0.25">
      <c r="A623" s="30" t="s">
        <v>97</v>
      </c>
      <c r="B623" s="31">
        <f t="shared" si="91"/>
        <v>50131</v>
      </c>
      <c r="C623" s="30">
        <f>YEAR(BInputReservoir[[#This Row],[Date]])</f>
        <v>2037</v>
      </c>
      <c r="D623" s="30">
        <f>MONTH(BInputReservoir[[#This Row],[Date]])</f>
        <v>4</v>
      </c>
      <c r="E623" s="30" t="str">
        <f>IF(I623&lt;&gt;1,"",DATA_INPUT!$L263)</f>
        <v/>
      </c>
      <c r="F623" s="30" t="str">
        <f>STORAGE_BALANCE_ENSEMBLE!AI263</f>
        <v/>
      </c>
      <c r="G623" s="30" t="str">
        <f>STORAGE_BALANCE_ENSEMBLE!AJ263</f>
        <v/>
      </c>
      <c r="H623" s="30" t="str">
        <f>STORAGE_BALANCE_ENSEMBLE!AH263</f>
        <v/>
      </c>
      <c r="I623" s="18" t="str">
        <f t="shared" si="92"/>
        <v/>
      </c>
      <c r="J623" s="8" t="str">
        <f t="shared" si="84"/>
        <v/>
      </c>
      <c r="K623" s="9" t="str">
        <f t="shared" si="85"/>
        <v/>
      </c>
      <c r="L623" s="10" t="str">
        <f t="shared" si="86"/>
        <v/>
      </c>
      <c r="M623" s="10" t="str">
        <f>IF(I623&lt;&gt;1,"",IF(H623="","",H623/CONTROL_PANEL!$B$11))</f>
        <v/>
      </c>
      <c r="N623" s="9" t="str">
        <f t="shared" si="87"/>
        <v/>
      </c>
      <c r="O623" s="9" t="str">
        <f t="shared" si="88"/>
        <v/>
      </c>
      <c r="P623" s="9" t="str">
        <f t="shared" si="89"/>
        <v/>
      </c>
      <c r="Q623" s="9" t="str">
        <f t="shared" si="90"/>
        <v/>
      </c>
      <c r="R623" s="11"/>
      <c r="S623" s="11"/>
    </row>
    <row r="624" spans="1:19" x14ac:dyDescent="0.25">
      <c r="A624" s="30" t="s">
        <v>97</v>
      </c>
      <c r="B624" s="31">
        <f t="shared" si="91"/>
        <v>50161</v>
      </c>
      <c r="C624" s="30">
        <f>YEAR(BInputReservoir[[#This Row],[Date]])</f>
        <v>2037</v>
      </c>
      <c r="D624" s="30">
        <f>MONTH(BInputReservoir[[#This Row],[Date]])</f>
        <v>5</v>
      </c>
      <c r="E624" s="30" t="str">
        <f>IF(I624&lt;&gt;1,"",DATA_INPUT!$L264)</f>
        <v/>
      </c>
      <c r="F624" s="30" t="str">
        <f>STORAGE_BALANCE_ENSEMBLE!AI264</f>
        <v/>
      </c>
      <c r="G624" s="30" t="str">
        <f>STORAGE_BALANCE_ENSEMBLE!AJ264</f>
        <v/>
      </c>
      <c r="H624" s="30" t="str">
        <f>STORAGE_BALANCE_ENSEMBLE!AH264</f>
        <v/>
      </c>
      <c r="I624" s="18" t="str">
        <f t="shared" si="92"/>
        <v/>
      </c>
      <c r="J624" s="8" t="str">
        <f t="shared" si="84"/>
        <v/>
      </c>
      <c r="K624" s="9" t="str">
        <f t="shared" si="85"/>
        <v/>
      </c>
      <c r="L624" s="10" t="str">
        <f t="shared" si="86"/>
        <v/>
      </c>
      <c r="M624" s="10" t="str">
        <f>IF(I624&lt;&gt;1,"",IF(H624="","",H624/CONTROL_PANEL!$B$11))</f>
        <v/>
      </c>
      <c r="N624" s="9" t="str">
        <f t="shared" si="87"/>
        <v/>
      </c>
      <c r="O624" s="9" t="str">
        <f t="shared" si="88"/>
        <v/>
      </c>
      <c r="P624" s="9" t="str">
        <f t="shared" si="89"/>
        <v/>
      </c>
      <c r="Q624" s="9" t="str">
        <f t="shared" si="90"/>
        <v/>
      </c>
      <c r="R624" s="11"/>
      <c r="S624" s="11"/>
    </row>
    <row r="625" spans="1:19" x14ac:dyDescent="0.25">
      <c r="A625" s="30" t="s">
        <v>97</v>
      </c>
      <c r="B625" s="31">
        <f t="shared" si="91"/>
        <v>50192</v>
      </c>
      <c r="C625" s="30">
        <f>YEAR(BInputReservoir[[#This Row],[Date]])</f>
        <v>2037</v>
      </c>
      <c r="D625" s="30">
        <f>MONTH(BInputReservoir[[#This Row],[Date]])</f>
        <v>6</v>
      </c>
      <c r="E625" s="30" t="str">
        <f>IF(I625&lt;&gt;1,"",DATA_INPUT!$L265)</f>
        <v/>
      </c>
      <c r="F625" s="30" t="str">
        <f>STORAGE_BALANCE_ENSEMBLE!AI265</f>
        <v/>
      </c>
      <c r="G625" s="30" t="str">
        <f>STORAGE_BALANCE_ENSEMBLE!AJ265</f>
        <v/>
      </c>
      <c r="H625" s="30" t="str">
        <f>STORAGE_BALANCE_ENSEMBLE!AH265</f>
        <v/>
      </c>
      <c r="I625" s="18" t="str">
        <f t="shared" si="92"/>
        <v/>
      </c>
      <c r="J625" s="8" t="str">
        <f t="shared" si="84"/>
        <v/>
      </c>
      <c r="K625" s="9" t="str">
        <f t="shared" si="85"/>
        <v/>
      </c>
      <c r="L625" s="10" t="str">
        <f t="shared" si="86"/>
        <v/>
      </c>
      <c r="M625" s="10" t="str">
        <f>IF(I625&lt;&gt;1,"",IF(H625="","",H625/CONTROL_PANEL!$B$11))</f>
        <v/>
      </c>
      <c r="N625" s="9" t="str">
        <f t="shared" si="87"/>
        <v/>
      </c>
      <c r="O625" s="9" t="str">
        <f t="shared" si="88"/>
        <v/>
      </c>
      <c r="P625" s="9" t="str">
        <f t="shared" si="89"/>
        <v/>
      </c>
      <c r="Q625" s="9" t="str">
        <f t="shared" si="90"/>
        <v/>
      </c>
      <c r="R625" s="11"/>
      <c r="S625" s="11"/>
    </row>
    <row r="626" spans="1:19" x14ac:dyDescent="0.25">
      <c r="A626" s="30" t="s">
        <v>97</v>
      </c>
      <c r="B626" s="31">
        <f t="shared" si="91"/>
        <v>50222</v>
      </c>
      <c r="C626" s="30">
        <f>YEAR(BInputReservoir[[#This Row],[Date]])</f>
        <v>2037</v>
      </c>
      <c r="D626" s="30">
        <f>MONTH(BInputReservoir[[#This Row],[Date]])</f>
        <v>7</v>
      </c>
      <c r="E626" s="30" t="str">
        <f>IF(I626&lt;&gt;1,"",DATA_INPUT!$L266)</f>
        <v/>
      </c>
      <c r="F626" s="30" t="str">
        <f>STORAGE_BALANCE_ENSEMBLE!AI266</f>
        <v/>
      </c>
      <c r="G626" s="30" t="str">
        <f>STORAGE_BALANCE_ENSEMBLE!AJ266</f>
        <v/>
      </c>
      <c r="H626" s="30" t="str">
        <f>STORAGE_BALANCE_ENSEMBLE!AH266</f>
        <v/>
      </c>
      <c r="I626" s="18" t="str">
        <f t="shared" si="92"/>
        <v/>
      </c>
      <c r="J626" s="8" t="str">
        <f t="shared" si="84"/>
        <v/>
      </c>
      <c r="K626" s="9" t="str">
        <f t="shared" si="85"/>
        <v/>
      </c>
      <c r="L626" s="10" t="str">
        <f t="shared" si="86"/>
        <v/>
      </c>
      <c r="M626" s="10" t="str">
        <f>IF(I626&lt;&gt;1,"",IF(H626="","",H626/CONTROL_PANEL!$B$11))</f>
        <v/>
      </c>
      <c r="N626" s="9" t="str">
        <f t="shared" si="87"/>
        <v/>
      </c>
      <c r="O626" s="9" t="str">
        <f t="shared" si="88"/>
        <v/>
      </c>
      <c r="P626" s="9" t="str">
        <f t="shared" si="89"/>
        <v/>
      </c>
      <c r="Q626" s="9" t="str">
        <f t="shared" si="90"/>
        <v/>
      </c>
      <c r="R626" s="11"/>
      <c r="S626" s="11"/>
    </row>
    <row r="627" spans="1:19" x14ac:dyDescent="0.25">
      <c r="A627" s="30" t="s">
        <v>97</v>
      </c>
      <c r="B627" s="31">
        <f t="shared" si="91"/>
        <v>50253</v>
      </c>
      <c r="C627" s="30">
        <f>YEAR(BInputReservoir[[#This Row],[Date]])</f>
        <v>2037</v>
      </c>
      <c r="D627" s="30">
        <f>MONTH(BInputReservoir[[#This Row],[Date]])</f>
        <v>8</v>
      </c>
      <c r="E627" s="30" t="str">
        <f>IF(I627&lt;&gt;1,"",DATA_INPUT!$L267)</f>
        <v/>
      </c>
      <c r="F627" s="30" t="str">
        <f>STORAGE_BALANCE_ENSEMBLE!AI267</f>
        <v/>
      </c>
      <c r="G627" s="30" t="str">
        <f>STORAGE_BALANCE_ENSEMBLE!AJ267</f>
        <v/>
      </c>
      <c r="H627" s="30" t="str">
        <f>STORAGE_BALANCE_ENSEMBLE!AH267</f>
        <v/>
      </c>
      <c r="I627" s="18" t="str">
        <f t="shared" si="92"/>
        <v/>
      </c>
      <c r="J627" s="8" t="str">
        <f t="shared" si="84"/>
        <v/>
      </c>
      <c r="K627" s="9" t="str">
        <f t="shared" si="85"/>
        <v/>
      </c>
      <c r="L627" s="10" t="str">
        <f t="shared" si="86"/>
        <v/>
      </c>
      <c r="M627" s="10" t="str">
        <f>IF(I627&lt;&gt;1,"",IF(H627="","",H627/CONTROL_PANEL!$B$11))</f>
        <v/>
      </c>
      <c r="N627" s="9" t="str">
        <f t="shared" si="87"/>
        <v/>
      </c>
      <c r="O627" s="9" t="str">
        <f t="shared" si="88"/>
        <v/>
      </c>
      <c r="P627" s="9" t="str">
        <f t="shared" si="89"/>
        <v/>
      </c>
      <c r="Q627" s="9" t="str">
        <f t="shared" si="90"/>
        <v/>
      </c>
      <c r="R627" s="11"/>
      <c r="S627" s="11"/>
    </row>
    <row r="628" spans="1:19" x14ac:dyDescent="0.25">
      <c r="A628" s="30" t="s">
        <v>97</v>
      </c>
      <c r="B628" s="31">
        <f t="shared" si="91"/>
        <v>50284</v>
      </c>
      <c r="C628" s="30">
        <f>YEAR(BInputReservoir[[#This Row],[Date]])</f>
        <v>2037</v>
      </c>
      <c r="D628" s="30">
        <f>MONTH(BInputReservoir[[#This Row],[Date]])</f>
        <v>9</v>
      </c>
      <c r="E628" s="30" t="str">
        <f>IF(I628&lt;&gt;1,"",DATA_INPUT!$L268)</f>
        <v/>
      </c>
      <c r="F628" s="30" t="str">
        <f>STORAGE_BALANCE_ENSEMBLE!AI268</f>
        <v/>
      </c>
      <c r="G628" s="30" t="str">
        <f>STORAGE_BALANCE_ENSEMBLE!AJ268</f>
        <v/>
      </c>
      <c r="H628" s="30" t="str">
        <f>STORAGE_BALANCE_ENSEMBLE!AH268</f>
        <v/>
      </c>
      <c r="I628" s="18" t="str">
        <f t="shared" si="92"/>
        <v/>
      </c>
      <c r="J628" s="8" t="str">
        <f t="shared" si="84"/>
        <v/>
      </c>
      <c r="K628" s="9" t="str">
        <f t="shared" si="85"/>
        <v/>
      </c>
      <c r="L628" s="10" t="str">
        <f t="shared" si="86"/>
        <v/>
      </c>
      <c r="M628" s="10" t="str">
        <f>IF(I628&lt;&gt;1,"",IF(H628="","",H628/CONTROL_PANEL!$B$11))</f>
        <v/>
      </c>
      <c r="N628" s="9" t="str">
        <f t="shared" si="87"/>
        <v/>
      </c>
      <c r="O628" s="9" t="str">
        <f t="shared" si="88"/>
        <v/>
      </c>
      <c r="P628" s="9" t="str">
        <f t="shared" si="89"/>
        <v/>
      </c>
      <c r="Q628" s="9" t="str">
        <f t="shared" si="90"/>
        <v/>
      </c>
      <c r="R628" s="11"/>
      <c r="S628" s="11"/>
    </row>
    <row r="629" spans="1:19" x14ac:dyDescent="0.25">
      <c r="A629" s="30" t="s">
        <v>97</v>
      </c>
      <c r="B629" s="31">
        <f t="shared" si="91"/>
        <v>50314</v>
      </c>
      <c r="C629" s="30">
        <f>YEAR(BInputReservoir[[#This Row],[Date]])</f>
        <v>2037</v>
      </c>
      <c r="D629" s="30">
        <f>MONTH(BInputReservoir[[#This Row],[Date]])</f>
        <v>10</v>
      </c>
      <c r="E629" s="30" t="str">
        <f>IF(I629&lt;&gt;1,"",DATA_INPUT!$L269)</f>
        <v/>
      </c>
      <c r="F629" s="30" t="str">
        <f>STORAGE_BALANCE_ENSEMBLE!AI269</f>
        <v/>
      </c>
      <c r="G629" s="30" t="str">
        <f>STORAGE_BALANCE_ENSEMBLE!AJ269</f>
        <v/>
      </c>
      <c r="H629" s="30" t="str">
        <f>STORAGE_BALANCE_ENSEMBLE!AH269</f>
        <v/>
      </c>
      <c r="I629" s="18" t="str">
        <f t="shared" si="92"/>
        <v/>
      </c>
      <c r="J629" s="8" t="str">
        <f t="shared" si="84"/>
        <v/>
      </c>
      <c r="K629" s="9" t="str">
        <f t="shared" si="85"/>
        <v/>
      </c>
      <c r="L629" s="10" t="str">
        <f t="shared" si="86"/>
        <v/>
      </c>
      <c r="M629" s="10" t="str">
        <f>IF(I629&lt;&gt;1,"",IF(H629="","",H629/CONTROL_PANEL!$B$11))</f>
        <v/>
      </c>
      <c r="N629" s="9" t="str">
        <f t="shared" si="87"/>
        <v/>
      </c>
      <c r="O629" s="9" t="str">
        <f t="shared" si="88"/>
        <v/>
      </c>
      <c r="P629" s="9" t="str">
        <f t="shared" si="89"/>
        <v/>
      </c>
      <c r="Q629" s="9" t="str">
        <f t="shared" si="90"/>
        <v/>
      </c>
      <c r="R629" s="11"/>
      <c r="S629" s="11"/>
    </row>
    <row r="630" spans="1:19" x14ac:dyDescent="0.25">
      <c r="A630" s="30" t="s">
        <v>97</v>
      </c>
      <c r="B630" s="31">
        <f t="shared" si="91"/>
        <v>50345</v>
      </c>
      <c r="C630" s="30">
        <f>YEAR(BInputReservoir[[#This Row],[Date]])</f>
        <v>2037</v>
      </c>
      <c r="D630" s="30">
        <f>MONTH(BInputReservoir[[#This Row],[Date]])</f>
        <v>11</v>
      </c>
      <c r="E630" s="30" t="str">
        <f>IF(I630&lt;&gt;1,"",DATA_INPUT!$L270)</f>
        <v/>
      </c>
      <c r="F630" s="30" t="str">
        <f>STORAGE_BALANCE_ENSEMBLE!AI270</f>
        <v/>
      </c>
      <c r="G630" s="30" t="str">
        <f>STORAGE_BALANCE_ENSEMBLE!AJ270</f>
        <v/>
      </c>
      <c r="H630" s="30" t="str">
        <f>STORAGE_BALANCE_ENSEMBLE!AH270</f>
        <v/>
      </c>
      <c r="I630" s="18" t="str">
        <f t="shared" si="92"/>
        <v/>
      </c>
      <c r="J630" s="8" t="str">
        <f t="shared" si="84"/>
        <v/>
      </c>
      <c r="K630" s="9" t="str">
        <f t="shared" si="85"/>
        <v/>
      </c>
      <c r="L630" s="10" t="str">
        <f t="shared" si="86"/>
        <v/>
      </c>
      <c r="M630" s="10" t="str">
        <f>IF(I630&lt;&gt;1,"",IF(H630="","",H630/CONTROL_PANEL!$B$11))</f>
        <v/>
      </c>
      <c r="N630" s="9" t="str">
        <f t="shared" si="87"/>
        <v/>
      </c>
      <c r="O630" s="9" t="str">
        <f t="shared" si="88"/>
        <v/>
      </c>
      <c r="P630" s="9" t="str">
        <f t="shared" si="89"/>
        <v/>
      </c>
      <c r="Q630" s="9" t="str">
        <f t="shared" si="90"/>
        <v/>
      </c>
      <c r="R630" s="11"/>
      <c r="S630" s="11"/>
    </row>
    <row r="631" spans="1:19" x14ac:dyDescent="0.25">
      <c r="A631" s="30" t="s">
        <v>97</v>
      </c>
      <c r="B631" s="31">
        <f t="shared" si="91"/>
        <v>50375</v>
      </c>
      <c r="C631" s="30">
        <f>YEAR(BInputReservoir[[#This Row],[Date]])</f>
        <v>2037</v>
      </c>
      <c r="D631" s="30">
        <f>MONTH(BInputReservoir[[#This Row],[Date]])</f>
        <v>12</v>
      </c>
      <c r="E631" s="30" t="str">
        <f>IF(I631&lt;&gt;1,"",DATA_INPUT!$L271)</f>
        <v/>
      </c>
      <c r="F631" s="30" t="str">
        <f>STORAGE_BALANCE_ENSEMBLE!AI271</f>
        <v/>
      </c>
      <c r="G631" s="30" t="str">
        <f>STORAGE_BALANCE_ENSEMBLE!AJ271</f>
        <v/>
      </c>
      <c r="H631" s="30" t="str">
        <f>STORAGE_BALANCE_ENSEMBLE!AH271</f>
        <v/>
      </c>
      <c r="I631" s="18" t="str">
        <f t="shared" si="92"/>
        <v/>
      </c>
      <c r="J631" s="8" t="str">
        <f t="shared" si="84"/>
        <v/>
      </c>
      <c r="K631" s="9" t="str">
        <f t="shared" si="85"/>
        <v/>
      </c>
      <c r="L631" s="10" t="str">
        <f t="shared" si="86"/>
        <v/>
      </c>
      <c r="M631" s="10" t="str">
        <f>IF(I631&lt;&gt;1,"",IF(H631="","",H631/CONTROL_PANEL!$B$11))</f>
        <v/>
      </c>
      <c r="N631" s="9" t="str">
        <f t="shared" si="87"/>
        <v/>
      </c>
      <c r="O631" s="9" t="str">
        <f t="shared" si="88"/>
        <v/>
      </c>
      <c r="P631" s="9" t="str">
        <f t="shared" si="89"/>
        <v/>
      </c>
      <c r="Q631" s="9" t="str">
        <f t="shared" si="90"/>
        <v/>
      </c>
      <c r="R631" s="11"/>
      <c r="S631" s="11"/>
    </row>
    <row r="632" spans="1:19" x14ac:dyDescent="0.25">
      <c r="A632" s="30" t="s">
        <v>97</v>
      </c>
      <c r="B632" s="31">
        <f t="shared" si="91"/>
        <v>50406</v>
      </c>
      <c r="C632" s="30">
        <f>YEAR(BInputReservoir[[#This Row],[Date]])</f>
        <v>2038</v>
      </c>
      <c r="D632" s="30">
        <f>MONTH(BInputReservoir[[#This Row],[Date]])</f>
        <v>1</v>
      </c>
      <c r="E632" s="30" t="str">
        <f>IF(I632&lt;&gt;1,"",DATA_INPUT!$L272)</f>
        <v/>
      </c>
      <c r="F632" s="30" t="str">
        <f>STORAGE_BALANCE_ENSEMBLE!AI272</f>
        <v/>
      </c>
      <c r="G632" s="30" t="str">
        <f>STORAGE_BALANCE_ENSEMBLE!AJ272</f>
        <v/>
      </c>
      <c r="H632" s="30" t="str">
        <f>STORAGE_BALANCE_ENSEMBLE!AH272</f>
        <v/>
      </c>
      <c r="I632" s="18" t="str">
        <f t="shared" si="92"/>
        <v/>
      </c>
      <c r="J632" s="8" t="str">
        <f t="shared" si="84"/>
        <v/>
      </c>
      <c r="K632" s="9" t="str">
        <f t="shared" si="85"/>
        <v/>
      </c>
      <c r="L632" s="10" t="str">
        <f t="shared" si="86"/>
        <v/>
      </c>
      <c r="M632" s="10" t="str">
        <f>IF(I632&lt;&gt;1,"",IF(H632="","",H632/CONTROL_PANEL!$B$11))</f>
        <v/>
      </c>
      <c r="N632" s="9" t="str">
        <f t="shared" si="87"/>
        <v/>
      </c>
      <c r="O632" s="9" t="str">
        <f t="shared" si="88"/>
        <v/>
      </c>
      <c r="P632" s="9" t="str">
        <f t="shared" si="89"/>
        <v/>
      </c>
      <c r="Q632" s="9" t="str">
        <f t="shared" si="90"/>
        <v/>
      </c>
      <c r="R632" s="11"/>
      <c r="S632" s="11"/>
    </row>
    <row r="633" spans="1:19" x14ac:dyDescent="0.25">
      <c r="A633" s="30" t="s">
        <v>97</v>
      </c>
      <c r="B633" s="31">
        <f t="shared" si="91"/>
        <v>50437</v>
      </c>
      <c r="C633" s="30">
        <f>YEAR(BInputReservoir[[#This Row],[Date]])</f>
        <v>2038</v>
      </c>
      <c r="D633" s="30">
        <f>MONTH(BInputReservoir[[#This Row],[Date]])</f>
        <v>2</v>
      </c>
      <c r="E633" s="30" t="str">
        <f>IF(I633&lt;&gt;1,"",DATA_INPUT!$L273)</f>
        <v/>
      </c>
      <c r="F633" s="30" t="str">
        <f>STORAGE_BALANCE_ENSEMBLE!AI273</f>
        <v/>
      </c>
      <c r="G633" s="30" t="str">
        <f>STORAGE_BALANCE_ENSEMBLE!AJ273</f>
        <v/>
      </c>
      <c r="H633" s="30" t="str">
        <f>STORAGE_BALANCE_ENSEMBLE!AH273</f>
        <v/>
      </c>
      <c r="I633" s="18" t="str">
        <f t="shared" si="92"/>
        <v/>
      </c>
      <c r="J633" s="8" t="str">
        <f t="shared" si="84"/>
        <v/>
      </c>
      <c r="K633" s="9" t="str">
        <f t="shared" si="85"/>
        <v/>
      </c>
      <c r="L633" s="10" t="str">
        <f t="shared" si="86"/>
        <v/>
      </c>
      <c r="M633" s="10" t="str">
        <f>IF(I633&lt;&gt;1,"",IF(H633="","",H633/CONTROL_PANEL!$B$11))</f>
        <v/>
      </c>
      <c r="N633" s="9" t="str">
        <f t="shared" si="87"/>
        <v/>
      </c>
      <c r="O633" s="9" t="str">
        <f t="shared" si="88"/>
        <v/>
      </c>
      <c r="P633" s="9" t="str">
        <f t="shared" si="89"/>
        <v/>
      </c>
      <c r="Q633" s="9" t="str">
        <f t="shared" si="90"/>
        <v/>
      </c>
      <c r="R633" s="11"/>
      <c r="S633" s="11"/>
    </row>
    <row r="634" spans="1:19" x14ac:dyDescent="0.25">
      <c r="A634" s="30" t="s">
        <v>97</v>
      </c>
      <c r="B634" s="31">
        <f t="shared" si="91"/>
        <v>50465</v>
      </c>
      <c r="C634" s="30">
        <f>YEAR(BInputReservoir[[#This Row],[Date]])</f>
        <v>2038</v>
      </c>
      <c r="D634" s="30">
        <f>MONTH(BInputReservoir[[#This Row],[Date]])</f>
        <v>3</v>
      </c>
      <c r="E634" s="30" t="str">
        <f>IF(I634&lt;&gt;1,"",DATA_INPUT!$L274)</f>
        <v/>
      </c>
      <c r="F634" s="30" t="str">
        <f>STORAGE_BALANCE_ENSEMBLE!AI274</f>
        <v/>
      </c>
      <c r="G634" s="30" t="str">
        <f>STORAGE_BALANCE_ENSEMBLE!AJ274</f>
        <v/>
      </c>
      <c r="H634" s="30" t="str">
        <f>STORAGE_BALANCE_ENSEMBLE!AH274</f>
        <v/>
      </c>
      <c r="I634" s="18" t="str">
        <f t="shared" si="92"/>
        <v/>
      </c>
      <c r="J634" s="8" t="str">
        <f t="shared" si="84"/>
        <v/>
      </c>
      <c r="K634" s="9" t="str">
        <f t="shared" si="85"/>
        <v/>
      </c>
      <c r="L634" s="10" t="str">
        <f t="shared" si="86"/>
        <v/>
      </c>
      <c r="M634" s="10" t="str">
        <f>IF(I634&lt;&gt;1,"",IF(H634="","",H634/CONTROL_PANEL!$B$11))</f>
        <v/>
      </c>
      <c r="N634" s="9" t="str">
        <f t="shared" si="87"/>
        <v/>
      </c>
      <c r="O634" s="9" t="str">
        <f t="shared" si="88"/>
        <v/>
      </c>
      <c r="P634" s="9" t="str">
        <f t="shared" si="89"/>
        <v/>
      </c>
      <c r="Q634" s="9" t="str">
        <f t="shared" si="90"/>
        <v/>
      </c>
      <c r="R634" s="11"/>
      <c r="S634" s="11"/>
    </row>
    <row r="635" spans="1:19" x14ac:dyDescent="0.25">
      <c r="A635" s="30" t="s">
        <v>97</v>
      </c>
      <c r="B635" s="31">
        <f t="shared" si="91"/>
        <v>50496</v>
      </c>
      <c r="C635" s="30">
        <f>YEAR(BInputReservoir[[#This Row],[Date]])</f>
        <v>2038</v>
      </c>
      <c r="D635" s="30">
        <f>MONTH(BInputReservoir[[#This Row],[Date]])</f>
        <v>4</v>
      </c>
      <c r="E635" s="30" t="str">
        <f>IF(I635&lt;&gt;1,"",DATA_INPUT!$L275)</f>
        <v/>
      </c>
      <c r="F635" s="30" t="str">
        <f>STORAGE_BALANCE_ENSEMBLE!AI275</f>
        <v/>
      </c>
      <c r="G635" s="30" t="str">
        <f>STORAGE_BALANCE_ENSEMBLE!AJ275</f>
        <v/>
      </c>
      <c r="H635" s="30" t="str">
        <f>STORAGE_BALANCE_ENSEMBLE!AH275</f>
        <v/>
      </c>
      <c r="I635" s="18" t="str">
        <f t="shared" si="92"/>
        <v/>
      </c>
      <c r="J635" s="8" t="str">
        <f t="shared" si="84"/>
        <v/>
      </c>
      <c r="K635" s="9" t="str">
        <f t="shared" si="85"/>
        <v/>
      </c>
      <c r="L635" s="10" t="str">
        <f t="shared" si="86"/>
        <v/>
      </c>
      <c r="M635" s="10" t="str">
        <f>IF(I635&lt;&gt;1,"",IF(H635="","",H635/CONTROL_PANEL!$B$11))</f>
        <v/>
      </c>
      <c r="N635" s="9" t="str">
        <f t="shared" si="87"/>
        <v/>
      </c>
      <c r="O635" s="9" t="str">
        <f t="shared" si="88"/>
        <v/>
      </c>
      <c r="P635" s="9" t="str">
        <f t="shared" si="89"/>
        <v/>
      </c>
      <c r="Q635" s="9" t="str">
        <f t="shared" si="90"/>
        <v/>
      </c>
      <c r="R635" s="11"/>
      <c r="S635" s="11"/>
    </row>
    <row r="636" spans="1:19" x14ac:dyDescent="0.25">
      <c r="A636" s="30" t="s">
        <v>97</v>
      </c>
      <c r="B636" s="31">
        <f t="shared" si="91"/>
        <v>50526</v>
      </c>
      <c r="C636" s="30">
        <f>YEAR(BInputReservoir[[#This Row],[Date]])</f>
        <v>2038</v>
      </c>
      <c r="D636" s="30">
        <f>MONTH(BInputReservoir[[#This Row],[Date]])</f>
        <v>5</v>
      </c>
      <c r="E636" s="30" t="str">
        <f>IF(I636&lt;&gt;1,"",DATA_INPUT!$L276)</f>
        <v/>
      </c>
      <c r="F636" s="30" t="str">
        <f>STORAGE_BALANCE_ENSEMBLE!AI276</f>
        <v/>
      </c>
      <c r="G636" s="30" t="str">
        <f>STORAGE_BALANCE_ENSEMBLE!AJ276</f>
        <v/>
      </c>
      <c r="H636" s="30" t="str">
        <f>STORAGE_BALANCE_ENSEMBLE!AH276</f>
        <v/>
      </c>
      <c r="I636" s="18" t="str">
        <f t="shared" si="92"/>
        <v/>
      </c>
      <c r="J636" s="8" t="str">
        <f t="shared" si="84"/>
        <v/>
      </c>
      <c r="K636" s="9" t="str">
        <f t="shared" si="85"/>
        <v/>
      </c>
      <c r="L636" s="10" t="str">
        <f t="shared" si="86"/>
        <v/>
      </c>
      <c r="M636" s="10" t="str">
        <f>IF(I636&lt;&gt;1,"",IF(H636="","",H636/CONTROL_PANEL!$B$11))</f>
        <v/>
      </c>
      <c r="N636" s="9" t="str">
        <f t="shared" si="87"/>
        <v/>
      </c>
      <c r="O636" s="9" t="str">
        <f t="shared" si="88"/>
        <v/>
      </c>
      <c r="P636" s="9" t="str">
        <f t="shared" si="89"/>
        <v/>
      </c>
      <c r="Q636" s="9" t="str">
        <f t="shared" si="90"/>
        <v/>
      </c>
      <c r="R636" s="11"/>
      <c r="S636" s="11"/>
    </row>
    <row r="637" spans="1:19" x14ac:dyDescent="0.25">
      <c r="A637" s="30" t="s">
        <v>97</v>
      </c>
      <c r="B637" s="31">
        <f t="shared" si="91"/>
        <v>50557</v>
      </c>
      <c r="C637" s="30">
        <f>YEAR(BInputReservoir[[#This Row],[Date]])</f>
        <v>2038</v>
      </c>
      <c r="D637" s="30">
        <f>MONTH(BInputReservoir[[#This Row],[Date]])</f>
        <v>6</v>
      </c>
      <c r="E637" s="30" t="str">
        <f>IF(I637&lt;&gt;1,"",DATA_INPUT!$L277)</f>
        <v/>
      </c>
      <c r="F637" s="30" t="str">
        <f>STORAGE_BALANCE_ENSEMBLE!AI277</f>
        <v/>
      </c>
      <c r="G637" s="30" t="str">
        <f>STORAGE_BALANCE_ENSEMBLE!AJ277</f>
        <v/>
      </c>
      <c r="H637" s="30" t="str">
        <f>STORAGE_BALANCE_ENSEMBLE!AH277</f>
        <v/>
      </c>
      <c r="I637" s="18" t="str">
        <f t="shared" si="92"/>
        <v/>
      </c>
      <c r="J637" s="8" t="str">
        <f t="shared" si="84"/>
        <v/>
      </c>
      <c r="K637" s="9" t="str">
        <f t="shared" si="85"/>
        <v/>
      </c>
      <c r="L637" s="10" t="str">
        <f t="shared" si="86"/>
        <v/>
      </c>
      <c r="M637" s="10" t="str">
        <f>IF(I637&lt;&gt;1,"",IF(H637="","",H637/CONTROL_PANEL!$B$11))</f>
        <v/>
      </c>
      <c r="N637" s="9" t="str">
        <f t="shared" si="87"/>
        <v/>
      </c>
      <c r="O637" s="9" t="str">
        <f t="shared" si="88"/>
        <v/>
      </c>
      <c r="P637" s="9" t="str">
        <f t="shared" si="89"/>
        <v/>
      </c>
      <c r="Q637" s="9" t="str">
        <f t="shared" si="90"/>
        <v/>
      </c>
      <c r="R637" s="11"/>
      <c r="S637" s="11"/>
    </row>
    <row r="638" spans="1:19" x14ac:dyDescent="0.25">
      <c r="A638" s="30" t="s">
        <v>97</v>
      </c>
      <c r="B638" s="31">
        <f t="shared" si="91"/>
        <v>50587</v>
      </c>
      <c r="C638" s="30">
        <f>YEAR(BInputReservoir[[#This Row],[Date]])</f>
        <v>2038</v>
      </c>
      <c r="D638" s="30">
        <f>MONTH(BInputReservoir[[#This Row],[Date]])</f>
        <v>7</v>
      </c>
      <c r="E638" s="30" t="str">
        <f>IF(I638&lt;&gt;1,"",DATA_INPUT!$L278)</f>
        <v/>
      </c>
      <c r="F638" s="30" t="str">
        <f>STORAGE_BALANCE_ENSEMBLE!AI278</f>
        <v/>
      </c>
      <c r="G638" s="30" t="str">
        <f>STORAGE_BALANCE_ENSEMBLE!AJ278</f>
        <v/>
      </c>
      <c r="H638" s="30" t="str">
        <f>STORAGE_BALANCE_ENSEMBLE!AH278</f>
        <v/>
      </c>
      <c r="I638" s="18" t="str">
        <f t="shared" si="92"/>
        <v/>
      </c>
      <c r="J638" s="8" t="str">
        <f t="shared" si="84"/>
        <v/>
      </c>
      <c r="K638" s="9" t="str">
        <f t="shared" si="85"/>
        <v/>
      </c>
      <c r="L638" s="10" t="str">
        <f t="shared" si="86"/>
        <v/>
      </c>
      <c r="M638" s="10" t="str">
        <f>IF(I638&lt;&gt;1,"",IF(H638="","",H638/CONTROL_PANEL!$B$11))</f>
        <v/>
      </c>
      <c r="N638" s="9" t="str">
        <f t="shared" si="87"/>
        <v/>
      </c>
      <c r="O638" s="9" t="str">
        <f t="shared" si="88"/>
        <v/>
      </c>
      <c r="P638" s="9" t="str">
        <f t="shared" si="89"/>
        <v/>
      </c>
      <c r="Q638" s="9" t="str">
        <f t="shared" si="90"/>
        <v/>
      </c>
      <c r="R638" s="11"/>
      <c r="S638" s="11"/>
    </row>
    <row r="639" spans="1:19" x14ac:dyDescent="0.25">
      <c r="A639" s="30" t="s">
        <v>97</v>
      </c>
      <c r="B639" s="31">
        <f t="shared" si="91"/>
        <v>50618</v>
      </c>
      <c r="C639" s="30">
        <f>YEAR(BInputReservoir[[#This Row],[Date]])</f>
        <v>2038</v>
      </c>
      <c r="D639" s="30">
        <f>MONTH(BInputReservoir[[#This Row],[Date]])</f>
        <v>8</v>
      </c>
      <c r="E639" s="30" t="str">
        <f>IF(I639&lt;&gt;1,"",DATA_INPUT!$L279)</f>
        <v/>
      </c>
      <c r="F639" s="30" t="str">
        <f>STORAGE_BALANCE_ENSEMBLE!AI279</f>
        <v/>
      </c>
      <c r="G639" s="30" t="str">
        <f>STORAGE_BALANCE_ENSEMBLE!AJ279</f>
        <v/>
      </c>
      <c r="H639" s="30" t="str">
        <f>STORAGE_BALANCE_ENSEMBLE!AH279</f>
        <v/>
      </c>
      <c r="I639" s="18" t="str">
        <f t="shared" si="92"/>
        <v/>
      </c>
      <c r="J639" s="8" t="str">
        <f t="shared" si="84"/>
        <v/>
      </c>
      <c r="K639" s="9" t="str">
        <f t="shared" si="85"/>
        <v/>
      </c>
      <c r="L639" s="10" t="str">
        <f t="shared" si="86"/>
        <v/>
      </c>
      <c r="M639" s="10" t="str">
        <f>IF(I639&lt;&gt;1,"",IF(H639="","",H639/CONTROL_PANEL!$B$11))</f>
        <v/>
      </c>
      <c r="N639" s="9" t="str">
        <f t="shared" si="87"/>
        <v/>
      </c>
      <c r="O639" s="9" t="str">
        <f t="shared" si="88"/>
        <v/>
      </c>
      <c r="P639" s="9" t="str">
        <f t="shared" si="89"/>
        <v/>
      </c>
      <c r="Q639" s="9" t="str">
        <f t="shared" si="90"/>
        <v/>
      </c>
      <c r="R639" s="11"/>
      <c r="S639" s="11"/>
    </row>
    <row r="640" spans="1:19" x14ac:dyDescent="0.25">
      <c r="A640" s="30" t="s">
        <v>97</v>
      </c>
      <c r="B640" s="31">
        <f t="shared" si="91"/>
        <v>50649</v>
      </c>
      <c r="C640" s="30">
        <f>YEAR(BInputReservoir[[#This Row],[Date]])</f>
        <v>2038</v>
      </c>
      <c r="D640" s="30">
        <f>MONTH(BInputReservoir[[#This Row],[Date]])</f>
        <v>9</v>
      </c>
      <c r="E640" s="30" t="str">
        <f>IF(I640&lt;&gt;1,"",DATA_INPUT!$L280)</f>
        <v/>
      </c>
      <c r="F640" s="30" t="str">
        <f>STORAGE_BALANCE_ENSEMBLE!AI280</f>
        <v/>
      </c>
      <c r="G640" s="30" t="str">
        <f>STORAGE_BALANCE_ENSEMBLE!AJ280</f>
        <v/>
      </c>
      <c r="H640" s="30" t="str">
        <f>STORAGE_BALANCE_ENSEMBLE!AH280</f>
        <v/>
      </c>
      <c r="I640" s="18" t="str">
        <f t="shared" si="92"/>
        <v/>
      </c>
      <c r="J640" s="8" t="str">
        <f t="shared" si="84"/>
        <v/>
      </c>
      <c r="K640" s="9" t="str">
        <f t="shared" si="85"/>
        <v/>
      </c>
      <c r="L640" s="10" t="str">
        <f t="shared" si="86"/>
        <v/>
      </c>
      <c r="M640" s="10" t="str">
        <f>IF(I640&lt;&gt;1,"",IF(H640="","",H640/CONTROL_PANEL!$B$11))</f>
        <v/>
      </c>
      <c r="N640" s="9" t="str">
        <f t="shared" si="87"/>
        <v/>
      </c>
      <c r="O640" s="9" t="str">
        <f t="shared" si="88"/>
        <v/>
      </c>
      <c r="P640" s="9" t="str">
        <f t="shared" si="89"/>
        <v/>
      </c>
      <c r="Q640" s="9" t="str">
        <f t="shared" si="90"/>
        <v/>
      </c>
      <c r="R640" s="11"/>
      <c r="S640" s="11"/>
    </row>
    <row r="641" spans="1:19" x14ac:dyDescent="0.25">
      <c r="A641" s="30" t="s">
        <v>97</v>
      </c>
      <c r="B641" s="31">
        <f t="shared" si="91"/>
        <v>50679</v>
      </c>
      <c r="C641" s="30">
        <f>YEAR(BInputReservoir[[#This Row],[Date]])</f>
        <v>2038</v>
      </c>
      <c r="D641" s="30">
        <f>MONTH(BInputReservoir[[#This Row],[Date]])</f>
        <v>10</v>
      </c>
      <c r="E641" s="30" t="str">
        <f>IF(I641&lt;&gt;1,"",DATA_INPUT!$L281)</f>
        <v/>
      </c>
      <c r="F641" s="30" t="str">
        <f>STORAGE_BALANCE_ENSEMBLE!AI281</f>
        <v/>
      </c>
      <c r="G641" s="30" t="str">
        <f>STORAGE_BALANCE_ENSEMBLE!AJ281</f>
        <v/>
      </c>
      <c r="H641" s="30" t="str">
        <f>STORAGE_BALANCE_ENSEMBLE!AH281</f>
        <v/>
      </c>
      <c r="I641" s="18" t="str">
        <f t="shared" si="92"/>
        <v/>
      </c>
      <c r="J641" s="8" t="str">
        <f t="shared" si="84"/>
        <v/>
      </c>
      <c r="K641" s="9" t="str">
        <f t="shared" si="85"/>
        <v/>
      </c>
      <c r="L641" s="10" t="str">
        <f t="shared" si="86"/>
        <v/>
      </c>
      <c r="M641" s="10" t="str">
        <f>IF(I641&lt;&gt;1,"",IF(H641="","",H641/CONTROL_PANEL!$B$11))</f>
        <v/>
      </c>
      <c r="N641" s="9" t="str">
        <f t="shared" si="87"/>
        <v/>
      </c>
      <c r="O641" s="9" t="str">
        <f t="shared" si="88"/>
        <v/>
      </c>
      <c r="P641" s="9" t="str">
        <f t="shared" si="89"/>
        <v/>
      </c>
      <c r="Q641" s="9" t="str">
        <f t="shared" si="90"/>
        <v/>
      </c>
      <c r="R641" s="11"/>
      <c r="S641" s="11"/>
    </row>
    <row r="642" spans="1:19" x14ac:dyDescent="0.25">
      <c r="A642" s="30" t="s">
        <v>97</v>
      </c>
      <c r="B642" s="31">
        <f t="shared" si="91"/>
        <v>50710</v>
      </c>
      <c r="C642" s="30">
        <f>YEAR(BInputReservoir[[#This Row],[Date]])</f>
        <v>2038</v>
      </c>
      <c r="D642" s="30">
        <f>MONTH(BInputReservoir[[#This Row],[Date]])</f>
        <v>11</v>
      </c>
      <c r="E642" s="30" t="str">
        <f>IF(I642&lt;&gt;1,"",DATA_INPUT!$L282)</f>
        <v/>
      </c>
      <c r="F642" s="30" t="str">
        <f>STORAGE_BALANCE_ENSEMBLE!AI282</f>
        <v/>
      </c>
      <c r="G642" s="30" t="str">
        <f>STORAGE_BALANCE_ENSEMBLE!AJ282</f>
        <v/>
      </c>
      <c r="H642" s="30" t="str">
        <f>STORAGE_BALANCE_ENSEMBLE!AH282</f>
        <v/>
      </c>
      <c r="I642" s="18" t="str">
        <f t="shared" si="92"/>
        <v/>
      </c>
      <c r="J642" s="8" t="str">
        <f t="shared" si="84"/>
        <v/>
      </c>
      <c r="K642" s="9" t="str">
        <f t="shared" si="85"/>
        <v/>
      </c>
      <c r="L642" s="10" t="str">
        <f t="shared" si="86"/>
        <v/>
      </c>
      <c r="M642" s="10" t="str">
        <f>IF(I642&lt;&gt;1,"",IF(H642="","",H642/CONTROL_PANEL!$B$11))</f>
        <v/>
      </c>
      <c r="N642" s="9" t="str">
        <f t="shared" si="87"/>
        <v/>
      </c>
      <c r="O642" s="9" t="str">
        <f t="shared" si="88"/>
        <v/>
      </c>
      <c r="P642" s="9" t="str">
        <f t="shared" si="89"/>
        <v/>
      </c>
      <c r="Q642" s="9" t="str">
        <f t="shared" si="90"/>
        <v/>
      </c>
      <c r="R642" s="11"/>
      <c r="S642" s="11"/>
    </row>
    <row r="643" spans="1:19" x14ac:dyDescent="0.25">
      <c r="A643" s="30" t="s">
        <v>97</v>
      </c>
      <c r="B643" s="31">
        <f t="shared" si="91"/>
        <v>50740</v>
      </c>
      <c r="C643" s="30">
        <f>YEAR(BInputReservoir[[#This Row],[Date]])</f>
        <v>2038</v>
      </c>
      <c r="D643" s="30">
        <f>MONTH(BInputReservoir[[#This Row],[Date]])</f>
        <v>12</v>
      </c>
      <c r="E643" s="30" t="str">
        <f>IF(I643&lt;&gt;1,"",DATA_INPUT!$L283)</f>
        <v/>
      </c>
      <c r="F643" s="30" t="str">
        <f>STORAGE_BALANCE_ENSEMBLE!AI283</f>
        <v/>
      </c>
      <c r="G643" s="30" t="str">
        <f>STORAGE_BALANCE_ENSEMBLE!AJ283</f>
        <v/>
      </c>
      <c r="H643" s="30" t="str">
        <f>STORAGE_BALANCE_ENSEMBLE!AH283</f>
        <v/>
      </c>
      <c r="I643" s="18" t="str">
        <f t="shared" si="92"/>
        <v/>
      </c>
      <c r="J643" s="8" t="str">
        <f t="shared" si="84"/>
        <v/>
      </c>
      <c r="K643" s="9" t="str">
        <f t="shared" si="85"/>
        <v/>
      </c>
      <c r="L643" s="10" t="str">
        <f t="shared" si="86"/>
        <v/>
      </c>
      <c r="M643" s="10" t="str">
        <f>IF(I643&lt;&gt;1,"",IF(H643="","",H643/CONTROL_PANEL!$B$11))</f>
        <v/>
      </c>
      <c r="N643" s="9" t="str">
        <f t="shared" si="87"/>
        <v/>
      </c>
      <c r="O643" s="9" t="str">
        <f t="shared" si="88"/>
        <v/>
      </c>
      <c r="P643" s="9" t="str">
        <f t="shared" si="89"/>
        <v/>
      </c>
      <c r="Q643" s="9" t="str">
        <f t="shared" si="90"/>
        <v/>
      </c>
      <c r="R643" s="11"/>
      <c r="S643" s="11"/>
    </row>
    <row r="644" spans="1:19" x14ac:dyDescent="0.25">
      <c r="A644" s="30" t="s">
        <v>97</v>
      </c>
      <c r="B644" s="31">
        <f t="shared" si="91"/>
        <v>50771</v>
      </c>
      <c r="C644" s="30">
        <f>YEAR(BInputReservoir[[#This Row],[Date]])</f>
        <v>2039</v>
      </c>
      <c r="D644" s="30">
        <f>MONTH(BInputReservoir[[#This Row],[Date]])</f>
        <v>1</v>
      </c>
      <c r="E644" s="30" t="str">
        <f>IF(I644&lt;&gt;1,"",DATA_INPUT!$L284)</f>
        <v/>
      </c>
      <c r="F644" s="30" t="str">
        <f>STORAGE_BALANCE_ENSEMBLE!AI284</f>
        <v/>
      </c>
      <c r="G644" s="30" t="str">
        <f>STORAGE_BALANCE_ENSEMBLE!AJ284</f>
        <v/>
      </c>
      <c r="H644" s="30" t="str">
        <f>STORAGE_BALANCE_ENSEMBLE!AH284</f>
        <v/>
      </c>
      <c r="I644" s="18" t="str">
        <f t="shared" si="92"/>
        <v/>
      </c>
      <c r="J644" s="8" t="str">
        <f t="shared" si="84"/>
        <v/>
      </c>
      <c r="K644" s="9" t="str">
        <f t="shared" si="85"/>
        <v/>
      </c>
      <c r="L644" s="10" t="str">
        <f t="shared" si="86"/>
        <v/>
      </c>
      <c r="M644" s="10" t="str">
        <f>IF(I644&lt;&gt;1,"",IF(H644="","",H644/CONTROL_PANEL!$B$11))</f>
        <v/>
      </c>
      <c r="N644" s="9" t="str">
        <f t="shared" si="87"/>
        <v/>
      </c>
      <c r="O644" s="9" t="str">
        <f t="shared" si="88"/>
        <v/>
      </c>
      <c r="P644" s="9" t="str">
        <f t="shared" si="89"/>
        <v/>
      </c>
      <c r="Q644" s="9" t="str">
        <f t="shared" si="90"/>
        <v/>
      </c>
      <c r="R644" s="11"/>
      <c r="S644" s="11"/>
    </row>
    <row r="645" spans="1:19" x14ac:dyDescent="0.25">
      <c r="A645" s="30" t="s">
        <v>97</v>
      </c>
      <c r="B645" s="31">
        <f t="shared" si="91"/>
        <v>50802</v>
      </c>
      <c r="C645" s="30">
        <f>YEAR(BInputReservoir[[#This Row],[Date]])</f>
        <v>2039</v>
      </c>
      <c r="D645" s="30">
        <f>MONTH(BInputReservoir[[#This Row],[Date]])</f>
        <v>2</v>
      </c>
      <c r="E645" s="30" t="str">
        <f>IF(I645&lt;&gt;1,"",DATA_INPUT!$L285)</f>
        <v/>
      </c>
      <c r="F645" s="30" t="str">
        <f>STORAGE_BALANCE_ENSEMBLE!AI285</f>
        <v/>
      </c>
      <c r="G645" s="30" t="str">
        <f>STORAGE_BALANCE_ENSEMBLE!AJ285</f>
        <v/>
      </c>
      <c r="H645" s="30" t="str">
        <f>STORAGE_BALANCE_ENSEMBLE!AH285</f>
        <v/>
      </c>
      <c r="I645" s="18" t="str">
        <f t="shared" si="92"/>
        <v/>
      </c>
      <c r="J645" s="8" t="str">
        <f t="shared" ref="J645:J708" si="93">IF(I645&lt;&gt;1,"",IF(E645="","",MAX(0,E645-G645)))</f>
        <v/>
      </c>
      <c r="K645" s="9" t="str">
        <f t="shared" ref="K645:K708" si="94">IF(I645&lt;&gt;1,"",IF(OR(G645="",E645=""),"",IF(G645&gt;0,1,0)))</f>
        <v/>
      </c>
      <c r="L645" s="10" t="str">
        <f t="shared" ref="L645:L708" si="95">IF(I645&lt;&gt;1,"",IF(AND(K645=1,E645&gt;0),G645/E645,0))</f>
        <v/>
      </c>
      <c r="M645" s="10" t="str">
        <f>IF(I645&lt;&gt;1,"",IF(H645="","",H645/CONTROL_PANEL!$B$11))</f>
        <v/>
      </c>
      <c r="N645" s="9" t="str">
        <f t="shared" ref="N645:N708" si="96">IF(I645&lt;&gt;1,"",IF(AND(K645=1,A646=A645),1,0))</f>
        <v/>
      </c>
      <c r="O645" s="9" t="str">
        <f t="shared" ref="O645:O708" si="97">IF(I645&lt;&gt;1,"",IF(AND(K645=1,A646=A645,K646=0),1,0))</f>
        <v/>
      </c>
      <c r="P645" s="9" t="str">
        <f t="shared" ref="P645:P708" si="98">IF(I645&lt;&gt;1,"",IF(F645&gt;0,1,0))</f>
        <v/>
      </c>
      <c r="Q645" s="9" t="str">
        <f t="shared" ref="Q645:Q708" si="99">IF(I645&lt;&gt;1,"",IF(G645&gt;0,1,0))</f>
        <v/>
      </c>
      <c r="R645" s="11"/>
      <c r="S645" s="11"/>
    </row>
    <row r="646" spans="1:19" x14ac:dyDescent="0.25">
      <c r="A646" s="30" t="s">
        <v>97</v>
      </c>
      <c r="B646" s="31">
        <f t="shared" si="91"/>
        <v>50830</v>
      </c>
      <c r="C646" s="30">
        <f>YEAR(BInputReservoir[[#This Row],[Date]])</f>
        <v>2039</v>
      </c>
      <c r="D646" s="30">
        <f>MONTH(BInputReservoir[[#This Row],[Date]])</f>
        <v>3</v>
      </c>
      <c r="E646" s="30" t="str">
        <f>IF(I646&lt;&gt;1,"",DATA_INPUT!$L286)</f>
        <v/>
      </c>
      <c r="F646" s="30" t="str">
        <f>STORAGE_BALANCE_ENSEMBLE!AI286</f>
        <v/>
      </c>
      <c r="G646" s="30" t="str">
        <f>STORAGE_BALANCE_ENSEMBLE!AJ286</f>
        <v/>
      </c>
      <c r="H646" s="30" t="str">
        <f>STORAGE_BALANCE_ENSEMBLE!AH286</f>
        <v/>
      </c>
      <c r="I646" s="18" t="str">
        <f t="shared" si="92"/>
        <v/>
      </c>
      <c r="J646" s="8" t="str">
        <f t="shared" si="93"/>
        <v/>
      </c>
      <c r="K646" s="9" t="str">
        <f t="shared" si="94"/>
        <v/>
      </c>
      <c r="L646" s="10" t="str">
        <f t="shared" si="95"/>
        <v/>
      </c>
      <c r="M646" s="10" t="str">
        <f>IF(I646&lt;&gt;1,"",IF(H646="","",H646/CONTROL_PANEL!$B$11))</f>
        <v/>
      </c>
      <c r="N646" s="9" t="str">
        <f t="shared" si="96"/>
        <v/>
      </c>
      <c r="O646" s="9" t="str">
        <f t="shared" si="97"/>
        <v/>
      </c>
      <c r="P646" s="9" t="str">
        <f t="shared" si="98"/>
        <v/>
      </c>
      <c r="Q646" s="9" t="str">
        <f t="shared" si="99"/>
        <v/>
      </c>
      <c r="R646" s="11"/>
      <c r="S646" s="11"/>
    </row>
    <row r="647" spans="1:19" x14ac:dyDescent="0.25">
      <c r="A647" s="30" t="s">
        <v>97</v>
      </c>
      <c r="B647" s="31">
        <f t="shared" si="91"/>
        <v>50861</v>
      </c>
      <c r="C647" s="30">
        <f>YEAR(BInputReservoir[[#This Row],[Date]])</f>
        <v>2039</v>
      </c>
      <c r="D647" s="30">
        <f>MONTH(BInputReservoir[[#This Row],[Date]])</f>
        <v>4</v>
      </c>
      <c r="E647" s="30" t="str">
        <f>IF(I647&lt;&gt;1,"",DATA_INPUT!$L287)</f>
        <v/>
      </c>
      <c r="F647" s="30" t="str">
        <f>STORAGE_BALANCE_ENSEMBLE!AI287</f>
        <v/>
      </c>
      <c r="G647" s="30" t="str">
        <f>STORAGE_BALANCE_ENSEMBLE!AJ287</f>
        <v/>
      </c>
      <c r="H647" s="30" t="str">
        <f>STORAGE_BALANCE_ENSEMBLE!AH287</f>
        <v/>
      </c>
      <c r="I647" s="18" t="str">
        <f t="shared" si="92"/>
        <v/>
      </c>
      <c r="J647" s="8" t="str">
        <f t="shared" si="93"/>
        <v/>
      </c>
      <c r="K647" s="9" t="str">
        <f t="shared" si="94"/>
        <v/>
      </c>
      <c r="L647" s="10" t="str">
        <f t="shared" si="95"/>
        <v/>
      </c>
      <c r="M647" s="10" t="str">
        <f>IF(I647&lt;&gt;1,"",IF(H647="","",H647/CONTROL_PANEL!$B$11))</f>
        <v/>
      </c>
      <c r="N647" s="9" t="str">
        <f t="shared" si="96"/>
        <v/>
      </c>
      <c r="O647" s="9" t="str">
        <f t="shared" si="97"/>
        <v/>
      </c>
      <c r="P647" s="9" t="str">
        <f t="shared" si="98"/>
        <v/>
      </c>
      <c r="Q647" s="9" t="str">
        <f t="shared" si="99"/>
        <v/>
      </c>
      <c r="R647" s="11"/>
      <c r="S647" s="11"/>
    </row>
    <row r="648" spans="1:19" x14ac:dyDescent="0.25">
      <c r="A648" s="30" t="s">
        <v>97</v>
      </c>
      <c r="B648" s="31">
        <f t="shared" si="91"/>
        <v>50891</v>
      </c>
      <c r="C648" s="30">
        <f>YEAR(BInputReservoir[[#This Row],[Date]])</f>
        <v>2039</v>
      </c>
      <c r="D648" s="30">
        <f>MONTH(BInputReservoir[[#This Row],[Date]])</f>
        <v>5</v>
      </c>
      <c r="E648" s="30" t="str">
        <f>IF(I648&lt;&gt;1,"",DATA_INPUT!$L288)</f>
        <v/>
      </c>
      <c r="F648" s="30" t="str">
        <f>STORAGE_BALANCE_ENSEMBLE!AI288</f>
        <v/>
      </c>
      <c r="G648" s="30" t="str">
        <f>STORAGE_BALANCE_ENSEMBLE!AJ288</f>
        <v/>
      </c>
      <c r="H648" s="30" t="str">
        <f>STORAGE_BALANCE_ENSEMBLE!AH288</f>
        <v/>
      </c>
      <c r="I648" s="18" t="str">
        <f t="shared" si="92"/>
        <v/>
      </c>
      <c r="J648" s="8" t="str">
        <f t="shared" si="93"/>
        <v/>
      </c>
      <c r="K648" s="9" t="str">
        <f t="shared" si="94"/>
        <v/>
      </c>
      <c r="L648" s="10" t="str">
        <f t="shared" si="95"/>
        <v/>
      </c>
      <c r="M648" s="10" t="str">
        <f>IF(I648&lt;&gt;1,"",IF(H648="","",H648/CONTROL_PANEL!$B$11))</f>
        <v/>
      </c>
      <c r="N648" s="9" t="str">
        <f t="shared" si="96"/>
        <v/>
      </c>
      <c r="O648" s="9" t="str">
        <f t="shared" si="97"/>
        <v/>
      </c>
      <c r="P648" s="9" t="str">
        <f t="shared" si="98"/>
        <v/>
      </c>
      <c r="Q648" s="9" t="str">
        <f t="shared" si="99"/>
        <v/>
      </c>
      <c r="R648" s="11"/>
      <c r="S648" s="11"/>
    </row>
    <row r="649" spans="1:19" x14ac:dyDescent="0.25">
      <c r="A649" s="30" t="s">
        <v>97</v>
      </c>
      <c r="B649" s="31">
        <f t="shared" si="91"/>
        <v>50922</v>
      </c>
      <c r="C649" s="30">
        <f>YEAR(BInputReservoir[[#This Row],[Date]])</f>
        <v>2039</v>
      </c>
      <c r="D649" s="30">
        <f>MONTH(BInputReservoir[[#This Row],[Date]])</f>
        <v>6</v>
      </c>
      <c r="E649" s="30" t="str">
        <f>IF(I649&lt;&gt;1,"",DATA_INPUT!$L289)</f>
        <v/>
      </c>
      <c r="F649" s="30" t="str">
        <f>STORAGE_BALANCE_ENSEMBLE!AI289</f>
        <v/>
      </c>
      <c r="G649" s="30" t="str">
        <f>STORAGE_BALANCE_ENSEMBLE!AJ289</f>
        <v/>
      </c>
      <c r="H649" s="30" t="str">
        <f>STORAGE_BALANCE_ENSEMBLE!AH289</f>
        <v/>
      </c>
      <c r="I649" s="18" t="str">
        <f t="shared" si="92"/>
        <v/>
      </c>
      <c r="J649" s="8" t="str">
        <f t="shared" si="93"/>
        <v/>
      </c>
      <c r="K649" s="9" t="str">
        <f t="shared" si="94"/>
        <v/>
      </c>
      <c r="L649" s="10" t="str">
        <f t="shared" si="95"/>
        <v/>
      </c>
      <c r="M649" s="10" t="str">
        <f>IF(I649&lt;&gt;1,"",IF(H649="","",H649/CONTROL_PANEL!$B$11))</f>
        <v/>
      </c>
      <c r="N649" s="9" t="str">
        <f t="shared" si="96"/>
        <v/>
      </c>
      <c r="O649" s="9" t="str">
        <f t="shared" si="97"/>
        <v/>
      </c>
      <c r="P649" s="9" t="str">
        <f t="shared" si="98"/>
        <v/>
      </c>
      <c r="Q649" s="9" t="str">
        <f t="shared" si="99"/>
        <v/>
      </c>
      <c r="R649" s="11"/>
      <c r="S649" s="11"/>
    </row>
    <row r="650" spans="1:19" x14ac:dyDescent="0.25">
      <c r="A650" s="30" t="s">
        <v>97</v>
      </c>
      <c r="B650" s="31">
        <f t="shared" si="91"/>
        <v>50952</v>
      </c>
      <c r="C650" s="30">
        <f>YEAR(BInputReservoir[[#This Row],[Date]])</f>
        <v>2039</v>
      </c>
      <c r="D650" s="30">
        <f>MONTH(BInputReservoir[[#This Row],[Date]])</f>
        <v>7</v>
      </c>
      <c r="E650" s="30" t="str">
        <f>IF(I650&lt;&gt;1,"",DATA_INPUT!$L290)</f>
        <v/>
      </c>
      <c r="F650" s="30" t="str">
        <f>STORAGE_BALANCE_ENSEMBLE!AI290</f>
        <v/>
      </c>
      <c r="G650" s="30" t="str">
        <f>STORAGE_BALANCE_ENSEMBLE!AJ290</f>
        <v/>
      </c>
      <c r="H650" s="30" t="str">
        <f>STORAGE_BALANCE_ENSEMBLE!AH290</f>
        <v/>
      </c>
      <c r="I650" s="18" t="str">
        <f t="shared" si="92"/>
        <v/>
      </c>
      <c r="J650" s="8" t="str">
        <f t="shared" si="93"/>
        <v/>
      </c>
      <c r="K650" s="9" t="str">
        <f t="shared" si="94"/>
        <v/>
      </c>
      <c r="L650" s="10" t="str">
        <f t="shared" si="95"/>
        <v/>
      </c>
      <c r="M650" s="10" t="str">
        <f>IF(I650&lt;&gt;1,"",IF(H650="","",H650/CONTROL_PANEL!$B$11))</f>
        <v/>
      </c>
      <c r="N650" s="9" t="str">
        <f t="shared" si="96"/>
        <v/>
      </c>
      <c r="O650" s="9" t="str">
        <f t="shared" si="97"/>
        <v/>
      </c>
      <c r="P650" s="9" t="str">
        <f t="shared" si="98"/>
        <v/>
      </c>
      <c r="Q650" s="9" t="str">
        <f t="shared" si="99"/>
        <v/>
      </c>
      <c r="R650" s="11"/>
      <c r="S650" s="11"/>
    </row>
    <row r="651" spans="1:19" x14ac:dyDescent="0.25">
      <c r="A651" s="30" t="s">
        <v>97</v>
      </c>
      <c r="B651" s="31">
        <f t="shared" si="91"/>
        <v>50983</v>
      </c>
      <c r="C651" s="30">
        <f>YEAR(BInputReservoir[[#This Row],[Date]])</f>
        <v>2039</v>
      </c>
      <c r="D651" s="30">
        <f>MONTH(BInputReservoir[[#This Row],[Date]])</f>
        <v>8</v>
      </c>
      <c r="E651" s="30" t="str">
        <f>IF(I651&lt;&gt;1,"",DATA_INPUT!$L291)</f>
        <v/>
      </c>
      <c r="F651" s="30" t="str">
        <f>STORAGE_BALANCE_ENSEMBLE!AI291</f>
        <v/>
      </c>
      <c r="G651" s="30" t="str">
        <f>STORAGE_BALANCE_ENSEMBLE!AJ291</f>
        <v/>
      </c>
      <c r="H651" s="30" t="str">
        <f>STORAGE_BALANCE_ENSEMBLE!AH291</f>
        <v/>
      </c>
      <c r="I651" s="18" t="str">
        <f t="shared" si="92"/>
        <v/>
      </c>
      <c r="J651" s="8" t="str">
        <f t="shared" si="93"/>
        <v/>
      </c>
      <c r="K651" s="9" t="str">
        <f t="shared" si="94"/>
        <v/>
      </c>
      <c r="L651" s="10" t="str">
        <f t="shared" si="95"/>
        <v/>
      </c>
      <c r="M651" s="10" t="str">
        <f>IF(I651&lt;&gt;1,"",IF(H651="","",H651/CONTROL_PANEL!$B$11))</f>
        <v/>
      </c>
      <c r="N651" s="9" t="str">
        <f t="shared" si="96"/>
        <v/>
      </c>
      <c r="O651" s="9" t="str">
        <f t="shared" si="97"/>
        <v/>
      </c>
      <c r="P651" s="9" t="str">
        <f t="shared" si="98"/>
        <v/>
      </c>
      <c r="Q651" s="9" t="str">
        <f t="shared" si="99"/>
        <v/>
      </c>
      <c r="R651" s="11"/>
      <c r="S651" s="11"/>
    </row>
    <row r="652" spans="1:19" x14ac:dyDescent="0.25">
      <c r="A652" s="30" t="s">
        <v>97</v>
      </c>
      <c r="B652" s="31">
        <f t="shared" si="91"/>
        <v>51014</v>
      </c>
      <c r="C652" s="30">
        <f>YEAR(BInputReservoir[[#This Row],[Date]])</f>
        <v>2039</v>
      </c>
      <c r="D652" s="30">
        <f>MONTH(BInputReservoir[[#This Row],[Date]])</f>
        <v>9</v>
      </c>
      <c r="E652" s="30" t="str">
        <f>IF(I652&lt;&gt;1,"",DATA_INPUT!$L292)</f>
        <v/>
      </c>
      <c r="F652" s="30" t="str">
        <f>STORAGE_BALANCE_ENSEMBLE!AI292</f>
        <v/>
      </c>
      <c r="G652" s="30" t="str">
        <f>STORAGE_BALANCE_ENSEMBLE!AJ292</f>
        <v/>
      </c>
      <c r="H652" s="30" t="str">
        <f>STORAGE_BALANCE_ENSEMBLE!AH292</f>
        <v/>
      </c>
      <c r="I652" s="18" t="str">
        <f t="shared" si="92"/>
        <v/>
      </c>
      <c r="J652" s="8" t="str">
        <f t="shared" si="93"/>
        <v/>
      </c>
      <c r="K652" s="9" t="str">
        <f t="shared" si="94"/>
        <v/>
      </c>
      <c r="L652" s="10" t="str">
        <f t="shared" si="95"/>
        <v/>
      </c>
      <c r="M652" s="10" t="str">
        <f>IF(I652&lt;&gt;1,"",IF(H652="","",H652/CONTROL_PANEL!$B$11))</f>
        <v/>
      </c>
      <c r="N652" s="9" t="str">
        <f t="shared" si="96"/>
        <v/>
      </c>
      <c r="O652" s="9" t="str">
        <f t="shared" si="97"/>
        <v/>
      </c>
      <c r="P652" s="9" t="str">
        <f t="shared" si="98"/>
        <v/>
      </c>
      <c r="Q652" s="9" t="str">
        <f t="shared" si="99"/>
        <v/>
      </c>
      <c r="R652" s="11"/>
      <c r="S652" s="11"/>
    </row>
    <row r="653" spans="1:19" x14ac:dyDescent="0.25">
      <c r="A653" s="30" t="s">
        <v>97</v>
      </c>
      <c r="B653" s="31">
        <f t="shared" si="91"/>
        <v>51044</v>
      </c>
      <c r="C653" s="30">
        <f>YEAR(BInputReservoir[[#This Row],[Date]])</f>
        <v>2039</v>
      </c>
      <c r="D653" s="30">
        <f>MONTH(BInputReservoir[[#This Row],[Date]])</f>
        <v>10</v>
      </c>
      <c r="E653" s="30" t="str">
        <f>IF(I653&lt;&gt;1,"",DATA_INPUT!$L293)</f>
        <v/>
      </c>
      <c r="F653" s="30" t="str">
        <f>STORAGE_BALANCE_ENSEMBLE!AI293</f>
        <v/>
      </c>
      <c r="G653" s="30" t="str">
        <f>STORAGE_BALANCE_ENSEMBLE!AJ293</f>
        <v/>
      </c>
      <c r="H653" s="30" t="str">
        <f>STORAGE_BALANCE_ENSEMBLE!AH293</f>
        <v/>
      </c>
      <c r="I653" s="18" t="str">
        <f t="shared" si="92"/>
        <v/>
      </c>
      <c r="J653" s="8" t="str">
        <f t="shared" si="93"/>
        <v/>
      </c>
      <c r="K653" s="9" t="str">
        <f t="shared" si="94"/>
        <v/>
      </c>
      <c r="L653" s="10" t="str">
        <f t="shared" si="95"/>
        <v/>
      </c>
      <c r="M653" s="10" t="str">
        <f>IF(I653&lt;&gt;1,"",IF(H653="","",H653/CONTROL_PANEL!$B$11))</f>
        <v/>
      </c>
      <c r="N653" s="9" t="str">
        <f t="shared" si="96"/>
        <v/>
      </c>
      <c r="O653" s="9" t="str">
        <f t="shared" si="97"/>
        <v/>
      </c>
      <c r="P653" s="9" t="str">
        <f t="shared" si="98"/>
        <v/>
      </c>
      <c r="Q653" s="9" t="str">
        <f t="shared" si="99"/>
        <v/>
      </c>
      <c r="R653" s="11"/>
      <c r="S653" s="11"/>
    </row>
    <row r="654" spans="1:19" x14ac:dyDescent="0.25">
      <c r="A654" s="30" t="s">
        <v>97</v>
      </c>
      <c r="B654" s="31">
        <f t="shared" si="91"/>
        <v>51075</v>
      </c>
      <c r="C654" s="30">
        <f>YEAR(BInputReservoir[[#This Row],[Date]])</f>
        <v>2039</v>
      </c>
      <c r="D654" s="30">
        <f>MONTH(BInputReservoir[[#This Row],[Date]])</f>
        <v>11</v>
      </c>
      <c r="E654" s="30" t="str">
        <f>IF(I654&lt;&gt;1,"",DATA_INPUT!$L294)</f>
        <v/>
      </c>
      <c r="F654" s="30" t="str">
        <f>STORAGE_BALANCE_ENSEMBLE!AI294</f>
        <v/>
      </c>
      <c r="G654" s="30" t="str">
        <f>STORAGE_BALANCE_ENSEMBLE!AJ294</f>
        <v/>
      </c>
      <c r="H654" s="30" t="str">
        <f>STORAGE_BALANCE_ENSEMBLE!AH294</f>
        <v/>
      </c>
      <c r="I654" s="18" t="str">
        <f t="shared" si="92"/>
        <v/>
      </c>
      <c r="J654" s="8" t="str">
        <f t="shared" si="93"/>
        <v/>
      </c>
      <c r="K654" s="9" t="str">
        <f t="shared" si="94"/>
        <v/>
      </c>
      <c r="L654" s="10" t="str">
        <f t="shared" si="95"/>
        <v/>
      </c>
      <c r="M654" s="10" t="str">
        <f>IF(I654&lt;&gt;1,"",IF(H654="","",H654/CONTROL_PANEL!$B$11))</f>
        <v/>
      </c>
      <c r="N654" s="9" t="str">
        <f t="shared" si="96"/>
        <v/>
      </c>
      <c r="O654" s="9" t="str">
        <f t="shared" si="97"/>
        <v/>
      </c>
      <c r="P654" s="9" t="str">
        <f t="shared" si="98"/>
        <v/>
      </c>
      <c r="Q654" s="9" t="str">
        <f t="shared" si="99"/>
        <v/>
      </c>
      <c r="R654" s="11"/>
      <c r="S654" s="11"/>
    </row>
    <row r="655" spans="1:19" x14ac:dyDescent="0.25">
      <c r="A655" s="30" t="s">
        <v>97</v>
      </c>
      <c r="B655" s="31">
        <f t="shared" si="91"/>
        <v>51105</v>
      </c>
      <c r="C655" s="30">
        <f>YEAR(BInputReservoir[[#This Row],[Date]])</f>
        <v>2039</v>
      </c>
      <c r="D655" s="30">
        <f>MONTH(BInputReservoir[[#This Row],[Date]])</f>
        <v>12</v>
      </c>
      <c r="E655" s="30" t="str">
        <f>IF(I655&lt;&gt;1,"",DATA_INPUT!$L295)</f>
        <v/>
      </c>
      <c r="F655" s="30" t="str">
        <f>STORAGE_BALANCE_ENSEMBLE!AI295</f>
        <v/>
      </c>
      <c r="G655" s="30" t="str">
        <f>STORAGE_BALANCE_ENSEMBLE!AJ295</f>
        <v/>
      </c>
      <c r="H655" s="30" t="str">
        <f>STORAGE_BALANCE_ENSEMBLE!AH295</f>
        <v/>
      </c>
      <c r="I655" s="18" t="str">
        <f t="shared" si="92"/>
        <v/>
      </c>
      <c r="J655" s="8" t="str">
        <f t="shared" si="93"/>
        <v/>
      </c>
      <c r="K655" s="9" t="str">
        <f t="shared" si="94"/>
        <v/>
      </c>
      <c r="L655" s="10" t="str">
        <f t="shared" si="95"/>
        <v/>
      </c>
      <c r="M655" s="10" t="str">
        <f>IF(I655&lt;&gt;1,"",IF(H655="","",H655/CONTROL_PANEL!$B$11))</f>
        <v/>
      </c>
      <c r="N655" s="9" t="str">
        <f t="shared" si="96"/>
        <v/>
      </c>
      <c r="O655" s="9" t="str">
        <f t="shared" si="97"/>
        <v/>
      </c>
      <c r="P655" s="9" t="str">
        <f t="shared" si="98"/>
        <v/>
      </c>
      <c r="Q655" s="9" t="str">
        <f t="shared" si="99"/>
        <v/>
      </c>
      <c r="R655" s="11"/>
      <c r="S655" s="11"/>
    </row>
    <row r="656" spans="1:19" x14ac:dyDescent="0.25">
      <c r="A656" s="30" t="s">
        <v>97</v>
      </c>
      <c r="B656" s="31">
        <f t="shared" si="91"/>
        <v>51136</v>
      </c>
      <c r="C656" s="30">
        <f>YEAR(BInputReservoir[[#This Row],[Date]])</f>
        <v>2040</v>
      </c>
      <c r="D656" s="30">
        <f>MONTH(BInputReservoir[[#This Row],[Date]])</f>
        <v>1</v>
      </c>
      <c r="E656" s="30" t="str">
        <f>IF(I656&lt;&gt;1,"",DATA_INPUT!$L296)</f>
        <v/>
      </c>
      <c r="F656" s="30" t="str">
        <f>STORAGE_BALANCE_ENSEMBLE!AI296</f>
        <v/>
      </c>
      <c r="G656" s="30" t="str">
        <f>STORAGE_BALANCE_ENSEMBLE!AJ296</f>
        <v/>
      </c>
      <c r="H656" s="30" t="str">
        <f>STORAGE_BALANCE_ENSEMBLE!AH296</f>
        <v/>
      </c>
      <c r="I656" s="18" t="str">
        <f t="shared" si="92"/>
        <v/>
      </c>
      <c r="J656" s="8" t="str">
        <f t="shared" si="93"/>
        <v/>
      </c>
      <c r="K656" s="9" t="str">
        <f t="shared" si="94"/>
        <v/>
      </c>
      <c r="L656" s="10" t="str">
        <f t="shared" si="95"/>
        <v/>
      </c>
      <c r="M656" s="10" t="str">
        <f>IF(I656&lt;&gt;1,"",IF(H656="","",H656/CONTROL_PANEL!$B$11))</f>
        <v/>
      </c>
      <c r="N656" s="9" t="str">
        <f t="shared" si="96"/>
        <v/>
      </c>
      <c r="O656" s="9" t="str">
        <f t="shared" si="97"/>
        <v/>
      </c>
      <c r="P656" s="9" t="str">
        <f t="shared" si="98"/>
        <v/>
      </c>
      <c r="Q656" s="9" t="str">
        <f t="shared" si="99"/>
        <v/>
      </c>
      <c r="R656" s="11"/>
      <c r="S656" s="11"/>
    </row>
    <row r="657" spans="1:19" x14ac:dyDescent="0.25">
      <c r="A657" s="30" t="s">
        <v>97</v>
      </c>
      <c r="B657" s="31">
        <f t="shared" si="91"/>
        <v>51167</v>
      </c>
      <c r="C657" s="30">
        <f>YEAR(BInputReservoir[[#This Row],[Date]])</f>
        <v>2040</v>
      </c>
      <c r="D657" s="30">
        <f>MONTH(BInputReservoir[[#This Row],[Date]])</f>
        <v>2</v>
      </c>
      <c r="E657" s="30" t="str">
        <f>IF(I657&lt;&gt;1,"",DATA_INPUT!$L297)</f>
        <v/>
      </c>
      <c r="F657" s="30" t="str">
        <f>STORAGE_BALANCE_ENSEMBLE!AI297</f>
        <v/>
      </c>
      <c r="G657" s="30" t="str">
        <f>STORAGE_BALANCE_ENSEMBLE!AJ297</f>
        <v/>
      </c>
      <c r="H657" s="30" t="str">
        <f>STORAGE_BALANCE_ENSEMBLE!AH297</f>
        <v/>
      </c>
      <c r="I657" s="18" t="str">
        <f t="shared" si="92"/>
        <v/>
      </c>
      <c r="J657" s="8" t="str">
        <f t="shared" si="93"/>
        <v/>
      </c>
      <c r="K657" s="9" t="str">
        <f t="shared" si="94"/>
        <v/>
      </c>
      <c r="L657" s="10" t="str">
        <f t="shared" si="95"/>
        <v/>
      </c>
      <c r="M657" s="10" t="str">
        <f>IF(I657&lt;&gt;1,"",IF(H657="","",H657/CONTROL_PANEL!$B$11))</f>
        <v/>
      </c>
      <c r="N657" s="9" t="str">
        <f t="shared" si="96"/>
        <v/>
      </c>
      <c r="O657" s="9" t="str">
        <f t="shared" si="97"/>
        <v/>
      </c>
      <c r="P657" s="9" t="str">
        <f t="shared" si="98"/>
        <v/>
      </c>
      <c r="Q657" s="9" t="str">
        <f t="shared" si="99"/>
        <v/>
      </c>
      <c r="R657" s="11"/>
      <c r="S657" s="11"/>
    </row>
    <row r="658" spans="1:19" x14ac:dyDescent="0.25">
      <c r="A658" s="30" t="s">
        <v>97</v>
      </c>
      <c r="B658" s="31">
        <f t="shared" si="91"/>
        <v>51196</v>
      </c>
      <c r="C658" s="30">
        <f>YEAR(BInputReservoir[[#This Row],[Date]])</f>
        <v>2040</v>
      </c>
      <c r="D658" s="30">
        <f>MONTH(BInputReservoir[[#This Row],[Date]])</f>
        <v>3</v>
      </c>
      <c r="E658" s="30" t="str">
        <f>IF(I658&lt;&gt;1,"",DATA_INPUT!$L298)</f>
        <v/>
      </c>
      <c r="F658" s="30" t="str">
        <f>STORAGE_BALANCE_ENSEMBLE!AI298</f>
        <v/>
      </c>
      <c r="G658" s="30" t="str">
        <f>STORAGE_BALANCE_ENSEMBLE!AJ298</f>
        <v/>
      </c>
      <c r="H658" s="30" t="str">
        <f>STORAGE_BALANCE_ENSEMBLE!AH298</f>
        <v/>
      </c>
      <c r="I658" s="18" t="str">
        <f t="shared" si="92"/>
        <v/>
      </c>
      <c r="J658" s="8" t="str">
        <f t="shared" si="93"/>
        <v/>
      </c>
      <c r="K658" s="9" t="str">
        <f t="shared" si="94"/>
        <v/>
      </c>
      <c r="L658" s="10" t="str">
        <f t="shared" si="95"/>
        <v/>
      </c>
      <c r="M658" s="10" t="str">
        <f>IF(I658&lt;&gt;1,"",IF(H658="","",H658/CONTROL_PANEL!$B$11))</f>
        <v/>
      </c>
      <c r="N658" s="9" t="str">
        <f t="shared" si="96"/>
        <v/>
      </c>
      <c r="O658" s="9" t="str">
        <f t="shared" si="97"/>
        <v/>
      </c>
      <c r="P658" s="9" t="str">
        <f t="shared" si="98"/>
        <v/>
      </c>
      <c r="Q658" s="9" t="str">
        <f t="shared" si="99"/>
        <v/>
      </c>
      <c r="R658" s="11"/>
      <c r="S658" s="11"/>
    </row>
    <row r="659" spans="1:19" x14ac:dyDescent="0.25">
      <c r="A659" s="30" t="s">
        <v>97</v>
      </c>
      <c r="B659" s="31">
        <f t="shared" si="91"/>
        <v>51227</v>
      </c>
      <c r="C659" s="30">
        <f>YEAR(BInputReservoir[[#This Row],[Date]])</f>
        <v>2040</v>
      </c>
      <c r="D659" s="30">
        <f>MONTH(BInputReservoir[[#This Row],[Date]])</f>
        <v>4</v>
      </c>
      <c r="E659" s="30" t="str">
        <f>IF(I659&lt;&gt;1,"",DATA_INPUT!$L299)</f>
        <v/>
      </c>
      <c r="F659" s="30" t="str">
        <f>STORAGE_BALANCE_ENSEMBLE!AI299</f>
        <v/>
      </c>
      <c r="G659" s="30" t="str">
        <f>STORAGE_BALANCE_ENSEMBLE!AJ299</f>
        <v/>
      </c>
      <c r="H659" s="30" t="str">
        <f>STORAGE_BALANCE_ENSEMBLE!AH299</f>
        <v/>
      </c>
      <c r="I659" s="18" t="str">
        <f t="shared" si="92"/>
        <v/>
      </c>
      <c r="J659" s="8" t="str">
        <f t="shared" si="93"/>
        <v/>
      </c>
      <c r="K659" s="9" t="str">
        <f t="shared" si="94"/>
        <v/>
      </c>
      <c r="L659" s="10" t="str">
        <f t="shared" si="95"/>
        <v/>
      </c>
      <c r="M659" s="10" t="str">
        <f>IF(I659&lt;&gt;1,"",IF(H659="","",H659/CONTROL_PANEL!$B$11))</f>
        <v/>
      </c>
      <c r="N659" s="9" t="str">
        <f t="shared" si="96"/>
        <v/>
      </c>
      <c r="O659" s="9" t="str">
        <f t="shared" si="97"/>
        <v/>
      </c>
      <c r="P659" s="9" t="str">
        <f t="shared" si="98"/>
        <v/>
      </c>
      <c r="Q659" s="9" t="str">
        <f t="shared" si="99"/>
        <v/>
      </c>
      <c r="R659" s="11"/>
      <c r="S659" s="11"/>
    </row>
    <row r="660" spans="1:19" x14ac:dyDescent="0.25">
      <c r="A660" s="30" t="s">
        <v>97</v>
      </c>
      <c r="B660" s="31">
        <f t="shared" si="91"/>
        <v>51257</v>
      </c>
      <c r="C660" s="30">
        <f>YEAR(BInputReservoir[[#This Row],[Date]])</f>
        <v>2040</v>
      </c>
      <c r="D660" s="30">
        <f>MONTH(BInputReservoir[[#This Row],[Date]])</f>
        <v>5</v>
      </c>
      <c r="E660" s="30" t="str">
        <f>IF(I660&lt;&gt;1,"",DATA_INPUT!$L300)</f>
        <v/>
      </c>
      <c r="F660" s="30" t="str">
        <f>STORAGE_BALANCE_ENSEMBLE!AI300</f>
        <v/>
      </c>
      <c r="G660" s="30" t="str">
        <f>STORAGE_BALANCE_ENSEMBLE!AJ300</f>
        <v/>
      </c>
      <c r="H660" s="30" t="str">
        <f>STORAGE_BALANCE_ENSEMBLE!AH300</f>
        <v/>
      </c>
      <c r="I660" s="18" t="str">
        <f t="shared" si="92"/>
        <v/>
      </c>
      <c r="J660" s="8" t="str">
        <f t="shared" si="93"/>
        <v/>
      </c>
      <c r="K660" s="9" t="str">
        <f t="shared" si="94"/>
        <v/>
      </c>
      <c r="L660" s="10" t="str">
        <f t="shared" si="95"/>
        <v/>
      </c>
      <c r="M660" s="10" t="str">
        <f>IF(I660&lt;&gt;1,"",IF(H660="","",H660/CONTROL_PANEL!$B$11))</f>
        <v/>
      </c>
      <c r="N660" s="9" t="str">
        <f t="shared" si="96"/>
        <v/>
      </c>
      <c r="O660" s="9" t="str">
        <f t="shared" si="97"/>
        <v/>
      </c>
      <c r="P660" s="9" t="str">
        <f t="shared" si="98"/>
        <v/>
      </c>
      <c r="Q660" s="9" t="str">
        <f t="shared" si="99"/>
        <v/>
      </c>
      <c r="R660" s="11"/>
      <c r="S660" s="11"/>
    </row>
    <row r="661" spans="1:19" x14ac:dyDescent="0.25">
      <c r="A661" s="30" t="s">
        <v>97</v>
      </c>
      <c r="B661" s="31">
        <f t="shared" si="91"/>
        <v>51288</v>
      </c>
      <c r="C661" s="30">
        <f>YEAR(BInputReservoir[[#This Row],[Date]])</f>
        <v>2040</v>
      </c>
      <c r="D661" s="30">
        <f>MONTH(BInputReservoir[[#This Row],[Date]])</f>
        <v>6</v>
      </c>
      <c r="E661" s="30" t="str">
        <f>IF(I661&lt;&gt;1,"",DATA_INPUT!$L301)</f>
        <v/>
      </c>
      <c r="F661" s="30" t="str">
        <f>STORAGE_BALANCE_ENSEMBLE!AI301</f>
        <v/>
      </c>
      <c r="G661" s="30" t="str">
        <f>STORAGE_BALANCE_ENSEMBLE!AJ301</f>
        <v/>
      </c>
      <c r="H661" s="30" t="str">
        <f>STORAGE_BALANCE_ENSEMBLE!AH301</f>
        <v/>
      </c>
      <c r="I661" s="18" t="str">
        <f t="shared" si="92"/>
        <v/>
      </c>
      <c r="J661" s="8" t="str">
        <f t="shared" si="93"/>
        <v/>
      </c>
      <c r="K661" s="9" t="str">
        <f t="shared" si="94"/>
        <v/>
      </c>
      <c r="L661" s="10" t="str">
        <f t="shared" si="95"/>
        <v/>
      </c>
      <c r="M661" s="10" t="str">
        <f>IF(I661&lt;&gt;1,"",IF(H661="","",H661/CONTROL_PANEL!$B$11))</f>
        <v/>
      </c>
      <c r="N661" s="9" t="str">
        <f t="shared" si="96"/>
        <v/>
      </c>
      <c r="O661" s="9" t="str">
        <f t="shared" si="97"/>
        <v/>
      </c>
      <c r="P661" s="9" t="str">
        <f t="shared" si="98"/>
        <v/>
      </c>
      <c r="Q661" s="9" t="str">
        <f t="shared" si="99"/>
        <v/>
      </c>
      <c r="R661" s="11"/>
      <c r="S661" s="11"/>
    </row>
    <row r="662" spans="1:19" x14ac:dyDescent="0.25">
      <c r="A662" s="30" t="s">
        <v>97</v>
      </c>
      <c r="B662" s="31">
        <f t="shared" si="91"/>
        <v>51318</v>
      </c>
      <c r="C662" s="30">
        <f>YEAR(BInputReservoir[[#This Row],[Date]])</f>
        <v>2040</v>
      </c>
      <c r="D662" s="30">
        <f>MONTH(BInputReservoir[[#This Row],[Date]])</f>
        <v>7</v>
      </c>
      <c r="E662" s="30" t="str">
        <f>IF(I662&lt;&gt;1,"",DATA_INPUT!$L302)</f>
        <v/>
      </c>
      <c r="F662" s="30" t="str">
        <f>STORAGE_BALANCE_ENSEMBLE!AI302</f>
        <v/>
      </c>
      <c r="G662" s="30" t="str">
        <f>STORAGE_BALANCE_ENSEMBLE!AJ302</f>
        <v/>
      </c>
      <c r="H662" s="30" t="str">
        <f>STORAGE_BALANCE_ENSEMBLE!AH302</f>
        <v/>
      </c>
      <c r="I662" s="18" t="str">
        <f t="shared" si="92"/>
        <v/>
      </c>
      <c r="J662" s="8" t="str">
        <f t="shared" si="93"/>
        <v/>
      </c>
      <c r="K662" s="9" t="str">
        <f t="shared" si="94"/>
        <v/>
      </c>
      <c r="L662" s="10" t="str">
        <f t="shared" si="95"/>
        <v/>
      </c>
      <c r="M662" s="10" t="str">
        <f>IF(I662&lt;&gt;1,"",IF(H662="","",H662/CONTROL_PANEL!$B$11))</f>
        <v/>
      </c>
      <c r="N662" s="9" t="str">
        <f t="shared" si="96"/>
        <v/>
      </c>
      <c r="O662" s="9" t="str">
        <f t="shared" si="97"/>
        <v/>
      </c>
      <c r="P662" s="9" t="str">
        <f t="shared" si="98"/>
        <v/>
      </c>
      <c r="Q662" s="9" t="str">
        <f t="shared" si="99"/>
        <v/>
      </c>
      <c r="R662" s="11"/>
      <c r="S662" s="11"/>
    </row>
    <row r="663" spans="1:19" x14ac:dyDescent="0.25">
      <c r="A663" s="30" t="s">
        <v>97</v>
      </c>
      <c r="B663" s="31">
        <f t="shared" si="91"/>
        <v>51349</v>
      </c>
      <c r="C663" s="30">
        <f>YEAR(BInputReservoir[[#This Row],[Date]])</f>
        <v>2040</v>
      </c>
      <c r="D663" s="30">
        <f>MONTH(BInputReservoir[[#This Row],[Date]])</f>
        <v>8</v>
      </c>
      <c r="E663" s="30" t="str">
        <f>IF(I663&lt;&gt;1,"",DATA_INPUT!$L303)</f>
        <v/>
      </c>
      <c r="F663" s="30" t="str">
        <f>STORAGE_BALANCE_ENSEMBLE!AI303</f>
        <v/>
      </c>
      <c r="G663" s="30" t="str">
        <f>STORAGE_BALANCE_ENSEMBLE!AJ303</f>
        <v/>
      </c>
      <c r="H663" s="30" t="str">
        <f>STORAGE_BALANCE_ENSEMBLE!AH303</f>
        <v/>
      </c>
      <c r="I663" s="18" t="str">
        <f t="shared" si="92"/>
        <v/>
      </c>
      <c r="J663" s="8" t="str">
        <f t="shared" si="93"/>
        <v/>
      </c>
      <c r="K663" s="9" t="str">
        <f t="shared" si="94"/>
        <v/>
      </c>
      <c r="L663" s="10" t="str">
        <f t="shared" si="95"/>
        <v/>
      </c>
      <c r="M663" s="10" t="str">
        <f>IF(I663&lt;&gt;1,"",IF(H663="","",H663/CONTROL_PANEL!$B$11))</f>
        <v/>
      </c>
      <c r="N663" s="9" t="str">
        <f t="shared" si="96"/>
        <v/>
      </c>
      <c r="O663" s="9" t="str">
        <f t="shared" si="97"/>
        <v/>
      </c>
      <c r="P663" s="9" t="str">
        <f t="shared" si="98"/>
        <v/>
      </c>
      <c r="Q663" s="9" t="str">
        <f t="shared" si="99"/>
        <v/>
      </c>
      <c r="R663" s="11"/>
      <c r="S663" s="11"/>
    </row>
    <row r="664" spans="1:19" x14ac:dyDescent="0.25">
      <c r="A664" s="30" t="s">
        <v>97</v>
      </c>
      <c r="B664" s="31">
        <f t="shared" si="91"/>
        <v>51380</v>
      </c>
      <c r="C664" s="30">
        <f>YEAR(BInputReservoir[[#This Row],[Date]])</f>
        <v>2040</v>
      </c>
      <c r="D664" s="30">
        <f>MONTH(BInputReservoir[[#This Row],[Date]])</f>
        <v>9</v>
      </c>
      <c r="E664" s="30" t="str">
        <f>IF(I664&lt;&gt;1,"",DATA_INPUT!$L304)</f>
        <v/>
      </c>
      <c r="F664" s="30" t="str">
        <f>STORAGE_BALANCE_ENSEMBLE!AI304</f>
        <v/>
      </c>
      <c r="G664" s="30" t="str">
        <f>STORAGE_BALANCE_ENSEMBLE!AJ304</f>
        <v/>
      </c>
      <c r="H664" s="30" t="str">
        <f>STORAGE_BALANCE_ENSEMBLE!AH304</f>
        <v/>
      </c>
      <c r="I664" s="18" t="str">
        <f t="shared" si="92"/>
        <v/>
      </c>
      <c r="J664" s="8" t="str">
        <f t="shared" si="93"/>
        <v/>
      </c>
      <c r="K664" s="9" t="str">
        <f t="shared" si="94"/>
        <v/>
      </c>
      <c r="L664" s="10" t="str">
        <f t="shared" si="95"/>
        <v/>
      </c>
      <c r="M664" s="10" t="str">
        <f>IF(I664&lt;&gt;1,"",IF(H664="","",H664/CONTROL_PANEL!$B$11))</f>
        <v/>
      </c>
      <c r="N664" s="9" t="str">
        <f t="shared" si="96"/>
        <v/>
      </c>
      <c r="O664" s="9" t="str">
        <f t="shared" si="97"/>
        <v/>
      </c>
      <c r="P664" s="9" t="str">
        <f t="shared" si="98"/>
        <v/>
      </c>
      <c r="Q664" s="9" t="str">
        <f t="shared" si="99"/>
        <v/>
      </c>
      <c r="R664" s="11"/>
      <c r="S664" s="11"/>
    </row>
    <row r="665" spans="1:19" x14ac:dyDescent="0.25">
      <c r="A665" s="30" t="s">
        <v>97</v>
      </c>
      <c r="B665" s="31">
        <f t="shared" si="91"/>
        <v>51410</v>
      </c>
      <c r="C665" s="30">
        <f>YEAR(BInputReservoir[[#This Row],[Date]])</f>
        <v>2040</v>
      </c>
      <c r="D665" s="30">
        <f>MONTH(BInputReservoir[[#This Row],[Date]])</f>
        <v>10</v>
      </c>
      <c r="E665" s="30" t="str">
        <f>IF(I665&lt;&gt;1,"",DATA_INPUT!$L305)</f>
        <v/>
      </c>
      <c r="F665" s="30" t="str">
        <f>STORAGE_BALANCE_ENSEMBLE!AI305</f>
        <v/>
      </c>
      <c r="G665" s="30" t="str">
        <f>STORAGE_BALANCE_ENSEMBLE!AJ305</f>
        <v/>
      </c>
      <c r="H665" s="30" t="str">
        <f>STORAGE_BALANCE_ENSEMBLE!AH305</f>
        <v/>
      </c>
      <c r="I665" s="18" t="str">
        <f t="shared" si="92"/>
        <v/>
      </c>
      <c r="J665" s="8" t="str">
        <f t="shared" si="93"/>
        <v/>
      </c>
      <c r="K665" s="9" t="str">
        <f t="shared" si="94"/>
        <v/>
      </c>
      <c r="L665" s="10" t="str">
        <f t="shared" si="95"/>
        <v/>
      </c>
      <c r="M665" s="10" t="str">
        <f>IF(I665&lt;&gt;1,"",IF(H665="","",H665/CONTROL_PANEL!$B$11))</f>
        <v/>
      </c>
      <c r="N665" s="9" t="str">
        <f t="shared" si="96"/>
        <v/>
      </c>
      <c r="O665" s="9" t="str">
        <f t="shared" si="97"/>
        <v/>
      </c>
      <c r="P665" s="9" t="str">
        <f t="shared" si="98"/>
        <v/>
      </c>
      <c r="Q665" s="9" t="str">
        <f t="shared" si="99"/>
        <v/>
      </c>
      <c r="R665" s="11"/>
      <c r="S665" s="11"/>
    </row>
    <row r="666" spans="1:19" x14ac:dyDescent="0.25">
      <c r="A666" s="30" t="s">
        <v>97</v>
      </c>
      <c r="B666" s="31">
        <f t="shared" si="91"/>
        <v>51441</v>
      </c>
      <c r="C666" s="30">
        <f>YEAR(BInputReservoir[[#This Row],[Date]])</f>
        <v>2040</v>
      </c>
      <c r="D666" s="30">
        <f>MONTH(BInputReservoir[[#This Row],[Date]])</f>
        <v>11</v>
      </c>
      <c r="E666" s="30" t="str">
        <f>IF(I666&lt;&gt;1,"",DATA_INPUT!$L306)</f>
        <v/>
      </c>
      <c r="F666" s="30" t="str">
        <f>STORAGE_BALANCE_ENSEMBLE!AI306</f>
        <v/>
      </c>
      <c r="G666" s="30" t="str">
        <f>STORAGE_BALANCE_ENSEMBLE!AJ306</f>
        <v/>
      </c>
      <c r="H666" s="30" t="str">
        <f>STORAGE_BALANCE_ENSEMBLE!AH306</f>
        <v/>
      </c>
      <c r="I666" s="18" t="str">
        <f t="shared" si="92"/>
        <v/>
      </c>
      <c r="J666" s="8" t="str">
        <f t="shared" si="93"/>
        <v/>
      </c>
      <c r="K666" s="9" t="str">
        <f t="shared" si="94"/>
        <v/>
      </c>
      <c r="L666" s="10" t="str">
        <f t="shared" si="95"/>
        <v/>
      </c>
      <c r="M666" s="10" t="str">
        <f>IF(I666&lt;&gt;1,"",IF(H666="","",H666/CONTROL_PANEL!$B$11))</f>
        <v/>
      </c>
      <c r="N666" s="9" t="str">
        <f t="shared" si="96"/>
        <v/>
      </c>
      <c r="O666" s="9" t="str">
        <f t="shared" si="97"/>
        <v/>
      </c>
      <c r="P666" s="9" t="str">
        <f t="shared" si="98"/>
        <v/>
      </c>
      <c r="Q666" s="9" t="str">
        <f t="shared" si="99"/>
        <v/>
      </c>
      <c r="R666" s="11"/>
      <c r="S666" s="11"/>
    </row>
    <row r="667" spans="1:19" x14ac:dyDescent="0.25">
      <c r="A667" s="30" t="s">
        <v>97</v>
      </c>
      <c r="B667" s="31">
        <f t="shared" si="91"/>
        <v>51471</v>
      </c>
      <c r="C667" s="30">
        <f>YEAR(BInputReservoir[[#This Row],[Date]])</f>
        <v>2040</v>
      </c>
      <c r="D667" s="30">
        <f>MONTH(BInputReservoir[[#This Row],[Date]])</f>
        <v>12</v>
      </c>
      <c r="E667" s="30" t="str">
        <f>IF(I667&lt;&gt;1,"",DATA_INPUT!$L307)</f>
        <v/>
      </c>
      <c r="F667" s="30" t="str">
        <f>STORAGE_BALANCE_ENSEMBLE!AI307</f>
        <v/>
      </c>
      <c r="G667" s="30" t="str">
        <f>STORAGE_BALANCE_ENSEMBLE!AJ307</f>
        <v/>
      </c>
      <c r="H667" s="30" t="str">
        <f>STORAGE_BALANCE_ENSEMBLE!AH307</f>
        <v/>
      </c>
      <c r="I667" s="18" t="str">
        <f t="shared" si="92"/>
        <v/>
      </c>
      <c r="J667" s="8" t="str">
        <f t="shared" si="93"/>
        <v/>
      </c>
      <c r="K667" s="9" t="str">
        <f t="shared" si="94"/>
        <v/>
      </c>
      <c r="L667" s="10" t="str">
        <f t="shared" si="95"/>
        <v/>
      </c>
      <c r="M667" s="10" t="str">
        <f>IF(I667&lt;&gt;1,"",IF(H667="","",H667/CONTROL_PANEL!$B$11))</f>
        <v/>
      </c>
      <c r="N667" s="9" t="str">
        <f t="shared" si="96"/>
        <v/>
      </c>
      <c r="O667" s="9" t="str">
        <f t="shared" si="97"/>
        <v/>
      </c>
      <c r="P667" s="9" t="str">
        <f t="shared" si="98"/>
        <v/>
      </c>
      <c r="Q667" s="9" t="str">
        <f t="shared" si="99"/>
        <v/>
      </c>
      <c r="R667" s="11"/>
      <c r="S667" s="11"/>
    </row>
    <row r="668" spans="1:19" x14ac:dyDescent="0.25">
      <c r="A668" s="30" t="s">
        <v>97</v>
      </c>
      <c r="B668" s="31">
        <f t="shared" si="91"/>
        <v>51502</v>
      </c>
      <c r="C668" s="30">
        <f>YEAR(BInputReservoir[[#This Row],[Date]])</f>
        <v>2041</v>
      </c>
      <c r="D668" s="30">
        <f>MONTH(BInputReservoir[[#This Row],[Date]])</f>
        <v>1</v>
      </c>
      <c r="E668" s="30" t="str">
        <f>IF(I668&lt;&gt;1,"",DATA_INPUT!$L308)</f>
        <v/>
      </c>
      <c r="F668" s="30" t="str">
        <f>STORAGE_BALANCE_ENSEMBLE!AI308</f>
        <v/>
      </c>
      <c r="G668" s="30" t="str">
        <f>STORAGE_BALANCE_ENSEMBLE!AJ308</f>
        <v/>
      </c>
      <c r="H668" s="30" t="str">
        <f>STORAGE_BALANCE_ENSEMBLE!AH308</f>
        <v/>
      </c>
      <c r="I668" s="18" t="str">
        <f t="shared" si="92"/>
        <v/>
      </c>
      <c r="J668" s="8" t="str">
        <f t="shared" si="93"/>
        <v/>
      </c>
      <c r="K668" s="9" t="str">
        <f t="shared" si="94"/>
        <v/>
      </c>
      <c r="L668" s="10" t="str">
        <f t="shared" si="95"/>
        <v/>
      </c>
      <c r="M668" s="10" t="str">
        <f>IF(I668&lt;&gt;1,"",IF(H668="","",H668/CONTROL_PANEL!$B$11))</f>
        <v/>
      </c>
      <c r="N668" s="9" t="str">
        <f t="shared" si="96"/>
        <v/>
      </c>
      <c r="O668" s="9" t="str">
        <f t="shared" si="97"/>
        <v/>
      </c>
      <c r="P668" s="9" t="str">
        <f t="shared" si="98"/>
        <v/>
      </c>
      <c r="Q668" s="9" t="str">
        <f t="shared" si="99"/>
        <v/>
      </c>
      <c r="R668" s="11"/>
      <c r="S668" s="11"/>
    </row>
    <row r="669" spans="1:19" x14ac:dyDescent="0.25">
      <c r="A669" s="30" t="s">
        <v>97</v>
      </c>
      <c r="B669" s="31">
        <f t="shared" si="91"/>
        <v>51533</v>
      </c>
      <c r="C669" s="30">
        <f>YEAR(BInputReservoir[[#This Row],[Date]])</f>
        <v>2041</v>
      </c>
      <c r="D669" s="30">
        <f>MONTH(BInputReservoir[[#This Row],[Date]])</f>
        <v>2</v>
      </c>
      <c r="E669" s="30" t="str">
        <f>IF(I669&lt;&gt;1,"",DATA_INPUT!$L309)</f>
        <v/>
      </c>
      <c r="F669" s="30" t="str">
        <f>STORAGE_BALANCE_ENSEMBLE!AI309</f>
        <v/>
      </c>
      <c r="G669" s="30" t="str">
        <f>STORAGE_BALANCE_ENSEMBLE!AJ309</f>
        <v/>
      </c>
      <c r="H669" s="30" t="str">
        <f>STORAGE_BALANCE_ENSEMBLE!AH309</f>
        <v/>
      </c>
      <c r="I669" s="18" t="str">
        <f t="shared" si="92"/>
        <v/>
      </c>
      <c r="J669" s="8" t="str">
        <f t="shared" si="93"/>
        <v/>
      </c>
      <c r="K669" s="9" t="str">
        <f t="shared" si="94"/>
        <v/>
      </c>
      <c r="L669" s="10" t="str">
        <f t="shared" si="95"/>
        <v/>
      </c>
      <c r="M669" s="10" t="str">
        <f>IF(I669&lt;&gt;1,"",IF(H669="","",H669/CONTROL_PANEL!$B$11))</f>
        <v/>
      </c>
      <c r="N669" s="9" t="str">
        <f t="shared" si="96"/>
        <v/>
      </c>
      <c r="O669" s="9" t="str">
        <f t="shared" si="97"/>
        <v/>
      </c>
      <c r="P669" s="9" t="str">
        <f t="shared" si="98"/>
        <v/>
      </c>
      <c r="Q669" s="9" t="str">
        <f t="shared" si="99"/>
        <v/>
      </c>
      <c r="R669" s="11"/>
      <c r="S669" s="11"/>
    </row>
    <row r="670" spans="1:19" x14ac:dyDescent="0.25">
      <c r="A670" s="30" t="s">
        <v>97</v>
      </c>
      <c r="B670" s="31">
        <f t="shared" si="91"/>
        <v>51561</v>
      </c>
      <c r="C670" s="30">
        <f>YEAR(BInputReservoir[[#This Row],[Date]])</f>
        <v>2041</v>
      </c>
      <c r="D670" s="30">
        <f>MONTH(BInputReservoir[[#This Row],[Date]])</f>
        <v>3</v>
      </c>
      <c r="E670" s="30" t="str">
        <f>IF(I670&lt;&gt;1,"",DATA_INPUT!$L310)</f>
        <v/>
      </c>
      <c r="F670" s="30" t="str">
        <f>STORAGE_BALANCE_ENSEMBLE!AI310</f>
        <v/>
      </c>
      <c r="G670" s="30" t="str">
        <f>STORAGE_BALANCE_ENSEMBLE!AJ310</f>
        <v/>
      </c>
      <c r="H670" s="30" t="str">
        <f>STORAGE_BALANCE_ENSEMBLE!AH310</f>
        <v/>
      </c>
      <c r="I670" s="18" t="str">
        <f t="shared" si="92"/>
        <v/>
      </c>
      <c r="J670" s="8" t="str">
        <f t="shared" si="93"/>
        <v/>
      </c>
      <c r="K670" s="9" t="str">
        <f t="shared" si="94"/>
        <v/>
      </c>
      <c r="L670" s="10" t="str">
        <f t="shared" si="95"/>
        <v/>
      </c>
      <c r="M670" s="10" t="str">
        <f>IF(I670&lt;&gt;1,"",IF(H670="","",H670/CONTROL_PANEL!$B$11))</f>
        <v/>
      </c>
      <c r="N670" s="9" t="str">
        <f t="shared" si="96"/>
        <v/>
      </c>
      <c r="O670" s="9" t="str">
        <f t="shared" si="97"/>
        <v/>
      </c>
      <c r="P670" s="9" t="str">
        <f t="shared" si="98"/>
        <v/>
      </c>
      <c r="Q670" s="9" t="str">
        <f t="shared" si="99"/>
        <v/>
      </c>
      <c r="R670" s="11"/>
      <c r="S670" s="11"/>
    </row>
    <row r="671" spans="1:19" x14ac:dyDescent="0.25">
      <c r="A671" s="30" t="s">
        <v>97</v>
      </c>
      <c r="B671" s="31">
        <f t="shared" si="91"/>
        <v>51592</v>
      </c>
      <c r="C671" s="30">
        <f>YEAR(BInputReservoir[[#This Row],[Date]])</f>
        <v>2041</v>
      </c>
      <c r="D671" s="30">
        <f>MONTH(BInputReservoir[[#This Row],[Date]])</f>
        <v>4</v>
      </c>
      <c r="E671" s="30" t="str">
        <f>IF(I671&lt;&gt;1,"",DATA_INPUT!$L311)</f>
        <v/>
      </c>
      <c r="F671" s="30" t="str">
        <f>STORAGE_BALANCE_ENSEMBLE!AI311</f>
        <v/>
      </c>
      <c r="G671" s="30" t="str">
        <f>STORAGE_BALANCE_ENSEMBLE!AJ311</f>
        <v/>
      </c>
      <c r="H671" s="30" t="str">
        <f>STORAGE_BALANCE_ENSEMBLE!AH311</f>
        <v/>
      </c>
      <c r="I671" s="18" t="str">
        <f t="shared" si="92"/>
        <v/>
      </c>
      <c r="J671" s="8" t="str">
        <f t="shared" si="93"/>
        <v/>
      </c>
      <c r="K671" s="9" t="str">
        <f t="shared" si="94"/>
        <v/>
      </c>
      <c r="L671" s="10" t="str">
        <f t="shared" si="95"/>
        <v/>
      </c>
      <c r="M671" s="10" t="str">
        <f>IF(I671&lt;&gt;1,"",IF(H671="","",H671/CONTROL_PANEL!$B$11))</f>
        <v/>
      </c>
      <c r="N671" s="9" t="str">
        <f t="shared" si="96"/>
        <v/>
      </c>
      <c r="O671" s="9" t="str">
        <f t="shared" si="97"/>
        <v/>
      </c>
      <c r="P671" s="9" t="str">
        <f t="shared" si="98"/>
        <v/>
      </c>
      <c r="Q671" s="9" t="str">
        <f t="shared" si="99"/>
        <v/>
      </c>
      <c r="R671" s="11"/>
      <c r="S671" s="11"/>
    </row>
    <row r="672" spans="1:19" x14ac:dyDescent="0.25">
      <c r="A672" s="30" t="s">
        <v>97</v>
      </c>
      <c r="B672" s="31">
        <f t="shared" si="91"/>
        <v>51622</v>
      </c>
      <c r="C672" s="30">
        <f>YEAR(BInputReservoir[[#This Row],[Date]])</f>
        <v>2041</v>
      </c>
      <c r="D672" s="30">
        <f>MONTH(BInputReservoir[[#This Row],[Date]])</f>
        <v>5</v>
      </c>
      <c r="E672" s="30" t="str">
        <f>IF(I672&lt;&gt;1,"",DATA_INPUT!$L312)</f>
        <v/>
      </c>
      <c r="F672" s="30" t="str">
        <f>STORAGE_BALANCE_ENSEMBLE!AI312</f>
        <v/>
      </c>
      <c r="G672" s="30" t="str">
        <f>STORAGE_BALANCE_ENSEMBLE!AJ312</f>
        <v/>
      </c>
      <c r="H672" s="30" t="str">
        <f>STORAGE_BALANCE_ENSEMBLE!AH312</f>
        <v/>
      </c>
      <c r="I672" s="18" t="str">
        <f t="shared" si="92"/>
        <v/>
      </c>
      <c r="J672" s="8" t="str">
        <f t="shared" si="93"/>
        <v/>
      </c>
      <c r="K672" s="9" t="str">
        <f t="shared" si="94"/>
        <v/>
      </c>
      <c r="L672" s="10" t="str">
        <f t="shared" si="95"/>
        <v/>
      </c>
      <c r="M672" s="10" t="str">
        <f>IF(I672&lt;&gt;1,"",IF(H672="","",H672/CONTROL_PANEL!$B$11))</f>
        <v/>
      </c>
      <c r="N672" s="9" t="str">
        <f t="shared" si="96"/>
        <v/>
      </c>
      <c r="O672" s="9" t="str">
        <f t="shared" si="97"/>
        <v/>
      </c>
      <c r="P672" s="9" t="str">
        <f t="shared" si="98"/>
        <v/>
      </c>
      <c r="Q672" s="9" t="str">
        <f t="shared" si="99"/>
        <v/>
      </c>
      <c r="R672" s="11"/>
      <c r="S672" s="11"/>
    </row>
    <row r="673" spans="1:19" x14ac:dyDescent="0.25">
      <c r="A673" s="30" t="s">
        <v>97</v>
      </c>
      <c r="B673" s="31">
        <f t="shared" si="91"/>
        <v>51653</v>
      </c>
      <c r="C673" s="30">
        <f>YEAR(BInputReservoir[[#This Row],[Date]])</f>
        <v>2041</v>
      </c>
      <c r="D673" s="30">
        <f>MONTH(BInputReservoir[[#This Row],[Date]])</f>
        <v>6</v>
      </c>
      <c r="E673" s="30" t="str">
        <f>IF(I673&lt;&gt;1,"",DATA_INPUT!$L313)</f>
        <v/>
      </c>
      <c r="F673" s="30" t="str">
        <f>STORAGE_BALANCE_ENSEMBLE!AI313</f>
        <v/>
      </c>
      <c r="G673" s="30" t="str">
        <f>STORAGE_BALANCE_ENSEMBLE!AJ313</f>
        <v/>
      </c>
      <c r="H673" s="30" t="str">
        <f>STORAGE_BALANCE_ENSEMBLE!AH313</f>
        <v/>
      </c>
      <c r="I673" s="18" t="str">
        <f t="shared" si="92"/>
        <v/>
      </c>
      <c r="J673" s="8" t="str">
        <f t="shared" si="93"/>
        <v/>
      </c>
      <c r="K673" s="9" t="str">
        <f t="shared" si="94"/>
        <v/>
      </c>
      <c r="L673" s="10" t="str">
        <f t="shared" si="95"/>
        <v/>
      </c>
      <c r="M673" s="10" t="str">
        <f>IF(I673&lt;&gt;1,"",IF(H673="","",H673/CONTROL_PANEL!$B$11))</f>
        <v/>
      </c>
      <c r="N673" s="9" t="str">
        <f t="shared" si="96"/>
        <v/>
      </c>
      <c r="O673" s="9" t="str">
        <f t="shared" si="97"/>
        <v/>
      </c>
      <c r="P673" s="9" t="str">
        <f t="shared" si="98"/>
        <v/>
      </c>
      <c r="Q673" s="9" t="str">
        <f t="shared" si="99"/>
        <v/>
      </c>
      <c r="R673" s="11"/>
      <c r="S673" s="11"/>
    </row>
    <row r="674" spans="1:19" x14ac:dyDescent="0.25">
      <c r="A674" s="30" t="s">
        <v>97</v>
      </c>
      <c r="B674" s="31">
        <f t="shared" si="91"/>
        <v>51683</v>
      </c>
      <c r="C674" s="30">
        <f>YEAR(BInputReservoir[[#This Row],[Date]])</f>
        <v>2041</v>
      </c>
      <c r="D674" s="30">
        <f>MONTH(BInputReservoir[[#This Row],[Date]])</f>
        <v>7</v>
      </c>
      <c r="E674" s="30" t="str">
        <f>IF(I674&lt;&gt;1,"",DATA_INPUT!$L314)</f>
        <v/>
      </c>
      <c r="F674" s="30" t="str">
        <f>STORAGE_BALANCE_ENSEMBLE!AI314</f>
        <v/>
      </c>
      <c r="G674" s="30" t="str">
        <f>STORAGE_BALANCE_ENSEMBLE!AJ314</f>
        <v/>
      </c>
      <c r="H674" s="30" t="str">
        <f>STORAGE_BALANCE_ENSEMBLE!AH314</f>
        <v/>
      </c>
      <c r="I674" s="18" t="str">
        <f t="shared" si="92"/>
        <v/>
      </c>
      <c r="J674" s="8" t="str">
        <f t="shared" si="93"/>
        <v/>
      </c>
      <c r="K674" s="9" t="str">
        <f t="shared" si="94"/>
        <v/>
      </c>
      <c r="L674" s="10" t="str">
        <f t="shared" si="95"/>
        <v/>
      </c>
      <c r="M674" s="10" t="str">
        <f>IF(I674&lt;&gt;1,"",IF(H674="","",H674/CONTROL_PANEL!$B$11))</f>
        <v/>
      </c>
      <c r="N674" s="9" t="str">
        <f t="shared" si="96"/>
        <v/>
      </c>
      <c r="O674" s="9" t="str">
        <f t="shared" si="97"/>
        <v/>
      </c>
      <c r="P674" s="9" t="str">
        <f t="shared" si="98"/>
        <v/>
      </c>
      <c r="Q674" s="9" t="str">
        <f t="shared" si="99"/>
        <v/>
      </c>
      <c r="R674" s="11"/>
      <c r="S674" s="11"/>
    </row>
    <row r="675" spans="1:19" x14ac:dyDescent="0.25">
      <c r="A675" s="30" t="s">
        <v>97</v>
      </c>
      <c r="B675" s="31">
        <f t="shared" si="91"/>
        <v>51714</v>
      </c>
      <c r="C675" s="30">
        <f>YEAR(BInputReservoir[[#This Row],[Date]])</f>
        <v>2041</v>
      </c>
      <c r="D675" s="30">
        <f>MONTH(BInputReservoir[[#This Row],[Date]])</f>
        <v>8</v>
      </c>
      <c r="E675" s="30" t="str">
        <f>IF(I675&lt;&gt;1,"",DATA_INPUT!$L315)</f>
        <v/>
      </c>
      <c r="F675" s="30" t="str">
        <f>STORAGE_BALANCE_ENSEMBLE!AI315</f>
        <v/>
      </c>
      <c r="G675" s="30" t="str">
        <f>STORAGE_BALANCE_ENSEMBLE!AJ315</f>
        <v/>
      </c>
      <c r="H675" s="30" t="str">
        <f>STORAGE_BALANCE_ENSEMBLE!AH315</f>
        <v/>
      </c>
      <c r="I675" s="18" t="str">
        <f t="shared" si="92"/>
        <v/>
      </c>
      <c r="J675" s="8" t="str">
        <f t="shared" si="93"/>
        <v/>
      </c>
      <c r="K675" s="9" t="str">
        <f t="shared" si="94"/>
        <v/>
      </c>
      <c r="L675" s="10" t="str">
        <f t="shared" si="95"/>
        <v/>
      </c>
      <c r="M675" s="10" t="str">
        <f>IF(I675&lt;&gt;1,"",IF(H675="","",H675/CONTROL_PANEL!$B$11))</f>
        <v/>
      </c>
      <c r="N675" s="9" t="str">
        <f t="shared" si="96"/>
        <v/>
      </c>
      <c r="O675" s="9" t="str">
        <f t="shared" si="97"/>
        <v/>
      </c>
      <c r="P675" s="9" t="str">
        <f t="shared" si="98"/>
        <v/>
      </c>
      <c r="Q675" s="9" t="str">
        <f t="shared" si="99"/>
        <v/>
      </c>
      <c r="R675" s="11"/>
      <c r="S675" s="11"/>
    </row>
    <row r="676" spans="1:19" x14ac:dyDescent="0.25">
      <c r="A676" s="30" t="s">
        <v>97</v>
      </c>
      <c r="B676" s="31">
        <f t="shared" si="91"/>
        <v>51745</v>
      </c>
      <c r="C676" s="30">
        <f>YEAR(BInputReservoir[[#This Row],[Date]])</f>
        <v>2041</v>
      </c>
      <c r="D676" s="30">
        <f>MONTH(BInputReservoir[[#This Row],[Date]])</f>
        <v>9</v>
      </c>
      <c r="E676" s="30" t="str">
        <f>IF(I676&lt;&gt;1,"",DATA_INPUT!$L316)</f>
        <v/>
      </c>
      <c r="F676" s="30" t="str">
        <f>STORAGE_BALANCE_ENSEMBLE!AI316</f>
        <v/>
      </c>
      <c r="G676" s="30" t="str">
        <f>STORAGE_BALANCE_ENSEMBLE!AJ316</f>
        <v/>
      </c>
      <c r="H676" s="30" t="str">
        <f>STORAGE_BALANCE_ENSEMBLE!AH316</f>
        <v/>
      </c>
      <c r="I676" s="18" t="str">
        <f t="shared" si="92"/>
        <v/>
      </c>
      <c r="J676" s="8" t="str">
        <f t="shared" si="93"/>
        <v/>
      </c>
      <c r="K676" s="9" t="str">
        <f t="shared" si="94"/>
        <v/>
      </c>
      <c r="L676" s="10" t="str">
        <f t="shared" si="95"/>
        <v/>
      </c>
      <c r="M676" s="10" t="str">
        <f>IF(I676&lt;&gt;1,"",IF(H676="","",H676/CONTROL_PANEL!$B$11))</f>
        <v/>
      </c>
      <c r="N676" s="9" t="str">
        <f t="shared" si="96"/>
        <v/>
      </c>
      <c r="O676" s="9" t="str">
        <f t="shared" si="97"/>
        <v/>
      </c>
      <c r="P676" s="9" t="str">
        <f t="shared" si="98"/>
        <v/>
      </c>
      <c r="Q676" s="9" t="str">
        <f t="shared" si="99"/>
        <v/>
      </c>
      <c r="R676" s="11"/>
      <c r="S676" s="11"/>
    </row>
    <row r="677" spans="1:19" x14ac:dyDescent="0.25">
      <c r="A677" s="30" t="s">
        <v>97</v>
      </c>
      <c r="B677" s="31">
        <f t="shared" ref="B677:B724" si="100">B316</f>
        <v>51775</v>
      </c>
      <c r="C677" s="30">
        <f>YEAR(BInputReservoir[[#This Row],[Date]])</f>
        <v>2041</v>
      </c>
      <c r="D677" s="30">
        <f>MONTH(BInputReservoir[[#This Row],[Date]])</f>
        <v>10</v>
      </c>
      <c r="E677" s="30" t="str">
        <f>IF(I677&lt;&gt;1,"",DATA_INPUT!$L317)</f>
        <v/>
      </c>
      <c r="F677" s="30" t="str">
        <f>STORAGE_BALANCE_ENSEMBLE!AI317</f>
        <v/>
      </c>
      <c r="G677" s="30" t="str">
        <f>STORAGE_BALANCE_ENSEMBLE!AJ317</f>
        <v/>
      </c>
      <c r="H677" s="30" t="str">
        <f>STORAGE_BALANCE_ENSEMBLE!AH317</f>
        <v/>
      </c>
      <c r="I677" s="18" t="str">
        <f t="shared" si="92"/>
        <v/>
      </c>
      <c r="J677" s="8" t="str">
        <f t="shared" si="93"/>
        <v/>
      </c>
      <c r="K677" s="9" t="str">
        <f t="shared" si="94"/>
        <v/>
      </c>
      <c r="L677" s="10" t="str">
        <f t="shared" si="95"/>
        <v/>
      </c>
      <c r="M677" s="10" t="str">
        <f>IF(I677&lt;&gt;1,"",IF(H677="","",H677/CONTROL_PANEL!$B$11))</f>
        <v/>
      </c>
      <c r="N677" s="9" t="str">
        <f t="shared" si="96"/>
        <v/>
      </c>
      <c r="O677" s="9" t="str">
        <f t="shared" si="97"/>
        <v/>
      </c>
      <c r="P677" s="9" t="str">
        <f t="shared" si="98"/>
        <v/>
      </c>
      <c r="Q677" s="9" t="str">
        <f t="shared" si="99"/>
        <v/>
      </c>
      <c r="R677" s="11"/>
      <c r="S677" s="11"/>
    </row>
    <row r="678" spans="1:19" x14ac:dyDescent="0.25">
      <c r="A678" s="30" t="s">
        <v>97</v>
      </c>
      <c r="B678" s="31">
        <f t="shared" si="100"/>
        <v>51806</v>
      </c>
      <c r="C678" s="30">
        <f>YEAR(BInputReservoir[[#This Row],[Date]])</f>
        <v>2041</v>
      </c>
      <c r="D678" s="30">
        <f>MONTH(BInputReservoir[[#This Row],[Date]])</f>
        <v>11</v>
      </c>
      <c r="E678" s="30" t="str">
        <f>IF(I678&lt;&gt;1,"",DATA_INPUT!$L318)</f>
        <v/>
      </c>
      <c r="F678" s="30" t="str">
        <f>STORAGE_BALANCE_ENSEMBLE!AI318</f>
        <v/>
      </c>
      <c r="G678" s="30" t="str">
        <f>STORAGE_BALANCE_ENSEMBLE!AJ318</f>
        <v/>
      </c>
      <c r="H678" s="30" t="str">
        <f>STORAGE_BALANCE_ENSEMBLE!AH318</f>
        <v/>
      </c>
      <c r="I678" s="18" t="str">
        <f t="shared" si="92"/>
        <v/>
      </c>
      <c r="J678" s="8" t="str">
        <f t="shared" si="93"/>
        <v/>
      </c>
      <c r="K678" s="9" t="str">
        <f t="shared" si="94"/>
        <v/>
      </c>
      <c r="L678" s="10" t="str">
        <f t="shared" si="95"/>
        <v/>
      </c>
      <c r="M678" s="10" t="str">
        <f>IF(I678&lt;&gt;1,"",IF(H678="","",H678/CONTROL_PANEL!$B$11))</f>
        <v/>
      </c>
      <c r="N678" s="9" t="str">
        <f t="shared" si="96"/>
        <v/>
      </c>
      <c r="O678" s="9" t="str">
        <f t="shared" si="97"/>
        <v/>
      </c>
      <c r="P678" s="9" t="str">
        <f t="shared" si="98"/>
        <v/>
      </c>
      <c r="Q678" s="9" t="str">
        <f t="shared" si="99"/>
        <v/>
      </c>
      <c r="R678" s="11"/>
      <c r="S678" s="11"/>
    </row>
    <row r="679" spans="1:19" x14ac:dyDescent="0.25">
      <c r="A679" s="30" t="s">
        <v>97</v>
      </c>
      <c r="B679" s="31">
        <f t="shared" si="100"/>
        <v>51836</v>
      </c>
      <c r="C679" s="30">
        <f>YEAR(BInputReservoir[[#This Row],[Date]])</f>
        <v>2041</v>
      </c>
      <c r="D679" s="30">
        <f>MONTH(BInputReservoir[[#This Row],[Date]])</f>
        <v>12</v>
      </c>
      <c r="E679" s="30" t="str">
        <f>IF(I679&lt;&gt;1,"",DATA_INPUT!$L319)</f>
        <v/>
      </c>
      <c r="F679" s="30" t="str">
        <f>STORAGE_BALANCE_ENSEMBLE!AI319</f>
        <v/>
      </c>
      <c r="G679" s="30" t="str">
        <f>STORAGE_BALANCE_ENSEMBLE!AJ319</f>
        <v/>
      </c>
      <c r="H679" s="30" t="str">
        <f>STORAGE_BALANCE_ENSEMBLE!AH319</f>
        <v/>
      </c>
      <c r="I679" s="18" t="str">
        <f t="shared" si="92"/>
        <v/>
      </c>
      <c r="J679" s="8" t="str">
        <f t="shared" si="93"/>
        <v/>
      </c>
      <c r="K679" s="9" t="str">
        <f t="shared" si="94"/>
        <v/>
      </c>
      <c r="L679" s="10" t="str">
        <f t="shared" si="95"/>
        <v/>
      </c>
      <c r="M679" s="10" t="str">
        <f>IF(I679&lt;&gt;1,"",IF(H679="","",H679/CONTROL_PANEL!$B$11))</f>
        <v/>
      </c>
      <c r="N679" s="9" t="str">
        <f t="shared" si="96"/>
        <v/>
      </c>
      <c r="O679" s="9" t="str">
        <f t="shared" si="97"/>
        <v/>
      </c>
      <c r="P679" s="9" t="str">
        <f t="shared" si="98"/>
        <v/>
      </c>
      <c r="Q679" s="9" t="str">
        <f t="shared" si="99"/>
        <v/>
      </c>
      <c r="R679" s="11"/>
      <c r="S679" s="11"/>
    </row>
    <row r="680" spans="1:19" x14ac:dyDescent="0.25">
      <c r="A680" s="30" t="s">
        <v>97</v>
      </c>
      <c r="B680" s="31">
        <f t="shared" si="100"/>
        <v>51867</v>
      </c>
      <c r="C680" s="30">
        <f>YEAR(BInputReservoir[[#This Row],[Date]])</f>
        <v>2042</v>
      </c>
      <c r="D680" s="30">
        <f>MONTH(BInputReservoir[[#This Row],[Date]])</f>
        <v>1</v>
      </c>
      <c r="E680" s="30" t="str">
        <f>IF(I680&lt;&gt;1,"",DATA_INPUT!$L320)</f>
        <v/>
      </c>
      <c r="F680" s="30" t="str">
        <f>STORAGE_BALANCE_ENSEMBLE!AI320</f>
        <v/>
      </c>
      <c r="G680" s="30" t="str">
        <f>STORAGE_BALANCE_ENSEMBLE!AJ320</f>
        <v/>
      </c>
      <c r="H680" s="30" t="str">
        <f>STORAGE_BALANCE_ENSEMBLE!AH320</f>
        <v/>
      </c>
      <c r="I680" s="18" t="str">
        <f t="shared" si="92"/>
        <v/>
      </c>
      <c r="J680" s="8" t="str">
        <f t="shared" si="93"/>
        <v/>
      </c>
      <c r="K680" s="9" t="str">
        <f t="shared" si="94"/>
        <v/>
      </c>
      <c r="L680" s="10" t="str">
        <f t="shared" si="95"/>
        <v/>
      </c>
      <c r="M680" s="10" t="str">
        <f>IF(I680&lt;&gt;1,"",IF(H680="","",H680/CONTROL_PANEL!$B$11))</f>
        <v/>
      </c>
      <c r="N680" s="9" t="str">
        <f t="shared" si="96"/>
        <v/>
      </c>
      <c r="O680" s="9" t="str">
        <f t="shared" si="97"/>
        <v/>
      </c>
      <c r="P680" s="9" t="str">
        <f t="shared" si="98"/>
        <v/>
      </c>
      <c r="Q680" s="9" t="str">
        <f t="shared" si="99"/>
        <v/>
      </c>
      <c r="R680" s="11"/>
      <c r="S680" s="11"/>
    </row>
    <row r="681" spans="1:19" x14ac:dyDescent="0.25">
      <c r="A681" s="30" t="s">
        <v>97</v>
      </c>
      <c r="B681" s="31">
        <f t="shared" si="100"/>
        <v>51898</v>
      </c>
      <c r="C681" s="30">
        <f>YEAR(BInputReservoir[[#This Row],[Date]])</f>
        <v>2042</v>
      </c>
      <c r="D681" s="30">
        <f>MONTH(BInputReservoir[[#This Row],[Date]])</f>
        <v>2</v>
      </c>
      <c r="E681" s="30" t="str">
        <f>IF(I681&lt;&gt;1,"",DATA_INPUT!$L321)</f>
        <v/>
      </c>
      <c r="F681" s="30" t="str">
        <f>STORAGE_BALANCE_ENSEMBLE!AI321</f>
        <v/>
      </c>
      <c r="G681" s="30" t="str">
        <f>STORAGE_BALANCE_ENSEMBLE!AJ321</f>
        <v/>
      </c>
      <c r="H681" s="30" t="str">
        <f>STORAGE_BALANCE_ENSEMBLE!AH321</f>
        <v/>
      </c>
      <c r="I681" s="18" t="str">
        <f t="shared" si="92"/>
        <v/>
      </c>
      <c r="J681" s="8" t="str">
        <f t="shared" si="93"/>
        <v/>
      </c>
      <c r="K681" s="9" t="str">
        <f t="shared" si="94"/>
        <v/>
      </c>
      <c r="L681" s="10" t="str">
        <f t="shared" si="95"/>
        <v/>
      </c>
      <c r="M681" s="10" t="str">
        <f>IF(I681&lt;&gt;1,"",IF(H681="","",H681/CONTROL_PANEL!$B$11))</f>
        <v/>
      </c>
      <c r="N681" s="9" t="str">
        <f t="shared" si="96"/>
        <v/>
      </c>
      <c r="O681" s="9" t="str">
        <f t="shared" si="97"/>
        <v/>
      </c>
      <c r="P681" s="9" t="str">
        <f t="shared" si="98"/>
        <v/>
      </c>
      <c r="Q681" s="9" t="str">
        <f t="shared" si="99"/>
        <v/>
      </c>
      <c r="R681" s="11"/>
      <c r="S681" s="11"/>
    </row>
    <row r="682" spans="1:19" x14ac:dyDescent="0.25">
      <c r="A682" s="30" t="s">
        <v>97</v>
      </c>
      <c r="B682" s="31">
        <f t="shared" si="100"/>
        <v>51926</v>
      </c>
      <c r="C682" s="30">
        <f>YEAR(BInputReservoir[[#This Row],[Date]])</f>
        <v>2042</v>
      </c>
      <c r="D682" s="30">
        <f>MONTH(BInputReservoir[[#This Row],[Date]])</f>
        <v>3</v>
      </c>
      <c r="E682" s="30" t="str">
        <f>IF(I682&lt;&gt;1,"",DATA_INPUT!$L322)</f>
        <v/>
      </c>
      <c r="F682" s="30" t="str">
        <f>STORAGE_BALANCE_ENSEMBLE!AI322</f>
        <v/>
      </c>
      <c r="G682" s="30" t="str">
        <f>STORAGE_BALANCE_ENSEMBLE!AJ322</f>
        <v/>
      </c>
      <c r="H682" s="30" t="str">
        <f>STORAGE_BALANCE_ENSEMBLE!AH322</f>
        <v/>
      </c>
      <c r="I682" s="18" t="str">
        <f t="shared" si="92"/>
        <v/>
      </c>
      <c r="J682" s="8" t="str">
        <f t="shared" si="93"/>
        <v/>
      </c>
      <c r="K682" s="9" t="str">
        <f t="shared" si="94"/>
        <v/>
      </c>
      <c r="L682" s="10" t="str">
        <f t="shared" si="95"/>
        <v/>
      </c>
      <c r="M682" s="10" t="str">
        <f>IF(I682&lt;&gt;1,"",IF(H682="","",H682/CONTROL_PANEL!$B$11))</f>
        <v/>
      </c>
      <c r="N682" s="9" t="str">
        <f t="shared" si="96"/>
        <v/>
      </c>
      <c r="O682" s="9" t="str">
        <f t="shared" si="97"/>
        <v/>
      </c>
      <c r="P682" s="9" t="str">
        <f t="shared" si="98"/>
        <v/>
      </c>
      <c r="Q682" s="9" t="str">
        <f t="shared" si="99"/>
        <v/>
      </c>
      <c r="R682" s="11"/>
      <c r="S682" s="11"/>
    </row>
    <row r="683" spans="1:19" x14ac:dyDescent="0.25">
      <c r="A683" s="30" t="s">
        <v>97</v>
      </c>
      <c r="B683" s="31">
        <f t="shared" si="100"/>
        <v>51957</v>
      </c>
      <c r="C683" s="30">
        <f>YEAR(BInputReservoir[[#This Row],[Date]])</f>
        <v>2042</v>
      </c>
      <c r="D683" s="30">
        <f>MONTH(BInputReservoir[[#This Row],[Date]])</f>
        <v>4</v>
      </c>
      <c r="E683" s="30" t="str">
        <f>IF(I683&lt;&gt;1,"",DATA_INPUT!$L323)</f>
        <v/>
      </c>
      <c r="F683" s="30" t="str">
        <f>STORAGE_BALANCE_ENSEMBLE!AI323</f>
        <v/>
      </c>
      <c r="G683" s="30" t="str">
        <f>STORAGE_BALANCE_ENSEMBLE!AJ323</f>
        <v/>
      </c>
      <c r="H683" s="30" t="str">
        <f>STORAGE_BALANCE_ENSEMBLE!AH323</f>
        <v/>
      </c>
      <c r="I683" s="18" t="str">
        <f t="shared" si="92"/>
        <v/>
      </c>
      <c r="J683" s="8" t="str">
        <f t="shared" si="93"/>
        <v/>
      </c>
      <c r="K683" s="9" t="str">
        <f t="shared" si="94"/>
        <v/>
      </c>
      <c r="L683" s="10" t="str">
        <f t="shared" si="95"/>
        <v/>
      </c>
      <c r="M683" s="10" t="str">
        <f>IF(I683&lt;&gt;1,"",IF(H683="","",H683/CONTROL_PANEL!$B$11))</f>
        <v/>
      </c>
      <c r="N683" s="9" t="str">
        <f t="shared" si="96"/>
        <v/>
      </c>
      <c r="O683" s="9" t="str">
        <f t="shared" si="97"/>
        <v/>
      </c>
      <c r="P683" s="9" t="str">
        <f t="shared" si="98"/>
        <v/>
      </c>
      <c r="Q683" s="9" t="str">
        <f t="shared" si="99"/>
        <v/>
      </c>
      <c r="R683" s="11"/>
      <c r="S683" s="11"/>
    </row>
    <row r="684" spans="1:19" x14ac:dyDescent="0.25">
      <c r="A684" s="30" t="s">
        <v>97</v>
      </c>
      <c r="B684" s="31">
        <f t="shared" si="100"/>
        <v>51987</v>
      </c>
      <c r="C684" s="30">
        <f>YEAR(BInputReservoir[[#This Row],[Date]])</f>
        <v>2042</v>
      </c>
      <c r="D684" s="30">
        <f>MONTH(BInputReservoir[[#This Row],[Date]])</f>
        <v>5</v>
      </c>
      <c r="E684" s="30" t="str">
        <f>IF(I684&lt;&gt;1,"",DATA_INPUT!$L324)</f>
        <v/>
      </c>
      <c r="F684" s="30" t="str">
        <f>STORAGE_BALANCE_ENSEMBLE!AI324</f>
        <v/>
      </c>
      <c r="G684" s="30" t="str">
        <f>STORAGE_BALANCE_ENSEMBLE!AJ324</f>
        <v/>
      </c>
      <c r="H684" s="30" t="str">
        <f>STORAGE_BALANCE_ENSEMBLE!AH324</f>
        <v/>
      </c>
      <c r="I684" s="18" t="str">
        <f t="shared" si="92"/>
        <v/>
      </c>
      <c r="J684" s="8" t="str">
        <f t="shared" si="93"/>
        <v/>
      </c>
      <c r="K684" s="9" t="str">
        <f t="shared" si="94"/>
        <v/>
      </c>
      <c r="L684" s="10" t="str">
        <f t="shared" si="95"/>
        <v/>
      </c>
      <c r="M684" s="10" t="str">
        <f>IF(I684&lt;&gt;1,"",IF(H684="","",H684/CONTROL_PANEL!$B$11))</f>
        <v/>
      </c>
      <c r="N684" s="9" t="str">
        <f t="shared" si="96"/>
        <v/>
      </c>
      <c r="O684" s="9" t="str">
        <f t="shared" si="97"/>
        <v/>
      </c>
      <c r="P684" s="9" t="str">
        <f t="shared" si="98"/>
        <v/>
      </c>
      <c r="Q684" s="9" t="str">
        <f t="shared" si="99"/>
        <v/>
      </c>
      <c r="R684" s="11"/>
      <c r="S684" s="11"/>
    </row>
    <row r="685" spans="1:19" x14ac:dyDescent="0.25">
      <c r="A685" s="30" t="s">
        <v>97</v>
      </c>
      <c r="B685" s="31">
        <f t="shared" si="100"/>
        <v>52018</v>
      </c>
      <c r="C685" s="30">
        <f>YEAR(BInputReservoir[[#This Row],[Date]])</f>
        <v>2042</v>
      </c>
      <c r="D685" s="30">
        <f>MONTH(BInputReservoir[[#This Row],[Date]])</f>
        <v>6</v>
      </c>
      <c r="E685" s="30" t="str">
        <f>IF(I685&lt;&gt;1,"",DATA_INPUT!$L325)</f>
        <v/>
      </c>
      <c r="F685" s="30" t="str">
        <f>STORAGE_BALANCE_ENSEMBLE!AI325</f>
        <v/>
      </c>
      <c r="G685" s="30" t="str">
        <f>STORAGE_BALANCE_ENSEMBLE!AJ325</f>
        <v/>
      </c>
      <c r="H685" s="30" t="str">
        <f>STORAGE_BALANCE_ENSEMBLE!AH325</f>
        <v/>
      </c>
      <c r="I685" s="18" t="str">
        <f t="shared" si="92"/>
        <v/>
      </c>
      <c r="J685" s="8" t="str">
        <f t="shared" si="93"/>
        <v/>
      </c>
      <c r="K685" s="9" t="str">
        <f t="shared" si="94"/>
        <v/>
      </c>
      <c r="L685" s="10" t="str">
        <f t="shared" si="95"/>
        <v/>
      </c>
      <c r="M685" s="10" t="str">
        <f>IF(I685&lt;&gt;1,"",IF(H685="","",H685/CONTROL_PANEL!$B$11))</f>
        <v/>
      </c>
      <c r="N685" s="9" t="str">
        <f t="shared" si="96"/>
        <v/>
      </c>
      <c r="O685" s="9" t="str">
        <f t="shared" si="97"/>
        <v/>
      </c>
      <c r="P685" s="9" t="str">
        <f t="shared" si="98"/>
        <v/>
      </c>
      <c r="Q685" s="9" t="str">
        <f t="shared" si="99"/>
        <v/>
      </c>
      <c r="R685" s="11"/>
      <c r="S685" s="11"/>
    </row>
    <row r="686" spans="1:19" x14ac:dyDescent="0.25">
      <c r="A686" s="30" t="s">
        <v>97</v>
      </c>
      <c r="B686" s="31">
        <f t="shared" si="100"/>
        <v>52048</v>
      </c>
      <c r="C686" s="30">
        <f>YEAR(BInputReservoir[[#This Row],[Date]])</f>
        <v>2042</v>
      </c>
      <c r="D686" s="30">
        <f>MONTH(BInputReservoir[[#This Row],[Date]])</f>
        <v>7</v>
      </c>
      <c r="E686" s="30" t="str">
        <f>IF(I686&lt;&gt;1,"",DATA_INPUT!$L326)</f>
        <v/>
      </c>
      <c r="F686" s="30" t="str">
        <f>STORAGE_BALANCE_ENSEMBLE!AI326</f>
        <v/>
      </c>
      <c r="G686" s="30" t="str">
        <f>STORAGE_BALANCE_ENSEMBLE!AJ326</f>
        <v/>
      </c>
      <c r="H686" s="30" t="str">
        <f>STORAGE_BALANCE_ENSEMBLE!AH326</f>
        <v/>
      </c>
      <c r="I686" s="18" t="str">
        <f t="shared" ref="I686:I724" si="101">I325</f>
        <v/>
      </c>
      <c r="J686" s="8" t="str">
        <f t="shared" si="93"/>
        <v/>
      </c>
      <c r="K686" s="9" t="str">
        <f t="shared" si="94"/>
        <v/>
      </c>
      <c r="L686" s="10" t="str">
        <f t="shared" si="95"/>
        <v/>
      </c>
      <c r="M686" s="10" t="str">
        <f>IF(I686&lt;&gt;1,"",IF(H686="","",H686/CONTROL_PANEL!$B$11))</f>
        <v/>
      </c>
      <c r="N686" s="9" t="str">
        <f t="shared" si="96"/>
        <v/>
      </c>
      <c r="O686" s="9" t="str">
        <f t="shared" si="97"/>
        <v/>
      </c>
      <c r="P686" s="9" t="str">
        <f t="shared" si="98"/>
        <v/>
      </c>
      <c r="Q686" s="9" t="str">
        <f t="shared" si="99"/>
        <v/>
      </c>
      <c r="R686" s="11"/>
      <c r="S686" s="11"/>
    </row>
    <row r="687" spans="1:19" x14ac:dyDescent="0.25">
      <c r="A687" s="30" t="s">
        <v>97</v>
      </c>
      <c r="B687" s="31">
        <f t="shared" si="100"/>
        <v>52079</v>
      </c>
      <c r="C687" s="30">
        <f>YEAR(BInputReservoir[[#This Row],[Date]])</f>
        <v>2042</v>
      </c>
      <c r="D687" s="30">
        <f>MONTH(BInputReservoir[[#This Row],[Date]])</f>
        <v>8</v>
      </c>
      <c r="E687" s="30" t="str">
        <f>IF(I687&lt;&gt;1,"",DATA_INPUT!$L327)</f>
        <v/>
      </c>
      <c r="F687" s="30" t="str">
        <f>STORAGE_BALANCE_ENSEMBLE!AI327</f>
        <v/>
      </c>
      <c r="G687" s="30" t="str">
        <f>STORAGE_BALANCE_ENSEMBLE!AJ327</f>
        <v/>
      </c>
      <c r="H687" s="30" t="str">
        <f>STORAGE_BALANCE_ENSEMBLE!AH327</f>
        <v/>
      </c>
      <c r="I687" s="18" t="str">
        <f t="shared" si="101"/>
        <v/>
      </c>
      <c r="J687" s="8" t="str">
        <f t="shared" si="93"/>
        <v/>
      </c>
      <c r="K687" s="9" t="str">
        <f t="shared" si="94"/>
        <v/>
      </c>
      <c r="L687" s="10" t="str">
        <f t="shared" si="95"/>
        <v/>
      </c>
      <c r="M687" s="10" t="str">
        <f>IF(I687&lt;&gt;1,"",IF(H687="","",H687/CONTROL_PANEL!$B$11))</f>
        <v/>
      </c>
      <c r="N687" s="9" t="str">
        <f t="shared" si="96"/>
        <v/>
      </c>
      <c r="O687" s="9" t="str">
        <f t="shared" si="97"/>
        <v/>
      </c>
      <c r="P687" s="9" t="str">
        <f t="shared" si="98"/>
        <v/>
      </c>
      <c r="Q687" s="9" t="str">
        <f t="shared" si="99"/>
        <v/>
      </c>
      <c r="R687" s="11"/>
      <c r="S687" s="11"/>
    </row>
    <row r="688" spans="1:19" x14ac:dyDescent="0.25">
      <c r="A688" s="30" t="s">
        <v>97</v>
      </c>
      <c r="B688" s="31">
        <f t="shared" si="100"/>
        <v>52110</v>
      </c>
      <c r="C688" s="30">
        <f>YEAR(BInputReservoir[[#This Row],[Date]])</f>
        <v>2042</v>
      </c>
      <c r="D688" s="30">
        <f>MONTH(BInputReservoir[[#This Row],[Date]])</f>
        <v>9</v>
      </c>
      <c r="E688" s="30" t="str">
        <f>IF(I688&lt;&gt;1,"",DATA_INPUT!$L328)</f>
        <v/>
      </c>
      <c r="F688" s="30" t="str">
        <f>STORAGE_BALANCE_ENSEMBLE!AI328</f>
        <v/>
      </c>
      <c r="G688" s="30" t="str">
        <f>STORAGE_BALANCE_ENSEMBLE!AJ328</f>
        <v/>
      </c>
      <c r="H688" s="30" t="str">
        <f>STORAGE_BALANCE_ENSEMBLE!AH328</f>
        <v/>
      </c>
      <c r="I688" s="18" t="str">
        <f t="shared" si="101"/>
        <v/>
      </c>
      <c r="J688" s="8" t="str">
        <f t="shared" si="93"/>
        <v/>
      </c>
      <c r="K688" s="9" t="str">
        <f t="shared" si="94"/>
        <v/>
      </c>
      <c r="L688" s="10" t="str">
        <f t="shared" si="95"/>
        <v/>
      </c>
      <c r="M688" s="10" t="str">
        <f>IF(I688&lt;&gt;1,"",IF(H688="","",H688/CONTROL_PANEL!$B$11))</f>
        <v/>
      </c>
      <c r="N688" s="9" t="str">
        <f t="shared" si="96"/>
        <v/>
      </c>
      <c r="O688" s="9" t="str">
        <f t="shared" si="97"/>
        <v/>
      </c>
      <c r="P688" s="9" t="str">
        <f t="shared" si="98"/>
        <v/>
      </c>
      <c r="Q688" s="9" t="str">
        <f t="shared" si="99"/>
        <v/>
      </c>
      <c r="R688" s="11"/>
      <c r="S688" s="11"/>
    </row>
    <row r="689" spans="1:19" x14ac:dyDescent="0.25">
      <c r="A689" s="30" t="s">
        <v>97</v>
      </c>
      <c r="B689" s="31">
        <f t="shared" si="100"/>
        <v>52140</v>
      </c>
      <c r="C689" s="30">
        <f>YEAR(BInputReservoir[[#This Row],[Date]])</f>
        <v>2042</v>
      </c>
      <c r="D689" s="30">
        <f>MONTH(BInputReservoir[[#This Row],[Date]])</f>
        <v>10</v>
      </c>
      <c r="E689" s="30" t="str">
        <f>IF(I689&lt;&gt;1,"",DATA_INPUT!$L329)</f>
        <v/>
      </c>
      <c r="F689" s="30" t="str">
        <f>STORAGE_BALANCE_ENSEMBLE!AI329</f>
        <v/>
      </c>
      <c r="G689" s="30" t="str">
        <f>STORAGE_BALANCE_ENSEMBLE!AJ329</f>
        <v/>
      </c>
      <c r="H689" s="30" t="str">
        <f>STORAGE_BALANCE_ENSEMBLE!AH329</f>
        <v/>
      </c>
      <c r="I689" s="18" t="str">
        <f t="shared" si="101"/>
        <v/>
      </c>
      <c r="J689" s="8" t="str">
        <f t="shared" si="93"/>
        <v/>
      </c>
      <c r="K689" s="9" t="str">
        <f t="shared" si="94"/>
        <v/>
      </c>
      <c r="L689" s="10" t="str">
        <f t="shared" si="95"/>
        <v/>
      </c>
      <c r="M689" s="10" t="str">
        <f>IF(I689&lt;&gt;1,"",IF(H689="","",H689/CONTROL_PANEL!$B$11))</f>
        <v/>
      </c>
      <c r="N689" s="9" t="str">
        <f t="shared" si="96"/>
        <v/>
      </c>
      <c r="O689" s="9" t="str">
        <f t="shared" si="97"/>
        <v/>
      </c>
      <c r="P689" s="9" t="str">
        <f t="shared" si="98"/>
        <v/>
      </c>
      <c r="Q689" s="9" t="str">
        <f t="shared" si="99"/>
        <v/>
      </c>
      <c r="R689" s="11"/>
      <c r="S689" s="11"/>
    </row>
    <row r="690" spans="1:19" x14ac:dyDescent="0.25">
      <c r="A690" s="30" t="s">
        <v>97</v>
      </c>
      <c r="B690" s="31">
        <f t="shared" si="100"/>
        <v>52171</v>
      </c>
      <c r="C690" s="30">
        <f>YEAR(BInputReservoir[[#This Row],[Date]])</f>
        <v>2042</v>
      </c>
      <c r="D690" s="30">
        <f>MONTH(BInputReservoir[[#This Row],[Date]])</f>
        <v>11</v>
      </c>
      <c r="E690" s="30" t="str">
        <f>IF(I690&lt;&gt;1,"",DATA_INPUT!$L330)</f>
        <v/>
      </c>
      <c r="F690" s="30" t="str">
        <f>STORAGE_BALANCE_ENSEMBLE!AI330</f>
        <v/>
      </c>
      <c r="G690" s="30" t="str">
        <f>STORAGE_BALANCE_ENSEMBLE!AJ330</f>
        <v/>
      </c>
      <c r="H690" s="30" t="str">
        <f>STORAGE_BALANCE_ENSEMBLE!AH330</f>
        <v/>
      </c>
      <c r="I690" s="18" t="str">
        <f t="shared" si="101"/>
        <v/>
      </c>
      <c r="J690" s="8" t="str">
        <f t="shared" si="93"/>
        <v/>
      </c>
      <c r="K690" s="9" t="str">
        <f t="shared" si="94"/>
        <v/>
      </c>
      <c r="L690" s="10" t="str">
        <f t="shared" si="95"/>
        <v/>
      </c>
      <c r="M690" s="10" t="str">
        <f>IF(I690&lt;&gt;1,"",IF(H690="","",H690/CONTROL_PANEL!$B$11))</f>
        <v/>
      </c>
      <c r="N690" s="9" t="str">
        <f t="shared" si="96"/>
        <v/>
      </c>
      <c r="O690" s="9" t="str">
        <f t="shared" si="97"/>
        <v/>
      </c>
      <c r="P690" s="9" t="str">
        <f t="shared" si="98"/>
        <v/>
      </c>
      <c r="Q690" s="9" t="str">
        <f t="shared" si="99"/>
        <v/>
      </c>
      <c r="R690" s="11"/>
      <c r="S690" s="11"/>
    </row>
    <row r="691" spans="1:19" x14ac:dyDescent="0.25">
      <c r="A691" s="30" t="s">
        <v>97</v>
      </c>
      <c r="B691" s="31">
        <f t="shared" si="100"/>
        <v>52201</v>
      </c>
      <c r="C691" s="30">
        <f>YEAR(BInputReservoir[[#This Row],[Date]])</f>
        <v>2042</v>
      </c>
      <c r="D691" s="30">
        <f>MONTH(BInputReservoir[[#This Row],[Date]])</f>
        <v>12</v>
      </c>
      <c r="E691" s="30" t="str">
        <f>IF(I691&lt;&gt;1,"",DATA_INPUT!$L331)</f>
        <v/>
      </c>
      <c r="F691" s="30" t="str">
        <f>STORAGE_BALANCE_ENSEMBLE!AI331</f>
        <v/>
      </c>
      <c r="G691" s="30" t="str">
        <f>STORAGE_BALANCE_ENSEMBLE!AJ331</f>
        <v/>
      </c>
      <c r="H691" s="30" t="str">
        <f>STORAGE_BALANCE_ENSEMBLE!AH331</f>
        <v/>
      </c>
      <c r="I691" s="18" t="str">
        <f t="shared" si="101"/>
        <v/>
      </c>
      <c r="J691" s="8" t="str">
        <f t="shared" si="93"/>
        <v/>
      </c>
      <c r="K691" s="9" t="str">
        <f t="shared" si="94"/>
        <v/>
      </c>
      <c r="L691" s="10" t="str">
        <f t="shared" si="95"/>
        <v/>
      </c>
      <c r="M691" s="10" t="str">
        <f>IF(I691&lt;&gt;1,"",IF(H691="","",H691/CONTROL_PANEL!$B$11))</f>
        <v/>
      </c>
      <c r="N691" s="9" t="str">
        <f t="shared" si="96"/>
        <v/>
      </c>
      <c r="O691" s="9" t="str">
        <f t="shared" si="97"/>
        <v/>
      </c>
      <c r="P691" s="9" t="str">
        <f t="shared" si="98"/>
        <v/>
      </c>
      <c r="Q691" s="9" t="str">
        <f t="shared" si="99"/>
        <v/>
      </c>
      <c r="R691" s="11"/>
      <c r="S691" s="11"/>
    </row>
    <row r="692" spans="1:19" x14ac:dyDescent="0.25">
      <c r="A692" s="30" t="s">
        <v>97</v>
      </c>
      <c r="B692" s="31">
        <f t="shared" si="100"/>
        <v>52232</v>
      </c>
      <c r="C692" s="30">
        <f>YEAR(BInputReservoir[[#This Row],[Date]])</f>
        <v>2043</v>
      </c>
      <c r="D692" s="30">
        <f>MONTH(BInputReservoir[[#This Row],[Date]])</f>
        <v>1</v>
      </c>
      <c r="E692" s="30" t="str">
        <f>IF(I692&lt;&gt;1,"",DATA_INPUT!$L332)</f>
        <v/>
      </c>
      <c r="F692" s="30" t="str">
        <f>STORAGE_BALANCE_ENSEMBLE!AI332</f>
        <v/>
      </c>
      <c r="G692" s="30" t="str">
        <f>STORAGE_BALANCE_ENSEMBLE!AJ332</f>
        <v/>
      </c>
      <c r="H692" s="30" t="str">
        <f>STORAGE_BALANCE_ENSEMBLE!AH332</f>
        <v/>
      </c>
      <c r="I692" s="18" t="str">
        <f t="shared" si="101"/>
        <v/>
      </c>
      <c r="J692" s="8" t="str">
        <f t="shared" si="93"/>
        <v/>
      </c>
      <c r="K692" s="9" t="str">
        <f t="shared" si="94"/>
        <v/>
      </c>
      <c r="L692" s="10" t="str">
        <f t="shared" si="95"/>
        <v/>
      </c>
      <c r="M692" s="10" t="str">
        <f>IF(I692&lt;&gt;1,"",IF(H692="","",H692/CONTROL_PANEL!$B$11))</f>
        <v/>
      </c>
      <c r="N692" s="9" t="str">
        <f t="shared" si="96"/>
        <v/>
      </c>
      <c r="O692" s="9" t="str">
        <f t="shared" si="97"/>
        <v/>
      </c>
      <c r="P692" s="9" t="str">
        <f t="shared" si="98"/>
        <v/>
      </c>
      <c r="Q692" s="9" t="str">
        <f t="shared" si="99"/>
        <v/>
      </c>
      <c r="R692" s="11"/>
      <c r="S692" s="11"/>
    </row>
    <row r="693" spans="1:19" x14ac:dyDescent="0.25">
      <c r="A693" s="30" t="s">
        <v>97</v>
      </c>
      <c r="B693" s="31">
        <f t="shared" si="100"/>
        <v>52263</v>
      </c>
      <c r="C693" s="30">
        <f>YEAR(BInputReservoir[[#This Row],[Date]])</f>
        <v>2043</v>
      </c>
      <c r="D693" s="30">
        <f>MONTH(BInputReservoir[[#This Row],[Date]])</f>
        <v>2</v>
      </c>
      <c r="E693" s="30" t="str">
        <f>IF(I693&lt;&gt;1,"",DATA_INPUT!$L333)</f>
        <v/>
      </c>
      <c r="F693" s="30" t="str">
        <f>STORAGE_BALANCE_ENSEMBLE!AI333</f>
        <v/>
      </c>
      <c r="G693" s="30" t="str">
        <f>STORAGE_BALANCE_ENSEMBLE!AJ333</f>
        <v/>
      </c>
      <c r="H693" s="30" t="str">
        <f>STORAGE_BALANCE_ENSEMBLE!AH333</f>
        <v/>
      </c>
      <c r="I693" s="18" t="str">
        <f t="shared" si="101"/>
        <v/>
      </c>
      <c r="J693" s="8" t="str">
        <f t="shared" si="93"/>
        <v/>
      </c>
      <c r="K693" s="9" t="str">
        <f t="shared" si="94"/>
        <v/>
      </c>
      <c r="L693" s="10" t="str">
        <f t="shared" si="95"/>
        <v/>
      </c>
      <c r="M693" s="10" t="str">
        <f>IF(I693&lt;&gt;1,"",IF(H693="","",H693/CONTROL_PANEL!$B$11))</f>
        <v/>
      </c>
      <c r="N693" s="9" t="str">
        <f t="shared" si="96"/>
        <v/>
      </c>
      <c r="O693" s="9" t="str">
        <f t="shared" si="97"/>
        <v/>
      </c>
      <c r="P693" s="9" t="str">
        <f t="shared" si="98"/>
        <v/>
      </c>
      <c r="Q693" s="9" t="str">
        <f t="shared" si="99"/>
        <v/>
      </c>
      <c r="R693" s="11"/>
      <c r="S693" s="11"/>
    </row>
    <row r="694" spans="1:19" x14ac:dyDescent="0.25">
      <c r="A694" s="30" t="s">
        <v>97</v>
      </c>
      <c r="B694" s="31">
        <f t="shared" si="100"/>
        <v>52291</v>
      </c>
      <c r="C694" s="30">
        <f>YEAR(BInputReservoir[[#This Row],[Date]])</f>
        <v>2043</v>
      </c>
      <c r="D694" s="30">
        <f>MONTH(BInputReservoir[[#This Row],[Date]])</f>
        <v>3</v>
      </c>
      <c r="E694" s="30" t="str">
        <f>IF(I694&lt;&gt;1,"",DATA_INPUT!$L334)</f>
        <v/>
      </c>
      <c r="F694" s="30" t="str">
        <f>STORAGE_BALANCE_ENSEMBLE!AI334</f>
        <v/>
      </c>
      <c r="G694" s="30" t="str">
        <f>STORAGE_BALANCE_ENSEMBLE!AJ334</f>
        <v/>
      </c>
      <c r="H694" s="30" t="str">
        <f>STORAGE_BALANCE_ENSEMBLE!AH334</f>
        <v/>
      </c>
      <c r="I694" s="18" t="str">
        <f t="shared" si="101"/>
        <v/>
      </c>
      <c r="J694" s="8" t="str">
        <f t="shared" si="93"/>
        <v/>
      </c>
      <c r="K694" s="9" t="str">
        <f t="shared" si="94"/>
        <v/>
      </c>
      <c r="L694" s="10" t="str">
        <f t="shared" si="95"/>
        <v/>
      </c>
      <c r="M694" s="10" t="str">
        <f>IF(I694&lt;&gt;1,"",IF(H694="","",H694/CONTROL_PANEL!$B$11))</f>
        <v/>
      </c>
      <c r="N694" s="9" t="str">
        <f t="shared" si="96"/>
        <v/>
      </c>
      <c r="O694" s="9" t="str">
        <f t="shared" si="97"/>
        <v/>
      </c>
      <c r="P694" s="9" t="str">
        <f t="shared" si="98"/>
        <v/>
      </c>
      <c r="Q694" s="9" t="str">
        <f t="shared" si="99"/>
        <v/>
      </c>
      <c r="R694" s="11"/>
      <c r="S694" s="11"/>
    </row>
    <row r="695" spans="1:19" x14ac:dyDescent="0.25">
      <c r="A695" s="30" t="s">
        <v>97</v>
      </c>
      <c r="B695" s="31">
        <f t="shared" si="100"/>
        <v>52322</v>
      </c>
      <c r="C695" s="30">
        <f>YEAR(BInputReservoir[[#This Row],[Date]])</f>
        <v>2043</v>
      </c>
      <c r="D695" s="30">
        <f>MONTH(BInputReservoir[[#This Row],[Date]])</f>
        <v>4</v>
      </c>
      <c r="E695" s="30" t="str">
        <f>IF(I695&lt;&gt;1,"",DATA_INPUT!$L335)</f>
        <v/>
      </c>
      <c r="F695" s="30" t="str">
        <f>STORAGE_BALANCE_ENSEMBLE!AI335</f>
        <v/>
      </c>
      <c r="G695" s="30" t="str">
        <f>STORAGE_BALANCE_ENSEMBLE!AJ335</f>
        <v/>
      </c>
      <c r="H695" s="30" t="str">
        <f>STORAGE_BALANCE_ENSEMBLE!AH335</f>
        <v/>
      </c>
      <c r="I695" s="18" t="str">
        <f t="shared" si="101"/>
        <v/>
      </c>
      <c r="J695" s="8" t="str">
        <f t="shared" si="93"/>
        <v/>
      </c>
      <c r="K695" s="9" t="str">
        <f t="shared" si="94"/>
        <v/>
      </c>
      <c r="L695" s="10" t="str">
        <f t="shared" si="95"/>
        <v/>
      </c>
      <c r="M695" s="10" t="str">
        <f>IF(I695&lt;&gt;1,"",IF(H695="","",H695/CONTROL_PANEL!$B$11))</f>
        <v/>
      </c>
      <c r="N695" s="9" t="str">
        <f t="shared" si="96"/>
        <v/>
      </c>
      <c r="O695" s="9" t="str">
        <f t="shared" si="97"/>
        <v/>
      </c>
      <c r="P695" s="9" t="str">
        <f t="shared" si="98"/>
        <v/>
      </c>
      <c r="Q695" s="9" t="str">
        <f t="shared" si="99"/>
        <v/>
      </c>
      <c r="R695" s="11"/>
      <c r="S695" s="11"/>
    </row>
    <row r="696" spans="1:19" x14ac:dyDescent="0.25">
      <c r="A696" s="30" t="s">
        <v>97</v>
      </c>
      <c r="B696" s="31">
        <f t="shared" si="100"/>
        <v>52352</v>
      </c>
      <c r="C696" s="30">
        <f>YEAR(BInputReservoir[[#This Row],[Date]])</f>
        <v>2043</v>
      </c>
      <c r="D696" s="30">
        <f>MONTH(BInputReservoir[[#This Row],[Date]])</f>
        <v>5</v>
      </c>
      <c r="E696" s="30" t="str">
        <f>IF(I696&lt;&gt;1,"",DATA_INPUT!$L336)</f>
        <v/>
      </c>
      <c r="F696" s="30" t="str">
        <f>STORAGE_BALANCE_ENSEMBLE!AI336</f>
        <v/>
      </c>
      <c r="G696" s="30" t="str">
        <f>STORAGE_BALANCE_ENSEMBLE!AJ336</f>
        <v/>
      </c>
      <c r="H696" s="30" t="str">
        <f>STORAGE_BALANCE_ENSEMBLE!AH336</f>
        <v/>
      </c>
      <c r="I696" s="18" t="str">
        <f t="shared" si="101"/>
        <v/>
      </c>
      <c r="J696" s="8" t="str">
        <f t="shared" si="93"/>
        <v/>
      </c>
      <c r="K696" s="9" t="str">
        <f t="shared" si="94"/>
        <v/>
      </c>
      <c r="L696" s="10" t="str">
        <f t="shared" si="95"/>
        <v/>
      </c>
      <c r="M696" s="10" t="str">
        <f>IF(I696&lt;&gt;1,"",IF(H696="","",H696/CONTROL_PANEL!$B$11))</f>
        <v/>
      </c>
      <c r="N696" s="9" t="str">
        <f t="shared" si="96"/>
        <v/>
      </c>
      <c r="O696" s="9" t="str">
        <f t="shared" si="97"/>
        <v/>
      </c>
      <c r="P696" s="9" t="str">
        <f t="shared" si="98"/>
        <v/>
      </c>
      <c r="Q696" s="9" t="str">
        <f t="shared" si="99"/>
        <v/>
      </c>
      <c r="R696" s="11"/>
      <c r="S696" s="11"/>
    </row>
    <row r="697" spans="1:19" x14ac:dyDescent="0.25">
      <c r="A697" s="30" t="s">
        <v>97</v>
      </c>
      <c r="B697" s="31">
        <f t="shared" si="100"/>
        <v>52383</v>
      </c>
      <c r="C697" s="30">
        <f>YEAR(BInputReservoir[[#This Row],[Date]])</f>
        <v>2043</v>
      </c>
      <c r="D697" s="30">
        <f>MONTH(BInputReservoir[[#This Row],[Date]])</f>
        <v>6</v>
      </c>
      <c r="E697" s="30" t="str">
        <f>IF(I697&lt;&gt;1,"",DATA_INPUT!$L337)</f>
        <v/>
      </c>
      <c r="F697" s="30" t="str">
        <f>STORAGE_BALANCE_ENSEMBLE!AI337</f>
        <v/>
      </c>
      <c r="G697" s="30" t="str">
        <f>STORAGE_BALANCE_ENSEMBLE!AJ337</f>
        <v/>
      </c>
      <c r="H697" s="30" t="str">
        <f>STORAGE_BALANCE_ENSEMBLE!AH337</f>
        <v/>
      </c>
      <c r="I697" s="18" t="str">
        <f t="shared" si="101"/>
        <v/>
      </c>
      <c r="J697" s="8" t="str">
        <f t="shared" si="93"/>
        <v/>
      </c>
      <c r="K697" s="9" t="str">
        <f t="shared" si="94"/>
        <v/>
      </c>
      <c r="L697" s="10" t="str">
        <f t="shared" si="95"/>
        <v/>
      </c>
      <c r="M697" s="10" t="str">
        <f>IF(I697&lt;&gt;1,"",IF(H697="","",H697/CONTROL_PANEL!$B$11))</f>
        <v/>
      </c>
      <c r="N697" s="9" t="str">
        <f t="shared" si="96"/>
        <v/>
      </c>
      <c r="O697" s="9" t="str">
        <f t="shared" si="97"/>
        <v/>
      </c>
      <c r="P697" s="9" t="str">
        <f t="shared" si="98"/>
        <v/>
      </c>
      <c r="Q697" s="9" t="str">
        <f t="shared" si="99"/>
        <v/>
      </c>
      <c r="R697" s="11"/>
      <c r="S697" s="11"/>
    </row>
    <row r="698" spans="1:19" x14ac:dyDescent="0.25">
      <c r="A698" s="30" t="s">
        <v>97</v>
      </c>
      <c r="B698" s="31">
        <f t="shared" si="100"/>
        <v>52413</v>
      </c>
      <c r="C698" s="30">
        <f>YEAR(BInputReservoir[[#This Row],[Date]])</f>
        <v>2043</v>
      </c>
      <c r="D698" s="30">
        <f>MONTH(BInputReservoir[[#This Row],[Date]])</f>
        <v>7</v>
      </c>
      <c r="E698" s="30" t="str">
        <f>IF(I698&lt;&gt;1,"",DATA_INPUT!$L338)</f>
        <v/>
      </c>
      <c r="F698" s="30" t="str">
        <f>STORAGE_BALANCE_ENSEMBLE!AI338</f>
        <v/>
      </c>
      <c r="G698" s="30" t="str">
        <f>STORAGE_BALANCE_ENSEMBLE!AJ338</f>
        <v/>
      </c>
      <c r="H698" s="30" t="str">
        <f>STORAGE_BALANCE_ENSEMBLE!AH338</f>
        <v/>
      </c>
      <c r="I698" s="18" t="str">
        <f t="shared" si="101"/>
        <v/>
      </c>
      <c r="J698" s="8" t="str">
        <f t="shared" si="93"/>
        <v/>
      </c>
      <c r="K698" s="9" t="str">
        <f t="shared" si="94"/>
        <v/>
      </c>
      <c r="L698" s="10" t="str">
        <f t="shared" si="95"/>
        <v/>
      </c>
      <c r="M698" s="10" t="str">
        <f>IF(I698&lt;&gt;1,"",IF(H698="","",H698/CONTROL_PANEL!$B$11))</f>
        <v/>
      </c>
      <c r="N698" s="9" t="str">
        <f t="shared" si="96"/>
        <v/>
      </c>
      <c r="O698" s="9" t="str">
        <f t="shared" si="97"/>
        <v/>
      </c>
      <c r="P698" s="9" t="str">
        <f t="shared" si="98"/>
        <v/>
      </c>
      <c r="Q698" s="9" t="str">
        <f t="shared" si="99"/>
        <v/>
      </c>
      <c r="R698" s="11"/>
      <c r="S698" s="11"/>
    </row>
    <row r="699" spans="1:19" x14ac:dyDescent="0.25">
      <c r="A699" s="30" t="s">
        <v>97</v>
      </c>
      <c r="B699" s="31">
        <f t="shared" si="100"/>
        <v>52444</v>
      </c>
      <c r="C699" s="30">
        <f>YEAR(BInputReservoir[[#This Row],[Date]])</f>
        <v>2043</v>
      </c>
      <c r="D699" s="30">
        <f>MONTH(BInputReservoir[[#This Row],[Date]])</f>
        <v>8</v>
      </c>
      <c r="E699" s="30" t="str">
        <f>IF(I699&lt;&gt;1,"",DATA_INPUT!$L339)</f>
        <v/>
      </c>
      <c r="F699" s="30" t="str">
        <f>STORAGE_BALANCE_ENSEMBLE!AI339</f>
        <v/>
      </c>
      <c r="G699" s="30" t="str">
        <f>STORAGE_BALANCE_ENSEMBLE!AJ339</f>
        <v/>
      </c>
      <c r="H699" s="30" t="str">
        <f>STORAGE_BALANCE_ENSEMBLE!AH339</f>
        <v/>
      </c>
      <c r="I699" s="18" t="str">
        <f t="shared" si="101"/>
        <v/>
      </c>
      <c r="J699" s="8" t="str">
        <f t="shared" si="93"/>
        <v/>
      </c>
      <c r="K699" s="9" t="str">
        <f t="shared" si="94"/>
        <v/>
      </c>
      <c r="L699" s="10" t="str">
        <f t="shared" si="95"/>
        <v/>
      </c>
      <c r="M699" s="10" t="str">
        <f>IF(I699&lt;&gt;1,"",IF(H699="","",H699/CONTROL_PANEL!$B$11))</f>
        <v/>
      </c>
      <c r="N699" s="9" t="str">
        <f t="shared" si="96"/>
        <v/>
      </c>
      <c r="O699" s="9" t="str">
        <f t="shared" si="97"/>
        <v/>
      </c>
      <c r="P699" s="9" t="str">
        <f t="shared" si="98"/>
        <v/>
      </c>
      <c r="Q699" s="9" t="str">
        <f t="shared" si="99"/>
        <v/>
      </c>
      <c r="R699" s="11"/>
      <c r="S699" s="11"/>
    </row>
    <row r="700" spans="1:19" x14ac:dyDescent="0.25">
      <c r="A700" s="30" t="s">
        <v>97</v>
      </c>
      <c r="B700" s="31">
        <f t="shared" si="100"/>
        <v>52475</v>
      </c>
      <c r="C700" s="30">
        <f>YEAR(BInputReservoir[[#This Row],[Date]])</f>
        <v>2043</v>
      </c>
      <c r="D700" s="30">
        <f>MONTH(BInputReservoir[[#This Row],[Date]])</f>
        <v>9</v>
      </c>
      <c r="E700" s="30" t="str">
        <f>IF(I700&lt;&gt;1,"",DATA_INPUT!$L340)</f>
        <v/>
      </c>
      <c r="F700" s="30" t="str">
        <f>STORAGE_BALANCE_ENSEMBLE!AI340</f>
        <v/>
      </c>
      <c r="G700" s="30" t="str">
        <f>STORAGE_BALANCE_ENSEMBLE!AJ340</f>
        <v/>
      </c>
      <c r="H700" s="30" t="str">
        <f>STORAGE_BALANCE_ENSEMBLE!AH340</f>
        <v/>
      </c>
      <c r="I700" s="18" t="str">
        <f t="shared" si="101"/>
        <v/>
      </c>
      <c r="J700" s="8" t="str">
        <f t="shared" si="93"/>
        <v/>
      </c>
      <c r="K700" s="9" t="str">
        <f t="shared" si="94"/>
        <v/>
      </c>
      <c r="L700" s="10" t="str">
        <f t="shared" si="95"/>
        <v/>
      </c>
      <c r="M700" s="10" t="str">
        <f>IF(I700&lt;&gt;1,"",IF(H700="","",H700/CONTROL_PANEL!$B$11))</f>
        <v/>
      </c>
      <c r="N700" s="9" t="str">
        <f t="shared" si="96"/>
        <v/>
      </c>
      <c r="O700" s="9" t="str">
        <f t="shared" si="97"/>
        <v/>
      </c>
      <c r="P700" s="9" t="str">
        <f t="shared" si="98"/>
        <v/>
      </c>
      <c r="Q700" s="9" t="str">
        <f t="shared" si="99"/>
        <v/>
      </c>
      <c r="R700" s="11"/>
      <c r="S700" s="11"/>
    </row>
    <row r="701" spans="1:19" x14ac:dyDescent="0.25">
      <c r="A701" s="30" t="s">
        <v>97</v>
      </c>
      <c r="B701" s="31">
        <f t="shared" si="100"/>
        <v>52505</v>
      </c>
      <c r="C701" s="30">
        <f>YEAR(BInputReservoir[[#This Row],[Date]])</f>
        <v>2043</v>
      </c>
      <c r="D701" s="30">
        <f>MONTH(BInputReservoir[[#This Row],[Date]])</f>
        <v>10</v>
      </c>
      <c r="E701" s="30" t="str">
        <f>IF(I701&lt;&gt;1,"",DATA_INPUT!$L341)</f>
        <v/>
      </c>
      <c r="F701" s="30" t="str">
        <f>STORAGE_BALANCE_ENSEMBLE!AI341</f>
        <v/>
      </c>
      <c r="G701" s="30" t="str">
        <f>STORAGE_BALANCE_ENSEMBLE!AJ341</f>
        <v/>
      </c>
      <c r="H701" s="30" t="str">
        <f>STORAGE_BALANCE_ENSEMBLE!AH341</f>
        <v/>
      </c>
      <c r="I701" s="18" t="str">
        <f t="shared" si="101"/>
        <v/>
      </c>
      <c r="J701" s="8" t="str">
        <f t="shared" si="93"/>
        <v/>
      </c>
      <c r="K701" s="9" t="str">
        <f t="shared" si="94"/>
        <v/>
      </c>
      <c r="L701" s="10" t="str">
        <f t="shared" si="95"/>
        <v/>
      </c>
      <c r="M701" s="10" t="str">
        <f>IF(I701&lt;&gt;1,"",IF(H701="","",H701/CONTROL_PANEL!$B$11))</f>
        <v/>
      </c>
      <c r="N701" s="9" t="str">
        <f t="shared" si="96"/>
        <v/>
      </c>
      <c r="O701" s="9" t="str">
        <f t="shared" si="97"/>
        <v/>
      </c>
      <c r="P701" s="9" t="str">
        <f t="shared" si="98"/>
        <v/>
      </c>
      <c r="Q701" s="9" t="str">
        <f t="shared" si="99"/>
        <v/>
      </c>
      <c r="R701" s="11"/>
      <c r="S701" s="11"/>
    </row>
    <row r="702" spans="1:19" x14ac:dyDescent="0.25">
      <c r="A702" s="30" t="s">
        <v>97</v>
      </c>
      <c r="B702" s="31">
        <f t="shared" si="100"/>
        <v>52536</v>
      </c>
      <c r="C702" s="30">
        <f>YEAR(BInputReservoir[[#This Row],[Date]])</f>
        <v>2043</v>
      </c>
      <c r="D702" s="30">
        <f>MONTH(BInputReservoir[[#This Row],[Date]])</f>
        <v>11</v>
      </c>
      <c r="E702" s="30" t="str">
        <f>IF(I702&lt;&gt;1,"",DATA_INPUT!$L342)</f>
        <v/>
      </c>
      <c r="F702" s="30" t="str">
        <f>STORAGE_BALANCE_ENSEMBLE!AI342</f>
        <v/>
      </c>
      <c r="G702" s="30" t="str">
        <f>STORAGE_BALANCE_ENSEMBLE!AJ342</f>
        <v/>
      </c>
      <c r="H702" s="30" t="str">
        <f>STORAGE_BALANCE_ENSEMBLE!AH342</f>
        <v/>
      </c>
      <c r="I702" s="18" t="str">
        <f t="shared" si="101"/>
        <v/>
      </c>
      <c r="J702" s="8" t="str">
        <f t="shared" si="93"/>
        <v/>
      </c>
      <c r="K702" s="9" t="str">
        <f t="shared" si="94"/>
        <v/>
      </c>
      <c r="L702" s="10" t="str">
        <f t="shared" si="95"/>
        <v/>
      </c>
      <c r="M702" s="10" t="str">
        <f>IF(I702&lt;&gt;1,"",IF(H702="","",H702/CONTROL_PANEL!$B$11))</f>
        <v/>
      </c>
      <c r="N702" s="9" t="str">
        <f t="shared" si="96"/>
        <v/>
      </c>
      <c r="O702" s="9" t="str">
        <f t="shared" si="97"/>
        <v/>
      </c>
      <c r="P702" s="9" t="str">
        <f t="shared" si="98"/>
        <v/>
      </c>
      <c r="Q702" s="9" t="str">
        <f t="shared" si="99"/>
        <v/>
      </c>
      <c r="R702" s="11"/>
      <c r="S702" s="11"/>
    </row>
    <row r="703" spans="1:19" x14ac:dyDescent="0.25">
      <c r="A703" s="30" t="s">
        <v>97</v>
      </c>
      <c r="B703" s="31">
        <f t="shared" si="100"/>
        <v>52566</v>
      </c>
      <c r="C703" s="30">
        <f>YEAR(BInputReservoir[[#This Row],[Date]])</f>
        <v>2043</v>
      </c>
      <c r="D703" s="30">
        <f>MONTH(BInputReservoir[[#This Row],[Date]])</f>
        <v>12</v>
      </c>
      <c r="E703" s="30" t="str">
        <f>IF(I703&lt;&gt;1,"",DATA_INPUT!$L343)</f>
        <v/>
      </c>
      <c r="F703" s="30" t="str">
        <f>STORAGE_BALANCE_ENSEMBLE!AI343</f>
        <v/>
      </c>
      <c r="G703" s="30" t="str">
        <f>STORAGE_BALANCE_ENSEMBLE!AJ343</f>
        <v/>
      </c>
      <c r="H703" s="30" t="str">
        <f>STORAGE_BALANCE_ENSEMBLE!AH343</f>
        <v/>
      </c>
      <c r="I703" s="18" t="str">
        <f t="shared" si="101"/>
        <v/>
      </c>
      <c r="J703" s="8" t="str">
        <f t="shared" si="93"/>
        <v/>
      </c>
      <c r="K703" s="9" t="str">
        <f t="shared" si="94"/>
        <v/>
      </c>
      <c r="L703" s="10" t="str">
        <f t="shared" si="95"/>
        <v/>
      </c>
      <c r="M703" s="10" t="str">
        <f>IF(I703&lt;&gt;1,"",IF(H703="","",H703/CONTROL_PANEL!$B$11))</f>
        <v/>
      </c>
      <c r="N703" s="9" t="str">
        <f t="shared" si="96"/>
        <v/>
      </c>
      <c r="O703" s="9" t="str">
        <f t="shared" si="97"/>
        <v/>
      </c>
      <c r="P703" s="9" t="str">
        <f t="shared" si="98"/>
        <v/>
      </c>
      <c r="Q703" s="9" t="str">
        <f t="shared" si="99"/>
        <v/>
      </c>
      <c r="R703" s="11"/>
      <c r="S703" s="11"/>
    </row>
    <row r="704" spans="1:19" x14ac:dyDescent="0.25">
      <c r="A704" s="30" t="s">
        <v>97</v>
      </c>
      <c r="B704" s="31">
        <f t="shared" si="100"/>
        <v>52597</v>
      </c>
      <c r="C704" s="30">
        <f>YEAR(BInputReservoir[[#This Row],[Date]])</f>
        <v>2044</v>
      </c>
      <c r="D704" s="30">
        <f>MONTH(BInputReservoir[[#This Row],[Date]])</f>
        <v>1</v>
      </c>
      <c r="E704" s="30" t="str">
        <f>IF(I704&lt;&gt;1,"",DATA_INPUT!$L344)</f>
        <v/>
      </c>
      <c r="F704" s="30" t="str">
        <f>STORAGE_BALANCE_ENSEMBLE!AI344</f>
        <v/>
      </c>
      <c r="G704" s="30" t="str">
        <f>STORAGE_BALANCE_ENSEMBLE!AJ344</f>
        <v/>
      </c>
      <c r="H704" s="30" t="str">
        <f>STORAGE_BALANCE_ENSEMBLE!AH344</f>
        <v/>
      </c>
      <c r="I704" s="18" t="str">
        <f t="shared" si="101"/>
        <v/>
      </c>
      <c r="J704" s="8" t="str">
        <f t="shared" si="93"/>
        <v/>
      </c>
      <c r="K704" s="9" t="str">
        <f t="shared" si="94"/>
        <v/>
      </c>
      <c r="L704" s="10" t="str">
        <f t="shared" si="95"/>
        <v/>
      </c>
      <c r="M704" s="10" t="str">
        <f>IF(I704&lt;&gt;1,"",IF(H704="","",H704/CONTROL_PANEL!$B$11))</f>
        <v/>
      </c>
      <c r="N704" s="9" t="str">
        <f t="shared" si="96"/>
        <v/>
      </c>
      <c r="O704" s="9" t="str">
        <f t="shared" si="97"/>
        <v/>
      </c>
      <c r="P704" s="9" t="str">
        <f t="shared" si="98"/>
        <v/>
      </c>
      <c r="Q704" s="9" t="str">
        <f t="shared" si="99"/>
        <v/>
      </c>
      <c r="R704" s="11"/>
      <c r="S704" s="11"/>
    </row>
    <row r="705" spans="1:19" x14ac:dyDescent="0.25">
      <c r="A705" s="30" t="s">
        <v>97</v>
      </c>
      <c r="B705" s="31">
        <f t="shared" si="100"/>
        <v>52628</v>
      </c>
      <c r="C705" s="30">
        <f>YEAR(BInputReservoir[[#This Row],[Date]])</f>
        <v>2044</v>
      </c>
      <c r="D705" s="30">
        <f>MONTH(BInputReservoir[[#This Row],[Date]])</f>
        <v>2</v>
      </c>
      <c r="E705" s="30" t="str">
        <f>IF(I705&lt;&gt;1,"",DATA_INPUT!$L345)</f>
        <v/>
      </c>
      <c r="F705" s="30" t="str">
        <f>STORAGE_BALANCE_ENSEMBLE!AI345</f>
        <v/>
      </c>
      <c r="G705" s="30" t="str">
        <f>STORAGE_BALANCE_ENSEMBLE!AJ345</f>
        <v/>
      </c>
      <c r="H705" s="30" t="str">
        <f>STORAGE_BALANCE_ENSEMBLE!AH345</f>
        <v/>
      </c>
      <c r="I705" s="18" t="str">
        <f t="shared" si="101"/>
        <v/>
      </c>
      <c r="J705" s="8" t="str">
        <f t="shared" si="93"/>
        <v/>
      </c>
      <c r="K705" s="9" t="str">
        <f t="shared" si="94"/>
        <v/>
      </c>
      <c r="L705" s="10" t="str">
        <f t="shared" si="95"/>
        <v/>
      </c>
      <c r="M705" s="10" t="str">
        <f>IF(I705&lt;&gt;1,"",IF(H705="","",H705/CONTROL_PANEL!$B$11))</f>
        <v/>
      </c>
      <c r="N705" s="9" t="str">
        <f t="shared" si="96"/>
        <v/>
      </c>
      <c r="O705" s="9" t="str">
        <f t="shared" si="97"/>
        <v/>
      </c>
      <c r="P705" s="9" t="str">
        <f t="shared" si="98"/>
        <v/>
      </c>
      <c r="Q705" s="9" t="str">
        <f t="shared" si="99"/>
        <v/>
      </c>
      <c r="R705" s="11"/>
      <c r="S705" s="11"/>
    </row>
    <row r="706" spans="1:19" x14ac:dyDescent="0.25">
      <c r="A706" s="30" t="s">
        <v>97</v>
      </c>
      <c r="B706" s="31">
        <f t="shared" si="100"/>
        <v>52657</v>
      </c>
      <c r="C706" s="30">
        <f>YEAR(BInputReservoir[[#This Row],[Date]])</f>
        <v>2044</v>
      </c>
      <c r="D706" s="30">
        <f>MONTH(BInputReservoir[[#This Row],[Date]])</f>
        <v>3</v>
      </c>
      <c r="E706" s="30" t="str">
        <f>IF(I706&lt;&gt;1,"",DATA_INPUT!$L346)</f>
        <v/>
      </c>
      <c r="F706" s="30" t="str">
        <f>STORAGE_BALANCE_ENSEMBLE!AI346</f>
        <v/>
      </c>
      <c r="G706" s="30" t="str">
        <f>STORAGE_BALANCE_ENSEMBLE!AJ346</f>
        <v/>
      </c>
      <c r="H706" s="30" t="str">
        <f>STORAGE_BALANCE_ENSEMBLE!AH346</f>
        <v/>
      </c>
      <c r="I706" s="18" t="str">
        <f t="shared" si="101"/>
        <v/>
      </c>
      <c r="J706" s="8" t="str">
        <f t="shared" si="93"/>
        <v/>
      </c>
      <c r="K706" s="9" t="str">
        <f t="shared" si="94"/>
        <v/>
      </c>
      <c r="L706" s="10" t="str">
        <f t="shared" si="95"/>
        <v/>
      </c>
      <c r="M706" s="10" t="str">
        <f>IF(I706&lt;&gt;1,"",IF(H706="","",H706/CONTROL_PANEL!$B$11))</f>
        <v/>
      </c>
      <c r="N706" s="9" t="str">
        <f t="shared" si="96"/>
        <v/>
      </c>
      <c r="O706" s="9" t="str">
        <f t="shared" si="97"/>
        <v/>
      </c>
      <c r="P706" s="9" t="str">
        <f t="shared" si="98"/>
        <v/>
      </c>
      <c r="Q706" s="9" t="str">
        <f t="shared" si="99"/>
        <v/>
      </c>
      <c r="R706" s="11"/>
      <c r="S706" s="11"/>
    </row>
    <row r="707" spans="1:19" x14ac:dyDescent="0.25">
      <c r="A707" s="30" t="s">
        <v>97</v>
      </c>
      <c r="B707" s="31">
        <f t="shared" si="100"/>
        <v>52688</v>
      </c>
      <c r="C707" s="30">
        <f>YEAR(BInputReservoir[[#This Row],[Date]])</f>
        <v>2044</v>
      </c>
      <c r="D707" s="30">
        <f>MONTH(BInputReservoir[[#This Row],[Date]])</f>
        <v>4</v>
      </c>
      <c r="E707" s="30" t="str">
        <f>IF(I707&lt;&gt;1,"",DATA_INPUT!$L347)</f>
        <v/>
      </c>
      <c r="F707" s="30" t="str">
        <f>STORAGE_BALANCE_ENSEMBLE!AI347</f>
        <v/>
      </c>
      <c r="G707" s="30" t="str">
        <f>STORAGE_BALANCE_ENSEMBLE!AJ347</f>
        <v/>
      </c>
      <c r="H707" s="30" t="str">
        <f>STORAGE_BALANCE_ENSEMBLE!AH347</f>
        <v/>
      </c>
      <c r="I707" s="18" t="str">
        <f t="shared" si="101"/>
        <v/>
      </c>
      <c r="J707" s="8" t="str">
        <f t="shared" si="93"/>
        <v/>
      </c>
      <c r="K707" s="9" t="str">
        <f t="shared" si="94"/>
        <v/>
      </c>
      <c r="L707" s="10" t="str">
        <f t="shared" si="95"/>
        <v/>
      </c>
      <c r="M707" s="10" t="str">
        <f>IF(I707&lt;&gt;1,"",IF(H707="","",H707/CONTROL_PANEL!$B$11))</f>
        <v/>
      </c>
      <c r="N707" s="9" t="str">
        <f t="shared" si="96"/>
        <v/>
      </c>
      <c r="O707" s="9" t="str">
        <f t="shared" si="97"/>
        <v/>
      </c>
      <c r="P707" s="9" t="str">
        <f t="shared" si="98"/>
        <v/>
      </c>
      <c r="Q707" s="9" t="str">
        <f t="shared" si="99"/>
        <v/>
      </c>
      <c r="R707" s="11"/>
      <c r="S707" s="11"/>
    </row>
    <row r="708" spans="1:19" x14ac:dyDescent="0.25">
      <c r="A708" s="30" t="s">
        <v>97</v>
      </c>
      <c r="B708" s="31">
        <f t="shared" si="100"/>
        <v>52718</v>
      </c>
      <c r="C708" s="30">
        <f>YEAR(BInputReservoir[[#This Row],[Date]])</f>
        <v>2044</v>
      </c>
      <c r="D708" s="30">
        <f>MONTH(BInputReservoir[[#This Row],[Date]])</f>
        <v>5</v>
      </c>
      <c r="E708" s="30" t="str">
        <f>IF(I708&lt;&gt;1,"",DATA_INPUT!$L348)</f>
        <v/>
      </c>
      <c r="F708" s="30" t="str">
        <f>STORAGE_BALANCE_ENSEMBLE!AI348</f>
        <v/>
      </c>
      <c r="G708" s="30" t="str">
        <f>STORAGE_BALANCE_ENSEMBLE!AJ348</f>
        <v/>
      </c>
      <c r="H708" s="30" t="str">
        <f>STORAGE_BALANCE_ENSEMBLE!AH348</f>
        <v/>
      </c>
      <c r="I708" s="18" t="str">
        <f t="shared" si="101"/>
        <v/>
      </c>
      <c r="J708" s="8" t="str">
        <f t="shared" si="93"/>
        <v/>
      </c>
      <c r="K708" s="9" t="str">
        <f t="shared" si="94"/>
        <v/>
      </c>
      <c r="L708" s="10" t="str">
        <f t="shared" si="95"/>
        <v/>
      </c>
      <c r="M708" s="10" t="str">
        <f>IF(I708&lt;&gt;1,"",IF(H708="","",H708/CONTROL_PANEL!$B$11))</f>
        <v/>
      </c>
      <c r="N708" s="9" t="str">
        <f t="shared" si="96"/>
        <v/>
      </c>
      <c r="O708" s="9" t="str">
        <f t="shared" si="97"/>
        <v/>
      </c>
      <c r="P708" s="9" t="str">
        <f t="shared" si="98"/>
        <v/>
      </c>
      <c r="Q708" s="9" t="str">
        <f t="shared" si="99"/>
        <v/>
      </c>
      <c r="R708" s="11"/>
      <c r="S708" s="11"/>
    </row>
    <row r="709" spans="1:19" x14ac:dyDescent="0.25">
      <c r="A709" s="30" t="s">
        <v>97</v>
      </c>
      <c r="B709" s="31">
        <f t="shared" si="100"/>
        <v>52749</v>
      </c>
      <c r="C709" s="30">
        <f>YEAR(BInputReservoir[[#This Row],[Date]])</f>
        <v>2044</v>
      </c>
      <c r="D709" s="30">
        <f>MONTH(BInputReservoir[[#This Row],[Date]])</f>
        <v>6</v>
      </c>
      <c r="E709" s="30" t="str">
        <f>IF(I709&lt;&gt;1,"",DATA_INPUT!$L349)</f>
        <v/>
      </c>
      <c r="F709" s="30" t="str">
        <f>STORAGE_BALANCE_ENSEMBLE!AI349</f>
        <v/>
      </c>
      <c r="G709" s="30" t="str">
        <f>STORAGE_BALANCE_ENSEMBLE!AJ349</f>
        <v/>
      </c>
      <c r="H709" s="30" t="str">
        <f>STORAGE_BALANCE_ENSEMBLE!AH349</f>
        <v/>
      </c>
      <c r="I709" s="18" t="str">
        <f t="shared" si="101"/>
        <v/>
      </c>
      <c r="J709" s="8" t="str">
        <f t="shared" ref="J709:J772" si="102">IF(I709&lt;&gt;1,"",IF(E709="","",MAX(0,E709-G709)))</f>
        <v/>
      </c>
      <c r="K709" s="9" t="str">
        <f t="shared" ref="K709:K772" si="103">IF(I709&lt;&gt;1,"",IF(OR(G709="",E709=""),"",IF(G709&gt;0,1,0)))</f>
        <v/>
      </c>
      <c r="L709" s="10" t="str">
        <f t="shared" ref="L709:L772" si="104">IF(I709&lt;&gt;1,"",IF(AND(K709=1,E709&gt;0),G709/E709,0))</f>
        <v/>
      </c>
      <c r="M709" s="10" t="str">
        <f>IF(I709&lt;&gt;1,"",IF(H709="","",H709/CONTROL_PANEL!$B$11))</f>
        <v/>
      </c>
      <c r="N709" s="9" t="str">
        <f t="shared" ref="N709:N772" si="105">IF(I709&lt;&gt;1,"",IF(AND(K709=1,A710=A709),1,0))</f>
        <v/>
      </c>
      <c r="O709" s="9" t="str">
        <f t="shared" ref="O709:O772" si="106">IF(I709&lt;&gt;1,"",IF(AND(K709=1,A710=A709,K710=0),1,0))</f>
        <v/>
      </c>
      <c r="P709" s="9" t="str">
        <f t="shared" ref="P709:P772" si="107">IF(I709&lt;&gt;1,"",IF(F709&gt;0,1,0))</f>
        <v/>
      </c>
      <c r="Q709" s="9" t="str">
        <f t="shared" ref="Q709:Q772" si="108">IF(I709&lt;&gt;1,"",IF(G709&gt;0,1,0))</f>
        <v/>
      </c>
      <c r="R709" s="11"/>
      <c r="S709" s="11"/>
    </row>
    <row r="710" spans="1:19" x14ac:dyDescent="0.25">
      <c r="A710" s="30" t="s">
        <v>97</v>
      </c>
      <c r="B710" s="31">
        <f t="shared" si="100"/>
        <v>52779</v>
      </c>
      <c r="C710" s="30">
        <f>YEAR(BInputReservoir[[#This Row],[Date]])</f>
        <v>2044</v>
      </c>
      <c r="D710" s="30">
        <f>MONTH(BInputReservoir[[#This Row],[Date]])</f>
        <v>7</v>
      </c>
      <c r="E710" s="30" t="str">
        <f>IF(I710&lt;&gt;1,"",DATA_INPUT!$L350)</f>
        <v/>
      </c>
      <c r="F710" s="30" t="str">
        <f>STORAGE_BALANCE_ENSEMBLE!AI350</f>
        <v/>
      </c>
      <c r="G710" s="30" t="str">
        <f>STORAGE_BALANCE_ENSEMBLE!AJ350</f>
        <v/>
      </c>
      <c r="H710" s="30" t="str">
        <f>STORAGE_BALANCE_ENSEMBLE!AH350</f>
        <v/>
      </c>
      <c r="I710" s="18" t="str">
        <f t="shared" si="101"/>
        <v/>
      </c>
      <c r="J710" s="8" t="str">
        <f t="shared" si="102"/>
        <v/>
      </c>
      <c r="K710" s="9" t="str">
        <f t="shared" si="103"/>
        <v/>
      </c>
      <c r="L710" s="10" t="str">
        <f t="shared" si="104"/>
        <v/>
      </c>
      <c r="M710" s="10" t="str">
        <f>IF(I710&lt;&gt;1,"",IF(H710="","",H710/CONTROL_PANEL!$B$11))</f>
        <v/>
      </c>
      <c r="N710" s="9" t="str">
        <f t="shared" si="105"/>
        <v/>
      </c>
      <c r="O710" s="9" t="str">
        <f t="shared" si="106"/>
        <v/>
      </c>
      <c r="P710" s="9" t="str">
        <f t="shared" si="107"/>
        <v/>
      </c>
      <c r="Q710" s="9" t="str">
        <f t="shared" si="108"/>
        <v/>
      </c>
      <c r="R710" s="11"/>
      <c r="S710" s="11"/>
    </row>
    <row r="711" spans="1:19" x14ac:dyDescent="0.25">
      <c r="A711" s="30" t="s">
        <v>97</v>
      </c>
      <c r="B711" s="31">
        <f t="shared" si="100"/>
        <v>52810</v>
      </c>
      <c r="C711" s="30">
        <f>YEAR(BInputReservoir[[#This Row],[Date]])</f>
        <v>2044</v>
      </c>
      <c r="D711" s="30">
        <f>MONTH(BInputReservoir[[#This Row],[Date]])</f>
        <v>8</v>
      </c>
      <c r="E711" s="30" t="str">
        <f>IF(I711&lt;&gt;1,"",DATA_INPUT!$L351)</f>
        <v/>
      </c>
      <c r="F711" s="30" t="str">
        <f>STORAGE_BALANCE_ENSEMBLE!AI351</f>
        <v/>
      </c>
      <c r="G711" s="30" t="str">
        <f>STORAGE_BALANCE_ENSEMBLE!AJ351</f>
        <v/>
      </c>
      <c r="H711" s="30" t="str">
        <f>STORAGE_BALANCE_ENSEMBLE!AH351</f>
        <v/>
      </c>
      <c r="I711" s="18" t="str">
        <f t="shared" si="101"/>
        <v/>
      </c>
      <c r="J711" s="8" t="str">
        <f t="shared" si="102"/>
        <v/>
      </c>
      <c r="K711" s="9" t="str">
        <f t="shared" si="103"/>
        <v/>
      </c>
      <c r="L711" s="10" t="str">
        <f t="shared" si="104"/>
        <v/>
      </c>
      <c r="M711" s="10" t="str">
        <f>IF(I711&lt;&gt;1,"",IF(H711="","",H711/CONTROL_PANEL!$B$11))</f>
        <v/>
      </c>
      <c r="N711" s="9" t="str">
        <f t="shared" si="105"/>
        <v/>
      </c>
      <c r="O711" s="9" t="str">
        <f t="shared" si="106"/>
        <v/>
      </c>
      <c r="P711" s="9" t="str">
        <f t="shared" si="107"/>
        <v/>
      </c>
      <c r="Q711" s="9" t="str">
        <f t="shared" si="108"/>
        <v/>
      </c>
      <c r="R711" s="11"/>
      <c r="S711" s="11"/>
    </row>
    <row r="712" spans="1:19" x14ac:dyDescent="0.25">
      <c r="A712" s="30" t="s">
        <v>97</v>
      </c>
      <c r="B712" s="31">
        <f t="shared" si="100"/>
        <v>52841</v>
      </c>
      <c r="C712" s="30">
        <f>YEAR(BInputReservoir[[#This Row],[Date]])</f>
        <v>2044</v>
      </c>
      <c r="D712" s="30">
        <f>MONTH(BInputReservoir[[#This Row],[Date]])</f>
        <v>9</v>
      </c>
      <c r="E712" s="30" t="str">
        <f>IF(I712&lt;&gt;1,"",DATA_INPUT!$L352)</f>
        <v/>
      </c>
      <c r="F712" s="30" t="str">
        <f>STORAGE_BALANCE_ENSEMBLE!AI352</f>
        <v/>
      </c>
      <c r="G712" s="30" t="str">
        <f>STORAGE_BALANCE_ENSEMBLE!AJ352</f>
        <v/>
      </c>
      <c r="H712" s="30" t="str">
        <f>STORAGE_BALANCE_ENSEMBLE!AH352</f>
        <v/>
      </c>
      <c r="I712" s="18" t="str">
        <f t="shared" si="101"/>
        <v/>
      </c>
      <c r="J712" s="8" t="str">
        <f t="shared" si="102"/>
        <v/>
      </c>
      <c r="K712" s="9" t="str">
        <f t="shared" si="103"/>
        <v/>
      </c>
      <c r="L712" s="10" t="str">
        <f t="shared" si="104"/>
        <v/>
      </c>
      <c r="M712" s="10" t="str">
        <f>IF(I712&lt;&gt;1,"",IF(H712="","",H712/CONTROL_PANEL!$B$11))</f>
        <v/>
      </c>
      <c r="N712" s="9" t="str">
        <f t="shared" si="105"/>
        <v/>
      </c>
      <c r="O712" s="9" t="str">
        <f t="shared" si="106"/>
        <v/>
      </c>
      <c r="P712" s="9" t="str">
        <f t="shared" si="107"/>
        <v/>
      </c>
      <c r="Q712" s="9" t="str">
        <f t="shared" si="108"/>
        <v/>
      </c>
      <c r="R712" s="11"/>
      <c r="S712" s="11"/>
    </row>
    <row r="713" spans="1:19" x14ac:dyDescent="0.25">
      <c r="A713" s="30" t="s">
        <v>97</v>
      </c>
      <c r="B713" s="31">
        <f t="shared" si="100"/>
        <v>52871</v>
      </c>
      <c r="C713" s="30">
        <f>YEAR(BInputReservoir[[#This Row],[Date]])</f>
        <v>2044</v>
      </c>
      <c r="D713" s="30">
        <f>MONTH(BInputReservoir[[#This Row],[Date]])</f>
        <v>10</v>
      </c>
      <c r="E713" s="30" t="str">
        <f>IF(I713&lt;&gt;1,"",DATA_INPUT!$L353)</f>
        <v/>
      </c>
      <c r="F713" s="30" t="str">
        <f>STORAGE_BALANCE_ENSEMBLE!AI353</f>
        <v/>
      </c>
      <c r="G713" s="30" t="str">
        <f>STORAGE_BALANCE_ENSEMBLE!AJ353</f>
        <v/>
      </c>
      <c r="H713" s="30" t="str">
        <f>STORAGE_BALANCE_ENSEMBLE!AH353</f>
        <v/>
      </c>
      <c r="I713" s="18" t="str">
        <f t="shared" si="101"/>
        <v/>
      </c>
      <c r="J713" s="8" t="str">
        <f t="shared" si="102"/>
        <v/>
      </c>
      <c r="K713" s="9" t="str">
        <f t="shared" si="103"/>
        <v/>
      </c>
      <c r="L713" s="10" t="str">
        <f t="shared" si="104"/>
        <v/>
      </c>
      <c r="M713" s="10" t="str">
        <f>IF(I713&lt;&gt;1,"",IF(H713="","",H713/CONTROL_PANEL!$B$11))</f>
        <v/>
      </c>
      <c r="N713" s="9" t="str">
        <f t="shared" si="105"/>
        <v/>
      </c>
      <c r="O713" s="9" t="str">
        <f t="shared" si="106"/>
        <v/>
      </c>
      <c r="P713" s="9" t="str">
        <f t="shared" si="107"/>
        <v/>
      </c>
      <c r="Q713" s="9" t="str">
        <f t="shared" si="108"/>
        <v/>
      </c>
      <c r="R713" s="11"/>
      <c r="S713" s="11"/>
    </row>
    <row r="714" spans="1:19" x14ac:dyDescent="0.25">
      <c r="A714" s="30" t="s">
        <v>97</v>
      </c>
      <c r="B714" s="31">
        <f t="shared" si="100"/>
        <v>52902</v>
      </c>
      <c r="C714" s="30">
        <f>YEAR(BInputReservoir[[#This Row],[Date]])</f>
        <v>2044</v>
      </c>
      <c r="D714" s="30">
        <f>MONTH(BInputReservoir[[#This Row],[Date]])</f>
        <v>11</v>
      </c>
      <c r="E714" s="30" t="str">
        <f>IF(I714&lt;&gt;1,"",DATA_INPUT!$L354)</f>
        <v/>
      </c>
      <c r="F714" s="30" t="str">
        <f>STORAGE_BALANCE_ENSEMBLE!AI354</f>
        <v/>
      </c>
      <c r="G714" s="30" t="str">
        <f>STORAGE_BALANCE_ENSEMBLE!AJ354</f>
        <v/>
      </c>
      <c r="H714" s="30" t="str">
        <f>STORAGE_BALANCE_ENSEMBLE!AH354</f>
        <v/>
      </c>
      <c r="I714" s="18" t="str">
        <f t="shared" si="101"/>
        <v/>
      </c>
      <c r="J714" s="8" t="str">
        <f t="shared" si="102"/>
        <v/>
      </c>
      <c r="K714" s="9" t="str">
        <f t="shared" si="103"/>
        <v/>
      </c>
      <c r="L714" s="10" t="str">
        <f t="shared" si="104"/>
        <v/>
      </c>
      <c r="M714" s="10" t="str">
        <f>IF(I714&lt;&gt;1,"",IF(H714="","",H714/CONTROL_PANEL!$B$11))</f>
        <v/>
      </c>
      <c r="N714" s="9" t="str">
        <f t="shared" si="105"/>
        <v/>
      </c>
      <c r="O714" s="9" t="str">
        <f t="shared" si="106"/>
        <v/>
      </c>
      <c r="P714" s="9" t="str">
        <f t="shared" si="107"/>
        <v/>
      </c>
      <c r="Q714" s="9" t="str">
        <f t="shared" si="108"/>
        <v/>
      </c>
      <c r="R714" s="11"/>
      <c r="S714" s="11"/>
    </row>
    <row r="715" spans="1:19" x14ac:dyDescent="0.25">
      <c r="A715" s="30" t="s">
        <v>97</v>
      </c>
      <c r="B715" s="31">
        <f t="shared" si="100"/>
        <v>52932</v>
      </c>
      <c r="C715" s="30">
        <f>YEAR(BInputReservoir[[#This Row],[Date]])</f>
        <v>2044</v>
      </c>
      <c r="D715" s="30">
        <f>MONTH(BInputReservoir[[#This Row],[Date]])</f>
        <v>12</v>
      </c>
      <c r="E715" s="30" t="str">
        <f>IF(I715&lt;&gt;1,"",DATA_INPUT!$L355)</f>
        <v/>
      </c>
      <c r="F715" s="30" t="str">
        <f>STORAGE_BALANCE_ENSEMBLE!AI355</f>
        <v/>
      </c>
      <c r="G715" s="30" t="str">
        <f>STORAGE_BALANCE_ENSEMBLE!AJ355</f>
        <v/>
      </c>
      <c r="H715" s="30" t="str">
        <f>STORAGE_BALANCE_ENSEMBLE!AH355</f>
        <v/>
      </c>
      <c r="I715" s="18" t="str">
        <f t="shared" si="101"/>
        <v/>
      </c>
      <c r="J715" s="8" t="str">
        <f t="shared" si="102"/>
        <v/>
      </c>
      <c r="K715" s="9" t="str">
        <f t="shared" si="103"/>
        <v/>
      </c>
      <c r="L715" s="10" t="str">
        <f t="shared" si="104"/>
        <v/>
      </c>
      <c r="M715" s="10" t="str">
        <f>IF(I715&lt;&gt;1,"",IF(H715="","",H715/CONTROL_PANEL!$B$11))</f>
        <v/>
      </c>
      <c r="N715" s="9" t="str">
        <f t="shared" si="105"/>
        <v/>
      </c>
      <c r="O715" s="9" t="str">
        <f t="shared" si="106"/>
        <v/>
      </c>
      <c r="P715" s="9" t="str">
        <f t="shared" si="107"/>
        <v/>
      </c>
      <c r="Q715" s="9" t="str">
        <f t="shared" si="108"/>
        <v/>
      </c>
      <c r="R715" s="11"/>
      <c r="S715" s="11"/>
    </row>
    <row r="716" spans="1:19" x14ac:dyDescent="0.25">
      <c r="A716" s="30" t="s">
        <v>97</v>
      </c>
      <c r="B716" s="31">
        <f t="shared" si="100"/>
        <v>52963</v>
      </c>
      <c r="C716" s="30">
        <f>YEAR(BInputReservoir[[#This Row],[Date]])</f>
        <v>2045</v>
      </c>
      <c r="D716" s="30">
        <f>MONTH(BInputReservoir[[#This Row],[Date]])</f>
        <v>1</v>
      </c>
      <c r="E716" s="30" t="str">
        <f>IF(I716&lt;&gt;1,"",DATA_INPUT!$L356)</f>
        <v/>
      </c>
      <c r="F716" s="30" t="str">
        <f>STORAGE_BALANCE_ENSEMBLE!AI356</f>
        <v/>
      </c>
      <c r="G716" s="30" t="str">
        <f>STORAGE_BALANCE_ENSEMBLE!AJ356</f>
        <v/>
      </c>
      <c r="H716" s="30" t="str">
        <f>STORAGE_BALANCE_ENSEMBLE!AH356</f>
        <v/>
      </c>
      <c r="I716" s="18" t="str">
        <f t="shared" si="101"/>
        <v/>
      </c>
      <c r="J716" s="8" t="str">
        <f t="shared" si="102"/>
        <v/>
      </c>
      <c r="K716" s="9" t="str">
        <f t="shared" si="103"/>
        <v/>
      </c>
      <c r="L716" s="10" t="str">
        <f t="shared" si="104"/>
        <v/>
      </c>
      <c r="M716" s="10" t="str">
        <f>IF(I716&lt;&gt;1,"",IF(H716="","",H716/CONTROL_PANEL!$B$11))</f>
        <v/>
      </c>
      <c r="N716" s="9" t="str">
        <f t="shared" si="105"/>
        <v/>
      </c>
      <c r="O716" s="9" t="str">
        <f t="shared" si="106"/>
        <v/>
      </c>
      <c r="P716" s="9" t="str">
        <f t="shared" si="107"/>
        <v/>
      </c>
      <c r="Q716" s="9" t="str">
        <f t="shared" si="108"/>
        <v/>
      </c>
      <c r="R716" s="11"/>
      <c r="S716" s="11"/>
    </row>
    <row r="717" spans="1:19" x14ac:dyDescent="0.25">
      <c r="A717" s="30" t="s">
        <v>97</v>
      </c>
      <c r="B717" s="31">
        <f t="shared" si="100"/>
        <v>52994</v>
      </c>
      <c r="C717" s="30">
        <f>YEAR(BInputReservoir[[#This Row],[Date]])</f>
        <v>2045</v>
      </c>
      <c r="D717" s="30">
        <f>MONTH(BInputReservoir[[#This Row],[Date]])</f>
        <v>2</v>
      </c>
      <c r="E717" s="30" t="str">
        <f>IF(I717&lt;&gt;1,"",DATA_INPUT!$L357)</f>
        <v/>
      </c>
      <c r="F717" s="30" t="str">
        <f>STORAGE_BALANCE_ENSEMBLE!AI357</f>
        <v/>
      </c>
      <c r="G717" s="30" t="str">
        <f>STORAGE_BALANCE_ENSEMBLE!AJ357</f>
        <v/>
      </c>
      <c r="H717" s="30" t="str">
        <f>STORAGE_BALANCE_ENSEMBLE!AH357</f>
        <v/>
      </c>
      <c r="I717" s="18" t="str">
        <f t="shared" si="101"/>
        <v/>
      </c>
      <c r="J717" s="8" t="str">
        <f t="shared" si="102"/>
        <v/>
      </c>
      <c r="K717" s="9" t="str">
        <f t="shared" si="103"/>
        <v/>
      </c>
      <c r="L717" s="10" t="str">
        <f t="shared" si="104"/>
        <v/>
      </c>
      <c r="M717" s="10" t="str">
        <f>IF(I717&lt;&gt;1,"",IF(H717="","",H717/CONTROL_PANEL!$B$11))</f>
        <v/>
      </c>
      <c r="N717" s="9" t="str">
        <f t="shared" si="105"/>
        <v/>
      </c>
      <c r="O717" s="9" t="str">
        <f t="shared" si="106"/>
        <v/>
      </c>
      <c r="P717" s="9" t="str">
        <f t="shared" si="107"/>
        <v/>
      </c>
      <c r="Q717" s="9" t="str">
        <f t="shared" si="108"/>
        <v/>
      </c>
      <c r="R717" s="11"/>
      <c r="S717" s="11"/>
    </row>
    <row r="718" spans="1:19" x14ac:dyDescent="0.25">
      <c r="A718" s="30" t="s">
        <v>97</v>
      </c>
      <c r="B718" s="31">
        <f t="shared" si="100"/>
        <v>53022</v>
      </c>
      <c r="C718" s="30">
        <f>YEAR(BInputReservoir[[#This Row],[Date]])</f>
        <v>2045</v>
      </c>
      <c r="D718" s="30">
        <f>MONTH(BInputReservoir[[#This Row],[Date]])</f>
        <v>3</v>
      </c>
      <c r="E718" s="30" t="str">
        <f>IF(I718&lt;&gt;1,"",DATA_INPUT!$L358)</f>
        <v/>
      </c>
      <c r="F718" s="30" t="str">
        <f>STORAGE_BALANCE_ENSEMBLE!AI358</f>
        <v/>
      </c>
      <c r="G718" s="30" t="str">
        <f>STORAGE_BALANCE_ENSEMBLE!AJ358</f>
        <v/>
      </c>
      <c r="H718" s="30" t="str">
        <f>STORAGE_BALANCE_ENSEMBLE!AH358</f>
        <v/>
      </c>
      <c r="I718" s="18" t="str">
        <f t="shared" si="101"/>
        <v/>
      </c>
      <c r="J718" s="8" t="str">
        <f t="shared" si="102"/>
        <v/>
      </c>
      <c r="K718" s="9" t="str">
        <f t="shared" si="103"/>
        <v/>
      </c>
      <c r="L718" s="10" t="str">
        <f t="shared" si="104"/>
        <v/>
      </c>
      <c r="M718" s="10" t="str">
        <f>IF(I718&lt;&gt;1,"",IF(H718="","",H718/CONTROL_PANEL!$B$11))</f>
        <v/>
      </c>
      <c r="N718" s="9" t="str">
        <f t="shared" si="105"/>
        <v/>
      </c>
      <c r="O718" s="9" t="str">
        <f t="shared" si="106"/>
        <v/>
      </c>
      <c r="P718" s="9" t="str">
        <f t="shared" si="107"/>
        <v/>
      </c>
      <c r="Q718" s="9" t="str">
        <f t="shared" si="108"/>
        <v/>
      </c>
      <c r="R718" s="11"/>
      <c r="S718" s="11"/>
    </row>
    <row r="719" spans="1:19" x14ac:dyDescent="0.25">
      <c r="A719" s="30" t="s">
        <v>97</v>
      </c>
      <c r="B719" s="31">
        <f t="shared" si="100"/>
        <v>53053</v>
      </c>
      <c r="C719" s="30">
        <f>YEAR(BInputReservoir[[#This Row],[Date]])</f>
        <v>2045</v>
      </c>
      <c r="D719" s="30">
        <f>MONTH(BInputReservoir[[#This Row],[Date]])</f>
        <v>4</v>
      </c>
      <c r="E719" s="30" t="str">
        <f>IF(I719&lt;&gt;1,"",DATA_INPUT!$L359)</f>
        <v/>
      </c>
      <c r="F719" s="30" t="str">
        <f>STORAGE_BALANCE_ENSEMBLE!AI359</f>
        <v/>
      </c>
      <c r="G719" s="30" t="str">
        <f>STORAGE_BALANCE_ENSEMBLE!AJ359</f>
        <v/>
      </c>
      <c r="H719" s="30" t="str">
        <f>STORAGE_BALANCE_ENSEMBLE!AH359</f>
        <v/>
      </c>
      <c r="I719" s="18" t="str">
        <f t="shared" si="101"/>
        <v/>
      </c>
      <c r="J719" s="8" t="str">
        <f t="shared" si="102"/>
        <v/>
      </c>
      <c r="K719" s="9" t="str">
        <f t="shared" si="103"/>
        <v/>
      </c>
      <c r="L719" s="10" t="str">
        <f t="shared" si="104"/>
        <v/>
      </c>
      <c r="M719" s="10" t="str">
        <f>IF(I719&lt;&gt;1,"",IF(H719="","",H719/CONTROL_PANEL!$B$11))</f>
        <v/>
      </c>
      <c r="N719" s="9" t="str">
        <f t="shared" si="105"/>
        <v/>
      </c>
      <c r="O719" s="9" t="str">
        <f t="shared" si="106"/>
        <v/>
      </c>
      <c r="P719" s="9" t="str">
        <f t="shared" si="107"/>
        <v/>
      </c>
      <c r="Q719" s="9" t="str">
        <f t="shared" si="108"/>
        <v/>
      </c>
      <c r="R719" s="11"/>
      <c r="S719" s="11"/>
    </row>
    <row r="720" spans="1:19" x14ac:dyDescent="0.25">
      <c r="A720" s="30" t="s">
        <v>97</v>
      </c>
      <c r="B720" s="31">
        <f t="shared" si="100"/>
        <v>53083</v>
      </c>
      <c r="C720" s="30">
        <f>YEAR(BInputReservoir[[#This Row],[Date]])</f>
        <v>2045</v>
      </c>
      <c r="D720" s="30">
        <f>MONTH(BInputReservoir[[#This Row],[Date]])</f>
        <v>5</v>
      </c>
      <c r="E720" s="30" t="str">
        <f>IF(I720&lt;&gt;1,"",DATA_INPUT!$L360)</f>
        <v/>
      </c>
      <c r="F720" s="30" t="str">
        <f>STORAGE_BALANCE_ENSEMBLE!AI360</f>
        <v/>
      </c>
      <c r="G720" s="30" t="str">
        <f>STORAGE_BALANCE_ENSEMBLE!AJ360</f>
        <v/>
      </c>
      <c r="H720" s="30" t="str">
        <f>STORAGE_BALANCE_ENSEMBLE!AH360</f>
        <v/>
      </c>
      <c r="I720" s="18" t="str">
        <f t="shared" si="101"/>
        <v/>
      </c>
      <c r="J720" s="8" t="str">
        <f t="shared" si="102"/>
        <v/>
      </c>
      <c r="K720" s="9" t="str">
        <f t="shared" si="103"/>
        <v/>
      </c>
      <c r="L720" s="10" t="str">
        <f t="shared" si="104"/>
        <v/>
      </c>
      <c r="M720" s="10" t="str">
        <f>IF(I720&lt;&gt;1,"",IF(H720="","",H720/CONTROL_PANEL!$B$11))</f>
        <v/>
      </c>
      <c r="N720" s="9" t="str">
        <f t="shared" si="105"/>
        <v/>
      </c>
      <c r="O720" s="9" t="str">
        <f t="shared" si="106"/>
        <v/>
      </c>
      <c r="P720" s="9" t="str">
        <f t="shared" si="107"/>
        <v/>
      </c>
      <c r="Q720" s="9" t="str">
        <f t="shared" si="108"/>
        <v/>
      </c>
      <c r="R720" s="11"/>
      <c r="S720" s="11"/>
    </row>
    <row r="721" spans="1:19" x14ac:dyDescent="0.25">
      <c r="A721" s="30" t="s">
        <v>97</v>
      </c>
      <c r="B721" s="31">
        <f t="shared" si="100"/>
        <v>53114</v>
      </c>
      <c r="C721" s="30">
        <f>YEAR(BInputReservoir[[#This Row],[Date]])</f>
        <v>2045</v>
      </c>
      <c r="D721" s="30">
        <f>MONTH(BInputReservoir[[#This Row],[Date]])</f>
        <v>6</v>
      </c>
      <c r="E721" s="30" t="str">
        <f>IF(I721&lt;&gt;1,"",DATA_INPUT!$L361)</f>
        <v/>
      </c>
      <c r="F721" s="30" t="str">
        <f>STORAGE_BALANCE_ENSEMBLE!AI361</f>
        <v/>
      </c>
      <c r="G721" s="30" t="str">
        <f>STORAGE_BALANCE_ENSEMBLE!AJ361</f>
        <v/>
      </c>
      <c r="H721" s="30" t="str">
        <f>STORAGE_BALANCE_ENSEMBLE!AH361</f>
        <v/>
      </c>
      <c r="I721" s="18" t="str">
        <f t="shared" si="101"/>
        <v/>
      </c>
      <c r="J721" s="8" t="str">
        <f t="shared" si="102"/>
        <v/>
      </c>
      <c r="K721" s="9" t="str">
        <f t="shared" si="103"/>
        <v/>
      </c>
      <c r="L721" s="10" t="str">
        <f t="shared" si="104"/>
        <v/>
      </c>
      <c r="M721" s="10" t="str">
        <f>IF(I721&lt;&gt;1,"",IF(H721="","",H721/CONTROL_PANEL!$B$11))</f>
        <v/>
      </c>
      <c r="N721" s="9" t="str">
        <f t="shared" si="105"/>
        <v/>
      </c>
      <c r="O721" s="9" t="str">
        <f t="shared" si="106"/>
        <v/>
      </c>
      <c r="P721" s="9" t="str">
        <f t="shared" si="107"/>
        <v/>
      </c>
      <c r="Q721" s="9" t="str">
        <f t="shared" si="108"/>
        <v/>
      </c>
      <c r="R721" s="11"/>
      <c r="S721" s="11"/>
    </row>
    <row r="722" spans="1:19" x14ac:dyDescent="0.25">
      <c r="A722" s="30" t="s">
        <v>97</v>
      </c>
      <c r="B722" s="31">
        <f t="shared" si="100"/>
        <v>53144</v>
      </c>
      <c r="C722" s="30">
        <f>YEAR(BInputReservoir[[#This Row],[Date]])</f>
        <v>2045</v>
      </c>
      <c r="D722" s="30">
        <f>MONTH(BInputReservoir[[#This Row],[Date]])</f>
        <v>7</v>
      </c>
      <c r="E722" s="30" t="str">
        <f>IF(I722&lt;&gt;1,"",DATA_INPUT!$L362)</f>
        <v/>
      </c>
      <c r="F722" s="30" t="str">
        <f>STORAGE_BALANCE_ENSEMBLE!AI362</f>
        <v/>
      </c>
      <c r="G722" s="30" t="str">
        <f>STORAGE_BALANCE_ENSEMBLE!AJ362</f>
        <v/>
      </c>
      <c r="H722" s="30" t="str">
        <f>STORAGE_BALANCE_ENSEMBLE!AH362</f>
        <v/>
      </c>
      <c r="I722" s="18" t="str">
        <f t="shared" si="101"/>
        <v/>
      </c>
      <c r="J722" s="8" t="str">
        <f t="shared" si="102"/>
        <v/>
      </c>
      <c r="K722" s="9" t="str">
        <f t="shared" si="103"/>
        <v/>
      </c>
      <c r="L722" s="10" t="str">
        <f t="shared" si="104"/>
        <v/>
      </c>
      <c r="M722" s="10" t="str">
        <f>IF(I722&lt;&gt;1,"",IF(H722="","",H722/CONTROL_PANEL!$B$11))</f>
        <v/>
      </c>
      <c r="N722" s="9" t="str">
        <f t="shared" si="105"/>
        <v/>
      </c>
      <c r="O722" s="9" t="str">
        <f t="shared" si="106"/>
        <v/>
      </c>
      <c r="P722" s="9" t="str">
        <f t="shared" si="107"/>
        <v/>
      </c>
      <c r="Q722" s="9" t="str">
        <f t="shared" si="108"/>
        <v/>
      </c>
      <c r="R722" s="11"/>
      <c r="S722" s="11"/>
    </row>
    <row r="723" spans="1:19" x14ac:dyDescent="0.25">
      <c r="A723" s="30" t="s">
        <v>97</v>
      </c>
      <c r="B723" s="31">
        <f t="shared" si="100"/>
        <v>53175</v>
      </c>
      <c r="C723" s="30">
        <f>YEAR(BInputReservoir[[#This Row],[Date]])</f>
        <v>2045</v>
      </c>
      <c r="D723" s="30">
        <f>MONTH(BInputReservoir[[#This Row],[Date]])</f>
        <v>8</v>
      </c>
      <c r="E723" s="30" t="str">
        <f>IF(I723&lt;&gt;1,"",DATA_INPUT!$L363)</f>
        <v/>
      </c>
      <c r="F723" s="30" t="str">
        <f>STORAGE_BALANCE_ENSEMBLE!AI363</f>
        <v/>
      </c>
      <c r="G723" s="30" t="str">
        <f>STORAGE_BALANCE_ENSEMBLE!AJ363</f>
        <v/>
      </c>
      <c r="H723" s="30" t="str">
        <f>STORAGE_BALANCE_ENSEMBLE!AH363</f>
        <v/>
      </c>
      <c r="I723" s="18" t="str">
        <f t="shared" si="101"/>
        <v/>
      </c>
      <c r="J723" s="8" t="str">
        <f t="shared" si="102"/>
        <v/>
      </c>
      <c r="K723" s="9" t="str">
        <f t="shared" si="103"/>
        <v/>
      </c>
      <c r="L723" s="10" t="str">
        <f t="shared" si="104"/>
        <v/>
      </c>
      <c r="M723" s="10" t="str">
        <f>IF(I723&lt;&gt;1,"",IF(H723="","",H723/CONTROL_PANEL!$B$11))</f>
        <v/>
      </c>
      <c r="N723" s="9" t="str">
        <f t="shared" si="105"/>
        <v/>
      </c>
      <c r="O723" s="9" t="str">
        <f t="shared" si="106"/>
        <v/>
      </c>
      <c r="P723" s="9" t="str">
        <f t="shared" si="107"/>
        <v/>
      </c>
      <c r="Q723" s="9" t="str">
        <f t="shared" si="108"/>
        <v/>
      </c>
      <c r="R723" s="11"/>
      <c r="S723" s="11"/>
    </row>
    <row r="724" spans="1:19" x14ac:dyDescent="0.25">
      <c r="A724" s="30" t="s">
        <v>97</v>
      </c>
      <c r="B724" s="31">
        <f t="shared" si="100"/>
        <v>53206</v>
      </c>
      <c r="C724" s="30">
        <f>YEAR(BInputReservoir[[#This Row],[Date]])</f>
        <v>2045</v>
      </c>
      <c r="D724" s="30">
        <f>MONTH(BInputReservoir[[#This Row],[Date]])</f>
        <v>9</v>
      </c>
      <c r="E724" s="30" t="str">
        <f>IF(I724&lt;&gt;1,"",DATA_INPUT!$L364)</f>
        <v/>
      </c>
      <c r="F724" s="30" t="str">
        <f>STORAGE_BALANCE_ENSEMBLE!AI364</f>
        <v/>
      </c>
      <c r="G724" s="30" t="str">
        <f>STORAGE_BALANCE_ENSEMBLE!AJ364</f>
        <v/>
      </c>
      <c r="H724" s="30" t="str">
        <f>STORAGE_BALANCE_ENSEMBLE!AH364</f>
        <v/>
      </c>
      <c r="I724" s="18" t="str">
        <f t="shared" si="101"/>
        <v/>
      </c>
      <c r="J724" s="8" t="str">
        <f t="shared" si="102"/>
        <v/>
      </c>
      <c r="K724" s="9" t="str">
        <f t="shared" si="103"/>
        <v/>
      </c>
      <c r="L724" s="10" t="str">
        <f t="shared" si="104"/>
        <v/>
      </c>
      <c r="M724" s="10" t="str">
        <f>IF(I724&lt;&gt;1,"",IF(H724="","",H724/CONTROL_PANEL!$B$11))</f>
        <v/>
      </c>
      <c r="N724" s="9" t="str">
        <f t="shared" si="105"/>
        <v/>
      </c>
      <c r="O724" s="9" t="str">
        <f t="shared" si="106"/>
        <v/>
      </c>
      <c r="P724" s="9" t="str">
        <f t="shared" si="107"/>
        <v/>
      </c>
      <c r="Q724" s="9" t="str">
        <f t="shared" si="108"/>
        <v/>
      </c>
      <c r="R724" s="11"/>
      <c r="S724" s="11"/>
    </row>
    <row r="725" spans="1:19" x14ac:dyDescent="0.25">
      <c r="A725" s="30"/>
      <c r="B725" s="31"/>
      <c r="C725" s="30"/>
      <c r="D725" s="30"/>
      <c r="E725" s="30" t="str">
        <f>IF(I725&lt;&gt;1,"",DATA_INPUT!$L365)</f>
        <v/>
      </c>
      <c r="F725" s="30"/>
      <c r="G725" s="30"/>
      <c r="H725" s="30"/>
      <c r="I725" s="30"/>
      <c r="J725" s="8" t="str">
        <f t="shared" si="102"/>
        <v/>
      </c>
      <c r="K725" s="9" t="str">
        <f t="shared" si="103"/>
        <v/>
      </c>
      <c r="L725" s="10" t="str">
        <f t="shared" si="104"/>
        <v/>
      </c>
      <c r="M725" s="10" t="str">
        <f>IF(I725&lt;&gt;1,"",IF(H725="","",H725/CONTROL_PANEL!$B$11))</f>
        <v/>
      </c>
      <c r="N725" s="9" t="str">
        <f t="shared" si="105"/>
        <v/>
      </c>
      <c r="O725" s="9" t="str">
        <f t="shared" si="106"/>
        <v/>
      </c>
      <c r="P725" s="9" t="str">
        <f t="shared" si="107"/>
        <v/>
      </c>
      <c r="Q725" s="9" t="str">
        <f t="shared" si="108"/>
        <v/>
      </c>
      <c r="R725" s="11"/>
      <c r="S725" s="11"/>
    </row>
    <row r="726" spans="1:19" x14ac:dyDescent="0.25">
      <c r="A726" s="30" t="s">
        <v>30</v>
      </c>
      <c r="B726" s="31">
        <f>B365</f>
        <v>42278</v>
      </c>
      <c r="C726" s="30">
        <f>YEAR(BInputReservoir[[#This Row],[Date]])</f>
        <v>2015</v>
      </c>
      <c r="D726" s="30">
        <f>MONTH(BInputReservoir[[#This Row],[Date]])</f>
        <v>10</v>
      </c>
      <c r="E726" s="30">
        <f>IF(I726&lt;&gt;1,"",DATA_INPUT!$M5)</f>
        <v>0</v>
      </c>
      <c r="F726" s="30">
        <f>STORAGE_BALANCE_ENSEMBLE!BB5</f>
        <v>0</v>
      </c>
      <c r="G726" s="30">
        <f>STORAGE_BALANCE_ENSEMBLE!BC5</f>
        <v>0</v>
      </c>
      <c r="H726" s="30">
        <f>STORAGE_BALANCE_ENSEMBLE!BA5</f>
        <v>39118967.9204273</v>
      </c>
      <c r="I726" s="18">
        <f>I4</f>
        <v>1</v>
      </c>
      <c r="J726" s="8">
        <f t="shared" si="102"/>
        <v>0</v>
      </c>
      <c r="K726" s="9">
        <f t="shared" si="103"/>
        <v>0</v>
      </c>
      <c r="L726" s="10">
        <f t="shared" si="104"/>
        <v>0</v>
      </c>
      <c r="M726" s="10">
        <f>IF(I726&lt;&gt;1,"",IF(H726="","",H726/CONTROL_PANEL!$B$11))</f>
        <v>0.782379358408546</v>
      </c>
      <c r="N726" s="9">
        <f t="shared" si="105"/>
        <v>0</v>
      </c>
      <c r="O726" s="9">
        <f t="shared" si="106"/>
        <v>0</v>
      </c>
      <c r="P726" s="9">
        <f t="shared" si="107"/>
        <v>0</v>
      </c>
      <c r="Q726" s="9">
        <f t="shared" si="108"/>
        <v>0</v>
      </c>
      <c r="R726" s="11"/>
      <c r="S726" s="11" t="str">
        <f t="shared" ref="S726:S757" si="109">IF(COUNTA(A726:H726)=0,"",IF(OR(A726="",C726="",D726=""),"ERROR: missing key fields","PASS"))</f>
        <v>PASS</v>
      </c>
    </row>
    <row r="727" spans="1:19" x14ac:dyDescent="0.25">
      <c r="A727" s="30" t="s">
        <v>30</v>
      </c>
      <c r="B727" s="31">
        <f t="shared" ref="B727:B790" si="110">B366</f>
        <v>42309</v>
      </c>
      <c r="C727" s="30">
        <f>YEAR(BInputReservoir[[#This Row],[Date]])</f>
        <v>2015</v>
      </c>
      <c r="D727" s="30">
        <f>MONTH(BInputReservoir[[#This Row],[Date]])</f>
        <v>11</v>
      </c>
      <c r="E727" s="30">
        <f>IF(I727&lt;&gt;1,"",DATA_INPUT!$M6)</f>
        <v>0</v>
      </c>
      <c r="F727" s="30">
        <f>STORAGE_BALANCE_ENSEMBLE!BB6</f>
        <v>0</v>
      </c>
      <c r="G727" s="30">
        <f>STORAGE_BALANCE_ENSEMBLE!BC6</f>
        <v>0</v>
      </c>
      <c r="H727" s="30">
        <f>STORAGE_BALANCE_ENSEMBLE!BA6</f>
        <v>39024736.908796281</v>
      </c>
      <c r="I727" s="18">
        <f t="shared" ref="I727:I790" si="111">I5</f>
        <v>1</v>
      </c>
      <c r="J727" s="8">
        <f t="shared" si="102"/>
        <v>0</v>
      </c>
      <c r="K727" s="9">
        <f t="shared" si="103"/>
        <v>0</v>
      </c>
      <c r="L727" s="10">
        <f t="shared" si="104"/>
        <v>0</v>
      </c>
      <c r="M727" s="10">
        <f>IF(I727&lt;&gt;1,"",IF(H727="","",H727/CONTROL_PANEL!$B$11))</f>
        <v>0.78049473817592563</v>
      </c>
      <c r="N727" s="9">
        <f t="shared" si="105"/>
        <v>0</v>
      </c>
      <c r="O727" s="9">
        <f t="shared" si="106"/>
        <v>0</v>
      </c>
      <c r="P727" s="9">
        <f t="shared" si="107"/>
        <v>0</v>
      </c>
      <c r="Q727" s="9">
        <f t="shared" si="108"/>
        <v>0</v>
      </c>
      <c r="R727" s="11"/>
      <c r="S727" s="11" t="str">
        <f t="shared" si="109"/>
        <v>PASS</v>
      </c>
    </row>
    <row r="728" spans="1:19" x14ac:dyDescent="0.25">
      <c r="A728" s="30" t="s">
        <v>30</v>
      </c>
      <c r="B728" s="31">
        <f t="shared" si="110"/>
        <v>42339</v>
      </c>
      <c r="C728" s="30">
        <f>YEAR(BInputReservoir[[#This Row],[Date]])</f>
        <v>2015</v>
      </c>
      <c r="D728" s="30">
        <f>MONTH(BInputReservoir[[#This Row],[Date]])</f>
        <v>12</v>
      </c>
      <c r="E728" s="30">
        <f>IF(I728&lt;&gt;1,"",DATA_INPUT!$M7)</f>
        <v>0</v>
      </c>
      <c r="F728" s="30">
        <f>STORAGE_BALANCE_ENSEMBLE!BB7</f>
        <v>0</v>
      </c>
      <c r="G728" s="30">
        <f>STORAGE_BALANCE_ENSEMBLE!BC7</f>
        <v>0</v>
      </c>
      <c r="H728" s="30">
        <f>STORAGE_BALANCE_ENSEMBLE!BA7</f>
        <v>39131395.305964693</v>
      </c>
      <c r="I728" s="18">
        <f t="shared" si="111"/>
        <v>1</v>
      </c>
      <c r="J728" s="8">
        <f t="shared" si="102"/>
        <v>0</v>
      </c>
      <c r="K728" s="9">
        <f t="shared" si="103"/>
        <v>0</v>
      </c>
      <c r="L728" s="10">
        <f t="shared" si="104"/>
        <v>0</v>
      </c>
      <c r="M728" s="10">
        <f>IF(I728&lt;&gt;1,"",IF(H728="","",H728/CONTROL_PANEL!$B$11))</f>
        <v>0.78262790611929389</v>
      </c>
      <c r="N728" s="9">
        <f t="shared" si="105"/>
        <v>0</v>
      </c>
      <c r="O728" s="9">
        <f t="shared" si="106"/>
        <v>0</v>
      </c>
      <c r="P728" s="9">
        <f t="shared" si="107"/>
        <v>0</v>
      </c>
      <c r="Q728" s="9">
        <f t="shared" si="108"/>
        <v>0</v>
      </c>
      <c r="R728" s="11"/>
      <c r="S728" s="11" t="str">
        <f t="shared" si="109"/>
        <v>PASS</v>
      </c>
    </row>
    <row r="729" spans="1:19" x14ac:dyDescent="0.25">
      <c r="A729" s="30" t="s">
        <v>30</v>
      </c>
      <c r="B729" s="31">
        <f t="shared" si="110"/>
        <v>42370</v>
      </c>
      <c r="C729" s="30">
        <f>YEAR(BInputReservoir[[#This Row],[Date]])</f>
        <v>2016</v>
      </c>
      <c r="D729" s="30">
        <f>MONTH(BInputReservoir[[#This Row],[Date]])</f>
        <v>1</v>
      </c>
      <c r="E729" s="30">
        <f>IF(I729&lt;&gt;1,"",DATA_INPUT!$M8)</f>
        <v>0</v>
      </c>
      <c r="F729" s="30">
        <f>STORAGE_BALANCE_ENSEMBLE!BB8</f>
        <v>0</v>
      </c>
      <c r="G729" s="30">
        <f>STORAGE_BALANCE_ENSEMBLE!BC8</f>
        <v>0</v>
      </c>
      <c r="H729" s="30">
        <f>STORAGE_BALANCE_ENSEMBLE!BA8</f>
        <v>39659872.226584911</v>
      </c>
      <c r="I729" s="18">
        <f t="shared" si="111"/>
        <v>1</v>
      </c>
      <c r="J729" s="8">
        <f t="shared" si="102"/>
        <v>0</v>
      </c>
      <c r="K729" s="9">
        <f t="shared" si="103"/>
        <v>0</v>
      </c>
      <c r="L729" s="10">
        <f t="shared" si="104"/>
        <v>0</v>
      </c>
      <c r="M729" s="10">
        <f>IF(I729&lt;&gt;1,"",IF(H729="","",H729/CONTROL_PANEL!$B$11))</f>
        <v>0.79319744453169827</v>
      </c>
      <c r="N729" s="9">
        <f t="shared" si="105"/>
        <v>0</v>
      </c>
      <c r="O729" s="9">
        <f t="shared" si="106"/>
        <v>0</v>
      </c>
      <c r="P729" s="9">
        <f t="shared" si="107"/>
        <v>0</v>
      </c>
      <c r="Q729" s="9">
        <f t="shared" si="108"/>
        <v>0</v>
      </c>
      <c r="R729" s="11"/>
      <c r="S729" s="11" t="str">
        <f t="shared" si="109"/>
        <v>PASS</v>
      </c>
    </row>
    <row r="730" spans="1:19" x14ac:dyDescent="0.25">
      <c r="A730" s="30" t="s">
        <v>30</v>
      </c>
      <c r="B730" s="31">
        <f t="shared" si="110"/>
        <v>42401</v>
      </c>
      <c r="C730" s="30">
        <f>YEAR(BInputReservoir[[#This Row],[Date]])</f>
        <v>2016</v>
      </c>
      <c r="D730" s="30">
        <f>MONTH(BInputReservoir[[#This Row],[Date]])</f>
        <v>2</v>
      </c>
      <c r="E730" s="30">
        <f>IF(I730&lt;&gt;1,"",DATA_INPUT!$M9)</f>
        <v>0</v>
      </c>
      <c r="F730" s="30">
        <f>STORAGE_BALANCE_ENSEMBLE!BB9</f>
        <v>0</v>
      </c>
      <c r="G730" s="30">
        <f>STORAGE_BALANCE_ENSEMBLE!BC9</f>
        <v>0</v>
      </c>
      <c r="H730" s="30">
        <f>STORAGE_BALANCE_ENSEMBLE!BA9</f>
        <v>39951026.353448421</v>
      </c>
      <c r="I730" s="18">
        <f t="shared" si="111"/>
        <v>1</v>
      </c>
      <c r="J730" s="8">
        <f t="shared" si="102"/>
        <v>0</v>
      </c>
      <c r="K730" s="9">
        <f t="shared" si="103"/>
        <v>0</v>
      </c>
      <c r="L730" s="10">
        <f t="shared" si="104"/>
        <v>0</v>
      </c>
      <c r="M730" s="10">
        <f>IF(I730&lt;&gt;1,"",IF(H730="","",H730/CONTROL_PANEL!$B$11))</f>
        <v>0.79902052706896842</v>
      </c>
      <c r="N730" s="9">
        <f t="shared" si="105"/>
        <v>0</v>
      </c>
      <c r="O730" s="9">
        <f t="shared" si="106"/>
        <v>0</v>
      </c>
      <c r="P730" s="9">
        <f t="shared" si="107"/>
        <v>0</v>
      </c>
      <c r="Q730" s="9">
        <f t="shared" si="108"/>
        <v>0</v>
      </c>
      <c r="R730" s="11"/>
      <c r="S730" s="11" t="str">
        <f t="shared" si="109"/>
        <v>PASS</v>
      </c>
    </row>
    <row r="731" spans="1:19" x14ac:dyDescent="0.25">
      <c r="A731" s="30" t="s">
        <v>30</v>
      </c>
      <c r="B731" s="31">
        <f t="shared" si="110"/>
        <v>42430</v>
      </c>
      <c r="C731" s="30">
        <f>YEAR(BInputReservoir[[#This Row],[Date]])</f>
        <v>2016</v>
      </c>
      <c r="D731" s="30">
        <f>MONTH(BInputReservoir[[#This Row],[Date]])</f>
        <v>3</v>
      </c>
      <c r="E731" s="30">
        <f>IF(I731&lt;&gt;1,"",DATA_INPUT!$M10)</f>
        <v>0</v>
      </c>
      <c r="F731" s="30">
        <f>STORAGE_BALANCE_ENSEMBLE!BB10</f>
        <v>0</v>
      </c>
      <c r="G731" s="30">
        <f>STORAGE_BALANCE_ENSEMBLE!BC10</f>
        <v>0</v>
      </c>
      <c r="H731" s="30">
        <f>STORAGE_BALANCE_ENSEMBLE!BA10</f>
        <v>40426903.429343104</v>
      </c>
      <c r="I731" s="18">
        <f t="shared" si="111"/>
        <v>1</v>
      </c>
      <c r="J731" s="8">
        <f t="shared" si="102"/>
        <v>0</v>
      </c>
      <c r="K731" s="9">
        <f t="shared" si="103"/>
        <v>0</v>
      </c>
      <c r="L731" s="10">
        <f t="shared" si="104"/>
        <v>0</v>
      </c>
      <c r="M731" s="10">
        <f>IF(I731&lt;&gt;1,"",IF(H731="","",H731/CONTROL_PANEL!$B$11))</f>
        <v>0.80853806858686206</v>
      </c>
      <c r="N731" s="9">
        <f t="shared" si="105"/>
        <v>0</v>
      </c>
      <c r="O731" s="9">
        <f t="shared" si="106"/>
        <v>0</v>
      </c>
      <c r="P731" s="9">
        <f t="shared" si="107"/>
        <v>0</v>
      </c>
      <c r="Q731" s="9">
        <f t="shared" si="108"/>
        <v>0</v>
      </c>
      <c r="R731" s="11"/>
      <c r="S731" s="11" t="str">
        <f t="shared" si="109"/>
        <v>PASS</v>
      </c>
    </row>
    <row r="732" spans="1:19" x14ac:dyDescent="0.25">
      <c r="A732" s="30" t="s">
        <v>30</v>
      </c>
      <c r="B732" s="31">
        <f t="shared" si="110"/>
        <v>42461</v>
      </c>
      <c r="C732" s="30">
        <f>YEAR(BInputReservoir[[#This Row],[Date]])</f>
        <v>2016</v>
      </c>
      <c r="D732" s="30">
        <f>MONTH(BInputReservoir[[#This Row],[Date]])</f>
        <v>4</v>
      </c>
      <c r="E732" s="30">
        <f>IF(I732&lt;&gt;1,"",DATA_INPUT!$M11)</f>
        <v>21896.076011455199</v>
      </c>
      <c r="F732" s="30">
        <f>STORAGE_BALANCE_ENSEMBLE!BB11</f>
        <v>0</v>
      </c>
      <c r="G732" s="30">
        <f>STORAGE_BALANCE_ENSEMBLE!BC11</f>
        <v>0</v>
      </c>
      <c r="H732" s="30">
        <f>STORAGE_BALANCE_ENSEMBLE!BA11</f>
        <v>41309054.054911643</v>
      </c>
      <c r="I732" s="18">
        <f t="shared" si="111"/>
        <v>1</v>
      </c>
      <c r="J732" s="8">
        <f t="shared" si="102"/>
        <v>21896.076011455199</v>
      </c>
      <c r="K732" s="9">
        <f t="shared" si="103"/>
        <v>0</v>
      </c>
      <c r="L732" s="10">
        <f t="shared" si="104"/>
        <v>0</v>
      </c>
      <c r="M732" s="10">
        <f>IF(I732&lt;&gt;1,"",IF(H732="","",H732/CONTROL_PANEL!$B$11))</f>
        <v>0.82618108109823285</v>
      </c>
      <c r="N732" s="9">
        <f t="shared" si="105"/>
        <v>0</v>
      </c>
      <c r="O732" s="9">
        <f t="shared" si="106"/>
        <v>0</v>
      </c>
      <c r="P732" s="9">
        <f t="shared" si="107"/>
        <v>0</v>
      </c>
      <c r="Q732" s="9">
        <f t="shared" si="108"/>
        <v>0</v>
      </c>
      <c r="R732" s="11"/>
      <c r="S732" s="11" t="str">
        <f t="shared" si="109"/>
        <v>PASS</v>
      </c>
    </row>
    <row r="733" spans="1:19" x14ac:dyDescent="0.25">
      <c r="A733" s="30" t="s">
        <v>30</v>
      </c>
      <c r="B733" s="31">
        <f t="shared" si="110"/>
        <v>42491</v>
      </c>
      <c r="C733" s="30">
        <f>YEAR(BInputReservoir[[#This Row],[Date]])</f>
        <v>2016</v>
      </c>
      <c r="D733" s="30">
        <f>MONTH(BInputReservoir[[#This Row],[Date]])</f>
        <v>5</v>
      </c>
      <c r="E733" s="30">
        <f>IF(I733&lt;&gt;1,"",DATA_INPUT!$M12)</f>
        <v>66127.398579352695</v>
      </c>
      <c r="F733" s="30">
        <f>STORAGE_BALANCE_ENSEMBLE!BB12</f>
        <v>0</v>
      </c>
      <c r="G733" s="30">
        <f>STORAGE_BALANCE_ENSEMBLE!BC12</f>
        <v>0</v>
      </c>
      <c r="H733" s="30">
        <f>STORAGE_BALANCE_ENSEMBLE!BA12</f>
        <v>41608651.503670081</v>
      </c>
      <c r="I733" s="18">
        <f t="shared" si="111"/>
        <v>1</v>
      </c>
      <c r="J733" s="8">
        <f t="shared" si="102"/>
        <v>66127.398579352695</v>
      </c>
      <c r="K733" s="9">
        <f t="shared" si="103"/>
        <v>0</v>
      </c>
      <c r="L733" s="10">
        <f t="shared" si="104"/>
        <v>0</v>
      </c>
      <c r="M733" s="10">
        <f>IF(I733&lt;&gt;1,"",IF(H733="","",H733/CONTROL_PANEL!$B$11))</f>
        <v>0.8321730300734016</v>
      </c>
      <c r="N733" s="9">
        <f t="shared" si="105"/>
        <v>0</v>
      </c>
      <c r="O733" s="9">
        <f t="shared" si="106"/>
        <v>0</v>
      </c>
      <c r="P733" s="9">
        <f t="shared" si="107"/>
        <v>0</v>
      </c>
      <c r="Q733" s="9">
        <f t="shared" si="108"/>
        <v>0</v>
      </c>
      <c r="R733" s="11"/>
      <c r="S733" s="11" t="str">
        <f t="shared" si="109"/>
        <v>PASS</v>
      </c>
    </row>
    <row r="734" spans="1:19" x14ac:dyDescent="0.25">
      <c r="A734" s="30" t="s">
        <v>30</v>
      </c>
      <c r="B734" s="31">
        <f t="shared" si="110"/>
        <v>42522</v>
      </c>
      <c r="C734" s="30">
        <f>YEAR(BInputReservoir[[#This Row],[Date]])</f>
        <v>2016</v>
      </c>
      <c r="D734" s="30">
        <f>MONTH(BInputReservoir[[#This Row],[Date]])</f>
        <v>6</v>
      </c>
      <c r="E734" s="30">
        <f>IF(I734&lt;&gt;1,"",DATA_INPUT!$M13)</f>
        <v>909970.21647610457</v>
      </c>
      <c r="F734" s="30">
        <f>STORAGE_BALANCE_ENSEMBLE!BB13</f>
        <v>0</v>
      </c>
      <c r="G734" s="30">
        <f>STORAGE_BALANCE_ENSEMBLE!BC13</f>
        <v>0</v>
      </c>
      <c r="H734" s="30">
        <f>STORAGE_BALANCE_ENSEMBLE!BA13</f>
        <v>39967032.654746301</v>
      </c>
      <c r="I734" s="18">
        <f t="shared" si="111"/>
        <v>1</v>
      </c>
      <c r="J734" s="8">
        <f t="shared" si="102"/>
        <v>909970.21647610457</v>
      </c>
      <c r="K734" s="9">
        <f t="shared" si="103"/>
        <v>0</v>
      </c>
      <c r="L734" s="10">
        <f t="shared" si="104"/>
        <v>0</v>
      </c>
      <c r="M734" s="10">
        <f>IF(I734&lt;&gt;1,"",IF(H734="","",H734/CONTROL_PANEL!$B$11))</f>
        <v>0.79934065309492608</v>
      </c>
      <c r="N734" s="9">
        <f t="shared" si="105"/>
        <v>0</v>
      </c>
      <c r="O734" s="9">
        <f t="shared" si="106"/>
        <v>0</v>
      </c>
      <c r="P734" s="9">
        <f t="shared" si="107"/>
        <v>0</v>
      </c>
      <c r="Q734" s="9">
        <f t="shared" si="108"/>
        <v>0</v>
      </c>
      <c r="R734" s="11"/>
      <c r="S734" s="11" t="str">
        <f t="shared" si="109"/>
        <v>PASS</v>
      </c>
    </row>
    <row r="735" spans="1:19" x14ac:dyDescent="0.25">
      <c r="A735" s="30" t="s">
        <v>30</v>
      </c>
      <c r="B735" s="31">
        <f t="shared" si="110"/>
        <v>42552</v>
      </c>
      <c r="C735" s="30">
        <f>YEAR(BInputReservoir[[#This Row],[Date]])</f>
        <v>2016</v>
      </c>
      <c r="D735" s="30">
        <f>MONTH(BInputReservoir[[#This Row],[Date]])</f>
        <v>7</v>
      </c>
      <c r="E735" s="30">
        <f>IF(I735&lt;&gt;1,"",DATA_INPUT!$M14)</f>
        <v>1708167.7898383331</v>
      </c>
      <c r="F735" s="30">
        <f>STORAGE_BALANCE_ENSEMBLE!BB14</f>
        <v>0</v>
      </c>
      <c r="G735" s="30">
        <f>STORAGE_BALANCE_ENSEMBLE!BC14</f>
        <v>0</v>
      </c>
      <c r="H735" s="30">
        <f>STORAGE_BALANCE_ENSEMBLE!BA14</f>
        <v>37365406.102721713</v>
      </c>
      <c r="I735" s="18">
        <f t="shared" si="111"/>
        <v>1</v>
      </c>
      <c r="J735" s="8">
        <f t="shared" si="102"/>
        <v>1708167.7898383331</v>
      </c>
      <c r="K735" s="9">
        <f t="shared" si="103"/>
        <v>0</v>
      </c>
      <c r="L735" s="10">
        <f t="shared" si="104"/>
        <v>0</v>
      </c>
      <c r="M735" s="10">
        <f>IF(I735&lt;&gt;1,"",IF(H735="","",H735/CONTROL_PANEL!$B$11))</f>
        <v>0.74730812205443431</v>
      </c>
      <c r="N735" s="9">
        <f t="shared" si="105"/>
        <v>0</v>
      </c>
      <c r="O735" s="9">
        <f t="shared" si="106"/>
        <v>0</v>
      </c>
      <c r="P735" s="9">
        <f t="shared" si="107"/>
        <v>0</v>
      </c>
      <c r="Q735" s="9">
        <f t="shared" si="108"/>
        <v>0</v>
      </c>
      <c r="R735" s="11"/>
      <c r="S735" s="11" t="str">
        <f t="shared" si="109"/>
        <v>PASS</v>
      </c>
    </row>
    <row r="736" spans="1:19" x14ac:dyDescent="0.25">
      <c r="A736" s="30" t="s">
        <v>30</v>
      </c>
      <c r="B736" s="31">
        <f t="shared" si="110"/>
        <v>42583</v>
      </c>
      <c r="C736" s="30">
        <f>YEAR(BInputReservoir[[#This Row],[Date]])</f>
        <v>2016</v>
      </c>
      <c r="D736" s="30">
        <f>MONTH(BInputReservoir[[#This Row],[Date]])</f>
        <v>8</v>
      </c>
      <c r="E736" s="30">
        <f>IF(I736&lt;&gt;1,"",DATA_INPUT!$M15)</f>
        <v>2090837.8020631503</v>
      </c>
      <c r="F736" s="30">
        <f>STORAGE_BALANCE_ENSEMBLE!BB15</f>
        <v>0</v>
      </c>
      <c r="G736" s="30">
        <f>STORAGE_BALANCE_ENSEMBLE!BC15</f>
        <v>0</v>
      </c>
      <c r="H736" s="30">
        <f>STORAGE_BALANCE_ENSEMBLE!BA15</f>
        <v>34391609.064303905</v>
      </c>
      <c r="I736" s="18">
        <f t="shared" si="111"/>
        <v>1</v>
      </c>
      <c r="J736" s="8">
        <f t="shared" si="102"/>
        <v>2090837.8020631503</v>
      </c>
      <c r="K736" s="9">
        <f t="shared" si="103"/>
        <v>0</v>
      </c>
      <c r="L736" s="10">
        <f t="shared" si="104"/>
        <v>0</v>
      </c>
      <c r="M736" s="10">
        <f>IF(I736&lt;&gt;1,"",IF(H736="","",H736/CONTROL_PANEL!$B$11))</f>
        <v>0.68783218128607815</v>
      </c>
      <c r="N736" s="9">
        <f t="shared" si="105"/>
        <v>0</v>
      </c>
      <c r="O736" s="9">
        <f t="shared" si="106"/>
        <v>0</v>
      </c>
      <c r="P736" s="9">
        <f t="shared" si="107"/>
        <v>0</v>
      </c>
      <c r="Q736" s="9">
        <f t="shared" si="108"/>
        <v>0</v>
      </c>
      <c r="R736" s="11"/>
      <c r="S736" s="11" t="str">
        <f t="shared" si="109"/>
        <v>PASS</v>
      </c>
    </row>
    <row r="737" spans="1:19" x14ac:dyDescent="0.25">
      <c r="A737" s="30" t="s">
        <v>30</v>
      </c>
      <c r="B737" s="31">
        <f t="shared" si="110"/>
        <v>42614</v>
      </c>
      <c r="C737" s="30">
        <f>YEAR(BInputReservoir[[#This Row],[Date]])</f>
        <v>2016</v>
      </c>
      <c r="D737" s="30">
        <f>MONTH(BInputReservoir[[#This Row],[Date]])</f>
        <v>9</v>
      </c>
      <c r="E737" s="30">
        <f>IF(I737&lt;&gt;1,"",DATA_INPUT!$M16)</f>
        <v>847085.6188665427</v>
      </c>
      <c r="F737" s="30">
        <f>STORAGE_BALANCE_ENSEMBLE!BB16</f>
        <v>0</v>
      </c>
      <c r="G737" s="30">
        <f>STORAGE_BALANCE_ENSEMBLE!BC16</f>
        <v>0</v>
      </c>
      <c r="H737" s="30">
        <f>STORAGE_BALANCE_ENSEMBLE!BA16</f>
        <v>33016918.219729103</v>
      </c>
      <c r="I737" s="18">
        <f t="shared" si="111"/>
        <v>1</v>
      </c>
      <c r="J737" s="8">
        <f t="shared" si="102"/>
        <v>847085.6188665427</v>
      </c>
      <c r="K737" s="9">
        <f t="shared" si="103"/>
        <v>0</v>
      </c>
      <c r="L737" s="10">
        <f t="shared" si="104"/>
        <v>0</v>
      </c>
      <c r="M737" s="10">
        <f>IF(I737&lt;&gt;1,"",IF(H737="","",H737/CONTROL_PANEL!$B$11))</f>
        <v>0.66033836439458204</v>
      </c>
      <c r="N737" s="9">
        <f t="shared" si="105"/>
        <v>0</v>
      </c>
      <c r="O737" s="9">
        <f t="shared" si="106"/>
        <v>0</v>
      </c>
      <c r="P737" s="9">
        <f t="shared" si="107"/>
        <v>0</v>
      </c>
      <c r="Q737" s="9">
        <f t="shared" si="108"/>
        <v>0</v>
      </c>
      <c r="R737" s="11"/>
      <c r="S737" s="11" t="str">
        <f t="shared" si="109"/>
        <v>PASS</v>
      </c>
    </row>
    <row r="738" spans="1:19" x14ac:dyDescent="0.25">
      <c r="A738" s="30" t="s">
        <v>30</v>
      </c>
      <c r="B738" s="31">
        <f t="shared" si="110"/>
        <v>42644</v>
      </c>
      <c r="C738" s="30">
        <f>YEAR(BInputReservoir[[#This Row],[Date]])</f>
        <v>2016</v>
      </c>
      <c r="D738" s="30">
        <f>MONTH(BInputReservoir[[#This Row],[Date]])</f>
        <v>10</v>
      </c>
      <c r="E738" s="30">
        <f>IF(I738&lt;&gt;1,"",DATA_INPUT!$M17)</f>
        <v>278313.40556146292</v>
      </c>
      <c r="F738" s="30">
        <f>STORAGE_BALANCE_ENSEMBLE!BB17</f>
        <v>0</v>
      </c>
      <c r="G738" s="30">
        <f>STORAGE_BALANCE_ENSEMBLE!BC17</f>
        <v>0</v>
      </c>
      <c r="H738" s="30">
        <f>STORAGE_BALANCE_ENSEMBLE!BA17</f>
        <v>32695557.076383062</v>
      </c>
      <c r="I738" s="18">
        <f t="shared" si="111"/>
        <v>1</v>
      </c>
      <c r="J738" s="8">
        <f t="shared" si="102"/>
        <v>278313.40556146292</v>
      </c>
      <c r="K738" s="9">
        <f t="shared" si="103"/>
        <v>0</v>
      </c>
      <c r="L738" s="10">
        <f t="shared" si="104"/>
        <v>0</v>
      </c>
      <c r="M738" s="10">
        <f>IF(I738&lt;&gt;1,"",IF(H738="","",H738/CONTROL_PANEL!$B$11))</f>
        <v>0.65391114152766128</v>
      </c>
      <c r="N738" s="9">
        <f t="shared" si="105"/>
        <v>0</v>
      </c>
      <c r="O738" s="9">
        <f t="shared" si="106"/>
        <v>0</v>
      </c>
      <c r="P738" s="9">
        <f t="shared" si="107"/>
        <v>0</v>
      </c>
      <c r="Q738" s="9">
        <f t="shared" si="108"/>
        <v>0</v>
      </c>
      <c r="R738" s="11"/>
      <c r="S738" s="11" t="str">
        <f t="shared" si="109"/>
        <v>PASS</v>
      </c>
    </row>
    <row r="739" spans="1:19" x14ac:dyDescent="0.25">
      <c r="A739" s="30" t="s">
        <v>30</v>
      </c>
      <c r="B739" s="31">
        <f t="shared" si="110"/>
        <v>42675</v>
      </c>
      <c r="C739" s="30">
        <f>YEAR(BInputReservoir[[#This Row],[Date]])</f>
        <v>2016</v>
      </c>
      <c r="D739" s="30">
        <f>MONTH(BInputReservoir[[#This Row],[Date]])</f>
        <v>11</v>
      </c>
      <c r="E739" s="30">
        <f>IF(I739&lt;&gt;1,"",DATA_INPUT!$M18)</f>
        <v>0</v>
      </c>
      <c r="F739" s="30">
        <f>STORAGE_BALANCE_ENSEMBLE!BB18</f>
        <v>0</v>
      </c>
      <c r="G739" s="30">
        <f>STORAGE_BALANCE_ENSEMBLE!BC18</f>
        <v>0</v>
      </c>
      <c r="H739" s="30">
        <f>STORAGE_BALANCE_ENSEMBLE!BA18</f>
        <v>32897350.041450873</v>
      </c>
      <c r="I739" s="18">
        <f t="shared" si="111"/>
        <v>1</v>
      </c>
      <c r="J739" s="8">
        <f t="shared" si="102"/>
        <v>0</v>
      </c>
      <c r="K739" s="9">
        <f t="shared" si="103"/>
        <v>0</v>
      </c>
      <c r="L739" s="10">
        <f t="shared" si="104"/>
        <v>0</v>
      </c>
      <c r="M739" s="10">
        <f>IF(I739&lt;&gt;1,"",IF(H739="","",H739/CONTROL_PANEL!$B$11))</f>
        <v>0.65794700082901747</v>
      </c>
      <c r="N739" s="9">
        <f t="shared" si="105"/>
        <v>0</v>
      </c>
      <c r="O739" s="9">
        <f t="shared" si="106"/>
        <v>0</v>
      </c>
      <c r="P739" s="9">
        <f t="shared" si="107"/>
        <v>0</v>
      </c>
      <c r="Q739" s="9">
        <f t="shared" si="108"/>
        <v>0</v>
      </c>
      <c r="R739" s="11"/>
      <c r="S739" s="11" t="str">
        <f t="shared" si="109"/>
        <v>PASS</v>
      </c>
    </row>
    <row r="740" spans="1:19" x14ac:dyDescent="0.25">
      <c r="A740" s="30" t="s">
        <v>30</v>
      </c>
      <c r="B740" s="31">
        <f t="shared" si="110"/>
        <v>42705</v>
      </c>
      <c r="C740" s="30">
        <f>YEAR(BInputReservoir[[#This Row],[Date]])</f>
        <v>2016</v>
      </c>
      <c r="D740" s="30">
        <f>MONTH(BInputReservoir[[#This Row],[Date]])</f>
        <v>12</v>
      </c>
      <c r="E740" s="30">
        <f>IF(I740&lt;&gt;1,"",DATA_INPUT!$M19)</f>
        <v>0</v>
      </c>
      <c r="F740" s="30">
        <f>STORAGE_BALANCE_ENSEMBLE!BB19</f>
        <v>0</v>
      </c>
      <c r="G740" s="30">
        <f>STORAGE_BALANCE_ENSEMBLE!BC19</f>
        <v>0</v>
      </c>
      <c r="H740" s="30">
        <f>STORAGE_BALANCE_ENSEMBLE!BA19</f>
        <v>33069949.155228224</v>
      </c>
      <c r="I740" s="18">
        <f t="shared" si="111"/>
        <v>1</v>
      </c>
      <c r="J740" s="8">
        <f t="shared" si="102"/>
        <v>0</v>
      </c>
      <c r="K740" s="9">
        <f t="shared" si="103"/>
        <v>0</v>
      </c>
      <c r="L740" s="10">
        <f t="shared" si="104"/>
        <v>0</v>
      </c>
      <c r="M740" s="10">
        <f>IF(I740&lt;&gt;1,"",IF(H740="","",H740/CONTROL_PANEL!$B$11))</f>
        <v>0.66139898310456446</v>
      </c>
      <c r="N740" s="9">
        <f t="shared" si="105"/>
        <v>0</v>
      </c>
      <c r="O740" s="9">
        <f t="shared" si="106"/>
        <v>0</v>
      </c>
      <c r="P740" s="9">
        <f t="shared" si="107"/>
        <v>0</v>
      </c>
      <c r="Q740" s="9">
        <f t="shared" si="108"/>
        <v>0</v>
      </c>
      <c r="R740" s="11"/>
      <c r="S740" s="11" t="str">
        <f t="shared" si="109"/>
        <v>PASS</v>
      </c>
    </row>
    <row r="741" spans="1:19" x14ac:dyDescent="0.25">
      <c r="A741" s="30" t="s">
        <v>30</v>
      </c>
      <c r="B741" s="31">
        <f t="shared" si="110"/>
        <v>42736</v>
      </c>
      <c r="C741" s="30">
        <f>YEAR(BInputReservoir[[#This Row],[Date]])</f>
        <v>2017</v>
      </c>
      <c r="D741" s="30">
        <f>MONTH(BInputReservoir[[#This Row],[Date]])</f>
        <v>1</v>
      </c>
      <c r="E741" s="30">
        <f>IF(I741&lt;&gt;1,"",DATA_INPUT!$M20)</f>
        <v>0</v>
      </c>
      <c r="F741" s="30">
        <f>STORAGE_BALANCE_ENSEMBLE!BB20</f>
        <v>0</v>
      </c>
      <c r="G741" s="30">
        <f>STORAGE_BALANCE_ENSEMBLE!BC20</f>
        <v>0</v>
      </c>
      <c r="H741" s="30">
        <f>STORAGE_BALANCE_ENSEMBLE!BA20</f>
        <v>33182905.357842229</v>
      </c>
      <c r="I741" s="18">
        <f t="shared" si="111"/>
        <v>1</v>
      </c>
      <c r="J741" s="8">
        <f t="shared" si="102"/>
        <v>0</v>
      </c>
      <c r="K741" s="9">
        <f t="shared" si="103"/>
        <v>0</v>
      </c>
      <c r="L741" s="10">
        <f t="shared" si="104"/>
        <v>0</v>
      </c>
      <c r="M741" s="10">
        <f>IF(I741&lt;&gt;1,"",IF(H741="","",H741/CONTROL_PANEL!$B$11))</f>
        <v>0.66365810715684459</v>
      </c>
      <c r="N741" s="9">
        <f t="shared" si="105"/>
        <v>0</v>
      </c>
      <c r="O741" s="9">
        <f t="shared" si="106"/>
        <v>0</v>
      </c>
      <c r="P741" s="9">
        <f t="shared" si="107"/>
        <v>0</v>
      </c>
      <c r="Q741" s="9">
        <f t="shared" si="108"/>
        <v>0</v>
      </c>
      <c r="R741" s="11"/>
      <c r="S741" s="11" t="str">
        <f t="shared" si="109"/>
        <v>PASS</v>
      </c>
    </row>
    <row r="742" spans="1:19" x14ac:dyDescent="0.25">
      <c r="A742" s="30" t="s">
        <v>30</v>
      </c>
      <c r="B742" s="31">
        <f t="shared" si="110"/>
        <v>42767</v>
      </c>
      <c r="C742" s="30">
        <f>YEAR(BInputReservoir[[#This Row],[Date]])</f>
        <v>2017</v>
      </c>
      <c r="D742" s="30">
        <f>MONTH(BInputReservoir[[#This Row],[Date]])</f>
        <v>2</v>
      </c>
      <c r="E742" s="30">
        <f>IF(I742&lt;&gt;1,"",DATA_INPUT!$M21)</f>
        <v>0</v>
      </c>
      <c r="F742" s="30">
        <f>STORAGE_BALANCE_ENSEMBLE!BB21</f>
        <v>0</v>
      </c>
      <c r="G742" s="30">
        <f>STORAGE_BALANCE_ENSEMBLE!BC21</f>
        <v>0</v>
      </c>
      <c r="H742" s="30">
        <f>STORAGE_BALANCE_ENSEMBLE!BA21</f>
        <v>33644698.82973779</v>
      </c>
      <c r="I742" s="18">
        <f t="shared" si="111"/>
        <v>1</v>
      </c>
      <c r="J742" s="8">
        <f t="shared" si="102"/>
        <v>0</v>
      </c>
      <c r="K742" s="9">
        <f t="shared" si="103"/>
        <v>0</v>
      </c>
      <c r="L742" s="10">
        <f t="shared" si="104"/>
        <v>0</v>
      </c>
      <c r="M742" s="10">
        <f>IF(I742&lt;&gt;1,"",IF(H742="","",H742/CONTROL_PANEL!$B$11))</f>
        <v>0.6728939765947558</v>
      </c>
      <c r="N742" s="9">
        <f t="shared" si="105"/>
        <v>0</v>
      </c>
      <c r="O742" s="9">
        <f t="shared" si="106"/>
        <v>0</v>
      </c>
      <c r="P742" s="9">
        <f t="shared" si="107"/>
        <v>0</v>
      </c>
      <c r="Q742" s="9">
        <f t="shared" si="108"/>
        <v>0</v>
      </c>
      <c r="R742" s="11"/>
      <c r="S742" s="11" t="str">
        <f t="shared" si="109"/>
        <v>PASS</v>
      </c>
    </row>
    <row r="743" spans="1:19" x14ac:dyDescent="0.25">
      <c r="A743" s="30" t="s">
        <v>30</v>
      </c>
      <c r="B743" s="31">
        <f t="shared" si="110"/>
        <v>42795</v>
      </c>
      <c r="C743" s="30">
        <f>YEAR(BInputReservoir[[#This Row],[Date]])</f>
        <v>2017</v>
      </c>
      <c r="D743" s="30">
        <f>MONTH(BInputReservoir[[#This Row],[Date]])</f>
        <v>3</v>
      </c>
      <c r="E743" s="30">
        <f>IF(I743&lt;&gt;1,"",DATA_INPUT!$M22)</f>
        <v>0</v>
      </c>
      <c r="F743" s="30">
        <f>STORAGE_BALANCE_ENSEMBLE!BB22</f>
        <v>0</v>
      </c>
      <c r="G743" s="30">
        <f>STORAGE_BALANCE_ENSEMBLE!BC22</f>
        <v>0</v>
      </c>
      <c r="H743" s="30">
        <f>STORAGE_BALANCE_ENSEMBLE!BA22</f>
        <v>33937820.051030345</v>
      </c>
      <c r="I743" s="18">
        <f t="shared" si="111"/>
        <v>1</v>
      </c>
      <c r="J743" s="8">
        <f t="shared" si="102"/>
        <v>0</v>
      </c>
      <c r="K743" s="9">
        <f t="shared" si="103"/>
        <v>0</v>
      </c>
      <c r="L743" s="10">
        <f t="shared" si="104"/>
        <v>0</v>
      </c>
      <c r="M743" s="10">
        <f>IF(I743&lt;&gt;1,"",IF(H743="","",H743/CONTROL_PANEL!$B$11))</f>
        <v>0.67875640102060686</v>
      </c>
      <c r="N743" s="9">
        <f t="shared" si="105"/>
        <v>0</v>
      </c>
      <c r="O743" s="9">
        <f t="shared" si="106"/>
        <v>0</v>
      </c>
      <c r="P743" s="9">
        <f t="shared" si="107"/>
        <v>0</v>
      </c>
      <c r="Q743" s="9">
        <f t="shared" si="108"/>
        <v>0</v>
      </c>
      <c r="R743" s="11"/>
      <c r="S743" s="11" t="str">
        <f t="shared" si="109"/>
        <v>PASS</v>
      </c>
    </row>
    <row r="744" spans="1:19" x14ac:dyDescent="0.25">
      <c r="A744" s="30" t="s">
        <v>30</v>
      </c>
      <c r="B744" s="31">
        <f t="shared" si="110"/>
        <v>42826</v>
      </c>
      <c r="C744" s="30">
        <f>YEAR(BInputReservoir[[#This Row],[Date]])</f>
        <v>2017</v>
      </c>
      <c r="D744" s="30">
        <f>MONTH(BInputReservoir[[#This Row],[Date]])</f>
        <v>4</v>
      </c>
      <c r="E744" s="30">
        <f>IF(I744&lt;&gt;1,"",DATA_INPUT!$M23)</f>
        <v>241751.84947104924</v>
      </c>
      <c r="F744" s="30">
        <f>STORAGE_BALANCE_ENSEMBLE!BB23</f>
        <v>0</v>
      </c>
      <c r="G744" s="30">
        <f>STORAGE_BALANCE_ENSEMBLE!BC23</f>
        <v>0</v>
      </c>
      <c r="H744" s="30">
        <f>STORAGE_BALANCE_ENSEMBLE!BA23</f>
        <v>33366246.273709279</v>
      </c>
      <c r="I744" s="18">
        <f t="shared" si="111"/>
        <v>1</v>
      </c>
      <c r="J744" s="8">
        <f t="shared" si="102"/>
        <v>241751.84947104924</v>
      </c>
      <c r="K744" s="9">
        <f t="shared" si="103"/>
        <v>0</v>
      </c>
      <c r="L744" s="10">
        <f t="shared" si="104"/>
        <v>0</v>
      </c>
      <c r="M744" s="10">
        <f>IF(I744&lt;&gt;1,"",IF(H744="","",H744/CONTROL_PANEL!$B$11))</f>
        <v>0.66732492547418554</v>
      </c>
      <c r="N744" s="9">
        <f t="shared" si="105"/>
        <v>0</v>
      </c>
      <c r="O744" s="9">
        <f t="shared" si="106"/>
        <v>0</v>
      </c>
      <c r="P744" s="9">
        <f t="shared" si="107"/>
        <v>0</v>
      </c>
      <c r="Q744" s="9">
        <f t="shared" si="108"/>
        <v>0</v>
      </c>
      <c r="R744" s="11"/>
      <c r="S744" s="11" t="str">
        <f t="shared" si="109"/>
        <v>PASS</v>
      </c>
    </row>
    <row r="745" spans="1:19" x14ac:dyDescent="0.25">
      <c r="A745" s="30" t="s">
        <v>30</v>
      </c>
      <c r="B745" s="31">
        <f t="shared" si="110"/>
        <v>42856</v>
      </c>
      <c r="C745" s="30">
        <f>YEAR(BInputReservoir[[#This Row],[Date]])</f>
        <v>2017</v>
      </c>
      <c r="D745" s="30">
        <f>MONTH(BInputReservoir[[#This Row],[Date]])</f>
        <v>5</v>
      </c>
      <c r="E745" s="30">
        <f>IF(I745&lt;&gt;1,"",DATA_INPUT!$M24)</f>
        <v>211465.59301805965</v>
      </c>
      <c r="F745" s="30">
        <f>STORAGE_BALANCE_ENSEMBLE!BB24</f>
        <v>0</v>
      </c>
      <c r="G745" s="30">
        <f>STORAGE_BALANCE_ENSEMBLE!BC24</f>
        <v>0</v>
      </c>
      <c r="H745" s="30">
        <f>STORAGE_BALANCE_ENSEMBLE!BA24</f>
        <v>32917141.455699548</v>
      </c>
      <c r="I745" s="18">
        <f t="shared" si="111"/>
        <v>1</v>
      </c>
      <c r="J745" s="8">
        <f t="shared" si="102"/>
        <v>211465.59301805965</v>
      </c>
      <c r="K745" s="9">
        <f t="shared" si="103"/>
        <v>0</v>
      </c>
      <c r="L745" s="10">
        <f t="shared" si="104"/>
        <v>0</v>
      </c>
      <c r="M745" s="10">
        <f>IF(I745&lt;&gt;1,"",IF(H745="","",H745/CONTROL_PANEL!$B$11))</f>
        <v>0.658342829113991</v>
      </c>
      <c r="N745" s="9">
        <f t="shared" si="105"/>
        <v>0</v>
      </c>
      <c r="O745" s="9">
        <f t="shared" si="106"/>
        <v>0</v>
      </c>
      <c r="P745" s="9">
        <f t="shared" si="107"/>
        <v>0</v>
      </c>
      <c r="Q745" s="9">
        <f t="shared" si="108"/>
        <v>0</v>
      </c>
      <c r="R745" s="11"/>
      <c r="S745" s="11" t="str">
        <f t="shared" si="109"/>
        <v>PASS</v>
      </c>
    </row>
    <row r="746" spans="1:19" x14ac:dyDescent="0.25">
      <c r="A746" s="30" t="s">
        <v>30</v>
      </c>
      <c r="B746" s="31">
        <f t="shared" si="110"/>
        <v>42887</v>
      </c>
      <c r="C746" s="30">
        <f>YEAR(BInputReservoir[[#This Row],[Date]])</f>
        <v>2017</v>
      </c>
      <c r="D746" s="30">
        <f>MONTH(BInputReservoir[[#This Row],[Date]])</f>
        <v>6</v>
      </c>
      <c r="E746" s="30">
        <f>IF(I746&lt;&gt;1,"",DATA_INPUT!$M25)</f>
        <v>1165726.0794845573</v>
      </c>
      <c r="F746" s="30">
        <f>STORAGE_BALANCE_ENSEMBLE!BB25</f>
        <v>0</v>
      </c>
      <c r="G746" s="30">
        <f>STORAGE_BALANCE_ENSEMBLE!BC25</f>
        <v>0</v>
      </c>
      <c r="H746" s="30">
        <f>STORAGE_BALANCE_ENSEMBLE!BA25</f>
        <v>31048714.897926029</v>
      </c>
      <c r="I746" s="18">
        <f t="shared" si="111"/>
        <v>1</v>
      </c>
      <c r="J746" s="8">
        <f t="shared" si="102"/>
        <v>1165726.0794845573</v>
      </c>
      <c r="K746" s="9">
        <f t="shared" si="103"/>
        <v>0</v>
      </c>
      <c r="L746" s="10">
        <f t="shared" si="104"/>
        <v>0</v>
      </c>
      <c r="M746" s="10">
        <f>IF(I746&lt;&gt;1,"",IF(H746="","",H746/CONTROL_PANEL!$B$11))</f>
        <v>0.62097429795852055</v>
      </c>
      <c r="N746" s="9">
        <f t="shared" si="105"/>
        <v>0</v>
      </c>
      <c r="O746" s="9">
        <f t="shared" si="106"/>
        <v>0</v>
      </c>
      <c r="P746" s="9">
        <f t="shared" si="107"/>
        <v>0</v>
      </c>
      <c r="Q746" s="9">
        <f t="shared" si="108"/>
        <v>0</v>
      </c>
      <c r="R746" s="11"/>
      <c r="S746" s="11" t="str">
        <f t="shared" si="109"/>
        <v>PASS</v>
      </c>
    </row>
    <row r="747" spans="1:19" x14ac:dyDescent="0.25">
      <c r="A747" s="30" t="s">
        <v>30</v>
      </c>
      <c r="B747" s="31">
        <f t="shared" si="110"/>
        <v>42917</v>
      </c>
      <c r="C747" s="30">
        <f>YEAR(BInputReservoir[[#This Row],[Date]])</f>
        <v>2017</v>
      </c>
      <c r="D747" s="30">
        <f>MONTH(BInputReservoir[[#This Row],[Date]])</f>
        <v>7</v>
      </c>
      <c r="E747" s="30">
        <f>IF(I747&lt;&gt;1,"",DATA_INPUT!$M26)</f>
        <v>2136483.9421410291</v>
      </c>
      <c r="F747" s="30">
        <f>STORAGE_BALANCE_ENSEMBLE!BB26</f>
        <v>0</v>
      </c>
      <c r="G747" s="30">
        <f>STORAGE_BALANCE_ENSEMBLE!BC26</f>
        <v>0</v>
      </c>
      <c r="H747" s="30">
        <f>STORAGE_BALANCE_ENSEMBLE!BA26</f>
        <v>28120475.165595319</v>
      </c>
      <c r="I747" s="18">
        <f t="shared" si="111"/>
        <v>1</v>
      </c>
      <c r="J747" s="8">
        <f t="shared" si="102"/>
        <v>2136483.9421410291</v>
      </c>
      <c r="K747" s="9">
        <f t="shared" si="103"/>
        <v>0</v>
      </c>
      <c r="L747" s="10">
        <f t="shared" si="104"/>
        <v>0</v>
      </c>
      <c r="M747" s="10">
        <f>IF(I747&lt;&gt;1,"",IF(H747="","",H747/CONTROL_PANEL!$B$11))</f>
        <v>0.56240950331190642</v>
      </c>
      <c r="N747" s="9">
        <f t="shared" si="105"/>
        <v>0</v>
      </c>
      <c r="O747" s="9">
        <f t="shared" si="106"/>
        <v>0</v>
      </c>
      <c r="P747" s="9">
        <f t="shared" si="107"/>
        <v>0</v>
      </c>
      <c r="Q747" s="9">
        <f t="shared" si="108"/>
        <v>0</v>
      </c>
      <c r="R747" s="11"/>
      <c r="S747" s="11" t="str">
        <f t="shared" si="109"/>
        <v>PASS</v>
      </c>
    </row>
    <row r="748" spans="1:19" x14ac:dyDescent="0.25">
      <c r="A748" s="30" t="s">
        <v>30</v>
      </c>
      <c r="B748" s="31">
        <f t="shared" si="110"/>
        <v>42948</v>
      </c>
      <c r="C748" s="30">
        <f>YEAR(BInputReservoir[[#This Row],[Date]])</f>
        <v>2017</v>
      </c>
      <c r="D748" s="30">
        <f>MONTH(BInputReservoir[[#This Row],[Date]])</f>
        <v>8</v>
      </c>
      <c r="E748" s="30">
        <f>IF(I748&lt;&gt;1,"",DATA_INPUT!$M27)</f>
        <v>1403083.8758215883</v>
      </c>
      <c r="F748" s="30">
        <f>STORAGE_BALANCE_ENSEMBLE!BB27</f>
        <v>0</v>
      </c>
      <c r="G748" s="30">
        <f>STORAGE_BALANCE_ENSEMBLE!BC27</f>
        <v>0</v>
      </c>
      <c r="H748" s="30">
        <f>STORAGE_BALANCE_ENSEMBLE!BA27</f>
        <v>26052134.376990005</v>
      </c>
      <c r="I748" s="18">
        <f t="shared" si="111"/>
        <v>1</v>
      </c>
      <c r="J748" s="8">
        <f t="shared" si="102"/>
        <v>1403083.8758215883</v>
      </c>
      <c r="K748" s="9">
        <f t="shared" si="103"/>
        <v>0</v>
      </c>
      <c r="L748" s="10">
        <f t="shared" si="104"/>
        <v>0</v>
      </c>
      <c r="M748" s="10">
        <f>IF(I748&lt;&gt;1,"",IF(H748="","",H748/CONTROL_PANEL!$B$11))</f>
        <v>0.5210426875398001</v>
      </c>
      <c r="N748" s="9">
        <f t="shared" si="105"/>
        <v>0</v>
      </c>
      <c r="O748" s="9">
        <f t="shared" si="106"/>
        <v>0</v>
      </c>
      <c r="P748" s="9">
        <f t="shared" si="107"/>
        <v>0</v>
      </c>
      <c r="Q748" s="9">
        <f t="shared" si="108"/>
        <v>0</v>
      </c>
      <c r="R748" s="11"/>
      <c r="S748" s="11" t="str">
        <f t="shared" si="109"/>
        <v>PASS</v>
      </c>
    </row>
    <row r="749" spans="1:19" x14ac:dyDescent="0.25">
      <c r="A749" s="30" t="s">
        <v>30</v>
      </c>
      <c r="B749" s="31">
        <f t="shared" si="110"/>
        <v>42979</v>
      </c>
      <c r="C749" s="30">
        <f>YEAR(BInputReservoir[[#This Row],[Date]])</f>
        <v>2017</v>
      </c>
      <c r="D749" s="30">
        <f>MONTH(BInputReservoir[[#This Row],[Date]])</f>
        <v>9</v>
      </c>
      <c r="E749" s="30">
        <f>IF(I749&lt;&gt;1,"",DATA_INPUT!$M28)</f>
        <v>833774.45707630285</v>
      </c>
      <c r="F749" s="30">
        <f>STORAGE_BALANCE_ENSEMBLE!BB28</f>
        <v>0</v>
      </c>
      <c r="G749" s="30">
        <f>STORAGE_BALANCE_ENSEMBLE!BC28</f>
        <v>0</v>
      </c>
      <c r="H749" s="30">
        <f>STORAGE_BALANCE_ENSEMBLE!BA28</f>
        <v>24745744.345916852</v>
      </c>
      <c r="I749" s="18">
        <f t="shared" si="111"/>
        <v>1</v>
      </c>
      <c r="J749" s="8">
        <f t="shared" si="102"/>
        <v>833774.45707630285</v>
      </c>
      <c r="K749" s="9">
        <f t="shared" si="103"/>
        <v>0</v>
      </c>
      <c r="L749" s="10">
        <f t="shared" si="104"/>
        <v>0</v>
      </c>
      <c r="M749" s="10">
        <f>IF(I749&lt;&gt;1,"",IF(H749="","",H749/CONTROL_PANEL!$B$11))</f>
        <v>0.49491488691833707</v>
      </c>
      <c r="N749" s="9">
        <f t="shared" si="105"/>
        <v>0</v>
      </c>
      <c r="O749" s="9">
        <f t="shared" si="106"/>
        <v>0</v>
      </c>
      <c r="P749" s="9">
        <f t="shared" si="107"/>
        <v>0</v>
      </c>
      <c r="Q749" s="9">
        <f t="shared" si="108"/>
        <v>0</v>
      </c>
      <c r="R749" s="11"/>
      <c r="S749" s="11" t="str">
        <f t="shared" si="109"/>
        <v>PASS</v>
      </c>
    </row>
    <row r="750" spans="1:19" x14ac:dyDescent="0.25">
      <c r="A750" s="30" t="s">
        <v>30</v>
      </c>
      <c r="B750" s="31">
        <f t="shared" si="110"/>
        <v>43009</v>
      </c>
      <c r="C750" s="30">
        <f>YEAR(BInputReservoir[[#This Row],[Date]])</f>
        <v>2017</v>
      </c>
      <c r="D750" s="30">
        <f>MONTH(BInputReservoir[[#This Row],[Date]])</f>
        <v>10</v>
      </c>
      <c r="E750" s="30">
        <f>IF(I750&lt;&gt;1,"",DATA_INPUT!$M29)</f>
        <v>356110.41609638475</v>
      </c>
      <c r="F750" s="30">
        <f>STORAGE_BALANCE_ENSEMBLE!BB29</f>
        <v>0</v>
      </c>
      <c r="G750" s="30">
        <f>STORAGE_BALANCE_ENSEMBLE!BC29</f>
        <v>0</v>
      </c>
      <c r="H750" s="30">
        <f>STORAGE_BALANCE_ENSEMBLE!BA29</f>
        <v>24207555.135518048</v>
      </c>
      <c r="I750" s="18">
        <f t="shared" si="111"/>
        <v>1</v>
      </c>
      <c r="J750" s="8">
        <f t="shared" si="102"/>
        <v>356110.41609638475</v>
      </c>
      <c r="K750" s="9">
        <f t="shared" si="103"/>
        <v>0</v>
      </c>
      <c r="L750" s="10">
        <f t="shared" si="104"/>
        <v>0</v>
      </c>
      <c r="M750" s="10">
        <f>IF(I750&lt;&gt;1,"",IF(H750="","",H750/CONTROL_PANEL!$B$11))</f>
        <v>0.48415110271036094</v>
      </c>
      <c r="N750" s="9">
        <f t="shared" si="105"/>
        <v>0</v>
      </c>
      <c r="O750" s="9">
        <f t="shared" si="106"/>
        <v>0</v>
      </c>
      <c r="P750" s="9">
        <f t="shared" si="107"/>
        <v>0</v>
      </c>
      <c r="Q750" s="9">
        <f t="shared" si="108"/>
        <v>0</v>
      </c>
      <c r="R750" s="11"/>
      <c r="S750" s="11" t="str">
        <f t="shared" si="109"/>
        <v>PASS</v>
      </c>
    </row>
    <row r="751" spans="1:19" x14ac:dyDescent="0.25">
      <c r="A751" s="30" t="s">
        <v>30</v>
      </c>
      <c r="B751" s="31">
        <f t="shared" si="110"/>
        <v>43040</v>
      </c>
      <c r="C751" s="30">
        <f>YEAR(BInputReservoir[[#This Row],[Date]])</f>
        <v>2017</v>
      </c>
      <c r="D751" s="30">
        <f>MONTH(BInputReservoir[[#This Row],[Date]])</f>
        <v>11</v>
      </c>
      <c r="E751" s="30">
        <f>IF(I751&lt;&gt;1,"",DATA_INPUT!$M30)</f>
        <v>0</v>
      </c>
      <c r="F751" s="30">
        <f>STORAGE_BALANCE_ENSEMBLE!BB30</f>
        <v>0</v>
      </c>
      <c r="G751" s="30">
        <f>STORAGE_BALANCE_ENSEMBLE!BC30</f>
        <v>0</v>
      </c>
      <c r="H751" s="30">
        <f>STORAGE_BALANCE_ENSEMBLE!BA30</f>
        <v>24248524.139369696</v>
      </c>
      <c r="I751" s="18">
        <f t="shared" si="111"/>
        <v>1</v>
      </c>
      <c r="J751" s="8">
        <f t="shared" si="102"/>
        <v>0</v>
      </c>
      <c r="K751" s="9">
        <f t="shared" si="103"/>
        <v>0</v>
      </c>
      <c r="L751" s="10">
        <f t="shared" si="104"/>
        <v>0</v>
      </c>
      <c r="M751" s="10">
        <f>IF(I751&lt;&gt;1,"",IF(H751="","",H751/CONTROL_PANEL!$B$11))</f>
        <v>0.48497048278739391</v>
      </c>
      <c r="N751" s="9">
        <f t="shared" si="105"/>
        <v>0</v>
      </c>
      <c r="O751" s="9">
        <f t="shared" si="106"/>
        <v>0</v>
      </c>
      <c r="P751" s="9">
        <f t="shared" si="107"/>
        <v>0</v>
      </c>
      <c r="Q751" s="9">
        <f t="shared" si="108"/>
        <v>0</v>
      </c>
      <c r="R751" s="11"/>
      <c r="S751" s="11" t="str">
        <f t="shared" si="109"/>
        <v>PASS</v>
      </c>
    </row>
    <row r="752" spans="1:19" x14ac:dyDescent="0.25">
      <c r="A752" s="30" t="s">
        <v>30</v>
      </c>
      <c r="B752" s="31">
        <f t="shared" si="110"/>
        <v>43070</v>
      </c>
      <c r="C752" s="30">
        <f>YEAR(BInputReservoir[[#This Row],[Date]])</f>
        <v>2017</v>
      </c>
      <c r="D752" s="30">
        <f>MONTH(BInputReservoir[[#This Row],[Date]])</f>
        <v>12</v>
      </c>
      <c r="E752" s="30">
        <f>IF(I752&lt;&gt;1,"",DATA_INPUT!$M31)</f>
        <v>0</v>
      </c>
      <c r="F752" s="30">
        <f>STORAGE_BALANCE_ENSEMBLE!BB31</f>
        <v>0</v>
      </c>
      <c r="G752" s="30">
        <f>STORAGE_BALANCE_ENSEMBLE!BC31</f>
        <v>0</v>
      </c>
      <c r="H752" s="30">
        <f>STORAGE_BALANCE_ENSEMBLE!BA31</f>
        <v>24353525.519738678</v>
      </c>
      <c r="I752" s="18">
        <f t="shared" si="111"/>
        <v>1</v>
      </c>
      <c r="J752" s="8">
        <f t="shared" si="102"/>
        <v>0</v>
      </c>
      <c r="K752" s="9">
        <f t="shared" si="103"/>
        <v>0</v>
      </c>
      <c r="L752" s="10">
        <f t="shared" si="104"/>
        <v>0</v>
      </c>
      <c r="M752" s="10">
        <f>IF(I752&lt;&gt;1,"",IF(H752="","",H752/CONTROL_PANEL!$B$11))</f>
        <v>0.48707051039477356</v>
      </c>
      <c r="N752" s="9">
        <f t="shared" si="105"/>
        <v>0</v>
      </c>
      <c r="O752" s="9">
        <f t="shared" si="106"/>
        <v>0</v>
      </c>
      <c r="P752" s="9">
        <f t="shared" si="107"/>
        <v>0</v>
      </c>
      <c r="Q752" s="9">
        <f t="shared" si="108"/>
        <v>0</v>
      </c>
      <c r="R752" s="11"/>
      <c r="S752" s="11" t="str">
        <f t="shared" si="109"/>
        <v>PASS</v>
      </c>
    </row>
    <row r="753" spans="1:19" x14ac:dyDescent="0.25">
      <c r="A753" s="30" t="s">
        <v>30</v>
      </c>
      <c r="B753" s="31">
        <f t="shared" si="110"/>
        <v>43101</v>
      </c>
      <c r="C753" s="30">
        <f>YEAR(BInputReservoir[[#This Row],[Date]])</f>
        <v>2018</v>
      </c>
      <c r="D753" s="30">
        <f>MONTH(BInputReservoir[[#This Row],[Date]])</f>
        <v>1</v>
      </c>
      <c r="E753" s="30">
        <f>IF(I753&lt;&gt;1,"",DATA_INPUT!$M32)</f>
        <v>0</v>
      </c>
      <c r="F753" s="30">
        <f>STORAGE_BALANCE_ENSEMBLE!BB32</f>
        <v>0</v>
      </c>
      <c r="G753" s="30">
        <f>STORAGE_BALANCE_ENSEMBLE!BC32</f>
        <v>0</v>
      </c>
      <c r="H753" s="30">
        <f>STORAGE_BALANCE_ENSEMBLE!BA32</f>
        <v>24463459.174037192</v>
      </c>
      <c r="I753" s="18">
        <f t="shared" si="111"/>
        <v>1</v>
      </c>
      <c r="J753" s="8">
        <f t="shared" si="102"/>
        <v>0</v>
      </c>
      <c r="K753" s="9">
        <f t="shared" si="103"/>
        <v>0</v>
      </c>
      <c r="L753" s="10">
        <f t="shared" si="104"/>
        <v>0</v>
      </c>
      <c r="M753" s="10">
        <f>IF(I753&lt;&gt;1,"",IF(H753="","",H753/CONTROL_PANEL!$B$11))</f>
        <v>0.48926918348074383</v>
      </c>
      <c r="N753" s="9">
        <f t="shared" si="105"/>
        <v>0</v>
      </c>
      <c r="O753" s="9">
        <f t="shared" si="106"/>
        <v>0</v>
      </c>
      <c r="P753" s="9">
        <f t="shared" si="107"/>
        <v>0</v>
      </c>
      <c r="Q753" s="9">
        <f t="shared" si="108"/>
        <v>0</v>
      </c>
      <c r="R753" s="11"/>
      <c r="S753" s="11" t="str">
        <f t="shared" si="109"/>
        <v>PASS</v>
      </c>
    </row>
    <row r="754" spans="1:19" x14ac:dyDescent="0.25">
      <c r="A754" s="30" t="s">
        <v>30</v>
      </c>
      <c r="B754" s="31">
        <f t="shared" si="110"/>
        <v>43132</v>
      </c>
      <c r="C754" s="30">
        <f>YEAR(BInputReservoir[[#This Row],[Date]])</f>
        <v>2018</v>
      </c>
      <c r="D754" s="30">
        <f>MONTH(BInputReservoir[[#This Row],[Date]])</f>
        <v>2</v>
      </c>
      <c r="E754" s="30">
        <f>IF(I754&lt;&gt;1,"",DATA_INPUT!$M33)</f>
        <v>0</v>
      </c>
      <c r="F754" s="30">
        <f>STORAGE_BALANCE_ENSEMBLE!BB33</f>
        <v>0</v>
      </c>
      <c r="G754" s="30">
        <f>STORAGE_BALANCE_ENSEMBLE!BC33</f>
        <v>0</v>
      </c>
      <c r="H754" s="30">
        <f>STORAGE_BALANCE_ENSEMBLE!BA33</f>
        <v>30179076.132388856</v>
      </c>
      <c r="I754" s="18">
        <f t="shared" si="111"/>
        <v>1</v>
      </c>
      <c r="J754" s="8">
        <f t="shared" si="102"/>
        <v>0</v>
      </c>
      <c r="K754" s="9">
        <f t="shared" si="103"/>
        <v>0</v>
      </c>
      <c r="L754" s="10">
        <f t="shared" si="104"/>
        <v>0</v>
      </c>
      <c r="M754" s="10">
        <f>IF(I754&lt;&gt;1,"",IF(H754="","",H754/CONTROL_PANEL!$B$11))</f>
        <v>0.60358152264777709</v>
      </c>
      <c r="N754" s="9">
        <f t="shared" si="105"/>
        <v>0</v>
      </c>
      <c r="O754" s="9">
        <f t="shared" si="106"/>
        <v>0</v>
      </c>
      <c r="P754" s="9">
        <f t="shared" si="107"/>
        <v>0</v>
      </c>
      <c r="Q754" s="9">
        <f t="shared" si="108"/>
        <v>0</v>
      </c>
      <c r="R754" s="11"/>
      <c r="S754" s="11" t="str">
        <f t="shared" si="109"/>
        <v>PASS</v>
      </c>
    </row>
    <row r="755" spans="1:19" x14ac:dyDescent="0.25">
      <c r="A755" s="30" t="s">
        <v>30</v>
      </c>
      <c r="B755" s="31">
        <f t="shared" si="110"/>
        <v>43160</v>
      </c>
      <c r="C755" s="30">
        <f>YEAR(BInputReservoir[[#This Row],[Date]])</f>
        <v>2018</v>
      </c>
      <c r="D755" s="30">
        <f>MONTH(BInputReservoir[[#This Row],[Date]])</f>
        <v>3</v>
      </c>
      <c r="E755" s="30">
        <f>IF(I755&lt;&gt;1,"",DATA_INPUT!$M34)</f>
        <v>0</v>
      </c>
      <c r="F755" s="30">
        <f>STORAGE_BALANCE_ENSEMBLE!BB34</f>
        <v>0</v>
      </c>
      <c r="G755" s="30">
        <f>STORAGE_BALANCE_ENSEMBLE!BC34</f>
        <v>0</v>
      </c>
      <c r="H755" s="30">
        <f>STORAGE_BALANCE_ENSEMBLE!BA34</f>
        <v>33359510.17883281</v>
      </c>
      <c r="I755" s="18">
        <f t="shared" si="111"/>
        <v>1</v>
      </c>
      <c r="J755" s="8">
        <f t="shared" si="102"/>
        <v>0</v>
      </c>
      <c r="K755" s="9">
        <f t="shared" si="103"/>
        <v>0</v>
      </c>
      <c r="L755" s="10">
        <f t="shared" si="104"/>
        <v>0</v>
      </c>
      <c r="M755" s="10">
        <f>IF(I755&lt;&gt;1,"",IF(H755="","",H755/CONTROL_PANEL!$B$11))</f>
        <v>0.66719020357665626</v>
      </c>
      <c r="N755" s="9">
        <f t="shared" si="105"/>
        <v>0</v>
      </c>
      <c r="O755" s="9">
        <f t="shared" si="106"/>
        <v>0</v>
      </c>
      <c r="P755" s="9">
        <f t="shared" si="107"/>
        <v>0</v>
      </c>
      <c r="Q755" s="9">
        <f t="shared" si="108"/>
        <v>0</v>
      </c>
      <c r="R755" s="11"/>
      <c r="S755" s="11" t="str">
        <f t="shared" si="109"/>
        <v>PASS</v>
      </c>
    </row>
    <row r="756" spans="1:19" x14ac:dyDescent="0.25">
      <c r="A756" s="30" t="s">
        <v>30</v>
      </c>
      <c r="B756" s="31">
        <f t="shared" si="110"/>
        <v>43191</v>
      </c>
      <c r="C756" s="30">
        <f>YEAR(BInputReservoir[[#This Row],[Date]])</f>
        <v>2018</v>
      </c>
      <c r="D756" s="30">
        <f>MONTH(BInputReservoir[[#This Row],[Date]])</f>
        <v>4</v>
      </c>
      <c r="E756" s="30">
        <f>IF(I756&lt;&gt;1,"",DATA_INPUT!$M35)</f>
        <v>6265.5620179152693</v>
      </c>
      <c r="F756" s="30">
        <f>STORAGE_BALANCE_ENSEMBLE!BB35</f>
        <v>0</v>
      </c>
      <c r="G756" s="30">
        <f>STORAGE_BALANCE_ENSEMBLE!BC35</f>
        <v>0</v>
      </c>
      <c r="H756" s="30">
        <f>STORAGE_BALANCE_ENSEMBLE!BA35</f>
        <v>34145695.903185695</v>
      </c>
      <c r="I756" s="18">
        <f t="shared" si="111"/>
        <v>1</v>
      </c>
      <c r="J756" s="8">
        <f t="shared" si="102"/>
        <v>6265.5620179152693</v>
      </c>
      <c r="K756" s="9">
        <f t="shared" si="103"/>
        <v>0</v>
      </c>
      <c r="L756" s="10">
        <f t="shared" si="104"/>
        <v>0</v>
      </c>
      <c r="M756" s="10">
        <f>IF(I756&lt;&gt;1,"",IF(H756="","",H756/CONTROL_PANEL!$B$11))</f>
        <v>0.68291391806371393</v>
      </c>
      <c r="N756" s="9">
        <f t="shared" si="105"/>
        <v>0</v>
      </c>
      <c r="O756" s="9">
        <f t="shared" si="106"/>
        <v>0</v>
      </c>
      <c r="P756" s="9">
        <f t="shared" si="107"/>
        <v>0</v>
      </c>
      <c r="Q756" s="9">
        <f t="shared" si="108"/>
        <v>0</v>
      </c>
      <c r="R756" s="11"/>
      <c r="S756" s="11" t="str">
        <f t="shared" si="109"/>
        <v>PASS</v>
      </c>
    </row>
    <row r="757" spans="1:19" x14ac:dyDescent="0.25">
      <c r="A757" s="30" t="s">
        <v>30</v>
      </c>
      <c r="B757" s="31">
        <f t="shared" si="110"/>
        <v>43221</v>
      </c>
      <c r="C757" s="30">
        <f>YEAR(BInputReservoir[[#This Row],[Date]])</f>
        <v>2018</v>
      </c>
      <c r="D757" s="30">
        <f>MONTH(BInputReservoir[[#This Row],[Date]])</f>
        <v>5</v>
      </c>
      <c r="E757" s="30">
        <f>IF(I757&lt;&gt;1,"",DATA_INPUT!$M36)</f>
        <v>70019.953312207857</v>
      </c>
      <c r="F757" s="30">
        <f>STORAGE_BALANCE_ENSEMBLE!BB36</f>
        <v>0</v>
      </c>
      <c r="G757" s="30">
        <f>STORAGE_BALANCE_ENSEMBLE!BC36</f>
        <v>0</v>
      </c>
      <c r="H757" s="30">
        <f>STORAGE_BALANCE_ENSEMBLE!BA36</f>
        <v>33982865.509018138</v>
      </c>
      <c r="I757" s="18">
        <f t="shared" si="111"/>
        <v>1</v>
      </c>
      <c r="J757" s="8">
        <f t="shared" si="102"/>
        <v>70019.953312207857</v>
      </c>
      <c r="K757" s="9">
        <f t="shared" si="103"/>
        <v>0</v>
      </c>
      <c r="L757" s="10">
        <f t="shared" si="104"/>
        <v>0</v>
      </c>
      <c r="M757" s="10">
        <f>IF(I757&lt;&gt;1,"",IF(H757="","",H757/CONTROL_PANEL!$B$11))</f>
        <v>0.67965731018036279</v>
      </c>
      <c r="N757" s="9">
        <f t="shared" si="105"/>
        <v>0</v>
      </c>
      <c r="O757" s="9">
        <f t="shared" si="106"/>
        <v>0</v>
      </c>
      <c r="P757" s="9">
        <f t="shared" si="107"/>
        <v>0</v>
      </c>
      <c r="Q757" s="9">
        <f t="shared" si="108"/>
        <v>0</v>
      </c>
      <c r="R757" s="11"/>
      <c r="S757" s="11" t="str">
        <f t="shared" si="109"/>
        <v>PASS</v>
      </c>
    </row>
    <row r="758" spans="1:19" x14ac:dyDescent="0.25">
      <c r="A758" s="30" t="s">
        <v>30</v>
      </c>
      <c r="B758" s="31">
        <f t="shared" si="110"/>
        <v>43252</v>
      </c>
      <c r="C758" s="30">
        <f>YEAR(BInputReservoir[[#This Row],[Date]])</f>
        <v>2018</v>
      </c>
      <c r="D758" s="30">
        <f>MONTH(BInputReservoir[[#This Row],[Date]])</f>
        <v>6</v>
      </c>
      <c r="E758" s="30">
        <f>IF(I758&lt;&gt;1,"",DATA_INPUT!$M37)</f>
        <v>373266.60690039385</v>
      </c>
      <c r="F758" s="30">
        <f>STORAGE_BALANCE_ENSEMBLE!BB37</f>
        <v>0</v>
      </c>
      <c r="G758" s="30">
        <f>STORAGE_BALANCE_ENSEMBLE!BC37</f>
        <v>0</v>
      </c>
      <c r="H758" s="30">
        <f>STORAGE_BALANCE_ENSEMBLE!BA37</f>
        <v>33074822.504769839</v>
      </c>
      <c r="I758" s="18">
        <f t="shared" si="111"/>
        <v>1</v>
      </c>
      <c r="J758" s="8">
        <f t="shared" si="102"/>
        <v>373266.60690039385</v>
      </c>
      <c r="K758" s="9">
        <f t="shared" si="103"/>
        <v>0</v>
      </c>
      <c r="L758" s="10">
        <f t="shared" si="104"/>
        <v>0</v>
      </c>
      <c r="M758" s="10">
        <f>IF(I758&lt;&gt;1,"",IF(H758="","",H758/CONTROL_PANEL!$B$11))</f>
        <v>0.66149645009539682</v>
      </c>
      <c r="N758" s="9">
        <f t="shared" si="105"/>
        <v>0</v>
      </c>
      <c r="O758" s="9">
        <f t="shared" si="106"/>
        <v>0</v>
      </c>
      <c r="P758" s="9">
        <f t="shared" si="107"/>
        <v>0</v>
      </c>
      <c r="Q758" s="9">
        <f t="shared" si="108"/>
        <v>0</v>
      </c>
      <c r="R758" s="11"/>
      <c r="S758" s="11" t="str">
        <f t="shared" ref="S758:S789" si="112">IF(COUNTA(A758:H758)=0,"",IF(OR(A758="",C758="",D758=""),"ERROR: missing key fields","PASS"))</f>
        <v>PASS</v>
      </c>
    </row>
    <row r="759" spans="1:19" x14ac:dyDescent="0.25">
      <c r="A759" s="30" t="s">
        <v>30</v>
      </c>
      <c r="B759" s="31">
        <f t="shared" si="110"/>
        <v>43282</v>
      </c>
      <c r="C759" s="30">
        <f>YEAR(BInputReservoir[[#This Row],[Date]])</f>
        <v>2018</v>
      </c>
      <c r="D759" s="30">
        <f>MONTH(BInputReservoir[[#This Row],[Date]])</f>
        <v>7</v>
      </c>
      <c r="E759" s="30">
        <f>IF(I759&lt;&gt;1,"",DATA_INPUT!$M38)</f>
        <v>1390147.200296748</v>
      </c>
      <c r="F759" s="30">
        <f>STORAGE_BALANCE_ENSEMBLE!BB38</f>
        <v>0</v>
      </c>
      <c r="G759" s="30">
        <f>STORAGE_BALANCE_ENSEMBLE!BC38</f>
        <v>0</v>
      </c>
      <c r="H759" s="30">
        <f>STORAGE_BALANCE_ENSEMBLE!BA38</f>
        <v>30975246.27107349</v>
      </c>
      <c r="I759" s="18">
        <f t="shared" si="111"/>
        <v>1</v>
      </c>
      <c r="J759" s="8">
        <f t="shared" si="102"/>
        <v>1390147.200296748</v>
      </c>
      <c r="K759" s="9">
        <f t="shared" si="103"/>
        <v>0</v>
      </c>
      <c r="L759" s="10">
        <f t="shared" si="104"/>
        <v>0</v>
      </c>
      <c r="M759" s="10">
        <f>IF(I759&lt;&gt;1,"",IF(H759="","",H759/CONTROL_PANEL!$B$11))</f>
        <v>0.61950492542146984</v>
      </c>
      <c r="N759" s="9">
        <f t="shared" si="105"/>
        <v>0</v>
      </c>
      <c r="O759" s="9">
        <f t="shared" si="106"/>
        <v>0</v>
      </c>
      <c r="P759" s="9">
        <f t="shared" si="107"/>
        <v>0</v>
      </c>
      <c r="Q759" s="9">
        <f t="shared" si="108"/>
        <v>0</v>
      </c>
      <c r="R759" s="11"/>
      <c r="S759" s="11" t="str">
        <f t="shared" si="112"/>
        <v>PASS</v>
      </c>
    </row>
    <row r="760" spans="1:19" x14ac:dyDescent="0.25">
      <c r="A760" s="30" t="s">
        <v>30</v>
      </c>
      <c r="B760" s="31">
        <f t="shared" si="110"/>
        <v>43313</v>
      </c>
      <c r="C760" s="30">
        <f>YEAR(BInputReservoir[[#This Row],[Date]])</f>
        <v>2018</v>
      </c>
      <c r="D760" s="30">
        <f>MONTH(BInputReservoir[[#This Row],[Date]])</f>
        <v>8</v>
      </c>
      <c r="E760" s="30">
        <f>IF(I760&lt;&gt;1,"",DATA_INPUT!$M39)</f>
        <v>2103295.9718435216</v>
      </c>
      <c r="F760" s="30">
        <f>STORAGE_BALANCE_ENSEMBLE!BB39</f>
        <v>0</v>
      </c>
      <c r="G760" s="30">
        <f>STORAGE_BALANCE_ENSEMBLE!BC39</f>
        <v>0</v>
      </c>
      <c r="H760" s="30">
        <f>STORAGE_BALANCE_ENSEMBLE!BA39</f>
        <v>28053085.95354766</v>
      </c>
      <c r="I760" s="18">
        <f t="shared" si="111"/>
        <v>1</v>
      </c>
      <c r="J760" s="8">
        <f t="shared" si="102"/>
        <v>2103295.9718435216</v>
      </c>
      <c r="K760" s="9">
        <f t="shared" si="103"/>
        <v>0</v>
      </c>
      <c r="L760" s="10">
        <f t="shared" si="104"/>
        <v>0</v>
      </c>
      <c r="M760" s="10">
        <f>IF(I760&lt;&gt;1,"",IF(H760="","",H760/CONTROL_PANEL!$B$11))</f>
        <v>0.56106171907095326</v>
      </c>
      <c r="N760" s="9">
        <f t="shared" si="105"/>
        <v>0</v>
      </c>
      <c r="O760" s="9">
        <f t="shared" si="106"/>
        <v>0</v>
      </c>
      <c r="P760" s="9">
        <f t="shared" si="107"/>
        <v>0</v>
      </c>
      <c r="Q760" s="9">
        <f t="shared" si="108"/>
        <v>0</v>
      </c>
      <c r="R760" s="11"/>
      <c r="S760" s="11" t="str">
        <f t="shared" si="112"/>
        <v>PASS</v>
      </c>
    </row>
    <row r="761" spans="1:19" x14ac:dyDescent="0.25">
      <c r="A761" s="30" t="s">
        <v>30</v>
      </c>
      <c r="B761" s="31">
        <f t="shared" si="110"/>
        <v>43344</v>
      </c>
      <c r="C761" s="30">
        <f>YEAR(BInputReservoir[[#This Row],[Date]])</f>
        <v>2018</v>
      </c>
      <c r="D761" s="30">
        <f>MONTH(BInputReservoir[[#This Row],[Date]])</f>
        <v>9</v>
      </c>
      <c r="E761" s="30">
        <f>IF(I761&lt;&gt;1,"",DATA_INPUT!$M40)</f>
        <v>1138162.6816428634</v>
      </c>
      <c r="F761" s="30">
        <f>STORAGE_BALANCE_ENSEMBLE!BB40</f>
        <v>0</v>
      </c>
      <c r="G761" s="30">
        <f>STORAGE_BALANCE_ENSEMBLE!BC40</f>
        <v>0</v>
      </c>
      <c r="H761" s="30">
        <f>STORAGE_BALANCE_ENSEMBLE!BA40</f>
        <v>26385787.177957218</v>
      </c>
      <c r="I761" s="18">
        <f t="shared" si="111"/>
        <v>1</v>
      </c>
      <c r="J761" s="8">
        <f t="shared" si="102"/>
        <v>1138162.6816428634</v>
      </c>
      <c r="K761" s="9">
        <f t="shared" si="103"/>
        <v>0</v>
      </c>
      <c r="L761" s="10">
        <f t="shared" si="104"/>
        <v>0</v>
      </c>
      <c r="M761" s="10">
        <f>IF(I761&lt;&gt;1,"",IF(H761="","",H761/CONTROL_PANEL!$B$11))</f>
        <v>0.52771574355914441</v>
      </c>
      <c r="N761" s="9">
        <f t="shared" si="105"/>
        <v>0</v>
      </c>
      <c r="O761" s="9">
        <f t="shared" si="106"/>
        <v>0</v>
      </c>
      <c r="P761" s="9">
        <f t="shared" si="107"/>
        <v>0</v>
      </c>
      <c r="Q761" s="9">
        <f t="shared" si="108"/>
        <v>0</v>
      </c>
      <c r="R761" s="11"/>
      <c r="S761" s="11" t="str">
        <f t="shared" si="112"/>
        <v>PASS</v>
      </c>
    </row>
    <row r="762" spans="1:19" x14ac:dyDescent="0.25">
      <c r="A762" s="30" t="s">
        <v>30</v>
      </c>
      <c r="B762" s="31">
        <f t="shared" si="110"/>
        <v>43374</v>
      </c>
      <c r="C762" s="30">
        <f>YEAR(BInputReservoir[[#This Row],[Date]])</f>
        <v>2018</v>
      </c>
      <c r="D762" s="30">
        <f>MONTH(BInputReservoir[[#This Row],[Date]])</f>
        <v>10</v>
      </c>
      <c r="E762" s="30">
        <f>IF(I762&lt;&gt;1,"",DATA_INPUT!$M41)</f>
        <v>357376.0179921923</v>
      </c>
      <c r="F762" s="30">
        <f>STORAGE_BALANCE_ENSEMBLE!BB41</f>
        <v>0</v>
      </c>
      <c r="G762" s="30">
        <f>STORAGE_BALANCE_ENSEMBLE!BC41</f>
        <v>0</v>
      </c>
      <c r="H762" s="30">
        <f>STORAGE_BALANCE_ENSEMBLE!BA41</f>
        <v>26468123.229965042</v>
      </c>
      <c r="I762" s="18">
        <f t="shared" si="111"/>
        <v>1</v>
      </c>
      <c r="J762" s="8">
        <f t="shared" si="102"/>
        <v>357376.0179921923</v>
      </c>
      <c r="K762" s="9">
        <f t="shared" si="103"/>
        <v>0</v>
      </c>
      <c r="L762" s="10">
        <f t="shared" si="104"/>
        <v>0</v>
      </c>
      <c r="M762" s="10">
        <f>IF(I762&lt;&gt;1,"",IF(H762="","",H762/CONTROL_PANEL!$B$11))</f>
        <v>0.52936246459930081</v>
      </c>
      <c r="N762" s="9">
        <f t="shared" si="105"/>
        <v>0</v>
      </c>
      <c r="O762" s="9">
        <f t="shared" si="106"/>
        <v>0</v>
      </c>
      <c r="P762" s="9">
        <f t="shared" si="107"/>
        <v>0</v>
      </c>
      <c r="Q762" s="9">
        <f t="shared" si="108"/>
        <v>0</v>
      </c>
      <c r="R762" s="11"/>
      <c r="S762" s="11" t="str">
        <f t="shared" si="112"/>
        <v>PASS</v>
      </c>
    </row>
    <row r="763" spans="1:19" x14ac:dyDescent="0.25">
      <c r="A763" s="30" t="s">
        <v>30</v>
      </c>
      <c r="B763" s="31">
        <f t="shared" si="110"/>
        <v>43405</v>
      </c>
      <c r="C763" s="30">
        <f>YEAR(BInputReservoir[[#This Row],[Date]])</f>
        <v>2018</v>
      </c>
      <c r="D763" s="30">
        <f>MONTH(BInputReservoir[[#This Row],[Date]])</f>
        <v>11</v>
      </c>
      <c r="E763" s="30">
        <f>IF(I763&lt;&gt;1,"",DATA_INPUT!$M42)</f>
        <v>0</v>
      </c>
      <c r="F763" s="30">
        <f>STORAGE_BALANCE_ENSEMBLE!BB42</f>
        <v>0</v>
      </c>
      <c r="G763" s="30">
        <f>STORAGE_BALANCE_ENSEMBLE!BC42</f>
        <v>0</v>
      </c>
      <c r="H763" s="30">
        <f>STORAGE_BALANCE_ENSEMBLE!BA42</f>
        <v>27025951.35623711</v>
      </c>
      <c r="I763" s="18">
        <f t="shared" si="111"/>
        <v>1</v>
      </c>
      <c r="J763" s="8">
        <f t="shared" si="102"/>
        <v>0</v>
      </c>
      <c r="K763" s="9">
        <f t="shared" si="103"/>
        <v>0</v>
      </c>
      <c r="L763" s="10">
        <f t="shared" si="104"/>
        <v>0</v>
      </c>
      <c r="M763" s="10">
        <f>IF(I763&lt;&gt;1,"",IF(H763="","",H763/CONTROL_PANEL!$B$11))</f>
        <v>0.5405190271247422</v>
      </c>
      <c r="N763" s="9">
        <f t="shared" si="105"/>
        <v>0</v>
      </c>
      <c r="O763" s="9">
        <f t="shared" si="106"/>
        <v>0</v>
      </c>
      <c r="P763" s="9">
        <f t="shared" si="107"/>
        <v>0</v>
      </c>
      <c r="Q763" s="9">
        <f t="shared" si="108"/>
        <v>0</v>
      </c>
      <c r="R763" s="11"/>
      <c r="S763" s="11" t="str">
        <f t="shared" si="112"/>
        <v>PASS</v>
      </c>
    </row>
    <row r="764" spans="1:19" x14ac:dyDescent="0.25">
      <c r="A764" s="30" t="s">
        <v>30</v>
      </c>
      <c r="B764" s="31">
        <f t="shared" si="110"/>
        <v>43435</v>
      </c>
      <c r="C764" s="30">
        <f>YEAR(BInputReservoir[[#This Row],[Date]])</f>
        <v>2018</v>
      </c>
      <c r="D764" s="30">
        <f>MONTH(BInputReservoir[[#This Row],[Date]])</f>
        <v>12</v>
      </c>
      <c r="E764" s="30">
        <f>IF(I764&lt;&gt;1,"",DATA_INPUT!$M43)</f>
        <v>0</v>
      </c>
      <c r="F764" s="30">
        <f>STORAGE_BALANCE_ENSEMBLE!BB43</f>
        <v>0</v>
      </c>
      <c r="G764" s="30">
        <f>STORAGE_BALANCE_ENSEMBLE!BC43</f>
        <v>0</v>
      </c>
      <c r="H764" s="30">
        <f>STORAGE_BALANCE_ENSEMBLE!BA43</f>
        <v>27066587.69071139</v>
      </c>
      <c r="I764" s="18">
        <f t="shared" si="111"/>
        <v>1</v>
      </c>
      <c r="J764" s="8">
        <f t="shared" si="102"/>
        <v>0</v>
      </c>
      <c r="K764" s="9">
        <f t="shared" si="103"/>
        <v>0</v>
      </c>
      <c r="L764" s="10">
        <f t="shared" si="104"/>
        <v>0</v>
      </c>
      <c r="M764" s="10">
        <f>IF(I764&lt;&gt;1,"",IF(H764="","",H764/CONTROL_PANEL!$B$11))</f>
        <v>0.54133175381422782</v>
      </c>
      <c r="N764" s="9">
        <f t="shared" si="105"/>
        <v>0</v>
      </c>
      <c r="O764" s="9">
        <f t="shared" si="106"/>
        <v>0</v>
      </c>
      <c r="P764" s="9">
        <f t="shared" si="107"/>
        <v>0</v>
      </c>
      <c r="Q764" s="9">
        <f t="shared" si="108"/>
        <v>0</v>
      </c>
      <c r="R764" s="11"/>
      <c r="S764" s="11" t="str">
        <f t="shared" si="112"/>
        <v>PASS</v>
      </c>
    </row>
    <row r="765" spans="1:19" x14ac:dyDescent="0.25">
      <c r="A765" s="30" t="s">
        <v>30</v>
      </c>
      <c r="B765" s="31">
        <f t="shared" si="110"/>
        <v>43466</v>
      </c>
      <c r="C765" s="30">
        <f>YEAR(BInputReservoir[[#This Row],[Date]])</f>
        <v>2019</v>
      </c>
      <c r="D765" s="30">
        <f>MONTH(BInputReservoir[[#This Row],[Date]])</f>
        <v>1</v>
      </c>
      <c r="E765" s="30">
        <f>IF(I765&lt;&gt;1,"",DATA_INPUT!$M44)</f>
        <v>0</v>
      </c>
      <c r="F765" s="30">
        <f>STORAGE_BALANCE_ENSEMBLE!BB44</f>
        <v>0</v>
      </c>
      <c r="G765" s="30">
        <f>STORAGE_BALANCE_ENSEMBLE!BC44</f>
        <v>0</v>
      </c>
      <c r="H765" s="30">
        <f>STORAGE_BALANCE_ENSEMBLE!BA44</f>
        <v>27099303.554170992</v>
      </c>
      <c r="I765" s="18">
        <f t="shared" si="111"/>
        <v>1</v>
      </c>
      <c r="J765" s="8">
        <f t="shared" si="102"/>
        <v>0</v>
      </c>
      <c r="K765" s="9">
        <f t="shared" si="103"/>
        <v>0</v>
      </c>
      <c r="L765" s="10">
        <f t="shared" si="104"/>
        <v>0</v>
      </c>
      <c r="M765" s="10">
        <f>IF(I765&lt;&gt;1,"",IF(H765="","",H765/CONTROL_PANEL!$B$11))</f>
        <v>0.5419860710834199</v>
      </c>
      <c r="N765" s="9">
        <f t="shared" si="105"/>
        <v>0</v>
      </c>
      <c r="O765" s="9">
        <f t="shared" si="106"/>
        <v>0</v>
      </c>
      <c r="P765" s="9">
        <f t="shared" si="107"/>
        <v>0</v>
      </c>
      <c r="Q765" s="9">
        <f t="shared" si="108"/>
        <v>0</v>
      </c>
      <c r="R765" s="11"/>
      <c r="S765" s="11" t="str">
        <f t="shared" si="112"/>
        <v>PASS</v>
      </c>
    </row>
    <row r="766" spans="1:19" x14ac:dyDescent="0.25">
      <c r="A766" s="30" t="s">
        <v>30</v>
      </c>
      <c r="B766" s="31">
        <f t="shared" si="110"/>
        <v>43497</v>
      </c>
      <c r="C766" s="30">
        <f>YEAR(BInputReservoir[[#This Row],[Date]])</f>
        <v>2019</v>
      </c>
      <c r="D766" s="30">
        <f>MONTH(BInputReservoir[[#This Row],[Date]])</f>
        <v>2</v>
      </c>
      <c r="E766" s="30">
        <f>IF(I766&lt;&gt;1,"",DATA_INPUT!$M45)</f>
        <v>0</v>
      </c>
      <c r="F766" s="30">
        <f>STORAGE_BALANCE_ENSEMBLE!BB45</f>
        <v>0</v>
      </c>
      <c r="G766" s="30">
        <f>STORAGE_BALANCE_ENSEMBLE!BC45</f>
        <v>0</v>
      </c>
      <c r="H766" s="30">
        <f>STORAGE_BALANCE_ENSEMBLE!BA45</f>
        <v>27144361.342175327</v>
      </c>
      <c r="I766" s="18">
        <f t="shared" si="111"/>
        <v>1</v>
      </c>
      <c r="J766" s="8">
        <f t="shared" si="102"/>
        <v>0</v>
      </c>
      <c r="K766" s="9">
        <f t="shared" si="103"/>
        <v>0</v>
      </c>
      <c r="L766" s="10">
        <f t="shared" si="104"/>
        <v>0</v>
      </c>
      <c r="M766" s="10">
        <f>IF(I766&lt;&gt;1,"",IF(H766="","",H766/CONTROL_PANEL!$B$11))</f>
        <v>0.54288722684350654</v>
      </c>
      <c r="N766" s="9">
        <f t="shared" si="105"/>
        <v>0</v>
      </c>
      <c r="O766" s="9">
        <f t="shared" si="106"/>
        <v>0</v>
      </c>
      <c r="P766" s="9">
        <f t="shared" si="107"/>
        <v>0</v>
      </c>
      <c r="Q766" s="9">
        <f t="shared" si="108"/>
        <v>0</v>
      </c>
      <c r="R766" s="11"/>
      <c r="S766" s="11" t="str">
        <f t="shared" si="112"/>
        <v>PASS</v>
      </c>
    </row>
    <row r="767" spans="1:19" x14ac:dyDescent="0.25">
      <c r="A767" s="30" t="s">
        <v>30</v>
      </c>
      <c r="B767" s="31">
        <f t="shared" si="110"/>
        <v>43525</v>
      </c>
      <c r="C767" s="30">
        <f>YEAR(BInputReservoir[[#This Row],[Date]])</f>
        <v>2019</v>
      </c>
      <c r="D767" s="30">
        <f>MONTH(BInputReservoir[[#This Row],[Date]])</f>
        <v>3</v>
      </c>
      <c r="E767" s="30">
        <f>IF(I767&lt;&gt;1,"",DATA_INPUT!$M46)</f>
        <v>0</v>
      </c>
      <c r="F767" s="30">
        <f>STORAGE_BALANCE_ENSEMBLE!BB46</f>
        <v>0</v>
      </c>
      <c r="G767" s="30">
        <f>STORAGE_BALANCE_ENSEMBLE!BC46</f>
        <v>0</v>
      </c>
      <c r="H767" s="30">
        <f>STORAGE_BALANCE_ENSEMBLE!BA46</f>
        <v>27050977.227425236</v>
      </c>
      <c r="I767" s="18">
        <f t="shared" si="111"/>
        <v>1</v>
      </c>
      <c r="J767" s="8">
        <f t="shared" si="102"/>
        <v>0</v>
      </c>
      <c r="K767" s="9">
        <f t="shared" si="103"/>
        <v>0</v>
      </c>
      <c r="L767" s="10">
        <f t="shared" si="104"/>
        <v>0</v>
      </c>
      <c r="M767" s="10">
        <f>IF(I767&lt;&gt;1,"",IF(H767="","",H767/CONTROL_PANEL!$B$11))</f>
        <v>0.54101954454850476</v>
      </c>
      <c r="N767" s="9">
        <f t="shared" si="105"/>
        <v>0</v>
      </c>
      <c r="O767" s="9">
        <f t="shared" si="106"/>
        <v>0</v>
      </c>
      <c r="P767" s="9">
        <f t="shared" si="107"/>
        <v>0</v>
      </c>
      <c r="Q767" s="9">
        <f t="shared" si="108"/>
        <v>0</v>
      </c>
      <c r="R767" s="11"/>
      <c r="S767" s="11" t="str">
        <f t="shared" si="112"/>
        <v>PASS</v>
      </c>
    </row>
    <row r="768" spans="1:19" x14ac:dyDescent="0.25">
      <c r="A768" s="30" t="s">
        <v>30</v>
      </c>
      <c r="B768" s="31">
        <f t="shared" si="110"/>
        <v>43556</v>
      </c>
      <c r="C768" s="30">
        <f>YEAR(BInputReservoir[[#This Row],[Date]])</f>
        <v>2019</v>
      </c>
      <c r="D768" s="30">
        <f>MONTH(BInputReservoir[[#This Row],[Date]])</f>
        <v>4</v>
      </c>
      <c r="E768" s="30">
        <f>IF(I768&lt;&gt;1,"",DATA_INPUT!$M47)</f>
        <v>77731.588766859146</v>
      </c>
      <c r="F768" s="30">
        <f>STORAGE_BALANCE_ENSEMBLE!BB47</f>
        <v>0</v>
      </c>
      <c r="G768" s="30">
        <f>STORAGE_BALANCE_ENSEMBLE!BC47</f>
        <v>0</v>
      </c>
      <c r="H768" s="30">
        <f>STORAGE_BALANCE_ENSEMBLE!BA47</f>
        <v>27014047.874208059</v>
      </c>
      <c r="I768" s="18">
        <f t="shared" si="111"/>
        <v>1</v>
      </c>
      <c r="J768" s="8">
        <f t="shared" si="102"/>
        <v>77731.588766859146</v>
      </c>
      <c r="K768" s="9">
        <f t="shared" si="103"/>
        <v>0</v>
      </c>
      <c r="L768" s="10">
        <f t="shared" si="104"/>
        <v>0</v>
      </c>
      <c r="M768" s="10">
        <f>IF(I768&lt;&gt;1,"",IF(H768="","",H768/CONTROL_PANEL!$B$11))</f>
        <v>0.54028095748416116</v>
      </c>
      <c r="N768" s="9">
        <f t="shared" si="105"/>
        <v>0</v>
      </c>
      <c r="O768" s="9">
        <f t="shared" si="106"/>
        <v>0</v>
      </c>
      <c r="P768" s="9">
        <f t="shared" si="107"/>
        <v>0</v>
      </c>
      <c r="Q768" s="9">
        <f t="shared" si="108"/>
        <v>0</v>
      </c>
      <c r="R768" s="11"/>
      <c r="S768" s="11" t="str">
        <f t="shared" si="112"/>
        <v>PASS</v>
      </c>
    </row>
    <row r="769" spans="1:19" x14ac:dyDescent="0.25">
      <c r="A769" s="30" t="s">
        <v>30</v>
      </c>
      <c r="B769" s="31">
        <f t="shared" si="110"/>
        <v>43586</v>
      </c>
      <c r="C769" s="30">
        <f>YEAR(BInputReservoir[[#This Row],[Date]])</f>
        <v>2019</v>
      </c>
      <c r="D769" s="30">
        <f>MONTH(BInputReservoir[[#This Row],[Date]])</f>
        <v>5</v>
      </c>
      <c r="E769" s="30">
        <f>IF(I769&lt;&gt;1,"",DATA_INPUT!$M48)</f>
        <v>539862.58008280885</v>
      </c>
      <c r="F769" s="30">
        <f>STORAGE_BALANCE_ENSEMBLE!BB48</f>
        <v>0</v>
      </c>
      <c r="G769" s="30">
        <f>STORAGE_BALANCE_ENSEMBLE!BC48</f>
        <v>0</v>
      </c>
      <c r="H769" s="30">
        <f>STORAGE_BALANCE_ENSEMBLE!BA48</f>
        <v>26116218.403234091</v>
      </c>
      <c r="I769" s="18">
        <f t="shared" si="111"/>
        <v>1</v>
      </c>
      <c r="J769" s="8">
        <f t="shared" si="102"/>
        <v>539862.58008280885</v>
      </c>
      <c r="K769" s="9">
        <f t="shared" si="103"/>
        <v>0</v>
      </c>
      <c r="L769" s="10">
        <f t="shared" si="104"/>
        <v>0</v>
      </c>
      <c r="M769" s="10">
        <f>IF(I769&lt;&gt;1,"",IF(H769="","",H769/CONTROL_PANEL!$B$11))</f>
        <v>0.52232436806468185</v>
      </c>
      <c r="N769" s="9">
        <f t="shared" si="105"/>
        <v>0</v>
      </c>
      <c r="O769" s="9">
        <f t="shared" si="106"/>
        <v>0</v>
      </c>
      <c r="P769" s="9">
        <f t="shared" si="107"/>
        <v>0</v>
      </c>
      <c r="Q769" s="9">
        <f t="shared" si="108"/>
        <v>0</v>
      </c>
      <c r="R769" s="11"/>
      <c r="S769" s="11" t="str">
        <f t="shared" si="112"/>
        <v>PASS</v>
      </c>
    </row>
    <row r="770" spans="1:19" x14ac:dyDescent="0.25">
      <c r="A770" s="30" t="s">
        <v>30</v>
      </c>
      <c r="B770" s="31">
        <f t="shared" si="110"/>
        <v>43617</v>
      </c>
      <c r="C770" s="30">
        <f>YEAR(BInputReservoir[[#This Row],[Date]])</f>
        <v>2019</v>
      </c>
      <c r="D770" s="30">
        <f>MONTH(BInputReservoir[[#This Row],[Date]])</f>
        <v>6</v>
      </c>
      <c r="E770" s="30">
        <f>IF(I770&lt;&gt;1,"",DATA_INPUT!$M49)</f>
        <v>1114183.3422600939</v>
      </c>
      <c r="F770" s="30">
        <f>STORAGE_BALANCE_ENSEMBLE!BB49</f>
        <v>0</v>
      </c>
      <c r="G770" s="30">
        <f>STORAGE_BALANCE_ENSEMBLE!BC49</f>
        <v>0</v>
      </c>
      <c r="H770" s="30">
        <f>STORAGE_BALANCE_ENSEMBLE!BA49</f>
        <v>24462906.769955922</v>
      </c>
      <c r="I770" s="18">
        <f t="shared" si="111"/>
        <v>1</v>
      </c>
      <c r="J770" s="8">
        <f t="shared" si="102"/>
        <v>1114183.3422600939</v>
      </c>
      <c r="K770" s="9">
        <f t="shared" si="103"/>
        <v>0</v>
      </c>
      <c r="L770" s="10">
        <f t="shared" si="104"/>
        <v>0</v>
      </c>
      <c r="M770" s="10">
        <f>IF(I770&lt;&gt;1,"",IF(H770="","",H770/CONTROL_PANEL!$B$11))</f>
        <v>0.48925813539911844</v>
      </c>
      <c r="N770" s="9">
        <f t="shared" si="105"/>
        <v>0</v>
      </c>
      <c r="O770" s="9">
        <f t="shared" si="106"/>
        <v>0</v>
      </c>
      <c r="P770" s="9">
        <f t="shared" si="107"/>
        <v>0</v>
      </c>
      <c r="Q770" s="9">
        <f t="shared" si="108"/>
        <v>0</v>
      </c>
      <c r="R770" s="11"/>
      <c r="S770" s="11" t="str">
        <f t="shared" si="112"/>
        <v>PASS</v>
      </c>
    </row>
    <row r="771" spans="1:19" x14ac:dyDescent="0.25">
      <c r="A771" s="30" t="s">
        <v>30</v>
      </c>
      <c r="B771" s="31">
        <f t="shared" si="110"/>
        <v>43647</v>
      </c>
      <c r="C771" s="30">
        <f>YEAR(BInputReservoir[[#This Row],[Date]])</f>
        <v>2019</v>
      </c>
      <c r="D771" s="30">
        <f>MONTH(BInputReservoir[[#This Row],[Date]])</f>
        <v>7</v>
      </c>
      <c r="E771" s="30">
        <f>IF(I771&lt;&gt;1,"",DATA_INPUT!$M50)</f>
        <v>2053199.8158680289</v>
      </c>
      <c r="F771" s="30">
        <f>STORAGE_BALANCE_ENSEMBLE!BB50</f>
        <v>0</v>
      </c>
      <c r="G771" s="30">
        <f>STORAGE_BALANCE_ENSEMBLE!BC50</f>
        <v>0</v>
      </c>
      <c r="H771" s="30">
        <f>STORAGE_BALANCE_ENSEMBLE!BA50</f>
        <v>21778359.328084487</v>
      </c>
      <c r="I771" s="18">
        <f t="shared" si="111"/>
        <v>1</v>
      </c>
      <c r="J771" s="8">
        <f t="shared" si="102"/>
        <v>2053199.8158680289</v>
      </c>
      <c r="K771" s="9">
        <f t="shared" si="103"/>
        <v>0</v>
      </c>
      <c r="L771" s="10">
        <f t="shared" si="104"/>
        <v>0</v>
      </c>
      <c r="M771" s="10">
        <f>IF(I771&lt;&gt;1,"",IF(H771="","",H771/CONTROL_PANEL!$B$11))</f>
        <v>0.43556718656168975</v>
      </c>
      <c r="N771" s="9">
        <f t="shared" si="105"/>
        <v>0</v>
      </c>
      <c r="O771" s="9">
        <f t="shared" si="106"/>
        <v>0</v>
      </c>
      <c r="P771" s="9">
        <f t="shared" si="107"/>
        <v>0</v>
      </c>
      <c r="Q771" s="9">
        <f t="shared" si="108"/>
        <v>0</v>
      </c>
      <c r="R771" s="11"/>
      <c r="S771" s="11" t="str">
        <f t="shared" si="112"/>
        <v>PASS</v>
      </c>
    </row>
    <row r="772" spans="1:19" x14ac:dyDescent="0.25">
      <c r="A772" s="30" t="s">
        <v>30</v>
      </c>
      <c r="B772" s="31">
        <f t="shared" si="110"/>
        <v>43678</v>
      </c>
      <c r="C772" s="30">
        <f>YEAR(BInputReservoir[[#This Row],[Date]])</f>
        <v>2019</v>
      </c>
      <c r="D772" s="30">
        <f>MONTH(BInputReservoir[[#This Row],[Date]])</f>
        <v>8</v>
      </c>
      <c r="E772" s="30">
        <f>IF(I772&lt;&gt;1,"",DATA_INPUT!$M51)</f>
        <v>1614864.3773006566</v>
      </c>
      <c r="F772" s="30">
        <f>STORAGE_BALANCE_ENSEMBLE!BB51</f>
        <v>0</v>
      </c>
      <c r="G772" s="30">
        <f>STORAGE_BALANCE_ENSEMBLE!BC51</f>
        <v>0</v>
      </c>
      <c r="H772" s="30">
        <f>STORAGE_BALANCE_ENSEMBLE!BA51</f>
        <v>19606382.888791025</v>
      </c>
      <c r="I772" s="18">
        <f t="shared" si="111"/>
        <v>1</v>
      </c>
      <c r="J772" s="8">
        <f t="shared" si="102"/>
        <v>1614864.3773006566</v>
      </c>
      <c r="K772" s="9">
        <f t="shared" si="103"/>
        <v>0</v>
      </c>
      <c r="L772" s="10">
        <f t="shared" si="104"/>
        <v>0</v>
      </c>
      <c r="M772" s="10">
        <f>IF(I772&lt;&gt;1,"",IF(H772="","",H772/CONTROL_PANEL!$B$11))</f>
        <v>0.39212765777582048</v>
      </c>
      <c r="N772" s="9">
        <f t="shared" si="105"/>
        <v>0</v>
      </c>
      <c r="O772" s="9">
        <f t="shared" si="106"/>
        <v>0</v>
      </c>
      <c r="P772" s="9">
        <f t="shared" si="107"/>
        <v>0</v>
      </c>
      <c r="Q772" s="9">
        <f t="shared" si="108"/>
        <v>0</v>
      </c>
      <c r="R772" s="11"/>
      <c r="S772" s="11" t="str">
        <f t="shared" si="112"/>
        <v>PASS</v>
      </c>
    </row>
    <row r="773" spans="1:19" x14ac:dyDescent="0.25">
      <c r="A773" s="30" t="s">
        <v>30</v>
      </c>
      <c r="B773" s="31">
        <f t="shared" si="110"/>
        <v>43709</v>
      </c>
      <c r="C773" s="30">
        <f>YEAR(BInputReservoir[[#This Row],[Date]])</f>
        <v>2019</v>
      </c>
      <c r="D773" s="30">
        <f>MONTH(BInputReservoir[[#This Row],[Date]])</f>
        <v>9</v>
      </c>
      <c r="E773" s="30">
        <f>IF(I773&lt;&gt;1,"",DATA_INPUT!$M52)</f>
        <v>762431.79704389221</v>
      </c>
      <c r="F773" s="30">
        <f>STORAGE_BALANCE_ENSEMBLE!BB52</f>
        <v>0</v>
      </c>
      <c r="G773" s="30">
        <f>STORAGE_BALANCE_ENSEMBLE!BC52</f>
        <v>0</v>
      </c>
      <c r="H773" s="30">
        <f>STORAGE_BALANCE_ENSEMBLE!BA52</f>
        <v>18477176.85426145</v>
      </c>
      <c r="I773" s="18">
        <f t="shared" si="111"/>
        <v>1</v>
      </c>
      <c r="J773" s="8">
        <f t="shared" ref="J773:J836" si="113">IF(I773&lt;&gt;1,"",IF(E773="","",MAX(0,E773-G773)))</f>
        <v>762431.79704389221</v>
      </c>
      <c r="K773" s="9">
        <f t="shared" ref="K773:K836" si="114">IF(I773&lt;&gt;1,"",IF(OR(G773="",E773=""),"",IF(G773&gt;0,1,0)))</f>
        <v>0</v>
      </c>
      <c r="L773" s="10">
        <f t="shared" ref="L773:L836" si="115">IF(I773&lt;&gt;1,"",IF(AND(K773=1,E773&gt;0),G773/E773,0))</f>
        <v>0</v>
      </c>
      <c r="M773" s="10">
        <f>IF(I773&lt;&gt;1,"",IF(H773="","",H773/CONTROL_PANEL!$B$11))</f>
        <v>0.36954353708522902</v>
      </c>
      <c r="N773" s="9">
        <f t="shared" ref="N773:N836" si="116">IF(I773&lt;&gt;1,"",IF(AND(K773=1,A774=A773),1,0))</f>
        <v>0</v>
      </c>
      <c r="O773" s="9">
        <f t="shared" ref="O773:O836" si="117">IF(I773&lt;&gt;1,"",IF(AND(K773=1,A774=A773,K774=0),1,0))</f>
        <v>0</v>
      </c>
      <c r="P773" s="9">
        <f t="shared" ref="P773:P836" si="118">IF(I773&lt;&gt;1,"",IF(F773&gt;0,1,0))</f>
        <v>0</v>
      </c>
      <c r="Q773" s="9">
        <f t="shared" ref="Q773:Q836" si="119">IF(I773&lt;&gt;1,"",IF(G773&gt;0,1,0))</f>
        <v>0</v>
      </c>
      <c r="R773" s="11"/>
      <c r="S773" s="11" t="str">
        <f t="shared" si="112"/>
        <v>PASS</v>
      </c>
    </row>
    <row r="774" spans="1:19" x14ac:dyDescent="0.25">
      <c r="A774" s="30" t="s">
        <v>30</v>
      </c>
      <c r="B774" s="31">
        <f t="shared" si="110"/>
        <v>43739</v>
      </c>
      <c r="C774" s="30">
        <f>YEAR(BInputReservoir[[#This Row],[Date]])</f>
        <v>2019</v>
      </c>
      <c r="D774" s="30">
        <f>MONTH(BInputReservoir[[#This Row],[Date]])</f>
        <v>10</v>
      </c>
      <c r="E774" s="30">
        <f>IF(I774&lt;&gt;1,"",DATA_INPUT!$M53)</f>
        <v>106681.13133177678</v>
      </c>
      <c r="F774" s="30">
        <f>STORAGE_BALANCE_ENSEMBLE!BB53</f>
        <v>0</v>
      </c>
      <c r="G774" s="30">
        <f>STORAGE_BALANCE_ENSEMBLE!BC53</f>
        <v>0</v>
      </c>
      <c r="H774" s="30">
        <f>STORAGE_BALANCE_ENSEMBLE!BA53</f>
        <v>18410183.390024219</v>
      </c>
      <c r="I774" s="18">
        <f t="shared" si="111"/>
        <v>1</v>
      </c>
      <c r="J774" s="8">
        <f t="shared" si="113"/>
        <v>106681.13133177678</v>
      </c>
      <c r="K774" s="9">
        <f t="shared" si="114"/>
        <v>0</v>
      </c>
      <c r="L774" s="10">
        <f t="shared" si="115"/>
        <v>0</v>
      </c>
      <c r="M774" s="10">
        <f>IF(I774&lt;&gt;1,"",IF(H774="","",H774/CONTROL_PANEL!$B$11))</f>
        <v>0.36820366780048436</v>
      </c>
      <c r="N774" s="9">
        <f t="shared" si="116"/>
        <v>0</v>
      </c>
      <c r="O774" s="9">
        <f t="shared" si="117"/>
        <v>0</v>
      </c>
      <c r="P774" s="9">
        <f t="shared" si="118"/>
        <v>0</v>
      </c>
      <c r="Q774" s="9">
        <f t="shared" si="119"/>
        <v>0</v>
      </c>
      <c r="R774" s="11"/>
      <c r="S774" s="11" t="str">
        <f t="shared" si="112"/>
        <v>PASS</v>
      </c>
    </row>
    <row r="775" spans="1:19" x14ac:dyDescent="0.25">
      <c r="A775" s="30" t="s">
        <v>30</v>
      </c>
      <c r="B775" s="31">
        <f t="shared" si="110"/>
        <v>43770</v>
      </c>
      <c r="C775" s="30">
        <f>YEAR(BInputReservoir[[#This Row],[Date]])</f>
        <v>2019</v>
      </c>
      <c r="D775" s="30">
        <f>MONTH(BInputReservoir[[#This Row],[Date]])</f>
        <v>11</v>
      </c>
      <c r="E775" s="30">
        <f>IF(I775&lt;&gt;1,"",DATA_INPUT!$M54)</f>
        <v>0</v>
      </c>
      <c r="F775" s="30">
        <f>STORAGE_BALANCE_ENSEMBLE!BB54</f>
        <v>0</v>
      </c>
      <c r="G775" s="30">
        <f>STORAGE_BALANCE_ENSEMBLE!BC54</f>
        <v>0</v>
      </c>
      <c r="H775" s="30">
        <f>STORAGE_BALANCE_ENSEMBLE!BA54</f>
        <v>20177830.37696971</v>
      </c>
      <c r="I775" s="18">
        <f t="shared" si="111"/>
        <v>1</v>
      </c>
      <c r="J775" s="8">
        <f t="shared" si="113"/>
        <v>0</v>
      </c>
      <c r="K775" s="9">
        <f t="shared" si="114"/>
        <v>0</v>
      </c>
      <c r="L775" s="10">
        <f t="shared" si="115"/>
        <v>0</v>
      </c>
      <c r="M775" s="10">
        <f>IF(I775&lt;&gt;1,"",IF(H775="","",H775/CONTROL_PANEL!$B$11))</f>
        <v>0.40355660753939421</v>
      </c>
      <c r="N775" s="9">
        <f t="shared" si="116"/>
        <v>0</v>
      </c>
      <c r="O775" s="9">
        <f t="shared" si="117"/>
        <v>0</v>
      </c>
      <c r="P775" s="9">
        <f t="shared" si="118"/>
        <v>0</v>
      </c>
      <c r="Q775" s="9">
        <f t="shared" si="119"/>
        <v>0</v>
      </c>
      <c r="R775" s="11"/>
      <c r="S775" s="11" t="str">
        <f t="shared" si="112"/>
        <v>PASS</v>
      </c>
    </row>
    <row r="776" spans="1:19" x14ac:dyDescent="0.25">
      <c r="A776" s="30" t="s">
        <v>30</v>
      </c>
      <c r="B776" s="31">
        <f t="shared" si="110"/>
        <v>43800</v>
      </c>
      <c r="C776" s="30">
        <f>YEAR(BInputReservoir[[#This Row],[Date]])</f>
        <v>2019</v>
      </c>
      <c r="D776" s="30">
        <f>MONTH(BInputReservoir[[#This Row],[Date]])</f>
        <v>12</v>
      </c>
      <c r="E776" s="30">
        <f>IF(I776&lt;&gt;1,"",DATA_INPUT!$M55)</f>
        <v>0</v>
      </c>
      <c r="F776" s="30">
        <f>STORAGE_BALANCE_ENSEMBLE!BB55</f>
        <v>0</v>
      </c>
      <c r="G776" s="30">
        <f>STORAGE_BALANCE_ENSEMBLE!BC55</f>
        <v>0</v>
      </c>
      <c r="H776" s="30">
        <f>STORAGE_BALANCE_ENSEMBLE!BA55</f>
        <v>21603511.508491401</v>
      </c>
      <c r="I776" s="18">
        <f t="shared" si="111"/>
        <v>1</v>
      </c>
      <c r="J776" s="8">
        <f t="shared" si="113"/>
        <v>0</v>
      </c>
      <c r="K776" s="9">
        <f t="shared" si="114"/>
        <v>0</v>
      </c>
      <c r="L776" s="10">
        <f t="shared" si="115"/>
        <v>0</v>
      </c>
      <c r="M776" s="10">
        <f>IF(I776&lt;&gt;1,"",IF(H776="","",H776/CONTROL_PANEL!$B$11))</f>
        <v>0.43207023016982804</v>
      </c>
      <c r="N776" s="9">
        <f t="shared" si="116"/>
        <v>0</v>
      </c>
      <c r="O776" s="9">
        <f t="shared" si="117"/>
        <v>0</v>
      </c>
      <c r="P776" s="9">
        <f t="shared" si="118"/>
        <v>0</v>
      </c>
      <c r="Q776" s="9">
        <f t="shared" si="119"/>
        <v>0</v>
      </c>
      <c r="R776" s="11"/>
      <c r="S776" s="11" t="str">
        <f t="shared" si="112"/>
        <v>PASS</v>
      </c>
    </row>
    <row r="777" spans="1:19" x14ac:dyDescent="0.25">
      <c r="A777" s="30" t="s">
        <v>30</v>
      </c>
      <c r="B777" s="31">
        <f t="shared" si="110"/>
        <v>43831</v>
      </c>
      <c r="C777" s="30">
        <f>YEAR(BInputReservoir[[#This Row],[Date]])</f>
        <v>2020</v>
      </c>
      <c r="D777" s="30">
        <f>MONTH(BInputReservoir[[#This Row],[Date]])</f>
        <v>1</v>
      </c>
      <c r="E777" s="30">
        <f>IF(I777&lt;&gt;1,"",DATA_INPUT!$M56)</f>
        <v>0</v>
      </c>
      <c r="F777" s="30">
        <f>STORAGE_BALANCE_ENSEMBLE!BB56</f>
        <v>0</v>
      </c>
      <c r="G777" s="30">
        <f>STORAGE_BALANCE_ENSEMBLE!BC56</f>
        <v>0</v>
      </c>
      <c r="H777" s="30">
        <f>STORAGE_BALANCE_ENSEMBLE!BA56</f>
        <v>22039845.775100145</v>
      </c>
      <c r="I777" s="18">
        <f t="shared" si="111"/>
        <v>1</v>
      </c>
      <c r="J777" s="8">
        <f t="shared" si="113"/>
        <v>0</v>
      </c>
      <c r="K777" s="9">
        <f t="shared" si="114"/>
        <v>0</v>
      </c>
      <c r="L777" s="10">
        <f t="shared" si="115"/>
        <v>0</v>
      </c>
      <c r="M777" s="10">
        <f>IF(I777&lt;&gt;1,"",IF(H777="","",H777/CONTROL_PANEL!$B$11))</f>
        <v>0.4407969155020029</v>
      </c>
      <c r="N777" s="9">
        <f t="shared" si="116"/>
        <v>0</v>
      </c>
      <c r="O777" s="9">
        <f t="shared" si="117"/>
        <v>0</v>
      </c>
      <c r="P777" s="9">
        <f t="shared" si="118"/>
        <v>0</v>
      </c>
      <c r="Q777" s="9">
        <f t="shared" si="119"/>
        <v>0</v>
      </c>
      <c r="R777" s="11"/>
      <c r="S777" s="11" t="str">
        <f t="shared" si="112"/>
        <v>PASS</v>
      </c>
    </row>
    <row r="778" spans="1:19" x14ac:dyDescent="0.25">
      <c r="A778" s="30" t="s">
        <v>30</v>
      </c>
      <c r="B778" s="31">
        <f t="shared" si="110"/>
        <v>43862</v>
      </c>
      <c r="C778" s="30">
        <f>YEAR(BInputReservoir[[#This Row],[Date]])</f>
        <v>2020</v>
      </c>
      <c r="D778" s="30">
        <f>MONTH(BInputReservoir[[#This Row],[Date]])</f>
        <v>2</v>
      </c>
      <c r="E778" s="30">
        <f>IF(I778&lt;&gt;1,"",DATA_INPUT!$M57)</f>
        <v>0</v>
      </c>
      <c r="F778" s="30">
        <f>STORAGE_BALANCE_ENSEMBLE!BB57</f>
        <v>0</v>
      </c>
      <c r="G778" s="30">
        <f>STORAGE_BALANCE_ENSEMBLE!BC57</f>
        <v>0</v>
      </c>
      <c r="H778" s="30">
        <f>STORAGE_BALANCE_ENSEMBLE!BA57</f>
        <v>21998461.065540198</v>
      </c>
      <c r="I778" s="18">
        <f t="shared" si="111"/>
        <v>1</v>
      </c>
      <c r="J778" s="8">
        <f t="shared" si="113"/>
        <v>0</v>
      </c>
      <c r="K778" s="9">
        <f t="shared" si="114"/>
        <v>0</v>
      </c>
      <c r="L778" s="10">
        <f t="shared" si="115"/>
        <v>0</v>
      </c>
      <c r="M778" s="10">
        <f>IF(I778&lt;&gt;1,"",IF(H778="","",H778/CONTROL_PANEL!$B$11))</f>
        <v>0.43996922131080396</v>
      </c>
      <c r="N778" s="9">
        <f t="shared" si="116"/>
        <v>0</v>
      </c>
      <c r="O778" s="9">
        <f t="shared" si="117"/>
        <v>0</v>
      </c>
      <c r="P778" s="9">
        <f t="shared" si="118"/>
        <v>0</v>
      </c>
      <c r="Q778" s="9">
        <f t="shared" si="119"/>
        <v>0</v>
      </c>
      <c r="R778" s="11"/>
      <c r="S778" s="11" t="str">
        <f t="shared" si="112"/>
        <v>PASS</v>
      </c>
    </row>
    <row r="779" spans="1:19" x14ac:dyDescent="0.25">
      <c r="A779" s="30" t="s">
        <v>30</v>
      </c>
      <c r="B779" s="31">
        <f t="shared" si="110"/>
        <v>43891</v>
      </c>
      <c r="C779" s="30">
        <f>YEAR(BInputReservoir[[#This Row],[Date]])</f>
        <v>2020</v>
      </c>
      <c r="D779" s="30">
        <f>MONTH(BInputReservoir[[#This Row],[Date]])</f>
        <v>3</v>
      </c>
      <c r="E779" s="30">
        <f>IF(I779&lt;&gt;1,"",DATA_INPUT!$M58)</f>
        <v>0</v>
      </c>
      <c r="F779" s="30">
        <f>STORAGE_BALANCE_ENSEMBLE!BB58</f>
        <v>0</v>
      </c>
      <c r="G779" s="30">
        <f>STORAGE_BALANCE_ENSEMBLE!BC58</f>
        <v>0</v>
      </c>
      <c r="H779" s="30">
        <f>STORAGE_BALANCE_ENSEMBLE!BA58</f>
        <v>22506448.22623444</v>
      </c>
      <c r="I779" s="18">
        <f t="shared" si="111"/>
        <v>1</v>
      </c>
      <c r="J779" s="8">
        <f t="shared" si="113"/>
        <v>0</v>
      </c>
      <c r="K779" s="9">
        <f t="shared" si="114"/>
        <v>0</v>
      </c>
      <c r="L779" s="10">
        <f t="shared" si="115"/>
        <v>0</v>
      </c>
      <c r="M779" s="10">
        <f>IF(I779&lt;&gt;1,"",IF(H779="","",H779/CONTROL_PANEL!$B$11))</f>
        <v>0.45012896452468881</v>
      </c>
      <c r="N779" s="9">
        <f t="shared" si="116"/>
        <v>0</v>
      </c>
      <c r="O779" s="9">
        <f t="shared" si="117"/>
        <v>0</v>
      </c>
      <c r="P779" s="9">
        <f t="shared" si="118"/>
        <v>0</v>
      </c>
      <c r="Q779" s="9">
        <f t="shared" si="119"/>
        <v>0</v>
      </c>
      <c r="R779" s="11"/>
      <c r="S779" s="11" t="str">
        <f t="shared" si="112"/>
        <v>PASS</v>
      </c>
    </row>
    <row r="780" spans="1:19" x14ac:dyDescent="0.25">
      <c r="A780" s="30" t="s">
        <v>30</v>
      </c>
      <c r="B780" s="31">
        <f t="shared" si="110"/>
        <v>43922</v>
      </c>
      <c r="C780" s="30">
        <f>YEAR(BInputReservoir[[#This Row],[Date]])</f>
        <v>2020</v>
      </c>
      <c r="D780" s="30">
        <f>MONTH(BInputReservoir[[#This Row],[Date]])</f>
        <v>4</v>
      </c>
      <c r="E780" s="30">
        <f>IF(I780&lt;&gt;1,"",DATA_INPUT!$M59)</f>
        <v>5150.1881963221404</v>
      </c>
      <c r="F780" s="30">
        <f>STORAGE_BALANCE_ENSEMBLE!BB59</f>
        <v>0</v>
      </c>
      <c r="G780" s="30">
        <f>STORAGE_BALANCE_ENSEMBLE!BC59</f>
        <v>0</v>
      </c>
      <c r="H780" s="30">
        <f>STORAGE_BALANCE_ENSEMBLE!BA59</f>
        <v>22849865.861912966</v>
      </c>
      <c r="I780" s="18">
        <f t="shared" si="111"/>
        <v>1</v>
      </c>
      <c r="J780" s="8">
        <f t="shared" si="113"/>
        <v>5150.1881963221404</v>
      </c>
      <c r="K780" s="9">
        <f t="shared" si="114"/>
        <v>0</v>
      </c>
      <c r="L780" s="10">
        <f t="shared" si="115"/>
        <v>0</v>
      </c>
      <c r="M780" s="10">
        <f>IF(I780&lt;&gt;1,"",IF(H780="","",H780/CONTROL_PANEL!$B$11))</f>
        <v>0.45699731723825932</v>
      </c>
      <c r="N780" s="9">
        <f t="shared" si="116"/>
        <v>0</v>
      </c>
      <c r="O780" s="9">
        <f t="shared" si="117"/>
        <v>0</v>
      </c>
      <c r="P780" s="9">
        <f t="shared" si="118"/>
        <v>0</v>
      </c>
      <c r="Q780" s="9">
        <f t="shared" si="119"/>
        <v>0</v>
      </c>
      <c r="R780" s="11"/>
      <c r="S780" s="11" t="str">
        <f t="shared" si="112"/>
        <v>PASS</v>
      </c>
    </row>
    <row r="781" spans="1:19" x14ac:dyDescent="0.25">
      <c r="A781" s="30" t="s">
        <v>30</v>
      </c>
      <c r="B781" s="31">
        <f t="shared" si="110"/>
        <v>43952</v>
      </c>
      <c r="C781" s="30">
        <f>YEAR(BInputReservoir[[#This Row],[Date]])</f>
        <v>2020</v>
      </c>
      <c r="D781" s="30">
        <f>MONTH(BInputReservoir[[#This Row],[Date]])</f>
        <v>5</v>
      </c>
      <c r="E781" s="30">
        <f>IF(I781&lt;&gt;1,"",DATA_INPUT!$M60)</f>
        <v>174307.6243528536</v>
      </c>
      <c r="F781" s="30">
        <f>STORAGE_BALANCE_ENSEMBLE!BB60</f>
        <v>0</v>
      </c>
      <c r="G781" s="30">
        <f>STORAGE_BALANCE_ENSEMBLE!BC60</f>
        <v>0</v>
      </c>
      <c r="H781" s="30">
        <f>STORAGE_BALANCE_ENSEMBLE!BA60</f>
        <v>22535719.542063382</v>
      </c>
      <c r="I781" s="18">
        <f t="shared" si="111"/>
        <v>1</v>
      </c>
      <c r="J781" s="8">
        <f t="shared" si="113"/>
        <v>174307.6243528536</v>
      </c>
      <c r="K781" s="9">
        <f t="shared" si="114"/>
        <v>0</v>
      </c>
      <c r="L781" s="10">
        <f t="shared" si="115"/>
        <v>0</v>
      </c>
      <c r="M781" s="10">
        <f>IF(I781&lt;&gt;1,"",IF(H781="","",H781/CONTROL_PANEL!$B$11))</f>
        <v>0.45071439084126763</v>
      </c>
      <c r="N781" s="9">
        <f t="shared" si="116"/>
        <v>0</v>
      </c>
      <c r="O781" s="9">
        <f t="shared" si="117"/>
        <v>0</v>
      </c>
      <c r="P781" s="9">
        <f t="shared" si="118"/>
        <v>0</v>
      </c>
      <c r="Q781" s="9">
        <f t="shared" si="119"/>
        <v>0</v>
      </c>
      <c r="R781" s="11"/>
      <c r="S781" s="11" t="str">
        <f t="shared" si="112"/>
        <v>PASS</v>
      </c>
    </row>
    <row r="782" spans="1:19" x14ac:dyDescent="0.25">
      <c r="A782" s="30" t="s">
        <v>30</v>
      </c>
      <c r="B782" s="31">
        <f t="shared" si="110"/>
        <v>43983</v>
      </c>
      <c r="C782" s="30">
        <f>YEAR(BInputReservoir[[#This Row],[Date]])</f>
        <v>2020</v>
      </c>
      <c r="D782" s="30">
        <f>MONTH(BInputReservoir[[#This Row],[Date]])</f>
        <v>6</v>
      </c>
      <c r="E782" s="30">
        <f>IF(I782&lt;&gt;1,"",DATA_INPUT!$M61)</f>
        <v>926945.69386532623</v>
      </c>
      <c r="F782" s="30">
        <f>STORAGE_BALANCE_ENSEMBLE!BB61</f>
        <v>0</v>
      </c>
      <c r="G782" s="30">
        <f>STORAGE_BALANCE_ENSEMBLE!BC61</f>
        <v>0</v>
      </c>
      <c r="H782" s="30">
        <f>STORAGE_BALANCE_ENSEMBLE!BA61</f>
        <v>21201682.244283695</v>
      </c>
      <c r="I782" s="18">
        <f t="shared" si="111"/>
        <v>1</v>
      </c>
      <c r="J782" s="8">
        <f t="shared" si="113"/>
        <v>926945.69386532623</v>
      </c>
      <c r="K782" s="9">
        <f t="shared" si="114"/>
        <v>0</v>
      </c>
      <c r="L782" s="10">
        <f t="shared" si="115"/>
        <v>0</v>
      </c>
      <c r="M782" s="10">
        <f>IF(I782&lt;&gt;1,"",IF(H782="","",H782/CONTROL_PANEL!$B$11))</f>
        <v>0.42403364488567391</v>
      </c>
      <c r="N782" s="9">
        <f t="shared" si="116"/>
        <v>0</v>
      </c>
      <c r="O782" s="9">
        <f t="shared" si="117"/>
        <v>0</v>
      </c>
      <c r="P782" s="9">
        <f t="shared" si="118"/>
        <v>0</v>
      </c>
      <c r="Q782" s="9">
        <f t="shared" si="119"/>
        <v>0</v>
      </c>
      <c r="R782" s="11"/>
      <c r="S782" s="11" t="str">
        <f t="shared" si="112"/>
        <v>PASS</v>
      </c>
    </row>
    <row r="783" spans="1:19" x14ac:dyDescent="0.25">
      <c r="A783" s="30" t="s">
        <v>30</v>
      </c>
      <c r="B783" s="31">
        <f t="shared" si="110"/>
        <v>44013</v>
      </c>
      <c r="C783" s="30">
        <f>YEAR(BInputReservoir[[#This Row],[Date]])</f>
        <v>2020</v>
      </c>
      <c r="D783" s="30">
        <f>MONTH(BInputReservoir[[#This Row],[Date]])</f>
        <v>7</v>
      </c>
      <c r="E783" s="30">
        <f>IF(I783&lt;&gt;1,"",DATA_INPUT!$M62)</f>
        <v>2077029.1753423307</v>
      </c>
      <c r="F783" s="30">
        <f>STORAGE_BALANCE_ENSEMBLE!BB62</f>
        <v>0</v>
      </c>
      <c r="G783" s="30">
        <f>STORAGE_BALANCE_ENSEMBLE!BC62</f>
        <v>0</v>
      </c>
      <c r="H783" s="30">
        <f>STORAGE_BALANCE_ENSEMBLE!BA62</f>
        <v>18623653.917468123</v>
      </c>
      <c r="I783" s="18">
        <f t="shared" si="111"/>
        <v>1</v>
      </c>
      <c r="J783" s="8">
        <f t="shared" si="113"/>
        <v>2077029.1753423307</v>
      </c>
      <c r="K783" s="9">
        <f t="shared" si="114"/>
        <v>0</v>
      </c>
      <c r="L783" s="10">
        <f t="shared" si="115"/>
        <v>0</v>
      </c>
      <c r="M783" s="10">
        <f>IF(I783&lt;&gt;1,"",IF(H783="","",H783/CONTROL_PANEL!$B$11))</f>
        <v>0.37247307834936244</v>
      </c>
      <c r="N783" s="9">
        <f t="shared" si="116"/>
        <v>0</v>
      </c>
      <c r="O783" s="9">
        <f t="shared" si="117"/>
        <v>0</v>
      </c>
      <c r="P783" s="9">
        <f t="shared" si="118"/>
        <v>0</v>
      </c>
      <c r="Q783" s="9">
        <f t="shared" si="119"/>
        <v>0</v>
      </c>
      <c r="R783" s="11"/>
      <c r="S783" s="11" t="str">
        <f t="shared" si="112"/>
        <v>PASS</v>
      </c>
    </row>
    <row r="784" spans="1:19" x14ac:dyDescent="0.25">
      <c r="A784" s="30" t="s">
        <v>30</v>
      </c>
      <c r="B784" s="31">
        <f t="shared" si="110"/>
        <v>44044</v>
      </c>
      <c r="C784" s="30">
        <f>YEAR(BInputReservoir[[#This Row],[Date]])</f>
        <v>2020</v>
      </c>
      <c r="D784" s="30">
        <f>MONTH(BInputReservoir[[#This Row],[Date]])</f>
        <v>8</v>
      </c>
      <c r="E784" s="30">
        <f>IF(I784&lt;&gt;1,"",DATA_INPUT!$M63)</f>
        <v>1807668.3661664217</v>
      </c>
      <c r="F784" s="30">
        <f>STORAGE_BALANCE_ENSEMBLE!BB63</f>
        <v>0</v>
      </c>
      <c r="G784" s="30">
        <f>STORAGE_BALANCE_ENSEMBLE!BC63</f>
        <v>0</v>
      </c>
      <c r="H784" s="30">
        <f>STORAGE_BALANCE_ENSEMBLE!BA63</f>
        <v>16441716.392817773</v>
      </c>
      <c r="I784" s="18">
        <f t="shared" si="111"/>
        <v>1</v>
      </c>
      <c r="J784" s="8">
        <f t="shared" si="113"/>
        <v>1807668.3661664217</v>
      </c>
      <c r="K784" s="9">
        <f t="shared" si="114"/>
        <v>0</v>
      </c>
      <c r="L784" s="10">
        <f t="shared" si="115"/>
        <v>0</v>
      </c>
      <c r="M784" s="10">
        <f>IF(I784&lt;&gt;1,"",IF(H784="","",H784/CONTROL_PANEL!$B$11))</f>
        <v>0.32883432785635547</v>
      </c>
      <c r="N784" s="9">
        <f t="shared" si="116"/>
        <v>0</v>
      </c>
      <c r="O784" s="9">
        <f t="shared" si="117"/>
        <v>0</v>
      </c>
      <c r="P784" s="9">
        <f t="shared" si="118"/>
        <v>0</v>
      </c>
      <c r="Q784" s="9">
        <f t="shared" si="119"/>
        <v>0</v>
      </c>
      <c r="R784" s="11"/>
      <c r="S784" s="11" t="str">
        <f t="shared" si="112"/>
        <v>PASS</v>
      </c>
    </row>
    <row r="785" spans="1:19" x14ac:dyDescent="0.25">
      <c r="A785" s="30" t="s">
        <v>30</v>
      </c>
      <c r="B785" s="31">
        <f t="shared" si="110"/>
        <v>44075</v>
      </c>
      <c r="C785" s="30">
        <f>YEAR(BInputReservoir[[#This Row],[Date]])</f>
        <v>2020</v>
      </c>
      <c r="D785" s="30">
        <f>MONTH(BInputReservoir[[#This Row],[Date]])</f>
        <v>9</v>
      </c>
      <c r="E785" s="30">
        <f>IF(I785&lt;&gt;1,"",DATA_INPUT!$M64)</f>
        <v>633411.39303879358</v>
      </c>
      <c r="F785" s="30">
        <f>STORAGE_BALANCE_ENSEMBLE!BB64</f>
        <v>0</v>
      </c>
      <c r="G785" s="30">
        <f>STORAGE_BALANCE_ENSEMBLE!BC64</f>
        <v>0</v>
      </c>
      <c r="H785" s="30">
        <f>STORAGE_BALANCE_ENSEMBLE!BA64</f>
        <v>15809029.949018881</v>
      </c>
      <c r="I785" s="18">
        <f t="shared" si="111"/>
        <v>1</v>
      </c>
      <c r="J785" s="8">
        <f t="shared" si="113"/>
        <v>633411.39303879358</v>
      </c>
      <c r="K785" s="9">
        <f t="shared" si="114"/>
        <v>0</v>
      </c>
      <c r="L785" s="10">
        <f t="shared" si="115"/>
        <v>0</v>
      </c>
      <c r="M785" s="10">
        <f>IF(I785&lt;&gt;1,"",IF(H785="","",H785/CONTROL_PANEL!$B$11))</f>
        <v>0.31618059898037759</v>
      </c>
      <c r="N785" s="9">
        <f t="shared" si="116"/>
        <v>0</v>
      </c>
      <c r="O785" s="9">
        <f t="shared" si="117"/>
        <v>0</v>
      </c>
      <c r="P785" s="9">
        <f t="shared" si="118"/>
        <v>0</v>
      </c>
      <c r="Q785" s="9">
        <f t="shared" si="119"/>
        <v>0</v>
      </c>
      <c r="R785" s="11"/>
      <c r="S785" s="11" t="str">
        <f t="shared" si="112"/>
        <v>PASS</v>
      </c>
    </row>
    <row r="786" spans="1:19" x14ac:dyDescent="0.25">
      <c r="A786" s="30" t="s">
        <v>30</v>
      </c>
      <c r="B786" s="31">
        <f t="shared" si="110"/>
        <v>44105</v>
      </c>
      <c r="C786" s="30">
        <f>YEAR(BInputReservoir[[#This Row],[Date]])</f>
        <v>2020</v>
      </c>
      <c r="D786" s="30">
        <f>MONTH(BInputReservoir[[#This Row],[Date]])</f>
        <v>10</v>
      </c>
      <c r="E786" s="30">
        <f>IF(I786&lt;&gt;1,"",DATA_INPUT!$M65)</f>
        <v>107973.51392474869</v>
      </c>
      <c r="F786" s="30">
        <f>STORAGE_BALANCE_ENSEMBLE!BB65</f>
        <v>0</v>
      </c>
      <c r="G786" s="30">
        <f>STORAGE_BALANCE_ENSEMBLE!BC65</f>
        <v>0</v>
      </c>
      <c r="H786" s="30">
        <f>STORAGE_BALANCE_ENSEMBLE!BA65</f>
        <v>16426111.079056362</v>
      </c>
      <c r="I786" s="18">
        <f t="shared" si="111"/>
        <v>1</v>
      </c>
      <c r="J786" s="8">
        <f t="shared" si="113"/>
        <v>107973.51392474869</v>
      </c>
      <c r="K786" s="9">
        <f t="shared" si="114"/>
        <v>0</v>
      </c>
      <c r="L786" s="10">
        <f t="shared" si="115"/>
        <v>0</v>
      </c>
      <c r="M786" s="10">
        <f>IF(I786&lt;&gt;1,"",IF(H786="","",H786/CONTROL_PANEL!$B$11))</f>
        <v>0.32852222158112726</v>
      </c>
      <c r="N786" s="9">
        <f t="shared" si="116"/>
        <v>0</v>
      </c>
      <c r="O786" s="9">
        <f t="shared" si="117"/>
        <v>0</v>
      </c>
      <c r="P786" s="9">
        <f t="shared" si="118"/>
        <v>0</v>
      </c>
      <c r="Q786" s="9">
        <f t="shared" si="119"/>
        <v>0</v>
      </c>
      <c r="R786" s="11"/>
      <c r="S786" s="11" t="str">
        <f t="shared" si="112"/>
        <v>PASS</v>
      </c>
    </row>
    <row r="787" spans="1:19" x14ac:dyDescent="0.25">
      <c r="A787" s="30" t="s">
        <v>30</v>
      </c>
      <c r="B787" s="31">
        <f t="shared" si="110"/>
        <v>44136</v>
      </c>
      <c r="C787" s="30">
        <f>YEAR(BInputReservoir[[#This Row],[Date]])</f>
        <v>2020</v>
      </c>
      <c r="D787" s="30">
        <f>MONTH(BInputReservoir[[#This Row],[Date]])</f>
        <v>11</v>
      </c>
      <c r="E787" s="30">
        <f>IF(I787&lt;&gt;1,"",DATA_INPUT!$M66)</f>
        <v>0</v>
      </c>
      <c r="F787" s="30">
        <f>STORAGE_BALANCE_ENSEMBLE!BB66</f>
        <v>0</v>
      </c>
      <c r="G787" s="30">
        <f>STORAGE_BALANCE_ENSEMBLE!BC66</f>
        <v>0</v>
      </c>
      <c r="H787" s="30">
        <f>STORAGE_BALANCE_ENSEMBLE!BA66</f>
        <v>17255948.2911405</v>
      </c>
      <c r="I787" s="18">
        <f t="shared" si="111"/>
        <v>1</v>
      </c>
      <c r="J787" s="8">
        <f t="shared" si="113"/>
        <v>0</v>
      </c>
      <c r="K787" s="9">
        <f t="shared" si="114"/>
        <v>0</v>
      </c>
      <c r="L787" s="10">
        <f t="shared" si="115"/>
        <v>0</v>
      </c>
      <c r="M787" s="10">
        <f>IF(I787&lt;&gt;1,"",IF(H787="","",H787/CONTROL_PANEL!$B$11))</f>
        <v>0.34511896582280999</v>
      </c>
      <c r="N787" s="9">
        <f t="shared" si="116"/>
        <v>0</v>
      </c>
      <c r="O787" s="9">
        <f t="shared" si="117"/>
        <v>0</v>
      </c>
      <c r="P787" s="9">
        <f t="shared" si="118"/>
        <v>0</v>
      </c>
      <c r="Q787" s="9">
        <f t="shared" si="119"/>
        <v>0</v>
      </c>
      <c r="R787" s="11"/>
      <c r="S787" s="11" t="str">
        <f t="shared" si="112"/>
        <v>PASS</v>
      </c>
    </row>
    <row r="788" spans="1:19" x14ac:dyDescent="0.25">
      <c r="A788" s="30" t="s">
        <v>30</v>
      </c>
      <c r="B788" s="31">
        <f t="shared" si="110"/>
        <v>44166</v>
      </c>
      <c r="C788" s="30">
        <f>YEAR(BInputReservoir[[#This Row],[Date]])</f>
        <v>2020</v>
      </c>
      <c r="D788" s="30">
        <f>MONTH(BInputReservoir[[#This Row],[Date]])</f>
        <v>12</v>
      </c>
      <c r="E788" s="30">
        <f>IF(I788&lt;&gt;1,"",DATA_INPUT!$M67)</f>
        <v>0</v>
      </c>
      <c r="F788" s="30">
        <f>STORAGE_BALANCE_ENSEMBLE!BB67</f>
        <v>0</v>
      </c>
      <c r="G788" s="30">
        <f>STORAGE_BALANCE_ENSEMBLE!BC67</f>
        <v>0</v>
      </c>
      <c r="H788" s="30">
        <f>STORAGE_BALANCE_ENSEMBLE!BA67</f>
        <v>18852352.771392867</v>
      </c>
      <c r="I788" s="18">
        <f t="shared" si="111"/>
        <v>1</v>
      </c>
      <c r="J788" s="8">
        <f t="shared" si="113"/>
        <v>0</v>
      </c>
      <c r="K788" s="9">
        <f t="shared" si="114"/>
        <v>0</v>
      </c>
      <c r="L788" s="10">
        <f t="shared" si="115"/>
        <v>0</v>
      </c>
      <c r="M788" s="10">
        <f>IF(I788&lt;&gt;1,"",IF(H788="","",H788/CONTROL_PANEL!$B$11))</f>
        <v>0.37704705542785732</v>
      </c>
      <c r="N788" s="9">
        <f t="shared" si="116"/>
        <v>0</v>
      </c>
      <c r="O788" s="9">
        <f t="shared" si="117"/>
        <v>0</v>
      </c>
      <c r="P788" s="9">
        <f t="shared" si="118"/>
        <v>0</v>
      </c>
      <c r="Q788" s="9">
        <f t="shared" si="119"/>
        <v>0</v>
      </c>
      <c r="R788" s="11"/>
      <c r="S788" s="11" t="str">
        <f t="shared" si="112"/>
        <v>PASS</v>
      </c>
    </row>
    <row r="789" spans="1:19" x14ac:dyDescent="0.25">
      <c r="A789" s="30" t="s">
        <v>30</v>
      </c>
      <c r="B789" s="31">
        <f t="shared" si="110"/>
        <v>44197</v>
      </c>
      <c r="C789" s="30">
        <f>YEAR(BInputReservoir[[#This Row],[Date]])</f>
        <v>2021</v>
      </c>
      <c r="D789" s="30">
        <f>MONTH(BInputReservoir[[#This Row],[Date]])</f>
        <v>1</v>
      </c>
      <c r="E789" s="30">
        <f>IF(I789&lt;&gt;1,"",DATA_INPUT!$M68)</f>
        <v>0</v>
      </c>
      <c r="F789" s="30">
        <f>STORAGE_BALANCE_ENSEMBLE!BB68</f>
        <v>0</v>
      </c>
      <c r="G789" s="30">
        <f>STORAGE_BALANCE_ENSEMBLE!BC68</f>
        <v>0</v>
      </c>
      <c r="H789" s="30">
        <f>STORAGE_BALANCE_ENSEMBLE!BA68</f>
        <v>24539701.407160617</v>
      </c>
      <c r="I789" s="18">
        <f t="shared" si="111"/>
        <v>1</v>
      </c>
      <c r="J789" s="8">
        <f t="shared" si="113"/>
        <v>0</v>
      </c>
      <c r="K789" s="9">
        <f t="shared" si="114"/>
        <v>0</v>
      </c>
      <c r="L789" s="10">
        <f t="shared" si="115"/>
        <v>0</v>
      </c>
      <c r="M789" s="10">
        <f>IF(I789&lt;&gt;1,"",IF(H789="","",H789/CONTROL_PANEL!$B$11))</f>
        <v>0.49079402814321232</v>
      </c>
      <c r="N789" s="9">
        <f t="shared" si="116"/>
        <v>0</v>
      </c>
      <c r="O789" s="9">
        <f t="shared" si="117"/>
        <v>0</v>
      </c>
      <c r="P789" s="9">
        <f t="shared" si="118"/>
        <v>0</v>
      </c>
      <c r="Q789" s="9">
        <f t="shared" si="119"/>
        <v>0</v>
      </c>
      <c r="R789" s="11"/>
      <c r="S789" s="11" t="str">
        <f t="shared" si="112"/>
        <v>PASS</v>
      </c>
    </row>
    <row r="790" spans="1:19" x14ac:dyDescent="0.25">
      <c r="A790" s="30" t="s">
        <v>30</v>
      </c>
      <c r="B790" s="31">
        <f t="shared" si="110"/>
        <v>44228</v>
      </c>
      <c r="C790" s="30">
        <f>YEAR(BInputReservoir[[#This Row],[Date]])</f>
        <v>2021</v>
      </c>
      <c r="D790" s="30">
        <f>MONTH(BInputReservoir[[#This Row],[Date]])</f>
        <v>2</v>
      </c>
      <c r="E790" s="30">
        <f>IF(I790&lt;&gt;1,"",DATA_INPUT!$M69)</f>
        <v>0</v>
      </c>
      <c r="F790" s="30">
        <f>STORAGE_BALANCE_ENSEMBLE!BB69</f>
        <v>0</v>
      </c>
      <c r="G790" s="30">
        <f>STORAGE_BALANCE_ENSEMBLE!BC69</f>
        <v>0</v>
      </c>
      <c r="H790" s="30">
        <f>STORAGE_BALANCE_ENSEMBLE!BA69</f>
        <v>26308156.904998928</v>
      </c>
      <c r="I790" s="18">
        <f t="shared" si="111"/>
        <v>1</v>
      </c>
      <c r="J790" s="8">
        <f t="shared" si="113"/>
        <v>0</v>
      </c>
      <c r="K790" s="9">
        <f t="shared" si="114"/>
        <v>0</v>
      </c>
      <c r="L790" s="10">
        <f t="shared" si="115"/>
        <v>0</v>
      </c>
      <c r="M790" s="10">
        <f>IF(I790&lt;&gt;1,"",IF(H790="","",H790/CONTROL_PANEL!$B$11))</f>
        <v>0.52616313809997861</v>
      </c>
      <c r="N790" s="9">
        <f t="shared" si="116"/>
        <v>0</v>
      </c>
      <c r="O790" s="9">
        <f t="shared" si="117"/>
        <v>0</v>
      </c>
      <c r="P790" s="9">
        <f t="shared" si="118"/>
        <v>0</v>
      </c>
      <c r="Q790" s="9">
        <f t="shared" si="119"/>
        <v>0</v>
      </c>
      <c r="R790" s="11"/>
      <c r="S790" s="11" t="str">
        <f t="shared" ref="S790:S821" si="120">IF(COUNTA(A790:H790)=0,"",IF(OR(A790="",C790="",D790=""),"ERROR: missing key fields","PASS"))</f>
        <v>PASS</v>
      </c>
    </row>
    <row r="791" spans="1:19" x14ac:dyDescent="0.25">
      <c r="A791" s="30" t="s">
        <v>30</v>
      </c>
      <c r="B791" s="31">
        <f t="shared" ref="B791:B854" si="121">B430</f>
        <v>44256</v>
      </c>
      <c r="C791" s="30">
        <f>YEAR(BInputReservoir[[#This Row],[Date]])</f>
        <v>2021</v>
      </c>
      <c r="D791" s="30">
        <f>MONTH(BInputReservoir[[#This Row],[Date]])</f>
        <v>3</v>
      </c>
      <c r="E791" s="30">
        <f>IF(I791&lt;&gt;1,"",DATA_INPUT!$M70)</f>
        <v>0</v>
      </c>
      <c r="F791" s="30">
        <f>STORAGE_BALANCE_ENSEMBLE!BB70</f>
        <v>0</v>
      </c>
      <c r="G791" s="30">
        <f>STORAGE_BALANCE_ENSEMBLE!BC70</f>
        <v>0</v>
      </c>
      <c r="H791" s="30">
        <f>STORAGE_BALANCE_ENSEMBLE!BA70</f>
        <v>26477622.341064706</v>
      </c>
      <c r="I791" s="18">
        <f t="shared" ref="I791:I854" si="122">I69</f>
        <v>1</v>
      </c>
      <c r="J791" s="8">
        <f t="shared" si="113"/>
        <v>0</v>
      </c>
      <c r="K791" s="9">
        <f t="shared" si="114"/>
        <v>0</v>
      </c>
      <c r="L791" s="10">
        <f t="shared" si="115"/>
        <v>0</v>
      </c>
      <c r="M791" s="10">
        <f>IF(I791&lt;&gt;1,"",IF(H791="","",H791/CONTROL_PANEL!$B$11))</f>
        <v>0.5295524468212941</v>
      </c>
      <c r="N791" s="9">
        <f t="shared" si="116"/>
        <v>0</v>
      </c>
      <c r="O791" s="9">
        <f t="shared" si="117"/>
        <v>0</v>
      </c>
      <c r="P791" s="9">
        <f t="shared" si="118"/>
        <v>0</v>
      </c>
      <c r="Q791" s="9">
        <f t="shared" si="119"/>
        <v>0</v>
      </c>
      <c r="R791" s="11"/>
      <c r="S791" s="11" t="str">
        <f t="shared" si="120"/>
        <v>PASS</v>
      </c>
    </row>
    <row r="792" spans="1:19" x14ac:dyDescent="0.25">
      <c r="A792" s="30" t="s">
        <v>30</v>
      </c>
      <c r="B792" s="31">
        <f t="shared" si="121"/>
        <v>44287</v>
      </c>
      <c r="C792" s="30">
        <f>YEAR(BInputReservoir[[#This Row],[Date]])</f>
        <v>2021</v>
      </c>
      <c r="D792" s="30">
        <f>MONTH(BInputReservoir[[#This Row],[Date]])</f>
        <v>4</v>
      </c>
      <c r="E792" s="30">
        <f>IF(I792&lt;&gt;1,"",DATA_INPUT!$M71)</f>
        <v>124615.51209456357</v>
      </c>
      <c r="F792" s="30">
        <f>STORAGE_BALANCE_ENSEMBLE!BB71</f>
        <v>0</v>
      </c>
      <c r="G792" s="30">
        <f>STORAGE_BALANCE_ENSEMBLE!BC71</f>
        <v>0</v>
      </c>
      <c r="H792" s="30">
        <f>STORAGE_BALANCE_ENSEMBLE!BA71</f>
        <v>26385114.682609472</v>
      </c>
      <c r="I792" s="18">
        <f t="shared" si="122"/>
        <v>1</v>
      </c>
      <c r="J792" s="8">
        <f t="shared" si="113"/>
        <v>124615.51209456357</v>
      </c>
      <c r="K792" s="9">
        <f t="shared" si="114"/>
        <v>0</v>
      </c>
      <c r="L792" s="10">
        <f t="shared" si="115"/>
        <v>0</v>
      </c>
      <c r="M792" s="10">
        <f>IF(I792&lt;&gt;1,"",IF(H792="","",H792/CONTROL_PANEL!$B$11))</f>
        <v>0.52770229365218946</v>
      </c>
      <c r="N792" s="9">
        <f t="shared" si="116"/>
        <v>0</v>
      </c>
      <c r="O792" s="9">
        <f t="shared" si="117"/>
        <v>0</v>
      </c>
      <c r="P792" s="9">
        <f t="shared" si="118"/>
        <v>0</v>
      </c>
      <c r="Q792" s="9">
        <f t="shared" si="119"/>
        <v>0</v>
      </c>
      <c r="R792" s="11"/>
      <c r="S792" s="11" t="str">
        <f t="shared" si="120"/>
        <v>PASS</v>
      </c>
    </row>
    <row r="793" spans="1:19" x14ac:dyDescent="0.25">
      <c r="A793" s="30" t="s">
        <v>30</v>
      </c>
      <c r="B793" s="31">
        <f t="shared" si="121"/>
        <v>44317</v>
      </c>
      <c r="C793" s="30">
        <f>YEAR(BInputReservoir[[#This Row],[Date]])</f>
        <v>2021</v>
      </c>
      <c r="D793" s="30">
        <f>MONTH(BInputReservoir[[#This Row],[Date]])</f>
        <v>5</v>
      </c>
      <c r="E793" s="30">
        <f>IF(I793&lt;&gt;1,"",DATA_INPUT!$M72)</f>
        <v>351611.40853753244</v>
      </c>
      <c r="F793" s="30">
        <f>STORAGE_BALANCE_ENSEMBLE!BB72</f>
        <v>0</v>
      </c>
      <c r="G793" s="30">
        <f>STORAGE_BALANCE_ENSEMBLE!BC72</f>
        <v>0</v>
      </c>
      <c r="H793" s="30">
        <f>STORAGE_BALANCE_ENSEMBLE!BA72</f>
        <v>25728263.284320448</v>
      </c>
      <c r="I793" s="18">
        <f t="shared" si="122"/>
        <v>1</v>
      </c>
      <c r="J793" s="8">
        <f t="shared" si="113"/>
        <v>351611.40853753244</v>
      </c>
      <c r="K793" s="9">
        <f t="shared" si="114"/>
        <v>0</v>
      </c>
      <c r="L793" s="10">
        <f t="shared" si="115"/>
        <v>0</v>
      </c>
      <c r="M793" s="10">
        <f>IF(I793&lt;&gt;1,"",IF(H793="","",H793/CONTROL_PANEL!$B$11))</f>
        <v>0.51456526568640892</v>
      </c>
      <c r="N793" s="9">
        <f t="shared" si="116"/>
        <v>0</v>
      </c>
      <c r="O793" s="9">
        <f t="shared" si="117"/>
        <v>0</v>
      </c>
      <c r="P793" s="9">
        <f t="shared" si="118"/>
        <v>0</v>
      </c>
      <c r="Q793" s="9">
        <f t="shared" si="119"/>
        <v>0</v>
      </c>
      <c r="R793" s="11"/>
      <c r="S793" s="11" t="str">
        <f t="shared" si="120"/>
        <v>PASS</v>
      </c>
    </row>
    <row r="794" spans="1:19" x14ac:dyDescent="0.25">
      <c r="A794" s="30" t="s">
        <v>30</v>
      </c>
      <c r="B794" s="31">
        <f t="shared" si="121"/>
        <v>44348</v>
      </c>
      <c r="C794" s="30">
        <f>YEAR(BInputReservoir[[#This Row],[Date]])</f>
        <v>2021</v>
      </c>
      <c r="D794" s="30">
        <f>MONTH(BInputReservoir[[#This Row],[Date]])</f>
        <v>6</v>
      </c>
      <c r="E794" s="30">
        <f>IF(I794&lt;&gt;1,"",DATA_INPUT!$M73)</f>
        <v>983253.73985149432</v>
      </c>
      <c r="F794" s="30">
        <f>STORAGE_BALANCE_ENSEMBLE!BB73</f>
        <v>0</v>
      </c>
      <c r="G794" s="30">
        <f>STORAGE_BALANCE_ENSEMBLE!BC73</f>
        <v>0</v>
      </c>
      <c r="H794" s="30">
        <f>STORAGE_BALANCE_ENSEMBLE!BA73</f>
        <v>24287673.29070941</v>
      </c>
      <c r="I794" s="18">
        <f t="shared" si="122"/>
        <v>1</v>
      </c>
      <c r="J794" s="8">
        <f t="shared" si="113"/>
        <v>983253.73985149432</v>
      </c>
      <c r="K794" s="9">
        <f t="shared" si="114"/>
        <v>0</v>
      </c>
      <c r="L794" s="10">
        <f t="shared" si="115"/>
        <v>0</v>
      </c>
      <c r="M794" s="10">
        <f>IF(I794&lt;&gt;1,"",IF(H794="","",H794/CONTROL_PANEL!$B$11))</f>
        <v>0.48575346581418821</v>
      </c>
      <c r="N794" s="9">
        <f t="shared" si="116"/>
        <v>0</v>
      </c>
      <c r="O794" s="9">
        <f t="shared" si="117"/>
        <v>0</v>
      </c>
      <c r="P794" s="9">
        <f t="shared" si="118"/>
        <v>0</v>
      </c>
      <c r="Q794" s="9">
        <f t="shared" si="119"/>
        <v>0</v>
      </c>
      <c r="R794" s="11"/>
      <c r="S794" s="11" t="str">
        <f t="shared" si="120"/>
        <v>PASS</v>
      </c>
    </row>
    <row r="795" spans="1:19" x14ac:dyDescent="0.25">
      <c r="A795" s="30" t="s">
        <v>30</v>
      </c>
      <c r="B795" s="31">
        <f t="shared" si="121"/>
        <v>44378</v>
      </c>
      <c r="C795" s="30">
        <f>YEAR(BInputReservoir[[#This Row],[Date]])</f>
        <v>2021</v>
      </c>
      <c r="D795" s="30">
        <f>MONTH(BInputReservoir[[#This Row],[Date]])</f>
        <v>7</v>
      </c>
      <c r="E795" s="30">
        <f>IF(I795&lt;&gt;1,"",DATA_INPUT!$M74)</f>
        <v>1978403.2296648785</v>
      </c>
      <c r="F795" s="30">
        <f>STORAGE_BALANCE_ENSEMBLE!BB74</f>
        <v>0</v>
      </c>
      <c r="G795" s="30">
        <f>STORAGE_BALANCE_ENSEMBLE!BC74</f>
        <v>0</v>
      </c>
      <c r="H795" s="30">
        <f>STORAGE_BALANCE_ENSEMBLE!BA74</f>
        <v>21819107.476559155</v>
      </c>
      <c r="I795" s="18">
        <f t="shared" si="122"/>
        <v>1</v>
      </c>
      <c r="J795" s="8">
        <f t="shared" si="113"/>
        <v>1978403.2296648785</v>
      </c>
      <c r="K795" s="9">
        <f t="shared" si="114"/>
        <v>0</v>
      </c>
      <c r="L795" s="10">
        <f t="shared" si="115"/>
        <v>0</v>
      </c>
      <c r="M795" s="10">
        <f>IF(I795&lt;&gt;1,"",IF(H795="","",H795/CONTROL_PANEL!$B$11))</f>
        <v>0.43638214953118309</v>
      </c>
      <c r="N795" s="9">
        <f t="shared" si="116"/>
        <v>0</v>
      </c>
      <c r="O795" s="9">
        <f t="shared" si="117"/>
        <v>0</v>
      </c>
      <c r="P795" s="9">
        <f t="shared" si="118"/>
        <v>0</v>
      </c>
      <c r="Q795" s="9">
        <f t="shared" si="119"/>
        <v>0</v>
      </c>
      <c r="R795" s="11"/>
      <c r="S795" s="11" t="str">
        <f t="shared" si="120"/>
        <v>PASS</v>
      </c>
    </row>
    <row r="796" spans="1:19" x14ac:dyDescent="0.25">
      <c r="A796" s="30" t="s">
        <v>30</v>
      </c>
      <c r="B796" s="31">
        <f t="shared" si="121"/>
        <v>44409</v>
      </c>
      <c r="C796" s="30">
        <f>YEAR(BInputReservoir[[#This Row],[Date]])</f>
        <v>2021</v>
      </c>
      <c r="D796" s="30">
        <f>MONTH(BInputReservoir[[#This Row],[Date]])</f>
        <v>8</v>
      </c>
      <c r="E796" s="30">
        <f>IF(I796&lt;&gt;1,"",DATA_INPUT!$M75)</f>
        <v>2185721.5430419957</v>
      </c>
      <c r="F796" s="30">
        <f>STORAGE_BALANCE_ENSEMBLE!BB75</f>
        <v>0</v>
      </c>
      <c r="G796" s="30">
        <f>STORAGE_BALANCE_ENSEMBLE!BC75</f>
        <v>0</v>
      </c>
      <c r="H796" s="30">
        <f>STORAGE_BALANCE_ENSEMBLE!BA75</f>
        <v>19198115.901048992</v>
      </c>
      <c r="I796" s="18">
        <f t="shared" si="122"/>
        <v>1</v>
      </c>
      <c r="J796" s="8">
        <f t="shared" si="113"/>
        <v>2185721.5430419957</v>
      </c>
      <c r="K796" s="9">
        <f t="shared" si="114"/>
        <v>0</v>
      </c>
      <c r="L796" s="10">
        <f t="shared" si="115"/>
        <v>0</v>
      </c>
      <c r="M796" s="10">
        <f>IF(I796&lt;&gt;1,"",IF(H796="","",H796/CONTROL_PANEL!$B$11))</f>
        <v>0.38396231802097985</v>
      </c>
      <c r="N796" s="9">
        <f t="shared" si="116"/>
        <v>0</v>
      </c>
      <c r="O796" s="9">
        <f t="shared" si="117"/>
        <v>0</v>
      </c>
      <c r="P796" s="9">
        <f t="shared" si="118"/>
        <v>0</v>
      </c>
      <c r="Q796" s="9">
        <f t="shared" si="119"/>
        <v>0</v>
      </c>
      <c r="R796" s="11"/>
      <c r="S796" s="11" t="str">
        <f t="shared" si="120"/>
        <v>PASS</v>
      </c>
    </row>
    <row r="797" spans="1:19" x14ac:dyDescent="0.25">
      <c r="A797" s="30" t="s">
        <v>30</v>
      </c>
      <c r="B797" s="31">
        <f t="shared" si="121"/>
        <v>44440</v>
      </c>
      <c r="C797" s="30">
        <f>YEAR(BInputReservoir[[#This Row],[Date]])</f>
        <v>2021</v>
      </c>
      <c r="D797" s="30">
        <f>MONTH(BInputReservoir[[#This Row],[Date]])</f>
        <v>9</v>
      </c>
      <c r="E797" s="30">
        <f>IF(I797&lt;&gt;1,"",DATA_INPUT!$M76)</f>
        <v>502181.50479655864</v>
      </c>
      <c r="F797" s="30">
        <f>STORAGE_BALANCE_ENSEMBLE!BB76</f>
        <v>0</v>
      </c>
      <c r="G797" s="30">
        <f>STORAGE_BALANCE_ENSEMBLE!BC76</f>
        <v>0</v>
      </c>
      <c r="H797" s="30">
        <f>STORAGE_BALANCE_ENSEMBLE!BA76</f>
        <v>18601129.747874059</v>
      </c>
      <c r="I797" s="18">
        <f t="shared" si="122"/>
        <v>1</v>
      </c>
      <c r="J797" s="8">
        <f t="shared" si="113"/>
        <v>502181.50479655864</v>
      </c>
      <c r="K797" s="9">
        <f t="shared" si="114"/>
        <v>0</v>
      </c>
      <c r="L797" s="10">
        <f t="shared" si="115"/>
        <v>0</v>
      </c>
      <c r="M797" s="10">
        <f>IF(I797&lt;&gt;1,"",IF(H797="","",H797/CONTROL_PANEL!$B$11))</f>
        <v>0.37202259495748119</v>
      </c>
      <c r="N797" s="9">
        <f t="shared" si="116"/>
        <v>0</v>
      </c>
      <c r="O797" s="9">
        <f t="shared" si="117"/>
        <v>0</v>
      </c>
      <c r="P797" s="9">
        <f t="shared" si="118"/>
        <v>0</v>
      </c>
      <c r="Q797" s="9">
        <f t="shared" si="119"/>
        <v>0</v>
      </c>
      <c r="R797" s="11"/>
      <c r="S797" s="11" t="str">
        <f t="shared" si="120"/>
        <v>PASS</v>
      </c>
    </row>
    <row r="798" spans="1:19" x14ac:dyDescent="0.25">
      <c r="A798" s="30" t="s">
        <v>30</v>
      </c>
      <c r="B798" s="31">
        <f t="shared" si="121"/>
        <v>44470</v>
      </c>
      <c r="C798" s="30">
        <f>YEAR(BInputReservoir[[#This Row],[Date]])</f>
        <v>2021</v>
      </c>
      <c r="D798" s="30">
        <f>MONTH(BInputReservoir[[#This Row],[Date]])</f>
        <v>10</v>
      </c>
      <c r="E798" s="30">
        <f>IF(I798&lt;&gt;1,"",DATA_INPUT!$M77)</f>
        <v>201327.94237999577</v>
      </c>
      <c r="F798" s="30">
        <f>STORAGE_BALANCE_ENSEMBLE!BB77</f>
        <v>0</v>
      </c>
      <c r="G798" s="30">
        <f>STORAGE_BALANCE_ENSEMBLE!BC77</f>
        <v>0</v>
      </c>
      <c r="H798" s="30">
        <f>STORAGE_BALANCE_ENSEMBLE!BA77</f>
        <v>18443988.643878836</v>
      </c>
      <c r="I798" s="18">
        <f t="shared" si="122"/>
        <v>1</v>
      </c>
      <c r="J798" s="8">
        <f t="shared" si="113"/>
        <v>201327.94237999577</v>
      </c>
      <c r="K798" s="9">
        <f t="shared" si="114"/>
        <v>0</v>
      </c>
      <c r="L798" s="10">
        <f t="shared" si="115"/>
        <v>0</v>
      </c>
      <c r="M798" s="10">
        <f>IF(I798&lt;&gt;1,"",IF(H798="","",H798/CONTROL_PANEL!$B$11))</f>
        <v>0.36887977287757673</v>
      </c>
      <c r="N798" s="9">
        <f t="shared" si="116"/>
        <v>0</v>
      </c>
      <c r="O798" s="9">
        <f t="shared" si="117"/>
        <v>0</v>
      </c>
      <c r="P798" s="9">
        <f t="shared" si="118"/>
        <v>0</v>
      </c>
      <c r="Q798" s="9">
        <f t="shared" si="119"/>
        <v>0</v>
      </c>
      <c r="R798" s="11"/>
      <c r="S798" s="11" t="str">
        <f t="shared" si="120"/>
        <v>PASS</v>
      </c>
    </row>
    <row r="799" spans="1:19" x14ac:dyDescent="0.25">
      <c r="A799" s="30" t="s">
        <v>30</v>
      </c>
      <c r="B799" s="31">
        <f t="shared" si="121"/>
        <v>44501</v>
      </c>
      <c r="C799" s="30">
        <f>YEAR(BInputReservoir[[#This Row],[Date]])</f>
        <v>2021</v>
      </c>
      <c r="D799" s="30">
        <f>MONTH(BInputReservoir[[#This Row],[Date]])</f>
        <v>11</v>
      </c>
      <c r="E799" s="30">
        <f>IF(I799&lt;&gt;1,"",DATA_INPUT!$M78)</f>
        <v>0</v>
      </c>
      <c r="F799" s="30">
        <f>STORAGE_BALANCE_ENSEMBLE!BB78</f>
        <v>0</v>
      </c>
      <c r="G799" s="30">
        <f>STORAGE_BALANCE_ENSEMBLE!BC78</f>
        <v>0</v>
      </c>
      <c r="H799" s="30">
        <f>STORAGE_BALANCE_ENSEMBLE!BA78</f>
        <v>18412971.297103934</v>
      </c>
      <c r="I799" s="18">
        <f t="shared" si="122"/>
        <v>1</v>
      </c>
      <c r="J799" s="8">
        <f t="shared" si="113"/>
        <v>0</v>
      </c>
      <c r="K799" s="9">
        <f t="shared" si="114"/>
        <v>0</v>
      </c>
      <c r="L799" s="10">
        <f t="shared" si="115"/>
        <v>0</v>
      </c>
      <c r="M799" s="10">
        <f>IF(I799&lt;&gt;1,"",IF(H799="","",H799/CONTROL_PANEL!$B$11))</f>
        <v>0.36825942594207867</v>
      </c>
      <c r="N799" s="9">
        <f t="shared" si="116"/>
        <v>0</v>
      </c>
      <c r="O799" s="9">
        <f t="shared" si="117"/>
        <v>0</v>
      </c>
      <c r="P799" s="9">
        <f t="shared" si="118"/>
        <v>0</v>
      </c>
      <c r="Q799" s="9">
        <f t="shared" si="119"/>
        <v>0</v>
      </c>
      <c r="R799" s="11"/>
      <c r="S799" s="11" t="str">
        <f t="shared" si="120"/>
        <v>PASS</v>
      </c>
    </row>
    <row r="800" spans="1:19" x14ac:dyDescent="0.25">
      <c r="A800" s="30" t="s">
        <v>30</v>
      </c>
      <c r="B800" s="31">
        <f t="shared" si="121"/>
        <v>44531</v>
      </c>
      <c r="C800" s="30">
        <f>YEAR(BInputReservoir[[#This Row],[Date]])</f>
        <v>2021</v>
      </c>
      <c r="D800" s="30">
        <f>MONTH(BInputReservoir[[#This Row],[Date]])</f>
        <v>12</v>
      </c>
      <c r="E800" s="30">
        <f>IF(I800&lt;&gt;1,"",DATA_INPUT!$M79)</f>
        <v>0</v>
      </c>
      <c r="F800" s="30">
        <f>STORAGE_BALANCE_ENSEMBLE!BB79</f>
        <v>0</v>
      </c>
      <c r="G800" s="30">
        <f>STORAGE_BALANCE_ENSEMBLE!BC79</f>
        <v>0</v>
      </c>
      <c r="H800" s="30">
        <f>STORAGE_BALANCE_ENSEMBLE!BA79</f>
        <v>18549339.741255853</v>
      </c>
      <c r="I800" s="18">
        <f t="shared" si="122"/>
        <v>1</v>
      </c>
      <c r="J800" s="8">
        <f t="shared" si="113"/>
        <v>0</v>
      </c>
      <c r="K800" s="9">
        <f t="shared" si="114"/>
        <v>0</v>
      </c>
      <c r="L800" s="10">
        <f t="shared" si="115"/>
        <v>0</v>
      </c>
      <c r="M800" s="10">
        <f>IF(I800&lt;&gt;1,"",IF(H800="","",H800/CONTROL_PANEL!$B$11))</f>
        <v>0.37098679482511704</v>
      </c>
      <c r="N800" s="9">
        <f t="shared" si="116"/>
        <v>0</v>
      </c>
      <c r="O800" s="9">
        <f t="shared" si="117"/>
        <v>0</v>
      </c>
      <c r="P800" s="9">
        <f t="shared" si="118"/>
        <v>0</v>
      </c>
      <c r="Q800" s="9">
        <f t="shared" si="119"/>
        <v>0</v>
      </c>
      <c r="R800" s="11"/>
      <c r="S800" s="11" t="str">
        <f t="shared" si="120"/>
        <v>PASS</v>
      </c>
    </row>
    <row r="801" spans="1:19" x14ac:dyDescent="0.25">
      <c r="A801" s="30" t="s">
        <v>30</v>
      </c>
      <c r="B801" s="31">
        <f t="shared" si="121"/>
        <v>44562</v>
      </c>
      <c r="C801" s="30">
        <f>YEAR(BInputReservoir[[#This Row],[Date]])</f>
        <v>2022</v>
      </c>
      <c r="D801" s="30">
        <f>MONTH(BInputReservoir[[#This Row],[Date]])</f>
        <v>1</v>
      </c>
      <c r="E801" s="30">
        <f>IF(I801&lt;&gt;1,"",DATA_INPUT!$M80)</f>
        <v>0</v>
      </c>
      <c r="F801" s="30">
        <f>STORAGE_BALANCE_ENSEMBLE!BB80</f>
        <v>0</v>
      </c>
      <c r="G801" s="30">
        <f>STORAGE_BALANCE_ENSEMBLE!BC80</f>
        <v>0</v>
      </c>
      <c r="H801" s="30">
        <f>STORAGE_BALANCE_ENSEMBLE!BA80</f>
        <v>18493161.994833324</v>
      </c>
      <c r="I801" s="18">
        <f t="shared" si="122"/>
        <v>1</v>
      </c>
      <c r="J801" s="8">
        <f t="shared" si="113"/>
        <v>0</v>
      </c>
      <c r="K801" s="9">
        <f t="shared" si="114"/>
        <v>0</v>
      </c>
      <c r="L801" s="10">
        <f t="shared" si="115"/>
        <v>0</v>
      </c>
      <c r="M801" s="10">
        <f>IF(I801&lt;&gt;1,"",IF(H801="","",H801/CONTROL_PANEL!$B$11))</f>
        <v>0.36986323989666647</v>
      </c>
      <c r="N801" s="9">
        <f t="shared" si="116"/>
        <v>0</v>
      </c>
      <c r="O801" s="9">
        <f t="shared" si="117"/>
        <v>0</v>
      </c>
      <c r="P801" s="9">
        <f t="shared" si="118"/>
        <v>0</v>
      </c>
      <c r="Q801" s="9">
        <f t="shared" si="119"/>
        <v>0</v>
      </c>
      <c r="R801" s="11"/>
      <c r="S801" s="11" t="str">
        <f t="shared" si="120"/>
        <v>PASS</v>
      </c>
    </row>
    <row r="802" spans="1:19" x14ac:dyDescent="0.25">
      <c r="A802" s="30" t="s">
        <v>30</v>
      </c>
      <c r="B802" s="31">
        <f t="shared" si="121"/>
        <v>44593</v>
      </c>
      <c r="C802" s="30">
        <f>YEAR(BInputReservoir[[#This Row],[Date]])</f>
        <v>2022</v>
      </c>
      <c r="D802" s="30">
        <f>MONTH(BInputReservoir[[#This Row],[Date]])</f>
        <v>2</v>
      </c>
      <c r="E802" s="30">
        <f>IF(I802&lt;&gt;1,"",DATA_INPUT!$M81)</f>
        <v>0</v>
      </c>
      <c r="F802" s="30">
        <f>STORAGE_BALANCE_ENSEMBLE!BB81</f>
        <v>0</v>
      </c>
      <c r="G802" s="30">
        <f>STORAGE_BALANCE_ENSEMBLE!BC81</f>
        <v>0</v>
      </c>
      <c r="H802" s="30">
        <f>STORAGE_BALANCE_ENSEMBLE!BA81</f>
        <v>18643981.293097936</v>
      </c>
      <c r="I802" s="18">
        <f t="shared" si="122"/>
        <v>1</v>
      </c>
      <c r="J802" s="8">
        <f t="shared" si="113"/>
        <v>0</v>
      </c>
      <c r="K802" s="9">
        <f t="shared" si="114"/>
        <v>0</v>
      </c>
      <c r="L802" s="10">
        <f t="shared" si="115"/>
        <v>0</v>
      </c>
      <c r="M802" s="10">
        <f>IF(I802&lt;&gt;1,"",IF(H802="","",H802/CONTROL_PANEL!$B$11))</f>
        <v>0.37287962586195872</v>
      </c>
      <c r="N802" s="9">
        <f t="shared" si="116"/>
        <v>0</v>
      </c>
      <c r="O802" s="9">
        <f t="shared" si="117"/>
        <v>0</v>
      </c>
      <c r="P802" s="9">
        <f t="shared" si="118"/>
        <v>0</v>
      </c>
      <c r="Q802" s="9">
        <f t="shared" si="119"/>
        <v>0</v>
      </c>
      <c r="R802" s="11"/>
      <c r="S802" s="11" t="str">
        <f t="shared" si="120"/>
        <v>PASS</v>
      </c>
    </row>
    <row r="803" spans="1:19" x14ac:dyDescent="0.25">
      <c r="A803" s="30" t="s">
        <v>30</v>
      </c>
      <c r="B803" s="31">
        <f t="shared" si="121"/>
        <v>44621</v>
      </c>
      <c r="C803" s="30">
        <f>YEAR(BInputReservoir[[#This Row],[Date]])</f>
        <v>2022</v>
      </c>
      <c r="D803" s="30">
        <f>MONTH(BInputReservoir[[#This Row],[Date]])</f>
        <v>3</v>
      </c>
      <c r="E803" s="30">
        <f>IF(I803&lt;&gt;1,"",DATA_INPUT!$M82)</f>
        <v>0</v>
      </c>
      <c r="F803" s="30">
        <f>STORAGE_BALANCE_ENSEMBLE!BB82</f>
        <v>0</v>
      </c>
      <c r="G803" s="30">
        <f>STORAGE_BALANCE_ENSEMBLE!BC82</f>
        <v>0</v>
      </c>
      <c r="H803" s="30">
        <f>STORAGE_BALANCE_ENSEMBLE!BA82</f>
        <v>18955828.966118328</v>
      </c>
      <c r="I803" s="18">
        <f t="shared" si="122"/>
        <v>1</v>
      </c>
      <c r="J803" s="8">
        <f t="shared" si="113"/>
        <v>0</v>
      </c>
      <c r="K803" s="9">
        <f t="shared" si="114"/>
        <v>0</v>
      </c>
      <c r="L803" s="10">
        <f t="shared" si="115"/>
        <v>0</v>
      </c>
      <c r="M803" s="10">
        <f>IF(I803&lt;&gt;1,"",IF(H803="","",H803/CONTROL_PANEL!$B$11))</f>
        <v>0.37911657932236659</v>
      </c>
      <c r="N803" s="9">
        <f t="shared" si="116"/>
        <v>0</v>
      </c>
      <c r="O803" s="9">
        <f t="shared" si="117"/>
        <v>0</v>
      </c>
      <c r="P803" s="9">
        <f t="shared" si="118"/>
        <v>0</v>
      </c>
      <c r="Q803" s="9">
        <f t="shared" si="119"/>
        <v>0</v>
      </c>
      <c r="R803" s="11"/>
      <c r="S803" s="11" t="str">
        <f t="shared" si="120"/>
        <v>PASS</v>
      </c>
    </row>
    <row r="804" spans="1:19" x14ac:dyDescent="0.25">
      <c r="A804" s="30" t="s">
        <v>30</v>
      </c>
      <c r="B804" s="31">
        <f t="shared" si="121"/>
        <v>44652</v>
      </c>
      <c r="C804" s="30">
        <f>YEAR(BInputReservoir[[#This Row],[Date]])</f>
        <v>2022</v>
      </c>
      <c r="D804" s="30">
        <f>MONTH(BInputReservoir[[#This Row],[Date]])</f>
        <v>4</v>
      </c>
      <c r="E804" s="30">
        <f>IF(I804&lt;&gt;1,"",DATA_INPUT!$M83)</f>
        <v>77814.257822142041</v>
      </c>
      <c r="F804" s="30">
        <f>STORAGE_BALANCE_ENSEMBLE!BB83</f>
        <v>0</v>
      </c>
      <c r="G804" s="30">
        <f>STORAGE_BALANCE_ENSEMBLE!BC83</f>
        <v>0</v>
      </c>
      <c r="H804" s="30">
        <f>STORAGE_BALANCE_ENSEMBLE!BA83</f>
        <v>18814586.16709486</v>
      </c>
      <c r="I804" s="18">
        <f t="shared" si="122"/>
        <v>1</v>
      </c>
      <c r="J804" s="8">
        <f t="shared" si="113"/>
        <v>77814.257822142041</v>
      </c>
      <c r="K804" s="9">
        <f t="shared" si="114"/>
        <v>0</v>
      </c>
      <c r="L804" s="10">
        <f t="shared" si="115"/>
        <v>0</v>
      </c>
      <c r="M804" s="10">
        <f>IF(I804&lt;&gt;1,"",IF(H804="","",H804/CONTROL_PANEL!$B$11))</f>
        <v>0.3762917233418972</v>
      </c>
      <c r="N804" s="9">
        <f t="shared" si="116"/>
        <v>0</v>
      </c>
      <c r="O804" s="9">
        <f t="shared" si="117"/>
        <v>0</v>
      </c>
      <c r="P804" s="9">
        <f t="shared" si="118"/>
        <v>0</v>
      </c>
      <c r="Q804" s="9">
        <f t="shared" si="119"/>
        <v>0</v>
      </c>
      <c r="R804" s="11"/>
      <c r="S804" s="11" t="str">
        <f t="shared" si="120"/>
        <v>PASS</v>
      </c>
    </row>
    <row r="805" spans="1:19" x14ac:dyDescent="0.25">
      <c r="A805" s="30" t="s">
        <v>30</v>
      </c>
      <c r="B805" s="31">
        <f t="shared" si="121"/>
        <v>44682</v>
      </c>
      <c r="C805" s="30">
        <f>YEAR(BInputReservoir[[#This Row],[Date]])</f>
        <v>2022</v>
      </c>
      <c r="D805" s="30">
        <f>MONTH(BInputReservoir[[#This Row],[Date]])</f>
        <v>5</v>
      </c>
      <c r="E805" s="30">
        <f>IF(I805&lt;&gt;1,"",DATA_INPUT!$M84)</f>
        <v>822735.25749588059</v>
      </c>
      <c r="F805" s="30">
        <f>STORAGE_BALANCE_ENSEMBLE!BB84</f>
        <v>0</v>
      </c>
      <c r="G805" s="30">
        <f>STORAGE_BALANCE_ENSEMBLE!BC84</f>
        <v>0</v>
      </c>
      <c r="H805" s="30">
        <f>STORAGE_BALANCE_ENSEMBLE!BA84</f>
        <v>17670411.780263077</v>
      </c>
      <c r="I805" s="18">
        <f t="shared" si="122"/>
        <v>1</v>
      </c>
      <c r="J805" s="8">
        <f t="shared" si="113"/>
        <v>822735.25749588059</v>
      </c>
      <c r="K805" s="9">
        <f t="shared" si="114"/>
        <v>0</v>
      </c>
      <c r="L805" s="10">
        <f t="shared" si="115"/>
        <v>0</v>
      </c>
      <c r="M805" s="10">
        <f>IF(I805&lt;&gt;1,"",IF(H805="","",H805/CONTROL_PANEL!$B$11))</f>
        <v>0.35340823560526152</v>
      </c>
      <c r="N805" s="9">
        <f t="shared" si="116"/>
        <v>0</v>
      </c>
      <c r="O805" s="9">
        <f t="shared" si="117"/>
        <v>0</v>
      </c>
      <c r="P805" s="9">
        <f t="shared" si="118"/>
        <v>0</v>
      </c>
      <c r="Q805" s="9">
        <f t="shared" si="119"/>
        <v>0</v>
      </c>
      <c r="R805" s="11"/>
      <c r="S805" s="11" t="str">
        <f t="shared" si="120"/>
        <v>PASS</v>
      </c>
    </row>
    <row r="806" spans="1:19" x14ac:dyDescent="0.25">
      <c r="A806" s="30" t="s">
        <v>30</v>
      </c>
      <c r="B806" s="31">
        <f t="shared" si="121"/>
        <v>44713</v>
      </c>
      <c r="C806" s="30">
        <f>YEAR(BInputReservoir[[#This Row],[Date]])</f>
        <v>2022</v>
      </c>
      <c r="D806" s="30">
        <f>MONTH(BInputReservoir[[#This Row],[Date]])</f>
        <v>6</v>
      </c>
      <c r="E806" s="30">
        <f>IF(I806&lt;&gt;1,"",DATA_INPUT!$M85)</f>
        <v>1110568.7063283334</v>
      </c>
      <c r="F806" s="30">
        <f>STORAGE_BALANCE_ENSEMBLE!BB85</f>
        <v>0</v>
      </c>
      <c r="G806" s="30">
        <f>STORAGE_BALANCE_ENSEMBLE!BC85</f>
        <v>0</v>
      </c>
      <c r="H806" s="30">
        <f>STORAGE_BALANCE_ENSEMBLE!BA85</f>
        <v>16220616.922183573</v>
      </c>
      <c r="I806" s="18">
        <f t="shared" si="122"/>
        <v>1</v>
      </c>
      <c r="J806" s="8">
        <f t="shared" si="113"/>
        <v>1110568.7063283334</v>
      </c>
      <c r="K806" s="9">
        <f t="shared" si="114"/>
        <v>0</v>
      </c>
      <c r="L806" s="10">
        <f t="shared" si="115"/>
        <v>0</v>
      </c>
      <c r="M806" s="10">
        <f>IF(I806&lt;&gt;1,"",IF(H806="","",H806/CONTROL_PANEL!$B$11))</f>
        <v>0.32441233844367146</v>
      </c>
      <c r="N806" s="9">
        <f t="shared" si="116"/>
        <v>0</v>
      </c>
      <c r="O806" s="9">
        <f t="shared" si="117"/>
        <v>0</v>
      </c>
      <c r="P806" s="9">
        <f t="shared" si="118"/>
        <v>0</v>
      </c>
      <c r="Q806" s="9">
        <f t="shared" si="119"/>
        <v>0</v>
      </c>
      <c r="R806" s="11"/>
      <c r="S806" s="11" t="str">
        <f t="shared" si="120"/>
        <v>PASS</v>
      </c>
    </row>
    <row r="807" spans="1:19" x14ac:dyDescent="0.25">
      <c r="A807" s="30" t="s">
        <v>30</v>
      </c>
      <c r="B807" s="31">
        <f t="shared" si="121"/>
        <v>44743</v>
      </c>
      <c r="C807" s="30">
        <f>YEAR(BInputReservoir[[#This Row],[Date]])</f>
        <v>2022</v>
      </c>
      <c r="D807" s="30">
        <f>MONTH(BInputReservoir[[#This Row],[Date]])</f>
        <v>7</v>
      </c>
      <c r="E807" s="30">
        <f>IF(I807&lt;&gt;1,"",DATA_INPUT!$M86)</f>
        <v>2595628.7413146882</v>
      </c>
      <c r="F807" s="30">
        <f>STORAGE_BALANCE_ENSEMBLE!BB86</f>
        <v>0</v>
      </c>
      <c r="G807" s="30">
        <f>STORAGE_BALANCE_ENSEMBLE!BC86</f>
        <v>0</v>
      </c>
      <c r="H807" s="30">
        <f>STORAGE_BALANCE_ENSEMBLE!BA86</f>
        <v>13188840.401086392</v>
      </c>
      <c r="I807" s="18">
        <f t="shared" si="122"/>
        <v>1</v>
      </c>
      <c r="J807" s="8">
        <f t="shared" si="113"/>
        <v>2595628.7413146882</v>
      </c>
      <c r="K807" s="9">
        <f t="shared" si="114"/>
        <v>0</v>
      </c>
      <c r="L807" s="10">
        <f t="shared" si="115"/>
        <v>0</v>
      </c>
      <c r="M807" s="10">
        <f>IF(I807&lt;&gt;1,"",IF(H807="","",H807/CONTROL_PANEL!$B$11))</f>
        <v>0.26377680802172782</v>
      </c>
      <c r="N807" s="9">
        <f t="shared" si="116"/>
        <v>0</v>
      </c>
      <c r="O807" s="9">
        <f t="shared" si="117"/>
        <v>0</v>
      </c>
      <c r="P807" s="9">
        <f t="shared" si="118"/>
        <v>0</v>
      </c>
      <c r="Q807" s="9">
        <f t="shared" si="119"/>
        <v>0</v>
      </c>
      <c r="R807" s="11"/>
      <c r="S807" s="11" t="str">
        <f t="shared" si="120"/>
        <v>PASS</v>
      </c>
    </row>
    <row r="808" spans="1:19" x14ac:dyDescent="0.25">
      <c r="A808" s="30" t="s">
        <v>30</v>
      </c>
      <c r="B808" s="31">
        <f t="shared" si="121"/>
        <v>44774</v>
      </c>
      <c r="C808" s="30">
        <f>YEAR(BInputReservoir[[#This Row],[Date]])</f>
        <v>2022</v>
      </c>
      <c r="D808" s="30">
        <f>MONTH(BInputReservoir[[#This Row],[Date]])</f>
        <v>8</v>
      </c>
      <c r="E808" s="30">
        <f>IF(I808&lt;&gt;1,"",DATA_INPUT!$M87)</f>
        <v>2156834.4145764126</v>
      </c>
      <c r="F808" s="30">
        <f>STORAGE_BALANCE_ENSEMBLE!BB87</f>
        <v>0</v>
      </c>
      <c r="G808" s="30">
        <f>STORAGE_BALANCE_ENSEMBLE!BC87</f>
        <v>0</v>
      </c>
      <c r="H808" s="30">
        <f>STORAGE_BALANCE_ENSEMBLE!BA87</f>
        <v>10722751.445030432</v>
      </c>
      <c r="I808" s="18">
        <f t="shared" si="122"/>
        <v>1</v>
      </c>
      <c r="J808" s="8">
        <f t="shared" si="113"/>
        <v>2156834.4145764126</v>
      </c>
      <c r="K808" s="9">
        <f t="shared" si="114"/>
        <v>0</v>
      </c>
      <c r="L808" s="10">
        <f t="shared" si="115"/>
        <v>0</v>
      </c>
      <c r="M808" s="10">
        <f>IF(I808&lt;&gt;1,"",IF(H808="","",H808/CONTROL_PANEL!$B$11))</f>
        <v>0.21445502890060864</v>
      </c>
      <c r="N808" s="9">
        <f t="shared" si="116"/>
        <v>0</v>
      </c>
      <c r="O808" s="9">
        <f t="shared" si="117"/>
        <v>0</v>
      </c>
      <c r="P808" s="9">
        <f t="shared" si="118"/>
        <v>0</v>
      </c>
      <c r="Q808" s="9">
        <f t="shared" si="119"/>
        <v>0</v>
      </c>
      <c r="R808" s="11"/>
      <c r="S808" s="11" t="str">
        <f t="shared" si="120"/>
        <v>PASS</v>
      </c>
    </row>
    <row r="809" spans="1:19" x14ac:dyDescent="0.25">
      <c r="A809" s="30" t="s">
        <v>30</v>
      </c>
      <c r="B809" s="31">
        <f t="shared" si="121"/>
        <v>44805</v>
      </c>
      <c r="C809" s="30">
        <f>YEAR(BInputReservoir[[#This Row],[Date]])</f>
        <v>2022</v>
      </c>
      <c r="D809" s="30">
        <f>MONTH(BInputReservoir[[#This Row],[Date]])</f>
        <v>9</v>
      </c>
      <c r="E809" s="30">
        <f>IF(I809&lt;&gt;1,"",DATA_INPUT!$M88)</f>
        <v>485752.15023372794</v>
      </c>
      <c r="F809" s="30">
        <f>STORAGE_BALANCE_ENSEMBLE!BB88</f>
        <v>0</v>
      </c>
      <c r="G809" s="30">
        <f>STORAGE_BALANCE_ENSEMBLE!BC88</f>
        <v>0</v>
      </c>
      <c r="H809" s="30">
        <f>STORAGE_BALANCE_ENSEMBLE!BA88</f>
        <v>10180746.274406025</v>
      </c>
      <c r="I809" s="18">
        <f t="shared" si="122"/>
        <v>1</v>
      </c>
      <c r="J809" s="8">
        <f t="shared" si="113"/>
        <v>485752.15023372794</v>
      </c>
      <c r="K809" s="9">
        <f t="shared" si="114"/>
        <v>0</v>
      </c>
      <c r="L809" s="10">
        <f t="shared" si="115"/>
        <v>0</v>
      </c>
      <c r="M809" s="10">
        <f>IF(I809&lt;&gt;1,"",IF(H809="","",H809/CONTROL_PANEL!$B$11))</f>
        <v>0.20361492548812049</v>
      </c>
      <c r="N809" s="9">
        <f t="shared" si="116"/>
        <v>0</v>
      </c>
      <c r="O809" s="9">
        <f t="shared" si="117"/>
        <v>0</v>
      </c>
      <c r="P809" s="9">
        <f t="shared" si="118"/>
        <v>0</v>
      </c>
      <c r="Q809" s="9">
        <f t="shared" si="119"/>
        <v>0</v>
      </c>
      <c r="R809" s="11"/>
      <c r="S809" s="11" t="str">
        <f t="shared" si="120"/>
        <v>PASS</v>
      </c>
    </row>
    <row r="810" spans="1:19" x14ac:dyDescent="0.25">
      <c r="A810" s="30" t="s">
        <v>30</v>
      </c>
      <c r="B810" s="31">
        <f t="shared" si="121"/>
        <v>44835</v>
      </c>
      <c r="C810" s="30">
        <f>YEAR(BInputReservoir[[#This Row],[Date]])</f>
        <v>2022</v>
      </c>
      <c r="D810" s="30">
        <f>MONTH(BInputReservoir[[#This Row],[Date]])</f>
        <v>10</v>
      </c>
      <c r="E810" s="30">
        <f>IF(I810&lt;&gt;1,"",DATA_INPUT!$M89)</f>
        <v>195079.43259778508</v>
      </c>
      <c r="F810" s="30">
        <f>STORAGE_BALANCE_ENSEMBLE!BB89</f>
        <v>0</v>
      </c>
      <c r="G810" s="30">
        <f>STORAGE_BALANCE_ENSEMBLE!BC89</f>
        <v>0</v>
      </c>
      <c r="H810" s="30">
        <f>STORAGE_BALANCE_ENSEMBLE!BA89</f>
        <v>9992276.0574128982</v>
      </c>
      <c r="I810" s="18">
        <f t="shared" si="122"/>
        <v>1</v>
      </c>
      <c r="J810" s="8">
        <f t="shared" si="113"/>
        <v>195079.43259778508</v>
      </c>
      <c r="K810" s="9">
        <f t="shared" si="114"/>
        <v>0</v>
      </c>
      <c r="L810" s="10">
        <f t="shared" si="115"/>
        <v>0</v>
      </c>
      <c r="M810" s="10">
        <f>IF(I810&lt;&gt;1,"",IF(H810="","",H810/CONTROL_PANEL!$B$11))</f>
        <v>0.19984552114825796</v>
      </c>
      <c r="N810" s="9">
        <f t="shared" si="116"/>
        <v>0</v>
      </c>
      <c r="O810" s="9">
        <f t="shared" si="117"/>
        <v>0</v>
      </c>
      <c r="P810" s="9">
        <f t="shared" si="118"/>
        <v>0</v>
      </c>
      <c r="Q810" s="9">
        <f t="shared" si="119"/>
        <v>0</v>
      </c>
      <c r="R810" s="11"/>
      <c r="S810" s="11" t="str">
        <f t="shared" si="120"/>
        <v>PASS</v>
      </c>
    </row>
    <row r="811" spans="1:19" x14ac:dyDescent="0.25">
      <c r="A811" s="30" t="s">
        <v>30</v>
      </c>
      <c r="B811" s="31">
        <f t="shared" si="121"/>
        <v>44866</v>
      </c>
      <c r="C811" s="30">
        <f>YEAR(BInputReservoir[[#This Row],[Date]])</f>
        <v>2022</v>
      </c>
      <c r="D811" s="30">
        <f>MONTH(BInputReservoir[[#This Row],[Date]])</f>
        <v>11</v>
      </c>
      <c r="E811" s="30">
        <f>IF(I811&lt;&gt;1,"",DATA_INPUT!$M90)</f>
        <v>0</v>
      </c>
      <c r="F811" s="30">
        <f>STORAGE_BALANCE_ENSEMBLE!BB90</f>
        <v>0</v>
      </c>
      <c r="G811" s="30">
        <f>STORAGE_BALANCE_ENSEMBLE!BC90</f>
        <v>0</v>
      </c>
      <c r="H811" s="30">
        <f>STORAGE_BALANCE_ENSEMBLE!BA90</f>
        <v>14054112.208314629</v>
      </c>
      <c r="I811" s="18">
        <f t="shared" si="122"/>
        <v>1</v>
      </c>
      <c r="J811" s="8">
        <f t="shared" si="113"/>
        <v>0</v>
      </c>
      <c r="K811" s="9">
        <f t="shared" si="114"/>
        <v>0</v>
      </c>
      <c r="L811" s="10">
        <f t="shared" si="115"/>
        <v>0</v>
      </c>
      <c r="M811" s="10">
        <f>IF(I811&lt;&gt;1,"",IF(H811="","",H811/CONTROL_PANEL!$B$11))</f>
        <v>0.28108224416629257</v>
      </c>
      <c r="N811" s="9">
        <f t="shared" si="116"/>
        <v>0</v>
      </c>
      <c r="O811" s="9">
        <f t="shared" si="117"/>
        <v>0</v>
      </c>
      <c r="P811" s="9">
        <f t="shared" si="118"/>
        <v>0</v>
      </c>
      <c r="Q811" s="9">
        <f t="shared" si="119"/>
        <v>0</v>
      </c>
      <c r="R811" s="11"/>
      <c r="S811" s="11" t="str">
        <f t="shared" si="120"/>
        <v>PASS</v>
      </c>
    </row>
    <row r="812" spans="1:19" x14ac:dyDescent="0.25">
      <c r="A812" s="30" t="s">
        <v>30</v>
      </c>
      <c r="B812" s="31">
        <f t="shared" si="121"/>
        <v>44896</v>
      </c>
      <c r="C812" s="30">
        <f>YEAR(BInputReservoir[[#This Row],[Date]])</f>
        <v>2022</v>
      </c>
      <c r="D812" s="30">
        <f>MONTH(BInputReservoir[[#This Row],[Date]])</f>
        <v>12</v>
      </c>
      <c r="E812" s="30">
        <f>IF(I812&lt;&gt;1,"",DATA_INPUT!$M91)</f>
        <v>0</v>
      </c>
      <c r="F812" s="30">
        <f>STORAGE_BALANCE_ENSEMBLE!BB91</f>
        <v>0</v>
      </c>
      <c r="G812" s="30">
        <f>STORAGE_BALANCE_ENSEMBLE!BC91</f>
        <v>0</v>
      </c>
      <c r="H812" s="30">
        <f>STORAGE_BALANCE_ENSEMBLE!BA91</f>
        <v>15856003.910693148</v>
      </c>
      <c r="I812" s="18">
        <f t="shared" si="122"/>
        <v>1</v>
      </c>
      <c r="J812" s="8">
        <f t="shared" si="113"/>
        <v>0</v>
      </c>
      <c r="K812" s="9">
        <f t="shared" si="114"/>
        <v>0</v>
      </c>
      <c r="L812" s="10">
        <f t="shared" si="115"/>
        <v>0</v>
      </c>
      <c r="M812" s="10">
        <f>IF(I812&lt;&gt;1,"",IF(H812="","",H812/CONTROL_PANEL!$B$11))</f>
        <v>0.31712007821386295</v>
      </c>
      <c r="N812" s="9">
        <f t="shared" si="116"/>
        <v>0</v>
      </c>
      <c r="O812" s="9">
        <f t="shared" si="117"/>
        <v>0</v>
      </c>
      <c r="P812" s="9">
        <f t="shared" si="118"/>
        <v>0</v>
      </c>
      <c r="Q812" s="9">
        <f t="shared" si="119"/>
        <v>0</v>
      </c>
      <c r="R812" s="11"/>
      <c r="S812" s="11" t="str">
        <f t="shared" si="120"/>
        <v>PASS</v>
      </c>
    </row>
    <row r="813" spans="1:19" x14ac:dyDescent="0.25">
      <c r="A813" s="30" t="s">
        <v>30</v>
      </c>
      <c r="B813" s="31">
        <f t="shared" si="121"/>
        <v>44927</v>
      </c>
      <c r="C813" s="30">
        <f>YEAR(BInputReservoir[[#This Row],[Date]])</f>
        <v>2023</v>
      </c>
      <c r="D813" s="30">
        <f>MONTH(BInputReservoir[[#This Row],[Date]])</f>
        <v>1</v>
      </c>
      <c r="E813" s="30">
        <f>IF(I813&lt;&gt;1,"",DATA_INPUT!$M92)</f>
        <v>0</v>
      </c>
      <c r="F813" s="30">
        <f>STORAGE_BALANCE_ENSEMBLE!BB92</f>
        <v>0</v>
      </c>
      <c r="G813" s="30">
        <f>STORAGE_BALANCE_ENSEMBLE!BC92</f>
        <v>0</v>
      </c>
      <c r="H813" s="30">
        <f>STORAGE_BALANCE_ENSEMBLE!BA92</f>
        <v>16224608.717593541</v>
      </c>
      <c r="I813" s="18">
        <f t="shared" si="122"/>
        <v>1</v>
      </c>
      <c r="J813" s="8">
        <f t="shared" si="113"/>
        <v>0</v>
      </c>
      <c r="K813" s="9">
        <f t="shared" si="114"/>
        <v>0</v>
      </c>
      <c r="L813" s="10">
        <f t="shared" si="115"/>
        <v>0</v>
      </c>
      <c r="M813" s="10">
        <f>IF(I813&lt;&gt;1,"",IF(H813="","",H813/CONTROL_PANEL!$B$11))</f>
        <v>0.32449217435187083</v>
      </c>
      <c r="N813" s="9">
        <f t="shared" si="116"/>
        <v>0</v>
      </c>
      <c r="O813" s="9">
        <f t="shared" si="117"/>
        <v>0</v>
      </c>
      <c r="P813" s="9">
        <f t="shared" si="118"/>
        <v>0</v>
      </c>
      <c r="Q813" s="9">
        <f t="shared" si="119"/>
        <v>0</v>
      </c>
      <c r="R813" s="11"/>
      <c r="S813" s="11" t="str">
        <f t="shared" si="120"/>
        <v>PASS</v>
      </c>
    </row>
    <row r="814" spans="1:19" x14ac:dyDescent="0.25">
      <c r="A814" s="30" t="s">
        <v>30</v>
      </c>
      <c r="B814" s="31">
        <f t="shared" si="121"/>
        <v>44958</v>
      </c>
      <c r="C814" s="30">
        <f>YEAR(BInputReservoir[[#This Row],[Date]])</f>
        <v>2023</v>
      </c>
      <c r="D814" s="30">
        <f>MONTH(BInputReservoir[[#This Row],[Date]])</f>
        <v>2</v>
      </c>
      <c r="E814" s="30">
        <f>IF(I814&lt;&gt;1,"",DATA_INPUT!$M93)</f>
        <v>0</v>
      </c>
      <c r="F814" s="30">
        <f>STORAGE_BALANCE_ENSEMBLE!BB93</f>
        <v>0</v>
      </c>
      <c r="G814" s="30">
        <f>STORAGE_BALANCE_ENSEMBLE!BC93</f>
        <v>0</v>
      </c>
      <c r="H814" s="30">
        <f>STORAGE_BALANCE_ENSEMBLE!BA93</f>
        <v>16211269.023163786</v>
      </c>
      <c r="I814" s="18">
        <f t="shared" si="122"/>
        <v>1</v>
      </c>
      <c r="J814" s="8">
        <f t="shared" si="113"/>
        <v>0</v>
      </c>
      <c r="K814" s="9">
        <f t="shared" si="114"/>
        <v>0</v>
      </c>
      <c r="L814" s="10">
        <f t="shared" si="115"/>
        <v>0</v>
      </c>
      <c r="M814" s="10">
        <f>IF(I814&lt;&gt;1,"",IF(H814="","",H814/CONTROL_PANEL!$B$11))</f>
        <v>0.3242253804632757</v>
      </c>
      <c r="N814" s="9">
        <f t="shared" si="116"/>
        <v>0</v>
      </c>
      <c r="O814" s="9">
        <f t="shared" si="117"/>
        <v>0</v>
      </c>
      <c r="P814" s="9">
        <f t="shared" si="118"/>
        <v>0</v>
      </c>
      <c r="Q814" s="9">
        <f t="shared" si="119"/>
        <v>0</v>
      </c>
      <c r="R814" s="11"/>
      <c r="S814" s="11" t="str">
        <f t="shared" si="120"/>
        <v>PASS</v>
      </c>
    </row>
    <row r="815" spans="1:19" x14ac:dyDescent="0.25">
      <c r="A815" s="30" t="s">
        <v>30</v>
      </c>
      <c r="B815" s="31">
        <f t="shared" si="121"/>
        <v>44986</v>
      </c>
      <c r="C815" s="30">
        <f>YEAR(BInputReservoir[[#This Row],[Date]])</f>
        <v>2023</v>
      </c>
      <c r="D815" s="30">
        <f>MONTH(BInputReservoir[[#This Row],[Date]])</f>
        <v>3</v>
      </c>
      <c r="E815" s="30">
        <f>IF(I815&lt;&gt;1,"",DATA_INPUT!$M94)</f>
        <v>0</v>
      </c>
      <c r="F815" s="30">
        <f>STORAGE_BALANCE_ENSEMBLE!BB94</f>
        <v>0</v>
      </c>
      <c r="G815" s="30">
        <f>STORAGE_BALANCE_ENSEMBLE!BC94</f>
        <v>0</v>
      </c>
      <c r="H815" s="30">
        <f>STORAGE_BALANCE_ENSEMBLE!BA94</f>
        <v>16136159.050044347</v>
      </c>
      <c r="I815" s="18">
        <f t="shared" si="122"/>
        <v>1</v>
      </c>
      <c r="J815" s="8">
        <f t="shared" si="113"/>
        <v>0</v>
      </c>
      <c r="K815" s="9">
        <f t="shared" si="114"/>
        <v>0</v>
      </c>
      <c r="L815" s="10">
        <f t="shared" si="115"/>
        <v>0</v>
      </c>
      <c r="M815" s="10">
        <f>IF(I815&lt;&gt;1,"",IF(H815="","",H815/CONTROL_PANEL!$B$11))</f>
        <v>0.32272318100088693</v>
      </c>
      <c r="N815" s="9">
        <f t="shared" si="116"/>
        <v>0</v>
      </c>
      <c r="O815" s="9">
        <f t="shared" si="117"/>
        <v>0</v>
      </c>
      <c r="P815" s="9">
        <f t="shared" si="118"/>
        <v>0</v>
      </c>
      <c r="Q815" s="9">
        <f t="shared" si="119"/>
        <v>0</v>
      </c>
      <c r="R815" s="11"/>
      <c r="S815" s="11" t="str">
        <f t="shared" si="120"/>
        <v>PASS</v>
      </c>
    </row>
    <row r="816" spans="1:19" x14ac:dyDescent="0.25">
      <c r="A816" s="30" t="s">
        <v>30</v>
      </c>
      <c r="B816" s="31">
        <f t="shared" si="121"/>
        <v>45017</v>
      </c>
      <c r="C816" s="30">
        <f>YEAR(BInputReservoir[[#This Row],[Date]])</f>
        <v>2023</v>
      </c>
      <c r="D816" s="30">
        <f>MONTH(BInputReservoir[[#This Row],[Date]])</f>
        <v>4</v>
      </c>
      <c r="E816" s="30">
        <f>IF(I816&lt;&gt;1,"",DATA_INPUT!$M95)</f>
        <v>584686.55204935255</v>
      </c>
      <c r="F816" s="30">
        <f>STORAGE_BALANCE_ENSEMBLE!BB95</f>
        <v>0</v>
      </c>
      <c r="G816" s="30">
        <f>STORAGE_BALANCE_ENSEMBLE!BC95</f>
        <v>0</v>
      </c>
      <c r="H816" s="30">
        <f>STORAGE_BALANCE_ENSEMBLE!BA95</f>
        <v>15321952.229234777</v>
      </c>
      <c r="I816" s="18">
        <f t="shared" si="122"/>
        <v>1</v>
      </c>
      <c r="J816" s="8">
        <f t="shared" si="113"/>
        <v>584686.55204935255</v>
      </c>
      <c r="K816" s="9">
        <f t="shared" si="114"/>
        <v>0</v>
      </c>
      <c r="L816" s="10">
        <f t="shared" si="115"/>
        <v>0</v>
      </c>
      <c r="M816" s="10">
        <f>IF(I816&lt;&gt;1,"",IF(H816="","",H816/CONTROL_PANEL!$B$11))</f>
        <v>0.30643904458469556</v>
      </c>
      <c r="N816" s="9">
        <f t="shared" si="116"/>
        <v>0</v>
      </c>
      <c r="O816" s="9">
        <f t="shared" si="117"/>
        <v>0</v>
      </c>
      <c r="P816" s="9">
        <f t="shared" si="118"/>
        <v>0</v>
      </c>
      <c r="Q816" s="9">
        <f t="shared" si="119"/>
        <v>0</v>
      </c>
      <c r="R816" s="11"/>
      <c r="S816" s="11" t="str">
        <f t="shared" si="120"/>
        <v>PASS</v>
      </c>
    </row>
    <row r="817" spans="1:19" x14ac:dyDescent="0.25">
      <c r="A817" s="30" t="s">
        <v>30</v>
      </c>
      <c r="B817" s="31">
        <f t="shared" si="121"/>
        <v>45047</v>
      </c>
      <c r="C817" s="30">
        <f>YEAR(BInputReservoir[[#This Row],[Date]])</f>
        <v>2023</v>
      </c>
      <c r="D817" s="30">
        <f>MONTH(BInputReservoir[[#This Row],[Date]])</f>
        <v>5</v>
      </c>
      <c r="E817" s="30">
        <f>IF(I817&lt;&gt;1,"",DATA_INPUT!$M96)</f>
        <v>645870.98623054626</v>
      </c>
      <c r="F817" s="30">
        <f>STORAGE_BALANCE_ENSEMBLE!BB96</f>
        <v>0</v>
      </c>
      <c r="G817" s="30">
        <f>STORAGE_BALANCE_ENSEMBLE!BC96</f>
        <v>0</v>
      </c>
      <c r="H817" s="30">
        <f>STORAGE_BALANCE_ENSEMBLE!BA96</f>
        <v>14470746.88101556</v>
      </c>
      <c r="I817" s="18">
        <f t="shared" si="122"/>
        <v>1</v>
      </c>
      <c r="J817" s="8">
        <f t="shared" si="113"/>
        <v>645870.98623054626</v>
      </c>
      <c r="K817" s="9">
        <f t="shared" si="114"/>
        <v>0</v>
      </c>
      <c r="L817" s="10">
        <f t="shared" si="115"/>
        <v>0</v>
      </c>
      <c r="M817" s="10">
        <f>IF(I817&lt;&gt;1,"",IF(H817="","",H817/CONTROL_PANEL!$B$11))</f>
        <v>0.28941493762031117</v>
      </c>
      <c r="N817" s="9">
        <f t="shared" si="116"/>
        <v>0</v>
      </c>
      <c r="O817" s="9">
        <f t="shared" si="117"/>
        <v>0</v>
      </c>
      <c r="P817" s="9">
        <f t="shared" si="118"/>
        <v>0</v>
      </c>
      <c r="Q817" s="9">
        <f t="shared" si="119"/>
        <v>0</v>
      </c>
      <c r="R817" s="11"/>
      <c r="S817" s="11" t="str">
        <f t="shared" si="120"/>
        <v>PASS</v>
      </c>
    </row>
    <row r="818" spans="1:19" x14ac:dyDescent="0.25">
      <c r="A818" s="30" t="s">
        <v>30</v>
      </c>
      <c r="B818" s="31">
        <f t="shared" si="121"/>
        <v>45078</v>
      </c>
      <c r="C818" s="30">
        <f>YEAR(BInputReservoir[[#This Row],[Date]])</f>
        <v>2023</v>
      </c>
      <c r="D818" s="30">
        <f>MONTH(BInputReservoir[[#This Row],[Date]])</f>
        <v>6</v>
      </c>
      <c r="E818" s="30">
        <f>IF(I818&lt;&gt;1,"",DATA_INPUT!$M97)</f>
        <v>1144091.3262196097</v>
      </c>
      <c r="F818" s="30">
        <f>STORAGE_BALANCE_ENSEMBLE!BB97</f>
        <v>0</v>
      </c>
      <c r="G818" s="30">
        <f>STORAGE_BALANCE_ENSEMBLE!BC97</f>
        <v>0</v>
      </c>
      <c r="H818" s="30">
        <f>STORAGE_BALANCE_ENSEMBLE!BA97</f>
        <v>13055749.632954065</v>
      </c>
      <c r="I818" s="18">
        <f t="shared" si="122"/>
        <v>1</v>
      </c>
      <c r="J818" s="8">
        <f t="shared" si="113"/>
        <v>1144091.3262196097</v>
      </c>
      <c r="K818" s="9">
        <f t="shared" si="114"/>
        <v>0</v>
      </c>
      <c r="L818" s="10">
        <f t="shared" si="115"/>
        <v>0</v>
      </c>
      <c r="M818" s="10">
        <f>IF(I818&lt;&gt;1,"",IF(H818="","",H818/CONTROL_PANEL!$B$11))</f>
        <v>0.26111499265908128</v>
      </c>
      <c r="N818" s="9">
        <f t="shared" si="116"/>
        <v>0</v>
      </c>
      <c r="O818" s="9">
        <f t="shared" si="117"/>
        <v>0</v>
      </c>
      <c r="P818" s="9">
        <f t="shared" si="118"/>
        <v>0</v>
      </c>
      <c r="Q818" s="9">
        <f t="shared" si="119"/>
        <v>0</v>
      </c>
      <c r="R818" s="11"/>
      <c r="S818" s="11" t="str">
        <f t="shared" si="120"/>
        <v>PASS</v>
      </c>
    </row>
    <row r="819" spans="1:19" x14ac:dyDescent="0.25">
      <c r="A819" s="30" t="s">
        <v>30</v>
      </c>
      <c r="B819" s="31">
        <f t="shared" si="121"/>
        <v>45108</v>
      </c>
      <c r="C819" s="30">
        <f>YEAR(BInputReservoir[[#This Row],[Date]])</f>
        <v>2023</v>
      </c>
      <c r="D819" s="30">
        <f>MONTH(BInputReservoir[[#This Row],[Date]])</f>
        <v>7</v>
      </c>
      <c r="E819" s="30">
        <f>IF(I819&lt;&gt;1,"",DATA_INPUT!$M98)</f>
        <v>2569276.4901011186</v>
      </c>
      <c r="F819" s="30">
        <f>STORAGE_BALANCE_ENSEMBLE!BB98</f>
        <v>0</v>
      </c>
      <c r="G819" s="30">
        <f>STORAGE_BALANCE_ENSEMBLE!BC98</f>
        <v>0</v>
      </c>
      <c r="H819" s="30">
        <f>STORAGE_BALANCE_ENSEMBLE!BA98</f>
        <v>10159910.535356879</v>
      </c>
      <c r="I819" s="18">
        <f t="shared" si="122"/>
        <v>1</v>
      </c>
      <c r="J819" s="8">
        <f t="shared" si="113"/>
        <v>2569276.4901011186</v>
      </c>
      <c r="K819" s="9">
        <f t="shared" si="114"/>
        <v>0</v>
      </c>
      <c r="L819" s="10">
        <f t="shared" si="115"/>
        <v>0</v>
      </c>
      <c r="M819" s="10">
        <f>IF(I819&lt;&gt;1,"",IF(H819="","",H819/CONTROL_PANEL!$B$11))</f>
        <v>0.20319821070713759</v>
      </c>
      <c r="N819" s="9">
        <f t="shared" si="116"/>
        <v>0</v>
      </c>
      <c r="O819" s="9">
        <f t="shared" si="117"/>
        <v>0</v>
      </c>
      <c r="P819" s="9">
        <f t="shared" si="118"/>
        <v>0</v>
      </c>
      <c r="Q819" s="9">
        <f t="shared" si="119"/>
        <v>0</v>
      </c>
      <c r="R819" s="11"/>
      <c r="S819" s="11" t="str">
        <f t="shared" si="120"/>
        <v>PASS</v>
      </c>
    </row>
    <row r="820" spans="1:19" x14ac:dyDescent="0.25">
      <c r="A820" s="30" t="s">
        <v>30</v>
      </c>
      <c r="B820" s="31">
        <f t="shared" si="121"/>
        <v>45139</v>
      </c>
      <c r="C820" s="30">
        <f>YEAR(BInputReservoir[[#This Row],[Date]])</f>
        <v>2023</v>
      </c>
      <c r="D820" s="30">
        <f>MONTH(BInputReservoir[[#This Row],[Date]])</f>
        <v>8</v>
      </c>
      <c r="E820" s="30">
        <f>IF(I820&lt;&gt;1,"",DATA_INPUT!$M99)</f>
        <v>2410926.5223117154</v>
      </c>
      <c r="F820" s="30">
        <f>STORAGE_BALANCE_ENSEMBLE!BB99</f>
        <v>0</v>
      </c>
      <c r="G820" s="30">
        <f>STORAGE_BALANCE_ENSEMBLE!BC99</f>
        <v>0</v>
      </c>
      <c r="H820" s="30">
        <f>STORAGE_BALANCE_ENSEMBLE!BA99</f>
        <v>7487508.6755754407</v>
      </c>
      <c r="I820" s="18">
        <f t="shared" si="122"/>
        <v>1</v>
      </c>
      <c r="J820" s="8">
        <f t="shared" si="113"/>
        <v>2410926.5223117154</v>
      </c>
      <c r="K820" s="9">
        <f t="shared" si="114"/>
        <v>0</v>
      </c>
      <c r="L820" s="10">
        <f t="shared" si="115"/>
        <v>0</v>
      </c>
      <c r="M820" s="10">
        <f>IF(I820&lt;&gt;1,"",IF(H820="","",H820/CONTROL_PANEL!$B$11))</f>
        <v>0.14975017351150882</v>
      </c>
      <c r="N820" s="9">
        <f t="shared" si="116"/>
        <v>0</v>
      </c>
      <c r="O820" s="9">
        <f t="shared" si="117"/>
        <v>0</v>
      </c>
      <c r="P820" s="9">
        <f t="shared" si="118"/>
        <v>0</v>
      </c>
      <c r="Q820" s="9">
        <f t="shared" si="119"/>
        <v>0</v>
      </c>
      <c r="R820" s="11"/>
      <c r="S820" s="11" t="str">
        <f t="shared" si="120"/>
        <v>PASS</v>
      </c>
    </row>
    <row r="821" spans="1:19" x14ac:dyDescent="0.25">
      <c r="A821" s="30" t="s">
        <v>30</v>
      </c>
      <c r="B821" s="31">
        <f t="shared" si="121"/>
        <v>45170</v>
      </c>
      <c r="C821" s="30">
        <f>YEAR(BInputReservoir[[#This Row],[Date]])</f>
        <v>2023</v>
      </c>
      <c r="D821" s="30">
        <f>MONTH(BInputReservoir[[#This Row],[Date]])</f>
        <v>9</v>
      </c>
      <c r="E821" s="30">
        <f>IF(I821&lt;&gt;1,"",DATA_INPUT!$M100)</f>
        <v>664419.49077645806</v>
      </c>
      <c r="F821" s="30">
        <f>STORAGE_BALANCE_ENSEMBLE!BB100</f>
        <v>0</v>
      </c>
      <c r="G821" s="30">
        <f>STORAGE_BALANCE_ENSEMBLE!BC100</f>
        <v>0</v>
      </c>
      <c r="H821" s="30">
        <f>STORAGE_BALANCE_ENSEMBLE!BA100</f>
        <v>7860723.8893095767</v>
      </c>
      <c r="I821" s="18">
        <f t="shared" si="122"/>
        <v>1</v>
      </c>
      <c r="J821" s="8">
        <f t="shared" si="113"/>
        <v>664419.49077645806</v>
      </c>
      <c r="K821" s="9">
        <f t="shared" si="114"/>
        <v>0</v>
      </c>
      <c r="L821" s="10">
        <f t="shared" si="115"/>
        <v>0</v>
      </c>
      <c r="M821" s="10">
        <f>IF(I821&lt;&gt;1,"",IF(H821="","",H821/CONTROL_PANEL!$B$11))</f>
        <v>0.15721447778619155</v>
      </c>
      <c r="N821" s="9">
        <f t="shared" si="116"/>
        <v>0</v>
      </c>
      <c r="O821" s="9">
        <f t="shared" si="117"/>
        <v>0</v>
      </c>
      <c r="P821" s="9">
        <f t="shared" si="118"/>
        <v>0</v>
      </c>
      <c r="Q821" s="9">
        <f t="shared" si="119"/>
        <v>0</v>
      </c>
      <c r="R821" s="11"/>
      <c r="S821" s="11" t="str">
        <f t="shared" si="120"/>
        <v>PASS</v>
      </c>
    </row>
    <row r="822" spans="1:19" x14ac:dyDescent="0.25">
      <c r="A822" s="30" t="s">
        <v>30</v>
      </c>
      <c r="B822" s="31">
        <f t="shared" si="121"/>
        <v>45200</v>
      </c>
      <c r="C822" s="30">
        <f>YEAR(BInputReservoir[[#This Row],[Date]])</f>
        <v>2023</v>
      </c>
      <c r="D822" s="30">
        <f>MONTH(BInputReservoir[[#This Row],[Date]])</f>
        <v>10</v>
      </c>
      <c r="E822" s="30">
        <f>IF(I822&lt;&gt;1,"",DATA_INPUT!$M101)</f>
        <v>133833.19917642546</v>
      </c>
      <c r="F822" s="30">
        <f>STORAGE_BALANCE_ENSEMBLE!BB101</f>
        <v>0</v>
      </c>
      <c r="G822" s="30">
        <f>STORAGE_BALANCE_ENSEMBLE!BC101</f>
        <v>0</v>
      </c>
      <c r="H822" s="30">
        <f>STORAGE_BALANCE_ENSEMBLE!BA101</f>
        <v>8419506.0012634378</v>
      </c>
      <c r="I822" s="18">
        <f t="shared" si="122"/>
        <v>1</v>
      </c>
      <c r="J822" s="8">
        <f t="shared" si="113"/>
        <v>133833.19917642546</v>
      </c>
      <c r="K822" s="9">
        <f t="shared" si="114"/>
        <v>0</v>
      </c>
      <c r="L822" s="10">
        <f t="shared" si="115"/>
        <v>0</v>
      </c>
      <c r="M822" s="10">
        <f>IF(I822&lt;&gt;1,"",IF(H822="","",H822/CONTROL_PANEL!$B$11))</f>
        <v>0.16839012002526876</v>
      </c>
      <c r="N822" s="9">
        <f t="shared" si="116"/>
        <v>0</v>
      </c>
      <c r="O822" s="9">
        <f t="shared" si="117"/>
        <v>0</v>
      </c>
      <c r="P822" s="9">
        <f t="shared" si="118"/>
        <v>0</v>
      </c>
      <c r="Q822" s="9">
        <f t="shared" si="119"/>
        <v>0</v>
      </c>
      <c r="R822" s="11"/>
      <c r="S822" s="11" t="str">
        <f t="shared" ref="S822:S853" si="123">IF(COUNTA(A822:H822)=0,"",IF(OR(A822="",C822="",D822=""),"ERROR: missing key fields","PASS"))</f>
        <v>PASS</v>
      </c>
    </row>
    <row r="823" spans="1:19" x14ac:dyDescent="0.25">
      <c r="A823" s="30" t="s">
        <v>30</v>
      </c>
      <c r="B823" s="31">
        <f t="shared" si="121"/>
        <v>45231</v>
      </c>
      <c r="C823" s="30">
        <f>YEAR(BInputReservoir[[#This Row],[Date]])</f>
        <v>2023</v>
      </c>
      <c r="D823" s="30">
        <f>MONTH(BInputReservoir[[#This Row],[Date]])</f>
        <v>11</v>
      </c>
      <c r="E823" s="30">
        <f>IF(I823&lt;&gt;1,"",DATA_INPUT!$M102)</f>
        <v>0</v>
      </c>
      <c r="F823" s="30">
        <f>STORAGE_BALANCE_ENSEMBLE!BB102</f>
        <v>0</v>
      </c>
      <c r="G823" s="30">
        <f>STORAGE_BALANCE_ENSEMBLE!BC102</f>
        <v>0</v>
      </c>
      <c r="H823" s="30">
        <f>STORAGE_BALANCE_ENSEMBLE!BA102</f>
        <v>9781569.765641436</v>
      </c>
      <c r="I823" s="18">
        <f t="shared" si="122"/>
        <v>1</v>
      </c>
      <c r="J823" s="8">
        <f t="shared" si="113"/>
        <v>0</v>
      </c>
      <c r="K823" s="9">
        <f t="shared" si="114"/>
        <v>0</v>
      </c>
      <c r="L823" s="10">
        <f t="shared" si="115"/>
        <v>0</v>
      </c>
      <c r="M823" s="10">
        <f>IF(I823&lt;&gt;1,"",IF(H823="","",H823/CONTROL_PANEL!$B$11))</f>
        <v>0.19563139531282872</v>
      </c>
      <c r="N823" s="9">
        <f t="shared" si="116"/>
        <v>0</v>
      </c>
      <c r="O823" s="9">
        <f t="shared" si="117"/>
        <v>0</v>
      </c>
      <c r="P823" s="9">
        <f t="shared" si="118"/>
        <v>0</v>
      </c>
      <c r="Q823" s="9">
        <f t="shared" si="119"/>
        <v>0</v>
      </c>
      <c r="R823" s="11"/>
      <c r="S823" s="11" t="str">
        <f t="shared" si="123"/>
        <v>PASS</v>
      </c>
    </row>
    <row r="824" spans="1:19" x14ac:dyDescent="0.25">
      <c r="A824" s="30" t="s">
        <v>30</v>
      </c>
      <c r="B824" s="31">
        <f t="shared" si="121"/>
        <v>45261</v>
      </c>
      <c r="C824" s="30">
        <f>YEAR(BInputReservoir[[#This Row],[Date]])</f>
        <v>2023</v>
      </c>
      <c r="D824" s="30">
        <f>MONTH(BInputReservoir[[#This Row],[Date]])</f>
        <v>12</v>
      </c>
      <c r="E824" s="30">
        <f>IF(I824&lt;&gt;1,"",DATA_INPUT!$M103)</f>
        <v>0</v>
      </c>
      <c r="F824" s="30">
        <f>STORAGE_BALANCE_ENSEMBLE!BB103</f>
        <v>0</v>
      </c>
      <c r="G824" s="30">
        <f>STORAGE_BALANCE_ENSEMBLE!BC103</f>
        <v>0</v>
      </c>
      <c r="H824" s="30">
        <f>STORAGE_BALANCE_ENSEMBLE!BA103</f>
        <v>13337167.982390139</v>
      </c>
      <c r="I824" s="18">
        <f t="shared" si="122"/>
        <v>1</v>
      </c>
      <c r="J824" s="8">
        <f t="shared" si="113"/>
        <v>0</v>
      </c>
      <c r="K824" s="9">
        <f t="shared" si="114"/>
        <v>0</v>
      </c>
      <c r="L824" s="10">
        <f t="shared" si="115"/>
        <v>0</v>
      </c>
      <c r="M824" s="10">
        <f>IF(I824&lt;&gt;1,"",IF(H824="","",H824/CONTROL_PANEL!$B$11))</f>
        <v>0.26674335964780277</v>
      </c>
      <c r="N824" s="9">
        <f t="shared" si="116"/>
        <v>0</v>
      </c>
      <c r="O824" s="9">
        <f t="shared" si="117"/>
        <v>0</v>
      </c>
      <c r="P824" s="9">
        <f t="shared" si="118"/>
        <v>0</v>
      </c>
      <c r="Q824" s="9">
        <f t="shared" si="119"/>
        <v>0</v>
      </c>
      <c r="R824" s="11"/>
      <c r="S824" s="11" t="str">
        <f t="shared" si="123"/>
        <v>PASS</v>
      </c>
    </row>
    <row r="825" spans="1:19" x14ac:dyDescent="0.25">
      <c r="A825" s="30" t="s">
        <v>30</v>
      </c>
      <c r="B825" s="31">
        <f t="shared" si="121"/>
        <v>45292</v>
      </c>
      <c r="C825" s="30">
        <f>YEAR(BInputReservoir[[#This Row],[Date]])</f>
        <v>2024</v>
      </c>
      <c r="D825" s="30">
        <f>MONTH(BInputReservoir[[#This Row],[Date]])</f>
        <v>1</v>
      </c>
      <c r="E825" s="30">
        <f>IF(I825&lt;&gt;1,"",DATA_INPUT!$M104)</f>
        <v>0</v>
      </c>
      <c r="F825" s="30">
        <f>STORAGE_BALANCE_ENSEMBLE!BB104</f>
        <v>0</v>
      </c>
      <c r="G825" s="30">
        <f>STORAGE_BALANCE_ENSEMBLE!BC104</f>
        <v>0</v>
      </c>
      <c r="H825" s="30">
        <f>STORAGE_BALANCE_ENSEMBLE!BA104</f>
        <v>15382607.215232452</v>
      </c>
      <c r="I825" s="18">
        <f t="shared" si="122"/>
        <v>1</v>
      </c>
      <c r="J825" s="8">
        <f t="shared" si="113"/>
        <v>0</v>
      </c>
      <c r="K825" s="9">
        <f t="shared" si="114"/>
        <v>0</v>
      </c>
      <c r="L825" s="10">
        <f t="shared" si="115"/>
        <v>0</v>
      </c>
      <c r="M825" s="10">
        <f>IF(I825&lt;&gt;1,"",IF(H825="","",H825/CONTROL_PANEL!$B$11))</f>
        <v>0.30765214430464904</v>
      </c>
      <c r="N825" s="9">
        <f t="shared" si="116"/>
        <v>0</v>
      </c>
      <c r="O825" s="9">
        <f t="shared" si="117"/>
        <v>0</v>
      </c>
      <c r="P825" s="9">
        <f t="shared" si="118"/>
        <v>0</v>
      </c>
      <c r="Q825" s="9">
        <f t="shared" si="119"/>
        <v>0</v>
      </c>
      <c r="R825" s="11"/>
      <c r="S825" s="11" t="str">
        <f t="shared" si="123"/>
        <v>PASS</v>
      </c>
    </row>
    <row r="826" spans="1:19" x14ac:dyDescent="0.25">
      <c r="A826" s="30" t="s">
        <v>30</v>
      </c>
      <c r="B826" s="31">
        <f t="shared" si="121"/>
        <v>45323</v>
      </c>
      <c r="C826" s="30">
        <f>YEAR(BInputReservoir[[#This Row],[Date]])</f>
        <v>2024</v>
      </c>
      <c r="D826" s="30">
        <f>MONTH(BInputReservoir[[#This Row],[Date]])</f>
        <v>2</v>
      </c>
      <c r="E826" s="30">
        <f>IF(I826&lt;&gt;1,"",DATA_INPUT!$M105)</f>
        <v>0</v>
      </c>
      <c r="F826" s="30">
        <f>STORAGE_BALANCE_ENSEMBLE!BB105</f>
        <v>0</v>
      </c>
      <c r="G826" s="30">
        <f>STORAGE_BALANCE_ENSEMBLE!BC105</f>
        <v>0</v>
      </c>
      <c r="H826" s="30">
        <f>STORAGE_BALANCE_ENSEMBLE!BA105</f>
        <v>19346371.884741001</v>
      </c>
      <c r="I826" s="18">
        <f t="shared" si="122"/>
        <v>1</v>
      </c>
      <c r="J826" s="8">
        <f t="shared" si="113"/>
        <v>0</v>
      </c>
      <c r="K826" s="9">
        <f t="shared" si="114"/>
        <v>0</v>
      </c>
      <c r="L826" s="10">
        <f t="shared" si="115"/>
        <v>0</v>
      </c>
      <c r="M826" s="10">
        <f>IF(I826&lt;&gt;1,"",IF(H826="","",H826/CONTROL_PANEL!$B$11))</f>
        <v>0.38692743769482002</v>
      </c>
      <c r="N826" s="9">
        <f t="shared" si="116"/>
        <v>0</v>
      </c>
      <c r="O826" s="9">
        <f t="shared" si="117"/>
        <v>0</v>
      </c>
      <c r="P826" s="9">
        <f t="shared" si="118"/>
        <v>0</v>
      </c>
      <c r="Q826" s="9">
        <f t="shared" si="119"/>
        <v>0</v>
      </c>
      <c r="R826" s="11"/>
      <c r="S826" s="11" t="str">
        <f t="shared" si="123"/>
        <v>PASS</v>
      </c>
    </row>
    <row r="827" spans="1:19" x14ac:dyDescent="0.25">
      <c r="A827" s="30" t="s">
        <v>30</v>
      </c>
      <c r="B827" s="31">
        <f t="shared" si="121"/>
        <v>45352</v>
      </c>
      <c r="C827" s="30">
        <f>YEAR(BInputReservoir[[#This Row],[Date]])</f>
        <v>2024</v>
      </c>
      <c r="D827" s="30">
        <f>MONTH(BInputReservoir[[#This Row],[Date]])</f>
        <v>3</v>
      </c>
      <c r="E827" s="30">
        <f>IF(I827&lt;&gt;1,"",DATA_INPUT!$M106)</f>
        <v>0</v>
      </c>
      <c r="F827" s="30">
        <f>STORAGE_BALANCE_ENSEMBLE!BB106</f>
        <v>0</v>
      </c>
      <c r="G827" s="30">
        <f>STORAGE_BALANCE_ENSEMBLE!BC106</f>
        <v>0</v>
      </c>
      <c r="H827" s="30">
        <f>STORAGE_BALANCE_ENSEMBLE!BA106</f>
        <v>20635941.194583803</v>
      </c>
      <c r="I827" s="18">
        <f t="shared" si="122"/>
        <v>1</v>
      </c>
      <c r="J827" s="8">
        <f t="shared" si="113"/>
        <v>0</v>
      </c>
      <c r="K827" s="9">
        <f t="shared" si="114"/>
        <v>0</v>
      </c>
      <c r="L827" s="10">
        <f t="shared" si="115"/>
        <v>0</v>
      </c>
      <c r="M827" s="10">
        <f>IF(I827&lt;&gt;1,"",IF(H827="","",H827/CONTROL_PANEL!$B$11))</f>
        <v>0.41271882389167608</v>
      </c>
      <c r="N827" s="9">
        <f t="shared" si="116"/>
        <v>0</v>
      </c>
      <c r="O827" s="9">
        <f t="shared" si="117"/>
        <v>0</v>
      </c>
      <c r="P827" s="9">
        <f t="shared" si="118"/>
        <v>0</v>
      </c>
      <c r="Q827" s="9">
        <f t="shared" si="119"/>
        <v>0</v>
      </c>
      <c r="R827" s="11"/>
      <c r="S827" s="11" t="str">
        <f t="shared" si="123"/>
        <v>PASS</v>
      </c>
    </row>
    <row r="828" spans="1:19" x14ac:dyDescent="0.25">
      <c r="A828" s="30" t="s">
        <v>30</v>
      </c>
      <c r="B828" s="31">
        <f t="shared" si="121"/>
        <v>45383</v>
      </c>
      <c r="C828" s="30">
        <f>YEAR(BInputReservoir[[#This Row],[Date]])</f>
        <v>2024</v>
      </c>
      <c r="D828" s="30">
        <f>MONTH(BInputReservoir[[#This Row],[Date]])</f>
        <v>4</v>
      </c>
      <c r="E828" s="30">
        <f>IF(I828&lt;&gt;1,"",DATA_INPUT!$M107)</f>
        <v>14167.973627275278</v>
      </c>
      <c r="F828" s="30">
        <f>STORAGE_BALANCE_ENSEMBLE!BB107</f>
        <v>0</v>
      </c>
      <c r="G828" s="30">
        <f>STORAGE_BALANCE_ENSEMBLE!BC107</f>
        <v>0</v>
      </c>
      <c r="H828" s="30">
        <f>STORAGE_BALANCE_ENSEMBLE!BA107</f>
        <v>20709220.557320613</v>
      </c>
      <c r="I828" s="18">
        <f t="shared" si="122"/>
        <v>1</v>
      </c>
      <c r="J828" s="8">
        <f t="shared" si="113"/>
        <v>14167.973627275278</v>
      </c>
      <c r="K828" s="9">
        <f t="shared" si="114"/>
        <v>0</v>
      </c>
      <c r="L828" s="10">
        <f t="shared" si="115"/>
        <v>0</v>
      </c>
      <c r="M828" s="10">
        <f>IF(I828&lt;&gt;1,"",IF(H828="","",H828/CONTROL_PANEL!$B$11))</f>
        <v>0.41418441114641225</v>
      </c>
      <c r="N828" s="9">
        <f t="shared" si="116"/>
        <v>0</v>
      </c>
      <c r="O828" s="9">
        <f t="shared" si="117"/>
        <v>0</v>
      </c>
      <c r="P828" s="9">
        <f t="shared" si="118"/>
        <v>0</v>
      </c>
      <c r="Q828" s="9">
        <f t="shared" si="119"/>
        <v>0</v>
      </c>
      <c r="R828" s="11"/>
      <c r="S828" s="11" t="str">
        <f t="shared" si="123"/>
        <v>PASS</v>
      </c>
    </row>
    <row r="829" spans="1:19" x14ac:dyDescent="0.25">
      <c r="A829" s="30" t="s">
        <v>30</v>
      </c>
      <c r="B829" s="31">
        <f t="shared" si="121"/>
        <v>45413</v>
      </c>
      <c r="C829" s="30">
        <f>YEAR(BInputReservoir[[#This Row],[Date]])</f>
        <v>2024</v>
      </c>
      <c r="D829" s="30">
        <f>MONTH(BInputReservoir[[#This Row],[Date]])</f>
        <v>5</v>
      </c>
      <c r="E829" s="30">
        <f>IF(I829&lt;&gt;1,"",DATA_INPUT!$M108)</f>
        <v>460206.28001947922</v>
      </c>
      <c r="F829" s="30">
        <f>STORAGE_BALANCE_ENSEMBLE!BB108</f>
        <v>0</v>
      </c>
      <c r="G829" s="30">
        <f>STORAGE_BALANCE_ENSEMBLE!BC108</f>
        <v>0</v>
      </c>
      <c r="H829" s="30">
        <f>STORAGE_BALANCE_ENSEMBLE!BA108</f>
        <v>20011298.561763145</v>
      </c>
      <c r="I829" s="18">
        <f t="shared" si="122"/>
        <v>1</v>
      </c>
      <c r="J829" s="8">
        <f t="shared" si="113"/>
        <v>460206.28001947922</v>
      </c>
      <c r="K829" s="9">
        <f t="shared" si="114"/>
        <v>0</v>
      </c>
      <c r="L829" s="10">
        <f t="shared" si="115"/>
        <v>0</v>
      </c>
      <c r="M829" s="10">
        <f>IF(I829&lt;&gt;1,"",IF(H829="","",H829/CONTROL_PANEL!$B$11))</f>
        <v>0.40022597123526288</v>
      </c>
      <c r="N829" s="9">
        <f t="shared" si="116"/>
        <v>0</v>
      </c>
      <c r="O829" s="9">
        <f t="shared" si="117"/>
        <v>0</v>
      </c>
      <c r="P829" s="9">
        <f t="shared" si="118"/>
        <v>0</v>
      </c>
      <c r="Q829" s="9">
        <f t="shared" si="119"/>
        <v>0</v>
      </c>
      <c r="R829" s="11"/>
      <c r="S829" s="11" t="str">
        <f t="shared" si="123"/>
        <v>PASS</v>
      </c>
    </row>
    <row r="830" spans="1:19" x14ac:dyDescent="0.25">
      <c r="A830" s="30" t="s">
        <v>30</v>
      </c>
      <c r="B830" s="31">
        <f t="shared" si="121"/>
        <v>45444</v>
      </c>
      <c r="C830" s="30">
        <f>YEAR(BInputReservoir[[#This Row],[Date]])</f>
        <v>2024</v>
      </c>
      <c r="D830" s="30">
        <f>MONTH(BInputReservoir[[#This Row],[Date]])</f>
        <v>6</v>
      </c>
      <c r="E830" s="30">
        <f>IF(I830&lt;&gt;1,"",DATA_INPUT!$M109)</f>
        <v>573541.815985227</v>
      </c>
      <c r="F830" s="30">
        <f>STORAGE_BALANCE_ENSEMBLE!BB109</f>
        <v>0</v>
      </c>
      <c r="G830" s="30">
        <f>STORAGE_BALANCE_ENSEMBLE!BC109</f>
        <v>0</v>
      </c>
      <c r="H830" s="30">
        <f>STORAGE_BALANCE_ENSEMBLE!BA109</f>
        <v>19185911.468080271</v>
      </c>
      <c r="I830" s="18">
        <f t="shared" si="122"/>
        <v>1</v>
      </c>
      <c r="J830" s="8">
        <f t="shared" si="113"/>
        <v>573541.815985227</v>
      </c>
      <c r="K830" s="9">
        <f t="shared" si="114"/>
        <v>0</v>
      </c>
      <c r="L830" s="10">
        <f t="shared" si="115"/>
        <v>0</v>
      </c>
      <c r="M830" s="10">
        <f>IF(I830&lt;&gt;1,"",IF(H830="","",H830/CONTROL_PANEL!$B$11))</f>
        <v>0.38371822936160543</v>
      </c>
      <c r="N830" s="9">
        <f t="shared" si="116"/>
        <v>0</v>
      </c>
      <c r="O830" s="9">
        <f t="shared" si="117"/>
        <v>0</v>
      </c>
      <c r="P830" s="9">
        <f t="shared" si="118"/>
        <v>0</v>
      </c>
      <c r="Q830" s="9">
        <f t="shared" si="119"/>
        <v>0</v>
      </c>
      <c r="R830" s="11"/>
      <c r="S830" s="11" t="str">
        <f t="shared" si="123"/>
        <v>PASS</v>
      </c>
    </row>
    <row r="831" spans="1:19" x14ac:dyDescent="0.25">
      <c r="A831" s="30" t="s">
        <v>30</v>
      </c>
      <c r="B831" s="31">
        <f t="shared" si="121"/>
        <v>45474</v>
      </c>
      <c r="C831" s="30">
        <f>YEAR(BInputReservoir[[#This Row],[Date]])</f>
        <v>2024</v>
      </c>
      <c r="D831" s="30">
        <f>MONTH(BInputReservoir[[#This Row],[Date]])</f>
        <v>7</v>
      </c>
      <c r="E831" s="30">
        <f>IF(I831&lt;&gt;1,"",DATA_INPUT!$M110)</f>
        <v>1919184.3747405119</v>
      </c>
      <c r="F831" s="30">
        <f>STORAGE_BALANCE_ENSEMBLE!BB110</f>
        <v>0</v>
      </c>
      <c r="G831" s="30">
        <f>STORAGE_BALANCE_ENSEMBLE!BC110</f>
        <v>0</v>
      </c>
      <c r="H831" s="30">
        <f>STORAGE_BALANCE_ENSEMBLE!BA110</f>
        <v>16876653.913324282</v>
      </c>
      <c r="I831" s="18">
        <f t="shared" si="122"/>
        <v>1</v>
      </c>
      <c r="J831" s="8">
        <f t="shared" si="113"/>
        <v>1919184.3747405119</v>
      </c>
      <c r="K831" s="9">
        <f t="shared" si="114"/>
        <v>0</v>
      </c>
      <c r="L831" s="10">
        <f t="shared" si="115"/>
        <v>0</v>
      </c>
      <c r="M831" s="10">
        <f>IF(I831&lt;&gt;1,"",IF(H831="","",H831/CONTROL_PANEL!$B$11))</f>
        <v>0.33753307826648565</v>
      </c>
      <c r="N831" s="9">
        <f t="shared" si="116"/>
        <v>0</v>
      </c>
      <c r="O831" s="9">
        <f t="shared" si="117"/>
        <v>0</v>
      </c>
      <c r="P831" s="9">
        <f t="shared" si="118"/>
        <v>0</v>
      </c>
      <c r="Q831" s="9">
        <f t="shared" si="119"/>
        <v>0</v>
      </c>
      <c r="R831" s="11"/>
      <c r="S831" s="11" t="str">
        <f t="shared" si="123"/>
        <v>PASS</v>
      </c>
    </row>
    <row r="832" spans="1:19" x14ac:dyDescent="0.25">
      <c r="A832" s="30" t="s">
        <v>30</v>
      </c>
      <c r="B832" s="31">
        <f t="shared" si="121"/>
        <v>45505</v>
      </c>
      <c r="C832" s="30">
        <f>YEAR(BInputReservoir[[#This Row],[Date]])</f>
        <v>2024</v>
      </c>
      <c r="D832" s="30">
        <f>MONTH(BInputReservoir[[#This Row],[Date]])</f>
        <v>8</v>
      </c>
      <c r="E832" s="30">
        <f>IF(I832&lt;&gt;1,"",DATA_INPUT!$M111)</f>
        <v>2322729.6823111353</v>
      </c>
      <c r="F832" s="30">
        <f>STORAGE_BALANCE_ENSEMBLE!BB111</f>
        <v>0</v>
      </c>
      <c r="G832" s="30">
        <f>STORAGE_BALANCE_ENSEMBLE!BC111</f>
        <v>0</v>
      </c>
      <c r="H832" s="30">
        <f>STORAGE_BALANCE_ENSEMBLE!BA111</f>
        <v>14213106.488615368</v>
      </c>
      <c r="I832" s="18">
        <f t="shared" si="122"/>
        <v>1</v>
      </c>
      <c r="J832" s="8">
        <f t="shared" si="113"/>
        <v>2322729.6823111353</v>
      </c>
      <c r="K832" s="9">
        <f t="shared" si="114"/>
        <v>0</v>
      </c>
      <c r="L832" s="10">
        <f t="shared" si="115"/>
        <v>0</v>
      </c>
      <c r="M832" s="10">
        <f>IF(I832&lt;&gt;1,"",IF(H832="","",H832/CONTROL_PANEL!$B$11))</f>
        <v>0.28426212977230736</v>
      </c>
      <c r="N832" s="9">
        <f t="shared" si="116"/>
        <v>0</v>
      </c>
      <c r="O832" s="9">
        <f t="shared" si="117"/>
        <v>0</v>
      </c>
      <c r="P832" s="9">
        <f t="shared" si="118"/>
        <v>0</v>
      </c>
      <c r="Q832" s="9">
        <f t="shared" si="119"/>
        <v>0</v>
      </c>
      <c r="R832" s="11"/>
      <c r="S832" s="11" t="str">
        <f t="shared" si="123"/>
        <v>PASS</v>
      </c>
    </row>
    <row r="833" spans="1:19" x14ac:dyDescent="0.25">
      <c r="A833" s="30" t="s">
        <v>30</v>
      </c>
      <c r="B833" s="31">
        <f t="shared" si="121"/>
        <v>45536</v>
      </c>
      <c r="C833" s="30">
        <f>YEAR(BInputReservoir[[#This Row],[Date]])</f>
        <v>2024</v>
      </c>
      <c r="D833" s="30">
        <f>MONTH(BInputReservoir[[#This Row],[Date]])</f>
        <v>9</v>
      </c>
      <c r="E833" s="30">
        <f>IF(I833&lt;&gt;1,"",DATA_INPUT!$M112)</f>
        <v>1115909.0834556026</v>
      </c>
      <c r="F833" s="30">
        <f>STORAGE_BALANCE_ENSEMBLE!BB112</f>
        <v>0</v>
      </c>
      <c r="G833" s="30">
        <f>STORAGE_BALANCE_ENSEMBLE!BC112</f>
        <v>0</v>
      </c>
      <c r="H833" s="30">
        <f>STORAGE_BALANCE_ENSEMBLE!BA112</f>
        <v>13589805.161482889</v>
      </c>
      <c r="I833" s="18">
        <f t="shared" si="122"/>
        <v>1</v>
      </c>
      <c r="J833" s="8">
        <f t="shared" si="113"/>
        <v>1115909.0834556026</v>
      </c>
      <c r="K833" s="9">
        <f t="shared" si="114"/>
        <v>0</v>
      </c>
      <c r="L833" s="10">
        <f t="shared" si="115"/>
        <v>0</v>
      </c>
      <c r="M833" s="10">
        <f>IF(I833&lt;&gt;1,"",IF(H833="","",H833/CONTROL_PANEL!$B$11))</f>
        <v>0.2717961032296578</v>
      </c>
      <c r="N833" s="9">
        <f t="shared" si="116"/>
        <v>0</v>
      </c>
      <c r="O833" s="9">
        <f t="shared" si="117"/>
        <v>0</v>
      </c>
      <c r="P833" s="9">
        <f t="shared" si="118"/>
        <v>0</v>
      </c>
      <c r="Q833" s="9">
        <f t="shared" si="119"/>
        <v>0</v>
      </c>
      <c r="R833" s="11"/>
      <c r="S833" s="11" t="str">
        <f t="shared" si="123"/>
        <v>PASS</v>
      </c>
    </row>
    <row r="834" spans="1:19" x14ac:dyDescent="0.25">
      <c r="A834" s="30" t="s">
        <v>30</v>
      </c>
      <c r="B834" s="31">
        <f t="shared" si="121"/>
        <v>45566</v>
      </c>
      <c r="C834" s="30">
        <f>YEAR(BInputReservoir[[#This Row],[Date]])</f>
        <v>2024</v>
      </c>
      <c r="D834" s="30">
        <f>MONTH(BInputReservoir[[#This Row],[Date]])</f>
        <v>10</v>
      </c>
      <c r="E834" s="30">
        <f>IF(I834&lt;&gt;1,"",DATA_INPUT!$M113)</f>
        <v>144517.01740132243</v>
      </c>
      <c r="F834" s="30">
        <f>STORAGE_BALANCE_ENSEMBLE!BB113</f>
        <v>0</v>
      </c>
      <c r="G834" s="30">
        <f>STORAGE_BALANCE_ENSEMBLE!BC113</f>
        <v>0</v>
      </c>
      <c r="H834" s="30">
        <f>STORAGE_BALANCE_ENSEMBLE!BA113</f>
        <v>13997169.717021467</v>
      </c>
      <c r="I834" s="18">
        <f t="shared" si="122"/>
        <v>1</v>
      </c>
      <c r="J834" s="8">
        <f t="shared" si="113"/>
        <v>144517.01740132243</v>
      </c>
      <c r="K834" s="9">
        <f t="shared" si="114"/>
        <v>0</v>
      </c>
      <c r="L834" s="10">
        <f t="shared" si="115"/>
        <v>0</v>
      </c>
      <c r="M834" s="10">
        <f>IF(I834&lt;&gt;1,"",IF(H834="","",H834/CONTROL_PANEL!$B$11))</f>
        <v>0.27994339434042936</v>
      </c>
      <c r="N834" s="9">
        <f t="shared" si="116"/>
        <v>0</v>
      </c>
      <c r="O834" s="9">
        <f t="shared" si="117"/>
        <v>0</v>
      </c>
      <c r="P834" s="9">
        <f t="shared" si="118"/>
        <v>0</v>
      </c>
      <c r="Q834" s="9">
        <f t="shared" si="119"/>
        <v>0</v>
      </c>
      <c r="R834" s="11"/>
      <c r="S834" s="11" t="str">
        <f t="shared" si="123"/>
        <v>PASS</v>
      </c>
    </row>
    <row r="835" spans="1:19" x14ac:dyDescent="0.25">
      <c r="A835" s="30" t="s">
        <v>30</v>
      </c>
      <c r="B835" s="31">
        <f t="shared" si="121"/>
        <v>45597</v>
      </c>
      <c r="C835" s="30">
        <f>YEAR(BInputReservoir[[#This Row],[Date]])</f>
        <v>2024</v>
      </c>
      <c r="D835" s="30">
        <f>MONTH(BInputReservoir[[#This Row],[Date]])</f>
        <v>11</v>
      </c>
      <c r="E835" s="30">
        <f>IF(I835&lt;&gt;1,"",DATA_INPUT!$M114)</f>
        <v>0</v>
      </c>
      <c r="F835" s="30">
        <f>STORAGE_BALANCE_ENSEMBLE!BB114</f>
        <v>0</v>
      </c>
      <c r="G835" s="30">
        <f>STORAGE_BALANCE_ENSEMBLE!BC114</f>
        <v>0</v>
      </c>
      <c r="H835" s="30">
        <f>STORAGE_BALANCE_ENSEMBLE!BA114</f>
        <v>14153531.559293309</v>
      </c>
      <c r="I835" s="18">
        <f t="shared" si="122"/>
        <v>1</v>
      </c>
      <c r="J835" s="8">
        <f t="shared" si="113"/>
        <v>0</v>
      </c>
      <c r="K835" s="9">
        <f t="shared" si="114"/>
        <v>0</v>
      </c>
      <c r="L835" s="10">
        <f t="shared" si="115"/>
        <v>0</v>
      </c>
      <c r="M835" s="10">
        <f>IF(I835&lt;&gt;1,"",IF(H835="","",H835/CONTROL_PANEL!$B$11))</f>
        <v>0.28307063118586617</v>
      </c>
      <c r="N835" s="9">
        <f t="shared" si="116"/>
        <v>0</v>
      </c>
      <c r="O835" s="9">
        <f t="shared" si="117"/>
        <v>0</v>
      </c>
      <c r="P835" s="9">
        <f t="shared" si="118"/>
        <v>0</v>
      </c>
      <c r="Q835" s="9">
        <f t="shared" si="119"/>
        <v>0</v>
      </c>
      <c r="R835" s="11"/>
      <c r="S835" s="11" t="str">
        <f t="shared" si="123"/>
        <v>PASS</v>
      </c>
    </row>
    <row r="836" spans="1:19" x14ac:dyDescent="0.25">
      <c r="A836" s="30" t="s">
        <v>30</v>
      </c>
      <c r="B836" s="31">
        <f t="shared" si="121"/>
        <v>45627</v>
      </c>
      <c r="C836" s="30">
        <f>YEAR(BInputReservoir[[#This Row],[Date]])</f>
        <v>2024</v>
      </c>
      <c r="D836" s="30">
        <f>MONTH(BInputReservoir[[#This Row],[Date]])</f>
        <v>12</v>
      </c>
      <c r="E836" s="30">
        <f>IF(I836&lt;&gt;1,"",DATA_INPUT!$M115)</f>
        <v>0</v>
      </c>
      <c r="F836" s="30">
        <f>STORAGE_BALANCE_ENSEMBLE!BB115</f>
        <v>0</v>
      </c>
      <c r="G836" s="30">
        <f>STORAGE_BALANCE_ENSEMBLE!BC115</f>
        <v>0</v>
      </c>
      <c r="H836" s="30">
        <f>STORAGE_BALANCE_ENSEMBLE!BA115</f>
        <v>16433438.881917972</v>
      </c>
      <c r="I836" s="18">
        <f t="shared" si="122"/>
        <v>1</v>
      </c>
      <c r="J836" s="8">
        <f t="shared" si="113"/>
        <v>0</v>
      </c>
      <c r="K836" s="9">
        <f t="shared" si="114"/>
        <v>0</v>
      </c>
      <c r="L836" s="10">
        <f t="shared" si="115"/>
        <v>0</v>
      </c>
      <c r="M836" s="10">
        <f>IF(I836&lt;&gt;1,"",IF(H836="","",H836/CONTROL_PANEL!$B$11))</f>
        <v>0.32866877763835944</v>
      </c>
      <c r="N836" s="9">
        <f t="shared" si="116"/>
        <v>0</v>
      </c>
      <c r="O836" s="9">
        <f t="shared" si="117"/>
        <v>0</v>
      </c>
      <c r="P836" s="9">
        <f t="shared" si="118"/>
        <v>0</v>
      </c>
      <c r="Q836" s="9">
        <f t="shared" si="119"/>
        <v>0</v>
      </c>
      <c r="R836" s="11"/>
      <c r="S836" s="11" t="str">
        <f t="shared" si="123"/>
        <v>PASS</v>
      </c>
    </row>
    <row r="837" spans="1:19" x14ac:dyDescent="0.25">
      <c r="A837" s="30" t="s">
        <v>30</v>
      </c>
      <c r="B837" s="31">
        <f t="shared" si="121"/>
        <v>45658</v>
      </c>
      <c r="C837" s="30">
        <f>YEAR(BInputReservoir[[#This Row],[Date]])</f>
        <v>2025</v>
      </c>
      <c r="D837" s="30">
        <f>MONTH(BInputReservoir[[#This Row],[Date]])</f>
        <v>1</v>
      </c>
      <c r="E837" s="30">
        <f>IF(I837&lt;&gt;1,"",DATA_INPUT!$M116)</f>
        <v>0</v>
      </c>
      <c r="F837" s="30">
        <f>STORAGE_BALANCE_ENSEMBLE!BB116</f>
        <v>0</v>
      </c>
      <c r="G837" s="30">
        <f>STORAGE_BALANCE_ENSEMBLE!BC116</f>
        <v>0</v>
      </c>
      <c r="H837" s="30">
        <f>STORAGE_BALANCE_ENSEMBLE!BA116</f>
        <v>18231698.100456789</v>
      </c>
      <c r="I837" s="18">
        <f t="shared" si="122"/>
        <v>1</v>
      </c>
      <c r="J837" s="8">
        <f t="shared" ref="J837:J900" si="124">IF(I837&lt;&gt;1,"",IF(E837="","",MAX(0,E837-G837)))</f>
        <v>0</v>
      </c>
      <c r="K837" s="9">
        <f t="shared" ref="K837:K900" si="125">IF(I837&lt;&gt;1,"",IF(OR(G837="",E837=""),"",IF(G837&gt;0,1,0)))</f>
        <v>0</v>
      </c>
      <c r="L837" s="10">
        <f t="shared" ref="L837:L900" si="126">IF(I837&lt;&gt;1,"",IF(AND(K837=1,E837&gt;0),G837/E837,0))</f>
        <v>0</v>
      </c>
      <c r="M837" s="10">
        <f>IF(I837&lt;&gt;1,"",IF(H837="","",H837/CONTROL_PANEL!$B$11))</f>
        <v>0.36463396200913578</v>
      </c>
      <c r="N837" s="9">
        <f t="shared" ref="N837:N900" si="127">IF(I837&lt;&gt;1,"",IF(AND(K837=1,A838=A837),1,0))</f>
        <v>0</v>
      </c>
      <c r="O837" s="9">
        <f t="shared" ref="O837:O900" si="128">IF(I837&lt;&gt;1,"",IF(AND(K837=1,A838=A837,K838=0),1,0))</f>
        <v>0</v>
      </c>
      <c r="P837" s="9">
        <f t="shared" ref="P837:P900" si="129">IF(I837&lt;&gt;1,"",IF(F837&gt;0,1,0))</f>
        <v>0</v>
      </c>
      <c r="Q837" s="9">
        <f t="shared" ref="Q837:Q900" si="130">IF(I837&lt;&gt;1,"",IF(G837&gt;0,1,0))</f>
        <v>0</v>
      </c>
      <c r="R837" s="11"/>
      <c r="S837" s="11" t="str">
        <f t="shared" si="123"/>
        <v>PASS</v>
      </c>
    </row>
    <row r="838" spans="1:19" x14ac:dyDescent="0.25">
      <c r="A838" s="30" t="s">
        <v>30</v>
      </c>
      <c r="B838" s="31">
        <f t="shared" si="121"/>
        <v>45689</v>
      </c>
      <c r="C838" s="30">
        <f>YEAR(BInputReservoir[[#This Row],[Date]])</f>
        <v>2025</v>
      </c>
      <c r="D838" s="30">
        <f>MONTH(BInputReservoir[[#This Row],[Date]])</f>
        <v>2</v>
      </c>
      <c r="E838" s="30">
        <f>IF(I838&lt;&gt;1,"",DATA_INPUT!$M117)</f>
        <v>0</v>
      </c>
      <c r="F838" s="30">
        <f>STORAGE_BALANCE_ENSEMBLE!BB117</f>
        <v>0</v>
      </c>
      <c r="G838" s="30">
        <f>STORAGE_BALANCE_ENSEMBLE!BC117</f>
        <v>0</v>
      </c>
      <c r="H838" s="30">
        <f>STORAGE_BALANCE_ENSEMBLE!BA117</f>
        <v>27165342.393035114</v>
      </c>
      <c r="I838" s="18">
        <f t="shared" si="122"/>
        <v>1</v>
      </c>
      <c r="J838" s="8">
        <f t="shared" si="124"/>
        <v>0</v>
      </c>
      <c r="K838" s="9">
        <f t="shared" si="125"/>
        <v>0</v>
      </c>
      <c r="L838" s="10">
        <f t="shared" si="126"/>
        <v>0</v>
      </c>
      <c r="M838" s="10">
        <f>IF(I838&lt;&gt;1,"",IF(H838="","",H838/CONTROL_PANEL!$B$11))</f>
        <v>0.54330684786070227</v>
      </c>
      <c r="N838" s="9">
        <f t="shared" si="127"/>
        <v>0</v>
      </c>
      <c r="O838" s="9">
        <f t="shared" si="128"/>
        <v>0</v>
      </c>
      <c r="P838" s="9">
        <f t="shared" si="129"/>
        <v>0</v>
      </c>
      <c r="Q838" s="9">
        <f t="shared" si="130"/>
        <v>0</v>
      </c>
      <c r="R838" s="11"/>
      <c r="S838" s="11" t="str">
        <f t="shared" si="123"/>
        <v>PASS</v>
      </c>
    </row>
    <row r="839" spans="1:19" x14ac:dyDescent="0.25">
      <c r="A839" s="30" t="s">
        <v>30</v>
      </c>
      <c r="B839" s="31">
        <f t="shared" si="121"/>
        <v>45717</v>
      </c>
      <c r="C839" s="30">
        <f>YEAR(BInputReservoir[[#This Row],[Date]])</f>
        <v>2025</v>
      </c>
      <c r="D839" s="30">
        <f>MONTH(BInputReservoir[[#This Row],[Date]])</f>
        <v>3</v>
      </c>
      <c r="E839" s="30">
        <f>IF(I839&lt;&gt;1,"",DATA_INPUT!$M118)</f>
        <v>0</v>
      </c>
      <c r="F839" s="30">
        <f>STORAGE_BALANCE_ENSEMBLE!BB118</f>
        <v>0</v>
      </c>
      <c r="G839" s="30">
        <f>STORAGE_BALANCE_ENSEMBLE!BC118</f>
        <v>0</v>
      </c>
      <c r="H839" s="30">
        <f>STORAGE_BALANCE_ENSEMBLE!BA118</f>
        <v>31130578.063305683</v>
      </c>
      <c r="I839" s="18">
        <f t="shared" si="122"/>
        <v>1</v>
      </c>
      <c r="J839" s="8">
        <f t="shared" si="124"/>
        <v>0</v>
      </c>
      <c r="K839" s="9">
        <f t="shared" si="125"/>
        <v>0</v>
      </c>
      <c r="L839" s="10">
        <f t="shared" si="126"/>
        <v>0</v>
      </c>
      <c r="M839" s="10">
        <f>IF(I839&lt;&gt;1,"",IF(H839="","",H839/CONTROL_PANEL!$B$11))</f>
        <v>0.62261156126611372</v>
      </c>
      <c r="N839" s="9">
        <f t="shared" si="127"/>
        <v>0</v>
      </c>
      <c r="O839" s="9">
        <f t="shared" si="128"/>
        <v>0</v>
      </c>
      <c r="P839" s="9">
        <f t="shared" si="129"/>
        <v>0</v>
      </c>
      <c r="Q839" s="9">
        <f t="shared" si="130"/>
        <v>0</v>
      </c>
      <c r="R839" s="11"/>
      <c r="S839" s="11" t="str">
        <f t="shared" si="123"/>
        <v>PASS</v>
      </c>
    </row>
    <row r="840" spans="1:19" x14ac:dyDescent="0.25">
      <c r="A840" s="30" t="s">
        <v>30</v>
      </c>
      <c r="B840" s="31">
        <f t="shared" si="121"/>
        <v>45748</v>
      </c>
      <c r="C840" s="30">
        <f>YEAR(BInputReservoir[[#This Row],[Date]])</f>
        <v>2025</v>
      </c>
      <c r="D840" s="30">
        <f>MONTH(BInputReservoir[[#This Row],[Date]])</f>
        <v>4</v>
      </c>
      <c r="E840" s="30">
        <f>IF(I840&lt;&gt;1,"",DATA_INPUT!$M119)</f>
        <v>3851.0733599544646</v>
      </c>
      <c r="F840" s="30">
        <f>STORAGE_BALANCE_ENSEMBLE!BB119</f>
        <v>0</v>
      </c>
      <c r="G840" s="30">
        <f>STORAGE_BALANCE_ENSEMBLE!BC119</f>
        <v>0</v>
      </c>
      <c r="H840" s="30">
        <f>STORAGE_BALANCE_ENSEMBLE!BA119</f>
        <v>32116683.961240027</v>
      </c>
      <c r="I840" s="18">
        <f t="shared" si="122"/>
        <v>1</v>
      </c>
      <c r="J840" s="8">
        <f t="shared" si="124"/>
        <v>3851.0733599544646</v>
      </c>
      <c r="K840" s="9">
        <f t="shared" si="125"/>
        <v>0</v>
      </c>
      <c r="L840" s="10">
        <f t="shared" si="126"/>
        <v>0</v>
      </c>
      <c r="M840" s="10">
        <f>IF(I840&lt;&gt;1,"",IF(H840="","",H840/CONTROL_PANEL!$B$11))</f>
        <v>0.64233367922480056</v>
      </c>
      <c r="N840" s="9">
        <f t="shared" si="127"/>
        <v>0</v>
      </c>
      <c r="O840" s="9">
        <f t="shared" si="128"/>
        <v>0</v>
      </c>
      <c r="P840" s="9">
        <f t="shared" si="129"/>
        <v>0</v>
      </c>
      <c r="Q840" s="9">
        <f t="shared" si="130"/>
        <v>0</v>
      </c>
      <c r="R840" s="11"/>
      <c r="S840" s="11" t="str">
        <f t="shared" si="123"/>
        <v>PASS</v>
      </c>
    </row>
    <row r="841" spans="1:19" x14ac:dyDescent="0.25">
      <c r="A841" s="30" t="s">
        <v>30</v>
      </c>
      <c r="B841" s="31">
        <f t="shared" si="121"/>
        <v>45778</v>
      </c>
      <c r="C841" s="30">
        <f>YEAR(BInputReservoir[[#This Row],[Date]])</f>
        <v>2025</v>
      </c>
      <c r="D841" s="30">
        <f>MONTH(BInputReservoir[[#This Row],[Date]])</f>
        <v>5</v>
      </c>
      <c r="E841" s="30">
        <f>IF(I841&lt;&gt;1,"",DATA_INPUT!$M120)</f>
        <v>316923.52847483393</v>
      </c>
      <c r="F841" s="30">
        <f>STORAGE_BALANCE_ENSEMBLE!BB120</f>
        <v>0</v>
      </c>
      <c r="G841" s="30">
        <f>STORAGE_BALANCE_ENSEMBLE!BC120</f>
        <v>0</v>
      </c>
      <c r="H841" s="30">
        <f>STORAGE_BALANCE_ENSEMBLE!BA120</f>
        <v>31627642.635320783</v>
      </c>
      <c r="I841" s="18">
        <f t="shared" si="122"/>
        <v>1</v>
      </c>
      <c r="J841" s="8">
        <f t="shared" si="124"/>
        <v>316923.52847483393</v>
      </c>
      <c r="K841" s="9">
        <f t="shared" si="125"/>
        <v>0</v>
      </c>
      <c r="L841" s="10">
        <f t="shared" si="126"/>
        <v>0</v>
      </c>
      <c r="M841" s="10">
        <f>IF(I841&lt;&gt;1,"",IF(H841="","",H841/CONTROL_PANEL!$B$11))</f>
        <v>0.6325528527064157</v>
      </c>
      <c r="N841" s="9">
        <f t="shared" si="127"/>
        <v>0</v>
      </c>
      <c r="O841" s="9">
        <f t="shared" si="128"/>
        <v>0</v>
      </c>
      <c r="P841" s="9">
        <f t="shared" si="129"/>
        <v>0</v>
      </c>
      <c r="Q841" s="9">
        <f t="shared" si="130"/>
        <v>0</v>
      </c>
      <c r="R841" s="11"/>
      <c r="S841" s="11" t="str">
        <f t="shared" si="123"/>
        <v>PASS</v>
      </c>
    </row>
    <row r="842" spans="1:19" x14ac:dyDescent="0.25">
      <c r="A842" s="30" t="s">
        <v>30</v>
      </c>
      <c r="B842" s="31">
        <f t="shared" si="121"/>
        <v>45809</v>
      </c>
      <c r="C842" s="30">
        <f>YEAR(BInputReservoir[[#This Row],[Date]])</f>
        <v>2025</v>
      </c>
      <c r="D842" s="30">
        <f>MONTH(BInputReservoir[[#This Row],[Date]])</f>
        <v>6</v>
      </c>
      <c r="E842" s="30">
        <f>IF(I842&lt;&gt;1,"",DATA_INPUT!$M121)</f>
        <v>1267787.3923672521</v>
      </c>
      <c r="F842" s="30">
        <f>STORAGE_BALANCE_ENSEMBLE!BB121</f>
        <v>0</v>
      </c>
      <c r="G842" s="30">
        <f>STORAGE_BALANCE_ENSEMBLE!BC121</f>
        <v>0</v>
      </c>
      <c r="H842" s="30">
        <f>STORAGE_BALANCE_ENSEMBLE!BA121</f>
        <v>29996269.163119633</v>
      </c>
      <c r="I842" s="18">
        <f t="shared" si="122"/>
        <v>1</v>
      </c>
      <c r="J842" s="8">
        <f t="shared" si="124"/>
        <v>1267787.3923672521</v>
      </c>
      <c r="K842" s="9">
        <f t="shared" si="125"/>
        <v>0</v>
      </c>
      <c r="L842" s="10">
        <f t="shared" si="126"/>
        <v>0</v>
      </c>
      <c r="M842" s="10">
        <f>IF(I842&lt;&gt;1,"",IF(H842="","",H842/CONTROL_PANEL!$B$11))</f>
        <v>0.59992538326239264</v>
      </c>
      <c r="N842" s="9">
        <f t="shared" si="127"/>
        <v>0</v>
      </c>
      <c r="O842" s="9">
        <f t="shared" si="128"/>
        <v>0</v>
      </c>
      <c r="P842" s="9">
        <f t="shared" si="129"/>
        <v>0</v>
      </c>
      <c r="Q842" s="9">
        <f t="shared" si="130"/>
        <v>0</v>
      </c>
      <c r="R842" s="11"/>
      <c r="S842" s="11" t="str">
        <f t="shared" si="123"/>
        <v>PASS</v>
      </c>
    </row>
    <row r="843" spans="1:19" x14ac:dyDescent="0.25">
      <c r="A843" s="30" t="s">
        <v>30</v>
      </c>
      <c r="B843" s="31">
        <f t="shared" si="121"/>
        <v>45839</v>
      </c>
      <c r="C843" s="30">
        <f>YEAR(BInputReservoir[[#This Row],[Date]])</f>
        <v>2025</v>
      </c>
      <c r="D843" s="30">
        <f>MONTH(BInputReservoir[[#This Row],[Date]])</f>
        <v>7</v>
      </c>
      <c r="E843" s="30">
        <f>IF(I843&lt;&gt;1,"",DATA_INPUT!$M122)</f>
        <v>1936252.6931529779</v>
      </c>
      <c r="F843" s="30">
        <f>STORAGE_BALANCE_ENSEMBLE!BB122</f>
        <v>0</v>
      </c>
      <c r="G843" s="30">
        <f>STORAGE_BALANCE_ENSEMBLE!BC122</f>
        <v>0</v>
      </c>
      <c r="H843" s="30">
        <f>STORAGE_BALANCE_ENSEMBLE!BA122</f>
        <v>27480570.081668384</v>
      </c>
      <c r="I843" s="18">
        <f t="shared" si="122"/>
        <v>1</v>
      </c>
      <c r="J843" s="8">
        <f t="shared" si="124"/>
        <v>1936252.6931529779</v>
      </c>
      <c r="K843" s="9">
        <f t="shared" si="125"/>
        <v>0</v>
      </c>
      <c r="L843" s="10">
        <f t="shared" si="126"/>
        <v>0</v>
      </c>
      <c r="M843" s="10">
        <f>IF(I843&lt;&gt;1,"",IF(H843="","",H843/CONTROL_PANEL!$B$11))</f>
        <v>0.54961140163336764</v>
      </c>
      <c r="N843" s="9">
        <f t="shared" si="127"/>
        <v>0</v>
      </c>
      <c r="O843" s="9">
        <f t="shared" si="128"/>
        <v>0</v>
      </c>
      <c r="P843" s="9">
        <f t="shared" si="129"/>
        <v>0</v>
      </c>
      <c r="Q843" s="9">
        <f t="shared" si="130"/>
        <v>0</v>
      </c>
      <c r="R843" s="11"/>
      <c r="S843" s="11" t="str">
        <f t="shared" si="123"/>
        <v>PASS</v>
      </c>
    </row>
    <row r="844" spans="1:19" x14ac:dyDescent="0.25">
      <c r="A844" s="30" t="s">
        <v>30</v>
      </c>
      <c r="B844" s="31">
        <f t="shared" si="121"/>
        <v>45870</v>
      </c>
      <c r="C844" s="30">
        <f>YEAR(BInputReservoir[[#This Row],[Date]])</f>
        <v>2025</v>
      </c>
      <c r="D844" s="30">
        <f>MONTH(BInputReservoir[[#This Row],[Date]])</f>
        <v>8</v>
      </c>
      <c r="E844" s="30">
        <f>IF(I844&lt;&gt;1,"",DATA_INPUT!$M123)</f>
        <v>2393627.4691222832</v>
      </c>
      <c r="F844" s="30">
        <f>STORAGE_BALANCE_ENSEMBLE!BB123</f>
        <v>0</v>
      </c>
      <c r="G844" s="30">
        <f>STORAGE_BALANCE_ENSEMBLE!BC123</f>
        <v>0</v>
      </c>
      <c r="H844" s="30">
        <f>STORAGE_BALANCE_ENSEMBLE!BA123</f>
        <v>24572586.623610396</v>
      </c>
      <c r="I844" s="18">
        <f t="shared" si="122"/>
        <v>1</v>
      </c>
      <c r="J844" s="8">
        <f t="shared" si="124"/>
        <v>2393627.4691222832</v>
      </c>
      <c r="K844" s="9">
        <f t="shared" si="125"/>
        <v>0</v>
      </c>
      <c r="L844" s="10">
        <f t="shared" si="126"/>
        <v>0</v>
      </c>
      <c r="M844" s="10">
        <f>IF(I844&lt;&gt;1,"",IF(H844="","",H844/CONTROL_PANEL!$B$11))</f>
        <v>0.49145173247220791</v>
      </c>
      <c r="N844" s="9">
        <f t="shared" si="127"/>
        <v>0</v>
      </c>
      <c r="O844" s="9">
        <f t="shared" si="128"/>
        <v>0</v>
      </c>
      <c r="P844" s="9">
        <f t="shared" si="129"/>
        <v>0</v>
      </c>
      <c r="Q844" s="9">
        <f t="shared" si="130"/>
        <v>0</v>
      </c>
      <c r="R844" s="11"/>
      <c r="S844" s="11" t="str">
        <f t="shared" si="123"/>
        <v>PASS</v>
      </c>
    </row>
    <row r="845" spans="1:19" x14ac:dyDescent="0.25">
      <c r="A845" s="30" t="s">
        <v>30</v>
      </c>
      <c r="B845" s="31">
        <f t="shared" si="121"/>
        <v>45901</v>
      </c>
      <c r="C845" s="30">
        <f>YEAR(BInputReservoir[[#This Row],[Date]])</f>
        <v>2025</v>
      </c>
      <c r="D845" s="30">
        <f>MONTH(BInputReservoir[[#This Row],[Date]])</f>
        <v>9</v>
      </c>
      <c r="E845" s="30">
        <f>IF(I845&lt;&gt;1,"",DATA_INPUT!$M124)</f>
        <v>968154.12744636612</v>
      </c>
      <c r="F845" s="30">
        <f>STORAGE_BALANCE_ENSEMBLE!BB124</f>
        <v>0</v>
      </c>
      <c r="G845" s="30">
        <f>STORAGE_BALANCE_ENSEMBLE!BC124</f>
        <v>0</v>
      </c>
      <c r="H845" s="30">
        <f>STORAGE_BALANCE_ENSEMBLE!BA124</f>
        <v>23327841.195648726</v>
      </c>
      <c r="I845" s="18">
        <f t="shared" si="122"/>
        <v>1</v>
      </c>
      <c r="J845" s="8">
        <f t="shared" si="124"/>
        <v>968154.12744636612</v>
      </c>
      <c r="K845" s="9">
        <f t="shared" si="125"/>
        <v>0</v>
      </c>
      <c r="L845" s="10">
        <f t="shared" si="126"/>
        <v>0</v>
      </c>
      <c r="M845" s="10">
        <f>IF(I845&lt;&gt;1,"",IF(H845="","",H845/CONTROL_PANEL!$B$11))</f>
        <v>0.46655682391297454</v>
      </c>
      <c r="N845" s="9">
        <f t="shared" si="127"/>
        <v>0</v>
      </c>
      <c r="O845" s="9">
        <f t="shared" si="128"/>
        <v>0</v>
      </c>
      <c r="P845" s="9">
        <f t="shared" si="129"/>
        <v>0</v>
      </c>
      <c r="Q845" s="9">
        <f t="shared" si="130"/>
        <v>0</v>
      </c>
      <c r="R845" s="11"/>
      <c r="S845" s="11" t="str">
        <f t="shared" si="123"/>
        <v>PASS</v>
      </c>
    </row>
    <row r="846" spans="1:19" x14ac:dyDescent="0.25">
      <c r="A846" s="30" t="s">
        <v>30</v>
      </c>
      <c r="B846" s="31">
        <f t="shared" si="121"/>
        <v>45931</v>
      </c>
      <c r="C846" s="30">
        <f>YEAR(BInputReservoir[[#This Row],[Date]])</f>
        <v>2025</v>
      </c>
      <c r="D846" s="30">
        <f>MONTH(BInputReservoir[[#This Row],[Date]])</f>
        <v>10</v>
      </c>
      <c r="E846" s="30">
        <f>IF(I846&lt;&gt;1,"",DATA_INPUT!$M125)</f>
        <v>327862.67062796571</v>
      </c>
      <c r="F846" s="30">
        <f>STORAGE_BALANCE_ENSEMBLE!BB125</f>
        <v>0</v>
      </c>
      <c r="G846" s="30">
        <f>STORAGE_BALANCE_ENSEMBLE!BC125</f>
        <v>0</v>
      </c>
      <c r="H846" s="30">
        <f>STORAGE_BALANCE_ENSEMBLE!BA125</f>
        <v>22915474.769236423</v>
      </c>
      <c r="I846" s="18">
        <f t="shared" si="122"/>
        <v>1</v>
      </c>
      <c r="J846" s="8">
        <f t="shared" si="124"/>
        <v>327862.67062796571</v>
      </c>
      <c r="K846" s="9">
        <f t="shared" si="125"/>
        <v>0</v>
      </c>
      <c r="L846" s="10">
        <f t="shared" si="126"/>
        <v>0</v>
      </c>
      <c r="M846" s="10">
        <f>IF(I846&lt;&gt;1,"",IF(H846="","",H846/CONTROL_PANEL!$B$11))</f>
        <v>0.45830949538472848</v>
      </c>
      <c r="N846" s="9">
        <f t="shared" si="127"/>
        <v>0</v>
      </c>
      <c r="O846" s="9">
        <f t="shared" si="128"/>
        <v>0</v>
      </c>
      <c r="P846" s="9">
        <f t="shared" si="129"/>
        <v>0</v>
      </c>
      <c r="Q846" s="9">
        <f t="shared" si="130"/>
        <v>0</v>
      </c>
      <c r="R846" s="11"/>
      <c r="S846" s="11" t="str">
        <f t="shared" si="123"/>
        <v>PASS</v>
      </c>
    </row>
    <row r="847" spans="1:19" x14ac:dyDescent="0.25">
      <c r="A847" s="30" t="s">
        <v>30</v>
      </c>
      <c r="B847" s="31">
        <f t="shared" si="121"/>
        <v>45962</v>
      </c>
      <c r="C847" s="30">
        <f>YEAR(BInputReservoir[[#This Row],[Date]])</f>
        <v>2025</v>
      </c>
      <c r="D847" s="30">
        <f>MONTH(BInputReservoir[[#This Row],[Date]])</f>
        <v>11</v>
      </c>
      <c r="E847" s="30">
        <f>IF(I847&lt;&gt;1,"",DATA_INPUT!$M126)</f>
        <v>0</v>
      </c>
      <c r="F847" s="30">
        <f>STORAGE_BALANCE_ENSEMBLE!BB126</f>
        <v>0</v>
      </c>
      <c r="G847" s="30">
        <f>STORAGE_BALANCE_ENSEMBLE!BC126</f>
        <v>0</v>
      </c>
      <c r="H847" s="30">
        <f>STORAGE_BALANCE_ENSEMBLE!BA126</f>
        <v>25274158.243292026</v>
      </c>
      <c r="I847" s="18">
        <f t="shared" si="122"/>
        <v>1</v>
      </c>
      <c r="J847" s="8">
        <f t="shared" si="124"/>
        <v>0</v>
      </c>
      <c r="K847" s="9">
        <f t="shared" si="125"/>
        <v>0</v>
      </c>
      <c r="L847" s="10">
        <f t="shared" si="126"/>
        <v>0</v>
      </c>
      <c r="M847" s="10">
        <f>IF(I847&lt;&gt;1,"",IF(H847="","",H847/CONTROL_PANEL!$B$11))</f>
        <v>0.50548316486584055</v>
      </c>
      <c r="N847" s="9">
        <f t="shared" si="127"/>
        <v>0</v>
      </c>
      <c r="O847" s="9">
        <f t="shared" si="128"/>
        <v>0</v>
      </c>
      <c r="P847" s="9">
        <f t="shared" si="129"/>
        <v>0</v>
      </c>
      <c r="Q847" s="9">
        <f t="shared" si="130"/>
        <v>0</v>
      </c>
      <c r="R847" s="11"/>
      <c r="S847" s="11" t="str">
        <f t="shared" si="123"/>
        <v>PASS</v>
      </c>
    </row>
    <row r="848" spans="1:19" x14ac:dyDescent="0.25">
      <c r="A848" s="30" t="s">
        <v>30</v>
      </c>
      <c r="B848" s="31">
        <f t="shared" si="121"/>
        <v>45992</v>
      </c>
      <c r="C848" s="30">
        <f>YEAR(BInputReservoir[[#This Row],[Date]])</f>
        <v>2025</v>
      </c>
      <c r="D848" s="30">
        <f>MONTH(BInputReservoir[[#This Row],[Date]])</f>
        <v>12</v>
      </c>
      <c r="E848" s="30">
        <f>IF(I848&lt;&gt;1,"",DATA_INPUT!$M127)</f>
        <v>0</v>
      </c>
      <c r="F848" s="30">
        <f>STORAGE_BALANCE_ENSEMBLE!BB127</f>
        <v>0</v>
      </c>
      <c r="G848" s="30">
        <f>STORAGE_BALANCE_ENSEMBLE!BC127</f>
        <v>0</v>
      </c>
      <c r="H848" s="30">
        <f>STORAGE_BALANCE_ENSEMBLE!BA127</f>
        <v>34522745.863307618</v>
      </c>
      <c r="I848" s="18">
        <f t="shared" si="122"/>
        <v>1</v>
      </c>
      <c r="J848" s="8">
        <f t="shared" si="124"/>
        <v>0</v>
      </c>
      <c r="K848" s="9">
        <f t="shared" si="125"/>
        <v>0</v>
      </c>
      <c r="L848" s="10">
        <f t="shared" si="126"/>
        <v>0</v>
      </c>
      <c r="M848" s="10">
        <f>IF(I848&lt;&gt;1,"",IF(H848="","",H848/CONTROL_PANEL!$B$11))</f>
        <v>0.69045491726615238</v>
      </c>
      <c r="N848" s="9">
        <f t="shared" si="127"/>
        <v>0</v>
      </c>
      <c r="O848" s="9">
        <f t="shared" si="128"/>
        <v>0</v>
      </c>
      <c r="P848" s="9">
        <f t="shared" si="129"/>
        <v>0</v>
      </c>
      <c r="Q848" s="9">
        <f t="shared" si="130"/>
        <v>0</v>
      </c>
      <c r="R848" s="11"/>
      <c r="S848" s="11" t="str">
        <f t="shared" si="123"/>
        <v>PASS</v>
      </c>
    </row>
    <row r="849" spans="1:19" x14ac:dyDescent="0.25">
      <c r="A849" s="30" t="s">
        <v>30</v>
      </c>
      <c r="B849" s="31">
        <f t="shared" si="121"/>
        <v>46023</v>
      </c>
      <c r="C849" s="30">
        <f>YEAR(BInputReservoir[[#This Row],[Date]])</f>
        <v>2026</v>
      </c>
      <c r="D849" s="30">
        <f>MONTH(BInputReservoir[[#This Row],[Date]])</f>
        <v>1</v>
      </c>
      <c r="E849" s="30">
        <f>IF(I849&lt;&gt;1,"",DATA_INPUT!$M128)</f>
        <v>0</v>
      </c>
      <c r="F849" s="30">
        <f>STORAGE_BALANCE_ENSEMBLE!BB128</f>
        <v>0</v>
      </c>
      <c r="G849" s="30">
        <f>STORAGE_BALANCE_ENSEMBLE!BC128</f>
        <v>0</v>
      </c>
      <c r="H849" s="30">
        <f>STORAGE_BALANCE_ENSEMBLE!BA128</f>
        <v>49740701.903651118</v>
      </c>
      <c r="I849" s="18">
        <f t="shared" si="122"/>
        <v>1</v>
      </c>
      <c r="J849" s="8">
        <f t="shared" si="124"/>
        <v>0</v>
      </c>
      <c r="K849" s="9">
        <f t="shared" si="125"/>
        <v>0</v>
      </c>
      <c r="L849" s="10">
        <f t="shared" si="126"/>
        <v>0</v>
      </c>
      <c r="M849" s="10">
        <f>IF(I849&lt;&gt;1,"",IF(H849="","",H849/CONTROL_PANEL!$B$11))</f>
        <v>0.99481403807302238</v>
      </c>
      <c r="N849" s="9">
        <f t="shared" si="127"/>
        <v>0</v>
      </c>
      <c r="O849" s="9">
        <f t="shared" si="128"/>
        <v>0</v>
      </c>
      <c r="P849" s="9">
        <f t="shared" si="129"/>
        <v>0</v>
      </c>
      <c r="Q849" s="9">
        <f t="shared" si="130"/>
        <v>0</v>
      </c>
      <c r="R849" s="11"/>
      <c r="S849" s="11" t="str">
        <f t="shared" si="123"/>
        <v>PASS</v>
      </c>
    </row>
    <row r="850" spans="1:19" x14ac:dyDescent="0.25">
      <c r="A850" s="30" t="s">
        <v>30</v>
      </c>
      <c r="B850" s="31">
        <f t="shared" si="121"/>
        <v>46054</v>
      </c>
      <c r="C850" s="30">
        <f>YEAR(BInputReservoir[[#This Row],[Date]])</f>
        <v>2026</v>
      </c>
      <c r="D850" s="30">
        <f>MONTH(BInputReservoir[[#This Row],[Date]])</f>
        <v>2</v>
      </c>
      <c r="E850" s="30">
        <f>IF(I850&lt;&gt;1,"",DATA_INPUT!$M129)</f>
        <v>0</v>
      </c>
      <c r="F850" s="30">
        <f>STORAGE_BALANCE_ENSEMBLE!BB129</f>
        <v>3651312.4656693339</v>
      </c>
      <c r="G850" s="30">
        <f>STORAGE_BALANCE_ENSEMBLE!BC129</f>
        <v>0</v>
      </c>
      <c r="H850" s="30">
        <f>STORAGE_BALANCE_ENSEMBLE!BA129</f>
        <v>53651312.465669334</v>
      </c>
      <c r="I850" s="18">
        <f t="shared" si="122"/>
        <v>1</v>
      </c>
      <c r="J850" s="8">
        <f t="shared" si="124"/>
        <v>0</v>
      </c>
      <c r="K850" s="9">
        <f t="shared" si="125"/>
        <v>0</v>
      </c>
      <c r="L850" s="10">
        <f t="shared" si="126"/>
        <v>0</v>
      </c>
      <c r="M850" s="10">
        <f>IF(I850&lt;&gt;1,"",IF(H850="","",H850/CONTROL_PANEL!$B$11))</f>
        <v>1.0730262493133866</v>
      </c>
      <c r="N850" s="9">
        <f t="shared" si="127"/>
        <v>0</v>
      </c>
      <c r="O850" s="9">
        <f t="shared" si="128"/>
        <v>0</v>
      </c>
      <c r="P850" s="9">
        <f t="shared" si="129"/>
        <v>1</v>
      </c>
      <c r="Q850" s="9">
        <f t="shared" si="130"/>
        <v>0</v>
      </c>
      <c r="R850" s="11"/>
      <c r="S850" s="11" t="str">
        <f t="shared" si="123"/>
        <v>PASS</v>
      </c>
    </row>
    <row r="851" spans="1:19" x14ac:dyDescent="0.25">
      <c r="A851" s="30" t="s">
        <v>30</v>
      </c>
      <c r="B851" s="31">
        <f t="shared" si="121"/>
        <v>46082</v>
      </c>
      <c r="C851" s="30">
        <f>YEAR(BInputReservoir[[#This Row],[Date]])</f>
        <v>2026</v>
      </c>
      <c r="D851" s="30">
        <f>MONTH(BInputReservoir[[#This Row],[Date]])</f>
        <v>3</v>
      </c>
      <c r="E851" s="30">
        <f>IF(I851&lt;&gt;1,"",DATA_INPUT!$M130)</f>
        <v>0</v>
      </c>
      <c r="F851" s="30">
        <f>STORAGE_BALANCE_ENSEMBLE!BB130</f>
        <v>593316.7343211174</v>
      </c>
      <c r="G851" s="30">
        <f>STORAGE_BALANCE_ENSEMBLE!BC130</f>
        <v>0</v>
      </c>
      <c r="H851" s="30">
        <f>STORAGE_BALANCE_ENSEMBLE!BA130</f>
        <v>50593316.734321117</v>
      </c>
      <c r="I851" s="18">
        <f t="shared" si="122"/>
        <v>1</v>
      </c>
      <c r="J851" s="8">
        <f t="shared" si="124"/>
        <v>0</v>
      </c>
      <c r="K851" s="9">
        <f t="shared" si="125"/>
        <v>0</v>
      </c>
      <c r="L851" s="10">
        <f t="shared" si="126"/>
        <v>0</v>
      </c>
      <c r="M851" s="10">
        <f>IF(I851&lt;&gt;1,"",IF(H851="","",H851/CONTROL_PANEL!$B$11))</f>
        <v>1.0118663346864223</v>
      </c>
      <c r="N851" s="9">
        <f t="shared" si="127"/>
        <v>0</v>
      </c>
      <c r="O851" s="9">
        <f t="shared" si="128"/>
        <v>0</v>
      </c>
      <c r="P851" s="9">
        <f t="shared" si="129"/>
        <v>1</v>
      </c>
      <c r="Q851" s="9">
        <f t="shared" si="130"/>
        <v>0</v>
      </c>
      <c r="R851" s="11"/>
      <c r="S851" s="11" t="str">
        <f t="shared" si="123"/>
        <v>PASS</v>
      </c>
    </row>
    <row r="852" spans="1:19" x14ac:dyDescent="0.25">
      <c r="A852" s="30" t="s">
        <v>30</v>
      </c>
      <c r="B852" s="31">
        <f t="shared" si="121"/>
        <v>46113</v>
      </c>
      <c r="C852" s="30">
        <f>YEAR(BInputReservoir[[#This Row],[Date]])</f>
        <v>2026</v>
      </c>
      <c r="D852" s="30">
        <f>MONTH(BInputReservoir[[#This Row],[Date]])</f>
        <v>4</v>
      </c>
      <c r="E852" s="30">
        <f>IF(I852&lt;&gt;1,"",DATA_INPUT!$M131)</f>
        <v>3851.0733599544646</v>
      </c>
      <c r="F852" s="30">
        <f>STORAGE_BALANCE_ENSEMBLE!BB131</f>
        <v>0</v>
      </c>
      <c r="G852" s="30">
        <f>STORAGE_BALANCE_ENSEMBLE!BC131</f>
        <v>0</v>
      </c>
      <c r="H852" s="30">
        <f>STORAGE_BALANCE_ENSEMBLE!BA131</f>
        <v>49756849.657532103</v>
      </c>
      <c r="I852" s="18">
        <f t="shared" si="122"/>
        <v>1</v>
      </c>
      <c r="J852" s="8">
        <f t="shared" si="124"/>
        <v>3851.0733599544646</v>
      </c>
      <c r="K852" s="9">
        <f t="shared" si="125"/>
        <v>0</v>
      </c>
      <c r="L852" s="10">
        <f t="shared" si="126"/>
        <v>0</v>
      </c>
      <c r="M852" s="10">
        <f>IF(I852&lt;&gt;1,"",IF(H852="","",H852/CONTROL_PANEL!$B$11))</f>
        <v>0.99513699315064208</v>
      </c>
      <c r="N852" s="9">
        <f t="shared" si="127"/>
        <v>0</v>
      </c>
      <c r="O852" s="9">
        <f t="shared" si="128"/>
        <v>0</v>
      </c>
      <c r="P852" s="9">
        <f t="shared" si="129"/>
        <v>0</v>
      </c>
      <c r="Q852" s="9">
        <f t="shared" si="130"/>
        <v>0</v>
      </c>
      <c r="R852" s="11"/>
      <c r="S852" s="11" t="str">
        <f t="shared" si="123"/>
        <v>PASS</v>
      </c>
    </row>
    <row r="853" spans="1:19" x14ac:dyDescent="0.25">
      <c r="A853" s="30" t="s">
        <v>30</v>
      </c>
      <c r="B853" s="31">
        <f t="shared" si="121"/>
        <v>46143</v>
      </c>
      <c r="C853" s="30">
        <f>YEAR(BInputReservoir[[#This Row],[Date]])</f>
        <v>2026</v>
      </c>
      <c r="D853" s="30">
        <f>MONTH(BInputReservoir[[#This Row],[Date]])</f>
        <v>5</v>
      </c>
      <c r="E853" s="30">
        <f>IF(I853&lt;&gt;1,"",DATA_INPUT!$M132)</f>
        <v>316923.52847483393</v>
      </c>
      <c r="F853" s="30">
        <f>STORAGE_BALANCE_ENSEMBLE!BB132</f>
        <v>0</v>
      </c>
      <c r="G853" s="30">
        <f>STORAGE_BALANCE_ENSEMBLE!BC132</f>
        <v>0</v>
      </c>
      <c r="H853" s="30">
        <f>STORAGE_BALANCE_ENSEMBLE!BA132</f>
        <v>48965848.923772015</v>
      </c>
      <c r="I853" s="18">
        <f t="shared" si="122"/>
        <v>1</v>
      </c>
      <c r="J853" s="8">
        <f t="shared" si="124"/>
        <v>316923.52847483393</v>
      </c>
      <c r="K853" s="9">
        <f t="shared" si="125"/>
        <v>0</v>
      </c>
      <c r="L853" s="10">
        <f t="shared" si="126"/>
        <v>0</v>
      </c>
      <c r="M853" s="10">
        <f>IF(I853&lt;&gt;1,"",IF(H853="","",H853/CONTROL_PANEL!$B$11))</f>
        <v>0.9793169784754403</v>
      </c>
      <c r="N853" s="9">
        <f t="shared" si="127"/>
        <v>0</v>
      </c>
      <c r="O853" s="9">
        <f t="shared" si="128"/>
        <v>0</v>
      </c>
      <c r="P853" s="9">
        <f t="shared" si="129"/>
        <v>0</v>
      </c>
      <c r="Q853" s="9">
        <f t="shared" si="130"/>
        <v>0</v>
      </c>
      <c r="R853" s="11"/>
      <c r="S853" s="11" t="str">
        <f t="shared" si="123"/>
        <v>PASS</v>
      </c>
    </row>
    <row r="854" spans="1:19" x14ac:dyDescent="0.25">
      <c r="A854" s="30" t="s">
        <v>30</v>
      </c>
      <c r="B854" s="31">
        <f t="shared" si="121"/>
        <v>46174</v>
      </c>
      <c r="C854" s="30">
        <f>YEAR(BInputReservoir[[#This Row],[Date]])</f>
        <v>2026</v>
      </c>
      <c r="D854" s="30">
        <f>MONTH(BInputReservoir[[#This Row],[Date]])</f>
        <v>6</v>
      </c>
      <c r="E854" s="30" t="str">
        <f>IF(I854&lt;&gt;1,"",DATA_INPUT!$M133)</f>
        <v/>
      </c>
      <c r="F854" s="30" t="str">
        <f>STORAGE_BALANCE_ENSEMBLE!BB133</f>
        <v/>
      </c>
      <c r="G854" s="30" t="str">
        <f>STORAGE_BALANCE_ENSEMBLE!BC133</f>
        <v/>
      </c>
      <c r="H854" s="30" t="str">
        <f>STORAGE_BALANCE_ENSEMBLE!BA133</f>
        <v/>
      </c>
      <c r="I854" s="18" t="str">
        <f t="shared" si="122"/>
        <v/>
      </c>
      <c r="J854" s="8" t="str">
        <f t="shared" si="124"/>
        <v/>
      </c>
      <c r="K854" s="9" t="str">
        <f t="shared" si="125"/>
        <v/>
      </c>
      <c r="L854" s="10" t="str">
        <f t="shared" si="126"/>
        <v/>
      </c>
      <c r="M854" s="10" t="str">
        <f>IF(I854&lt;&gt;1,"",IF(H854="","",H854/CONTROL_PANEL!$B$11))</f>
        <v/>
      </c>
      <c r="N854" s="9" t="str">
        <f t="shared" si="127"/>
        <v/>
      </c>
      <c r="O854" s="9" t="str">
        <f t="shared" si="128"/>
        <v/>
      </c>
      <c r="P854" s="9" t="str">
        <f t="shared" si="129"/>
        <v/>
      </c>
      <c r="Q854" s="9" t="str">
        <f t="shared" si="130"/>
        <v/>
      </c>
      <c r="R854" s="11"/>
      <c r="S854" s="11" t="str">
        <f t="shared" ref="S854:S861" si="131">IF(COUNTA(A854:H854)=0,"",IF(OR(A854="",C854="",D854=""),"ERROR: missing key fields","PASS"))</f>
        <v>PASS</v>
      </c>
    </row>
    <row r="855" spans="1:19" x14ac:dyDescent="0.25">
      <c r="A855" s="30" t="s">
        <v>30</v>
      </c>
      <c r="B855" s="31">
        <f t="shared" ref="B855:B918" si="132">B494</f>
        <v>46204</v>
      </c>
      <c r="C855" s="30">
        <f>YEAR(BInputReservoir[[#This Row],[Date]])</f>
        <v>2026</v>
      </c>
      <c r="D855" s="30">
        <f>MONTH(BInputReservoir[[#This Row],[Date]])</f>
        <v>7</v>
      </c>
      <c r="E855" s="30" t="str">
        <f>IF(I855&lt;&gt;1,"",DATA_INPUT!$M134)</f>
        <v/>
      </c>
      <c r="F855" s="30" t="str">
        <f>STORAGE_BALANCE_ENSEMBLE!BB134</f>
        <v/>
      </c>
      <c r="G855" s="30" t="str">
        <f>STORAGE_BALANCE_ENSEMBLE!BC134</f>
        <v/>
      </c>
      <c r="H855" s="30" t="str">
        <f>STORAGE_BALANCE_ENSEMBLE!BA134</f>
        <v/>
      </c>
      <c r="I855" s="18" t="str">
        <f t="shared" ref="I855:I918" si="133">I133</f>
        <v/>
      </c>
      <c r="J855" s="8" t="str">
        <f t="shared" si="124"/>
        <v/>
      </c>
      <c r="K855" s="9" t="str">
        <f t="shared" si="125"/>
        <v/>
      </c>
      <c r="L855" s="10" t="str">
        <f t="shared" si="126"/>
        <v/>
      </c>
      <c r="M855" s="10" t="str">
        <f>IF(I855&lt;&gt;1,"",IF(H855="","",H855/CONTROL_PANEL!$B$11))</f>
        <v/>
      </c>
      <c r="N855" s="9" t="str">
        <f t="shared" si="127"/>
        <v/>
      </c>
      <c r="O855" s="9" t="str">
        <f t="shared" si="128"/>
        <v/>
      </c>
      <c r="P855" s="9" t="str">
        <f t="shared" si="129"/>
        <v/>
      </c>
      <c r="Q855" s="9" t="str">
        <f t="shared" si="130"/>
        <v/>
      </c>
      <c r="R855" s="11"/>
      <c r="S855" s="11" t="str">
        <f t="shared" si="131"/>
        <v>PASS</v>
      </c>
    </row>
    <row r="856" spans="1:19" x14ac:dyDescent="0.25">
      <c r="A856" s="30" t="s">
        <v>30</v>
      </c>
      <c r="B856" s="31">
        <f t="shared" si="132"/>
        <v>46235</v>
      </c>
      <c r="C856" s="30">
        <f>YEAR(BInputReservoir[[#This Row],[Date]])</f>
        <v>2026</v>
      </c>
      <c r="D856" s="30">
        <f>MONTH(BInputReservoir[[#This Row],[Date]])</f>
        <v>8</v>
      </c>
      <c r="E856" s="30" t="str">
        <f>IF(I856&lt;&gt;1,"",DATA_INPUT!$M135)</f>
        <v/>
      </c>
      <c r="F856" s="30" t="str">
        <f>STORAGE_BALANCE_ENSEMBLE!BB135</f>
        <v/>
      </c>
      <c r="G856" s="30" t="str">
        <f>STORAGE_BALANCE_ENSEMBLE!BC135</f>
        <v/>
      </c>
      <c r="H856" s="30" t="str">
        <f>STORAGE_BALANCE_ENSEMBLE!BA135</f>
        <v/>
      </c>
      <c r="I856" s="18" t="str">
        <f t="shared" si="133"/>
        <v/>
      </c>
      <c r="J856" s="8" t="str">
        <f t="shared" si="124"/>
        <v/>
      </c>
      <c r="K856" s="9" t="str">
        <f t="shared" si="125"/>
        <v/>
      </c>
      <c r="L856" s="10" t="str">
        <f t="shared" si="126"/>
        <v/>
      </c>
      <c r="M856" s="10" t="str">
        <f>IF(I856&lt;&gt;1,"",IF(H856="","",H856/CONTROL_PANEL!$B$11))</f>
        <v/>
      </c>
      <c r="N856" s="9" t="str">
        <f t="shared" si="127"/>
        <v/>
      </c>
      <c r="O856" s="9" t="str">
        <f t="shared" si="128"/>
        <v/>
      </c>
      <c r="P856" s="9" t="str">
        <f t="shared" si="129"/>
        <v/>
      </c>
      <c r="Q856" s="9" t="str">
        <f t="shared" si="130"/>
        <v/>
      </c>
      <c r="R856" s="11"/>
      <c r="S856" s="11" t="str">
        <f t="shared" si="131"/>
        <v>PASS</v>
      </c>
    </row>
    <row r="857" spans="1:19" x14ac:dyDescent="0.25">
      <c r="A857" s="30" t="s">
        <v>30</v>
      </c>
      <c r="B857" s="31">
        <f t="shared" si="132"/>
        <v>46266</v>
      </c>
      <c r="C857" s="30">
        <f>YEAR(BInputReservoir[[#This Row],[Date]])</f>
        <v>2026</v>
      </c>
      <c r="D857" s="30">
        <f>MONTH(BInputReservoir[[#This Row],[Date]])</f>
        <v>9</v>
      </c>
      <c r="E857" s="30" t="str">
        <f>IF(I857&lt;&gt;1,"",DATA_INPUT!$M136)</f>
        <v/>
      </c>
      <c r="F857" s="30" t="str">
        <f>STORAGE_BALANCE_ENSEMBLE!BB136</f>
        <v/>
      </c>
      <c r="G857" s="30" t="str">
        <f>STORAGE_BALANCE_ENSEMBLE!BC136</f>
        <v/>
      </c>
      <c r="H857" s="30" t="str">
        <f>STORAGE_BALANCE_ENSEMBLE!BA136</f>
        <v/>
      </c>
      <c r="I857" s="18" t="str">
        <f t="shared" si="133"/>
        <v/>
      </c>
      <c r="J857" s="8" t="str">
        <f t="shared" si="124"/>
        <v/>
      </c>
      <c r="K857" s="9" t="str">
        <f t="shared" si="125"/>
        <v/>
      </c>
      <c r="L857" s="10" t="str">
        <f t="shared" si="126"/>
        <v/>
      </c>
      <c r="M857" s="10" t="str">
        <f>IF(I857&lt;&gt;1,"",IF(H857="","",H857/CONTROL_PANEL!$B$11))</f>
        <v/>
      </c>
      <c r="N857" s="9" t="str">
        <f t="shared" si="127"/>
        <v/>
      </c>
      <c r="O857" s="9" t="str">
        <f t="shared" si="128"/>
        <v/>
      </c>
      <c r="P857" s="9" t="str">
        <f t="shared" si="129"/>
        <v/>
      </c>
      <c r="Q857" s="9" t="str">
        <f t="shared" si="130"/>
        <v/>
      </c>
      <c r="R857" s="11"/>
      <c r="S857" s="11" t="str">
        <f t="shared" si="131"/>
        <v>PASS</v>
      </c>
    </row>
    <row r="858" spans="1:19" x14ac:dyDescent="0.25">
      <c r="A858" s="30" t="s">
        <v>30</v>
      </c>
      <c r="B858" s="31">
        <f t="shared" si="132"/>
        <v>46296</v>
      </c>
      <c r="C858" s="30">
        <f>YEAR(BInputReservoir[[#This Row],[Date]])</f>
        <v>2026</v>
      </c>
      <c r="D858" s="30">
        <f>MONTH(BInputReservoir[[#This Row],[Date]])</f>
        <v>10</v>
      </c>
      <c r="E858" s="30" t="str">
        <f>IF(I858&lt;&gt;1,"",DATA_INPUT!$M137)</f>
        <v/>
      </c>
      <c r="F858" s="30" t="str">
        <f>STORAGE_BALANCE_ENSEMBLE!BB137</f>
        <v/>
      </c>
      <c r="G858" s="30" t="str">
        <f>STORAGE_BALANCE_ENSEMBLE!BC137</f>
        <v/>
      </c>
      <c r="H858" s="30" t="str">
        <f>STORAGE_BALANCE_ENSEMBLE!BA137</f>
        <v/>
      </c>
      <c r="I858" s="18" t="str">
        <f t="shared" si="133"/>
        <v/>
      </c>
      <c r="J858" s="8" t="str">
        <f t="shared" si="124"/>
        <v/>
      </c>
      <c r="K858" s="9" t="str">
        <f t="shared" si="125"/>
        <v/>
      </c>
      <c r="L858" s="10" t="str">
        <f t="shared" si="126"/>
        <v/>
      </c>
      <c r="M858" s="10" t="str">
        <f>IF(I858&lt;&gt;1,"",IF(H858="","",H858/CONTROL_PANEL!$B$11))</f>
        <v/>
      </c>
      <c r="N858" s="9" t="str">
        <f t="shared" si="127"/>
        <v/>
      </c>
      <c r="O858" s="9" t="str">
        <f t="shared" si="128"/>
        <v/>
      </c>
      <c r="P858" s="9" t="str">
        <f t="shared" si="129"/>
        <v/>
      </c>
      <c r="Q858" s="9" t="str">
        <f t="shared" si="130"/>
        <v/>
      </c>
      <c r="R858" s="11"/>
      <c r="S858" s="11" t="str">
        <f t="shared" si="131"/>
        <v>PASS</v>
      </c>
    </row>
    <row r="859" spans="1:19" x14ac:dyDescent="0.25">
      <c r="A859" s="30" t="s">
        <v>30</v>
      </c>
      <c r="B859" s="31">
        <f t="shared" si="132"/>
        <v>46327</v>
      </c>
      <c r="C859" s="30">
        <f>YEAR(BInputReservoir[[#This Row],[Date]])</f>
        <v>2026</v>
      </c>
      <c r="D859" s="30">
        <f>MONTH(BInputReservoir[[#This Row],[Date]])</f>
        <v>11</v>
      </c>
      <c r="E859" s="30" t="str">
        <f>IF(I859&lt;&gt;1,"",DATA_INPUT!$M138)</f>
        <v/>
      </c>
      <c r="F859" s="30" t="str">
        <f>STORAGE_BALANCE_ENSEMBLE!BB138</f>
        <v/>
      </c>
      <c r="G859" s="30" t="str">
        <f>STORAGE_BALANCE_ENSEMBLE!BC138</f>
        <v/>
      </c>
      <c r="H859" s="30" t="str">
        <f>STORAGE_BALANCE_ENSEMBLE!BA138</f>
        <v/>
      </c>
      <c r="I859" s="18" t="str">
        <f t="shared" si="133"/>
        <v/>
      </c>
      <c r="J859" s="8" t="str">
        <f t="shared" si="124"/>
        <v/>
      </c>
      <c r="K859" s="9" t="str">
        <f t="shared" si="125"/>
        <v/>
      </c>
      <c r="L859" s="10" t="str">
        <f t="shared" si="126"/>
        <v/>
      </c>
      <c r="M859" s="10" t="str">
        <f>IF(I859&lt;&gt;1,"",IF(H859="","",H859/CONTROL_PANEL!$B$11))</f>
        <v/>
      </c>
      <c r="N859" s="9" t="str">
        <f t="shared" si="127"/>
        <v/>
      </c>
      <c r="O859" s="9" t="str">
        <f t="shared" si="128"/>
        <v/>
      </c>
      <c r="P859" s="9" t="str">
        <f t="shared" si="129"/>
        <v/>
      </c>
      <c r="Q859" s="9" t="str">
        <f t="shared" si="130"/>
        <v/>
      </c>
      <c r="R859" s="11"/>
      <c r="S859" s="11" t="str">
        <f t="shared" si="131"/>
        <v>PASS</v>
      </c>
    </row>
    <row r="860" spans="1:19" x14ac:dyDescent="0.25">
      <c r="A860" s="30" t="s">
        <v>30</v>
      </c>
      <c r="B860" s="31">
        <f t="shared" si="132"/>
        <v>46357</v>
      </c>
      <c r="C860" s="30">
        <f>YEAR(BInputReservoir[[#This Row],[Date]])</f>
        <v>2026</v>
      </c>
      <c r="D860" s="30">
        <f>MONTH(BInputReservoir[[#This Row],[Date]])</f>
        <v>12</v>
      </c>
      <c r="E860" s="30" t="str">
        <f>IF(I860&lt;&gt;1,"",DATA_INPUT!$M139)</f>
        <v/>
      </c>
      <c r="F860" s="30" t="str">
        <f>STORAGE_BALANCE_ENSEMBLE!BB139</f>
        <v/>
      </c>
      <c r="G860" s="30" t="str">
        <f>STORAGE_BALANCE_ENSEMBLE!BC139</f>
        <v/>
      </c>
      <c r="H860" s="30" t="str">
        <f>STORAGE_BALANCE_ENSEMBLE!BA139</f>
        <v/>
      </c>
      <c r="I860" s="18" t="str">
        <f t="shared" si="133"/>
        <v/>
      </c>
      <c r="J860" s="8" t="str">
        <f t="shared" si="124"/>
        <v/>
      </c>
      <c r="K860" s="9" t="str">
        <f t="shared" si="125"/>
        <v/>
      </c>
      <c r="L860" s="10" t="str">
        <f t="shared" si="126"/>
        <v/>
      </c>
      <c r="M860" s="10" t="str">
        <f>IF(I860&lt;&gt;1,"",IF(H860="","",H860/CONTROL_PANEL!$B$11))</f>
        <v/>
      </c>
      <c r="N860" s="9" t="str">
        <f t="shared" si="127"/>
        <v/>
      </c>
      <c r="O860" s="9" t="str">
        <f t="shared" si="128"/>
        <v/>
      </c>
      <c r="P860" s="9" t="str">
        <f t="shared" si="129"/>
        <v/>
      </c>
      <c r="Q860" s="9" t="str">
        <f t="shared" si="130"/>
        <v/>
      </c>
      <c r="R860" s="11"/>
      <c r="S860" s="11" t="str">
        <f t="shared" si="131"/>
        <v>PASS</v>
      </c>
    </row>
    <row r="861" spans="1:19" x14ac:dyDescent="0.25">
      <c r="A861" s="30" t="s">
        <v>30</v>
      </c>
      <c r="B861" s="31">
        <f t="shared" si="132"/>
        <v>46388</v>
      </c>
      <c r="C861" s="30">
        <f>YEAR(BInputReservoir[[#This Row],[Date]])</f>
        <v>2027</v>
      </c>
      <c r="D861" s="30">
        <f>MONTH(BInputReservoir[[#This Row],[Date]])</f>
        <v>1</v>
      </c>
      <c r="E861" s="30" t="str">
        <f>IF(I861&lt;&gt;1,"",DATA_INPUT!$M140)</f>
        <v/>
      </c>
      <c r="F861" s="30" t="str">
        <f>STORAGE_BALANCE_ENSEMBLE!BB140</f>
        <v/>
      </c>
      <c r="G861" s="30" t="str">
        <f>STORAGE_BALANCE_ENSEMBLE!BC140</f>
        <v/>
      </c>
      <c r="H861" s="30" t="str">
        <f>STORAGE_BALANCE_ENSEMBLE!BA140</f>
        <v/>
      </c>
      <c r="I861" s="18" t="str">
        <f t="shared" si="133"/>
        <v/>
      </c>
      <c r="J861" s="8" t="str">
        <f t="shared" si="124"/>
        <v/>
      </c>
      <c r="K861" s="9" t="str">
        <f t="shared" si="125"/>
        <v/>
      </c>
      <c r="L861" s="10" t="str">
        <f t="shared" si="126"/>
        <v/>
      </c>
      <c r="M861" s="10" t="str">
        <f>IF(I861&lt;&gt;1,"",IF(H861="","",H861/CONTROL_PANEL!$B$11))</f>
        <v/>
      </c>
      <c r="N861" s="9" t="str">
        <f t="shared" si="127"/>
        <v/>
      </c>
      <c r="O861" s="9" t="str">
        <f t="shared" si="128"/>
        <v/>
      </c>
      <c r="P861" s="9" t="str">
        <f t="shared" si="129"/>
        <v/>
      </c>
      <c r="Q861" s="9" t="str">
        <f t="shared" si="130"/>
        <v/>
      </c>
      <c r="R861" s="11"/>
      <c r="S861" s="11" t="str">
        <f t="shared" si="131"/>
        <v>PASS</v>
      </c>
    </row>
    <row r="862" spans="1:19" x14ac:dyDescent="0.25">
      <c r="A862" s="30" t="s">
        <v>30</v>
      </c>
      <c r="B862" s="31">
        <f t="shared" si="132"/>
        <v>46419</v>
      </c>
      <c r="C862" s="30">
        <f>YEAR(BInputReservoir[[#This Row],[Date]])</f>
        <v>2027</v>
      </c>
      <c r="D862" s="30">
        <f>MONTH(BInputReservoir[[#This Row],[Date]])</f>
        <v>2</v>
      </c>
      <c r="E862" s="30" t="str">
        <f>IF(I862&lt;&gt;1,"",DATA_INPUT!$M141)</f>
        <v/>
      </c>
      <c r="F862" s="30" t="str">
        <f>STORAGE_BALANCE_ENSEMBLE!BB141</f>
        <v/>
      </c>
      <c r="G862" s="30" t="str">
        <f>STORAGE_BALANCE_ENSEMBLE!BC141</f>
        <v/>
      </c>
      <c r="H862" s="30" t="str">
        <f>STORAGE_BALANCE_ENSEMBLE!BA141</f>
        <v/>
      </c>
      <c r="I862" s="18" t="str">
        <f t="shared" si="133"/>
        <v/>
      </c>
      <c r="J862" s="8" t="str">
        <f t="shared" si="124"/>
        <v/>
      </c>
      <c r="K862" s="9" t="str">
        <f t="shared" si="125"/>
        <v/>
      </c>
      <c r="L862" s="10" t="str">
        <f t="shared" si="126"/>
        <v/>
      </c>
      <c r="M862" s="10" t="str">
        <f>IF(I862&lt;&gt;1,"",IF(H862="","",H862/CONTROL_PANEL!$B$11))</f>
        <v/>
      </c>
      <c r="N862" s="9" t="str">
        <f t="shared" si="127"/>
        <v/>
      </c>
      <c r="O862" s="9" t="str">
        <f t="shared" si="128"/>
        <v/>
      </c>
      <c r="P862" s="9" t="str">
        <f t="shared" si="129"/>
        <v/>
      </c>
      <c r="Q862" s="9" t="str">
        <f t="shared" si="130"/>
        <v/>
      </c>
      <c r="R862" s="11"/>
      <c r="S862" s="11"/>
    </row>
    <row r="863" spans="1:19" x14ac:dyDescent="0.25">
      <c r="A863" s="30" t="s">
        <v>30</v>
      </c>
      <c r="B863" s="31">
        <f t="shared" si="132"/>
        <v>46447</v>
      </c>
      <c r="C863" s="30">
        <f>YEAR(BInputReservoir[[#This Row],[Date]])</f>
        <v>2027</v>
      </c>
      <c r="D863" s="30">
        <f>MONTH(BInputReservoir[[#This Row],[Date]])</f>
        <v>3</v>
      </c>
      <c r="E863" s="30" t="str">
        <f>IF(I863&lt;&gt;1,"",DATA_INPUT!$M142)</f>
        <v/>
      </c>
      <c r="F863" s="30" t="str">
        <f>STORAGE_BALANCE_ENSEMBLE!BB142</f>
        <v/>
      </c>
      <c r="G863" s="30" t="str">
        <f>STORAGE_BALANCE_ENSEMBLE!BC142</f>
        <v/>
      </c>
      <c r="H863" s="30" t="str">
        <f>STORAGE_BALANCE_ENSEMBLE!BA142</f>
        <v/>
      </c>
      <c r="I863" s="18" t="str">
        <f t="shared" si="133"/>
        <v/>
      </c>
      <c r="J863" s="8" t="str">
        <f t="shared" si="124"/>
        <v/>
      </c>
      <c r="K863" s="9" t="str">
        <f t="shared" si="125"/>
        <v/>
      </c>
      <c r="L863" s="10" t="str">
        <f t="shared" si="126"/>
        <v/>
      </c>
      <c r="M863" s="10" t="str">
        <f>IF(I863&lt;&gt;1,"",IF(H863="","",H863/CONTROL_PANEL!$B$11))</f>
        <v/>
      </c>
      <c r="N863" s="9" t="str">
        <f t="shared" si="127"/>
        <v/>
      </c>
      <c r="O863" s="9" t="str">
        <f t="shared" si="128"/>
        <v/>
      </c>
      <c r="P863" s="9" t="str">
        <f t="shared" si="129"/>
        <v/>
      </c>
      <c r="Q863" s="9" t="str">
        <f t="shared" si="130"/>
        <v/>
      </c>
      <c r="R863" s="11"/>
      <c r="S863" s="11"/>
    </row>
    <row r="864" spans="1:19" x14ac:dyDescent="0.25">
      <c r="A864" s="30" t="s">
        <v>30</v>
      </c>
      <c r="B864" s="31">
        <f t="shared" si="132"/>
        <v>46478</v>
      </c>
      <c r="C864" s="30">
        <f>YEAR(BInputReservoir[[#This Row],[Date]])</f>
        <v>2027</v>
      </c>
      <c r="D864" s="30">
        <f>MONTH(BInputReservoir[[#This Row],[Date]])</f>
        <v>4</v>
      </c>
      <c r="E864" s="30" t="str">
        <f>IF(I864&lt;&gt;1,"",DATA_INPUT!$M143)</f>
        <v/>
      </c>
      <c r="F864" s="30" t="str">
        <f>STORAGE_BALANCE_ENSEMBLE!BB143</f>
        <v/>
      </c>
      <c r="G864" s="30" t="str">
        <f>STORAGE_BALANCE_ENSEMBLE!BC143</f>
        <v/>
      </c>
      <c r="H864" s="30" t="str">
        <f>STORAGE_BALANCE_ENSEMBLE!BA143</f>
        <v/>
      </c>
      <c r="I864" s="18" t="str">
        <f t="shared" si="133"/>
        <v/>
      </c>
      <c r="J864" s="8" t="str">
        <f t="shared" si="124"/>
        <v/>
      </c>
      <c r="K864" s="9" t="str">
        <f t="shared" si="125"/>
        <v/>
      </c>
      <c r="L864" s="10" t="str">
        <f t="shared" si="126"/>
        <v/>
      </c>
      <c r="M864" s="10" t="str">
        <f>IF(I864&lt;&gt;1,"",IF(H864="","",H864/CONTROL_PANEL!$B$11))</f>
        <v/>
      </c>
      <c r="N864" s="9" t="str">
        <f t="shared" si="127"/>
        <v/>
      </c>
      <c r="O864" s="9" t="str">
        <f t="shared" si="128"/>
        <v/>
      </c>
      <c r="P864" s="9" t="str">
        <f t="shared" si="129"/>
        <v/>
      </c>
      <c r="Q864" s="9" t="str">
        <f t="shared" si="130"/>
        <v/>
      </c>
      <c r="R864" s="11"/>
      <c r="S864" s="11"/>
    </row>
    <row r="865" spans="1:19" x14ac:dyDescent="0.25">
      <c r="A865" s="30" t="s">
        <v>30</v>
      </c>
      <c r="B865" s="31">
        <f t="shared" si="132"/>
        <v>46508</v>
      </c>
      <c r="C865" s="30">
        <f>YEAR(BInputReservoir[[#This Row],[Date]])</f>
        <v>2027</v>
      </c>
      <c r="D865" s="30">
        <f>MONTH(BInputReservoir[[#This Row],[Date]])</f>
        <v>5</v>
      </c>
      <c r="E865" s="30" t="str">
        <f>IF(I865&lt;&gt;1,"",DATA_INPUT!$M144)</f>
        <v/>
      </c>
      <c r="F865" s="30" t="str">
        <f>STORAGE_BALANCE_ENSEMBLE!BB144</f>
        <v/>
      </c>
      <c r="G865" s="30" t="str">
        <f>STORAGE_BALANCE_ENSEMBLE!BC144</f>
        <v/>
      </c>
      <c r="H865" s="30" t="str">
        <f>STORAGE_BALANCE_ENSEMBLE!BA144</f>
        <v/>
      </c>
      <c r="I865" s="18" t="str">
        <f t="shared" si="133"/>
        <v/>
      </c>
      <c r="J865" s="8" t="str">
        <f t="shared" si="124"/>
        <v/>
      </c>
      <c r="K865" s="9" t="str">
        <f t="shared" si="125"/>
        <v/>
      </c>
      <c r="L865" s="10" t="str">
        <f t="shared" si="126"/>
        <v/>
      </c>
      <c r="M865" s="10" t="str">
        <f>IF(I865&lt;&gt;1,"",IF(H865="","",H865/CONTROL_PANEL!$B$11))</f>
        <v/>
      </c>
      <c r="N865" s="9" t="str">
        <f t="shared" si="127"/>
        <v/>
      </c>
      <c r="O865" s="9" t="str">
        <f t="shared" si="128"/>
        <v/>
      </c>
      <c r="P865" s="9" t="str">
        <f t="shared" si="129"/>
        <v/>
      </c>
      <c r="Q865" s="9" t="str">
        <f t="shared" si="130"/>
        <v/>
      </c>
      <c r="R865" s="11"/>
      <c r="S865" s="11"/>
    </row>
    <row r="866" spans="1:19" x14ac:dyDescent="0.25">
      <c r="A866" s="30" t="s">
        <v>30</v>
      </c>
      <c r="B866" s="31">
        <f t="shared" si="132"/>
        <v>46539</v>
      </c>
      <c r="C866" s="30">
        <f>YEAR(BInputReservoir[[#This Row],[Date]])</f>
        <v>2027</v>
      </c>
      <c r="D866" s="30">
        <f>MONTH(BInputReservoir[[#This Row],[Date]])</f>
        <v>6</v>
      </c>
      <c r="E866" s="30" t="str">
        <f>IF(I866&lt;&gt;1,"",DATA_INPUT!$M145)</f>
        <v/>
      </c>
      <c r="F866" s="30" t="str">
        <f>STORAGE_BALANCE_ENSEMBLE!BB145</f>
        <v/>
      </c>
      <c r="G866" s="30" t="str">
        <f>STORAGE_BALANCE_ENSEMBLE!BC145</f>
        <v/>
      </c>
      <c r="H866" s="30" t="str">
        <f>STORAGE_BALANCE_ENSEMBLE!BA145</f>
        <v/>
      </c>
      <c r="I866" s="18" t="str">
        <f t="shared" si="133"/>
        <v/>
      </c>
      <c r="J866" s="8" t="str">
        <f t="shared" si="124"/>
        <v/>
      </c>
      <c r="K866" s="9" t="str">
        <f t="shared" si="125"/>
        <v/>
      </c>
      <c r="L866" s="10" t="str">
        <f t="shared" si="126"/>
        <v/>
      </c>
      <c r="M866" s="10" t="str">
        <f>IF(I866&lt;&gt;1,"",IF(H866="","",H866/CONTROL_PANEL!$B$11))</f>
        <v/>
      </c>
      <c r="N866" s="9" t="str">
        <f t="shared" si="127"/>
        <v/>
      </c>
      <c r="O866" s="9" t="str">
        <f t="shared" si="128"/>
        <v/>
      </c>
      <c r="P866" s="9" t="str">
        <f t="shared" si="129"/>
        <v/>
      </c>
      <c r="Q866" s="9" t="str">
        <f t="shared" si="130"/>
        <v/>
      </c>
      <c r="R866" s="11"/>
      <c r="S866" s="11"/>
    </row>
    <row r="867" spans="1:19" x14ac:dyDescent="0.25">
      <c r="A867" s="30" t="s">
        <v>30</v>
      </c>
      <c r="B867" s="31">
        <f t="shared" si="132"/>
        <v>46569</v>
      </c>
      <c r="C867" s="30">
        <f>YEAR(BInputReservoir[[#This Row],[Date]])</f>
        <v>2027</v>
      </c>
      <c r="D867" s="30">
        <f>MONTH(BInputReservoir[[#This Row],[Date]])</f>
        <v>7</v>
      </c>
      <c r="E867" s="30" t="str">
        <f>IF(I867&lt;&gt;1,"",DATA_INPUT!$M146)</f>
        <v/>
      </c>
      <c r="F867" s="30" t="str">
        <f>STORAGE_BALANCE_ENSEMBLE!BB146</f>
        <v/>
      </c>
      <c r="G867" s="30" t="str">
        <f>STORAGE_BALANCE_ENSEMBLE!BC146</f>
        <v/>
      </c>
      <c r="H867" s="30" t="str">
        <f>STORAGE_BALANCE_ENSEMBLE!BA146</f>
        <v/>
      </c>
      <c r="I867" s="18" t="str">
        <f t="shared" si="133"/>
        <v/>
      </c>
      <c r="J867" s="8" t="str">
        <f t="shared" si="124"/>
        <v/>
      </c>
      <c r="K867" s="9" t="str">
        <f t="shared" si="125"/>
        <v/>
      </c>
      <c r="L867" s="10" t="str">
        <f t="shared" si="126"/>
        <v/>
      </c>
      <c r="M867" s="10" t="str">
        <f>IF(I867&lt;&gt;1,"",IF(H867="","",H867/CONTROL_PANEL!$B$11))</f>
        <v/>
      </c>
      <c r="N867" s="9" t="str">
        <f t="shared" si="127"/>
        <v/>
      </c>
      <c r="O867" s="9" t="str">
        <f t="shared" si="128"/>
        <v/>
      </c>
      <c r="P867" s="9" t="str">
        <f t="shared" si="129"/>
        <v/>
      </c>
      <c r="Q867" s="9" t="str">
        <f t="shared" si="130"/>
        <v/>
      </c>
      <c r="R867" s="11"/>
      <c r="S867" s="11"/>
    </row>
    <row r="868" spans="1:19" x14ac:dyDescent="0.25">
      <c r="A868" s="30" t="s">
        <v>30</v>
      </c>
      <c r="B868" s="31">
        <f t="shared" si="132"/>
        <v>46600</v>
      </c>
      <c r="C868" s="30">
        <f>YEAR(BInputReservoir[[#This Row],[Date]])</f>
        <v>2027</v>
      </c>
      <c r="D868" s="30">
        <f>MONTH(BInputReservoir[[#This Row],[Date]])</f>
        <v>8</v>
      </c>
      <c r="E868" s="30" t="str">
        <f>IF(I868&lt;&gt;1,"",DATA_INPUT!$M147)</f>
        <v/>
      </c>
      <c r="F868" s="30" t="str">
        <f>STORAGE_BALANCE_ENSEMBLE!BB147</f>
        <v/>
      </c>
      <c r="G868" s="30" t="str">
        <f>STORAGE_BALANCE_ENSEMBLE!BC147</f>
        <v/>
      </c>
      <c r="H868" s="30" t="str">
        <f>STORAGE_BALANCE_ENSEMBLE!BA147</f>
        <v/>
      </c>
      <c r="I868" s="18" t="str">
        <f t="shared" si="133"/>
        <v/>
      </c>
      <c r="J868" s="8" t="str">
        <f t="shared" si="124"/>
        <v/>
      </c>
      <c r="K868" s="9" t="str">
        <f t="shared" si="125"/>
        <v/>
      </c>
      <c r="L868" s="10" t="str">
        <f t="shared" si="126"/>
        <v/>
      </c>
      <c r="M868" s="10" t="str">
        <f>IF(I868&lt;&gt;1,"",IF(H868="","",H868/CONTROL_PANEL!$B$11))</f>
        <v/>
      </c>
      <c r="N868" s="9" t="str">
        <f t="shared" si="127"/>
        <v/>
      </c>
      <c r="O868" s="9" t="str">
        <f t="shared" si="128"/>
        <v/>
      </c>
      <c r="P868" s="9" t="str">
        <f t="shared" si="129"/>
        <v/>
      </c>
      <c r="Q868" s="9" t="str">
        <f t="shared" si="130"/>
        <v/>
      </c>
      <c r="R868" s="11"/>
      <c r="S868" s="11"/>
    </row>
    <row r="869" spans="1:19" x14ac:dyDescent="0.25">
      <c r="A869" s="30" t="s">
        <v>30</v>
      </c>
      <c r="B869" s="31">
        <f t="shared" si="132"/>
        <v>46631</v>
      </c>
      <c r="C869" s="30">
        <f>YEAR(BInputReservoir[[#This Row],[Date]])</f>
        <v>2027</v>
      </c>
      <c r="D869" s="30">
        <f>MONTH(BInputReservoir[[#This Row],[Date]])</f>
        <v>9</v>
      </c>
      <c r="E869" s="30" t="str">
        <f>IF(I869&lt;&gt;1,"",DATA_INPUT!$M148)</f>
        <v/>
      </c>
      <c r="F869" s="30" t="str">
        <f>STORAGE_BALANCE_ENSEMBLE!BB148</f>
        <v/>
      </c>
      <c r="G869" s="30" t="str">
        <f>STORAGE_BALANCE_ENSEMBLE!BC148</f>
        <v/>
      </c>
      <c r="H869" s="30" t="str">
        <f>STORAGE_BALANCE_ENSEMBLE!BA148</f>
        <v/>
      </c>
      <c r="I869" s="18" t="str">
        <f t="shared" si="133"/>
        <v/>
      </c>
      <c r="J869" s="8" t="str">
        <f t="shared" si="124"/>
        <v/>
      </c>
      <c r="K869" s="9" t="str">
        <f t="shared" si="125"/>
        <v/>
      </c>
      <c r="L869" s="10" t="str">
        <f t="shared" si="126"/>
        <v/>
      </c>
      <c r="M869" s="10" t="str">
        <f>IF(I869&lt;&gt;1,"",IF(H869="","",H869/CONTROL_PANEL!$B$11))</f>
        <v/>
      </c>
      <c r="N869" s="9" t="str">
        <f t="shared" si="127"/>
        <v/>
      </c>
      <c r="O869" s="9" t="str">
        <f t="shared" si="128"/>
        <v/>
      </c>
      <c r="P869" s="9" t="str">
        <f t="shared" si="129"/>
        <v/>
      </c>
      <c r="Q869" s="9" t="str">
        <f t="shared" si="130"/>
        <v/>
      </c>
      <c r="R869" s="11"/>
      <c r="S869" s="11"/>
    </row>
    <row r="870" spans="1:19" x14ac:dyDescent="0.25">
      <c r="A870" s="30" t="s">
        <v>30</v>
      </c>
      <c r="B870" s="31">
        <f t="shared" si="132"/>
        <v>46661</v>
      </c>
      <c r="C870" s="30">
        <f>YEAR(BInputReservoir[[#This Row],[Date]])</f>
        <v>2027</v>
      </c>
      <c r="D870" s="30">
        <f>MONTH(BInputReservoir[[#This Row],[Date]])</f>
        <v>10</v>
      </c>
      <c r="E870" s="30" t="str">
        <f>IF(I870&lt;&gt;1,"",DATA_INPUT!$M149)</f>
        <v/>
      </c>
      <c r="F870" s="30" t="str">
        <f>STORAGE_BALANCE_ENSEMBLE!BB149</f>
        <v/>
      </c>
      <c r="G870" s="30" t="str">
        <f>STORAGE_BALANCE_ENSEMBLE!BC149</f>
        <v/>
      </c>
      <c r="H870" s="30" t="str">
        <f>STORAGE_BALANCE_ENSEMBLE!BA149</f>
        <v/>
      </c>
      <c r="I870" s="18" t="str">
        <f t="shared" si="133"/>
        <v/>
      </c>
      <c r="J870" s="8" t="str">
        <f t="shared" si="124"/>
        <v/>
      </c>
      <c r="K870" s="9" t="str">
        <f t="shared" si="125"/>
        <v/>
      </c>
      <c r="L870" s="10" t="str">
        <f t="shared" si="126"/>
        <v/>
      </c>
      <c r="M870" s="10" t="str">
        <f>IF(I870&lt;&gt;1,"",IF(H870="","",H870/CONTROL_PANEL!$B$11))</f>
        <v/>
      </c>
      <c r="N870" s="9" t="str">
        <f t="shared" si="127"/>
        <v/>
      </c>
      <c r="O870" s="9" t="str">
        <f t="shared" si="128"/>
        <v/>
      </c>
      <c r="P870" s="9" t="str">
        <f t="shared" si="129"/>
        <v/>
      </c>
      <c r="Q870" s="9" t="str">
        <f t="shared" si="130"/>
        <v/>
      </c>
      <c r="R870" s="11"/>
      <c r="S870" s="11"/>
    </row>
    <row r="871" spans="1:19" x14ac:dyDescent="0.25">
      <c r="A871" s="30" t="s">
        <v>30</v>
      </c>
      <c r="B871" s="31">
        <f t="shared" si="132"/>
        <v>46692</v>
      </c>
      <c r="C871" s="30">
        <f>YEAR(BInputReservoir[[#This Row],[Date]])</f>
        <v>2027</v>
      </c>
      <c r="D871" s="30">
        <f>MONTH(BInputReservoir[[#This Row],[Date]])</f>
        <v>11</v>
      </c>
      <c r="E871" s="30" t="str">
        <f>IF(I871&lt;&gt;1,"",DATA_INPUT!$M150)</f>
        <v/>
      </c>
      <c r="F871" s="30" t="str">
        <f>STORAGE_BALANCE_ENSEMBLE!BB150</f>
        <v/>
      </c>
      <c r="G871" s="30" t="str">
        <f>STORAGE_BALANCE_ENSEMBLE!BC150</f>
        <v/>
      </c>
      <c r="H871" s="30" t="str">
        <f>STORAGE_BALANCE_ENSEMBLE!BA150</f>
        <v/>
      </c>
      <c r="I871" s="18" t="str">
        <f t="shared" si="133"/>
        <v/>
      </c>
      <c r="J871" s="8" t="str">
        <f t="shared" si="124"/>
        <v/>
      </c>
      <c r="K871" s="9" t="str">
        <f t="shared" si="125"/>
        <v/>
      </c>
      <c r="L871" s="10" t="str">
        <f t="shared" si="126"/>
        <v/>
      </c>
      <c r="M871" s="10" t="str">
        <f>IF(I871&lt;&gt;1,"",IF(H871="","",H871/CONTROL_PANEL!$B$11))</f>
        <v/>
      </c>
      <c r="N871" s="9" t="str">
        <f t="shared" si="127"/>
        <v/>
      </c>
      <c r="O871" s="9" t="str">
        <f t="shared" si="128"/>
        <v/>
      </c>
      <c r="P871" s="9" t="str">
        <f t="shared" si="129"/>
        <v/>
      </c>
      <c r="Q871" s="9" t="str">
        <f t="shared" si="130"/>
        <v/>
      </c>
      <c r="R871" s="11"/>
      <c r="S871" s="11"/>
    </row>
    <row r="872" spans="1:19" x14ac:dyDescent="0.25">
      <c r="A872" s="30" t="s">
        <v>30</v>
      </c>
      <c r="B872" s="31">
        <f t="shared" si="132"/>
        <v>46722</v>
      </c>
      <c r="C872" s="30">
        <f>YEAR(BInputReservoir[[#This Row],[Date]])</f>
        <v>2027</v>
      </c>
      <c r="D872" s="30">
        <f>MONTH(BInputReservoir[[#This Row],[Date]])</f>
        <v>12</v>
      </c>
      <c r="E872" s="30" t="str">
        <f>IF(I872&lt;&gt;1,"",DATA_INPUT!$M151)</f>
        <v/>
      </c>
      <c r="F872" s="30" t="str">
        <f>STORAGE_BALANCE_ENSEMBLE!BB151</f>
        <v/>
      </c>
      <c r="G872" s="30" t="str">
        <f>STORAGE_BALANCE_ENSEMBLE!BC151</f>
        <v/>
      </c>
      <c r="H872" s="30" t="str">
        <f>STORAGE_BALANCE_ENSEMBLE!BA151</f>
        <v/>
      </c>
      <c r="I872" s="18" t="str">
        <f t="shared" si="133"/>
        <v/>
      </c>
      <c r="J872" s="8" t="str">
        <f t="shared" si="124"/>
        <v/>
      </c>
      <c r="K872" s="9" t="str">
        <f t="shared" si="125"/>
        <v/>
      </c>
      <c r="L872" s="10" t="str">
        <f t="shared" si="126"/>
        <v/>
      </c>
      <c r="M872" s="10" t="str">
        <f>IF(I872&lt;&gt;1,"",IF(H872="","",H872/CONTROL_PANEL!$B$11))</f>
        <v/>
      </c>
      <c r="N872" s="9" t="str">
        <f t="shared" si="127"/>
        <v/>
      </c>
      <c r="O872" s="9" t="str">
        <f t="shared" si="128"/>
        <v/>
      </c>
      <c r="P872" s="9" t="str">
        <f t="shared" si="129"/>
        <v/>
      </c>
      <c r="Q872" s="9" t="str">
        <f t="shared" si="130"/>
        <v/>
      </c>
      <c r="R872" s="11"/>
      <c r="S872" s="11"/>
    </row>
    <row r="873" spans="1:19" x14ac:dyDescent="0.25">
      <c r="A873" s="30" t="s">
        <v>30</v>
      </c>
      <c r="B873" s="31">
        <f t="shared" si="132"/>
        <v>46753</v>
      </c>
      <c r="C873" s="30">
        <f>YEAR(BInputReservoir[[#This Row],[Date]])</f>
        <v>2028</v>
      </c>
      <c r="D873" s="30">
        <f>MONTH(BInputReservoir[[#This Row],[Date]])</f>
        <v>1</v>
      </c>
      <c r="E873" s="30" t="str">
        <f>IF(I873&lt;&gt;1,"",DATA_INPUT!$M152)</f>
        <v/>
      </c>
      <c r="F873" s="30" t="str">
        <f>STORAGE_BALANCE_ENSEMBLE!BB152</f>
        <v/>
      </c>
      <c r="G873" s="30" t="str">
        <f>STORAGE_BALANCE_ENSEMBLE!BC152</f>
        <v/>
      </c>
      <c r="H873" s="30" t="str">
        <f>STORAGE_BALANCE_ENSEMBLE!BA152</f>
        <v/>
      </c>
      <c r="I873" s="18" t="str">
        <f t="shared" si="133"/>
        <v/>
      </c>
      <c r="J873" s="8" t="str">
        <f t="shared" si="124"/>
        <v/>
      </c>
      <c r="K873" s="9" t="str">
        <f t="shared" si="125"/>
        <v/>
      </c>
      <c r="L873" s="10" t="str">
        <f t="shared" si="126"/>
        <v/>
      </c>
      <c r="M873" s="10" t="str">
        <f>IF(I873&lt;&gt;1,"",IF(H873="","",H873/CONTROL_PANEL!$B$11))</f>
        <v/>
      </c>
      <c r="N873" s="9" t="str">
        <f t="shared" si="127"/>
        <v/>
      </c>
      <c r="O873" s="9" t="str">
        <f t="shared" si="128"/>
        <v/>
      </c>
      <c r="P873" s="9" t="str">
        <f t="shared" si="129"/>
        <v/>
      </c>
      <c r="Q873" s="9" t="str">
        <f t="shared" si="130"/>
        <v/>
      </c>
      <c r="R873" s="11"/>
      <c r="S873" s="11"/>
    </row>
    <row r="874" spans="1:19" x14ac:dyDescent="0.25">
      <c r="A874" s="30" t="s">
        <v>30</v>
      </c>
      <c r="B874" s="31">
        <f t="shared" si="132"/>
        <v>46784</v>
      </c>
      <c r="C874" s="30">
        <f>YEAR(BInputReservoir[[#This Row],[Date]])</f>
        <v>2028</v>
      </c>
      <c r="D874" s="30">
        <f>MONTH(BInputReservoir[[#This Row],[Date]])</f>
        <v>2</v>
      </c>
      <c r="E874" s="30" t="str">
        <f>IF(I874&lt;&gt;1,"",DATA_INPUT!$M153)</f>
        <v/>
      </c>
      <c r="F874" s="30" t="str">
        <f>STORAGE_BALANCE_ENSEMBLE!BB153</f>
        <v/>
      </c>
      <c r="G874" s="30" t="str">
        <f>STORAGE_BALANCE_ENSEMBLE!BC153</f>
        <v/>
      </c>
      <c r="H874" s="30" t="str">
        <f>STORAGE_BALANCE_ENSEMBLE!BA153</f>
        <v/>
      </c>
      <c r="I874" s="18" t="str">
        <f t="shared" si="133"/>
        <v/>
      </c>
      <c r="J874" s="8" t="str">
        <f t="shared" si="124"/>
        <v/>
      </c>
      <c r="K874" s="9" t="str">
        <f t="shared" si="125"/>
        <v/>
      </c>
      <c r="L874" s="10" t="str">
        <f t="shared" si="126"/>
        <v/>
      </c>
      <c r="M874" s="10" t="str">
        <f>IF(I874&lt;&gt;1,"",IF(H874="","",H874/CONTROL_PANEL!$B$11))</f>
        <v/>
      </c>
      <c r="N874" s="9" t="str">
        <f t="shared" si="127"/>
        <v/>
      </c>
      <c r="O874" s="9" t="str">
        <f t="shared" si="128"/>
        <v/>
      </c>
      <c r="P874" s="9" t="str">
        <f t="shared" si="129"/>
        <v/>
      </c>
      <c r="Q874" s="9" t="str">
        <f t="shared" si="130"/>
        <v/>
      </c>
      <c r="R874" s="11"/>
      <c r="S874" s="11"/>
    </row>
    <row r="875" spans="1:19" x14ac:dyDescent="0.25">
      <c r="A875" s="30" t="s">
        <v>30</v>
      </c>
      <c r="B875" s="31">
        <f t="shared" si="132"/>
        <v>46813</v>
      </c>
      <c r="C875" s="30">
        <f>YEAR(BInputReservoir[[#This Row],[Date]])</f>
        <v>2028</v>
      </c>
      <c r="D875" s="30">
        <f>MONTH(BInputReservoir[[#This Row],[Date]])</f>
        <v>3</v>
      </c>
      <c r="E875" s="30" t="str">
        <f>IF(I875&lt;&gt;1,"",DATA_INPUT!$M154)</f>
        <v/>
      </c>
      <c r="F875" s="30" t="str">
        <f>STORAGE_BALANCE_ENSEMBLE!BB154</f>
        <v/>
      </c>
      <c r="G875" s="30" t="str">
        <f>STORAGE_BALANCE_ENSEMBLE!BC154</f>
        <v/>
      </c>
      <c r="H875" s="30" t="str">
        <f>STORAGE_BALANCE_ENSEMBLE!BA154</f>
        <v/>
      </c>
      <c r="I875" s="18" t="str">
        <f t="shared" si="133"/>
        <v/>
      </c>
      <c r="J875" s="8" t="str">
        <f t="shared" si="124"/>
        <v/>
      </c>
      <c r="K875" s="9" t="str">
        <f t="shared" si="125"/>
        <v/>
      </c>
      <c r="L875" s="10" t="str">
        <f t="shared" si="126"/>
        <v/>
      </c>
      <c r="M875" s="10" t="str">
        <f>IF(I875&lt;&gt;1,"",IF(H875="","",H875/CONTROL_PANEL!$B$11))</f>
        <v/>
      </c>
      <c r="N875" s="9" t="str">
        <f t="shared" si="127"/>
        <v/>
      </c>
      <c r="O875" s="9" t="str">
        <f t="shared" si="128"/>
        <v/>
      </c>
      <c r="P875" s="9" t="str">
        <f t="shared" si="129"/>
        <v/>
      </c>
      <c r="Q875" s="9" t="str">
        <f t="shared" si="130"/>
        <v/>
      </c>
      <c r="R875" s="11"/>
      <c r="S875" s="11"/>
    </row>
    <row r="876" spans="1:19" x14ac:dyDescent="0.25">
      <c r="A876" s="30" t="s">
        <v>30</v>
      </c>
      <c r="B876" s="31">
        <f t="shared" si="132"/>
        <v>46844</v>
      </c>
      <c r="C876" s="30">
        <f>YEAR(BInputReservoir[[#This Row],[Date]])</f>
        <v>2028</v>
      </c>
      <c r="D876" s="30">
        <f>MONTH(BInputReservoir[[#This Row],[Date]])</f>
        <v>4</v>
      </c>
      <c r="E876" s="30" t="str">
        <f>IF(I876&lt;&gt;1,"",DATA_INPUT!$M155)</f>
        <v/>
      </c>
      <c r="F876" s="30" t="str">
        <f>STORAGE_BALANCE_ENSEMBLE!BB155</f>
        <v/>
      </c>
      <c r="G876" s="30" t="str">
        <f>STORAGE_BALANCE_ENSEMBLE!BC155</f>
        <v/>
      </c>
      <c r="H876" s="30" t="str">
        <f>STORAGE_BALANCE_ENSEMBLE!BA155</f>
        <v/>
      </c>
      <c r="I876" s="18" t="str">
        <f t="shared" si="133"/>
        <v/>
      </c>
      <c r="J876" s="8" t="str">
        <f t="shared" si="124"/>
        <v/>
      </c>
      <c r="K876" s="9" t="str">
        <f t="shared" si="125"/>
        <v/>
      </c>
      <c r="L876" s="10" t="str">
        <f t="shared" si="126"/>
        <v/>
      </c>
      <c r="M876" s="10" t="str">
        <f>IF(I876&lt;&gt;1,"",IF(H876="","",H876/CONTROL_PANEL!$B$11))</f>
        <v/>
      </c>
      <c r="N876" s="9" t="str">
        <f t="shared" si="127"/>
        <v/>
      </c>
      <c r="O876" s="9" t="str">
        <f t="shared" si="128"/>
        <v/>
      </c>
      <c r="P876" s="9" t="str">
        <f t="shared" si="129"/>
        <v/>
      </c>
      <c r="Q876" s="9" t="str">
        <f t="shared" si="130"/>
        <v/>
      </c>
      <c r="R876" s="11"/>
      <c r="S876" s="11"/>
    </row>
    <row r="877" spans="1:19" x14ac:dyDescent="0.25">
      <c r="A877" s="30" t="s">
        <v>30</v>
      </c>
      <c r="B877" s="31">
        <f t="shared" si="132"/>
        <v>46874</v>
      </c>
      <c r="C877" s="30">
        <f>YEAR(BInputReservoir[[#This Row],[Date]])</f>
        <v>2028</v>
      </c>
      <c r="D877" s="30">
        <f>MONTH(BInputReservoir[[#This Row],[Date]])</f>
        <v>5</v>
      </c>
      <c r="E877" s="30" t="str">
        <f>IF(I877&lt;&gt;1,"",DATA_INPUT!$M156)</f>
        <v/>
      </c>
      <c r="F877" s="30" t="str">
        <f>STORAGE_BALANCE_ENSEMBLE!BB156</f>
        <v/>
      </c>
      <c r="G877" s="30" t="str">
        <f>STORAGE_BALANCE_ENSEMBLE!BC156</f>
        <v/>
      </c>
      <c r="H877" s="30" t="str">
        <f>STORAGE_BALANCE_ENSEMBLE!BA156</f>
        <v/>
      </c>
      <c r="I877" s="18" t="str">
        <f t="shared" si="133"/>
        <v/>
      </c>
      <c r="J877" s="8" t="str">
        <f t="shared" si="124"/>
        <v/>
      </c>
      <c r="K877" s="9" t="str">
        <f t="shared" si="125"/>
        <v/>
      </c>
      <c r="L877" s="10" t="str">
        <f t="shared" si="126"/>
        <v/>
      </c>
      <c r="M877" s="10" t="str">
        <f>IF(I877&lt;&gt;1,"",IF(H877="","",H877/CONTROL_PANEL!$B$11))</f>
        <v/>
      </c>
      <c r="N877" s="9" t="str">
        <f t="shared" si="127"/>
        <v/>
      </c>
      <c r="O877" s="9" t="str">
        <f t="shared" si="128"/>
        <v/>
      </c>
      <c r="P877" s="9" t="str">
        <f t="shared" si="129"/>
        <v/>
      </c>
      <c r="Q877" s="9" t="str">
        <f t="shared" si="130"/>
        <v/>
      </c>
      <c r="R877" s="11"/>
      <c r="S877" s="11"/>
    </row>
    <row r="878" spans="1:19" x14ac:dyDescent="0.25">
      <c r="A878" s="30" t="s">
        <v>30</v>
      </c>
      <c r="B878" s="31">
        <f t="shared" si="132"/>
        <v>46905</v>
      </c>
      <c r="C878" s="30">
        <f>YEAR(BInputReservoir[[#This Row],[Date]])</f>
        <v>2028</v>
      </c>
      <c r="D878" s="30">
        <f>MONTH(BInputReservoir[[#This Row],[Date]])</f>
        <v>6</v>
      </c>
      <c r="E878" s="30" t="str">
        <f>IF(I878&lt;&gt;1,"",DATA_INPUT!$M157)</f>
        <v/>
      </c>
      <c r="F878" s="30" t="str">
        <f>STORAGE_BALANCE_ENSEMBLE!BB157</f>
        <v/>
      </c>
      <c r="G878" s="30" t="str">
        <f>STORAGE_BALANCE_ENSEMBLE!BC157</f>
        <v/>
      </c>
      <c r="H878" s="30" t="str">
        <f>STORAGE_BALANCE_ENSEMBLE!BA157</f>
        <v/>
      </c>
      <c r="I878" s="18" t="str">
        <f t="shared" si="133"/>
        <v/>
      </c>
      <c r="J878" s="8" t="str">
        <f t="shared" si="124"/>
        <v/>
      </c>
      <c r="K878" s="9" t="str">
        <f t="shared" si="125"/>
        <v/>
      </c>
      <c r="L878" s="10" t="str">
        <f t="shared" si="126"/>
        <v/>
      </c>
      <c r="M878" s="10" t="str">
        <f>IF(I878&lt;&gt;1,"",IF(H878="","",H878/CONTROL_PANEL!$B$11))</f>
        <v/>
      </c>
      <c r="N878" s="9" t="str">
        <f t="shared" si="127"/>
        <v/>
      </c>
      <c r="O878" s="9" t="str">
        <f t="shared" si="128"/>
        <v/>
      </c>
      <c r="P878" s="9" t="str">
        <f t="shared" si="129"/>
        <v/>
      </c>
      <c r="Q878" s="9" t="str">
        <f t="shared" si="130"/>
        <v/>
      </c>
      <c r="R878" s="11"/>
      <c r="S878" s="11"/>
    </row>
    <row r="879" spans="1:19" x14ac:dyDescent="0.25">
      <c r="A879" s="30" t="s">
        <v>30</v>
      </c>
      <c r="B879" s="31">
        <f t="shared" si="132"/>
        <v>46935</v>
      </c>
      <c r="C879" s="30">
        <f>YEAR(BInputReservoir[[#This Row],[Date]])</f>
        <v>2028</v>
      </c>
      <c r="D879" s="30">
        <f>MONTH(BInputReservoir[[#This Row],[Date]])</f>
        <v>7</v>
      </c>
      <c r="E879" s="30" t="str">
        <f>IF(I879&lt;&gt;1,"",DATA_INPUT!$M158)</f>
        <v/>
      </c>
      <c r="F879" s="30" t="str">
        <f>STORAGE_BALANCE_ENSEMBLE!BB158</f>
        <v/>
      </c>
      <c r="G879" s="30" t="str">
        <f>STORAGE_BALANCE_ENSEMBLE!BC158</f>
        <v/>
      </c>
      <c r="H879" s="30" t="str">
        <f>STORAGE_BALANCE_ENSEMBLE!BA158</f>
        <v/>
      </c>
      <c r="I879" s="18" t="str">
        <f t="shared" si="133"/>
        <v/>
      </c>
      <c r="J879" s="8" t="str">
        <f t="shared" si="124"/>
        <v/>
      </c>
      <c r="K879" s="9" t="str">
        <f t="shared" si="125"/>
        <v/>
      </c>
      <c r="L879" s="10" t="str">
        <f t="shared" si="126"/>
        <v/>
      </c>
      <c r="M879" s="10" t="str">
        <f>IF(I879&lt;&gt;1,"",IF(H879="","",H879/CONTROL_PANEL!$B$11))</f>
        <v/>
      </c>
      <c r="N879" s="9" t="str">
        <f t="shared" si="127"/>
        <v/>
      </c>
      <c r="O879" s="9" t="str">
        <f t="shared" si="128"/>
        <v/>
      </c>
      <c r="P879" s="9" t="str">
        <f t="shared" si="129"/>
        <v/>
      </c>
      <c r="Q879" s="9" t="str">
        <f t="shared" si="130"/>
        <v/>
      </c>
      <c r="R879" s="11"/>
      <c r="S879" s="11"/>
    </row>
    <row r="880" spans="1:19" x14ac:dyDescent="0.25">
      <c r="A880" s="30" t="s">
        <v>30</v>
      </c>
      <c r="B880" s="31">
        <f t="shared" si="132"/>
        <v>46966</v>
      </c>
      <c r="C880" s="30">
        <f>YEAR(BInputReservoir[[#This Row],[Date]])</f>
        <v>2028</v>
      </c>
      <c r="D880" s="30">
        <f>MONTH(BInputReservoir[[#This Row],[Date]])</f>
        <v>8</v>
      </c>
      <c r="E880" s="30" t="str">
        <f>IF(I880&lt;&gt;1,"",DATA_INPUT!$M159)</f>
        <v/>
      </c>
      <c r="F880" s="30" t="str">
        <f>STORAGE_BALANCE_ENSEMBLE!BB159</f>
        <v/>
      </c>
      <c r="G880" s="30" t="str">
        <f>STORAGE_BALANCE_ENSEMBLE!BC159</f>
        <v/>
      </c>
      <c r="H880" s="30" t="str">
        <f>STORAGE_BALANCE_ENSEMBLE!BA159</f>
        <v/>
      </c>
      <c r="I880" s="18" t="str">
        <f t="shared" si="133"/>
        <v/>
      </c>
      <c r="J880" s="8" t="str">
        <f t="shared" si="124"/>
        <v/>
      </c>
      <c r="K880" s="9" t="str">
        <f t="shared" si="125"/>
        <v/>
      </c>
      <c r="L880" s="10" t="str">
        <f t="shared" si="126"/>
        <v/>
      </c>
      <c r="M880" s="10" t="str">
        <f>IF(I880&lt;&gt;1,"",IF(H880="","",H880/CONTROL_PANEL!$B$11))</f>
        <v/>
      </c>
      <c r="N880" s="9" t="str">
        <f t="shared" si="127"/>
        <v/>
      </c>
      <c r="O880" s="9" t="str">
        <f t="shared" si="128"/>
        <v/>
      </c>
      <c r="P880" s="9" t="str">
        <f t="shared" si="129"/>
        <v/>
      </c>
      <c r="Q880" s="9" t="str">
        <f t="shared" si="130"/>
        <v/>
      </c>
      <c r="R880" s="11"/>
      <c r="S880" s="11"/>
    </row>
    <row r="881" spans="1:19" x14ac:dyDescent="0.25">
      <c r="A881" s="30" t="s">
        <v>30</v>
      </c>
      <c r="B881" s="31">
        <f t="shared" si="132"/>
        <v>46997</v>
      </c>
      <c r="C881" s="30">
        <f>YEAR(BInputReservoir[[#This Row],[Date]])</f>
        <v>2028</v>
      </c>
      <c r="D881" s="30">
        <f>MONTH(BInputReservoir[[#This Row],[Date]])</f>
        <v>9</v>
      </c>
      <c r="E881" s="30" t="str">
        <f>IF(I881&lt;&gt;1,"",DATA_INPUT!$M160)</f>
        <v/>
      </c>
      <c r="F881" s="30" t="str">
        <f>STORAGE_BALANCE_ENSEMBLE!BB160</f>
        <v/>
      </c>
      <c r="G881" s="30" t="str">
        <f>STORAGE_BALANCE_ENSEMBLE!BC160</f>
        <v/>
      </c>
      <c r="H881" s="30" t="str">
        <f>STORAGE_BALANCE_ENSEMBLE!BA160</f>
        <v/>
      </c>
      <c r="I881" s="18" t="str">
        <f t="shared" si="133"/>
        <v/>
      </c>
      <c r="J881" s="8" t="str">
        <f t="shared" si="124"/>
        <v/>
      </c>
      <c r="K881" s="9" t="str">
        <f t="shared" si="125"/>
        <v/>
      </c>
      <c r="L881" s="10" t="str">
        <f t="shared" si="126"/>
        <v/>
      </c>
      <c r="M881" s="10" t="str">
        <f>IF(I881&lt;&gt;1,"",IF(H881="","",H881/CONTROL_PANEL!$B$11))</f>
        <v/>
      </c>
      <c r="N881" s="9" t="str">
        <f t="shared" si="127"/>
        <v/>
      </c>
      <c r="O881" s="9" t="str">
        <f t="shared" si="128"/>
        <v/>
      </c>
      <c r="P881" s="9" t="str">
        <f t="shared" si="129"/>
        <v/>
      </c>
      <c r="Q881" s="9" t="str">
        <f t="shared" si="130"/>
        <v/>
      </c>
      <c r="R881" s="11"/>
      <c r="S881" s="11"/>
    </row>
    <row r="882" spans="1:19" x14ac:dyDescent="0.25">
      <c r="A882" s="30" t="s">
        <v>30</v>
      </c>
      <c r="B882" s="31">
        <f t="shared" si="132"/>
        <v>47027</v>
      </c>
      <c r="C882" s="30">
        <f>YEAR(BInputReservoir[[#This Row],[Date]])</f>
        <v>2028</v>
      </c>
      <c r="D882" s="30">
        <f>MONTH(BInputReservoir[[#This Row],[Date]])</f>
        <v>10</v>
      </c>
      <c r="E882" s="30" t="str">
        <f>IF(I882&lt;&gt;1,"",DATA_INPUT!$M161)</f>
        <v/>
      </c>
      <c r="F882" s="30" t="str">
        <f>STORAGE_BALANCE_ENSEMBLE!BB161</f>
        <v/>
      </c>
      <c r="G882" s="30" t="str">
        <f>STORAGE_BALANCE_ENSEMBLE!BC161</f>
        <v/>
      </c>
      <c r="H882" s="30" t="str">
        <f>STORAGE_BALANCE_ENSEMBLE!BA161</f>
        <v/>
      </c>
      <c r="I882" s="18" t="str">
        <f t="shared" si="133"/>
        <v/>
      </c>
      <c r="J882" s="8" t="str">
        <f t="shared" si="124"/>
        <v/>
      </c>
      <c r="K882" s="9" t="str">
        <f t="shared" si="125"/>
        <v/>
      </c>
      <c r="L882" s="10" t="str">
        <f t="shared" si="126"/>
        <v/>
      </c>
      <c r="M882" s="10" t="str">
        <f>IF(I882&lt;&gt;1,"",IF(H882="","",H882/CONTROL_PANEL!$B$11))</f>
        <v/>
      </c>
      <c r="N882" s="9" t="str">
        <f t="shared" si="127"/>
        <v/>
      </c>
      <c r="O882" s="9" t="str">
        <f t="shared" si="128"/>
        <v/>
      </c>
      <c r="P882" s="9" t="str">
        <f t="shared" si="129"/>
        <v/>
      </c>
      <c r="Q882" s="9" t="str">
        <f t="shared" si="130"/>
        <v/>
      </c>
      <c r="R882" s="11"/>
      <c r="S882" s="11"/>
    </row>
    <row r="883" spans="1:19" x14ac:dyDescent="0.25">
      <c r="A883" s="30" t="s">
        <v>30</v>
      </c>
      <c r="B883" s="31">
        <f t="shared" si="132"/>
        <v>47058</v>
      </c>
      <c r="C883" s="30">
        <f>YEAR(BInputReservoir[[#This Row],[Date]])</f>
        <v>2028</v>
      </c>
      <c r="D883" s="30">
        <f>MONTH(BInputReservoir[[#This Row],[Date]])</f>
        <v>11</v>
      </c>
      <c r="E883" s="30" t="str">
        <f>IF(I883&lt;&gt;1,"",DATA_INPUT!$M162)</f>
        <v/>
      </c>
      <c r="F883" s="30" t="str">
        <f>STORAGE_BALANCE_ENSEMBLE!BB162</f>
        <v/>
      </c>
      <c r="G883" s="30" t="str">
        <f>STORAGE_BALANCE_ENSEMBLE!BC162</f>
        <v/>
      </c>
      <c r="H883" s="30" t="str">
        <f>STORAGE_BALANCE_ENSEMBLE!BA162</f>
        <v/>
      </c>
      <c r="I883" s="18" t="str">
        <f t="shared" si="133"/>
        <v/>
      </c>
      <c r="J883" s="8" t="str">
        <f t="shared" si="124"/>
        <v/>
      </c>
      <c r="K883" s="9" t="str">
        <f t="shared" si="125"/>
        <v/>
      </c>
      <c r="L883" s="10" t="str">
        <f t="shared" si="126"/>
        <v/>
      </c>
      <c r="M883" s="10" t="str">
        <f>IF(I883&lt;&gt;1,"",IF(H883="","",H883/CONTROL_PANEL!$B$11))</f>
        <v/>
      </c>
      <c r="N883" s="9" t="str">
        <f t="shared" si="127"/>
        <v/>
      </c>
      <c r="O883" s="9" t="str">
        <f t="shared" si="128"/>
        <v/>
      </c>
      <c r="P883" s="9" t="str">
        <f t="shared" si="129"/>
        <v/>
      </c>
      <c r="Q883" s="9" t="str">
        <f t="shared" si="130"/>
        <v/>
      </c>
      <c r="R883" s="11"/>
      <c r="S883" s="11"/>
    </row>
    <row r="884" spans="1:19" x14ac:dyDescent="0.25">
      <c r="A884" s="30" t="s">
        <v>30</v>
      </c>
      <c r="B884" s="31">
        <f t="shared" si="132"/>
        <v>47088</v>
      </c>
      <c r="C884" s="30">
        <f>YEAR(BInputReservoir[[#This Row],[Date]])</f>
        <v>2028</v>
      </c>
      <c r="D884" s="30">
        <f>MONTH(BInputReservoir[[#This Row],[Date]])</f>
        <v>12</v>
      </c>
      <c r="E884" s="30" t="str">
        <f>IF(I884&lt;&gt;1,"",DATA_INPUT!$M163)</f>
        <v/>
      </c>
      <c r="F884" s="30" t="str">
        <f>STORAGE_BALANCE_ENSEMBLE!BB163</f>
        <v/>
      </c>
      <c r="G884" s="30" t="str">
        <f>STORAGE_BALANCE_ENSEMBLE!BC163</f>
        <v/>
      </c>
      <c r="H884" s="30" t="str">
        <f>STORAGE_BALANCE_ENSEMBLE!BA163</f>
        <v/>
      </c>
      <c r="I884" s="18" t="str">
        <f t="shared" si="133"/>
        <v/>
      </c>
      <c r="J884" s="8" t="str">
        <f t="shared" si="124"/>
        <v/>
      </c>
      <c r="K884" s="9" t="str">
        <f t="shared" si="125"/>
        <v/>
      </c>
      <c r="L884" s="10" t="str">
        <f t="shared" si="126"/>
        <v/>
      </c>
      <c r="M884" s="10" t="str">
        <f>IF(I884&lt;&gt;1,"",IF(H884="","",H884/CONTROL_PANEL!$B$11))</f>
        <v/>
      </c>
      <c r="N884" s="9" t="str">
        <f t="shared" si="127"/>
        <v/>
      </c>
      <c r="O884" s="9" t="str">
        <f t="shared" si="128"/>
        <v/>
      </c>
      <c r="P884" s="9" t="str">
        <f t="shared" si="129"/>
        <v/>
      </c>
      <c r="Q884" s="9" t="str">
        <f t="shared" si="130"/>
        <v/>
      </c>
      <c r="R884" s="11"/>
      <c r="S884" s="11"/>
    </row>
    <row r="885" spans="1:19" x14ac:dyDescent="0.25">
      <c r="A885" s="30" t="s">
        <v>30</v>
      </c>
      <c r="B885" s="31">
        <f t="shared" si="132"/>
        <v>47119</v>
      </c>
      <c r="C885" s="30">
        <f>YEAR(BInputReservoir[[#This Row],[Date]])</f>
        <v>2029</v>
      </c>
      <c r="D885" s="30">
        <f>MONTH(BInputReservoir[[#This Row],[Date]])</f>
        <v>1</v>
      </c>
      <c r="E885" s="30" t="str">
        <f>IF(I885&lt;&gt;1,"",DATA_INPUT!$M164)</f>
        <v/>
      </c>
      <c r="F885" s="30" t="str">
        <f>STORAGE_BALANCE_ENSEMBLE!BB164</f>
        <v/>
      </c>
      <c r="G885" s="30" t="str">
        <f>STORAGE_BALANCE_ENSEMBLE!BC164</f>
        <v/>
      </c>
      <c r="H885" s="30" t="str">
        <f>STORAGE_BALANCE_ENSEMBLE!BA164</f>
        <v/>
      </c>
      <c r="I885" s="18" t="str">
        <f t="shared" si="133"/>
        <v/>
      </c>
      <c r="J885" s="8" t="str">
        <f t="shared" si="124"/>
        <v/>
      </c>
      <c r="K885" s="9" t="str">
        <f t="shared" si="125"/>
        <v/>
      </c>
      <c r="L885" s="10" t="str">
        <f t="shared" si="126"/>
        <v/>
      </c>
      <c r="M885" s="10" t="str">
        <f>IF(I885&lt;&gt;1,"",IF(H885="","",H885/CONTROL_PANEL!$B$11))</f>
        <v/>
      </c>
      <c r="N885" s="9" t="str">
        <f t="shared" si="127"/>
        <v/>
      </c>
      <c r="O885" s="9" t="str">
        <f t="shared" si="128"/>
        <v/>
      </c>
      <c r="P885" s="9" t="str">
        <f t="shared" si="129"/>
        <v/>
      </c>
      <c r="Q885" s="9" t="str">
        <f t="shared" si="130"/>
        <v/>
      </c>
      <c r="R885" s="11"/>
      <c r="S885" s="11"/>
    </row>
    <row r="886" spans="1:19" x14ac:dyDescent="0.25">
      <c r="A886" s="30" t="s">
        <v>30</v>
      </c>
      <c r="B886" s="31">
        <f t="shared" si="132"/>
        <v>47150</v>
      </c>
      <c r="C886" s="30">
        <f>YEAR(BInputReservoir[[#This Row],[Date]])</f>
        <v>2029</v>
      </c>
      <c r="D886" s="30">
        <f>MONTH(BInputReservoir[[#This Row],[Date]])</f>
        <v>2</v>
      </c>
      <c r="E886" s="30" t="str">
        <f>IF(I886&lt;&gt;1,"",DATA_INPUT!$M165)</f>
        <v/>
      </c>
      <c r="F886" s="30" t="str">
        <f>STORAGE_BALANCE_ENSEMBLE!BB165</f>
        <v/>
      </c>
      <c r="G886" s="30" t="str">
        <f>STORAGE_BALANCE_ENSEMBLE!BC165</f>
        <v/>
      </c>
      <c r="H886" s="30" t="str">
        <f>STORAGE_BALANCE_ENSEMBLE!BA165</f>
        <v/>
      </c>
      <c r="I886" s="18" t="str">
        <f t="shared" si="133"/>
        <v/>
      </c>
      <c r="J886" s="8" t="str">
        <f t="shared" si="124"/>
        <v/>
      </c>
      <c r="K886" s="9" t="str">
        <f t="shared" si="125"/>
        <v/>
      </c>
      <c r="L886" s="10" t="str">
        <f t="shared" si="126"/>
        <v/>
      </c>
      <c r="M886" s="10" t="str">
        <f>IF(I886&lt;&gt;1,"",IF(H886="","",H886/CONTROL_PANEL!$B$11))</f>
        <v/>
      </c>
      <c r="N886" s="9" t="str">
        <f t="shared" si="127"/>
        <v/>
      </c>
      <c r="O886" s="9" t="str">
        <f t="shared" si="128"/>
        <v/>
      </c>
      <c r="P886" s="9" t="str">
        <f t="shared" si="129"/>
        <v/>
      </c>
      <c r="Q886" s="9" t="str">
        <f t="shared" si="130"/>
        <v/>
      </c>
      <c r="R886" s="11"/>
      <c r="S886" s="11"/>
    </row>
    <row r="887" spans="1:19" x14ac:dyDescent="0.25">
      <c r="A887" s="30" t="s">
        <v>30</v>
      </c>
      <c r="B887" s="31">
        <f t="shared" si="132"/>
        <v>47178</v>
      </c>
      <c r="C887" s="30">
        <f>YEAR(BInputReservoir[[#This Row],[Date]])</f>
        <v>2029</v>
      </c>
      <c r="D887" s="30">
        <f>MONTH(BInputReservoir[[#This Row],[Date]])</f>
        <v>3</v>
      </c>
      <c r="E887" s="30" t="str">
        <f>IF(I887&lt;&gt;1,"",DATA_INPUT!$M166)</f>
        <v/>
      </c>
      <c r="F887" s="30" t="str">
        <f>STORAGE_BALANCE_ENSEMBLE!BB166</f>
        <v/>
      </c>
      <c r="G887" s="30" t="str">
        <f>STORAGE_BALANCE_ENSEMBLE!BC166</f>
        <v/>
      </c>
      <c r="H887" s="30" t="str">
        <f>STORAGE_BALANCE_ENSEMBLE!BA166</f>
        <v/>
      </c>
      <c r="I887" s="18" t="str">
        <f t="shared" si="133"/>
        <v/>
      </c>
      <c r="J887" s="8" t="str">
        <f t="shared" si="124"/>
        <v/>
      </c>
      <c r="K887" s="9" t="str">
        <f t="shared" si="125"/>
        <v/>
      </c>
      <c r="L887" s="10" t="str">
        <f t="shared" si="126"/>
        <v/>
      </c>
      <c r="M887" s="10" t="str">
        <f>IF(I887&lt;&gt;1,"",IF(H887="","",H887/CONTROL_PANEL!$B$11))</f>
        <v/>
      </c>
      <c r="N887" s="9" t="str">
        <f t="shared" si="127"/>
        <v/>
      </c>
      <c r="O887" s="9" t="str">
        <f t="shared" si="128"/>
        <v/>
      </c>
      <c r="P887" s="9" t="str">
        <f t="shared" si="129"/>
        <v/>
      </c>
      <c r="Q887" s="9" t="str">
        <f t="shared" si="130"/>
        <v/>
      </c>
      <c r="R887" s="11"/>
      <c r="S887" s="11"/>
    </row>
    <row r="888" spans="1:19" x14ac:dyDescent="0.25">
      <c r="A888" s="30" t="s">
        <v>30</v>
      </c>
      <c r="B888" s="31">
        <f t="shared" si="132"/>
        <v>47209</v>
      </c>
      <c r="C888" s="30">
        <f>YEAR(BInputReservoir[[#This Row],[Date]])</f>
        <v>2029</v>
      </c>
      <c r="D888" s="30">
        <f>MONTH(BInputReservoir[[#This Row],[Date]])</f>
        <v>4</v>
      </c>
      <c r="E888" s="30" t="str">
        <f>IF(I888&lt;&gt;1,"",DATA_INPUT!$M167)</f>
        <v/>
      </c>
      <c r="F888" s="30" t="str">
        <f>STORAGE_BALANCE_ENSEMBLE!BB167</f>
        <v/>
      </c>
      <c r="G888" s="30" t="str">
        <f>STORAGE_BALANCE_ENSEMBLE!BC167</f>
        <v/>
      </c>
      <c r="H888" s="30" t="str">
        <f>STORAGE_BALANCE_ENSEMBLE!BA167</f>
        <v/>
      </c>
      <c r="I888" s="18" t="str">
        <f t="shared" si="133"/>
        <v/>
      </c>
      <c r="J888" s="8" t="str">
        <f t="shared" si="124"/>
        <v/>
      </c>
      <c r="K888" s="9" t="str">
        <f t="shared" si="125"/>
        <v/>
      </c>
      <c r="L888" s="10" t="str">
        <f t="shared" si="126"/>
        <v/>
      </c>
      <c r="M888" s="10" t="str">
        <f>IF(I888&lt;&gt;1,"",IF(H888="","",H888/CONTROL_PANEL!$B$11))</f>
        <v/>
      </c>
      <c r="N888" s="9" t="str">
        <f t="shared" si="127"/>
        <v/>
      </c>
      <c r="O888" s="9" t="str">
        <f t="shared" si="128"/>
        <v/>
      </c>
      <c r="P888" s="9" t="str">
        <f t="shared" si="129"/>
        <v/>
      </c>
      <c r="Q888" s="9" t="str">
        <f t="shared" si="130"/>
        <v/>
      </c>
      <c r="R888" s="11"/>
      <c r="S888" s="11"/>
    </row>
    <row r="889" spans="1:19" x14ac:dyDescent="0.25">
      <c r="A889" s="30" t="s">
        <v>30</v>
      </c>
      <c r="B889" s="31">
        <f t="shared" si="132"/>
        <v>47239</v>
      </c>
      <c r="C889" s="30">
        <f>YEAR(BInputReservoir[[#This Row],[Date]])</f>
        <v>2029</v>
      </c>
      <c r="D889" s="30">
        <f>MONTH(BInputReservoir[[#This Row],[Date]])</f>
        <v>5</v>
      </c>
      <c r="E889" s="30" t="str">
        <f>IF(I889&lt;&gt;1,"",DATA_INPUT!$M168)</f>
        <v/>
      </c>
      <c r="F889" s="30" t="str">
        <f>STORAGE_BALANCE_ENSEMBLE!BB168</f>
        <v/>
      </c>
      <c r="G889" s="30" t="str">
        <f>STORAGE_BALANCE_ENSEMBLE!BC168</f>
        <v/>
      </c>
      <c r="H889" s="30" t="str">
        <f>STORAGE_BALANCE_ENSEMBLE!BA168</f>
        <v/>
      </c>
      <c r="I889" s="18" t="str">
        <f t="shared" si="133"/>
        <v/>
      </c>
      <c r="J889" s="8" t="str">
        <f t="shared" si="124"/>
        <v/>
      </c>
      <c r="K889" s="9" t="str">
        <f t="shared" si="125"/>
        <v/>
      </c>
      <c r="L889" s="10" t="str">
        <f t="shared" si="126"/>
        <v/>
      </c>
      <c r="M889" s="10" t="str">
        <f>IF(I889&lt;&gt;1,"",IF(H889="","",H889/CONTROL_PANEL!$B$11))</f>
        <v/>
      </c>
      <c r="N889" s="9" t="str">
        <f t="shared" si="127"/>
        <v/>
      </c>
      <c r="O889" s="9" t="str">
        <f t="shared" si="128"/>
        <v/>
      </c>
      <c r="P889" s="9" t="str">
        <f t="shared" si="129"/>
        <v/>
      </c>
      <c r="Q889" s="9" t="str">
        <f t="shared" si="130"/>
        <v/>
      </c>
      <c r="R889" s="11"/>
      <c r="S889" s="11"/>
    </row>
    <row r="890" spans="1:19" x14ac:dyDescent="0.25">
      <c r="A890" s="30" t="s">
        <v>30</v>
      </c>
      <c r="B890" s="31">
        <f t="shared" si="132"/>
        <v>47270</v>
      </c>
      <c r="C890" s="30">
        <f>YEAR(BInputReservoir[[#This Row],[Date]])</f>
        <v>2029</v>
      </c>
      <c r="D890" s="30">
        <f>MONTH(BInputReservoir[[#This Row],[Date]])</f>
        <v>6</v>
      </c>
      <c r="E890" s="30" t="str">
        <f>IF(I890&lt;&gt;1,"",DATA_INPUT!$M169)</f>
        <v/>
      </c>
      <c r="F890" s="30" t="str">
        <f>STORAGE_BALANCE_ENSEMBLE!BB169</f>
        <v/>
      </c>
      <c r="G890" s="30" t="str">
        <f>STORAGE_BALANCE_ENSEMBLE!BC169</f>
        <v/>
      </c>
      <c r="H890" s="30" t="str">
        <f>STORAGE_BALANCE_ENSEMBLE!BA169</f>
        <v/>
      </c>
      <c r="I890" s="18" t="str">
        <f t="shared" si="133"/>
        <v/>
      </c>
      <c r="J890" s="8" t="str">
        <f t="shared" si="124"/>
        <v/>
      </c>
      <c r="K890" s="9" t="str">
        <f t="shared" si="125"/>
        <v/>
      </c>
      <c r="L890" s="10" t="str">
        <f t="shared" si="126"/>
        <v/>
      </c>
      <c r="M890" s="10" t="str">
        <f>IF(I890&lt;&gt;1,"",IF(H890="","",H890/CONTROL_PANEL!$B$11))</f>
        <v/>
      </c>
      <c r="N890" s="9" t="str">
        <f t="shared" si="127"/>
        <v/>
      </c>
      <c r="O890" s="9" t="str">
        <f t="shared" si="128"/>
        <v/>
      </c>
      <c r="P890" s="9" t="str">
        <f t="shared" si="129"/>
        <v/>
      </c>
      <c r="Q890" s="9" t="str">
        <f t="shared" si="130"/>
        <v/>
      </c>
      <c r="R890" s="11"/>
      <c r="S890" s="11"/>
    </row>
    <row r="891" spans="1:19" x14ac:dyDescent="0.25">
      <c r="A891" s="30" t="s">
        <v>30</v>
      </c>
      <c r="B891" s="31">
        <f t="shared" si="132"/>
        <v>47300</v>
      </c>
      <c r="C891" s="30">
        <f>YEAR(BInputReservoir[[#This Row],[Date]])</f>
        <v>2029</v>
      </c>
      <c r="D891" s="30">
        <f>MONTH(BInputReservoir[[#This Row],[Date]])</f>
        <v>7</v>
      </c>
      <c r="E891" s="30" t="str">
        <f>IF(I891&lt;&gt;1,"",DATA_INPUT!$M170)</f>
        <v/>
      </c>
      <c r="F891" s="30" t="str">
        <f>STORAGE_BALANCE_ENSEMBLE!BB170</f>
        <v/>
      </c>
      <c r="G891" s="30" t="str">
        <f>STORAGE_BALANCE_ENSEMBLE!BC170</f>
        <v/>
      </c>
      <c r="H891" s="30" t="str">
        <f>STORAGE_BALANCE_ENSEMBLE!BA170</f>
        <v/>
      </c>
      <c r="I891" s="18" t="str">
        <f t="shared" si="133"/>
        <v/>
      </c>
      <c r="J891" s="8" t="str">
        <f t="shared" si="124"/>
        <v/>
      </c>
      <c r="K891" s="9" t="str">
        <f t="shared" si="125"/>
        <v/>
      </c>
      <c r="L891" s="10" t="str">
        <f t="shared" si="126"/>
        <v/>
      </c>
      <c r="M891" s="10" t="str">
        <f>IF(I891&lt;&gt;1,"",IF(H891="","",H891/CONTROL_PANEL!$B$11))</f>
        <v/>
      </c>
      <c r="N891" s="9" t="str">
        <f t="shared" si="127"/>
        <v/>
      </c>
      <c r="O891" s="9" t="str">
        <f t="shared" si="128"/>
        <v/>
      </c>
      <c r="P891" s="9" t="str">
        <f t="shared" si="129"/>
        <v/>
      </c>
      <c r="Q891" s="9" t="str">
        <f t="shared" si="130"/>
        <v/>
      </c>
      <c r="R891" s="11"/>
      <c r="S891" s="11"/>
    </row>
    <row r="892" spans="1:19" x14ac:dyDescent="0.25">
      <c r="A892" s="30" t="s">
        <v>30</v>
      </c>
      <c r="B892" s="31">
        <f t="shared" si="132"/>
        <v>47331</v>
      </c>
      <c r="C892" s="30">
        <f>YEAR(BInputReservoir[[#This Row],[Date]])</f>
        <v>2029</v>
      </c>
      <c r="D892" s="30">
        <f>MONTH(BInputReservoir[[#This Row],[Date]])</f>
        <v>8</v>
      </c>
      <c r="E892" s="30" t="str">
        <f>IF(I892&lt;&gt;1,"",DATA_INPUT!$M171)</f>
        <v/>
      </c>
      <c r="F892" s="30" t="str">
        <f>STORAGE_BALANCE_ENSEMBLE!BB171</f>
        <v/>
      </c>
      <c r="G892" s="30" t="str">
        <f>STORAGE_BALANCE_ENSEMBLE!BC171</f>
        <v/>
      </c>
      <c r="H892" s="30" t="str">
        <f>STORAGE_BALANCE_ENSEMBLE!BA171</f>
        <v/>
      </c>
      <c r="I892" s="18" t="str">
        <f t="shared" si="133"/>
        <v/>
      </c>
      <c r="J892" s="8" t="str">
        <f t="shared" si="124"/>
        <v/>
      </c>
      <c r="K892" s="9" t="str">
        <f t="shared" si="125"/>
        <v/>
      </c>
      <c r="L892" s="10" t="str">
        <f t="shared" si="126"/>
        <v/>
      </c>
      <c r="M892" s="10" t="str">
        <f>IF(I892&lt;&gt;1,"",IF(H892="","",H892/CONTROL_PANEL!$B$11))</f>
        <v/>
      </c>
      <c r="N892" s="9" t="str">
        <f t="shared" si="127"/>
        <v/>
      </c>
      <c r="O892" s="9" t="str">
        <f t="shared" si="128"/>
        <v/>
      </c>
      <c r="P892" s="9" t="str">
        <f t="shared" si="129"/>
        <v/>
      </c>
      <c r="Q892" s="9" t="str">
        <f t="shared" si="130"/>
        <v/>
      </c>
      <c r="R892" s="11"/>
      <c r="S892" s="11"/>
    </row>
    <row r="893" spans="1:19" x14ac:dyDescent="0.25">
      <c r="A893" s="30" t="s">
        <v>30</v>
      </c>
      <c r="B893" s="31">
        <f t="shared" si="132"/>
        <v>47362</v>
      </c>
      <c r="C893" s="30">
        <f>YEAR(BInputReservoir[[#This Row],[Date]])</f>
        <v>2029</v>
      </c>
      <c r="D893" s="30">
        <f>MONTH(BInputReservoir[[#This Row],[Date]])</f>
        <v>9</v>
      </c>
      <c r="E893" s="30" t="str">
        <f>IF(I893&lt;&gt;1,"",DATA_INPUT!$M172)</f>
        <v/>
      </c>
      <c r="F893" s="30" t="str">
        <f>STORAGE_BALANCE_ENSEMBLE!BB172</f>
        <v/>
      </c>
      <c r="G893" s="30" t="str">
        <f>STORAGE_BALANCE_ENSEMBLE!BC172</f>
        <v/>
      </c>
      <c r="H893" s="30" t="str">
        <f>STORAGE_BALANCE_ENSEMBLE!BA172</f>
        <v/>
      </c>
      <c r="I893" s="18" t="str">
        <f t="shared" si="133"/>
        <v/>
      </c>
      <c r="J893" s="8" t="str">
        <f t="shared" si="124"/>
        <v/>
      </c>
      <c r="K893" s="9" t="str">
        <f t="shared" si="125"/>
        <v/>
      </c>
      <c r="L893" s="10" t="str">
        <f t="shared" si="126"/>
        <v/>
      </c>
      <c r="M893" s="10" t="str">
        <f>IF(I893&lt;&gt;1,"",IF(H893="","",H893/CONTROL_PANEL!$B$11))</f>
        <v/>
      </c>
      <c r="N893" s="9" t="str">
        <f t="shared" si="127"/>
        <v/>
      </c>
      <c r="O893" s="9" t="str">
        <f t="shared" si="128"/>
        <v/>
      </c>
      <c r="P893" s="9" t="str">
        <f t="shared" si="129"/>
        <v/>
      </c>
      <c r="Q893" s="9" t="str">
        <f t="shared" si="130"/>
        <v/>
      </c>
      <c r="R893" s="11"/>
      <c r="S893" s="11"/>
    </row>
    <row r="894" spans="1:19" x14ac:dyDescent="0.25">
      <c r="A894" s="30" t="s">
        <v>30</v>
      </c>
      <c r="B894" s="31">
        <f t="shared" si="132"/>
        <v>47392</v>
      </c>
      <c r="C894" s="30">
        <f>YEAR(BInputReservoir[[#This Row],[Date]])</f>
        <v>2029</v>
      </c>
      <c r="D894" s="30">
        <f>MONTH(BInputReservoir[[#This Row],[Date]])</f>
        <v>10</v>
      </c>
      <c r="E894" s="30" t="str">
        <f>IF(I894&lt;&gt;1,"",DATA_INPUT!$M173)</f>
        <v/>
      </c>
      <c r="F894" s="30" t="str">
        <f>STORAGE_BALANCE_ENSEMBLE!BB173</f>
        <v/>
      </c>
      <c r="G894" s="30" t="str">
        <f>STORAGE_BALANCE_ENSEMBLE!BC173</f>
        <v/>
      </c>
      <c r="H894" s="30" t="str">
        <f>STORAGE_BALANCE_ENSEMBLE!BA173</f>
        <v/>
      </c>
      <c r="I894" s="18" t="str">
        <f t="shared" si="133"/>
        <v/>
      </c>
      <c r="J894" s="8" t="str">
        <f t="shared" si="124"/>
        <v/>
      </c>
      <c r="K894" s="9" t="str">
        <f t="shared" si="125"/>
        <v/>
      </c>
      <c r="L894" s="10" t="str">
        <f t="shared" si="126"/>
        <v/>
      </c>
      <c r="M894" s="10" t="str">
        <f>IF(I894&lt;&gt;1,"",IF(H894="","",H894/CONTROL_PANEL!$B$11))</f>
        <v/>
      </c>
      <c r="N894" s="9" t="str">
        <f t="shared" si="127"/>
        <v/>
      </c>
      <c r="O894" s="9" t="str">
        <f t="shared" si="128"/>
        <v/>
      </c>
      <c r="P894" s="9" t="str">
        <f t="shared" si="129"/>
        <v/>
      </c>
      <c r="Q894" s="9" t="str">
        <f t="shared" si="130"/>
        <v/>
      </c>
      <c r="R894" s="11"/>
      <c r="S894" s="11"/>
    </row>
    <row r="895" spans="1:19" x14ac:dyDescent="0.25">
      <c r="A895" s="30" t="s">
        <v>30</v>
      </c>
      <c r="B895" s="31">
        <f t="shared" si="132"/>
        <v>47423</v>
      </c>
      <c r="C895" s="30">
        <f>YEAR(BInputReservoir[[#This Row],[Date]])</f>
        <v>2029</v>
      </c>
      <c r="D895" s="30">
        <f>MONTH(BInputReservoir[[#This Row],[Date]])</f>
        <v>11</v>
      </c>
      <c r="E895" s="30" t="str">
        <f>IF(I895&lt;&gt;1,"",DATA_INPUT!$M174)</f>
        <v/>
      </c>
      <c r="F895" s="30" t="str">
        <f>STORAGE_BALANCE_ENSEMBLE!BB174</f>
        <v/>
      </c>
      <c r="G895" s="30" t="str">
        <f>STORAGE_BALANCE_ENSEMBLE!BC174</f>
        <v/>
      </c>
      <c r="H895" s="30" t="str">
        <f>STORAGE_BALANCE_ENSEMBLE!BA174</f>
        <v/>
      </c>
      <c r="I895" s="18" t="str">
        <f t="shared" si="133"/>
        <v/>
      </c>
      <c r="J895" s="8" t="str">
        <f t="shared" si="124"/>
        <v/>
      </c>
      <c r="K895" s="9" t="str">
        <f t="shared" si="125"/>
        <v/>
      </c>
      <c r="L895" s="10" t="str">
        <f t="shared" si="126"/>
        <v/>
      </c>
      <c r="M895" s="10" t="str">
        <f>IF(I895&lt;&gt;1,"",IF(H895="","",H895/CONTROL_PANEL!$B$11))</f>
        <v/>
      </c>
      <c r="N895" s="9" t="str">
        <f t="shared" si="127"/>
        <v/>
      </c>
      <c r="O895" s="9" t="str">
        <f t="shared" si="128"/>
        <v/>
      </c>
      <c r="P895" s="9" t="str">
        <f t="shared" si="129"/>
        <v/>
      </c>
      <c r="Q895" s="9" t="str">
        <f t="shared" si="130"/>
        <v/>
      </c>
      <c r="R895" s="11"/>
      <c r="S895" s="11"/>
    </row>
    <row r="896" spans="1:19" x14ac:dyDescent="0.25">
      <c r="A896" s="30" t="s">
        <v>30</v>
      </c>
      <c r="B896" s="31">
        <f t="shared" si="132"/>
        <v>47453</v>
      </c>
      <c r="C896" s="30">
        <f>YEAR(BInputReservoir[[#This Row],[Date]])</f>
        <v>2029</v>
      </c>
      <c r="D896" s="30">
        <f>MONTH(BInputReservoir[[#This Row],[Date]])</f>
        <v>12</v>
      </c>
      <c r="E896" s="30" t="str">
        <f>IF(I896&lt;&gt;1,"",DATA_INPUT!$M175)</f>
        <v/>
      </c>
      <c r="F896" s="30" t="str">
        <f>STORAGE_BALANCE_ENSEMBLE!BB175</f>
        <v/>
      </c>
      <c r="G896" s="30" t="str">
        <f>STORAGE_BALANCE_ENSEMBLE!BC175</f>
        <v/>
      </c>
      <c r="H896" s="30" t="str">
        <f>STORAGE_BALANCE_ENSEMBLE!BA175</f>
        <v/>
      </c>
      <c r="I896" s="18" t="str">
        <f t="shared" si="133"/>
        <v/>
      </c>
      <c r="J896" s="8" t="str">
        <f t="shared" si="124"/>
        <v/>
      </c>
      <c r="K896" s="9" t="str">
        <f t="shared" si="125"/>
        <v/>
      </c>
      <c r="L896" s="10" t="str">
        <f t="shared" si="126"/>
        <v/>
      </c>
      <c r="M896" s="10" t="str">
        <f>IF(I896&lt;&gt;1,"",IF(H896="","",H896/CONTROL_PANEL!$B$11))</f>
        <v/>
      </c>
      <c r="N896" s="9" t="str">
        <f t="shared" si="127"/>
        <v/>
      </c>
      <c r="O896" s="9" t="str">
        <f t="shared" si="128"/>
        <v/>
      </c>
      <c r="P896" s="9" t="str">
        <f t="shared" si="129"/>
        <v/>
      </c>
      <c r="Q896" s="9" t="str">
        <f t="shared" si="130"/>
        <v/>
      </c>
      <c r="R896" s="11"/>
      <c r="S896" s="11"/>
    </row>
    <row r="897" spans="1:19" x14ac:dyDescent="0.25">
      <c r="A897" s="30" t="s">
        <v>30</v>
      </c>
      <c r="B897" s="31">
        <f t="shared" si="132"/>
        <v>47484</v>
      </c>
      <c r="C897" s="30">
        <f>YEAR(BInputReservoir[[#This Row],[Date]])</f>
        <v>2030</v>
      </c>
      <c r="D897" s="30">
        <f>MONTH(BInputReservoir[[#This Row],[Date]])</f>
        <v>1</v>
      </c>
      <c r="E897" s="30" t="str">
        <f>IF(I897&lt;&gt;1,"",DATA_INPUT!$M176)</f>
        <v/>
      </c>
      <c r="F897" s="30" t="str">
        <f>STORAGE_BALANCE_ENSEMBLE!BB176</f>
        <v/>
      </c>
      <c r="G897" s="30" t="str">
        <f>STORAGE_BALANCE_ENSEMBLE!BC176</f>
        <v/>
      </c>
      <c r="H897" s="30" t="str">
        <f>STORAGE_BALANCE_ENSEMBLE!BA176</f>
        <v/>
      </c>
      <c r="I897" s="18" t="str">
        <f t="shared" si="133"/>
        <v/>
      </c>
      <c r="J897" s="8" t="str">
        <f t="shared" si="124"/>
        <v/>
      </c>
      <c r="K897" s="9" t="str">
        <f t="shared" si="125"/>
        <v/>
      </c>
      <c r="L897" s="10" t="str">
        <f t="shared" si="126"/>
        <v/>
      </c>
      <c r="M897" s="10" t="str">
        <f>IF(I897&lt;&gt;1,"",IF(H897="","",H897/CONTROL_PANEL!$B$11))</f>
        <v/>
      </c>
      <c r="N897" s="9" t="str">
        <f t="shared" si="127"/>
        <v/>
      </c>
      <c r="O897" s="9" t="str">
        <f t="shared" si="128"/>
        <v/>
      </c>
      <c r="P897" s="9" t="str">
        <f t="shared" si="129"/>
        <v/>
      </c>
      <c r="Q897" s="9" t="str">
        <f t="shared" si="130"/>
        <v/>
      </c>
      <c r="R897" s="11"/>
      <c r="S897" s="11"/>
    </row>
    <row r="898" spans="1:19" x14ac:dyDescent="0.25">
      <c r="A898" s="30" t="s">
        <v>30</v>
      </c>
      <c r="B898" s="31">
        <f t="shared" si="132"/>
        <v>47515</v>
      </c>
      <c r="C898" s="30">
        <f>YEAR(BInputReservoir[[#This Row],[Date]])</f>
        <v>2030</v>
      </c>
      <c r="D898" s="30">
        <f>MONTH(BInputReservoir[[#This Row],[Date]])</f>
        <v>2</v>
      </c>
      <c r="E898" s="30" t="str">
        <f>IF(I898&lt;&gt;1,"",DATA_INPUT!$M177)</f>
        <v/>
      </c>
      <c r="F898" s="30" t="str">
        <f>STORAGE_BALANCE_ENSEMBLE!BB177</f>
        <v/>
      </c>
      <c r="G898" s="30" t="str">
        <f>STORAGE_BALANCE_ENSEMBLE!BC177</f>
        <v/>
      </c>
      <c r="H898" s="30" t="str">
        <f>STORAGE_BALANCE_ENSEMBLE!BA177</f>
        <v/>
      </c>
      <c r="I898" s="18" t="str">
        <f t="shared" si="133"/>
        <v/>
      </c>
      <c r="J898" s="8" t="str">
        <f t="shared" si="124"/>
        <v/>
      </c>
      <c r="K898" s="9" t="str">
        <f t="shared" si="125"/>
        <v/>
      </c>
      <c r="L898" s="10" t="str">
        <f t="shared" si="126"/>
        <v/>
      </c>
      <c r="M898" s="10" t="str">
        <f>IF(I898&lt;&gt;1,"",IF(H898="","",H898/CONTROL_PANEL!$B$11))</f>
        <v/>
      </c>
      <c r="N898" s="9" t="str">
        <f t="shared" si="127"/>
        <v/>
      </c>
      <c r="O898" s="9" t="str">
        <f t="shared" si="128"/>
        <v/>
      </c>
      <c r="P898" s="9" t="str">
        <f t="shared" si="129"/>
        <v/>
      </c>
      <c r="Q898" s="9" t="str">
        <f t="shared" si="130"/>
        <v/>
      </c>
      <c r="R898" s="11"/>
      <c r="S898" s="11"/>
    </row>
    <row r="899" spans="1:19" x14ac:dyDescent="0.25">
      <c r="A899" s="30" t="s">
        <v>30</v>
      </c>
      <c r="B899" s="31">
        <f t="shared" si="132"/>
        <v>47543</v>
      </c>
      <c r="C899" s="30">
        <f>YEAR(BInputReservoir[[#This Row],[Date]])</f>
        <v>2030</v>
      </c>
      <c r="D899" s="30">
        <f>MONTH(BInputReservoir[[#This Row],[Date]])</f>
        <v>3</v>
      </c>
      <c r="E899" s="30" t="str">
        <f>IF(I899&lt;&gt;1,"",DATA_INPUT!$M178)</f>
        <v/>
      </c>
      <c r="F899" s="30" t="str">
        <f>STORAGE_BALANCE_ENSEMBLE!BB178</f>
        <v/>
      </c>
      <c r="G899" s="30" t="str">
        <f>STORAGE_BALANCE_ENSEMBLE!BC178</f>
        <v/>
      </c>
      <c r="H899" s="30" t="str">
        <f>STORAGE_BALANCE_ENSEMBLE!BA178</f>
        <v/>
      </c>
      <c r="I899" s="18" t="str">
        <f t="shared" si="133"/>
        <v/>
      </c>
      <c r="J899" s="8" t="str">
        <f t="shared" si="124"/>
        <v/>
      </c>
      <c r="K899" s="9" t="str">
        <f t="shared" si="125"/>
        <v/>
      </c>
      <c r="L899" s="10" t="str">
        <f t="shared" si="126"/>
        <v/>
      </c>
      <c r="M899" s="10" t="str">
        <f>IF(I899&lt;&gt;1,"",IF(H899="","",H899/CONTROL_PANEL!$B$11))</f>
        <v/>
      </c>
      <c r="N899" s="9" t="str">
        <f t="shared" si="127"/>
        <v/>
      </c>
      <c r="O899" s="9" t="str">
        <f t="shared" si="128"/>
        <v/>
      </c>
      <c r="P899" s="9" t="str">
        <f t="shared" si="129"/>
        <v/>
      </c>
      <c r="Q899" s="9" t="str">
        <f t="shared" si="130"/>
        <v/>
      </c>
      <c r="R899" s="11"/>
      <c r="S899" s="11"/>
    </row>
    <row r="900" spans="1:19" x14ac:dyDescent="0.25">
      <c r="A900" s="30" t="s">
        <v>30</v>
      </c>
      <c r="B900" s="31">
        <f t="shared" si="132"/>
        <v>47574</v>
      </c>
      <c r="C900" s="30">
        <f>YEAR(BInputReservoir[[#This Row],[Date]])</f>
        <v>2030</v>
      </c>
      <c r="D900" s="30">
        <f>MONTH(BInputReservoir[[#This Row],[Date]])</f>
        <v>4</v>
      </c>
      <c r="E900" s="30" t="str">
        <f>IF(I900&lt;&gt;1,"",DATA_INPUT!$M179)</f>
        <v/>
      </c>
      <c r="F900" s="30" t="str">
        <f>STORAGE_BALANCE_ENSEMBLE!BB179</f>
        <v/>
      </c>
      <c r="G900" s="30" t="str">
        <f>STORAGE_BALANCE_ENSEMBLE!BC179</f>
        <v/>
      </c>
      <c r="H900" s="30" t="str">
        <f>STORAGE_BALANCE_ENSEMBLE!BA179</f>
        <v/>
      </c>
      <c r="I900" s="18" t="str">
        <f t="shared" si="133"/>
        <v/>
      </c>
      <c r="J900" s="8" t="str">
        <f t="shared" si="124"/>
        <v/>
      </c>
      <c r="K900" s="9" t="str">
        <f t="shared" si="125"/>
        <v/>
      </c>
      <c r="L900" s="10" t="str">
        <f t="shared" si="126"/>
        <v/>
      </c>
      <c r="M900" s="10" t="str">
        <f>IF(I900&lt;&gt;1,"",IF(H900="","",H900/CONTROL_PANEL!$B$11))</f>
        <v/>
      </c>
      <c r="N900" s="9" t="str">
        <f t="shared" si="127"/>
        <v/>
      </c>
      <c r="O900" s="9" t="str">
        <f t="shared" si="128"/>
        <v/>
      </c>
      <c r="P900" s="9" t="str">
        <f t="shared" si="129"/>
        <v/>
      </c>
      <c r="Q900" s="9" t="str">
        <f t="shared" si="130"/>
        <v/>
      </c>
      <c r="R900" s="11"/>
      <c r="S900" s="11"/>
    </row>
    <row r="901" spans="1:19" x14ac:dyDescent="0.25">
      <c r="A901" s="30" t="s">
        <v>30</v>
      </c>
      <c r="B901" s="31">
        <f t="shared" si="132"/>
        <v>47604</v>
      </c>
      <c r="C901" s="30">
        <f>YEAR(BInputReservoir[[#This Row],[Date]])</f>
        <v>2030</v>
      </c>
      <c r="D901" s="30">
        <f>MONTH(BInputReservoir[[#This Row],[Date]])</f>
        <v>5</v>
      </c>
      <c r="E901" s="30" t="str">
        <f>IF(I901&lt;&gt;1,"",DATA_INPUT!$M180)</f>
        <v/>
      </c>
      <c r="F901" s="30" t="str">
        <f>STORAGE_BALANCE_ENSEMBLE!BB180</f>
        <v/>
      </c>
      <c r="G901" s="30" t="str">
        <f>STORAGE_BALANCE_ENSEMBLE!BC180</f>
        <v/>
      </c>
      <c r="H901" s="30" t="str">
        <f>STORAGE_BALANCE_ENSEMBLE!BA180</f>
        <v/>
      </c>
      <c r="I901" s="18" t="str">
        <f t="shared" si="133"/>
        <v/>
      </c>
      <c r="J901" s="8" t="str">
        <f t="shared" ref="J901:J964" si="134">IF(I901&lt;&gt;1,"",IF(E901="","",MAX(0,E901-G901)))</f>
        <v/>
      </c>
      <c r="K901" s="9" t="str">
        <f t="shared" ref="K901:K964" si="135">IF(I901&lt;&gt;1,"",IF(OR(G901="",E901=""),"",IF(G901&gt;0,1,0)))</f>
        <v/>
      </c>
      <c r="L901" s="10" t="str">
        <f t="shared" ref="L901:L964" si="136">IF(I901&lt;&gt;1,"",IF(AND(K901=1,E901&gt;0),G901/E901,0))</f>
        <v/>
      </c>
      <c r="M901" s="10" t="str">
        <f>IF(I901&lt;&gt;1,"",IF(H901="","",H901/CONTROL_PANEL!$B$11))</f>
        <v/>
      </c>
      <c r="N901" s="9" t="str">
        <f t="shared" ref="N901:N964" si="137">IF(I901&lt;&gt;1,"",IF(AND(K901=1,A902=A901),1,0))</f>
        <v/>
      </c>
      <c r="O901" s="9" t="str">
        <f t="shared" ref="O901:O964" si="138">IF(I901&lt;&gt;1,"",IF(AND(K901=1,A902=A901,K902=0),1,0))</f>
        <v/>
      </c>
      <c r="P901" s="9" t="str">
        <f t="shared" ref="P901:P964" si="139">IF(I901&lt;&gt;1,"",IF(F901&gt;0,1,0))</f>
        <v/>
      </c>
      <c r="Q901" s="9" t="str">
        <f t="shared" ref="Q901:Q964" si="140">IF(I901&lt;&gt;1,"",IF(G901&gt;0,1,0))</f>
        <v/>
      </c>
      <c r="R901" s="11"/>
      <c r="S901" s="11"/>
    </row>
    <row r="902" spans="1:19" x14ac:dyDescent="0.25">
      <c r="A902" s="30" t="s">
        <v>30</v>
      </c>
      <c r="B902" s="31">
        <f t="shared" si="132"/>
        <v>47635</v>
      </c>
      <c r="C902" s="30">
        <f>YEAR(BInputReservoir[[#This Row],[Date]])</f>
        <v>2030</v>
      </c>
      <c r="D902" s="30">
        <f>MONTH(BInputReservoir[[#This Row],[Date]])</f>
        <v>6</v>
      </c>
      <c r="E902" s="30" t="str">
        <f>IF(I902&lt;&gt;1,"",DATA_INPUT!$M181)</f>
        <v/>
      </c>
      <c r="F902" s="30" t="str">
        <f>STORAGE_BALANCE_ENSEMBLE!BB181</f>
        <v/>
      </c>
      <c r="G902" s="30" t="str">
        <f>STORAGE_BALANCE_ENSEMBLE!BC181</f>
        <v/>
      </c>
      <c r="H902" s="30" t="str">
        <f>STORAGE_BALANCE_ENSEMBLE!BA181</f>
        <v/>
      </c>
      <c r="I902" s="18" t="str">
        <f t="shared" si="133"/>
        <v/>
      </c>
      <c r="J902" s="8" t="str">
        <f t="shared" si="134"/>
        <v/>
      </c>
      <c r="K902" s="9" t="str">
        <f t="shared" si="135"/>
        <v/>
      </c>
      <c r="L902" s="10" t="str">
        <f t="shared" si="136"/>
        <v/>
      </c>
      <c r="M902" s="10" t="str">
        <f>IF(I902&lt;&gt;1,"",IF(H902="","",H902/CONTROL_PANEL!$B$11))</f>
        <v/>
      </c>
      <c r="N902" s="9" t="str">
        <f t="shared" si="137"/>
        <v/>
      </c>
      <c r="O902" s="9" t="str">
        <f t="shared" si="138"/>
        <v/>
      </c>
      <c r="P902" s="9" t="str">
        <f t="shared" si="139"/>
        <v/>
      </c>
      <c r="Q902" s="9" t="str">
        <f t="shared" si="140"/>
        <v/>
      </c>
      <c r="R902" s="11"/>
      <c r="S902" s="11"/>
    </row>
    <row r="903" spans="1:19" x14ac:dyDescent="0.25">
      <c r="A903" s="30" t="s">
        <v>30</v>
      </c>
      <c r="B903" s="31">
        <f t="shared" si="132"/>
        <v>47665</v>
      </c>
      <c r="C903" s="30">
        <f>YEAR(BInputReservoir[[#This Row],[Date]])</f>
        <v>2030</v>
      </c>
      <c r="D903" s="30">
        <f>MONTH(BInputReservoir[[#This Row],[Date]])</f>
        <v>7</v>
      </c>
      <c r="E903" s="30" t="str">
        <f>IF(I903&lt;&gt;1,"",DATA_INPUT!$M182)</f>
        <v/>
      </c>
      <c r="F903" s="30" t="str">
        <f>STORAGE_BALANCE_ENSEMBLE!BB182</f>
        <v/>
      </c>
      <c r="G903" s="30" t="str">
        <f>STORAGE_BALANCE_ENSEMBLE!BC182</f>
        <v/>
      </c>
      <c r="H903" s="30" t="str">
        <f>STORAGE_BALANCE_ENSEMBLE!BA182</f>
        <v/>
      </c>
      <c r="I903" s="18" t="str">
        <f t="shared" si="133"/>
        <v/>
      </c>
      <c r="J903" s="8" t="str">
        <f t="shared" si="134"/>
        <v/>
      </c>
      <c r="K903" s="9" t="str">
        <f t="shared" si="135"/>
        <v/>
      </c>
      <c r="L903" s="10" t="str">
        <f t="shared" si="136"/>
        <v/>
      </c>
      <c r="M903" s="10" t="str">
        <f>IF(I903&lt;&gt;1,"",IF(H903="","",H903/CONTROL_PANEL!$B$11))</f>
        <v/>
      </c>
      <c r="N903" s="9" t="str">
        <f t="shared" si="137"/>
        <v/>
      </c>
      <c r="O903" s="9" t="str">
        <f t="shared" si="138"/>
        <v/>
      </c>
      <c r="P903" s="9" t="str">
        <f t="shared" si="139"/>
        <v/>
      </c>
      <c r="Q903" s="9" t="str">
        <f t="shared" si="140"/>
        <v/>
      </c>
      <c r="R903" s="11"/>
      <c r="S903" s="11"/>
    </row>
    <row r="904" spans="1:19" x14ac:dyDescent="0.25">
      <c r="A904" s="30" t="s">
        <v>30</v>
      </c>
      <c r="B904" s="31">
        <f t="shared" si="132"/>
        <v>47696</v>
      </c>
      <c r="C904" s="30">
        <f>YEAR(BInputReservoir[[#This Row],[Date]])</f>
        <v>2030</v>
      </c>
      <c r="D904" s="30">
        <f>MONTH(BInputReservoir[[#This Row],[Date]])</f>
        <v>8</v>
      </c>
      <c r="E904" s="30" t="str">
        <f>IF(I904&lt;&gt;1,"",DATA_INPUT!$M183)</f>
        <v/>
      </c>
      <c r="F904" s="30" t="str">
        <f>STORAGE_BALANCE_ENSEMBLE!BB183</f>
        <v/>
      </c>
      <c r="G904" s="30" t="str">
        <f>STORAGE_BALANCE_ENSEMBLE!BC183</f>
        <v/>
      </c>
      <c r="H904" s="30" t="str">
        <f>STORAGE_BALANCE_ENSEMBLE!BA183</f>
        <v/>
      </c>
      <c r="I904" s="18" t="str">
        <f t="shared" si="133"/>
        <v/>
      </c>
      <c r="J904" s="8" t="str">
        <f t="shared" si="134"/>
        <v/>
      </c>
      <c r="K904" s="9" t="str">
        <f t="shared" si="135"/>
        <v/>
      </c>
      <c r="L904" s="10" t="str">
        <f t="shared" si="136"/>
        <v/>
      </c>
      <c r="M904" s="10" t="str">
        <f>IF(I904&lt;&gt;1,"",IF(H904="","",H904/CONTROL_PANEL!$B$11))</f>
        <v/>
      </c>
      <c r="N904" s="9" t="str">
        <f t="shared" si="137"/>
        <v/>
      </c>
      <c r="O904" s="9" t="str">
        <f t="shared" si="138"/>
        <v/>
      </c>
      <c r="P904" s="9" t="str">
        <f t="shared" si="139"/>
        <v/>
      </c>
      <c r="Q904" s="9" t="str">
        <f t="shared" si="140"/>
        <v/>
      </c>
      <c r="R904" s="11"/>
      <c r="S904" s="11"/>
    </row>
    <row r="905" spans="1:19" x14ac:dyDescent="0.25">
      <c r="A905" s="30" t="s">
        <v>30</v>
      </c>
      <c r="B905" s="31">
        <f t="shared" si="132"/>
        <v>47727</v>
      </c>
      <c r="C905" s="30">
        <f>YEAR(BInputReservoir[[#This Row],[Date]])</f>
        <v>2030</v>
      </c>
      <c r="D905" s="30">
        <f>MONTH(BInputReservoir[[#This Row],[Date]])</f>
        <v>9</v>
      </c>
      <c r="E905" s="30" t="str">
        <f>IF(I905&lt;&gt;1,"",DATA_INPUT!$M184)</f>
        <v/>
      </c>
      <c r="F905" s="30" t="str">
        <f>STORAGE_BALANCE_ENSEMBLE!BB184</f>
        <v/>
      </c>
      <c r="G905" s="30" t="str">
        <f>STORAGE_BALANCE_ENSEMBLE!BC184</f>
        <v/>
      </c>
      <c r="H905" s="30" t="str">
        <f>STORAGE_BALANCE_ENSEMBLE!BA184</f>
        <v/>
      </c>
      <c r="I905" s="18" t="str">
        <f t="shared" si="133"/>
        <v/>
      </c>
      <c r="J905" s="8" t="str">
        <f t="shared" si="134"/>
        <v/>
      </c>
      <c r="K905" s="9" t="str">
        <f t="shared" si="135"/>
        <v/>
      </c>
      <c r="L905" s="10" t="str">
        <f t="shared" si="136"/>
        <v/>
      </c>
      <c r="M905" s="10" t="str">
        <f>IF(I905&lt;&gt;1,"",IF(H905="","",H905/CONTROL_PANEL!$B$11))</f>
        <v/>
      </c>
      <c r="N905" s="9" t="str">
        <f t="shared" si="137"/>
        <v/>
      </c>
      <c r="O905" s="9" t="str">
        <f t="shared" si="138"/>
        <v/>
      </c>
      <c r="P905" s="9" t="str">
        <f t="shared" si="139"/>
        <v/>
      </c>
      <c r="Q905" s="9" t="str">
        <f t="shared" si="140"/>
        <v/>
      </c>
      <c r="R905" s="11"/>
      <c r="S905" s="11"/>
    </row>
    <row r="906" spans="1:19" x14ac:dyDescent="0.25">
      <c r="A906" s="30" t="s">
        <v>30</v>
      </c>
      <c r="B906" s="31">
        <f t="shared" si="132"/>
        <v>47757</v>
      </c>
      <c r="C906" s="30">
        <f>YEAR(BInputReservoir[[#This Row],[Date]])</f>
        <v>2030</v>
      </c>
      <c r="D906" s="30">
        <f>MONTH(BInputReservoir[[#This Row],[Date]])</f>
        <v>10</v>
      </c>
      <c r="E906" s="30" t="str">
        <f>IF(I906&lt;&gt;1,"",DATA_INPUT!$M185)</f>
        <v/>
      </c>
      <c r="F906" s="30" t="str">
        <f>STORAGE_BALANCE_ENSEMBLE!BB185</f>
        <v/>
      </c>
      <c r="G906" s="30" t="str">
        <f>STORAGE_BALANCE_ENSEMBLE!BC185</f>
        <v/>
      </c>
      <c r="H906" s="30" t="str">
        <f>STORAGE_BALANCE_ENSEMBLE!BA185</f>
        <v/>
      </c>
      <c r="I906" s="18" t="str">
        <f t="shared" si="133"/>
        <v/>
      </c>
      <c r="J906" s="8" t="str">
        <f t="shared" si="134"/>
        <v/>
      </c>
      <c r="K906" s="9" t="str">
        <f t="shared" si="135"/>
        <v/>
      </c>
      <c r="L906" s="10" t="str">
        <f t="shared" si="136"/>
        <v/>
      </c>
      <c r="M906" s="10" t="str">
        <f>IF(I906&lt;&gt;1,"",IF(H906="","",H906/CONTROL_PANEL!$B$11))</f>
        <v/>
      </c>
      <c r="N906" s="9" t="str">
        <f t="shared" si="137"/>
        <v/>
      </c>
      <c r="O906" s="9" t="str">
        <f t="shared" si="138"/>
        <v/>
      </c>
      <c r="P906" s="9" t="str">
        <f t="shared" si="139"/>
        <v/>
      </c>
      <c r="Q906" s="9" t="str">
        <f t="shared" si="140"/>
        <v/>
      </c>
      <c r="R906" s="11"/>
      <c r="S906" s="11"/>
    </row>
    <row r="907" spans="1:19" x14ac:dyDescent="0.25">
      <c r="A907" s="30" t="s">
        <v>30</v>
      </c>
      <c r="B907" s="31">
        <f t="shared" si="132"/>
        <v>47788</v>
      </c>
      <c r="C907" s="30">
        <f>YEAR(BInputReservoir[[#This Row],[Date]])</f>
        <v>2030</v>
      </c>
      <c r="D907" s="30">
        <f>MONTH(BInputReservoir[[#This Row],[Date]])</f>
        <v>11</v>
      </c>
      <c r="E907" s="30" t="str">
        <f>IF(I907&lt;&gt;1,"",DATA_INPUT!$M186)</f>
        <v/>
      </c>
      <c r="F907" s="30" t="str">
        <f>STORAGE_BALANCE_ENSEMBLE!BB186</f>
        <v/>
      </c>
      <c r="G907" s="30" t="str">
        <f>STORAGE_BALANCE_ENSEMBLE!BC186</f>
        <v/>
      </c>
      <c r="H907" s="30" t="str">
        <f>STORAGE_BALANCE_ENSEMBLE!BA186</f>
        <v/>
      </c>
      <c r="I907" s="18" t="str">
        <f t="shared" si="133"/>
        <v/>
      </c>
      <c r="J907" s="8" t="str">
        <f t="shared" si="134"/>
        <v/>
      </c>
      <c r="K907" s="9" t="str">
        <f t="shared" si="135"/>
        <v/>
      </c>
      <c r="L907" s="10" t="str">
        <f t="shared" si="136"/>
        <v/>
      </c>
      <c r="M907" s="10" t="str">
        <f>IF(I907&lt;&gt;1,"",IF(H907="","",H907/CONTROL_PANEL!$B$11))</f>
        <v/>
      </c>
      <c r="N907" s="9" t="str">
        <f t="shared" si="137"/>
        <v/>
      </c>
      <c r="O907" s="9" t="str">
        <f t="shared" si="138"/>
        <v/>
      </c>
      <c r="P907" s="9" t="str">
        <f t="shared" si="139"/>
        <v/>
      </c>
      <c r="Q907" s="9" t="str">
        <f t="shared" si="140"/>
        <v/>
      </c>
      <c r="R907" s="11"/>
      <c r="S907" s="11"/>
    </row>
    <row r="908" spans="1:19" x14ac:dyDescent="0.25">
      <c r="A908" s="30" t="s">
        <v>30</v>
      </c>
      <c r="B908" s="31">
        <f t="shared" si="132"/>
        <v>47818</v>
      </c>
      <c r="C908" s="30">
        <f>YEAR(BInputReservoir[[#This Row],[Date]])</f>
        <v>2030</v>
      </c>
      <c r="D908" s="30">
        <f>MONTH(BInputReservoir[[#This Row],[Date]])</f>
        <v>12</v>
      </c>
      <c r="E908" s="30" t="str">
        <f>IF(I908&lt;&gt;1,"",DATA_INPUT!$M187)</f>
        <v/>
      </c>
      <c r="F908" s="30" t="str">
        <f>STORAGE_BALANCE_ENSEMBLE!BB187</f>
        <v/>
      </c>
      <c r="G908" s="30" t="str">
        <f>STORAGE_BALANCE_ENSEMBLE!BC187</f>
        <v/>
      </c>
      <c r="H908" s="30" t="str">
        <f>STORAGE_BALANCE_ENSEMBLE!BA187</f>
        <v/>
      </c>
      <c r="I908" s="18" t="str">
        <f t="shared" si="133"/>
        <v/>
      </c>
      <c r="J908" s="8" t="str">
        <f t="shared" si="134"/>
        <v/>
      </c>
      <c r="K908" s="9" t="str">
        <f t="shared" si="135"/>
        <v/>
      </c>
      <c r="L908" s="10" t="str">
        <f t="shared" si="136"/>
        <v/>
      </c>
      <c r="M908" s="10" t="str">
        <f>IF(I908&lt;&gt;1,"",IF(H908="","",H908/CONTROL_PANEL!$B$11))</f>
        <v/>
      </c>
      <c r="N908" s="9" t="str">
        <f t="shared" si="137"/>
        <v/>
      </c>
      <c r="O908" s="9" t="str">
        <f t="shared" si="138"/>
        <v/>
      </c>
      <c r="P908" s="9" t="str">
        <f t="shared" si="139"/>
        <v/>
      </c>
      <c r="Q908" s="9" t="str">
        <f t="shared" si="140"/>
        <v/>
      </c>
      <c r="R908" s="11"/>
      <c r="S908" s="11"/>
    </row>
    <row r="909" spans="1:19" x14ac:dyDescent="0.25">
      <c r="A909" s="30" t="s">
        <v>30</v>
      </c>
      <c r="B909" s="31">
        <f t="shared" si="132"/>
        <v>47849</v>
      </c>
      <c r="C909" s="30">
        <f>YEAR(BInputReservoir[[#This Row],[Date]])</f>
        <v>2031</v>
      </c>
      <c r="D909" s="30">
        <f>MONTH(BInputReservoir[[#This Row],[Date]])</f>
        <v>1</v>
      </c>
      <c r="E909" s="30" t="str">
        <f>IF(I909&lt;&gt;1,"",DATA_INPUT!$M188)</f>
        <v/>
      </c>
      <c r="F909" s="30" t="str">
        <f>STORAGE_BALANCE_ENSEMBLE!BB188</f>
        <v/>
      </c>
      <c r="G909" s="30" t="str">
        <f>STORAGE_BALANCE_ENSEMBLE!BC188</f>
        <v/>
      </c>
      <c r="H909" s="30" t="str">
        <f>STORAGE_BALANCE_ENSEMBLE!BA188</f>
        <v/>
      </c>
      <c r="I909" s="18" t="str">
        <f t="shared" si="133"/>
        <v/>
      </c>
      <c r="J909" s="8" t="str">
        <f t="shared" si="134"/>
        <v/>
      </c>
      <c r="K909" s="9" t="str">
        <f t="shared" si="135"/>
        <v/>
      </c>
      <c r="L909" s="10" t="str">
        <f t="shared" si="136"/>
        <v/>
      </c>
      <c r="M909" s="10" t="str">
        <f>IF(I909&lt;&gt;1,"",IF(H909="","",H909/CONTROL_PANEL!$B$11))</f>
        <v/>
      </c>
      <c r="N909" s="9" t="str">
        <f t="shared" si="137"/>
        <v/>
      </c>
      <c r="O909" s="9" t="str">
        <f t="shared" si="138"/>
        <v/>
      </c>
      <c r="P909" s="9" t="str">
        <f t="shared" si="139"/>
        <v/>
      </c>
      <c r="Q909" s="9" t="str">
        <f t="shared" si="140"/>
        <v/>
      </c>
      <c r="R909" s="11"/>
      <c r="S909" s="11"/>
    </row>
    <row r="910" spans="1:19" x14ac:dyDescent="0.25">
      <c r="A910" s="30" t="s">
        <v>30</v>
      </c>
      <c r="B910" s="31">
        <f t="shared" si="132"/>
        <v>47880</v>
      </c>
      <c r="C910" s="30">
        <f>YEAR(BInputReservoir[[#This Row],[Date]])</f>
        <v>2031</v>
      </c>
      <c r="D910" s="30">
        <f>MONTH(BInputReservoir[[#This Row],[Date]])</f>
        <v>2</v>
      </c>
      <c r="E910" s="30" t="str">
        <f>IF(I910&lt;&gt;1,"",DATA_INPUT!$M189)</f>
        <v/>
      </c>
      <c r="F910" s="30" t="str">
        <f>STORAGE_BALANCE_ENSEMBLE!BB189</f>
        <v/>
      </c>
      <c r="G910" s="30" t="str">
        <f>STORAGE_BALANCE_ENSEMBLE!BC189</f>
        <v/>
      </c>
      <c r="H910" s="30" t="str">
        <f>STORAGE_BALANCE_ENSEMBLE!BA189</f>
        <v/>
      </c>
      <c r="I910" s="18" t="str">
        <f t="shared" si="133"/>
        <v/>
      </c>
      <c r="J910" s="8" t="str">
        <f t="shared" si="134"/>
        <v/>
      </c>
      <c r="K910" s="9" t="str">
        <f t="shared" si="135"/>
        <v/>
      </c>
      <c r="L910" s="10" t="str">
        <f t="shared" si="136"/>
        <v/>
      </c>
      <c r="M910" s="10" t="str">
        <f>IF(I910&lt;&gt;1,"",IF(H910="","",H910/CONTROL_PANEL!$B$11))</f>
        <v/>
      </c>
      <c r="N910" s="9" t="str">
        <f t="shared" si="137"/>
        <v/>
      </c>
      <c r="O910" s="9" t="str">
        <f t="shared" si="138"/>
        <v/>
      </c>
      <c r="P910" s="9" t="str">
        <f t="shared" si="139"/>
        <v/>
      </c>
      <c r="Q910" s="9" t="str">
        <f t="shared" si="140"/>
        <v/>
      </c>
      <c r="R910" s="11"/>
      <c r="S910" s="11"/>
    </row>
    <row r="911" spans="1:19" x14ac:dyDescent="0.25">
      <c r="A911" s="30" t="s">
        <v>30</v>
      </c>
      <c r="B911" s="31">
        <f t="shared" si="132"/>
        <v>47908</v>
      </c>
      <c r="C911" s="30">
        <f>YEAR(BInputReservoir[[#This Row],[Date]])</f>
        <v>2031</v>
      </c>
      <c r="D911" s="30">
        <f>MONTH(BInputReservoir[[#This Row],[Date]])</f>
        <v>3</v>
      </c>
      <c r="E911" s="30" t="str">
        <f>IF(I911&lt;&gt;1,"",DATA_INPUT!$M190)</f>
        <v/>
      </c>
      <c r="F911" s="30" t="str">
        <f>STORAGE_BALANCE_ENSEMBLE!BB190</f>
        <v/>
      </c>
      <c r="G911" s="30" t="str">
        <f>STORAGE_BALANCE_ENSEMBLE!BC190</f>
        <v/>
      </c>
      <c r="H911" s="30" t="str">
        <f>STORAGE_BALANCE_ENSEMBLE!BA190</f>
        <v/>
      </c>
      <c r="I911" s="18" t="str">
        <f t="shared" si="133"/>
        <v/>
      </c>
      <c r="J911" s="8" t="str">
        <f t="shared" si="134"/>
        <v/>
      </c>
      <c r="K911" s="9" t="str">
        <f t="shared" si="135"/>
        <v/>
      </c>
      <c r="L911" s="10" t="str">
        <f t="shared" si="136"/>
        <v/>
      </c>
      <c r="M911" s="10" t="str">
        <f>IF(I911&lt;&gt;1,"",IF(H911="","",H911/CONTROL_PANEL!$B$11))</f>
        <v/>
      </c>
      <c r="N911" s="9" t="str">
        <f t="shared" si="137"/>
        <v/>
      </c>
      <c r="O911" s="9" t="str">
        <f t="shared" si="138"/>
        <v/>
      </c>
      <c r="P911" s="9" t="str">
        <f t="shared" si="139"/>
        <v/>
      </c>
      <c r="Q911" s="9" t="str">
        <f t="shared" si="140"/>
        <v/>
      </c>
      <c r="R911" s="11"/>
      <c r="S911" s="11"/>
    </row>
    <row r="912" spans="1:19" x14ac:dyDescent="0.25">
      <c r="A912" s="30" t="s">
        <v>30</v>
      </c>
      <c r="B912" s="31">
        <f t="shared" si="132"/>
        <v>47939</v>
      </c>
      <c r="C912" s="30">
        <f>YEAR(BInputReservoir[[#This Row],[Date]])</f>
        <v>2031</v>
      </c>
      <c r="D912" s="30">
        <f>MONTH(BInputReservoir[[#This Row],[Date]])</f>
        <v>4</v>
      </c>
      <c r="E912" s="30" t="str">
        <f>IF(I912&lt;&gt;1,"",DATA_INPUT!$M191)</f>
        <v/>
      </c>
      <c r="F912" s="30" t="str">
        <f>STORAGE_BALANCE_ENSEMBLE!BB191</f>
        <v/>
      </c>
      <c r="G912" s="30" t="str">
        <f>STORAGE_BALANCE_ENSEMBLE!BC191</f>
        <v/>
      </c>
      <c r="H912" s="30" t="str">
        <f>STORAGE_BALANCE_ENSEMBLE!BA191</f>
        <v/>
      </c>
      <c r="I912" s="18" t="str">
        <f t="shared" si="133"/>
        <v/>
      </c>
      <c r="J912" s="8" t="str">
        <f t="shared" si="134"/>
        <v/>
      </c>
      <c r="K912" s="9" t="str">
        <f t="shared" si="135"/>
        <v/>
      </c>
      <c r="L912" s="10" t="str">
        <f t="shared" si="136"/>
        <v/>
      </c>
      <c r="M912" s="10" t="str">
        <f>IF(I912&lt;&gt;1,"",IF(H912="","",H912/CONTROL_PANEL!$B$11))</f>
        <v/>
      </c>
      <c r="N912" s="9" t="str">
        <f t="shared" si="137"/>
        <v/>
      </c>
      <c r="O912" s="9" t="str">
        <f t="shared" si="138"/>
        <v/>
      </c>
      <c r="P912" s="9" t="str">
        <f t="shared" si="139"/>
        <v/>
      </c>
      <c r="Q912" s="9" t="str">
        <f t="shared" si="140"/>
        <v/>
      </c>
      <c r="R912" s="11"/>
      <c r="S912" s="11"/>
    </row>
    <row r="913" spans="1:19" x14ac:dyDescent="0.25">
      <c r="A913" s="30" t="s">
        <v>30</v>
      </c>
      <c r="B913" s="31">
        <f t="shared" si="132"/>
        <v>47969</v>
      </c>
      <c r="C913" s="30">
        <f>YEAR(BInputReservoir[[#This Row],[Date]])</f>
        <v>2031</v>
      </c>
      <c r="D913" s="30">
        <f>MONTH(BInputReservoir[[#This Row],[Date]])</f>
        <v>5</v>
      </c>
      <c r="E913" s="30" t="str">
        <f>IF(I913&lt;&gt;1,"",DATA_INPUT!$M192)</f>
        <v/>
      </c>
      <c r="F913" s="30" t="str">
        <f>STORAGE_BALANCE_ENSEMBLE!BB192</f>
        <v/>
      </c>
      <c r="G913" s="30" t="str">
        <f>STORAGE_BALANCE_ENSEMBLE!BC192</f>
        <v/>
      </c>
      <c r="H913" s="30" t="str">
        <f>STORAGE_BALANCE_ENSEMBLE!BA192</f>
        <v/>
      </c>
      <c r="I913" s="18" t="str">
        <f t="shared" si="133"/>
        <v/>
      </c>
      <c r="J913" s="8" t="str">
        <f t="shared" si="134"/>
        <v/>
      </c>
      <c r="K913" s="9" t="str">
        <f t="shared" si="135"/>
        <v/>
      </c>
      <c r="L913" s="10" t="str">
        <f t="shared" si="136"/>
        <v/>
      </c>
      <c r="M913" s="10" t="str">
        <f>IF(I913&lt;&gt;1,"",IF(H913="","",H913/CONTROL_PANEL!$B$11))</f>
        <v/>
      </c>
      <c r="N913" s="9" t="str">
        <f t="shared" si="137"/>
        <v/>
      </c>
      <c r="O913" s="9" t="str">
        <f t="shared" si="138"/>
        <v/>
      </c>
      <c r="P913" s="9" t="str">
        <f t="shared" si="139"/>
        <v/>
      </c>
      <c r="Q913" s="9" t="str">
        <f t="shared" si="140"/>
        <v/>
      </c>
      <c r="R913" s="11"/>
      <c r="S913" s="11"/>
    </row>
    <row r="914" spans="1:19" x14ac:dyDescent="0.25">
      <c r="A914" s="30" t="s">
        <v>30</v>
      </c>
      <c r="B914" s="31">
        <f t="shared" si="132"/>
        <v>48000</v>
      </c>
      <c r="C914" s="30">
        <f>YEAR(BInputReservoir[[#This Row],[Date]])</f>
        <v>2031</v>
      </c>
      <c r="D914" s="30">
        <f>MONTH(BInputReservoir[[#This Row],[Date]])</f>
        <v>6</v>
      </c>
      <c r="E914" s="30" t="str">
        <f>IF(I914&lt;&gt;1,"",DATA_INPUT!$M193)</f>
        <v/>
      </c>
      <c r="F914" s="30" t="str">
        <f>STORAGE_BALANCE_ENSEMBLE!BB193</f>
        <v/>
      </c>
      <c r="G914" s="30" t="str">
        <f>STORAGE_BALANCE_ENSEMBLE!BC193</f>
        <v/>
      </c>
      <c r="H914" s="30" t="str">
        <f>STORAGE_BALANCE_ENSEMBLE!BA193</f>
        <v/>
      </c>
      <c r="I914" s="18" t="str">
        <f t="shared" si="133"/>
        <v/>
      </c>
      <c r="J914" s="8" t="str">
        <f t="shared" si="134"/>
        <v/>
      </c>
      <c r="K914" s="9" t="str">
        <f t="shared" si="135"/>
        <v/>
      </c>
      <c r="L914" s="10" t="str">
        <f t="shared" si="136"/>
        <v/>
      </c>
      <c r="M914" s="10" t="str">
        <f>IF(I914&lt;&gt;1,"",IF(H914="","",H914/CONTROL_PANEL!$B$11))</f>
        <v/>
      </c>
      <c r="N914" s="9" t="str">
        <f t="shared" si="137"/>
        <v/>
      </c>
      <c r="O914" s="9" t="str">
        <f t="shared" si="138"/>
        <v/>
      </c>
      <c r="P914" s="9" t="str">
        <f t="shared" si="139"/>
        <v/>
      </c>
      <c r="Q914" s="9" t="str">
        <f t="shared" si="140"/>
        <v/>
      </c>
      <c r="R914" s="11"/>
      <c r="S914" s="11"/>
    </row>
    <row r="915" spans="1:19" x14ac:dyDescent="0.25">
      <c r="A915" s="30" t="s">
        <v>30</v>
      </c>
      <c r="B915" s="31">
        <f t="shared" si="132"/>
        <v>48030</v>
      </c>
      <c r="C915" s="30">
        <f>YEAR(BInputReservoir[[#This Row],[Date]])</f>
        <v>2031</v>
      </c>
      <c r="D915" s="30">
        <f>MONTH(BInputReservoir[[#This Row],[Date]])</f>
        <v>7</v>
      </c>
      <c r="E915" s="30" t="str">
        <f>IF(I915&lt;&gt;1,"",DATA_INPUT!$M194)</f>
        <v/>
      </c>
      <c r="F915" s="30" t="str">
        <f>STORAGE_BALANCE_ENSEMBLE!BB194</f>
        <v/>
      </c>
      <c r="G915" s="30" t="str">
        <f>STORAGE_BALANCE_ENSEMBLE!BC194</f>
        <v/>
      </c>
      <c r="H915" s="30" t="str">
        <f>STORAGE_BALANCE_ENSEMBLE!BA194</f>
        <v/>
      </c>
      <c r="I915" s="18" t="str">
        <f t="shared" si="133"/>
        <v/>
      </c>
      <c r="J915" s="8" t="str">
        <f t="shared" si="134"/>
        <v/>
      </c>
      <c r="K915" s="9" t="str">
        <f t="shared" si="135"/>
        <v/>
      </c>
      <c r="L915" s="10" t="str">
        <f t="shared" si="136"/>
        <v/>
      </c>
      <c r="M915" s="10" t="str">
        <f>IF(I915&lt;&gt;1,"",IF(H915="","",H915/CONTROL_PANEL!$B$11))</f>
        <v/>
      </c>
      <c r="N915" s="9" t="str">
        <f t="shared" si="137"/>
        <v/>
      </c>
      <c r="O915" s="9" t="str">
        <f t="shared" si="138"/>
        <v/>
      </c>
      <c r="P915" s="9" t="str">
        <f t="shared" si="139"/>
        <v/>
      </c>
      <c r="Q915" s="9" t="str">
        <f t="shared" si="140"/>
        <v/>
      </c>
      <c r="R915" s="11"/>
      <c r="S915" s="11"/>
    </row>
    <row r="916" spans="1:19" x14ac:dyDescent="0.25">
      <c r="A916" s="30" t="s">
        <v>30</v>
      </c>
      <c r="B916" s="31">
        <f t="shared" si="132"/>
        <v>48061</v>
      </c>
      <c r="C916" s="30">
        <f>YEAR(BInputReservoir[[#This Row],[Date]])</f>
        <v>2031</v>
      </c>
      <c r="D916" s="30">
        <f>MONTH(BInputReservoir[[#This Row],[Date]])</f>
        <v>8</v>
      </c>
      <c r="E916" s="30" t="str">
        <f>IF(I916&lt;&gt;1,"",DATA_INPUT!$M195)</f>
        <v/>
      </c>
      <c r="F916" s="30" t="str">
        <f>STORAGE_BALANCE_ENSEMBLE!BB195</f>
        <v/>
      </c>
      <c r="G916" s="30" t="str">
        <f>STORAGE_BALANCE_ENSEMBLE!BC195</f>
        <v/>
      </c>
      <c r="H916" s="30" t="str">
        <f>STORAGE_BALANCE_ENSEMBLE!BA195</f>
        <v/>
      </c>
      <c r="I916" s="18" t="str">
        <f t="shared" si="133"/>
        <v/>
      </c>
      <c r="J916" s="8" t="str">
        <f t="shared" si="134"/>
        <v/>
      </c>
      <c r="K916" s="9" t="str">
        <f t="shared" si="135"/>
        <v/>
      </c>
      <c r="L916" s="10" t="str">
        <f t="shared" si="136"/>
        <v/>
      </c>
      <c r="M916" s="10" t="str">
        <f>IF(I916&lt;&gt;1,"",IF(H916="","",H916/CONTROL_PANEL!$B$11))</f>
        <v/>
      </c>
      <c r="N916" s="9" t="str">
        <f t="shared" si="137"/>
        <v/>
      </c>
      <c r="O916" s="9" t="str">
        <f t="shared" si="138"/>
        <v/>
      </c>
      <c r="P916" s="9" t="str">
        <f t="shared" si="139"/>
        <v/>
      </c>
      <c r="Q916" s="9" t="str">
        <f t="shared" si="140"/>
        <v/>
      </c>
      <c r="R916" s="11"/>
      <c r="S916" s="11"/>
    </row>
    <row r="917" spans="1:19" x14ac:dyDescent="0.25">
      <c r="A917" s="30" t="s">
        <v>30</v>
      </c>
      <c r="B917" s="31">
        <f t="shared" si="132"/>
        <v>48092</v>
      </c>
      <c r="C917" s="30">
        <f>YEAR(BInputReservoir[[#This Row],[Date]])</f>
        <v>2031</v>
      </c>
      <c r="D917" s="30">
        <f>MONTH(BInputReservoir[[#This Row],[Date]])</f>
        <v>9</v>
      </c>
      <c r="E917" s="30" t="str">
        <f>IF(I917&lt;&gt;1,"",DATA_INPUT!$M196)</f>
        <v/>
      </c>
      <c r="F917" s="30" t="str">
        <f>STORAGE_BALANCE_ENSEMBLE!BB196</f>
        <v/>
      </c>
      <c r="G917" s="30" t="str">
        <f>STORAGE_BALANCE_ENSEMBLE!BC196</f>
        <v/>
      </c>
      <c r="H917" s="30" t="str">
        <f>STORAGE_BALANCE_ENSEMBLE!BA196</f>
        <v/>
      </c>
      <c r="I917" s="18" t="str">
        <f t="shared" si="133"/>
        <v/>
      </c>
      <c r="J917" s="8" t="str">
        <f t="shared" si="134"/>
        <v/>
      </c>
      <c r="K917" s="9" t="str">
        <f t="shared" si="135"/>
        <v/>
      </c>
      <c r="L917" s="10" t="str">
        <f t="shared" si="136"/>
        <v/>
      </c>
      <c r="M917" s="10" t="str">
        <f>IF(I917&lt;&gt;1,"",IF(H917="","",H917/CONTROL_PANEL!$B$11))</f>
        <v/>
      </c>
      <c r="N917" s="9" t="str">
        <f t="shared" si="137"/>
        <v/>
      </c>
      <c r="O917" s="9" t="str">
        <f t="shared" si="138"/>
        <v/>
      </c>
      <c r="P917" s="9" t="str">
        <f t="shared" si="139"/>
        <v/>
      </c>
      <c r="Q917" s="9" t="str">
        <f t="shared" si="140"/>
        <v/>
      </c>
      <c r="R917" s="11"/>
      <c r="S917" s="11"/>
    </row>
    <row r="918" spans="1:19" x14ac:dyDescent="0.25">
      <c r="A918" s="30" t="s">
        <v>30</v>
      </c>
      <c r="B918" s="31">
        <f t="shared" si="132"/>
        <v>48122</v>
      </c>
      <c r="C918" s="30">
        <f>YEAR(BInputReservoir[[#This Row],[Date]])</f>
        <v>2031</v>
      </c>
      <c r="D918" s="30">
        <f>MONTH(BInputReservoir[[#This Row],[Date]])</f>
        <v>10</v>
      </c>
      <c r="E918" s="30" t="str">
        <f>IF(I918&lt;&gt;1,"",DATA_INPUT!$M197)</f>
        <v/>
      </c>
      <c r="F918" s="30" t="str">
        <f>STORAGE_BALANCE_ENSEMBLE!BB197</f>
        <v/>
      </c>
      <c r="G918" s="30" t="str">
        <f>STORAGE_BALANCE_ENSEMBLE!BC197</f>
        <v/>
      </c>
      <c r="H918" s="30" t="str">
        <f>STORAGE_BALANCE_ENSEMBLE!BA197</f>
        <v/>
      </c>
      <c r="I918" s="18" t="str">
        <f t="shared" si="133"/>
        <v/>
      </c>
      <c r="J918" s="8" t="str">
        <f t="shared" si="134"/>
        <v/>
      </c>
      <c r="K918" s="9" t="str">
        <f t="shared" si="135"/>
        <v/>
      </c>
      <c r="L918" s="10" t="str">
        <f t="shared" si="136"/>
        <v/>
      </c>
      <c r="M918" s="10" t="str">
        <f>IF(I918&lt;&gt;1,"",IF(H918="","",H918/CONTROL_PANEL!$B$11))</f>
        <v/>
      </c>
      <c r="N918" s="9" t="str">
        <f t="shared" si="137"/>
        <v/>
      </c>
      <c r="O918" s="9" t="str">
        <f t="shared" si="138"/>
        <v/>
      </c>
      <c r="P918" s="9" t="str">
        <f t="shared" si="139"/>
        <v/>
      </c>
      <c r="Q918" s="9" t="str">
        <f t="shared" si="140"/>
        <v/>
      </c>
      <c r="R918" s="11"/>
      <c r="S918" s="11"/>
    </row>
    <row r="919" spans="1:19" x14ac:dyDescent="0.25">
      <c r="A919" s="30" t="s">
        <v>30</v>
      </c>
      <c r="B919" s="31">
        <f t="shared" ref="B919:B982" si="141">B558</f>
        <v>48153</v>
      </c>
      <c r="C919" s="30">
        <f>YEAR(BInputReservoir[[#This Row],[Date]])</f>
        <v>2031</v>
      </c>
      <c r="D919" s="30">
        <f>MONTH(BInputReservoir[[#This Row],[Date]])</f>
        <v>11</v>
      </c>
      <c r="E919" s="30" t="str">
        <f>IF(I919&lt;&gt;1,"",DATA_INPUT!$M198)</f>
        <v/>
      </c>
      <c r="F919" s="30" t="str">
        <f>STORAGE_BALANCE_ENSEMBLE!BB198</f>
        <v/>
      </c>
      <c r="G919" s="30" t="str">
        <f>STORAGE_BALANCE_ENSEMBLE!BC198</f>
        <v/>
      </c>
      <c r="H919" s="30" t="str">
        <f>STORAGE_BALANCE_ENSEMBLE!BA198</f>
        <v/>
      </c>
      <c r="I919" s="18" t="str">
        <f t="shared" ref="I919:I982" si="142">I197</f>
        <v/>
      </c>
      <c r="J919" s="8" t="str">
        <f t="shared" si="134"/>
        <v/>
      </c>
      <c r="K919" s="9" t="str">
        <f t="shared" si="135"/>
        <v/>
      </c>
      <c r="L919" s="10" t="str">
        <f t="shared" si="136"/>
        <v/>
      </c>
      <c r="M919" s="10" t="str">
        <f>IF(I919&lt;&gt;1,"",IF(H919="","",H919/CONTROL_PANEL!$B$11))</f>
        <v/>
      </c>
      <c r="N919" s="9" t="str">
        <f t="shared" si="137"/>
        <v/>
      </c>
      <c r="O919" s="9" t="str">
        <f t="shared" si="138"/>
        <v/>
      </c>
      <c r="P919" s="9" t="str">
        <f t="shared" si="139"/>
        <v/>
      </c>
      <c r="Q919" s="9" t="str">
        <f t="shared" si="140"/>
        <v/>
      </c>
      <c r="R919" s="11"/>
      <c r="S919" s="11"/>
    </row>
    <row r="920" spans="1:19" x14ac:dyDescent="0.25">
      <c r="A920" s="30" t="s">
        <v>30</v>
      </c>
      <c r="B920" s="31">
        <f t="shared" si="141"/>
        <v>48183</v>
      </c>
      <c r="C920" s="30">
        <f>YEAR(BInputReservoir[[#This Row],[Date]])</f>
        <v>2031</v>
      </c>
      <c r="D920" s="30">
        <f>MONTH(BInputReservoir[[#This Row],[Date]])</f>
        <v>12</v>
      </c>
      <c r="E920" s="30" t="str">
        <f>IF(I920&lt;&gt;1,"",DATA_INPUT!$M199)</f>
        <v/>
      </c>
      <c r="F920" s="30" t="str">
        <f>STORAGE_BALANCE_ENSEMBLE!BB199</f>
        <v/>
      </c>
      <c r="G920" s="30" t="str">
        <f>STORAGE_BALANCE_ENSEMBLE!BC199</f>
        <v/>
      </c>
      <c r="H920" s="30" t="str">
        <f>STORAGE_BALANCE_ENSEMBLE!BA199</f>
        <v/>
      </c>
      <c r="I920" s="18" t="str">
        <f t="shared" si="142"/>
        <v/>
      </c>
      <c r="J920" s="8" t="str">
        <f t="shared" si="134"/>
        <v/>
      </c>
      <c r="K920" s="9" t="str">
        <f t="shared" si="135"/>
        <v/>
      </c>
      <c r="L920" s="10" t="str">
        <f t="shared" si="136"/>
        <v/>
      </c>
      <c r="M920" s="10" t="str">
        <f>IF(I920&lt;&gt;1,"",IF(H920="","",H920/CONTROL_PANEL!$B$11))</f>
        <v/>
      </c>
      <c r="N920" s="9" t="str">
        <f t="shared" si="137"/>
        <v/>
      </c>
      <c r="O920" s="9" t="str">
        <f t="shared" si="138"/>
        <v/>
      </c>
      <c r="P920" s="9" t="str">
        <f t="shared" si="139"/>
        <v/>
      </c>
      <c r="Q920" s="9" t="str">
        <f t="shared" si="140"/>
        <v/>
      </c>
      <c r="R920" s="11"/>
      <c r="S920" s="11"/>
    </row>
    <row r="921" spans="1:19" x14ac:dyDescent="0.25">
      <c r="A921" s="30" t="s">
        <v>30</v>
      </c>
      <c r="B921" s="31">
        <f t="shared" si="141"/>
        <v>48214</v>
      </c>
      <c r="C921" s="30">
        <f>YEAR(BInputReservoir[[#This Row],[Date]])</f>
        <v>2032</v>
      </c>
      <c r="D921" s="30">
        <f>MONTH(BInputReservoir[[#This Row],[Date]])</f>
        <v>1</v>
      </c>
      <c r="E921" s="30" t="str">
        <f>IF(I921&lt;&gt;1,"",DATA_INPUT!$M200)</f>
        <v/>
      </c>
      <c r="F921" s="30" t="str">
        <f>STORAGE_BALANCE_ENSEMBLE!BB200</f>
        <v/>
      </c>
      <c r="G921" s="30" t="str">
        <f>STORAGE_BALANCE_ENSEMBLE!BC200</f>
        <v/>
      </c>
      <c r="H921" s="30" t="str">
        <f>STORAGE_BALANCE_ENSEMBLE!BA200</f>
        <v/>
      </c>
      <c r="I921" s="18" t="str">
        <f t="shared" si="142"/>
        <v/>
      </c>
      <c r="J921" s="8" t="str">
        <f t="shared" si="134"/>
        <v/>
      </c>
      <c r="K921" s="9" t="str">
        <f t="shared" si="135"/>
        <v/>
      </c>
      <c r="L921" s="10" t="str">
        <f t="shared" si="136"/>
        <v/>
      </c>
      <c r="M921" s="10" t="str">
        <f>IF(I921&lt;&gt;1,"",IF(H921="","",H921/CONTROL_PANEL!$B$11))</f>
        <v/>
      </c>
      <c r="N921" s="9" t="str">
        <f t="shared" si="137"/>
        <v/>
      </c>
      <c r="O921" s="9" t="str">
        <f t="shared" si="138"/>
        <v/>
      </c>
      <c r="P921" s="9" t="str">
        <f t="shared" si="139"/>
        <v/>
      </c>
      <c r="Q921" s="9" t="str">
        <f t="shared" si="140"/>
        <v/>
      </c>
      <c r="R921" s="11"/>
      <c r="S921" s="11"/>
    </row>
    <row r="922" spans="1:19" x14ac:dyDescent="0.25">
      <c r="A922" s="30" t="s">
        <v>30</v>
      </c>
      <c r="B922" s="31">
        <f t="shared" si="141"/>
        <v>48245</v>
      </c>
      <c r="C922" s="30">
        <f>YEAR(BInputReservoir[[#This Row],[Date]])</f>
        <v>2032</v>
      </c>
      <c r="D922" s="30">
        <f>MONTH(BInputReservoir[[#This Row],[Date]])</f>
        <v>2</v>
      </c>
      <c r="E922" s="30" t="str">
        <f>IF(I922&lt;&gt;1,"",DATA_INPUT!$M201)</f>
        <v/>
      </c>
      <c r="F922" s="30" t="str">
        <f>STORAGE_BALANCE_ENSEMBLE!BB201</f>
        <v/>
      </c>
      <c r="G922" s="30" t="str">
        <f>STORAGE_BALANCE_ENSEMBLE!BC201</f>
        <v/>
      </c>
      <c r="H922" s="30" t="str">
        <f>STORAGE_BALANCE_ENSEMBLE!BA201</f>
        <v/>
      </c>
      <c r="I922" s="18" t="str">
        <f t="shared" si="142"/>
        <v/>
      </c>
      <c r="J922" s="8" t="str">
        <f t="shared" si="134"/>
        <v/>
      </c>
      <c r="K922" s="9" t="str">
        <f t="shared" si="135"/>
        <v/>
      </c>
      <c r="L922" s="10" t="str">
        <f t="shared" si="136"/>
        <v/>
      </c>
      <c r="M922" s="10" t="str">
        <f>IF(I922&lt;&gt;1,"",IF(H922="","",H922/CONTROL_PANEL!$B$11))</f>
        <v/>
      </c>
      <c r="N922" s="9" t="str">
        <f t="shared" si="137"/>
        <v/>
      </c>
      <c r="O922" s="9" t="str">
        <f t="shared" si="138"/>
        <v/>
      </c>
      <c r="P922" s="9" t="str">
        <f t="shared" si="139"/>
        <v/>
      </c>
      <c r="Q922" s="9" t="str">
        <f t="shared" si="140"/>
        <v/>
      </c>
      <c r="R922" s="11"/>
      <c r="S922" s="11"/>
    </row>
    <row r="923" spans="1:19" x14ac:dyDescent="0.25">
      <c r="A923" s="30" t="s">
        <v>30</v>
      </c>
      <c r="B923" s="31">
        <f t="shared" si="141"/>
        <v>48274</v>
      </c>
      <c r="C923" s="30">
        <f>YEAR(BInputReservoir[[#This Row],[Date]])</f>
        <v>2032</v>
      </c>
      <c r="D923" s="30">
        <f>MONTH(BInputReservoir[[#This Row],[Date]])</f>
        <v>3</v>
      </c>
      <c r="E923" s="30" t="str">
        <f>IF(I923&lt;&gt;1,"",DATA_INPUT!$M202)</f>
        <v/>
      </c>
      <c r="F923" s="30" t="str">
        <f>STORAGE_BALANCE_ENSEMBLE!BB202</f>
        <v/>
      </c>
      <c r="G923" s="30" t="str">
        <f>STORAGE_BALANCE_ENSEMBLE!BC202</f>
        <v/>
      </c>
      <c r="H923" s="30" t="str">
        <f>STORAGE_BALANCE_ENSEMBLE!BA202</f>
        <v/>
      </c>
      <c r="I923" s="18" t="str">
        <f t="shared" si="142"/>
        <v/>
      </c>
      <c r="J923" s="8" t="str">
        <f t="shared" si="134"/>
        <v/>
      </c>
      <c r="K923" s="9" t="str">
        <f t="shared" si="135"/>
        <v/>
      </c>
      <c r="L923" s="10" t="str">
        <f t="shared" si="136"/>
        <v/>
      </c>
      <c r="M923" s="10" t="str">
        <f>IF(I923&lt;&gt;1,"",IF(H923="","",H923/CONTROL_PANEL!$B$11))</f>
        <v/>
      </c>
      <c r="N923" s="9" t="str">
        <f t="shared" si="137"/>
        <v/>
      </c>
      <c r="O923" s="9" t="str">
        <f t="shared" si="138"/>
        <v/>
      </c>
      <c r="P923" s="9" t="str">
        <f t="shared" si="139"/>
        <v/>
      </c>
      <c r="Q923" s="9" t="str">
        <f t="shared" si="140"/>
        <v/>
      </c>
      <c r="R923" s="11"/>
      <c r="S923" s="11"/>
    </row>
    <row r="924" spans="1:19" x14ac:dyDescent="0.25">
      <c r="A924" s="30" t="s">
        <v>30</v>
      </c>
      <c r="B924" s="31">
        <f t="shared" si="141"/>
        <v>48305</v>
      </c>
      <c r="C924" s="30">
        <f>YEAR(BInputReservoir[[#This Row],[Date]])</f>
        <v>2032</v>
      </c>
      <c r="D924" s="30">
        <f>MONTH(BInputReservoir[[#This Row],[Date]])</f>
        <v>4</v>
      </c>
      <c r="E924" s="30" t="str">
        <f>IF(I924&lt;&gt;1,"",DATA_INPUT!$M203)</f>
        <v/>
      </c>
      <c r="F924" s="30" t="str">
        <f>STORAGE_BALANCE_ENSEMBLE!BB203</f>
        <v/>
      </c>
      <c r="G924" s="30" t="str">
        <f>STORAGE_BALANCE_ENSEMBLE!BC203</f>
        <v/>
      </c>
      <c r="H924" s="30" t="str">
        <f>STORAGE_BALANCE_ENSEMBLE!BA203</f>
        <v/>
      </c>
      <c r="I924" s="18" t="str">
        <f t="shared" si="142"/>
        <v/>
      </c>
      <c r="J924" s="8" t="str">
        <f t="shared" si="134"/>
        <v/>
      </c>
      <c r="K924" s="9" t="str">
        <f t="shared" si="135"/>
        <v/>
      </c>
      <c r="L924" s="10" t="str">
        <f t="shared" si="136"/>
        <v/>
      </c>
      <c r="M924" s="10" t="str">
        <f>IF(I924&lt;&gt;1,"",IF(H924="","",H924/CONTROL_PANEL!$B$11))</f>
        <v/>
      </c>
      <c r="N924" s="9" t="str">
        <f t="shared" si="137"/>
        <v/>
      </c>
      <c r="O924" s="9" t="str">
        <f t="shared" si="138"/>
        <v/>
      </c>
      <c r="P924" s="9" t="str">
        <f t="shared" si="139"/>
        <v/>
      </c>
      <c r="Q924" s="9" t="str">
        <f t="shared" si="140"/>
        <v/>
      </c>
      <c r="R924" s="11"/>
      <c r="S924" s="11"/>
    </row>
    <row r="925" spans="1:19" x14ac:dyDescent="0.25">
      <c r="A925" s="30" t="s">
        <v>30</v>
      </c>
      <c r="B925" s="31">
        <f t="shared" si="141"/>
        <v>48335</v>
      </c>
      <c r="C925" s="30">
        <f>YEAR(BInputReservoir[[#This Row],[Date]])</f>
        <v>2032</v>
      </c>
      <c r="D925" s="30">
        <f>MONTH(BInputReservoir[[#This Row],[Date]])</f>
        <v>5</v>
      </c>
      <c r="E925" s="30" t="str">
        <f>IF(I925&lt;&gt;1,"",DATA_INPUT!$M204)</f>
        <v/>
      </c>
      <c r="F925" s="30" t="str">
        <f>STORAGE_BALANCE_ENSEMBLE!BB204</f>
        <v/>
      </c>
      <c r="G925" s="30" t="str">
        <f>STORAGE_BALANCE_ENSEMBLE!BC204</f>
        <v/>
      </c>
      <c r="H925" s="30" t="str">
        <f>STORAGE_BALANCE_ENSEMBLE!BA204</f>
        <v/>
      </c>
      <c r="I925" s="18" t="str">
        <f t="shared" si="142"/>
        <v/>
      </c>
      <c r="J925" s="8" t="str">
        <f t="shared" si="134"/>
        <v/>
      </c>
      <c r="K925" s="9" t="str">
        <f t="shared" si="135"/>
        <v/>
      </c>
      <c r="L925" s="10" t="str">
        <f t="shared" si="136"/>
        <v/>
      </c>
      <c r="M925" s="10" t="str">
        <f>IF(I925&lt;&gt;1,"",IF(H925="","",H925/CONTROL_PANEL!$B$11))</f>
        <v/>
      </c>
      <c r="N925" s="9" t="str">
        <f t="shared" si="137"/>
        <v/>
      </c>
      <c r="O925" s="9" t="str">
        <f t="shared" si="138"/>
        <v/>
      </c>
      <c r="P925" s="9" t="str">
        <f t="shared" si="139"/>
        <v/>
      </c>
      <c r="Q925" s="9" t="str">
        <f t="shared" si="140"/>
        <v/>
      </c>
      <c r="R925" s="11"/>
      <c r="S925" s="11"/>
    </row>
    <row r="926" spans="1:19" x14ac:dyDescent="0.25">
      <c r="A926" s="30" t="s">
        <v>30</v>
      </c>
      <c r="B926" s="31">
        <f t="shared" si="141"/>
        <v>48366</v>
      </c>
      <c r="C926" s="30">
        <f>YEAR(BInputReservoir[[#This Row],[Date]])</f>
        <v>2032</v>
      </c>
      <c r="D926" s="30">
        <f>MONTH(BInputReservoir[[#This Row],[Date]])</f>
        <v>6</v>
      </c>
      <c r="E926" s="30" t="str">
        <f>IF(I926&lt;&gt;1,"",DATA_INPUT!$M205)</f>
        <v/>
      </c>
      <c r="F926" s="30" t="str">
        <f>STORAGE_BALANCE_ENSEMBLE!BB205</f>
        <v/>
      </c>
      <c r="G926" s="30" t="str">
        <f>STORAGE_BALANCE_ENSEMBLE!BC205</f>
        <v/>
      </c>
      <c r="H926" s="30" t="str">
        <f>STORAGE_BALANCE_ENSEMBLE!BA205</f>
        <v/>
      </c>
      <c r="I926" s="18" t="str">
        <f t="shared" si="142"/>
        <v/>
      </c>
      <c r="J926" s="8" t="str">
        <f t="shared" si="134"/>
        <v/>
      </c>
      <c r="K926" s="9" t="str">
        <f t="shared" si="135"/>
        <v/>
      </c>
      <c r="L926" s="10" t="str">
        <f t="shared" si="136"/>
        <v/>
      </c>
      <c r="M926" s="10" t="str">
        <f>IF(I926&lt;&gt;1,"",IF(H926="","",H926/CONTROL_PANEL!$B$11))</f>
        <v/>
      </c>
      <c r="N926" s="9" t="str">
        <f t="shared" si="137"/>
        <v/>
      </c>
      <c r="O926" s="9" t="str">
        <f t="shared" si="138"/>
        <v/>
      </c>
      <c r="P926" s="9" t="str">
        <f t="shared" si="139"/>
        <v/>
      </c>
      <c r="Q926" s="9" t="str">
        <f t="shared" si="140"/>
        <v/>
      </c>
      <c r="R926" s="11"/>
      <c r="S926" s="11"/>
    </row>
    <row r="927" spans="1:19" x14ac:dyDescent="0.25">
      <c r="A927" s="30" t="s">
        <v>30</v>
      </c>
      <c r="B927" s="31">
        <f t="shared" si="141"/>
        <v>48396</v>
      </c>
      <c r="C927" s="30">
        <f>YEAR(BInputReservoir[[#This Row],[Date]])</f>
        <v>2032</v>
      </c>
      <c r="D927" s="30">
        <f>MONTH(BInputReservoir[[#This Row],[Date]])</f>
        <v>7</v>
      </c>
      <c r="E927" s="30" t="str">
        <f>IF(I927&lt;&gt;1,"",DATA_INPUT!$M206)</f>
        <v/>
      </c>
      <c r="F927" s="30" t="str">
        <f>STORAGE_BALANCE_ENSEMBLE!BB206</f>
        <v/>
      </c>
      <c r="G927" s="30" t="str">
        <f>STORAGE_BALANCE_ENSEMBLE!BC206</f>
        <v/>
      </c>
      <c r="H927" s="30" t="str">
        <f>STORAGE_BALANCE_ENSEMBLE!BA206</f>
        <v/>
      </c>
      <c r="I927" s="18" t="str">
        <f t="shared" si="142"/>
        <v/>
      </c>
      <c r="J927" s="8" t="str">
        <f t="shared" si="134"/>
        <v/>
      </c>
      <c r="K927" s="9" t="str">
        <f t="shared" si="135"/>
        <v/>
      </c>
      <c r="L927" s="10" t="str">
        <f t="shared" si="136"/>
        <v/>
      </c>
      <c r="M927" s="10" t="str">
        <f>IF(I927&lt;&gt;1,"",IF(H927="","",H927/CONTROL_PANEL!$B$11))</f>
        <v/>
      </c>
      <c r="N927" s="9" t="str">
        <f t="shared" si="137"/>
        <v/>
      </c>
      <c r="O927" s="9" t="str">
        <f t="shared" si="138"/>
        <v/>
      </c>
      <c r="P927" s="9" t="str">
        <f t="shared" si="139"/>
        <v/>
      </c>
      <c r="Q927" s="9" t="str">
        <f t="shared" si="140"/>
        <v/>
      </c>
      <c r="R927" s="11"/>
      <c r="S927" s="11"/>
    </row>
    <row r="928" spans="1:19" x14ac:dyDescent="0.25">
      <c r="A928" s="30" t="s">
        <v>30</v>
      </c>
      <c r="B928" s="31">
        <f t="shared" si="141"/>
        <v>48427</v>
      </c>
      <c r="C928" s="30">
        <f>YEAR(BInputReservoir[[#This Row],[Date]])</f>
        <v>2032</v>
      </c>
      <c r="D928" s="30">
        <f>MONTH(BInputReservoir[[#This Row],[Date]])</f>
        <v>8</v>
      </c>
      <c r="E928" s="30" t="str">
        <f>IF(I928&lt;&gt;1,"",DATA_INPUT!$M207)</f>
        <v/>
      </c>
      <c r="F928" s="30" t="str">
        <f>STORAGE_BALANCE_ENSEMBLE!BB207</f>
        <v/>
      </c>
      <c r="G928" s="30" t="str">
        <f>STORAGE_BALANCE_ENSEMBLE!BC207</f>
        <v/>
      </c>
      <c r="H928" s="30" t="str">
        <f>STORAGE_BALANCE_ENSEMBLE!BA207</f>
        <v/>
      </c>
      <c r="I928" s="18" t="str">
        <f t="shared" si="142"/>
        <v/>
      </c>
      <c r="J928" s="8" t="str">
        <f t="shared" si="134"/>
        <v/>
      </c>
      <c r="K928" s="9" t="str">
        <f t="shared" si="135"/>
        <v/>
      </c>
      <c r="L928" s="10" t="str">
        <f t="shared" si="136"/>
        <v/>
      </c>
      <c r="M928" s="10" t="str">
        <f>IF(I928&lt;&gt;1,"",IF(H928="","",H928/CONTROL_PANEL!$B$11))</f>
        <v/>
      </c>
      <c r="N928" s="9" t="str">
        <f t="shared" si="137"/>
        <v/>
      </c>
      <c r="O928" s="9" t="str">
        <f t="shared" si="138"/>
        <v/>
      </c>
      <c r="P928" s="9" t="str">
        <f t="shared" si="139"/>
        <v/>
      </c>
      <c r="Q928" s="9" t="str">
        <f t="shared" si="140"/>
        <v/>
      </c>
      <c r="R928" s="11"/>
      <c r="S928" s="11"/>
    </row>
    <row r="929" spans="1:19" x14ac:dyDescent="0.25">
      <c r="A929" s="30" t="s">
        <v>30</v>
      </c>
      <c r="B929" s="31">
        <f t="shared" si="141"/>
        <v>48458</v>
      </c>
      <c r="C929" s="30">
        <f>YEAR(BInputReservoir[[#This Row],[Date]])</f>
        <v>2032</v>
      </c>
      <c r="D929" s="30">
        <f>MONTH(BInputReservoir[[#This Row],[Date]])</f>
        <v>9</v>
      </c>
      <c r="E929" s="30" t="str">
        <f>IF(I929&lt;&gt;1,"",DATA_INPUT!$M208)</f>
        <v/>
      </c>
      <c r="F929" s="30" t="str">
        <f>STORAGE_BALANCE_ENSEMBLE!BB208</f>
        <v/>
      </c>
      <c r="G929" s="30" t="str">
        <f>STORAGE_BALANCE_ENSEMBLE!BC208</f>
        <v/>
      </c>
      <c r="H929" s="30" t="str">
        <f>STORAGE_BALANCE_ENSEMBLE!BA208</f>
        <v/>
      </c>
      <c r="I929" s="18" t="str">
        <f t="shared" si="142"/>
        <v/>
      </c>
      <c r="J929" s="8" t="str">
        <f t="shared" si="134"/>
        <v/>
      </c>
      <c r="K929" s="9" t="str">
        <f t="shared" si="135"/>
        <v/>
      </c>
      <c r="L929" s="10" t="str">
        <f t="shared" si="136"/>
        <v/>
      </c>
      <c r="M929" s="10" t="str">
        <f>IF(I929&lt;&gt;1,"",IF(H929="","",H929/CONTROL_PANEL!$B$11))</f>
        <v/>
      </c>
      <c r="N929" s="9" t="str">
        <f t="shared" si="137"/>
        <v/>
      </c>
      <c r="O929" s="9" t="str">
        <f t="shared" si="138"/>
        <v/>
      </c>
      <c r="P929" s="9" t="str">
        <f t="shared" si="139"/>
        <v/>
      </c>
      <c r="Q929" s="9" t="str">
        <f t="shared" si="140"/>
        <v/>
      </c>
      <c r="R929" s="11"/>
      <c r="S929" s="11"/>
    </row>
    <row r="930" spans="1:19" x14ac:dyDescent="0.25">
      <c r="A930" s="30" t="s">
        <v>30</v>
      </c>
      <c r="B930" s="31">
        <f t="shared" si="141"/>
        <v>48488</v>
      </c>
      <c r="C930" s="30">
        <f>YEAR(BInputReservoir[[#This Row],[Date]])</f>
        <v>2032</v>
      </c>
      <c r="D930" s="30">
        <f>MONTH(BInputReservoir[[#This Row],[Date]])</f>
        <v>10</v>
      </c>
      <c r="E930" s="30" t="str">
        <f>IF(I930&lt;&gt;1,"",DATA_INPUT!$M209)</f>
        <v/>
      </c>
      <c r="F930" s="30" t="str">
        <f>STORAGE_BALANCE_ENSEMBLE!BB209</f>
        <v/>
      </c>
      <c r="G930" s="30" t="str">
        <f>STORAGE_BALANCE_ENSEMBLE!BC209</f>
        <v/>
      </c>
      <c r="H930" s="30" t="str">
        <f>STORAGE_BALANCE_ENSEMBLE!BA209</f>
        <v/>
      </c>
      <c r="I930" s="18" t="str">
        <f t="shared" si="142"/>
        <v/>
      </c>
      <c r="J930" s="8" t="str">
        <f t="shared" si="134"/>
        <v/>
      </c>
      <c r="K930" s="9" t="str">
        <f t="shared" si="135"/>
        <v/>
      </c>
      <c r="L930" s="10" t="str">
        <f t="shared" si="136"/>
        <v/>
      </c>
      <c r="M930" s="10" t="str">
        <f>IF(I930&lt;&gt;1,"",IF(H930="","",H930/CONTROL_PANEL!$B$11))</f>
        <v/>
      </c>
      <c r="N930" s="9" t="str">
        <f t="shared" si="137"/>
        <v/>
      </c>
      <c r="O930" s="9" t="str">
        <f t="shared" si="138"/>
        <v/>
      </c>
      <c r="P930" s="9" t="str">
        <f t="shared" si="139"/>
        <v/>
      </c>
      <c r="Q930" s="9" t="str">
        <f t="shared" si="140"/>
        <v/>
      </c>
      <c r="R930" s="11"/>
      <c r="S930" s="11"/>
    </row>
    <row r="931" spans="1:19" x14ac:dyDescent="0.25">
      <c r="A931" s="30" t="s">
        <v>30</v>
      </c>
      <c r="B931" s="31">
        <f t="shared" si="141"/>
        <v>48519</v>
      </c>
      <c r="C931" s="30">
        <f>YEAR(BInputReservoir[[#This Row],[Date]])</f>
        <v>2032</v>
      </c>
      <c r="D931" s="30">
        <f>MONTH(BInputReservoir[[#This Row],[Date]])</f>
        <v>11</v>
      </c>
      <c r="E931" s="30" t="str">
        <f>IF(I931&lt;&gt;1,"",DATA_INPUT!$M210)</f>
        <v/>
      </c>
      <c r="F931" s="30" t="str">
        <f>STORAGE_BALANCE_ENSEMBLE!BB210</f>
        <v/>
      </c>
      <c r="G931" s="30" t="str">
        <f>STORAGE_BALANCE_ENSEMBLE!BC210</f>
        <v/>
      </c>
      <c r="H931" s="30" t="str">
        <f>STORAGE_BALANCE_ENSEMBLE!BA210</f>
        <v/>
      </c>
      <c r="I931" s="18" t="str">
        <f t="shared" si="142"/>
        <v/>
      </c>
      <c r="J931" s="8" t="str">
        <f t="shared" si="134"/>
        <v/>
      </c>
      <c r="K931" s="9" t="str">
        <f t="shared" si="135"/>
        <v/>
      </c>
      <c r="L931" s="10" t="str">
        <f t="shared" si="136"/>
        <v/>
      </c>
      <c r="M931" s="10" t="str">
        <f>IF(I931&lt;&gt;1,"",IF(H931="","",H931/CONTROL_PANEL!$B$11))</f>
        <v/>
      </c>
      <c r="N931" s="9" t="str">
        <f t="shared" si="137"/>
        <v/>
      </c>
      <c r="O931" s="9" t="str">
        <f t="shared" si="138"/>
        <v/>
      </c>
      <c r="P931" s="9" t="str">
        <f t="shared" si="139"/>
        <v/>
      </c>
      <c r="Q931" s="9" t="str">
        <f t="shared" si="140"/>
        <v/>
      </c>
      <c r="R931" s="11"/>
      <c r="S931" s="11"/>
    </row>
    <row r="932" spans="1:19" x14ac:dyDescent="0.25">
      <c r="A932" s="30" t="s">
        <v>30</v>
      </c>
      <c r="B932" s="31">
        <f t="shared" si="141"/>
        <v>48549</v>
      </c>
      <c r="C932" s="30">
        <f>YEAR(BInputReservoir[[#This Row],[Date]])</f>
        <v>2032</v>
      </c>
      <c r="D932" s="30">
        <f>MONTH(BInputReservoir[[#This Row],[Date]])</f>
        <v>12</v>
      </c>
      <c r="E932" s="30" t="str">
        <f>IF(I932&lt;&gt;1,"",DATA_INPUT!$M211)</f>
        <v/>
      </c>
      <c r="F932" s="30" t="str">
        <f>STORAGE_BALANCE_ENSEMBLE!BB211</f>
        <v/>
      </c>
      <c r="G932" s="30" t="str">
        <f>STORAGE_BALANCE_ENSEMBLE!BC211</f>
        <v/>
      </c>
      <c r="H932" s="30" t="str">
        <f>STORAGE_BALANCE_ENSEMBLE!BA211</f>
        <v/>
      </c>
      <c r="I932" s="18" t="str">
        <f t="shared" si="142"/>
        <v/>
      </c>
      <c r="J932" s="8" t="str">
        <f t="shared" si="134"/>
        <v/>
      </c>
      <c r="K932" s="9" t="str">
        <f t="shared" si="135"/>
        <v/>
      </c>
      <c r="L932" s="10" t="str">
        <f t="shared" si="136"/>
        <v/>
      </c>
      <c r="M932" s="10" t="str">
        <f>IF(I932&lt;&gt;1,"",IF(H932="","",H932/CONTROL_PANEL!$B$11))</f>
        <v/>
      </c>
      <c r="N932" s="9" t="str">
        <f t="shared" si="137"/>
        <v/>
      </c>
      <c r="O932" s="9" t="str">
        <f t="shared" si="138"/>
        <v/>
      </c>
      <c r="P932" s="9" t="str">
        <f t="shared" si="139"/>
        <v/>
      </c>
      <c r="Q932" s="9" t="str">
        <f t="shared" si="140"/>
        <v/>
      </c>
      <c r="R932" s="11"/>
      <c r="S932" s="11"/>
    </row>
    <row r="933" spans="1:19" x14ac:dyDescent="0.25">
      <c r="A933" s="30" t="s">
        <v>30</v>
      </c>
      <c r="B933" s="31">
        <f t="shared" si="141"/>
        <v>48580</v>
      </c>
      <c r="C933" s="30">
        <f>YEAR(BInputReservoir[[#This Row],[Date]])</f>
        <v>2033</v>
      </c>
      <c r="D933" s="30">
        <f>MONTH(BInputReservoir[[#This Row],[Date]])</f>
        <v>1</v>
      </c>
      <c r="E933" s="30" t="str">
        <f>IF(I933&lt;&gt;1,"",DATA_INPUT!$M212)</f>
        <v/>
      </c>
      <c r="F933" s="30" t="str">
        <f>STORAGE_BALANCE_ENSEMBLE!BB212</f>
        <v/>
      </c>
      <c r="G933" s="30" t="str">
        <f>STORAGE_BALANCE_ENSEMBLE!BC212</f>
        <v/>
      </c>
      <c r="H933" s="30" t="str">
        <f>STORAGE_BALANCE_ENSEMBLE!BA212</f>
        <v/>
      </c>
      <c r="I933" s="18" t="str">
        <f t="shared" si="142"/>
        <v/>
      </c>
      <c r="J933" s="8" t="str">
        <f t="shared" si="134"/>
        <v/>
      </c>
      <c r="K933" s="9" t="str">
        <f t="shared" si="135"/>
        <v/>
      </c>
      <c r="L933" s="10" t="str">
        <f t="shared" si="136"/>
        <v/>
      </c>
      <c r="M933" s="10" t="str">
        <f>IF(I933&lt;&gt;1,"",IF(H933="","",H933/CONTROL_PANEL!$B$11))</f>
        <v/>
      </c>
      <c r="N933" s="9" t="str">
        <f t="shared" si="137"/>
        <v/>
      </c>
      <c r="O933" s="9" t="str">
        <f t="shared" si="138"/>
        <v/>
      </c>
      <c r="P933" s="9" t="str">
        <f t="shared" si="139"/>
        <v/>
      </c>
      <c r="Q933" s="9" t="str">
        <f t="shared" si="140"/>
        <v/>
      </c>
      <c r="R933" s="11"/>
      <c r="S933" s="11"/>
    </row>
    <row r="934" spans="1:19" x14ac:dyDescent="0.25">
      <c r="A934" s="30" t="s">
        <v>30</v>
      </c>
      <c r="B934" s="31">
        <f t="shared" si="141"/>
        <v>48611</v>
      </c>
      <c r="C934" s="30">
        <f>YEAR(BInputReservoir[[#This Row],[Date]])</f>
        <v>2033</v>
      </c>
      <c r="D934" s="30">
        <f>MONTH(BInputReservoir[[#This Row],[Date]])</f>
        <v>2</v>
      </c>
      <c r="E934" s="30" t="str">
        <f>IF(I934&lt;&gt;1,"",DATA_INPUT!$M213)</f>
        <v/>
      </c>
      <c r="F934" s="30" t="str">
        <f>STORAGE_BALANCE_ENSEMBLE!BB213</f>
        <v/>
      </c>
      <c r="G934" s="30" t="str">
        <f>STORAGE_BALANCE_ENSEMBLE!BC213</f>
        <v/>
      </c>
      <c r="H934" s="30" t="str">
        <f>STORAGE_BALANCE_ENSEMBLE!BA213</f>
        <v/>
      </c>
      <c r="I934" s="18" t="str">
        <f t="shared" si="142"/>
        <v/>
      </c>
      <c r="J934" s="8" t="str">
        <f t="shared" si="134"/>
        <v/>
      </c>
      <c r="K934" s="9" t="str">
        <f t="shared" si="135"/>
        <v/>
      </c>
      <c r="L934" s="10" t="str">
        <f t="shared" si="136"/>
        <v/>
      </c>
      <c r="M934" s="10" t="str">
        <f>IF(I934&lt;&gt;1,"",IF(H934="","",H934/CONTROL_PANEL!$B$11))</f>
        <v/>
      </c>
      <c r="N934" s="9" t="str">
        <f t="shared" si="137"/>
        <v/>
      </c>
      <c r="O934" s="9" t="str">
        <f t="shared" si="138"/>
        <v/>
      </c>
      <c r="P934" s="9" t="str">
        <f t="shared" si="139"/>
        <v/>
      </c>
      <c r="Q934" s="9" t="str">
        <f t="shared" si="140"/>
        <v/>
      </c>
      <c r="R934" s="11"/>
      <c r="S934" s="11"/>
    </row>
    <row r="935" spans="1:19" x14ac:dyDescent="0.25">
      <c r="A935" s="30" t="s">
        <v>30</v>
      </c>
      <c r="B935" s="31">
        <f t="shared" si="141"/>
        <v>48639</v>
      </c>
      <c r="C935" s="30">
        <f>YEAR(BInputReservoir[[#This Row],[Date]])</f>
        <v>2033</v>
      </c>
      <c r="D935" s="30">
        <f>MONTH(BInputReservoir[[#This Row],[Date]])</f>
        <v>3</v>
      </c>
      <c r="E935" s="30" t="str">
        <f>IF(I935&lt;&gt;1,"",DATA_INPUT!$M214)</f>
        <v/>
      </c>
      <c r="F935" s="30" t="str">
        <f>STORAGE_BALANCE_ENSEMBLE!BB214</f>
        <v/>
      </c>
      <c r="G935" s="30" t="str">
        <f>STORAGE_BALANCE_ENSEMBLE!BC214</f>
        <v/>
      </c>
      <c r="H935" s="30" t="str">
        <f>STORAGE_BALANCE_ENSEMBLE!BA214</f>
        <v/>
      </c>
      <c r="I935" s="18" t="str">
        <f t="shared" si="142"/>
        <v/>
      </c>
      <c r="J935" s="8" t="str">
        <f t="shared" si="134"/>
        <v/>
      </c>
      <c r="K935" s="9" t="str">
        <f t="shared" si="135"/>
        <v/>
      </c>
      <c r="L935" s="10" t="str">
        <f t="shared" si="136"/>
        <v/>
      </c>
      <c r="M935" s="10" t="str">
        <f>IF(I935&lt;&gt;1,"",IF(H935="","",H935/CONTROL_PANEL!$B$11))</f>
        <v/>
      </c>
      <c r="N935" s="9" t="str">
        <f t="shared" si="137"/>
        <v/>
      </c>
      <c r="O935" s="9" t="str">
        <f t="shared" si="138"/>
        <v/>
      </c>
      <c r="P935" s="9" t="str">
        <f t="shared" si="139"/>
        <v/>
      </c>
      <c r="Q935" s="9" t="str">
        <f t="shared" si="140"/>
        <v/>
      </c>
      <c r="R935" s="11"/>
      <c r="S935" s="11"/>
    </row>
    <row r="936" spans="1:19" x14ac:dyDescent="0.25">
      <c r="A936" s="30" t="s">
        <v>30</v>
      </c>
      <c r="B936" s="31">
        <f t="shared" si="141"/>
        <v>48670</v>
      </c>
      <c r="C936" s="30">
        <f>YEAR(BInputReservoir[[#This Row],[Date]])</f>
        <v>2033</v>
      </c>
      <c r="D936" s="30">
        <f>MONTH(BInputReservoir[[#This Row],[Date]])</f>
        <v>4</v>
      </c>
      <c r="E936" s="30" t="str">
        <f>IF(I936&lt;&gt;1,"",DATA_INPUT!$M215)</f>
        <v/>
      </c>
      <c r="F936" s="30" t="str">
        <f>STORAGE_BALANCE_ENSEMBLE!BB215</f>
        <v/>
      </c>
      <c r="G936" s="30" t="str">
        <f>STORAGE_BALANCE_ENSEMBLE!BC215</f>
        <v/>
      </c>
      <c r="H936" s="30" t="str">
        <f>STORAGE_BALANCE_ENSEMBLE!BA215</f>
        <v/>
      </c>
      <c r="I936" s="18" t="str">
        <f t="shared" si="142"/>
        <v/>
      </c>
      <c r="J936" s="8" t="str">
        <f t="shared" si="134"/>
        <v/>
      </c>
      <c r="K936" s="9" t="str">
        <f t="shared" si="135"/>
        <v/>
      </c>
      <c r="L936" s="10" t="str">
        <f t="shared" si="136"/>
        <v/>
      </c>
      <c r="M936" s="10" t="str">
        <f>IF(I936&lt;&gt;1,"",IF(H936="","",H936/CONTROL_PANEL!$B$11))</f>
        <v/>
      </c>
      <c r="N936" s="9" t="str">
        <f t="shared" si="137"/>
        <v/>
      </c>
      <c r="O936" s="9" t="str">
        <f t="shared" si="138"/>
        <v/>
      </c>
      <c r="P936" s="9" t="str">
        <f t="shared" si="139"/>
        <v/>
      </c>
      <c r="Q936" s="9" t="str">
        <f t="shared" si="140"/>
        <v/>
      </c>
      <c r="R936" s="11"/>
      <c r="S936" s="11"/>
    </row>
    <row r="937" spans="1:19" x14ac:dyDescent="0.25">
      <c r="A937" s="30" t="s">
        <v>30</v>
      </c>
      <c r="B937" s="31">
        <f t="shared" si="141"/>
        <v>48700</v>
      </c>
      <c r="C937" s="30">
        <f>YEAR(BInputReservoir[[#This Row],[Date]])</f>
        <v>2033</v>
      </c>
      <c r="D937" s="30">
        <f>MONTH(BInputReservoir[[#This Row],[Date]])</f>
        <v>5</v>
      </c>
      <c r="E937" s="30" t="str">
        <f>IF(I937&lt;&gt;1,"",DATA_INPUT!$M216)</f>
        <v/>
      </c>
      <c r="F937" s="30" t="str">
        <f>STORAGE_BALANCE_ENSEMBLE!BB216</f>
        <v/>
      </c>
      <c r="G937" s="30" t="str">
        <f>STORAGE_BALANCE_ENSEMBLE!BC216</f>
        <v/>
      </c>
      <c r="H937" s="30" t="str">
        <f>STORAGE_BALANCE_ENSEMBLE!BA216</f>
        <v/>
      </c>
      <c r="I937" s="18" t="str">
        <f t="shared" si="142"/>
        <v/>
      </c>
      <c r="J937" s="8" t="str">
        <f t="shared" si="134"/>
        <v/>
      </c>
      <c r="K937" s="9" t="str">
        <f t="shared" si="135"/>
        <v/>
      </c>
      <c r="L937" s="10" t="str">
        <f t="shared" si="136"/>
        <v/>
      </c>
      <c r="M937" s="10" t="str">
        <f>IF(I937&lt;&gt;1,"",IF(H937="","",H937/CONTROL_PANEL!$B$11))</f>
        <v/>
      </c>
      <c r="N937" s="9" t="str">
        <f t="shared" si="137"/>
        <v/>
      </c>
      <c r="O937" s="9" t="str">
        <f t="shared" si="138"/>
        <v/>
      </c>
      <c r="P937" s="9" t="str">
        <f t="shared" si="139"/>
        <v/>
      </c>
      <c r="Q937" s="9" t="str">
        <f t="shared" si="140"/>
        <v/>
      </c>
      <c r="R937" s="11"/>
      <c r="S937" s="11"/>
    </row>
    <row r="938" spans="1:19" x14ac:dyDescent="0.25">
      <c r="A938" s="30" t="s">
        <v>30</v>
      </c>
      <c r="B938" s="31">
        <f t="shared" si="141"/>
        <v>48731</v>
      </c>
      <c r="C938" s="30">
        <f>YEAR(BInputReservoir[[#This Row],[Date]])</f>
        <v>2033</v>
      </c>
      <c r="D938" s="30">
        <f>MONTH(BInputReservoir[[#This Row],[Date]])</f>
        <v>6</v>
      </c>
      <c r="E938" s="30" t="str">
        <f>IF(I938&lt;&gt;1,"",DATA_INPUT!$M217)</f>
        <v/>
      </c>
      <c r="F938" s="30" t="str">
        <f>STORAGE_BALANCE_ENSEMBLE!BB217</f>
        <v/>
      </c>
      <c r="G938" s="30" t="str">
        <f>STORAGE_BALANCE_ENSEMBLE!BC217</f>
        <v/>
      </c>
      <c r="H938" s="30" t="str">
        <f>STORAGE_BALANCE_ENSEMBLE!BA217</f>
        <v/>
      </c>
      <c r="I938" s="18" t="str">
        <f t="shared" si="142"/>
        <v/>
      </c>
      <c r="J938" s="8" t="str">
        <f t="shared" si="134"/>
        <v/>
      </c>
      <c r="K938" s="9" t="str">
        <f t="shared" si="135"/>
        <v/>
      </c>
      <c r="L938" s="10" t="str">
        <f t="shared" si="136"/>
        <v/>
      </c>
      <c r="M938" s="10" t="str">
        <f>IF(I938&lt;&gt;1,"",IF(H938="","",H938/CONTROL_PANEL!$B$11))</f>
        <v/>
      </c>
      <c r="N938" s="9" t="str">
        <f t="shared" si="137"/>
        <v/>
      </c>
      <c r="O938" s="9" t="str">
        <f t="shared" si="138"/>
        <v/>
      </c>
      <c r="P938" s="9" t="str">
        <f t="shared" si="139"/>
        <v/>
      </c>
      <c r="Q938" s="9" t="str">
        <f t="shared" si="140"/>
        <v/>
      </c>
      <c r="R938" s="11"/>
      <c r="S938" s="11"/>
    </row>
    <row r="939" spans="1:19" x14ac:dyDescent="0.25">
      <c r="A939" s="30" t="s">
        <v>30</v>
      </c>
      <c r="B939" s="31">
        <f t="shared" si="141"/>
        <v>48761</v>
      </c>
      <c r="C939" s="30">
        <f>YEAR(BInputReservoir[[#This Row],[Date]])</f>
        <v>2033</v>
      </c>
      <c r="D939" s="30">
        <f>MONTH(BInputReservoir[[#This Row],[Date]])</f>
        <v>7</v>
      </c>
      <c r="E939" s="30" t="str">
        <f>IF(I939&lt;&gt;1,"",DATA_INPUT!$M218)</f>
        <v/>
      </c>
      <c r="F939" s="30" t="str">
        <f>STORAGE_BALANCE_ENSEMBLE!BB218</f>
        <v/>
      </c>
      <c r="G939" s="30" t="str">
        <f>STORAGE_BALANCE_ENSEMBLE!BC218</f>
        <v/>
      </c>
      <c r="H939" s="30" t="str">
        <f>STORAGE_BALANCE_ENSEMBLE!BA218</f>
        <v/>
      </c>
      <c r="I939" s="18" t="str">
        <f t="shared" si="142"/>
        <v/>
      </c>
      <c r="J939" s="8" t="str">
        <f t="shared" si="134"/>
        <v/>
      </c>
      <c r="K939" s="9" t="str">
        <f t="shared" si="135"/>
        <v/>
      </c>
      <c r="L939" s="10" t="str">
        <f t="shared" si="136"/>
        <v/>
      </c>
      <c r="M939" s="10" t="str">
        <f>IF(I939&lt;&gt;1,"",IF(H939="","",H939/CONTROL_PANEL!$B$11))</f>
        <v/>
      </c>
      <c r="N939" s="9" t="str">
        <f t="shared" si="137"/>
        <v/>
      </c>
      <c r="O939" s="9" t="str">
        <f t="shared" si="138"/>
        <v/>
      </c>
      <c r="P939" s="9" t="str">
        <f t="shared" si="139"/>
        <v/>
      </c>
      <c r="Q939" s="9" t="str">
        <f t="shared" si="140"/>
        <v/>
      </c>
      <c r="R939" s="11"/>
      <c r="S939" s="11"/>
    </row>
    <row r="940" spans="1:19" x14ac:dyDescent="0.25">
      <c r="A940" s="30" t="s">
        <v>30</v>
      </c>
      <c r="B940" s="31">
        <f t="shared" si="141"/>
        <v>48792</v>
      </c>
      <c r="C940" s="30">
        <f>YEAR(BInputReservoir[[#This Row],[Date]])</f>
        <v>2033</v>
      </c>
      <c r="D940" s="30">
        <f>MONTH(BInputReservoir[[#This Row],[Date]])</f>
        <v>8</v>
      </c>
      <c r="E940" s="30" t="str">
        <f>IF(I940&lt;&gt;1,"",DATA_INPUT!$M219)</f>
        <v/>
      </c>
      <c r="F940" s="30" t="str">
        <f>STORAGE_BALANCE_ENSEMBLE!BB219</f>
        <v/>
      </c>
      <c r="G940" s="30" t="str">
        <f>STORAGE_BALANCE_ENSEMBLE!BC219</f>
        <v/>
      </c>
      <c r="H940" s="30" t="str">
        <f>STORAGE_BALANCE_ENSEMBLE!BA219</f>
        <v/>
      </c>
      <c r="I940" s="18" t="str">
        <f t="shared" si="142"/>
        <v/>
      </c>
      <c r="J940" s="8" t="str">
        <f t="shared" si="134"/>
        <v/>
      </c>
      <c r="K940" s="9" t="str">
        <f t="shared" si="135"/>
        <v/>
      </c>
      <c r="L940" s="10" t="str">
        <f t="shared" si="136"/>
        <v/>
      </c>
      <c r="M940" s="10" t="str">
        <f>IF(I940&lt;&gt;1,"",IF(H940="","",H940/CONTROL_PANEL!$B$11))</f>
        <v/>
      </c>
      <c r="N940" s="9" t="str">
        <f t="shared" si="137"/>
        <v/>
      </c>
      <c r="O940" s="9" t="str">
        <f t="shared" si="138"/>
        <v/>
      </c>
      <c r="P940" s="9" t="str">
        <f t="shared" si="139"/>
        <v/>
      </c>
      <c r="Q940" s="9" t="str">
        <f t="shared" si="140"/>
        <v/>
      </c>
      <c r="R940" s="11"/>
      <c r="S940" s="11"/>
    </row>
    <row r="941" spans="1:19" x14ac:dyDescent="0.25">
      <c r="A941" s="30" t="s">
        <v>30</v>
      </c>
      <c r="B941" s="31">
        <f t="shared" si="141"/>
        <v>48823</v>
      </c>
      <c r="C941" s="30">
        <f>YEAR(BInputReservoir[[#This Row],[Date]])</f>
        <v>2033</v>
      </c>
      <c r="D941" s="30">
        <f>MONTH(BInputReservoir[[#This Row],[Date]])</f>
        <v>9</v>
      </c>
      <c r="E941" s="30" t="str">
        <f>IF(I941&lt;&gt;1,"",DATA_INPUT!$M220)</f>
        <v/>
      </c>
      <c r="F941" s="30" t="str">
        <f>STORAGE_BALANCE_ENSEMBLE!BB220</f>
        <v/>
      </c>
      <c r="G941" s="30" t="str">
        <f>STORAGE_BALANCE_ENSEMBLE!BC220</f>
        <v/>
      </c>
      <c r="H941" s="30" t="str">
        <f>STORAGE_BALANCE_ENSEMBLE!BA220</f>
        <v/>
      </c>
      <c r="I941" s="18" t="str">
        <f t="shared" si="142"/>
        <v/>
      </c>
      <c r="J941" s="8" t="str">
        <f t="shared" si="134"/>
        <v/>
      </c>
      <c r="K941" s="9" t="str">
        <f t="shared" si="135"/>
        <v/>
      </c>
      <c r="L941" s="10" t="str">
        <f t="shared" si="136"/>
        <v/>
      </c>
      <c r="M941" s="10" t="str">
        <f>IF(I941&lt;&gt;1,"",IF(H941="","",H941/CONTROL_PANEL!$B$11))</f>
        <v/>
      </c>
      <c r="N941" s="9" t="str">
        <f t="shared" si="137"/>
        <v/>
      </c>
      <c r="O941" s="9" t="str">
        <f t="shared" si="138"/>
        <v/>
      </c>
      <c r="P941" s="9" t="str">
        <f t="shared" si="139"/>
        <v/>
      </c>
      <c r="Q941" s="9" t="str">
        <f t="shared" si="140"/>
        <v/>
      </c>
      <c r="R941" s="11"/>
      <c r="S941" s="11"/>
    </row>
    <row r="942" spans="1:19" x14ac:dyDescent="0.25">
      <c r="A942" s="30" t="s">
        <v>30</v>
      </c>
      <c r="B942" s="31">
        <f t="shared" si="141"/>
        <v>48853</v>
      </c>
      <c r="C942" s="30">
        <f>YEAR(BInputReservoir[[#This Row],[Date]])</f>
        <v>2033</v>
      </c>
      <c r="D942" s="30">
        <f>MONTH(BInputReservoir[[#This Row],[Date]])</f>
        <v>10</v>
      </c>
      <c r="E942" s="30" t="str">
        <f>IF(I942&lt;&gt;1,"",DATA_INPUT!$M221)</f>
        <v/>
      </c>
      <c r="F942" s="30" t="str">
        <f>STORAGE_BALANCE_ENSEMBLE!BB221</f>
        <v/>
      </c>
      <c r="G942" s="30" t="str">
        <f>STORAGE_BALANCE_ENSEMBLE!BC221</f>
        <v/>
      </c>
      <c r="H942" s="30" t="str">
        <f>STORAGE_BALANCE_ENSEMBLE!BA221</f>
        <v/>
      </c>
      <c r="I942" s="18" t="str">
        <f t="shared" si="142"/>
        <v/>
      </c>
      <c r="J942" s="8" t="str">
        <f t="shared" si="134"/>
        <v/>
      </c>
      <c r="K942" s="9" t="str">
        <f t="shared" si="135"/>
        <v/>
      </c>
      <c r="L942" s="10" t="str">
        <f t="shared" si="136"/>
        <v/>
      </c>
      <c r="M942" s="10" t="str">
        <f>IF(I942&lt;&gt;1,"",IF(H942="","",H942/CONTROL_PANEL!$B$11))</f>
        <v/>
      </c>
      <c r="N942" s="9" t="str">
        <f t="shared" si="137"/>
        <v/>
      </c>
      <c r="O942" s="9" t="str">
        <f t="shared" si="138"/>
        <v/>
      </c>
      <c r="P942" s="9" t="str">
        <f t="shared" si="139"/>
        <v/>
      </c>
      <c r="Q942" s="9" t="str">
        <f t="shared" si="140"/>
        <v/>
      </c>
      <c r="R942" s="11"/>
      <c r="S942" s="11"/>
    </row>
    <row r="943" spans="1:19" x14ac:dyDescent="0.25">
      <c r="A943" s="30" t="s">
        <v>30</v>
      </c>
      <c r="B943" s="31">
        <f t="shared" si="141"/>
        <v>48884</v>
      </c>
      <c r="C943" s="30">
        <f>YEAR(BInputReservoir[[#This Row],[Date]])</f>
        <v>2033</v>
      </c>
      <c r="D943" s="30">
        <f>MONTH(BInputReservoir[[#This Row],[Date]])</f>
        <v>11</v>
      </c>
      <c r="E943" s="30" t="str">
        <f>IF(I943&lt;&gt;1,"",DATA_INPUT!$M222)</f>
        <v/>
      </c>
      <c r="F943" s="30" t="str">
        <f>STORAGE_BALANCE_ENSEMBLE!BB222</f>
        <v/>
      </c>
      <c r="G943" s="30" t="str">
        <f>STORAGE_BALANCE_ENSEMBLE!BC222</f>
        <v/>
      </c>
      <c r="H943" s="30" t="str">
        <f>STORAGE_BALANCE_ENSEMBLE!BA222</f>
        <v/>
      </c>
      <c r="I943" s="18" t="str">
        <f t="shared" si="142"/>
        <v/>
      </c>
      <c r="J943" s="8" t="str">
        <f t="shared" si="134"/>
        <v/>
      </c>
      <c r="K943" s="9" t="str">
        <f t="shared" si="135"/>
        <v/>
      </c>
      <c r="L943" s="10" t="str">
        <f t="shared" si="136"/>
        <v/>
      </c>
      <c r="M943" s="10" t="str">
        <f>IF(I943&lt;&gt;1,"",IF(H943="","",H943/CONTROL_PANEL!$B$11))</f>
        <v/>
      </c>
      <c r="N943" s="9" t="str">
        <f t="shared" si="137"/>
        <v/>
      </c>
      <c r="O943" s="9" t="str">
        <f t="shared" si="138"/>
        <v/>
      </c>
      <c r="P943" s="9" t="str">
        <f t="shared" si="139"/>
        <v/>
      </c>
      <c r="Q943" s="9" t="str">
        <f t="shared" si="140"/>
        <v/>
      </c>
      <c r="R943" s="11"/>
      <c r="S943" s="11"/>
    </row>
    <row r="944" spans="1:19" x14ac:dyDescent="0.25">
      <c r="A944" s="30" t="s">
        <v>30</v>
      </c>
      <c r="B944" s="31">
        <f t="shared" si="141"/>
        <v>48914</v>
      </c>
      <c r="C944" s="30">
        <f>YEAR(BInputReservoir[[#This Row],[Date]])</f>
        <v>2033</v>
      </c>
      <c r="D944" s="30">
        <f>MONTH(BInputReservoir[[#This Row],[Date]])</f>
        <v>12</v>
      </c>
      <c r="E944" s="30" t="str">
        <f>IF(I944&lt;&gt;1,"",DATA_INPUT!$M223)</f>
        <v/>
      </c>
      <c r="F944" s="30" t="str">
        <f>STORAGE_BALANCE_ENSEMBLE!BB223</f>
        <v/>
      </c>
      <c r="G944" s="30" t="str">
        <f>STORAGE_BALANCE_ENSEMBLE!BC223</f>
        <v/>
      </c>
      <c r="H944" s="30" t="str">
        <f>STORAGE_BALANCE_ENSEMBLE!BA223</f>
        <v/>
      </c>
      <c r="I944" s="18" t="str">
        <f t="shared" si="142"/>
        <v/>
      </c>
      <c r="J944" s="8" t="str">
        <f t="shared" si="134"/>
        <v/>
      </c>
      <c r="K944" s="9" t="str">
        <f t="shared" si="135"/>
        <v/>
      </c>
      <c r="L944" s="10" t="str">
        <f t="shared" si="136"/>
        <v/>
      </c>
      <c r="M944" s="10" t="str">
        <f>IF(I944&lt;&gt;1,"",IF(H944="","",H944/CONTROL_PANEL!$B$11))</f>
        <v/>
      </c>
      <c r="N944" s="9" t="str">
        <f t="shared" si="137"/>
        <v/>
      </c>
      <c r="O944" s="9" t="str">
        <f t="shared" si="138"/>
        <v/>
      </c>
      <c r="P944" s="9" t="str">
        <f t="shared" si="139"/>
        <v/>
      </c>
      <c r="Q944" s="9" t="str">
        <f t="shared" si="140"/>
        <v/>
      </c>
      <c r="R944" s="11"/>
      <c r="S944" s="11"/>
    </row>
    <row r="945" spans="1:19" x14ac:dyDescent="0.25">
      <c r="A945" s="30" t="s">
        <v>30</v>
      </c>
      <c r="B945" s="31">
        <f t="shared" si="141"/>
        <v>48945</v>
      </c>
      <c r="C945" s="30">
        <f>YEAR(BInputReservoir[[#This Row],[Date]])</f>
        <v>2034</v>
      </c>
      <c r="D945" s="30">
        <f>MONTH(BInputReservoir[[#This Row],[Date]])</f>
        <v>1</v>
      </c>
      <c r="E945" s="30" t="str">
        <f>IF(I945&lt;&gt;1,"",DATA_INPUT!$M224)</f>
        <v/>
      </c>
      <c r="F945" s="30" t="str">
        <f>STORAGE_BALANCE_ENSEMBLE!BB224</f>
        <v/>
      </c>
      <c r="G945" s="30" t="str">
        <f>STORAGE_BALANCE_ENSEMBLE!BC224</f>
        <v/>
      </c>
      <c r="H945" s="30" t="str">
        <f>STORAGE_BALANCE_ENSEMBLE!BA224</f>
        <v/>
      </c>
      <c r="I945" s="18" t="str">
        <f t="shared" si="142"/>
        <v/>
      </c>
      <c r="J945" s="8" t="str">
        <f t="shared" si="134"/>
        <v/>
      </c>
      <c r="K945" s="9" t="str">
        <f t="shared" si="135"/>
        <v/>
      </c>
      <c r="L945" s="10" t="str">
        <f t="shared" si="136"/>
        <v/>
      </c>
      <c r="M945" s="10" t="str">
        <f>IF(I945&lt;&gt;1,"",IF(H945="","",H945/CONTROL_PANEL!$B$11))</f>
        <v/>
      </c>
      <c r="N945" s="9" t="str">
        <f t="shared" si="137"/>
        <v/>
      </c>
      <c r="O945" s="9" t="str">
        <f t="shared" si="138"/>
        <v/>
      </c>
      <c r="P945" s="9" t="str">
        <f t="shared" si="139"/>
        <v/>
      </c>
      <c r="Q945" s="9" t="str">
        <f t="shared" si="140"/>
        <v/>
      </c>
      <c r="R945" s="11"/>
      <c r="S945" s="11"/>
    </row>
    <row r="946" spans="1:19" x14ac:dyDescent="0.25">
      <c r="A946" s="30" t="s">
        <v>30</v>
      </c>
      <c r="B946" s="31">
        <f t="shared" si="141"/>
        <v>48976</v>
      </c>
      <c r="C946" s="30">
        <f>YEAR(BInputReservoir[[#This Row],[Date]])</f>
        <v>2034</v>
      </c>
      <c r="D946" s="30">
        <f>MONTH(BInputReservoir[[#This Row],[Date]])</f>
        <v>2</v>
      </c>
      <c r="E946" s="30" t="str">
        <f>IF(I946&lt;&gt;1,"",DATA_INPUT!$M225)</f>
        <v/>
      </c>
      <c r="F946" s="30" t="str">
        <f>STORAGE_BALANCE_ENSEMBLE!BB225</f>
        <v/>
      </c>
      <c r="G946" s="30" t="str">
        <f>STORAGE_BALANCE_ENSEMBLE!BC225</f>
        <v/>
      </c>
      <c r="H946" s="30" t="str">
        <f>STORAGE_BALANCE_ENSEMBLE!BA225</f>
        <v/>
      </c>
      <c r="I946" s="18" t="str">
        <f t="shared" si="142"/>
        <v/>
      </c>
      <c r="J946" s="8" t="str">
        <f t="shared" si="134"/>
        <v/>
      </c>
      <c r="K946" s="9" t="str">
        <f t="shared" si="135"/>
        <v/>
      </c>
      <c r="L946" s="10" t="str">
        <f t="shared" si="136"/>
        <v/>
      </c>
      <c r="M946" s="10" t="str">
        <f>IF(I946&lt;&gt;1,"",IF(H946="","",H946/CONTROL_PANEL!$B$11))</f>
        <v/>
      </c>
      <c r="N946" s="9" t="str">
        <f t="shared" si="137"/>
        <v/>
      </c>
      <c r="O946" s="9" t="str">
        <f t="shared" si="138"/>
        <v/>
      </c>
      <c r="P946" s="9" t="str">
        <f t="shared" si="139"/>
        <v/>
      </c>
      <c r="Q946" s="9" t="str">
        <f t="shared" si="140"/>
        <v/>
      </c>
      <c r="R946" s="11"/>
      <c r="S946" s="11"/>
    </row>
    <row r="947" spans="1:19" x14ac:dyDescent="0.25">
      <c r="A947" s="30" t="s">
        <v>30</v>
      </c>
      <c r="B947" s="31">
        <f t="shared" si="141"/>
        <v>49004</v>
      </c>
      <c r="C947" s="30">
        <f>YEAR(BInputReservoir[[#This Row],[Date]])</f>
        <v>2034</v>
      </c>
      <c r="D947" s="30">
        <f>MONTH(BInputReservoir[[#This Row],[Date]])</f>
        <v>3</v>
      </c>
      <c r="E947" s="30" t="str">
        <f>IF(I947&lt;&gt;1,"",DATA_INPUT!$M226)</f>
        <v/>
      </c>
      <c r="F947" s="30" t="str">
        <f>STORAGE_BALANCE_ENSEMBLE!BB226</f>
        <v/>
      </c>
      <c r="G947" s="30" t="str">
        <f>STORAGE_BALANCE_ENSEMBLE!BC226</f>
        <v/>
      </c>
      <c r="H947" s="30" t="str">
        <f>STORAGE_BALANCE_ENSEMBLE!BA226</f>
        <v/>
      </c>
      <c r="I947" s="18" t="str">
        <f t="shared" si="142"/>
        <v/>
      </c>
      <c r="J947" s="8" t="str">
        <f t="shared" si="134"/>
        <v/>
      </c>
      <c r="K947" s="9" t="str">
        <f t="shared" si="135"/>
        <v/>
      </c>
      <c r="L947" s="10" t="str">
        <f t="shared" si="136"/>
        <v/>
      </c>
      <c r="M947" s="10" t="str">
        <f>IF(I947&lt;&gt;1,"",IF(H947="","",H947/CONTROL_PANEL!$B$11))</f>
        <v/>
      </c>
      <c r="N947" s="9" t="str">
        <f t="shared" si="137"/>
        <v/>
      </c>
      <c r="O947" s="9" t="str">
        <f t="shared" si="138"/>
        <v/>
      </c>
      <c r="P947" s="9" t="str">
        <f t="shared" si="139"/>
        <v/>
      </c>
      <c r="Q947" s="9" t="str">
        <f t="shared" si="140"/>
        <v/>
      </c>
      <c r="R947" s="11"/>
      <c r="S947" s="11"/>
    </row>
    <row r="948" spans="1:19" x14ac:dyDescent="0.25">
      <c r="A948" s="30" t="s">
        <v>30</v>
      </c>
      <c r="B948" s="31">
        <f t="shared" si="141"/>
        <v>49035</v>
      </c>
      <c r="C948" s="30">
        <f>YEAR(BInputReservoir[[#This Row],[Date]])</f>
        <v>2034</v>
      </c>
      <c r="D948" s="30">
        <f>MONTH(BInputReservoir[[#This Row],[Date]])</f>
        <v>4</v>
      </c>
      <c r="E948" s="30" t="str">
        <f>IF(I948&lt;&gt;1,"",DATA_INPUT!$M227)</f>
        <v/>
      </c>
      <c r="F948" s="30" t="str">
        <f>STORAGE_BALANCE_ENSEMBLE!BB227</f>
        <v/>
      </c>
      <c r="G948" s="30" t="str">
        <f>STORAGE_BALANCE_ENSEMBLE!BC227</f>
        <v/>
      </c>
      <c r="H948" s="30" t="str">
        <f>STORAGE_BALANCE_ENSEMBLE!BA227</f>
        <v/>
      </c>
      <c r="I948" s="18" t="str">
        <f t="shared" si="142"/>
        <v/>
      </c>
      <c r="J948" s="8" t="str">
        <f t="shared" si="134"/>
        <v/>
      </c>
      <c r="K948" s="9" t="str">
        <f t="shared" si="135"/>
        <v/>
      </c>
      <c r="L948" s="10" t="str">
        <f t="shared" si="136"/>
        <v/>
      </c>
      <c r="M948" s="10" t="str">
        <f>IF(I948&lt;&gt;1,"",IF(H948="","",H948/CONTROL_PANEL!$B$11))</f>
        <v/>
      </c>
      <c r="N948" s="9" t="str">
        <f t="shared" si="137"/>
        <v/>
      </c>
      <c r="O948" s="9" t="str">
        <f t="shared" si="138"/>
        <v/>
      </c>
      <c r="P948" s="9" t="str">
        <f t="shared" si="139"/>
        <v/>
      </c>
      <c r="Q948" s="9" t="str">
        <f t="shared" si="140"/>
        <v/>
      </c>
      <c r="R948" s="11"/>
      <c r="S948" s="11"/>
    </row>
    <row r="949" spans="1:19" x14ac:dyDescent="0.25">
      <c r="A949" s="30" t="s">
        <v>30</v>
      </c>
      <c r="B949" s="31">
        <f t="shared" si="141"/>
        <v>49065</v>
      </c>
      <c r="C949" s="30">
        <f>YEAR(BInputReservoir[[#This Row],[Date]])</f>
        <v>2034</v>
      </c>
      <c r="D949" s="30">
        <f>MONTH(BInputReservoir[[#This Row],[Date]])</f>
        <v>5</v>
      </c>
      <c r="E949" s="30" t="str">
        <f>IF(I949&lt;&gt;1,"",DATA_INPUT!$M228)</f>
        <v/>
      </c>
      <c r="F949" s="30" t="str">
        <f>STORAGE_BALANCE_ENSEMBLE!BB228</f>
        <v/>
      </c>
      <c r="G949" s="30" t="str">
        <f>STORAGE_BALANCE_ENSEMBLE!BC228</f>
        <v/>
      </c>
      <c r="H949" s="30" t="str">
        <f>STORAGE_BALANCE_ENSEMBLE!BA228</f>
        <v/>
      </c>
      <c r="I949" s="18" t="str">
        <f t="shared" si="142"/>
        <v/>
      </c>
      <c r="J949" s="8" t="str">
        <f t="shared" si="134"/>
        <v/>
      </c>
      <c r="K949" s="9" t="str">
        <f t="shared" si="135"/>
        <v/>
      </c>
      <c r="L949" s="10" t="str">
        <f t="shared" si="136"/>
        <v/>
      </c>
      <c r="M949" s="10" t="str">
        <f>IF(I949&lt;&gt;1,"",IF(H949="","",H949/CONTROL_PANEL!$B$11))</f>
        <v/>
      </c>
      <c r="N949" s="9" t="str">
        <f t="shared" si="137"/>
        <v/>
      </c>
      <c r="O949" s="9" t="str">
        <f t="shared" si="138"/>
        <v/>
      </c>
      <c r="P949" s="9" t="str">
        <f t="shared" si="139"/>
        <v/>
      </c>
      <c r="Q949" s="9" t="str">
        <f t="shared" si="140"/>
        <v/>
      </c>
      <c r="R949" s="11"/>
      <c r="S949" s="11"/>
    </row>
    <row r="950" spans="1:19" x14ac:dyDescent="0.25">
      <c r="A950" s="30" t="s">
        <v>30</v>
      </c>
      <c r="B950" s="31">
        <f t="shared" si="141"/>
        <v>49096</v>
      </c>
      <c r="C950" s="30">
        <f>YEAR(BInputReservoir[[#This Row],[Date]])</f>
        <v>2034</v>
      </c>
      <c r="D950" s="30">
        <f>MONTH(BInputReservoir[[#This Row],[Date]])</f>
        <v>6</v>
      </c>
      <c r="E950" s="30" t="str">
        <f>IF(I950&lt;&gt;1,"",DATA_INPUT!$M229)</f>
        <v/>
      </c>
      <c r="F950" s="30" t="str">
        <f>STORAGE_BALANCE_ENSEMBLE!BB229</f>
        <v/>
      </c>
      <c r="G950" s="30" t="str">
        <f>STORAGE_BALANCE_ENSEMBLE!BC229</f>
        <v/>
      </c>
      <c r="H950" s="30" t="str">
        <f>STORAGE_BALANCE_ENSEMBLE!BA229</f>
        <v/>
      </c>
      <c r="I950" s="18" t="str">
        <f t="shared" si="142"/>
        <v/>
      </c>
      <c r="J950" s="8" t="str">
        <f t="shared" si="134"/>
        <v/>
      </c>
      <c r="K950" s="9" t="str">
        <f t="shared" si="135"/>
        <v/>
      </c>
      <c r="L950" s="10" t="str">
        <f t="shared" si="136"/>
        <v/>
      </c>
      <c r="M950" s="10" t="str">
        <f>IF(I950&lt;&gt;1,"",IF(H950="","",H950/CONTROL_PANEL!$B$11))</f>
        <v/>
      </c>
      <c r="N950" s="9" t="str">
        <f t="shared" si="137"/>
        <v/>
      </c>
      <c r="O950" s="9" t="str">
        <f t="shared" si="138"/>
        <v/>
      </c>
      <c r="P950" s="9" t="str">
        <f t="shared" si="139"/>
        <v/>
      </c>
      <c r="Q950" s="9" t="str">
        <f t="shared" si="140"/>
        <v/>
      </c>
      <c r="R950" s="11"/>
      <c r="S950" s="11"/>
    </row>
    <row r="951" spans="1:19" x14ac:dyDescent="0.25">
      <c r="A951" s="30" t="s">
        <v>30</v>
      </c>
      <c r="B951" s="31">
        <f t="shared" si="141"/>
        <v>49126</v>
      </c>
      <c r="C951" s="30">
        <f>YEAR(BInputReservoir[[#This Row],[Date]])</f>
        <v>2034</v>
      </c>
      <c r="D951" s="30">
        <f>MONTH(BInputReservoir[[#This Row],[Date]])</f>
        <v>7</v>
      </c>
      <c r="E951" s="30" t="str">
        <f>IF(I951&lt;&gt;1,"",DATA_INPUT!$M230)</f>
        <v/>
      </c>
      <c r="F951" s="30" t="str">
        <f>STORAGE_BALANCE_ENSEMBLE!BB230</f>
        <v/>
      </c>
      <c r="G951" s="30" t="str">
        <f>STORAGE_BALANCE_ENSEMBLE!BC230</f>
        <v/>
      </c>
      <c r="H951" s="30" t="str">
        <f>STORAGE_BALANCE_ENSEMBLE!BA230</f>
        <v/>
      </c>
      <c r="I951" s="18" t="str">
        <f t="shared" si="142"/>
        <v/>
      </c>
      <c r="J951" s="8" t="str">
        <f t="shared" si="134"/>
        <v/>
      </c>
      <c r="K951" s="9" t="str">
        <f t="shared" si="135"/>
        <v/>
      </c>
      <c r="L951" s="10" t="str">
        <f t="shared" si="136"/>
        <v/>
      </c>
      <c r="M951" s="10" t="str">
        <f>IF(I951&lt;&gt;1,"",IF(H951="","",H951/CONTROL_PANEL!$B$11))</f>
        <v/>
      </c>
      <c r="N951" s="9" t="str">
        <f t="shared" si="137"/>
        <v/>
      </c>
      <c r="O951" s="9" t="str">
        <f t="shared" si="138"/>
        <v/>
      </c>
      <c r="P951" s="9" t="str">
        <f t="shared" si="139"/>
        <v/>
      </c>
      <c r="Q951" s="9" t="str">
        <f t="shared" si="140"/>
        <v/>
      </c>
      <c r="R951" s="11"/>
      <c r="S951" s="11"/>
    </row>
    <row r="952" spans="1:19" x14ac:dyDescent="0.25">
      <c r="A952" s="30" t="s">
        <v>30</v>
      </c>
      <c r="B952" s="31">
        <f t="shared" si="141"/>
        <v>49157</v>
      </c>
      <c r="C952" s="30">
        <f>YEAR(BInputReservoir[[#This Row],[Date]])</f>
        <v>2034</v>
      </c>
      <c r="D952" s="30">
        <f>MONTH(BInputReservoir[[#This Row],[Date]])</f>
        <v>8</v>
      </c>
      <c r="E952" s="30" t="str">
        <f>IF(I952&lt;&gt;1,"",DATA_INPUT!$M231)</f>
        <v/>
      </c>
      <c r="F952" s="30" t="str">
        <f>STORAGE_BALANCE_ENSEMBLE!BB231</f>
        <v/>
      </c>
      <c r="G952" s="30" t="str">
        <f>STORAGE_BALANCE_ENSEMBLE!BC231</f>
        <v/>
      </c>
      <c r="H952" s="30" t="str">
        <f>STORAGE_BALANCE_ENSEMBLE!BA231</f>
        <v/>
      </c>
      <c r="I952" s="18" t="str">
        <f t="shared" si="142"/>
        <v/>
      </c>
      <c r="J952" s="8" t="str">
        <f t="shared" si="134"/>
        <v/>
      </c>
      <c r="K952" s="9" t="str">
        <f t="shared" si="135"/>
        <v/>
      </c>
      <c r="L952" s="10" t="str">
        <f t="shared" si="136"/>
        <v/>
      </c>
      <c r="M952" s="10" t="str">
        <f>IF(I952&lt;&gt;1,"",IF(H952="","",H952/CONTROL_PANEL!$B$11))</f>
        <v/>
      </c>
      <c r="N952" s="9" t="str">
        <f t="shared" si="137"/>
        <v/>
      </c>
      <c r="O952" s="9" t="str">
        <f t="shared" si="138"/>
        <v/>
      </c>
      <c r="P952" s="9" t="str">
        <f t="shared" si="139"/>
        <v/>
      </c>
      <c r="Q952" s="9" t="str">
        <f t="shared" si="140"/>
        <v/>
      </c>
      <c r="R952" s="11"/>
      <c r="S952" s="11"/>
    </row>
    <row r="953" spans="1:19" x14ac:dyDescent="0.25">
      <c r="A953" s="30" t="s">
        <v>30</v>
      </c>
      <c r="B953" s="31">
        <f t="shared" si="141"/>
        <v>49188</v>
      </c>
      <c r="C953" s="30">
        <f>YEAR(BInputReservoir[[#This Row],[Date]])</f>
        <v>2034</v>
      </c>
      <c r="D953" s="30">
        <f>MONTH(BInputReservoir[[#This Row],[Date]])</f>
        <v>9</v>
      </c>
      <c r="E953" s="30" t="str">
        <f>IF(I953&lt;&gt;1,"",DATA_INPUT!$M232)</f>
        <v/>
      </c>
      <c r="F953" s="30" t="str">
        <f>STORAGE_BALANCE_ENSEMBLE!BB232</f>
        <v/>
      </c>
      <c r="G953" s="30" t="str">
        <f>STORAGE_BALANCE_ENSEMBLE!BC232</f>
        <v/>
      </c>
      <c r="H953" s="30" t="str">
        <f>STORAGE_BALANCE_ENSEMBLE!BA232</f>
        <v/>
      </c>
      <c r="I953" s="18" t="str">
        <f t="shared" si="142"/>
        <v/>
      </c>
      <c r="J953" s="8" t="str">
        <f t="shared" si="134"/>
        <v/>
      </c>
      <c r="K953" s="9" t="str">
        <f t="shared" si="135"/>
        <v/>
      </c>
      <c r="L953" s="10" t="str">
        <f t="shared" si="136"/>
        <v/>
      </c>
      <c r="M953" s="10" t="str">
        <f>IF(I953&lt;&gt;1,"",IF(H953="","",H953/CONTROL_PANEL!$B$11))</f>
        <v/>
      </c>
      <c r="N953" s="9" t="str">
        <f t="shared" si="137"/>
        <v/>
      </c>
      <c r="O953" s="9" t="str">
        <f t="shared" si="138"/>
        <v/>
      </c>
      <c r="P953" s="9" t="str">
        <f t="shared" si="139"/>
        <v/>
      </c>
      <c r="Q953" s="9" t="str">
        <f t="shared" si="140"/>
        <v/>
      </c>
      <c r="R953" s="11"/>
      <c r="S953" s="11"/>
    </row>
    <row r="954" spans="1:19" x14ac:dyDescent="0.25">
      <c r="A954" s="30" t="s">
        <v>30</v>
      </c>
      <c r="B954" s="31">
        <f t="shared" si="141"/>
        <v>49218</v>
      </c>
      <c r="C954" s="30">
        <f>YEAR(BInputReservoir[[#This Row],[Date]])</f>
        <v>2034</v>
      </c>
      <c r="D954" s="30">
        <f>MONTH(BInputReservoir[[#This Row],[Date]])</f>
        <v>10</v>
      </c>
      <c r="E954" s="30" t="str">
        <f>IF(I954&lt;&gt;1,"",DATA_INPUT!$M233)</f>
        <v/>
      </c>
      <c r="F954" s="30" t="str">
        <f>STORAGE_BALANCE_ENSEMBLE!BB233</f>
        <v/>
      </c>
      <c r="G954" s="30" t="str">
        <f>STORAGE_BALANCE_ENSEMBLE!BC233</f>
        <v/>
      </c>
      <c r="H954" s="30" t="str">
        <f>STORAGE_BALANCE_ENSEMBLE!BA233</f>
        <v/>
      </c>
      <c r="I954" s="18" t="str">
        <f t="shared" si="142"/>
        <v/>
      </c>
      <c r="J954" s="8" t="str">
        <f t="shared" si="134"/>
        <v/>
      </c>
      <c r="K954" s="9" t="str">
        <f t="shared" si="135"/>
        <v/>
      </c>
      <c r="L954" s="10" t="str">
        <f t="shared" si="136"/>
        <v/>
      </c>
      <c r="M954" s="10" t="str">
        <f>IF(I954&lt;&gt;1,"",IF(H954="","",H954/CONTROL_PANEL!$B$11))</f>
        <v/>
      </c>
      <c r="N954" s="9" t="str">
        <f t="shared" si="137"/>
        <v/>
      </c>
      <c r="O954" s="9" t="str">
        <f t="shared" si="138"/>
        <v/>
      </c>
      <c r="P954" s="9" t="str">
        <f t="shared" si="139"/>
        <v/>
      </c>
      <c r="Q954" s="9" t="str">
        <f t="shared" si="140"/>
        <v/>
      </c>
      <c r="R954" s="11"/>
      <c r="S954" s="11"/>
    </row>
    <row r="955" spans="1:19" x14ac:dyDescent="0.25">
      <c r="A955" s="30" t="s">
        <v>30</v>
      </c>
      <c r="B955" s="31">
        <f t="shared" si="141"/>
        <v>49249</v>
      </c>
      <c r="C955" s="30">
        <f>YEAR(BInputReservoir[[#This Row],[Date]])</f>
        <v>2034</v>
      </c>
      <c r="D955" s="30">
        <f>MONTH(BInputReservoir[[#This Row],[Date]])</f>
        <v>11</v>
      </c>
      <c r="E955" s="30" t="str">
        <f>IF(I955&lt;&gt;1,"",DATA_INPUT!$M234)</f>
        <v/>
      </c>
      <c r="F955" s="30" t="str">
        <f>STORAGE_BALANCE_ENSEMBLE!BB234</f>
        <v/>
      </c>
      <c r="G955" s="30" t="str">
        <f>STORAGE_BALANCE_ENSEMBLE!BC234</f>
        <v/>
      </c>
      <c r="H955" s="30" t="str">
        <f>STORAGE_BALANCE_ENSEMBLE!BA234</f>
        <v/>
      </c>
      <c r="I955" s="18" t="str">
        <f t="shared" si="142"/>
        <v/>
      </c>
      <c r="J955" s="8" t="str">
        <f t="shared" si="134"/>
        <v/>
      </c>
      <c r="K955" s="9" t="str">
        <f t="shared" si="135"/>
        <v/>
      </c>
      <c r="L955" s="10" t="str">
        <f t="shared" si="136"/>
        <v/>
      </c>
      <c r="M955" s="10" t="str">
        <f>IF(I955&lt;&gt;1,"",IF(H955="","",H955/CONTROL_PANEL!$B$11))</f>
        <v/>
      </c>
      <c r="N955" s="9" t="str">
        <f t="shared" si="137"/>
        <v/>
      </c>
      <c r="O955" s="9" t="str">
        <f t="shared" si="138"/>
        <v/>
      </c>
      <c r="P955" s="9" t="str">
        <f t="shared" si="139"/>
        <v/>
      </c>
      <c r="Q955" s="9" t="str">
        <f t="shared" si="140"/>
        <v/>
      </c>
      <c r="R955" s="11"/>
      <c r="S955" s="11"/>
    </row>
    <row r="956" spans="1:19" x14ac:dyDescent="0.25">
      <c r="A956" s="30" t="s">
        <v>30</v>
      </c>
      <c r="B956" s="31">
        <f t="shared" si="141"/>
        <v>49279</v>
      </c>
      <c r="C956" s="30">
        <f>YEAR(BInputReservoir[[#This Row],[Date]])</f>
        <v>2034</v>
      </c>
      <c r="D956" s="30">
        <f>MONTH(BInputReservoir[[#This Row],[Date]])</f>
        <v>12</v>
      </c>
      <c r="E956" s="30" t="str">
        <f>IF(I956&lt;&gt;1,"",DATA_INPUT!$M235)</f>
        <v/>
      </c>
      <c r="F956" s="30" t="str">
        <f>STORAGE_BALANCE_ENSEMBLE!BB235</f>
        <v/>
      </c>
      <c r="G956" s="30" t="str">
        <f>STORAGE_BALANCE_ENSEMBLE!BC235</f>
        <v/>
      </c>
      <c r="H956" s="30" t="str">
        <f>STORAGE_BALANCE_ENSEMBLE!BA235</f>
        <v/>
      </c>
      <c r="I956" s="18" t="str">
        <f t="shared" si="142"/>
        <v/>
      </c>
      <c r="J956" s="8" t="str">
        <f t="shared" si="134"/>
        <v/>
      </c>
      <c r="K956" s="9" t="str">
        <f t="shared" si="135"/>
        <v/>
      </c>
      <c r="L956" s="10" t="str">
        <f t="shared" si="136"/>
        <v/>
      </c>
      <c r="M956" s="10" t="str">
        <f>IF(I956&lt;&gt;1,"",IF(H956="","",H956/CONTROL_PANEL!$B$11))</f>
        <v/>
      </c>
      <c r="N956" s="9" t="str">
        <f t="shared" si="137"/>
        <v/>
      </c>
      <c r="O956" s="9" t="str">
        <f t="shared" si="138"/>
        <v/>
      </c>
      <c r="P956" s="9" t="str">
        <f t="shared" si="139"/>
        <v/>
      </c>
      <c r="Q956" s="9" t="str">
        <f t="shared" si="140"/>
        <v/>
      </c>
      <c r="R956" s="11"/>
      <c r="S956" s="11"/>
    </row>
    <row r="957" spans="1:19" x14ac:dyDescent="0.25">
      <c r="A957" s="30" t="s">
        <v>30</v>
      </c>
      <c r="B957" s="31">
        <f t="shared" si="141"/>
        <v>49310</v>
      </c>
      <c r="C957" s="30">
        <f>YEAR(BInputReservoir[[#This Row],[Date]])</f>
        <v>2035</v>
      </c>
      <c r="D957" s="30">
        <f>MONTH(BInputReservoir[[#This Row],[Date]])</f>
        <v>1</v>
      </c>
      <c r="E957" s="30" t="str">
        <f>IF(I957&lt;&gt;1,"",DATA_INPUT!$M236)</f>
        <v/>
      </c>
      <c r="F957" s="30" t="str">
        <f>STORAGE_BALANCE_ENSEMBLE!BB236</f>
        <v/>
      </c>
      <c r="G957" s="30" t="str">
        <f>STORAGE_BALANCE_ENSEMBLE!BC236</f>
        <v/>
      </c>
      <c r="H957" s="30" t="str">
        <f>STORAGE_BALANCE_ENSEMBLE!BA236</f>
        <v/>
      </c>
      <c r="I957" s="18" t="str">
        <f t="shared" si="142"/>
        <v/>
      </c>
      <c r="J957" s="8" t="str">
        <f t="shared" si="134"/>
        <v/>
      </c>
      <c r="K957" s="9" t="str">
        <f t="shared" si="135"/>
        <v/>
      </c>
      <c r="L957" s="10" t="str">
        <f t="shared" si="136"/>
        <v/>
      </c>
      <c r="M957" s="10" t="str">
        <f>IF(I957&lt;&gt;1,"",IF(H957="","",H957/CONTROL_PANEL!$B$11))</f>
        <v/>
      </c>
      <c r="N957" s="9" t="str">
        <f t="shared" si="137"/>
        <v/>
      </c>
      <c r="O957" s="9" t="str">
        <f t="shared" si="138"/>
        <v/>
      </c>
      <c r="P957" s="9" t="str">
        <f t="shared" si="139"/>
        <v/>
      </c>
      <c r="Q957" s="9" t="str">
        <f t="shared" si="140"/>
        <v/>
      </c>
      <c r="R957" s="11"/>
      <c r="S957" s="11"/>
    </row>
    <row r="958" spans="1:19" x14ac:dyDescent="0.25">
      <c r="A958" s="30" t="s">
        <v>30</v>
      </c>
      <c r="B958" s="31">
        <f t="shared" si="141"/>
        <v>49341</v>
      </c>
      <c r="C958" s="30">
        <f>YEAR(BInputReservoir[[#This Row],[Date]])</f>
        <v>2035</v>
      </c>
      <c r="D958" s="30">
        <f>MONTH(BInputReservoir[[#This Row],[Date]])</f>
        <v>2</v>
      </c>
      <c r="E958" s="30" t="str">
        <f>IF(I958&lt;&gt;1,"",DATA_INPUT!$M237)</f>
        <v/>
      </c>
      <c r="F958" s="30" t="str">
        <f>STORAGE_BALANCE_ENSEMBLE!BB237</f>
        <v/>
      </c>
      <c r="G958" s="30" t="str">
        <f>STORAGE_BALANCE_ENSEMBLE!BC237</f>
        <v/>
      </c>
      <c r="H958" s="30" t="str">
        <f>STORAGE_BALANCE_ENSEMBLE!BA237</f>
        <v/>
      </c>
      <c r="I958" s="18" t="str">
        <f t="shared" si="142"/>
        <v/>
      </c>
      <c r="J958" s="8" t="str">
        <f t="shared" si="134"/>
        <v/>
      </c>
      <c r="K958" s="9" t="str">
        <f t="shared" si="135"/>
        <v/>
      </c>
      <c r="L958" s="10" t="str">
        <f t="shared" si="136"/>
        <v/>
      </c>
      <c r="M958" s="10" t="str">
        <f>IF(I958&lt;&gt;1,"",IF(H958="","",H958/CONTROL_PANEL!$B$11))</f>
        <v/>
      </c>
      <c r="N958" s="9" t="str">
        <f t="shared" si="137"/>
        <v/>
      </c>
      <c r="O958" s="9" t="str">
        <f t="shared" si="138"/>
        <v/>
      </c>
      <c r="P958" s="9" t="str">
        <f t="shared" si="139"/>
        <v/>
      </c>
      <c r="Q958" s="9" t="str">
        <f t="shared" si="140"/>
        <v/>
      </c>
      <c r="R958" s="11"/>
      <c r="S958" s="11"/>
    </row>
    <row r="959" spans="1:19" x14ac:dyDescent="0.25">
      <c r="A959" s="30" t="s">
        <v>30</v>
      </c>
      <c r="B959" s="31">
        <f t="shared" si="141"/>
        <v>49369</v>
      </c>
      <c r="C959" s="30">
        <f>YEAR(BInputReservoir[[#This Row],[Date]])</f>
        <v>2035</v>
      </c>
      <c r="D959" s="30">
        <f>MONTH(BInputReservoir[[#This Row],[Date]])</f>
        <v>3</v>
      </c>
      <c r="E959" s="30" t="str">
        <f>IF(I959&lt;&gt;1,"",DATA_INPUT!$M238)</f>
        <v/>
      </c>
      <c r="F959" s="30" t="str">
        <f>STORAGE_BALANCE_ENSEMBLE!BB238</f>
        <v/>
      </c>
      <c r="G959" s="30" t="str">
        <f>STORAGE_BALANCE_ENSEMBLE!BC238</f>
        <v/>
      </c>
      <c r="H959" s="30" t="str">
        <f>STORAGE_BALANCE_ENSEMBLE!BA238</f>
        <v/>
      </c>
      <c r="I959" s="18" t="str">
        <f t="shared" si="142"/>
        <v/>
      </c>
      <c r="J959" s="8" t="str">
        <f t="shared" si="134"/>
        <v/>
      </c>
      <c r="K959" s="9" t="str">
        <f t="shared" si="135"/>
        <v/>
      </c>
      <c r="L959" s="10" t="str">
        <f t="shared" si="136"/>
        <v/>
      </c>
      <c r="M959" s="10" t="str">
        <f>IF(I959&lt;&gt;1,"",IF(H959="","",H959/CONTROL_PANEL!$B$11))</f>
        <v/>
      </c>
      <c r="N959" s="9" t="str">
        <f t="shared" si="137"/>
        <v/>
      </c>
      <c r="O959" s="9" t="str">
        <f t="shared" si="138"/>
        <v/>
      </c>
      <c r="P959" s="9" t="str">
        <f t="shared" si="139"/>
        <v/>
      </c>
      <c r="Q959" s="9" t="str">
        <f t="shared" si="140"/>
        <v/>
      </c>
      <c r="R959" s="11"/>
      <c r="S959" s="11"/>
    </row>
    <row r="960" spans="1:19" x14ac:dyDescent="0.25">
      <c r="A960" s="30" t="s">
        <v>30</v>
      </c>
      <c r="B960" s="31">
        <f t="shared" si="141"/>
        <v>49400</v>
      </c>
      <c r="C960" s="30">
        <f>YEAR(BInputReservoir[[#This Row],[Date]])</f>
        <v>2035</v>
      </c>
      <c r="D960" s="30">
        <f>MONTH(BInputReservoir[[#This Row],[Date]])</f>
        <v>4</v>
      </c>
      <c r="E960" s="30" t="str">
        <f>IF(I960&lt;&gt;1,"",DATA_INPUT!$M239)</f>
        <v/>
      </c>
      <c r="F960" s="30" t="str">
        <f>STORAGE_BALANCE_ENSEMBLE!BB239</f>
        <v/>
      </c>
      <c r="G960" s="30" t="str">
        <f>STORAGE_BALANCE_ENSEMBLE!BC239</f>
        <v/>
      </c>
      <c r="H960" s="30" t="str">
        <f>STORAGE_BALANCE_ENSEMBLE!BA239</f>
        <v/>
      </c>
      <c r="I960" s="18" t="str">
        <f t="shared" si="142"/>
        <v/>
      </c>
      <c r="J960" s="8" t="str">
        <f t="shared" si="134"/>
        <v/>
      </c>
      <c r="K960" s="9" t="str">
        <f t="shared" si="135"/>
        <v/>
      </c>
      <c r="L960" s="10" t="str">
        <f t="shared" si="136"/>
        <v/>
      </c>
      <c r="M960" s="10" t="str">
        <f>IF(I960&lt;&gt;1,"",IF(H960="","",H960/CONTROL_PANEL!$B$11))</f>
        <v/>
      </c>
      <c r="N960" s="9" t="str">
        <f t="shared" si="137"/>
        <v/>
      </c>
      <c r="O960" s="9" t="str">
        <f t="shared" si="138"/>
        <v/>
      </c>
      <c r="P960" s="9" t="str">
        <f t="shared" si="139"/>
        <v/>
      </c>
      <c r="Q960" s="9" t="str">
        <f t="shared" si="140"/>
        <v/>
      </c>
      <c r="R960" s="11"/>
      <c r="S960" s="11"/>
    </row>
    <row r="961" spans="1:19" x14ac:dyDescent="0.25">
      <c r="A961" s="30" t="s">
        <v>30</v>
      </c>
      <c r="B961" s="31">
        <f t="shared" si="141"/>
        <v>49430</v>
      </c>
      <c r="C961" s="30">
        <f>YEAR(BInputReservoir[[#This Row],[Date]])</f>
        <v>2035</v>
      </c>
      <c r="D961" s="30">
        <f>MONTH(BInputReservoir[[#This Row],[Date]])</f>
        <v>5</v>
      </c>
      <c r="E961" s="30" t="str">
        <f>IF(I961&lt;&gt;1,"",DATA_INPUT!$M240)</f>
        <v/>
      </c>
      <c r="F961" s="30" t="str">
        <f>STORAGE_BALANCE_ENSEMBLE!BB240</f>
        <v/>
      </c>
      <c r="G961" s="30" t="str">
        <f>STORAGE_BALANCE_ENSEMBLE!BC240</f>
        <v/>
      </c>
      <c r="H961" s="30" t="str">
        <f>STORAGE_BALANCE_ENSEMBLE!BA240</f>
        <v/>
      </c>
      <c r="I961" s="18" t="str">
        <f t="shared" si="142"/>
        <v/>
      </c>
      <c r="J961" s="8" t="str">
        <f t="shared" si="134"/>
        <v/>
      </c>
      <c r="K961" s="9" t="str">
        <f t="shared" si="135"/>
        <v/>
      </c>
      <c r="L961" s="10" t="str">
        <f t="shared" si="136"/>
        <v/>
      </c>
      <c r="M961" s="10" t="str">
        <f>IF(I961&lt;&gt;1,"",IF(H961="","",H961/CONTROL_PANEL!$B$11))</f>
        <v/>
      </c>
      <c r="N961" s="9" t="str">
        <f t="shared" si="137"/>
        <v/>
      </c>
      <c r="O961" s="9" t="str">
        <f t="shared" si="138"/>
        <v/>
      </c>
      <c r="P961" s="9" t="str">
        <f t="shared" si="139"/>
        <v/>
      </c>
      <c r="Q961" s="9" t="str">
        <f t="shared" si="140"/>
        <v/>
      </c>
      <c r="R961" s="11"/>
      <c r="S961" s="11"/>
    </row>
    <row r="962" spans="1:19" x14ac:dyDescent="0.25">
      <c r="A962" s="30" t="s">
        <v>30</v>
      </c>
      <c r="B962" s="31">
        <f t="shared" si="141"/>
        <v>49461</v>
      </c>
      <c r="C962" s="30">
        <f>YEAR(BInputReservoir[[#This Row],[Date]])</f>
        <v>2035</v>
      </c>
      <c r="D962" s="30">
        <f>MONTH(BInputReservoir[[#This Row],[Date]])</f>
        <v>6</v>
      </c>
      <c r="E962" s="30" t="str">
        <f>IF(I962&lt;&gt;1,"",DATA_INPUT!$M241)</f>
        <v/>
      </c>
      <c r="F962" s="30" t="str">
        <f>STORAGE_BALANCE_ENSEMBLE!BB241</f>
        <v/>
      </c>
      <c r="G962" s="30" t="str">
        <f>STORAGE_BALANCE_ENSEMBLE!BC241</f>
        <v/>
      </c>
      <c r="H962" s="30" t="str">
        <f>STORAGE_BALANCE_ENSEMBLE!BA241</f>
        <v/>
      </c>
      <c r="I962" s="18" t="str">
        <f t="shared" si="142"/>
        <v/>
      </c>
      <c r="J962" s="8" t="str">
        <f t="shared" si="134"/>
        <v/>
      </c>
      <c r="K962" s="9" t="str">
        <f t="shared" si="135"/>
        <v/>
      </c>
      <c r="L962" s="10" t="str">
        <f t="shared" si="136"/>
        <v/>
      </c>
      <c r="M962" s="10" t="str">
        <f>IF(I962&lt;&gt;1,"",IF(H962="","",H962/CONTROL_PANEL!$B$11))</f>
        <v/>
      </c>
      <c r="N962" s="9" t="str">
        <f t="shared" si="137"/>
        <v/>
      </c>
      <c r="O962" s="9" t="str">
        <f t="shared" si="138"/>
        <v/>
      </c>
      <c r="P962" s="9" t="str">
        <f t="shared" si="139"/>
        <v/>
      </c>
      <c r="Q962" s="9" t="str">
        <f t="shared" si="140"/>
        <v/>
      </c>
      <c r="R962" s="11"/>
      <c r="S962" s="11"/>
    </row>
    <row r="963" spans="1:19" x14ac:dyDescent="0.25">
      <c r="A963" s="30" t="s">
        <v>30</v>
      </c>
      <c r="B963" s="31">
        <f t="shared" si="141"/>
        <v>49491</v>
      </c>
      <c r="C963" s="30">
        <f>YEAR(BInputReservoir[[#This Row],[Date]])</f>
        <v>2035</v>
      </c>
      <c r="D963" s="30">
        <f>MONTH(BInputReservoir[[#This Row],[Date]])</f>
        <v>7</v>
      </c>
      <c r="E963" s="30" t="str">
        <f>IF(I963&lt;&gt;1,"",DATA_INPUT!$M242)</f>
        <v/>
      </c>
      <c r="F963" s="30" t="str">
        <f>STORAGE_BALANCE_ENSEMBLE!BB242</f>
        <v/>
      </c>
      <c r="G963" s="30" t="str">
        <f>STORAGE_BALANCE_ENSEMBLE!BC242</f>
        <v/>
      </c>
      <c r="H963" s="30" t="str">
        <f>STORAGE_BALANCE_ENSEMBLE!BA242</f>
        <v/>
      </c>
      <c r="I963" s="18" t="str">
        <f t="shared" si="142"/>
        <v/>
      </c>
      <c r="J963" s="8" t="str">
        <f t="shared" si="134"/>
        <v/>
      </c>
      <c r="K963" s="9" t="str">
        <f t="shared" si="135"/>
        <v/>
      </c>
      <c r="L963" s="10" t="str">
        <f t="shared" si="136"/>
        <v/>
      </c>
      <c r="M963" s="10" t="str">
        <f>IF(I963&lt;&gt;1,"",IF(H963="","",H963/CONTROL_PANEL!$B$11))</f>
        <v/>
      </c>
      <c r="N963" s="9" t="str">
        <f t="shared" si="137"/>
        <v/>
      </c>
      <c r="O963" s="9" t="str">
        <f t="shared" si="138"/>
        <v/>
      </c>
      <c r="P963" s="9" t="str">
        <f t="shared" si="139"/>
        <v/>
      </c>
      <c r="Q963" s="9" t="str">
        <f t="shared" si="140"/>
        <v/>
      </c>
      <c r="R963" s="11"/>
      <c r="S963" s="11"/>
    </row>
    <row r="964" spans="1:19" x14ac:dyDescent="0.25">
      <c r="A964" s="30" t="s">
        <v>30</v>
      </c>
      <c r="B964" s="31">
        <f t="shared" si="141"/>
        <v>49522</v>
      </c>
      <c r="C964" s="30">
        <f>YEAR(BInputReservoir[[#This Row],[Date]])</f>
        <v>2035</v>
      </c>
      <c r="D964" s="30">
        <f>MONTH(BInputReservoir[[#This Row],[Date]])</f>
        <v>8</v>
      </c>
      <c r="E964" s="30" t="str">
        <f>IF(I964&lt;&gt;1,"",DATA_INPUT!$M243)</f>
        <v/>
      </c>
      <c r="F964" s="30" t="str">
        <f>STORAGE_BALANCE_ENSEMBLE!BB243</f>
        <v/>
      </c>
      <c r="G964" s="30" t="str">
        <f>STORAGE_BALANCE_ENSEMBLE!BC243</f>
        <v/>
      </c>
      <c r="H964" s="30" t="str">
        <f>STORAGE_BALANCE_ENSEMBLE!BA243</f>
        <v/>
      </c>
      <c r="I964" s="18" t="str">
        <f t="shared" si="142"/>
        <v/>
      </c>
      <c r="J964" s="8" t="str">
        <f t="shared" si="134"/>
        <v/>
      </c>
      <c r="K964" s="9" t="str">
        <f t="shared" si="135"/>
        <v/>
      </c>
      <c r="L964" s="10" t="str">
        <f t="shared" si="136"/>
        <v/>
      </c>
      <c r="M964" s="10" t="str">
        <f>IF(I964&lt;&gt;1,"",IF(H964="","",H964/CONTROL_PANEL!$B$11))</f>
        <v/>
      </c>
      <c r="N964" s="9" t="str">
        <f t="shared" si="137"/>
        <v/>
      </c>
      <c r="O964" s="9" t="str">
        <f t="shared" si="138"/>
        <v/>
      </c>
      <c r="P964" s="9" t="str">
        <f t="shared" si="139"/>
        <v/>
      </c>
      <c r="Q964" s="9" t="str">
        <f t="shared" si="140"/>
        <v/>
      </c>
      <c r="R964" s="11"/>
      <c r="S964" s="11"/>
    </row>
    <row r="965" spans="1:19" x14ac:dyDescent="0.25">
      <c r="A965" s="30" t="s">
        <v>30</v>
      </c>
      <c r="B965" s="31">
        <f t="shared" si="141"/>
        <v>49553</v>
      </c>
      <c r="C965" s="30">
        <f>YEAR(BInputReservoir[[#This Row],[Date]])</f>
        <v>2035</v>
      </c>
      <c r="D965" s="30">
        <f>MONTH(BInputReservoir[[#This Row],[Date]])</f>
        <v>9</v>
      </c>
      <c r="E965" s="30" t="str">
        <f>IF(I965&lt;&gt;1,"",DATA_INPUT!$M244)</f>
        <v/>
      </c>
      <c r="F965" s="30" t="str">
        <f>STORAGE_BALANCE_ENSEMBLE!BB244</f>
        <v/>
      </c>
      <c r="G965" s="30" t="str">
        <f>STORAGE_BALANCE_ENSEMBLE!BC244</f>
        <v/>
      </c>
      <c r="H965" s="30" t="str">
        <f>STORAGE_BALANCE_ENSEMBLE!BA244</f>
        <v/>
      </c>
      <c r="I965" s="18" t="str">
        <f t="shared" si="142"/>
        <v/>
      </c>
      <c r="J965" s="8" t="str">
        <f t="shared" ref="J965:J1028" si="143">IF(I965&lt;&gt;1,"",IF(E965="","",MAX(0,E965-G965)))</f>
        <v/>
      </c>
      <c r="K965" s="9" t="str">
        <f t="shared" ref="K965:K1028" si="144">IF(I965&lt;&gt;1,"",IF(OR(G965="",E965=""),"",IF(G965&gt;0,1,0)))</f>
        <v/>
      </c>
      <c r="L965" s="10" t="str">
        <f t="shared" ref="L965:L1028" si="145">IF(I965&lt;&gt;1,"",IF(AND(K965=1,E965&gt;0),G965/E965,0))</f>
        <v/>
      </c>
      <c r="M965" s="10" t="str">
        <f>IF(I965&lt;&gt;1,"",IF(H965="","",H965/CONTROL_PANEL!$B$11))</f>
        <v/>
      </c>
      <c r="N965" s="9" t="str">
        <f t="shared" ref="N965:N1028" si="146">IF(I965&lt;&gt;1,"",IF(AND(K965=1,A966=A965),1,0))</f>
        <v/>
      </c>
      <c r="O965" s="9" t="str">
        <f t="shared" ref="O965:O1028" si="147">IF(I965&lt;&gt;1,"",IF(AND(K965=1,A966=A965,K966=0),1,0))</f>
        <v/>
      </c>
      <c r="P965" s="9" t="str">
        <f t="shared" ref="P965:P1028" si="148">IF(I965&lt;&gt;1,"",IF(F965&gt;0,1,0))</f>
        <v/>
      </c>
      <c r="Q965" s="9" t="str">
        <f t="shared" ref="Q965:Q1028" si="149">IF(I965&lt;&gt;1,"",IF(G965&gt;0,1,0))</f>
        <v/>
      </c>
      <c r="R965" s="11"/>
      <c r="S965" s="11"/>
    </row>
    <row r="966" spans="1:19" x14ac:dyDescent="0.25">
      <c r="A966" s="30" t="s">
        <v>30</v>
      </c>
      <c r="B966" s="31">
        <f t="shared" si="141"/>
        <v>49583</v>
      </c>
      <c r="C966" s="30">
        <f>YEAR(BInputReservoir[[#This Row],[Date]])</f>
        <v>2035</v>
      </c>
      <c r="D966" s="30">
        <f>MONTH(BInputReservoir[[#This Row],[Date]])</f>
        <v>10</v>
      </c>
      <c r="E966" s="30" t="str">
        <f>IF(I966&lt;&gt;1,"",DATA_INPUT!$M245)</f>
        <v/>
      </c>
      <c r="F966" s="30" t="str">
        <f>STORAGE_BALANCE_ENSEMBLE!BB245</f>
        <v/>
      </c>
      <c r="G966" s="30" t="str">
        <f>STORAGE_BALANCE_ENSEMBLE!BC245</f>
        <v/>
      </c>
      <c r="H966" s="30" t="str">
        <f>STORAGE_BALANCE_ENSEMBLE!BA245</f>
        <v/>
      </c>
      <c r="I966" s="18" t="str">
        <f t="shared" si="142"/>
        <v/>
      </c>
      <c r="J966" s="8" t="str">
        <f t="shared" si="143"/>
        <v/>
      </c>
      <c r="K966" s="9" t="str">
        <f t="shared" si="144"/>
        <v/>
      </c>
      <c r="L966" s="10" t="str">
        <f t="shared" si="145"/>
        <v/>
      </c>
      <c r="M966" s="10" t="str">
        <f>IF(I966&lt;&gt;1,"",IF(H966="","",H966/CONTROL_PANEL!$B$11))</f>
        <v/>
      </c>
      <c r="N966" s="9" t="str">
        <f t="shared" si="146"/>
        <v/>
      </c>
      <c r="O966" s="9" t="str">
        <f t="shared" si="147"/>
        <v/>
      </c>
      <c r="P966" s="9" t="str">
        <f t="shared" si="148"/>
        <v/>
      </c>
      <c r="Q966" s="9" t="str">
        <f t="shared" si="149"/>
        <v/>
      </c>
      <c r="R966" s="11"/>
      <c r="S966" s="11"/>
    </row>
    <row r="967" spans="1:19" x14ac:dyDescent="0.25">
      <c r="A967" s="30" t="s">
        <v>30</v>
      </c>
      <c r="B967" s="31">
        <f t="shared" si="141"/>
        <v>49614</v>
      </c>
      <c r="C967" s="30">
        <f>YEAR(BInputReservoir[[#This Row],[Date]])</f>
        <v>2035</v>
      </c>
      <c r="D967" s="30">
        <f>MONTH(BInputReservoir[[#This Row],[Date]])</f>
        <v>11</v>
      </c>
      <c r="E967" s="30" t="str">
        <f>IF(I967&lt;&gt;1,"",DATA_INPUT!$M246)</f>
        <v/>
      </c>
      <c r="F967" s="30" t="str">
        <f>STORAGE_BALANCE_ENSEMBLE!BB246</f>
        <v/>
      </c>
      <c r="G967" s="30" t="str">
        <f>STORAGE_BALANCE_ENSEMBLE!BC246</f>
        <v/>
      </c>
      <c r="H967" s="30" t="str">
        <f>STORAGE_BALANCE_ENSEMBLE!BA246</f>
        <v/>
      </c>
      <c r="I967" s="18" t="str">
        <f t="shared" si="142"/>
        <v/>
      </c>
      <c r="J967" s="8" t="str">
        <f t="shared" si="143"/>
        <v/>
      </c>
      <c r="K967" s="9" t="str">
        <f t="shared" si="144"/>
        <v/>
      </c>
      <c r="L967" s="10" t="str">
        <f t="shared" si="145"/>
        <v/>
      </c>
      <c r="M967" s="10" t="str">
        <f>IF(I967&lt;&gt;1,"",IF(H967="","",H967/CONTROL_PANEL!$B$11))</f>
        <v/>
      </c>
      <c r="N967" s="9" t="str">
        <f t="shared" si="146"/>
        <v/>
      </c>
      <c r="O967" s="9" t="str">
        <f t="shared" si="147"/>
        <v/>
      </c>
      <c r="P967" s="9" t="str">
        <f t="shared" si="148"/>
        <v/>
      </c>
      <c r="Q967" s="9" t="str">
        <f t="shared" si="149"/>
        <v/>
      </c>
      <c r="R967" s="11"/>
      <c r="S967" s="11"/>
    </row>
    <row r="968" spans="1:19" x14ac:dyDescent="0.25">
      <c r="A968" s="30" t="s">
        <v>30</v>
      </c>
      <c r="B968" s="31">
        <f t="shared" si="141"/>
        <v>49644</v>
      </c>
      <c r="C968" s="30">
        <f>YEAR(BInputReservoir[[#This Row],[Date]])</f>
        <v>2035</v>
      </c>
      <c r="D968" s="30">
        <f>MONTH(BInputReservoir[[#This Row],[Date]])</f>
        <v>12</v>
      </c>
      <c r="E968" s="30" t="str">
        <f>IF(I968&lt;&gt;1,"",DATA_INPUT!$M247)</f>
        <v/>
      </c>
      <c r="F968" s="30" t="str">
        <f>STORAGE_BALANCE_ENSEMBLE!BB247</f>
        <v/>
      </c>
      <c r="G968" s="30" t="str">
        <f>STORAGE_BALANCE_ENSEMBLE!BC247</f>
        <v/>
      </c>
      <c r="H968" s="30" t="str">
        <f>STORAGE_BALANCE_ENSEMBLE!BA247</f>
        <v/>
      </c>
      <c r="I968" s="18" t="str">
        <f t="shared" si="142"/>
        <v/>
      </c>
      <c r="J968" s="8" t="str">
        <f t="shared" si="143"/>
        <v/>
      </c>
      <c r="K968" s="9" t="str">
        <f t="shared" si="144"/>
        <v/>
      </c>
      <c r="L968" s="10" t="str">
        <f t="shared" si="145"/>
        <v/>
      </c>
      <c r="M968" s="10" t="str">
        <f>IF(I968&lt;&gt;1,"",IF(H968="","",H968/CONTROL_PANEL!$B$11))</f>
        <v/>
      </c>
      <c r="N968" s="9" t="str">
        <f t="shared" si="146"/>
        <v/>
      </c>
      <c r="O968" s="9" t="str">
        <f t="shared" si="147"/>
        <v/>
      </c>
      <c r="P968" s="9" t="str">
        <f t="shared" si="148"/>
        <v/>
      </c>
      <c r="Q968" s="9" t="str">
        <f t="shared" si="149"/>
        <v/>
      </c>
      <c r="R968" s="11"/>
      <c r="S968" s="11"/>
    </row>
    <row r="969" spans="1:19" x14ac:dyDescent="0.25">
      <c r="A969" s="30" t="s">
        <v>30</v>
      </c>
      <c r="B969" s="31">
        <f t="shared" si="141"/>
        <v>49675</v>
      </c>
      <c r="C969" s="30">
        <f>YEAR(BInputReservoir[[#This Row],[Date]])</f>
        <v>2036</v>
      </c>
      <c r="D969" s="30">
        <f>MONTH(BInputReservoir[[#This Row],[Date]])</f>
        <v>1</v>
      </c>
      <c r="E969" s="30" t="str">
        <f>IF(I969&lt;&gt;1,"",DATA_INPUT!$M248)</f>
        <v/>
      </c>
      <c r="F969" s="30" t="str">
        <f>STORAGE_BALANCE_ENSEMBLE!BB248</f>
        <v/>
      </c>
      <c r="G969" s="30" t="str">
        <f>STORAGE_BALANCE_ENSEMBLE!BC248</f>
        <v/>
      </c>
      <c r="H969" s="30" t="str">
        <f>STORAGE_BALANCE_ENSEMBLE!BA248</f>
        <v/>
      </c>
      <c r="I969" s="18" t="str">
        <f t="shared" si="142"/>
        <v/>
      </c>
      <c r="J969" s="8" t="str">
        <f t="shared" si="143"/>
        <v/>
      </c>
      <c r="K969" s="9" t="str">
        <f t="shared" si="144"/>
        <v/>
      </c>
      <c r="L969" s="10" t="str">
        <f t="shared" si="145"/>
        <v/>
      </c>
      <c r="M969" s="10" t="str">
        <f>IF(I969&lt;&gt;1,"",IF(H969="","",H969/CONTROL_PANEL!$B$11))</f>
        <v/>
      </c>
      <c r="N969" s="9" t="str">
        <f t="shared" si="146"/>
        <v/>
      </c>
      <c r="O969" s="9" t="str">
        <f t="shared" si="147"/>
        <v/>
      </c>
      <c r="P969" s="9" t="str">
        <f t="shared" si="148"/>
        <v/>
      </c>
      <c r="Q969" s="9" t="str">
        <f t="shared" si="149"/>
        <v/>
      </c>
      <c r="R969" s="11"/>
      <c r="S969" s="11"/>
    </row>
    <row r="970" spans="1:19" x14ac:dyDescent="0.25">
      <c r="A970" s="30" t="s">
        <v>30</v>
      </c>
      <c r="B970" s="31">
        <f t="shared" si="141"/>
        <v>49706</v>
      </c>
      <c r="C970" s="30">
        <f>YEAR(BInputReservoir[[#This Row],[Date]])</f>
        <v>2036</v>
      </c>
      <c r="D970" s="30">
        <f>MONTH(BInputReservoir[[#This Row],[Date]])</f>
        <v>2</v>
      </c>
      <c r="E970" s="30" t="str">
        <f>IF(I970&lt;&gt;1,"",DATA_INPUT!$M249)</f>
        <v/>
      </c>
      <c r="F970" s="30" t="str">
        <f>STORAGE_BALANCE_ENSEMBLE!BB249</f>
        <v/>
      </c>
      <c r="G970" s="30" t="str">
        <f>STORAGE_BALANCE_ENSEMBLE!BC249</f>
        <v/>
      </c>
      <c r="H970" s="30" t="str">
        <f>STORAGE_BALANCE_ENSEMBLE!BA249</f>
        <v/>
      </c>
      <c r="I970" s="18" t="str">
        <f t="shared" si="142"/>
        <v/>
      </c>
      <c r="J970" s="8" t="str">
        <f t="shared" si="143"/>
        <v/>
      </c>
      <c r="K970" s="9" t="str">
        <f t="shared" si="144"/>
        <v/>
      </c>
      <c r="L970" s="10" t="str">
        <f t="shared" si="145"/>
        <v/>
      </c>
      <c r="M970" s="10" t="str">
        <f>IF(I970&lt;&gt;1,"",IF(H970="","",H970/CONTROL_PANEL!$B$11))</f>
        <v/>
      </c>
      <c r="N970" s="9" t="str">
        <f t="shared" si="146"/>
        <v/>
      </c>
      <c r="O970" s="9" t="str">
        <f t="shared" si="147"/>
        <v/>
      </c>
      <c r="P970" s="9" t="str">
        <f t="shared" si="148"/>
        <v/>
      </c>
      <c r="Q970" s="9" t="str">
        <f t="shared" si="149"/>
        <v/>
      </c>
      <c r="R970" s="11"/>
      <c r="S970" s="11"/>
    </row>
    <row r="971" spans="1:19" x14ac:dyDescent="0.25">
      <c r="A971" s="30" t="s">
        <v>30</v>
      </c>
      <c r="B971" s="31">
        <f t="shared" si="141"/>
        <v>49735</v>
      </c>
      <c r="C971" s="30">
        <f>YEAR(BInputReservoir[[#This Row],[Date]])</f>
        <v>2036</v>
      </c>
      <c r="D971" s="30">
        <f>MONTH(BInputReservoir[[#This Row],[Date]])</f>
        <v>3</v>
      </c>
      <c r="E971" s="30" t="str">
        <f>IF(I971&lt;&gt;1,"",DATA_INPUT!$M250)</f>
        <v/>
      </c>
      <c r="F971" s="30" t="str">
        <f>STORAGE_BALANCE_ENSEMBLE!BB250</f>
        <v/>
      </c>
      <c r="G971" s="30" t="str">
        <f>STORAGE_BALANCE_ENSEMBLE!BC250</f>
        <v/>
      </c>
      <c r="H971" s="30" t="str">
        <f>STORAGE_BALANCE_ENSEMBLE!BA250</f>
        <v/>
      </c>
      <c r="I971" s="18" t="str">
        <f t="shared" si="142"/>
        <v/>
      </c>
      <c r="J971" s="8" t="str">
        <f t="shared" si="143"/>
        <v/>
      </c>
      <c r="K971" s="9" t="str">
        <f t="shared" si="144"/>
        <v/>
      </c>
      <c r="L971" s="10" t="str">
        <f t="shared" si="145"/>
        <v/>
      </c>
      <c r="M971" s="10" t="str">
        <f>IF(I971&lt;&gt;1,"",IF(H971="","",H971/CONTROL_PANEL!$B$11))</f>
        <v/>
      </c>
      <c r="N971" s="9" t="str">
        <f t="shared" si="146"/>
        <v/>
      </c>
      <c r="O971" s="9" t="str">
        <f t="shared" si="147"/>
        <v/>
      </c>
      <c r="P971" s="9" t="str">
        <f t="shared" si="148"/>
        <v/>
      </c>
      <c r="Q971" s="9" t="str">
        <f t="shared" si="149"/>
        <v/>
      </c>
      <c r="R971" s="11"/>
      <c r="S971" s="11"/>
    </row>
    <row r="972" spans="1:19" x14ac:dyDescent="0.25">
      <c r="A972" s="30" t="s">
        <v>30</v>
      </c>
      <c r="B972" s="31">
        <f t="shared" si="141"/>
        <v>49766</v>
      </c>
      <c r="C972" s="30">
        <f>YEAR(BInputReservoir[[#This Row],[Date]])</f>
        <v>2036</v>
      </c>
      <c r="D972" s="30">
        <f>MONTH(BInputReservoir[[#This Row],[Date]])</f>
        <v>4</v>
      </c>
      <c r="E972" s="30" t="str">
        <f>IF(I972&lt;&gt;1,"",DATA_INPUT!$M251)</f>
        <v/>
      </c>
      <c r="F972" s="30" t="str">
        <f>STORAGE_BALANCE_ENSEMBLE!BB251</f>
        <v/>
      </c>
      <c r="G972" s="30" t="str">
        <f>STORAGE_BALANCE_ENSEMBLE!BC251</f>
        <v/>
      </c>
      <c r="H972" s="30" t="str">
        <f>STORAGE_BALANCE_ENSEMBLE!BA251</f>
        <v/>
      </c>
      <c r="I972" s="18" t="str">
        <f t="shared" si="142"/>
        <v/>
      </c>
      <c r="J972" s="8" t="str">
        <f t="shared" si="143"/>
        <v/>
      </c>
      <c r="K972" s="9" t="str">
        <f t="shared" si="144"/>
        <v/>
      </c>
      <c r="L972" s="10" t="str">
        <f t="shared" si="145"/>
        <v/>
      </c>
      <c r="M972" s="10" t="str">
        <f>IF(I972&lt;&gt;1,"",IF(H972="","",H972/CONTROL_PANEL!$B$11))</f>
        <v/>
      </c>
      <c r="N972" s="9" t="str">
        <f t="shared" si="146"/>
        <v/>
      </c>
      <c r="O972" s="9" t="str">
        <f t="shared" si="147"/>
        <v/>
      </c>
      <c r="P972" s="9" t="str">
        <f t="shared" si="148"/>
        <v/>
      </c>
      <c r="Q972" s="9" t="str">
        <f t="shared" si="149"/>
        <v/>
      </c>
      <c r="R972" s="11"/>
      <c r="S972" s="11"/>
    </row>
    <row r="973" spans="1:19" x14ac:dyDescent="0.25">
      <c r="A973" s="30" t="s">
        <v>30</v>
      </c>
      <c r="B973" s="31">
        <f t="shared" si="141"/>
        <v>49796</v>
      </c>
      <c r="C973" s="30">
        <f>YEAR(BInputReservoir[[#This Row],[Date]])</f>
        <v>2036</v>
      </c>
      <c r="D973" s="30">
        <f>MONTH(BInputReservoir[[#This Row],[Date]])</f>
        <v>5</v>
      </c>
      <c r="E973" s="30" t="str">
        <f>IF(I973&lt;&gt;1,"",DATA_INPUT!$M252)</f>
        <v/>
      </c>
      <c r="F973" s="30" t="str">
        <f>STORAGE_BALANCE_ENSEMBLE!BB252</f>
        <v/>
      </c>
      <c r="G973" s="30" t="str">
        <f>STORAGE_BALANCE_ENSEMBLE!BC252</f>
        <v/>
      </c>
      <c r="H973" s="30" t="str">
        <f>STORAGE_BALANCE_ENSEMBLE!BA252</f>
        <v/>
      </c>
      <c r="I973" s="18" t="str">
        <f t="shared" si="142"/>
        <v/>
      </c>
      <c r="J973" s="8" t="str">
        <f t="shared" si="143"/>
        <v/>
      </c>
      <c r="K973" s="9" t="str">
        <f t="shared" si="144"/>
        <v/>
      </c>
      <c r="L973" s="10" t="str">
        <f t="shared" si="145"/>
        <v/>
      </c>
      <c r="M973" s="10" t="str">
        <f>IF(I973&lt;&gt;1,"",IF(H973="","",H973/CONTROL_PANEL!$B$11))</f>
        <v/>
      </c>
      <c r="N973" s="9" t="str">
        <f t="shared" si="146"/>
        <v/>
      </c>
      <c r="O973" s="9" t="str">
        <f t="shared" si="147"/>
        <v/>
      </c>
      <c r="P973" s="9" t="str">
        <f t="shared" si="148"/>
        <v/>
      </c>
      <c r="Q973" s="9" t="str">
        <f t="shared" si="149"/>
        <v/>
      </c>
      <c r="R973" s="11"/>
      <c r="S973" s="11"/>
    </row>
    <row r="974" spans="1:19" x14ac:dyDescent="0.25">
      <c r="A974" s="30" t="s">
        <v>30</v>
      </c>
      <c r="B974" s="31">
        <f t="shared" si="141"/>
        <v>49827</v>
      </c>
      <c r="C974" s="30">
        <f>YEAR(BInputReservoir[[#This Row],[Date]])</f>
        <v>2036</v>
      </c>
      <c r="D974" s="30">
        <f>MONTH(BInputReservoir[[#This Row],[Date]])</f>
        <v>6</v>
      </c>
      <c r="E974" s="30" t="str">
        <f>IF(I974&lt;&gt;1,"",DATA_INPUT!$M253)</f>
        <v/>
      </c>
      <c r="F974" s="30" t="str">
        <f>STORAGE_BALANCE_ENSEMBLE!BB253</f>
        <v/>
      </c>
      <c r="G974" s="30" t="str">
        <f>STORAGE_BALANCE_ENSEMBLE!BC253</f>
        <v/>
      </c>
      <c r="H974" s="30" t="str">
        <f>STORAGE_BALANCE_ENSEMBLE!BA253</f>
        <v/>
      </c>
      <c r="I974" s="18" t="str">
        <f t="shared" si="142"/>
        <v/>
      </c>
      <c r="J974" s="8" t="str">
        <f t="shared" si="143"/>
        <v/>
      </c>
      <c r="K974" s="9" t="str">
        <f t="shared" si="144"/>
        <v/>
      </c>
      <c r="L974" s="10" t="str">
        <f t="shared" si="145"/>
        <v/>
      </c>
      <c r="M974" s="10" t="str">
        <f>IF(I974&lt;&gt;1,"",IF(H974="","",H974/CONTROL_PANEL!$B$11))</f>
        <v/>
      </c>
      <c r="N974" s="9" t="str">
        <f t="shared" si="146"/>
        <v/>
      </c>
      <c r="O974" s="9" t="str">
        <f t="shared" si="147"/>
        <v/>
      </c>
      <c r="P974" s="9" t="str">
        <f t="shared" si="148"/>
        <v/>
      </c>
      <c r="Q974" s="9" t="str">
        <f t="shared" si="149"/>
        <v/>
      </c>
      <c r="R974" s="11"/>
      <c r="S974" s="11"/>
    </row>
    <row r="975" spans="1:19" x14ac:dyDescent="0.25">
      <c r="A975" s="30" t="s">
        <v>30</v>
      </c>
      <c r="B975" s="31">
        <f t="shared" si="141"/>
        <v>49857</v>
      </c>
      <c r="C975" s="30">
        <f>YEAR(BInputReservoir[[#This Row],[Date]])</f>
        <v>2036</v>
      </c>
      <c r="D975" s="30">
        <f>MONTH(BInputReservoir[[#This Row],[Date]])</f>
        <v>7</v>
      </c>
      <c r="E975" s="30" t="str">
        <f>IF(I975&lt;&gt;1,"",DATA_INPUT!$M254)</f>
        <v/>
      </c>
      <c r="F975" s="30" t="str">
        <f>STORAGE_BALANCE_ENSEMBLE!BB254</f>
        <v/>
      </c>
      <c r="G975" s="30" t="str">
        <f>STORAGE_BALANCE_ENSEMBLE!BC254</f>
        <v/>
      </c>
      <c r="H975" s="30" t="str">
        <f>STORAGE_BALANCE_ENSEMBLE!BA254</f>
        <v/>
      </c>
      <c r="I975" s="18" t="str">
        <f t="shared" si="142"/>
        <v/>
      </c>
      <c r="J975" s="8" t="str">
        <f t="shared" si="143"/>
        <v/>
      </c>
      <c r="K975" s="9" t="str">
        <f t="shared" si="144"/>
        <v/>
      </c>
      <c r="L975" s="10" t="str">
        <f t="shared" si="145"/>
        <v/>
      </c>
      <c r="M975" s="10" t="str">
        <f>IF(I975&lt;&gt;1,"",IF(H975="","",H975/CONTROL_PANEL!$B$11))</f>
        <v/>
      </c>
      <c r="N975" s="9" t="str">
        <f t="shared" si="146"/>
        <v/>
      </c>
      <c r="O975" s="9" t="str">
        <f t="shared" si="147"/>
        <v/>
      </c>
      <c r="P975" s="9" t="str">
        <f t="shared" si="148"/>
        <v/>
      </c>
      <c r="Q975" s="9" t="str">
        <f t="shared" si="149"/>
        <v/>
      </c>
      <c r="R975" s="11"/>
      <c r="S975" s="11"/>
    </row>
    <row r="976" spans="1:19" x14ac:dyDescent="0.25">
      <c r="A976" s="30" t="s">
        <v>30</v>
      </c>
      <c r="B976" s="31">
        <f t="shared" si="141"/>
        <v>49888</v>
      </c>
      <c r="C976" s="30">
        <f>YEAR(BInputReservoir[[#This Row],[Date]])</f>
        <v>2036</v>
      </c>
      <c r="D976" s="30">
        <f>MONTH(BInputReservoir[[#This Row],[Date]])</f>
        <v>8</v>
      </c>
      <c r="E976" s="30" t="str">
        <f>IF(I976&lt;&gt;1,"",DATA_INPUT!$M255)</f>
        <v/>
      </c>
      <c r="F976" s="30" t="str">
        <f>STORAGE_BALANCE_ENSEMBLE!BB255</f>
        <v/>
      </c>
      <c r="G976" s="30" t="str">
        <f>STORAGE_BALANCE_ENSEMBLE!BC255</f>
        <v/>
      </c>
      <c r="H976" s="30" t="str">
        <f>STORAGE_BALANCE_ENSEMBLE!BA255</f>
        <v/>
      </c>
      <c r="I976" s="18" t="str">
        <f t="shared" si="142"/>
        <v/>
      </c>
      <c r="J976" s="8" t="str">
        <f t="shared" si="143"/>
        <v/>
      </c>
      <c r="K976" s="9" t="str">
        <f t="shared" si="144"/>
        <v/>
      </c>
      <c r="L976" s="10" t="str">
        <f t="shared" si="145"/>
        <v/>
      </c>
      <c r="M976" s="10" t="str">
        <f>IF(I976&lt;&gt;1,"",IF(H976="","",H976/CONTROL_PANEL!$B$11))</f>
        <v/>
      </c>
      <c r="N976" s="9" t="str">
        <f t="shared" si="146"/>
        <v/>
      </c>
      <c r="O976" s="9" t="str">
        <f t="shared" si="147"/>
        <v/>
      </c>
      <c r="P976" s="9" t="str">
        <f t="shared" si="148"/>
        <v/>
      </c>
      <c r="Q976" s="9" t="str">
        <f t="shared" si="149"/>
        <v/>
      </c>
      <c r="R976" s="11"/>
      <c r="S976" s="11"/>
    </row>
    <row r="977" spans="1:19" x14ac:dyDescent="0.25">
      <c r="A977" s="30" t="s">
        <v>30</v>
      </c>
      <c r="B977" s="31">
        <f t="shared" si="141"/>
        <v>49919</v>
      </c>
      <c r="C977" s="30">
        <f>YEAR(BInputReservoir[[#This Row],[Date]])</f>
        <v>2036</v>
      </c>
      <c r="D977" s="30">
        <f>MONTH(BInputReservoir[[#This Row],[Date]])</f>
        <v>9</v>
      </c>
      <c r="E977" s="30" t="str">
        <f>IF(I977&lt;&gt;1,"",DATA_INPUT!$M256)</f>
        <v/>
      </c>
      <c r="F977" s="30" t="str">
        <f>STORAGE_BALANCE_ENSEMBLE!BB256</f>
        <v/>
      </c>
      <c r="G977" s="30" t="str">
        <f>STORAGE_BALANCE_ENSEMBLE!BC256</f>
        <v/>
      </c>
      <c r="H977" s="30" t="str">
        <f>STORAGE_BALANCE_ENSEMBLE!BA256</f>
        <v/>
      </c>
      <c r="I977" s="18" t="str">
        <f t="shared" si="142"/>
        <v/>
      </c>
      <c r="J977" s="8" t="str">
        <f t="shared" si="143"/>
        <v/>
      </c>
      <c r="K977" s="9" t="str">
        <f t="shared" si="144"/>
        <v/>
      </c>
      <c r="L977" s="10" t="str">
        <f t="shared" si="145"/>
        <v/>
      </c>
      <c r="M977" s="10" t="str">
        <f>IF(I977&lt;&gt;1,"",IF(H977="","",H977/CONTROL_PANEL!$B$11))</f>
        <v/>
      </c>
      <c r="N977" s="9" t="str">
        <f t="shared" si="146"/>
        <v/>
      </c>
      <c r="O977" s="9" t="str">
        <f t="shared" si="147"/>
        <v/>
      </c>
      <c r="P977" s="9" t="str">
        <f t="shared" si="148"/>
        <v/>
      </c>
      <c r="Q977" s="9" t="str">
        <f t="shared" si="149"/>
        <v/>
      </c>
      <c r="R977" s="11"/>
      <c r="S977" s="11"/>
    </row>
    <row r="978" spans="1:19" x14ac:dyDescent="0.25">
      <c r="A978" s="30" t="s">
        <v>30</v>
      </c>
      <c r="B978" s="31">
        <f t="shared" si="141"/>
        <v>49949</v>
      </c>
      <c r="C978" s="30">
        <f>YEAR(BInputReservoir[[#This Row],[Date]])</f>
        <v>2036</v>
      </c>
      <c r="D978" s="30">
        <f>MONTH(BInputReservoir[[#This Row],[Date]])</f>
        <v>10</v>
      </c>
      <c r="E978" s="30" t="str">
        <f>IF(I978&lt;&gt;1,"",DATA_INPUT!$M257)</f>
        <v/>
      </c>
      <c r="F978" s="30" t="str">
        <f>STORAGE_BALANCE_ENSEMBLE!BB257</f>
        <v/>
      </c>
      <c r="G978" s="30" t="str">
        <f>STORAGE_BALANCE_ENSEMBLE!BC257</f>
        <v/>
      </c>
      <c r="H978" s="30" t="str">
        <f>STORAGE_BALANCE_ENSEMBLE!BA257</f>
        <v/>
      </c>
      <c r="I978" s="18" t="str">
        <f t="shared" si="142"/>
        <v/>
      </c>
      <c r="J978" s="8" t="str">
        <f t="shared" si="143"/>
        <v/>
      </c>
      <c r="K978" s="9" t="str">
        <f t="shared" si="144"/>
        <v/>
      </c>
      <c r="L978" s="10" t="str">
        <f t="shared" si="145"/>
        <v/>
      </c>
      <c r="M978" s="10" t="str">
        <f>IF(I978&lt;&gt;1,"",IF(H978="","",H978/CONTROL_PANEL!$B$11))</f>
        <v/>
      </c>
      <c r="N978" s="9" t="str">
        <f t="shared" si="146"/>
        <v/>
      </c>
      <c r="O978" s="9" t="str">
        <f t="shared" si="147"/>
        <v/>
      </c>
      <c r="P978" s="9" t="str">
        <f t="shared" si="148"/>
        <v/>
      </c>
      <c r="Q978" s="9" t="str">
        <f t="shared" si="149"/>
        <v/>
      </c>
      <c r="R978" s="11"/>
      <c r="S978" s="11"/>
    </row>
    <row r="979" spans="1:19" x14ac:dyDescent="0.25">
      <c r="A979" s="30" t="s">
        <v>30</v>
      </c>
      <c r="B979" s="31">
        <f t="shared" si="141"/>
        <v>49980</v>
      </c>
      <c r="C979" s="30">
        <f>YEAR(BInputReservoir[[#This Row],[Date]])</f>
        <v>2036</v>
      </c>
      <c r="D979" s="30">
        <f>MONTH(BInputReservoir[[#This Row],[Date]])</f>
        <v>11</v>
      </c>
      <c r="E979" s="30" t="str">
        <f>IF(I979&lt;&gt;1,"",DATA_INPUT!$M258)</f>
        <v/>
      </c>
      <c r="F979" s="30" t="str">
        <f>STORAGE_BALANCE_ENSEMBLE!BB258</f>
        <v/>
      </c>
      <c r="G979" s="30" t="str">
        <f>STORAGE_BALANCE_ENSEMBLE!BC258</f>
        <v/>
      </c>
      <c r="H979" s="30" t="str">
        <f>STORAGE_BALANCE_ENSEMBLE!BA258</f>
        <v/>
      </c>
      <c r="I979" s="18" t="str">
        <f t="shared" si="142"/>
        <v/>
      </c>
      <c r="J979" s="8" t="str">
        <f t="shared" si="143"/>
        <v/>
      </c>
      <c r="K979" s="9" t="str">
        <f t="shared" si="144"/>
        <v/>
      </c>
      <c r="L979" s="10" t="str">
        <f t="shared" si="145"/>
        <v/>
      </c>
      <c r="M979" s="10" t="str">
        <f>IF(I979&lt;&gt;1,"",IF(H979="","",H979/CONTROL_PANEL!$B$11))</f>
        <v/>
      </c>
      <c r="N979" s="9" t="str">
        <f t="shared" si="146"/>
        <v/>
      </c>
      <c r="O979" s="9" t="str">
        <f t="shared" si="147"/>
        <v/>
      </c>
      <c r="P979" s="9" t="str">
        <f t="shared" si="148"/>
        <v/>
      </c>
      <c r="Q979" s="9" t="str">
        <f t="shared" si="149"/>
        <v/>
      </c>
      <c r="R979" s="11"/>
      <c r="S979" s="11"/>
    </row>
    <row r="980" spans="1:19" x14ac:dyDescent="0.25">
      <c r="A980" s="30" t="s">
        <v>30</v>
      </c>
      <c r="B980" s="31">
        <f t="shared" si="141"/>
        <v>50010</v>
      </c>
      <c r="C980" s="30">
        <f>YEAR(BInputReservoir[[#This Row],[Date]])</f>
        <v>2036</v>
      </c>
      <c r="D980" s="30">
        <f>MONTH(BInputReservoir[[#This Row],[Date]])</f>
        <v>12</v>
      </c>
      <c r="E980" s="30" t="str">
        <f>IF(I980&lt;&gt;1,"",DATA_INPUT!$M259)</f>
        <v/>
      </c>
      <c r="F980" s="30" t="str">
        <f>STORAGE_BALANCE_ENSEMBLE!BB259</f>
        <v/>
      </c>
      <c r="G980" s="30" t="str">
        <f>STORAGE_BALANCE_ENSEMBLE!BC259</f>
        <v/>
      </c>
      <c r="H980" s="30" t="str">
        <f>STORAGE_BALANCE_ENSEMBLE!BA259</f>
        <v/>
      </c>
      <c r="I980" s="18" t="str">
        <f t="shared" si="142"/>
        <v/>
      </c>
      <c r="J980" s="8" t="str">
        <f t="shared" si="143"/>
        <v/>
      </c>
      <c r="K980" s="9" t="str">
        <f t="shared" si="144"/>
        <v/>
      </c>
      <c r="L980" s="10" t="str">
        <f t="shared" si="145"/>
        <v/>
      </c>
      <c r="M980" s="10" t="str">
        <f>IF(I980&lt;&gt;1,"",IF(H980="","",H980/CONTROL_PANEL!$B$11))</f>
        <v/>
      </c>
      <c r="N980" s="9" t="str">
        <f t="shared" si="146"/>
        <v/>
      </c>
      <c r="O980" s="9" t="str">
        <f t="shared" si="147"/>
        <v/>
      </c>
      <c r="P980" s="9" t="str">
        <f t="shared" si="148"/>
        <v/>
      </c>
      <c r="Q980" s="9" t="str">
        <f t="shared" si="149"/>
        <v/>
      </c>
      <c r="R980" s="11"/>
      <c r="S980" s="11"/>
    </row>
    <row r="981" spans="1:19" x14ac:dyDescent="0.25">
      <c r="A981" s="30" t="s">
        <v>30</v>
      </c>
      <c r="B981" s="31">
        <f t="shared" si="141"/>
        <v>50041</v>
      </c>
      <c r="C981" s="30">
        <f>YEAR(BInputReservoir[[#This Row],[Date]])</f>
        <v>2037</v>
      </c>
      <c r="D981" s="30">
        <f>MONTH(BInputReservoir[[#This Row],[Date]])</f>
        <v>1</v>
      </c>
      <c r="E981" s="30" t="str">
        <f>IF(I981&lt;&gt;1,"",DATA_INPUT!$M260)</f>
        <v/>
      </c>
      <c r="F981" s="30" t="str">
        <f>STORAGE_BALANCE_ENSEMBLE!BB260</f>
        <v/>
      </c>
      <c r="G981" s="30" t="str">
        <f>STORAGE_BALANCE_ENSEMBLE!BC260</f>
        <v/>
      </c>
      <c r="H981" s="30" t="str">
        <f>STORAGE_BALANCE_ENSEMBLE!BA260</f>
        <v/>
      </c>
      <c r="I981" s="18" t="str">
        <f t="shared" si="142"/>
        <v/>
      </c>
      <c r="J981" s="8" t="str">
        <f t="shared" si="143"/>
        <v/>
      </c>
      <c r="K981" s="9" t="str">
        <f t="shared" si="144"/>
        <v/>
      </c>
      <c r="L981" s="10" t="str">
        <f t="shared" si="145"/>
        <v/>
      </c>
      <c r="M981" s="10" t="str">
        <f>IF(I981&lt;&gt;1,"",IF(H981="","",H981/CONTROL_PANEL!$B$11))</f>
        <v/>
      </c>
      <c r="N981" s="9" t="str">
        <f t="shared" si="146"/>
        <v/>
      </c>
      <c r="O981" s="9" t="str">
        <f t="shared" si="147"/>
        <v/>
      </c>
      <c r="P981" s="9" t="str">
        <f t="shared" si="148"/>
        <v/>
      </c>
      <c r="Q981" s="9" t="str">
        <f t="shared" si="149"/>
        <v/>
      </c>
      <c r="R981" s="11"/>
      <c r="S981" s="11"/>
    </row>
    <row r="982" spans="1:19" x14ac:dyDescent="0.25">
      <c r="A982" s="30" t="s">
        <v>30</v>
      </c>
      <c r="B982" s="31">
        <f t="shared" si="141"/>
        <v>50072</v>
      </c>
      <c r="C982" s="30">
        <f>YEAR(BInputReservoir[[#This Row],[Date]])</f>
        <v>2037</v>
      </c>
      <c r="D982" s="30">
        <f>MONTH(BInputReservoir[[#This Row],[Date]])</f>
        <v>2</v>
      </c>
      <c r="E982" s="30" t="str">
        <f>IF(I982&lt;&gt;1,"",DATA_INPUT!$M261)</f>
        <v/>
      </c>
      <c r="F982" s="30" t="str">
        <f>STORAGE_BALANCE_ENSEMBLE!BB261</f>
        <v/>
      </c>
      <c r="G982" s="30" t="str">
        <f>STORAGE_BALANCE_ENSEMBLE!BC261</f>
        <v/>
      </c>
      <c r="H982" s="30" t="str">
        <f>STORAGE_BALANCE_ENSEMBLE!BA261</f>
        <v/>
      </c>
      <c r="I982" s="18" t="str">
        <f t="shared" si="142"/>
        <v/>
      </c>
      <c r="J982" s="8" t="str">
        <f t="shared" si="143"/>
        <v/>
      </c>
      <c r="K982" s="9" t="str">
        <f t="shared" si="144"/>
        <v/>
      </c>
      <c r="L982" s="10" t="str">
        <f t="shared" si="145"/>
        <v/>
      </c>
      <c r="M982" s="10" t="str">
        <f>IF(I982&lt;&gt;1,"",IF(H982="","",H982/CONTROL_PANEL!$B$11))</f>
        <v/>
      </c>
      <c r="N982" s="9" t="str">
        <f t="shared" si="146"/>
        <v/>
      </c>
      <c r="O982" s="9" t="str">
        <f t="shared" si="147"/>
        <v/>
      </c>
      <c r="P982" s="9" t="str">
        <f t="shared" si="148"/>
        <v/>
      </c>
      <c r="Q982" s="9" t="str">
        <f t="shared" si="149"/>
        <v/>
      </c>
      <c r="R982" s="11"/>
      <c r="S982" s="11"/>
    </row>
    <row r="983" spans="1:19" x14ac:dyDescent="0.25">
      <c r="A983" s="30" t="s">
        <v>30</v>
      </c>
      <c r="B983" s="31">
        <f t="shared" ref="B983:B1046" si="150">B622</f>
        <v>50100</v>
      </c>
      <c r="C983" s="30">
        <f>YEAR(BInputReservoir[[#This Row],[Date]])</f>
        <v>2037</v>
      </c>
      <c r="D983" s="30">
        <f>MONTH(BInputReservoir[[#This Row],[Date]])</f>
        <v>3</v>
      </c>
      <c r="E983" s="30" t="str">
        <f>IF(I983&lt;&gt;1,"",DATA_INPUT!$M262)</f>
        <v/>
      </c>
      <c r="F983" s="30" t="str">
        <f>STORAGE_BALANCE_ENSEMBLE!BB262</f>
        <v/>
      </c>
      <c r="G983" s="30" t="str">
        <f>STORAGE_BALANCE_ENSEMBLE!BC262</f>
        <v/>
      </c>
      <c r="H983" s="30" t="str">
        <f>STORAGE_BALANCE_ENSEMBLE!BA262</f>
        <v/>
      </c>
      <c r="I983" s="18" t="str">
        <f t="shared" ref="I983:I1046" si="151">I261</f>
        <v/>
      </c>
      <c r="J983" s="8" t="str">
        <f t="shared" si="143"/>
        <v/>
      </c>
      <c r="K983" s="9" t="str">
        <f t="shared" si="144"/>
        <v/>
      </c>
      <c r="L983" s="10" t="str">
        <f t="shared" si="145"/>
        <v/>
      </c>
      <c r="M983" s="10" t="str">
        <f>IF(I983&lt;&gt;1,"",IF(H983="","",H983/CONTROL_PANEL!$B$11))</f>
        <v/>
      </c>
      <c r="N983" s="9" t="str">
        <f t="shared" si="146"/>
        <v/>
      </c>
      <c r="O983" s="9" t="str">
        <f t="shared" si="147"/>
        <v/>
      </c>
      <c r="P983" s="9" t="str">
        <f t="shared" si="148"/>
        <v/>
      </c>
      <c r="Q983" s="9" t="str">
        <f t="shared" si="149"/>
        <v/>
      </c>
      <c r="R983" s="11"/>
      <c r="S983" s="11"/>
    </row>
    <row r="984" spans="1:19" x14ac:dyDescent="0.25">
      <c r="A984" s="30" t="s">
        <v>30</v>
      </c>
      <c r="B984" s="31">
        <f t="shared" si="150"/>
        <v>50131</v>
      </c>
      <c r="C984" s="30">
        <f>YEAR(BInputReservoir[[#This Row],[Date]])</f>
        <v>2037</v>
      </c>
      <c r="D984" s="30">
        <f>MONTH(BInputReservoir[[#This Row],[Date]])</f>
        <v>4</v>
      </c>
      <c r="E984" s="30" t="str">
        <f>IF(I984&lt;&gt;1,"",DATA_INPUT!$M263)</f>
        <v/>
      </c>
      <c r="F984" s="30" t="str">
        <f>STORAGE_BALANCE_ENSEMBLE!BB263</f>
        <v/>
      </c>
      <c r="G984" s="30" t="str">
        <f>STORAGE_BALANCE_ENSEMBLE!BC263</f>
        <v/>
      </c>
      <c r="H984" s="30" t="str">
        <f>STORAGE_BALANCE_ENSEMBLE!BA263</f>
        <v/>
      </c>
      <c r="I984" s="18" t="str">
        <f t="shared" si="151"/>
        <v/>
      </c>
      <c r="J984" s="8" t="str">
        <f t="shared" si="143"/>
        <v/>
      </c>
      <c r="K984" s="9" t="str">
        <f t="shared" si="144"/>
        <v/>
      </c>
      <c r="L984" s="10" t="str">
        <f t="shared" si="145"/>
        <v/>
      </c>
      <c r="M984" s="10" t="str">
        <f>IF(I984&lt;&gt;1,"",IF(H984="","",H984/CONTROL_PANEL!$B$11))</f>
        <v/>
      </c>
      <c r="N984" s="9" t="str">
        <f t="shared" si="146"/>
        <v/>
      </c>
      <c r="O984" s="9" t="str">
        <f t="shared" si="147"/>
        <v/>
      </c>
      <c r="P984" s="9" t="str">
        <f t="shared" si="148"/>
        <v/>
      </c>
      <c r="Q984" s="9" t="str">
        <f t="shared" si="149"/>
        <v/>
      </c>
      <c r="R984" s="11"/>
      <c r="S984" s="11"/>
    </row>
    <row r="985" spans="1:19" x14ac:dyDescent="0.25">
      <c r="A985" s="30" t="s">
        <v>30</v>
      </c>
      <c r="B985" s="31">
        <f t="shared" si="150"/>
        <v>50161</v>
      </c>
      <c r="C985" s="30">
        <f>YEAR(BInputReservoir[[#This Row],[Date]])</f>
        <v>2037</v>
      </c>
      <c r="D985" s="30">
        <f>MONTH(BInputReservoir[[#This Row],[Date]])</f>
        <v>5</v>
      </c>
      <c r="E985" s="30" t="str">
        <f>IF(I985&lt;&gt;1,"",DATA_INPUT!$M264)</f>
        <v/>
      </c>
      <c r="F985" s="30" t="str">
        <f>STORAGE_BALANCE_ENSEMBLE!BB264</f>
        <v/>
      </c>
      <c r="G985" s="30" t="str">
        <f>STORAGE_BALANCE_ENSEMBLE!BC264</f>
        <v/>
      </c>
      <c r="H985" s="30" t="str">
        <f>STORAGE_BALANCE_ENSEMBLE!BA264</f>
        <v/>
      </c>
      <c r="I985" s="18" t="str">
        <f t="shared" si="151"/>
        <v/>
      </c>
      <c r="J985" s="8" t="str">
        <f t="shared" si="143"/>
        <v/>
      </c>
      <c r="K985" s="9" t="str">
        <f t="shared" si="144"/>
        <v/>
      </c>
      <c r="L985" s="10" t="str">
        <f t="shared" si="145"/>
        <v/>
      </c>
      <c r="M985" s="10" t="str">
        <f>IF(I985&lt;&gt;1,"",IF(H985="","",H985/CONTROL_PANEL!$B$11))</f>
        <v/>
      </c>
      <c r="N985" s="9" t="str">
        <f t="shared" si="146"/>
        <v/>
      </c>
      <c r="O985" s="9" t="str">
        <f t="shared" si="147"/>
        <v/>
      </c>
      <c r="P985" s="9" t="str">
        <f t="shared" si="148"/>
        <v/>
      </c>
      <c r="Q985" s="9" t="str">
        <f t="shared" si="149"/>
        <v/>
      </c>
      <c r="R985" s="11"/>
      <c r="S985" s="11"/>
    </row>
    <row r="986" spans="1:19" x14ac:dyDescent="0.25">
      <c r="A986" s="30" t="s">
        <v>30</v>
      </c>
      <c r="B986" s="31">
        <f t="shared" si="150"/>
        <v>50192</v>
      </c>
      <c r="C986" s="30">
        <f>YEAR(BInputReservoir[[#This Row],[Date]])</f>
        <v>2037</v>
      </c>
      <c r="D986" s="30">
        <f>MONTH(BInputReservoir[[#This Row],[Date]])</f>
        <v>6</v>
      </c>
      <c r="E986" s="30" t="str">
        <f>IF(I986&lt;&gt;1,"",DATA_INPUT!$M265)</f>
        <v/>
      </c>
      <c r="F986" s="30" t="str">
        <f>STORAGE_BALANCE_ENSEMBLE!BB265</f>
        <v/>
      </c>
      <c r="G986" s="30" t="str">
        <f>STORAGE_BALANCE_ENSEMBLE!BC265</f>
        <v/>
      </c>
      <c r="H986" s="30" t="str">
        <f>STORAGE_BALANCE_ENSEMBLE!BA265</f>
        <v/>
      </c>
      <c r="I986" s="18" t="str">
        <f t="shared" si="151"/>
        <v/>
      </c>
      <c r="J986" s="8" t="str">
        <f t="shared" si="143"/>
        <v/>
      </c>
      <c r="K986" s="9" t="str">
        <f t="shared" si="144"/>
        <v/>
      </c>
      <c r="L986" s="10" t="str">
        <f t="shared" si="145"/>
        <v/>
      </c>
      <c r="M986" s="10" t="str">
        <f>IF(I986&lt;&gt;1,"",IF(H986="","",H986/CONTROL_PANEL!$B$11))</f>
        <v/>
      </c>
      <c r="N986" s="9" t="str">
        <f t="shared" si="146"/>
        <v/>
      </c>
      <c r="O986" s="9" t="str">
        <f t="shared" si="147"/>
        <v/>
      </c>
      <c r="P986" s="9" t="str">
        <f t="shared" si="148"/>
        <v/>
      </c>
      <c r="Q986" s="9" t="str">
        <f t="shared" si="149"/>
        <v/>
      </c>
      <c r="R986" s="11"/>
      <c r="S986" s="11"/>
    </row>
    <row r="987" spans="1:19" x14ac:dyDescent="0.25">
      <c r="A987" s="30" t="s">
        <v>30</v>
      </c>
      <c r="B987" s="31">
        <f t="shared" si="150"/>
        <v>50222</v>
      </c>
      <c r="C987" s="30">
        <f>YEAR(BInputReservoir[[#This Row],[Date]])</f>
        <v>2037</v>
      </c>
      <c r="D987" s="30">
        <f>MONTH(BInputReservoir[[#This Row],[Date]])</f>
        <v>7</v>
      </c>
      <c r="E987" s="30" t="str">
        <f>IF(I987&lt;&gt;1,"",DATA_INPUT!$M266)</f>
        <v/>
      </c>
      <c r="F987" s="30" t="str">
        <f>STORAGE_BALANCE_ENSEMBLE!BB266</f>
        <v/>
      </c>
      <c r="G987" s="30" t="str">
        <f>STORAGE_BALANCE_ENSEMBLE!BC266</f>
        <v/>
      </c>
      <c r="H987" s="30" t="str">
        <f>STORAGE_BALANCE_ENSEMBLE!BA266</f>
        <v/>
      </c>
      <c r="I987" s="18" t="str">
        <f t="shared" si="151"/>
        <v/>
      </c>
      <c r="J987" s="8" t="str">
        <f t="shared" si="143"/>
        <v/>
      </c>
      <c r="K987" s="9" t="str">
        <f t="shared" si="144"/>
        <v/>
      </c>
      <c r="L987" s="10" t="str">
        <f t="shared" si="145"/>
        <v/>
      </c>
      <c r="M987" s="10" t="str">
        <f>IF(I987&lt;&gt;1,"",IF(H987="","",H987/CONTROL_PANEL!$B$11))</f>
        <v/>
      </c>
      <c r="N987" s="9" t="str">
        <f t="shared" si="146"/>
        <v/>
      </c>
      <c r="O987" s="9" t="str">
        <f t="shared" si="147"/>
        <v/>
      </c>
      <c r="P987" s="9" t="str">
        <f t="shared" si="148"/>
        <v/>
      </c>
      <c r="Q987" s="9" t="str">
        <f t="shared" si="149"/>
        <v/>
      </c>
      <c r="R987" s="11"/>
      <c r="S987" s="11"/>
    </row>
    <row r="988" spans="1:19" x14ac:dyDescent="0.25">
      <c r="A988" s="30" t="s">
        <v>30</v>
      </c>
      <c r="B988" s="31">
        <f t="shared" si="150"/>
        <v>50253</v>
      </c>
      <c r="C988" s="30">
        <f>YEAR(BInputReservoir[[#This Row],[Date]])</f>
        <v>2037</v>
      </c>
      <c r="D988" s="30">
        <f>MONTH(BInputReservoir[[#This Row],[Date]])</f>
        <v>8</v>
      </c>
      <c r="E988" s="30" t="str">
        <f>IF(I988&lt;&gt;1,"",DATA_INPUT!$M267)</f>
        <v/>
      </c>
      <c r="F988" s="30" t="str">
        <f>STORAGE_BALANCE_ENSEMBLE!BB267</f>
        <v/>
      </c>
      <c r="G988" s="30" t="str">
        <f>STORAGE_BALANCE_ENSEMBLE!BC267</f>
        <v/>
      </c>
      <c r="H988" s="30" t="str">
        <f>STORAGE_BALANCE_ENSEMBLE!BA267</f>
        <v/>
      </c>
      <c r="I988" s="18" t="str">
        <f t="shared" si="151"/>
        <v/>
      </c>
      <c r="J988" s="8" t="str">
        <f t="shared" si="143"/>
        <v/>
      </c>
      <c r="K988" s="9" t="str">
        <f t="shared" si="144"/>
        <v/>
      </c>
      <c r="L988" s="10" t="str">
        <f t="shared" si="145"/>
        <v/>
      </c>
      <c r="M988" s="10" t="str">
        <f>IF(I988&lt;&gt;1,"",IF(H988="","",H988/CONTROL_PANEL!$B$11))</f>
        <v/>
      </c>
      <c r="N988" s="9" t="str">
        <f t="shared" si="146"/>
        <v/>
      </c>
      <c r="O988" s="9" t="str">
        <f t="shared" si="147"/>
        <v/>
      </c>
      <c r="P988" s="9" t="str">
        <f t="shared" si="148"/>
        <v/>
      </c>
      <c r="Q988" s="9" t="str">
        <f t="shared" si="149"/>
        <v/>
      </c>
      <c r="R988" s="11"/>
      <c r="S988" s="11"/>
    </row>
    <row r="989" spans="1:19" x14ac:dyDescent="0.25">
      <c r="A989" s="30" t="s">
        <v>30</v>
      </c>
      <c r="B989" s="31">
        <f t="shared" si="150"/>
        <v>50284</v>
      </c>
      <c r="C989" s="30">
        <f>YEAR(BInputReservoir[[#This Row],[Date]])</f>
        <v>2037</v>
      </c>
      <c r="D989" s="30">
        <f>MONTH(BInputReservoir[[#This Row],[Date]])</f>
        <v>9</v>
      </c>
      <c r="E989" s="30" t="str">
        <f>IF(I989&lt;&gt;1,"",DATA_INPUT!$M268)</f>
        <v/>
      </c>
      <c r="F989" s="30" t="str">
        <f>STORAGE_BALANCE_ENSEMBLE!BB268</f>
        <v/>
      </c>
      <c r="G989" s="30" t="str">
        <f>STORAGE_BALANCE_ENSEMBLE!BC268</f>
        <v/>
      </c>
      <c r="H989" s="30" t="str">
        <f>STORAGE_BALANCE_ENSEMBLE!BA268</f>
        <v/>
      </c>
      <c r="I989" s="18" t="str">
        <f t="shared" si="151"/>
        <v/>
      </c>
      <c r="J989" s="8" t="str">
        <f t="shared" si="143"/>
        <v/>
      </c>
      <c r="K989" s="9" t="str">
        <f t="shared" si="144"/>
        <v/>
      </c>
      <c r="L989" s="10" t="str">
        <f t="shared" si="145"/>
        <v/>
      </c>
      <c r="M989" s="10" t="str">
        <f>IF(I989&lt;&gt;1,"",IF(H989="","",H989/CONTROL_PANEL!$B$11))</f>
        <v/>
      </c>
      <c r="N989" s="9" t="str">
        <f t="shared" si="146"/>
        <v/>
      </c>
      <c r="O989" s="9" t="str">
        <f t="shared" si="147"/>
        <v/>
      </c>
      <c r="P989" s="9" t="str">
        <f t="shared" si="148"/>
        <v/>
      </c>
      <c r="Q989" s="9" t="str">
        <f t="shared" si="149"/>
        <v/>
      </c>
      <c r="R989" s="11"/>
      <c r="S989" s="11"/>
    </row>
    <row r="990" spans="1:19" x14ac:dyDescent="0.25">
      <c r="A990" s="30" t="s">
        <v>30</v>
      </c>
      <c r="B990" s="31">
        <f t="shared" si="150"/>
        <v>50314</v>
      </c>
      <c r="C990" s="30">
        <f>YEAR(BInputReservoir[[#This Row],[Date]])</f>
        <v>2037</v>
      </c>
      <c r="D990" s="30">
        <f>MONTH(BInputReservoir[[#This Row],[Date]])</f>
        <v>10</v>
      </c>
      <c r="E990" s="30" t="str">
        <f>IF(I990&lt;&gt;1,"",DATA_INPUT!$M269)</f>
        <v/>
      </c>
      <c r="F990" s="30" t="str">
        <f>STORAGE_BALANCE_ENSEMBLE!BB269</f>
        <v/>
      </c>
      <c r="G990" s="30" t="str">
        <f>STORAGE_BALANCE_ENSEMBLE!BC269</f>
        <v/>
      </c>
      <c r="H990" s="30" t="str">
        <f>STORAGE_BALANCE_ENSEMBLE!BA269</f>
        <v/>
      </c>
      <c r="I990" s="18" t="str">
        <f t="shared" si="151"/>
        <v/>
      </c>
      <c r="J990" s="8" t="str">
        <f t="shared" si="143"/>
        <v/>
      </c>
      <c r="K990" s="9" t="str">
        <f t="shared" si="144"/>
        <v/>
      </c>
      <c r="L990" s="10" t="str">
        <f t="shared" si="145"/>
        <v/>
      </c>
      <c r="M990" s="10" t="str">
        <f>IF(I990&lt;&gt;1,"",IF(H990="","",H990/CONTROL_PANEL!$B$11))</f>
        <v/>
      </c>
      <c r="N990" s="9" t="str">
        <f t="shared" si="146"/>
        <v/>
      </c>
      <c r="O990" s="9" t="str">
        <f t="shared" si="147"/>
        <v/>
      </c>
      <c r="P990" s="9" t="str">
        <f t="shared" si="148"/>
        <v/>
      </c>
      <c r="Q990" s="9" t="str">
        <f t="shared" si="149"/>
        <v/>
      </c>
      <c r="R990" s="11"/>
      <c r="S990" s="11"/>
    </row>
    <row r="991" spans="1:19" x14ac:dyDescent="0.25">
      <c r="A991" s="30" t="s">
        <v>30</v>
      </c>
      <c r="B991" s="31">
        <f t="shared" si="150"/>
        <v>50345</v>
      </c>
      <c r="C991" s="30">
        <f>YEAR(BInputReservoir[[#This Row],[Date]])</f>
        <v>2037</v>
      </c>
      <c r="D991" s="30">
        <f>MONTH(BInputReservoir[[#This Row],[Date]])</f>
        <v>11</v>
      </c>
      <c r="E991" s="30" t="str">
        <f>IF(I991&lt;&gt;1,"",DATA_INPUT!$M270)</f>
        <v/>
      </c>
      <c r="F991" s="30" t="str">
        <f>STORAGE_BALANCE_ENSEMBLE!BB270</f>
        <v/>
      </c>
      <c r="G991" s="30" t="str">
        <f>STORAGE_BALANCE_ENSEMBLE!BC270</f>
        <v/>
      </c>
      <c r="H991" s="30" t="str">
        <f>STORAGE_BALANCE_ENSEMBLE!BA270</f>
        <v/>
      </c>
      <c r="I991" s="18" t="str">
        <f t="shared" si="151"/>
        <v/>
      </c>
      <c r="J991" s="8" t="str">
        <f t="shared" si="143"/>
        <v/>
      </c>
      <c r="K991" s="9" t="str">
        <f t="shared" si="144"/>
        <v/>
      </c>
      <c r="L991" s="10" t="str">
        <f t="shared" si="145"/>
        <v/>
      </c>
      <c r="M991" s="10" t="str">
        <f>IF(I991&lt;&gt;1,"",IF(H991="","",H991/CONTROL_PANEL!$B$11))</f>
        <v/>
      </c>
      <c r="N991" s="9" t="str">
        <f t="shared" si="146"/>
        <v/>
      </c>
      <c r="O991" s="9" t="str">
        <f t="shared" si="147"/>
        <v/>
      </c>
      <c r="P991" s="9" t="str">
        <f t="shared" si="148"/>
        <v/>
      </c>
      <c r="Q991" s="9" t="str">
        <f t="shared" si="149"/>
        <v/>
      </c>
      <c r="R991" s="11"/>
      <c r="S991" s="11"/>
    </row>
    <row r="992" spans="1:19" x14ac:dyDescent="0.25">
      <c r="A992" s="30" t="s">
        <v>30</v>
      </c>
      <c r="B992" s="31">
        <f t="shared" si="150"/>
        <v>50375</v>
      </c>
      <c r="C992" s="30">
        <f>YEAR(BInputReservoir[[#This Row],[Date]])</f>
        <v>2037</v>
      </c>
      <c r="D992" s="30">
        <f>MONTH(BInputReservoir[[#This Row],[Date]])</f>
        <v>12</v>
      </c>
      <c r="E992" s="30" t="str">
        <f>IF(I992&lt;&gt;1,"",DATA_INPUT!$M271)</f>
        <v/>
      </c>
      <c r="F992" s="30" t="str">
        <f>STORAGE_BALANCE_ENSEMBLE!BB271</f>
        <v/>
      </c>
      <c r="G992" s="30" t="str">
        <f>STORAGE_BALANCE_ENSEMBLE!BC271</f>
        <v/>
      </c>
      <c r="H992" s="30" t="str">
        <f>STORAGE_BALANCE_ENSEMBLE!BA271</f>
        <v/>
      </c>
      <c r="I992" s="18" t="str">
        <f t="shared" si="151"/>
        <v/>
      </c>
      <c r="J992" s="8" t="str">
        <f t="shared" si="143"/>
        <v/>
      </c>
      <c r="K992" s="9" t="str">
        <f t="shared" si="144"/>
        <v/>
      </c>
      <c r="L992" s="10" t="str">
        <f t="shared" si="145"/>
        <v/>
      </c>
      <c r="M992" s="10" t="str">
        <f>IF(I992&lt;&gt;1,"",IF(H992="","",H992/CONTROL_PANEL!$B$11))</f>
        <v/>
      </c>
      <c r="N992" s="9" t="str">
        <f t="shared" si="146"/>
        <v/>
      </c>
      <c r="O992" s="9" t="str">
        <f t="shared" si="147"/>
        <v/>
      </c>
      <c r="P992" s="9" t="str">
        <f t="shared" si="148"/>
        <v/>
      </c>
      <c r="Q992" s="9" t="str">
        <f t="shared" si="149"/>
        <v/>
      </c>
      <c r="R992" s="11"/>
      <c r="S992" s="11"/>
    </row>
    <row r="993" spans="1:19" x14ac:dyDescent="0.25">
      <c r="A993" s="30" t="s">
        <v>30</v>
      </c>
      <c r="B993" s="31">
        <f t="shared" si="150"/>
        <v>50406</v>
      </c>
      <c r="C993" s="30">
        <f>YEAR(BInputReservoir[[#This Row],[Date]])</f>
        <v>2038</v>
      </c>
      <c r="D993" s="30">
        <f>MONTH(BInputReservoir[[#This Row],[Date]])</f>
        <v>1</v>
      </c>
      <c r="E993" s="30" t="str">
        <f>IF(I993&lt;&gt;1,"",DATA_INPUT!$M272)</f>
        <v/>
      </c>
      <c r="F993" s="30" t="str">
        <f>STORAGE_BALANCE_ENSEMBLE!BB272</f>
        <v/>
      </c>
      <c r="G993" s="30" t="str">
        <f>STORAGE_BALANCE_ENSEMBLE!BC272</f>
        <v/>
      </c>
      <c r="H993" s="30" t="str">
        <f>STORAGE_BALANCE_ENSEMBLE!BA272</f>
        <v/>
      </c>
      <c r="I993" s="18" t="str">
        <f t="shared" si="151"/>
        <v/>
      </c>
      <c r="J993" s="8" t="str">
        <f t="shared" si="143"/>
        <v/>
      </c>
      <c r="K993" s="9" t="str">
        <f t="shared" si="144"/>
        <v/>
      </c>
      <c r="L993" s="10" t="str">
        <f t="shared" si="145"/>
        <v/>
      </c>
      <c r="M993" s="10" t="str">
        <f>IF(I993&lt;&gt;1,"",IF(H993="","",H993/CONTROL_PANEL!$B$11))</f>
        <v/>
      </c>
      <c r="N993" s="9" t="str">
        <f t="shared" si="146"/>
        <v/>
      </c>
      <c r="O993" s="9" t="str">
        <f t="shared" si="147"/>
        <v/>
      </c>
      <c r="P993" s="9" t="str">
        <f t="shared" si="148"/>
        <v/>
      </c>
      <c r="Q993" s="9" t="str">
        <f t="shared" si="149"/>
        <v/>
      </c>
      <c r="R993" s="11"/>
      <c r="S993" s="11"/>
    </row>
    <row r="994" spans="1:19" x14ac:dyDescent="0.25">
      <c r="A994" s="30" t="s">
        <v>30</v>
      </c>
      <c r="B994" s="31">
        <f t="shared" si="150"/>
        <v>50437</v>
      </c>
      <c r="C994" s="30">
        <f>YEAR(BInputReservoir[[#This Row],[Date]])</f>
        <v>2038</v>
      </c>
      <c r="D994" s="30">
        <f>MONTH(BInputReservoir[[#This Row],[Date]])</f>
        <v>2</v>
      </c>
      <c r="E994" s="30" t="str">
        <f>IF(I994&lt;&gt;1,"",DATA_INPUT!$M273)</f>
        <v/>
      </c>
      <c r="F994" s="30" t="str">
        <f>STORAGE_BALANCE_ENSEMBLE!BB273</f>
        <v/>
      </c>
      <c r="G994" s="30" t="str">
        <f>STORAGE_BALANCE_ENSEMBLE!BC273</f>
        <v/>
      </c>
      <c r="H994" s="30" t="str">
        <f>STORAGE_BALANCE_ENSEMBLE!BA273</f>
        <v/>
      </c>
      <c r="I994" s="18" t="str">
        <f t="shared" si="151"/>
        <v/>
      </c>
      <c r="J994" s="8" t="str">
        <f t="shared" si="143"/>
        <v/>
      </c>
      <c r="K994" s="9" t="str">
        <f t="shared" si="144"/>
        <v/>
      </c>
      <c r="L994" s="10" t="str">
        <f t="shared" si="145"/>
        <v/>
      </c>
      <c r="M994" s="10" t="str">
        <f>IF(I994&lt;&gt;1,"",IF(H994="","",H994/CONTROL_PANEL!$B$11))</f>
        <v/>
      </c>
      <c r="N994" s="9" t="str">
        <f t="shared" si="146"/>
        <v/>
      </c>
      <c r="O994" s="9" t="str">
        <f t="shared" si="147"/>
        <v/>
      </c>
      <c r="P994" s="9" t="str">
        <f t="shared" si="148"/>
        <v/>
      </c>
      <c r="Q994" s="9" t="str">
        <f t="shared" si="149"/>
        <v/>
      </c>
      <c r="R994" s="11"/>
      <c r="S994" s="11"/>
    </row>
    <row r="995" spans="1:19" x14ac:dyDescent="0.25">
      <c r="A995" s="30" t="s">
        <v>30</v>
      </c>
      <c r="B995" s="31">
        <f t="shared" si="150"/>
        <v>50465</v>
      </c>
      <c r="C995" s="30">
        <f>YEAR(BInputReservoir[[#This Row],[Date]])</f>
        <v>2038</v>
      </c>
      <c r="D995" s="30">
        <f>MONTH(BInputReservoir[[#This Row],[Date]])</f>
        <v>3</v>
      </c>
      <c r="E995" s="30" t="str">
        <f>IF(I995&lt;&gt;1,"",DATA_INPUT!$M274)</f>
        <v/>
      </c>
      <c r="F995" s="30" t="str">
        <f>STORAGE_BALANCE_ENSEMBLE!BB274</f>
        <v/>
      </c>
      <c r="G995" s="30" t="str">
        <f>STORAGE_BALANCE_ENSEMBLE!BC274</f>
        <v/>
      </c>
      <c r="H995" s="30" t="str">
        <f>STORAGE_BALANCE_ENSEMBLE!BA274</f>
        <v/>
      </c>
      <c r="I995" s="18" t="str">
        <f t="shared" si="151"/>
        <v/>
      </c>
      <c r="J995" s="8" t="str">
        <f t="shared" si="143"/>
        <v/>
      </c>
      <c r="K995" s="9" t="str">
        <f t="shared" si="144"/>
        <v/>
      </c>
      <c r="L995" s="10" t="str">
        <f t="shared" si="145"/>
        <v/>
      </c>
      <c r="M995" s="10" t="str">
        <f>IF(I995&lt;&gt;1,"",IF(H995="","",H995/CONTROL_PANEL!$B$11))</f>
        <v/>
      </c>
      <c r="N995" s="9" t="str">
        <f t="shared" si="146"/>
        <v/>
      </c>
      <c r="O995" s="9" t="str">
        <f t="shared" si="147"/>
        <v/>
      </c>
      <c r="P995" s="9" t="str">
        <f t="shared" si="148"/>
        <v/>
      </c>
      <c r="Q995" s="9" t="str">
        <f t="shared" si="149"/>
        <v/>
      </c>
      <c r="R995" s="11"/>
      <c r="S995" s="11"/>
    </row>
    <row r="996" spans="1:19" x14ac:dyDescent="0.25">
      <c r="A996" s="30" t="s">
        <v>30</v>
      </c>
      <c r="B996" s="31">
        <f t="shared" si="150"/>
        <v>50496</v>
      </c>
      <c r="C996" s="30">
        <f>YEAR(BInputReservoir[[#This Row],[Date]])</f>
        <v>2038</v>
      </c>
      <c r="D996" s="30">
        <f>MONTH(BInputReservoir[[#This Row],[Date]])</f>
        <v>4</v>
      </c>
      <c r="E996" s="30" t="str">
        <f>IF(I996&lt;&gt;1,"",DATA_INPUT!$M275)</f>
        <v/>
      </c>
      <c r="F996" s="30" t="str">
        <f>STORAGE_BALANCE_ENSEMBLE!BB275</f>
        <v/>
      </c>
      <c r="G996" s="30" t="str">
        <f>STORAGE_BALANCE_ENSEMBLE!BC275</f>
        <v/>
      </c>
      <c r="H996" s="30" t="str">
        <f>STORAGE_BALANCE_ENSEMBLE!BA275</f>
        <v/>
      </c>
      <c r="I996" s="18" t="str">
        <f t="shared" si="151"/>
        <v/>
      </c>
      <c r="J996" s="8" t="str">
        <f t="shared" si="143"/>
        <v/>
      </c>
      <c r="K996" s="9" t="str">
        <f t="shared" si="144"/>
        <v/>
      </c>
      <c r="L996" s="10" t="str">
        <f t="shared" si="145"/>
        <v/>
      </c>
      <c r="M996" s="10" t="str">
        <f>IF(I996&lt;&gt;1,"",IF(H996="","",H996/CONTROL_PANEL!$B$11))</f>
        <v/>
      </c>
      <c r="N996" s="9" t="str">
        <f t="shared" si="146"/>
        <v/>
      </c>
      <c r="O996" s="9" t="str">
        <f t="shared" si="147"/>
        <v/>
      </c>
      <c r="P996" s="9" t="str">
        <f t="shared" si="148"/>
        <v/>
      </c>
      <c r="Q996" s="9" t="str">
        <f t="shared" si="149"/>
        <v/>
      </c>
      <c r="R996" s="11"/>
      <c r="S996" s="11"/>
    </row>
    <row r="997" spans="1:19" x14ac:dyDescent="0.25">
      <c r="A997" s="30" t="s">
        <v>30</v>
      </c>
      <c r="B997" s="31">
        <f t="shared" si="150"/>
        <v>50526</v>
      </c>
      <c r="C997" s="30">
        <f>YEAR(BInputReservoir[[#This Row],[Date]])</f>
        <v>2038</v>
      </c>
      <c r="D997" s="30">
        <f>MONTH(BInputReservoir[[#This Row],[Date]])</f>
        <v>5</v>
      </c>
      <c r="E997" s="30" t="str">
        <f>IF(I997&lt;&gt;1,"",DATA_INPUT!$M276)</f>
        <v/>
      </c>
      <c r="F997" s="30" t="str">
        <f>STORAGE_BALANCE_ENSEMBLE!BB276</f>
        <v/>
      </c>
      <c r="G997" s="30" t="str">
        <f>STORAGE_BALANCE_ENSEMBLE!BC276</f>
        <v/>
      </c>
      <c r="H997" s="30" t="str">
        <f>STORAGE_BALANCE_ENSEMBLE!BA276</f>
        <v/>
      </c>
      <c r="I997" s="18" t="str">
        <f t="shared" si="151"/>
        <v/>
      </c>
      <c r="J997" s="8" t="str">
        <f t="shared" si="143"/>
        <v/>
      </c>
      <c r="K997" s="9" t="str">
        <f t="shared" si="144"/>
        <v/>
      </c>
      <c r="L997" s="10" t="str">
        <f t="shared" si="145"/>
        <v/>
      </c>
      <c r="M997" s="10" t="str">
        <f>IF(I997&lt;&gt;1,"",IF(H997="","",H997/CONTROL_PANEL!$B$11))</f>
        <v/>
      </c>
      <c r="N997" s="9" t="str">
        <f t="shared" si="146"/>
        <v/>
      </c>
      <c r="O997" s="9" t="str">
        <f t="shared" si="147"/>
        <v/>
      </c>
      <c r="P997" s="9" t="str">
        <f t="shared" si="148"/>
        <v/>
      </c>
      <c r="Q997" s="9" t="str">
        <f t="shared" si="149"/>
        <v/>
      </c>
      <c r="R997" s="11"/>
      <c r="S997" s="11"/>
    </row>
    <row r="998" spans="1:19" x14ac:dyDescent="0.25">
      <c r="A998" s="30" t="s">
        <v>30</v>
      </c>
      <c r="B998" s="31">
        <f t="shared" si="150"/>
        <v>50557</v>
      </c>
      <c r="C998" s="30">
        <f>YEAR(BInputReservoir[[#This Row],[Date]])</f>
        <v>2038</v>
      </c>
      <c r="D998" s="30">
        <f>MONTH(BInputReservoir[[#This Row],[Date]])</f>
        <v>6</v>
      </c>
      <c r="E998" s="30" t="str">
        <f>IF(I998&lt;&gt;1,"",DATA_INPUT!$M277)</f>
        <v/>
      </c>
      <c r="F998" s="30" t="str">
        <f>STORAGE_BALANCE_ENSEMBLE!BB277</f>
        <v/>
      </c>
      <c r="G998" s="30" t="str">
        <f>STORAGE_BALANCE_ENSEMBLE!BC277</f>
        <v/>
      </c>
      <c r="H998" s="30" t="str">
        <f>STORAGE_BALANCE_ENSEMBLE!BA277</f>
        <v/>
      </c>
      <c r="I998" s="18" t="str">
        <f t="shared" si="151"/>
        <v/>
      </c>
      <c r="J998" s="8" t="str">
        <f t="shared" si="143"/>
        <v/>
      </c>
      <c r="K998" s="9" t="str">
        <f t="shared" si="144"/>
        <v/>
      </c>
      <c r="L998" s="10" t="str">
        <f t="shared" si="145"/>
        <v/>
      </c>
      <c r="M998" s="10" t="str">
        <f>IF(I998&lt;&gt;1,"",IF(H998="","",H998/CONTROL_PANEL!$B$11))</f>
        <v/>
      </c>
      <c r="N998" s="9" t="str">
        <f t="shared" si="146"/>
        <v/>
      </c>
      <c r="O998" s="9" t="str">
        <f t="shared" si="147"/>
        <v/>
      </c>
      <c r="P998" s="9" t="str">
        <f t="shared" si="148"/>
        <v/>
      </c>
      <c r="Q998" s="9" t="str">
        <f t="shared" si="149"/>
        <v/>
      </c>
      <c r="R998" s="11"/>
      <c r="S998" s="11"/>
    </row>
    <row r="999" spans="1:19" x14ac:dyDescent="0.25">
      <c r="A999" s="30" t="s">
        <v>30</v>
      </c>
      <c r="B999" s="31">
        <f t="shared" si="150"/>
        <v>50587</v>
      </c>
      <c r="C999" s="30">
        <f>YEAR(BInputReservoir[[#This Row],[Date]])</f>
        <v>2038</v>
      </c>
      <c r="D999" s="30">
        <f>MONTH(BInputReservoir[[#This Row],[Date]])</f>
        <v>7</v>
      </c>
      <c r="E999" s="30" t="str">
        <f>IF(I999&lt;&gt;1,"",DATA_INPUT!$M278)</f>
        <v/>
      </c>
      <c r="F999" s="30" t="str">
        <f>STORAGE_BALANCE_ENSEMBLE!BB278</f>
        <v/>
      </c>
      <c r="G999" s="30" t="str">
        <f>STORAGE_BALANCE_ENSEMBLE!BC278</f>
        <v/>
      </c>
      <c r="H999" s="30" t="str">
        <f>STORAGE_BALANCE_ENSEMBLE!BA278</f>
        <v/>
      </c>
      <c r="I999" s="18" t="str">
        <f t="shared" si="151"/>
        <v/>
      </c>
      <c r="J999" s="8" t="str">
        <f t="shared" si="143"/>
        <v/>
      </c>
      <c r="K999" s="9" t="str">
        <f t="shared" si="144"/>
        <v/>
      </c>
      <c r="L999" s="10" t="str">
        <f t="shared" si="145"/>
        <v/>
      </c>
      <c r="M999" s="10" t="str">
        <f>IF(I999&lt;&gt;1,"",IF(H999="","",H999/CONTROL_PANEL!$B$11))</f>
        <v/>
      </c>
      <c r="N999" s="9" t="str">
        <f t="shared" si="146"/>
        <v/>
      </c>
      <c r="O999" s="9" t="str">
        <f t="shared" si="147"/>
        <v/>
      </c>
      <c r="P999" s="9" t="str">
        <f t="shared" si="148"/>
        <v/>
      </c>
      <c r="Q999" s="9" t="str">
        <f t="shared" si="149"/>
        <v/>
      </c>
      <c r="R999" s="11"/>
      <c r="S999" s="11"/>
    </row>
    <row r="1000" spans="1:19" x14ac:dyDescent="0.25">
      <c r="A1000" s="30" t="s">
        <v>30</v>
      </c>
      <c r="B1000" s="31">
        <f t="shared" si="150"/>
        <v>50618</v>
      </c>
      <c r="C1000" s="30">
        <f>YEAR(BInputReservoir[[#This Row],[Date]])</f>
        <v>2038</v>
      </c>
      <c r="D1000" s="30">
        <f>MONTH(BInputReservoir[[#This Row],[Date]])</f>
        <v>8</v>
      </c>
      <c r="E1000" s="30" t="str">
        <f>IF(I1000&lt;&gt;1,"",DATA_INPUT!$M279)</f>
        <v/>
      </c>
      <c r="F1000" s="30" t="str">
        <f>STORAGE_BALANCE_ENSEMBLE!BB279</f>
        <v/>
      </c>
      <c r="G1000" s="30" t="str">
        <f>STORAGE_BALANCE_ENSEMBLE!BC279</f>
        <v/>
      </c>
      <c r="H1000" s="30" t="str">
        <f>STORAGE_BALANCE_ENSEMBLE!BA279</f>
        <v/>
      </c>
      <c r="I1000" s="18" t="str">
        <f t="shared" si="151"/>
        <v/>
      </c>
      <c r="J1000" s="8" t="str">
        <f t="shared" si="143"/>
        <v/>
      </c>
      <c r="K1000" s="9" t="str">
        <f t="shared" si="144"/>
        <v/>
      </c>
      <c r="L1000" s="10" t="str">
        <f t="shared" si="145"/>
        <v/>
      </c>
      <c r="M1000" s="10" t="str">
        <f>IF(I1000&lt;&gt;1,"",IF(H1000="","",H1000/CONTROL_PANEL!$B$11))</f>
        <v/>
      </c>
      <c r="N1000" s="9" t="str">
        <f t="shared" si="146"/>
        <v/>
      </c>
      <c r="O1000" s="9" t="str">
        <f t="shared" si="147"/>
        <v/>
      </c>
      <c r="P1000" s="9" t="str">
        <f t="shared" si="148"/>
        <v/>
      </c>
      <c r="Q1000" s="9" t="str">
        <f t="shared" si="149"/>
        <v/>
      </c>
      <c r="R1000" s="11"/>
      <c r="S1000" s="11"/>
    </row>
    <row r="1001" spans="1:19" x14ac:dyDescent="0.25">
      <c r="A1001" s="30" t="s">
        <v>30</v>
      </c>
      <c r="B1001" s="31">
        <f t="shared" si="150"/>
        <v>50649</v>
      </c>
      <c r="C1001" s="30">
        <f>YEAR(BInputReservoir[[#This Row],[Date]])</f>
        <v>2038</v>
      </c>
      <c r="D1001" s="30">
        <f>MONTH(BInputReservoir[[#This Row],[Date]])</f>
        <v>9</v>
      </c>
      <c r="E1001" s="30" t="str">
        <f>IF(I1001&lt;&gt;1,"",DATA_INPUT!$M280)</f>
        <v/>
      </c>
      <c r="F1001" s="30" t="str">
        <f>STORAGE_BALANCE_ENSEMBLE!BB280</f>
        <v/>
      </c>
      <c r="G1001" s="30" t="str">
        <f>STORAGE_BALANCE_ENSEMBLE!BC280</f>
        <v/>
      </c>
      <c r="H1001" s="30" t="str">
        <f>STORAGE_BALANCE_ENSEMBLE!BA280</f>
        <v/>
      </c>
      <c r="I1001" s="18" t="str">
        <f t="shared" si="151"/>
        <v/>
      </c>
      <c r="J1001" s="8" t="str">
        <f t="shared" si="143"/>
        <v/>
      </c>
      <c r="K1001" s="9" t="str">
        <f t="shared" si="144"/>
        <v/>
      </c>
      <c r="L1001" s="10" t="str">
        <f t="shared" si="145"/>
        <v/>
      </c>
      <c r="M1001" s="10" t="str">
        <f>IF(I1001&lt;&gt;1,"",IF(H1001="","",H1001/CONTROL_PANEL!$B$11))</f>
        <v/>
      </c>
      <c r="N1001" s="9" t="str">
        <f t="shared" si="146"/>
        <v/>
      </c>
      <c r="O1001" s="9" t="str">
        <f t="shared" si="147"/>
        <v/>
      </c>
      <c r="P1001" s="9" t="str">
        <f t="shared" si="148"/>
        <v/>
      </c>
      <c r="Q1001" s="9" t="str">
        <f t="shared" si="149"/>
        <v/>
      </c>
      <c r="R1001" s="11"/>
      <c r="S1001" s="11"/>
    </row>
    <row r="1002" spans="1:19" x14ac:dyDescent="0.25">
      <c r="A1002" s="30" t="s">
        <v>30</v>
      </c>
      <c r="B1002" s="31">
        <f t="shared" si="150"/>
        <v>50679</v>
      </c>
      <c r="C1002" s="30">
        <f>YEAR(BInputReservoir[[#This Row],[Date]])</f>
        <v>2038</v>
      </c>
      <c r="D1002" s="30">
        <f>MONTH(BInputReservoir[[#This Row],[Date]])</f>
        <v>10</v>
      </c>
      <c r="E1002" s="30" t="str">
        <f>IF(I1002&lt;&gt;1,"",DATA_INPUT!$M281)</f>
        <v/>
      </c>
      <c r="F1002" s="30" t="str">
        <f>STORAGE_BALANCE_ENSEMBLE!BB281</f>
        <v/>
      </c>
      <c r="G1002" s="30" t="str">
        <f>STORAGE_BALANCE_ENSEMBLE!BC281</f>
        <v/>
      </c>
      <c r="H1002" s="30" t="str">
        <f>STORAGE_BALANCE_ENSEMBLE!BA281</f>
        <v/>
      </c>
      <c r="I1002" s="18" t="str">
        <f t="shared" si="151"/>
        <v/>
      </c>
      <c r="J1002" s="8" t="str">
        <f t="shared" si="143"/>
        <v/>
      </c>
      <c r="K1002" s="9" t="str">
        <f t="shared" si="144"/>
        <v/>
      </c>
      <c r="L1002" s="10" t="str">
        <f t="shared" si="145"/>
        <v/>
      </c>
      <c r="M1002" s="10" t="str">
        <f>IF(I1002&lt;&gt;1,"",IF(H1002="","",H1002/CONTROL_PANEL!$B$11))</f>
        <v/>
      </c>
      <c r="N1002" s="9" t="str">
        <f t="shared" si="146"/>
        <v/>
      </c>
      <c r="O1002" s="9" t="str">
        <f t="shared" si="147"/>
        <v/>
      </c>
      <c r="P1002" s="9" t="str">
        <f t="shared" si="148"/>
        <v/>
      </c>
      <c r="Q1002" s="9" t="str">
        <f t="shared" si="149"/>
        <v/>
      </c>
      <c r="R1002" s="11"/>
      <c r="S1002" s="11"/>
    </row>
    <row r="1003" spans="1:19" x14ac:dyDescent="0.25">
      <c r="A1003" s="30" t="s">
        <v>30</v>
      </c>
      <c r="B1003" s="31">
        <f t="shared" si="150"/>
        <v>50710</v>
      </c>
      <c r="C1003" s="30">
        <f>YEAR(BInputReservoir[[#This Row],[Date]])</f>
        <v>2038</v>
      </c>
      <c r="D1003" s="30">
        <f>MONTH(BInputReservoir[[#This Row],[Date]])</f>
        <v>11</v>
      </c>
      <c r="E1003" s="30" t="str">
        <f>IF(I1003&lt;&gt;1,"",DATA_INPUT!$M282)</f>
        <v/>
      </c>
      <c r="F1003" s="30" t="str">
        <f>STORAGE_BALANCE_ENSEMBLE!BB282</f>
        <v/>
      </c>
      <c r="G1003" s="30" t="str">
        <f>STORAGE_BALANCE_ENSEMBLE!BC282</f>
        <v/>
      </c>
      <c r="H1003" s="30" t="str">
        <f>STORAGE_BALANCE_ENSEMBLE!BA282</f>
        <v/>
      </c>
      <c r="I1003" s="18" t="str">
        <f t="shared" si="151"/>
        <v/>
      </c>
      <c r="J1003" s="8" t="str">
        <f t="shared" si="143"/>
        <v/>
      </c>
      <c r="K1003" s="9" t="str">
        <f t="shared" si="144"/>
        <v/>
      </c>
      <c r="L1003" s="10" t="str">
        <f t="shared" si="145"/>
        <v/>
      </c>
      <c r="M1003" s="10" t="str">
        <f>IF(I1003&lt;&gt;1,"",IF(H1003="","",H1003/CONTROL_PANEL!$B$11))</f>
        <v/>
      </c>
      <c r="N1003" s="9" t="str">
        <f t="shared" si="146"/>
        <v/>
      </c>
      <c r="O1003" s="9" t="str">
        <f t="shared" si="147"/>
        <v/>
      </c>
      <c r="P1003" s="9" t="str">
        <f t="shared" si="148"/>
        <v/>
      </c>
      <c r="Q1003" s="9" t="str">
        <f t="shared" si="149"/>
        <v/>
      </c>
      <c r="R1003" s="11"/>
      <c r="S1003" s="11"/>
    </row>
    <row r="1004" spans="1:19" x14ac:dyDescent="0.25">
      <c r="A1004" s="30" t="s">
        <v>30</v>
      </c>
      <c r="B1004" s="31">
        <f t="shared" si="150"/>
        <v>50740</v>
      </c>
      <c r="C1004" s="30">
        <f>YEAR(BInputReservoir[[#This Row],[Date]])</f>
        <v>2038</v>
      </c>
      <c r="D1004" s="30">
        <f>MONTH(BInputReservoir[[#This Row],[Date]])</f>
        <v>12</v>
      </c>
      <c r="E1004" s="30" t="str">
        <f>IF(I1004&lt;&gt;1,"",DATA_INPUT!$M283)</f>
        <v/>
      </c>
      <c r="F1004" s="30" t="str">
        <f>STORAGE_BALANCE_ENSEMBLE!BB283</f>
        <v/>
      </c>
      <c r="G1004" s="30" t="str">
        <f>STORAGE_BALANCE_ENSEMBLE!BC283</f>
        <v/>
      </c>
      <c r="H1004" s="30" t="str">
        <f>STORAGE_BALANCE_ENSEMBLE!BA283</f>
        <v/>
      </c>
      <c r="I1004" s="18" t="str">
        <f t="shared" si="151"/>
        <v/>
      </c>
      <c r="J1004" s="8" t="str">
        <f t="shared" si="143"/>
        <v/>
      </c>
      <c r="K1004" s="9" t="str">
        <f t="shared" si="144"/>
        <v/>
      </c>
      <c r="L1004" s="10" t="str">
        <f t="shared" si="145"/>
        <v/>
      </c>
      <c r="M1004" s="10" t="str">
        <f>IF(I1004&lt;&gt;1,"",IF(H1004="","",H1004/CONTROL_PANEL!$B$11))</f>
        <v/>
      </c>
      <c r="N1004" s="9" t="str">
        <f t="shared" si="146"/>
        <v/>
      </c>
      <c r="O1004" s="9" t="str">
        <f t="shared" si="147"/>
        <v/>
      </c>
      <c r="P1004" s="9" t="str">
        <f t="shared" si="148"/>
        <v/>
      </c>
      <c r="Q1004" s="9" t="str">
        <f t="shared" si="149"/>
        <v/>
      </c>
      <c r="R1004" s="11"/>
      <c r="S1004" s="11"/>
    </row>
    <row r="1005" spans="1:19" x14ac:dyDescent="0.25">
      <c r="A1005" s="30" t="s">
        <v>30</v>
      </c>
      <c r="B1005" s="31">
        <f t="shared" si="150"/>
        <v>50771</v>
      </c>
      <c r="C1005" s="30">
        <f>YEAR(BInputReservoir[[#This Row],[Date]])</f>
        <v>2039</v>
      </c>
      <c r="D1005" s="30">
        <f>MONTH(BInputReservoir[[#This Row],[Date]])</f>
        <v>1</v>
      </c>
      <c r="E1005" s="30" t="str">
        <f>IF(I1005&lt;&gt;1,"",DATA_INPUT!$M284)</f>
        <v/>
      </c>
      <c r="F1005" s="30" t="str">
        <f>STORAGE_BALANCE_ENSEMBLE!BB284</f>
        <v/>
      </c>
      <c r="G1005" s="30" t="str">
        <f>STORAGE_BALANCE_ENSEMBLE!BC284</f>
        <v/>
      </c>
      <c r="H1005" s="30" t="str">
        <f>STORAGE_BALANCE_ENSEMBLE!BA284</f>
        <v/>
      </c>
      <c r="I1005" s="18" t="str">
        <f t="shared" si="151"/>
        <v/>
      </c>
      <c r="J1005" s="8" t="str">
        <f t="shared" si="143"/>
        <v/>
      </c>
      <c r="K1005" s="9" t="str">
        <f t="shared" si="144"/>
        <v/>
      </c>
      <c r="L1005" s="10" t="str">
        <f t="shared" si="145"/>
        <v/>
      </c>
      <c r="M1005" s="10" t="str">
        <f>IF(I1005&lt;&gt;1,"",IF(H1005="","",H1005/CONTROL_PANEL!$B$11))</f>
        <v/>
      </c>
      <c r="N1005" s="9" t="str">
        <f t="shared" si="146"/>
        <v/>
      </c>
      <c r="O1005" s="9" t="str">
        <f t="shared" si="147"/>
        <v/>
      </c>
      <c r="P1005" s="9" t="str">
        <f t="shared" si="148"/>
        <v/>
      </c>
      <c r="Q1005" s="9" t="str">
        <f t="shared" si="149"/>
        <v/>
      </c>
      <c r="R1005" s="11"/>
      <c r="S1005" s="11"/>
    </row>
    <row r="1006" spans="1:19" x14ac:dyDescent="0.25">
      <c r="A1006" s="30" t="s">
        <v>30</v>
      </c>
      <c r="B1006" s="31">
        <f t="shared" si="150"/>
        <v>50802</v>
      </c>
      <c r="C1006" s="30">
        <f>YEAR(BInputReservoir[[#This Row],[Date]])</f>
        <v>2039</v>
      </c>
      <c r="D1006" s="30">
        <f>MONTH(BInputReservoir[[#This Row],[Date]])</f>
        <v>2</v>
      </c>
      <c r="E1006" s="30" t="str">
        <f>IF(I1006&lt;&gt;1,"",DATA_INPUT!$M285)</f>
        <v/>
      </c>
      <c r="F1006" s="30" t="str">
        <f>STORAGE_BALANCE_ENSEMBLE!BB285</f>
        <v/>
      </c>
      <c r="G1006" s="30" t="str">
        <f>STORAGE_BALANCE_ENSEMBLE!BC285</f>
        <v/>
      </c>
      <c r="H1006" s="30" t="str">
        <f>STORAGE_BALANCE_ENSEMBLE!BA285</f>
        <v/>
      </c>
      <c r="I1006" s="18" t="str">
        <f t="shared" si="151"/>
        <v/>
      </c>
      <c r="J1006" s="8" t="str">
        <f t="shared" si="143"/>
        <v/>
      </c>
      <c r="K1006" s="9" t="str">
        <f t="shared" si="144"/>
        <v/>
      </c>
      <c r="L1006" s="10" t="str">
        <f t="shared" si="145"/>
        <v/>
      </c>
      <c r="M1006" s="10" t="str">
        <f>IF(I1006&lt;&gt;1,"",IF(H1006="","",H1006/CONTROL_PANEL!$B$11))</f>
        <v/>
      </c>
      <c r="N1006" s="9" t="str">
        <f t="shared" si="146"/>
        <v/>
      </c>
      <c r="O1006" s="9" t="str">
        <f t="shared" si="147"/>
        <v/>
      </c>
      <c r="P1006" s="9" t="str">
        <f t="shared" si="148"/>
        <v/>
      </c>
      <c r="Q1006" s="9" t="str">
        <f t="shared" si="149"/>
        <v/>
      </c>
      <c r="R1006" s="11"/>
      <c r="S1006" s="11"/>
    </row>
    <row r="1007" spans="1:19" x14ac:dyDescent="0.25">
      <c r="A1007" s="30" t="s">
        <v>30</v>
      </c>
      <c r="B1007" s="31">
        <f t="shared" si="150"/>
        <v>50830</v>
      </c>
      <c r="C1007" s="30">
        <f>YEAR(BInputReservoir[[#This Row],[Date]])</f>
        <v>2039</v>
      </c>
      <c r="D1007" s="30">
        <f>MONTH(BInputReservoir[[#This Row],[Date]])</f>
        <v>3</v>
      </c>
      <c r="E1007" s="30" t="str">
        <f>IF(I1007&lt;&gt;1,"",DATA_INPUT!$M286)</f>
        <v/>
      </c>
      <c r="F1007" s="30" t="str">
        <f>STORAGE_BALANCE_ENSEMBLE!BB286</f>
        <v/>
      </c>
      <c r="G1007" s="30" t="str">
        <f>STORAGE_BALANCE_ENSEMBLE!BC286</f>
        <v/>
      </c>
      <c r="H1007" s="30" t="str">
        <f>STORAGE_BALANCE_ENSEMBLE!BA286</f>
        <v/>
      </c>
      <c r="I1007" s="18" t="str">
        <f t="shared" si="151"/>
        <v/>
      </c>
      <c r="J1007" s="8" t="str">
        <f t="shared" si="143"/>
        <v/>
      </c>
      <c r="K1007" s="9" t="str">
        <f t="shared" si="144"/>
        <v/>
      </c>
      <c r="L1007" s="10" t="str">
        <f t="shared" si="145"/>
        <v/>
      </c>
      <c r="M1007" s="10" t="str">
        <f>IF(I1007&lt;&gt;1,"",IF(H1007="","",H1007/CONTROL_PANEL!$B$11))</f>
        <v/>
      </c>
      <c r="N1007" s="9" t="str">
        <f t="shared" si="146"/>
        <v/>
      </c>
      <c r="O1007" s="9" t="str">
        <f t="shared" si="147"/>
        <v/>
      </c>
      <c r="P1007" s="9" t="str">
        <f t="shared" si="148"/>
        <v/>
      </c>
      <c r="Q1007" s="9" t="str">
        <f t="shared" si="149"/>
        <v/>
      </c>
      <c r="R1007" s="11"/>
      <c r="S1007" s="11"/>
    </row>
    <row r="1008" spans="1:19" x14ac:dyDescent="0.25">
      <c r="A1008" s="30" t="s">
        <v>30</v>
      </c>
      <c r="B1008" s="31">
        <f t="shared" si="150"/>
        <v>50861</v>
      </c>
      <c r="C1008" s="30">
        <f>YEAR(BInputReservoir[[#This Row],[Date]])</f>
        <v>2039</v>
      </c>
      <c r="D1008" s="30">
        <f>MONTH(BInputReservoir[[#This Row],[Date]])</f>
        <v>4</v>
      </c>
      <c r="E1008" s="30" t="str">
        <f>IF(I1008&lt;&gt;1,"",DATA_INPUT!$M287)</f>
        <v/>
      </c>
      <c r="F1008" s="30" t="str">
        <f>STORAGE_BALANCE_ENSEMBLE!BB287</f>
        <v/>
      </c>
      <c r="G1008" s="30" t="str">
        <f>STORAGE_BALANCE_ENSEMBLE!BC287</f>
        <v/>
      </c>
      <c r="H1008" s="30" t="str">
        <f>STORAGE_BALANCE_ENSEMBLE!BA287</f>
        <v/>
      </c>
      <c r="I1008" s="18" t="str">
        <f t="shared" si="151"/>
        <v/>
      </c>
      <c r="J1008" s="8" t="str">
        <f t="shared" si="143"/>
        <v/>
      </c>
      <c r="K1008" s="9" t="str">
        <f t="shared" si="144"/>
        <v/>
      </c>
      <c r="L1008" s="10" t="str">
        <f t="shared" si="145"/>
        <v/>
      </c>
      <c r="M1008" s="10" t="str">
        <f>IF(I1008&lt;&gt;1,"",IF(H1008="","",H1008/CONTROL_PANEL!$B$11))</f>
        <v/>
      </c>
      <c r="N1008" s="9" t="str">
        <f t="shared" si="146"/>
        <v/>
      </c>
      <c r="O1008" s="9" t="str">
        <f t="shared" si="147"/>
        <v/>
      </c>
      <c r="P1008" s="9" t="str">
        <f t="shared" si="148"/>
        <v/>
      </c>
      <c r="Q1008" s="9" t="str">
        <f t="shared" si="149"/>
        <v/>
      </c>
      <c r="R1008" s="11"/>
      <c r="S1008" s="11"/>
    </row>
    <row r="1009" spans="1:19" x14ac:dyDescent="0.25">
      <c r="A1009" s="30" t="s">
        <v>30</v>
      </c>
      <c r="B1009" s="31">
        <f t="shared" si="150"/>
        <v>50891</v>
      </c>
      <c r="C1009" s="30">
        <f>YEAR(BInputReservoir[[#This Row],[Date]])</f>
        <v>2039</v>
      </c>
      <c r="D1009" s="30">
        <f>MONTH(BInputReservoir[[#This Row],[Date]])</f>
        <v>5</v>
      </c>
      <c r="E1009" s="30" t="str">
        <f>IF(I1009&lt;&gt;1,"",DATA_INPUT!$M288)</f>
        <v/>
      </c>
      <c r="F1009" s="30" t="str">
        <f>STORAGE_BALANCE_ENSEMBLE!BB288</f>
        <v/>
      </c>
      <c r="G1009" s="30" t="str">
        <f>STORAGE_BALANCE_ENSEMBLE!BC288</f>
        <v/>
      </c>
      <c r="H1009" s="30" t="str">
        <f>STORAGE_BALANCE_ENSEMBLE!BA288</f>
        <v/>
      </c>
      <c r="I1009" s="18" t="str">
        <f t="shared" si="151"/>
        <v/>
      </c>
      <c r="J1009" s="8" t="str">
        <f t="shared" si="143"/>
        <v/>
      </c>
      <c r="K1009" s="9" t="str">
        <f t="shared" si="144"/>
        <v/>
      </c>
      <c r="L1009" s="10" t="str">
        <f t="shared" si="145"/>
        <v/>
      </c>
      <c r="M1009" s="10" t="str">
        <f>IF(I1009&lt;&gt;1,"",IF(H1009="","",H1009/CONTROL_PANEL!$B$11))</f>
        <v/>
      </c>
      <c r="N1009" s="9" t="str">
        <f t="shared" si="146"/>
        <v/>
      </c>
      <c r="O1009" s="9" t="str">
        <f t="shared" si="147"/>
        <v/>
      </c>
      <c r="P1009" s="9" t="str">
        <f t="shared" si="148"/>
        <v/>
      </c>
      <c r="Q1009" s="9" t="str">
        <f t="shared" si="149"/>
        <v/>
      </c>
      <c r="R1009" s="11"/>
      <c r="S1009" s="11"/>
    </row>
    <row r="1010" spans="1:19" x14ac:dyDescent="0.25">
      <c r="A1010" s="30" t="s">
        <v>30</v>
      </c>
      <c r="B1010" s="31">
        <f t="shared" si="150"/>
        <v>50922</v>
      </c>
      <c r="C1010" s="30">
        <f>YEAR(BInputReservoir[[#This Row],[Date]])</f>
        <v>2039</v>
      </c>
      <c r="D1010" s="30">
        <f>MONTH(BInputReservoir[[#This Row],[Date]])</f>
        <v>6</v>
      </c>
      <c r="E1010" s="30" t="str">
        <f>IF(I1010&lt;&gt;1,"",DATA_INPUT!$M289)</f>
        <v/>
      </c>
      <c r="F1010" s="30" t="str">
        <f>STORAGE_BALANCE_ENSEMBLE!BB289</f>
        <v/>
      </c>
      <c r="G1010" s="30" t="str">
        <f>STORAGE_BALANCE_ENSEMBLE!BC289</f>
        <v/>
      </c>
      <c r="H1010" s="30" t="str">
        <f>STORAGE_BALANCE_ENSEMBLE!BA289</f>
        <v/>
      </c>
      <c r="I1010" s="18" t="str">
        <f t="shared" si="151"/>
        <v/>
      </c>
      <c r="J1010" s="8" t="str">
        <f t="shared" si="143"/>
        <v/>
      </c>
      <c r="K1010" s="9" t="str">
        <f t="shared" si="144"/>
        <v/>
      </c>
      <c r="L1010" s="10" t="str">
        <f t="shared" si="145"/>
        <v/>
      </c>
      <c r="M1010" s="10" t="str">
        <f>IF(I1010&lt;&gt;1,"",IF(H1010="","",H1010/CONTROL_PANEL!$B$11))</f>
        <v/>
      </c>
      <c r="N1010" s="9" t="str">
        <f t="shared" si="146"/>
        <v/>
      </c>
      <c r="O1010" s="9" t="str">
        <f t="shared" si="147"/>
        <v/>
      </c>
      <c r="P1010" s="9" t="str">
        <f t="shared" si="148"/>
        <v/>
      </c>
      <c r="Q1010" s="9" t="str">
        <f t="shared" si="149"/>
        <v/>
      </c>
      <c r="R1010" s="11"/>
      <c r="S1010" s="11"/>
    </row>
    <row r="1011" spans="1:19" x14ac:dyDescent="0.25">
      <c r="A1011" s="30" t="s">
        <v>30</v>
      </c>
      <c r="B1011" s="31">
        <f t="shared" si="150"/>
        <v>50952</v>
      </c>
      <c r="C1011" s="30">
        <f>YEAR(BInputReservoir[[#This Row],[Date]])</f>
        <v>2039</v>
      </c>
      <c r="D1011" s="30">
        <f>MONTH(BInputReservoir[[#This Row],[Date]])</f>
        <v>7</v>
      </c>
      <c r="E1011" s="30" t="str">
        <f>IF(I1011&lt;&gt;1,"",DATA_INPUT!$M290)</f>
        <v/>
      </c>
      <c r="F1011" s="30" t="str">
        <f>STORAGE_BALANCE_ENSEMBLE!BB290</f>
        <v/>
      </c>
      <c r="G1011" s="30" t="str">
        <f>STORAGE_BALANCE_ENSEMBLE!BC290</f>
        <v/>
      </c>
      <c r="H1011" s="30" t="str">
        <f>STORAGE_BALANCE_ENSEMBLE!BA290</f>
        <v/>
      </c>
      <c r="I1011" s="18" t="str">
        <f t="shared" si="151"/>
        <v/>
      </c>
      <c r="J1011" s="8" t="str">
        <f t="shared" si="143"/>
        <v/>
      </c>
      <c r="K1011" s="9" t="str">
        <f t="shared" si="144"/>
        <v/>
      </c>
      <c r="L1011" s="10" t="str">
        <f t="shared" si="145"/>
        <v/>
      </c>
      <c r="M1011" s="10" t="str">
        <f>IF(I1011&lt;&gt;1,"",IF(H1011="","",H1011/CONTROL_PANEL!$B$11))</f>
        <v/>
      </c>
      <c r="N1011" s="9" t="str">
        <f t="shared" si="146"/>
        <v/>
      </c>
      <c r="O1011" s="9" t="str">
        <f t="shared" si="147"/>
        <v/>
      </c>
      <c r="P1011" s="9" t="str">
        <f t="shared" si="148"/>
        <v/>
      </c>
      <c r="Q1011" s="9" t="str">
        <f t="shared" si="149"/>
        <v/>
      </c>
      <c r="R1011" s="11"/>
      <c r="S1011" s="11"/>
    </row>
    <row r="1012" spans="1:19" x14ac:dyDescent="0.25">
      <c r="A1012" s="30" t="s">
        <v>30</v>
      </c>
      <c r="B1012" s="31">
        <f t="shared" si="150"/>
        <v>50983</v>
      </c>
      <c r="C1012" s="30">
        <f>YEAR(BInputReservoir[[#This Row],[Date]])</f>
        <v>2039</v>
      </c>
      <c r="D1012" s="30">
        <f>MONTH(BInputReservoir[[#This Row],[Date]])</f>
        <v>8</v>
      </c>
      <c r="E1012" s="30" t="str">
        <f>IF(I1012&lt;&gt;1,"",DATA_INPUT!$M291)</f>
        <v/>
      </c>
      <c r="F1012" s="30" t="str">
        <f>STORAGE_BALANCE_ENSEMBLE!BB291</f>
        <v/>
      </c>
      <c r="G1012" s="30" t="str">
        <f>STORAGE_BALANCE_ENSEMBLE!BC291</f>
        <v/>
      </c>
      <c r="H1012" s="30" t="str">
        <f>STORAGE_BALANCE_ENSEMBLE!BA291</f>
        <v/>
      </c>
      <c r="I1012" s="18" t="str">
        <f t="shared" si="151"/>
        <v/>
      </c>
      <c r="J1012" s="8" t="str">
        <f t="shared" si="143"/>
        <v/>
      </c>
      <c r="K1012" s="9" t="str">
        <f t="shared" si="144"/>
        <v/>
      </c>
      <c r="L1012" s="10" t="str">
        <f t="shared" si="145"/>
        <v/>
      </c>
      <c r="M1012" s="10" t="str">
        <f>IF(I1012&lt;&gt;1,"",IF(H1012="","",H1012/CONTROL_PANEL!$B$11))</f>
        <v/>
      </c>
      <c r="N1012" s="9" t="str">
        <f t="shared" si="146"/>
        <v/>
      </c>
      <c r="O1012" s="9" t="str">
        <f t="shared" si="147"/>
        <v/>
      </c>
      <c r="P1012" s="9" t="str">
        <f t="shared" si="148"/>
        <v/>
      </c>
      <c r="Q1012" s="9" t="str">
        <f t="shared" si="149"/>
        <v/>
      </c>
      <c r="R1012" s="11"/>
      <c r="S1012" s="11"/>
    </row>
    <row r="1013" spans="1:19" x14ac:dyDescent="0.25">
      <c r="A1013" s="30" t="s">
        <v>30</v>
      </c>
      <c r="B1013" s="31">
        <f t="shared" si="150"/>
        <v>51014</v>
      </c>
      <c r="C1013" s="30">
        <f>YEAR(BInputReservoir[[#This Row],[Date]])</f>
        <v>2039</v>
      </c>
      <c r="D1013" s="30">
        <f>MONTH(BInputReservoir[[#This Row],[Date]])</f>
        <v>9</v>
      </c>
      <c r="E1013" s="30" t="str">
        <f>IF(I1013&lt;&gt;1,"",DATA_INPUT!$M292)</f>
        <v/>
      </c>
      <c r="F1013" s="30" t="str">
        <f>STORAGE_BALANCE_ENSEMBLE!BB292</f>
        <v/>
      </c>
      <c r="G1013" s="30" t="str">
        <f>STORAGE_BALANCE_ENSEMBLE!BC292</f>
        <v/>
      </c>
      <c r="H1013" s="30" t="str">
        <f>STORAGE_BALANCE_ENSEMBLE!BA292</f>
        <v/>
      </c>
      <c r="I1013" s="18" t="str">
        <f t="shared" si="151"/>
        <v/>
      </c>
      <c r="J1013" s="8" t="str">
        <f t="shared" si="143"/>
        <v/>
      </c>
      <c r="K1013" s="9" t="str">
        <f t="shared" si="144"/>
        <v/>
      </c>
      <c r="L1013" s="10" t="str">
        <f t="shared" si="145"/>
        <v/>
      </c>
      <c r="M1013" s="10" t="str">
        <f>IF(I1013&lt;&gt;1,"",IF(H1013="","",H1013/CONTROL_PANEL!$B$11))</f>
        <v/>
      </c>
      <c r="N1013" s="9" t="str">
        <f t="shared" si="146"/>
        <v/>
      </c>
      <c r="O1013" s="9" t="str">
        <f t="shared" si="147"/>
        <v/>
      </c>
      <c r="P1013" s="9" t="str">
        <f t="shared" si="148"/>
        <v/>
      </c>
      <c r="Q1013" s="9" t="str">
        <f t="shared" si="149"/>
        <v/>
      </c>
      <c r="R1013" s="11"/>
      <c r="S1013" s="11"/>
    </row>
    <row r="1014" spans="1:19" x14ac:dyDescent="0.25">
      <c r="A1014" s="30" t="s">
        <v>30</v>
      </c>
      <c r="B1014" s="31">
        <f t="shared" si="150"/>
        <v>51044</v>
      </c>
      <c r="C1014" s="30">
        <f>YEAR(BInputReservoir[[#This Row],[Date]])</f>
        <v>2039</v>
      </c>
      <c r="D1014" s="30">
        <f>MONTH(BInputReservoir[[#This Row],[Date]])</f>
        <v>10</v>
      </c>
      <c r="E1014" s="30" t="str">
        <f>IF(I1014&lt;&gt;1,"",DATA_INPUT!$M293)</f>
        <v/>
      </c>
      <c r="F1014" s="30" t="str">
        <f>STORAGE_BALANCE_ENSEMBLE!BB293</f>
        <v/>
      </c>
      <c r="G1014" s="30" t="str">
        <f>STORAGE_BALANCE_ENSEMBLE!BC293</f>
        <v/>
      </c>
      <c r="H1014" s="30" t="str">
        <f>STORAGE_BALANCE_ENSEMBLE!BA293</f>
        <v/>
      </c>
      <c r="I1014" s="18" t="str">
        <f t="shared" si="151"/>
        <v/>
      </c>
      <c r="J1014" s="8" t="str">
        <f t="shared" si="143"/>
        <v/>
      </c>
      <c r="K1014" s="9" t="str">
        <f t="shared" si="144"/>
        <v/>
      </c>
      <c r="L1014" s="10" t="str">
        <f t="shared" si="145"/>
        <v/>
      </c>
      <c r="M1014" s="10" t="str">
        <f>IF(I1014&lt;&gt;1,"",IF(H1014="","",H1014/CONTROL_PANEL!$B$11))</f>
        <v/>
      </c>
      <c r="N1014" s="9" t="str">
        <f t="shared" si="146"/>
        <v/>
      </c>
      <c r="O1014" s="9" t="str">
        <f t="shared" si="147"/>
        <v/>
      </c>
      <c r="P1014" s="9" t="str">
        <f t="shared" si="148"/>
        <v/>
      </c>
      <c r="Q1014" s="9" t="str">
        <f t="shared" si="149"/>
        <v/>
      </c>
      <c r="R1014" s="11"/>
      <c r="S1014" s="11"/>
    </row>
    <row r="1015" spans="1:19" x14ac:dyDescent="0.25">
      <c r="A1015" s="30" t="s">
        <v>30</v>
      </c>
      <c r="B1015" s="31">
        <f t="shared" si="150"/>
        <v>51075</v>
      </c>
      <c r="C1015" s="30">
        <f>YEAR(BInputReservoir[[#This Row],[Date]])</f>
        <v>2039</v>
      </c>
      <c r="D1015" s="30">
        <f>MONTH(BInputReservoir[[#This Row],[Date]])</f>
        <v>11</v>
      </c>
      <c r="E1015" s="30" t="str">
        <f>IF(I1015&lt;&gt;1,"",DATA_INPUT!$M294)</f>
        <v/>
      </c>
      <c r="F1015" s="30" t="str">
        <f>STORAGE_BALANCE_ENSEMBLE!BB294</f>
        <v/>
      </c>
      <c r="G1015" s="30" t="str">
        <f>STORAGE_BALANCE_ENSEMBLE!BC294</f>
        <v/>
      </c>
      <c r="H1015" s="30" t="str">
        <f>STORAGE_BALANCE_ENSEMBLE!BA294</f>
        <v/>
      </c>
      <c r="I1015" s="18" t="str">
        <f t="shared" si="151"/>
        <v/>
      </c>
      <c r="J1015" s="8" t="str">
        <f t="shared" si="143"/>
        <v/>
      </c>
      <c r="K1015" s="9" t="str">
        <f t="shared" si="144"/>
        <v/>
      </c>
      <c r="L1015" s="10" t="str">
        <f t="shared" si="145"/>
        <v/>
      </c>
      <c r="M1015" s="10" t="str">
        <f>IF(I1015&lt;&gt;1,"",IF(H1015="","",H1015/CONTROL_PANEL!$B$11))</f>
        <v/>
      </c>
      <c r="N1015" s="9" t="str">
        <f t="shared" si="146"/>
        <v/>
      </c>
      <c r="O1015" s="9" t="str">
        <f t="shared" si="147"/>
        <v/>
      </c>
      <c r="P1015" s="9" t="str">
        <f t="shared" si="148"/>
        <v/>
      </c>
      <c r="Q1015" s="9" t="str">
        <f t="shared" si="149"/>
        <v/>
      </c>
      <c r="R1015" s="11"/>
      <c r="S1015" s="11"/>
    </row>
    <row r="1016" spans="1:19" x14ac:dyDescent="0.25">
      <c r="A1016" s="30" t="s">
        <v>30</v>
      </c>
      <c r="B1016" s="31">
        <f t="shared" si="150"/>
        <v>51105</v>
      </c>
      <c r="C1016" s="30">
        <f>YEAR(BInputReservoir[[#This Row],[Date]])</f>
        <v>2039</v>
      </c>
      <c r="D1016" s="30">
        <f>MONTH(BInputReservoir[[#This Row],[Date]])</f>
        <v>12</v>
      </c>
      <c r="E1016" s="30" t="str">
        <f>IF(I1016&lt;&gt;1,"",DATA_INPUT!$M295)</f>
        <v/>
      </c>
      <c r="F1016" s="30" t="str">
        <f>STORAGE_BALANCE_ENSEMBLE!BB295</f>
        <v/>
      </c>
      <c r="G1016" s="30" t="str">
        <f>STORAGE_BALANCE_ENSEMBLE!BC295</f>
        <v/>
      </c>
      <c r="H1016" s="30" t="str">
        <f>STORAGE_BALANCE_ENSEMBLE!BA295</f>
        <v/>
      </c>
      <c r="I1016" s="18" t="str">
        <f t="shared" si="151"/>
        <v/>
      </c>
      <c r="J1016" s="8" t="str">
        <f t="shared" si="143"/>
        <v/>
      </c>
      <c r="K1016" s="9" t="str">
        <f t="shared" si="144"/>
        <v/>
      </c>
      <c r="L1016" s="10" t="str">
        <f t="shared" si="145"/>
        <v/>
      </c>
      <c r="M1016" s="10" t="str">
        <f>IF(I1016&lt;&gt;1,"",IF(H1016="","",H1016/CONTROL_PANEL!$B$11))</f>
        <v/>
      </c>
      <c r="N1016" s="9" t="str">
        <f t="shared" si="146"/>
        <v/>
      </c>
      <c r="O1016" s="9" t="str">
        <f t="shared" si="147"/>
        <v/>
      </c>
      <c r="P1016" s="9" t="str">
        <f t="shared" si="148"/>
        <v/>
      </c>
      <c r="Q1016" s="9" t="str">
        <f t="shared" si="149"/>
        <v/>
      </c>
      <c r="R1016" s="11"/>
      <c r="S1016" s="11"/>
    </row>
    <row r="1017" spans="1:19" x14ac:dyDescent="0.25">
      <c r="A1017" s="30" t="s">
        <v>30</v>
      </c>
      <c r="B1017" s="31">
        <f t="shared" si="150"/>
        <v>51136</v>
      </c>
      <c r="C1017" s="30">
        <f>YEAR(BInputReservoir[[#This Row],[Date]])</f>
        <v>2040</v>
      </c>
      <c r="D1017" s="30">
        <f>MONTH(BInputReservoir[[#This Row],[Date]])</f>
        <v>1</v>
      </c>
      <c r="E1017" s="30" t="str">
        <f>IF(I1017&lt;&gt;1,"",DATA_INPUT!$M296)</f>
        <v/>
      </c>
      <c r="F1017" s="30" t="str">
        <f>STORAGE_BALANCE_ENSEMBLE!BB296</f>
        <v/>
      </c>
      <c r="G1017" s="30" t="str">
        <f>STORAGE_BALANCE_ENSEMBLE!BC296</f>
        <v/>
      </c>
      <c r="H1017" s="30" t="str">
        <f>STORAGE_BALANCE_ENSEMBLE!BA296</f>
        <v/>
      </c>
      <c r="I1017" s="18" t="str">
        <f t="shared" si="151"/>
        <v/>
      </c>
      <c r="J1017" s="8" t="str">
        <f t="shared" si="143"/>
        <v/>
      </c>
      <c r="K1017" s="9" t="str">
        <f t="shared" si="144"/>
        <v/>
      </c>
      <c r="L1017" s="10" t="str">
        <f t="shared" si="145"/>
        <v/>
      </c>
      <c r="M1017" s="10" t="str">
        <f>IF(I1017&lt;&gt;1,"",IF(H1017="","",H1017/CONTROL_PANEL!$B$11))</f>
        <v/>
      </c>
      <c r="N1017" s="9" t="str">
        <f t="shared" si="146"/>
        <v/>
      </c>
      <c r="O1017" s="9" t="str">
        <f t="shared" si="147"/>
        <v/>
      </c>
      <c r="P1017" s="9" t="str">
        <f t="shared" si="148"/>
        <v/>
      </c>
      <c r="Q1017" s="9" t="str">
        <f t="shared" si="149"/>
        <v/>
      </c>
      <c r="R1017" s="11"/>
      <c r="S1017" s="11"/>
    </row>
    <row r="1018" spans="1:19" x14ac:dyDescent="0.25">
      <c r="A1018" s="30" t="s">
        <v>30</v>
      </c>
      <c r="B1018" s="31">
        <f t="shared" si="150"/>
        <v>51167</v>
      </c>
      <c r="C1018" s="30">
        <f>YEAR(BInputReservoir[[#This Row],[Date]])</f>
        <v>2040</v>
      </c>
      <c r="D1018" s="30">
        <f>MONTH(BInputReservoir[[#This Row],[Date]])</f>
        <v>2</v>
      </c>
      <c r="E1018" s="30" t="str">
        <f>IF(I1018&lt;&gt;1,"",DATA_INPUT!$M297)</f>
        <v/>
      </c>
      <c r="F1018" s="30" t="str">
        <f>STORAGE_BALANCE_ENSEMBLE!BB297</f>
        <v/>
      </c>
      <c r="G1018" s="30" t="str">
        <f>STORAGE_BALANCE_ENSEMBLE!BC297</f>
        <v/>
      </c>
      <c r="H1018" s="30" t="str">
        <f>STORAGE_BALANCE_ENSEMBLE!BA297</f>
        <v/>
      </c>
      <c r="I1018" s="18" t="str">
        <f t="shared" si="151"/>
        <v/>
      </c>
      <c r="J1018" s="8" t="str">
        <f t="shared" si="143"/>
        <v/>
      </c>
      <c r="K1018" s="9" t="str">
        <f t="shared" si="144"/>
        <v/>
      </c>
      <c r="L1018" s="10" t="str">
        <f t="shared" si="145"/>
        <v/>
      </c>
      <c r="M1018" s="10" t="str">
        <f>IF(I1018&lt;&gt;1,"",IF(H1018="","",H1018/CONTROL_PANEL!$B$11))</f>
        <v/>
      </c>
      <c r="N1018" s="9" t="str">
        <f t="shared" si="146"/>
        <v/>
      </c>
      <c r="O1018" s="9" t="str">
        <f t="shared" si="147"/>
        <v/>
      </c>
      <c r="P1018" s="9" t="str">
        <f t="shared" si="148"/>
        <v/>
      </c>
      <c r="Q1018" s="9" t="str">
        <f t="shared" si="149"/>
        <v/>
      </c>
      <c r="R1018" s="11"/>
      <c r="S1018" s="11"/>
    </row>
    <row r="1019" spans="1:19" x14ac:dyDescent="0.25">
      <c r="A1019" s="30" t="s">
        <v>30</v>
      </c>
      <c r="B1019" s="31">
        <f t="shared" si="150"/>
        <v>51196</v>
      </c>
      <c r="C1019" s="30">
        <f>YEAR(BInputReservoir[[#This Row],[Date]])</f>
        <v>2040</v>
      </c>
      <c r="D1019" s="30">
        <f>MONTH(BInputReservoir[[#This Row],[Date]])</f>
        <v>3</v>
      </c>
      <c r="E1019" s="30" t="str">
        <f>IF(I1019&lt;&gt;1,"",DATA_INPUT!$M298)</f>
        <v/>
      </c>
      <c r="F1019" s="30" t="str">
        <f>STORAGE_BALANCE_ENSEMBLE!BB298</f>
        <v/>
      </c>
      <c r="G1019" s="30" t="str">
        <f>STORAGE_BALANCE_ENSEMBLE!BC298</f>
        <v/>
      </c>
      <c r="H1019" s="30" t="str">
        <f>STORAGE_BALANCE_ENSEMBLE!BA298</f>
        <v/>
      </c>
      <c r="I1019" s="18" t="str">
        <f t="shared" si="151"/>
        <v/>
      </c>
      <c r="J1019" s="8" t="str">
        <f t="shared" si="143"/>
        <v/>
      </c>
      <c r="K1019" s="9" t="str">
        <f t="shared" si="144"/>
        <v/>
      </c>
      <c r="L1019" s="10" t="str">
        <f t="shared" si="145"/>
        <v/>
      </c>
      <c r="M1019" s="10" t="str">
        <f>IF(I1019&lt;&gt;1,"",IF(H1019="","",H1019/CONTROL_PANEL!$B$11))</f>
        <v/>
      </c>
      <c r="N1019" s="9" t="str">
        <f t="shared" si="146"/>
        <v/>
      </c>
      <c r="O1019" s="9" t="str">
        <f t="shared" si="147"/>
        <v/>
      </c>
      <c r="P1019" s="9" t="str">
        <f t="shared" si="148"/>
        <v/>
      </c>
      <c r="Q1019" s="9" t="str">
        <f t="shared" si="149"/>
        <v/>
      </c>
      <c r="R1019" s="11"/>
      <c r="S1019" s="11"/>
    </row>
    <row r="1020" spans="1:19" x14ac:dyDescent="0.25">
      <c r="A1020" s="30" t="s">
        <v>30</v>
      </c>
      <c r="B1020" s="31">
        <f t="shared" si="150"/>
        <v>51227</v>
      </c>
      <c r="C1020" s="30">
        <f>YEAR(BInputReservoir[[#This Row],[Date]])</f>
        <v>2040</v>
      </c>
      <c r="D1020" s="30">
        <f>MONTH(BInputReservoir[[#This Row],[Date]])</f>
        <v>4</v>
      </c>
      <c r="E1020" s="30" t="str">
        <f>IF(I1020&lt;&gt;1,"",DATA_INPUT!$M299)</f>
        <v/>
      </c>
      <c r="F1020" s="30" t="str">
        <f>STORAGE_BALANCE_ENSEMBLE!BB299</f>
        <v/>
      </c>
      <c r="G1020" s="30" t="str">
        <f>STORAGE_BALANCE_ENSEMBLE!BC299</f>
        <v/>
      </c>
      <c r="H1020" s="30" t="str">
        <f>STORAGE_BALANCE_ENSEMBLE!BA299</f>
        <v/>
      </c>
      <c r="I1020" s="18" t="str">
        <f t="shared" si="151"/>
        <v/>
      </c>
      <c r="J1020" s="8" t="str">
        <f t="shared" si="143"/>
        <v/>
      </c>
      <c r="K1020" s="9" t="str">
        <f t="shared" si="144"/>
        <v/>
      </c>
      <c r="L1020" s="10" t="str">
        <f t="shared" si="145"/>
        <v/>
      </c>
      <c r="M1020" s="10" t="str">
        <f>IF(I1020&lt;&gt;1,"",IF(H1020="","",H1020/CONTROL_PANEL!$B$11))</f>
        <v/>
      </c>
      <c r="N1020" s="9" t="str">
        <f t="shared" si="146"/>
        <v/>
      </c>
      <c r="O1020" s="9" t="str">
        <f t="shared" si="147"/>
        <v/>
      </c>
      <c r="P1020" s="9" t="str">
        <f t="shared" si="148"/>
        <v/>
      </c>
      <c r="Q1020" s="9" t="str">
        <f t="shared" si="149"/>
        <v/>
      </c>
      <c r="R1020" s="11"/>
      <c r="S1020" s="11"/>
    </row>
    <row r="1021" spans="1:19" x14ac:dyDescent="0.25">
      <c r="A1021" s="30" t="s">
        <v>30</v>
      </c>
      <c r="B1021" s="31">
        <f t="shared" si="150"/>
        <v>51257</v>
      </c>
      <c r="C1021" s="30">
        <f>YEAR(BInputReservoir[[#This Row],[Date]])</f>
        <v>2040</v>
      </c>
      <c r="D1021" s="30">
        <f>MONTH(BInputReservoir[[#This Row],[Date]])</f>
        <v>5</v>
      </c>
      <c r="E1021" s="30" t="str">
        <f>IF(I1021&lt;&gt;1,"",DATA_INPUT!$M300)</f>
        <v/>
      </c>
      <c r="F1021" s="30" t="str">
        <f>STORAGE_BALANCE_ENSEMBLE!BB300</f>
        <v/>
      </c>
      <c r="G1021" s="30" t="str">
        <f>STORAGE_BALANCE_ENSEMBLE!BC300</f>
        <v/>
      </c>
      <c r="H1021" s="30" t="str">
        <f>STORAGE_BALANCE_ENSEMBLE!BA300</f>
        <v/>
      </c>
      <c r="I1021" s="18" t="str">
        <f t="shared" si="151"/>
        <v/>
      </c>
      <c r="J1021" s="8" t="str">
        <f t="shared" si="143"/>
        <v/>
      </c>
      <c r="K1021" s="9" t="str">
        <f t="shared" si="144"/>
        <v/>
      </c>
      <c r="L1021" s="10" t="str">
        <f t="shared" si="145"/>
        <v/>
      </c>
      <c r="M1021" s="10" t="str">
        <f>IF(I1021&lt;&gt;1,"",IF(H1021="","",H1021/CONTROL_PANEL!$B$11))</f>
        <v/>
      </c>
      <c r="N1021" s="9" t="str">
        <f t="shared" si="146"/>
        <v/>
      </c>
      <c r="O1021" s="9" t="str">
        <f t="shared" si="147"/>
        <v/>
      </c>
      <c r="P1021" s="9" t="str">
        <f t="shared" si="148"/>
        <v/>
      </c>
      <c r="Q1021" s="9" t="str">
        <f t="shared" si="149"/>
        <v/>
      </c>
      <c r="R1021" s="11"/>
      <c r="S1021" s="11"/>
    </row>
    <row r="1022" spans="1:19" x14ac:dyDescent="0.25">
      <c r="A1022" s="30" t="s">
        <v>30</v>
      </c>
      <c r="B1022" s="31">
        <f t="shared" si="150"/>
        <v>51288</v>
      </c>
      <c r="C1022" s="30">
        <f>YEAR(BInputReservoir[[#This Row],[Date]])</f>
        <v>2040</v>
      </c>
      <c r="D1022" s="30">
        <f>MONTH(BInputReservoir[[#This Row],[Date]])</f>
        <v>6</v>
      </c>
      <c r="E1022" s="30" t="str">
        <f>IF(I1022&lt;&gt;1,"",DATA_INPUT!$M301)</f>
        <v/>
      </c>
      <c r="F1022" s="30" t="str">
        <f>STORAGE_BALANCE_ENSEMBLE!BB301</f>
        <v/>
      </c>
      <c r="G1022" s="30" t="str">
        <f>STORAGE_BALANCE_ENSEMBLE!BC301</f>
        <v/>
      </c>
      <c r="H1022" s="30" t="str">
        <f>STORAGE_BALANCE_ENSEMBLE!BA301</f>
        <v/>
      </c>
      <c r="I1022" s="18" t="str">
        <f t="shared" si="151"/>
        <v/>
      </c>
      <c r="J1022" s="8" t="str">
        <f t="shared" si="143"/>
        <v/>
      </c>
      <c r="K1022" s="9" t="str">
        <f t="shared" si="144"/>
        <v/>
      </c>
      <c r="L1022" s="10" t="str">
        <f t="shared" si="145"/>
        <v/>
      </c>
      <c r="M1022" s="10" t="str">
        <f>IF(I1022&lt;&gt;1,"",IF(H1022="","",H1022/CONTROL_PANEL!$B$11))</f>
        <v/>
      </c>
      <c r="N1022" s="9" t="str">
        <f t="shared" si="146"/>
        <v/>
      </c>
      <c r="O1022" s="9" t="str">
        <f t="shared" si="147"/>
        <v/>
      </c>
      <c r="P1022" s="9" t="str">
        <f t="shared" si="148"/>
        <v/>
      </c>
      <c r="Q1022" s="9" t="str">
        <f t="shared" si="149"/>
        <v/>
      </c>
      <c r="R1022" s="11"/>
      <c r="S1022" s="11"/>
    </row>
    <row r="1023" spans="1:19" x14ac:dyDescent="0.25">
      <c r="A1023" s="30" t="s">
        <v>30</v>
      </c>
      <c r="B1023" s="31">
        <f t="shared" si="150"/>
        <v>51318</v>
      </c>
      <c r="C1023" s="30">
        <f>YEAR(BInputReservoir[[#This Row],[Date]])</f>
        <v>2040</v>
      </c>
      <c r="D1023" s="30">
        <f>MONTH(BInputReservoir[[#This Row],[Date]])</f>
        <v>7</v>
      </c>
      <c r="E1023" s="30" t="str">
        <f>IF(I1023&lt;&gt;1,"",DATA_INPUT!$M302)</f>
        <v/>
      </c>
      <c r="F1023" s="30" t="str">
        <f>STORAGE_BALANCE_ENSEMBLE!BB302</f>
        <v/>
      </c>
      <c r="G1023" s="30" t="str">
        <f>STORAGE_BALANCE_ENSEMBLE!BC302</f>
        <v/>
      </c>
      <c r="H1023" s="30" t="str">
        <f>STORAGE_BALANCE_ENSEMBLE!BA302</f>
        <v/>
      </c>
      <c r="I1023" s="18" t="str">
        <f t="shared" si="151"/>
        <v/>
      </c>
      <c r="J1023" s="8" t="str">
        <f t="shared" si="143"/>
        <v/>
      </c>
      <c r="K1023" s="9" t="str">
        <f t="shared" si="144"/>
        <v/>
      </c>
      <c r="L1023" s="10" t="str">
        <f t="shared" si="145"/>
        <v/>
      </c>
      <c r="M1023" s="10" t="str">
        <f>IF(I1023&lt;&gt;1,"",IF(H1023="","",H1023/CONTROL_PANEL!$B$11))</f>
        <v/>
      </c>
      <c r="N1023" s="9" t="str">
        <f t="shared" si="146"/>
        <v/>
      </c>
      <c r="O1023" s="9" t="str">
        <f t="shared" si="147"/>
        <v/>
      </c>
      <c r="P1023" s="9" t="str">
        <f t="shared" si="148"/>
        <v/>
      </c>
      <c r="Q1023" s="9" t="str">
        <f t="shared" si="149"/>
        <v/>
      </c>
      <c r="R1023" s="11"/>
      <c r="S1023" s="11"/>
    </row>
    <row r="1024" spans="1:19" x14ac:dyDescent="0.25">
      <c r="A1024" s="30" t="s">
        <v>30</v>
      </c>
      <c r="B1024" s="31">
        <f t="shared" si="150"/>
        <v>51349</v>
      </c>
      <c r="C1024" s="30">
        <f>YEAR(BInputReservoir[[#This Row],[Date]])</f>
        <v>2040</v>
      </c>
      <c r="D1024" s="30">
        <f>MONTH(BInputReservoir[[#This Row],[Date]])</f>
        <v>8</v>
      </c>
      <c r="E1024" s="30" t="str">
        <f>IF(I1024&lt;&gt;1,"",DATA_INPUT!$M303)</f>
        <v/>
      </c>
      <c r="F1024" s="30" t="str">
        <f>STORAGE_BALANCE_ENSEMBLE!BB303</f>
        <v/>
      </c>
      <c r="G1024" s="30" t="str">
        <f>STORAGE_BALANCE_ENSEMBLE!BC303</f>
        <v/>
      </c>
      <c r="H1024" s="30" t="str">
        <f>STORAGE_BALANCE_ENSEMBLE!BA303</f>
        <v/>
      </c>
      <c r="I1024" s="18" t="str">
        <f t="shared" si="151"/>
        <v/>
      </c>
      <c r="J1024" s="8" t="str">
        <f t="shared" si="143"/>
        <v/>
      </c>
      <c r="K1024" s="9" t="str">
        <f t="shared" si="144"/>
        <v/>
      </c>
      <c r="L1024" s="10" t="str">
        <f t="shared" si="145"/>
        <v/>
      </c>
      <c r="M1024" s="10" t="str">
        <f>IF(I1024&lt;&gt;1,"",IF(H1024="","",H1024/CONTROL_PANEL!$B$11))</f>
        <v/>
      </c>
      <c r="N1024" s="9" t="str">
        <f t="shared" si="146"/>
        <v/>
      </c>
      <c r="O1024" s="9" t="str">
        <f t="shared" si="147"/>
        <v/>
      </c>
      <c r="P1024" s="9" t="str">
        <f t="shared" si="148"/>
        <v/>
      </c>
      <c r="Q1024" s="9" t="str">
        <f t="shared" si="149"/>
        <v/>
      </c>
      <c r="R1024" s="11"/>
      <c r="S1024" s="11"/>
    </row>
    <row r="1025" spans="1:19" x14ac:dyDescent="0.25">
      <c r="A1025" s="30" t="s">
        <v>30</v>
      </c>
      <c r="B1025" s="31">
        <f t="shared" si="150"/>
        <v>51380</v>
      </c>
      <c r="C1025" s="30">
        <f>YEAR(BInputReservoir[[#This Row],[Date]])</f>
        <v>2040</v>
      </c>
      <c r="D1025" s="30">
        <f>MONTH(BInputReservoir[[#This Row],[Date]])</f>
        <v>9</v>
      </c>
      <c r="E1025" s="30" t="str">
        <f>IF(I1025&lt;&gt;1,"",DATA_INPUT!$M304)</f>
        <v/>
      </c>
      <c r="F1025" s="30" t="str">
        <f>STORAGE_BALANCE_ENSEMBLE!BB304</f>
        <v/>
      </c>
      <c r="G1025" s="30" t="str">
        <f>STORAGE_BALANCE_ENSEMBLE!BC304</f>
        <v/>
      </c>
      <c r="H1025" s="30" t="str">
        <f>STORAGE_BALANCE_ENSEMBLE!BA304</f>
        <v/>
      </c>
      <c r="I1025" s="18" t="str">
        <f t="shared" si="151"/>
        <v/>
      </c>
      <c r="J1025" s="8" t="str">
        <f t="shared" si="143"/>
        <v/>
      </c>
      <c r="K1025" s="9" t="str">
        <f t="shared" si="144"/>
        <v/>
      </c>
      <c r="L1025" s="10" t="str">
        <f t="shared" si="145"/>
        <v/>
      </c>
      <c r="M1025" s="10" t="str">
        <f>IF(I1025&lt;&gt;1,"",IF(H1025="","",H1025/CONTROL_PANEL!$B$11))</f>
        <v/>
      </c>
      <c r="N1025" s="9" t="str">
        <f t="shared" si="146"/>
        <v/>
      </c>
      <c r="O1025" s="9" t="str">
        <f t="shared" si="147"/>
        <v/>
      </c>
      <c r="P1025" s="9" t="str">
        <f t="shared" si="148"/>
        <v/>
      </c>
      <c r="Q1025" s="9" t="str">
        <f t="shared" si="149"/>
        <v/>
      </c>
      <c r="R1025" s="11"/>
      <c r="S1025" s="11"/>
    </row>
    <row r="1026" spans="1:19" x14ac:dyDescent="0.25">
      <c r="A1026" s="30" t="s">
        <v>30</v>
      </c>
      <c r="B1026" s="31">
        <f t="shared" si="150"/>
        <v>51410</v>
      </c>
      <c r="C1026" s="30">
        <f>YEAR(BInputReservoir[[#This Row],[Date]])</f>
        <v>2040</v>
      </c>
      <c r="D1026" s="30">
        <f>MONTH(BInputReservoir[[#This Row],[Date]])</f>
        <v>10</v>
      </c>
      <c r="E1026" s="30" t="str">
        <f>IF(I1026&lt;&gt;1,"",DATA_INPUT!$M305)</f>
        <v/>
      </c>
      <c r="F1026" s="30" t="str">
        <f>STORAGE_BALANCE_ENSEMBLE!BB305</f>
        <v/>
      </c>
      <c r="G1026" s="30" t="str">
        <f>STORAGE_BALANCE_ENSEMBLE!BC305</f>
        <v/>
      </c>
      <c r="H1026" s="30" t="str">
        <f>STORAGE_BALANCE_ENSEMBLE!BA305</f>
        <v/>
      </c>
      <c r="I1026" s="18" t="str">
        <f t="shared" si="151"/>
        <v/>
      </c>
      <c r="J1026" s="8" t="str">
        <f t="shared" si="143"/>
        <v/>
      </c>
      <c r="K1026" s="9" t="str">
        <f t="shared" si="144"/>
        <v/>
      </c>
      <c r="L1026" s="10" t="str">
        <f t="shared" si="145"/>
        <v/>
      </c>
      <c r="M1026" s="10" t="str">
        <f>IF(I1026&lt;&gt;1,"",IF(H1026="","",H1026/CONTROL_PANEL!$B$11))</f>
        <v/>
      </c>
      <c r="N1026" s="9" t="str">
        <f t="shared" si="146"/>
        <v/>
      </c>
      <c r="O1026" s="9" t="str">
        <f t="shared" si="147"/>
        <v/>
      </c>
      <c r="P1026" s="9" t="str">
        <f t="shared" si="148"/>
        <v/>
      </c>
      <c r="Q1026" s="9" t="str">
        <f t="shared" si="149"/>
        <v/>
      </c>
      <c r="R1026" s="11"/>
      <c r="S1026" s="11"/>
    </row>
    <row r="1027" spans="1:19" x14ac:dyDescent="0.25">
      <c r="A1027" s="30" t="s">
        <v>30</v>
      </c>
      <c r="B1027" s="31">
        <f t="shared" si="150"/>
        <v>51441</v>
      </c>
      <c r="C1027" s="30">
        <f>YEAR(BInputReservoir[[#This Row],[Date]])</f>
        <v>2040</v>
      </c>
      <c r="D1027" s="30">
        <f>MONTH(BInputReservoir[[#This Row],[Date]])</f>
        <v>11</v>
      </c>
      <c r="E1027" s="30" t="str">
        <f>IF(I1027&lt;&gt;1,"",DATA_INPUT!$M306)</f>
        <v/>
      </c>
      <c r="F1027" s="30" t="str">
        <f>STORAGE_BALANCE_ENSEMBLE!BB306</f>
        <v/>
      </c>
      <c r="G1027" s="30" t="str">
        <f>STORAGE_BALANCE_ENSEMBLE!BC306</f>
        <v/>
      </c>
      <c r="H1027" s="30" t="str">
        <f>STORAGE_BALANCE_ENSEMBLE!BA306</f>
        <v/>
      </c>
      <c r="I1027" s="18" t="str">
        <f t="shared" si="151"/>
        <v/>
      </c>
      <c r="J1027" s="8" t="str">
        <f t="shared" si="143"/>
        <v/>
      </c>
      <c r="K1027" s="9" t="str">
        <f t="shared" si="144"/>
        <v/>
      </c>
      <c r="L1027" s="10" t="str">
        <f t="shared" si="145"/>
        <v/>
      </c>
      <c r="M1027" s="10" t="str">
        <f>IF(I1027&lt;&gt;1,"",IF(H1027="","",H1027/CONTROL_PANEL!$B$11))</f>
        <v/>
      </c>
      <c r="N1027" s="9" t="str">
        <f t="shared" si="146"/>
        <v/>
      </c>
      <c r="O1027" s="9" t="str">
        <f t="shared" si="147"/>
        <v/>
      </c>
      <c r="P1027" s="9" t="str">
        <f t="shared" si="148"/>
        <v/>
      </c>
      <c r="Q1027" s="9" t="str">
        <f t="shared" si="149"/>
        <v/>
      </c>
      <c r="R1027" s="11"/>
      <c r="S1027" s="11"/>
    </row>
    <row r="1028" spans="1:19" x14ac:dyDescent="0.25">
      <c r="A1028" s="30" t="s">
        <v>30</v>
      </c>
      <c r="B1028" s="31">
        <f t="shared" si="150"/>
        <v>51471</v>
      </c>
      <c r="C1028" s="30">
        <f>YEAR(BInputReservoir[[#This Row],[Date]])</f>
        <v>2040</v>
      </c>
      <c r="D1028" s="30">
        <f>MONTH(BInputReservoir[[#This Row],[Date]])</f>
        <v>12</v>
      </c>
      <c r="E1028" s="30" t="str">
        <f>IF(I1028&lt;&gt;1,"",DATA_INPUT!$M307)</f>
        <v/>
      </c>
      <c r="F1028" s="30" t="str">
        <f>STORAGE_BALANCE_ENSEMBLE!BB307</f>
        <v/>
      </c>
      <c r="G1028" s="30" t="str">
        <f>STORAGE_BALANCE_ENSEMBLE!BC307</f>
        <v/>
      </c>
      <c r="H1028" s="30" t="str">
        <f>STORAGE_BALANCE_ENSEMBLE!BA307</f>
        <v/>
      </c>
      <c r="I1028" s="18" t="str">
        <f t="shared" si="151"/>
        <v/>
      </c>
      <c r="J1028" s="8" t="str">
        <f t="shared" si="143"/>
        <v/>
      </c>
      <c r="K1028" s="9" t="str">
        <f t="shared" si="144"/>
        <v/>
      </c>
      <c r="L1028" s="10" t="str">
        <f t="shared" si="145"/>
        <v/>
      </c>
      <c r="M1028" s="10" t="str">
        <f>IF(I1028&lt;&gt;1,"",IF(H1028="","",H1028/CONTROL_PANEL!$B$11))</f>
        <v/>
      </c>
      <c r="N1028" s="9" t="str">
        <f t="shared" si="146"/>
        <v/>
      </c>
      <c r="O1028" s="9" t="str">
        <f t="shared" si="147"/>
        <v/>
      </c>
      <c r="P1028" s="9" t="str">
        <f t="shared" si="148"/>
        <v/>
      </c>
      <c r="Q1028" s="9" t="str">
        <f t="shared" si="149"/>
        <v/>
      </c>
      <c r="R1028" s="11"/>
      <c r="S1028" s="11"/>
    </row>
    <row r="1029" spans="1:19" x14ac:dyDescent="0.25">
      <c r="A1029" s="30" t="s">
        <v>30</v>
      </c>
      <c r="B1029" s="31">
        <f t="shared" si="150"/>
        <v>51502</v>
      </c>
      <c r="C1029" s="30">
        <f>YEAR(BInputReservoir[[#This Row],[Date]])</f>
        <v>2041</v>
      </c>
      <c r="D1029" s="30">
        <f>MONTH(BInputReservoir[[#This Row],[Date]])</f>
        <v>1</v>
      </c>
      <c r="E1029" s="30" t="str">
        <f>IF(I1029&lt;&gt;1,"",DATA_INPUT!$M308)</f>
        <v/>
      </c>
      <c r="F1029" s="30" t="str">
        <f>STORAGE_BALANCE_ENSEMBLE!BB308</f>
        <v/>
      </c>
      <c r="G1029" s="30" t="str">
        <f>STORAGE_BALANCE_ENSEMBLE!BC308</f>
        <v/>
      </c>
      <c r="H1029" s="30" t="str">
        <f>STORAGE_BALANCE_ENSEMBLE!BA308</f>
        <v/>
      </c>
      <c r="I1029" s="18" t="str">
        <f t="shared" si="151"/>
        <v/>
      </c>
      <c r="J1029" s="8" t="str">
        <f t="shared" ref="J1029:J1092" si="152">IF(I1029&lt;&gt;1,"",IF(E1029="","",MAX(0,E1029-G1029)))</f>
        <v/>
      </c>
      <c r="K1029" s="9" t="str">
        <f t="shared" ref="K1029:K1092" si="153">IF(I1029&lt;&gt;1,"",IF(OR(G1029="",E1029=""),"",IF(G1029&gt;0,1,0)))</f>
        <v/>
      </c>
      <c r="L1029" s="10" t="str">
        <f t="shared" ref="L1029:L1092" si="154">IF(I1029&lt;&gt;1,"",IF(AND(K1029=1,E1029&gt;0),G1029/E1029,0))</f>
        <v/>
      </c>
      <c r="M1029" s="10" t="str">
        <f>IF(I1029&lt;&gt;1,"",IF(H1029="","",H1029/CONTROL_PANEL!$B$11))</f>
        <v/>
      </c>
      <c r="N1029" s="9" t="str">
        <f t="shared" ref="N1029:N1092" si="155">IF(I1029&lt;&gt;1,"",IF(AND(K1029=1,A1030=A1029),1,0))</f>
        <v/>
      </c>
      <c r="O1029" s="9" t="str">
        <f t="shared" ref="O1029:O1092" si="156">IF(I1029&lt;&gt;1,"",IF(AND(K1029=1,A1030=A1029,K1030=0),1,0))</f>
        <v/>
      </c>
      <c r="P1029" s="9" t="str">
        <f t="shared" ref="P1029:P1092" si="157">IF(I1029&lt;&gt;1,"",IF(F1029&gt;0,1,0))</f>
        <v/>
      </c>
      <c r="Q1029" s="9" t="str">
        <f t="shared" ref="Q1029:Q1092" si="158">IF(I1029&lt;&gt;1,"",IF(G1029&gt;0,1,0))</f>
        <v/>
      </c>
      <c r="R1029" s="11"/>
      <c r="S1029" s="11"/>
    </row>
    <row r="1030" spans="1:19" x14ac:dyDescent="0.25">
      <c r="A1030" s="30" t="s">
        <v>30</v>
      </c>
      <c r="B1030" s="31">
        <f t="shared" si="150"/>
        <v>51533</v>
      </c>
      <c r="C1030" s="30">
        <f>YEAR(BInputReservoir[[#This Row],[Date]])</f>
        <v>2041</v>
      </c>
      <c r="D1030" s="30">
        <f>MONTH(BInputReservoir[[#This Row],[Date]])</f>
        <v>2</v>
      </c>
      <c r="E1030" s="30" t="str">
        <f>IF(I1030&lt;&gt;1,"",DATA_INPUT!$M309)</f>
        <v/>
      </c>
      <c r="F1030" s="30" t="str">
        <f>STORAGE_BALANCE_ENSEMBLE!BB309</f>
        <v/>
      </c>
      <c r="G1030" s="30" t="str">
        <f>STORAGE_BALANCE_ENSEMBLE!BC309</f>
        <v/>
      </c>
      <c r="H1030" s="30" t="str">
        <f>STORAGE_BALANCE_ENSEMBLE!BA309</f>
        <v/>
      </c>
      <c r="I1030" s="18" t="str">
        <f t="shared" si="151"/>
        <v/>
      </c>
      <c r="J1030" s="8" t="str">
        <f t="shared" si="152"/>
        <v/>
      </c>
      <c r="K1030" s="9" t="str">
        <f t="shared" si="153"/>
        <v/>
      </c>
      <c r="L1030" s="10" t="str">
        <f t="shared" si="154"/>
        <v/>
      </c>
      <c r="M1030" s="10" t="str">
        <f>IF(I1030&lt;&gt;1,"",IF(H1030="","",H1030/CONTROL_PANEL!$B$11))</f>
        <v/>
      </c>
      <c r="N1030" s="9" t="str">
        <f t="shared" si="155"/>
        <v/>
      </c>
      <c r="O1030" s="9" t="str">
        <f t="shared" si="156"/>
        <v/>
      </c>
      <c r="P1030" s="9" t="str">
        <f t="shared" si="157"/>
        <v/>
      </c>
      <c r="Q1030" s="9" t="str">
        <f t="shared" si="158"/>
        <v/>
      </c>
      <c r="R1030" s="11"/>
      <c r="S1030" s="11"/>
    </row>
    <row r="1031" spans="1:19" x14ac:dyDescent="0.25">
      <c r="A1031" s="30" t="s">
        <v>30</v>
      </c>
      <c r="B1031" s="31">
        <f t="shared" si="150"/>
        <v>51561</v>
      </c>
      <c r="C1031" s="30">
        <f>YEAR(BInputReservoir[[#This Row],[Date]])</f>
        <v>2041</v>
      </c>
      <c r="D1031" s="30">
        <f>MONTH(BInputReservoir[[#This Row],[Date]])</f>
        <v>3</v>
      </c>
      <c r="E1031" s="30" t="str">
        <f>IF(I1031&lt;&gt;1,"",DATA_INPUT!$M310)</f>
        <v/>
      </c>
      <c r="F1031" s="30" t="str">
        <f>STORAGE_BALANCE_ENSEMBLE!BB310</f>
        <v/>
      </c>
      <c r="G1031" s="30" t="str">
        <f>STORAGE_BALANCE_ENSEMBLE!BC310</f>
        <v/>
      </c>
      <c r="H1031" s="30" t="str">
        <f>STORAGE_BALANCE_ENSEMBLE!BA310</f>
        <v/>
      </c>
      <c r="I1031" s="18" t="str">
        <f t="shared" si="151"/>
        <v/>
      </c>
      <c r="J1031" s="8" t="str">
        <f t="shared" si="152"/>
        <v/>
      </c>
      <c r="K1031" s="9" t="str">
        <f t="shared" si="153"/>
        <v/>
      </c>
      <c r="L1031" s="10" t="str">
        <f t="shared" si="154"/>
        <v/>
      </c>
      <c r="M1031" s="10" t="str">
        <f>IF(I1031&lt;&gt;1,"",IF(H1031="","",H1031/CONTROL_PANEL!$B$11))</f>
        <v/>
      </c>
      <c r="N1031" s="9" t="str">
        <f t="shared" si="155"/>
        <v/>
      </c>
      <c r="O1031" s="9" t="str">
        <f t="shared" si="156"/>
        <v/>
      </c>
      <c r="P1031" s="9" t="str">
        <f t="shared" si="157"/>
        <v/>
      </c>
      <c r="Q1031" s="9" t="str">
        <f t="shared" si="158"/>
        <v/>
      </c>
      <c r="R1031" s="11"/>
      <c r="S1031" s="11"/>
    </row>
    <row r="1032" spans="1:19" x14ac:dyDescent="0.25">
      <c r="A1032" s="30" t="s">
        <v>30</v>
      </c>
      <c r="B1032" s="31">
        <f t="shared" si="150"/>
        <v>51592</v>
      </c>
      <c r="C1032" s="30">
        <f>YEAR(BInputReservoir[[#This Row],[Date]])</f>
        <v>2041</v>
      </c>
      <c r="D1032" s="30">
        <f>MONTH(BInputReservoir[[#This Row],[Date]])</f>
        <v>4</v>
      </c>
      <c r="E1032" s="30" t="str">
        <f>IF(I1032&lt;&gt;1,"",DATA_INPUT!$M311)</f>
        <v/>
      </c>
      <c r="F1032" s="30" t="str">
        <f>STORAGE_BALANCE_ENSEMBLE!BB311</f>
        <v/>
      </c>
      <c r="G1032" s="30" t="str">
        <f>STORAGE_BALANCE_ENSEMBLE!BC311</f>
        <v/>
      </c>
      <c r="H1032" s="30" t="str">
        <f>STORAGE_BALANCE_ENSEMBLE!BA311</f>
        <v/>
      </c>
      <c r="I1032" s="18" t="str">
        <f t="shared" si="151"/>
        <v/>
      </c>
      <c r="J1032" s="8" t="str">
        <f t="shared" si="152"/>
        <v/>
      </c>
      <c r="K1032" s="9" t="str">
        <f t="shared" si="153"/>
        <v/>
      </c>
      <c r="L1032" s="10" t="str">
        <f t="shared" si="154"/>
        <v/>
      </c>
      <c r="M1032" s="10" t="str">
        <f>IF(I1032&lt;&gt;1,"",IF(H1032="","",H1032/CONTROL_PANEL!$B$11))</f>
        <v/>
      </c>
      <c r="N1032" s="9" t="str">
        <f t="shared" si="155"/>
        <v/>
      </c>
      <c r="O1032" s="9" t="str">
        <f t="shared" si="156"/>
        <v/>
      </c>
      <c r="P1032" s="9" t="str">
        <f t="shared" si="157"/>
        <v/>
      </c>
      <c r="Q1032" s="9" t="str">
        <f t="shared" si="158"/>
        <v/>
      </c>
      <c r="R1032" s="11"/>
      <c r="S1032" s="11"/>
    </row>
    <row r="1033" spans="1:19" x14ac:dyDescent="0.25">
      <c r="A1033" s="30" t="s">
        <v>30</v>
      </c>
      <c r="B1033" s="31">
        <f t="shared" si="150"/>
        <v>51622</v>
      </c>
      <c r="C1033" s="30">
        <f>YEAR(BInputReservoir[[#This Row],[Date]])</f>
        <v>2041</v>
      </c>
      <c r="D1033" s="30">
        <f>MONTH(BInputReservoir[[#This Row],[Date]])</f>
        <v>5</v>
      </c>
      <c r="E1033" s="30" t="str">
        <f>IF(I1033&lt;&gt;1,"",DATA_INPUT!$M312)</f>
        <v/>
      </c>
      <c r="F1033" s="30" t="str">
        <f>STORAGE_BALANCE_ENSEMBLE!BB312</f>
        <v/>
      </c>
      <c r="G1033" s="30" t="str">
        <f>STORAGE_BALANCE_ENSEMBLE!BC312</f>
        <v/>
      </c>
      <c r="H1033" s="30" t="str">
        <f>STORAGE_BALANCE_ENSEMBLE!BA312</f>
        <v/>
      </c>
      <c r="I1033" s="18" t="str">
        <f t="shared" si="151"/>
        <v/>
      </c>
      <c r="J1033" s="8" t="str">
        <f t="shared" si="152"/>
        <v/>
      </c>
      <c r="K1033" s="9" t="str">
        <f t="shared" si="153"/>
        <v/>
      </c>
      <c r="L1033" s="10" t="str">
        <f t="shared" si="154"/>
        <v/>
      </c>
      <c r="M1033" s="10" t="str">
        <f>IF(I1033&lt;&gt;1,"",IF(H1033="","",H1033/CONTROL_PANEL!$B$11))</f>
        <v/>
      </c>
      <c r="N1033" s="9" t="str">
        <f t="shared" si="155"/>
        <v/>
      </c>
      <c r="O1033" s="9" t="str">
        <f t="shared" si="156"/>
        <v/>
      </c>
      <c r="P1033" s="9" t="str">
        <f t="shared" si="157"/>
        <v/>
      </c>
      <c r="Q1033" s="9" t="str">
        <f t="shared" si="158"/>
        <v/>
      </c>
      <c r="R1033" s="11"/>
      <c r="S1033" s="11"/>
    </row>
    <row r="1034" spans="1:19" x14ac:dyDescent="0.25">
      <c r="A1034" s="30" t="s">
        <v>30</v>
      </c>
      <c r="B1034" s="31">
        <f t="shared" si="150"/>
        <v>51653</v>
      </c>
      <c r="C1034" s="30">
        <f>YEAR(BInputReservoir[[#This Row],[Date]])</f>
        <v>2041</v>
      </c>
      <c r="D1034" s="30">
        <f>MONTH(BInputReservoir[[#This Row],[Date]])</f>
        <v>6</v>
      </c>
      <c r="E1034" s="30" t="str">
        <f>IF(I1034&lt;&gt;1,"",DATA_INPUT!$M313)</f>
        <v/>
      </c>
      <c r="F1034" s="30" t="str">
        <f>STORAGE_BALANCE_ENSEMBLE!BB313</f>
        <v/>
      </c>
      <c r="G1034" s="30" t="str">
        <f>STORAGE_BALANCE_ENSEMBLE!BC313</f>
        <v/>
      </c>
      <c r="H1034" s="30" t="str">
        <f>STORAGE_BALANCE_ENSEMBLE!BA313</f>
        <v/>
      </c>
      <c r="I1034" s="18" t="str">
        <f t="shared" si="151"/>
        <v/>
      </c>
      <c r="J1034" s="8" t="str">
        <f t="shared" si="152"/>
        <v/>
      </c>
      <c r="K1034" s="9" t="str">
        <f t="shared" si="153"/>
        <v/>
      </c>
      <c r="L1034" s="10" t="str">
        <f t="shared" si="154"/>
        <v/>
      </c>
      <c r="M1034" s="10" t="str">
        <f>IF(I1034&lt;&gt;1,"",IF(H1034="","",H1034/CONTROL_PANEL!$B$11))</f>
        <v/>
      </c>
      <c r="N1034" s="9" t="str">
        <f t="shared" si="155"/>
        <v/>
      </c>
      <c r="O1034" s="9" t="str">
        <f t="shared" si="156"/>
        <v/>
      </c>
      <c r="P1034" s="9" t="str">
        <f t="shared" si="157"/>
        <v/>
      </c>
      <c r="Q1034" s="9" t="str">
        <f t="shared" si="158"/>
        <v/>
      </c>
      <c r="R1034" s="11"/>
      <c r="S1034" s="11"/>
    </row>
    <row r="1035" spans="1:19" x14ac:dyDescent="0.25">
      <c r="A1035" s="30" t="s">
        <v>30</v>
      </c>
      <c r="B1035" s="31">
        <f t="shared" si="150"/>
        <v>51683</v>
      </c>
      <c r="C1035" s="30">
        <f>YEAR(BInputReservoir[[#This Row],[Date]])</f>
        <v>2041</v>
      </c>
      <c r="D1035" s="30">
        <f>MONTH(BInputReservoir[[#This Row],[Date]])</f>
        <v>7</v>
      </c>
      <c r="E1035" s="30" t="str">
        <f>IF(I1035&lt;&gt;1,"",DATA_INPUT!$M314)</f>
        <v/>
      </c>
      <c r="F1035" s="30" t="str">
        <f>STORAGE_BALANCE_ENSEMBLE!BB314</f>
        <v/>
      </c>
      <c r="G1035" s="30" t="str">
        <f>STORAGE_BALANCE_ENSEMBLE!BC314</f>
        <v/>
      </c>
      <c r="H1035" s="30" t="str">
        <f>STORAGE_BALANCE_ENSEMBLE!BA314</f>
        <v/>
      </c>
      <c r="I1035" s="18" t="str">
        <f t="shared" si="151"/>
        <v/>
      </c>
      <c r="J1035" s="8" t="str">
        <f t="shared" si="152"/>
        <v/>
      </c>
      <c r="K1035" s="9" t="str">
        <f t="shared" si="153"/>
        <v/>
      </c>
      <c r="L1035" s="10" t="str">
        <f t="shared" si="154"/>
        <v/>
      </c>
      <c r="M1035" s="10" t="str">
        <f>IF(I1035&lt;&gt;1,"",IF(H1035="","",H1035/CONTROL_PANEL!$B$11))</f>
        <v/>
      </c>
      <c r="N1035" s="9" t="str">
        <f t="shared" si="155"/>
        <v/>
      </c>
      <c r="O1035" s="9" t="str">
        <f t="shared" si="156"/>
        <v/>
      </c>
      <c r="P1035" s="9" t="str">
        <f t="shared" si="157"/>
        <v/>
      </c>
      <c r="Q1035" s="9" t="str">
        <f t="shared" si="158"/>
        <v/>
      </c>
      <c r="R1035" s="11"/>
      <c r="S1035" s="11"/>
    </row>
    <row r="1036" spans="1:19" x14ac:dyDescent="0.25">
      <c r="A1036" s="30" t="s">
        <v>30</v>
      </c>
      <c r="B1036" s="31">
        <f t="shared" si="150"/>
        <v>51714</v>
      </c>
      <c r="C1036" s="30">
        <f>YEAR(BInputReservoir[[#This Row],[Date]])</f>
        <v>2041</v>
      </c>
      <c r="D1036" s="30">
        <f>MONTH(BInputReservoir[[#This Row],[Date]])</f>
        <v>8</v>
      </c>
      <c r="E1036" s="30" t="str">
        <f>IF(I1036&lt;&gt;1,"",DATA_INPUT!$M315)</f>
        <v/>
      </c>
      <c r="F1036" s="30" t="str">
        <f>STORAGE_BALANCE_ENSEMBLE!BB315</f>
        <v/>
      </c>
      <c r="G1036" s="30" t="str">
        <f>STORAGE_BALANCE_ENSEMBLE!BC315</f>
        <v/>
      </c>
      <c r="H1036" s="30" t="str">
        <f>STORAGE_BALANCE_ENSEMBLE!BA315</f>
        <v/>
      </c>
      <c r="I1036" s="18" t="str">
        <f t="shared" si="151"/>
        <v/>
      </c>
      <c r="J1036" s="8" t="str">
        <f t="shared" si="152"/>
        <v/>
      </c>
      <c r="K1036" s="9" t="str">
        <f t="shared" si="153"/>
        <v/>
      </c>
      <c r="L1036" s="10" t="str">
        <f t="shared" si="154"/>
        <v/>
      </c>
      <c r="M1036" s="10" t="str">
        <f>IF(I1036&lt;&gt;1,"",IF(H1036="","",H1036/CONTROL_PANEL!$B$11))</f>
        <v/>
      </c>
      <c r="N1036" s="9" t="str">
        <f t="shared" si="155"/>
        <v/>
      </c>
      <c r="O1036" s="9" t="str">
        <f t="shared" si="156"/>
        <v/>
      </c>
      <c r="P1036" s="9" t="str">
        <f t="shared" si="157"/>
        <v/>
      </c>
      <c r="Q1036" s="9" t="str">
        <f t="shared" si="158"/>
        <v/>
      </c>
      <c r="R1036" s="11"/>
      <c r="S1036" s="11"/>
    </row>
    <row r="1037" spans="1:19" x14ac:dyDescent="0.25">
      <c r="A1037" s="30" t="s">
        <v>30</v>
      </c>
      <c r="B1037" s="31">
        <f t="shared" si="150"/>
        <v>51745</v>
      </c>
      <c r="C1037" s="30">
        <f>YEAR(BInputReservoir[[#This Row],[Date]])</f>
        <v>2041</v>
      </c>
      <c r="D1037" s="30">
        <f>MONTH(BInputReservoir[[#This Row],[Date]])</f>
        <v>9</v>
      </c>
      <c r="E1037" s="30" t="str">
        <f>IF(I1037&lt;&gt;1,"",DATA_INPUT!$M316)</f>
        <v/>
      </c>
      <c r="F1037" s="30" t="str">
        <f>STORAGE_BALANCE_ENSEMBLE!BB316</f>
        <v/>
      </c>
      <c r="G1037" s="30" t="str">
        <f>STORAGE_BALANCE_ENSEMBLE!BC316</f>
        <v/>
      </c>
      <c r="H1037" s="30" t="str">
        <f>STORAGE_BALANCE_ENSEMBLE!BA316</f>
        <v/>
      </c>
      <c r="I1037" s="18" t="str">
        <f t="shared" si="151"/>
        <v/>
      </c>
      <c r="J1037" s="8" t="str">
        <f t="shared" si="152"/>
        <v/>
      </c>
      <c r="K1037" s="9" t="str">
        <f t="shared" si="153"/>
        <v/>
      </c>
      <c r="L1037" s="10" t="str">
        <f t="shared" si="154"/>
        <v/>
      </c>
      <c r="M1037" s="10" t="str">
        <f>IF(I1037&lt;&gt;1,"",IF(H1037="","",H1037/CONTROL_PANEL!$B$11))</f>
        <v/>
      </c>
      <c r="N1037" s="9" t="str">
        <f t="shared" si="155"/>
        <v/>
      </c>
      <c r="O1037" s="9" t="str">
        <f t="shared" si="156"/>
        <v/>
      </c>
      <c r="P1037" s="9" t="str">
        <f t="shared" si="157"/>
        <v/>
      </c>
      <c r="Q1037" s="9" t="str">
        <f t="shared" si="158"/>
        <v/>
      </c>
      <c r="R1037" s="11"/>
      <c r="S1037" s="11"/>
    </row>
    <row r="1038" spans="1:19" x14ac:dyDescent="0.25">
      <c r="A1038" s="30" t="s">
        <v>30</v>
      </c>
      <c r="B1038" s="31">
        <f t="shared" si="150"/>
        <v>51775</v>
      </c>
      <c r="C1038" s="30">
        <f>YEAR(BInputReservoir[[#This Row],[Date]])</f>
        <v>2041</v>
      </c>
      <c r="D1038" s="30">
        <f>MONTH(BInputReservoir[[#This Row],[Date]])</f>
        <v>10</v>
      </c>
      <c r="E1038" s="30" t="str">
        <f>IF(I1038&lt;&gt;1,"",DATA_INPUT!$M317)</f>
        <v/>
      </c>
      <c r="F1038" s="30" t="str">
        <f>STORAGE_BALANCE_ENSEMBLE!BB317</f>
        <v/>
      </c>
      <c r="G1038" s="30" t="str">
        <f>STORAGE_BALANCE_ENSEMBLE!BC317</f>
        <v/>
      </c>
      <c r="H1038" s="30" t="str">
        <f>STORAGE_BALANCE_ENSEMBLE!BA317</f>
        <v/>
      </c>
      <c r="I1038" s="18" t="str">
        <f t="shared" si="151"/>
        <v/>
      </c>
      <c r="J1038" s="8" t="str">
        <f t="shared" si="152"/>
        <v/>
      </c>
      <c r="K1038" s="9" t="str">
        <f t="shared" si="153"/>
        <v/>
      </c>
      <c r="L1038" s="10" t="str">
        <f t="shared" si="154"/>
        <v/>
      </c>
      <c r="M1038" s="10" t="str">
        <f>IF(I1038&lt;&gt;1,"",IF(H1038="","",H1038/CONTROL_PANEL!$B$11))</f>
        <v/>
      </c>
      <c r="N1038" s="9" t="str">
        <f t="shared" si="155"/>
        <v/>
      </c>
      <c r="O1038" s="9" t="str">
        <f t="shared" si="156"/>
        <v/>
      </c>
      <c r="P1038" s="9" t="str">
        <f t="shared" si="157"/>
        <v/>
      </c>
      <c r="Q1038" s="9" t="str">
        <f t="shared" si="158"/>
        <v/>
      </c>
      <c r="R1038" s="11"/>
      <c r="S1038" s="11"/>
    </row>
    <row r="1039" spans="1:19" x14ac:dyDescent="0.25">
      <c r="A1039" s="30" t="s">
        <v>30</v>
      </c>
      <c r="B1039" s="31">
        <f t="shared" si="150"/>
        <v>51806</v>
      </c>
      <c r="C1039" s="30">
        <f>YEAR(BInputReservoir[[#This Row],[Date]])</f>
        <v>2041</v>
      </c>
      <c r="D1039" s="30">
        <f>MONTH(BInputReservoir[[#This Row],[Date]])</f>
        <v>11</v>
      </c>
      <c r="E1039" s="30" t="str">
        <f>IF(I1039&lt;&gt;1,"",DATA_INPUT!$M318)</f>
        <v/>
      </c>
      <c r="F1039" s="30" t="str">
        <f>STORAGE_BALANCE_ENSEMBLE!BB318</f>
        <v/>
      </c>
      <c r="G1039" s="30" t="str">
        <f>STORAGE_BALANCE_ENSEMBLE!BC318</f>
        <v/>
      </c>
      <c r="H1039" s="30" t="str">
        <f>STORAGE_BALANCE_ENSEMBLE!BA318</f>
        <v/>
      </c>
      <c r="I1039" s="18" t="str">
        <f t="shared" si="151"/>
        <v/>
      </c>
      <c r="J1039" s="8" t="str">
        <f t="shared" si="152"/>
        <v/>
      </c>
      <c r="K1039" s="9" t="str">
        <f t="shared" si="153"/>
        <v/>
      </c>
      <c r="L1039" s="10" t="str">
        <f t="shared" si="154"/>
        <v/>
      </c>
      <c r="M1039" s="10" t="str">
        <f>IF(I1039&lt;&gt;1,"",IF(H1039="","",H1039/CONTROL_PANEL!$B$11))</f>
        <v/>
      </c>
      <c r="N1039" s="9" t="str">
        <f t="shared" si="155"/>
        <v/>
      </c>
      <c r="O1039" s="9" t="str">
        <f t="shared" si="156"/>
        <v/>
      </c>
      <c r="P1039" s="9" t="str">
        <f t="shared" si="157"/>
        <v/>
      </c>
      <c r="Q1039" s="9" t="str">
        <f t="shared" si="158"/>
        <v/>
      </c>
      <c r="R1039" s="11"/>
      <c r="S1039" s="11"/>
    </row>
    <row r="1040" spans="1:19" x14ac:dyDescent="0.25">
      <c r="A1040" s="30" t="s">
        <v>30</v>
      </c>
      <c r="B1040" s="31">
        <f t="shared" si="150"/>
        <v>51836</v>
      </c>
      <c r="C1040" s="30">
        <f>YEAR(BInputReservoir[[#This Row],[Date]])</f>
        <v>2041</v>
      </c>
      <c r="D1040" s="30">
        <f>MONTH(BInputReservoir[[#This Row],[Date]])</f>
        <v>12</v>
      </c>
      <c r="E1040" s="30" t="str">
        <f>IF(I1040&lt;&gt;1,"",DATA_INPUT!$M319)</f>
        <v/>
      </c>
      <c r="F1040" s="30" t="str">
        <f>STORAGE_BALANCE_ENSEMBLE!BB319</f>
        <v/>
      </c>
      <c r="G1040" s="30" t="str">
        <f>STORAGE_BALANCE_ENSEMBLE!BC319</f>
        <v/>
      </c>
      <c r="H1040" s="30" t="str">
        <f>STORAGE_BALANCE_ENSEMBLE!BA319</f>
        <v/>
      </c>
      <c r="I1040" s="18" t="str">
        <f t="shared" si="151"/>
        <v/>
      </c>
      <c r="J1040" s="8" t="str">
        <f t="shared" si="152"/>
        <v/>
      </c>
      <c r="K1040" s="9" t="str">
        <f t="shared" si="153"/>
        <v/>
      </c>
      <c r="L1040" s="10" t="str">
        <f t="shared" si="154"/>
        <v/>
      </c>
      <c r="M1040" s="10" t="str">
        <f>IF(I1040&lt;&gt;1,"",IF(H1040="","",H1040/CONTROL_PANEL!$B$11))</f>
        <v/>
      </c>
      <c r="N1040" s="9" t="str">
        <f t="shared" si="155"/>
        <v/>
      </c>
      <c r="O1040" s="9" t="str">
        <f t="shared" si="156"/>
        <v/>
      </c>
      <c r="P1040" s="9" t="str">
        <f t="shared" si="157"/>
        <v/>
      </c>
      <c r="Q1040" s="9" t="str">
        <f t="shared" si="158"/>
        <v/>
      </c>
      <c r="R1040" s="11"/>
      <c r="S1040" s="11"/>
    </row>
    <row r="1041" spans="1:19" x14ac:dyDescent="0.25">
      <c r="A1041" s="30" t="s">
        <v>30</v>
      </c>
      <c r="B1041" s="31">
        <f t="shared" si="150"/>
        <v>51867</v>
      </c>
      <c r="C1041" s="30">
        <f>YEAR(BInputReservoir[[#This Row],[Date]])</f>
        <v>2042</v>
      </c>
      <c r="D1041" s="30">
        <f>MONTH(BInputReservoir[[#This Row],[Date]])</f>
        <v>1</v>
      </c>
      <c r="E1041" s="30" t="str">
        <f>IF(I1041&lt;&gt;1,"",DATA_INPUT!$M320)</f>
        <v/>
      </c>
      <c r="F1041" s="30" t="str">
        <f>STORAGE_BALANCE_ENSEMBLE!BB320</f>
        <v/>
      </c>
      <c r="G1041" s="30" t="str">
        <f>STORAGE_BALANCE_ENSEMBLE!BC320</f>
        <v/>
      </c>
      <c r="H1041" s="30" t="str">
        <f>STORAGE_BALANCE_ENSEMBLE!BA320</f>
        <v/>
      </c>
      <c r="I1041" s="18" t="str">
        <f t="shared" si="151"/>
        <v/>
      </c>
      <c r="J1041" s="8" t="str">
        <f t="shared" si="152"/>
        <v/>
      </c>
      <c r="K1041" s="9" t="str">
        <f t="shared" si="153"/>
        <v/>
      </c>
      <c r="L1041" s="10" t="str">
        <f t="shared" si="154"/>
        <v/>
      </c>
      <c r="M1041" s="10" t="str">
        <f>IF(I1041&lt;&gt;1,"",IF(H1041="","",H1041/CONTROL_PANEL!$B$11))</f>
        <v/>
      </c>
      <c r="N1041" s="9" t="str">
        <f t="shared" si="155"/>
        <v/>
      </c>
      <c r="O1041" s="9" t="str">
        <f t="shared" si="156"/>
        <v/>
      </c>
      <c r="P1041" s="9" t="str">
        <f t="shared" si="157"/>
        <v/>
      </c>
      <c r="Q1041" s="9" t="str">
        <f t="shared" si="158"/>
        <v/>
      </c>
      <c r="R1041" s="11"/>
      <c r="S1041" s="11"/>
    </row>
    <row r="1042" spans="1:19" x14ac:dyDescent="0.25">
      <c r="A1042" s="30" t="s">
        <v>30</v>
      </c>
      <c r="B1042" s="31">
        <f t="shared" si="150"/>
        <v>51898</v>
      </c>
      <c r="C1042" s="30">
        <f>YEAR(BInputReservoir[[#This Row],[Date]])</f>
        <v>2042</v>
      </c>
      <c r="D1042" s="30">
        <f>MONTH(BInputReservoir[[#This Row],[Date]])</f>
        <v>2</v>
      </c>
      <c r="E1042" s="30" t="str">
        <f>IF(I1042&lt;&gt;1,"",DATA_INPUT!$M321)</f>
        <v/>
      </c>
      <c r="F1042" s="30" t="str">
        <f>STORAGE_BALANCE_ENSEMBLE!BB321</f>
        <v/>
      </c>
      <c r="G1042" s="30" t="str">
        <f>STORAGE_BALANCE_ENSEMBLE!BC321</f>
        <v/>
      </c>
      <c r="H1042" s="30" t="str">
        <f>STORAGE_BALANCE_ENSEMBLE!BA321</f>
        <v/>
      </c>
      <c r="I1042" s="18" t="str">
        <f t="shared" si="151"/>
        <v/>
      </c>
      <c r="J1042" s="8" t="str">
        <f t="shared" si="152"/>
        <v/>
      </c>
      <c r="K1042" s="9" t="str">
        <f t="shared" si="153"/>
        <v/>
      </c>
      <c r="L1042" s="10" t="str">
        <f t="shared" si="154"/>
        <v/>
      </c>
      <c r="M1042" s="10" t="str">
        <f>IF(I1042&lt;&gt;1,"",IF(H1042="","",H1042/CONTROL_PANEL!$B$11))</f>
        <v/>
      </c>
      <c r="N1042" s="9" t="str">
        <f t="shared" si="155"/>
        <v/>
      </c>
      <c r="O1042" s="9" t="str">
        <f t="shared" si="156"/>
        <v/>
      </c>
      <c r="P1042" s="9" t="str">
        <f t="shared" si="157"/>
        <v/>
      </c>
      <c r="Q1042" s="9" t="str">
        <f t="shared" si="158"/>
        <v/>
      </c>
      <c r="R1042" s="11"/>
      <c r="S1042" s="11"/>
    </row>
    <row r="1043" spans="1:19" x14ac:dyDescent="0.25">
      <c r="A1043" s="30" t="s">
        <v>30</v>
      </c>
      <c r="B1043" s="31">
        <f t="shared" si="150"/>
        <v>51926</v>
      </c>
      <c r="C1043" s="30">
        <f>YEAR(BInputReservoir[[#This Row],[Date]])</f>
        <v>2042</v>
      </c>
      <c r="D1043" s="30">
        <f>MONTH(BInputReservoir[[#This Row],[Date]])</f>
        <v>3</v>
      </c>
      <c r="E1043" s="30" t="str">
        <f>IF(I1043&lt;&gt;1,"",DATA_INPUT!$M322)</f>
        <v/>
      </c>
      <c r="F1043" s="30" t="str">
        <f>STORAGE_BALANCE_ENSEMBLE!BB322</f>
        <v/>
      </c>
      <c r="G1043" s="30" t="str">
        <f>STORAGE_BALANCE_ENSEMBLE!BC322</f>
        <v/>
      </c>
      <c r="H1043" s="30" t="str">
        <f>STORAGE_BALANCE_ENSEMBLE!BA322</f>
        <v/>
      </c>
      <c r="I1043" s="18" t="str">
        <f t="shared" si="151"/>
        <v/>
      </c>
      <c r="J1043" s="8" t="str">
        <f t="shared" si="152"/>
        <v/>
      </c>
      <c r="K1043" s="9" t="str">
        <f t="shared" si="153"/>
        <v/>
      </c>
      <c r="L1043" s="10" t="str">
        <f t="shared" si="154"/>
        <v/>
      </c>
      <c r="M1043" s="10" t="str">
        <f>IF(I1043&lt;&gt;1,"",IF(H1043="","",H1043/CONTROL_PANEL!$B$11))</f>
        <v/>
      </c>
      <c r="N1043" s="9" t="str">
        <f t="shared" si="155"/>
        <v/>
      </c>
      <c r="O1043" s="9" t="str">
        <f t="shared" si="156"/>
        <v/>
      </c>
      <c r="P1043" s="9" t="str">
        <f t="shared" si="157"/>
        <v/>
      </c>
      <c r="Q1043" s="9" t="str">
        <f t="shared" si="158"/>
        <v/>
      </c>
      <c r="R1043" s="11"/>
      <c r="S1043" s="11"/>
    </row>
    <row r="1044" spans="1:19" x14ac:dyDescent="0.25">
      <c r="A1044" s="30" t="s">
        <v>30</v>
      </c>
      <c r="B1044" s="31">
        <f t="shared" si="150"/>
        <v>51957</v>
      </c>
      <c r="C1044" s="30">
        <f>YEAR(BInputReservoir[[#This Row],[Date]])</f>
        <v>2042</v>
      </c>
      <c r="D1044" s="30">
        <f>MONTH(BInputReservoir[[#This Row],[Date]])</f>
        <v>4</v>
      </c>
      <c r="E1044" s="30" t="str">
        <f>IF(I1044&lt;&gt;1,"",DATA_INPUT!$M323)</f>
        <v/>
      </c>
      <c r="F1044" s="30" t="str">
        <f>STORAGE_BALANCE_ENSEMBLE!BB323</f>
        <v/>
      </c>
      <c r="G1044" s="30" t="str">
        <f>STORAGE_BALANCE_ENSEMBLE!BC323</f>
        <v/>
      </c>
      <c r="H1044" s="30" t="str">
        <f>STORAGE_BALANCE_ENSEMBLE!BA323</f>
        <v/>
      </c>
      <c r="I1044" s="18" t="str">
        <f t="shared" si="151"/>
        <v/>
      </c>
      <c r="J1044" s="8" t="str">
        <f t="shared" si="152"/>
        <v/>
      </c>
      <c r="K1044" s="9" t="str">
        <f t="shared" si="153"/>
        <v/>
      </c>
      <c r="L1044" s="10" t="str">
        <f t="shared" si="154"/>
        <v/>
      </c>
      <c r="M1044" s="10" t="str">
        <f>IF(I1044&lt;&gt;1,"",IF(H1044="","",H1044/CONTROL_PANEL!$B$11))</f>
        <v/>
      </c>
      <c r="N1044" s="9" t="str">
        <f t="shared" si="155"/>
        <v/>
      </c>
      <c r="O1044" s="9" t="str">
        <f t="shared" si="156"/>
        <v/>
      </c>
      <c r="P1044" s="9" t="str">
        <f t="shared" si="157"/>
        <v/>
      </c>
      <c r="Q1044" s="9" t="str">
        <f t="shared" si="158"/>
        <v/>
      </c>
      <c r="R1044" s="11"/>
      <c r="S1044" s="11"/>
    </row>
    <row r="1045" spans="1:19" x14ac:dyDescent="0.25">
      <c r="A1045" s="30" t="s">
        <v>30</v>
      </c>
      <c r="B1045" s="31">
        <f t="shared" si="150"/>
        <v>51987</v>
      </c>
      <c r="C1045" s="30">
        <f>YEAR(BInputReservoir[[#This Row],[Date]])</f>
        <v>2042</v>
      </c>
      <c r="D1045" s="30">
        <f>MONTH(BInputReservoir[[#This Row],[Date]])</f>
        <v>5</v>
      </c>
      <c r="E1045" s="30" t="str">
        <f>IF(I1045&lt;&gt;1,"",DATA_INPUT!$M324)</f>
        <v/>
      </c>
      <c r="F1045" s="30" t="str">
        <f>STORAGE_BALANCE_ENSEMBLE!BB324</f>
        <v/>
      </c>
      <c r="G1045" s="30" t="str">
        <f>STORAGE_BALANCE_ENSEMBLE!BC324</f>
        <v/>
      </c>
      <c r="H1045" s="30" t="str">
        <f>STORAGE_BALANCE_ENSEMBLE!BA324</f>
        <v/>
      </c>
      <c r="I1045" s="18" t="str">
        <f t="shared" si="151"/>
        <v/>
      </c>
      <c r="J1045" s="8" t="str">
        <f t="shared" si="152"/>
        <v/>
      </c>
      <c r="K1045" s="9" t="str">
        <f t="shared" si="153"/>
        <v/>
      </c>
      <c r="L1045" s="10" t="str">
        <f t="shared" si="154"/>
        <v/>
      </c>
      <c r="M1045" s="10" t="str">
        <f>IF(I1045&lt;&gt;1,"",IF(H1045="","",H1045/CONTROL_PANEL!$B$11))</f>
        <v/>
      </c>
      <c r="N1045" s="9" t="str">
        <f t="shared" si="155"/>
        <v/>
      </c>
      <c r="O1045" s="9" t="str">
        <f t="shared" si="156"/>
        <v/>
      </c>
      <c r="P1045" s="9" t="str">
        <f t="shared" si="157"/>
        <v/>
      </c>
      <c r="Q1045" s="9" t="str">
        <f t="shared" si="158"/>
        <v/>
      </c>
      <c r="R1045" s="11"/>
      <c r="S1045" s="11"/>
    </row>
    <row r="1046" spans="1:19" x14ac:dyDescent="0.25">
      <c r="A1046" s="30" t="s">
        <v>30</v>
      </c>
      <c r="B1046" s="31">
        <f t="shared" si="150"/>
        <v>52018</v>
      </c>
      <c r="C1046" s="30">
        <f>YEAR(BInputReservoir[[#This Row],[Date]])</f>
        <v>2042</v>
      </c>
      <c r="D1046" s="30">
        <f>MONTH(BInputReservoir[[#This Row],[Date]])</f>
        <v>6</v>
      </c>
      <c r="E1046" s="30" t="str">
        <f>IF(I1046&lt;&gt;1,"",DATA_INPUT!$M325)</f>
        <v/>
      </c>
      <c r="F1046" s="30" t="str">
        <f>STORAGE_BALANCE_ENSEMBLE!BB325</f>
        <v/>
      </c>
      <c r="G1046" s="30" t="str">
        <f>STORAGE_BALANCE_ENSEMBLE!BC325</f>
        <v/>
      </c>
      <c r="H1046" s="30" t="str">
        <f>STORAGE_BALANCE_ENSEMBLE!BA325</f>
        <v/>
      </c>
      <c r="I1046" s="18" t="str">
        <f t="shared" si="151"/>
        <v/>
      </c>
      <c r="J1046" s="8" t="str">
        <f t="shared" si="152"/>
        <v/>
      </c>
      <c r="K1046" s="9" t="str">
        <f t="shared" si="153"/>
        <v/>
      </c>
      <c r="L1046" s="10" t="str">
        <f t="shared" si="154"/>
        <v/>
      </c>
      <c r="M1046" s="10" t="str">
        <f>IF(I1046&lt;&gt;1,"",IF(H1046="","",H1046/CONTROL_PANEL!$B$11))</f>
        <v/>
      </c>
      <c r="N1046" s="9" t="str">
        <f t="shared" si="155"/>
        <v/>
      </c>
      <c r="O1046" s="9" t="str">
        <f t="shared" si="156"/>
        <v/>
      </c>
      <c r="P1046" s="9" t="str">
        <f t="shared" si="157"/>
        <v/>
      </c>
      <c r="Q1046" s="9" t="str">
        <f t="shared" si="158"/>
        <v/>
      </c>
      <c r="R1046" s="11"/>
      <c r="S1046" s="11"/>
    </row>
    <row r="1047" spans="1:19" x14ac:dyDescent="0.25">
      <c r="A1047" s="30" t="s">
        <v>30</v>
      </c>
      <c r="B1047" s="31">
        <f t="shared" ref="B1047:B1085" si="159">B686</f>
        <v>52048</v>
      </c>
      <c r="C1047" s="30">
        <f>YEAR(BInputReservoir[[#This Row],[Date]])</f>
        <v>2042</v>
      </c>
      <c r="D1047" s="30">
        <f>MONTH(BInputReservoir[[#This Row],[Date]])</f>
        <v>7</v>
      </c>
      <c r="E1047" s="30" t="str">
        <f>IF(I1047&lt;&gt;1,"",DATA_INPUT!$M326)</f>
        <v/>
      </c>
      <c r="F1047" s="30" t="str">
        <f>STORAGE_BALANCE_ENSEMBLE!BB326</f>
        <v/>
      </c>
      <c r="G1047" s="30" t="str">
        <f>STORAGE_BALANCE_ENSEMBLE!BC326</f>
        <v/>
      </c>
      <c r="H1047" s="30" t="str">
        <f>STORAGE_BALANCE_ENSEMBLE!BA326</f>
        <v/>
      </c>
      <c r="I1047" s="18" t="str">
        <f t="shared" ref="I1047:I1085" si="160">I325</f>
        <v/>
      </c>
      <c r="J1047" s="8" t="str">
        <f t="shared" si="152"/>
        <v/>
      </c>
      <c r="K1047" s="9" t="str">
        <f t="shared" si="153"/>
        <v/>
      </c>
      <c r="L1047" s="10" t="str">
        <f t="shared" si="154"/>
        <v/>
      </c>
      <c r="M1047" s="10" t="str">
        <f>IF(I1047&lt;&gt;1,"",IF(H1047="","",H1047/CONTROL_PANEL!$B$11))</f>
        <v/>
      </c>
      <c r="N1047" s="9" t="str">
        <f t="shared" si="155"/>
        <v/>
      </c>
      <c r="O1047" s="9" t="str">
        <f t="shared" si="156"/>
        <v/>
      </c>
      <c r="P1047" s="9" t="str">
        <f t="shared" si="157"/>
        <v/>
      </c>
      <c r="Q1047" s="9" t="str">
        <f t="shared" si="158"/>
        <v/>
      </c>
      <c r="R1047" s="11"/>
      <c r="S1047" s="11"/>
    </row>
    <row r="1048" spans="1:19" x14ac:dyDescent="0.25">
      <c r="A1048" s="30" t="s">
        <v>30</v>
      </c>
      <c r="B1048" s="31">
        <f t="shared" si="159"/>
        <v>52079</v>
      </c>
      <c r="C1048" s="30">
        <f>YEAR(BInputReservoir[[#This Row],[Date]])</f>
        <v>2042</v>
      </c>
      <c r="D1048" s="30">
        <f>MONTH(BInputReservoir[[#This Row],[Date]])</f>
        <v>8</v>
      </c>
      <c r="E1048" s="30" t="str">
        <f>IF(I1048&lt;&gt;1,"",DATA_INPUT!$M327)</f>
        <v/>
      </c>
      <c r="F1048" s="30" t="str">
        <f>STORAGE_BALANCE_ENSEMBLE!BB327</f>
        <v/>
      </c>
      <c r="G1048" s="30" t="str">
        <f>STORAGE_BALANCE_ENSEMBLE!BC327</f>
        <v/>
      </c>
      <c r="H1048" s="30" t="str">
        <f>STORAGE_BALANCE_ENSEMBLE!BA327</f>
        <v/>
      </c>
      <c r="I1048" s="18" t="str">
        <f t="shared" si="160"/>
        <v/>
      </c>
      <c r="J1048" s="8" t="str">
        <f t="shared" si="152"/>
        <v/>
      </c>
      <c r="K1048" s="9" t="str">
        <f t="shared" si="153"/>
        <v/>
      </c>
      <c r="L1048" s="10" t="str">
        <f t="shared" si="154"/>
        <v/>
      </c>
      <c r="M1048" s="10" t="str">
        <f>IF(I1048&lt;&gt;1,"",IF(H1048="","",H1048/CONTROL_PANEL!$B$11))</f>
        <v/>
      </c>
      <c r="N1048" s="9" t="str">
        <f t="shared" si="155"/>
        <v/>
      </c>
      <c r="O1048" s="9" t="str">
        <f t="shared" si="156"/>
        <v/>
      </c>
      <c r="P1048" s="9" t="str">
        <f t="shared" si="157"/>
        <v/>
      </c>
      <c r="Q1048" s="9" t="str">
        <f t="shared" si="158"/>
        <v/>
      </c>
      <c r="R1048" s="11"/>
      <c r="S1048" s="11"/>
    </row>
    <row r="1049" spans="1:19" x14ac:dyDescent="0.25">
      <c r="A1049" s="30" t="s">
        <v>30</v>
      </c>
      <c r="B1049" s="31">
        <f t="shared" si="159"/>
        <v>52110</v>
      </c>
      <c r="C1049" s="30">
        <f>YEAR(BInputReservoir[[#This Row],[Date]])</f>
        <v>2042</v>
      </c>
      <c r="D1049" s="30">
        <f>MONTH(BInputReservoir[[#This Row],[Date]])</f>
        <v>9</v>
      </c>
      <c r="E1049" s="30" t="str">
        <f>IF(I1049&lt;&gt;1,"",DATA_INPUT!$M328)</f>
        <v/>
      </c>
      <c r="F1049" s="30" t="str">
        <f>STORAGE_BALANCE_ENSEMBLE!BB328</f>
        <v/>
      </c>
      <c r="G1049" s="30" t="str">
        <f>STORAGE_BALANCE_ENSEMBLE!BC328</f>
        <v/>
      </c>
      <c r="H1049" s="30" t="str">
        <f>STORAGE_BALANCE_ENSEMBLE!BA328</f>
        <v/>
      </c>
      <c r="I1049" s="18" t="str">
        <f t="shared" si="160"/>
        <v/>
      </c>
      <c r="J1049" s="8" t="str">
        <f t="shared" si="152"/>
        <v/>
      </c>
      <c r="K1049" s="9" t="str">
        <f t="shared" si="153"/>
        <v/>
      </c>
      <c r="L1049" s="10" t="str">
        <f t="shared" si="154"/>
        <v/>
      </c>
      <c r="M1049" s="10" t="str">
        <f>IF(I1049&lt;&gt;1,"",IF(H1049="","",H1049/CONTROL_PANEL!$B$11))</f>
        <v/>
      </c>
      <c r="N1049" s="9" t="str">
        <f t="shared" si="155"/>
        <v/>
      </c>
      <c r="O1049" s="9" t="str">
        <f t="shared" si="156"/>
        <v/>
      </c>
      <c r="P1049" s="9" t="str">
        <f t="shared" si="157"/>
        <v/>
      </c>
      <c r="Q1049" s="9" t="str">
        <f t="shared" si="158"/>
        <v/>
      </c>
      <c r="R1049" s="11"/>
      <c r="S1049" s="11"/>
    </row>
    <row r="1050" spans="1:19" x14ac:dyDescent="0.25">
      <c r="A1050" s="30" t="s">
        <v>30</v>
      </c>
      <c r="B1050" s="31">
        <f t="shared" si="159"/>
        <v>52140</v>
      </c>
      <c r="C1050" s="30">
        <f>YEAR(BInputReservoir[[#This Row],[Date]])</f>
        <v>2042</v>
      </c>
      <c r="D1050" s="30">
        <f>MONTH(BInputReservoir[[#This Row],[Date]])</f>
        <v>10</v>
      </c>
      <c r="E1050" s="30" t="str">
        <f>IF(I1050&lt;&gt;1,"",DATA_INPUT!$M329)</f>
        <v/>
      </c>
      <c r="F1050" s="30" t="str">
        <f>STORAGE_BALANCE_ENSEMBLE!BB329</f>
        <v/>
      </c>
      <c r="G1050" s="30" t="str">
        <f>STORAGE_BALANCE_ENSEMBLE!BC329</f>
        <v/>
      </c>
      <c r="H1050" s="30" t="str">
        <f>STORAGE_BALANCE_ENSEMBLE!BA329</f>
        <v/>
      </c>
      <c r="I1050" s="18" t="str">
        <f t="shared" si="160"/>
        <v/>
      </c>
      <c r="J1050" s="8" t="str">
        <f t="shared" si="152"/>
        <v/>
      </c>
      <c r="K1050" s="9" t="str">
        <f t="shared" si="153"/>
        <v/>
      </c>
      <c r="L1050" s="10" t="str">
        <f t="shared" si="154"/>
        <v/>
      </c>
      <c r="M1050" s="10" t="str">
        <f>IF(I1050&lt;&gt;1,"",IF(H1050="","",H1050/CONTROL_PANEL!$B$11))</f>
        <v/>
      </c>
      <c r="N1050" s="9" t="str">
        <f t="shared" si="155"/>
        <v/>
      </c>
      <c r="O1050" s="9" t="str">
        <f t="shared" si="156"/>
        <v/>
      </c>
      <c r="P1050" s="9" t="str">
        <f t="shared" si="157"/>
        <v/>
      </c>
      <c r="Q1050" s="9" t="str">
        <f t="shared" si="158"/>
        <v/>
      </c>
      <c r="R1050" s="11"/>
      <c r="S1050" s="11"/>
    </row>
    <row r="1051" spans="1:19" x14ac:dyDescent="0.25">
      <c r="A1051" s="30" t="s">
        <v>30</v>
      </c>
      <c r="B1051" s="31">
        <f t="shared" si="159"/>
        <v>52171</v>
      </c>
      <c r="C1051" s="30">
        <f>YEAR(BInputReservoir[[#This Row],[Date]])</f>
        <v>2042</v>
      </c>
      <c r="D1051" s="30">
        <f>MONTH(BInputReservoir[[#This Row],[Date]])</f>
        <v>11</v>
      </c>
      <c r="E1051" s="30" t="str">
        <f>IF(I1051&lt;&gt;1,"",DATA_INPUT!$M330)</f>
        <v/>
      </c>
      <c r="F1051" s="30" t="str">
        <f>STORAGE_BALANCE_ENSEMBLE!BB330</f>
        <v/>
      </c>
      <c r="G1051" s="30" t="str">
        <f>STORAGE_BALANCE_ENSEMBLE!BC330</f>
        <v/>
      </c>
      <c r="H1051" s="30" t="str">
        <f>STORAGE_BALANCE_ENSEMBLE!BA330</f>
        <v/>
      </c>
      <c r="I1051" s="18" t="str">
        <f t="shared" si="160"/>
        <v/>
      </c>
      <c r="J1051" s="8" t="str">
        <f t="shared" si="152"/>
        <v/>
      </c>
      <c r="K1051" s="9" t="str">
        <f t="shared" si="153"/>
        <v/>
      </c>
      <c r="L1051" s="10" t="str">
        <f t="shared" si="154"/>
        <v/>
      </c>
      <c r="M1051" s="10" t="str">
        <f>IF(I1051&lt;&gt;1,"",IF(H1051="","",H1051/CONTROL_PANEL!$B$11))</f>
        <v/>
      </c>
      <c r="N1051" s="9" t="str">
        <f t="shared" si="155"/>
        <v/>
      </c>
      <c r="O1051" s="9" t="str">
        <f t="shared" si="156"/>
        <v/>
      </c>
      <c r="P1051" s="9" t="str">
        <f t="shared" si="157"/>
        <v/>
      </c>
      <c r="Q1051" s="9" t="str">
        <f t="shared" si="158"/>
        <v/>
      </c>
      <c r="R1051" s="11"/>
      <c r="S1051" s="11"/>
    </row>
    <row r="1052" spans="1:19" x14ac:dyDescent="0.25">
      <c r="A1052" s="30" t="s">
        <v>30</v>
      </c>
      <c r="B1052" s="31">
        <f t="shared" si="159"/>
        <v>52201</v>
      </c>
      <c r="C1052" s="30">
        <f>YEAR(BInputReservoir[[#This Row],[Date]])</f>
        <v>2042</v>
      </c>
      <c r="D1052" s="30">
        <f>MONTH(BInputReservoir[[#This Row],[Date]])</f>
        <v>12</v>
      </c>
      <c r="E1052" s="30" t="str">
        <f>IF(I1052&lt;&gt;1,"",DATA_INPUT!$M331)</f>
        <v/>
      </c>
      <c r="F1052" s="30" t="str">
        <f>STORAGE_BALANCE_ENSEMBLE!BB331</f>
        <v/>
      </c>
      <c r="G1052" s="30" t="str">
        <f>STORAGE_BALANCE_ENSEMBLE!BC331</f>
        <v/>
      </c>
      <c r="H1052" s="30" t="str">
        <f>STORAGE_BALANCE_ENSEMBLE!BA331</f>
        <v/>
      </c>
      <c r="I1052" s="18" t="str">
        <f t="shared" si="160"/>
        <v/>
      </c>
      <c r="J1052" s="8" t="str">
        <f t="shared" si="152"/>
        <v/>
      </c>
      <c r="K1052" s="9" t="str">
        <f t="shared" si="153"/>
        <v/>
      </c>
      <c r="L1052" s="10" t="str">
        <f t="shared" si="154"/>
        <v/>
      </c>
      <c r="M1052" s="10" t="str">
        <f>IF(I1052&lt;&gt;1,"",IF(H1052="","",H1052/CONTROL_PANEL!$B$11))</f>
        <v/>
      </c>
      <c r="N1052" s="9" t="str">
        <f t="shared" si="155"/>
        <v/>
      </c>
      <c r="O1052" s="9" t="str">
        <f t="shared" si="156"/>
        <v/>
      </c>
      <c r="P1052" s="9" t="str">
        <f t="shared" si="157"/>
        <v/>
      </c>
      <c r="Q1052" s="9" t="str">
        <f t="shared" si="158"/>
        <v/>
      </c>
      <c r="R1052" s="11"/>
      <c r="S1052" s="11"/>
    </row>
    <row r="1053" spans="1:19" x14ac:dyDescent="0.25">
      <c r="A1053" s="30" t="s">
        <v>30</v>
      </c>
      <c r="B1053" s="31">
        <f t="shared" si="159"/>
        <v>52232</v>
      </c>
      <c r="C1053" s="30">
        <f>YEAR(BInputReservoir[[#This Row],[Date]])</f>
        <v>2043</v>
      </c>
      <c r="D1053" s="30">
        <f>MONTH(BInputReservoir[[#This Row],[Date]])</f>
        <v>1</v>
      </c>
      <c r="E1053" s="30" t="str">
        <f>IF(I1053&lt;&gt;1,"",DATA_INPUT!$M332)</f>
        <v/>
      </c>
      <c r="F1053" s="30" t="str">
        <f>STORAGE_BALANCE_ENSEMBLE!BB332</f>
        <v/>
      </c>
      <c r="G1053" s="30" t="str">
        <f>STORAGE_BALANCE_ENSEMBLE!BC332</f>
        <v/>
      </c>
      <c r="H1053" s="30" t="str">
        <f>STORAGE_BALANCE_ENSEMBLE!BA332</f>
        <v/>
      </c>
      <c r="I1053" s="18" t="str">
        <f t="shared" si="160"/>
        <v/>
      </c>
      <c r="J1053" s="8" t="str">
        <f t="shared" si="152"/>
        <v/>
      </c>
      <c r="K1053" s="9" t="str">
        <f t="shared" si="153"/>
        <v/>
      </c>
      <c r="L1053" s="10" t="str">
        <f t="shared" si="154"/>
        <v/>
      </c>
      <c r="M1053" s="10" t="str">
        <f>IF(I1053&lt;&gt;1,"",IF(H1053="","",H1053/CONTROL_PANEL!$B$11))</f>
        <v/>
      </c>
      <c r="N1053" s="9" t="str">
        <f t="shared" si="155"/>
        <v/>
      </c>
      <c r="O1053" s="9" t="str">
        <f t="shared" si="156"/>
        <v/>
      </c>
      <c r="P1053" s="9" t="str">
        <f t="shared" si="157"/>
        <v/>
      </c>
      <c r="Q1053" s="9" t="str">
        <f t="shared" si="158"/>
        <v/>
      </c>
      <c r="R1053" s="11"/>
      <c r="S1053" s="11"/>
    </row>
    <row r="1054" spans="1:19" x14ac:dyDescent="0.25">
      <c r="A1054" s="30" t="s">
        <v>30</v>
      </c>
      <c r="B1054" s="31">
        <f t="shared" si="159"/>
        <v>52263</v>
      </c>
      <c r="C1054" s="30">
        <f>YEAR(BInputReservoir[[#This Row],[Date]])</f>
        <v>2043</v>
      </c>
      <c r="D1054" s="30">
        <f>MONTH(BInputReservoir[[#This Row],[Date]])</f>
        <v>2</v>
      </c>
      <c r="E1054" s="30" t="str">
        <f>IF(I1054&lt;&gt;1,"",DATA_INPUT!$M333)</f>
        <v/>
      </c>
      <c r="F1054" s="30" t="str">
        <f>STORAGE_BALANCE_ENSEMBLE!BB333</f>
        <v/>
      </c>
      <c r="G1054" s="30" t="str">
        <f>STORAGE_BALANCE_ENSEMBLE!BC333</f>
        <v/>
      </c>
      <c r="H1054" s="30" t="str">
        <f>STORAGE_BALANCE_ENSEMBLE!BA333</f>
        <v/>
      </c>
      <c r="I1054" s="18" t="str">
        <f t="shared" si="160"/>
        <v/>
      </c>
      <c r="J1054" s="8" t="str">
        <f t="shared" si="152"/>
        <v/>
      </c>
      <c r="K1054" s="9" t="str">
        <f t="shared" si="153"/>
        <v/>
      </c>
      <c r="L1054" s="10" t="str">
        <f t="shared" si="154"/>
        <v/>
      </c>
      <c r="M1054" s="10" t="str">
        <f>IF(I1054&lt;&gt;1,"",IF(H1054="","",H1054/CONTROL_PANEL!$B$11))</f>
        <v/>
      </c>
      <c r="N1054" s="9" t="str">
        <f t="shared" si="155"/>
        <v/>
      </c>
      <c r="O1054" s="9" t="str">
        <f t="shared" si="156"/>
        <v/>
      </c>
      <c r="P1054" s="9" t="str">
        <f t="shared" si="157"/>
        <v/>
      </c>
      <c r="Q1054" s="9" t="str">
        <f t="shared" si="158"/>
        <v/>
      </c>
      <c r="R1054" s="11"/>
      <c r="S1054" s="11"/>
    </row>
    <row r="1055" spans="1:19" x14ac:dyDescent="0.25">
      <c r="A1055" s="30" t="s">
        <v>30</v>
      </c>
      <c r="B1055" s="31">
        <f t="shared" si="159"/>
        <v>52291</v>
      </c>
      <c r="C1055" s="30">
        <f>YEAR(BInputReservoir[[#This Row],[Date]])</f>
        <v>2043</v>
      </c>
      <c r="D1055" s="30">
        <f>MONTH(BInputReservoir[[#This Row],[Date]])</f>
        <v>3</v>
      </c>
      <c r="E1055" s="30" t="str">
        <f>IF(I1055&lt;&gt;1,"",DATA_INPUT!$M334)</f>
        <v/>
      </c>
      <c r="F1055" s="30" t="str">
        <f>STORAGE_BALANCE_ENSEMBLE!BB334</f>
        <v/>
      </c>
      <c r="G1055" s="30" t="str">
        <f>STORAGE_BALANCE_ENSEMBLE!BC334</f>
        <v/>
      </c>
      <c r="H1055" s="30" t="str">
        <f>STORAGE_BALANCE_ENSEMBLE!BA334</f>
        <v/>
      </c>
      <c r="I1055" s="18" t="str">
        <f t="shared" si="160"/>
        <v/>
      </c>
      <c r="J1055" s="8" t="str">
        <f t="shared" si="152"/>
        <v/>
      </c>
      <c r="K1055" s="9" t="str">
        <f t="shared" si="153"/>
        <v/>
      </c>
      <c r="L1055" s="10" t="str">
        <f t="shared" si="154"/>
        <v/>
      </c>
      <c r="M1055" s="10" t="str">
        <f>IF(I1055&lt;&gt;1,"",IF(H1055="","",H1055/CONTROL_PANEL!$B$11))</f>
        <v/>
      </c>
      <c r="N1055" s="9" t="str">
        <f t="shared" si="155"/>
        <v/>
      </c>
      <c r="O1055" s="9" t="str">
        <f t="shared" si="156"/>
        <v/>
      </c>
      <c r="P1055" s="9" t="str">
        <f t="shared" si="157"/>
        <v/>
      </c>
      <c r="Q1055" s="9" t="str">
        <f t="shared" si="158"/>
        <v/>
      </c>
      <c r="R1055" s="11"/>
      <c r="S1055" s="11"/>
    </row>
    <row r="1056" spans="1:19" x14ac:dyDescent="0.25">
      <c r="A1056" s="30" t="s">
        <v>30</v>
      </c>
      <c r="B1056" s="31">
        <f t="shared" si="159"/>
        <v>52322</v>
      </c>
      <c r="C1056" s="30">
        <f>YEAR(BInputReservoir[[#This Row],[Date]])</f>
        <v>2043</v>
      </c>
      <c r="D1056" s="30">
        <f>MONTH(BInputReservoir[[#This Row],[Date]])</f>
        <v>4</v>
      </c>
      <c r="E1056" s="30" t="str">
        <f>IF(I1056&lt;&gt;1,"",DATA_INPUT!$M335)</f>
        <v/>
      </c>
      <c r="F1056" s="30" t="str">
        <f>STORAGE_BALANCE_ENSEMBLE!BB335</f>
        <v/>
      </c>
      <c r="G1056" s="30" t="str">
        <f>STORAGE_BALANCE_ENSEMBLE!BC335</f>
        <v/>
      </c>
      <c r="H1056" s="30" t="str">
        <f>STORAGE_BALANCE_ENSEMBLE!BA335</f>
        <v/>
      </c>
      <c r="I1056" s="18" t="str">
        <f t="shared" si="160"/>
        <v/>
      </c>
      <c r="J1056" s="8" t="str">
        <f t="shared" si="152"/>
        <v/>
      </c>
      <c r="K1056" s="9" t="str">
        <f t="shared" si="153"/>
        <v/>
      </c>
      <c r="L1056" s="10" t="str">
        <f t="shared" si="154"/>
        <v/>
      </c>
      <c r="M1056" s="10" t="str">
        <f>IF(I1056&lt;&gt;1,"",IF(H1056="","",H1056/CONTROL_PANEL!$B$11))</f>
        <v/>
      </c>
      <c r="N1056" s="9" t="str">
        <f t="shared" si="155"/>
        <v/>
      </c>
      <c r="O1056" s="9" t="str">
        <f t="shared" si="156"/>
        <v/>
      </c>
      <c r="P1056" s="9" t="str">
        <f t="shared" si="157"/>
        <v/>
      </c>
      <c r="Q1056" s="9" t="str">
        <f t="shared" si="158"/>
        <v/>
      </c>
      <c r="R1056" s="11"/>
      <c r="S1056" s="11"/>
    </row>
    <row r="1057" spans="1:19" x14ac:dyDescent="0.25">
      <c r="A1057" s="30" t="s">
        <v>30</v>
      </c>
      <c r="B1057" s="31">
        <f t="shared" si="159"/>
        <v>52352</v>
      </c>
      <c r="C1057" s="30">
        <f>YEAR(BInputReservoir[[#This Row],[Date]])</f>
        <v>2043</v>
      </c>
      <c r="D1057" s="30">
        <f>MONTH(BInputReservoir[[#This Row],[Date]])</f>
        <v>5</v>
      </c>
      <c r="E1057" s="30" t="str">
        <f>IF(I1057&lt;&gt;1,"",DATA_INPUT!$M336)</f>
        <v/>
      </c>
      <c r="F1057" s="30" t="str">
        <f>STORAGE_BALANCE_ENSEMBLE!BB336</f>
        <v/>
      </c>
      <c r="G1057" s="30" t="str">
        <f>STORAGE_BALANCE_ENSEMBLE!BC336</f>
        <v/>
      </c>
      <c r="H1057" s="30" t="str">
        <f>STORAGE_BALANCE_ENSEMBLE!BA336</f>
        <v/>
      </c>
      <c r="I1057" s="18" t="str">
        <f t="shared" si="160"/>
        <v/>
      </c>
      <c r="J1057" s="8" t="str">
        <f t="shared" si="152"/>
        <v/>
      </c>
      <c r="K1057" s="9" t="str">
        <f t="shared" si="153"/>
        <v/>
      </c>
      <c r="L1057" s="10" t="str">
        <f t="shared" si="154"/>
        <v/>
      </c>
      <c r="M1057" s="10" t="str">
        <f>IF(I1057&lt;&gt;1,"",IF(H1057="","",H1057/CONTROL_PANEL!$B$11))</f>
        <v/>
      </c>
      <c r="N1057" s="9" t="str">
        <f t="shared" si="155"/>
        <v/>
      </c>
      <c r="O1057" s="9" t="str">
        <f t="shared" si="156"/>
        <v/>
      </c>
      <c r="P1057" s="9" t="str">
        <f t="shared" si="157"/>
        <v/>
      </c>
      <c r="Q1057" s="9" t="str">
        <f t="shared" si="158"/>
        <v/>
      </c>
      <c r="R1057" s="11"/>
      <c r="S1057" s="11"/>
    </row>
    <row r="1058" spans="1:19" x14ac:dyDescent="0.25">
      <c r="A1058" s="30" t="s">
        <v>30</v>
      </c>
      <c r="B1058" s="31">
        <f t="shared" si="159"/>
        <v>52383</v>
      </c>
      <c r="C1058" s="30">
        <f>YEAR(BInputReservoir[[#This Row],[Date]])</f>
        <v>2043</v>
      </c>
      <c r="D1058" s="30">
        <f>MONTH(BInputReservoir[[#This Row],[Date]])</f>
        <v>6</v>
      </c>
      <c r="E1058" s="30" t="str">
        <f>IF(I1058&lt;&gt;1,"",DATA_INPUT!$M337)</f>
        <v/>
      </c>
      <c r="F1058" s="30" t="str">
        <f>STORAGE_BALANCE_ENSEMBLE!BB337</f>
        <v/>
      </c>
      <c r="G1058" s="30" t="str">
        <f>STORAGE_BALANCE_ENSEMBLE!BC337</f>
        <v/>
      </c>
      <c r="H1058" s="30" t="str">
        <f>STORAGE_BALANCE_ENSEMBLE!BA337</f>
        <v/>
      </c>
      <c r="I1058" s="18" t="str">
        <f t="shared" si="160"/>
        <v/>
      </c>
      <c r="J1058" s="8" t="str">
        <f t="shared" si="152"/>
        <v/>
      </c>
      <c r="K1058" s="9" t="str">
        <f t="shared" si="153"/>
        <v/>
      </c>
      <c r="L1058" s="10" t="str">
        <f t="shared" si="154"/>
        <v/>
      </c>
      <c r="M1058" s="10" t="str">
        <f>IF(I1058&lt;&gt;1,"",IF(H1058="","",H1058/CONTROL_PANEL!$B$11))</f>
        <v/>
      </c>
      <c r="N1058" s="9" t="str">
        <f t="shared" si="155"/>
        <v/>
      </c>
      <c r="O1058" s="9" t="str">
        <f t="shared" si="156"/>
        <v/>
      </c>
      <c r="P1058" s="9" t="str">
        <f t="shared" si="157"/>
        <v/>
      </c>
      <c r="Q1058" s="9" t="str">
        <f t="shared" si="158"/>
        <v/>
      </c>
      <c r="R1058" s="11"/>
      <c r="S1058" s="11"/>
    </row>
    <row r="1059" spans="1:19" x14ac:dyDescent="0.25">
      <c r="A1059" s="30" t="s">
        <v>30</v>
      </c>
      <c r="B1059" s="31">
        <f t="shared" si="159"/>
        <v>52413</v>
      </c>
      <c r="C1059" s="30">
        <f>YEAR(BInputReservoir[[#This Row],[Date]])</f>
        <v>2043</v>
      </c>
      <c r="D1059" s="30">
        <f>MONTH(BInputReservoir[[#This Row],[Date]])</f>
        <v>7</v>
      </c>
      <c r="E1059" s="30" t="str">
        <f>IF(I1059&lt;&gt;1,"",DATA_INPUT!$M338)</f>
        <v/>
      </c>
      <c r="F1059" s="30" t="str">
        <f>STORAGE_BALANCE_ENSEMBLE!BB338</f>
        <v/>
      </c>
      <c r="G1059" s="30" t="str">
        <f>STORAGE_BALANCE_ENSEMBLE!BC338</f>
        <v/>
      </c>
      <c r="H1059" s="30" t="str">
        <f>STORAGE_BALANCE_ENSEMBLE!BA338</f>
        <v/>
      </c>
      <c r="I1059" s="18" t="str">
        <f t="shared" si="160"/>
        <v/>
      </c>
      <c r="J1059" s="8" t="str">
        <f t="shared" si="152"/>
        <v/>
      </c>
      <c r="K1059" s="9" t="str">
        <f t="shared" si="153"/>
        <v/>
      </c>
      <c r="L1059" s="10" t="str">
        <f t="shared" si="154"/>
        <v/>
      </c>
      <c r="M1059" s="10" t="str">
        <f>IF(I1059&lt;&gt;1,"",IF(H1059="","",H1059/CONTROL_PANEL!$B$11))</f>
        <v/>
      </c>
      <c r="N1059" s="9" t="str">
        <f t="shared" si="155"/>
        <v/>
      </c>
      <c r="O1059" s="9" t="str">
        <f t="shared" si="156"/>
        <v/>
      </c>
      <c r="P1059" s="9" t="str">
        <f t="shared" si="157"/>
        <v/>
      </c>
      <c r="Q1059" s="9" t="str">
        <f t="shared" si="158"/>
        <v/>
      </c>
      <c r="R1059" s="11"/>
      <c r="S1059" s="11"/>
    </row>
    <row r="1060" spans="1:19" x14ac:dyDescent="0.25">
      <c r="A1060" s="30" t="s">
        <v>30</v>
      </c>
      <c r="B1060" s="31">
        <f t="shared" si="159"/>
        <v>52444</v>
      </c>
      <c r="C1060" s="30">
        <f>YEAR(BInputReservoir[[#This Row],[Date]])</f>
        <v>2043</v>
      </c>
      <c r="D1060" s="30">
        <f>MONTH(BInputReservoir[[#This Row],[Date]])</f>
        <v>8</v>
      </c>
      <c r="E1060" s="30" t="str">
        <f>IF(I1060&lt;&gt;1,"",DATA_INPUT!$M339)</f>
        <v/>
      </c>
      <c r="F1060" s="30" t="str">
        <f>STORAGE_BALANCE_ENSEMBLE!BB339</f>
        <v/>
      </c>
      <c r="G1060" s="30" t="str">
        <f>STORAGE_BALANCE_ENSEMBLE!BC339</f>
        <v/>
      </c>
      <c r="H1060" s="30" t="str">
        <f>STORAGE_BALANCE_ENSEMBLE!BA339</f>
        <v/>
      </c>
      <c r="I1060" s="18" t="str">
        <f t="shared" si="160"/>
        <v/>
      </c>
      <c r="J1060" s="8" t="str">
        <f t="shared" si="152"/>
        <v/>
      </c>
      <c r="K1060" s="9" t="str">
        <f t="shared" si="153"/>
        <v/>
      </c>
      <c r="L1060" s="10" t="str">
        <f t="shared" si="154"/>
        <v/>
      </c>
      <c r="M1060" s="10" t="str">
        <f>IF(I1060&lt;&gt;1,"",IF(H1060="","",H1060/CONTROL_PANEL!$B$11))</f>
        <v/>
      </c>
      <c r="N1060" s="9" t="str">
        <f t="shared" si="155"/>
        <v/>
      </c>
      <c r="O1060" s="9" t="str">
        <f t="shared" si="156"/>
        <v/>
      </c>
      <c r="P1060" s="9" t="str">
        <f t="shared" si="157"/>
        <v/>
      </c>
      <c r="Q1060" s="9" t="str">
        <f t="shared" si="158"/>
        <v/>
      </c>
      <c r="R1060" s="11"/>
      <c r="S1060" s="11"/>
    </row>
    <row r="1061" spans="1:19" x14ac:dyDescent="0.25">
      <c r="A1061" s="30" t="s">
        <v>30</v>
      </c>
      <c r="B1061" s="31">
        <f t="shared" si="159"/>
        <v>52475</v>
      </c>
      <c r="C1061" s="30">
        <f>YEAR(BInputReservoir[[#This Row],[Date]])</f>
        <v>2043</v>
      </c>
      <c r="D1061" s="30">
        <f>MONTH(BInputReservoir[[#This Row],[Date]])</f>
        <v>9</v>
      </c>
      <c r="E1061" s="30" t="str">
        <f>IF(I1061&lt;&gt;1,"",DATA_INPUT!$M340)</f>
        <v/>
      </c>
      <c r="F1061" s="30" t="str">
        <f>STORAGE_BALANCE_ENSEMBLE!BB340</f>
        <v/>
      </c>
      <c r="G1061" s="30" t="str">
        <f>STORAGE_BALANCE_ENSEMBLE!BC340</f>
        <v/>
      </c>
      <c r="H1061" s="30" t="str">
        <f>STORAGE_BALANCE_ENSEMBLE!BA340</f>
        <v/>
      </c>
      <c r="I1061" s="18" t="str">
        <f t="shared" si="160"/>
        <v/>
      </c>
      <c r="J1061" s="8" t="str">
        <f t="shared" si="152"/>
        <v/>
      </c>
      <c r="K1061" s="9" t="str">
        <f t="shared" si="153"/>
        <v/>
      </c>
      <c r="L1061" s="10" t="str">
        <f t="shared" si="154"/>
        <v/>
      </c>
      <c r="M1061" s="10" t="str">
        <f>IF(I1061&lt;&gt;1,"",IF(H1061="","",H1061/CONTROL_PANEL!$B$11))</f>
        <v/>
      </c>
      <c r="N1061" s="9" t="str">
        <f t="shared" si="155"/>
        <v/>
      </c>
      <c r="O1061" s="9" t="str">
        <f t="shared" si="156"/>
        <v/>
      </c>
      <c r="P1061" s="9" t="str">
        <f t="shared" si="157"/>
        <v/>
      </c>
      <c r="Q1061" s="9" t="str">
        <f t="shared" si="158"/>
        <v/>
      </c>
      <c r="R1061" s="11"/>
      <c r="S1061" s="11"/>
    </row>
    <row r="1062" spans="1:19" x14ac:dyDescent="0.25">
      <c r="A1062" s="30" t="s">
        <v>30</v>
      </c>
      <c r="B1062" s="31">
        <f t="shared" si="159"/>
        <v>52505</v>
      </c>
      <c r="C1062" s="30">
        <f>YEAR(BInputReservoir[[#This Row],[Date]])</f>
        <v>2043</v>
      </c>
      <c r="D1062" s="30">
        <f>MONTH(BInputReservoir[[#This Row],[Date]])</f>
        <v>10</v>
      </c>
      <c r="E1062" s="30" t="str">
        <f>IF(I1062&lt;&gt;1,"",DATA_INPUT!$M341)</f>
        <v/>
      </c>
      <c r="F1062" s="30" t="str">
        <f>STORAGE_BALANCE_ENSEMBLE!BB341</f>
        <v/>
      </c>
      <c r="G1062" s="30" t="str">
        <f>STORAGE_BALANCE_ENSEMBLE!BC341</f>
        <v/>
      </c>
      <c r="H1062" s="30" t="str">
        <f>STORAGE_BALANCE_ENSEMBLE!BA341</f>
        <v/>
      </c>
      <c r="I1062" s="18" t="str">
        <f t="shared" si="160"/>
        <v/>
      </c>
      <c r="J1062" s="8" t="str">
        <f t="shared" si="152"/>
        <v/>
      </c>
      <c r="K1062" s="9" t="str">
        <f t="shared" si="153"/>
        <v/>
      </c>
      <c r="L1062" s="10" t="str">
        <f t="shared" si="154"/>
        <v/>
      </c>
      <c r="M1062" s="10" t="str">
        <f>IF(I1062&lt;&gt;1,"",IF(H1062="","",H1062/CONTROL_PANEL!$B$11))</f>
        <v/>
      </c>
      <c r="N1062" s="9" t="str">
        <f t="shared" si="155"/>
        <v/>
      </c>
      <c r="O1062" s="9" t="str">
        <f t="shared" si="156"/>
        <v/>
      </c>
      <c r="P1062" s="9" t="str">
        <f t="shared" si="157"/>
        <v/>
      </c>
      <c r="Q1062" s="9" t="str">
        <f t="shared" si="158"/>
        <v/>
      </c>
      <c r="R1062" s="11"/>
      <c r="S1062" s="11"/>
    </row>
    <row r="1063" spans="1:19" x14ac:dyDescent="0.25">
      <c r="A1063" s="30" t="s">
        <v>30</v>
      </c>
      <c r="B1063" s="31">
        <f t="shared" si="159"/>
        <v>52536</v>
      </c>
      <c r="C1063" s="30">
        <f>YEAR(BInputReservoir[[#This Row],[Date]])</f>
        <v>2043</v>
      </c>
      <c r="D1063" s="30">
        <f>MONTH(BInputReservoir[[#This Row],[Date]])</f>
        <v>11</v>
      </c>
      <c r="E1063" s="30" t="str">
        <f>IF(I1063&lt;&gt;1,"",DATA_INPUT!$M342)</f>
        <v/>
      </c>
      <c r="F1063" s="30" t="str">
        <f>STORAGE_BALANCE_ENSEMBLE!BB342</f>
        <v/>
      </c>
      <c r="G1063" s="30" t="str">
        <f>STORAGE_BALANCE_ENSEMBLE!BC342</f>
        <v/>
      </c>
      <c r="H1063" s="30" t="str">
        <f>STORAGE_BALANCE_ENSEMBLE!BA342</f>
        <v/>
      </c>
      <c r="I1063" s="18" t="str">
        <f t="shared" si="160"/>
        <v/>
      </c>
      <c r="J1063" s="8" t="str">
        <f t="shared" si="152"/>
        <v/>
      </c>
      <c r="K1063" s="9" t="str">
        <f t="shared" si="153"/>
        <v/>
      </c>
      <c r="L1063" s="10" t="str">
        <f t="shared" si="154"/>
        <v/>
      </c>
      <c r="M1063" s="10" t="str">
        <f>IF(I1063&lt;&gt;1,"",IF(H1063="","",H1063/CONTROL_PANEL!$B$11))</f>
        <v/>
      </c>
      <c r="N1063" s="9" t="str">
        <f t="shared" si="155"/>
        <v/>
      </c>
      <c r="O1063" s="9" t="str">
        <f t="shared" si="156"/>
        <v/>
      </c>
      <c r="P1063" s="9" t="str">
        <f t="shared" si="157"/>
        <v/>
      </c>
      <c r="Q1063" s="9" t="str">
        <f t="shared" si="158"/>
        <v/>
      </c>
      <c r="R1063" s="11"/>
      <c r="S1063" s="11"/>
    </row>
    <row r="1064" spans="1:19" x14ac:dyDescent="0.25">
      <c r="A1064" s="30" t="s">
        <v>30</v>
      </c>
      <c r="B1064" s="31">
        <f t="shared" si="159"/>
        <v>52566</v>
      </c>
      <c r="C1064" s="30">
        <f>YEAR(BInputReservoir[[#This Row],[Date]])</f>
        <v>2043</v>
      </c>
      <c r="D1064" s="30">
        <f>MONTH(BInputReservoir[[#This Row],[Date]])</f>
        <v>12</v>
      </c>
      <c r="E1064" s="30" t="str">
        <f>IF(I1064&lt;&gt;1,"",DATA_INPUT!$M343)</f>
        <v/>
      </c>
      <c r="F1064" s="30" t="str">
        <f>STORAGE_BALANCE_ENSEMBLE!BB343</f>
        <v/>
      </c>
      <c r="G1064" s="30" t="str">
        <f>STORAGE_BALANCE_ENSEMBLE!BC343</f>
        <v/>
      </c>
      <c r="H1064" s="30" t="str">
        <f>STORAGE_BALANCE_ENSEMBLE!BA343</f>
        <v/>
      </c>
      <c r="I1064" s="18" t="str">
        <f t="shared" si="160"/>
        <v/>
      </c>
      <c r="J1064" s="8" t="str">
        <f t="shared" si="152"/>
        <v/>
      </c>
      <c r="K1064" s="9" t="str">
        <f t="shared" si="153"/>
        <v/>
      </c>
      <c r="L1064" s="10" t="str">
        <f t="shared" si="154"/>
        <v/>
      </c>
      <c r="M1064" s="10" t="str">
        <f>IF(I1064&lt;&gt;1,"",IF(H1064="","",H1064/CONTROL_PANEL!$B$11))</f>
        <v/>
      </c>
      <c r="N1064" s="9" t="str">
        <f t="shared" si="155"/>
        <v/>
      </c>
      <c r="O1064" s="9" t="str">
        <f t="shared" si="156"/>
        <v/>
      </c>
      <c r="P1064" s="9" t="str">
        <f t="shared" si="157"/>
        <v/>
      </c>
      <c r="Q1064" s="9" t="str">
        <f t="shared" si="158"/>
        <v/>
      </c>
      <c r="R1064" s="11"/>
      <c r="S1064" s="11"/>
    </row>
    <row r="1065" spans="1:19" x14ac:dyDescent="0.25">
      <c r="A1065" s="30" t="s">
        <v>30</v>
      </c>
      <c r="B1065" s="31">
        <f t="shared" si="159"/>
        <v>52597</v>
      </c>
      <c r="C1065" s="30">
        <f>YEAR(BInputReservoir[[#This Row],[Date]])</f>
        <v>2044</v>
      </c>
      <c r="D1065" s="30">
        <f>MONTH(BInputReservoir[[#This Row],[Date]])</f>
        <v>1</v>
      </c>
      <c r="E1065" s="30" t="str">
        <f>IF(I1065&lt;&gt;1,"",DATA_INPUT!$M344)</f>
        <v/>
      </c>
      <c r="F1065" s="30" t="str">
        <f>STORAGE_BALANCE_ENSEMBLE!BB344</f>
        <v/>
      </c>
      <c r="G1065" s="30" t="str">
        <f>STORAGE_BALANCE_ENSEMBLE!BC344</f>
        <v/>
      </c>
      <c r="H1065" s="30" t="str">
        <f>STORAGE_BALANCE_ENSEMBLE!BA344</f>
        <v/>
      </c>
      <c r="I1065" s="18" t="str">
        <f t="shared" si="160"/>
        <v/>
      </c>
      <c r="J1065" s="8" t="str">
        <f t="shared" si="152"/>
        <v/>
      </c>
      <c r="K1065" s="9" t="str">
        <f t="shared" si="153"/>
        <v/>
      </c>
      <c r="L1065" s="10" t="str">
        <f t="shared" si="154"/>
        <v/>
      </c>
      <c r="M1065" s="10" t="str">
        <f>IF(I1065&lt;&gt;1,"",IF(H1065="","",H1065/CONTROL_PANEL!$B$11))</f>
        <v/>
      </c>
      <c r="N1065" s="9" t="str">
        <f t="shared" si="155"/>
        <v/>
      </c>
      <c r="O1065" s="9" t="str">
        <f t="shared" si="156"/>
        <v/>
      </c>
      <c r="P1065" s="9" t="str">
        <f t="shared" si="157"/>
        <v/>
      </c>
      <c r="Q1065" s="9" t="str">
        <f t="shared" si="158"/>
        <v/>
      </c>
      <c r="R1065" s="11"/>
      <c r="S1065" s="11"/>
    </row>
    <row r="1066" spans="1:19" x14ac:dyDescent="0.25">
      <c r="A1066" s="30" t="s">
        <v>30</v>
      </c>
      <c r="B1066" s="31">
        <f t="shared" si="159"/>
        <v>52628</v>
      </c>
      <c r="C1066" s="30">
        <f>YEAR(BInputReservoir[[#This Row],[Date]])</f>
        <v>2044</v>
      </c>
      <c r="D1066" s="30">
        <f>MONTH(BInputReservoir[[#This Row],[Date]])</f>
        <v>2</v>
      </c>
      <c r="E1066" s="30" t="str">
        <f>IF(I1066&lt;&gt;1,"",DATA_INPUT!$M345)</f>
        <v/>
      </c>
      <c r="F1066" s="30" t="str">
        <f>STORAGE_BALANCE_ENSEMBLE!BB345</f>
        <v/>
      </c>
      <c r="G1066" s="30" t="str">
        <f>STORAGE_BALANCE_ENSEMBLE!BC345</f>
        <v/>
      </c>
      <c r="H1066" s="30" t="str">
        <f>STORAGE_BALANCE_ENSEMBLE!BA345</f>
        <v/>
      </c>
      <c r="I1066" s="18" t="str">
        <f t="shared" si="160"/>
        <v/>
      </c>
      <c r="J1066" s="8" t="str">
        <f t="shared" si="152"/>
        <v/>
      </c>
      <c r="K1066" s="9" t="str">
        <f t="shared" si="153"/>
        <v/>
      </c>
      <c r="L1066" s="10" t="str">
        <f t="shared" si="154"/>
        <v/>
      </c>
      <c r="M1066" s="10" t="str">
        <f>IF(I1066&lt;&gt;1,"",IF(H1066="","",H1066/CONTROL_PANEL!$B$11))</f>
        <v/>
      </c>
      <c r="N1066" s="9" t="str">
        <f t="shared" si="155"/>
        <v/>
      </c>
      <c r="O1066" s="9" t="str">
        <f t="shared" si="156"/>
        <v/>
      </c>
      <c r="P1066" s="9" t="str">
        <f t="shared" si="157"/>
        <v/>
      </c>
      <c r="Q1066" s="9" t="str">
        <f t="shared" si="158"/>
        <v/>
      </c>
      <c r="R1066" s="11"/>
      <c r="S1066" s="11"/>
    </row>
    <row r="1067" spans="1:19" x14ac:dyDescent="0.25">
      <c r="A1067" s="30" t="s">
        <v>30</v>
      </c>
      <c r="B1067" s="31">
        <f t="shared" si="159"/>
        <v>52657</v>
      </c>
      <c r="C1067" s="30">
        <f>YEAR(BInputReservoir[[#This Row],[Date]])</f>
        <v>2044</v>
      </c>
      <c r="D1067" s="30">
        <f>MONTH(BInputReservoir[[#This Row],[Date]])</f>
        <v>3</v>
      </c>
      <c r="E1067" s="30" t="str">
        <f>IF(I1067&lt;&gt;1,"",DATA_INPUT!$M346)</f>
        <v/>
      </c>
      <c r="F1067" s="30" t="str">
        <f>STORAGE_BALANCE_ENSEMBLE!BB346</f>
        <v/>
      </c>
      <c r="G1067" s="30" t="str">
        <f>STORAGE_BALANCE_ENSEMBLE!BC346</f>
        <v/>
      </c>
      <c r="H1067" s="30" t="str">
        <f>STORAGE_BALANCE_ENSEMBLE!BA346</f>
        <v/>
      </c>
      <c r="I1067" s="18" t="str">
        <f t="shared" si="160"/>
        <v/>
      </c>
      <c r="J1067" s="8" t="str">
        <f t="shared" si="152"/>
        <v/>
      </c>
      <c r="K1067" s="9" t="str">
        <f t="shared" si="153"/>
        <v/>
      </c>
      <c r="L1067" s="10" t="str">
        <f t="shared" si="154"/>
        <v/>
      </c>
      <c r="M1067" s="10" t="str">
        <f>IF(I1067&lt;&gt;1,"",IF(H1067="","",H1067/CONTROL_PANEL!$B$11))</f>
        <v/>
      </c>
      <c r="N1067" s="9" t="str">
        <f t="shared" si="155"/>
        <v/>
      </c>
      <c r="O1067" s="9" t="str">
        <f t="shared" si="156"/>
        <v/>
      </c>
      <c r="P1067" s="9" t="str">
        <f t="shared" si="157"/>
        <v/>
      </c>
      <c r="Q1067" s="9" t="str">
        <f t="shared" si="158"/>
        <v/>
      </c>
      <c r="R1067" s="11"/>
      <c r="S1067" s="11"/>
    </row>
    <row r="1068" spans="1:19" x14ac:dyDescent="0.25">
      <c r="A1068" s="30" t="s">
        <v>30</v>
      </c>
      <c r="B1068" s="31">
        <f t="shared" si="159"/>
        <v>52688</v>
      </c>
      <c r="C1068" s="30">
        <f>YEAR(BInputReservoir[[#This Row],[Date]])</f>
        <v>2044</v>
      </c>
      <c r="D1068" s="30">
        <f>MONTH(BInputReservoir[[#This Row],[Date]])</f>
        <v>4</v>
      </c>
      <c r="E1068" s="30" t="str">
        <f>IF(I1068&lt;&gt;1,"",DATA_INPUT!$M347)</f>
        <v/>
      </c>
      <c r="F1068" s="30" t="str">
        <f>STORAGE_BALANCE_ENSEMBLE!BB347</f>
        <v/>
      </c>
      <c r="G1068" s="30" t="str">
        <f>STORAGE_BALANCE_ENSEMBLE!BC347</f>
        <v/>
      </c>
      <c r="H1068" s="30" t="str">
        <f>STORAGE_BALANCE_ENSEMBLE!BA347</f>
        <v/>
      </c>
      <c r="I1068" s="18" t="str">
        <f t="shared" si="160"/>
        <v/>
      </c>
      <c r="J1068" s="8" t="str">
        <f t="shared" si="152"/>
        <v/>
      </c>
      <c r="K1068" s="9" t="str">
        <f t="shared" si="153"/>
        <v/>
      </c>
      <c r="L1068" s="10" t="str">
        <f t="shared" si="154"/>
        <v/>
      </c>
      <c r="M1068" s="10" t="str">
        <f>IF(I1068&lt;&gt;1,"",IF(H1068="","",H1068/CONTROL_PANEL!$B$11))</f>
        <v/>
      </c>
      <c r="N1068" s="9" t="str">
        <f t="shared" si="155"/>
        <v/>
      </c>
      <c r="O1068" s="9" t="str">
        <f t="shared" si="156"/>
        <v/>
      </c>
      <c r="P1068" s="9" t="str">
        <f t="shared" si="157"/>
        <v/>
      </c>
      <c r="Q1068" s="9" t="str">
        <f t="shared" si="158"/>
        <v/>
      </c>
      <c r="R1068" s="11"/>
      <c r="S1068" s="11"/>
    </row>
    <row r="1069" spans="1:19" x14ac:dyDescent="0.25">
      <c r="A1069" s="30" t="s">
        <v>30</v>
      </c>
      <c r="B1069" s="31">
        <f t="shared" si="159"/>
        <v>52718</v>
      </c>
      <c r="C1069" s="30">
        <f>YEAR(BInputReservoir[[#This Row],[Date]])</f>
        <v>2044</v>
      </c>
      <c r="D1069" s="30">
        <f>MONTH(BInputReservoir[[#This Row],[Date]])</f>
        <v>5</v>
      </c>
      <c r="E1069" s="30" t="str">
        <f>IF(I1069&lt;&gt;1,"",DATA_INPUT!$M348)</f>
        <v/>
      </c>
      <c r="F1069" s="30" t="str">
        <f>STORAGE_BALANCE_ENSEMBLE!BB348</f>
        <v/>
      </c>
      <c r="G1069" s="30" t="str">
        <f>STORAGE_BALANCE_ENSEMBLE!BC348</f>
        <v/>
      </c>
      <c r="H1069" s="30" t="str">
        <f>STORAGE_BALANCE_ENSEMBLE!BA348</f>
        <v/>
      </c>
      <c r="I1069" s="18" t="str">
        <f t="shared" si="160"/>
        <v/>
      </c>
      <c r="J1069" s="8" t="str">
        <f t="shared" si="152"/>
        <v/>
      </c>
      <c r="K1069" s="9" t="str">
        <f t="shared" si="153"/>
        <v/>
      </c>
      <c r="L1069" s="10" t="str">
        <f t="shared" si="154"/>
        <v/>
      </c>
      <c r="M1069" s="10" t="str">
        <f>IF(I1069&lt;&gt;1,"",IF(H1069="","",H1069/CONTROL_PANEL!$B$11))</f>
        <v/>
      </c>
      <c r="N1069" s="9" t="str">
        <f t="shared" si="155"/>
        <v/>
      </c>
      <c r="O1069" s="9" t="str">
        <f t="shared" si="156"/>
        <v/>
      </c>
      <c r="P1069" s="9" t="str">
        <f t="shared" si="157"/>
        <v/>
      </c>
      <c r="Q1069" s="9" t="str">
        <f t="shared" si="158"/>
        <v/>
      </c>
      <c r="R1069" s="11"/>
      <c r="S1069" s="11"/>
    </row>
    <row r="1070" spans="1:19" x14ac:dyDescent="0.25">
      <c r="A1070" s="30" t="s">
        <v>30</v>
      </c>
      <c r="B1070" s="31">
        <f t="shared" si="159"/>
        <v>52749</v>
      </c>
      <c r="C1070" s="30">
        <f>YEAR(BInputReservoir[[#This Row],[Date]])</f>
        <v>2044</v>
      </c>
      <c r="D1070" s="30">
        <f>MONTH(BInputReservoir[[#This Row],[Date]])</f>
        <v>6</v>
      </c>
      <c r="E1070" s="30" t="str">
        <f>IF(I1070&lt;&gt;1,"",DATA_INPUT!$M349)</f>
        <v/>
      </c>
      <c r="F1070" s="30" t="str">
        <f>STORAGE_BALANCE_ENSEMBLE!BB349</f>
        <v/>
      </c>
      <c r="G1070" s="30" t="str">
        <f>STORAGE_BALANCE_ENSEMBLE!BC349</f>
        <v/>
      </c>
      <c r="H1070" s="30" t="str">
        <f>STORAGE_BALANCE_ENSEMBLE!BA349</f>
        <v/>
      </c>
      <c r="I1070" s="18" t="str">
        <f t="shared" si="160"/>
        <v/>
      </c>
      <c r="J1070" s="8" t="str">
        <f t="shared" si="152"/>
        <v/>
      </c>
      <c r="K1070" s="9" t="str">
        <f t="shared" si="153"/>
        <v/>
      </c>
      <c r="L1070" s="10" t="str">
        <f t="shared" si="154"/>
        <v/>
      </c>
      <c r="M1070" s="10" t="str">
        <f>IF(I1070&lt;&gt;1,"",IF(H1070="","",H1070/CONTROL_PANEL!$B$11))</f>
        <v/>
      </c>
      <c r="N1070" s="9" t="str">
        <f t="shared" si="155"/>
        <v/>
      </c>
      <c r="O1070" s="9" t="str">
        <f t="shared" si="156"/>
        <v/>
      </c>
      <c r="P1070" s="9" t="str">
        <f t="shared" si="157"/>
        <v/>
      </c>
      <c r="Q1070" s="9" t="str">
        <f t="shared" si="158"/>
        <v/>
      </c>
      <c r="R1070" s="11"/>
      <c r="S1070" s="11"/>
    </row>
    <row r="1071" spans="1:19" x14ac:dyDescent="0.25">
      <c r="A1071" s="30" t="s">
        <v>30</v>
      </c>
      <c r="B1071" s="31">
        <f t="shared" si="159"/>
        <v>52779</v>
      </c>
      <c r="C1071" s="30">
        <f>YEAR(BInputReservoir[[#This Row],[Date]])</f>
        <v>2044</v>
      </c>
      <c r="D1071" s="30">
        <f>MONTH(BInputReservoir[[#This Row],[Date]])</f>
        <v>7</v>
      </c>
      <c r="E1071" s="30" t="str">
        <f>IF(I1071&lt;&gt;1,"",DATA_INPUT!$M350)</f>
        <v/>
      </c>
      <c r="F1071" s="30" t="str">
        <f>STORAGE_BALANCE_ENSEMBLE!BB350</f>
        <v/>
      </c>
      <c r="G1071" s="30" t="str">
        <f>STORAGE_BALANCE_ENSEMBLE!BC350</f>
        <v/>
      </c>
      <c r="H1071" s="30" t="str">
        <f>STORAGE_BALANCE_ENSEMBLE!BA350</f>
        <v/>
      </c>
      <c r="I1071" s="18" t="str">
        <f t="shared" si="160"/>
        <v/>
      </c>
      <c r="J1071" s="8" t="str">
        <f t="shared" si="152"/>
        <v/>
      </c>
      <c r="K1071" s="9" t="str">
        <f t="shared" si="153"/>
        <v/>
      </c>
      <c r="L1071" s="10" t="str">
        <f t="shared" si="154"/>
        <v/>
      </c>
      <c r="M1071" s="10" t="str">
        <f>IF(I1071&lt;&gt;1,"",IF(H1071="","",H1071/CONTROL_PANEL!$B$11))</f>
        <v/>
      </c>
      <c r="N1071" s="9" t="str">
        <f t="shared" si="155"/>
        <v/>
      </c>
      <c r="O1071" s="9" t="str">
        <f t="shared" si="156"/>
        <v/>
      </c>
      <c r="P1071" s="9" t="str">
        <f t="shared" si="157"/>
        <v/>
      </c>
      <c r="Q1071" s="9" t="str">
        <f t="shared" si="158"/>
        <v/>
      </c>
      <c r="R1071" s="11"/>
      <c r="S1071" s="11"/>
    </row>
    <row r="1072" spans="1:19" x14ac:dyDescent="0.25">
      <c r="A1072" s="30" t="s">
        <v>30</v>
      </c>
      <c r="B1072" s="31">
        <f t="shared" si="159"/>
        <v>52810</v>
      </c>
      <c r="C1072" s="30">
        <f>YEAR(BInputReservoir[[#This Row],[Date]])</f>
        <v>2044</v>
      </c>
      <c r="D1072" s="30">
        <f>MONTH(BInputReservoir[[#This Row],[Date]])</f>
        <v>8</v>
      </c>
      <c r="E1072" s="30" t="str">
        <f>IF(I1072&lt;&gt;1,"",DATA_INPUT!$M351)</f>
        <v/>
      </c>
      <c r="F1072" s="30" t="str">
        <f>STORAGE_BALANCE_ENSEMBLE!BB351</f>
        <v/>
      </c>
      <c r="G1072" s="30" t="str">
        <f>STORAGE_BALANCE_ENSEMBLE!BC351</f>
        <v/>
      </c>
      <c r="H1072" s="30" t="str">
        <f>STORAGE_BALANCE_ENSEMBLE!BA351</f>
        <v/>
      </c>
      <c r="I1072" s="18" t="str">
        <f t="shared" si="160"/>
        <v/>
      </c>
      <c r="J1072" s="8" t="str">
        <f t="shared" si="152"/>
        <v/>
      </c>
      <c r="K1072" s="9" t="str">
        <f t="shared" si="153"/>
        <v/>
      </c>
      <c r="L1072" s="10" t="str">
        <f t="shared" si="154"/>
        <v/>
      </c>
      <c r="M1072" s="10" t="str">
        <f>IF(I1072&lt;&gt;1,"",IF(H1072="","",H1072/CONTROL_PANEL!$B$11))</f>
        <v/>
      </c>
      <c r="N1072" s="9" t="str">
        <f t="shared" si="155"/>
        <v/>
      </c>
      <c r="O1072" s="9" t="str">
        <f t="shared" si="156"/>
        <v/>
      </c>
      <c r="P1072" s="9" t="str">
        <f t="shared" si="157"/>
        <v/>
      </c>
      <c r="Q1072" s="9" t="str">
        <f t="shared" si="158"/>
        <v/>
      </c>
      <c r="R1072" s="11"/>
      <c r="S1072" s="11"/>
    </row>
    <row r="1073" spans="1:19" x14ac:dyDescent="0.25">
      <c r="A1073" s="30" t="s">
        <v>30</v>
      </c>
      <c r="B1073" s="31">
        <f t="shared" si="159"/>
        <v>52841</v>
      </c>
      <c r="C1073" s="30">
        <f>YEAR(BInputReservoir[[#This Row],[Date]])</f>
        <v>2044</v>
      </c>
      <c r="D1073" s="30">
        <f>MONTH(BInputReservoir[[#This Row],[Date]])</f>
        <v>9</v>
      </c>
      <c r="E1073" s="30" t="str">
        <f>IF(I1073&lt;&gt;1,"",DATA_INPUT!$M352)</f>
        <v/>
      </c>
      <c r="F1073" s="30" t="str">
        <f>STORAGE_BALANCE_ENSEMBLE!BB352</f>
        <v/>
      </c>
      <c r="G1073" s="30" t="str">
        <f>STORAGE_BALANCE_ENSEMBLE!BC352</f>
        <v/>
      </c>
      <c r="H1073" s="30" t="str">
        <f>STORAGE_BALANCE_ENSEMBLE!BA352</f>
        <v/>
      </c>
      <c r="I1073" s="18" t="str">
        <f t="shared" si="160"/>
        <v/>
      </c>
      <c r="J1073" s="8" t="str">
        <f t="shared" si="152"/>
        <v/>
      </c>
      <c r="K1073" s="9" t="str">
        <f t="shared" si="153"/>
        <v/>
      </c>
      <c r="L1073" s="10" t="str">
        <f t="shared" si="154"/>
        <v/>
      </c>
      <c r="M1073" s="10" t="str">
        <f>IF(I1073&lt;&gt;1,"",IF(H1073="","",H1073/CONTROL_PANEL!$B$11))</f>
        <v/>
      </c>
      <c r="N1073" s="9" t="str">
        <f t="shared" si="155"/>
        <v/>
      </c>
      <c r="O1073" s="9" t="str">
        <f t="shared" si="156"/>
        <v/>
      </c>
      <c r="P1073" s="9" t="str">
        <f t="shared" si="157"/>
        <v/>
      </c>
      <c r="Q1073" s="9" t="str">
        <f t="shared" si="158"/>
        <v/>
      </c>
      <c r="R1073" s="11"/>
      <c r="S1073" s="11"/>
    </row>
    <row r="1074" spans="1:19" x14ac:dyDescent="0.25">
      <c r="A1074" s="30" t="s">
        <v>30</v>
      </c>
      <c r="B1074" s="31">
        <f t="shared" si="159"/>
        <v>52871</v>
      </c>
      <c r="C1074" s="30">
        <f>YEAR(BInputReservoir[[#This Row],[Date]])</f>
        <v>2044</v>
      </c>
      <c r="D1074" s="30">
        <f>MONTH(BInputReservoir[[#This Row],[Date]])</f>
        <v>10</v>
      </c>
      <c r="E1074" s="30" t="str">
        <f>IF(I1074&lt;&gt;1,"",DATA_INPUT!$M353)</f>
        <v/>
      </c>
      <c r="F1074" s="30" t="str">
        <f>STORAGE_BALANCE_ENSEMBLE!BB353</f>
        <v/>
      </c>
      <c r="G1074" s="30" t="str">
        <f>STORAGE_BALANCE_ENSEMBLE!BC353</f>
        <v/>
      </c>
      <c r="H1074" s="30" t="str">
        <f>STORAGE_BALANCE_ENSEMBLE!BA353</f>
        <v/>
      </c>
      <c r="I1074" s="18" t="str">
        <f t="shared" si="160"/>
        <v/>
      </c>
      <c r="J1074" s="8" t="str">
        <f t="shared" si="152"/>
        <v/>
      </c>
      <c r="K1074" s="9" t="str">
        <f t="shared" si="153"/>
        <v/>
      </c>
      <c r="L1074" s="10" t="str">
        <f t="shared" si="154"/>
        <v/>
      </c>
      <c r="M1074" s="10" t="str">
        <f>IF(I1074&lt;&gt;1,"",IF(H1074="","",H1074/CONTROL_PANEL!$B$11))</f>
        <v/>
      </c>
      <c r="N1074" s="9" t="str">
        <f t="shared" si="155"/>
        <v/>
      </c>
      <c r="O1074" s="9" t="str">
        <f t="shared" si="156"/>
        <v/>
      </c>
      <c r="P1074" s="9" t="str">
        <f t="shared" si="157"/>
        <v/>
      </c>
      <c r="Q1074" s="9" t="str">
        <f t="shared" si="158"/>
        <v/>
      </c>
      <c r="R1074" s="11"/>
      <c r="S1074" s="11"/>
    </row>
    <row r="1075" spans="1:19" x14ac:dyDescent="0.25">
      <c r="A1075" s="30" t="s">
        <v>30</v>
      </c>
      <c r="B1075" s="31">
        <f t="shared" si="159"/>
        <v>52902</v>
      </c>
      <c r="C1075" s="30">
        <f>YEAR(BInputReservoir[[#This Row],[Date]])</f>
        <v>2044</v>
      </c>
      <c r="D1075" s="30">
        <f>MONTH(BInputReservoir[[#This Row],[Date]])</f>
        <v>11</v>
      </c>
      <c r="E1075" s="30" t="str">
        <f>IF(I1075&lt;&gt;1,"",DATA_INPUT!$M354)</f>
        <v/>
      </c>
      <c r="F1075" s="30" t="str">
        <f>STORAGE_BALANCE_ENSEMBLE!BB354</f>
        <v/>
      </c>
      <c r="G1075" s="30" t="str">
        <f>STORAGE_BALANCE_ENSEMBLE!BC354</f>
        <v/>
      </c>
      <c r="H1075" s="30" t="str">
        <f>STORAGE_BALANCE_ENSEMBLE!BA354</f>
        <v/>
      </c>
      <c r="I1075" s="18" t="str">
        <f t="shared" si="160"/>
        <v/>
      </c>
      <c r="J1075" s="8" t="str">
        <f t="shared" si="152"/>
        <v/>
      </c>
      <c r="K1075" s="9" t="str">
        <f t="shared" si="153"/>
        <v/>
      </c>
      <c r="L1075" s="10" t="str">
        <f t="shared" si="154"/>
        <v/>
      </c>
      <c r="M1075" s="10" t="str">
        <f>IF(I1075&lt;&gt;1,"",IF(H1075="","",H1075/CONTROL_PANEL!$B$11))</f>
        <v/>
      </c>
      <c r="N1075" s="9" t="str">
        <f t="shared" si="155"/>
        <v/>
      </c>
      <c r="O1075" s="9" t="str">
        <f t="shared" si="156"/>
        <v/>
      </c>
      <c r="P1075" s="9" t="str">
        <f t="shared" si="157"/>
        <v/>
      </c>
      <c r="Q1075" s="9" t="str">
        <f t="shared" si="158"/>
        <v/>
      </c>
      <c r="R1075" s="11"/>
      <c r="S1075" s="11"/>
    </row>
    <row r="1076" spans="1:19" x14ac:dyDescent="0.25">
      <c r="A1076" s="30" t="s">
        <v>30</v>
      </c>
      <c r="B1076" s="31">
        <f t="shared" si="159"/>
        <v>52932</v>
      </c>
      <c r="C1076" s="30">
        <f>YEAR(BInputReservoir[[#This Row],[Date]])</f>
        <v>2044</v>
      </c>
      <c r="D1076" s="30">
        <f>MONTH(BInputReservoir[[#This Row],[Date]])</f>
        <v>12</v>
      </c>
      <c r="E1076" s="30" t="str">
        <f>IF(I1076&lt;&gt;1,"",DATA_INPUT!$M355)</f>
        <v/>
      </c>
      <c r="F1076" s="30" t="str">
        <f>STORAGE_BALANCE_ENSEMBLE!BB355</f>
        <v/>
      </c>
      <c r="G1076" s="30" t="str">
        <f>STORAGE_BALANCE_ENSEMBLE!BC355</f>
        <v/>
      </c>
      <c r="H1076" s="30" t="str">
        <f>STORAGE_BALANCE_ENSEMBLE!BA355</f>
        <v/>
      </c>
      <c r="I1076" s="18" t="str">
        <f t="shared" si="160"/>
        <v/>
      </c>
      <c r="J1076" s="8" t="str">
        <f t="shared" si="152"/>
        <v/>
      </c>
      <c r="K1076" s="9" t="str">
        <f t="shared" si="153"/>
        <v/>
      </c>
      <c r="L1076" s="10" t="str">
        <f t="shared" si="154"/>
        <v/>
      </c>
      <c r="M1076" s="10" t="str">
        <f>IF(I1076&lt;&gt;1,"",IF(H1076="","",H1076/CONTROL_PANEL!$B$11))</f>
        <v/>
      </c>
      <c r="N1076" s="9" t="str">
        <f t="shared" si="155"/>
        <v/>
      </c>
      <c r="O1076" s="9" t="str">
        <f t="shared" si="156"/>
        <v/>
      </c>
      <c r="P1076" s="9" t="str">
        <f t="shared" si="157"/>
        <v/>
      </c>
      <c r="Q1076" s="9" t="str">
        <f t="shared" si="158"/>
        <v/>
      </c>
      <c r="R1076" s="11"/>
      <c r="S1076" s="11"/>
    </row>
    <row r="1077" spans="1:19" x14ac:dyDescent="0.25">
      <c r="A1077" s="30" t="s">
        <v>30</v>
      </c>
      <c r="B1077" s="31">
        <f t="shared" si="159"/>
        <v>52963</v>
      </c>
      <c r="C1077" s="30">
        <f>YEAR(BInputReservoir[[#This Row],[Date]])</f>
        <v>2045</v>
      </c>
      <c r="D1077" s="30">
        <f>MONTH(BInputReservoir[[#This Row],[Date]])</f>
        <v>1</v>
      </c>
      <c r="E1077" s="30" t="str">
        <f>IF(I1077&lt;&gt;1,"",DATA_INPUT!$M356)</f>
        <v/>
      </c>
      <c r="F1077" s="30" t="str">
        <f>STORAGE_BALANCE_ENSEMBLE!BB356</f>
        <v/>
      </c>
      <c r="G1077" s="30" t="str">
        <f>STORAGE_BALANCE_ENSEMBLE!BC356</f>
        <v/>
      </c>
      <c r="H1077" s="30" t="str">
        <f>STORAGE_BALANCE_ENSEMBLE!BA356</f>
        <v/>
      </c>
      <c r="I1077" s="18" t="str">
        <f t="shared" si="160"/>
        <v/>
      </c>
      <c r="J1077" s="8" t="str">
        <f t="shared" si="152"/>
        <v/>
      </c>
      <c r="K1077" s="9" t="str">
        <f t="shared" si="153"/>
        <v/>
      </c>
      <c r="L1077" s="10" t="str">
        <f t="shared" si="154"/>
        <v/>
      </c>
      <c r="M1077" s="10" t="str">
        <f>IF(I1077&lt;&gt;1,"",IF(H1077="","",H1077/CONTROL_PANEL!$B$11))</f>
        <v/>
      </c>
      <c r="N1077" s="9" t="str">
        <f t="shared" si="155"/>
        <v/>
      </c>
      <c r="O1077" s="9" t="str">
        <f t="shared" si="156"/>
        <v/>
      </c>
      <c r="P1077" s="9" t="str">
        <f t="shared" si="157"/>
        <v/>
      </c>
      <c r="Q1077" s="9" t="str">
        <f t="shared" si="158"/>
        <v/>
      </c>
      <c r="R1077" s="11"/>
      <c r="S1077" s="11"/>
    </row>
    <row r="1078" spans="1:19" x14ac:dyDescent="0.25">
      <c r="A1078" s="30" t="s">
        <v>30</v>
      </c>
      <c r="B1078" s="31">
        <f t="shared" si="159"/>
        <v>52994</v>
      </c>
      <c r="C1078" s="30">
        <f>YEAR(BInputReservoir[[#This Row],[Date]])</f>
        <v>2045</v>
      </c>
      <c r="D1078" s="30">
        <f>MONTH(BInputReservoir[[#This Row],[Date]])</f>
        <v>2</v>
      </c>
      <c r="E1078" s="30" t="str">
        <f>IF(I1078&lt;&gt;1,"",DATA_INPUT!$M357)</f>
        <v/>
      </c>
      <c r="F1078" s="30" t="str">
        <f>STORAGE_BALANCE_ENSEMBLE!BB357</f>
        <v/>
      </c>
      <c r="G1078" s="30" t="str">
        <f>STORAGE_BALANCE_ENSEMBLE!BC357</f>
        <v/>
      </c>
      <c r="H1078" s="30" t="str">
        <f>STORAGE_BALANCE_ENSEMBLE!BA357</f>
        <v/>
      </c>
      <c r="I1078" s="18" t="str">
        <f t="shared" si="160"/>
        <v/>
      </c>
      <c r="J1078" s="8" t="str">
        <f t="shared" si="152"/>
        <v/>
      </c>
      <c r="K1078" s="9" t="str">
        <f t="shared" si="153"/>
        <v/>
      </c>
      <c r="L1078" s="10" t="str">
        <f t="shared" si="154"/>
        <v/>
      </c>
      <c r="M1078" s="10" t="str">
        <f>IF(I1078&lt;&gt;1,"",IF(H1078="","",H1078/CONTROL_PANEL!$B$11))</f>
        <v/>
      </c>
      <c r="N1078" s="9" t="str">
        <f t="shared" si="155"/>
        <v/>
      </c>
      <c r="O1078" s="9" t="str">
        <f t="shared" si="156"/>
        <v/>
      </c>
      <c r="P1078" s="9" t="str">
        <f t="shared" si="157"/>
        <v/>
      </c>
      <c r="Q1078" s="9" t="str">
        <f t="shared" si="158"/>
        <v/>
      </c>
      <c r="R1078" s="11"/>
      <c r="S1078" s="11"/>
    </row>
    <row r="1079" spans="1:19" x14ac:dyDescent="0.25">
      <c r="A1079" s="30" t="s">
        <v>30</v>
      </c>
      <c r="B1079" s="31">
        <f t="shared" si="159"/>
        <v>53022</v>
      </c>
      <c r="C1079" s="30">
        <f>YEAR(BInputReservoir[[#This Row],[Date]])</f>
        <v>2045</v>
      </c>
      <c r="D1079" s="30">
        <f>MONTH(BInputReservoir[[#This Row],[Date]])</f>
        <v>3</v>
      </c>
      <c r="E1079" s="30" t="str">
        <f>IF(I1079&lt;&gt;1,"",DATA_INPUT!$M358)</f>
        <v/>
      </c>
      <c r="F1079" s="30" t="str">
        <f>STORAGE_BALANCE_ENSEMBLE!BB358</f>
        <v/>
      </c>
      <c r="G1079" s="30" t="str">
        <f>STORAGE_BALANCE_ENSEMBLE!BC358</f>
        <v/>
      </c>
      <c r="H1079" s="30" t="str">
        <f>STORAGE_BALANCE_ENSEMBLE!BA358</f>
        <v/>
      </c>
      <c r="I1079" s="18" t="str">
        <f t="shared" si="160"/>
        <v/>
      </c>
      <c r="J1079" s="8" t="str">
        <f t="shared" si="152"/>
        <v/>
      </c>
      <c r="K1079" s="9" t="str">
        <f t="shared" si="153"/>
        <v/>
      </c>
      <c r="L1079" s="10" t="str">
        <f t="shared" si="154"/>
        <v/>
      </c>
      <c r="M1079" s="10" t="str">
        <f>IF(I1079&lt;&gt;1,"",IF(H1079="","",H1079/CONTROL_PANEL!$B$11))</f>
        <v/>
      </c>
      <c r="N1079" s="9" t="str">
        <f t="shared" si="155"/>
        <v/>
      </c>
      <c r="O1079" s="9" t="str">
        <f t="shared" si="156"/>
        <v/>
      </c>
      <c r="P1079" s="9" t="str">
        <f t="shared" si="157"/>
        <v/>
      </c>
      <c r="Q1079" s="9" t="str">
        <f t="shared" si="158"/>
        <v/>
      </c>
      <c r="R1079" s="11"/>
      <c r="S1079" s="11"/>
    </row>
    <row r="1080" spans="1:19" x14ac:dyDescent="0.25">
      <c r="A1080" s="30" t="s">
        <v>30</v>
      </c>
      <c r="B1080" s="31">
        <f t="shared" si="159"/>
        <v>53053</v>
      </c>
      <c r="C1080" s="30">
        <f>YEAR(BInputReservoir[[#This Row],[Date]])</f>
        <v>2045</v>
      </c>
      <c r="D1080" s="30">
        <f>MONTH(BInputReservoir[[#This Row],[Date]])</f>
        <v>4</v>
      </c>
      <c r="E1080" s="30" t="str">
        <f>IF(I1080&lt;&gt;1,"",DATA_INPUT!$M359)</f>
        <v/>
      </c>
      <c r="F1080" s="30" t="str">
        <f>STORAGE_BALANCE_ENSEMBLE!BB359</f>
        <v/>
      </c>
      <c r="G1080" s="30" t="str">
        <f>STORAGE_BALANCE_ENSEMBLE!BC359</f>
        <v/>
      </c>
      <c r="H1080" s="30" t="str">
        <f>STORAGE_BALANCE_ENSEMBLE!BA359</f>
        <v/>
      </c>
      <c r="I1080" s="18" t="str">
        <f t="shared" si="160"/>
        <v/>
      </c>
      <c r="J1080" s="8" t="str">
        <f t="shared" si="152"/>
        <v/>
      </c>
      <c r="K1080" s="9" t="str">
        <f t="shared" si="153"/>
        <v/>
      </c>
      <c r="L1080" s="10" t="str">
        <f t="shared" si="154"/>
        <v/>
      </c>
      <c r="M1080" s="10" t="str">
        <f>IF(I1080&lt;&gt;1,"",IF(H1080="","",H1080/CONTROL_PANEL!$B$11))</f>
        <v/>
      </c>
      <c r="N1080" s="9" t="str">
        <f t="shared" si="155"/>
        <v/>
      </c>
      <c r="O1080" s="9" t="str">
        <f t="shared" si="156"/>
        <v/>
      </c>
      <c r="P1080" s="9" t="str">
        <f t="shared" si="157"/>
        <v/>
      </c>
      <c r="Q1080" s="9" t="str">
        <f t="shared" si="158"/>
        <v/>
      </c>
      <c r="R1080" s="11"/>
      <c r="S1080" s="11"/>
    </row>
    <row r="1081" spans="1:19" x14ac:dyDescent="0.25">
      <c r="A1081" s="30" t="s">
        <v>30</v>
      </c>
      <c r="B1081" s="31">
        <f t="shared" si="159"/>
        <v>53083</v>
      </c>
      <c r="C1081" s="30">
        <f>YEAR(BInputReservoir[[#This Row],[Date]])</f>
        <v>2045</v>
      </c>
      <c r="D1081" s="30">
        <f>MONTH(BInputReservoir[[#This Row],[Date]])</f>
        <v>5</v>
      </c>
      <c r="E1081" s="30" t="str">
        <f>IF(I1081&lt;&gt;1,"",DATA_INPUT!$M360)</f>
        <v/>
      </c>
      <c r="F1081" s="30" t="str">
        <f>STORAGE_BALANCE_ENSEMBLE!BB360</f>
        <v/>
      </c>
      <c r="G1081" s="30" t="str">
        <f>STORAGE_BALANCE_ENSEMBLE!BC360</f>
        <v/>
      </c>
      <c r="H1081" s="30" t="str">
        <f>STORAGE_BALANCE_ENSEMBLE!BA360</f>
        <v/>
      </c>
      <c r="I1081" s="18" t="str">
        <f t="shared" si="160"/>
        <v/>
      </c>
      <c r="J1081" s="8" t="str">
        <f t="shared" si="152"/>
        <v/>
      </c>
      <c r="K1081" s="9" t="str">
        <f t="shared" si="153"/>
        <v/>
      </c>
      <c r="L1081" s="10" t="str">
        <f t="shared" si="154"/>
        <v/>
      </c>
      <c r="M1081" s="10" t="str">
        <f>IF(I1081&lt;&gt;1,"",IF(H1081="","",H1081/CONTROL_PANEL!$B$11))</f>
        <v/>
      </c>
      <c r="N1081" s="9" t="str">
        <f t="shared" si="155"/>
        <v/>
      </c>
      <c r="O1081" s="9" t="str">
        <f t="shared" si="156"/>
        <v/>
      </c>
      <c r="P1081" s="9" t="str">
        <f t="shared" si="157"/>
        <v/>
      </c>
      <c r="Q1081" s="9" t="str">
        <f t="shared" si="158"/>
        <v/>
      </c>
      <c r="R1081" s="11"/>
      <c r="S1081" s="11"/>
    </row>
    <row r="1082" spans="1:19" x14ac:dyDescent="0.25">
      <c r="A1082" s="30" t="s">
        <v>30</v>
      </c>
      <c r="B1082" s="31">
        <f t="shared" si="159"/>
        <v>53114</v>
      </c>
      <c r="C1082" s="30">
        <f>YEAR(BInputReservoir[[#This Row],[Date]])</f>
        <v>2045</v>
      </c>
      <c r="D1082" s="30">
        <f>MONTH(BInputReservoir[[#This Row],[Date]])</f>
        <v>6</v>
      </c>
      <c r="E1082" s="30" t="str">
        <f>IF(I1082&lt;&gt;1,"",DATA_INPUT!$M361)</f>
        <v/>
      </c>
      <c r="F1082" s="30" t="str">
        <f>STORAGE_BALANCE_ENSEMBLE!BB361</f>
        <v/>
      </c>
      <c r="G1082" s="30" t="str">
        <f>STORAGE_BALANCE_ENSEMBLE!BC361</f>
        <v/>
      </c>
      <c r="H1082" s="30" t="str">
        <f>STORAGE_BALANCE_ENSEMBLE!BA361</f>
        <v/>
      </c>
      <c r="I1082" s="18" t="str">
        <f t="shared" si="160"/>
        <v/>
      </c>
      <c r="J1082" s="8" t="str">
        <f t="shared" si="152"/>
        <v/>
      </c>
      <c r="K1082" s="9" t="str">
        <f t="shared" si="153"/>
        <v/>
      </c>
      <c r="L1082" s="10" t="str">
        <f t="shared" si="154"/>
        <v/>
      </c>
      <c r="M1082" s="10" t="str">
        <f>IF(I1082&lt;&gt;1,"",IF(H1082="","",H1082/CONTROL_PANEL!$B$11))</f>
        <v/>
      </c>
      <c r="N1082" s="9" t="str">
        <f t="shared" si="155"/>
        <v/>
      </c>
      <c r="O1082" s="9" t="str">
        <f t="shared" si="156"/>
        <v/>
      </c>
      <c r="P1082" s="9" t="str">
        <f t="shared" si="157"/>
        <v/>
      </c>
      <c r="Q1082" s="9" t="str">
        <f t="shared" si="158"/>
        <v/>
      </c>
      <c r="R1082" s="11"/>
      <c r="S1082" s="11"/>
    </row>
    <row r="1083" spans="1:19" x14ac:dyDescent="0.25">
      <c r="A1083" s="30" t="s">
        <v>30</v>
      </c>
      <c r="B1083" s="31">
        <f t="shared" si="159"/>
        <v>53144</v>
      </c>
      <c r="C1083" s="30">
        <f>YEAR(BInputReservoir[[#This Row],[Date]])</f>
        <v>2045</v>
      </c>
      <c r="D1083" s="30">
        <f>MONTH(BInputReservoir[[#This Row],[Date]])</f>
        <v>7</v>
      </c>
      <c r="E1083" s="30" t="str">
        <f>IF(I1083&lt;&gt;1,"",DATA_INPUT!$M362)</f>
        <v/>
      </c>
      <c r="F1083" s="30" t="str">
        <f>STORAGE_BALANCE_ENSEMBLE!BB362</f>
        <v/>
      </c>
      <c r="G1083" s="30" t="str">
        <f>STORAGE_BALANCE_ENSEMBLE!BC362</f>
        <v/>
      </c>
      <c r="H1083" s="30" t="str">
        <f>STORAGE_BALANCE_ENSEMBLE!BA362</f>
        <v/>
      </c>
      <c r="I1083" s="18" t="str">
        <f t="shared" si="160"/>
        <v/>
      </c>
      <c r="J1083" s="8" t="str">
        <f t="shared" si="152"/>
        <v/>
      </c>
      <c r="K1083" s="9" t="str">
        <f t="shared" si="153"/>
        <v/>
      </c>
      <c r="L1083" s="10" t="str">
        <f t="shared" si="154"/>
        <v/>
      </c>
      <c r="M1083" s="10" t="str">
        <f>IF(I1083&lt;&gt;1,"",IF(H1083="","",H1083/CONTROL_PANEL!$B$11))</f>
        <v/>
      </c>
      <c r="N1083" s="9" t="str">
        <f t="shared" si="155"/>
        <v/>
      </c>
      <c r="O1083" s="9" t="str">
        <f t="shared" si="156"/>
        <v/>
      </c>
      <c r="P1083" s="9" t="str">
        <f t="shared" si="157"/>
        <v/>
      </c>
      <c r="Q1083" s="9" t="str">
        <f t="shared" si="158"/>
        <v/>
      </c>
      <c r="R1083" s="11"/>
      <c r="S1083" s="11"/>
    </row>
    <row r="1084" spans="1:19" x14ac:dyDescent="0.25">
      <c r="A1084" s="30" t="s">
        <v>30</v>
      </c>
      <c r="B1084" s="31">
        <f t="shared" si="159"/>
        <v>53175</v>
      </c>
      <c r="C1084" s="30">
        <f>YEAR(BInputReservoir[[#This Row],[Date]])</f>
        <v>2045</v>
      </c>
      <c r="D1084" s="30">
        <f>MONTH(BInputReservoir[[#This Row],[Date]])</f>
        <v>8</v>
      </c>
      <c r="E1084" s="30" t="str">
        <f>IF(I1084&lt;&gt;1,"",DATA_INPUT!$M363)</f>
        <v/>
      </c>
      <c r="F1084" s="30" t="str">
        <f>STORAGE_BALANCE_ENSEMBLE!BB363</f>
        <v/>
      </c>
      <c r="G1084" s="30" t="str">
        <f>STORAGE_BALANCE_ENSEMBLE!BC363</f>
        <v/>
      </c>
      <c r="H1084" s="30" t="str">
        <f>STORAGE_BALANCE_ENSEMBLE!BA363</f>
        <v/>
      </c>
      <c r="I1084" s="18" t="str">
        <f t="shared" si="160"/>
        <v/>
      </c>
      <c r="J1084" s="8" t="str">
        <f t="shared" si="152"/>
        <v/>
      </c>
      <c r="K1084" s="9" t="str">
        <f t="shared" si="153"/>
        <v/>
      </c>
      <c r="L1084" s="10" t="str">
        <f t="shared" si="154"/>
        <v/>
      </c>
      <c r="M1084" s="10" t="str">
        <f>IF(I1084&lt;&gt;1,"",IF(H1084="","",H1084/CONTROL_PANEL!$B$11))</f>
        <v/>
      </c>
      <c r="N1084" s="9" t="str">
        <f t="shared" si="155"/>
        <v/>
      </c>
      <c r="O1084" s="9" t="str">
        <f t="shared" si="156"/>
        <v/>
      </c>
      <c r="P1084" s="9" t="str">
        <f t="shared" si="157"/>
        <v/>
      </c>
      <c r="Q1084" s="9" t="str">
        <f t="shared" si="158"/>
        <v/>
      </c>
      <c r="R1084" s="11"/>
      <c r="S1084" s="11"/>
    </row>
    <row r="1085" spans="1:19" x14ac:dyDescent="0.25">
      <c r="A1085" s="30" t="s">
        <v>30</v>
      </c>
      <c r="B1085" s="31">
        <f t="shared" si="159"/>
        <v>53206</v>
      </c>
      <c r="C1085" s="30">
        <f>YEAR(BInputReservoir[[#This Row],[Date]])</f>
        <v>2045</v>
      </c>
      <c r="D1085" s="30">
        <f>MONTH(BInputReservoir[[#This Row],[Date]])</f>
        <v>9</v>
      </c>
      <c r="E1085" s="30" t="str">
        <f>IF(I1085&lt;&gt;1,"",DATA_INPUT!$M364)</f>
        <v/>
      </c>
      <c r="F1085" s="30" t="str">
        <f>STORAGE_BALANCE_ENSEMBLE!BB364</f>
        <v/>
      </c>
      <c r="G1085" s="30" t="str">
        <f>STORAGE_BALANCE_ENSEMBLE!BC364</f>
        <v/>
      </c>
      <c r="H1085" s="30" t="str">
        <f>STORAGE_BALANCE_ENSEMBLE!BA364</f>
        <v/>
      </c>
      <c r="I1085" s="18" t="str">
        <f t="shared" si="160"/>
        <v/>
      </c>
      <c r="J1085" s="8" t="str">
        <f t="shared" si="152"/>
        <v/>
      </c>
      <c r="K1085" s="9" t="str">
        <f t="shared" si="153"/>
        <v/>
      </c>
      <c r="L1085" s="10" t="str">
        <f t="shared" si="154"/>
        <v/>
      </c>
      <c r="M1085" s="10" t="str">
        <f>IF(I1085&lt;&gt;1,"",IF(H1085="","",H1085/CONTROL_PANEL!$B$11))</f>
        <v/>
      </c>
      <c r="N1085" s="9" t="str">
        <f t="shared" si="155"/>
        <v/>
      </c>
      <c r="O1085" s="9" t="str">
        <f t="shared" si="156"/>
        <v/>
      </c>
      <c r="P1085" s="9" t="str">
        <f t="shared" si="157"/>
        <v/>
      </c>
      <c r="Q1085" s="9" t="str">
        <f t="shared" si="158"/>
        <v/>
      </c>
      <c r="R1085" s="11"/>
      <c r="S1085" s="11"/>
    </row>
    <row r="1086" spans="1:19" x14ac:dyDescent="0.25">
      <c r="A1086" s="30"/>
      <c r="B1086" s="31"/>
      <c r="C1086" s="30"/>
      <c r="D1086" s="30"/>
      <c r="E1086" s="30"/>
      <c r="F1086" s="30"/>
      <c r="G1086" s="30"/>
      <c r="H1086" s="30"/>
      <c r="I1086" s="29"/>
      <c r="J1086" s="8" t="str">
        <f t="shared" si="152"/>
        <v/>
      </c>
      <c r="K1086" s="9" t="str">
        <f t="shared" si="153"/>
        <v/>
      </c>
      <c r="L1086" s="10" t="str">
        <f t="shared" si="154"/>
        <v/>
      </c>
      <c r="M1086" s="10" t="str">
        <f>IF(I1086&lt;&gt;1,"",IF(H1086="","",H1086/CONTROL_PANEL!$B$11))</f>
        <v/>
      </c>
      <c r="N1086" s="9" t="str">
        <f t="shared" si="155"/>
        <v/>
      </c>
      <c r="O1086" s="9" t="str">
        <f t="shared" si="156"/>
        <v/>
      </c>
      <c r="P1086" s="9" t="str">
        <f t="shared" si="157"/>
        <v/>
      </c>
      <c r="Q1086" s="9" t="str">
        <f t="shared" si="158"/>
        <v/>
      </c>
      <c r="R1086" s="11"/>
      <c r="S1086" s="11"/>
    </row>
    <row r="1087" spans="1:19" x14ac:dyDescent="0.25">
      <c r="A1087" s="30" t="s">
        <v>98</v>
      </c>
      <c r="B1087" s="31">
        <f>B4</f>
        <v>42278</v>
      </c>
      <c r="C1087" s="30">
        <f>YEAR(BInputReservoir[[#This Row],[Date]])</f>
        <v>2015</v>
      </c>
      <c r="D1087" s="30">
        <f>MONTH(BInputReservoir[[#This Row],[Date]])</f>
        <v>10</v>
      </c>
      <c r="E1087" s="30">
        <f>IF(I1087&lt;&gt;1,"",DATA_INPUT!N5)</f>
        <v>0</v>
      </c>
      <c r="F1087" s="30">
        <f>STORAGE_BALANCE_ENSEMBLE!BU5</f>
        <v>0</v>
      </c>
      <c r="G1087" s="30">
        <f>STORAGE_BALANCE_ENSEMBLE!BV5</f>
        <v>0</v>
      </c>
      <c r="H1087" s="30">
        <f>STORAGE_BALANCE_ENSEMBLE!BT5</f>
        <v>39118967.9204273</v>
      </c>
      <c r="I1087" s="18">
        <f>I4</f>
        <v>1</v>
      </c>
      <c r="J1087" s="8">
        <f t="shared" si="152"/>
        <v>0</v>
      </c>
      <c r="K1087" s="9">
        <f t="shared" si="153"/>
        <v>0</v>
      </c>
      <c r="L1087" s="10">
        <f t="shared" si="154"/>
        <v>0</v>
      </c>
      <c r="M1087" s="10">
        <f>IF(I1087&lt;&gt;1,"",IF(H1087="","",H1087/CONTROL_PANEL!$B$11))</f>
        <v>0.782379358408546</v>
      </c>
      <c r="N1087" s="9">
        <f t="shared" si="155"/>
        <v>0</v>
      </c>
      <c r="O1087" s="9">
        <f t="shared" si="156"/>
        <v>0</v>
      </c>
      <c r="P1087" s="9">
        <f t="shared" si="157"/>
        <v>0</v>
      </c>
      <c r="Q1087" s="9">
        <f t="shared" si="158"/>
        <v>0</v>
      </c>
      <c r="R1087" s="11"/>
      <c r="S1087" s="11" t="str">
        <f t="shared" ref="S1087:S1118" si="161">IF(COUNTA(A1087:H1087)=0,"",IF(OR(A1087="",C1087="",D1087=""),"ERROR: missing key fields","PASS"))</f>
        <v>PASS</v>
      </c>
    </row>
    <row r="1088" spans="1:19" x14ac:dyDescent="0.25">
      <c r="A1088" s="30" t="s">
        <v>98</v>
      </c>
      <c r="B1088" s="31">
        <f t="shared" ref="B1088:B1151" si="162">B5</f>
        <v>42309</v>
      </c>
      <c r="C1088" s="30">
        <f>YEAR(BInputReservoir[[#This Row],[Date]])</f>
        <v>2015</v>
      </c>
      <c r="D1088" s="30">
        <f>MONTH(BInputReservoir[[#This Row],[Date]])</f>
        <v>11</v>
      </c>
      <c r="E1088" s="30">
        <f>IF(I1088&lt;&gt;1,"",DATA_INPUT!N6)</f>
        <v>0</v>
      </c>
      <c r="F1088" s="30">
        <f>STORAGE_BALANCE_ENSEMBLE!BU6</f>
        <v>0</v>
      </c>
      <c r="G1088" s="30">
        <f>STORAGE_BALANCE_ENSEMBLE!BV6</f>
        <v>0</v>
      </c>
      <c r="H1088" s="30">
        <f>STORAGE_BALANCE_ENSEMBLE!BT6</f>
        <v>39024736.908796281</v>
      </c>
      <c r="I1088" s="18">
        <f t="shared" ref="I1088:I1151" si="163">I5</f>
        <v>1</v>
      </c>
      <c r="J1088" s="8">
        <f t="shared" si="152"/>
        <v>0</v>
      </c>
      <c r="K1088" s="9">
        <f t="shared" si="153"/>
        <v>0</v>
      </c>
      <c r="L1088" s="10">
        <f t="shared" si="154"/>
        <v>0</v>
      </c>
      <c r="M1088" s="10">
        <f>IF(I1088&lt;&gt;1,"",IF(H1088="","",H1088/CONTROL_PANEL!$B$11))</f>
        <v>0.78049473817592563</v>
      </c>
      <c r="N1088" s="9">
        <f t="shared" si="155"/>
        <v>0</v>
      </c>
      <c r="O1088" s="9">
        <f t="shared" si="156"/>
        <v>0</v>
      </c>
      <c r="P1088" s="9">
        <f t="shared" si="157"/>
        <v>0</v>
      </c>
      <c r="Q1088" s="9">
        <f t="shared" si="158"/>
        <v>0</v>
      </c>
      <c r="R1088" s="11"/>
      <c r="S1088" s="11" t="str">
        <f t="shared" si="161"/>
        <v>PASS</v>
      </c>
    </row>
    <row r="1089" spans="1:19" x14ac:dyDescent="0.25">
      <c r="A1089" s="30" t="s">
        <v>98</v>
      </c>
      <c r="B1089" s="31">
        <f t="shared" si="162"/>
        <v>42339</v>
      </c>
      <c r="C1089" s="30">
        <f>YEAR(BInputReservoir[[#This Row],[Date]])</f>
        <v>2015</v>
      </c>
      <c r="D1089" s="30">
        <f>MONTH(BInputReservoir[[#This Row],[Date]])</f>
        <v>12</v>
      </c>
      <c r="E1089" s="30">
        <f>IF(I1089&lt;&gt;1,"",DATA_INPUT!N7)</f>
        <v>0</v>
      </c>
      <c r="F1089" s="30">
        <f>STORAGE_BALANCE_ENSEMBLE!BU7</f>
        <v>0</v>
      </c>
      <c r="G1089" s="30">
        <f>STORAGE_BALANCE_ENSEMBLE!BV7</f>
        <v>0</v>
      </c>
      <c r="H1089" s="30">
        <f>STORAGE_BALANCE_ENSEMBLE!BT7</f>
        <v>39131395.305964693</v>
      </c>
      <c r="I1089" s="18">
        <f t="shared" si="163"/>
        <v>1</v>
      </c>
      <c r="J1089" s="8">
        <f t="shared" si="152"/>
        <v>0</v>
      </c>
      <c r="K1089" s="9">
        <f t="shared" si="153"/>
        <v>0</v>
      </c>
      <c r="L1089" s="10">
        <f t="shared" si="154"/>
        <v>0</v>
      </c>
      <c r="M1089" s="10">
        <f>IF(I1089&lt;&gt;1,"",IF(H1089="","",H1089/CONTROL_PANEL!$B$11))</f>
        <v>0.78262790611929389</v>
      </c>
      <c r="N1089" s="9">
        <f t="shared" si="155"/>
        <v>0</v>
      </c>
      <c r="O1089" s="9">
        <f t="shared" si="156"/>
        <v>0</v>
      </c>
      <c r="P1089" s="9">
        <f t="shared" si="157"/>
        <v>0</v>
      </c>
      <c r="Q1089" s="9">
        <f t="shared" si="158"/>
        <v>0</v>
      </c>
      <c r="R1089" s="11"/>
      <c r="S1089" s="11" t="str">
        <f t="shared" si="161"/>
        <v>PASS</v>
      </c>
    </row>
    <row r="1090" spans="1:19" x14ac:dyDescent="0.25">
      <c r="A1090" s="30" t="s">
        <v>98</v>
      </c>
      <c r="B1090" s="31">
        <f t="shared" si="162"/>
        <v>42370</v>
      </c>
      <c r="C1090" s="30">
        <f>YEAR(BInputReservoir[[#This Row],[Date]])</f>
        <v>2016</v>
      </c>
      <c r="D1090" s="30">
        <f>MONTH(BInputReservoir[[#This Row],[Date]])</f>
        <v>1</v>
      </c>
      <c r="E1090" s="30">
        <f>IF(I1090&lt;&gt;1,"",DATA_INPUT!N8)</f>
        <v>0</v>
      </c>
      <c r="F1090" s="30">
        <f>STORAGE_BALANCE_ENSEMBLE!BU8</f>
        <v>0</v>
      </c>
      <c r="G1090" s="30">
        <f>STORAGE_BALANCE_ENSEMBLE!BV8</f>
        <v>0</v>
      </c>
      <c r="H1090" s="30">
        <f>STORAGE_BALANCE_ENSEMBLE!BT8</f>
        <v>39659872.226584911</v>
      </c>
      <c r="I1090" s="18">
        <f t="shared" si="163"/>
        <v>1</v>
      </c>
      <c r="J1090" s="8">
        <f t="shared" si="152"/>
        <v>0</v>
      </c>
      <c r="K1090" s="9">
        <f t="shared" si="153"/>
        <v>0</v>
      </c>
      <c r="L1090" s="10">
        <f t="shared" si="154"/>
        <v>0</v>
      </c>
      <c r="M1090" s="10">
        <f>IF(I1090&lt;&gt;1,"",IF(H1090="","",H1090/CONTROL_PANEL!$B$11))</f>
        <v>0.79319744453169827</v>
      </c>
      <c r="N1090" s="9">
        <f t="shared" si="155"/>
        <v>0</v>
      </c>
      <c r="O1090" s="9">
        <f t="shared" si="156"/>
        <v>0</v>
      </c>
      <c r="P1090" s="9">
        <f t="shared" si="157"/>
        <v>0</v>
      </c>
      <c r="Q1090" s="9">
        <f t="shared" si="158"/>
        <v>0</v>
      </c>
      <c r="R1090" s="11"/>
      <c r="S1090" s="11" t="str">
        <f t="shared" si="161"/>
        <v>PASS</v>
      </c>
    </row>
    <row r="1091" spans="1:19" x14ac:dyDescent="0.25">
      <c r="A1091" s="30" t="s">
        <v>98</v>
      </c>
      <c r="B1091" s="31">
        <f t="shared" si="162"/>
        <v>42401</v>
      </c>
      <c r="C1091" s="30">
        <f>YEAR(BInputReservoir[[#This Row],[Date]])</f>
        <v>2016</v>
      </c>
      <c r="D1091" s="30">
        <f>MONTH(BInputReservoir[[#This Row],[Date]])</f>
        <v>2</v>
      </c>
      <c r="E1091" s="30">
        <f>IF(I1091&lt;&gt;1,"",DATA_INPUT!N9)</f>
        <v>0</v>
      </c>
      <c r="F1091" s="30">
        <f>STORAGE_BALANCE_ENSEMBLE!BU9</f>
        <v>0</v>
      </c>
      <c r="G1091" s="30">
        <f>STORAGE_BALANCE_ENSEMBLE!BV9</f>
        <v>0</v>
      </c>
      <c r="H1091" s="30">
        <f>STORAGE_BALANCE_ENSEMBLE!BT9</f>
        <v>39951026.353448421</v>
      </c>
      <c r="I1091" s="18">
        <f t="shared" si="163"/>
        <v>1</v>
      </c>
      <c r="J1091" s="8">
        <f t="shared" si="152"/>
        <v>0</v>
      </c>
      <c r="K1091" s="9">
        <f t="shared" si="153"/>
        <v>0</v>
      </c>
      <c r="L1091" s="10">
        <f t="shared" si="154"/>
        <v>0</v>
      </c>
      <c r="M1091" s="10">
        <f>IF(I1091&lt;&gt;1,"",IF(H1091="","",H1091/CONTROL_PANEL!$B$11))</f>
        <v>0.79902052706896842</v>
      </c>
      <c r="N1091" s="9">
        <f t="shared" si="155"/>
        <v>0</v>
      </c>
      <c r="O1091" s="9">
        <f t="shared" si="156"/>
        <v>0</v>
      </c>
      <c r="P1091" s="9">
        <f t="shared" si="157"/>
        <v>0</v>
      </c>
      <c r="Q1091" s="9">
        <f t="shared" si="158"/>
        <v>0</v>
      </c>
      <c r="R1091" s="11"/>
      <c r="S1091" s="11" t="str">
        <f t="shared" si="161"/>
        <v>PASS</v>
      </c>
    </row>
    <row r="1092" spans="1:19" x14ac:dyDescent="0.25">
      <c r="A1092" s="30" t="s">
        <v>98</v>
      </c>
      <c r="B1092" s="31">
        <f t="shared" si="162"/>
        <v>42430</v>
      </c>
      <c r="C1092" s="30">
        <f>YEAR(BInputReservoir[[#This Row],[Date]])</f>
        <v>2016</v>
      </c>
      <c r="D1092" s="30">
        <f>MONTH(BInputReservoir[[#This Row],[Date]])</f>
        <v>3</v>
      </c>
      <c r="E1092" s="30">
        <f>IF(I1092&lt;&gt;1,"",DATA_INPUT!N10)</f>
        <v>0</v>
      </c>
      <c r="F1092" s="30">
        <f>STORAGE_BALANCE_ENSEMBLE!BU10</f>
        <v>0</v>
      </c>
      <c r="G1092" s="30">
        <f>STORAGE_BALANCE_ENSEMBLE!BV10</f>
        <v>0</v>
      </c>
      <c r="H1092" s="30">
        <f>STORAGE_BALANCE_ENSEMBLE!BT10</f>
        <v>40426903.429343104</v>
      </c>
      <c r="I1092" s="18">
        <f t="shared" si="163"/>
        <v>1</v>
      </c>
      <c r="J1092" s="8">
        <f t="shared" si="152"/>
        <v>0</v>
      </c>
      <c r="K1092" s="9">
        <f t="shared" si="153"/>
        <v>0</v>
      </c>
      <c r="L1092" s="10">
        <f t="shared" si="154"/>
        <v>0</v>
      </c>
      <c r="M1092" s="10">
        <f>IF(I1092&lt;&gt;1,"",IF(H1092="","",H1092/CONTROL_PANEL!$B$11))</f>
        <v>0.80853806858686206</v>
      </c>
      <c r="N1092" s="9">
        <f t="shared" si="155"/>
        <v>0</v>
      </c>
      <c r="O1092" s="9">
        <f t="shared" si="156"/>
        <v>0</v>
      </c>
      <c r="P1092" s="9">
        <f t="shared" si="157"/>
        <v>0</v>
      </c>
      <c r="Q1092" s="9">
        <f t="shared" si="158"/>
        <v>0</v>
      </c>
      <c r="R1092" s="11"/>
      <c r="S1092" s="11" t="str">
        <f t="shared" si="161"/>
        <v>PASS</v>
      </c>
    </row>
    <row r="1093" spans="1:19" x14ac:dyDescent="0.25">
      <c r="A1093" s="30" t="s">
        <v>98</v>
      </c>
      <c r="B1093" s="31">
        <f t="shared" si="162"/>
        <v>42461</v>
      </c>
      <c r="C1093" s="30">
        <f>YEAR(BInputReservoir[[#This Row],[Date]])</f>
        <v>2016</v>
      </c>
      <c r="D1093" s="30">
        <f>MONTH(BInputReservoir[[#This Row],[Date]])</f>
        <v>4</v>
      </c>
      <c r="E1093" s="30">
        <f>IF(I1093&lt;&gt;1,"",DATA_INPUT!N11)</f>
        <v>13785.315064983226</v>
      </c>
      <c r="F1093" s="30">
        <f>STORAGE_BALANCE_ENSEMBLE!BU11</f>
        <v>0</v>
      </c>
      <c r="G1093" s="30">
        <f>STORAGE_BALANCE_ENSEMBLE!BV11</f>
        <v>0</v>
      </c>
      <c r="H1093" s="30">
        <f>STORAGE_BALANCE_ENSEMBLE!BT11</f>
        <v>41317164.815858118</v>
      </c>
      <c r="I1093" s="18">
        <f t="shared" si="163"/>
        <v>1</v>
      </c>
      <c r="J1093" s="8">
        <f t="shared" ref="J1093:J1156" si="164">IF(I1093&lt;&gt;1,"",IF(E1093="","",MAX(0,E1093-G1093)))</f>
        <v>13785.315064983226</v>
      </c>
      <c r="K1093" s="9">
        <f t="shared" ref="K1093:K1156" si="165">IF(I1093&lt;&gt;1,"",IF(OR(G1093="",E1093=""),"",IF(G1093&gt;0,1,0)))</f>
        <v>0</v>
      </c>
      <c r="L1093" s="10">
        <f t="shared" ref="L1093:L1156" si="166">IF(I1093&lt;&gt;1,"",IF(AND(K1093=1,E1093&gt;0),G1093/E1093,0))</f>
        <v>0</v>
      </c>
      <c r="M1093" s="10">
        <f>IF(I1093&lt;&gt;1,"",IF(H1093="","",H1093/CONTROL_PANEL!$B$11))</f>
        <v>0.82634329631716241</v>
      </c>
      <c r="N1093" s="9">
        <f t="shared" ref="N1093:N1156" si="167">IF(I1093&lt;&gt;1,"",IF(AND(K1093=1,A1094=A1093),1,0))</f>
        <v>0</v>
      </c>
      <c r="O1093" s="9">
        <f t="shared" ref="O1093:O1156" si="168">IF(I1093&lt;&gt;1,"",IF(AND(K1093=1,A1094=A1093,K1094=0),1,0))</f>
        <v>0</v>
      </c>
      <c r="P1093" s="9">
        <f t="shared" ref="P1093:P1156" si="169">IF(I1093&lt;&gt;1,"",IF(F1093&gt;0,1,0))</f>
        <v>0</v>
      </c>
      <c r="Q1093" s="9">
        <f t="shared" ref="Q1093:Q1156" si="170">IF(I1093&lt;&gt;1,"",IF(G1093&gt;0,1,0))</f>
        <v>0</v>
      </c>
      <c r="R1093" s="11"/>
      <c r="S1093" s="11" t="str">
        <f t="shared" si="161"/>
        <v>PASS</v>
      </c>
    </row>
    <row r="1094" spans="1:19" x14ac:dyDescent="0.25">
      <c r="A1094" s="30" t="s">
        <v>98</v>
      </c>
      <c r="B1094" s="31">
        <f t="shared" si="162"/>
        <v>42491</v>
      </c>
      <c r="C1094" s="30">
        <f>YEAR(BInputReservoir[[#This Row],[Date]])</f>
        <v>2016</v>
      </c>
      <c r="D1094" s="30">
        <f>MONTH(BInputReservoir[[#This Row],[Date]])</f>
        <v>5</v>
      </c>
      <c r="E1094" s="30">
        <f>IF(I1094&lt;&gt;1,"",DATA_INPUT!N12)</f>
        <v>27068.122694745278</v>
      </c>
      <c r="F1094" s="30">
        <f>STORAGE_BALANCE_ENSEMBLE!BU12</f>
        <v>0</v>
      </c>
      <c r="G1094" s="30">
        <f>STORAGE_BALANCE_ENSEMBLE!BV12</f>
        <v>0</v>
      </c>
      <c r="H1094" s="30">
        <f>STORAGE_BALANCE_ENSEMBLE!BT12</f>
        <v>41655837.545716606</v>
      </c>
      <c r="I1094" s="18">
        <f t="shared" si="163"/>
        <v>1</v>
      </c>
      <c r="J1094" s="8">
        <f t="shared" si="164"/>
        <v>27068.122694745278</v>
      </c>
      <c r="K1094" s="9">
        <f t="shared" si="165"/>
        <v>0</v>
      </c>
      <c r="L1094" s="10">
        <f t="shared" si="166"/>
        <v>0</v>
      </c>
      <c r="M1094" s="10">
        <f>IF(I1094&lt;&gt;1,"",IF(H1094="","",H1094/CONTROL_PANEL!$B$11))</f>
        <v>0.83311675091433213</v>
      </c>
      <c r="N1094" s="9">
        <f t="shared" si="167"/>
        <v>0</v>
      </c>
      <c r="O1094" s="9">
        <f t="shared" si="168"/>
        <v>0</v>
      </c>
      <c r="P1094" s="9">
        <f t="shared" si="169"/>
        <v>0</v>
      </c>
      <c r="Q1094" s="9">
        <f t="shared" si="170"/>
        <v>0</v>
      </c>
      <c r="R1094" s="11"/>
      <c r="S1094" s="11" t="str">
        <f t="shared" si="161"/>
        <v>PASS</v>
      </c>
    </row>
    <row r="1095" spans="1:19" x14ac:dyDescent="0.25">
      <c r="A1095" s="30" t="s">
        <v>98</v>
      </c>
      <c r="B1095" s="31">
        <f t="shared" si="162"/>
        <v>42522</v>
      </c>
      <c r="C1095" s="30">
        <f>YEAR(BInputReservoir[[#This Row],[Date]])</f>
        <v>2016</v>
      </c>
      <c r="D1095" s="30">
        <f>MONTH(BInputReservoir[[#This Row],[Date]])</f>
        <v>6</v>
      </c>
      <c r="E1095" s="30">
        <f>IF(I1095&lt;&gt;1,"",DATA_INPUT!N13)</f>
        <v>759905.42630010855</v>
      </c>
      <c r="F1095" s="30">
        <f>STORAGE_BALANCE_ENSEMBLE!BU13</f>
        <v>0</v>
      </c>
      <c r="G1095" s="30">
        <f>STORAGE_BALANCE_ENSEMBLE!BV13</f>
        <v>0</v>
      </c>
      <c r="H1095" s="30">
        <f>STORAGE_BALANCE_ENSEMBLE!BT13</f>
        <v>40163701.030113384</v>
      </c>
      <c r="I1095" s="18">
        <f t="shared" si="163"/>
        <v>1</v>
      </c>
      <c r="J1095" s="8">
        <f t="shared" si="164"/>
        <v>759905.42630010855</v>
      </c>
      <c r="K1095" s="9">
        <f t="shared" si="165"/>
        <v>0</v>
      </c>
      <c r="L1095" s="10">
        <f t="shared" si="166"/>
        <v>0</v>
      </c>
      <c r="M1095" s="10">
        <f>IF(I1095&lt;&gt;1,"",IF(H1095="","",H1095/CONTROL_PANEL!$B$11))</f>
        <v>0.80327402060226771</v>
      </c>
      <c r="N1095" s="9">
        <f t="shared" si="167"/>
        <v>0</v>
      </c>
      <c r="O1095" s="9">
        <f t="shared" si="168"/>
        <v>0</v>
      </c>
      <c r="P1095" s="9">
        <f t="shared" si="169"/>
        <v>0</v>
      </c>
      <c r="Q1095" s="9">
        <f t="shared" si="170"/>
        <v>0</v>
      </c>
      <c r="R1095" s="11"/>
      <c r="S1095" s="11" t="str">
        <f t="shared" si="161"/>
        <v>PASS</v>
      </c>
    </row>
    <row r="1096" spans="1:19" x14ac:dyDescent="0.25">
      <c r="A1096" s="30" t="s">
        <v>98</v>
      </c>
      <c r="B1096" s="31">
        <f t="shared" si="162"/>
        <v>42552</v>
      </c>
      <c r="C1096" s="30">
        <f>YEAR(BInputReservoir[[#This Row],[Date]])</f>
        <v>2016</v>
      </c>
      <c r="D1096" s="30">
        <f>MONTH(BInputReservoir[[#This Row],[Date]])</f>
        <v>7</v>
      </c>
      <c r="E1096" s="30">
        <f>IF(I1096&lt;&gt;1,"",DATA_INPUT!N14)</f>
        <v>1539770.3938771738</v>
      </c>
      <c r="F1096" s="30">
        <f>STORAGE_BALANCE_ENSEMBLE!BU14</f>
        <v>0</v>
      </c>
      <c r="G1096" s="30">
        <f>STORAGE_BALANCE_ENSEMBLE!BV14</f>
        <v>0</v>
      </c>
      <c r="H1096" s="30">
        <f>STORAGE_BALANCE_ENSEMBLE!BT14</f>
        <v>37727516.999997258</v>
      </c>
      <c r="I1096" s="18">
        <f t="shared" si="163"/>
        <v>1</v>
      </c>
      <c r="J1096" s="8">
        <f t="shared" si="164"/>
        <v>1539770.3938771738</v>
      </c>
      <c r="K1096" s="9">
        <f t="shared" si="165"/>
        <v>0</v>
      </c>
      <c r="L1096" s="10">
        <f t="shared" si="166"/>
        <v>0</v>
      </c>
      <c r="M1096" s="10">
        <f>IF(I1096&lt;&gt;1,"",IF(H1096="","",H1096/CONTROL_PANEL!$B$11))</f>
        <v>0.75455033999994514</v>
      </c>
      <c r="N1096" s="9">
        <f t="shared" si="167"/>
        <v>0</v>
      </c>
      <c r="O1096" s="9">
        <f t="shared" si="168"/>
        <v>0</v>
      </c>
      <c r="P1096" s="9">
        <f t="shared" si="169"/>
        <v>0</v>
      </c>
      <c r="Q1096" s="9">
        <f t="shared" si="170"/>
        <v>0</v>
      </c>
      <c r="R1096" s="11"/>
      <c r="S1096" s="11" t="str">
        <f t="shared" si="161"/>
        <v>PASS</v>
      </c>
    </row>
    <row r="1097" spans="1:19" x14ac:dyDescent="0.25">
      <c r="A1097" s="30" t="s">
        <v>98</v>
      </c>
      <c r="B1097" s="31">
        <f t="shared" si="162"/>
        <v>42583</v>
      </c>
      <c r="C1097" s="30">
        <f>YEAR(BInputReservoir[[#This Row],[Date]])</f>
        <v>2016</v>
      </c>
      <c r="D1097" s="30">
        <f>MONTH(BInputReservoir[[#This Row],[Date]])</f>
        <v>8</v>
      </c>
      <c r="E1097" s="30">
        <f>IF(I1097&lt;&gt;1,"",DATA_INPUT!N15)</f>
        <v>1920375.460382811</v>
      </c>
      <c r="F1097" s="30">
        <f>STORAGE_BALANCE_ENSEMBLE!BU15</f>
        <v>0</v>
      </c>
      <c r="G1097" s="30">
        <f>STORAGE_BALANCE_ENSEMBLE!BV15</f>
        <v>0</v>
      </c>
      <c r="H1097" s="30">
        <f>STORAGE_BALANCE_ENSEMBLE!BT15</f>
        <v>34918463.545676179</v>
      </c>
      <c r="I1097" s="18">
        <f t="shared" si="163"/>
        <v>1</v>
      </c>
      <c r="J1097" s="8">
        <f t="shared" si="164"/>
        <v>1920375.460382811</v>
      </c>
      <c r="K1097" s="9">
        <f t="shared" si="165"/>
        <v>0</v>
      </c>
      <c r="L1097" s="10">
        <f t="shared" si="166"/>
        <v>0</v>
      </c>
      <c r="M1097" s="10">
        <f>IF(I1097&lt;&gt;1,"",IF(H1097="","",H1097/CONTROL_PANEL!$B$11))</f>
        <v>0.69836927091352363</v>
      </c>
      <c r="N1097" s="9">
        <f t="shared" si="167"/>
        <v>0</v>
      </c>
      <c r="O1097" s="9">
        <f t="shared" si="168"/>
        <v>0</v>
      </c>
      <c r="P1097" s="9">
        <f t="shared" si="169"/>
        <v>0</v>
      </c>
      <c r="Q1097" s="9">
        <f t="shared" si="170"/>
        <v>0</v>
      </c>
      <c r="R1097" s="11"/>
      <c r="S1097" s="11" t="str">
        <f t="shared" si="161"/>
        <v>PASS</v>
      </c>
    </row>
    <row r="1098" spans="1:19" x14ac:dyDescent="0.25">
      <c r="A1098" s="30" t="s">
        <v>98</v>
      </c>
      <c r="B1098" s="31">
        <f t="shared" si="162"/>
        <v>42614</v>
      </c>
      <c r="C1098" s="30">
        <f>YEAR(BInputReservoir[[#This Row],[Date]])</f>
        <v>2016</v>
      </c>
      <c r="D1098" s="30">
        <f>MONTH(BInputReservoir[[#This Row],[Date]])</f>
        <v>9</v>
      </c>
      <c r="E1098" s="30">
        <f>IF(I1098&lt;&gt;1,"",DATA_INPUT!N16)</f>
        <v>773626.64851287368</v>
      </c>
      <c r="F1098" s="30">
        <f>STORAGE_BALANCE_ENSEMBLE!BU16</f>
        <v>0</v>
      </c>
      <c r="G1098" s="30">
        <f>STORAGE_BALANCE_ENSEMBLE!BV16</f>
        <v>0</v>
      </c>
      <c r="H1098" s="30">
        <f>STORAGE_BALANCE_ENSEMBLE!BT16</f>
        <v>33611838.044554017</v>
      </c>
      <c r="I1098" s="18">
        <f t="shared" si="163"/>
        <v>1</v>
      </c>
      <c r="J1098" s="8">
        <f t="shared" si="164"/>
        <v>773626.64851287368</v>
      </c>
      <c r="K1098" s="9">
        <f t="shared" si="165"/>
        <v>0</v>
      </c>
      <c r="L1098" s="10">
        <f t="shared" si="166"/>
        <v>0</v>
      </c>
      <c r="M1098" s="10">
        <f>IF(I1098&lt;&gt;1,"",IF(H1098="","",H1098/CONTROL_PANEL!$B$11))</f>
        <v>0.67223676089108031</v>
      </c>
      <c r="N1098" s="9">
        <f t="shared" si="167"/>
        <v>0</v>
      </c>
      <c r="O1098" s="9">
        <f t="shared" si="168"/>
        <v>0</v>
      </c>
      <c r="P1098" s="9">
        <f t="shared" si="169"/>
        <v>0</v>
      </c>
      <c r="Q1098" s="9">
        <f t="shared" si="170"/>
        <v>0</v>
      </c>
      <c r="R1098" s="11"/>
      <c r="S1098" s="11" t="str">
        <f t="shared" si="161"/>
        <v>PASS</v>
      </c>
    </row>
    <row r="1099" spans="1:19" x14ac:dyDescent="0.25">
      <c r="A1099" s="30" t="s">
        <v>98</v>
      </c>
      <c r="B1099" s="31">
        <f t="shared" si="162"/>
        <v>42644</v>
      </c>
      <c r="C1099" s="30">
        <f>YEAR(BInputReservoir[[#This Row],[Date]])</f>
        <v>2016</v>
      </c>
      <c r="D1099" s="30">
        <f>MONTH(BInputReservoir[[#This Row],[Date]])</f>
        <v>10</v>
      </c>
      <c r="E1099" s="30">
        <f>IF(I1099&lt;&gt;1,"",DATA_INPUT!N17)</f>
        <v>258022.63227398359</v>
      </c>
      <c r="F1099" s="30">
        <f>STORAGE_BALANCE_ENSEMBLE!BU17</f>
        <v>0</v>
      </c>
      <c r="G1099" s="30">
        <f>STORAGE_BALANCE_ENSEMBLE!BV17</f>
        <v>0</v>
      </c>
      <c r="H1099" s="30">
        <f>STORAGE_BALANCE_ENSEMBLE!BT17</f>
        <v>33310250.220730525</v>
      </c>
      <c r="I1099" s="18">
        <f t="shared" si="163"/>
        <v>1</v>
      </c>
      <c r="J1099" s="8">
        <f t="shared" si="164"/>
        <v>258022.63227398359</v>
      </c>
      <c r="K1099" s="9">
        <f t="shared" si="165"/>
        <v>0</v>
      </c>
      <c r="L1099" s="10">
        <f t="shared" si="166"/>
        <v>0</v>
      </c>
      <c r="M1099" s="10">
        <f>IF(I1099&lt;&gt;1,"",IF(H1099="","",H1099/CONTROL_PANEL!$B$11))</f>
        <v>0.6662050044146105</v>
      </c>
      <c r="N1099" s="9">
        <f t="shared" si="167"/>
        <v>0</v>
      </c>
      <c r="O1099" s="9">
        <f t="shared" si="168"/>
        <v>0</v>
      </c>
      <c r="P1099" s="9">
        <f t="shared" si="169"/>
        <v>0</v>
      </c>
      <c r="Q1099" s="9">
        <f t="shared" si="170"/>
        <v>0</v>
      </c>
      <c r="R1099" s="11"/>
      <c r="S1099" s="11" t="str">
        <f t="shared" si="161"/>
        <v>PASS</v>
      </c>
    </row>
    <row r="1100" spans="1:19" x14ac:dyDescent="0.25">
      <c r="A1100" s="30" t="s">
        <v>98</v>
      </c>
      <c r="B1100" s="31">
        <f t="shared" si="162"/>
        <v>42675</v>
      </c>
      <c r="C1100" s="30">
        <f>YEAR(BInputReservoir[[#This Row],[Date]])</f>
        <v>2016</v>
      </c>
      <c r="D1100" s="30">
        <f>MONTH(BInputReservoir[[#This Row],[Date]])</f>
        <v>11</v>
      </c>
      <c r="E1100" s="30">
        <f>IF(I1100&lt;&gt;1,"",DATA_INPUT!N18)</f>
        <v>0</v>
      </c>
      <c r="F1100" s="30">
        <f>STORAGE_BALANCE_ENSEMBLE!BU18</f>
        <v>0</v>
      </c>
      <c r="G1100" s="30">
        <f>STORAGE_BALANCE_ENSEMBLE!BV18</f>
        <v>0</v>
      </c>
      <c r="H1100" s="30">
        <f>STORAGE_BALANCE_ENSEMBLE!BT18</f>
        <v>33514572.907930639</v>
      </c>
      <c r="I1100" s="18">
        <f t="shared" si="163"/>
        <v>1</v>
      </c>
      <c r="J1100" s="8">
        <f t="shared" si="164"/>
        <v>0</v>
      </c>
      <c r="K1100" s="9">
        <f t="shared" si="165"/>
        <v>0</v>
      </c>
      <c r="L1100" s="10">
        <f t="shared" si="166"/>
        <v>0</v>
      </c>
      <c r="M1100" s="10">
        <f>IF(I1100&lt;&gt;1,"",IF(H1100="","",H1100/CONTROL_PANEL!$B$11))</f>
        <v>0.6702914581586128</v>
      </c>
      <c r="N1100" s="9">
        <f t="shared" si="167"/>
        <v>0</v>
      </c>
      <c r="O1100" s="9">
        <f t="shared" si="168"/>
        <v>0</v>
      </c>
      <c r="P1100" s="9">
        <f t="shared" si="169"/>
        <v>0</v>
      </c>
      <c r="Q1100" s="9">
        <f t="shared" si="170"/>
        <v>0</v>
      </c>
      <c r="R1100" s="11"/>
      <c r="S1100" s="11" t="str">
        <f t="shared" si="161"/>
        <v>PASS</v>
      </c>
    </row>
    <row r="1101" spans="1:19" x14ac:dyDescent="0.25">
      <c r="A1101" s="30" t="s">
        <v>98</v>
      </c>
      <c r="B1101" s="31">
        <f t="shared" si="162"/>
        <v>42705</v>
      </c>
      <c r="C1101" s="30">
        <f>YEAR(BInputReservoir[[#This Row],[Date]])</f>
        <v>2016</v>
      </c>
      <c r="D1101" s="30">
        <f>MONTH(BInputReservoir[[#This Row],[Date]])</f>
        <v>12</v>
      </c>
      <c r="E1101" s="30">
        <f>IF(I1101&lt;&gt;1,"",DATA_INPUT!N19)</f>
        <v>0</v>
      </c>
      <c r="F1101" s="30">
        <f>STORAGE_BALANCE_ENSEMBLE!BU19</f>
        <v>0</v>
      </c>
      <c r="G1101" s="30">
        <f>STORAGE_BALANCE_ENSEMBLE!BV19</f>
        <v>0</v>
      </c>
      <c r="H1101" s="30">
        <f>STORAGE_BALANCE_ENSEMBLE!BT19</f>
        <v>33689331.37319494</v>
      </c>
      <c r="I1101" s="18">
        <f t="shared" si="163"/>
        <v>1</v>
      </c>
      <c r="J1101" s="8">
        <f t="shared" si="164"/>
        <v>0</v>
      </c>
      <c r="K1101" s="9">
        <f t="shared" si="165"/>
        <v>0</v>
      </c>
      <c r="L1101" s="10">
        <f t="shared" si="166"/>
        <v>0</v>
      </c>
      <c r="M1101" s="10">
        <f>IF(I1101&lt;&gt;1,"",IF(H1101="","",H1101/CONTROL_PANEL!$B$11))</f>
        <v>0.67378662746389884</v>
      </c>
      <c r="N1101" s="9">
        <f t="shared" si="167"/>
        <v>0</v>
      </c>
      <c r="O1101" s="9">
        <f t="shared" si="168"/>
        <v>0</v>
      </c>
      <c r="P1101" s="9">
        <f t="shared" si="169"/>
        <v>0</v>
      </c>
      <c r="Q1101" s="9">
        <f t="shared" si="170"/>
        <v>0</v>
      </c>
      <c r="R1101" s="11"/>
      <c r="S1101" s="11" t="str">
        <f t="shared" si="161"/>
        <v>PASS</v>
      </c>
    </row>
    <row r="1102" spans="1:19" x14ac:dyDescent="0.25">
      <c r="A1102" s="30" t="s">
        <v>98</v>
      </c>
      <c r="B1102" s="31">
        <f t="shared" si="162"/>
        <v>42736</v>
      </c>
      <c r="C1102" s="30">
        <f>YEAR(BInputReservoir[[#This Row],[Date]])</f>
        <v>2017</v>
      </c>
      <c r="D1102" s="30">
        <f>MONTH(BInputReservoir[[#This Row],[Date]])</f>
        <v>1</v>
      </c>
      <c r="E1102" s="30">
        <f>IF(I1102&lt;&gt;1,"",DATA_INPUT!N20)</f>
        <v>0</v>
      </c>
      <c r="F1102" s="30">
        <f>STORAGE_BALANCE_ENSEMBLE!BU20</f>
        <v>0</v>
      </c>
      <c r="G1102" s="30">
        <f>STORAGE_BALANCE_ENSEMBLE!BV20</f>
        <v>0</v>
      </c>
      <c r="H1102" s="30">
        <f>STORAGE_BALANCE_ENSEMBLE!BT20</f>
        <v>33803603.250321768</v>
      </c>
      <c r="I1102" s="18">
        <f t="shared" si="163"/>
        <v>1</v>
      </c>
      <c r="J1102" s="8">
        <f t="shared" si="164"/>
        <v>0</v>
      </c>
      <c r="K1102" s="9">
        <f t="shared" si="165"/>
        <v>0</v>
      </c>
      <c r="L1102" s="10">
        <f t="shared" si="166"/>
        <v>0</v>
      </c>
      <c r="M1102" s="10">
        <f>IF(I1102&lt;&gt;1,"",IF(H1102="","",H1102/CONTROL_PANEL!$B$11))</f>
        <v>0.67607206500643535</v>
      </c>
      <c r="N1102" s="9">
        <f t="shared" si="167"/>
        <v>0</v>
      </c>
      <c r="O1102" s="9">
        <f t="shared" si="168"/>
        <v>0</v>
      </c>
      <c r="P1102" s="9">
        <f t="shared" si="169"/>
        <v>0</v>
      </c>
      <c r="Q1102" s="9">
        <f t="shared" si="170"/>
        <v>0</v>
      </c>
      <c r="R1102" s="11"/>
      <c r="S1102" s="11" t="str">
        <f t="shared" si="161"/>
        <v>PASS</v>
      </c>
    </row>
    <row r="1103" spans="1:19" x14ac:dyDescent="0.25">
      <c r="A1103" s="30" t="s">
        <v>98</v>
      </c>
      <c r="B1103" s="31">
        <f t="shared" si="162"/>
        <v>42767</v>
      </c>
      <c r="C1103" s="30">
        <f>YEAR(BInputReservoir[[#This Row],[Date]])</f>
        <v>2017</v>
      </c>
      <c r="D1103" s="30">
        <f>MONTH(BInputReservoir[[#This Row],[Date]])</f>
        <v>2</v>
      </c>
      <c r="E1103" s="30">
        <f>IF(I1103&lt;&gt;1,"",DATA_INPUT!N21)</f>
        <v>0</v>
      </c>
      <c r="F1103" s="30">
        <f>STORAGE_BALANCE_ENSEMBLE!BU21</f>
        <v>0</v>
      </c>
      <c r="G1103" s="30">
        <f>STORAGE_BALANCE_ENSEMBLE!BV21</f>
        <v>0</v>
      </c>
      <c r="H1103" s="30">
        <f>STORAGE_BALANCE_ENSEMBLE!BT21</f>
        <v>34267064.623584762</v>
      </c>
      <c r="I1103" s="18">
        <f t="shared" si="163"/>
        <v>1</v>
      </c>
      <c r="J1103" s="8">
        <f t="shared" si="164"/>
        <v>0</v>
      </c>
      <c r="K1103" s="9">
        <f t="shared" si="165"/>
        <v>0</v>
      </c>
      <c r="L1103" s="10">
        <f t="shared" si="166"/>
        <v>0</v>
      </c>
      <c r="M1103" s="10">
        <f>IF(I1103&lt;&gt;1,"",IF(H1103="","",H1103/CONTROL_PANEL!$B$11))</f>
        <v>0.68534129247169528</v>
      </c>
      <c r="N1103" s="9">
        <f t="shared" si="167"/>
        <v>0</v>
      </c>
      <c r="O1103" s="9">
        <f t="shared" si="168"/>
        <v>0</v>
      </c>
      <c r="P1103" s="9">
        <f t="shared" si="169"/>
        <v>0</v>
      </c>
      <c r="Q1103" s="9">
        <f t="shared" si="170"/>
        <v>0</v>
      </c>
      <c r="R1103" s="11"/>
      <c r="S1103" s="11" t="str">
        <f t="shared" si="161"/>
        <v>PASS</v>
      </c>
    </row>
    <row r="1104" spans="1:19" x14ac:dyDescent="0.25">
      <c r="A1104" s="30" t="s">
        <v>98</v>
      </c>
      <c r="B1104" s="31">
        <f t="shared" si="162"/>
        <v>42795</v>
      </c>
      <c r="C1104" s="30">
        <f>YEAR(BInputReservoir[[#This Row],[Date]])</f>
        <v>2017</v>
      </c>
      <c r="D1104" s="30">
        <f>MONTH(BInputReservoir[[#This Row],[Date]])</f>
        <v>3</v>
      </c>
      <c r="E1104" s="30">
        <f>IF(I1104&lt;&gt;1,"",DATA_INPUT!N22)</f>
        <v>0</v>
      </c>
      <c r="F1104" s="30">
        <f>STORAGE_BALANCE_ENSEMBLE!BU22</f>
        <v>0</v>
      </c>
      <c r="G1104" s="30">
        <f>STORAGE_BALANCE_ENSEMBLE!BV22</f>
        <v>0</v>
      </c>
      <c r="H1104" s="30">
        <f>STORAGE_BALANCE_ENSEMBLE!BT22</f>
        <v>34561948.256814234</v>
      </c>
      <c r="I1104" s="18">
        <f t="shared" si="163"/>
        <v>1</v>
      </c>
      <c r="J1104" s="8">
        <f t="shared" si="164"/>
        <v>0</v>
      </c>
      <c r="K1104" s="9">
        <f t="shared" si="165"/>
        <v>0</v>
      </c>
      <c r="L1104" s="10">
        <f t="shared" si="166"/>
        <v>0</v>
      </c>
      <c r="M1104" s="10">
        <f>IF(I1104&lt;&gt;1,"",IF(H1104="","",H1104/CONTROL_PANEL!$B$11))</f>
        <v>0.69123896513628469</v>
      </c>
      <c r="N1104" s="9">
        <f t="shared" si="167"/>
        <v>0</v>
      </c>
      <c r="O1104" s="9">
        <f t="shared" si="168"/>
        <v>0</v>
      </c>
      <c r="P1104" s="9">
        <f t="shared" si="169"/>
        <v>0</v>
      </c>
      <c r="Q1104" s="9">
        <f t="shared" si="170"/>
        <v>0</v>
      </c>
      <c r="R1104" s="11"/>
      <c r="S1104" s="11" t="str">
        <f t="shared" si="161"/>
        <v>PASS</v>
      </c>
    </row>
    <row r="1105" spans="1:19" x14ac:dyDescent="0.25">
      <c r="A1105" s="30" t="s">
        <v>98</v>
      </c>
      <c r="B1105" s="31">
        <f t="shared" si="162"/>
        <v>42826</v>
      </c>
      <c r="C1105" s="30">
        <f>YEAR(BInputReservoir[[#This Row],[Date]])</f>
        <v>2017</v>
      </c>
      <c r="D1105" s="30">
        <f>MONTH(BInputReservoir[[#This Row],[Date]])</f>
        <v>4</v>
      </c>
      <c r="E1105" s="30">
        <f>IF(I1105&lt;&gt;1,"",DATA_INPUT!N23)</f>
        <v>52312.996631708076</v>
      </c>
      <c r="F1105" s="30">
        <f>STORAGE_BALANCE_ENSEMBLE!BU23</f>
        <v>0</v>
      </c>
      <c r="G1105" s="30">
        <f>STORAGE_BALANCE_ENSEMBLE!BV23</f>
        <v>0</v>
      </c>
      <c r="H1105" s="30">
        <f>STORAGE_BALANCE_ENSEMBLE!BT23</f>
        <v>34175493.695514783</v>
      </c>
      <c r="I1105" s="18">
        <f t="shared" si="163"/>
        <v>1</v>
      </c>
      <c r="J1105" s="8">
        <f t="shared" si="164"/>
        <v>52312.996631708076</v>
      </c>
      <c r="K1105" s="9">
        <f t="shared" si="165"/>
        <v>0</v>
      </c>
      <c r="L1105" s="10">
        <f t="shared" si="166"/>
        <v>0</v>
      </c>
      <c r="M1105" s="10">
        <f>IF(I1105&lt;&gt;1,"",IF(H1105="","",H1105/CONTROL_PANEL!$B$11))</f>
        <v>0.68350987391029572</v>
      </c>
      <c r="N1105" s="9">
        <f t="shared" si="167"/>
        <v>0</v>
      </c>
      <c r="O1105" s="9">
        <f t="shared" si="168"/>
        <v>0</v>
      </c>
      <c r="P1105" s="9">
        <f t="shared" si="169"/>
        <v>0</v>
      </c>
      <c r="Q1105" s="9">
        <f t="shared" si="170"/>
        <v>0</v>
      </c>
      <c r="R1105" s="11"/>
      <c r="S1105" s="11" t="str">
        <f t="shared" si="161"/>
        <v>PASS</v>
      </c>
    </row>
    <row r="1106" spans="1:19" x14ac:dyDescent="0.25">
      <c r="A1106" s="30" t="s">
        <v>98</v>
      </c>
      <c r="B1106" s="31">
        <f t="shared" si="162"/>
        <v>42856</v>
      </c>
      <c r="C1106" s="30">
        <f>YEAR(BInputReservoir[[#This Row],[Date]])</f>
        <v>2017</v>
      </c>
      <c r="D1106" s="30">
        <f>MONTH(BInputReservoir[[#This Row],[Date]])</f>
        <v>5</v>
      </c>
      <c r="E1106" s="30">
        <f>IF(I1106&lt;&gt;1,"",DATA_INPUT!N24)</f>
        <v>163660.57225137088</v>
      </c>
      <c r="F1106" s="30">
        <f>STORAGE_BALANCE_ENSEMBLE!BU24</f>
        <v>0</v>
      </c>
      <c r="G1106" s="30">
        <f>STORAGE_BALANCE_ENSEMBLE!BV24</f>
        <v>0</v>
      </c>
      <c r="H1106" s="30">
        <f>STORAGE_BALANCE_ENSEMBLE!BT24</f>
        <v>33770304.508883275</v>
      </c>
      <c r="I1106" s="18">
        <f t="shared" si="163"/>
        <v>1</v>
      </c>
      <c r="J1106" s="8">
        <f t="shared" si="164"/>
        <v>163660.57225137088</v>
      </c>
      <c r="K1106" s="9">
        <f t="shared" si="165"/>
        <v>0</v>
      </c>
      <c r="L1106" s="10">
        <f t="shared" si="166"/>
        <v>0</v>
      </c>
      <c r="M1106" s="10">
        <f>IF(I1106&lt;&gt;1,"",IF(H1106="","",H1106/CONTROL_PANEL!$B$11))</f>
        <v>0.67540609017766551</v>
      </c>
      <c r="N1106" s="9">
        <f t="shared" si="167"/>
        <v>0</v>
      </c>
      <c r="O1106" s="9">
        <f t="shared" si="168"/>
        <v>0</v>
      </c>
      <c r="P1106" s="9">
        <f t="shared" si="169"/>
        <v>0</v>
      </c>
      <c r="Q1106" s="9">
        <f t="shared" si="170"/>
        <v>0</v>
      </c>
      <c r="R1106" s="11"/>
      <c r="S1106" s="11" t="str">
        <f t="shared" si="161"/>
        <v>PASS</v>
      </c>
    </row>
    <row r="1107" spans="1:19" x14ac:dyDescent="0.25">
      <c r="A1107" s="30" t="s">
        <v>98</v>
      </c>
      <c r="B1107" s="31">
        <f t="shared" si="162"/>
        <v>42887</v>
      </c>
      <c r="C1107" s="30">
        <f>YEAR(BInputReservoir[[#This Row],[Date]])</f>
        <v>2017</v>
      </c>
      <c r="D1107" s="30">
        <f>MONTH(BInputReservoir[[#This Row],[Date]])</f>
        <v>6</v>
      </c>
      <c r="E1107" s="30">
        <f>IF(I1107&lt;&gt;1,"",DATA_INPUT!N25)</f>
        <v>1022433.9457245953</v>
      </c>
      <c r="F1107" s="30">
        <f>STORAGE_BALANCE_ENSEMBLE!BU25</f>
        <v>0</v>
      </c>
      <c r="G1107" s="30">
        <f>STORAGE_BALANCE_ENSEMBLE!BV25</f>
        <v>0</v>
      </c>
      <c r="H1107" s="30">
        <f>STORAGE_BALANCE_ENSEMBLE!BT25</f>
        <v>32033031.696762554</v>
      </c>
      <c r="I1107" s="18">
        <f t="shared" si="163"/>
        <v>1</v>
      </c>
      <c r="J1107" s="8">
        <f t="shared" si="164"/>
        <v>1022433.9457245953</v>
      </c>
      <c r="K1107" s="9">
        <f t="shared" si="165"/>
        <v>0</v>
      </c>
      <c r="L1107" s="10">
        <f t="shared" si="166"/>
        <v>0</v>
      </c>
      <c r="M1107" s="10">
        <f>IF(I1107&lt;&gt;1,"",IF(H1107="","",H1107/CONTROL_PANEL!$B$11))</f>
        <v>0.64066063393525108</v>
      </c>
      <c r="N1107" s="9">
        <f t="shared" si="167"/>
        <v>0</v>
      </c>
      <c r="O1107" s="9">
        <f t="shared" si="168"/>
        <v>0</v>
      </c>
      <c r="P1107" s="9">
        <f t="shared" si="169"/>
        <v>0</v>
      </c>
      <c r="Q1107" s="9">
        <f t="shared" si="170"/>
        <v>0</v>
      </c>
      <c r="R1107" s="11"/>
      <c r="S1107" s="11" t="str">
        <f t="shared" si="161"/>
        <v>PASS</v>
      </c>
    </row>
    <row r="1108" spans="1:19" x14ac:dyDescent="0.25">
      <c r="A1108" s="30" t="s">
        <v>98</v>
      </c>
      <c r="B1108" s="31">
        <f t="shared" si="162"/>
        <v>42917</v>
      </c>
      <c r="C1108" s="30">
        <f>YEAR(BInputReservoir[[#This Row],[Date]])</f>
        <v>2017</v>
      </c>
      <c r="D1108" s="30">
        <f>MONTH(BInputReservoir[[#This Row],[Date]])</f>
        <v>7</v>
      </c>
      <c r="E1108" s="30">
        <f>IF(I1108&lt;&gt;1,"",DATA_INPUT!N26)</f>
        <v>1956240.9523803997</v>
      </c>
      <c r="F1108" s="30">
        <f>STORAGE_BALANCE_ENSEMBLE!BU26</f>
        <v>0</v>
      </c>
      <c r="G1108" s="30">
        <f>STORAGE_BALANCE_ENSEMBLE!BV26</f>
        <v>0</v>
      </c>
      <c r="H1108" s="30">
        <f>STORAGE_BALANCE_ENSEMBLE!BT26</f>
        <v>29268331.43972642</v>
      </c>
      <c r="I1108" s="18">
        <f t="shared" si="163"/>
        <v>1</v>
      </c>
      <c r="J1108" s="8">
        <f t="shared" si="164"/>
        <v>1956240.9523803997</v>
      </c>
      <c r="K1108" s="9">
        <f t="shared" si="165"/>
        <v>0</v>
      </c>
      <c r="L1108" s="10">
        <f t="shared" si="166"/>
        <v>0</v>
      </c>
      <c r="M1108" s="10">
        <f>IF(I1108&lt;&gt;1,"",IF(H1108="","",H1108/CONTROL_PANEL!$B$11))</f>
        <v>0.58536662879452839</v>
      </c>
      <c r="N1108" s="9">
        <f t="shared" si="167"/>
        <v>0</v>
      </c>
      <c r="O1108" s="9">
        <f t="shared" si="168"/>
        <v>0</v>
      </c>
      <c r="P1108" s="9">
        <f t="shared" si="169"/>
        <v>0</v>
      </c>
      <c r="Q1108" s="9">
        <f t="shared" si="170"/>
        <v>0</v>
      </c>
      <c r="R1108" s="11"/>
      <c r="S1108" s="11" t="str">
        <f t="shared" si="161"/>
        <v>PASS</v>
      </c>
    </row>
    <row r="1109" spans="1:19" x14ac:dyDescent="0.25">
      <c r="A1109" s="30" t="s">
        <v>98</v>
      </c>
      <c r="B1109" s="31">
        <f t="shared" si="162"/>
        <v>42948</v>
      </c>
      <c r="C1109" s="30">
        <f>YEAR(BInputReservoir[[#This Row],[Date]])</f>
        <v>2017</v>
      </c>
      <c r="D1109" s="30">
        <f>MONTH(BInputReservoir[[#This Row],[Date]])</f>
        <v>8</v>
      </c>
      <c r="E1109" s="30">
        <f>IF(I1109&lt;&gt;1,"",DATA_INPUT!N27)</f>
        <v>1291677.9202742937</v>
      </c>
      <c r="F1109" s="30">
        <f>STORAGE_BALANCE_ENSEMBLE!BU27</f>
        <v>0</v>
      </c>
      <c r="G1109" s="30">
        <f>STORAGE_BALANCE_ENSEMBLE!BV27</f>
        <v>0</v>
      </c>
      <c r="H1109" s="30">
        <f>STORAGE_BALANCE_ENSEMBLE!BT27</f>
        <v>27293353.486768983</v>
      </c>
      <c r="I1109" s="18">
        <f t="shared" si="163"/>
        <v>1</v>
      </c>
      <c r="J1109" s="8">
        <f t="shared" si="164"/>
        <v>1291677.9202742937</v>
      </c>
      <c r="K1109" s="9">
        <f t="shared" si="165"/>
        <v>0</v>
      </c>
      <c r="L1109" s="10">
        <f t="shared" si="166"/>
        <v>0</v>
      </c>
      <c r="M1109" s="10">
        <f>IF(I1109&lt;&gt;1,"",IF(H1109="","",H1109/CONTROL_PANEL!$B$11))</f>
        <v>0.54586706973537968</v>
      </c>
      <c r="N1109" s="9">
        <f t="shared" si="167"/>
        <v>0</v>
      </c>
      <c r="O1109" s="9">
        <f t="shared" si="168"/>
        <v>0</v>
      </c>
      <c r="P1109" s="9">
        <f t="shared" si="169"/>
        <v>0</v>
      </c>
      <c r="Q1109" s="9">
        <f t="shared" si="170"/>
        <v>0</v>
      </c>
      <c r="R1109" s="11"/>
      <c r="S1109" s="11" t="str">
        <f t="shared" si="161"/>
        <v>PASS</v>
      </c>
    </row>
    <row r="1110" spans="1:19" x14ac:dyDescent="0.25">
      <c r="A1110" s="30" t="s">
        <v>98</v>
      </c>
      <c r="B1110" s="31">
        <f t="shared" si="162"/>
        <v>42979</v>
      </c>
      <c r="C1110" s="30">
        <f>YEAR(BInputReservoir[[#This Row],[Date]])</f>
        <v>2017</v>
      </c>
      <c r="D1110" s="30">
        <f>MONTH(BInputReservoir[[#This Row],[Date]])</f>
        <v>9</v>
      </c>
      <c r="E1110" s="30">
        <f>IF(I1110&lt;&gt;1,"",DATA_INPUT!N28)</f>
        <v>765103.95346427592</v>
      </c>
      <c r="F1110" s="30">
        <f>STORAGE_BALANCE_ENSEMBLE!BU28</f>
        <v>0</v>
      </c>
      <c r="G1110" s="30">
        <f>STORAGE_BALANCE_ENSEMBLE!BV28</f>
        <v>0</v>
      </c>
      <c r="H1110" s="30">
        <f>STORAGE_BALANCE_ENSEMBLE!BT28</f>
        <v>26040689.145591937</v>
      </c>
      <c r="I1110" s="18">
        <f t="shared" si="163"/>
        <v>1</v>
      </c>
      <c r="J1110" s="8">
        <f t="shared" si="164"/>
        <v>765103.95346427592</v>
      </c>
      <c r="K1110" s="9">
        <f t="shared" si="165"/>
        <v>0</v>
      </c>
      <c r="L1110" s="10">
        <f t="shared" si="166"/>
        <v>0</v>
      </c>
      <c r="M1110" s="10">
        <f>IF(I1110&lt;&gt;1,"",IF(H1110="","",H1110/CONTROL_PANEL!$B$11))</f>
        <v>0.52081378291183877</v>
      </c>
      <c r="N1110" s="9">
        <f t="shared" si="167"/>
        <v>0</v>
      </c>
      <c r="O1110" s="9">
        <f t="shared" si="168"/>
        <v>0</v>
      </c>
      <c r="P1110" s="9">
        <f t="shared" si="169"/>
        <v>0</v>
      </c>
      <c r="Q1110" s="9">
        <f t="shared" si="170"/>
        <v>0</v>
      </c>
      <c r="R1110" s="11"/>
      <c r="S1110" s="11" t="str">
        <f t="shared" si="161"/>
        <v>PASS</v>
      </c>
    </row>
    <row r="1111" spans="1:19" x14ac:dyDescent="0.25">
      <c r="A1111" s="30" t="s">
        <v>98</v>
      </c>
      <c r="B1111" s="31">
        <f t="shared" si="162"/>
        <v>43009</v>
      </c>
      <c r="C1111" s="30">
        <f>YEAR(BInputReservoir[[#This Row],[Date]])</f>
        <v>2017</v>
      </c>
      <c r="D1111" s="30">
        <f>MONTH(BInputReservoir[[#This Row],[Date]])</f>
        <v>10</v>
      </c>
      <c r="E1111" s="30">
        <f>IF(I1111&lt;&gt;1,"",DATA_INPUT!N29)</f>
        <v>328516.62496472523</v>
      </c>
      <c r="F1111" s="30">
        <f>STORAGE_BALANCE_ENSEMBLE!BU29</f>
        <v>0</v>
      </c>
      <c r="G1111" s="30">
        <f>STORAGE_BALANCE_ENSEMBLE!BV29</f>
        <v>0</v>
      </c>
      <c r="H1111" s="30">
        <f>STORAGE_BALANCE_ENSEMBLE!BT29</f>
        <v>25523774.536588367</v>
      </c>
      <c r="I1111" s="18">
        <f t="shared" si="163"/>
        <v>1</v>
      </c>
      <c r="J1111" s="8">
        <f t="shared" si="164"/>
        <v>328516.62496472523</v>
      </c>
      <c r="K1111" s="9">
        <f t="shared" si="165"/>
        <v>0</v>
      </c>
      <c r="L1111" s="10">
        <f t="shared" si="166"/>
        <v>0</v>
      </c>
      <c r="M1111" s="10">
        <f>IF(I1111&lt;&gt;1,"",IF(H1111="","",H1111/CONTROL_PANEL!$B$11))</f>
        <v>0.51047549073176735</v>
      </c>
      <c r="N1111" s="9">
        <f t="shared" si="167"/>
        <v>0</v>
      </c>
      <c r="O1111" s="9">
        <f t="shared" si="168"/>
        <v>0</v>
      </c>
      <c r="P1111" s="9">
        <f t="shared" si="169"/>
        <v>0</v>
      </c>
      <c r="Q1111" s="9">
        <f t="shared" si="170"/>
        <v>0</v>
      </c>
      <c r="R1111" s="11"/>
      <c r="S1111" s="11" t="str">
        <f t="shared" si="161"/>
        <v>PASS</v>
      </c>
    </row>
    <row r="1112" spans="1:19" x14ac:dyDescent="0.25">
      <c r="A1112" s="30" t="s">
        <v>98</v>
      </c>
      <c r="B1112" s="31">
        <f t="shared" si="162"/>
        <v>43040</v>
      </c>
      <c r="C1112" s="30">
        <f>YEAR(BInputReservoir[[#This Row],[Date]])</f>
        <v>2017</v>
      </c>
      <c r="D1112" s="30">
        <f>MONTH(BInputReservoir[[#This Row],[Date]])</f>
        <v>11</v>
      </c>
      <c r="E1112" s="30">
        <f>IF(I1112&lt;&gt;1,"",DATA_INPUT!N30)</f>
        <v>0</v>
      </c>
      <c r="F1112" s="30">
        <f>STORAGE_BALANCE_ENSEMBLE!BU30</f>
        <v>0</v>
      </c>
      <c r="G1112" s="30">
        <f>STORAGE_BALANCE_ENSEMBLE!BV30</f>
        <v>0</v>
      </c>
      <c r="H1112" s="30">
        <f>STORAGE_BALANCE_ENSEMBLE!BT30</f>
        <v>25566220.409286153</v>
      </c>
      <c r="I1112" s="18">
        <f t="shared" si="163"/>
        <v>1</v>
      </c>
      <c r="J1112" s="8">
        <f t="shared" si="164"/>
        <v>0</v>
      </c>
      <c r="K1112" s="9">
        <f t="shared" si="165"/>
        <v>0</v>
      </c>
      <c r="L1112" s="10">
        <f t="shared" si="166"/>
        <v>0</v>
      </c>
      <c r="M1112" s="10">
        <f>IF(I1112&lt;&gt;1,"",IF(H1112="","",H1112/CONTROL_PANEL!$B$11))</f>
        <v>0.511324408185723</v>
      </c>
      <c r="N1112" s="9">
        <f t="shared" si="167"/>
        <v>0</v>
      </c>
      <c r="O1112" s="9">
        <f t="shared" si="168"/>
        <v>0</v>
      </c>
      <c r="P1112" s="9">
        <f t="shared" si="169"/>
        <v>0</v>
      </c>
      <c r="Q1112" s="9">
        <f t="shared" si="170"/>
        <v>0</v>
      </c>
      <c r="R1112" s="11"/>
      <c r="S1112" s="11" t="str">
        <f t="shared" si="161"/>
        <v>PASS</v>
      </c>
    </row>
    <row r="1113" spans="1:19" x14ac:dyDescent="0.25">
      <c r="A1113" s="30" t="s">
        <v>98</v>
      </c>
      <c r="B1113" s="31">
        <f t="shared" si="162"/>
        <v>43070</v>
      </c>
      <c r="C1113" s="30">
        <f>YEAR(BInputReservoir[[#This Row],[Date]])</f>
        <v>2017</v>
      </c>
      <c r="D1113" s="30">
        <f>MONTH(BInputReservoir[[#This Row],[Date]])</f>
        <v>12</v>
      </c>
      <c r="E1113" s="30">
        <f>IF(I1113&lt;&gt;1,"",DATA_INPUT!N31)</f>
        <v>0</v>
      </c>
      <c r="F1113" s="30">
        <f>STORAGE_BALANCE_ENSEMBLE!BU31</f>
        <v>0</v>
      </c>
      <c r="G1113" s="30">
        <f>STORAGE_BALANCE_ENSEMBLE!BV31</f>
        <v>0</v>
      </c>
      <c r="H1113" s="30">
        <f>STORAGE_BALANCE_ENSEMBLE!BT31</f>
        <v>25675004.791807793</v>
      </c>
      <c r="I1113" s="18">
        <f t="shared" si="163"/>
        <v>1</v>
      </c>
      <c r="J1113" s="8">
        <f t="shared" si="164"/>
        <v>0</v>
      </c>
      <c r="K1113" s="9">
        <f t="shared" si="165"/>
        <v>0</v>
      </c>
      <c r="L1113" s="10">
        <f t="shared" si="166"/>
        <v>0</v>
      </c>
      <c r="M1113" s="10">
        <f>IF(I1113&lt;&gt;1,"",IF(H1113="","",H1113/CONTROL_PANEL!$B$11))</f>
        <v>0.51350009583615586</v>
      </c>
      <c r="N1113" s="9">
        <f t="shared" si="167"/>
        <v>0</v>
      </c>
      <c r="O1113" s="9">
        <f t="shared" si="168"/>
        <v>0</v>
      </c>
      <c r="P1113" s="9">
        <f t="shared" si="169"/>
        <v>0</v>
      </c>
      <c r="Q1113" s="9">
        <f t="shared" si="170"/>
        <v>0</v>
      </c>
      <c r="R1113" s="11"/>
      <c r="S1113" s="11" t="str">
        <f t="shared" si="161"/>
        <v>PASS</v>
      </c>
    </row>
    <row r="1114" spans="1:19" x14ac:dyDescent="0.25">
      <c r="A1114" s="30" t="s">
        <v>98</v>
      </c>
      <c r="B1114" s="31">
        <f t="shared" si="162"/>
        <v>43101</v>
      </c>
      <c r="C1114" s="30">
        <f>YEAR(BInputReservoir[[#This Row],[Date]])</f>
        <v>2018</v>
      </c>
      <c r="D1114" s="30">
        <f>MONTH(BInputReservoir[[#This Row],[Date]])</f>
        <v>1</v>
      </c>
      <c r="E1114" s="30">
        <f>IF(I1114&lt;&gt;1,"",DATA_INPUT!N32)</f>
        <v>0</v>
      </c>
      <c r="F1114" s="30">
        <f>STORAGE_BALANCE_ENSEMBLE!BU32</f>
        <v>0</v>
      </c>
      <c r="G1114" s="30">
        <f>STORAGE_BALANCE_ENSEMBLE!BV32</f>
        <v>0</v>
      </c>
      <c r="H1114" s="30">
        <f>STORAGE_BALANCE_ENSEMBLE!BT32</f>
        <v>25788893.443769492</v>
      </c>
      <c r="I1114" s="18">
        <f t="shared" si="163"/>
        <v>1</v>
      </c>
      <c r="J1114" s="8">
        <f t="shared" si="164"/>
        <v>0</v>
      </c>
      <c r="K1114" s="9">
        <f t="shared" si="165"/>
        <v>0</v>
      </c>
      <c r="L1114" s="10">
        <f t="shared" si="166"/>
        <v>0</v>
      </c>
      <c r="M1114" s="10">
        <f>IF(I1114&lt;&gt;1,"",IF(H1114="","",H1114/CONTROL_PANEL!$B$11))</f>
        <v>0.51577786887538979</v>
      </c>
      <c r="N1114" s="9">
        <f t="shared" si="167"/>
        <v>0</v>
      </c>
      <c r="O1114" s="9">
        <f t="shared" si="168"/>
        <v>0</v>
      </c>
      <c r="P1114" s="9">
        <f t="shared" si="169"/>
        <v>0</v>
      </c>
      <c r="Q1114" s="9">
        <f t="shared" si="170"/>
        <v>0</v>
      </c>
      <c r="R1114" s="11"/>
      <c r="S1114" s="11" t="str">
        <f t="shared" si="161"/>
        <v>PASS</v>
      </c>
    </row>
    <row r="1115" spans="1:19" x14ac:dyDescent="0.25">
      <c r="A1115" s="30" t="s">
        <v>98</v>
      </c>
      <c r="B1115" s="31">
        <f t="shared" si="162"/>
        <v>43132</v>
      </c>
      <c r="C1115" s="30">
        <f>YEAR(BInputReservoir[[#This Row],[Date]])</f>
        <v>2018</v>
      </c>
      <c r="D1115" s="30">
        <f>MONTH(BInputReservoir[[#This Row],[Date]])</f>
        <v>2</v>
      </c>
      <c r="E1115" s="30">
        <f>IF(I1115&lt;&gt;1,"",DATA_INPUT!N33)</f>
        <v>0</v>
      </c>
      <c r="F1115" s="30">
        <f>STORAGE_BALANCE_ENSEMBLE!BU33</f>
        <v>0</v>
      </c>
      <c r="G1115" s="30">
        <f>STORAGE_BALANCE_ENSEMBLE!BV33</f>
        <v>0</v>
      </c>
      <c r="H1115" s="30">
        <f>STORAGE_BALANCE_ENSEMBLE!BT33</f>
        <v>31507964.771402497</v>
      </c>
      <c r="I1115" s="18">
        <f t="shared" si="163"/>
        <v>1</v>
      </c>
      <c r="J1115" s="8">
        <f t="shared" si="164"/>
        <v>0</v>
      </c>
      <c r="K1115" s="9">
        <f t="shared" si="165"/>
        <v>0</v>
      </c>
      <c r="L1115" s="10">
        <f t="shared" si="166"/>
        <v>0</v>
      </c>
      <c r="M1115" s="10">
        <f>IF(I1115&lt;&gt;1,"",IF(H1115="","",H1115/CONTROL_PANEL!$B$11))</f>
        <v>0.63015929542804994</v>
      </c>
      <c r="N1115" s="9">
        <f t="shared" si="167"/>
        <v>0</v>
      </c>
      <c r="O1115" s="9">
        <f t="shared" si="168"/>
        <v>0</v>
      </c>
      <c r="P1115" s="9">
        <f t="shared" si="169"/>
        <v>0</v>
      </c>
      <c r="Q1115" s="9">
        <f t="shared" si="170"/>
        <v>0</v>
      </c>
      <c r="R1115" s="11"/>
      <c r="S1115" s="11" t="str">
        <f t="shared" si="161"/>
        <v>PASS</v>
      </c>
    </row>
    <row r="1116" spans="1:19" x14ac:dyDescent="0.25">
      <c r="A1116" s="30" t="s">
        <v>98</v>
      </c>
      <c r="B1116" s="31">
        <f t="shared" si="162"/>
        <v>43160</v>
      </c>
      <c r="C1116" s="30">
        <f>YEAR(BInputReservoir[[#This Row],[Date]])</f>
        <v>2018</v>
      </c>
      <c r="D1116" s="30">
        <f>MONTH(BInputReservoir[[#This Row],[Date]])</f>
        <v>3</v>
      </c>
      <c r="E1116" s="30">
        <f>IF(I1116&lt;&gt;1,"",DATA_INPUT!N34)</f>
        <v>0</v>
      </c>
      <c r="F1116" s="30">
        <f>STORAGE_BALANCE_ENSEMBLE!BU34</f>
        <v>0</v>
      </c>
      <c r="G1116" s="30">
        <f>STORAGE_BALANCE_ENSEMBLE!BV34</f>
        <v>0</v>
      </c>
      <c r="H1116" s="30">
        <f>STORAGE_BALANCE_ENSEMBLE!BT34</f>
        <v>34709077.395434283</v>
      </c>
      <c r="I1116" s="18">
        <f t="shared" si="163"/>
        <v>1</v>
      </c>
      <c r="J1116" s="8">
        <f t="shared" si="164"/>
        <v>0</v>
      </c>
      <c r="K1116" s="9">
        <f t="shared" si="165"/>
        <v>0</v>
      </c>
      <c r="L1116" s="10">
        <f t="shared" si="166"/>
        <v>0</v>
      </c>
      <c r="M1116" s="10">
        <f>IF(I1116&lt;&gt;1,"",IF(H1116="","",H1116/CONTROL_PANEL!$B$11))</f>
        <v>0.69418154790868569</v>
      </c>
      <c r="N1116" s="9">
        <f t="shared" si="167"/>
        <v>0</v>
      </c>
      <c r="O1116" s="9">
        <f t="shared" si="168"/>
        <v>0</v>
      </c>
      <c r="P1116" s="9">
        <f t="shared" si="169"/>
        <v>0</v>
      </c>
      <c r="Q1116" s="9">
        <f t="shared" si="170"/>
        <v>0</v>
      </c>
      <c r="R1116" s="11"/>
      <c r="S1116" s="11" t="str">
        <f t="shared" si="161"/>
        <v>PASS</v>
      </c>
    </row>
    <row r="1117" spans="1:19" x14ac:dyDescent="0.25">
      <c r="A1117" s="30" t="s">
        <v>98</v>
      </c>
      <c r="B1117" s="31">
        <f t="shared" si="162"/>
        <v>43191</v>
      </c>
      <c r="C1117" s="30">
        <f>YEAR(BInputReservoir[[#This Row],[Date]])</f>
        <v>2018</v>
      </c>
      <c r="D1117" s="30">
        <f>MONTH(BInputReservoir[[#This Row],[Date]])</f>
        <v>4</v>
      </c>
      <c r="E1117" s="30">
        <f>IF(I1117&lt;&gt;1,"",DATA_INPUT!N35)</f>
        <v>163.78211928538141</v>
      </c>
      <c r="F1117" s="30">
        <f>STORAGE_BALANCE_ENSEMBLE!BU35</f>
        <v>0</v>
      </c>
      <c r="G1117" s="30">
        <f>STORAGE_BALANCE_ENSEMBLE!BV35</f>
        <v>0</v>
      </c>
      <c r="H1117" s="30">
        <f>STORAGE_BALANCE_ENSEMBLE!BT35</f>
        <v>35504323.145006411</v>
      </c>
      <c r="I1117" s="18">
        <f t="shared" si="163"/>
        <v>1</v>
      </c>
      <c r="J1117" s="8">
        <f t="shared" si="164"/>
        <v>163.78211928538141</v>
      </c>
      <c r="K1117" s="9">
        <f t="shared" si="165"/>
        <v>0</v>
      </c>
      <c r="L1117" s="10">
        <f t="shared" si="166"/>
        <v>0</v>
      </c>
      <c r="M1117" s="10">
        <f>IF(I1117&lt;&gt;1,"",IF(H1117="","",H1117/CONTROL_PANEL!$B$11))</f>
        <v>0.71008646290012822</v>
      </c>
      <c r="N1117" s="9">
        <f t="shared" si="167"/>
        <v>0</v>
      </c>
      <c r="O1117" s="9">
        <f t="shared" si="168"/>
        <v>0</v>
      </c>
      <c r="P1117" s="9">
        <f t="shared" si="169"/>
        <v>0</v>
      </c>
      <c r="Q1117" s="9">
        <f t="shared" si="170"/>
        <v>0</v>
      </c>
      <c r="R1117" s="11"/>
      <c r="S1117" s="11" t="str">
        <f t="shared" si="161"/>
        <v>PASS</v>
      </c>
    </row>
    <row r="1118" spans="1:19" x14ac:dyDescent="0.25">
      <c r="A1118" s="30" t="s">
        <v>98</v>
      </c>
      <c r="B1118" s="31">
        <f t="shared" si="162"/>
        <v>43221</v>
      </c>
      <c r="C1118" s="30">
        <f>YEAR(BInputReservoir[[#This Row],[Date]])</f>
        <v>2018</v>
      </c>
      <c r="D1118" s="30">
        <f>MONTH(BInputReservoir[[#This Row],[Date]])</f>
        <v>5</v>
      </c>
      <c r="E1118" s="30">
        <f>IF(I1118&lt;&gt;1,"",DATA_INPUT!N36)</f>
        <v>57935.181848105363</v>
      </c>
      <c r="F1118" s="30">
        <f>STORAGE_BALANCE_ENSEMBLE!BU36</f>
        <v>0</v>
      </c>
      <c r="G1118" s="30">
        <f>STORAGE_BALANCE_ENSEMBLE!BV36</f>
        <v>0</v>
      </c>
      <c r="H1118" s="30">
        <f>STORAGE_BALANCE_ENSEMBLE!BT36</f>
        <v>35348635.406211041</v>
      </c>
      <c r="I1118" s="18">
        <f t="shared" si="163"/>
        <v>1</v>
      </c>
      <c r="J1118" s="8">
        <f t="shared" si="164"/>
        <v>57935.181848105363</v>
      </c>
      <c r="K1118" s="9">
        <f t="shared" si="165"/>
        <v>0</v>
      </c>
      <c r="L1118" s="10">
        <f t="shared" si="166"/>
        <v>0</v>
      </c>
      <c r="M1118" s="10">
        <f>IF(I1118&lt;&gt;1,"",IF(H1118="","",H1118/CONTROL_PANEL!$B$11))</f>
        <v>0.70697270812422086</v>
      </c>
      <c r="N1118" s="9">
        <f t="shared" si="167"/>
        <v>0</v>
      </c>
      <c r="O1118" s="9">
        <f t="shared" si="168"/>
        <v>0</v>
      </c>
      <c r="P1118" s="9">
        <f t="shared" si="169"/>
        <v>0</v>
      </c>
      <c r="Q1118" s="9">
        <f t="shared" si="170"/>
        <v>0</v>
      </c>
      <c r="R1118" s="11"/>
      <c r="S1118" s="11" t="str">
        <f t="shared" si="161"/>
        <v>PASS</v>
      </c>
    </row>
    <row r="1119" spans="1:19" x14ac:dyDescent="0.25">
      <c r="A1119" s="30" t="s">
        <v>98</v>
      </c>
      <c r="B1119" s="31">
        <f t="shared" si="162"/>
        <v>43252</v>
      </c>
      <c r="C1119" s="30">
        <f>YEAR(BInputReservoir[[#This Row],[Date]])</f>
        <v>2018</v>
      </c>
      <c r="D1119" s="30">
        <f>MONTH(BInputReservoir[[#This Row],[Date]])</f>
        <v>6</v>
      </c>
      <c r="E1119" s="30">
        <f>IF(I1119&lt;&gt;1,"",DATA_INPUT!N37)</f>
        <v>270567.52796752221</v>
      </c>
      <c r="F1119" s="30">
        <f>STORAGE_BALANCE_ENSEMBLE!BU37</f>
        <v>0</v>
      </c>
      <c r="G1119" s="30">
        <f>STORAGE_BALANCE_ENSEMBLE!BV37</f>
        <v>0</v>
      </c>
      <c r="H1119" s="30">
        <f>STORAGE_BALANCE_ENSEMBLE!BT37</f>
        <v>34528634.80754748</v>
      </c>
      <c r="I1119" s="18">
        <f t="shared" si="163"/>
        <v>1</v>
      </c>
      <c r="J1119" s="8">
        <f t="shared" si="164"/>
        <v>270567.52796752221</v>
      </c>
      <c r="K1119" s="9">
        <f t="shared" si="165"/>
        <v>0</v>
      </c>
      <c r="L1119" s="10">
        <f t="shared" si="166"/>
        <v>0</v>
      </c>
      <c r="M1119" s="10">
        <f>IF(I1119&lt;&gt;1,"",IF(H1119="","",H1119/CONTROL_PANEL!$B$11))</f>
        <v>0.69057269615094963</v>
      </c>
      <c r="N1119" s="9">
        <f t="shared" si="167"/>
        <v>0</v>
      </c>
      <c r="O1119" s="9">
        <f t="shared" si="168"/>
        <v>0</v>
      </c>
      <c r="P1119" s="9">
        <f t="shared" si="169"/>
        <v>0</v>
      </c>
      <c r="Q1119" s="9">
        <f t="shared" si="170"/>
        <v>0</v>
      </c>
      <c r="R1119" s="11"/>
      <c r="S1119" s="11" t="str">
        <f t="shared" ref="S1119:S1150" si="171">IF(COUNTA(A1119:H1119)=0,"",IF(OR(A1119="",C1119="",D1119=""),"ERROR: missing key fields","PASS"))</f>
        <v>PASS</v>
      </c>
    </row>
    <row r="1120" spans="1:19" x14ac:dyDescent="0.25">
      <c r="A1120" s="30" t="s">
        <v>98</v>
      </c>
      <c r="B1120" s="31">
        <f t="shared" si="162"/>
        <v>43282</v>
      </c>
      <c r="C1120" s="30">
        <f>YEAR(BInputReservoir[[#This Row],[Date]])</f>
        <v>2018</v>
      </c>
      <c r="D1120" s="30">
        <f>MONTH(BInputReservoir[[#This Row],[Date]])</f>
        <v>7</v>
      </c>
      <c r="E1120" s="30">
        <f>IF(I1120&lt;&gt;1,"",DATA_INPUT!N38)</f>
        <v>1231256.9064105626</v>
      </c>
      <c r="F1120" s="30">
        <f>STORAGE_BALANCE_ENSEMBLE!BU38</f>
        <v>0</v>
      </c>
      <c r="G1120" s="30">
        <f>STORAGE_BALANCE_ENSEMBLE!BV38</f>
        <v>0</v>
      </c>
      <c r="H1120" s="30">
        <f>STORAGE_BALANCE_ENSEMBLE!BT38</f>
        <v>32567183.460124169</v>
      </c>
      <c r="I1120" s="18">
        <f t="shared" si="163"/>
        <v>1</v>
      </c>
      <c r="J1120" s="8">
        <f t="shared" si="164"/>
        <v>1231256.9064105626</v>
      </c>
      <c r="K1120" s="9">
        <f t="shared" si="165"/>
        <v>0</v>
      </c>
      <c r="L1120" s="10">
        <f t="shared" si="166"/>
        <v>0</v>
      </c>
      <c r="M1120" s="10">
        <f>IF(I1120&lt;&gt;1,"",IF(H1120="","",H1120/CONTROL_PANEL!$B$11))</f>
        <v>0.65134366920248332</v>
      </c>
      <c r="N1120" s="9">
        <f t="shared" si="167"/>
        <v>0</v>
      </c>
      <c r="O1120" s="9">
        <f t="shared" si="168"/>
        <v>0</v>
      </c>
      <c r="P1120" s="9">
        <f t="shared" si="169"/>
        <v>0</v>
      </c>
      <c r="Q1120" s="9">
        <f t="shared" si="170"/>
        <v>0</v>
      </c>
      <c r="R1120" s="11"/>
      <c r="S1120" s="11" t="str">
        <f t="shared" si="171"/>
        <v>PASS</v>
      </c>
    </row>
    <row r="1121" spans="1:19" x14ac:dyDescent="0.25">
      <c r="A1121" s="30" t="s">
        <v>98</v>
      </c>
      <c r="B1121" s="31">
        <f t="shared" si="162"/>
        <v>43313</v>
      </c>
      <c r="C1121" s="30">
        <f>YEAR(BInputReservoir[[#This Row],[Date]])</f>
        <v>2018</v>
      </c>
      <c r="D1121" s="30">
        <f>MONTH(BInputReservoir[[#This Row],[Date]])</f>
        <v>8</v>
      </c>
      <c r="E1121" s="30">
        <f>IF(I1121&lt;&gt;1,"",DATA_INPUT!N39)</f>
        <v>1916343.1764135235</v>
      </c>
      <c r="F1121" s="30">
        <f>STORAGE_BALANCE_ENSEMBLE!BU39</f>
        <v>0</v>
      </c>
      <c r="G1121" s="30">
        <f>STORAGE_BALANCE_ENSEMBLE!BV39</f>
        <v>0</v>
      </c>
      <c r="H1121" s="30">
        <f>STORAGE_BALANCE_ENSEMBLE!BT39</f>
        <v>29804051.784615535</v>
      </c>
      <c r="I1121" s="18">
        <f t="shared" si="163"/>
        <v>1</v>
      </c>
      <c r="J1121" s="8">
        <f t="shared" si="164"/>
        <v>1916343.1764135235</v>
      </c>
      <c r="K1121" s="9">
        <f t="shared" si="165"/>
        <v>0</v>
      </c>
      <c r="L1121" s="10">
        <f t="shared" si="166"/>
        <v>0</v>
      </c>
      <c r="M1121" s="10">
        <f>IF(I1121&lt;&gt;1,"",IF(H1121="","",H1121/CONTROL_PANEL!$B$11))</f>
        <v>0.59608103569231075</v>
      </c>
      <c r="N1121" s="9">
        <f t="shared" si="167"/>
        <v>0</v>
      </c>
      <c r="O1121" s="9">
        <f t="shared" si="168"/>
        <v>0</v>
      </c>
      <c r="P1121" s="9">
        <f t="shared" si="169"/>
        <v>0</v>
      </c>
      <c r="Q1121" s="9">
        <f t="shared" si="170"/>
        <v>0</v>
      </c>
      <c r="R1121" s="11"/>
      <c r="S1121" s="11" t="str">
        <f t="shared" si="171"/>
        <v>PASS</v>
      </c>
    </row>
    <row r="1122" spans="1:19" x14ac:dyDescent="0.25">
      <c r="A1122" s="30" t="s">
        <v>98</v>
      </c>
      <c r="B1122" s="31">
        <f t="shared" si="162"/>
        <v>43344</v>
      </c>
      <c r="C1122" s="30">
        <f>YEAR(BInputReservoir[[#This Row],[Date]])</f>
        <v>2018</v>
      </c>
      <c r="D1122" s="30">
        <f>MONTH(BInputReservoir[[#This Row],[Date]])</f>
        <v>9</v>
      </c>
      <c r="E1122" s="30">
        <f>IF(I1122&lt;&gt;1,"",DATA_INPUT!N40)</f>
        <v>1044147.4819137212</v>
      </c>
      <c r="F1122" s="30">
        <f>STORAGE_BALANCE_ENSEMBLE!BU40</f>
        <v>0</v>
      </c>
      <c r="G1122" s="30">
        <f>STORAGE_BALANCE_ENSEMBLE!BV40</f>
        <v>0</v>
      </c>
      <c r="H1122" s="30">
        <f>STORAGE_BALANCE_ENSEMBLE!BT40</f>
        <v>28208898.0798259</v>
      </c>
      <c r="I1122" s="18">
        <f t="shared" si="163"/>
        <v>1</v>
      </c>
      <c r="J1122" s="8">
        <f t="shared" si="164"/>
        <v>1044147.4819137212</v>
      </c>
      <c r="K1122" s="9">
        <f t="shared" si="165"/>
        <v>0</v>
      </c>
      <c r="L1122" s="10">
        <f t="shared" si="166"/>
        <v>0</v>
      </c>
      <c r="M1122" s="10">
        <f>IF(I1122&lt;&gt;1,"",IF(H1122="","",H1122/CONTROL_PANEL!$B$11))</f>
        <v>0.56417796159651801</v>
      </c>
      <c r="N1122" s="9">
        <f t="shared" si="167"/>
        <v>0</v>
      </c>
      <c r="O1122" s="9">
        <f t="shared" si="168"/>
        <v>0</v>
      </c>
      <c r="P1122" s="9">
        <f t="shared" si="169"/>
        <v>0</v>
      </c>
      <c r="Q1122" s="9">
        <f t="shared" si="170"/>
        <v>0</v>
      </c>
      <c r="R1122" s="11"/>
      <c r="S1122" s="11" t="str">
        <f t="shared" si="171"/>
        <v>PASS</v>
      </c>
    </row>
    <row r="1123" spans="1:19" x14ac:dyDescent="0.25">
      <c r="A1123" s="30" t="s">
        <v>98</v>
      </c>
      <c r="B1123" s="31">
        <f t="shared" si="162"/>
        <v>43374</v>
      </c>
      <c r="C1123" s="30">
        <f>YEAR(BInputReservoir[[#This Row],[Date]])</f>
        <v>2018</v>
      </c>
      <c r="D1123" s="30">
        <f>MONTH(BInputReservoir[[#This Row],[Date]])</f>
        <v>10</v>
      </c>
      <c r="E1123" s="30">
        <f>IF(I1123&lt;&gt;1,"",DATA_INPUT!N41)</f>
        <v>327651.68663450563</v>
      </c>
      <c r="F1123" s="30">
        <f>STORAGE_BALANCE_ENSEMBLE!BU41</f>
        <v>0</v>
      </c>
      <c r="G1123" s="30">
        <f>STORAGE_BALANCE_ENSEMBLE!BV41</f>
        <v>0</v>
      </c>
      <c r="H1123" s="30">
        <f>STORAGE_BALANCE_ENSEMBLE!BT41</f>
        <v>28319807.358192824</v>
      </c>
      <c r="I1123" s="18">
        <f t="shared" si="163"/>
        <v>1</v>
      </c>
      <c r="J1123" s="8">
        <f t="shared" si="164"/>
        <v>327651.68663450563</v>
      </c>
      <c r="K1123" s="9">
        <f t="shared" si="165"/>
        <v>0</v>
      </c>
      <c r="L1123" s="10">
        <f t="shared" si="166"/>
        <v>0</v>
      </c>
      <c r="M1123" s="10">
        <f>IF(I1123&lt;&gt;1,"",IF(H1123="","",H1123/CONTROL_PANEL!$B$11))</f>
        <v>0.56639614716385644</v>
      </c>
      <c r="N1123" s="9">
        <f t="shared" si="167"/>
        <v>0</v>
      </c>
      <c r="O1123" s="9">
        <f t="shared" si="168"/>
        <v>0</v>
      </c>
      <c r="P1123" s="9">
        <f t="shared" si="169"/>
        <v>0</v>
      </c>
      <c r="Q1123" s="9">
        <f t="shared" si="170"/>
        <v>0</v>
      </c>
      <c r="R1123" s="11"/>
      <c r="S1123" s="11" t="str">
        <f t="shared" si="171"/>
        <v>PASS</v>
      </c>
    </row>
    <row r="1124" spans="1:19" x14ac:dyDescent="0.25">
      <c r="A1124" s="30" t="s">
        <v>98</v>
      </c>
      <c r="B1124" s="31">
        <f t="shared" si="162"/>
        <v>43405</v>
      </c>
      <c r="C1124" s="30">
        <f>YEAR(BInputReservoir[[#This Row],[Date]])</f>
        <v>2018</v>
      </c>
      <c r="D1124" s="30">
        <f>MONTH(BInputReservoir[[#This Row],[Date]])</f>
        <v>11</v>
      </c>
      <c r="E1124" s="30">
        <f>IF(I1124&lt;&gt;1,"",DATA_INPUT!N42)</f>
        <v>0</v>
      </c>
      <c r="F1124" s="30">
        <f>STORAGE_BALANCE_ENSEMBLE!BU42</f>
        <v>0</v>
      </c>
      <c r="G1124" s="30">
        <f>STORAGE_BALANCE_ENSEMBLE!BV42</f>
        <v>0</v>
      </c>
      <c r="H1124" s="30">
        <f>STORAGE_BALANCE_ENSEMBLE!BT42</f>
        <v>28893267.321977593</v>
      </c>
      <c r="I1124" s="18">
        <f t="shared" si="163"/>
        <v>1</v>
      </c>
      <c r="J1124" s="8">
        <f t="shared" si="164"/>
        <v>0</v>
      </c>
      <c r="K1124" s="9">
        <f t="shared" si="165"/>
        <v>0</v>
      </c>
      <c r="L1124" s="10">
        <f t="shared" si="166"/>
        <v>0</v>
      </c>
      <c r="M1124" s="10">
        <f>IF(I1124&lt;&gt;1,"",IF(H1124="","",H1124/CONTROL_PANEL!$B$11))</f>
        <v>0.5778653464395519</v>
      </c>
      <c r="N1124" s="9">
        <f t="shared" si="167"/>
        <v>0</v>
      </c>
      <c r="O1124" s="9">
        <f t="shared" si="168"/>
        <v>0</v>
      </c>
      <c r="P1124" s="9">
        <f t="shared" si="169"/>
        <v>0</v>
      </c>
      <c r="Q1124" s="9">
        <f t="shared" si="170"/>
        <v>0</v>
      </c>
      <c r="R1124" s="11"/>
      <c r="S1124" s="11" t="str">
        <f t="shared" si="171"/>
        <v>PASS</v>
      </c>
    </row>
    <row r="1125" spans="1:19" x14ac:dyDescent="0.25">
      <c r="A1125" s="30" t="s">
        <v>98</v>
      </c>
      <c r="B1125" s="31">
        <f t="shared" si="162"/>
        <v>43435</v>
      </c>
      <c r="C1125" s="30">
        <f>YEAR(BInputReservoir[[#This Row],[Date]])</f>
        <v>2018</v>
      </c>
      <c r="D1125" s="30">
        <f>MONTH(BInputReservoir[[#This Row],[Date]])</f>
        <v>12</v>
      </c>
      <c r="E1125" s="30">
        <f>IF(I1125&lt;&gt;1,"",DATA_INPUT!N43)</f>
        <v>0</v>
      </c>
      <c r="F1125" s="30">
        <f>STORAGE_BALANCE_ENSEMBLE!BU43</f>
        <v>0</v>
      </c>
      <c r="G1125" s="30">
        <f>STORAGE_BALANCE_ENSEMBLE!BV43</f>
        <v>0</v>
      </c>
      <c r="H1125" s="30">
        <f>STORAGE_BALANCE_ENSEMBLE!BT43</f>
        <v>28934368.979754042</v>
      </c>
      <c r="I1125" s="18">
        <f t="shared" si="163"/>
        <v>1</v>
      </c>
      <c r="J1125" s="8">
        <f t="shared" si="164"/>
        <v>0</v>
      </c>
      <c r="K1125" s="9">
        <f t="shared" si="165"/>
        <v>0</v>
      </c>
      <c r="L1125" s="10">
        <f t="shared" si="166"/>
        <v>0</v>
      </c>
      <c r="M1125" s="10">
        <f>IF(I1125&lt;&gt;1,"",IF(H1125="","",H1125/CONTROL_PANEL!$B$11))</f>
        <v>0.57868737959508088</v>
      </c>
      <c r="N1125" s="9">
        <f t="shared" si="167"/>
        <v>0</v>
      </c>
      <c r="O1125" s="9">
        <f t="shared" si="168"/>
        <v>0</v>
      </c>
      <c r="P1125" s="9">
        <f t="shared" si="169"/>
        <v>0</v>
      </c>
      <c r="Q1125" s="9">
        <f t="shared" si="170"/>
        <v>0</v>
      </c>
      <c r="R1125" s="11"/>
      <c r="S1125" s="11" t="str">
        <f t="shared" si="171"/>
        <v>PASS</v>
      </c>
    </row>
    <row r="1126" spans="1:19" x14ac:dyDescent="0.25">
      <c r="A1126" s="30" t="s">
        <v>98</v>
      </c>
      <c r="B1126" s="31">
        <f t="shared" si="162"/>
        <v>43466</v>
      </c>
      <c r="C1126" s="30">
        <f>YEAR(BInputReservoir[[#This Row],[Date]])</f>
        <v>2019</v>
      </c>
      <c r="D1126" s="30">
        <f>MONTH(BInputReservoir[[#This Row],[Date]])</f>
        <v>1</v>
      </c>
      <c r="E1126" s="30">
        <f>IF(I1126&lt;&gt;1,"",DATA_INPUT!N44)</f>
        <v>0</v>
      </c>
      <c r="F1126" s="30">
        <f>STORAGE_BALANCE_ENSEMBLE!BU44</f>
        <v>0</v>
      </c>
      <c r="G1126" s="30">
        <f>STORAGE_BALANCE_ENSEMBLE!BV44</f>
        <v>0</v>
      </c>
      <c r="H1126" s="30">
        <f>STORAGE_BALANCE_ENSEMBLE!BT44</f>
        <v>28968392.229395345</v>
      </c>
      <c r="I1126" s="18">
        <f t="shared" si="163"/>
        <v>1</v>
      </c>
      <c r="J1126" s="8">
        <f t="shared" si="164"/>
        <v>0</v>
      </c>
      <c r="K1126" s="9">
        <f t="shared" si="165"/>
        <v>0</v>
      </c>
      <c r="L1126" s="10">
        <f t="shared" si="166"/>
        <v>0</v>
      </c>
      <c r="M1126" s="10">
        <f>IF(I1126&lt;&gt;1,"",IF(H1126="","",H1126/CONTROL_PANEL!$B$11))</f>
        <v>0.57936784458790691</v>
      </c>
      <c r="N1126" s="9">
        <f t="shared" si="167"/>
        <v>0</v>
      </c>
      <c r="O1126" s="9">
        <f t="shared" si="168"/>
        <v>0</v>
      </c>
      <c r="P1126" s="9">
        <f t="shared" si="169"/>
        <v>0</v>
      </c>
      <c r="Q1126" s="9">
        <f t="shared" si="170"/>
        <v>0</v>
      </c>
      <c r="R1126" s="11"/>
      <c r="S1126" s="11" t="str">
        <f t="shared" si="171"/>
        <v>PASS</v>
      </c>
    </row>
    <row r="1127" spans="1:19" x14ac:dyDescent="0.25">
      <c r="A1127" s="30" t="s">
        <v>98</v>
      </c>
      <c r="B1127" s="31">
        <f t="shared" si="162"/>
        <v>43497</v>
      </c>
      <c r="C1127" s="30">
        <f>YEAR(BInputReservoir[[#This Row],[Date]])</f>
        <v>2019</v>
      </c>
      <c r="D1127" s="30">
        <f>MONTH(BInputReservoir[[#This Row],[Date]])</f>
        <v>2</v>
      </c>
      <c r="E1127" s="30">
        <f>IF(I1127&lt;&gt;1,"",DATA_INPUT!N45)</f>
        <v>0</v>
      </c>
      <c r="F1127" s="30">
        <f>STORAGE_BALANCE_ENSEMBLE!BU45</f>
        <v>0</v>
      </c>
      <c r="G1127" s="30">
        <f>STORAGE_BALANCE_ENSEMBLE!BV45</f>
        <v>0</v>
      </c>
      <c r="H1127" s="30">
        <f>STORAGE_BALANCE_ENSEMBLE!BT45</f>
        <v>29015473.404266711</v>
      </c>
      <c r="I1127" s="18">
        <f t="shared" si="163"/>
        <v>1</v>
      </c>
      <c r="J1127" s="8">
        <f t="shared" si="164"/>
        <v>0</v>
      </c>
      <c r="K1127" s="9">
        <f t="shared" si="165"/>
        <v>0</v>
      </c>
      <c r="L1127" s="10">
        <f t="shared" si="166"/>
        <v>0</v>
      </c>
      <c r="M1127" s="10">
        <f>IF(I1127&lt;&gt;1,"",IF(H1127="","",H1127/CONTROL_PANEL!$B$11))</f>
        <v>0.58030946808533423</v>
      </c>
      <c r="N1127" s="9">
        <f t="shared" si="167"/>
        <v>0</v>
      </c>
      <c r="O1127" s="9">
        <f t="shared" si="168"/>
        <v>0</v>
      </c>
      <c r="P1127" s="9">
        <f t="shared" si="169"/>
        <v>0</v>
      </c>
      <c r="Q1127" s="9">
        <f t="shared" si="170"/>
        <v>0</v>
      </c>
      <c r="R1127" s="11"/>
      <c r="S1127" s="11" t="str">
        <f t="shared" si="171"/>
        <v>PASS</v>
      </c>
    </row>
    <row r="1128" spans="1:19" x14ac:dyDescent="0.25">
      <c r="A1128" s="30" t="s">
        <v>98</v>
      </c>
      <c r="B1128" s="31">
        <f t="shared" si="162"/>
        <v>43525</v>
      </c>
      <c r="C1128" s="30">
        <f>YEAR(BInputReservoir[[#This Row],[Date]])</f>
        <v>2019</v>
      </c>
      <c r="D1128" s="30">
        <f>MONTH(BInputReservoir[[#This Row],[Date]])</f>
        <v>3</v>
      </c>
      <c r="E1128" s="30">
        <f>IF(I1128&lt;&gt;1,"",DATA_INPUT!N46)</f>
        <v>0</v>
      </c>
      <c r="F1128" s="30">
        <f>STORAGE_BALANCE_ENSEMBLE!BU46</f>
        <v>0</v>
      </c>
      <c r="G1128" s="30">
        <f>STORAGE_BALANCE_ENSEMBLE!BV46</f>
        <v>0</v>
      </c>
      <c r="H1128" s="30">
        <f>STORAGE_BALANCE_ENSEMBLE!BT46</f>
        <v>28917826.92904954</v>
      </c>
      <c r="I1128" s="18">
        <f t="shared" si="163"/>
        <v>1</v>
      </c>
      <c r="J1128" s="8">
        <f t="shared" si="164"/>
        <v>0</v>
      </c>
      <c r="K1128" s="9">
        <f t="shared" si="165"/>
        <v>0</v>
      </c>
      <c r="L1128" s="10">
        <f t="shared" si="166"/>
        <v>0</v>
      </c>
      <c r="M1128" s="10">
        <f>IF(I1128&lt;&gt;1,"",IF(H1128="","",H1128/CONTROL_PANEL!$B$11))</f>
        <v>0.57835653858099079</v>
      </c>
      <c r="N1128" s="9">
        <f t="shared" si="167"/>
        <v>0</v>
      </c>
      <c r="O1128" s="9">
        <f t="shared" si="168"/>
        <v>0</v>
      </c>
      <c r="P1128" s="9">
        <f t="shared" si="169"/>
        <v>0</v>
      </c>
      <c r="Q1128" s="9">
        <f t="shared" si="170"/>
        <v>0</v>
      </c>
      <c r="R1128" s="11"/>
      <c r="S1128" s="11" t="str">
        <f t="shared" si="171"/>
        <v>PASS</v>
      </c>
    </row>
    <row r="1129" spans="1:19" x14ac:dyDescent="0.25">
      <c r="A1129" s="30" t="s">
        <v>98</v>
      </c>
      <c r="B1129" s="31">
        <f t="shared" si="162"/>
        <v>43556</v>
      </c>
      <c r="C1129" s="30">
        <f>YEAR(BInputReservoir[[#This Row],[Date]])</f>
        <v>2019</v>
      </c>
      <c r="D1129" s="30">
        <f>MONTH(BInputReservoir[[#This Row],[Date]])</f>
        <v>4</v>
      </c>
      <c r="E1129" s="30">
        <f>IF(I1129&lt;&gt;1,"",DATA_INPUT!N47)</f>
        <v>19296.886401929216</v>
      </c>
      <c r="F1129" s="30">
        <f>STORAGE_BALANCE_ENSEMBLE!BU47</f>
        <v>0</v>
      </c>
      <c r="G1129" s="30">
        <f>STORAGE_BALANCE_ENSEMBLE!BV47</f>
        <v>0</v>
      </c>
      <c r="H1129" s="30">
        <f>STORAGE_BALANCE_ENSEMBLE!BT47</f>
        <v>28941194.185513616</v>
      </c>
      <c r="I1129" s="18">
        <f t="shared" si="163"/>
        <v>1</v>
      </c>
      <c r="J1129" s="8">
        <f t="shared" si="164"/>
        <v>19296.886401929216</v>
      </c>
      <c r="K1129" s="9">
        <f t="shared" si="165"/>
        <v>0</v>
      </c>
      <c r="L1129" s="10">
        <f t="shared" si="166"/>
        <v>0</v>
      </c>
      <c r="M1129" s="10">
        <f>IF(I1129&lt;&gt;1,"",IF(H1129="","",H1129/CONTROL_PANEL!$B$11))</f>
        <v>0.57882388371027227</v>
      </c>
      <c r="N1129" s="9">
        <f t="shared" si="167"/>
        <v>0</v>
      </c>
      <c r="O1129" s="9">
        <f t="shared" si="168"/>
        <v>0</v>
      </c>
      <c r="P1129" s="9">
        <f t="shared" si="169"/>
        <v>0</v>
      </c>
      <c r="Q1129" s="9">
        <f t="shared" si="170"/>
        <v>0</v>
      </c>
      <c r="R1129" s="11"/>
      <c r="S1129" s="11" t="str">
        <f t="shared" si="171"/>
        <v>PASS</v>
      </c>
    </row>
    <row r="1130" spans="1:19" x14ac:dyDescent="0.25">
      <c r="A1130" s="30" t="s">
        <v>98</v>
      </c>
      <c r="B1130" s="31">
        <f t="shared" si="162"/>
        <v>43586</v>
      </c>
      <c r="C1130" s="30">
        <f>YEAR(BInputReservoir[[#This Row],[Date]])</f>
        <v>2019</v>
      </c>
      <c r="D1130" s="30">
        <f>MONTH(BInputReservoir[[#This Row],[Date]])</f>
        <v>5</v>
      </c>
      <c r="E1130" s="30">
        <f>IF(I1130&lt;&gt;1,"",DATA_INPUT!N48)</f>
        <v>398891.38989698351</v>
      </c>
      <c r="F1130" s="30">
        <f>STORAGE_BALANCE_ENSEMBLE!BU48</f>
        <v>0</v>
      </c>
      <c r="G1130" s="30">
        <f>STORAGE_BALANCE_ENSEMBLE!BV48</f>
        <v>0</v>
      </c>
      <c r="H1130" s="30">
        <f>STORAGE_BALANCE_ENSEMBLE!BT48</f>
        <v>28167450.461570695</v>
      </c>
      <c r="I1130" s="18">
        <f t="shared" si="163"/>
        <v>1</v>
      </c>
      <c r="J1130" s="8">
        <f t="shared" si="164"/>
        <v>398891.38989698351</v>
      </c>
      <c r="K1130" s="9">
        <f t="shared" si="165"/>
        <v>0</v>
      </c>
      <c r="L1130" s="10">
        <f t="shared" si="166"/>
        <v>0</v>
      </c>
      <c r="M1130" s="10">
        <f>IF(I1130&lt;&gt;1,"",IF(H1130="","",H1130/CONTROL_PANEL!$B$11))</f>
        <v>0.56334900923141396</v>
      </c>
      <c r="N1130" s="9">
        <f t="shared" si="167"/>
        <v>0</v>
      </c>
      <c r="O1130" s="9">
        <f t="shared" si="168"/>
        <v>0</v>
      </c>
      <c r="P1130" s="9">
        <f t="shared" si="169"/>
        <v>0</v>
      </c>
      <c r="Q1130" s="9">
        <f t="shared" si="170"/>
        <v>0</v>
      </c>
      <c r="R1130" s="11"/>
      <c r="S1130" s="11" t="str">
        <f t="shared" si="171"/>
        <v>PASS</v>
      </c>
    </row>
    <row r="1131" spans="1:19" x14ac:dyDescent="0.25">
      <c r="A1131" s="30" t="s">
        <v>98</v>
      </c>
      <c r="B1131" s="31">
        <f t="shared" si="162"/>
        <v>43617</v>
      </c>
      <c r="C1131" s="30">
        <f>YEAR(BInputReservoir[[#This Row],[Date]])</f>
        <v>2019</v>
      </c>
      <c r="D1131" s="30">
        <f>MONTH(BInputReservoir[[#This Row],[Date]])</f>
        <v>6</v>
      </c>
      <c r="E1131" s="30">
        <f>IF(I1131&lt;&gt;1,"",DATA_INPUT!N49)</f>
        <v>987474.86597101425</v>
      </c>
      <c r="F1131" s="30">
        <f>STORAGE_BALANCE_ENSEMBLE!BU49</f>
        <v>0</v>
      </c>
      <c r="G1131" s="30">
        <f>STORAGE_BALANCE_ENSEMBLE!BV49</f>
        <v>0</v>
      </c>
      <c r="H1131" s="30">
        <f>STORAGE_BALANCE_ENSEMBLE!BT49</f>
        <v>26612880.200716093</v>
      </c>
      <c r="I1131" s="18">
        <f t="shared" si="163"/>
        <v>1</v>
      </c>
      <c r="J1131" s="8">
        <f t="shared" si="164"/>
        <v>987474.86597101425</v>
      </c>
      <c r="K1131" s="9">
        <f t="shared" si="165"/>
        <v>0</v>
      </c>
      <c r="L1131" s="10">
        <f t="shared" si="166"/>
        <v>0</v>
      </c>
      <c r="M1131" s="10">
        <f>IF(I1131&lt;&gt;1,"",IF(H1131="","",H1131/CONTROL_PANEL!$B$11))</f>
        <v>0.53225760401432187</v>
      </c>
      <c r="N1131" s="9">
        <f t="shared" si="167"/>
        <v>0</v>
      </c>
      <c r="O1131" s="9">
        <f t="shared" si="168"/>
        <v>0</v>
      </c>
      <c r="P1131" s="9">
        <f t="shared" si="169"/>
        <v>0</v>
      </c>
      <c r="Q1131" s="9">
        <f t="shared" si="170"/>
        <v>0</v>
      </c>
      <c r="R1131" s="11"/>
      <c r="S1131" s="11" t="str">
        <f t="shared" si="171"/>
        <v>PASS</v>
      </c>
    </row>
    <row r="1132" spans="1:19" x14ac:dyDescent="0.25">
      <c r="A1132" s="30" t="s">
        <v>98</v>
      </c>
      <c r="B1132" s="31">
        <f t="shared" si="162"/>
        <v>43647</v>
      </c>
      <c r="C1132" s="30">
        <f>YEAR(BInputReservoir[[#This Row],[Date]])</f>
        <v>2019</v>
      </c>
      <c r="D1132" s="30">
        <f>MONTH(BInputReservoir[[#This Row],[Date]])</f>
        <v>7</v>
      </c>
      <c r="E1132" s="30">
        <f>IF(I1132&lt;&gt;1,"",DATA_INPUT!N50)</f>
        <v>1872520.6087913911</v>
      </c>
      <c r="F1132" s="30">
        <f>STORAGE_BALANCE_ENSEMBLE!BU50</f>
        <v>0</v>
      </c>
      <c r="G1132" s="30">
        <f>STORAGE_BALANCE_ENSEMBLE!BV50</f>
        <v>0</v>
      </c>
      <c r="H1132" s="30">
        <f>STORAGE_BALANCE_ENSEMBLE!BT50</f>
        <v>24072417.942312896</v>
      </c>
      <c r="I1132" s="18">
        <f t="shared" si="163"/>
        <v>1</v>
      </c>
      <c r="J1132" s="8">
        <f t="shared" si="164"/>
        <v>1872520.6087913911</v>
      </c>
      <c r="K1132" s="9">
        <f t="shared" si="165"/>
        <v>0</v>
      </c>
      <c r="L1132" s="10">
        <f t="shared" si="166"/>
        <v>0</v>
      </c>
      <c r="M1132" s="10">
        <f>IF(I1132&lt;&gt;1,"",IF(H1132="","",H1132/CONTROL_PANEL!$B$11))</f>
        <v>0.48144835884625792</v>
      </c>
      <c r="N1132" s="9">
        <f t="shared" si="167"/>
        <v>0</v>
      </c>
      <c r="O1132" s="9">
        <f t="shared" si="168"/>
        <v>0</v>
      </c>
      <c r="P1132" s="9">
        <f t="shared" si="169"/>
        <v>0</v>
      </c>
      <c r="Q1132" s="9">
        <f t="shared" si="170"/>
        <v>0</v>
      </c>
      <c r="R1132" s="11"/>
      <c r="S1132" s="11" t="str">
        <f t="shared" si="171"/>
        <v>PASS</v>
      </c>
    </row>
    <row r="1133" spans="1:19" x14ac:dyDescent="0.25">
      <c r="A1133" s="30" t="s">
        <v>98</v>
      </c>
      <c r="B1133" s="31">
        <f t="shared" si="162"/>
        <v>43678</v>
      </c>
      <c r="C1133" s="30">
        <f>YEAR(BInputReservoir[[#This Row],[Date]])</f>
        <v>2019</v>
      </c>
      <c r="D1133" s="30">
        <f>MONTH(BInputReservoir[[#This Row],[Date]])</f>
        <v>8</v>
      </c>
      <c r="E1133" s="30">
        <f>IF(I1133&lt;&gt;1,"",DATA_INPUT!N51)</f>
        <v>1483695.7122082715</v>
      </c>
      <c r="F1133" s="30">
        <f>STORAGE_BALANCE_ENSEMBLE!BU51</f>
        <v>0</v>
      </c>
      <c r="G1133" s="30">
        <f>STORAGE_BALANCE_ENSEMBLE!BV51</f>
        <v>0</v>
      </c>
      <c r="H1133" s="30">
        <f>STORAGE_BALANCE_ENSEMBLE!BT51</f>
        <v>21993012.152951524</v>
      </c>
      <c r="I1133" s="18">
        <f t="shared" si="163"/>
        <v>1</v>
      </c>
      <c r="J1133" s="8">
        <f t="shared" si="164"/>
        <v>1483695.7122082715</v>
      </c>
      <c r="K1133" s="9">
        <f t="shared" si="165"/>
        <v>0</v>
      </c>
      <c r="L1133" s="10">
        <f t="shared" si="166"/>
        <v>0</v>
      </c>
      <c r="M1133" s="10">
        <f>IF(I1133&lt;&gt;1,"",IF(H1133="","",H1133/CONTROL_PANEL!$B$11))</f>
        <v>0.43986024305903049</v>
      </c>
      <c r="N1133" s="9">
        <f t="shared" si="167"/>
        <v>0</v>
      </c>
      <c r="O1133" s="9">
        <f t="shared" si="168"/>
        <v>0</v>
      </c>
      <c r="P1133" s="9">
        <f t="shared" si="169"/>
        <v>0</v>
      </c>
      <c r="Q1133" s="9">
        <f t="shared" si="170"/>
        <v>0</v>
      </c>
      <c r="R1133" s="11"/>
      <c r="S1133" s="11" t="str">
        <f t="shared" si="171"/>
        <v>PASS</v>
      </c>
    </row>
    <row r="1134" spans="1:19" x14ac:dyDescent="0.25">
      <c r="A1134" s="30" t="s">
        <v>98</v>
      </c>
      <c r="B1134" s="31">
        <f t="shared" si="162"/>
        <v>43709</v>
      </c>
      <c r="C1134" s="30">
        <f>YEAR(BInputReservoir[[#This Row],[Date]])</f>
        <v>2019</v>
      </c>
      <c r="D1134" s="30">
        <f>MONTH(BInputReservoir[[#This Row],[Date]])</f>
        <v>9</v>
      </c>
      <c r="E1134" s="30">
        <f>IF(I1134&lt;&gt;1,"",DATA_INPUT!N52)</f>
        <v>703362.76347025612</v>
      </c>
      <c r="F1134" s="30">
        <f>STORAGE_BALANCE_ENSEMBLE!BU52</f>
        <v>0</v>
      </c>
      <c r="G1134" s="30">
        <f>STORAGE_BALANCE_ENSEMBLE!BV52</f>
        <v>0</v>
      </c>
      <c r="H1134" s="30">
        <f>STORAGE_BALANCE_ENSEMBLE!BT52</f>
        <v>20893583.805909179</v>
      </c>
      <c r="I1134" s="18">
        <f t="shared" si="163"/>
        <v>1</v>
      </c>
      <c r="J1134" s="8">
        <f t="shared" si="164"/>
        <v>703362.76347025612</v>
      </c>
      <c r="K1134" s="9">
        <f t="shared" si="165"/>
        <v>0</v>
      </c>
      <c r="L1134" s="10">
        <f t="shared" si="166"/>
        <v>0</v>
      </c>
      <c r="M1134" s="10">
        <f>IF(I1134&lt;&gt;1,"",IF(H1134="","",H1134/CONTROL_PANEL!$B$11))</f>
        <v>0.4178716761181836</v>
      </c>
      <c r="N1134" s="9">
        <f t="shared" si="167"/>
        <v>0</v>
      </c>
      <c r="O1134" s="9">
        <f t="shared" si="168"/>
        <v>0</v>
      </c>
      <c r="P1134" s="9">
        <f t="shared" si="169"/>
        <v>0</v>
      </c>
      <c r="Q1134" s="9">
        <f t="shared" si="170"/>
        <v>0</v>
      </c>
      <c r="R1134" s="11"/>
      <c r="S1134" s="11" t="str">
        <f t="shared" si="171"/>
        <v>PASS</v>
      </c>
    </row>
    <row r="1135" spans="1:19" x14ac:dyDescent="0.25">
      <c r="A1135" s="30" t="s">
        <v>98</v>
      </c>
      <c r="B1135" s="31">
        <f t="shared" si="162"/>
        <v>43739</v>
      </c>
      <c r="C1135" s="30">
        <f>YEAR(BInputReservoir[[#This Row],[Date]])</f>
        <v>2019</v>
      </c>
      <c r="D1135" s="30">
        <f>MONTH(BInputReservoir[[#This Row],[Date]])</f>
        <v>10</v>
      </c>
      <c r="E1135" s="30">
        <f>IF(I1135&lt;&gt;1,"",DATA_INPUT!N53)</f>
        <v>98978.03015139034</v>
      </c>
      <c r="F1135" s="30">
        <f>STORAGE_BALANCE_ENSEMBLE!BU53</f>
        <v>0</v>
      </c>
      <c r="G1135" s="30">
        <f>STORAGE_BALANCE_ENSEMBLE!BV53</f>
        <v>0</v>
      </c>
      <c r="H1135" s="30">
        <f>STORAGE_BALANCE_ENSEMBLE!BT53</f>
        <v>20826757.31433031</v>
      </c>
      <c r="I1135" s="18">
        <f t="shared" si="163"/>
        <v>1</v>
      </c>
      <c r="J1135" s="8">
        <f t="shared" si="164"/>
        <v>98978.03015139034</v>
      </c>
      <c r="K1135" s="9">
        <f t="shared" si="165"/>
        <v>0</v>
      </c>
      <c r="L1135" s="10">
        <f t="shared" si="166"/>
        <v>0</v>
      </c>
      <c r="M1135" s="10">
        <f>IF(I1135&lt;&gt;1,"",IF(H1135="","",H1135/CONTROL_PANEL!$B$11))</f>
        <v>0.41653514628660621</v>
      </c>
      <c r="N1135" s="9">
        <f t="shared" si="167"/>
        <v>0</v>
      </c>
      <c r="O1135" s="9">
        <f t="shared" si="168"/>
        <v>0</v>
      </c>
      <c r="P1135" s="9">
        <f t="shared" si="169"/>
        <v>0</v>
      </c>
      <c r="Q1135" s="9">
        <f t="shared" si="170"/>
        <v>0</v>
      </c>
      <c r="R1135" s="11"/>
      <c r="S1135" s="11" t="str">
        <f t="shared" si="171"/>
        <v>PASS</v>
      </c>
    </row>
    <row r="1136" spans="1:19" x14ac:dyDescent="0.25">
      <c r="A1136" s="30" t="s">
        <v>98</v>
      </c>
      <c r="B1136" s="31">
        <f t="shared" si="162"/>
        <v>43770</v>
      </c>
      <c r="C1136" s="30">
        <f>YEAR(BInputReservoir[[#This Row],[Date]])</f>
        <v>2019</v>
      </c>
      <c r="D1136" s="30">
        <f>MONTH(BInputReservoir[[#This Row],[Date]])</f>
        <v>11</v>
      </c>
      <c r="E1136" s="30">
        <f>IF(I1136&lt;&gt;1,"",DATA_INPUT!N54)</f>
        <v>0</v>
      </c>
      <c r="F1136" s="30">
        <f>STORAGE_BALANCE_ENSEMBLE!BU54</f>
        <v>0</v>
      </c>
      <c r="G1136" s="30">
        <f>STORAGE_BALANCE_ENSEMBLE!BV54</f>
        <v>0</v>
      </c>
      <c r="H1136" s="30">
        <f>STORAGE_BALANCE_ENSEMBLE!BT54</f>
        <v>22614112.996318899</v>
      </c>
      <c r="I1136" s="18">
        <f t="shared" si="163"/>
        <v>1</v>
      </c>
      <c r="J1136" s="8">
        <f t="shared" si="164"/>
        <v>0</v>
      </c>
      <c r="K1136" s="9">
        <f t="shared" si="165"/>
        <v>0</v>
      </c>
      <c r="L1136" s="10">
        <f t="shared" si="166"/>
        <v>0</v>
      </c>
      <c r="M1136" s="10">
        <f>IF(I1136&lt;&gt;1,"",IF(H1136="","",H1136/CONTROL_PANEL!$B$11))</f>
        <v>0.45228225992637799</v>
      </c>
      <c r="N1136" s="9">
        <f t="shared" si="167"/>
        <v>0</v>
      </c>
      <c r="O1136" s="9">
        <f t="shared" si="168"/>
        <v>0</v>
      </c>
      <c r="P1136" s="9">
        <f t="shared" si="169"/>
        <v>0</v>
      </c>
      <c r="Q1136" s="9">
        <f t="shared" si="170"/>
        <v>0</v>
      </c>
      <c r="R1136" s="11"/>
      <c r="S1136" s="11" t="str">
        <f t="shared" si="171"/>
        <v>PASS</v>
      </c>
    </row>
    <row r="1137" spans="1:19" x14ac:dyDescent="0.25">
      <c r="A1137" s="30" t="s">
        <v>98</v>
      </c>
      <c r="B1137" s="31">
        <f t="shared" si="162"/>
        <v>43800</v>
      </c>
      <c r="C1137" s="30">
        <f>YEAR(BInputReservoir[[#This Row],[Date]])</f>
        <v>2019</v>
      </c>
      <c r="D1137" s="30">
        <f>MONTH(BInputReservoir[[#This Row],[Date]])</f>
        <v>12</v>
      </c>
      <c r="E1137" s="30">
        <f>IF(I1137&lt;&gt;1,"",DATA_INPUT!N55)</f>
        <v>0</v>
      </c>
      <c r="F1137" s="30">
        <f>STORAGE_BALANCE_ENSEMBLE!BU55</f>
        <v>0</v>
      </c>
      <c r="G1137" s="30">
        <f>STORAGE_BALANCE_ENSEMBLE!BV55</f>
        <v>0</v>
      </c>
      <c r="H1137" s="30">
        <f>STORAGE_BALANCE_ENSEMBLE!BT55</f>
        <v>24061126.412837405</v>
      </c>
      <c r="I1137" s="18">
        <f t="shared" si="163"/>
        <v>1</v>
      </c>
      <c r="J1137" s="8">
        <f t="shared" si="164"/>
        <v>0</v>
      </c>
      <c r="K1137" s="9">
        <f t="shared" si="165"/>
        <v>0</v>
      </c>
      <c r="L1137" s="10">
        <f t="shared" si="166"/>
        <v>0</v>
      </c>
      <c r="M1137" s="10">
        <f>IF(I1137&lt;&gt;1,"",IF(H1137="","",H1137/CONTROL_PANEL!$B$11))</f>
        <v>0.48122252825674811</v>
      </c>
      <c r="N1137" s="9">
        <f t="shared" si="167"/>
        <v>0</v>
      </c>
      <c r="O1137" s="9">
        <f t="shared" si="168"/>
        <v>0</v>
      </c>
      <c r="P1137" s="9">
        <f t="shared" si="169"/>
        <v>0</v>
      </c>
      <c r="Q1137" s="9">
        <f t="shared" si="170"/>
        <v>0</v>
      </c>
      <c r="R1137" s="11"/>
      <c r="S1137" s="11" t="str">
        <f t="shared" si="171"/>
        <v>PASS</v>
      </c>
    </row>
    <row r="1138" spans="1:19" x14ac:dyDescent="0.25">
      <c r="A1138" s="30" t="s">
        <v>98</v>
      </c>
      <c r="B1138" s="31">
        <f t="shared" si="162"/>
        <v>43831</v>
      </c>
      <c r="C1138" s="30">
        <f>YEAR(BInputReservoir[[#This Row],[Date]])</f>
        <v>2020</v>
      </c>
      <c r="D1138" s="30">
        <f>MONTH(BInputReservoir[[#This Row],[Date]])</f>
        <v>1</v>
      </c>
      <c r="E1138" s="30">
        <f>IF(I1138&lt;&gt;1,"",DATA_INPUT!N56)</f>
        <v>0</v>
      </c>
      <c r="F1138" s="30">
        <f>STORAGE_BALANCE_ENSEMBLE!BU56</f>
        <v>0</v>
      </c>
      <c r="G1138" s="30">
        <f>STORAGE_BALANCE_ENSEMBLE!BV56</f>
        <v>0</v>
      </c>
      <c r="H1138" s="30">
        <f>STORAGE_BALANCE_ENSEMBLE!BT56</f>
        <v>24505151.734541398</v>
      </c>
      <c r="I1138" s="18">
        <f t="shared" si="163"/>
        <v>1</v>
      </c>
      <c r="J1138" s="8">
        <f t="shared" si="164"/>
        <v>0</v>
      </c>
      <c r="K1138" s="9">
        <f t="shared" si="165"/>
        <v>0</v>
      </c>
      <c r="L1138" s="10">
        <f t="shared" si="166"/>
        <v>0</v>
      </c>
      <c r="M1138" s="10">
        <f>IF(I1138&lt;&gt;1,"",IF(H1138="","",H1138/CONTROL_PANEL!$B$11))</f>
        <v>0.49010303469082794</v>
      </c>
      <c r="N1138" s="9">
        <f t="shared" si="167"/>
        <v>0</v>
      </c>
      <c r="O1138" s="9">
        <f t="shared" si="168"/>
        <v>0</v>
      </c>
      <c r="P1138" s="9">
        <f t="shared" si="169"/>
        <v>0</v>
      </c>
      <c r="Q1138" s="9">
        <f t="shared" si="170"/>
        <v>0</v>
      </c>
      <c r="R1138" s="11"/>
      <c r="S1138" s="11" t="str">
        <f t="shared" si="171"/>
        <v>PASS</v>
      </c>
    </row>
    <row r="1139" spans="1:19" x14ac:dyDescent="0.25">
      <c r="A1139" s="30" t="s">
        <v>98</v>
      </c>
      <c r="B1139" s="31">
        <f t="shared" si="162"/>
        <v>43862</v>
      </c>
      <c r="C1139" s="30">
        <f>YEAR(BInputReservoir[[#This Row],[Date]])</f>
        <v>2020</v>
      </c>
      <c r="D1139" s="30">
        <f>MONTH(BInputReservoir[[#This Row],[Date]])</f>
        <v>2</v>
      </c>
      <c r="E1139" s="30">
        <f>IF(I1139&lt;&gt;1,"",DATA_INPUT!N57)</f>
        <v>0</v>
      </c>
      <c r="F1139" s="30">
        <f>STORAGE_BALANCE_ENSEMBLE!BU57</f>
        <v>0</v>
      </c>
      <c r="G1139" s="30">
        <f>STORAGE_BALANCE_ENSEMBLE!BV57</f>
        <v>0</v>
      </c>
      <c r="H1139" s="30">
        <f>STORAGE_BALANCE_ENSEMBLE!BT57</f>
        <v>24456661.51523485</v>
      </c>
      <c r="I1139" s="18">
        <f t="shared" si="163"/>
        <v>1</v>
      </c>
      <c r="J1139" s="8">
        <f t="shared" si="164"/>
        <v>0</v>
      </c>
      <c r="K1139" s="9">
        <f t="shared" si="165"/>
        <v>0</v>
      </c>
      <c r="L1139" s="10">
        <f t="shared" si="166"/>
        <v>0</v>
      </c>
      <c r="M1139" s="10">
        <f>IF(I1139&lt;&gt;1,"",IF(H1139="","",H1139/CONTROL_PANEL!$B$11))</f>
        <v>0.48913323030469702</v>
      </c>
      <c r="N1139" s="9">
        <f t="shared" si="167"/>
        <v>0</v>
      </c>
      <c r="O1139" s="9">
        <f t="shared" si="168"/>
        <v>0</v>
      </c>
      <c r="P1139" s="9">
        <f t="shared" si="169"/>
        <v>0</v>
      </c>
      <c r="Q1139" s="9">
        <f t="shared" si="170"/>
        <v>0</v>
      </c>
      <c r="R1139" s="11"/>
      <c r="S1139" s="11" t="str">
        <f t="shared" si="171"/>
        <v>PASS</v>
      </c>
    </row>
    <row r="1140" spans="1:19" x14ac:dyDescent="0.25">
      <c r="A1140" s="30" t="s">
        <v>98</v>
      </c>
      <c r="B1140" s="31">
        <f t="shared" si="162"/>
        <v>43891</v>
      </c>
      <c r="C1140" s="30">
        <f>YEAR(BInputReservoir[[#This Row],[Date]])</f>
        <v>2020</v>
      </c>
      <c r="D1140" s="30">
        <f>MONTH(BInputReservoir[[#This Row],[Date]])</f>
        <v>3</v>
      </c>
      <c r="E1140" s="30">
        <f>IF(I1140&lt;&gt;1,"",DATA_INPUT!N58)</f>
        <v>0</v>
      </c>
      <c r="F1140" s="30">
        <f>STORAGE_BALANCE_ENSEMBLE!BU58</f>
        <v>0</v>
      </c>
      <c r="G1140" s="30">
        <f>STORAGE_BALANCE_ENSEMBLE!BV58</f>
        <v>0</v>
      </c>
      <c r="H1140" s="30">
        <f>STORAGE_BALANCE_ENSEMBLE!BT58</f>
        <v>24965434.665004272</v>
      </c>
      <c r="I1140" s="18">
        <f t="shared" si="163"/>
        <v>1</v>
      </c>
      <c r="J1140" s="8">
        <f t="shared" si="164"/>
        <v>0</v>
      </c>
      <c r="K1140" s="9">
        <f t="shared" si="165"/>
        <v>0</v>
      </c>
      <c r="L1140" s="10">
        <f t="shared" si="166"/>
        <v>0</v>
      </c>
      <c r="M1140" s="10">
        <f>IF(I1140&lt;&gt;1,"",IF(H1140="","",H1140/CONTROL_PANEL!$B$11))</f>
        <v>0.49930869330008543</v>
      </c>
      <c r="N1140" s="9">
        <f t="shared" si="167"/>
        <v>0</v>
      </c>
      <c r="O1140" s="9">
        <f t="shared" si="168"/>
        <v>0</v>
      </c>
      <c r="P1140" s="9">
        <f t="shared" si="169"/>
        <v>0</v>
      </c>
      <c r="Q1140" s="9">
        <f t="shared" si="170"/>
        <v>0</v>
      </c>
      <c r="R1140" s="11"/>
      <c r="S1140" s="11" t="str">
        <f t="shared" si="171"/>
        <v>PASS</v>
      </c>
    </row>
    <row r="1141" spans="1:19" x14ac:dyDescent="0.25">
      <c r="A1141" s="30" t="s">
        <v>98</v>
      </c>
      <c r="B1141" s="31">
        <f t="shared" si="162"/>
        <v>43922</v>
      </c>
      <c r="C1141" s="30">
        <f>YEAR(BInputReservoir[[#This Row],[Date]])</f>
        <v>2020</v>
      </c>
      <c r="D1141" s="30">
        <f>MONTH(BInputReservoir[[#This Row],[Date]])</f>
        <v>4</v>
      </c>
      <c r="E1141" s="30">
        <f>IF(I1141&lt;&gt;1,"",DATA_INPUT!N59)</f>
        <v>73.190807321559319</v>
      </c>
      <c r="F1141" s="30">
        <f>STORAGE_BALANCE_ENSEMBLE!BU59</f>
        <v>0</v>
      </c>
      <c r="G1141" s="30">
        <f>STORAGE_BALANCE_ENSEMBLE!BV59</f>
        <v>0</v>
      </c>
      <c r="H1141" s="30">
        <f>STORAGE_BALANCE_ENSEMBLE!BT59</f>
        <v>25322353.094186112</v>
      </c>
      <c r="I1141" s="18">
        <f t="shared" si="163"/>
        <v>1</v>
      </c>
      <c r="J1141" s="8">
        <f t="shared" si="164"/>
        <v>73.190807321559319</v>
      </c>
      <c r="K1141" s="9">
        <f t="shared" si="165"/>
        <v>0</v>
      </c>
      <c r="L1141" s="10">
        <f t="shared" si="166"/>
        <v>0</v>
      </c>
      <c r="M1141" s="10">
        <f>IF(I1141&lt;&gt;1,"",IF(H1141="","",H1141/CONTROL_PANEL!$B$11))</f>
        <v>0.50644706188372224</v>
      </c>
      <c r="N1141" s="9">
        <f t="shared" si="167"/>
        <v>0</v>
      </c>
      <c r="O1141" s="9">
        <f t="shared" si="168"/>
        <v>0</v>
      </c>
      <c r="P1141" s="9">
        <f t="shared" si="169"/>
        <v>0</v>
      </c>
      <c r="Q1141" s="9">
        <f t="shared" si="170"/>
        <v>0</v>
      </c>
      <c r="R1141" s="11"/>
      <c r="S1141" s="11" t="str">
        <f t="shared" si="171"/>
        <v>PASS</v>
      </c>
    </row>
    <row r="1142" spans="1:19" x14ac:dyDescent="0.25">
      <c r="A1142" s="30" t="s">
        <v>98</v>
      </c>
      <c r="B1142" s="31">
        <f t="shared" si="162"/>
        <v>43952</v>
      </c>
      <c r="C1142" s="30">
        <f>YEAR(BInputReservoir[[#This Row],[Date]])</f>
        <v>2020</v>
      </c>
      <c r="D1142" s="30">
        <f>MONTH(BInputReservoir[[#This Row],[Date]])</f>
        <v>5</v>
      </c>
      <c r="E1142" s="30">
        <f>IF(I1142&lt;&gt;1,"",DATA_INPUT!N60)</f>
        <v>135376.31212295874</v>
      </c>
      <c r="F1142" s="30">
        <f>STORAGE_BALANCE_ENSEMBLE!BU60</f>
        <v>0</v>
      </c>
      <c r="G1142" s="30">
        <f>STORAGE_BALANCE_ENSEMBLE!BV60</f>
        <v>0</v>
      </c>
      <c r="H1142" s="30">
        <f>STORAGE_BALANCE_ENSEMBLE!BT60</f>
        <v>25034936.576147743</v>
      </c>
      <c r="I1142" s="18">
        <f t="shared" si="163"/>
        <v>1</v>
      </c>
      <c r="J1142" s="8">
        <f t="shared" si="164"/>
        <v>135376.31212295874</v>
      </c>
      <c r="K1142" s="9">
        <f t="shared" si="165"/>
        <v>0</v>
      </c>
      <c r="L1142" s="10">
        <f t="shared" si="166"/>
        <v>0</v>
      </c>
      <c r="M1142" s="10">
        <f>IF(I1142&lt;&gt;1,"",IF(H1142="","",H1142/CONTROL_PANEL!$B$11))</f>
        <v>0.50069873152295485</v>
      </c>
      <c r="N1142" s="9">
        <f t="shared" si="167"/>
        <v>0</v>
      </c>
      <c r="O1142" s="9">
        <f t="shared" si="168"/>
        <v>0</v>
      </c>
      <c r="P1142" s="9">
        <f t="shared" si="169"/>
        <v>0</v>
      </c>
      <c r="Q1142" s="9">
        <f t="shared" si="170"/>
        <v>0</v>
      </c>
      <c r="R1142" s="11"/>
      <c r="S1142" s="11" t="str">
        <f t="shared" si="171"/>
        <v>PASS</v>
      </c>
    </row>
    <row r="1143" spans="1:19" x14ac:dyDescent="0.25">
      <c r="A1143" s="30" t="s">
        <v>98</v>
      </c>
      <c r="B1143" s="31">
        <f t="shared" si="162"/>
        <v>43983</v>
      </c>
      <c r="C1143" s="30">
        <f>YEAR(BInputReservoir[[#This Row],[Date]])</f>
        <v>2020</v>
      </c>
      <c r="D1143" s="30">
        <f>MONTH(BInputReservoir[[#This Row],[Date]])</f>
        <v>6</v>
      </c>
      <c r="E1143" s="30">
        <f>IF(I1143&lt;&gt;1,"",DATA_INPUT!N61)</f>
        <v>783599.49467885017</v>
      </c>
      <c r="F1143" s="30">
        <f>STORAGE_BALANCE_ENSEMBLE!BU61</f>
        <v>0</v>
      </c>
      <c r="G1143" s="30">
        <f>STORAGE_BALANCE_ENSEMBLE!BV61</f>
        <v>0</v>
      </c>
      <c r="H1143" s="30">
        <f>STORAGE_BALANCE_ENSEMBLE!BT61</f>
        <v>23814232.574590243</v>
      </c>
      <c r="I1143" s="18">
        <f t="shared" si="163"/>
        <v>1</v>
      </c>
      <c r="J1143" s="8">
        <f t="shared" si="164"/>
        <v>783599.49467885017</v>
      </c>
      <c r="K1143" s="9">
        <f t="shared" si="165"/>
        <v>0</v>
      </c>
      <c r="L1143" s="10">
        <f t="shared" si="166"/>
        <v>0</v>
      </c>
      <c r="M1143" s="10">
        <f>IF(I1143&lt;&gt;1,"",IF(H1143="","",H1143/CONTROL_PANEL!$B$11))</f>
        <v>0.47628465149180488</v>
      </c>
      <c r="N1143" s="9">
        <f t="shared" si="167"/>
        <v>0</v>
      </c>
      <c r="O1143" s="9">
        <f t="shared" si="168"/>
        <v>0</v>
      </c>
      <c r="P1143" s="9">
        <f t="shared" si="169"/>
        <v>0</v>
      </c>
      <c r="Q1143" s="9">
        <f t="shared" si="170"/>
        <v>0</v>
      </c>
      <c r="R1143" s="11"/>
      <c r="S1143" s="11" t="str">
        <f t="shared" si="171"/>
        <v>PASS</v>
      </c>
    </row>
    <row r="1144" spans="1:19" x14ac:dyDescent="0.25">
      <c r="A1144" s="30" t="s">
        <v>98</v>
      </c>
      <c r="B1144" s="31">
        <f t="shared" si="162"/>
        <v>44013</v>
      </c>
      <c r="C1144" s="30">
        <f>YEAR(BInputReservoir[[#This Row],[Date]])</f>
        <v>2020</v>
      </c>
      <c r="D1144" s="30">
        <f>MONTH(BInputReservoir[[#This Row],[Date]])</f>
        <v>7</v>
      </c>
      <c r="E1144" s="30">
        <f>IF(I1144&lt;&gt;1,"",DATA_INPUT!N62)</f>
        <v>1883820.7083746097</v>
      </c>
      <c r="F1144" s="30">
        <f>STORAGE_BALANCE_ENSEMBLE!BU62</f>
        <v>0</v>
      </c>
      <c r="G1144" s="30">
        <f>STORAGE_BALANCE_ENSEMBLE!BV62</f>
        <v>0</v>
      </c>
      <c r="H1144" s="30">
        <f>STORAGE_BALANCE_ENSEMBLE!BT62</f>
        <v>21388866.334293999</v>
      </c>
      <c r="I1144" s="18">
        <f t="shared" si="163"/>
        <v>1</v>
      </c>
      <c r="J1144" s="8">
        <f t="shared" si="164"/>
        <v>1883820.7083746097</v>
      </c>
      <c r="K1144" s="9">
        <f t="shared" si="165"/>
        <v>0</v>
      </c>
      <c r="L1144" s="10">
        <f t="shared" si="166"/>
        <v>0</v>
      </c>
      <c r="M1144" s="10">
        <f>IF(I1144&lt;&gt;1,"",IF(H1144="","",H1144/CONTROL_PANEL!$B$11))</f>
        <v>0.42777732668587998</v>
      </c>
      <c r="N1144" s="9">
        <f t="shared" si="167"/>
        <v>0</v>
      </c>
      <c r="O1144" s="9">
        <f t="shared" si="168"/>
        <v>0</v>
      </c>
      <c r="P1144" s="9">
        <f t="shared" si="169"/>
        <v>0</v>
      </c>
      <c r="Q1144" s="9">
        <f t="shared" si="170"/>
        <v>0</v>
      </c>
      <c r="R1144" s="11"/>
      <c r="S1144" s="11" t="str">
        <f t="shared" si="171"/>
        <v>PASS</v>
      </c>
    </row>
    <row r="1145" spans="1:19" x14ac:dyDescent="0.25">
      <c r="A1145" s="30" t="s">
        <v>98</v>
      </c>
      <c r="B1145" s="31">
        <f t="shared" si="162"/>
        <v>44044</v>
      </c>
      <c r="C1145" s="30">
        <f>YEAR(BInputReservoir[[#This Row],[Date]])</f>
        <v>2020</v>
      </c>
      <c r="D1145" s="30">
        <f>MONTH(BInputReservoir[[#This Row],[Date]])</f>
        <v>8</v>
      </c>
      <c r="E1145" s="30">
        <f>IF(I1145&lt;&gt;1,"",DATA_INPUT!N63)</f>
        <v>1658736.5865074801</v>
      </c>
      <c r="F1145" s="30">
        <f>STORAGE_BALANCE_ENSEMBLE!BU63</f>
        <v>0</v>
      </c>
      <c r="G1145" s="30">
        <f>STORAGE_BALANCE_ENSEMBLE!BV63</f>
        <v>0</v>
      </c>
      <c r="H1145" s="30">
        <f>STORAGE_BALANCE_ENSEMBLE!BT63</f>
        <v>19319540.214915268</v>
      </c>
      <c r="I1145" s="18">
        <f t="shared" si="163"/>
        <v>1</v>
      </c>
      <c r="J1145" s="8">
        <f t="shared" si="164"/>
        <v>1658736.5865074801</v>
      </c>
      <c r="K1145" s="9">
        <f t="shared" si="165"/>
        <v>0</v>
      </c>
      <c r="L1145" s="10">
        <f t="shared" si="166"/>
        <v>0</v>
      </c>
      <c r="M1145" s="10">
        <f>IF(I1145&lt;&gt;1,"",IF(H1145="","",H1145/CONTROL_PANEL!$B$11))</f>
        <v>0.38639080429830536</v>
      </c>
      <c r="N1145" s="9">
        <f t="shared" si="167"/>
        <v>0</v>
      </c>
      <c r="O1145" s="9">
        <f t="shared" si="168"/>
        <v>0</v>
      </c>
      <c r="P1145" s="9">
        <f t="shared" si="169"/>
        <v>0</v>
      </c>
      <c r="Q1145" s="9">
        <f t="shared" si="170"/>
        <v>0</v>
      </c>
      <c r="R1145" s="11"/>
      <c r="S1145" s="11" t="str">
        <f t="shared" si="171"/>
        <v>PASS</v>
      </c>
    </row>
    <row r="1146" spans="1:19" x14ac:dyDescent="0.25">
      <c r="A1146" s="30" t="s">
        <v>98</v>
      </c>
      <c r="B1146" s="31">
        <f t="shared" si="162"/>
        <v>44075</v>
      </c>
      <c r="C1146" s="30">
        <f>YEAR(BInputReservoir[[#This Row],[Date]])</f>
        <v>2020</v>
      </c>
      <c r="D1146" s="30">
        <f>MONTH(BInputReservoir[[#This Row],[Date]])</f>
        <v>9</v>
      </c>
      <c r="E1146" s="30">
        <f>IF(I1146&lt;&gt;1,"",DATA_INPUT!N64)</f>
        <v>582898.05770375661</v>
      </c>
      <c r="F1146" s="30">
        <f>STORAGE_BALANCE_ENSEMBLE!BU64</f>
        <v>0</v>
      </c>
      <c r="G1146" s="30">
        <f>STORAGE_BALANCE_ENSEMBLE!BV64</f>
        <v>0</v>
      </c>
      <c r="H1146" s="30">
        <f>STORAGE_BALANCE_ENSEMBLE!BT64</f>
        <v>18721103.18893373</v>
      </c>
      <c r="I1146" s="18">
        <f t="shared" si="163"/>
        <v>1</v>
      </c>
      <c r="J1146" s="8">
        <f t="shared" si="164"/>
        <v>582898.05770375661</v>
      </c>
      <c r="K1146" s="9">
        <f t="shared" si="165"/>
        <v>0</v>
      </c>
      <c r="L1146" s="10">
        <f t="shared" si="166"/>
        <v>0</v>
      </c>
      <c r="M1146" s="10">
        <f>IF(I1146&lt;&gt;1,"",IF(H1146="","",H1146/CONTROL_PANEL!$B$11))</f>
        <v>0.3744220637786746</v>
      </c>
      <c r="N1146" s="9">
        <f t="shared" si="167"/>
        <v>0</v>
      </c>
      <c r="O1146" s="9">
        <f t="shared" si="168"/>
        <v>0</v>
      </c>
      <c r="P1146" s="9">
        <f t="shared" si="169"/>
        <v>0</v>
      </c>
      <c r="Q1146" s="9">
        <f t="shared" si="170"/>
        <v>0</v>
      </c>
      <c r="R1146" s="11"/>
      <c r="S1146" s="11" t="str">
        <f t="shared" si="171"/>
        <v>PASS</v>
      </c>
    </row>
    <row r="1147" spans="1:19" x14ac:dyDescent="0.25">
      <c r="A1147" s="30" t="s">
        <v>98</v>
      </c>
      <c r="B1147" s="31">
        <f t="shared" si="162"/>
        <v>44105</v>
      </c>
      <c r="C1147" s="30">
        <f>YEAR(BInputReservoir[[#This Row],[Date]])</f>
        <v>2020</v>
      </c>
      <c r="D1147" s="30">
        <f>MONTH(BInputReservoir[[#This Row],[Date]])</f>
        <v>10</v>
      </c>
      <c r="E1147" s="30">
        <f>IF(I1147&lt;&gt;1,"",DATA_INPUT!N65)</f>
        <v>99182.815501710458</v>
      </c>
      <c r="F1147" s="30">
        <f>STORAGE_BALANCE_ENSEMBLE!BU65</f>
        <v>0</v>
      </c>
      <c r="G1147" s="30">
        <f>STORAGE_BALANCE_ENSEMBLE!BV65</f>
        <v>0</v>
      </c>
      <c r="H1147" s="30">
        <f>STORAGE_BALANCE_ENSEMBLE!BT65</f>
        <v>19364811.69801924</v>
      </c>
      <c r="I1147" s="18">
        <f t="shared" si="163"/>
        <v>1</v>
      </c>
      <c r="J1147" s="8">
        <f t="shared" si="164"/>
        <v>99182.815501710458</v>
      </c>
      <c r="K1147" s="9">
        <f t="shared" si="165"/>
        <v>0</v>
      </c>
      <c r="L1147" s="10">
        <f t="shared" si="166"/>
        <v>0</v>
      </c>
      <c r="M1147" s="10">
        <f>IF(I1147&lt;&gt;1,"",IF(H1147="","",H1147/CONTROL_PANEL!$B$11))</f>
        <v>0.38729623396038482</v>
      </c>
      <c r="N1147" s="9">
        <f t="shared" si="167"/>
        <v>0</v>
      </c>
      <c r="O1147" s="9">
        <f t="shared" si="168"/>
        <v>0</v>
      </c>
      <c r="P1147" s="9">
        <f t="shared" si="169"/>
        <v>0</v>
      </c>
      <c r="Q1147" s="9">
        <f t="shared" si="170"/>
        <v>0</v>
      </c>
      <c r="R1147" s="11"/>
      <c r="S1147" s="11" t="str">
        <f t="shared" si="171"/>
        <v>PASS</v>
      </c>
    </row>
    <row r="1148" spans="1:19" x14ac:dyDescent="0.25">
      <c r="A1148" s="30" t="s">
        <v>98</v>
      </c>
      <c r="B1148" s="31">
        <f t="shared" si="162"/>
        <v>44136</v>
      </c>
      <c r="C1148" s="30">
        <f>YEAR(BInputReservoir[[#This Row],[Date]])</f>
        <v>2020</v>
      </c>
      <c r="D1148" s="30">
        <f>MONTH(BInputReservoir[[#This Row],[Date]])</f>
        <v>11</v>
      </c>
      <c r="E1148" s="30">
        <f>IF(I1148&lt;&gt;1,"",DATA_INPUT!N66)</f>
        <v>0</v>
      </c>
      <c r="F1148" s="30">
        <f>STORAGE_BALANCE_ENSEMBLE!BU66</f>
        <v>0</v>
      </c>
      <c r="G1148" s="30">
        <f>STORAGE_BALANCE_ENSEMBLE!BV66</f>
        <v>0</v>
      </c>
      <c r="H1148" s="30">
        <f>STORAGE_BALANCE_ENSEMBLE!BT66</f>
        <v>20217788.682634063</v>
      </c>
      <c r="I1148" s="18">
        <f t="shared" si="163"/>
        <v>1</v>
      </c>
      <c r="J1148" s="8">
        <f t="shared" si="164"/>
        <v>0</v>
      </c>
      <c r="K1148" s="9">
        <f t="shared" si="165"/>
        <v>0</v>
      </c>
      <c r="L1148" s="10">
        <f t="shared" si="166"/>
        <v>0</v>
      </c>
      <c r="M1148" s="10">
        <f>IF(I1148&lt;&gt;1,"",IF(H1148="","",H1148/CONTROL_PANEL!$B$11))</f>
        <v>0.40435577365268127</v>
      </c>
      <c r="N1148" s="9">
        <f t="shared" si="167"/>
        <v>0</v>
      </c>
      <c r="O1148" s="9">
        <f t="shared" si="168"/>
        <v>0</v>
      </c>
      <c r="P1148" s="9">
        <f t="shared" si="169"/>
        <v>0</v>
      </c>
      <c r="Q1148" s="9">
        <f t="shared" si="170"/>
        <v>0</v>
      </c>
      <c r="R1148" s="11"/>
      <c r="S1148" s="11" t="str">
        <f t="shared" si="171"/>
        <v>PASS</v>
      </c>
    </row>
    <row r="1149" spans="1:19" x14ac:dyDescent="0.25">
      <c r="A1149" s="30" t="s">
        <v>98</v>
      </c>
      <c r="B1149" s="31">
        <f t="shared" si="162"/>
        <v>44166</v>
      </c>
      <c r="C1149" s="30">
        <f>YEAR(BInputReservoir[[#This Row],[Date]])</f>
        <v>2020</v>
      </c>
      <c r="D1149" s="30">
        <f>MONTH(BInputReservoir[[#This Row],[Date]])</f>
        <v>12</v>
      </c>
      <c r="E1149" s="30">
        <f>IF(I1149&lt;&gt;1,"",DATA_INPUT!N67)</f>
        <v>0</v>
      </c>
      <c r="F1149" s="30">
        <f>STORAGE_BALANCE_ENSEMBLE!BU67</f>
        <v>0</v>
      </c>
      <c r="G1149" s="30">
        <f>STORAGE_BALANCE_ENSEMBLE!BV67</f>
        <v>0</v>
      </c>
      <c r="H1149" s="30">
        <f>STORAGE_BALANCE_ENSEMBLE!BT67</f>
        <v>21828607.751556631</v>
      </c>
      <c r="I1149" s="18">
        <f t="shared" si="163"/>
        <v>1</v>
      </c>
      <c r="J1149" s="8">
        <f t="shared" si="164"/>
        <v>0</v>
      </c>
      <c r="K1149" s="9">
        <f t="shared" si="165"/>
        <v>0</v>
      </c>
      <c r="L1149" s="10">
        <f t="shared" si="166"/>
        <v>0</v>
      </c>
      <c r="M1149" s="10">
        <f>IF(I1149&lt;&gt;1,"",IF(H1149="","",H1149/CONTROL_PANEL!$B$11))</f>
        <v>0.43657215503113261</v>
      </c>
      <c r="N1149" s="9">
        <f t="shared" si="167"/>
        <v>0</v>
      </c>
      <c r="O1149" s="9">
        <f t="shared" si="168"/>
        <v>0</v>
      </c>
      <c r="P1149" s="9">
        <f t="shared" si="169"/>
        <v>0</v>
      </c>
      <c r="Q1149" s="9">
        <f t="shared" si="170"/>
        <v>0</v>
      </c>
      <c r="R1149" s="11"/>
      <c r="S1149" s="11" t="str">
        <f t="shared" si="171"/>
        <v>PASS</v>
      </c>
    </row>
    <row r="1150" spans="1:19" x14ac:dyDescent="0.25">
      <c r="A1150" s="30" t="s">
        <v>98</v>
      </c>
      <c r="B1150" s="31">
        <f t="shared" si="162"/>
        <v>44197</v>
      </c>
      <c r="C1150" s="30">
        <f>YEAR(BInputReservoir[[#This Row],[Date]])</f>
        <v>2021</v>
      </c>
      <c r="D1150" s="30">
        <f>MONTH(BInputReservoir[[#This Row],[Date]])</f>
        <v>1</v>
      </c>
      <c r="E1150" s="30">
        <f>IF(I1150&lt;&gt;1,"",DATA_INPUT!N68)</f>
        <v>0</v>
      </c>
      <c r="F1150" s="30">
        <f>STORAGE_BALANCE_ENSEMBLE!BU68</f>
        <v>0</v>
      </c>
      <c r="G1150" s="30">
        <f>STORAGE_BALANCE_ENSEMBLE!BV68</f>
        <v>0</v>
      </c>
      <c r="H1150" s="30">
        <f>STORAGE_BALANCE_ENSEMBLE!BT68</f>
        <v>27531459.295197867</v>
      </c>
      <c r="I1150" s="18">
        <f t="shared" si="163"/>
        <v>1</v>
      </c>
      <c r="J1150" s="8">
        <f t="shared" si="164"/>
        <v>0</v>
      </c>
      <c r="K1150" s="9">
        <f t="shared" si="165"/>
        <v>0</v>
      </c>
      <c r="L1150" s="10">
        <f t="shared" si="166"/>
        <v>0</v>
      </c>
      <c r="M1150" s="10">
        <f>IF(I1150&lt;&gt;1,"",IF(H1150="","",H1150/CONTROL_PANEL!$B$11))</f>
        <v>0.55062918590395737</v>
      </c>
      <c r="N1150" s="9">
        <f t="shared" si="167"/>
        <v>0</v>
      </c>
      <c r="O1150" s="9">
        <f t="shared" si="168"/>
        <v>0</v>
      </c>
      <c r="P1150" s="9">
        <f t="shared" si="169"/>
        <v>0</v>
      </c>
      <c r="Q1150" s="9">
        <f t="shared" si="170"/>
        <v>0</v>
      </c>
      <c r="R1150" s="11"/>
      <c r="S1150" s="11" t="str">
        <f t="shared" si="171"/>
        <v>PASS</v>
      </c>
    </row>
    <row r="1151" spans="1:19" x14ac:dyDescent="0.25">
      <c r="A1151" s="30" t="s">
        <v>98</v>
      </c>
      <c r="B1151" s="31">
        <f t="shared" si="162"/>
        <v>44228</v>
      </c>
      <c r="C1151" s="30">
        <f>YEAR(BInputReservoir[[#This Row],[Date]])</f>
        <v>2021</v>
      </c>
      <c r="D1151" s="30">
        <f>MONTH(BInputReservoir[[#This Row],[Date]])</f>
        <v>2</v>
      </c>
      <c r="E1151" s="30">
        <f>IF(I1151&lt;&gt;1,"",DATA_INPUT!N69)</f>
        <v>0</v>
      </c>
      <c r="F1151" s="30">
        <f>STORAGE_BALANCE_ENSEMBLE!BU69</f>
        <v>0</v>
      </c>
      <c r="G1151" s="30">
        <f>STORAGE_BALANCE_ENSEMBLE!BV69</f>
        <v>0</v>
      </c>
      <c r="H1151" s="30">
        <f>STORAGE_BALANCE_ENSEMBLE!BT69</f>
        <v>29327284.511027765</v>
      </c>
      <c r="I1151" s="18">
        <f t="shared" si="163"/>
        <v>1</v>
      </c>
      <c r="J1151" s="8">
        <f t="shared" si="164"/>
        <v>0</v>
      </c>
      <c r="K1151" s="9">
        <f t="shared" si="165"/>
        <v>0</v>
      </c>
      <c r="L1151" s="10">
        <f t="shared" si="166"/>
        <v>0</v>
      </c>
      <c r="M1151" s="10">
        <f>IF(I1151&lt;&gt;1,"",IF(H1151="","",H1151/CONTROL_PANEL!$B$11))</f>
        <v>0.58654569022055525</v>
      </c>
      <c r="N1151" s="9">
        <f t="shared" si="167"/>
        <v>0</v>
      </c>
      <c r="O1151" s="9">
        <f t="shared" si="168"/>
        <v>0</v>
      </c>
      <c r="P1151" s="9">
        <f t="shared" si="169"/>
        <v>0</v>
      </c>
      <c r="Q1151" s="9">
        <f t="shared" si="170"/>
        <v>0</v>
      </c>
      <c r="R1151" s="11"/>
      <c r="S1151" s="11" t="str">
        <f t="shared" ref="S1151:S1158" si="172">IF(COUNTA(A1151:H1151)=0,"",IF(OR(A1151="",C1151="",D1151=""),"ERROR: missing key fields","PASS"))</f>
        <v>PASS</v>
      </c>
    </row>
    <row r="1152" spans="1:19" x14ac:dyDescent="0.25">
      <c r="A1152" s="30" t="s">
        <v>98</v>
      </c>
      <c r="B1152" s="31">
        <f t="shared" ref="B1152:B1215" si="173">B69</f>
        <v>44256</v>
      </c>
      <c r="C1152" s="30">
        <f>YEAR(BInputReservoir[[#This Row],[Date]])</f>
        <v>2021</v>
      </c>
      <c r="D1152" s="30">
        <f>MONTH(BInputReservoir[[#This Row],[Date]])</f>
        <v>3</v>
      </c>
      <c r="E1152" s="30">
        <f>IF(I1152&lt;&gt;1,"",DATA_INPUT!N70)</f>
        <v>0</v>
      </c>
      <c r="F1152" s="30">
        <f>STORAGE_BALANCE_ENSEMBLE!BU70</f>
        <v>0</v>
      </c>
      <c r="G1152" s="30">
        <f>STORAGE_BALANCE_ENSEMBLE!BV70</f>
        <v>0</v>
      </c>
      <c r="H1152" s="30">
        <f>STORAGE_BALANCE_ENSEMBLE!BT70</f>
        <v>29487940.542971458</v>
      </c>
      <c r="I1152" s="18">
        <f t="shared" ref="I1152:I1215" si="174">I69</f>
        <v>1</v>
      </c>
      <c r="J1152" s="8">
        <f t="shared" si="164"/>
        <v>0</v>
      </c>
      <c r="K1152" s="9">
        <f t="shared" si="165"/>
        <v>0</v>
      </c>
      <c r="L1152" s="10">
        <f t="shared" si="166"/>
        <v>0</v>
      </c>
      <c r="M1152" s="10">
        <f>IF(I1152&lt;&gt;1,"",IF(H1152="","",H1152/CONTROL_PANEL!$B$11))</f>
        <v>0.58975881085942916</v>
      </c>
      <c r="N1152" s="9">
        <f t="shared" si="167"/>
        <v>0</v>
      </c>
      <c r="O1152" s="9">
        <f t="shared" si="168"/>
        <v>0</v>
      </c>
      <c r="P1152" s="9">
        <f t="shared" si="169"/>
        <v>0</v>
      </c>
      <c r="Q1152" s="9">
        <f t="shared" si="170"/>
        <v>0</v>
      </c>
      <c r="R1152" s="11"/>
      <c r="S1152" s="11" t="str">
        <f t="shared" si="172"/>
        <v>PASS</v>
      </c>
    </row>
    <row r="1153" spans="1:19" x14ac:dyDescent="0.25">
      <c r="A1153" s="30" t="s">
        <v>98</v>
      </c>
      <c r="B1153" s="31">
        <f t="shared" si="173"/>
        <v>44287</v>
      </c>
      <c r="C1153" s="30">
        <f>YEAR(BInputReservoir[[#This Row],[Date]])</f>
        <v>2021</v>
      </c>
      <c r="D1153" s="30">
        <f>MONTH(BInputReservoir[[#This Row],[Date]])</f>
        <v>4</v>
      </c>
      <c r="E1153" s="30">
        <f>IF(I1153&lt;&gt;1,"",DATA_INPUT!N71)</f>
        <v>29571.792365216857</v>
      </c>
      <c r="F1153" s="30">
        <f>STORAGE_BALANCE_ENSEMBLE!BU71</f>
        <v>0</v>
      </c>
      <c r="G1153" s="30">
        <f>STORAGE_BALANCE_ENSEMBLE!BV71</f>
        <v>0</v>
      </c>
      <c r="H1153" s="30">
        <f>STORAGE_BALANCE_ENSEMBLE!BT71</f>
        <v>29487399.108322646</v>
      </c>
      <c r="I1153" s="18">
        <f t="shared" si="174"/>
        <v>1</v>
      </c>
      <c r="J1153" s="8">
        <f t="shared" si="164"/>
        <v>29571.792365216857</v>
      </c>
      <c r="K1153" s="9">
        <f t="shared" si="165"/>
        <v>0</v>
      </c>
      <c r="L1153" s="10">
        <f t="shared" si="166"/>
        <v>0</v>
      </c>
      <c r="M1153" s="10">
        <f>IF(I1153&lt;&gt;1,"",IF(H1153="","",H1153/CONTROL_PANEL!$B$11))</f>
        <v>0.58974798216645297</v>
      </c>
      <c r="N1153" s="9">
        <f t="shared" si="167"/>
        <v>0</v>
      </c>
      <c r="O1153" s="9">
        <f t="shared" si="168"/>
        <v>0</v>
      </c>
      <c r="P1153" s="9">
        <f t="shared" si="169"/>
        <v>0</v>
      </c>
      <c r="Q1153" s="9">
        <f t="shared" si="170"/>
        <v>0</v>
      </c>
      <c r="R1153" s="11"/>
      <c r="S1153" s="11" t="str">
        <f t="shared" si="172"/>
        <v>PASS</v>
      </c>
    </row>
    <row r="1154" spans="1:19" x14ac:dyDescent="0.25">
      <c r="A1154" s="30" t="s">
        <v>98</v>
      </c>
      <c r="B1154" s="31">
        <f t="shared" si="173"/>
        <v>44317</v>
      </c>
      <c r="C1154" s="30">
        <f>YEAR(BInputReservoir[[#This Row],[Date]])</f>
        <v>2021</v>
      </c>
      <c r="D1154" s="30">
        <f>MONTH(BInputReservoir[[#This Row],[Date]])</f>
        <v>5</v>
      </c>
      <c r="E1154" s="30">
        <f>IF(I1154&lt;&gt;1,"",DATA_INPUT!N72)</f>
        <v>255564.97701368784</v>
      </c>
      <c r="F1154" s="30">
        <f>STORAGE_BALANCE_ENSEMBLE!BU72</f>
        <v>0</v>
      </c>
      <c r="G1154" s="30">
        <f>STORAGE_BALANCE_ENSEMBLE!BV72</f>
        <v>0</v>
      </c>
      <c r="H1154" s="30">
        <f>STORAGE_BALANCE_ENSEMBLE!BT72</f>
        <v>28902258.046912301</v>
      </c>
      <c r="I1154" s="18">
        <f t="shared" si="174"/>
        <v>1</v>
      </c>
      <c r="J1154" s="8">
        <f t="shared" si="164"/>
        <v>255564.97701368784</v>
      </c>
      <c r="K1154" s="9">
        <f t="shared" si="165"/>
        <v>0</v>
      </c>
      <c r="L1154" s="10">
        <f t="shared" si="166"/>
        <v>0</v>
      </c>
      <c r="M1154" s="10">
        <f>IF(I1154&lt;&gt;1,"",IF(H1154="","",H1154/CONTROL_PANEL!$B$11))</f>
        <v>0.57804516093824598</v>
      </c>
      <c r="N1154" s="9">
        <f t="shared" si="167"/>
        <v>0</v>
      </c>
      <c r="O1154" s="9">
        <f t="shared" si="168"/>
        <v>0</v>
      </c>
      <c r="P1154" s="9">
        <f t="shared" si="169"/>
        <v>0</v>
      </c>
      <c r="Q1154" s="9">
        <f t="shared" si="170"/>
        <v>0</v>
      </c>
      <c r="R1154" s="11"/>
      <c r="S1154" s="11" t="str">
        <f t="shared" si="172"/>
        <v>PASS</v>
      </c>
    </row>
    <row r="1155" spans="1:19" x14ac:dyDescent="0.25">
      <c r="A1155" s="30" t="s">
        <v>98</v>
      </c>
      <c r="B1155" s="31">
        <f t="shared" si="173"/>
        <v>44348</v>
      </c>
      <c r="C1155" s="30">
        <f>YEAR(BInputReservoir[[#This Row],[Date]])</f>
        <v>2021</v>
      </c>
      <c r="D1155" s="30">
        <f>MONTH(BInputReservoir[[#This Row],[Date]])</f>
        <v>6</v>
      </c>
      <c r="E1155" s="30">
        <f>IF(I1155&lt;&gt;1,"",DATA_INPUT!N73)</f>
        <v>841811.57185215352</v>
      </c>
      <c r="F1155" s="30">
        <f>STORAGE_BALANCE_ENSEMBLE!BU73</f>
        <v>0</v>
      </c>
      <c r="G1155" s="30">
        <f>STORAGE_BALANCE_ENSEMBLE!BV73</f>
        <v>0</v>
      </c>
      <c r="H1155" s="30">
        <f>STORAGE_BALANCE_ENSEMBLE!BT73</f>
        <v>27565982.690058637</v>
      </c>
      <c r="I1155" s="18">
        <f t="shared" si="174"/>
        <v>1</v>
      </c>
      <c r="J1155" s="8">
        <f t="shared" si="164"/>
        <v>841811.57185215352</v>
      </c>
      <c r="K1155" s="9">
        <f t="shared" si="165"/>
        <v>0</v>
      </c>
      <c r="L1155" s="10">
        <f t="shared" si="166"/>
        <v>0</v>
      </c>
      <c r="M1155" s="10">
        <f>IF(I1155&lt;&gt;1,"",IF(H1155="","",H1155/CONTROL_PANEL!$B$11))</f>
        <v>0.55131965380117276</v>
      </c>
      <c r="N1155" s="9">
        <f t="shared" si="167"/>
        <v>0</v>
      </c>
      <c r="O1155" s="9">
        <f t="shared" si="168"/>
        <v>0</v>
      </c>
      <c r="P1155" s="9">
        <f t="shared" si="169"/>
        <v>0</v>
      </c>
      <c r="Q1155" s="9">
        <f t="shared" si="170"/>
        <v>0</v>
      </c>
      <c r="R1155" s="11"/>
      <c r="S1155" s="11" t="str">
        <f t="shared" si="172"/>
        <v>PASS</v>
      </c>
    </row>
    <row r="1156" spans="1:19" x14ac:dyDescent="0.25">
      <c r="A1156" s="30" t="s">
        <v>98</v>
      </c>
      <c r="B1156" s="31">
        <f t="shared" si="173"/>
        <v>44378</v>
      </c>
      <c r="C1156" s="30">
        <f>YEAR(BInputReservoir[[#This Row],[Date]])</f>
        <v>2021</v>
      </c>
      <c r="D1156" s="30">
        <f>MONTH(BInputReservoir[[#This Row],[Date]])</f>
        <v>7</v>
      </c>
      <c r="E1156" s="30">
        <f>IF(I1156&lt;&gt;1,"",DATA_INPUT!N74)</f>
        <v>1792302.2437231301</v>
      </c>
      <c r="F1156" s="30">
        <f>STORAGE_BALANCE_ENSEMBLE!BU74</f>
        <v>0</v>
      </c>
      <c r="G1156" s="30">
        <f>STORAGE_BALANCE_ENSEMBLE!BV74</f>
        <v>0</v>
      </c>
      <c r="H1156" s="30">
        <f>STORAGE_BALANCE_ENSEMBLE!BT74</f>
        <v>25240179.935463898</v>
      </c>
      <c r="I1156" s="18">
        <f t="shared" si="174"/>
        <v>1</v>
      </c>
      <c r="J1156" s="8">
        <f t="shared" si="164"/>
        <v>1792302.2437231301</v>
      </c>
      <c r="K1156" s="9">
        <f t="shared" si="165"/>
        <v>0</v>
      </c>
      <c r="L1156" s="10">
        <f t="shared" si="166"/>
        <v>0</v>
      </c>
      <c r="M1156" s="10">
        <f>IF(I1156&lt;&gt;1,"",IF(H1156="","",H1156/CONTROL_PANEL!$B$11))</f>
        <v>0.50480359870927793</v>
      </c>
      <c r="N1156" s="9">
        <f t="shared" si="167"/>
        <v>0</v>
      </c>
      <c r="O1156" s="9">
        <f t="shared" si="168"/>
        <v>0</v>
      </c>
      <c r="P1156" s="9">
        <f t="shared" si="169"/>
        <v>0</v>
      </c>
      <c r="Q1156" s="9">
        <f t="shared" si="170"/>
        <v>0</v>
      </c>
      <c r="R1156" s="11"/>
      <c r="S1156" s="11" t="str">
        <f t="shared" si="172"/>
        <v>PASS</v>
      </c>
    </row>
    <row r="1157" spans="1:19" x14ac:dyDescent="0.25">
      <c r="A1157" s="30" t="s">
        <v>98</v>
      </c>
      <c r="B1157" s="31">
        <f t="shared" si="173"/>
        <v>44409</v>
      </c>
      <c r="C1157" s="30">
        <f>YEAR(BInputReservoir[[#This Row],[Date]])</f>
        <v>2021</v>
      </c>
      <c r="D1157" s="30">
        <f>MONTH(BInputReservoir[[#This Row],[Date]])</f>
        <v>8</v>
      </c>
      <c r="E1157" s="30">
        <f>IF(I1157&lt;&gt;1,"",DATA_INPUT!N75)</f>
        <v>2006876.6277713878</v>
      </c>
      <c r="F1157" s="30">
        <f>STORAGE_BALANCE_ENSEMBLE!BU75</f>
        <v>0</v>
      </c>
      <c r="G1157" s="30">
        <f>STORAGE_BALANCE_ENSEMBLE!BV75</f>
        <v>0</v>
      </c>
      <c r="H1157" s="30">
        <f>STORAGE_BALANCE_ENSEMBLE!BT75</f>
        <v>22753491.042338386</v>
      </c>
      <c r="I1157" s="18">
        <f t="shared" si="174"/>
        <v>1</v>
      </c>
      <c r="J1157" s="8">
        <f t="shared" ref="J1157:J1220" si="175">IF(I1157&lt;&gt;1,"",IF(E1157="","",MAX(0,E1157-G1157)))</f>
        <v>2006876.6277713878</v>
      </c>
      <c r="K1157" s="9">
        <f t="shared" ref="K1157:K1220" si="176">IF(I1157&lt;&gt;1,"",IF(OR(G1157="",E1157=""),"",IF(G1157&gt;0,1,0)))</f>
        <v>0</v>
      </c>
      <c r="L1157" s="10">
        <f t="shared" ref="L1157:L1220" si="177">IF(I1157&lt;&gt;1,"",IF(AND(K1157=1,E1157&gt;0),G1157/E1157,0))</f>
        <v>0</v>
      </c>
      <c r="M1157" s="10">
        <f>IF(I1157&lt;&gt;1,"",IF(H1157="","",H1157/CONTROL_PANEL!$B$11))</f>
        <v>0.45506982084676773</v>
      </c>
      <c r="N1157" s="9">
        <f t="shared" ref="N1157:N1220" si="178">IF(I1157&lt;&gt;1,"",IF(AND(K1157=1,A1158=A1157),1,0))</f>
        <v>0</v>
      </c>
      <c r="O1157" s="9">
        <f t="shared" ref="O1157:O1220" si="179">IF(I1157&lt;&gt;1,"",IF(AND(K1157=1,A1158=A1157,K1158=0),1,0))</f>
        <v>0</v>
      </c>
      <c r="P1157" s="9">
        <f t="shared" ref="P1157:P1220" si="180">IF(I1157&lt;&gt;1,"",IF(F1157&gt;0,1,0))</f>
        <v>0</v>
      </c>
      <c r="Q1157" s="9">
        <f t="shared" ref="Q1157:Q1220" si="181">IF(I1157&lt;&gt;1,"",IF(G1157&gt;0,1,0))</f>
        <v>0</v>
      </c>
      <c r="R1157" s="11"/>
      <c r="S1157" s="11" t="str">
        <f t="shared" si="172"/>
        <v>PASS</v>
      </c>
    </row>
    <row r="1158" spans="1:19" x14ac:dyDescent="0.25">
      <c r="A1158" s="30" t="s">
        <v>98</v>
      </c>
      <c r="B1158" s="31">
        <f t="shared" si="173"/>
        <v>44440</v>
      </c>
      <c r="C1158" s="30">
        <f>YEAR(BInputReservoir[[#This Row],[Date]])</f>
        <v>2021</v>
      </c>
      <c r="D1158" s="30">
        <f>MONTH(BInputReservoir[[#This Row],[Date]])</f>
        <v>9</v>
      </c>
      <c r="E1158" s="30">
        <f>IF(I1158&lt;&gt;1,"",DATA_INPUT!N76)</f>
        <v>457472.79831320862</v>
      </c>
      <c r="F1158" s="30">
        <f>STORAGE_BALANCE_ENSEMBLE!BU76</f>
        <v>0</v>
      </c>
      <c r="G1158" s="30">
        <f>STORAGE_BALANCE_ENSEMBLE!BV76</f>
        <v>0</v>
      </c>
      <c r="H1158" s="30">
        <f>STORAGE_BALANCE_ENSEMBLE!BT76</f>
        <v>22189802.826488558</v>
      </c>
      <c r="I1158" s="18">
        <f t="shared" si="174"/>
        <v>1</v>
      </c>
      <c r="J1158" s="8">
        <f t="shared" si="175"/>
        <v>457472.79831320862</v>
      </c>
      <c r="K1158" s="9">
        <f t="shared" si="176"/>
        <v>0</v>
      </c>
      <c r="L1158" s="10">
        <f t="shared" si="177"/>
        <v>0</v>
      </c>
      <c r="M1158" s="10">
        <f>IF(I1158&lt;&gt;1,"",IF(H1158="","",H1158/CONTROL_PANEL!$B$11))</f>
        <v>0.44379605652977117</v>
      </c>
      <c r="N1158" s="9">
        <f t="shared" si="178"/>
        <v>0</v>
      </c>
      <c r="O1158" s="9">
        <f t="shared" si="179"/>
        <v>0</v>
      </c>
      <c r="P1158" s="9">
        <f t="shared" si="180"/>
        <v>0</v>
      </c>
      <c r="Q1158" s="9">
        <f t="shared" si="181"/>
        <v>0</v>
      </c>
      <c r="R1158" s="11"/>
      <c r="S1158" s="11" t="str">
        <f t="shared" si="172"/>
        <v>PASS</v>
      </c>
    </row>
    <row r="1159" spans="1:19" x14ac:dyDescent="0.25">
      <c r="A1159" s="30" t="s">
        <v>98</v>
      </c>
      <c r="B1159" s="31">
        <f t="shared" si="173"/>
        <v>44470</v>
      </c>
      <c r="C1159" s="30">
        <f>YEAR(BInputReservoir[[#This Row],[Date]])</f>
        <v>2021</v>
      </c>
      <c r="D1159" s="30">
        <f>MONTH(BInputReservoir[[#This Row],[Date]])</f>
        <v>10</v>
      </c>
      <c r="E1159" s="30">
        <f>IF(I1159&lt;&gt;1,"",DATA_INPUT!N77)</f>
        <v>186531.0575064905</v>
      </c>
      <c r="F1159" s="30">
        <f>STORAGE_BALANCE_ENSEMBLE!BU77</f>
        <v>0</v>
      </c>
      <c r="G1159" s="30">
        <f>STORAGE_BALANCE_ENSEMBLE!BV77</f>
        <v>0</v>
      </c>
      <c r="H1159" s="30">
        <f>STORAGE_BALANCE_ENSEMBLE!BT77</f>
        <v>22052992.499453995</v>
      </c>
      <c r="I1159" s="18">
        <f t="shared" si="174"/>
        <v>1</v>
      </c>
      <c r="J1159" s="8">
        <f t="shared" si="175"/>
        <v>186531.0575064905</v>
      </c>
      <c r="K1159" s="9">
        <f t="shared" si="176"/>
        <v>0</v>
      </c>
      <c r="L1159" s="10">
        <f t="shared" si="177"/>
        <v>0</v>
      </c>
      <c r="M1159" s="10">
        <f>IF(I1159&lt;&gt;1,"",IF(H1159="","",H1159/CONTROL_PANEL!$B$11))</f>
        <v>0.44105984998907993</v>
      </c>
      <c r="N1159" s="9">
        <f t="shared" si="178"/>
        <v>0</v>
      </c>
      <c r="O1159" s="9">
        <f t="shared" si="179"/>
        <v>0</v>
      </c>
      <c r="P1159" s="9">
        <f t="shared" si="180"/>
        <v>0</v>
      </c>
      <c r="Q1159" s="9">
        <f t="shared" si="181"/>
        <v>0</v>
      </c>
      <c r="R1159" s="11"/>
      <c r="S1159" s="11" t="str">
        <f t="shared" ref="S1159:S1222" si="182">IF(COUNTA(A1159:H1159)=0,"",IF(OR(A1159="",C1159="",D1159=""),"ERROR: missing key fields","PASS"))</f>
        <v>PASS</v>
      </c>
    </row>
    <row r="1160" spans="1:19" x14ac:dyDescent="0.25">
      <c r="A1160" s="30" t="s">
        <v>98</v>
      </c>
      <c r="B1160" s="31">
        <f t="shared" si="173"/>
        <v>44501</v>
      </c>
      <c r="C1160" s="30">
        <f>YEAR(BInputReservoir[[#This Row],[Date]])</f>
        <v>2021</v>
      </c>
      <c r="D1160" s="30">
        <f>MONTH(BInputReservoir[[#This Row],[Date]])</f>
        <v>11</v>
      </c>
      <c r="E1160" s="30">
        <f>IF(I1160&lt;&gt;1,"",DATA_INPUT!N78)</f>
        <v>0</v>
      </c>
      <c r="F1160" s="30">
        <f>STORAGE_BALANCE_ENSEMBLE!BU78</f>
        <v>0</v>
      </c>
      <c r="G1160" s="30">
        <f>STORAGE_BALANCE_ENSEMBLE!BV78</f>
        <v>0</v>
      </c>
      <c r="H1160" s="30">
        <f>STORAGE_BALANCE_ENSEMBLE!BT78</f>
        <v>22018036.807656858</v>
      </c>
      <c r="I1160" s="18">
        <f t="shared" si="174"/>
        <v>1</v>
      </c>
      <c r="J1160" s="8">
        <f t="shared" si="175"/>
        <v>0</v>
      </c>
      <c r="K1160" s="9">
        <f t="shared" si="176"/>
        <v>0</v>
      </c>
      <c r="L1160" s="10">
        <f t="shared" si="177"/>
        <v>0</v>
      </c>
      <c r="M1160" s="10">
        <f>IF(I1160&lt;&gt;1,"",IF(H1160="","",H1160/CONTROL_PANEL!$B$11))</f>
        <v>0.44036073615313714</v>
      </c>
      <c r="N1160" s="9">
        <f t="shared" si="178"/>
        <v>0</v>
      </c>
      <c r="O1160" s="9">
        <f t="shared" si="179"/>
        <v>0</v>
      </c>
      <c r="P1160" s="9">
        <f t="shared" si="180"/>
        <v>0</v>
      </c>
      <c r="Q1160" s="9">
        <f t="shared" si="181"/>
        <v>0</v>
      </c>
      <c r="R1160" s="11"/>
      <c r="S1160" s="11" t="str">
        <f t="shared" si="182"/>
        <v>PASS</v>
      </c>
    </row>
    <row r="1161" spans="1:19" x14ac:dyDescent="0.25">
      <c r="A1161" s="30" t="s">
        <v>98</v>
      </c>
      <c r="B1161" s="31">
        <f t="shared" si="173"/>
        <v>44531</v>
      </c>
      <c r="C1161" s="30">
        <f>YEAR(BInputReservoir[[#This Row],[Date]])</f>
        <v>2021</v>
      </c>
      <c r="D1161" s="30">
        <f>MONTH(BInputReservoir[[#This Row],[Date]])</f>
        <v>12</v>
      </c>
      <c r="E1161" s="30">
        <f>IF(I1161&lt;&gt;1,"",DATA_INPUT!N79)</f>
        <v>0</v>
      </c>
      <c r="F1161" s="30">
        <f>STORAGE_BALANCE_ENSEMBLE!BU79</f>
        <v>0</v>
      </c>
      <c r="G1161" s="30">
        <f>STORAGE_BALANCE_ENSEMBLE!BV79</f>
        <v>0</v>
      </c>
      <c r="H1161" s="30">
        <f>STORAGE_BALANCE_ENSEMBLE!BT79</f>
        <v>22171730.171508241</v>
      </c>
      <c r="I1161" s="18">
        <f t="shared" si="174"/>
        <v>1</v>
      </c>
      <c r="J1161" s="8">
        <f t="shared" si="175"/>
        <v>0</v>
      </c>
      <c r="K1161" s="9">
        <f t="shared" si="176"/>
        <v>0</v>
      </c>
      <c r="L1161" s="10">
        <f t="shared" si="177"/>
        <v>0</v>
      </c>
      <c r="M1161" s="10">
        <f>IF(I1161&lt;&gt;1,"",IF(H1161="","",H1161/CONTROL_PANEL!$B$11))</f>
        <v>0.44343460343016483</v>
      </c>
      <c r="N1161" s="9">
        <f t="shared" si="178"/>
        <v>0</v>
      </c>
      <c r="O1161" s="9">
        <f t="shared" si="179"/>
        <v>0</v>
      </c>
      <c r="P1161" s="9">
        <f t="shared" si="180"/>
        <v>0</v>
      </c>
      <c r="Q1161" s="9">
        <f t="shared" si="181"/>
        <v>0</v>
      </c>
      <c r="R1161" s="11"/>
      <c r="S1161" s="11" t="str">
        <f t="shared" si="182"/>
        <v>PASS</v>
      </c>
    </row>
    <row r="1162" spans="1:19" x14ac:dyDescent="0.25">
      <c r="A1162" s="30" t="s">
        <v>98</v>
      </c>
      <c r="B1162" s="31">
        <f t="shared" si="173"/>
        <v>44562</v>
      </c>
      <c r="C1162" s="30">
        <f>YEAR(BInputReservoir[[#This Row],[Date]])</f>
        <v>2022</v>
      </c>
      <c r="D1162" s="30">
        <f>MONTH(BInputReservoir[[#This Row],[Date]])</f>
        <v>1</v>
      </c>
      <c r="E1162" s="30">
        <f>IF(I1162&lt;&gt;1,"",DATA_INPUT!N80)</f>
        <v>0</v>
      </c>
      <c r="F1162" s="30">
        <f>STORAGE_BALANCE_ENSEMBLE!BU80</f>
        <v>0</v>
      </c>
      <c r="G1162" s="30">
        <f>STORAGE_BALANCE_ENSEMBLE!BV80</f>
        <v>0</v>
      </c>
      <c r="H1162" s="30">
        <f>STORAGE_BALANCE_ENSEMBLE!BT80</f>
        <v>22108433.226127367</v>
      </c>
      <c r="I1162" s="18">
        <f t="shared" si="174"/>
        <v>1</v>
      </c>
      <c r="J1162" s="8">
        <f t="shared" si="175"/>
        <v>0</v>
      </c>
      <c r="K1162" s="9">
        <f t="shared" si="176"/>
        <v>0</v>
      </c>
      <c r="L1162" s="10">
        <f t="shared" si="177"/>
        <v>0</v>
      </c>
      <c r="M1162" s="10">
        <f>IF(I1162&lt;&gt;1,"",IF(H1162="","",H1162/CONTROL_PANEL!$B$11))</f>
        <v>0.44216866452254733</v>
      </c>
      <c r="N1162" s="9">
        <f t="shared" si="178"/>
        <v>0</v>
      </c>
      <c r="O1162" s="9">
        <f t="shared" si="179"/>
        <v>0</v>
      </c>
      <c r="P1162" s="9">
        <f t="shared" si="180"/>
        <v>0</v>
      </c>
      <c r="Q1162" s="9">
        <f t="shared" si="181"/>
        <v>0</v>
      </c>
      <c r="R1162" s="11"/>
      <c r="S1162" s="11" t="str">
        <f t="shared" si="182"/>
        <v>PASS</v>
      </c>
    </row>
    <row r="1163" spans="1:19" x14ac:dyDescent="0.25">
      <c r="A1163" s="30" t="s">
        <v>98</v>
      </c>
      <c r="B1163" s="31">
        <f t="shared" si="173"/>
        <v>44593</v>
      </c>
      <c r="C1163" s="30">
        <f>YEAR(BInputReservoir[[#This Row],[Date]])</f>
        <v>2022</v>
      </c>
      <c r="D1163" s="30">
        <f>MONTH(BInputReservoir[[#This Row],[Date]])</f>
        <v>2</v>
      </c>
      <c r="E1163" s="30">
        <f>IF(I1163&lt;&gt;1,"",DATA_INPUT!N81)</f>
        <v>0</v>
      </c>
      <c r="F1163" s="30">
        <f>STORAGE_BALANCE_ENSEMBLE!BU81</f>
        <v>0</v>
      </c>
      <c r="G1163" s="30">
        <f>STORAGE_BALANCE_ENSEMBLE!BV81</f>
        <v>0</v>
      </c>
      <c r="H1163" s="30">
        <f>STORAGE_BALANCE_ENSEMBLE!BT81</f>
        <v>22249931.742677689</v>
      </c>
      <c r="I1163" s="18">
        <f t="shared" si="174"/>
        <v>1</v>
      </c>
      <c r="J1163" s="8">
        <f t="shared" si="175"/>
        <v>0</v>
      </c>
      <c r="K1163" s="9">
        <f t="shared" si="176"/>
        <v>0</v>
      </c>
      <c r="L1163" s="10">
        <f t="shared" si="177"/>
        <v>0</v>
      </c>
      <c r="M1163" s="10">
        <f>IF(I1163&lt;&gt;1,"",IF(H1163="","",H1163/CONTROL_PANEL!$B$11))</f>
        <v>0.44499863485355379</v>
      </c>
      <c r="N1163" s="9">
        <f t="shared" si="178"/>
        <v>0</v>
      </c>
      <c r="O1163" s="9">
        <f t="shared" si="179"/>
        <v>0</v>
      </c>
      <c r="P1163" s="9">
        <f t="shared" si="180"/>
        <v>0</v>
      </c>
      <c r="Q1163" s="9">
        <f t="shared" si="181"/>
        <v>0</v>
      </c>
      <c r="R1163" s="11"/>
      <c r="S1163" s="11" t="str">
        <f t="shared" si="182"/>
        <v>PASS</v>
      </c>
    </row>
    <row r="1164" spans="1:19" x14ac:dyDescent="0.25">
      <c r="A1164" s="30" t="s">
        <v>98</v>
      </c>
      <c r="B1164" s="31">
        <f t="shared" si="173"/>
        <v>44621</v>
      </c>
      <c r="C1164" s="30">
        <f>YEAR(BInputReservoir[[#This Row],[Date]])</f>
        <v>2022</v>
      </c>
      <c r="D1164" s="30">
        <f>MONTH(BInputReservoir[[#This Row],[Date]])</f>
        <v>3</v>
      </c>
      <c r="E1164" s="30">
        <f>IF(I1164&lt;&gt;1,"",DATA_INPUT!N82)</f>
        <v>0</v>
      </c>
      <c r="F1164" s="30">
        <f>STORAGE_BALANCE_ENSEMBLE!BU82</f>
        <v>0</v>
      </c>
      <c r="G1164" s="30">
        <f>STORAGE_BALANCE_ENSEMBLE!BV82</f>
        <v>0</v>
      </c>
      <c r="H1164" s="30">
        <f>STORAGE_BALANCE_ENSEMBLE!BT82</f>
        <v>22587568.806836907</v>
      </c>
      <c r="I1164" s="18">
        <f t="shared" si="174"/>
        <v>1</v>
      </c>
      <c r="J1164" s="8">
        <f t="shared" si="175"/>
        <v>0</v>
      </c>
      <c r="K1164" s="9">
        <f t="shared" si="176"/>
        <v>0</v>
      </c>
      <c r="L1164" s="10">
        <f t="shared" si="177"/>
        <v>0</v>
      </c>
      <c r="M1164" s="10">
        <f>IF(I1164&lt;&gt;1,"",IF(H1164="","",H1164/CONTROL_PANEL!$B$11))</f>
        <v>0.45175137613673816</v>
      </c>
      <c r="N1164" s="9">
        <f t="shared" si="178"/>
        <v>0</v>
      </c>
      <c r="O1164" s="9">
        <f t="shared" si="179"/>
        <v>0</v>
      </c>
      <c r="P1164" s="9">
        <f t="shared" si="180"/>
        <v>0</v>
      </c>
      <c r="Q1164" s="9">
        <f t="shared" si="181"/>
        <v>0</v>
      </c>
      <c r="R1164" s="11"/>
      <c r="S1164" s="11" t="str">
        <f t="shared" si="182"/>
        <v>PASS</v>
      </c>
    </row>
    <row r="1165" spans="1:19" x14ac:dyDescent="0.25">
      <c r="A1165" s="30" t="s">
        <v>98</v>
      </c>
      <c r="B1165" s="31">
        <f t="shared" si="173"/>
        <v>44652</v>
      </c>
      <c r="C1165" s="30">
        <f>YEAR(BInputReservoir[[#This Row],[Date]])</f>
        <v>2022</v>
      </c>
      <c r="D1165" s="30">
        <f>MONTH(BInputReservoir[[#This Row],[Date]])</f>
        <v>4</v>
      </c>
      <c r="E1165" s="30">
        <f>IF(I1165&lt;&gt;1,"",DATA_INPUT!N83)</f>
        <v>31765.816303155403</v>
      </c>
      <c r="F1165" s="30">
        <f>STORAGE_BALANCE_ENSEMBLE!BU83</f>
        <v>0</v>
      </c>
      <c r="G1165" s="30">
        <f>STORAGE_BALANCE_ENSEMBLE!BV83</f>
        <v>0</v>
      </c>
      <c r="H1165" s="30">
        <f>STORAGE_BALANCE_ENSEMBLE!BT83</f>
        <v>22482509.670869224</v>
      </c>
      <c r="I1165" s="18">
        <f t="shared" si="174"/>
        <v>1</v>
      </c>
      <c r="J1165" s="8">
        <f t="shared" si="175"/>
        <v>31765.816303155403</v>
      </c>
      <c r="K1165" s="9">
        <f t="shared" si="176"/>
        <v>0</v>
      </c>
      <c r="L1165" s="10">
        <f t="shared" si="177"/>
        <v>0</v>
      </c>
      <c r="M1165" s="10">
        <f>IF(I1165&lt;&gt;1,"",IF(H1165="","",H1165/CONTROL_PANEL!$B$11))</f>
        <v>0.44965019341738449</v>
      </c>
      <c r="N1165" s="9">
        <f t="shared" si="178"/>
        <v>0</v>
      </c>
      <c r="O1165" s="9">
        <f t="shared" si="179"/>
        <v>0</v>
      </c>
      <c r="P1165" s="9">
        <f t="shared" si="180"/>
        <v>0</v>
      </c>
      <c r="Q1165" s="9">
        <f t="shared" si="181"/>
        <v>0</v>
      </c>
      <c r="R1165" s="11"/>
      <c r="S1165" s="11" t="str">
        <f t="shared" si="182"/>
        <v>PASS</v>
      </c>
    </row>
    <row r="1166" spans="1:19" x14ac:dyDescent="0.25">
      <c r="A1166" s="30" t="s">
        <v>98</v>
      </c>
      <c r="B1166" s="31">
        <f t="shared" si="173"/>
        <v>44682</v>
      </c>
      <c r="C1166" s="30">
        <f>YEAR(BInputReservoir[[#This Row],[Date]])</f>
        <v>2022</v>
      </c>
      <c r="D1166" s="30">
        <f>MONTH(BInputReservoir[[#This Row],[Date]])</f>
        <v>5</v>
      </c>
      <c r="E1166" s="30">
        <f>IF(I1166&lt;&gt;1,"",DATA_INPUT!N84)</f>
        <v>689848.2496797702</v>
      </c>
      <c r="F1166" s="30">
        <f>STORAGE_BALANCE_ENSEMBLE!BU84</f>
        <v>0</v>
      </c>
      <c r="G1166" s="30">
        <f>STORAGE_BALANCE_ENSEMBLE!BV84</f>
        <v>0</v>
      </c>
      <c r="H1166" s="30">
        <f>STORAGE_BALANCE_ENSEMBLE!BT84</f>
        <v>21430279.903064553</v>
      </c>
      <c r="I1166" s="18">
        <f t="shared" si="174"/>
        <v>1</v>
      </c>
      <c r="J1166" s="8">
        <f t="shared" si="175"/>
        <v>689848.2496797702</v>
      </c>
      <c r="K1166" s="9">
        <f t="shared" si="176"/>
        <v>0</v>
      </c>
      <c r="L1166" s="10">
        <f t="shared" si="177"/>
        <v>0</v>
      </c>
      <c r="M1166" s="10">
        <f>IF(I1166&lt;&gt;1,"",IF(H1166="","",H1166/CONTROL_PANEL!$B$11))</f>
        <v>0.42860559806129106</v>
      </c>
      <c r="N1166" s="9">
        <f t="shared" si="178"/>
        <v>0</v>
      </c>
      <c r="O1166" s="9">
        <f t="shared" si="179"/>
        <v>0</v>
      </c>
      <c r="P1166" s="9">
        <f t="shared" si="180"/>
        <v>0</v>
      </c>
      <c r="Q1166" s="9">
        <f t="shared" si="181"/>
        <v>0</v>
      </c>
      <c r="R1166" s="11"/>
      <c r="S1166" s="11" t="str">
        <f t="shared" si="182"/>
        <v>PASS</v>
      </c>
    </row>
    <row r="1167" spans="1:19" x14ac:dyDescent="0.25">
      <c r="A1167" s="30" t="s">
        <v>98</v>
      </c>
      <c r="B1167" s="31">
        <f t="shared" si="173"/>
        <v>44713</v>
      </c>
      <c r="C1167" s="30">
        <f>YEAR(BInputReservoir[[#This Row],[Date]])</f>
        <v>2022</v>
      </c>
      <c r="D1167" s="30">
        <f>MONTH(BInputReservoir[[#This Row],[Date]])</f>
        <v>6</v>
      </c>
      <c r="E1167" s="30">
        <f>IF(I1167&lt;&gt;1,"",DATA_INPUT!N85)</f>
        <v>981754.08564433979</v>
      </c>
      <c r="F1167" s="30">
        <f>STORAGE_BALANCE_ENSEMBLE!BU85</f>
        <v>0</v>
      </c>
      <c r="G1167" s="30">
        <f>STORAGE_BALANCE_ENSEMBLE!BV85</f>
        <v>0</v>
      </c>
      <c r="H1167" s="30">
        <f>STORAGE_BALANCE_ENSEMBLE!BT85</f>
        <v>20062533.514888294</v>
      </c>
      <c r="I1167" s="18">
        <f t="shared" si="174"/>
        <v>1</v>
      </c>
      <c r="J1167" s="8">
        <f t="shared" si="175"/>
        <v>981754.08564433979</v>
      </c>
      <c r="K1167" s="9">
        <f t="shared" si="176"/>
        <v>0</v>
      </c>
      <c r="L1167" s="10">
        <f t="shared" si="177"/>
        <v>0</v>
      </c>
      <c r="M1167" s="10">
        <f>IF(I1167&lt;&gt;1,"",IF(H1167="","",H1167/CONTROL_PANEL!$B$11))</f>
        <v>0.4012506702977659</v>
      </c>
      <c r="N1167" s="9">
        <f t="shared" si="178"/>
        <v>0</v>
      </c>
      <c r="O1167" s="9">
        <f t="shared" si="179"/>
        <v>0</v>
      </c>
      <c r="P1167" s="9">
        <f t="shared" si="180"/>
        <v>0</v>
      </c>
      <c r="Q1167" s="9">
        <f t="shared" si="181"/>
        <v>0</v>
      </c>
      <c r="R1167" s="11"/>
      <c r="S1167" s="11" t="str">
        <f t="shared" si="182"/>
        <v>PASS</v>
      </c>
    </row>
    <row r="1168" spans="1:19" x14ac:dyDescent="0.25">
      <c r="A1168" s="30" t="s">
        <v>98</v>
      </c>
      <c r="B1168" s="31">
        <f t="shared" si="173"/>
        <v>44743</v>
      </c>
      <c r="C1168" s="30">
        <f>YEAR(BInputReservoir[[#This Row],[Date]])</f>
        <v>2022</v>
      </c>
      <c r="D1168" s="30">
        <f>MONTH(BInputReservoir[[#This Row],[Date]])</f>
        <v>7</v>
      </c>
      <c r="E1168" s="30">
        <f>IF(I1168&lt;&gt;1,"",DATA_INPUT!N86)</f>
        <v>2375117.8511538594</v>
      </c>
      <c r="F1168" s="30">
        <f>STORAGE_BALANCE_ENSEMBLE!BU86</f>
        <v>0</v>
      </c>
      <c r="G1168" s="30">
        <f>STORAGE_BALANCE_ENSEMBLE!BV86</f>
        <v>0</v>
      </c>
      <c r="H1168" s="30">
        <f>STORAGE_BALANCE_ENSEMBLE!BT86</f>
        <v>17184622.933757562</v>
      </c>
      <c r="I1168" s="18">
        <f t="shared" si="174"/>
        <v>1</v>
      </c>
      <c r="J1168" s="8">
        <f t="shared" si="175"/>
        <v>2375117.8511538594</v>
      </c>
      <c r="K1168" s="9">
        <f t="shared" si="176"/>
        <v>0</v>
      </c>
      <c r="L1168" s="10">
        <f t="shared" si="177"/>
        <v>0</v>
      </c>
      <c r="M1168" s="10">
        <f>IF(I1168&lt;&gt;1,"",IF(H1168="","",H1168/CONTROL_PANEL!$B$11))</f>
        <v>0.34369245867515125</v>
      </c>
      <c r="N1168" s="9">
        <f t="shared" si="178"/>
        <v>0</v>
      </c>
      <c r="O1168" s="9">
        <f t="shared" si="179"/>
        <v>0</v>
      </c>
      <c r="P1168" s="9">
        <f t="shared" si="180"/>
        <v>0</v>
      </c>
      <c r="Q1168" s="9">
        <f t="shared" si="181"/>
        <v>0</v>
      </c>
      <c r="R1168" s="11"/>
      <c r="S1168" s="11" t="str">
        <f t="shared" si="182"/>
        <v>PASS</v>
      </c>
    </row>
    <row r="1169" spans="1:19" x14ac:dyDescent="0.25">
      <c r="A1169" s="30" t="s">
        <v>98</v>
      </c>
      <c r="B1169" s="31">
        <f t="shared" si="173"/>
        <v>44774</v>
      </c>
      <c r="C1169" s="30">
        <f>YEAR(BInputReservoir[[#This Row],[Date]])</f>
        <v>2022</v>
      </c>
      <c r="D1169" s="30">
        <f>MONTH(BInputReservoir[[#This Row],[Date]])</f>
        <v>8</v>
      </c>
      <c r="E1169" s="30">
        <f>IF(I1169&lt;&gt;1,"",DATA_INPUT!N87)</f>
        <v>1986219.1225213783</v>
      </c>
      <c r="F1169" s="30">
        <f>STORAGE_BALANCE_ENSEMBLE!BU87</f>
        <v>0</v>
      </c>
      <c r="G1169" s="30">
        <f>STORAGE_BALANCE_ENSEMBLE!BV87</f>
        <v>0</v>
      </c>
      <c r="H1169" s="30">
        <f>STORAGE_BALANCE_ENSEMBLE!BT87</f>
        <v>14829261.806712583</v>
      </c>
      <c r="I1169" s="18">
        <f t="shared" si="174"/>
        <v>1</v>
      </c>
      <c r="J1169" s="8">
        <f t="shared" si="175"/>
        <v>1986219.1225213783</v>
      </c>
      <c r="K1169" s="9">
        <f t="shared" si="176"/>
        <v>0</v>
      </c>
      <c r="L1169" s="10">
        <f t="shared" si="177"/>
        <v>0</v>
      </c>
      <c r="M1169" s="10">
        <f>IF(I1169&lt;&gt;1,"",IF(H1169="","",H1169/CONTROL_PANEL!$B$11))</f>
        <v>0.29658523613425164</v>
      </c>
      <c r="N1169" s="9">
        <f t="shared" si="178"/>
        <v>0</v>
      </c>
      <c r="O1169" s="9">
        <f t="shared" si="179"/>
        <v>0</v>
      </c>
      <c r="P1169" s="9">
        <f t="shared" si="180"/>
        <v>0</v>
      </c>
      <c r="Q1169" s="9">
        <f t="shared" si="181"/>
        <v>0</v>
      </c>
      <c r="R1169" s="11"/>
      <c r="S1169" s="11" t="str">
        <f t="shared" si="182"/>
        <v>PASS</v>
      </c>
    </row>
    <row r="1170" spans="1:19" x14ac:dyDescent="0.25">
      <c r="A1170" s="30" t="s">
        <v>98</v>
      </c>
      <c r="B1170" s="31">
        <f t="shared" si="173"/>
        <v>44805</v>
      </c>
      <c r="C1170" s="30">
        <f>YEAR(BInputReservoir[[#This Row],[Date]])</f>
        <v>2022</v>
      </c>
      <c r="D1170" s="30">
        <f>MONTH(BInputReservoir[[#This Row],[Date]])</f>
        <v>9</v>
      </c>
      <c r="E1170" s="30">
        <f>IF(I1170&lt;&gt;1,"",DATA_INPUT!N88)</f>
        <v>448846.69360348623</v>
      </c>
      <c r="F1170" s="30">
        <f>STORAGE_BALANCE_ENSEMBLE!BU88</f>
        <v>0</v>
      </c>
      <c r="G1170" s="30">
        <f>STORAGE_BALANCE_ENSEMBLE!BV88</f>
        <v>0</v>
      </c>
      <c r="H1170" s="30">
        <f>STORAGE_BALANCE_ENSEMBLE!BT88</f>
        <v>14310538.217632655</v>
      </c>
      <c r="I1170" s="18">
        <f t="shared" si="174"/>
        <v>1</v>
      </c>
      <c r="J1170" s="8">
        <f t="shared" si="175"/>
        <v>448846.69360348623</v>
      </c>
      <c r="K1170" s="9">
        <f t="shared" si="176"/>
        <v>0</v>
      </c>
      <c r="L1170" s="10">
        <f t="shared" si="177"/>
        <v>0</v>
      </c>
      <c r="M1170" s="10">
        <f>IF(I1170&lt;&gt;1,"",IF(H1170="","",H1170/CONTROL_PANEL!$B$11))</f>
        <v>0.28621076435265308</v>
      </c>
      <c r="N1170" s="9">
        <f t="shared" si="178"/>
        <v>0</v>
      </c>
      <c r="O1170" s="9">
        <f t="shared" si="179"/>
        <v>0</v>
      </c>
      <c r="P1170" s="9">
        <f t="shared" si="180"/>
        <v>0</v>
      </c>
      <c r="Q1170" s="9">
        <f t="shared" si="181"/>
        <v>0</v>
      </c>
      <c r="R1170" s="11"/>
      <c r="S1170" s="11" t="str">
        <f t="shared" si="182"/>
        <v>PASS</v>
      </c>
    </row>
    <row r="1171" spans="1:19" x14ac:dyDescent="0.25">
      <c r="A1171" s="30" t="s">
        <v>98</v>
      </c>
      <c r="B1171" s="31">
        <f t="shared" si="173"/>
        <v>44835</v>
      </c>
      <c r="C1171" s="30">
        <f>YEAR(BInputReservoir[[#This Row],[Date]])</f>
        <v>2022</v>
      </c>
      <c r="D1171" s="30">
        <f>MONTH(BInputReservoir[[#This Row],[Date]])</f>
        <v>10</v>
      </c>
      <c r="E1171" s="30">
        <f>IF(I1171&lt;&gt;1,"",DATA_INPUT!N89)</f>
        <v>179704.21915365092</v>
      </c>
      <c r="F1171" s="30">
        <f>STORAGE_BALANCE_ENSEMBLE!BU89</f>
        <v>0</v>
      </c>
      <c r="G1171" s="30">
        <f>STORAGE_BALANCE_ENSEMBLE!BV89</f>
        <v>0</v>
      </c>
      <c r="H1171" s="30">
        <f>STORAGE_BALANCE_ENSEMBLE!BT89</f>
        <v>14139133.631917369</v>
      </c>
      <c r="I1171" s="18">
        <f t="shared" si="174"/>
        <v>1</v>
      </c>
      <c r="J1171" s="8">
        <f t="shared" si="175"/>
        <v>179704.21915365092</v>
      </c>
      <c r="K1171" s="9">
        <f t="shared" si="176"/>
        <v>0</v>
      </c>
      <c r="L1171" s="10">
        <f t="shared" si="177"/>
        <v>0</v>
      </c>
      <c r="M1171" s="10">
        <f>IF(I1171&lt;&gt;1,"",IF(H1171="","",H1171/CONTROL_PANEL!$B$11))</f>
        <v>0.28278267263834739</v>
      </c>
      <c r="N1171" s="9">
        <f t="shared" si="178"/>
        <v>0</v>
      </c>
      <c r="O1171" s="9">
        <f t="shared" si="179"/>
        <v>0</v>
      </c>
      <c r="P1171" s="9">
        <f t="shared" si="180"/>
        <v>0</v>
      </c>
      <c r="Q1171" s="9">
        <f t="shared" si="181"/>
        <v>0</v>
      </c>
      <c r="R1171" s="11"/>
      <c r="S1171" s="11" t="str">
        <f t="shared" si="182"/>
        <v>PASS</v>
      </c>
    </row>
    <row r="1172" spans="1:19" x14ac:dyDescent="0.25">
      <c r="A1172" s="30" t="s">
        <v>98</v>
      </c>
      <c r="B1172" s="31">
        <f t="shared" si="173"/>
        <v>44866</v>
      </c>
      <c r="C1172" s="30">
        <f>YEAR(BInputReservoir[[#This Row],[Date]])</f>
        <v>2022</v>
      </c>
      <c r="D1172" s="30">
        <f>MONTH(BInputReservoir[[#This Row],[Date]])</f>
        <v>11</v>
      </c>
      <c r="E1172" s="30">
        <f>IF(I1172&lt;&gt;1,"",DATA_INPUT!N90)</f>
        <v>0</v>
      </c>
      <c r="F1172" s="30">
        <f>STORAGE_BALANCE_ENSEMBLE!BU90</f>
        <v>0</v>
      </c>
      <c r="G1172" s="30">
        <f>STORAGE_BALANCE_ENSEMBLE!BV90</f>
        <v>0</v>
      </c>
      <c r="H1172" s="30">
        <f>STORAGE_BALANCE_ENSEMBLE!BT90</f>
        <v>18215074.803134013</v>
      </c>
      <c r="I1172" s="18">
        <f t="shared" si="174"/>
        <v>1</v>
      </c>
      <c r="J1172" s="8">
        <f t="shared" si="175"/>
        <v>0</v>
      </c>
      <c r="K1172" s="9">
        <f t="shared" si="176"/>
        <v>0</v>
      </c>
      <c r="L1172" s="10">
        <f t="shared" si="177"/>
        <v>0</v>
      </c>
      <c r="M1172" s="10">
        <f>IF(I1172&lt;&gt;1,"",IF(H1172="","",H1172/CONTROL_PANEL!$B$11))</f>
        <v>0.36430149606268025</v>
      </c>
      <c r="N1172" s="9">
        <f t="shared" si="178"/>
        <v>0</v>
      </c>
      <c r="O1172" s="9">
        <f t="shared" si="179"/>
        <v>0</v>
      </c>
      <c r="P1172" s="9">
        <f t="shared" si="180"/>
        <v>0</v>
      </c>
      <c r="Q1172" s="9">
        <f t="shared" si="181"/>
        <v>0</v>
      </c>
      <c r="R1172" s="11"/>
      <c r="S1172" s="11" t="str">
        <f t="shared" si="182"/>
        <v>PASS</v>
      </c>
    </row>
    <row r="1173" spans="1:19" x14ac:dyDescent="0.25">
      <c r="A1173" s="30" t="s">
        <v>98</v>
      </c>
      <c r="B1173" s="31">
        <f t="shared" si="173"/>
        <v>44896</v>
      </c>
      <c r="C1173" s="30">
        <f>YEAR(BInputReservoir[[#This Row],[Date]])</f>
        <v>2022</v>
      </c>
      <c r="D1173" s="30">
        <f>MONTH(BInputReservoir[[#This Row],[Date]])</f>
        <v>12</v>
      </c>
      <c r="E1173" s="30">
        <f>IF(I1173&lt;&gt;1,"",DATA_INPUT!N91)</f>
        <v>0</v>
      </c>
      <c r="F1173" s="30">
        <f>STORAGE_BALANCE_ENSEMBLE!BU91</f>
        <v>0</v>
      </c>
      <c r="G1173" s="30">
        <f>STORAGE_BALANCE_ENSEMBLE!BV91</f>
        <v>0</v>
      </c>
      <c r="H1173" s="30">
        <f>STORAGE_BALANCE_ENSEMBLE!BT91</f>
        <v>20093490.302106202</v>
      </c>
      <c r="I1173" s="18">
        <f t="shared" si="174"/>
        <v>1</v>
      </c>
      <c r="J1173" s="8">
        <f t="shared" si="175"/>
        <v>0</v>
      </c>
      <c r="K1173" s="9">
        <f t="shared" si="176"/>
        <v>0</v>
      </c>
      <c r="L1173" s="10">
        <f t="shared" si="177"/>
        <v>0</v>
      </c>
      <c r="M1173" s="10">
        <f>IF(I1173&lt;&gt;1,"",IF(H1173="","",H1173/CONTROL_PANEL!$B$11))</f>
        <v>0.40186980604212402</v>
      </c>
      <c r="N1173" s="9">
        <f t="shared" si="178"/>
        <v>0</v>
      </c>
      <c r="O1173" s="9">
        <f t="shared" si="179"/>
        <v>0</v>
      </c>
      <c r="P1173" s="9">
        <f t="shared" si="180"/>
        <v>0</v>
      </c>
      <c r="Q1173" s="9">
        <f t="shared" si="181"/>
        <v>0</v>
      </c>
      <c r="R1173" s="11"/>
      <c r="S1173" s="11" t="str">
        <f t="shared" si="182"/>
        <v>PASS</v>
      </c>
    </row>
    <row r="1174" spans="1:19" x14ac:dyDescent="0.25">
      <c r="A1174" s="30" t="s">
        <v>98</v>
      </c>
      <c r="B1174" s="31">
        <f t="shared" si="173"/>
        <v>44927</v>
      </c>
      <c r="C1174" s="30">
        <f>YEAR(BInputReservoir[[#This Row],[Date]])</f>
        <v>2023</v>
      </c>
      <c r="D1174" s="30">
        <f>MONTH(BInputReservoir[[#This Row],[Date]])</f>
        <v>1</v>
      </c>
      <c r="E1174" s="30">
        <f>IF(I1174&lt;&gt;1,"",DATA_INPUT!N92)</f>
        <v>0</v>
      </c>
      <c r="F1174" s="30">
        <f>STORAGE_BALANCE_ENSEMBLE!BU92</f>
        <v>0</v>
      </c>
      <c r="G1174" s="30">
        <f>STORAGE_BALANCE_ENSEMBLE!BV92</f>
        <v>0</v>
      </c>
      <c r="H1174" s="30">
        <f>STORAGE_BALANCE_ENSEMBLE!BT92</f>
        <v>20474064.755661882</v>
      </c>
      <c r="I1174" s="18">
        <f t="shared" si="174"/>
        <v>1</v>
      </c>
      <c r="J1174" s="8">
        <f t="shared" si="175"/>
        <v>0</v>
      </c>
      <c r="K1174" s="9">
        <f t="shared" si="176"/>
        <v>0</v>
      </c>
      <c r="L1174" s="10">
        <f t="shared" si="177"/>
        <v>0</v>
      </c>
      <c r="M1174" s="10">
        <f>IF(I1174&lt;&gt;1,"",IF(H1174="","",H1174/CONTROL_PANEL!$B$11))</f>
        <v>0.40948129511323766</v>
      </c>
      <c r="N1174" s="9">
        <f t="shared" si="178"/>
        <v>0</v>
      </c>
      <c r="O1174" s="9">
        <f t="shared" si="179"/>
        <v>0</v>
      </c>
      <c r="P1174" s="9">
        <f t="shared" si="180"/>
        <v>0</v>
      </c>
      <c r="Q1174" s="9">
        <f t="shared" si="181"/>
        <v>0</v>
      </c>
      <c r="R1174" s="11"/>
      <c r="S1174" s="11" t="str">
        <f t="shared" si="182"/>
        <v>PASS</v>
      </c>
    </row>
    <row r="1175" spans="1:19" x14ac:dyDescent="0.25">
      <c r="A1175" s="30" t="s">
        <v>98</v>
      </c>
      <c r="B1175" s="31">
        <f t="shared" si="173"/>
        <v>44958</v>
      </c>
      <c r="C1175" s="30">
        <f>YEAR(BInputReservoir[[#This Row],[Date]])</f>
        <v>2023</v>
      </c>
      <c r="D1175" s="30">
        <f>MONTH(BInputReservoir[[#This Row],[Date]])</f>
        <v>2</v>
      </c>
      <c r="E1175" s="30">
        <f>IF(I1175&lt;&gt;1,"",DATA_INPUT!N93)</f>
        <v>0</v>
      </c>
      <c r="F1175" s="30">
        <f>STORAGE_BALANCE_ENSEMBLE!BU93</f>
        <v>0</v>
      </c>
      <c r="G1175" s="30">
        <f>STORAGE_BALANCE_ENSEMBLE!BV93</f>
        <v>0</v>
      </c>
      <c r="H1175" s="30">
        <f>STORAGE_BALANCE_ENSEMBLE!BT93</f>
        <v>20449747.824569073</v>
      </c>
      <c r="I1175" s="18">
        <f t="shared" si="174"/>
        <v>1</v>
      </c>
      <c r="J1175" s="8">
        <f t="shared" si="175"/>
        <v>0</v>
      </c>
      <c r="K1175" s="9">
        <f t="shared" si="176"/>
        <v>0</v>
      </c>
      <c r="L1175" s="10">
        <f t="shared" si="177"/>
        <v>0</v>
      </c>
      <c r="M1175" s="10">
        <f>IF(I1175&lt;&gt;1,"",IF(H1175="","",H1175/CONTROL_PANEL!$B$11))</f>
        <v>0.40899495649138146</v>
      </c>
      <c r="N1175" s="9">
        <f t="shared" si="178"/>
        <v>0</v>
      </c>
      <c r="O1175" s="9">
        <f t="shared" si="179"/>
        <v>0</v>
      </c>
      <c r="P1175" s="9">
        <f t="shared" si="180"/>
        <v>0</v>
      </c>
      <c r="Q1175" s="9">
        <f t="shared" si="181"/>
        <v>0</v>
      </c>
      <c r="R1175" s="11"/>
      <c r="S1175" s="11" t="str">
        <f t="shared" si="182"/>
        <v>PASS</v>
      </c>
    </row>
    <row r="1176" spans="1:19" x14ac:dyDescent="0.25">
      <c r="A1176" s="30" t="s">
        <v>98</v>
      </c>
      <c r="B1176" s="31">
        <f t="shared" si="173"/>
        <v>44986</v>
      </c>
      <c r="C1176" s="30">
        <f>YEAR(BInputReservoir[[#This Row],[Date]])</f>
        <v>2023</v>
      </c>
      <c r="D1176" s="30">
        <f>MONTH(BInputReservoir[[#This Row],[Date]])</f>
        <v>3</v>
      </c>
      <c r="E1176" s="30">
        <f>IF(I1176&lt;&gt;1,"",DATA_INPUT!N94)</f>
        <v>0</v>
      </c>
      <c r="F1176" s="30">
        <f>STORAGE_BALANCE_ENSEMBLE!BU94</f>
        <v>0</v>
      </c>
      <c r="G1176" s="30">
        <f>STORAGE_BALANCE_ENSEMBLE!BV94</f>
        <v>0</v>
      </c>
      <c r="H1176" s="30">
        <f>STORAGE_BALANCE_ENSEMBLE!BT94</f>
        <v>20360819.89123179</v>
      </c>
      <c r="I1176" s="18">
        <f t="shared" si="174"/>
        <v>1</v>
      </c>
      <c r="J1176" s="8">
        <f t="shared" si="175"/>
        <v>0</v>
      </c>
      <c r="K1176" s="9">
        <f t="shared" si="176"/>
        <v>0</v>
      </c>
      <c r="L1176" s="10">
        <f t="shared" si="177"/>
        <v>0</v>
      </c>
      <c r="M1176" s="10">
        <f>IF(I1176&lt;&gt;1,"",IF(H1176="","",H1176/CONTROL_PANEL!$B$11))</f>
        <v>0.40721639782463581</v>
      </c>
      <c r="N1176" s="9">
        <f t="shared" si="178"/>
        <v>0</v>
      </c>
      <c r="O1176" s="9">
        <f t="shared" si="179"/>
        <v>0</v>
      </c>
      <c r="P1176" s="9">
        <f t="shared" si="180"/>
        <v>0</v>
      </c>
      <c r="Q1176" s="9">
        <f t="shared" si="181"/>
        <v>0</v>
      </c>
      <c r="R1176" s="11"/>
      <c r="S1176" s="11" t="str">
        <f t="shared" si="182"/>
        <v>PASS</v>
      </c>
    </row>
    <row r="1177" spans="1:19" x14ac:dyDescent="0.25">
      <c r="A1177" s="30" t="s">
        <v>98</v>
      </c>
      <c r="B1177" s="31">
        <f t="shared" si="173"/>
        <v>45017</v>
      </c>
      <c r="C1177" s="30">
        <f>YEAR(BInputReservoir[[#This Row],[Date]])</f>
        <v>2023</v>
      </c>
      <c r="D1177" s="30">
        <f>MONTH(BInputReservoir[[#This Row],[Date]])</f>
        <v>4</v>
      </c>
      <c r="E1177" s="30">
        <f>IF(I1177&lt;&gt;1,"",DATA_INPUT!N95)</f>
        <v>285422.7991710928</v>
      </c>
      <c r="F1177" s="30">
        <f>STORAGE_BALANCE_ENSEMBLE!BU95</f>
        <v>0</v>
      </c>
      <c r="G1177" s="30">
        <f>STORAGE_BALANCE_ENSEMBLE!BV95</f>
        <v>0</v>
      </c>
      <c r="H1177" s="30">
        <f>STORAGE_BALANCE_ENSEMBLE!BT95</f>
        <v>19807071.090613086</v>
      </c>
      <c r="I1177" s="18">
        <f t="shared" si="174"/>
        <v>1</v>
      </c>
      <c r="J1177" s="8">
        <f t="shared" si="175"/>
        <v>285422.7991710928</v>
      </c>
      <c r="K1177" s="9">
        <f t="shared" si="176"/>
        <v>0</v>
      </c>
      <c r="L1177" s="10">
        <f t="shared" si="177"/>
        <v>0</v>
      </c>
      <c r="M1177" s="10">
        <f>IF(I1177&lt;&gt;1,"",IF(H1177="","",H1177/CONTROL_PANEL!$B$11))</f>
        <v>0.3961414218122617</v>
      </c>
      <c r="N1177" s="9">
        <f t="shared" si="178"/>
        <v>0</v>
      </c>
      <c r="O1177" s="9">
        <f t="shared" si="179"/>
        <v>0</v>
      </c>
      <c r="P1177" s="9">
        <f t="shared" si="180"/>
        <v>0</v>
      </c>
      <c r="Q1177" s="9">
        <f t="shared" si="181"/>
        <v>0</v>
      </c>
      <c r="R1177" s="11"/>
      <c r="S1177" s="11" t="str">
        <f t="shared" si="182"/>
        <v>PASS</v>
      </c>
    </row>
    <row r="1178" spans="1:19" x14ac:dyDescent="0.25">
      <c r="A1178" s="30" t="s">
        <v>98</v>
      </c>
      <c r="B1178" s="31">
        <f t="shared" si="173"/>
        <v>45047</v>
      </c>
      <c r="C1178" s="30">
        <f>YEAR(BInputReservoir[[#This Row],[Date]])</f>
        <v>2023</v>
      </c>
      <c r="D1178" s="30">
        <f>MONTH(BInputReservoir[[#This Row],[Date]])</f>
        <v>5</v>
      </c>
      <c r="E1178" s="30">
        <f>IF(I1178&lt;&gt;1,"",DATA_INPUT!N96)</f>
        <v>527949.22727414186</v>
      </c>
      <c r="F1178" s="30">
        <f>STORAGE_BALANCE_ENSEMBLE!BU96</f>
        <v>0</v>
      </c>
      <c r="G1178" s="30">
        <f>STORAGE_BALANCE_ENSEMBLE!BV96</f>
        <v>0</v>
      </c>
      <c r="H1178" s="30">
        <f>STORAGE_BALANCE_ENSEMBLE!BT96</f>
        <v>19035288.203319825</v>
      </c>
      <c r="I1178" s="18">
        <f t="shared" si="174"/>
        <v>1</v>
      </c>
      <c r="J1178" s="8">
        <f t="shared" si="175"/>
        <v>527949.22727414186</v>
      </c>
      <c r="K1178" s="9">
        <f t="shared" si="176"/>
        <v>0</v>
      </c>
      <c r="L1178" s="10">
        <f t="shared" si="177"/>
        <v>0</v>
      </c>
      <c r="M1178" s="10">
        <f>IF(I1178&lt;&gt;1,"",IF(H1178="","",H1178/CONTROL_PANEL!$B$11))</f>
        <v>0.3807057640663965</v>
      </c>
      <c r="N1178" s="9">
        <f t="shared" si="178"/>
        <v>0</v>
      </c>
      <c r="O1178" s="9">
        <f t="shared" si="179"/>
        <v>0</v>
      </c>
      <c r="P1178" s="9">
        <f t="shared" si="180"/>
        <v>0</v>
      </c>
      <c r="Q1178" s="9">
        <f t="shared" si="181"/>
        <v>0</v>
      </c>
      <c r="R1178" s="11"/>
      <c r="S1178" s="11" t="str">
        <f t="shared" si="182"/>
        <v>PASS</v>
      </c>
    </row>
    <row r="1179" spans="1:19" x14ac:dyDescent="0.25">
      <c r="A1179" s="30" t="s">
        <v>98</v>
      </c>
      <c r="B1179" s="31">
        <f t="shared" si="173"/>
        <v>45078</v>
      </c>
      <c r="C1179" s="30">
        <f>YEAR(BInputReservoir[[#This Row],[Date]])</f>
        <v>2023</v>
      </c>
      <c r="D1179" s="30">
        <f>MONTH(BInputReservoir[[#This Row],[Date]])</f>
        <v>6</v>
      </c>
      <c r="E1179" s="30">
        <f>IF(I1179&lt;&gt;1,"",DATA_INPUT!N97)</f>
        <v>997886.21387891972</v>
      </c>
      <c r="F1179" s="30">
        <f>STORAGE_BALANCE_ENSEMBLE!BU97</f>
        <v>0</v>
      </c>
      <c r="G1179" s="30">
        <f>STORAGE_BALANCE_ENSEMBLE!BV97</f>
        <v>0</v>
      </c>
      <c r="H1179" s="30">
        <f>STORAGE_BALANCE_ENSEMBLE!BT97</f>
        <v>17711965.56216073</v>
      </c>
      <c r="I1179" s="18">
        <f t="shared" si="174"/>
        <v>1</v>
      </c>
      <c r="J1179" s="8">
        <f t="shared" si="175"/>
        <v>997886.21387891972</v>
      </c>
      <c r="K1179" s="9">
        <f t="shared" si="176"/>
        <v>0</v>
      </c>
      <c r="L1179" s="10">
        <f t="shared" si="177"/>
        <v>0</v>
      </c>
      <c r="M1179" s="10">
        <f>IF(I1179&lt;&gt;1,"",IF(H1179="","",H1179/CONTROL_PANEL!$B$11))</f>
        <v>0.35423931124321462</v>
      </c>
      <c r="N1179" s="9">
        <f t="shared" si="178"/>
        <v>0</v>
      </c>
      <c r="O1179" s="9">
        <f t="shared" si="179"/>
        <v>0</v>
      </c>
      <c r="P1179" s="9">
        <f t="shared" si="180"/>
        <v>0</v>
      </c>
      <c r="Q1179" s="9">
        <f t="shared" si="181"/>
        <v>0</v>
      </c>
      <c r="R1179" s="11"/>
      <c r="S1179" s="11" t="str">
        <f t="shared" si="182"/>
        <v>PASS</v>
      </c>
    </row>
    <row r="1180" spans="1:19" x14ac:dyDescent="0.25">
      <c r="A1180" s="30" t="s">
        <v>98</v>
      </c>
      <c r="B1180" s="31">
        <f t="shared" si="173"/>
        <v>45108</v>
      </c>
      <c r="C1180" s="30">
        <f>YEAR(BInputReservoir[[#This Row],[Date]])</f>
        <v>2023</v>
      </c>
      <c r="D1180" s="30">
        <f>MONTH(BInputReservoir[[#This Row],[Date]])</f>
        <v>7</v>
      </c>
      <c r="E1180" s="30">
        <f>IF(I1180&lt;&gt;1,"",DATA_INPUT!N98)</f>
        <v>2344005.3621077058</v>
      </c>
      <c r="F1180" s="30">
        <f>STORAGE_BALANCE_ENSEMBLE!BU98</f>
        <v>0</v>
      </c>
      <c r="G1180" s="30">
        <f>STORAGE_BALANCE_ENSEMBLE!BV98</f>
        <v>0</v>
      </c>
      <c r="H1180" s="30">
        <f>STORAGE_BALANCE_ENSEMBLE!BT98</f>
        <v>14967490.583731145</v>
      </c>
      <c r="I1180" s="18">
        <f t="shared" si="174"/>
        <v>1</v>
      </c>
      <c r="J1180" s="8">
        <f t="shared" si="175"/>
        <v>2344005.3621077058</v>
      </c>
      <c r="K1180" s="9">
        <f t="shared" si="176"/>
        <v>0</v>
      </c>
      <c r="L1180" s="10">
        <f t="shared" si="177"/>
        <v>0</v>
      </c>
      <c r="M1180" s="10">
        <f>IF(I1180&lt;&gt;1,"",IF(H1180="","",H1180/CONTROL_PANEL!$B$11))</f>
        <v>0.29934981167462288</v>
      </c>
      <c r="N1180" s="9">
        <f t="shared" si="178"/>
        <v>0</v>
      </c>
      <c r="O1180" s="9">
        <f t="shared" si="179"/>
        <v>0</v>
      </c>
      <c r="P1180" s="9">
        <f t="shared" si="180"/>
        <v>0</v>
      </c>
      <c r="Q1180" s="9">
        <f t="shared" si="181"/>
        <v>0</v>
      </c>
      <c r="R1180" s="11"/>
      <c r="S1180" s="11" t="str">
        <f t="shared" si="182"/>
        <v>PASS</v>
      </c>
    </row>
    <row r="1181" spans="1:19" x14ac:dyDescent="0.25">
      <c r="A1181" s="30" t="s">
        <v>98</v>
      </c>
      <c r="B1181" s="31">
        <f t="shared" si="173"/>
        <v>45139</v>
      </c>
      <c r="C1181" s="30">
        <f>YEAR(BInputReservoir[[#This Row],[Date]])</f>
        <v>2023</v>
      </c>
      <c r="D1181" s="30">
        <f>MONTH(BInputReservoir[[#This Row],[Date]])</f>
        <v>8</v>
      </c>
      <c r="E1181" s="30">
        <f>IF(I1181&lt;&gt;1,"",DATA_INPUT!N99)</f>
        <v>2221401.1263390533</v>
      </c>
      <c r="F1181" s="30">
        <f>STORAGE_BALANCE_ENSEMBLE!BU99</f>
        <v>0</v>
      </c>
      <c r="G1181" s="30">
        <f>STORAGE_BALANCE_ENSEMBLE!BV99</f>
        <v>0</v>
      </c>
      <c r="H1181" s="30">
        <f>STORAGE_BALANCE_ENSEMBLE!BT99</f>
        <v>12407264.758795232</v>
      </c>
      <c r="I1181" s="18">
        <f t="shared" si="174"/>
        <v>1</v>
      </c>
      <c r="J1181" s="8">
        <f t="shared" si="175"/>
        <v>2221401.1263390533</v>
      </c>
      <c r="K1181" s="9">
        <f t="shared" si="176"/>
        <v>0</v>
      </c>
      <c r="L1181" s="10">
        <f t="shared" si="177"/>
        <v>0</v>
      </c>
      <c r="M1181" s="10">
        <f>IF(I1181&lt;&gt;1,"",IF(H1181="","",H1181/CONTROL_PANEL!$B$11))</f>
        <v>0.24814529517590464</v>
      </c>
      <c r="N1181" s="9">
        <f t="shared" si="178"/>
        <v>0</v>
      </c>
      <c r="O1181" s="9">
        <f t="shared" si="179"/>
        <v>0</v>
      </c>
      <c r="P1181" s="9">
        <f t="shared" si="180"/>
        <v>0</v>
      </c>
      <c r="Q1181" s="9">
        <f t="shared" si="181"/>
        <v>0</v>
      </c>
      <c r="R1181" s="11"/>
      <c r="S1181" s="11" t="str">
        <f t="shared" si="182"/>
        <v>PASS</v>
      </c>
    </row>
    <row r="1182" spans="1:19" x14ac:dyDescent="0.25">
      <c r="A1182" s="30" t="s">
        <v>98</v>
      </c>
      <c r="B1182" s="31">
        <f t="shared" si="173"/>
        <v>45170</v>
      </c>
      <c r="C1182" s="30">
        <f>YEAR(BInputReservoir[[#This Row],[Date]])</f>
        <v>2023</v>
      </c>
      <c r="D1182" s="30">
        <f>MONTH(BInputReservoir[[#This Row],[Date]])</f>
        <v>9</v>
      </c>
      <c r="E1182" s="30">
        <f>IF(I1182&lt;&gt;1,"",DATA_INPUT!N100)</f>
        <v>616658.11762604851</v>
      </c>
      <c r="F1182" s="30">
        <f>STORAGE_BALANCE_ENSEMBLE!BU100</f>
        <v>0</v>
      </c>
      <c r="G1182" s="30">
        <f>STORAGE_BALANCE_ENSEMBLE!BV100</f>
        <v>0</v>
      </c>
      <c r="H1182" s="30">
        <f>STORAGE_BALANCE_ENSEMBLE!BT100</f>
        <v>12794798.424025016</v>
      </c>
      <c r="I1182" s="18">
        <f t="shared" si="174"/>
        <v>1</v>
      </c>
      <c r="J1182" s="8">
        <f t="shared" si="175"/>
        <v>616658.11762604851</v>
      </c>
      <c r="K1182" s="9">
        <f t="shared" si="176"/>
        <v>0</v>
      </c>
      <c r="L1182" s="10">
        <f t="shared" si="177"/>
        <v>0</v>
      </c>
      <c r="M1182" s="10">
        <f>IF(I1182&lt;&gt;1,"",IF(H1182="","",H1182/CONTROL_PANEL!$B$11))</f>
        <v>0.25589596848050034</v>
      </c>
      <c r="N1182" s="9">
        <f t="shared" si="178"/>
        <v>0</v>
      </c>
      <c r="O1182" s="9">
        <f t="shared" si="179"/>
        <v>0</v>
      </c>
      <c r="P1182" s="9">
        <f t="shared" si="180"/>
        <v>0</v>
      </c>
      <c r="Q1182" s="9">
        <f t="shared" si="181"/>
        <v>0</v>
      </c>
      <c r="R1182" s="11"/>
      <c r="S1182" s="11" t="str">
        <f t="shared" si="182"/>
        <v>PASS</v>
      </c>
    </row>
    <row r="1183" spans="1:19" x14ac:dyDescent="0.25">
      <c r="A1183" s="30" t="s">
        <v>98</v>
      </c>
      <c r="B1183" s="31">
        <f t="shared" si="173"/>
        <v>45200</v>
      </c>
      <c r="C1183" s="30">
        <f>YEAR(BInputReservoir[[#This Row],[Date]])</f>
        <v>2023</v>
      </c>
      <c r="D1183" s="30">
        <f>MONTH(BInputReservoir[[#This Row],[Date]])</f>
        <v>10</v>
      </c>
      <c r="E1183" s="30">
        <f>IF(I1183&lt;&gt;1,"",DATA_INPUT!N101)</f>
        <v>126526.9121943061</v>
      </c>
      <c r="F1183" s="30">
        <f>STORAGE_BALANCE_ENSEMBLE!BU101</f>
        <v>0</v>
      </c>
      <c r="G1183" s="30">
        <f>STORAGE_BALANCE_ENSEMBLE!BV101</f>
        <v>0</v>
      </c>
      <c r="H1183" s="30">
        <f>STORAGE_BALANCE_ENSEMBLE!BT101</f>
        <v>13424478.591628203</v>
      </c>
      <c r="I1183" s="18">
        <f t="shared" si="174"/>
        <v>1</v>
      </c>
      <c r="J1183" s="8">
        <f t="shared" si="175"/>
        <v>126526.9121943061</v>
      </c>
      <c r="K1183" s="9">
        <f t="shared" si="176"/>
        <v>0</v>
      </c>
      <c r="L1183" s="10">
        <f t="shared" si="177"/>
        <v>0</v>
      </c>
      <c r="M1183" s="10">
        <f>IF(I1183&lt;&gt;1,"",IF(H1183="","",H1183/CONTROL_PANEL!$B$11))</f>
        <v>0.26848957183256406</v>
      </c>
      <c r="N1183" s="9">
        <f t="shared" si="178"/>
        <v>0</v>
      </c>
      <c r="O1183" s="9">
        <f t="shared" si="179"/>
        <v>0</v>
      </c>
      <c r="P1183" s="9">
        <f t="shared" si="180"/>
        <v>0</v>
      </c>
      <c r="Q1183" s="9">
        <f t="shared" si="181"/>
        <v>0</v>
      </c>
      <c r="R1183" s="11"/>
      <c r="S1183" s="11" t="str">
        <f t="shared" si="182"/>
        <v>PASS</v>
      </c>
    </row>
    <row r="1184" spans="1:19" x14ac:dyDescent="0.25">
      <c r="A1184" s="30" t="s">
        <v>98</v>
      </c>
      <c r="B1184" s="31">
        <f t="shared" si="173"/>
        <v>45231</v>
      </c>
      <c r="C1184" s="30">
        <f>YEAR(BInputReservoir[[#This Row],[Date]])</f>
        <v>2023</v>
      </c>
      <c r="D1184" s="30">
        <f>MONTH(BInputReservoir[[#This Row],[Date]])</f>
        <v>11</v>
      </c>
      <c r="E1184" s="30">
        <f>IF(I1184&lt;&gt;1,"",DATA_INPUT!N102)</f>
        <v>0</v>
      </c>
      <c r="F1184" s="30">
        <f>STORAGE_BALANCE_ENSEMBLE!BU102</f>
        <v>0</v>
      </c>
      <c r="G1184" s="30">
        <f>STORAGE_BALANCE_ENSEMBLE!BV102</f>
        <v>0</v>
      </c>
      <c r="H1184" s="30">
        <f>STORAGE_BALANCE_ENSEMBLE!BT102</f>
        <v>14813778.15688134</v>
      </c>
      <c r="I1184" s="18">
        <f t="shared" si="174"/>
        <v>1</v>
      </c>
      <c r="J1184" s="8">
        <f t="shared" si="175"/>
        <v>0</v>
      </c>
      <c r="K1184" s="9">
        <f t="shared" si="176"/>
        <v>0</v>
      </c>
      <c r="L1184" s="10">
        <f t="shared" si="177"/>
        <v>0</v>
      </c>
      <c r="M1184" s="10">
        <f>IF(I1184&lt;&gt;1,"",IF(H1184="","",H1184/CONTROL_PANEL!$B$11))</f>
        <v>0.29627556313762682</v>
      </c>
      <c r="N1184" s="9">
        <f t="shared" si="178"/>
        <v>0</v>
      </c>
      <c r="O1184" s="9">
        <f t="shared" si="179"/>
        <v>0</v>
      </c>
      <c r="P1184" s="9">
        <f t="shared" si="180"/>
        <v>0</v>
      </c>
      <c r="Q1184" s="9">
        <f t="shared" si="181"/>
        <v>0</v>
      </c>
      <c r="R1184" s="11"/>
      <c r="S1184" s="11" t="str">
        <f t="shared" si="182"/>
        <v>PASS</v>
      </c>
    </row>
    <row r="1185" spans="1:19" x14ac:dyDescent="0.25">
      <c r="A1185" s="30" t="s">
        <v>98</v>
      </c>
      <c r="B1185" s="31">
        <f t="shared" si="173"/>
        <v>45261</v>
      </c>
      <c r="C1185" s="30">
        <f>YEAR(BInputReservoir[[#This Row],[Date]])</f>
        <v>2023</v>
      </c>
      <c r="D1185" s="30">
        <f>MONTH(BInputReservoir[[#This Row],[Date]])</f>
        <v>12</v>
      </c>
      <c r="E1185" s="30">
        <f>IF(I1185&lt;&gt;1,"",DATA_INPUT!N103)</f>
        <v>0</v>
      </c>
      <c r="F1185" s="30">
        <f>STORAGE_BALANCE_ENSEMBLE!BU103</f>
        <v>0</v>
      </c>
      <c r="G1185" s="30">
        <f>STORAGE_BALANCE_ENSEMBLE!BV103</f>
        <v>0</v>
      </c>
      <c r="H1185" s="30">
        <f>STORAGE_BALANCE_ENSEMBLE!BT103</f>
        <v>18406501.170738071</v>
      </c>
      <c r="I1185" s="18">
        <f t="shared" si="174"/>
        <v>1</v>
      </c>
      <c r="J1185" s="8">
        <f t="shared" si="175"/>
        <v>0</v>
      </c>
      <c r="K1185" s="9">
        <f t="shared" si="176"/>
        <v>0</v>
      </c>
      <c r="L1185" s="10">
        <f t="shared" si="177"/>
        <v>0</v>
      </c>
      <c r="M1185" s="10">
        <f>IF(I1185&lt;&gt;1,"",IF(H1185="","",H1185/CONTROL_PANEL!$B$11))</f>
        <v>0.36813002341476142</v>
      </c>
      <c r="N1185" s="9">
        <f t="shared" si="178"/>
        <v>0</v>
      </c>
      <c r="O1185" s="9">
        <f t="shared" si="179"/>
        <v>0</v>
      </c>
      <c r="P1185" s="9">
        <f t="shared" si="180"/>
        <v>0</v>
      </c>
      <c r="Q1185" s="9">
        <f t="shared" si="181"/>
        <v>0</v>
      </c>
      <c r="R1185" s="11"/>
      <c r="S1185" s="11" t="str">
        <f t="shared" si="182"/>
        <v>PASS</v>
      </c>
    </row>
    <row r="1186" spans="1:19" x14ac:dyDescent="0.25">
      <c r="A1186" s="30" t="s">
        <v>98</v>
      </c>
      <c r="B1186" s="31">
        <f t="shared" si="173"/>
        <v>45292</v>
      </c>
      <c r="C1186" s="30">
        <f>YEAR(BInputReservoir[[#This Row],[Date]])</f>
        <v>2024</v>
      </c>
      <c r="D1186" s="30">
        <f>MONTH(BInputReservoir[[#This Row],[Date]])</f>
        <v>1</v>
      </c>
      <c r="E1186" s="30">
        <f>IF(I1186&lt;&gt;1,"",DATA_INPUT!N104)</f>
        <v>0</v>
      </c>
      <c r="F1186" s="30">
        <f>STORAGE_BALANCE_ENSEMBLE!BU104</f>
        <v>0</v>
      </c>
      <c r="G1186" s="30">
        <f>STORAGE_BALANCE_ENSEMBLE!BV104</f>
        <v>0</v>
      </c>
      <c r="H1186" s="30">
        <f>STORAGE_BALANCE_ENSEMBLE!BT104</f>
        <v>20492300.741151992</v>
      </c>
      <c r="I1186" s="18">
        <f t="shared" si="174"/>
        <v>1</v>
      </c>
      <c r="J1186" s="8">
        <f t="shared" si="175"/>
        <v>0</v>
      </c>
      <c r="K1186" s="9">
        <f t="shared" si="176"/>
        <v>0</v>
      </c>
      <c r="L1186" s="10">
        <f t="shared" si="177"/>
        <v>0</v>
      </c>
      <c r="M1186" s="10">
        <f>IF(I1186&lt;&gt;1,"",IF(H1186="","",H1186/CONTROL_PANEL!$B$11))</f>
        <v>0.40984601482303984</v>
      </c>
      <c r="N1186" s="9">
        <f t="shared" si="178"/>
        <v>0</v>
      </c>
      <c r="O1186" s="9">
        <f t="shared" si="179"/>
        <v>0</v>
      </c>
      <c r="P1186" s="9">
        <f t="shared" si="180"/>
        <v>0</v>
      </c>
      <c r="Q1186" s="9">
        <f t="shared" si="181"/>
        <v>0</v>
      </c>
      <c r="R1186" s="11"/>
      <c r="S1186" s="11" t="str">
        <f t="shared" si="182"/>
        <v>PASS</v>
      </c>
    </row>
    <row r="1187" spans="1:19" x14ac:dyDescent="0.25">
      <c r="A1187" s="30" t="s">
        <v>98</v>
      </c>
      <c r="B1187" s="31">
        <f t="shared" si="173"/>
        <v>45323</v>
      </c>
      <c r="C1187" s="30">
        <f>YEAR(BInputReservoir[[#This Row],[Date]])</f>
        <v>2024</v>
      </c>
      <c r="D1187" s="30">
        <f>MONTH(BInputReservoir[[#This Row],[Date]])</f>
        <v>2</v>
      </c>
      <c r="E1187" s="30">
        <f>IF(I1187&lt;&gt;1,"",DATA_INPUT!N105)</f>
        <v>0</v>
      </c>
      <c r="F1187" s="30">
        <f>STORAGE_BALANCE_ENSEMBLE!BU105</f>
        <v>0</v>
      </c>
      <c r="G1187" s="30">
        <f>STORAGE_BALANCE_ENSEMBLE!BV105</f>
        <v>0</v>
      </c>
      <c r="H1187" s="30">
        <f>STORAGE_BALANCE_ENSEMBLE!BT105</f>
        <v>24467985.909639381</v>
      </c>
      <c r="I1187" s="18">
        <f t="shared" si="174"/>
        <v>1</v>
      </c>
      <c r="J1187" s="8">
        <f t="shared" si="175"/>
        <v>0</v>
      </c>
      <c r="K1187" s="9">
        <f t="shared" si="176"/>
        <v>0</v>
      </c>
      <c r="L1187" s="10">
        <f t="shared" si="177"/>
        <v>0</v>
      </c>
      <c r="M1187" s="10">
        <f>IF(I1187&lt;&gt;1,"",IF(H1187="","",H1187/CONTROL_PANEL!$B$11))</f>
        <v>0.48935971819278762</v>
      </c>
      <c r="N1187" s="9">
        <f t="shared" si="178"/>
        <v>0</v>
      </c>
      <c r="O1187" s="9">
        <f t="shared" si="179"/>
        <v>0</v>
      </c>
      <c r="P1187" s="9">
        <f t="shared" si="180"/>
        <v>0</v>
      </c>
      <c r="Q1187" s="9">
        <f t="shared" si="181"/>
        <v>0</v>
      </c>
      <c r="R1187" s="11"/>
      <c r="S1187" s="11" t="str">
        <f t="shared" si="182"/>
        <v>PASS</v>
      </c>
    </row>
    <row r="1188" spans="1:19" x14ac:dyDescent="0.25">
      <c r="A1188" s="30" t="s">
        <v>98</v>
      </c>
      <c r="B1188" s="31">
        <f t="shared" si="173"/>
        <v>45352</v>
      </c>
      <c r="C1188" s="30">
        <f>YEAR(BInputReservoir[[#This Row],[Date]])</f>
        <v>2024</v>
      </c>
      <c r="D1188" s="30">
        <f>MONTH(BInputReservoir[[#This Row],[Date]])</f>
        <v>3</v>
      </c>
      <c r="E1188" s="30">
        <f>IF(I1188&lt;&gt;1,"",DATA_INPUT!N106)</f>
        <v>0</v>
      </c>
      <c r="F1188" s="30">
        <f>STORAGE_BALANCE_ENSEMBLE!BU106</f>
        <v>0</v>
      </c>
      <c r="G1188" s="30">
        <f>STORAGE_BALANCE_ENSEMBLE!BV106</f>
        <v>0</v>
      </c>
      <c r="H1188" s="30">
        <f>STORAGE_BALANCE_ENSEMBLE!BT106</f>
        <v>25791469.391541276</v>
      </c>
      <c r="I1188" s="18">
        <f t="shared" si="174"/>
        <v>1</v>
      </c>
      <c r="J1188" s="8">
        <f t="shared" si="175"/>
        <v>0</v>
      </c>
      <c r="K1188" s="9">
        <f t="shared" si="176"/>
        <v>0</v>
      </c>
      <c r="L1188" s="10">
        <f t="shared" si="177"/>
        <v>0</v>
      </c>
      <c r="M1188" s="10">
        <f>IF(I1188&lt;&gt;1,"",IF(H1188="","",H1188/CONTROL_PANEL!$B$11))</f>
        <v>0.51582938783082555</v>
      </c>
      <c r="N1188" s="9">
        <f t="shared" si="178"/>
        <v>0</v>
      </c>
      <c r="O1188" s="9">
        <f t="shared" si="179"/>
        <v>0</v>
      </c>
      <c r="P1188" s="9">
        <f t="shared" si="180"/>
        <v>0</v>
      </c>
      <c r="Q1188" s="9">
        <f t="shared" si="181"/>
        <v>0</v>
      </c>
      <c r="R1188" s="11"/>
      <c r="S1188" s="11" t="str">
        <f t="shared" si="182"/>
        <v>PASS</v>
      </c>
    </row>
    <row r="1189" spans="1:19" x14ac:dyDescent="0.25">
      <c r="A1189" s="30" t="s">
        <v>98</v>
      </c>
      <c r="B1189" s="31">
        <f t="shared" si="173"/>
        <v>45383</v>
      </c>
      <c r="C1189" s="30">
        <f>YEAR(BInputReservoir[[#This Row],[Date]])</f>
        <v>2024</v>
      </c>
      <c r="D1189" s="30">
        <f>MONTH(BInputReservoir[[#This Row],[Date]])</f>
        <v>4</v>
      </c>
      <c r="E1189" s="30">
        <f>IF(I1189&lt;&gt;1,"",DATA_INPUT!N107)</f>
        <v>2988.6854299432398</v>
      </c>
      <c r="F1189" s="30">
        <f>STORAGE_BALANCE_ENSEMBLE!BU107</f>
        <v>0</v>
      </c>
      <c r="G1189" s="30">
        <f>STORAGE_BALANCE_ENSEMBLE!BV107</f>
        <v>0</v>
      </c>
      <c r="H1189" s="30">
        <f>STORAGE_BALANCE_ENSEMBLE!BT107</f>
        <v>25858721.685609486</v>
      </c>
      <c r="I1189" s="18">
        <f t="shared" si="174"/>
        <v>1</v>
      </c>
      <c r="J1189" s="8">
        <f t="shared" si="175"/>
        <v>2988.6854299432398</v>
      </c>
      <c r="K1189" s="9">
        <f t="shared" si="176"/>
        <v>0</v>
      </c>
      <c r="L1189" s="10">
        <f t="shared" si="177"/>
        <v>0</v>
      </c>
      <c r="M1189" s="10">
        <f>IF(I1189&lt;&gt;1,"",IF(H1189="","",H1189/CONTROL_PANEL!$B$11))</f>
        <v>0.51717443371218974</v>
      </c>
      <c r="N1189" s="9">
        <f t="shared" si="178"/>
        <v>0</v>
      </c>
      <c r="O1189" s="9">
        <f t="shared" si="179"/>
        <v>0</v>
      </c>
      <c r="P1189" s="9">
        <f t="shared" si="180"/>
        <v>0</v>
      </c>
      <c r="Q1189" s="9">
        <f t="shared" si="181"/>
        <v>0</v>
      </c>
      <c r="R1189" s="11"/>
      <c r="S1189" s="11" t="str">
        <f t="shared" si="182"/>
        <v>PASS</v>
      </c>
    </row>
    <row r="1190" spans="1:19" x14ac:dyDescent="0.25">
      <c r="A1190" s="30" t="s">
        <v>98</v>
      </c>
      <c r="B1190" s="31">
        <f t="shared" si="173"/>
        <v>45413</v>
      </c>
      <c r="C1190" s="30">
        <f>YEAR(BInputReservoir[[#This Row],[Date]])</f>
        <v>2024</v>
      </c>
      <c r="D1190" s="30">
        <f>MONTH(BInputReservoir[[#This Row],[Date]])</f>
        <v>5</v>
      </c>
      <c r="E1190" s="30">
        <f>IF(I1190&lt;&gt;1,"",DATA_INPUT!N108)</f>
        <v>391902.72085975297</v>
      </c>
      <c r="F1190" s="30">
        <f>STORAGE_BALANCE_ENSEMBLE!BU108</f>
        <v>0</v>
      </c>
      <c r="G1190" s="30">
        <f>STORAGE_BALANCE_ENSEMBLE!BV108</f>
        <v>0</v>
      </c>
      <c r="H1190" s="30">
        <f>STORAGE_BALANCE_ENSEMBLE!BT108</f>
        <v>25186772.255753621</v>
      </c>
      <c r="I1190" s="18">
        <f t="shared" si="174"/>
        <v>1</v>
      </c>
      <c r="J1190" s="8">
        <f t="shared" si="175"/>
        <v>391902.72085975297</v>
      </c>
      <c r="K1190" s="9">
        <f t="shared" si="176"/>
        <v>0</v>
      </c>
      <c r="L1190" s="10">
        <f t="shared" si="177"/>
        <v>0</v>
      </c>
      <c r="M1190" s="10">
        <f>IF(I1190&lt;&gt;1,"",IF(H1190="","",H1190/CONTROL_PANEL!$B$11))</f>
        <v>0.5037354451150724</v>
      </c>
      <c r="N1190" s="9">
        <f t="shared" si="178"/>
        <v>0</v>
      </c>
      <c r="O1190" s="9">
        <f t="shared" si="179"/>
        <v>0</v>
      </c>
      <c r="P1190" s="9">
        <f t="shared" si="180"/>
        <v>0</v>
      </c>
      <c r="Q1190" s="9">
        <f t="shared" si="181"/>
        <v>0</v>
      </c>
      <c r="R1190" s="11"/>
      <c r="S1190" s="11" t="str">
        <f t="shared" si="182"/>
        <v>PASS</v>
      </c>
    </row>
    <row r="1191" spans="1:19" x14ac:dyDescent="0.25">
      <c r="A1191" s="30" t="s">
        <v>98</v>
      </c>
      <c r="B1191" s="31">
        <f t="shared" si="173"/>
        <v>45444</v>
      </c>
      <c r="C1191" s="30">
        <f>YEAR(BInputReservoir[[#This Row],[Date]])</f>
        <v>2024</v>
      </c>
      <c r="D1191" s="30">
        <f>MONTH(BInputReservoir[[#This Row],[Date]])</f>
        <v>6</v>
      </c>
      <c r="E1191" s="30">
        <f>IF(I1191&lt;&gt;1,"",DATA_INPUT!N109)</f>
        <v>475125.18836301373</v>
      </c>
      <c r="F1191" s="30">
        <f>STORAGE_BALANCE_ENSEMBLE!BU109</f>
        <v>0</v>
      </c>
      <c r="G1191" s="30">
        <f>STORAGE_BALANCE_ENSEMBLE!BV109</f>
        <v>0</v>
      </c>
      <c r="H1191" s="30">
        <f>STORAGE_BALANCE_ENSEMBLE!BT109</f>
        <v>24417253.641348056</v>
      </c>
      <c r="I1191" s="18">
        <f t="shared" si="174"/>
        <v>1</v>
      </c>
      <c r="J1191" s="8">
        <f t="shared" si="175"/>
        <v>475125.18836301373</v>
      </c>
      <c r="K1191" s="9">
        <f t="shared" si="176"/>
        <v>0</v>
      </c>
      <c r="L1191" s="10">
        <f t="shared" si="177"/>
        <v>0</v>
      </c>
      <c r="M1191" s="10">
        <f>IF(I1191&lt;&gt;1,"",IF(H1191="","",H1191/CONTROL_PANEL!$B$11))</f>
        <v>0.48834507282696116</v>
      </c>
      <c r="N1191" s="9">
        <f t="shared" si="178"/>
        <v>0</v>
      </c>
      <c r="O1191" s="9">
        <f t="shared" si="179"/>
        <v>0</v>
      </c>
      <c r="P1191" s="9">
        <f t="shared" si="180"/>
        <v>0</v>
      </c>
      <c r="Q1191" s="9">
        <f t="shared" si="181"/>
        <v>0</v>
      </c>
      <c r="R1191" s="11"/>
      <c r="S1191" s="11" t="str">
        <f t="shared" si="182"/>
        <v>PASS</v>
      </c>
    </row>
    <row r="1192" spans="1:19" x14ac:dyDescent="0.25">
      <c r="A1192" s="30" t="s">
        <v>98</v>
      </c>
      <c r="B1192" s="31">
        <f t="shared" si="173"/>
        <v>45474</v>
      </c>
      <c r="C1192" s="30">
        <f>YEAR(BInputReservoir[[#This Row],[Date]])</f>
        <v>2024</v>
      </c>
      <c r="D1192" s="30">
        <f>MONTH(BInputReservoir[[#This Row],[Date]])</f>
        <v>7</v>
      </c>
      <c r="E1192" s="30">
        <f>IF(I1192&lt;&gt;1,"",DATA_INPUT!N110)</f>
        <v>1728713.1454048639</v>
      </c>
      <c r="F1192" s="30">
        <f>STORAGE_BALANCE_ENSEMBLE!BU110</f>
        <v>0</v>
      </c>
      <c r="G1192" s="30">
        <f>STORAGE_BALANCE_ENSEMBLE!BV110</f>
        <v>0</v>
      </c>
      <c r="H1192" s="30">
        <f>STORAGE_BALANCE_ENSEMBLE!BT110</f>
        <v>22230105.241360124</v>
      </c>
      <c r="I1192" s="18">
        <f t="shared" si="174"/>
        <v>1</v>
      </c>
      <c r="J1192" s="8">
        <f t="shared" si="175"/>
        <v>1728713.1454048639</v>
      </c>
      <c r="K1192" s="9">
        <f t="shared" si="176"/>
        <v>0</v>
      </c>
      <c r="L1192" s="10">
        <f t="shared" si="177"/>
        <v>0</v>
      </c>
      <c r="M1192" s="10">
        <f>IF(I1192&lt;&gt;1,"",IF(H1192="","",H1192/CONTROL_PANEL!$B$11))</f>
        <v>0.44460210482720247</v>
      </c>
      <c r="N1192" s="9">
        <f t="shared" si="178"/>
        <v>0</v>
      </c>
      <c r="O1192" s="9">
        <f t="shared" si="179"/>
        <v>0</v>
      </c>
      <c r="P1192" s="9">
        <f t="shared" si="180"/>
        <v>0</v>
      </c>
      <c r="Q1192" s="9">
        <f t="shared" si="181"/>
        <v>0</v>
      </c>
      <c r="R1192" s="11"/>
      <c r="S1192" s="11" t="str">
        <f t="shared" si="182"/>
        <v>PASS</v>
      </c>
    </row>
    <row r="1193" spans="1:19" x14ac:dyDescent="0.25">
      <c r="A1193" s="30" t="s">
        <v>98</v>
      </c>
      <c r="B1193" s="31">
        <f t="shared" si="173"/>
        <v>45505</v>
      </c>
      <c r="C1193" s="30">
        <f>YEAR(BInputReservoir[[#This Row],[Date]])</f>
        <v>2024</v>
      </c>
      <c r="D1193" s="30">
        <f>MONTH(BInputReservoir[[#This Row],[Date]])</f>
        <v>8</v>
      </c>
      <c r="E1193" s="30">
        <f>IF(I1193&lt;&gt;1,"",DATA_INPUT!N111)</f>
        <v>2128539.1516571431</v>
      </c>
      <c r="F1193" s="30">
        <f>STORAGE_BALANCE_ENSEMBLE!BU111</f>
        <v>0</v>
      </c>
      <c r="G1193" s="30">
        <f>STORAGE_BALANCE_ENSEMBLE!BV111</f>
        <v>0</v>
      </c>
      <c r="H1193" s="30">
        <f>STORAGE_BALANCE_ENSEMBLE!BT111</f>
        <v>19691765.475978751</v>
      </c>
      <c r="I1193" s="18">
        <f t="shared" si="174"/>
        <v>1</v>
      </c>
      <c r="J1193" s="8">
        <f t="shared" si="175"/>
        <v>2128539.1516571431</v>
      </c>
      <c r="K1193" s="9">
        <f t="shared" si="176"/>
        <v>0</v>
      </c>
      <c r="L1193" s="10">
        <f t="shared" si="177"/>
        <v>0</v>
      </c>
      <c r="M1193" s="10">
        <f>IF(I1193&lt;&gt;1,"",IF(H1193="","",H1193/CONTROL_PANEL!$B$11))</f>
        <v>0.39383530951957502</v>
      </c>
      <c r="N1193" s="9">
        <f t="shared" si="178"/>
        <v>0</v>
      </c>
      <c r="O1193" s="9">
        <f t="shared" si="179"/>
        <v>0</v>
      </c>
      <c r="P1193" s="9">
        <f t="shared" si="180"/>
        <v>0</v>
      </c>
      <c r="Q1193" s="9">
        <f t="shared" si="181"/>
        <v>0</v>
      </c>
      <c r="R1193" s="11"/>
      <c r="S1193" s="11" t="str">
        <f t="shared" si="182"/>
        <v>PASS</v>
      </c>
    </row>
    <row r="1194" spans="1:19" x14ac:dyDescent="0.25">
      <c r="A1194" s="30" t="s">
        <v>98</v>
      </c>
      <c r="B1194" s="31">
        <f t="shared" si="173"/>
        <v>45536</v>
      </c>
      <c r="C1194" s="30">
        <f>YEAR(BInputReservoir[[#This Row],[Date]])</f>
        <v>2024</v>
      </c>
      <c r="D1194" s="30">
        <f>MONTH(BInputReservoir[[#This Row],[Date]])</f>
        <v>9</v>
      </c>
      <c r="E1194" s="30">
        <f>IF(I1194&lt;&gt;1,"",DATA_INPUT!N112)</f>
        <v>1025784.515034139</v>
      </c>
      <c r="F1194" s="30">
        <f>STORAGE_BALANCE_ENSEMBLE!BU112</f>
        <v>0</v>
      </c>
      <c r="G1194" s="30">
        <f>STORAGE_BALANCE_ENSEMBLE!BV112</f>
        <v>0</v>
      </c>
      <c r="H1194" s="30">
        <f>STORAGE_BALANCE_ENSEMBLE!BT112</f>
        <v>19114450.679486047</v>
      </c>
      <c r="I1194" s="18">
        <f t="shared" si="174"/>
        <v>1</v>
      </c>
      <c r="J1194" s="8">
        <f t="shared" si="175"/>
        <v>1025784.515034139</v>
      </c>
      <c r="K1194" s="9">
        <f t="shared" si="176"/>
        <v>0</v>
      </c>
      <c r="L1194" s="10">
        <f t="shared" si="177"/>
        <v>0</v>
      </c>
      <c r="M1194" s="10">
        <f>IF(I1194&lt;&gt;1,"",IF(H1194="","",H1194/CONTROL_PANEL!$B$11))</f>
        <v>0.38228901358972095</v>
      </c>
      <c r="N1194" s="9">
        <f t="shared" si="178"/>
        <v>0</v>
      </c>
      <c r="O1194" s="9">
        <f t="shared" si="179"/>
        <v>0</v>
      </c>
      <c r="P1194" s="9">
        <f t="shared" si="180"/>
        <v>0</v>
      </c>
      <c r="Q1194" s="9">
        <f t="shared" si="181"/>
        <v>0</v>
      </c>
      <c r="R1194" s="11"/>
      <c r="S1194" s="11" t="str">
        <f t="shared" si="182"/>
        <v>PASS</v>
      </c>
    </row>
    <row r="1195" spans="1:19" x14ac:dyDescent="0.25">
      <c r="A1195" s="30" t="s">
        <v>98</v>
      </c>
      <c r="B1195" s="31">
        <f t="shared" si="173"/>
        <v>45566</v>
      </c>
      <c r="C1195" s="30">
        <f>YEAR(BInputReservoir[[#This Row],[Date]])</f>
        <v>2024</v>
      </c>
      <c r="D1195" s="30">
        <f>MONTH(BInputReservoir[[#This Row],[Date]])</f>
        <v>10</v>
      </c>
      <c r="E1195" s="30">
        <f>IF(I1195&lt;&gt;1,"",DATA_INPUT!N113)</f>
        <v>134490.35324229684</v>
      </c>
      <c r="F1195" s="30">
        <f>STORAGE_BALANCE_ENSEMBLE!BU113</f>
        <v>0</v>
      </c>
      <c r="G1195" s="30">
        <f>STORAGE_BALANCE_ENSEMBLE!BV113</f>
        <v>0</v>
      </c>
      <c r="H1195" s="30">
        <f>STORAGE_BALANCE_ENSEMBLE!BT113</f>
        <v>19587306.617295291</v>
      </c>
      <c r="I1195" s="18">
        <f t="shared" si="174"/>
        <v>1</v>
      </c>
      <c r="J1195" s="8">
        <f t="shared" si="175"/>
        <v>134490.35324229684</v>
      </c>
      <c r="K1195" s="9">
        <f t="shared" si="176"/>
        <v>0</v>
      </c>
      <c r="L1195" s="10">
        <f t="shared" si="177"/>
        <v>0</v>
      </c>
      <c r="M1195" s="10">
        <f>IF(I1195&lt;&gt;1,"",IF(H1195="","",H1195/CONTROL_PANEL!$B$11))</f>
        <v>0.39174613234590583</v>
      </c>
      <c r="N1195" s="9">
        <f t="shared" si="178"/>
        <v>0</v>
      </c>
      <c r="O1195" s="9">
        <f t="shared" si="179"/>
        <v>0</v>
      </c>
      <c r="P1195" s="9">
        <f t="shared" si="180"/>
        <v>0</v>
      </c>
      <c r="Q1195" s="9">
        <f t="shared" si="181"/>
        <v>0</v>
      </c>
      <c r="R1195" s="11"/>
      <c r="S1195" s="11" t="str">
        <f t="shared" si="182"/>
        <v>PASS</v>
      </c>
    </row>
    <row r="1196" spans="1:19" x14ac:dyDescent="0.25">
      <c r="A1196" s="30" t="s">
        <v>98</v>
      </c>
      <c r="B1196" s="31">
        <f t="shared" si="173"/>
        <v>45597</v>
      </c>
      <c r="C1196" s="30">
        <f>YEAR(BInputReservoir[[#This Row],[Date]])</f>
        <v>2024</v>
      </c>
      <c r="D1196" s="30">
        <f>MONTH(BInputReservoir[[#This Row],[Date]])</f>
        <v>11</v>
      </c>
      <c r="E1196" s="30">
        <f>IF(I1196&lt;&gt;1,"",DATA_INPUT!N114)</f>
        <v>0</v>
      </c>
      <c r="F1196" s="30">
        <f>STORAGE_BALANCE_ENSEMBLE!BU114</f>
        <v>0</v>
      </c>
      <c r="G1196" s="30">
        <f>STORAGE_BALANCE_ENSEMBLE!BV114</f>
        <v>0</v>
      </c>
      <c r="H1196" s="30">
        <f>STORAGE_BALANCE_ENSEMBLE!BT114</f>
        <v>19765796.38014438</v>
      </c>
      <c r="I1196" s="18">
        <f t="shared" si="174"/>
        <v>1</v>
      </c>
      <c r="J1196" s="8">
        <f t="shared" si="175"/>
        <v>0</v>
      </c>
      <c r="K1196" s="9">
        <f t="shared" si="176"/>
        <v>0</v>
      </c>
      <c r="L1196" s="10">
        <f t="shared" si="177"/>
        <v>0</v>
      </c>
      <c r="M1196" s="10">
        <f>IF(I1196&lt;&gt;1,"",IF(H1196="","",H1196/CONTROL_PANEL!$B$11))</f>
        <v>0.39531592760288758</v>
      </c>
      <c r="N1196" s="9">
        <f t="shared" si="178"/>
        <v>0</v>
      </c>
      <c r="O1196" s="9">
        <f t="shared" si="179"/>
        <v>0</v>
      </c>
      <c r="P1196" s="9">
        <f t="shared" si="180"/>
        <v>0</v>
      </c>
      <c r="Q1196" s="9">
        <f t="shared" si="181"/>
        <v>0</v>
      </c>
      <c r="R1196" s="11"/>
      <c r="S1196" s="11" t="str">
        <f t="shared" si="182"/>
        <v>PASS</v>
      </c>
    </row>
    <row r="1197" spans="1:19" x14ac:dyDescent="0.25">
      <c r="A1197" s="30" t="s">
        <v>98</v>
      </c>
      <c r="B1197" s="31">
        <f t="shared" si="173"/>
        <v>45627</v>
      </c>
      <c r="C1197" s="30">
        <f>YEAR(BInputReservoir[[#This Row],[Date]])</f>
        <v>2024</v>
      </c>
      <c r="D1197" s="30">
        <f>MONTH(BInputReservoir[[#This Row],[Date]])</f>
        <v>12</v>
      </c>
      <c r="E1197" s="30">
        <f>IF(I1197&lt;&gt;1,"",DATA_INPUT!N115)</f>
        <v>0</v>
      </c>
      <c r="F1197" s="30">
        <f>STORAGE_BALANCE_ENSEMBLE!BU115</f>
        <v>0</v>
      </c>
      <c r="G1197" s="30">
        <f>STORAGE_BALANCE_ENSEMBLE!BV115</f>
        <v>0</v>
      </c>
      <c r="H1197" s="30">
        <f>STORAGE_BALANCE_ENSEMBLE!BT115</f>
        <v>22037284.503902283</v>
      </c>
      <c r="I1197" s="18">
        <f t="shared" si="174"/>
        <v>1</v>
      </c>
      <c r="J1197" s="8">
        <f t="shared" si="175"/>
        <v>0</v>
      </c>
      <c r="K1197" s="9">
        <f t="shared" si="176"/>
        <v>0</v>
      </c>
      <c r="L1197" s="10">
        <f t="shared" si="177"/>
        <v>0</v>
      </c>
      <c r="M1197" s="10">
        <f>IF(I1197&lt;&gt;1,"",IF(H1197="","",H1197/CONTROL_PANEL!$B$11))</f>
        <v>0.44074569007804565</v>
      </c>
      <c r="N1197" s="9">
        <f t="shared" si="178"/>
        <v>0</v>
      </c>
      <c r="O1197" s="9">
        <f t="shared" si="179"/>
        <v>0</v>
      </c>
      <c r="P1197" s="9">
        <f t="shared" si="180"/>
        <v>0</v>
      </c>
      <c r="Q1197" s="9">
        <f t="shared" si="181"/>
        <v>0</v>
      </c>
      <c r="R1197" s="11"/>
      <c r="S1197" s="11" t="str">
        <f t="shared" si="182"/>
        <v>PASS</v>
      </c>
    </row>
    <row r="1198" spans="1:19" x14ac:dyDescent="0.25">
      <c r="A1198" s="30" t="s">
        <v>98</v>
      </c>
      <c r="B1198" s="31">
        <f t="shared" si="173"/>
        <v>45658</v>
      </c>
      <c r="C1198" s="30">
        <f>YEAR(BInputReservoir[[#This Row],[Date]])</f>
        <v>2025</v>
      </c>
      <c r="D1198" s="30">
        <f>MONTH(BInputReservoir[[#This Row],[Date]])</f>
        <v>1</v>
      </c>
      <c r="E1198" s="30">
        <f>IF(I1198&lt;&gt;1,"",DATA_INPUT!N116)</f>
        <v>0</v>
      </c>
      <c r="F1198" s="30">
        <f>STORAGE_BALANCE_ENSEMBLE!BU116</f>
        <v>0</v>
      </c>
      <c r="G1198" s="30">
        <f>STORAGE_BALANCE_ENSEMBLE!BV116</f>
        <v>0</v>
      </c>
      <c r="H1198" s="30">
        <f>STORAGE_BALANCE_ENSEMBLE!BT116</f>
        <v>23896680.824543398</v>
      </c>
      <c r="I1198" s="18">
        <f t="shared" si="174"/>
        <v>1</v>
      </c>
      <c r="J1198" s="8">
        <f t="shared" si="175"/>
        <v>0</v>
      </c>
      <c r="K1198" s="9">
        <f t="shared" si="176"/>
        <v>0</v>
      </c>
      <c r="L1198" s="10">
        <f t="shared" si="177"/>
        <v>0</v>
      </c>
      <c r="M1198" s="10">
        <f>IF(I1198&lt;&gt;1,"",IF(H1198="","",H1198/CONTROL_PANEL!$B$11))</f>
        <v>0.47793361649086796</v>
      </c>
      <c r="N1198" s="9">
        <f t="shared" si="178"/>
        <v>0</v>
      </c>
      <c r="O1198" s="9">
        <f t="shared" si="179"/>
        <v>0</v>
      </c>
      <c r="P1198" s="9">
        <f t="shared" si="180"/>
        <v>0</v>
      </c>
      <c r="Q1198" s="9">
        <f t="shared" si="181"/>
        <v>0</v>
      </c>
      <c r="R1198" s="11"/>
      <c r="S1198" s="11" t="str">
        <f t="shared" si="182"/>
        <v>PASS</v>
      </c>
    </row>
    <row r="1199" spans="1:19" x14ac:dyDescent="0.25">
      <c r="A1199" s="30" t="s">
        <v>98</v>
      </c>
      <c r="B1199" s="31">
        <f t="shared" si="173"/>
        <v>45689</v>
      </c>
      <c r="C1199" s="30">
        <f>YEAR(BInputReservoir[[#This Row],[Date]])</f>
        <v>2025</v>
      </c>
      <c r="D1199" s="30">
        <f>MONTH(BInputReservoir[[#This Row],[Date]])</f>
        <v>2</v>
      </c>
      <c r="E1199" s="30">
        <f>IF(I1199&lt;&gt;1,"",DATA_INPUT!N117)</f>
        <v>0</v>
      </c>
      <c r="F1199" s="30">
        <f>STORAGE_BALANCE_ENSEMBLE!BU117</f>
        <v>0</v>
      </c>
      <c r="G1199" s="30">
        <f>STORAGE_BALANCE_ENSEMBLE!BV117</f>
        <v>0</v>
      </c>
      <c r="H1199" s="30">
        <f>STORAGE_BALANCE_ENSEMBLE!BT117</f>
        <v>32849123.662061971</v>
      </c>
      <c r="I1199" s="18">
        <f t="shared" si="174"/>
        <v>1</v>
      </c>
      <c r="J1199" s="8">
        <f t="shared" si="175"/>
        <v>0</v>
      </c>
      <c r="K1199" s="9">
        <f t="shared" si="176"/>
        <v>0</v>
      </c>
      <c r="L1199" s="10">
        <f t="shared" si="177"/>
        <v>0</v>
      </c>
      <c r="M1199" s="10">
        <f>IF(I1199&lt;&gt;1,"",IF(H1199="","",H1199/CONTROL_PANEL!$B$11))</f>
        <v>0.65698247324123937</v>
      </c>
      <c r="N1199" s="9">
        <f t="shared" si="178"/>
        <v>0</v>
      </c>
      <c r="O1199" s="9">
        <f t="shared" si="179"/>
        <v>0</v>
      </c>
      <c r="P1199" s="9">
        <f t="shared" si="180"/>
        <v>0</v>
      </c>
      <c r="Q1199" s="9">
        <f t="shared" si="181"/>
        <v>0</v>
      </c>
      <c r="R1199" s="11"/>
      <c r="S1199" s="11" t="str">
        <f t="shared" si="182"/>
        <v>PASS</v>
      </c>
    </row>
    <row r="1200" spans="1:19" x14ac:dyDescent="0.25">
      <c r="A1200" s="30" t="s">
        <v>98</v>
      </c>
      <c r="B1200" s="31">
        <f t="shared" si="173"/>
        <v>45717</v>
      </c>
      <c r="C1200" s="30">
        <f>YEAR(BInputReservoir[[#This Row],[Date]])</f>
        <v>2025</v>
      </c>
      <c r="D1200" s="30">
        <f>MONTH(BInputReservoir[[#This Row],[Date]])</f>
        <v>3</v>
      </c>
      <c r="E1200" s="30">
        <f>IF(I1200&lt;&gt;1,"",DATA_INPUT!N118)</f>
        <v>0</v>
      </c>
      <c r="F1200" s="30">
        <f>STORAGE_BALANCE_ENSEMBLE!BU118</f>
        <v>0</v>
      </c>
      <c r="G1200" s="30">
        <f>STORAGE_BALANCE_ENSEMBLE!BV118</f>
        <v>0</v>
      </c>
      <c r="H1200" s="30">
        <f>STORAGE_BALANCE_ENSEMBLE!BT118</f>
        <v>36888386.46920494</v>
      </c>
      <c r="I1200" s="18">
        <f t="shared" si="174"/>
        <v>1</v>
      </c>
      <c r="J1200" s="8">
        <f t="shared" si="175"/>
        <v>0</v>
      </c>
      <c r="K1200" s="9">
        <f t="shared" si="176"/>
        <v>0</v>
      </c>
      <c r="L1200" s="10">
        <f t="shared" si="177"/>
        <v>0</v>
      </c>
      <c r="M1200" s="10">
        <f>IF(I1200&lt;&gt;1,"",IF(H1200="","",H1200/CONTROL_PANEL!$B$11))</f>
        <v>0.73776772938409885</v>
      </c>
      <c r="N1200" s="9">
        <f t="shared" si="178"/>
        <v>0</v>
      </c>
      <c r="O1200" s="9">
        <f t="shared" si="179"/>
        <v>0</v>
      </c>
      <c r="P1200" s="9">
        <f t="shared" si="180"/>
        <v>0</v>
      </c>
      <c r="Q1200" s="9">
        <f t="shared" si="181"/>
        <v>0</v>
      </c>
      <c r="R1200" s="11"/>
      <c r="S1200" s="11" t="str">
        <f t="shared" si="182"/>
        <v>PASS</v>
      </c>
    </row>
    <row r="1201" spans="1:19" x14ac:dyDescent="0.25">
      <c r="A1201" s="30" t="s">
        <v>98</v>
      </c>
      <c r="B1201" s="31">
        <f t="shared" si="173"/>
        <v>45748</v>
      </c>
      <c r="C1201" s="30">
        <f>YEAR(BInputReservoir[[#This Row],[Date]])</f>
        <v>2025</v>
      </c>
      <c r="D1201" s="30">
        <f>MONTH(BInputReservoir[[#This Row],[Date]])</f>
        <v>4</v>
      </c>
      <c r="E1201" s="30">
        <f>IF(I1201&lt;&gt;1,"",DATA_INPUT!N119)</f>
        <v>412.49375780390233</v>
      </c>
      <c r="F1201" s="30">
        <f>STORAGE_BALANCE_ENSEMBLE!BU119</f>
        <v>0</v>
      </c>
      <c r="G1201" s="30">
        <f>STORAGE_BALANCE_ENSEMBLE!BV119</f>
        <v>0</v>
      </c>
      <c r="H1201" s="30">
        <f>STORAGE_BALANCE_ENSEMBLE!BT119</f>
        <v>37888488.451957926</v>
      </c>
      <c r="I1201" s="18">
        <f t="shared" si="174"/>
        <v>1</v>
      </c>
      <c r="J1201" s="8">
        <f t="shared" si="175"/>
        <v>412.49375780390233</v>
      </c>
      <c r="K1201" s="9">
        <f t="shared" si="176"/>
        <v>0</v>
      </c>
      <c r="L1201" s="10">
        <f t="shared" si="177"/>
        <v>0</v>
      </c>
      <c r="M1201" s="10">
        <f>IF(I1201&lt;&gt;1,"",IF(H1201="","",H1201/CONTROL_PANEL!$B$11))</f>
        <v>0.75776976903915849</v>
      </c>
      <c r="N1201" s="9">
        <f t="shared" si="178"/>
        <v>0</v>
      </c>
      <c r="O1201" s="9">
        <f t="shared" si="179"/>
        <v>0</v>
      </c>
      <c r="P1201" s="9">
        <f t="shared" si="180"/>
        <v>0</v>
      </c>
      <c r="Q1201" s="9">
        <f t="shared" si="181"/>
        <v>0</v>
      </c>
      <c r="R1201" s="11"/>
      <c r="S1201" s="11" t="str">
        <f t="shared" si="182"/>
        <v>PASS</v>
      </c>
    </row>
    <row r="1202" spans="1:19" x14ac:dyDescent="0.25">
      <c r="A1202" s="30" t="s">
        <v>98</v>
      </c>
      <c r="B1202" s="31">
        <f t="shared" si="173"/>
        <v>45778</v>
      </c>
      <c r="C1202" s="30">
        <f>YEAR(BInputReservoir[[#This Row],[Date]])</f>
        <v>2025</v>
      </c>
      <c r="D1202" s="30">
        <f>MONTH(BInputReservoir[[#This Row],[Date]])</f>
        <v>5</v>
      </c>
      <c r="E1202" s="30">
        <f>IF(I1202&lt;&gt;1,"",DATA_INPUT!N120)</f>
        <v>253079.95020304402</v>
      </c>
      <c r="F1202" s="30">
        <f>STORAGE_BALANCE_ENSEMBLE!BU120</f>
        <v>0</v>
      </c>
      <c r="G1202" s="30">
        <f>STORAGE_BALANCE_ENSEMBLE!BV120</f>
        <v>0</v>
      </c>
      <c r="H1202" s="30">
        <f>STORAGE_BALANCE_ENSEMBLE!BT120</f>
        <v>37428727.895062</v>
      </c>
      <c r="I1202" s="18">
        <f t="shared" si="174"/>
        <v>1</v>
      </c>
      <c r="J1202" s="8">
        <f t="shared" si="175"/>
        <v>253079.95020304402</v>
      </c>
      <c r="K1202" s="9">
        <f t="shared" si="176"/>
        <v>0</v>
      </c>
      <c r="L1202" s="10">
        <f t="shared" si="177"/>
        <v>0</v>
      </c>
      <c r="M1202" s="10">
        <f>IF(I1202&lt;&gt;1,"",IF(H1202="","",H1202/CONTROL_PANEL!$B$11))</f>
        <v>0.74857455790123995</v>
      </c>
      <c r="N1202" s="9">
        <f t="shared" si="178"/>
        <v>0</v>
      </c>
      <c r="O1202" s="9">
        <f t="shared" si="179"/>
        <v>0</v>
      </c>
      <c r="P1202" s="9">
        <f t="shared" si="180"/>
        <v>0</v>
      </c>
      <c r="Q1202" s="9">
        <f t="shared" si="181"/>
        <v>0</v>
      </c>
      <c r="R1202" s="11"/>
      <c r="S1202" s="11" t="str">
        <f t="shared" si="182"/>
        <v>PASS</v>
      </c>
    </row>
    <row r="1203" spans="1:19" x14ac:dyDescent="0.25">
      <c r="A1203" s="30" t="s">
        <v>98</v>
      </c>
      <c r="B1203" s="31">
        <f t="shared" si="173"/>
        <v>45809</v>
      </c>
      <c r="C1203" s="30">
        <f>YEAR(BInputReservoir[[#This Row],[Date]])</f>
        <v>2025</v>
      </c>
      <c r="D1203" s="30">
        <f>MONTH(BInputReservoir[[#This Row],[Date]])</f>
        <v>6</v>
      </c>
      <c r="E1203" s="30">
        <f>IF(I1203&lt;&gt;1,"",DATA_INPUT!N121)</f>
        <v>1113980.0240993481</v>
      </c>
      <c r="F1203" s="30">
        <f>STORAGE_BALANCE_ENSEMBLE!BU121</f>
        <v>0</v>
      </c>
      <c r="G1203" s="30">
        <f>STORAGE_BALANCE_ENSEMBLE!BV121</f>
        <v>0</v>
      </c>
      <c r="H1203" s="30">
        <f>STORAGE_BALANCE_ENSEMBLE!BT121</f>
        <v>35905613.04962118</v>
      </c>
      <c r="I1203" s="18">
        <f t="shared" si="174"/>
        <v>1</v>
      </c>
      <c r="J1203" s="8">
        <f t="shared" si="175"/>
        <v>1113980.0240993481</v>
      </c>
      <c r="K1203" s="9">
        <f t="shared" si="176"/>
        <v>0</v>
      </c>
      <c r="L1203" s="10">
        <f t="shared" si="177"/>
        <v>0</v>
      </c>
      <c r="M1203" s="10">
        <f>IF(I1203&lt;&gt;1,"",IF(H1203="","",H1203/CONTROL_PANEL!$B$11))</f>
        <v>0.71811226099242365</v>
      </c>
      <c r="N1203" s="9">
        <f t="shared" si="178"/>
        <v>0</v>
      </c>
      <c r="O1203" s="9">
        <f t="shared" si="179"/>
        <v>0</v>
      </c>
      <c r="P1203" s="9">
        <f t="shared" si="180"/>
        <v>0</v>
      </c>
      <c r="Q1203" s="9">
        <f t="shared" si="181"/>
        <v>0</v>
      </c>
      <c r="R1203" s="11"/>
      <c r="S1203" s="11" t="str">
        <f t="shared" si="182"/>
        <v>PASS</v>
      </c>
    </row>
    <row r="1204" spans="1:19" x14ac:dyDescent="0.25">
      <c r="A1204" s="30" t="s">
        <v>98</v>
      </c>
      <c r="B1204" s="31">
        <f t="shared" si="173"/>
        <v>45839</v>
      </c>
      <c r="C1204" s="30">
        <f>YEAR(BInputReservoir[[#This Row],[Date]])</f>
        <v>2025</v>
      </c>
      <c r="D1204" s="30">
        <f>MONTH(BInputReservoir[[#This Row],[Date]])</f>
        <v>7</v>
      </c>
      <c r="E1204" s="30">
        <f>IF(I1204&lt;&gt;1,"",DATA_INPUT!N122)</f>
        <v>1755226.6794698585</v>
      </c>
      <c r="F1204" s="30">
        <f>STORAGE_BALANCE_ENSEMBLE!BU122</f>
        <v>0</v>
      </c>
      <c r="G1204" s="30">
        <f>STORAGE_BALANCE_ENSEMBLE!BV122</f>
        <v>0</v>
      </c>
      <c r="H1204" s="30">
        <f>STORAGE_BALANCE_ENSEMBLE!BT122</f>
        <v>33496555.032877222</v>
      </c>
      <c r="I1204" s="18">
        <f t="shared" si="174"/>
        <v>1</v>
      </c>
      <c r="J1204" s="8">
        <f t="shared" si="175"/>
        <v>1755226.6794698585</v>
      </c>
      <c r="K1204" s="9">
        <f t="shared" si="176"/>
        <v>0</v>
      </c>
      <c r="L1204" s="10">
        <f t="shared" si="177"/>
        <v>0</v>
      </c>
      <c r="M1204" s="10">
        <f>IF(I1204&lt;&gt;1,"",IF(H1204="","",H1204/CONTROL_PANEL!$B$11))</f>
        <v>0.66993110065754446</v>
      </c>
      <c r="N1204" s="9">
        <f t="shared" si="178"/>
        <v>0</v>
      </c>
      <c r="O1204" s="9">
        <f t="shared" si="179"/>
        <v>0</v>
      </c>
      <c r="P1204" s="9">
        <f t="shared" si="180"/>
        <v>0</v>
      </c>
      <c r="Q1204" s="9">
        <f t="shared" si="181"/>
        <v>0</v>
      </c>
      <c r="R1204" s="11"/>
      <c r="S1204" s="11" t="str">
        <f t="shared" si="182"/>
        <v>PASS</v>
      </c>
    </row>
    <row r="1205" spans="1:19" x14ac:dyDescent="0.25">
      <c r="A1205" s="30" t="s">
        <v>98</v>
      </c>
      <c r="B1205" s="31">
        <f t="shared" si="173"/>
        <v>45870</v>
      </c>
      <c r="C1205" s="30">
        <f>YEAR(BInputReservoir[[#This Row],[Date]])</f>
        <v>2025</v>
      </c>
      <c r="D1205" s="30">
        <f>MONTH(BInputReservoir[[#This Row],[Date]])</f>
        <v>8</v>
      </c>
      <c r="E1205" s="30">
        <f>IF(I1205&lt;&gt;1,"",DATA_INPUT!N123)</f>
        <v>2194932.6857454083</v>
      </c>
      <c r="F1205" s="30">
        <f>STORAGE_BALANCE_ENSEMBLE!BU123</f>
        <v>0</v>
      </c>
      <c r="G1205" s="30">
        <f>STORAGE_BALANCE_ENSEMBLE!BV123</f>
        <v>0</v>
      </c>
      <c r="H1205" s="30">
        <f>STORAGE_BALANCE_ENSEMBLE!BT123</f>
        <v>30714394.746388476</v>
      </c>
      <c r="I1205" s="18">
        <f t="shared" si="174"/>
        <v>1</v>
      </c>
      <c r="J1205" s="8">
        <f t="shared" si="175"/>
        <v>2194932.6857454083</v>
      </c>
      <c r="K1205" s="9">
        <f t="shared" si="176"/>
        <v>0</v>
      </c>
      <c r="L1205" s="10">
        <f t="shared" si="177"/>
        <v>0</v>
      </c>
      <c r="M1205" s="10">
        <f>IF(I1205&lt;&gt;1,"",IF(H1205="","",H1205/CONTROL_PANEL!$B$11))</f>
        <v>0.61428789492776947</v>
      </c>
      <c r="N1205" s="9">
        <f t="shared" si="178"/>
        <v>0</v>
      </c>
      <c r="O1205" s="9">
        <f t="shared" si="179"/>
        <v>0</v>
      </c>
      <c r="P1205" s="9">
        <f t="shared" si="180"/>
        <v>0</v>
      </c>
      <c r="Q1205" s="9">
        <f t="shared" si="181"/>
        <v>0</v>
      </c>
      <c r="R1205" s="11"/>
      <c r="S1205" s="11" t="str">
        <f t="shared" si="182"/>
        <v>PASS</v>
      </c>
    </row>
    <row r="1206" spans="1:19" x14ac:dyDescent="0.25">
      <c r="A1206" s="30" t="s">
        <v>98</v>
      </c>
      <c r="B1206" s="31">
        <f t="shared" si="173"/>
        <v>45901</v>
      </c>
      <c r="C1206" s="30">
        <f>YEAR(BInputReservoir[[#This Row],[Date]])</f>
        <v>2025</v>
      </c>
      <c r="D1206" s="30">
        <f>MONTH(BInputReservoir[[#This Row],[Date]])</f>
        <v>9</v>
      </c>
      <c r="E1206" s="30">
        <f>IF(I1206&lt;&gt;1,"",DATA_INPUT!N124)</f>
        <v>889967.2011036484</v>
      </c>
      <c r="F1206" s="30">
        <f>STORAGE_BALANCE_ENSEMBLE!BU124</f>
        <v>0</v>
      </c>
      <c r="G1206" s="30">
        <f>STORAGE_BALANCE_ENSEMBLE!BV124</f>
        <v>0</v>
      </c>
      <c r="H1206" s="30">
        <f>STORAGE_BALANCE_ENSEMBLE!BT124</f>
        <v>29503314.604130283</v>
      </c>
      <c r="I1206" s="18">
        <f t="shared" si="174"/>
        <v>1</v>
      </c>
      <c r="J1206" s="8">
        <f t="shared" si="175"/>
        <v>889967.2011036484</v>
      </c>
      <c r="K1206" s="9">
        <f t="shared" si="176"/>
        <v>0</v>
      </c>
      <c r="L1206" s="10">
        <f t="shared" si="177"/>
        <v>0</v>
      </c>
      <c r="M1206" s="10">
        <f>IF(I1206&lt;&gt;1,"",IF(H1206="","",H1206/CONTROL_PANEL!$B$11))</f>
        <v>0.59006629208260564</v>
      </c>
      <c r="N1206" s="9">
        <f t="shared" si="178"/>
        <v>0</v>
      </c>
      <c r="O1206" s="9">
        <f t="shared" si="179"/>
        <v>0</v>
      </c>
      <c r="P1206" s="9">
        <f t="shared" si="180"/>
        <v>0</v>
      </c>
      <c r="Q1206" s="9">
        <f t="shared" si="181"/>
        <v>0</v>
      </c>
      <c r="R1206" s="11"/>
      <c r="S1206" s="11" t="str">
        <f t="shared" si="182"/>
        <v>PASS</v>
      </c>
    </row>
    <row r="1207" spans="1:19" x14ac:dyDescent="0.25">
      <c r="A1207" s="30" t="s">
        <v>98</v>
      </c>
      <c r="B1207" s="31">
        <f t="shared" si="173"/>
        <v>45931</v>
      </c>
      <c r="C1207" s="30">
        <f>YEAR(BInputReservoir[[#This Row],[Date]])</f>
        <v>2025</v>
      </c>
      <c r="D1207" s="30">
        <f>MONTH(BInputReservoir[[#This Row],[Date]])</f>
        <v>10</v>
      </c>
      <c r="E1207" s="30">
        <f>IF(I1207&lt;&gt;1,"",DATA_INPUT!N125)</f>
        <v>306001.27361209656</v>
      </c>
      <c r="F1207" s="30">
        <f>STORAGE_BALANCE_ENSEMBLE!BU125</f>
        <v>0</v>
      </c>
      <c r="G1207" s="30">
        <f>STORAGE_BALANCE_ENSEMBLE!BV125</f>
        <v>0</v>
      </c>
      <c r="H1207" s="30">
        <f>STORAGE_BALANCE_ENSEMBLE!BT125</f>
        <v>29098214.714737933</v>
      </c>
      <c r="I1207" s="18">
        <f t="shared" si="174"/>
        <v>1</v>
      </c>
      <c r="J1207" s="8">
        <f t="shared" si="175"/>
        <v>306001.27361209656</v>
      </c>
      <c r="K1207" s="9">
        <f t="shared" si="176"/>
        <v>0</v>
      </c>
      <c r="L1207" s="10">
        <f t="shared" si="177"/>
        <v>0</v>
      </c>
      <c r="M1207" s="10">
        <f>IF(I1207&lt;&gt;1,"",IF(H1207="","",H1207/CONTROL_PANEL!$B$11))</f>
        <v>0.58196429429475871</v>
      </c>
      <c r="N1207" s="9">
        <f t="shared" si="178"/>
        <v>0</v>
      </c>
      <c r="O1207" s="9">
        <f t="shared" si="179"/>
        <v>0</v>
      </c>
      <c r="P1207" s="9">
        <f t="shared" si="180"/>
        <v>0</v>
      </c>
      <c r="Q1207" s="9">
        <f t="shared" si="181"/>
        <v>0</v>
      </c>
      <c r="R1207" s="11"/>
      <c r="S1207" s="11" t="str">
        <f t="shared" si="182"/>
        <v>PASS</v>
      </c>
    </row>
    <row r="1208" spans="1:19" x14ac:dyDescent="0.25">
      <c r="A1208" s="30" t="s">
        <v>98</v>
      </c>
      <c r="B1208" s="31">
        <f t="shared" si="173"/>
        <v>45962</v>
      </c>
      <c r="C1208" s="30">
        <f>YEAR(BInputReservoir[[#This Row],[Date]])</f>
        <v>2025</v>
      </c>
      <c r="D1208" s="30">
        <f>MONTH(BInputReservoir[[#This Row],[Date]])</f>
        <v>11</v>
      </c>
      <c r="E1208" s="30">
        <f>IF(I1208&lt;&gt;1,"",DATA_INPUT!N126)</f>
        <v>0</v>
      </c>
      <c r="F1208" s="30">
        <f>STORAGE_BALANCE_ENSEMBLE!BU126</f>
        <v>0</v>
      </c>
      <c r="G1208" s="30">
        <f>STORAGE_BALANCE_ENSEMBLE!BV126</f>
        <v>0</v>
      </c>
      <c r="H1208" s="30">
        <f>STORAGE_BALANCE_ENSEMBLE!BT126</f>
        <v>31492281.625943486</v>
      </c>
      <c r="I1208" s="18">
        <f t="shared" si="174"/>
        <v>1</v>
      </c>
      <c r="J1208" s="8">
        <f t="shared" si="175"/>
        <v>0</v>
      </c>
      <c r="K1208" s="9">
        <f t="shared" si="176"/>
        <v>0</v>
      </c>
      <c r="L1208" s="10">
        <f t="shared" si="177"/>
        <v>0</v>
      </c>
      <c r="M1208" s="10">
        <f>IF(I1208&lt;&gt;1,"",IF(H1208="","",H1208/CONTROL_PANEL!$B$11))</f>
        <v>0.62984563251886971</v>
      </c>
      <c r="N1208" s="9">
        <f t="shared" si="178"/>
        <v>0</v>
      </c>
      <c r="O1208" s="9">
        <f t="shared" si="179"/>
        <v>0</v>
      </c>
      <c r="P1208" s="9">
        <f t="shared" si="180"/>
        <v>0</v>
      </c>
      <c r="Q1208" s="9">
        <f t="shared" si="181"/>
        <v>0</v>
      </c>
      <c r="R1208" s="11"/>
      <c r="S1208" s="11" t="str">
        <f t="shared" si="182"/>
        <v>PASS</v>
      </c>
    </row>
    <row r="1209" spans="1:19" x14ac:dyDescent="0.25">
      <c r="A1209" s="30" t="s">
        <v>98</v>
      </c>
      <c r="B1209" s="31">
        <f t="shared" si="173"/>
        <v>45992</v>
      </c>
      <c r="C1209" s="30">
        <f>YEAR(BInputReservoir[[#This Row],[Date]])</f>
        <v>2025</v>
      </c>
      <c r="D1209" s="30">
        <f>MONTH(BInputReservoir[[#This Row],[Date]])</f>
        <v>12</v>
      </c>
      <c r="E1209" s="30">
        <f>IF(I1209&lt;&gt;1,"",DATA_INPUT!N127)</f>
        <v>0</v>
      </c>
      <c r="F1209" s="30">
        <f>STORAGE_BALANCE_ENSEMBLE!BU127</f>
        <v>0</v>
      </c>
      <c r="G1209" s="30">
        <f>STORAGE_BALANCE_ENSEMBLE!BV127</f>
        <v>0</v>
      </c>
      <c r="H1209" s="30">
        <f>STORAGE_BALANCE_ENSEMBLE!BT127</f>
        <v>40804874.238556564</v>
      </c>
      <c r="I1209" s="18">
        <f t="shared" si="174"/>
        <v>1</v>
      </c>
      <c r="J1209" s="8">
        <f t="shared" si="175"/>
        <v>0</v>
      </c>
      <c r="K1209" s="9">
        <f t="shared" si="176"/>
        <v>0</v>
      </c>
      <c r="L1209" s="10">
        <f t="shared" si="177"/>
        <v>0</v>
      </c>
      <c r="M1209" s="10">
        <f>IF(I1209&lt;&gt;1,"",IF(H1209="","",H1209/CONTROL_PANEL!$B$11))</f>
        <v>0.81609748477113131</v>
      </c>
      <c r="N1209" s="9">
        <f t="shared" si="178"/>
        <v>0</v>
      </c>
      <c r="O1209" s="9">
        <f t="shared" si="179"/>
        <v>0</v>
      </c>
      <c r="P1209" s="9">
        <f t="shared" si="180"/>
        <v>0</v>
      </c>
      <c r="Q1209" s="9">
        <f t="shared" si="181"/>
        <v>0</v>
      </c>
      <c r="R1209" s="11"/>
      <c r="S1209" s="11" t="str">
        <f t="shared" si="182"/>
        <v>PASS</v>
      </c>
    </row>
    <row r="1210" spans="1:19" x14ac:dyDescent="0.25">
      <c r="A1210" s="30" t="s">
        <v>98</v>
      </c>
      <c r="B1210" s="31">
        <f t="shared" si="173"/>
        <v>46023</v>
      </c>
      <c r="C1210" s="30">
        <f>YEAR(BInputReservoir[[#This Row],[Date]])</f>
        <v>2026</v>
      </c>
      <c r="D1210" s="30">
        <f>MONTH(BInputReservoir[[#This Row],[Date]])</f>
        <v>1</v>
      </c>
      <c r="E1210" s="30">
        <f>IF(I1210&lt;&gt;1,"",DATA_INPUT!N128)</f>
        <v>0</v>
      </c>
      <c r="F1210" s="30">
        <f>STORAGE_BALANCE_ENSEMBLE!BU128</f>
        <v>6100074.9973310679</v>
      </c>
      <c r="G1210" s="30">
        <f>STORAGE_BALANCE_ENSEMBLE!BV128</f>
        <v>0</v>
      </c>
      <c r="H1210" s="30">
        <f>STORAGE_BALANCE_ENSEMBLE!BT128</f>
        <v>56100074.997331068</v>
      </c>
      <c r="I1210" s="18">
        <f t="shared" si="174"/>
        <v>1</v>
      </c>
      <c r="J1210" s="8">
        <f t="shared" si="175"/>
        <v>0</v>
      </c>
      <c r="K1210" s="9">
        <f t="shared" si="176"/>
        <v>0</v>
      </c>
      <c r="L1210" s="10">
        <f t="shared" si="177"/>
        <v>0</v>
      </c>
      <c r="M1210" s="10">
        <f>IF(I1210&lt;&gt;1,"",IF(H1210="","",H1210/CONTROL_PANEL!$B$11))</f>
        <v>1.1220014999466215</v>
      </c>
      <c r="N1210" s="9">
        <f t="shared" si="178"/>
        <v>0</v>
      </c>
      <c r="O1210" s="9">
        <f t="shared" si="179"/>
        <v>0</v>
      </c>
      <c r="P1210" s="9">
        <f t="shared" si="180"/>
        <v>1</v>
      </c>
      <c r="Q1210" s="9">
        <f t="shared" si="181"/>
        <v>0</v>
      </c>
      <c r="R1210" s="11"/>
      <c r="S1210" s="11" t="str">
        <f t="shared" si="182"/>
        <v>PASS</v>
      </c>
    </row>
    <row r="1211" spans="1:19" x14ac:dyDescent="0.25">
      <c r="A1211" s="30" t="s">
        <v>98</v>
      </c>
      <c r="B1211" s="31">
        <f t="shared" si="173"/>
        <v>46054</v>
      </c>
      <c r="C1211" s="30">
        <f>YEAR(BInputReservoir[[#This Row],[Date]])</f>
        <v>2026</v>
      </c>
      <c r="D1211" s="30">
        <f>MONTH(BInputReservoir[[#This Row],[Date]])</f>
        <v>2</v>
      </c>
      <c r="E1211" s="30">
        <f>IF(I1211&lt;&gt;1,"",DATA_INPUT!N129)</f>
        <v>0</v>
      </c>
      <c r="F1211" s="30">
        <f>STORAGE_BALANCE_ENSEMBLE!BU129</f>
        <v>3914200.028947033</v>
      </c>
      <c r="G1211" s="30">
        <f>STORAGE_BALANCE_ENSEMBLE!BV129</f>
        <v>0</v>
      </c>
      <c r="H1211" s="30">
        <f>STORAGE_BALANCE_ENSEMBLE!BT129</f>
        <v>53914200.028947033</v>
      </c>
      <c r="I1211" s="18">
        <f t="shared" si="174"/>
        <v>1</v>
      </c>
      <c r="J1211" s="8">
        <f t="shared" si="175"/>
        <v>0</v>
      </c>
      <c r="K1211" s="9">
        <f t="shared" si="176"/>
        <v>0</v>
      </c>
      <c r="L1211" s="10">
        <f t="shared" si="177"/>
        <v>0</v>
      </c>
      <c r="M1211" s="10">
        <f>IF(I1211&lt;&gt;1,"",IF(H1211="","",H1211/CONTROL_PANEL!$B$11))</f>
        <v>1.0782840005789407</v>
      </c>
      <c r="N1211" s="9">
        <f t="shared" si="178"/>
        <v>0</v>
      </c>
      <c r="O1211" s="9">
        <f t="shared" si="179"/>
        <v>0</v>
      </c>
      <c r="P1211" s="9">
        <f t="shared" si="180"/>
        <v>1</v>
      </c>
      <c r="Q1211" s="9">
        <f t="shared" si="181"/>
        <v>0</v>
      </c>
      <c r="R1211" s="11"/>
      <c r="S1211" s="11" t="str">
        <f t="shared" si="182"/>
        <v>PASS</v>
      </c>
    </row>
    <row r="1212" spans="1:19" x14ac:dyDescent="0.25">
      <c r="A1212" s="30" t="s">
        <v>98</v>
      </c>
      <c r="B1212" s="31">
        <f t="shared" si="173"/>
        <v>46082</v>
      </c>
      <c r="C1212" s="30">
        <f>YEAR(BInputReservoir[[#This Row],[Date]])</f>
        <v>2026</v>
      </c>
      <c r="D1212" s="30">
        <f>MONTH(BInputReservoir[[#This Row],[Date]])</f>
        <v>3</v>
      </c>
      <c r="E1212" s="30">
        <f>IF(I1212&lt;&gt;1,"",DATA_INPUT!N130)</f>
        <v>0</v>
      </c>
      <c r="F1212" s="30">
        <f>STORAGE_BALANCE_ENSEMBLE!BU130</f>
        <v>593316.7343211174</v>
      </c>
      <c r="G1212" s="30">
        <f>STORAGE_BALANCE_ENSEMBLE!BV130</f>
        <v>0</v>
      </c>
      <c r="H1212" s="30">
        <f>STORAGE_BALANCE_ENSEMBLE!BT130</f>
        <v>50593316.734321117</v>
      </c>
      <c r="I1212" s="18">
        <f t="shared" si="174"/>
        <v>1</v>
      </c>
      <c r="J1212" s="8">
        <f t="shared" si="175"/>
        <v>0</v>
      </c>
      <c r="K1212" s="9">
        <f t="shared" si="176"/>
        <v>0</v>
      </c>
      <c r="L1212" s="10">
        <f t="shared" si="177"/>
        <v>0</v>
      </c>
      <c r="M1212" s="10">
        <f>IF(I1212&lt;&gt;1,"",IF(H1212="","",H1212/CONTROL_PANEL!$B$11))</f>
        <v>1.0118663346864223</v>
      </c>
      <c r="N1212" s="9">
        <f t="shared" si="178"/>
        <v>0</v>
      </c>
      <c r="O1212" s="9">
        <f t="shared" si="179"/>
        <v>0</v>
      </c>
      <c r="P1212" s="9">
        <f t="shared" si="180"/>
        <v>1</v>
      </c>
      <c r="Q1212" s="9">
        <f t="shared" si="181"/>
        <v>0</v>
      </c>
      <c r="R1212" s="11"/>
      <c r="S1212" s="11" t="str">
        <f t="shared" si="182"/>
        <v>PASS</v>
      </c>
    </row>
    <row r="1213" spans="1:19" x14ac:dyDescent="0.25">
      <c r="A1213" s="30" t="s">
        <v>98</v>
      </c>
      <c r="B1213" s="31">
        <f t="shared" si="173"/>
        <v>46113</v>
      </c>
      <c r="C1213" s="30">
        <f>YEAR(BInputReservoir[[#This Row],[Date]])</f>
        <v>2026</v>
      </c>
      <c r="D1213" s="30">
        <f>MONTH(BInputReservoir[[#This Row],[Date]])</f>
        <v>4</v>
      </c>
      <c r="E1213" s="30">
        <f>IF(I1213&lt;&gt;1,"",DATA_INPUT!N131)</f>
        <v>412.49375780390233</v>
      </c>
      <c r="F1213" s="30">
        <f>STORAGE_BALANCE_ENSEMBLE!BU131</f>
        <v>0</v>
      </c>
      <c r="G1213" s="30">
        <f>STORAGE_BALANCE_ENSEMBLE!BV131</f>
        <v>0</v>
      </c>
      <c r="H1213" s="30">
        <f>STORAGE_BALANCE_ENSEMBLE!BT131</f>
        <v>49760288.237134248</v>
      </c>
      <c r="I1213" s="18">
        <f t="shared" si="174"/>
        <v>1</v>
      </c>
      <c r="J1213" s="8">
        <f t="shared" si="175"/>
        <v>412.49375780390233</v>
      </c>
      <c r="K1213" s="9">
        <f t="shared" si="176"/>
        <v>0</v>
      </c>
      <c r="L1213" s="10">
        <f t="shared" si="177"/>
        <v>0</v>
      </c>
      <c r="M1213" s="10">
        <f>IF(I1213&lt;&gt;1,"",IF(H1213="","",H1213/CONTROL_PANEL!$B$11))</f>
        <v>0.99520576474268496</v>
      </c>
      <c r="N1213" s="9">
        <f t="shared" si="178"/>
        <v>0</v>
      </c>
      <c r="O1213" s="9">
        <f t="shared" si="179"/>
        <v>0</v>
      </c>
      <c r="P1213" s="9">
        <f t="shared" si="180"/>
        <v>0</v>
      </c>
      <c r="Q1213" s="9">
        <f t="shared" si="181"/>
        <v>0</v>
      </c>
      <c r="R1213" s="11"/>
      <c r="S1213" s="11" t="str">
        <f t="shared" si="182"/>
        <v>PASS</v>
      </c>
    </row>
    <row r="1214" spans="1:19" x14ac:dyDescent="0.25">
      <c r="A1214" s="30" t="s">
        <v>98</v>
      </c>
      <c r="B1214" s="31">
        <f t="shared" si="173"/>
        <v>46143</v>
      </c>
      <c r="C1214" s="30">
        <f>YEAR(BInputReservoir[[#This Row],[Date]])</f>
        <v>2026</v>
      </c>
      <c r="D1214" s="30">
        <f>MONTH(BInputReservoir[[#This Row],[Date]])</f>
        <v>5</v>
      </c>
      <c r="E1214" s="30">
        <f>IF(I1214&lt;&gt;1,"",DATA_INPUT!N132)</f>
        <v>253079.95020304402</v>
      </c>
      <c r="F1214" s="30">
        <f>STORAGE_BALANCE_ENSEMBLE!BU132</f>
        <v>0</v>
      </c>
      <c r="G1214" s="30">
        <f>STORAGE_BALANCE_ENSEMBLE!BV132</f>
        <v>0</v>
      </c>
      <c r="H1214" s="30">
        <f>STORAGE_BALANCE_ENSEMBLE!BT132</f>
        <v>49033109.167995043</v>
      </c>
      <c r="I1214" s="18">
        <f t="shared" si="174"/>
        <v>1</v>
      </c>
      <c r="J1214" s="8">
        <f t="shared" si="175"/>
        <v>253079.95020304402</v>
      </c>
      <c r="K1214" s="9">
        <f t="shared" si="176"/>
        <v>0</v>
      </c>
      <c r="L1214" s="10">
        <f t="shared" si="177"/>
        <v>0</v>
      </c>
      <c r="M1214" s="10">
        <f>IF(I1214&lt;&gt;1,"",IF(H1214="","",H1214/CONTROL_PANEL!$B$11))</f>
        <v>0.98066218335990085</v>
      </c>
      <c r="N1214" s="9">
        <f t="shared" si="178"/>
        <v>0</v>
      </c>
      <c r="O1214" s="9">
        <f t="shared" si="179"/>
        <v>0</v>
      </c>
      <c r="P1214" s="9">
        <f t="shared" si="180"/>
        <v>0</v>
      </c>
      <c r="Q1214" s="9">
        <f t="shared" si="181"/>
        <v>0</v>
      </c>
      <c r="R1214" s="11"/>
      <c r="S1214" s="11" t="str">
        <f t="shared" si="182"/>
        <v>PASS</v>
      </c>
    </row>
    <row r="1215" spans="1:19" x14ac:dyDescent="0.25">
      <c r="A1215" s="30" t="s">
        <v>98</v>
      </c>
      <c r="B1215" s="31">
        <f t="shared" si="173"/>
        <v>46174</v>
      </c>
      <c r="C1215" s="30">
        <f>YEAR(BInputReservoir[[#This Row],[Date]])</f>
        <v>2026</v>
      </c>
      <c r="D1215" s="30">
        <f>MONTH(BInputReservoir[[#This Row],[Date]])</f>
        <v>6</v>
      </c>
      <c r="E1215" s="30" t="str">
        <f>IF(I1215&lt;&gt;1,"",DATA_INPUT!N133)</f>
        <v/>
      </c>
      <c r="F1215" s="30" t="str">
        <f>STORAGE_BALANCE_ENSEMBLE!BU133</f>
        <v/>
      </c>
      <c r="G1215" s="30" t="str">
        <f>STORAGE_BALANCE_ENSEMBLE!BV133</f>
        <v/>
      </c>
      <c r="H1215" s="30" t="str">
        <f>STORAGE_BALANCE_ENSEMBLE!BT133</f>
        <v/>
      </c>
      <c r="I1215" s="18" t="str">
        <f t="shared" si="174"/>
        <v/>
      </c>
      <c r="J1215" s="8" t="str">
        <f t="shared" si="175"/>
        <v/>
      </c>
      <c r="K1215" s="9" t="str">
        <f t="shared" si="176"/>
        <v/>
      </c>
      <c r="L1215" s="10" t="str">
        <f t="shared" si="177"/>
        <v/>
      </c>
      <c r="M1215" s="10" t="str">
        <f>IF(I1215&lt;&gt;1,"",IF(H1215="","",H1215/CONTROL_PANEL!$B$11))</f>
        <v/>
      </c>
      <c r="N1215" s="9" t="str">
        <f t="shared" si="178"/>
        <v/>
      </c>
      <c r="O1215" s="9" t="str">
        <f t="shared" si="179"/>
        <v/>
      </c>
      <c r="P1215" s="9" t="str">
        <f t="shared" si="180"/>
        <v/>
      </c>
      <c r="Q1215" s="9" t="str">
        <f t="shared" si="181"/>
        <v/>
      </c>
      <c r="R1215" s="11"/>
      <c r="S1215" s="11" t="str">
        <f t="shared" si="182"/>
        <v>PASS</v>
      </c>
    </row>
    <row r="1216" spans="1:19" x14ac:dyDescent="0.25">
      <c r="A1216" s="30" t="s">
        <v>98</v>
      </c>
      <c r="B1216" s="31">
        <f t="shared" ref="B1216:B1279" si="183">B133</f>
        <v>46204</v>
      </c>
      <c r="C1216" s="30">
        <f>YEAR(BInputReservoir[[#This Row],[Date]])</f>
        <v>2026</v>
      </c>
      <c r="D1216" s="30">
        <f>MONTH(BInputReservoir[[#This Row],[Date]])</f>
        <v>7</v>
      </c>
      <c r="E1216" s="30" t="str">
        <f>IF(I1216&lt;&gt;1,"",DATA_INPUT!N134)</f>
        <v/>
      </c>
      <c r="F1216" s="30" t="str">
        <f>STORAGE_BALANCE_ENSEMBLE!BU134</f>
        <v/>
      </c>
      <c r="G1216" s="30" t="str">
        <f>STORAGE_BALANCE_ENSEMBLE!BV134</f>
        <v/>
      </c>
      <c r="H1216" s="30" t="str">
        <f>STORAGE_BALANCE_ENSEMBLE!BT134</f>
        <v/>
      </c>
      <c r="I1216" s="18" t="str">
        <f t="shared" ref="I1216:I1279" si="184">I133</f>
        <v/>
      </c>
      <c r="J1216" s="8" t="str">
        <f t="shared" si="175"/>
        <v/>
      </c>
      <c r="K1216" s="9" t="str">
        <f t="shared" si="176"/>
        <v/>
      </c>
      <c r="L1216" s="10" t="str">
        <f t="shared" si="177"/>
        <v/>
      </c>
      <c r="M1216" s="10" t="str">
        <f>IF(I1216&lt;&gt;1,"",IF(H1216="","",H1216/CONTROL_PANEL!$B$11))</f>
        <v/>
      </c>
      <c r="N1216" s="9" t="str">
        <f t="shared" si="178"/>
        <v/>
      </c>
      <c r="O1216" s="9" t="str">
        <f t="shared" si="179"/>
        <v/>
      </c>
      <c r="P1216" s="9" t="str">
        <f t="shared" si="180"/>
        <v/>
      </c>
      <c r="Q1216" s="9" t="str">
        <f t="shared" si="181"/>
        <v/>
      </c>
      <c r="R1216" s="11"/>
      <c r="S1216" s="11" t="str">
        <f t="shared" si="182"/>
        <v>PASS</v>
      </c>
    </row>
    <row r="1217" spans="1:19" x14ac:dyDescent="0.25">
      <c r="A1217" s="30" t="s">
        <v>98</v>
      </c>
      <c r="B1217" s="31">
        <f t="shared" si="183"/>
        <v>46235</v>
      </c>
      <c r="C1217" s="30">
        <f>YEAR(BInputReservoir[[#This Row],[Date]])</f>
        <v>2026</v>
      </c>
      <c r="D1217" s="30">
        <f>MONTH(BInputReservoir[[#This Row],[Date]])</f>
        <v>8</v>
      </c>
      <c r="E1217" s="30" t="str">
        <f>IF(I1217&lt;&gt;1,"",DATA_INPUT!N135)</f>
        <v/>
      </c>
      <c r="F1217" s="30" t="str">
        <f>STORAGE_BALANCE_ENSEMBLE!BU135</f>
        <v/>
      </c>
      <c r="G1217" s="30" t="str">
        <f>STORAGE_BALANCE_ENSEMBLE!BV135</f>
        <v/>
      </c>
      <c r="H1217" s="30" t="str">
        <f>STORAGE_BALANCE_ENSEMBLE!BT135</f>
        <v/>
      </c>
      <c r="I1217" s="18" t="str">
        <f t="shared" si="184"/>
        <v/>
      </c>
      <c r="J1217" s="8" t="str">
        <f t="shared" si="175"/>
        <v/>
      </c>
      <c r="K1217" s="9" t="str">
        <f t="shared" si="176"/>
        <v/>
      </c>
      <c r="L1217" s="10" t="str">
        <f t="shared" si="177"/>
        <v/>
      </c>
      <c r="M1217" s="10" t="str">
        <f>IF(I1217&lt;&gt;1,"",IF(H1217="","",H1217/CONTROL_PANEL!$B$11))</f>
        <v/>
      </c>
      <c r="N1217" s="9" t="str">
        <f t="shared" si="178"/>
        <v/>
      </c>
      <c r="O1217" s="9" t="str">
        <f t="shared" si="179"/>
        <v/>
      </c>
      <c r="P1217" s="9" t="str">
        <f t="shared" si="180"/>
        <v/>
      </c>
      <c r="Q1217" s="9" t="str">
        <f t="shared" si="181"/>
        <v/>
      </c>
      <c r="R1217" s="11"/>
      <c r="S1217" s="11" t="str">
        <f t="shared" si="182"/>
        <v>PASS</v>
      </c>
    </row>
    <row r="1218" spans="1:19" x14ac:dyDescent="0.25">
      <c r="A1218" s="30" t="s">
        <v>98</v>
      </c>
      <c r="B1218" s="31">
        <f t="shared" si="183"/>
        <v>46266</v>
      </c>
      <c r="C1218" s="30">
        <f>YEAR(BInputReservoir[[#This Row],[Date]])</f>
        <v>2026</v>
      </c>
      <c r="D1218" s="30">
        <f>MONTH(BInputReservoir[[#This Row],[Date]])</f>
        <v>9</v>
      </c>
      <c r="E1218" s="30" t="str">
        <f>IF(I1218&lt;&gt;1,"",DATA_INPUT!N136)</f>
        <v/>
      </c>
      <c r="F1218" s="30" t="str">
        <f>STORAGE_BALANCE_ENSEMBLE!BU136</f>
        <v/>
      </c>
      <c r="G1218" s="30" t="str">
        <f>STORAGE_BALANCE_ENSEMBLE!BV136</f>
        <v/>
      </c>
      <c r="H1218" s="30" t="str">
        <f>STORAGE_BALANCE_ENSEMBLE!BT136</f>
        <v/>
      </c>
      <c r="I1218" s="18" t="str">
        <f t="shared" si="184"/>
        <v/>
      </c>
      <c r="J1218" s="8" t="str">
        <f t="shared" si="175"/>
        <v/>
      </c>
      <c r="K1218" s="9" t="str">
        <f t="shared" si="176"/>
        <v/>
      </c>
      <c r="L1218" s="10" t="str">
        <f t="shared" si="177"/>
        <v/>
      </c>
      <c r="M1218" s="10" t="str">
        <f>IF(I1218&lt;&gt;1,"",IF(H1218="","",H1218/CONTROL_PANEL!$B$11))</f>
        <v/>
      </c>
      <c r="N1218" s="9" t="str">
        <f t="shared" si="178"/>
        <v/>
      </c>
      <c r="O1218" s="9" t="str">
        <f t="shared" si="179"/>
        <v/>
      </c>
      <c r="P1218" s="9" t="str">
        <f t="shared" si="180"/>
        <v/>
      </c>
      <c r="Q1218" s="9" t="str">
        <f t="shared" si="181"/>
        <v/>
      </c>
      <c r="R1218" s="11"/>
      <c r="S1218" s="11" t="str">
        <f t="shared" si="182"/>
        <v>PASS</v>
      </c>
    </row>
    <row r="1219" spans="1:19" x14ac:dyDescent="0.25">
      <c r="A1219" s="30" t="s">
        <v>98</v>
      </c>
      <c r="B1219" s="31">
        <f t="shared" si="183"/>
        <v>46296</v>
      </c>
      <c r="C1219" s="30">
        <f>YEAR(BInputReservoir[[#This Row],[Date]])</f>
        <v>2026</v>
      </c>
      <c r="D1219" s="30">
        <f>MONTH(BInputReservoir[[#This Row],[Date]])</f>
        <v>10</v>
      </c>
      <c r="E1219" s="30" t="str">
        <f>IF(I1219&lt;&gt;1,"",DATA_INPUT!N137)</f>
        <v/>
      </c>
      <c r="F1219" s="30" t="str">
        <f>STORAGE_BALANCE_ENSEMBLE!BU137</f>
        <v/>
      </c>
      <c r="G1219" s="30" t="str">
        <f>STORAGE_BALANCE_ENSEMBLE!BV137</f>
        <v/>
      </c>
      <c r="H1219" s="30" t="str">
        <f>STORAGE_BALANCE_ENSEMBLE!BT137</f>
        <v/>
      </c>
      <c r="I1219" s="18" t="str">
        <f t="shared" si="184"/>
        <v/>
      </c>
      <c r="J1219" s="8" t="str">
        <f t="shared" si="175"/>
        <v/>
      </c>
      <c r="K1219" s="9" t="str">
        <f t="shared" si="176"/>
        <v/>
      </c>
      <c r="L1219" s="10" t="str">
        <f t="shared" si="177"/>
        <v/>
      </c>
      <c r="M1219" s="10" t="str">
        <f>IF(I1219&lt;&gt;1,"",IF(H1219="","",H1219/CONTROL_PANEL!$B$11))</f>
        <v/>
      </c>
      <c r="N1219" s="9" t="str">
        <f t="shared" si="178"/>
        <v/>
      </c>
      <c r="O1219" s="9" t="str">
        <f t="shared" si="179"/>
        <v/>
      </c>
      <c r="P1219" s="9" t="str">
        <f t="shared" si="180"/>
        <v/>
      </c>
      <c r="Q1219" s="9" t="str">
        <f t="shared" si="181"/>
        <v/>
      </c>
      <c r="R1219" s="11"/>
      <c r="S1219" s="11" t="str">
        <f t="shared" si="182"/>
        <v>PASS</v>
      </c>
    </row>
    <row r="1220" spans="1:19" x14ac:dyDescent="0.25">
      <c r="A1220" s="30" t="s">
        <v>98</v>
      </c>
      <c r="B1220" s="31">
        <f t="shared" si="183"/>
        <v>46327</v>
      </c>
      <c r="C1220" s="30">
        <f>YEAR(BInputReservoir[[#This Row],[Date]])</f>
        <v>2026</v>
      </c>
      <c r="D1220" s="30">
        <f>MONTH(BInputReservoir[[#This Row],[Date]])</f>
        <v>11</v>
      </c>
      <c r="E1220" s="30" t="str">
        <f>IF(I1220&lt;&gt;1,"",DATA_INPUT!N138)</f>
        <v/>
      </c>
      <c r="F1220" s="30" t="str">
        <f>STORAGE_BALANCE_ENSEMBLE!BU138</f>
        <v/>
      </c>
      <c r="G1220" s="30" t="str">
        <f>STORAGE_BALANCE_ENSEMBLE!BV138</f>
        <v/>
      </c>
      <c r="H1220" s="30" t="str">
        <f>STORAGE_BALANCE_ENSEMBLE!BT138</f>
        <v/>
      </c>
      <c r="I1220" s="18" t="str">
        <f t="shared" si="184"/>
        <v/>
      </c>
      <c r="J1220" s="8" t="str">
        <f t="shared" si="175"/>
        <v/>
      </c>
      <c r="K1220" s="9" t="str">
        <f t="shared" si="176"/>
        <v/>
      </c>
      <c r="L1220" s="10" t="str">
        <f t="shared" si="177"/>
        <v/>
      </c>
      <c r="M1220" s="10" t="str">
        <f>IF(I1220&lt;&gt;1,"",IF(H1220="","",H1220/CONTROL_PANEL!$B$11))</f>
        <v/>
      </c>
      <c r="N1220" s="9" t="str">
        <f t="shared" si="178"/>
        <v/>
      </c>
      <c r="O1220" s="9" t="str">
        <f t="shared" si="179"/>
        <v/>
      </c>
      <c r="P1220" s="9" t="str">
        <f t="shared" si="180"/>
        <v/>
      </c>
      <c r="Q1220" s="9" t="str">
        <f t="shared" si="181"/>
        <v/>
      </c>
      <c r="R1220" s="11"/>
      <c r="S1220" s="11" t="str">
        <f t="shared" si="182"/>
        <v>PASS</v>
      </c>
    </row>
    <row r="1221" spans="1:19" x14ac:dyDescent="0.25">
      <c r="A1221" s="30" t="s">
        <v>98</v>
      </c>
      <c r="B1221" s="31">
        <f t="shared" si="183"/>
        <v>46357</v>
      </c>
      <c r="C1221" s="30">
        <f>YEAR(BInputReservoir[[#This Row],[Date]])</f>
        <v>2026</v>
      </c>
      <c r="D1221" s="30">
        <f>MONTH(BInputReservoir[[#This Row],[Date]])</f>
        <v>12</v>
      </c>
      <c r="E1221" s="30" t="str">
        <f>IF(I1221&lt;&gt;1,"",DATA_INPUT!N139)</f>
        <v/>
      </c>
      <c r="F1221" s="30" t="str">
        <f>STORAGE_BALANCE_ENSEMBLE!BU139</f>
        <v/>
      </c>
      <c r="G1221" s="30" t="str">
        <f>STORAGE_BALANCE_ENSEMBLE!BV139</f>
        <v/>
      </c>
      <c r="H1221" s="30" t="str">
        <f>STORAGE_BALANCE_ENSEMBLE!BT139</f>
        <v/>
      </c>
      <c r="I1221" s="18" t="str">
        <f t="shared" si="184"/>
        <v/>
      </c>
      <c r="J1221" s="8" t="str">
        <f t="shared" ref="J1221:J1284" si="185">IF(I1221&lt;&gt;1,"",IF(E1221="","",MAX(0,E1221-G1221)))</f>
        <v/>
      </c>
      <c r="K1221" s="9" t="str">
        <f t="shared" ref="K1221:K1284" si="186">IF(I1221&lt;&gt;1,"",IF(OR(G1221="",E1221=""),"",IF(G1221&gt;0,1,0)))</f>
        <v/>
      </c>
      <c r="L1221" s="10" t="str">
        <f t="shared" ref="L1221:L1284" si="187">IF(I1221&lt;&gt;1,"",IF(AND(K1221=1,E1221&gt;0),G1221/E1221,0))</f>
        <v/>
      </c>
      <c r="M1221" s="10" t="str">
        <f>IF(I1221&lt;&gt;1,"",IF(H1221="","",H1221/CONTROL_PANEL!$B$11))</f>
        <v/>
      </c>
      <c r="N1221" s="9" t="str">
        <f t="shared" ref="N1221:N1284" si="188">IF(I1221&lt;&gt;1,"",IF(AND(K1221=1,A1222=A1221),1,0))</f>
        <v/>
      </c>
      <c r="O1221" s="9" t="str">
        <f t="shared" ref="O1221:O1284" si="189">IF(I1221&lt;&gt;1,"",IF(AND(K1221=1,A1222=A1221,K1222=0),1,0))</f>
        <v/>
      </c>
      <c r="P1221" s="9" t="str">
        <f t="shared" ref="P1221:P1284" si="190">IF(I1221&lt;&gt;1,"",IF(F1221&gt;0,1,0))</f>
        <v/>
      </c>
      <c r="Q1221" s="9" t="str">
        <f t="shared" ref="Q1221:Q1284" si="191">IF(I1221&lt;&gt;1,"",IF(G1221&gt;0,1,0))</f>
        <v/>
      </c>
      <c r="R1221" s="11"/>
      <c r="S1221" s="11" t="str">
        <f t="shared" si="182"/>
        <v>PASS</v>
      </c>
    </row>
    <row r="1222" spans="1:19" x14ac:dyDescent="0.25">
      <c r="A1222" s="30" t="s">
        <v>98</v>
      </c>
      <c r="B1222" s="31">
        <f t="shared" si="183"/>
        <v>46388</v>
      </c>
      <c r="C1222" s="30">
        <f>YEAR(BInputReservoir[[#This Row],[Date]])</f>
        <v>2027</v>
      </c>
      <c r="D1222" s="30">
        <f>MONTH(BInputReservoir[[#This Row],[Date]])</f>
        <v>1</v>
      </c>
      <c r="E1222" s="30" t="str">
        <f>IF(I1222&lt;&gt;1,"",DATA_INPUT!N140)</f>
        <v/>
      </c>
      <c r="F1222" s="30" t="str">
        <f>STORAGE_BALANCE_ENSEMBLE!BU140</f>
        <v/>
      </c>
      <c r="G1222" s="30" t="str">
        <f>STORAGE_BALANCE_ENSEMBLE!BV140</f>
        <v/>
      </c>
      <c r="H1222" s="30" t="str">
        <f>STORAGE_BALANCE_ENSEMBLE!BT140</f>
        <v/>
      </c>
      <c r="I1222" s="18" t="str">
        <f t="shared" si="184"/>
        <v/>
      </c>
      <c r="J1222" s="8" t="str">
        <f t="shared" si="185"/>
        <v/>
      </c>
      <c r="K1222" s="9" t="str">
        <f t="shared" si="186"/>
        <v/>
      </c>
      <c r="L1222" s="10" t="str">
        <f t="shared" si="187"/>
        <v/>
      </c>
      <c r="M1222" s="10" t="str">
        <f>IF(I1222&lt;&gt;1,"",IF(H1222="","",H1222/CONTROL_PANEL!$B$11))</f>
        <v/>
      </c>
      <c r="N1222" s="9" t="str">
        <f t="shared" si="188"/>
        <v/>
      </c>
      <c r="O1222" s="9" t="str">
        <f t="shared" si="189"/>
        <v/>
      </c>
      <c r="P1222" s="9" t="str">
        <f t="shared" si="190"/>
        <v/>
      </c>
      <c r="Q1222" s="9" t="str">
        <f t="shared" si="191"/>
        <v/>
      </c>
      <c r="R1222" s="11"/>
      <c r="S1222" s="11" t="str">
        <f t="shared" si="182"/>
        <v>PASS</v>
      </c>
    </row>
    <row r="1223" spans="1:19" x14ac:dyDescent="0.25">
      <c r="A1223" s="30" t="s">
        <v>98</v>
      </c>
      <c r="B1223" s="31">
        <f t="shared" si="183"/>
        <v>46419</v>
      </c>
      <c r="C1223" s="30">
        <f>YEAR(BInputReservoir[[#This Row],[Date]])</f>
        <v>2027</v>
      </c>
      <c r="D1223" s="30">
        <f>MONTH(BInputReservoir[[#This Row],[Date]])</f>
        <v>2</v>
      </c>
      <c r="E1223" s="30" t="str">
        <f>IF(I1223&lt;&gt;1,"",DATA_INPUT!N141)</f>
        <v/>
      </c>
      <c r="F1223" s="30" t="str">
        <f>STORAGE_BALANCE_ENSEMBLE!BU141</f>
        <v/>
      </c>
      <c r="G1223" s="30" t="str">
        <f>STORAGE_BALANCE_ENSEMBLE!BV141</f>
        <v/>
      </c>
      <c r="H1223" s="30" t="str">
        <f>STORAGE_BALANCE_ENSEMBLE!BT141</f>
        <v/>
      </c>
      <c r="I1223" s="18" t="str">
        <f t="shared" si="184"/>
        <v/>
      </c>
      <c r="J1223" s="8" t="str">
        <f t="shared" si="185"/>
        <v/>
      </c>
      <c r="K1223" s="9" t="str">
        <f t="shared" si="186"/>
        <v/>
      </c>
      <c r="L1223" s="10" t="str">
        <f t="shared" si="187"/>
        <v/>
      </c>
      <c r="M1223" s="10" t="str">
        <f>IF(I1223&lt;&gt;1,"",IF(H1223="","",H1223/CONTROL_PANEL!$B$11))</f>
        <v/>
      </c>
      <c r="N1223" s="9" t="str">
        <f t="shared" si="188"/>
        <v/>
      </c>
      <c r="O1223" s="9" t="str">
        <f t="shared" si="189"/>
        <v/>
      </c>
      <c r="P1223" s="9" t="str">
        <f t="shared" si="190"/>
        <v/>
      </c>
      <c r="Q1223" s="9" t="str">
        <f t="shared" si="191"/>
        <v/>
      </c>
      <c r="R1223" s="11"/>
      <c r="S1223" s="11" t="str">
        <f t="shared" ref="S1223:S1286" si="192">IF(COUNTA(A1223:H1223)=0,"",IF(OR(A1223="",C1223="",D1223=""),"ERROR: missing key fields","PASS"))</f>
        <v>PASS</v>
      </c>
    </row>
    <row r="1224" spans="1:19" x14ac:dyDescent="0.25">
      <c r="A1224" s="30" t="s">
        <v>98</v>
      </c>
      <c r="B1224" s="31">
        <f t="shared" si="183"/>
        <v>46447</v>
      </c>
      <c r="C1224" s="30">
        <f>YEAR(BInputReservoir[[#This Row],[Date]])</f>
        <v>2027</v>
      </c>
      <c r="D1224" s="30">
        <f>MONTH(BInputReservoir[[#This Row],[Date]])</f>
        <v>3</v>
      </c>
      <c r="E1224" s="30" t="str">
        <f>IF(I1224&lt;&gt;1,"",DATA_INPUT!N142)</f>
        <v/>
      </c>
      <c r="F1224" s="30" t="str">
        <f>STORAGE_BALANCE_ENSEMBLE!BU142</f>
        <v/>
      </c>
      <c r="G1224" s="30" t="str">
        <f>STORAGE_BALANCE_ENSEMBLE!BV142</f>
        <v/>
      </c>
      <c r="H1224" s="30" t="str">
        <f>STORAGE_BALANCE_ENSEMBLE!BT142</f>
        <v/>
      </c>
      <c r="I1224" s="18" t="str">
        <f t="shared" si="184"/>
        <v/>
      </c>
      <c r="J1224" s="8" t="str">
        <f t="shared" si="185"/>
        <v/>
      </c>
      <c r="K1224" s="9" t="str">
        <f t="shared" si="186"/>
        <v/>
      </c>
      <c r="L1224" s="10" t="str">
        <f t="shared" si="187"/>
        <v/>
      </c>
      <c r="M1224" s="10" t="str">
        <f>IF(I1224&lt;&gt;1,"",IF(H1224="","",H1224/CONTROL_PANEL!$B$11))</f>
        <v/>
      </c>
      <c r="N1224" s="9" t="str">
        <f t="shared" si="188"/>
        <v/>
      </c>
      <c r="O1224" s="9" t="str">
        <f t="shared" si="189"/>
        <v/>
      </c>
      <c r="P1224" s="9" t="str">
        <f t="shared" si="190"/>
        <v/>
      </c>
      <c r="Q1224" s="9" t="str">
        <f t="shared" si="191"/>
        <v/>
      </c>
      <c r="R1224" s="11"/>
      <c r="S1224" s="11" t="str">
        <f t="shared" si="192"/>
        <v>PASS</v>
      </c>
    </row>
    <row r="1225" spans="1:19" x14ac:dyDescent="0.25">
      <c r="A1225" s="30" t="s">
        <v>98</v>
      </c>
      <c r="B1225" s="31">
        <f t="shared" si="183"/>
        <v>46478</v>
      </c>
      <c r="C1225" s="30">
        <f>YEAR(BInputReservoir[[#This Row],[Date]])</f>
        <v>2027</v>
      </c>
      <c r="D1225" s="30">
        <f>MONTH(BInputReservoir[[#This Row],[Date]])</f>
        <v>4</v>
      </c>
      <c r="E1225" s="30" t="str">
        <f>IF(I1225&lt;&gt;1,"",DATA_INPUT!N143)</f>
        <v/>
      </c>
      <c r="F1225" s="30" t="str">
        <f>STORAGE_BALANCE_ENSEMBLE!BU143</f>
        <v/>
      </c>
      <c r="G1225" s="30" t="str">
        <f>STORAGE_BALANCE_ENSEMBLE!BV143</f>
        <v/>
      </c>
      <c r="H1225" s="30" t="str">
        <f>STORAGE_BALANCE_ENSEMBLE!BT143</f>
        <v/>
      </c>
      <c r="I1225" s="18" t="str">
        <f t="shared" si="184"/>
        <v/>
      </c>
      <c r="J1225" s="8" t="str">
        <f t="shared" si="185"/>
        <v/>
      </c>
      <c r="K1225" s="9" t="str">
        <f t="shared" si="186"/>
        <v/>
      </c>
      <c r="L1225" s="10" t="str">
        <f t="shared" si="187"/>
        <v/>
      </c>
      <c r="M1225" s="10" t="str">
        <f>IF(I1225&lt;&gt;1,"",IF(H1225="","",H1225/CONTROL_PANEL!$B$11))</f>
        <v/>
      </c>
      <c r="N1225" s="9" t="str">
        <f t="shared" si="188"/>
        <v/>
      </c>
      <c r="O1225" s="9" t="str">
        <f t="shared" si="189"/>
        <v/>
      </c>
      <c r="P1225" s="9" t="str">
        <f t="shared" si="190"/>
        <v/>
      </c>
      <c r="Q1225" s="9" t="str">
        <f t="shared" si="191"/>
        <v/>
      </c>
      <c r="R1225" s="11"/>
      <c r="S1225" s="11" t="str">
        <f t="shared" si="192"/>
        <v>PASS</v>
      </c>
    </row>
    <row r="1226" spans="1:19" x14ac:dyDescent="0.25">
      <c r="A1226" s="30" t="s">
        <v>98</v>
      </c>
      <c r="B1226" s="31">
        <f t="shared" si="183"/>
        <v>46508</v>
      </c>
      <c r="C1226" s="30">
        <f>YEAR(BInputReservoir[[#This Row],[Date]])</f>
        <v>2027</v>
      </c>
      <c r="D1226" s="30">
        <f>MONTH(BInputReservoir[[#This Row],[Date]])</f>
        <v>5</v>
      </c>
      <c r="E1226" s="30" t="str">
        <f>IF(I1226&lt;&gt;1,"",DATA_INPUT!N144)</f>
        <v/>
      </c>
      <c r="F1226" s="30" t="str">
        <f>STORAGE_BALANCE_ENSEMBLE!BU144</f>
        <v/>
      </c>
      <c r="G1226" s="30" t="str">
        <f>STORAGE_BALANCE_ENSEMBLE!BV144</f>
        <v/>
      </c>
      <c r="H1226" s="30" t="str">
        <f>STORAGE_BALANCE_ENSEMBLE!BT144</f>
        <v/>
      </c>
      <c r="I1226" s="18" t="str">
        <f t="shared" si="184"/>
        <v/>
      </c>
      <c r="J1226" s="8" t="str">
        <f t="shared" si="185"/>
        <v/>
      </c>
      <c r="K1226" s="9" t="str">
        <f t="shared" si="186"/>
        <v/>
      </c>
      <c r="L1226" s="10" t="str">
        <f t="shared" si="187"/>
        <v/>
      </c>
      <c r="M1226" s="10" t="str">
        <f>IF(I1226&lt;&gt;1,"",IF(H1226="","",H1226/CONTROL_PANEL!$B$11))</f>
        <v/>
      </c>
      <c r="N1226" s="9" t="str">
        <f t="shared" si="188"/>
        <v/>
      </c>
      <c r="O1226" s="9" t="str">
        <f t="shared" si="189"/>
        <v/>
      </c>
      <c r="P1226" s="9" t="str">
        <f t="shared" si="190"/>
        <v/>
      </c>
      <c r="Q1226" s="9" t="str">
        <f t="shared" si="191"/>
        <v/>
      </c>
      <c r="R1226" s="11"/>
      <c r="S1226" s="11" t="str">
        <f t="shared" si="192"/>
        <v>PASS</v>
      </c>
    </row>
    <row r="1227" spans="1:19" x14ac:dyDescent="0.25">
      <c r="A1227" s="30" t="s">
        <v>98</v>
      </c>
      <c r="B1227" s="31">
        <f t="shared" si="183"/>
        <v>46539</v>
      </c>
      <c r="C1227" s="30">
        <f>YEAR(BInputReservoir[[#This Row],[Date]])</f>
        <v>2027</v>
      </c>
      <c r="D1227" s="30">
        <f>MONTH(BInputReservoir[[#This Row],[Date]])</f>
        <v>6</v>
      </c>
      <c r="E1227" s="30" t="str">
        <f>IF(I1227&lt;&gt;1,"",DATA_INPUT!N145)</f>
        <v/>
      </c>
      <c r="F1227" s="30" t="str">
        <f>STORAGE_BALANCE_ENSEMBLE!BU145</f>
        <v/>
      </c>
      <c r="G1227" s="30" t="str">
        <f>STORAGE_BALANCE_ENSEMBLE!BV145</f>
        <v/>
      </c>
      <c r="H1227" s="30" t="str">
        <f>STORAGE_BALANCE_ENSEMBLE!BT145</f>
        <v/>
      </c>
      <c r="I1227" s="18" t="str">
        <f t="shared" si="184"/>
        <v/>
      </c>
      <c r="J1227" s="8" t="str">
        <f t="shared" si="185"/>
        <v/>
      </c>
      <c r="K1227" s="9" t="str">
        <f t="shared" si="186"/>
        <v/>
      </c>
      <c r="L1227" s="10" t="str">
        <f t="shared" si="187"/>
        <v/>
      </c>
      <c r="M1227" s="10" t="str">
        <f>IF(I1227&lt;&gt;1,"",IF(H1227="","",H1227/CONTROL_PANEL!$B$11))</f>
        <v/>
      </c>
      <c r="N1227" s="9" t="str">
        <f t="shared" si="188"/>
        <v/>
      </c>
      <c r="O1227" s="9" t="str">
        <f t="shared" si="189"/>
        <v/>
      </c>
      <c r="P1227" s="9" t="str">
        <f t="shared" si="190"/>
        <v/>
      </c>
      <c r="Q1227" s="9" t="str">
        <f t="shared" si="191"/>
        <v/>
      </c>
      <c r="R1227" s="11"/>
      <c r="S1227" s="11" t="str">
        <f t="shared" si="192"/>
        <v>PASS</v>
      </c>
    </row>
    <row r="1228" spans="1:19" x14ac:dyDescent="0.25">
      <c r="A1228" s="30" t="s">
        <v>98</v>
      </c>
      <c r="B1228" s="31">
        <f t="shared" si="183"/>
        <v>46569</v>
      </c>
      <c r="C1228" s="30">
        <f>YEAR(BInputReservoir[[#This Row],[Date]])</f>
        <v>2027</v>
      </c>
      <c r="D1228" s="30">
        <f>MONTH(BInputReservoir[[#This Row],[Date]])</f>
        <v>7</v>
      </c>
      <c r="E1228" s="30" t="str">
        <f>IF(I1228&lt;&gt;1,"",DATA_INPUT!N146)</f>
        <v/>
      </c>
      <c r="F1228" s="30" t="str">
        <f>STORAGE_BALANCE_ENSEMBLE!BU146</f>
        <v/>
      </c>
      <c r="G1228" s="30" t="str">
        <f>STORAGE_BALANCE_ENSEMBLE!BV146</f>
        <v/>
      </c>
      <c r="H1228" s="30" t="str">
        <f>STORAGE_BALANCE_ENSEMBLE!BT146</f>
        <v/>
      </c>
      <c r="I1228" s="18" t="str">
        <f t="shared" si="184"/>
        <v/>
      </c>
      <c r="J1228" s="8" t="str">
        <f t="shared" si="185"/>
        <v/>
      </c>
      <c r="K1228" s="9" t="str">
        <f t="shared" si="186"/>
        <v/>
      </c>
      <c r="L1228" s="10" t="str">
        <f t="shared" si="187"/>
        <v/>
      </c>
      <c r="M1228" s="10" t="str">
        <f>IF(I1228&lt;&gt;1,"",IF(H1228="","",H1228/CONTROL_PANEL!$B$11))</f>
        <v/>
      </c>
      <c r="N1228" s="9" t="str">
        <f t="shared" si="188"/>
        <v/>
      </c>
      <c r="O1228" s="9" t="str">
        <f t="shared" si="189"/>
        <v/>
      </c>
      <c r="P1228" s="9" t="str">
        <f t="shared" si="190"/>
        <v/>
      </c>
      <c r="Q1228" s="9" t="str">
        <f t="shared" si="191"/>
        <v/>
      </c>
      <c r="R1228" s="11"/>
      <c r="S1228" s="11" t="str">
        <f t="shared" si="192"/>
        <v>PASS</v>
      </c>
    </row>
    <row r="1229" spans="1:19" x14ac:dyDescent="0.25">
      <c r="A1229" s="30" t="s">
        <v>98</v>
      </c>
      <c r="B1229" s="31">
        <f t="shared" si="183"/>
        <v>46600</v>
      </c>
      <c r="C1229" s="30">
        <f>YEAR(BInputReservoir[[#This Row],[Date]])</f>
        <v>2027</v>
      </c>
      <c r="D1229" s="30">
        <f>MONTH(BInputReservoir[[#This Row],[Date]])</f>
        <v>8</v>
      </c>
      <c r="E1229" s="30" t="str">
        <f>IF(I1229&lt;&gt;1,"",DATA_INPUT!N147)</f>
        <v/>
      </c>
      <c r="F1229" s="30" t="str">
        <f>STORAGE_BALANCE_ENSEMBLE!BU147</f>
        <v/>
      </c>
      <c r="G1229" s="30" t="str">
        <f>STORAGE_BALANCE_ENSEMBLE!BV147</f>
        <v/>
      </c>
      <c r="H1229" s="30" t="str">
        <f>STORAGE_BALANCE_ENSEMBLE!BT147</f>
        <v/>
      </c>
      <c r="I1229" s="18" t="str">
        <f t="shared" si="184"/>
        <v/>
      </c>
      <c r="J1229" s="8" t="str">
        <f t="shared" si="185"/>
        <v/>
      </c>
      <c r="K1229" s="9" t="str">
        <f t="shared" si="186"/>
        <v/>
      </c>
      <c r="L1229" s="10" t="str">
        <f t="shared" si="187"/>
        <v/>
      </c>
      <c r="M1229" s="10" t="str">
        <f>IF(I1229&lt;&gt;1,"",IF(H1229="","",H1229/CONTROL_PANEL!$B$11))</f>
        <v/>
      </c>
      <c r="N1229" s="9" t="str">
        <f t="shared" si="188"/>
        <v/>
      </c>
      <c r="O1229" s="9" t="str">
        <f t="shared" si="189"/>
        <v/>
      </c>
      <c r="P1229" s="9" t="str">
        <f t="shared" si="190"/>
        <v/>
      </c>
      <c r="Q1229" s="9" t="str">
        <f t="shared" si="191"/>
        <v/>
      </c>
      <c r="R1229" s="11"/>
      <c r="S1229" s="11" t="str">
        <f t="shared" si="192"/>
        <v>PASS</v>
      </c>
    </row>
    <row r="1230" spans="1:19" x14ac:dyDescent="0.25">
      <c r="A1230" s="30" t="s">
        <v>98</v>
      </c>
      <c r="B1230" s="31">
        <f t="shared" si="183"/>
        <v>46631</v>
      </c>
      <c r="C1230" s="30">
        <f>YEAR(BInputReservoir[[#This Row],[Date]])</f>
        <v>2027</v>
      </c>
      <c r="D1230" s="30">
        <f>MONTH(BInputReservoir[[#This Row],[Date]])</f>
        <v>9</v>
      </c>
      <c r="E1230" s="30" t="str">
        <f>IF(I1230&lt;&gt;1,"",DATA_INPUT!N148)</f>
        <v/>
      </c>
      <c r="F1230" s="30" t="str">
        <f>STORAGE_BALANCE_ENSEMBLE!BU148</f>
        <v/>
      </c>
      <c r="G1230" s="30" t="str">
        <f>STORAGE_BALANCE_ENSEMBLE!BV148</f>
        <v/>
      </c>
      <c r="H1230" s="30" t="str">
        <f>STORAGE_BALANCE_ENSEMBLE!BT148</f>
        <v/>
      </c>
      <c r="I1230" s="18" t="str">
        <f t="shared" si="184"/>
        <v/>
      </c>
      <c r="J1230" s="8" t="str">
        <f t="shared" si="185"/>
        <v/>
      </c>
      <c r="K1230" s="9" t="str">
        <f t="shared" si="186"/>
        <v/>
      </c>
      <c r="L1230" s="10" t="str">
        <f t="shared" si="187"/>
        <v/>
      </c>
      <c r="M1230" s="10" t="str">
        <f>IF(I1230&lt;&gt;1,"",IF(H1230="","",H1230/CONTROL_PANEL!$B$11))</f>
        <v/>
      </c>
      <c r="N1230" s="9" t="str">
        <f t="shared" si="188"/>
        <v/>
      </c>
      <c r="O1230" s="9" t="str">
        <f t="shared" si="189"/>
        <v/>
      </c>
      <c r="P1230" s="9" t="str">
        <f t="shared" si="190"/>
        <v/>
      </c>
      <c r="Q1230" s="9" t="str">
        <f t="shared" si="191"/>
        <v/>
      </c>
      <c r="R1230" s="11"/>
      <c r="S1230" s="11" t="str">
        <f t="shared" si="192"/>
        <v>PASS</v>
      </c>
    </row>
    <row r="1231" spans="1:19" x14ac:dyDescent="0.25">
      <c r="A1231" s="30" t="s">
        <v>98</v>
      </c>
      <c r="B1231" s="31">
        <f t="shared" si="183"/>
        <v>46661</v>
      </c>
      <c r="C1231" s="30">
        <f>YEAR(BInputReservoir[[#This Row],[Date]])</f>
        <v>2027</v>
      </c>
      <c r="D1231" s="30">
        <f>MONTH(BInputReservoir[[#This Row],[Date]])</f>
        <v>10</v>
      </c>
      <c r="E1231" s="30" t="str">
        <f>IF(I1231&lt;&gt;1,"",DATA_INPUT!N149)</f>
        <v/>
      </c>
      <c r="F1231" s="30" t="str">
        <f>STORAGE_BALANCE_ENSEMBLE!BU149</f>
        <v/>
      </c>
      <c r="G1231" s="30" t="str">
        <f>STORAGE_BALANCE_ENSEMBLE!BV149</f>
        <v/>
      </c>
      <c r="H1231" s="30" t="str">
        <f>STORAGE_BALANCE_ENSEMBLE!BT149</f>
        <v/>
      </c>
      <c r="I1231" s="18" t="str">
        <f t="shared" si="184"/>
        <v/>
      </c>
      <c r="J1231" s="8" t="str">
        <f t="shared" si="185"/>
        <v/>
      </c>
      <c r="K1231" s="9" t="str">
        <f t="shared" si="186"/>
        <v/>
      </c>
      <c r="L1231" s="10" t="str">
        <f t="shared" si="187"/>
        <v/>
      </c>
      <c r="M1231" s="10" t="str">
        <f>IF(I1231&lt;&gt;1,"",IF(H1231="","",H1231/CONTROL_PANEL!$B$11))</f>
        <v/>
      </c>
      <c r="N1231" s="9" t="str">
        <f t="shared" si="188"/>
        <v/>
      </c>
      <c r="O1231" s="9" t="str">
        <f t="shared" si="189"/>
        <v/>
      </c>
      <c r="P1231" s="9" t="str">
        <f t="shared" si="190"/>
        <v/>
      </c>
      <c r="Q1231" s="9" t="str">
        <f t="shared" si="191"/>
        <v/>
      </c>
      <c r="R1231" s="11"/>
      <c r="S1231" s="11" t="str">
        <f t="shared" si="192"/>
        <v>PASS</v>
      </c>
    </row>
    <row r="1232" spans="1:19" x14ac:dyDescent="0.25">
      <c r="A1232" s="30" t="s">
        <v>98</v>
      </c>
      <c r="B1232" s="31">
        <f t="shared" si="183"/>
        <v>46692</v>
      </c>
      <c r="C1232" s="30">
        <f>YEAR(BInputReservoir[[#This Row],[Date]])</f>
        <v>2027</v>
      </c>
      <c r="D1232" s="30">
        <f>MONTH(BInputReservoir[[#This Row],[Date]])</f>
        <v>11</v>
      </c>
      <c r="E1232" s="30" t="str">
        <f>IF(I1232&lt;&gt;1,"",DATA_INPUT!N150)</f>
        <v/>
      </c>
      <c r="F1232" s="30" t="str">
        <f>STORAGE_BALANCE_ENSEMBLE!BU150</f>
        <v/>
      </c>
      <c r="G1232" s="30" t="str">
        <f>STORAGE_BALANCE_ENSEMBLE!BV150</f>
        <v/>
      </c>
      <c r="H1232" s="30" t="str">
        <f>STORAGE_BALANCE_ENSEMBLE!BT150</f>
        <v/>
      </c>
      <c r="I1232" s="18" t="str">
        <f t="shared" si="184"/>
        <v/>
      </c>
      <c r="J1232" s="8" t="str">
        <f t="shared" si="185"/>
        <v/>
      </c>
      <c r="K1232" s="9" t="str">
        <f t="shared" si="186"/>
        <v/>
      </c>
      <c r="L1232" s="10" t="str">
        <f t="shared" si="187"/>
        <v/>
      </c>
      <c r="M1232" s="10" t="str">
        <f>IF(I1232&lt;&gt;1,"",IF(H1232="","",H1232/CONTROL_PANEL!$B$11))</f>
        <v/>
      </c>
      <c r="N1232" s="9" t="str">
        <f t="shared" si="188"/>
        <v/>
      </c>
      <c r="O1232" s="9" t="str">
        <f t="shared" si="189"/>
        <v/>
      </c>
      <c r="P1232" s="9" t="str">
        <f t="shared" si="190"/>
        <v/>
      </c>
      <c r="Q1232" s="9" t="str">
        <f t="shared" si="191"/>
        <v/>
      </c>
      <c r="R1232" s="11"/>
      <c r="S1232" s="11" t="str">
        <f t="shared" si="192"/>
        <v>PASS</v>
      </c>
    </row>
    <row r="1233" spans="1:19" x14ac:dyDescent="0.25">
      <c r="A1233" s="30" t="s">
        <v>98</v>
      </c>
      <c r="B1233" s="31">
        <f t="shared" si="183"/>
        <v>46722</v>
      </c>
      <c r="C1233" s="30">
        <f>YEAR(BInputReservoir[[#This Row],[Date]])</f>
        <v>2027</v>
      </c>
      <c r="D1233" s="30">
        <f>MONTH(BInputReservoir[[#This Row],[Date]])</f>
        <v>12</v>
      </c>
      <c r="E1233" s="30" t="str">
        <f>IF(I1233&lt;&gt;1,"",DATA_INPUT!N151)</f>
        <v/>
      </c>
      <c r="F1233" s="30" t="str">
        <f>STORAGE_BALANCE_ENSEMBLE!BU151</f>
        <v/>
      </c>
      <c r="G1233" s="30" t="str">
        <f>STORAGE_BALANCE_ENSEMBLE!BV151</f>
        <v/>
      </c>
      <c r="H1233" s="30" t="str">
        <f>STORAGE_BALANCE_ENSEMBLE!BT151</f>
        <v/>
      </c>
      <c r="I1233" s="18" t="str">
        <f t="shared" si="184"/>
        <v/>
      </c>
      <c r="J1233" s="8" t="str">
        <f t="shared" si="185"/>
        <v/>
      </c>
      <c r="K1233" s="9" t="str">
        <f t="shared" si="186"/>
        <v/>
      </c>
      <c r="L1233" s="10" t="str">
        <f t="shared" si="187"/>
        <v/>
      </c>
      <c r="M1233" s="10" t="str">
        <f>IF(I1233&lt;&gt;1,"",IF(H1233="","",H1233/CONTROL_PANEL!$B$11))</f>
        <v/>
      </c>
      <c r="N1233" s="9" t="str">
        <f t="shared" si="188"/>
        <v/>
      </c>
      <c r="O1233" s="9" t="str">
        <f t="shared" si="189"/>
        <v/>
      </c>
      <c r="P1233" s="9" t="str">
        <f t="shared" si="190"/>
        <v/>
      </c>
      <c r="Q1233" s="9" t="str">
        <f t="shared" si="191"/>
        <v/>
      </c>
      <c r="R1233" s="11"/>
      <c r="S1233" s="11" t="str">
        <f t="shared" si="192"/>
        <v>PASS</v>
      </c>
    </row>
    <row r="1234" spans="1:19" x14ac:dyDescent="0.25">
      <c r="A1234" s="30" t="s">
        <v>98</v>
      </c>
      <c r="B1234" s="31">
        <f t="shared" si="183"/>
        <v>46753</v>
      </c>
      <c r="C1234" s="30">
        <f>YEAR(BInputReservoir[[#This Row],[Date]])</f>
        <v>2028</v>
      </c>
      <c r="D1234" s="30">
        <f>MONTH(BInputReservoir[[#This Row],[Date]])</f>
        <v>1</v>
      </c>
      <c r="E1234" s="30" t="str">
        <f>IF(I1234&lt;&gt;1,"",DATA_INPUT!N152)</f>
        <v/>
      </c>
      <c r="F1234" s="30" t="str">
        <f>STORAGE_BALANCE_ENSEMBLE!BU152</f>
        <v/>
      </c>
      <c r="G1234" s="30" t="str">
        <f>STORAGE_BALANCE_ENSEMBLE!BV152</f>
        <v/>
      </c>
      <c r="H1234" s="30" t="str">
        <f>STORAGE_BALANCE_ENSEMBLE!BT152</f>
        <v/>
      </c>
      <c r="I1234" s="18" t="str">
        <f t="shared" si="184"/>
        <v/>
      </c>
      <c r="J1234" s="8" t="str">
        <f t="shared" si="185"/>
        <v/>
      </c>
      <c r="K1234" s="9" t="str">
        <f t="shared" si="186"/>
        <v/>
      </c>
      <c r="L1234" s="10" t="str">
        <f t="shared" si="187"/>
        <v/>
      </c>
      <c r="M1234" s="10" t="str">
        <f>IF(I1234&lt;&gt;1,"",IF(H1234="","",H1234/CONTROL_PANEL!$B$11))</f>
        <v/>
      </c>
      <c r="N1234" s="9" t="str">
        <f t="shared" si="188"/>
        <v/>
      </c>
      <c r="O1234" s="9" t="str">
        <f t="shared" si="189"/>
        <v/>
      </c>
      <c r="P1234" s="9" t="str">
        <f t="shared" si="190"/>
        <v/>
      </c>
      <c r="Q1234" s="9" t="str">
        <f t="shared" si="191"/>
        <v/>
      </c>
      <c r="R1234" s="11"/>
      <c r="S1234" s="11" t="str">
        <f t="shared" si="192"/>
        <v>PASS</v>
      </c>
    </row>
    <row r="1235" spans="1:19" x14ac:dyDescent="0.25">
      <c r="A1235" s="30" t="s">
        <v>98</v>
      </c>
      <c r="B1235" s="31">
        <f t="shared" si="183"/>
        <v>46784</v>
      </c>
      <c r="C1235" s="30">
        <f>YEAR(BInputReservoir[[#This Row],[Date]])</f>
        <v>2028</v>
      </c>
      <c r="D1235" s="30">
        <f>MONTH(BInputReservoir[[#This Row],[Date]])</f>
        <v>2</v>
      </c>
      <c r="E1235" s="30" t="str">
        <f>IF(I1235&lt;&gt;1,"",DATA_INPUT!N153)</f>
        <v/>
      </c>
      <c r="F1235" s="30" t="str">
        <f>STORAGE_BALANCE_ENSEMBLE!BU153</f>
        <v/>
      </c>
      <c r="G1235" s="30" t="str">
        <f>STORAGE_BALANCE_ENSEMBLE!BV153</f>
        <v/>
      </c>
      <c r="H1235" s="30" t="str">
        <f>STORAGE_BALANCE_ENSEMBLE!BT153</f>
        <v/>
      </c>
      <c r="I1235" s="18" t="str">
        <f t="shared" si="184"/>
        <v/>
      </c>
      <c r="J1235" s="8" t="str">
        <f t="shared" si="185"/>
        <v/>
      </c>
      <c r="K1235" s="9" t="str">
        <f t="shared" si="186"/>
        <v/>
      </c>
      <c r="L1235" s="10" t="str">
        <f t="shared" si="187"/>
        <v/>
      </c>
      <c r="M1235" s="10" t="str">
        <f>IF(I1235&lt;&gt;1,"",IF(H1235="","",H1235/CONTROL_PANEL!$B$11))</f>
        <v/>
      </c>
      <c r="N1235" s="9" t="str">
        <f t="shared" si="188"/>
        <v/>
      </c>
      <c r="O1235" s="9" t="str">
        <f t="shared" si="189"/>
        <v/>
      </c>
      <c r="P1235" s="9" t="str">
        <f t="shared" si="190"/>
        <v/>
      </c>
      <c r="Q1235" s="9" t="str">
        <f t="shared" si="191"/>
        <v/>
      </c>
      <c r="R1235" s="11"/>
      <c r="S1235" s="11" t="str">
        <f t="shared" si="192"/>
        <v>PASS</v>
      </c>
    </row>
    <row r="1236" spans="1:19" x14ac:dyDescent="0.25">
      <c r="A1236" s="30" t="s">
        <v>98</v>
      </c>
      <c r="B1236" s="31">
        <f t="shared" si="183"/>
        <v>46813</v>
      </c>
      <c r="C1236" s="30">
        <f>YEAR(BInputReservoir[[#This Row],[Date]])</f>
        <v>2028</v>
      </c>
      <c r="D1236" s="30">
        <f>MONTH(BInputReservoir[[#This Row],[Date]])</f>
        <v>3</v>
      </c>
      <c r="E1236" s="30" t="str">
        <f>IF(I1236&lt;&gt;1,"",DATA_INPUT!N154)</f>
        <v/>
      </c>
      <c r="F1236" s="30" t="str">
        <f>STORAGE_BALANCE_ENSEMBLE!BU154</f>
        <v/>
      </c>
      <c r="G1236" s="30" t="str">
        <f>STORAGE_BALANCE_ENSEMBLE!BV154</f>
        <v/>
      </c>
      <c r="H1236" s="30" t="str">
        <f>STORAGE_BALANCE_ENSEMBLE!BT154</f>
        <v/>
      </c>
      <c r="I1236" s="18" t="str">
        <f t="shared" si="184"/>
        <v/>
      </c>
      <c r="J1236" s="8" t="str">
        <f t="shared" si="185"/>
        <v/>
      </c>
      <c r="K1236" s="9" t="str">
        <f t="shared" si="186"/>
        <v/>
      </c>
      <c r="L1236" s="10" t="str">
        <f t="shared" si="187"/>
        <v/>
      </c>
      <c r="M1236" s="10" t="str">
        <f>IF(I1236&lt;&gt;1,"",IF(H1236="","",H1236/CONTROL_PANEL!$B$11))</f>
        <v/>
      </c>
      <c r="N1236" s="9" t="str">
        <f t="shared" si="188"/>
        <v/>
      </c>
      <c r="O1236" s="9" t="str">
        <f t="shared" si="189"/>
        <v/>
      </c>
      <c r="P1236" s="9" t="str">
        <f t="shared" si="190"/>
        <v/>
      </c>
      <c r="Q1236" s="9" t="str">
        <f t="shared" si="191"/>
        <v/>
      </c>
      <c r="R1236" s="11"/>
      <c r="S1236" s="11" t="str">
        <f t="shared" si="192"/>
        <v>PASS</v>
      </c>
    </row>
    <row r="1237" spans="1:19" x14ac:dyDescent="0.25">
      <c r="A1237" s="30" t="s">
        <v>98</v>
      </c>
      <c r="B1237" s="31">
        <f t="shared" si="183"/>
        <v>46844</v>
      </c>
      <c r="C1237" s="30">
        <f>YEAR(BInputReservoir[[#This Row],[Date]])</f>
        <v>2028</v>
      </c>
      <c r="D1237" s="30">
        <f>MONTH(BInputReservoir[[#This Row],[Date]])</f>
        <v>4</v>
      </c>
      <c r="E1237" s="30" t="str">
        <f>IF(I1237&lt;&gt;1,"",DATA_INPUT!N155)</f>
        <v/>
      </c>
      <c r="F1237" s="30" t="str">
        <f>STORAGE_BALANCE_ENSEMBLE!BU155</f>
        <v/>
      </c>
      <c r="G1237" s="30" t="str">
        <f>STORAGE_BALANCE_ENSEMBLE!BV155</f>
        <v/>
      </c>
      <c r="H1237" s="30" t="str">
        <f>STORAGE_BALANCE_ENSEMBLE!BT155</f>
        <v/>
      </c>
      <c r="I1237" s="18" t="str">
        <f t="shared" si="184"/>
        <v/>
      </c>
      <c r="J1237" s="8" t="str">
        <f t="shared" si="185"/>
        <v/>
      </c>
      <c r="K1237" s="9" t="str">
        <f t="shared" si="186"/>
        <v/>
      </c>
      <c r="L1237" s="10" t="str">
        <f t="shared" si="187"/>
        <v/>
      </c>
      <c r="M1237" s="10" t="str">
        <f>IF(I1237&lt;&gt;1,"",IF(H1237="","",H1237/CONTROL_PANEL!$B$11))</f>
        <v/>
      </c>
      <c r="N1237" s="9" t="str">
        <f t="shared" si="188"/>
        <v/>
      </c>
      <c r="O1237" s="9" t="str">
        <f t="shared" si="189"/>
        <v/>
      </c>
      <c r="P1237" s="9" t="str">
        <f t="shared" si="190"/>
        <v/>
      </c>
      <c r="Q1237" s="9" t="str">
        <f t="shared" si="191"/>
        <v/>
      </c>
      <c r="R1237" s="11"/>
      <c r="S1237" s="11" t="str">
        <f t="shared" si="192"/>
        <v>PASS</v>
      </c>
    </row>
    <row r="1238" spans="1:19" x14ac:dyDescent="0.25">
      <c r="A1238" s="30" t="s">
        <v>98</v>
      </c>
      <c r="B1238" s="31">
        <f t="shared" si="183"/>
        <v>46874</v>
      </c>
      <c r="C1238" s="30">
        <f>YEAR(BInputReservoir[[#This Row],[Date]])</f>
        <v>2028</v>
      </c>
      <c r="D1238" s="30">
        <f>MONTH(BInputReservoir[[#This Row],[Date]])</f>
        <v>5</v>
      </c>
      <c r="E1238" s="30" t="str">
        <f>IF(I1238&lt;&gt;1,"",DATA_INPUT!N156)</f>
        <v/>
      </c>
      <c r="F1238" s="30" t="str">
        <f>STORAGE_BALANCE_ENSEMBLE!BU156</f>
        <v/>
      </c>
      <c r="G1238" s="30" t="str">
        <f>STORAGE_BALANCE_ENSEMBLE!BV156</f>
        <v/>
      </c>
      <c r="H1238" s="30" t="str">
        <f>STORAGE_BALANCE_ENSEMBLE!BT156</f>
        <v/>
      </c>
      <c r="I1238" s="18" t="str">
        <f t="shared" si="184"/>
        <v/>
      </c>
      <c r="J1238" s="8" t="str">
        <f t="shared" si="185"/>
        <v/>
      </c>
      <c r="K1238" s="9" t="str">
        <f t="shared" si="186"/>
        <v/>
      </c>
      <c r="L1238" s="10" t="str">
        <f t="shared" si="187"/>
        <v/>
      </c>
      <c r="M1238" s="10" t="str">
        <f>IF(I1238&lt;&gt;1,"",IF(H1238="","",H1238/CONTROL_PANEL!$B$11))</f>
        <v/>
      </c>
      <c r="N1238" s="9" t="str">
        <f t="shared" si="188"/>
        <v/>
      </c>
      <c r="O1238" s="9" t="str">
        <f t="shared" si="189"/>
        <v/>
      </c>
      <c r="P1238" s="9" t="str">
        <f t="shared" si="190"/>
        <v/>
      </c>
      <c r="Q1238" s="9" t="str">
        <f t="shared" si="191"/>
        <v/>
      </c>
      <c r="R1238" s="11"/>
      <c r="S1238" s="11" t="str">
        <f t="shared" si="192"/>
        <v>PASS</v>
      </c>
    </row>
    <row r="1239" spans="1:19" x14ac:dyDescent="0.25">
      <c r="A1239" s="30" t="s">
        <v>98</v>
      </c>
      <c r="B1239" s="31">
        <f t="shared" si="183"/>
        <v>46905</v>
      </c>
      <c r="C1239" s="30">
        <f>YEAR(BInputReservoir[[#This Row],[Date]])</f>
        <v>2028</v>
      </c>
      <c r="D1239" s="30">
        <f>MONTH(BInputReservoir[[#This Row],[Date]])</f>
        <v>6</v>
      </c>
      <c r="E1239" s="30" t="str">
        <f>IF(I1239&lt;&gt;1,"",DATA_INPUT!N157)</f>
        <v/>
      </c>
      <c r="F1239" s="30" t="str">
        <f>STORAGE_BALANCE_ENSEMBLE!BU157</f>
        <v/>
      </c>
      <c r="G1239" s="30" t="str">
        <f>STORAGE_BALANCE_ENSEMBLE!BV157</f>
        <v/>
      </c>
      <c r="H1239" s="30" t="str">
        <f>STORAGE_BALANCE_ENSEMBLE!BT157</f>
        <v/>
      </c>
      <c r="I1239" s="18" t="str">
        <f t="shared" si="184"/>
        <v/>
      </c>
      <c r="J1239" s="8" t="str">
        <f t="shared" si="185"/>
        <v/>
      </c>
      <c r="K1239" s="9" t="str">
        <f t="shared" si="186"/>
        <v/>
      </c>
      <c r="L1239" s="10" t="str">
        <f t="shared" si="187"/>
        <v/>
      </c>
      <c r="M1239" s="10" t="str">
        <f>IF(I1239&lt;&gt;1,"",IF(H1239="","",H1239/CONTROL_PANEL!$B$11))</f>
        <v/>
      </c>
      <c r="N1239" s="9" t="str">
        <f t="shared" si="188"/>
        <v/>
      </c>
      <c r="O1239" s="9" t="str">
        <f t="shared" si="189"/>
        <v/>
      </c>
      <c r="P1239" s="9" t="str">
        <f t="shared" si="190"/>
        <v/>
      </c>
      <c r="Q1239" s="9" t="str">
        <f t="shared" si="191"/>
        <v/>
      </c>
      <c r="R1239" s="11"/>
      <c r="S1239" s="11" t="str">
        <f t="shared" si="192"/>
        <v>PASS</v>
      </c>
    </row>
    <row r="1240" spans="1:19" x14ac:dyDescent="0.25">
      <c r="A1240" s="30" t="s">
        <v>98</v>
      </c>
      <c r="B1240" s="31">
        <f t="shared" si="183"/>
        <v>46935</v>
      </c>
      <c r="C1240" s="30">
        <f>YEAR(BInputReservoir[[#This Row],[Date]])</f>
        <v>2028</v>
      </c>
      <c r="D1240" s="30">
        <f>MONTH(BInputReservoir[[#This Row],[Date]])</f>
        <v>7</v>
      </c>
      <c r="E1240" s="30" t="str">
        <f>IF(I1240&lt;&gt;1,"",DATA_INPUT!N158)</f>
        <v/>
      </c>
      <c r="F1240" s="30" t="str">
        <f>STORAGE_BALANCE_ENSEMBLE!BU158</f>
        <v/>
      </c>
      <c r="G1240" s="30" t="str">
        <f>STORAGE_BALANCE_ENSEMBLE!BV158</f>
        <v/>
      </c>
      <c r="H1240" s="30" t="str">
        <f>STORAGE_BALANCE_ENSEMBLE!BT158</f>
        <v/>
      </c>
      <c r="I1240" s="18" t="str">
        <f t="shared" si="184"/>
        <v/>
      </c>
      <c r="J1240" s="8" t="str">
        <f t="shared" si="185"/>
        <v/>
      </c>
      <c r="K1240" s="9" t="str">
        <f t="shared" si="186"/>
        <v/>
      </c>
      <c r="L1240" s="10" t="str">
        <f t="shared" si="187"/>
        <v/>
      </c>
      <c r="M1240" s="10" t="str">
        <f>IF(I1240&lt;&gt;1,"",IF(H1240="","",H1240/CONTROL_PANEL!$B$11))</f>
        <v/>
      </c>
      <c r="N1240" s="9" t="str">
        <f t="shared" si="188"/>
        <v/>
      </c>
      <c r="O1240" s="9" t="str">
        <f t="shared" si="189"/>
        <v/>
      </c>
      <c r="P1240" s="9" t="str">
        <f t="shared" si="190"/>
        <v/>
      </c>
      <c r="Q1240" s="9" t="str">
        <f t="shared" si="191"/>
        <v/>
      </c>
      <c r="R1240" s="11"/>
      <c r="S1240" s="11" t="str">
        <f t="shared" si="192"/>
        <v>PASS</v>
      </c>
    </row>
    <row r="1241" spans="1:19" x14ac:dyDescent="0.25">
      <c r="A1241" s="30" t="s">
        <v>98</v>
      </c>
      <c r="B1241" s="31">
        <f t="shared" si="183"/>
        <v>46966</v>
      </c>
      <c r="C1241" s="30">
        <f>YEAR(BInputReservoir[[#This Row],[Date]])</f>
        <v>2028</v>
      </c>
      <c r="D1241" s="30">
        <f>MONTH(BInputReservoir[[#This Row],[Date]])</f>
        <v>8</v>
      </c>
      <c r="E1241" s="30" t="str">
        <f>IF(I1241&lt;&gt;1,"",DATA_INPUT!N159)</f>
        <v/>
      </c>
      <c r="F1241" s="30" t="str">
        <f>STORAGE_BALANCE_ENSEMBLE!BU159</f>
        <v/>
      </c>
      <c r="G1241" s="30" t="str">
        <f>STORAGE_BALANCE_ENSEMBLE!BV159</f>
        <v/>
      </c>
      <c r="H1241" s="30" t="str">
        <f>STORAGE_BALANCE_ENSEMBLE!BT159</f>
        <v/>
      </c>
      <c r="I1241" s="18" t="str">
        <f t="shared" si="184"/>
        <v/>
      </c>
      <c r="J1241" s="8" t="str">
        <f t="shared" si="185"/>
        <v/>
      </c>
      <c r="K1241" s="9" t="str">
        <f t="shared" si="186"/>
        <v/>
      </c>
      <c r="L1241" s="10" t="str">
        <f t="shared" si="187"/>
        <v/>
      </c>
      <c r="M1241" s="10" t="str">
        <f>IF(I1241&lt;&gt;1,"",IF(H1241="","",H1241/CONTROL_PANEL!$B$11))</f>
        <v/>
      </c>
      <c r="N1241" s="9" t="str">
        <f t="shared" si="188"/>
        <v/>
      </c>
      <c r="O1241" s="9" t="str">
        <f t="shared" si="189"/>
        <v/>
      </c>
      <c r="P1241" s="9" t="str">
        <f t="shared" si="190"/>
        <v/>
      </c>
      <c r="Q1241" s="9" t="str">
        <f t="shared" si="191"/>
        <v/>
      </c>
      <c r="R1241" s="11"/>
      <c r="S1241" s="11" t="str">
        <f t="shared" si="192"/>
        <v>PASS</v>
      </c>
    </row>
    <row r="1242" spans="1:19" x14ac:dyDescent="0.25">
      <c r="A1242" s="30" t="s">
        <v>98</v>
      </c>
      <c r="B1242" s="31">
        <f t="shared" si="183"/>
        <v>46997</v>
      </c>
      <c r="C1242" s="30">
        <f>YEAR(BInputReservoir[[#This Row],[Date]])</f>
        <v>2028</v>
      </c>
      <c r="D1242" s="30">
        <f>MONTH(BInputReservoir[[#This Row],[Date]])</f>
        <v>9</v>
      </c>
      <c r="E1242" s="30" t="str">
        <f>IF(I1242&lt;&gt;1,"",DATA_INPUT!N160)</f>
        <v/>
      </c>
      <c r="F1242" s="30" t="str">
        <f>STORAGE_BALANCE_ENSEMBLE!BU160</f>
        <v/>
      </c>
      <c r="G1242" s="30" t="str">
        <f>STORAGE_BALANCE_ENSEMBLE!BV160</f>
        <v/>
      </c>
      <c r="H1242" s="30" t="str">
        <f>STORAGE_BALANCE_ENSEMBLE!BT160</f>
        <v/>
      </c>
      <c r="I1242" s="18" t="str">
        <f t="shared" si="184"/>
        <v/>
      </c>
      <c r="J1242" s="8" t="str">
        <f t="shared" si="185"/>
        <v/>
      </c>
      <c r="K1242" s="9" t="str">
        <f t="shared" si="186"/>
        <v/>
      </c>
      <c r="L1242" s="10" t="str">
        <f t="shared" si="187"/>
        <v/>
      </c>
      <c r="M1242" s="10" t="str">
        <f>IF(I1242&lt;&gt;1,"",IF(H1242="","",H1242/CONTROL_PANEL!$B$11))</f>
        <v/>
      </c>
      <c r="N1242" s="9" t="str">
        <f t="shared" si="188"/>
        <v/>
      </c>
      <c r="O1242" s="9" t="str">
        <f t="shared" si="189"/>
        <v/>
      </c>
      <c r="P1242" s="9" t="str">
        <f t="shared" si="190"/>
        <v/>
      </c>
      <c r="Q1242" s="9" t="str">
        <f t="shared" si="191"/>
        <v/>
      </c>
      <c r="R1242" s="11"/>
      <c r="S1242" s="11" t="str">
        <f t="shared" si="192"/>
        <v>PASS</v>
      </c>
    </row>
    <row r="1243" spans="1:19" x14ac:dyDescent="0.25">
      <c r="A1243" s="30" t="s">
        <v>98</v>
      </c>
      <c r="B1243" s="31">
        <f t="shared" si="183"/>
        <v>47027</v>
      </c>
      <c r="C1243" s="30">
        <f>YEAR(BInputReservoir[[#This Row],[Date]])</f>
        <v>2028</v>
      </c>
      <c r="D1243" s="30">
        <f>MONTH(BInputReservoir[[#This Row],[Date]])</f>
        <v>10</v>
      </c>
      <c r="E1243" s="30" t="str">
        <f>IF(I1243&lt;&gt;1,"",DATA_INPUT!N161)</f>
        <v/>
      </c>
      <c r="F1243" s="30" t="str">
        <f>STORAGE_BALANCE_ENSEMBLE!BU161</f>
        <v/>
      </c>
      <c r="G1243" s="30" t="str">
        <f>STORAGE_BALANCE_ENSEMBLE!BV161</f>
        <v/>
      </c>
      <c r="H1243" s="30" t="str">
        <f>STORAGE_BALANCE_ENSEMBLE!BT161</f>
        <v/>
      </c>
      <c r="I1243" s="18" t="str">
        <f t="shared" si="184"/>
        <v/>
      </c>
      <c r="J1243" s="8" t="str">
        <f t="shared" si="185"/>
        <v/>
      </c>
      <c r="K1243" s="9" t="str">
        <f t="shared" si="186"/>
        <v/>
      </c>
      <c r="L1243" s="10" t="str">
        <f t="shared" si="187"/>
        <v/>
      </c>
      <c r="M1243" s="10" t="str">
        <f>IF(I1243&lt;&gt;1,"",IF(H1243="","",H1243/CONTROL_PANEL!$B$11))</f>
        <v/>
      </c>
      <c r="N1243" s="9" t="str">
        <f t="shared" si="188"/>
        <v/>
      </c>
      <c r="O1243" s="9" t="str">
        <f t="shared" si="189"/>
        <v/>
      </c>
      <c r="P1243" s="9" t="str">
        <f t="shared" si="190"/>
        <v/>
      </c>
      <c r="Q1243" s="9" t="str">
        <f t="shared" si="191"/>
        <v/>
      </c>
      <c r="R1243" s="11"/>
      <c r="S1243" s="11" t="str">
        <f t="shared" si="192"/>
        <v>PASS</v>
      </c>
    </row>
    <row r="1244" spans="1:19" x14ac:dyDescent="0.25">
      <c r="A1244" s="30" t="s">
        <v>98</v>
      </c>
      <c r="B1244" s="31">
        <f t="shared" si="183"/>
        <v>47058</v>
      </c>
      <c r="C1244" s="30">
        <f>YEAR(BInputReservoir[[#This Row],[Date]])</f>
        <v>2028</v>
      </c>
      <c r="D1244" s="30">
        <f>MONTH(BInputReservoir[[#This Row],[Date]])</f>
        <v>11</v>
      </c>
      <c r="E1244" s="30" t="str">
        <f>IF(I1244&lt;&gt;1,"",DATA_INPUT!N162)</f>
        <v/>
      </c>
      <c r="F1244" s="30" t="str">
        <f>STORAGE_BALANCE_ENSEMBLE!BU162</f>
        <v/>
      </c>
      <c r="G1244" s="30" t="str">
        <f>STORAGE_BALANCE_ENSEMBLE!BV162</f>
        <v/>
      </c>
      <c r="H1244" s="30" t="str">
        <f>STORAGE_BALANCE_ENSEMBLE!BT162</f>
        <v/>
      </c>
      <c r="I1244" s="18" t="str">
        <f t="shared" si="184"/>
        <v/>
      </c>
      <c r="J1244" s="8" t="str">
        <f t="shared" si="185"/>
        <v/>
      </c>
      <c r="K1244" s="9" t="str">
        <f t="shared" si="186"/>
        <v/>
      </c>
      <c r="L1244" s="10" t="str">
        <f t="shared" si="187"/>
        <v/>
      </c>
      <c r="M1244" s="10" t="str">
        <f>IF(I1244&lt;&gt;1,"",IF(H1244="","",H1244/CONTROL_PANEL!$B$11))</f>
        <v/>
      </c>
      <c r="N1244" s="9" t="str">
        <f t="shared" si="188"/>
        <v/>
      </c>
      <c r="O1244" s="9" t="str">
        <f t="shared" si="189"/>
        <v/>
      </c>
      <c r="P1244" s="9" t="str">
        <f t="shared" si="190"/>
        <v/>
      </c>
      <c r="Q1244" s="9" t="str">
        <f t="shared" si="191"/>
        <v/>
      </c>
      <c r="R1244" s="11"/>
      <c r="S1244" s="11" t="str">
        <f t="shared" si="192"/>
        <v>PASS</v>
      </c>
    </row>
    <row r="1245" spans="1:19" x14ac:dyDescent="0.25">
      <c r="A1245" s="30" t="s">
        <v>98</v>
      </c>
      <c r="B1245" s="31">
        <f t="shared" si="183"/>
        <v>47088</v>
      </c>
      <c r="C1245" s="30">
        <f>YEAR(BInputReservoir[[#This Row],[Date]])</f>
        <v>2028</v>
      </c>
      <c r="D1245" s="30">
        <f>MONTH(BInputReservoir[[#This Row],[Date]])</f>
        <v>12</v>
      </c>
      <c r="E1245" s="30" t="str">
        <f>IF(I1245&lt;&gt;1,"",DATA_INPUT!N163)</f>
        <v/>
      </c>
      <c r="F1245" s="30" t="str">
        <f>STORAGE_BALANCE_ENSEMBLE!BU163</f>
        <v/>
      </c>
      <c r="G1245" s="30" t="str">
        <f>STORAGE_BALANCE_ENSEMBLE!BV163</f>
        <v/>
      </c>
      <c r="H1245" s="30" t="str">
        <f>STORAGE_BALANCE_ENSEMBLE!BT163</f>
        <v/>
      </c>
      <c r="I1245" s="18" t="str">
        <f t="shared" si="184"/>
        <v/>
      </c>
      <c r="J1245" s="8" t="str">
        <f t="shared" si="185"/>
        <v/>
      </c>
      <c r="K1245" s="9" t="str">
        <f t="shared" si="186"/>
        <v/>
      </c>
      <c r="L1245" s="10" t="str">
        <f t="shared" si="187"/>
        <v/>
      </c>
      <c r="M1245" s="10" t="str">
        <f>IF(I1245&lt;&gt;1,"",IF(H1245="","",H1245/CONTROL_PANEL!$B$11))</f>
        <v/>
      </c>
      <c r="N1245" s="9" t="str">
        <f t="shared" si="188"/>
        <v/>
      </c>
      <c r="O1245" s="9" t="str">
        <f t="shared" si="189"/>
        <v/>
      </c>
      <c r="P1245" s="9" t="str">
        <f t="shared" si="190"/>
        <v/>
      </c>
      <c r="Q1245" s="9" t="str">
        <f t="shared" si="191"/>
        <v/>
      </c>
      <c r="R1245" s="11"/>
      <c r="S1245" s="11" t="str">
        <f t="shared" si="192"/>
        <v>PASS</v>
      </c>
    </row>
    <row r="1246" spans="1:19" x14ac:dyDescent="0.25">
      <c r="A1246" s="30" t="s">
        <v>98</v>
      </c>
      <c r="B1246" s="31">
        <f t="shared" si="183"/>
        <v>47119</v>
      </c>
      <c r="C1246" s="30">
        <f>YEAR(BInputReservoir[[#This Row],[Date]])</f>
        <v>2029</v>
      </c>
      <c r="D1246" s="30">
        <f>MONTH(BInputReservoir[[#This Row],[Date]])</f>
        <v>1</v>
      </c>
      <c r="E1246" s="30" t="str">
        <f>IF(I1246&lt;&gt;1,"",DATA_INPUT!N164)</f>
        <v/>
      </c>
      <c r="F1246" s="30" t="str">
        <f>STORAGE_BALANCE_ENSEMBLE!BU164</f>
        <v/>
      </c>
      <c r="G1246" s="30" t="str">
        <f>STORAGE_BALANCE_ENSEMBLE!BV164</f>
        <v/>
      </c>
      <c r="H1246" s="30" t="str">
        <f>STORAGE_BALANCE_ENSEMBLE!BT164</f>
        <v/>
      </c>
      <c r="I1246" s="18" t="str">
        <f t="shared" si="184"/>
        <v/>
      </c>
      <c r="J1246" s="8" t="str">
        <f t="shared" si="185"/>
        <v/>
      </c>
      <c r="K1246" s="9" t="str">
        <f t="shared" si="186"/>
        <v/>
      </c>
      <c r="L1246" s="10" t="str">
        <f t="shared" si="187"/>
        <v/>
      </c>
      <c r="M1246" s="10" t="str">
        <f>IF(I1246&lt;&gt;1,"",IF(H1246="","",H1246/CONTROL_PANEL!$B$11))</f>
        <v/>
      </c>
      <c r="N1246" s="9" t="str">
        <f t="shared" si="188"/>
        <v/>
      </c>
      <c r="O1246" s="9" t="str">
        <f t="shared" si="189"/>
        <v/>
      </c>
      <c r="P1246" s="9" t="str">
        <f t="shared" si="190"/>
        <v/>
      </c>
      <c r="Q1246" s="9" t="str">
        <f t="shared" si="191"/>
        <v/>
      </c>
      <c r="R1246" s="11"/>
      <c r="S1246" s="11" t="str">
        <f t="shared" si="192"/>
        <v>PASS</v>
      </c>
    </row>
    <row r="1247" spans="1:19" x14ac:dyDescent="0.25">
      <c r="A1247" s="30" t="s">
        <v>98</v>
      </c>
      <c r="B1247" s="31">
        <f t="shared" si="183"/>
        <v>47150</v>
      </c>
      <c r="C1247" s="30">
        <f>YEAR(BInputReservoir[[#This Row],[Date]])</f>
        <v>2029</v>
      </c>
      <c r="D1247" s="30">
        <f>MONTH(BInputReservoir[[#This Row],[Date]])</f>
        <v>2</v>
      </c>
      <c r="E1247" s="30" t="str">
        <f>IF(I1247&lt;&gt;1,"",DATA_INPUT!N165)</f>
        <v/>
      </c>
      <c r="F1247" s="30" t="str">
        <f>STORAGE_BALANCE_ENSEMBLE!BU165</f>
        <v/>
      </c>
      <c r="G1247" s="30" t="str">
        <f>STORAGE_BALANCE_ENSEMBLE!BV165</f>
        <v/>
      </c>
      <c r="H1247" s="30" t="str">
        <f>STORAGE_BALANCE_ENSEMBLE!BT165</f>
        <v/>
      </c>
      <c r="I1247" s="18" t="str">
        <f t="shared" si="184"/>
        <v/>
      </c>
      <c r="J1247" s="8" t="str">
        <f t="shared" si="185"/>
        <v/>
      </c>
      <c r="K1247" s="9" t="str">
        <f t="shared" si="186"/>
        <v/>
      </c>
      <c r="L1247" s="10" t="str">
        <f t="shared" si="187"/>
        <v/>
      </c>
      <c r="M1247" s="10" t="str">
        <f>IF(I1247&lt;&gt;1,"",IF(H1247="","",H1247/CONTROL_PANEL!$B$11))</f>
        <v/>
      </c>
      <c r="N1247" s="9" t="str">
        <f t="shared" si="188"/>
        <v/>
      </c>
      <c r="O1247" s="9" t="str">
        <f t="shared" si="189"/>
        <v/>
      </c>
      <c r="P1247" s="9" t="str">
        <f t="shared" si="190"/>
        <v/>
      </c>
      <c r="Q1247" s="9" t="str">
        <f t="shared" si="191"/>
        <v/>
      </c>
      <c r="R1247" s="11"/>
      <c r="S1247" s="11" t="str">
        <f t="shared" si="192"/>
        <v>PASS</v>
      </c>
    </row>
    <row r="1248" spans="1:19" x14ac:dyDescent="0.25">
      <c r="A1248" s="30" t="s">
        <v>98</v>
      </c>
      <c r="B1248" s="31">
        <f t="shared" si="183"/>
        <v>47178</v>
      </c>
      <c r="C1248" s="30">
        <f>YEAR(BInputReservoir[[#This Row],[Date]])</f>
        <v>2029</v>
      </c>
      <c r="D1248" s="30">
        <f>MONTH(BInputReservoir[[#This Row],[Date]])</f>
        <v>3</v>
      </c>
      <c r="E1248" s="30" t="str">
        <f>IF(I1248&lt;&gt;1,"",DATA_INPUT!N166)</f>
        <v/>
      </c>
      <c r="F1248" s="30" t="str">
        <f>STORAGE_BALANCE_ENSEMBLE!BU166</f>
        <v/>
      </c>
      <c r="G1248" s="30" t="str">
        <f>STORAGE_BALANCE_ENSEMBLE!BV166</f>
        <v/>
      </c>
      <c r="H1248" s="30" t="str">
        <f>STORAGE_BALANCE_ENSEMBLE!BT166</f>
        <v/>
      </c>
      <c r="I1248" s="18" t="str">
        <f t="shared" si="184"/>
        <v/>
      </c>
      <c r="J1248" s="8" t="str">
        <f t="shared" si="185"/>
        <v/>
      </c>
      <c r="K1248" s="9" t="str">
        <f t="shared" si="186"/>
        <v/>
      </c>
      <c r="L1248" s="10" t="str">
        <f t="shared" si="187"/>
        <v/>
      </c>
      <c r="M1248" s="10" t="str">
        <f>IF(I1248&lt;&gt;1,"",IF(H1248="","",H1248/CONTROL_PANEL!$B$11))</f>
        <v/>
      </c>
      <c r="N1248" s="9" t="str">
        <f t="shared" si="188"/>
        <v/>
      </c>
      <c r="O1248" s="9" t="str">
        <f t="shared" si="189"/>
        <v/>
      </c>
      <c r="P1248" s="9" t="str">
        <f t="shared" si="190"/>
        <v/>
      </c>
      <c r="Q1248" s="9" t="str">
        <f t="shared" si="191"/>
        <v/>
      </c>
      <c r="R1248" s="11"/>
      <c r="S1248" s="11" t="str">
        <f t="shared" si="192"/>
        <v>PASS</v>
      </c>
    </row>
    <row r="1249" spans="1:19" x14ac:dyDescent="0.25">
      <c r="A1249" s="30" t="s">
        <v>98</v>
      </c>
      <c r="B1249" s="31">
        <f t="shared" si="183"/>
        <v>47209</v>
      </c>
      <c r="C1249" s="30">
        <f>YEAR(BInputReservoir[[#This Row],[Date]])</f>
        <v>2029</v>
      </c>
      <c r="D1249" s="30">
        <f>MONTH(BInputReservoir[[#This Row],[Date]])</f>
        <v>4</v>
      </c>
      <c r="E1249" s="30" t="str">
        <f>IF(I1249&lt;&gt;1,"",DATA_INPUT!N167)</f>
        <v/>
      </c>
      <c r="F1249" s="30" t="str">
        <f>STORAGE_BALANCE_ENSEMBLE!BU167</f>
        <v/>
      </c>
      <c r="G1249" s="30" t="str">
        <f>STORAGE_BALANCE_ENSEMBLE!BV167</f>
        <v/>
      </c>
      <c r="H1249" s="30" t="str">
        <f>STORAGE_BALANCE_ENSEMBLE!BT167</f>
        <v/>
      </c>
      <c r="I1249" s="18" t="str">
        <f t="shared" si="184"/>
        <v/>
      </c>
      <c r="J1249" s="8" t="str">
        <f t="shared" si="185"/>
        <v/>
      </c>
      <c r="K1249" s="9" t="str">
        <f t="shared" si="186"/>
        <v/>
      </c>
      <c r="L1249" s="10" t="str">
        <f t="shared" si="187"/>
        <v/>
      </c>
      <c r="M1249" s="10" t="str">
        <f>IF(I1249&lt;&gt;1,"",IF(H1249="","",H1249/CONTROL_PANEL!$B$11))</f>
        <v/>
      </c>
      <c r="N1249" s="9" t="str">
        <f t="shared" si="188"/>
        <v/>
      </c>
      <c r="O1249" s="9" t="str">
        <f t="shared" si="189"/>
        <v/>
      </c>
      <c r="P1249" s="9" t="str">
        <f t="shared" si="190"/>
        <v/>
      </c>
      <c r="Q1249" s="9" t="str">
        <f t="shared" si="191"/>
        <v/>
      </c>
      <c r="R1249" s="11"/>
      <c r="S1249" s="11" t="str">
        <f t="shared" si="192"/>
        <v>PASS</v>
      </c>
    </row>
    <row r="1250" spans="1:19" x14ac:dyDescent="0.25">
      <c r="A1250" s="30" t="s">
        <v>98</v>
      </c>
      <c r="B1250" s="31">
        <f t="shared" si="183"/>
        <v>47239</v>
      </c>
      <c r="C1250" s="30">
        <f>YEAR(BInputReservoir[[#This Row],[Date]])</f>
        <v>2029</v>
      </c>
      <c r="D1250" s="30">
        <f>MONTH(BInputReservoir[[#This Row],[Date]])</f>
        <v>5</v>
      </c>
      <c r="E1250" s="30" t="str">
        <f>IF(I1250&lt;&gt;1,"",DATA_INPUT!N168)</f>
        <v/>
      </c>
      <c r="F1250" s="30" t="str">
        <f>STORAGE_BALANCE_ENSEMBLE!BU168</f>
        <v/>
      </c>
      <c r="G1250" s="30" t="str">
        <f>STORAGE_BALANCE_ENSEMBLE!BV168</f>
        <v/>
      </c>
      <c r="H1250" s="30" t="str">
        <f>STORAGE_BALANCE_ENSEMBLE!BT168</f>
        <v/>
      </c>
      <c r="I1250" s="18" t="str">
        <f t="shared" si="184"/>
        <v/>
      </c>
      <c r="J1250" s="8" t="str">
        <f t="shared" si="185"/>
        <v/>
      </c>
      <c r="K1250" s="9" t="str">
        <f t="shared" si="186"/>
        <v/>
      </c>
      <c r="L1250" s="10" t="str">
        <f t="shared" si="187"/>
        <v/>
      </c>
      <c r="M1250" s="10" t="str">
        <f>IF(I1250&lt;&gt;1,"",IF(H1250="","",H1250/CONTROL_PANEL!$B$11))</f>
        <v/>
      </c>
      <c r="N1250" s="9" t="str">
        <f t="shared" si="188"/>
        <v/>
      </c>
      <c r="O1250" s="9" t="str">
        <f t="shared" si="189"/>
        <v/>
      </c>
      <c r="P1250" s="9" t="str">
        <f t="shared" si="190"/>
        <v/>
      </c>
      <c r="Q1250" s="9" t="str">
        <f t="shared" si="191"/>
        <v/>
      </c>
      <c r="R1250" s="11"/>
      <c r="S1250" s="11" t="str">
        <f t="shared" si="192"/>
        <v>PASS</v>
      </c>
    </row>
    <row r="1251" spans="1:19" x14ac:dyDescent="0.25">
      <c r="A1251" s="30" t="s">
        <v>98</v>
      </c>
      <c r="B1251" s="31">
        <f t="shared" si="183"/>
        <v>47270</v>
      </c>
      <c r="C1251" s="30">
        <f>YEAR(BInputReservoir[[#This Row],[Date]])</f>
        <v>2029</v>
      </c>
      <c r="D1251" s="30">
        <f>MONTH(BInputReservoir[[#This Row],[Date]])</f>
        <v>6</v>
      </c>
      <c r="E1251" s="30" t="str">
        <f>IF(I1251&lt;&gt;1,"",DATA_INPUT!N169)</f>
        <v/>
      </c>
      <c r="F1251" s="30" t="str">
        <f>STORAGE_BALANCE_ENSEMBLE!BU169</f>
        <v/>
      </c>
      <c r="G1251" s="30" t="str">
        <f>STORAGE_BALANCE_ENSEMBLE!BV169</f>
        <v/>
      </c>
      <c r="H1251" s="30" t="str">
        <f>STORAGE_BALANCE_ENSEMBLE!BT169</f>
        <v/>
      </c>
      <c r="I1251" s="18" t="str">
        <f t="shared" si="184"/>
        <v/>
      </c>
      <c r="J1251" s="8" t="str">
        <f t="shared" si="185"/>
        <v/>
      </c>
      <c r="K1251" s="9" t="str">
        <f t="shared" si="186"/>
        <v/>
      </c>
      <c r="L1251" s="10" t="str">
        <f t="shared" si="187"/>
        <v/>
      </c>
      <c r="M1251" s="10" t="str">
        <f>IF(I1251&lt;&gt;1,"",IF(H1251="","",H1251/CONTROL_PANEL!$B$11))</f>
        <v/>
      </c>
      <c r="N1251" s="9" t="str">
        <f t="shared" si="188"/>
        <v/>
      </c>
      <c r="O1251" s="9" t="str">
        <f t="shared" si="189"/>
        <v/>
      </c>
      <c r="P1251" s="9" t="str">
        <f t="shared" si="190"/>
        <v/>
      </c>
      <c r="Q1251" s="9" t="str">
        <f t="shared" si="191"/>
        <v/>
      </c>
      <c r="R1251" s="11"/>
      <c r="S1251" s="11" t="str">
        <f t="shared" si="192"/>
        <v>PASS</v>
      </c>
    </row>
    <row r="1252" spans="1:19" x14ac:dyDescent="0.25">
      <c r="A1252" s="30" t="s">
        <v>98</v>
      </c>
      <c r="B1252" s="31">
        <f t="shared" si="183"/>
        <v>47300</v>
      </c>
      <c r="C1252" s="30">
        <f>YEAR(BInputReservoir[[#This Row],[Date]])</f>
        <v>2029</v>
      </c>
      <c r="D1252" s="30">
        <f>MONTH(BInputReservoir[[#This Row],[Date]])</f>
        <v>7</v>
      </c>
      <c r="E1252" s="30" t="str">
        <f>IF(I1252&lt;&gt;1,"",DATA_INPUT!N170)</f>
        <v/>
      </c>
      <c r="F1252" s="30" t="str">
        <f>STORAGE_BALANCE_ENSEMBLE!BU170</f>
        <v/>
      </c>
      <c r="G1252" s="30" t="str">
        <f>STORAGE_BALANCE_ENSEMBLE!BV170</f>
        <v/>
      </c>
      <c r="H1252" s="30" t="str">
        <f>STORAGE_BALANCE_ENSEMBLE!BT170</f>
        <v/>
      </c>
      <c r="I1252" s="18" t="str">
        <f t="shared" si="184"/>
        <v/>
      </c>
      <c r="J1252" s="8" t="str">
        <f t="shared" si="185"/>
        <v/>
      </c>
      <c r="K1252" s="9" t="str">
        <f t="shared" si="186"/>
        <v/>
      </c>
      <c r="L1252" s="10" t="str">
        <f t="shared" si="187"/>
        <v/>
      </c>
      <c r="M1252" s="10" t="str">
        <f>IF(I1252&lt;&gt;1,"",IF(H1252="","",H1252/CONTROL_PANEL!$B$11))</f>
        <v/>
      </c>
      <c r="N1252" s="9" t="str">
        <f t="shared" si="188"/>
        <v/>
      </c>
      <c r="O1252" s="9" t="str">
        <f t="shared" si="189"/>
        <v/>
      </c>
      <c r="P1252" s="9" t="str">
        <f t="shared" si="190"/>
        <v/>
      </c>
      <c r="Q1252" s="9" t="str">
        <f t="shared" si="191"/>
        <v/>
      </c>
      <c r="R1252" s="11"/>
      <c r="S1252" s="11" t="str">
        <f t="shared" si="192"/>
        <v>PASS</v>
      </c>
    </row>
    <row r="1253" spans="1:19" x14ac:dyDescent="0.25">
      <c r="A1253" s="30" t="s">
        <v>98</v>
      </c>
      <c r="B1253" s="31">
        <f t="shared" si="183"/>
        <v>47331</v>
      </c>
      <c r="C1253" s="30">
        <f>YEAR(BInputReservoir[[#This Row],[Date]])</f>
        <v>2029</v>
      </c>
      <c r="D1253" s="30">
        <f>MONTH(BInputReservoir[[#This Row],[Date]])</f>
        <v>8</v>
      </c>
      <c r="E1253" s="30" t="str">
        <f>IF(I1253&lt;&gt;1,"",DATA_INPUT!N171)</f>
        <v/>
      </c>
      <c r="F1253" s="30" t="str">
        <f>STORAGE_BALANCE_ENSEMBLE!BU171</f>
        <v/>
      </c>
      <c r="G1253" s="30" t="str">
        <f>STORAGE_BALANCE_ENSEMBLE!BV171</f>
        <v/>
      </c>
      <c r="H1253" s="30" t="str">
        <f>STORAGE_BALANCE_ENSEMBLE!BT171</f>
        <v/>
      </c>
      <c r="I1253" s="18" t="str">
        <f t="shared" si="184"/>
        <v/>
      </c>
      <c r="J1253" s="8" t="str">
        <f t="shared" si="185"/>
        <v/>
      </c>
      <c r="K1253" s="9" t="str">
        <f t="shared" si="186"/>
        <v/>
      </c>
      <c r="L1253" s="10" t="str">
        <f t="shared" si="187"/>
        <v/>
      </c>
      <c r="M1253" s="10" t="str">
        <f>IF(I1253&lt;&gt;1,"",IF(H1253="","",H1253/CONTROL_PANEL!$B$11))</f>
        <v/>
      </c>
      <c r="N1253" s="9" t="str">
        <f t="shared" si="188"/>
        <v/>
      </c>
      <c r="O1253" s="9" t="str">
        <f t="shared" si="189"/>
        <v/>
      </c>
      <c r="P1253" s="9" t="str">
        <f t="shared" si="190"/>
        <v/>
      </c>
      <c r="Q1253" s="9" t="str">
        <f t="shared" si="191"/>
        <v/>
      </c>
      <c r="R1253" s="11"/>
      <c r="S1253" s="11" t="str">
        <f t="shared" si="192"/>
        <v>PASS</v>
      </c>
    </row>
    <row r="1254" spans="1:19" x14ac:dyDescent="0.25">
      <c r="A1254" s="30" t="s">
        <v>98</v>
      </c>
      <c r="B1254" s="31">
        <f t="shared" si="183"/>
        <v>47362</v>
      </c>
      <c r="C1254" s="30">
        <f>YEAR(BInputReservoir[[#This Row],[Date]])</f>
        <v>2029</v>
      </c>
      <c r="D1254" s="30">
        <f>MONTH(BInputReservoir[[#This Row],[Date]])</f>
        <v>9</v>
      </c>
      <c r="E1254" s="30" t="str">
        <f>IF(I1254&lt;&gt;1,"",DATA_INPUT!N172)</f>
        <v/>
      </c>
      <c r="F1254" s="30" t="str">
        <f>STORAGE_BALANCE_ENSEMBLE!BU172</f>
        <v/>
      </c>
      <c r="G1254" s="30" t="str">
        <f>STORAGE_BALANCE_ENSEMBLE!BV172</f>
        <v/>
      </c>
      <c r="H1254" s="30" t="str">
        <f>STORAGE_BALANCE_ENSEMBLE!BT172</f>
        <v/>
      </c>
      <c r="I1254" s="18" t="str">
        <f t="shared" si="184"/>
        <v/>
      </c>
      <c r="J1254" s="8" t="str">
        <f t="shared" si="185"/>
        <v/>
      </c>
      <c r="K1254" s="9" t="str">
        <f t="shared" si="186"/>
        <v/>
      </c>
      <c r="L1254" s="10" t="str">
        <f t="shared" si="187"/>
        <v/>
      </c>
      <c r="M1254" s="10" t="str">
        <f>IF(I1254&lt;&gt;1,"",IF(H1254="","",H1254/CONTROL_PANEL!$B$11))</f>
        <v/>
      </c>
      <c r="N1254" s="9" t="str">
        <f t="shared" si="188"/>
        <v/>
      </c>
      <c r="O1254" s="9" t="str">
        <f t="shared" si="189"/>
        <v/>
      </c>
      <c r="P1254" s="9" t="str">
        <f t="shared" si="190"/>
        <v/>
      </c>
      <c r="Q1254" s="9" t="str">
        <f t="shared" si="191"/>
        <v/>
      </c>
      <c r="R1254" s="11"/>
      <c r="S1254" s="11" t="str">
        <f t="shared" si="192"/>
        <v>PASS</v>
      </c>
    </row>
    <row r="1255" spans="1:19" x14ac:dyDescent="0.25">
      <c r="A1255" s="30" t="s">
        <v>98</v>
      </c>
      <c r="B1255" s="31">
        <f t="shared" si="183"/>
        <v>47392</v>
      </c>
      <c r="C1255" s="30">
        <f>YEAR(BInputReservoir[[#This Row],[Date]])</f>
        <v>2029</v>
      </c>
      <c r="D1255" s="30">
        <f>MONTH(BInputReservoir[[#This Row],[Date]])</f>
        <v>10</v>
      </c>
      <c r="E1255" s="30" t="str">
        <f>IF(I1255&lt;&gt;1,"",DATA_INPUT!N173)</f>
        <v/>
      </c>
      <c r="F1255" s="30" t="str">
        <f>STORAGE_BALANCE_ENSEMBLE!BU173</f>
        <v/>
      </c>
      <c r="G1255" s="30" t="str">
        <f>STORAGE_BALANCE_ENSEMBLE!BV173</f>
        <v/>
      </c>
      <c r="H1255" s="30" t="str">
        <f>STORAGE_BALANCE_ENSEMBLE!BT173</f>
        <v/>
      </c>
      <c r="I1255" s="18" t="str">
        <f t="shared" si="184"/>
        <v/>
      </c>
      <c r="J1255" s="8" t="str">
        <f t="shared" si="185"/>
        <v/>
      </c>
      <c r="K1255" s="9" t="str">
        <f t="shared" si="186"/>
        <v/>
      </c>
      <c r="L1255" s="10" t="str">
        <f t="shared" si="187"/>
        <v/>
      </c>
      <c r="M1255" s="10" t="str">
        <f>IF(I1255&lt;&gt;1,"",IF(H1255="","",H1255/CONTROL_PANEL!$B$11))</f>
        <v/>
      </c>
      <c r="N1255" s="9" t="str">
        <f t="shared" si="188"/>
        <v/>
      </c>
      <c r="O1255" s="9" t="str">
        <f t="shared" si="189"/>
        <v/>
      </c>
      <c r="P1255" s="9" t="str">
        <f t="shared" si="190"/>
        <v/>
      </c>
      <c r="Q1255" s="9" t="str">
        <f t="shared" si="191"/>
        <v/>
      </c>
      <c r="R1255" s="11"/>
      <c r="S1255" s="11" t="str">
        <f t="shared" si="192"/>
        <v>PASS</v>
      </c>
    </row>
    <row r="1256" spans="1:19" x14ac:dyDescent="0.25">
      <c r="A1256" s="30" t="s">
        <v>98</v>
      </c>
      <c r="B1256" s="31">
        <f t="shared" si="183"/>
        <v>47423</v>
      </c>
      <c r="C1256" s="30">
        <f>YEAR(BInputReservoir[[#This Row],[Date]])</f>
        <v>2029</v>
      </c>
      <c r="D1256" s="30">
        <f>MONTH(BInputReservoir[[#This Row],[Date]])</f>
        <v>11</v>
      </c>
      <c r="E1256" s="30" t="str">
        <f>IF(I1256&lt;&gt;1,"",DATA_INPUT!N174)</f>
        <v/>
      </c>
      <c r="F1256" s="30" t="str">
        <f>STORAGE_BALANCE_ENSEMBLE!BU174</f>
        <v/>
      </c>
      <c r="G1256" s="30" t="str">
        <f>STORAGE_BALANCE_ENSEMBLE!BV174</f>
        <v/>
      </c>
      <c r="H1256" s="30" t="str">
        <f>STORAGE_BALANCE_ENSEMBLE!BT174</f>
        <v/>
      </c>
      <c r="I1256" s="18" t="str">
        <f t="shared" si="184"/>
        <v/>
      </c>
      <c r="J1256" s="8" t="str">
        <f t="shared" si="185"/>
        <v/>
      </c>
      <c r="K1256" s="9" t="str">
        <f t="shared" si="186"/>
        <v/>
      </c>
      <c r="L1256" s="10" t="str">
        <f t="shared" si="187"/>
        <v/>
      </c>
      <c r="M1256" s="10" t="str">
        <f>IF(I1256&lt;&gt;1,"",IF(H1256="","",H1256/CONTROL_PANEL!$B$11))</f>
        <v/>
      </c>
      <c r="N1256" s="9" t="str">
        <f t="shared" si="188"/>
        <v/>
      </c>
      <c r="O1256" s="9" t="str">
        <f t="shared" si="189"/>
        <v/>
      </c>
      <c r="P1256" s="9" t="str">
        <f t="shared" si="190"/>
        <v/>
      </c>
      <c r="Q1256" s="9" t="str">
        <f t="shared" si="191"/>
        <v/>
      </c>
      <c r="R1256" s="11"/>
      <c r="S1256" s="11" t="str">
        <f t="shared" si="192"/>
        <v>PASS</v>
      </c>
    </row>
    <row r="1257" spans="1:19" x14ac:dyDescent="0.25">
      <c r="A1257" s="30" t="s">
        <v>98</v>
      </c>
      <c r="B1257" s="31">
        <f t="shared" si="183"/>
        <v>47453</v>
      </c>
      <c r="C1257" s="30">
        <f>YEAR(BInputReservoir[[#This Row],[Date]])</f>
        <v>2029</v>
      </c>
      <c r="D1257" s="30">
        <f>MONTH(BInputReservoir[[#This Row],[Date]])</f>
        <v>12</v>
      </c>
      <c r="E1257" s="30" t="str">
        <f>IF(I1257&lt;&gt;1,"",DATA_INPUT!N175)</f>
        <v/>
      </c>
      <c r="F1257" s="30" t="str">
        <f>STORAGE_BALANCE_ENSEMBLE!BU175</f>
        <v/>
      </c>
      <c r="G1257" s="30" t="str">
        <f>STORAGE_BALANCE_ENSEMBLE!BV175</f>
        <v/>
      </c>
      <c r="H1257" s="30" t="str">
        <f>STORAGE_BALANCE_ENSEMBLE!BT175</f>
        <v/>
      </c>
      <c r="I1257" s="18" t="str">
        <f t="shared" si="184"/>
        <v/>
      </c>
      <c r="J1257" s="8" t="str">
        <f t="shared" si="185"/>
        <v/>
      </c>
      <c r="K1257" s="9" t="str">
        <f t="shared" si="186"/>
        <v/>
      </c>
      <c r="L1257" s="10" t="str">
        <f t="shared" si="187"/>
        <v/>
      </c>
      <c r="M1257" s="10" t="str">
        <f>IF(I1257&lt;&gt;1,"",IF(H1257="","",H1257/CONTROL_PANEL!$B$11))</f>
        <v/>
      </c>
      <c r="N1257" s="9" t="str">
        <f t="shared" si="188"/>
        <v/>
      </c>
      <c r="O1257" s="9" t="str">
        <f t="shared" si="189"/>
        <v/>
      </c>
      <c r="P1257" s="9" t="str">
        <f t="shared" si="190"/>
        <v/>
      </c>
      <c r="Q1257" s="9" t="str">
        <f t="shared" si="191"/>
        <v/>
      </c>
      <c r="R1257" s="11"/>
      <c r="S1257" s="11" t="str">
        <f t="shared" si="192"/>
        <v>PASS</v>
      </c>
    </row>
    <row r="1258" spans="1:19" x14ac:dyDescent="0.25">
      <c r="A1258" s="30" t="s">
        <v>98</v>
      </c>
      <c r="B1258" s="31">
        <f t="shared" si="183"/>
        <v>47484</v>
      </c>
      <c r="C1258" s="30">
        <f>YEAR(BInputReservoir[[#This Row],[Date]])</f>
        <v>2030</v>
      </c>
      <c r="D1258" s="30">
        <f>MONTH(BInputReservoir[[#This Row],[Date]])</f>
        <v>1</v>
      </c>
      <c r="E1258" s="30" t="str">
        <f>IF(I1258&lt;&gt;1,"",DATA_INPUT!N176)</f>
        <v/>
      </c>
      <c r="F1258" s="30" t="str">
        <f>STORAGE_BALANCE_ENSEMBLE!BU176</f>
        <v/>
      </c>
      <c r="G1258" s="30" t="str">
        <f>STORAGE_BALANCE_ENSEMBLE!BV176</f>
        <v/>
      </c>
      <c r="H1258" s="30" t="str">
        <f>STORAGE_BALANCE_ENSEMBLE!BT176</f>
        <v/>
      </c>
      <c r="I1258" s="18" t="str">
        <f t="shared" si="184"/>
        <v/>
      </c>
      <c r="J1258" s="8" t="str">
        <f t="shared" si="185"/>
        <v/>
      </c>
      <c r="K1258" s="9" t="str">
        <f t="shared" si="186"/>
        <v/>
      </c>
      <c r="L1258" s="10" t="str">
        <f t="shared" si="187"/>
        <v/>
      </c>
      <c r="M1258" s="10" t="str">
        <f>IF(I1258&lt;&gt;1,"",IF(H1258="","",H1258/CONTROL_PANEL!$B$11))</f>
        <v/>
      </c>
      <c r="N1258" s="9" t="str">
        <f t="shared" si="188"/>
        <v/>
      </c>
      <c r="O1258" s="9" t="str">
        <f t="shared" si="189"/>
        <v/>
      </c>
      <c r="P1258" s="9" t="str">
        <f t="shared" si="190"/>
        <v/>
      </c>
      <c r="Q1258" s="9" t="str">
        <f t="shared" si="191"/>
        <v/>
      </c>
      <c r="R1258" s="11"/>
      <c r="S1258" s="11" t="str">
        <f t="shared" si="192"/>
        <v>PASS</v>
      </c>
    </row>
    <row r="1259" spans="1:19" x14ac:dyDescent="0.25">
      <c r="A1259" s="30" t="s">
        <v>98</v>
      </c>
      <c r="B1259" s="31">
        <f t="shared" si="183"/>
        <v>47515</v>
      </c>
      <c r="C1259" s="30">
        <f>YEAR(BInputReservoir[[#This Row],[Date]])</f>
        <v>2030</v>
      </c>
      <c r="D1259" s="30">
        <f>MONTH(BInputReservoir[[#This Row],[Date]])</f>
        <v>2</v>
      </c>
      <c r="E1259" s="30" t="str">
        <f>IF(I1259&lt;&gt;1,"",DATA_INPUT!N177)</f>
        <v/>
      </c>
      <c r="F1259" s="30" t="str">
        <f>STORAGE_BALANCE_ENSEMBLE!BU177</f>
        <v/>
      </c>
      <c r="G1259" s="30" t="str">
        <f>STORAGE_BALANCE_ENSEMBLE!BV177</f>
        <v/>
      </c>
      <c r="H1259" s="30" t="str">
        <f>STORAGE_BALANCE_ENSEMBLE!BT177</f>
        <v/>
      </c>
      <c r="I1259" s="18" t="str">
        <f t="shared" si="184"/>
        <v/>
      </c>
      <c r="J1259" s="8" t="str">
        <f t="shared" si="185"/>
        <v/>
      </c>
      <c r="K1259" s="9" t="str">
        <f t="shared" si="186"/>
        <v/>
      </c>
      <c r="L1259" s="10" t="str">
        <f t="shared" si="187"/>
        <v/>
      </c>
      <c r="M1259" s="10" t="str">
        <f>IF(I1259&lt;&gt;1,"",IF(H1259="","",H1259/CONTROL_PANEL!$B$11))</f>
        <v/>
      </c>
      <c r="N1259" s="9" t="str">
        <f t="shared" si="188"/>
        <v/>
      </c>
      <c r="O1259" s="9" t="str">
        <f t="shared" si="189"/>
        <v/>
      </c>
      <c r="P1259" s="9" t="str">
        <f t="shared" si="190"/>
        <v/>
      </c>
      <c r="Q1259" s="9" t="str">
        <f t="shared" si="191"/>
        <v/>
      </c>
      <c r="R1259" s="11"/>
      <c r="S1259" s="11" t="str">
        <f t="shared" si="192"/>
        <v>PASS</v>
      </c>
    </row>
    <row r="1260" spans="1:19" x14ac:dyDescent="0.25">
      <c r="A1260" s="30" t="s">
        <v>98</v>
      </c>
      <c r="B1260" s="31">
        <f t="shared" si="183"/>
        <v>47543</v>
      </c>
      <c r="C1260" s="30">
        <f>YEAR(BInputReservoir[[#This Row],[Date]])</f>
        <v>2030</v>
      </c>
      <c r="D1260" s="30">
        <f>MONTH(BInputReservoir[[#This Row],[Date]])</f>
        <v>3</v>
      </c>
      <c r="E1260" s="30" t="str">
        <f>IF(I1260&lt;&gt;1,"",DATA_INPUT!N178)</f>
        <v/>
      </c>
      <c r="F1260" s="30" t="str">
        <f>STORAGE_BALANCE_ENSEMBLE!BU178</f>
        <v/>
      </c>
      <c r="G1260" s="30" t="str">
        <f>STORAGE_BALANCE_ENSEMBLE!BV178</f>
        <v/>
      </c>
      <c r="H1260" s="30" t="str">
        <f>STORAGE_BALANCE_ENSEMBLE!BT178</f>
        <v/>
      </c>
      <c r="I1260" s="18" t="str">
        <f t="shared" si="184"/>
        <v/>
      </c>
      <c r="J1260" s="8" t="str">
        <f t="shared" si="185"/>
        <v/>
      </c>
      <c r="K1260" s="9" t="str">
        <f t="shared" si="186"/>
        <v/>
      </c>
      <c r="L1260" s="10" t="str">
        <f t="shared" si="187"/>
        <v/>
      </c>
      <c r="M1260" s="10" t="str">
        <f>IF(I1260&lt;&gt;1,"",IF(H1260="","",H1260/CONTROL_PANEL!$B$11))</f>
        <v/>
      </c>
      <c r="N1260" s="9" t="str">
        <f t="shared" si="188"/>
        <v/>
      </c>
      <c r="O1260" s="9" t="str">
        <f t="shared" si="189"/>
        <v/>
      </c>
      <c r="P1260" s="9" t="str">
        <f t="shared" si="190"/>
        <v/>
      </c>
      <c r="Q1260" s="9" t="str">
        <f t="shared" si="191"/>
        <v/>
      </c>
      <c r="R1260" s="11"/>
      <c r="S1260" s="11" t="str">
        <f t="shared" si="192"/>
        <v>PASS</v>
      </c>
    </row>
    <row r="1261" spans="1:19" x14ac:dyDescent="0.25">
      <c r="A1261" s="30" t="s">
        <v>98</v>
      </c>
      <c r="B1261" s="31">
        <f t="shared" si="183"/>
        <v>47574</v>
      </c>
      <c r="C1261" s="30">
        <f>YEAR(BInputReservoir[[#This Row],[Date]])</f>
        <v>2030</v>
      </c>
      <c r="D1261" s="30">
        <f>MONTH(BInputReservoir[[#This Row],[Date]])</f>
        <v>4</v>
      </c>
      <c r="E1261" s="30" t="str">
        <f>IF(I1261&lt;&gt;1,"",DATA_INPUT!N179)</f>
        <v/>
      </c>
      <c r="F1261" s="30" t="str">
        <f>STORAGE_BALANCE_ENSEMBLE!BU179</f>
        <v/>
      </c>
      <c r="G1261" s="30" t="str">
        <f>STORAGE_BALANCE_ENSEMBLE!BV179</f>
        <v/>
      </c>
      <c r="H1261" s="30" t="str">
        <f>STORAGE_BALANCE_ENSEMBLE!BT179</f>
        <v/>
      </c>
      <c r="I1261" s="18" t="str">
        <f t="shared" si="184"/>
        <v/>
      </c>
      <c r="J1261" s="8" t="str">
        <f t="shared" si="185"/>
        <v/>
      </c>
      <c r="K1261" s="9" t="str">
        <f t="shared" si="186"/>
        <v/>
      </c>
      <c r="L1261" s="10" t="str">
        <f t="shared" si="187"/>
        <v/>
      </c>
      <c r="M1261" s="10" t="str">
        <f>IF(I1261&lt;&gt;1,"",IF(H1261="","",H1261/CONTROL_PANEL!$B$11))</f>
        <v/>
      </c>
      <c r="N1261" s="9" t="str">
        <f t="shared" si="188"/>
        <v/>
      </c>
      <c r="O1261" s="9" t="str">
        <f t="shared" si="189"/>
        <v/>
      </c>
      <c r="P1261" s="9" t="str">
        <f t="shared" si="190"/>
        <v/>
      </c>
      <c r="Q1261" s="9" t="str">
        <f t="shared" si="191"/>
        <v/>
      </c>
      <c r="R1261" s="11"/>
      <c r="S1261" s="11" t="str">
        <f t="shared" si="192"/>
        <v>PASS</v>
      </c>
    </row>
    <row r="1262" spans="1:19" x14ac:dyDescent="0.25">
      <c r="A1262" s="30" t="s">
        <v>98</v>
      </c>
      <c r="B1262" s="31">
        <f t="shared" si="183"/>
        <v>47604</v>
      </c>
      <c r="C1262" s="30">
        <f>YEAR(BInputReservoir[[#This Row],[Date]])</f>
        <v>2030</v>
      </c>
      <c r="D1262" s="30">
        <f>MONTH(BInputReservoir[[#This Row],[Date]])</f>
        <v>5</v>
      </c>
      <c r="E1262" s="30" t="str">
        <f>IF(I1262&lt;&gt;1,"",DATA_INPUT!N180)</f>
        <v/>
      </c>
      <c r="F1262" s="30" t="str">
        <f>STORAGE_BALANCE_ENSEMBLE!BU180</f>
        <v/>
      </c>
      <c r="G1262" s="30" t="str">
        <f>STORAGE_BALANCE_ENSEMBLE!BV180</f>
        <v/>
      </c>
      <c r="H1262" s="30" t="str">
        <f>STORAGE_BALANCE_ENSEMBLE!BT180</f>
        <v/>
      </c>
      <c r="I1262" s="18" t="str">
        <f t="shared" si="184"/>
        <v/>
      </c>
      <c r="J1262" s="8" t="str">
        <f t="shared" si="185"/>
        <v/>
      </c>
      <c r="K1262" s="9" t="str">
        <f t="shared" si="186"/>
        <v/>
      </c>
      <c r="L1262" s="10" t="str">
        <f t="shared" si="187"/>
        <v/>
      </c>
      <c r="M1262" s="10" t="str">
        <f>IF(I1262&lt;&gt;1,"",IF(H1262="","",H1262/CONTROL_PANEL!$B$11))</f>
        <v/>
      </c>
      <c r="N1262" s="9" t="str">
        <f t="shared" si="188"/>
        <v/>
      </c>
      <c r="O1262" s="9" t="str">
        <f t="shared" si="189"/>
        <v/>
      </c>
      <c r="P1262" s="9" t="str">
        <f t="shared" si="190"/>
        <v/>
      </c>
      <c r="Q1262" s="9" t="str">
        <f t="shared" si="191"/>
        <v/>
      </c>
      <c r="R1262" s="11"/>
      <c r="S1262" s="11" t="str">
        <f t="shared" si="192"/>
        <v>PASS</v>
      </c>
    </row>
    <row r="1263" spans="1:19" x14ac:dyDescent="0.25">
      <c r="A1263" s="30" t="s">
        <v>98</v>
      </c>
      <c r="B1263" s="31">
        <f t="shared" si="183"/>
        <v>47635</v>
      </c>
      <c r="C1263" s="30">
        <f>YEAR(BInputReservoir[[#This Row],[Date]])</f>
        <v>2030</v>
      </c>
      <c r="D1263" s="30">
        <f>MONTH(BInputReservoir[[#This Row],[Date]])</f>
        <v>6</v>
      </c>
      <c r="E1263" s="30" t="str">
        <f>IF(I1263&lt;&gt;1,"",DATA_INPUT!N181)</f>
        <v/>
      </c>
      <c r="F1263" s="30" t="str">
        <f>STORAGE_BALANCE_ENSEMBLE!BU181</f>
        <v/>
      </c>
      <c r="G1263" s="30" t="str">
        <f>STORAGE_BALANCE_ENSEMBLE!BV181</f>
        <v/>
      </c>
      <c r="H1263" s="30" t="str">
        <f>STORAGE_BALANCE_ENSEMBLE!BT181</f>
        <v/>
      </c>
      <c r="I1263" s="18" t="str">
        <f t="shared" si="184"/>
        <v/>
      </c>
      <c r="J1263" s="8" t="str">
        <f t="shared" si="185"/>
        <v/>
      </c>
      <c r="K1263" s="9" t="str">
        <f t="shared" si="186"/>
        <v/>
      </c>
      <c r="L1263" s="10" t="str">
        <f t="shared" si="187"/>
        <v/>
      </c>
      <c r="M1263" s="10" t="str">
        <f>IF(I1263&lt;&gt;1,"",IF(H1263="","",H1263/CONTROL_PANEL!$B$11))</f>
        <v/>
      </c>
      <c r="N1263" s="9" t="str">
        <f t="shared" si="188"/>
        <v/>
      </c>
      <c r="O1263" s="9" t="str">
        <f t="shared" si="189"/>
        <v/>
      </c>
      <c r="P1263" s="9" t="str">
        <f t="shared" si="190"/>
        <v/>
      </c>
      <c r="Q1263" s="9" t="str">
        <f t="shared" si="191"/>
        <v/>
      </c>
      <c r="R1263" s="11"/>
      <c r="S1263" s="11" t="str">
        <f t="shared" si="192"/>
        <v>PASS</v>
      </c>
    </row>
    <row r="1264" spans="1:19" x14ac:dyDescent="0.25">
      <c r="A1264" s="30" t="s">
        <v>98</v>
      </c>
      <c r="B1264" s="31">
        <f t="shared" si="183"/>
        <v>47665</v>
      </c>
      <c r="C1264" s="30">
        <f>YEAR(BInputReservoir[[#This Row],[Date]])</f>
        <v>2030</v>
      </c>
      <c r="D1264" s="30">
        <f>MONTH(BInputReservoir[[#This Row],[Date]])</f>
        <v>7</v>
      </c>
      <c r="E1264" s="30" t="str">
        <f>IF(I1264&lt;&gt;1,"",DATA_INPUT!N182)</f>
        <v/>
      </c>
      <c r="F1264" s="30" t="str">
        <f>STORAGE_BALANCE_ENSEMBLE!BU182</f>
        <v/>
      </c>
      <c r="G1264" s="30" t="str">
        <f>STORAGE_BALANCE_ENSEMBLE!BV182</f>
        <v/>
      </c>
      <c r="H1264" s="30" t="str">
        <f>STORAGE_BALANCE_ENSEMBLE!BT182</f>
        <v/>
      </c>
      <c r="I1264" s="18" t="str">
        <f t="shared" si="184"/>
        <v/>
      </c>
      <c r="J1264" s="8" t="str">
        <f t="shared" si="185"/>
        <v/>
      </c>
      <c r="K1264" s="9" t="str">
        <f t="shared" si="186"/>
        <v/>
      </c>
      <c r="L1264" s="10" t="str">
        <f t="shared" si="187"/>
        <v/>
      </c>
      <c r="M1264" s="10" t="str">
        <f>IF(I1264&lt;&gt;1,"",IF(H1264="","",H1264/CONTROL_PANEL!$B$11))</f>
        <v/>
      </c>
      <c r="N1264" s="9" t="str">
        <f t="shared" si="188"/>
        <v/>
      </c>
      <c r="O1264" s="9" t="str">
        <f t="shared" si="189"/>
        <v/>
      </c>
      <c r="P1264" s="9" t="str">
        <f t="shared" si="190"/>
        <v/>
      </c>
      <c r="Q1264" s="9" t="str">
        <f t="shared" si="191"/>
        <v/>
      </c>
      <c r="R1264" s="11"/>
      <c r="S1264" s="11" t="str">
        <f t="shared" si="192"/>
        <v>PASS</v>
      </c>
    </row>
    <row r="1265" spans="1:19" x14ac:dyDescent="0.25">
      <c r="A1265" s="30" t="s">
        <v>98</v>
      </c>
      <c r="B1265" s="31">
        <f t="shared" si="183"/>
        <v>47696</v>
      </c>
      <c r="C1265" s="30">
        <f>YEAR(BInputReservoir[[#This Row],[Date]])</f>
        <v>2030</v>
      </c>
      <c r="D1265" s="30">
        <f>MONTH(BInputReservoir[[#This Row],[Date]])</f>
        <v>8</v>
      </c>
      <c r="E1265" s="30" t="str">
        <f>IF(I1265&lt;&gt;1,"",DATA_INPUT!N183)</f>
        <v/>
      </c>
      <c r="F1265" s="30" t="str">
        <f>STORAGE_BALANCE_ENSEMBLE!BU183</f>
        <v/>
      </c>
      <c r="G1265" s="30" t="str">
        <f>STORAGE_BALANCE_ENSEMBLE!BV183</f>
        <v/>
      </c>
      <c r="H1265" s="30" t="str">
        <f>STORAGE_BALANCE_ENSEMBLE!BT183</f>
        <v/>
      </c>
      <c r="I1265" s="18" t="str">
        <f t="shared" si="184"/>
        <v/>
      </c>
      <c r="J1265" s="8" t="str">
        <f t="shared" si="185"/>
        <v/>
      </c>
      <c r="K1265" s="9" t="str">
        <f t="shared" si="186"/>
        <v/>
      </c>
      <c r="L1265" s="10" t="str">
        <f t="shared" si="187"/>
        <v/>
      </c>
      <c r="M1265" s="10" t="str">
        <f>IF(I1265&lt;&gt;1,"",IF(H1265="","",H1265/CONTROL_PANEL!$B$11))</f>
        <v/>
      </c>
      <c r="N1265" s="9" t="str">
        <f t="shared" si="188"/>
        <v/>
      </c>
      <c r="O1265" s="9" t="str">
        <f t="shared" si="189"/>
        <v/>
      </c>
      <c r="P1265" s="9" t="str">
        <f t="shared" si="190"/>
        <v/>
      </c>
      <c r="Q1265" s="9" t="str">
        <f t="shared" si="191"/>
        <v/>
      </c>
      <c r="R1265" s="11"/>
      <c r="S1265" s="11" t="str">
        <f t="shared" si="192"/>
        <v>PASS</v>
      </c>
    </row>
    <row r="1266" spans="1:19" x14ac:dyDescent="0.25">
      <c r="A1266" s="30" t="s">
        <v>98</v>
      </c>
      <c r="B1266" s="31">
        <f t="shared" si="183"/>
        <v>47727</v>
      </c>
      <c r="C1266" s="30">
        <f>YEAR(BInputReservoir[[#This Row],[Date]])</f>
        <v>2030</v>
      </c>
      <c r="D1266" s="30">
        <f>MONTH(BInputReservoir[[#This Row],[Date]])</f>
        <v>9</v>
      </c>
      <c r="E1266" s="30" t="str">
        <f>IF(I1266&lt;&gt;1,"",DATA_INPUT!N184)</f>
        <v/>
      </c>
      <c r="F1266" s="30" t="str">
        <f>STORAGE_BALANCE_ENSEMBLE!BU184</f>
        <v/>
      </c>
      <c r="G1266" s="30" t="str">
        <f>STORAGE_BALANCE_ENSEMBLE!BV184</f>
        <v/>
      </c>
      <c r="H1266" s="30" t="str">
        <f>STORAGE_BALANCE_ENSEMBLE!BT184</f>
        <v/>
      </c>
      <c r="I1266" s="18" t="str">
        <f t="shared" si="184"/>
        <v/>
      </c>
      <c r="J1266" s="8" t="str">
        <f t="shared" si="185"/>
        <v/>
      </c>
      <c r="K1266" s="9" t="str">
        <f t="shared" si="186"/>
        <v/>
      </c>
      <c r="L1266" s="10" t="str">
        <f t="shared" si="187"/>
        <v/>
      </c>
      <c r="M1266" s="10" t="str">
        <f>IF(I1266&lt;&gt;1,"",IF(H1266="","",H1266/CONTROL_PANEL!$B$11))</f>
        <v/>
      </c>
      <c r="N1266" s="9" t="str">
        <f t="shared" si="188"/>
        <v/>
      </c>
      <c r="O1266" s="9" t="str">
        <f t="shared" si="189"/>
        <v/>
      </c>
      <c r="P1266" s="9" t="str">
        <f t="shared" si="190"/>
        <v/>
      </c>
      <c r="Q1266" s="9" t="str">
        <f t="shared" si="191"/>
        <v/>
      </c>
      <c r="R1266" s="11"/>
      <c r="S1266" s="11" t="str">
        <f t="shared" si="192"/>
        <v>PASS</v>
      </c>
    </row>
    <row r="1267" spans="1:19" x14ac:dyDescent="0.25">
      <c r="A1267" s="30" t="s">
        <v>98</v>
      </c>
      <c r="B1267" s="31">
        <f t="shared" si="183"/>
        <v>47757</v>
      </c>
      <c r="C1267" s="30">
        <f>YEAR(BInputReservoir[[#This Row],[Date]])</f>
        <v>2030</v>
      </c>
      <c r="D1267" s="30">
        <f>MONTH(BInputReservoir[[#This Row],[Date]])</f>
        <v>10</v>
      </c>
      <c r="E1267" s="30" t="str">
        <f>IF(I1267&lt;&gt;1,"",DATA_INPUT!N185)</f>
        <v/>
      </c>
      <c r="F1267" s="30" t="str">
        <f>STORAGE_BALANCE_ENSEMBLE!BU185</f>
        <v/>
      </c>
      <c r="G1267" s="30" t="str">
        <f>STORAGE_BALANCE_ENSEMBLE!BV185</f>
        <v/>
      </c>
      <c r="H1267" s="30" t="str">
        <f>STORAGE_BALANCE_ENSEMBLE!BT185</f>
        <v/>
      </c>
      <c r="I1267" s="18" t="str">
        <f t="shared" si="184"/>
        <v/>
      </c>
      <c r="J1267" s="8" t="str">
        <f t="shared" si="185"/>
        <v/>
      </c>
      <c r="K1267" s="9" t="str">
        <f t="shared" si="186"/>
        <v/>
      </c>
      <c r="L1267" s="10" t="str">
        <f t="shared" si="187"/>
        <v/>
      </c>
      <c r="M1267" s="10" t="str">
        <f>IF(I1267&lt;&gt;1,"",IF(H1267="","",H1267/CONTROL_PANEL!$B$11))</f>
        <v/>
      </c>
      <c r="N1267" s="9" t="str">
        <f t="shared" si="188"/>
        <v/>
      </c>
      <c r="O1267" s="9" t="str">
        <f t="shared" si="189"/>
        <v/>
      </c>
      <c r="P1267" s="9" t="str">
        <f t="shared" si="190"/>
        <v/>
      </c>
      <c r="Q1267" s="9" t="str">
        <f t="shared" si="191"/>
        <v/>
      </c>
      <c r="R1267" s="11"/>
      <c r="S1267" s="11" t="str">
        <f t="shared" si="192"/>
        <v>PASS</v>
      </c>
    </row>
    <row r="1268" spans="1:19" x14ac:dyDescent="0.25">
      <c r="A1268" s="30" t="s">
        <v>98</v>
      </c>
      <c r="B1268" s="31">
        <f t="shared" si="183"/>
        <v>47788</v>
      </c>
      <c r="C1268" s="30">
        <f>YEAR(BInputReservoir[[#This Row],[Date]])</f>
        <v>2030</v>
      </c>
      <c r="D1268" s="30">
        <f>MONTH(BInputReservoir[[#This Row],[Date]])</f>
        <v>11</v>
      </c>
      <c r="E1268" s="30" t="str">
        <f>IF(I1268&lt;&gt;1,"",DATA_INPUT!N186)</f>
        <v/>
      </c>
      <c r="F1268" s="30" t="str">
        <f>STORAGE_BALANCE_ENSEMBLE!BU186</f>
        <v/>
      </c>
      <c r="G1268" s="30" t="str">
        <f>STORAGE_BALANCE_ENSEMBLE!BV186</f>
        <v/>
      </c>
      <c r="H1268" s="30" t="str">
        <f>STORAGE_BALANCE_ENSEMBLE!BT186</f>
        <v/>
      </c>
      <c r="I1268" s="18" t="str">
        <f t="shared" si="184"/>
        <v/>
      </c>
      <c r="J1268" s="8" t="str">
        <f t="shared" si="185"/>
        <v/>
      </c>
      <c r="K1268" s="9" t="str">
        <f t="shared" si="186"/>
        <v/>
      </c>
      <c r="L1268" s="10" t="str">
        <f t="shared" si="187"/>
        <v/>
      </c>
      <c r="M1268" s="10" t="str">
        <f>IF(I1268&lt;&gt;1,"",IF(H1268="","",H1268/CONTROL_PANEL!$B$11))</f>
        <v/>
      </c>
      <c r="N1268" s="9" t="str">
        <f t="shared" si="188"/>
        <v/>
      </c>
      <c r="O1268" s="9" t="str">
        <f t="shared" si="189"/>
        <v/>
      </c>
      <c r="P1268" s="9" t="str">
        <f t="shared" si="190"/>
        <v/>
      </c>
      <c r="Q1268" s="9" t="str">
        <f t="shared" si="191"/>
        <v/>
      </c>
      <c r="R1268" s="11"/>
      <c r="S1268" s="11" t="str">
        <f t="shared" si="192"/>
        <v>PASS</v>
      </c>
    </row>
    <row r="1269" spans="1:19" x14ac:dyDescent="0.25">
      <c r="A1269" s="30" t="s">
        <v>98</v>
      </c>
      <c r="B1269" s="31">
        <f t="shared" si="183"/>
        <v>47818</v>
      </c>
      <c r="C1269" s="30">
        <f>YEAR(BInputReservoir[[#This Row],[Date]])</f>
        <v>2030</v>
      </c>
      <c r="D1269" s="30">
        <f>MONTH(BInputReservoir[[#This Row],[Date]])</f>
        <v>12</v>
      </c>
      <c r="E1269" s="30" t="str">
        <f>IF(I1269&lt;&gt;1,"",DATA_INPUT!N187)</f>
        <v/>
      </c>
      <c r="F1269" s="30" t="str">
        <f>STORAGE_BALANCE_ENSEMBLE!BU187</f>
        <v/>
      </c>
      <c r="G1269" s="30" t="str">
        <f>STORAGE_BALANCE_ENSEMBLE!BV187</f>
        <v/>
      </c>
      <c r="H1269" s="30" t="str">
        <f>STORAGE_BALANCE_ENSEMBLE!BT187</f>
        <v/>
      </c>
      <c r="I1269" s="18" t="str">
        <f t="shared" si="184"/>
        <v/>
      </c>
      <c r="J1269" s="8" t="str">
        <f t="shared" si="185"/>
        <v/>
      </c>
      <c r="K1269" s="9" t="str">
        <f t="shared" si="186"/>
        <v/>
      </c>
      <c r="L1269" s="10" t="str">
        <f t="shared" si="187"/>
        <v/>
      </c>
      <c r="M1269" s="10" t="str">
        <f>IF(I1269&lt;&gt;1,"",IF(H1269="","",H1269/CONTROL_PANEL!$B$11))</f>
        <v/>
      </c>
      <c r="N1269" s="9" t="str">
        <f t="shared" si="188"/>
        <v/>
      </c>
      <c r="O1269" s="9" t="str">
        <f t="shared" si="189"/>
        <v/>
      </c>
      <c r="P1269" s="9" t="str">
        <f t="shared" si="190"/>
        <v/>
      </c>
      <c r="Q1269" s="9" t="str">
        <f t="shared" si="191"/>
        <v/>
      </c>
      <c r="R1269" s="11"/>
      <c r="S1269" s="11" t="str">
        <f t="shared" si="192"/>
        <v>PASS</v>
      </c>
    </row>
    <row r="1270" spans="1:19" x14ac:dyDescent="0.25">
      <c r="A1270" s="30" t="s">
        <v>98</v>
      </c>
      <c r="B1270" s="31">
        <f t="shared" si="183"/>
        <v>47849</v>
      </c>
      <c r="C1270" s="30">
        <f>YEAR(BInputReservoir[[#This Row],[Date]])</f>
        <v>2031</v>
      </c>
      <c r="D1270" s="30">
        <f>MONTH(BInputReservoir[[#This Row],[Date]])</f>
        <v>1</v>
      </c>
      <c r="E1270" s="30" t="str">
        <f>IF(I1270&lt;&gt;1,"",DATA_INPUT!N188)</f>
        <v/>
      </c>
      <c r="F1270" s="30" t="str">
        <f>STORAGE_BALANCE_ENSEMBLE!BU188</f>
        <v/>
      </c>
      <c r="G1270" s="30" t="str">
        <f>STORAGE_BALANCE_ENSEMBLE!BV188</f>
        <v/>
      </c>
      <c r="H1270" s="30" t="str">
        <f>STORAGE_BALANCE_ENSEMBLE!BT188</f>
        <v/>
      </c>
      <c r="I1270" s="18" t="str">
        <f t="shared" si="184"/>
        <v/>
      </c>
      <c r="J1270" s="8" t="str">
        <f t="shared" si="185"/>
        <v/>
      </c>
      <c r="K1270" s="9" t="str">
        <f t="shared" si="186"/>
        <v/>
      </c>
      <c r="L1270" s="10" t="str">
        <f t="shared" si="187"/>
        <v/>
      </c>
      <c r="M1270" s="10" t="str">
        <f>IF(I1270&lt;&gt;1,"",IF(H1270="","",H1270/CONTROL_PANEL!$B$11))</f>
        <v/>
      </c>
      <c r="N1270" s="9" t="str">
        <f t="shared" si="188"/>
        <v/>
      </c>
      <c r="O1270" s="9" t="str">
        <f t="shared" si="189"/>
        <v/>
      </c>
      <c r="P1270" s="9" t="str">
        <f t="shared" si="190"/>
        <v/>
      </c>
      <c r="Q1270" s="9" t="str">
        <f t="shared" si="191"/>
        <v/>
      </c>
      <c r="R1270" s="11"/>
      <c r="S1270" s="11" t="str">
        <f t="shared" si="192"/>
        <v>PASS</v>
      </c>
    </row>
    <row r="1271" spans="1:19" x14ac:dyDescent="0.25">
      <c r="A1271" s="30" t="s">
        <v>98</v>
      </c>
      <c r="B1271" s="31">
        <f t="shared" si="183"/>
        <v>47880</v>
      </c>
      <c r="C1271" s="30">
        <f>YEAR(BInputReservoir[[#This Row],[Date]])</f>
        <v>2031</v>
      </c>
      <c r="D1271" s="30">
        <f>MONTH(BInputReservoir[[#This Row],[Date]])</f>
        <v>2</v>
      </c>
      <c r="E1271" s="30" t="str">
        <f>IF(I1271&lt;&gt;1,"",DATA_INPUT!N189)</f>
        <v/>
      </c>
      <c r="F1271" s="30" t="str">
        <f>STORAGE_BALANCE_ENSEMBLE!BU189</f>
        <v/>
      </c>
      <c r="G1271" s="30" t="str">
        <f>STORAGE_BALANCE_ENSEMBLE!BV189</f>
        <v/>
      </c>
      <c r="H1271" s="30" t="str">
        <f>STORAGE_BALANCE_ENSEMBLE!BT189</f>
        <v/>
      </c>
      <c r="I1271" s="18" t="str">
        <f t="shared" si="184"/>
        <v/>
      </c>
      <c r="J1271" s="8" t="str">
        <f t="shared" si="185"/>
        <v/>
      </c>
      <c r="K1271" s="9" t="str">
        <f t="shared" si="186"/>
        <v/>
      </c>
      <c r="L1271" s="10" t="str">
        <f t="shared" si="187"/>
        <v/>
      </c>
      <c r="M1271" s="10" t="str">
        <f>IF(I1271&lt;&gt;1,"",IF(H1271="","",H1271/CONTROL_PANEL!$B$11))</f>
        <v/>
      </c>
      <c r="N1271" s="9" t="str">
        <f t="shared" si="188"/>
        <v/>
      </c>
      <c r="O1271" s="9" t="str">
        <f t="shared" si="189"/>
        <v/>
      </c>
      <c r="P1271" s="9" t="str">
        <f t="shared" si="190"/>
        <v/>
      </c>
      <c r="Q1271" s="9" t="str">
        <f t="shared" si="191"/>
        <v/>
      </c>
      <c r="R1271" s="11"/>
      <c r="S1271" s="11" t="str">
        <f t="shared" si="192"/>
        <v>PASS</v>
      </c>
    </row>
    <row r="1272" spans="1:19" x14ac:dyDescent="0.25">
      <c r="A1272" s="30" t="s">
        <v>98</v>
      </c>
      <c r="B1272" s="31">
        <f t="shared" si="183"/>
        <v>47908</v>
      </c>
      <c r="C1272" s="30">
        <f>YEAR(BInputReservoir[[#This Row],[Date]])</f>
        <v>2031</v>
      </c>
      <c r="D1272" s="30">
        <f>MONTH(BInputReservoir[[#This Row],[Date]])</f>
        <v>3</v>
      </c>
      <c r="E1272" s="30" t="str">
        <f>IF(I1272&lt;&gt;1,"",DATA_INPUT!N190)</f>
        <v/>
      </c>
      <c r="F1272" s="30" t="str">
        <f>STORAGE_BALANCE_ENSEMBLE!BU190</f>
        <v/>
      </c>
      <c r="G1272" s="30" t="str">
        <f>STORAGE_BALANCE_ENSEMBLE!BV190</f>
        <v/>
      </c>
      <c r="H1272" s="30" t="str">
        <f>STORAGE_BALANCE_ENSEMBLE!BT190</f>
        <v/>
      </c>
      <c r="I1272" s="18" t="str">
        <f t="shared" si="184"/>
        <v/>
      </c>
      <c r="J1272" s="8" t="str">
        <f t="shared" si="185"/>
        <v/>
      </c>
      <c r="K1272" s="9" t="str">
        <f t="shared" si="186"/>
        <v/>
      </c>
      <c r="L1272" s="10" t="str">
        <f t="shared" si="187"/>
        <v/>
      </c>
      <c r="M1272" s="10" t="str">
        <f>IF(I1272&lt;&gt;1,"",IF(H1272="","",H1272/CONTROL_PANEL!$B$11))</f>
        <v/>
      </c>
      <c r="N1272" s="9" t="str">
        <f t="shared" si="188"/>
        <v/>
      </c>
      <c r="O1272" s="9" t="str">
        <f t="shared" si="189"/>
        <v/>
      </c>
      <c r="P1272" s="9" t="str">
        <f t="shared" si="190"/>
        <v/>
      </c>
      <c r="Q1272" s="9" t="str">
        <f t="shared" si="191"/>
        <v/>
      </c>
      <c r="R1272" s="11"/>
      <c r="S1272" s="11" t="str">
        <f t="shared" si="192"/>
        <v>PASS</v>
      </c>
    </row>
    <row r="1273" spans="1:19" x14ac:dyDescent="0.25">
      <c r="A1273" s="30" t="s">
        <v>98</v>
      </c>
      <c r="B1273" s="31">
        <f t="shared" si="183"/>
        <v>47939</v>
      </c>
      <c r="C1273" s="30">
        <f>YEAR(BInputReservoir[[#This Row],[Date]])</f>
        <v>2031</v>
      </c>
      <c r="D1273" s="30">
        <f>MONTH(BInputReservoir[[#This Row],[Date]])</f>
        <v>4</v>
      </c>
      <c r="E1273" s="30" t="str">
        <f>IF(I1273&lt;&gt;1,"",DATA_INPUT!N191)</f>
        <v/>
      </c>
      <c r="F1273" s="30" t="str">
        <f>STORAGE_BALANCE_ENSEMBLE!BU191</f>
        <v/>
      </c>
      <c r="G1273" s="30" t="str">
        <f>STORAGE_BALANCE_ENSEMBLE!BV191</f>
        <v/>
      </c>
      <c r="H1273" s="30" t="str">
        <f>STORAGE_BALANCE_ENSEMBLE!BT191</f>
        <v/>
      </c>
      <c r="I1273" s="18" t="str">
        <f t="shared" si="184"/>
        <v/>
      </c>
      <c r="J1273" s="8" t="str">
        <f t="shared" si="185"/>
        <v/>
      </c>
      <c r="K1273" s="9" t="str">
        <f t="shared" si="186"/>
        <v/>
      </c>
      <c r="L1273" s="10" t="str">
        <f t="shared" si="187"/>
        <v/>
      </c>
      <c r="M1273" s="10" t="str">
        <f>IF(I1273&lt;&gt;1,"",IF(H1273="","",H1273/CONTROL_PANEL!$B$11))</f>
        <v/>
      </c>
      <c r="N1273" s="9" t="str">
        <f t="shared" si="188"/>
        <v/>
      </c>
      <c r="O1273" s="9" t="str">
        <f t="shared" si="189"/>
        <v/>
      </c>
      <c r="P1273" s="9" t="str">
        <f t="shared" si="190"/>
        <v/>
      </c>
      <c r="Q1273" s="9" t="str">
        <f t="shared" si="191"/>
        <v/>
      </c>
      <c r="R1273" s="11"/>
      <c r="S1273" s="11" t="str">
        <f t="shared" si="192"/>
        <v>PASS</v>
      </c>
    </row>
    <row r="1274" spans="1:19" x14ac:dyDescent="0.25">
      <c r="A1274" s="30" t="s">
        <v>98</v>
      </c>
      <c r="B1274" s="31">
        <f t="shared" si="183"/>
        <v>47969</v>
      </c>
      <c r="C1274" s="30">
        <f>YEAR(BInputReservoir[[#This Row],[Date]])</f>
        <v>2031</v>
      </c>
      <c r="D1274" s="30">
        <f>MONTH(BInputReservoir[[#This Row],[Date]])</f>
        <v>5</v>
      </c>
      <c r="E1274" s="30" t="str">
        <f>IF(I1274&lt;&gt;1,"",DATA_INPUT!N192)</f>
        <v/>
      </c>
      <c r="F1274" s="30" t="str">
        <f>STORAGE_BALANCE_ENSEMBLE!BU192</f>
        <v/>
      </c>
      <c r="G1274" s="30" t="str">
        <f>STORAGE_BALANCE_ENSEMBLE!BV192</f>
        <v/>
      </c>
      <c r="H1274" s="30" t="str">
        <f>STORAGE_BALANCE_ENSEMBLE!BT192</f>
        <v/>
      </c>
      <c r="I1274" s="18" t="str">
        <f t="shared" si="184"/>
        <v/>
      </c>
      <c r="J1274" s="8" t="str">
        <f t="shared" si="185"/>
        <v/>
      </c>
      <c r="K1274" s="9" t="str">
        <f t="shared" si="186"/>
        <v/>
      </c>
      <c r="L1274" s="10" t="str">
        <f t="shared" si="187"/>
        <v/>
      </c>
      <c r="M1274" s="10" t="str">
        <f>IF(I1274&lt;&gt;1,"",IF(H1274="","",H1274/CONTROL_PANEL!$B$11))</f>
        <v/>
      </c>
      <c r="N1274" s="9" t="str">
        <f t="shared" si="188"/>
        <v/>
      </c>
      <c r="O1274" s="9" t="str">
        <f t="shared" si="189"/>
        <v/>
      </c>
      <c r="P1274" s="9" t="str">
        <f t="shared" si="190"/>
        <v/>
      </c>
      <c r="Q1274" s="9" t="str">
        <f t="shared" si="191"/>
        <v/>
      </c>
      <c r="R1274" s="11"/>
      <c r="S1274" s="11" t="str">
        <f t="shared" si="192"/>
        <v>PASS</v>
      </c>
    </row>
    <row r="1275" spans="1:19" x14ac:dyDescent="0.25">
      <c r="A1275" s="30" t="s">
        <v>98</v>
      </c>
      <c r="B1275" s="31">
        <f t="shared" si="183"/>
        <v>48000</v>
      </c>
      <c r="C1275" s="30">
        <f>YEAR(BInputReservoir[[#This Row],[Date]])</f>
        <v>2031</v>
      </c>
      <c r="D1275" s="30">
        <f>MONTH(BInputReservoir[[#This Row],[Date]])</f>
        <v>6</v>
      </c>
      <c r="E1275" s="30" t="str">
        <f>IF(I1275&lt;&gt;1,"",DATA_INPUT!N193)</f>
        <v/>
      </c>
      <c r="F1275" s="30" t="str">
        <f>STORAGE_BALANCE_ENSEMBLE!BU193</f>
        <v/>
      </c>
      <c r="G1275" s="30" t="str">
        <f>STORAGE_BALANCE_ENSEMBLE!BV193</f>
        <v/>
      </c>
      <c r="H1275" s="30" t="str">
        <f>STORAGE_BALANCE_ENSEMBLE!BT193</f>
        <v/>
      </c>
      <c r="I1275" s="18" t="str">
        <f t="shared" si="184"/>
        <v/>
      </c>
      <c r="J1275" s="8" t="str">
        <f t="shared" si="185"/>
        <v/>
      </c>
      <c r="K1275" s="9" t="str">
        <f t="shared" si="186"/>
        <v/>
      </c>
      <c r="L1275" s="10" t="str">
        <f t="shared" si="187"/>
        <v/>
      </c>
      <c r="M1275" s="10" t="str">
        <f>IF(I1275&lt;&gt;1,"",IF(H1275="","",H1275/CONTROL_PANEL!$B$11))</f>
        <v/>
      </c>
      <c r="N1275" s="9" t="str">
        <f t="shared" si="188"/>
        <v/>
      </c>
      <c r="O1275" s="9" t="str">
        <f t="shared" si="189"/>
        <v/>
      </c>
      <c r="P1275" s="9" t="str">
        <f t="shared" si="190"/>
        <v/>
      </c>
      <c r="Q1275" s="9" t="str">
        <f t="shared" si="191"/>
        <v/>
      </c>
      <c r="R1275" s="11"/>
      <c r="S1275" s="11" t="str">
        <f t="shared" si="192"/>
        <v>PASS</v>
      </c>
    </row>
    <row r="1276" spans="1:19" x14ac:dyDescent="0.25">
      <c r="A1276" s="30" t="s">
        <v>98</v>
      </c>
      <c r="B1276" s="31">
        <f t="shared" si="183"/>
        <v>48030</v>
      </c>
      <c r="C1276" s="30">
        <f>YEAR(BInputReservoir[[#This Row],[Date]])</f>
        <v>2031</v>
      </c>
      <c r="D1276" s="30">
        <f>MONTH(BInputReservoir[[#This Row],[Date]])</f>
        <v>7</v>
      </c>
      <c r="E1276" s="30" t="str">
        <f>IF(I1276&lt;&gt;1,"",DATA_INPUT!N194)</f>
        <v/>
      </c>
      <c r="F1276" s="30" t="str">
        <f>STORAGE_BALANCE_ENSEMBLE!BU194</f>
        <v/>
      </c>
      <c r="G1276" s="30" t="str">
        <f>STORAGE_BALANCE_ENSEMBLE!BV194</f>
        <v/>
      </c>
      <c r="H1276" s="30" t="str">
        <f>STORAGE_BALANCE_ENSEMBLE!BT194</f>
        <v/>
      </c>
      <c r="I1276" s="18" t="str">
        <f t="shared" si="184"/>
        <v/>
      </c>
      <c r="J1276" s="8" t="str">
        <f t="shared" si="185"/>
        <v/>
      </c>
      <c r="K1276" s="9" t="str">
        <f t="shared" si="186"/>
        <v/>
      </c>
      <c r="L1276" s="10" t="str">
        <f t="shared" si="187"/>
        <v/>
      </c>
      <c r="M1276" s="10" t="str">
        <f>IF(I1276&lt;&gt;1,"",IF(H1276="","",H1276/CONTROL_PANEL!$B$11))</f>
        <v/>
      </c>
      <c r="N1276" s="9" t="str">
        <f t="shared" si="188"/>
        <v/>
      </c>
      <c r="O1276" s="9" t="str">
        <f t="shared" si="189"/>
        <v/>
      </c>
      <c r="P1276" s="9" t="str">
        <f t="shared" si="190"/>
        <v/>
      </c>
      <c r="Q1276" s="9" t="str">
        <f t="shared" si="191"/>
        <v/>
      </c>
      <c r="R1276" s="11"/>
      <c r="S1276" s="11" t="str">
        <f t="shared" si="192"/>
        <v>PASS</v>
      </c>
    </row>
    <row r="1277" spans="1:19" x14ac:dyDescent="0.25">
      <c r="A1277" s="30" t="s">
        <v>98</v>
      </c>
      <c r="B1277" s="31">
        <f t="shared" si="183"/>
        <v>48061</v>
      </c>
      <c r="C1277" s="30">
        <f>YEAR(BInputReservoir[[#This Row],[Date]])</f>
        <v>2031</v>
      </c>
      <c r="D1277" s="30">
        <f>MONTH(BInputReservoir[[#This Row],[Date]])</f>
        <v>8</v>
      </c>
      <c r="E1277" s="30" t="str">
        <f>IF(I1277&lt;&gt;1,"",DATA_INPUT!N195)</f>
        <v/>
      </c>
      <c r="F1277" s="30" t="str">
        <f>STORAGE_BALANCE_ENSEMBLE!BU195</f>
        <v/>
      </c>
      <c r="G1277" s="30" t="str">
        <f>STORAGE_BALANCE_ENSEMBLE!BV195</f>
        <v/>
      </c>
      <c r="H1277" s="30" t="str">
        <f>STORAGE_BALANCE_ENSEMBLE!BT195</f>
        <v/>
      </c>
      <c r="I1277" s="18" t="str">
        <f t="shared" si="184"/>
        <v/>
      </c>
      <c r="J1277" s="8" t="str">
        <f t="shared" si="185"/>
        <v/>
      </c>
      <c r="K1277" s="9" t="str">
        <f t="shared" si="186"/>
        <v/>
      </c>
      <c r="L1277" s="10" t="str">
        <f t="shared" si="187"/>
        <v/>
      </c>
      <c r="M1277" s="10" t="str">
        <f>IF(I1277&lt;&gt;1,"",IF(H1277="","",H1277/CONTROL_PANEL!$B$11))</f>
        <v/>
      </c>
      <c r="N1277" s="9" t="str">
        <f t="shared" si="188"/>
        <v/>
      </c>
      <c r="O1277" s="9" t="str">
        <f t="shared" si="189"/>
        <v/>
      </c>
      <c r="P1277" s="9" t="str">
        <f t="shared" si="190"/>
        <v/>
      </c>
      <c r="Q1277" s="9" t="str">
        <f t="shared" si="191"/>
        <v/>
      </c>
      <c r="R1277" s="11"/>
      <c r="S1277" s="11" t="str">
        <f t="shared" si="192"/>
        <v>PASS</v>
      </c>
    </row>
    <row r="1278" spans="1:19" x14ac:dyDescent="0.25">
      <c r="A1278" s="30" t="s">
        <v>98</v>
      </c>
      <c r="B1278" s="31">
        <f t="shared" si="183"/>
        <v>48092</v>
      </c>
      <c r="C1278" s="30">
        <f>YEAR(BInputReservoir[[#This Row],[Date]])</f>
        <v>2031</v>
      </c>
      <c r="D1278" s="30">
        <f>MONTH(BInputReservoir[[#This Row],[Date]])</f>
        <v>9</v>
      </c>
      <c r="E1278" s="30" t="str">
        <f>IF(I1278&lt;&gt;1,"",DATA_INPUT!N196)</f>
        <v/>
      </c>
      <c r="F1278" s="30" t="str">
        <f>STORAGE_BALANCE_ENSEMBLE!BU196</f>
        <v/>
      </c>
      <c r="G1278" s="30" t="str">
        <f>STORAGE_BALANCE_ENSEMBLE!BV196</f>
        <v/>
      </c>
      <c r="H1278" s="30" t="str">
        <f>STORAGE_BALANCE_ENSEMBLE!BT196</f>
        <v/>
      </c>
      <c r="I1278" s="18" t="str">
        <f t="shared" si="184"/>
        <v/>
      </c>
      <c r="J1278" s="8" t="str">
        <f t="shared" si="185"/>
        <v/>
      </c>
      <c r="K1278" s="9" t="str">
        <f t="shared" si="186"/>
        <v/>
      </c>
      <c r="L1278" s="10" t="str">
        <f t="shared" si="187"/>
        <v/>
      </c>
      <c r="M1278" s="10" t="str">
        <f>IF(I1278&lt;&gt;1,"",IF(H1278="","",H1278/CONTROL_PANEL!$B$11))</f>
        <v/>
      </c>
      <c r="N1278" s="9" t="str">
        <f t="shared" si="188"/>
        <v/>
      </c>
      <c r="O1278" s="9" t="str">
        <f t="shared" si="189"/>
        <v/>
      </c>
      <c r="P1278" s="9" t="str">
        <f t="shared" si="190"/>
        <v/>
      </c>
      <c r="Q1278" s="9" t="str">
        <f t="shared" si="191"/>
        <v/>
      </c>
      <c r="R1278" s="11"/>
      <c r="S1278" s="11" t="str">
        <f t="shared" si="192"/>
        <v>PASS</v>
      </c>
    </row>
    <row r="1279" spans="1:19" x14ac:dyDescent="0.25">
      <c r="A1279" s="30" t="s">
        <v>98</v>
      </c>
      <c r="B1279" s="31">
        <f t="shared" si="183"/>
        <v>48122</v>
      </c>
      <c r="C1279" s="30">
        <f>YEAR(BInputReservoir[[#This Row],[Date]])</f>
        <v>2031</v>
      </c>
      <c r="D1279" s="30">
        <f>MONTH(BInputReservoir[[#This Row],[Date]])</f>
        <v>10</v>
      </c>
      <c r="E1279" s="30" t="str">
        <f>IF(I1279&lt;&gt;1,"",DATA_INPUT!N197)</f>
        <v/>
      </c>
      <c r="F1279" s="30" t="str">
        <f>STORAGE_BALANCE_ENSEMBLE!BU197</f>
        <v/>
      </c>
      <c r="G1279" s="30" t="str">
        <f>STORAGE_BALANCE_ENSEMBLE!BV197</f>
        <v/>
      </c>
      <c r="H1279" s="30" t="str">
        <f>STORAGE_BALANCE_ENSEMBLE!BT197</f>
        <v/>
      </c>
      <c r="I1279" s="18" t="str">
        <f t="shared" si="184"/>
        <v/>
      </c>
      <c r="J1279" s="8" t="str">
        <f t="shared" si="185"/>
        <v/>
      </c>
      <c r="K1279" s="9" t="str">
        <f t="shared" si="186"/>
        <v/>
      </c>
      <c r="L1279" s="10" t="str">
        <f t="shared" si="187"/>
        <v/>
      </c>
      <c r="M1279" s="10" t="str">
        <f>IF(I1279&lt;&gt;1,"",IF(H1279="","",H1279/CONTROL_PANEL!$B$11))</f>
        <v/>
      </c>
      <c r="N1279" s="9" t="str">
        <f t="shared" si="188"/>
        <v/>
      </c>
      <c r="O1279" s="9" t="str">
        <f t="shared" si="189"/>
        <v/>
      </c>
      <c r="P1279" s="9" t="str">
        <f t="shared" si="190"/>
        <v/>
      </c>
      <c r="Q1279" s="9" t="str">
        <f t="shared" si="191"/>
        <v/>
      </c>
      <c r="R1279" s="11"/>
      <c r="S1279" s="11" t="str">
        <f t="shared" si="192"/>
        <v>PASS</v>
      </c>
    </row>
    <row r="1280" spans="1:19" x14ac:dyDescent="0.25">
      <c r="A1280" s="30" t="s">
        <v>98</v>
      </c>
      <c r="B1280" s="31">
        <f t="shared" ref="B1280:B1343" si="193">B197</f>
        <v>48153</v>
      </c>
      <c r="C1280" s="30">
        <f>YEAR(BInputReservoir[[#This Row],[Date]])</f>
        <v>2031</v>
      </c>
      <c r="D1280" s="30">
        <f>MONTH(BInputReservoir[[#This Row],[Date]])</f>
        <v>11</v>
      </c>
      <c r="E1280" s="30" t="str">
        <f>IF(I1280&lt;&gt;1,"",DATA_INPUT!N198)</f>
        <v/>
      </c>
      <c r="F1280" s="30" t="str">
        <f>STORAGE_BALANCE_ENSEMBLE!BU198</f>
        <v/>
      </c>
      <c r="G1280" s="30" t="str">
        <f>STORAGE_BALANCE_ENSEMBLE!BV198</f>
        <v/>
      </c>
      <c r="H1280" s="30" t="str">
        <f>STORAGE_BALANCE_ENSEMBLE!BT198</f>
        <v/>
      </c>
      <c r="I1280" s="18" t="str">
        <f t="shared" ref="I1280:I1343" si="194">I197</f>
        <v/>
      </c>
      <c r="J1280" s="8" t="str">
        <f t="shared" si="185"/>
        <v/>
      </c>
      <c r="K1280" s="9" t="str">
        <f t="shared" si="186"/>
        <v/>
      </c>
      <c r="L1280" s="10" t="str">
        <f t="shared" si="187"/>
        <v/>
      </c>
      <c r="M1280" s="10" t="str">
        <f>IF(I1280&lt;&gt;1,"",IF(H1280="","",H1280/CONTROL_PANEL!$B$11))</f>
        <v/>
      </c>
      <c r="N1280" s="9" t="str">
        <f t="shared" si="188"/>
        <v/>
      </c>
      <c r="O1280" s="9" t="str">
        <f t="shared" si="189"/>
        <v/>
      </c>
      <c r="P1280" s="9" t="str">
        <f t="shared" si="190"/>
        <v/>
      </c>
      <c r="Q1280" s="9" t="str">
        <f t="shared" si="191"/>
        <v/>
      </c>
      <c r="R1280" s="11"/>
      <c r="S1280" s="11" t="str">
        <f t="shared" si="192"/>
        <v>PASS</v>
      </c>
    </row>
    <row r="1281" spans="1:19" x14ac:dyDescent="0.25">
      <c r="A1281" s="30" t="s">
        <v>98</v>
      </c>
      <c r="B1281" s="31">
        <f t="shared" si="193"/>
        <v>48183</v>
      </c>
      <c r="C1281" s="30">
        <f>YEAR(BInputReservoir[[#This Row],[Date]])</f>
        <v>2031</v>
      </c>
      <c r="D1281" s="30">
        <f>MONTH(BInputReservoir[[#This Row],[Date]])</f>
        <v>12</v>
      </c>
      <c r="E1281" s="30" t="str">
        <f>IF(I1281&lt;&gt;1,"",DATA_INPUT!N199)</f>
        <v/>
      </c>
      <c r="F1281" s="30" t="str">
        <f>STORAGE_BALANCE_ENSEMBLE!BU199</f>
        <v/>
      </c>
      <c r="G1281" s="30" t="str">
        <f>STORAGE_BALANCE_ENSEMBLE!BV199</f>
        <v/>
      </c>
      <c r="H1281" s="30" t="str">
        <f>STORAGE_BALANCE_ENSEMBLE!BT199</f>
        <v/>
      </c>
      <c r="I1281" s="18" t="str">
        <f t="shared" si="194"/>
        <v/>
      </c>
      <c r="J1281" s="8" t="str">
        <f t="shared" si="185"/>
        <v/>
      </c>
      <c r="K1281" s="9" t="str">
        <f t="shared" si="186"/>
        <v/>
      </c>
      <c r="L1281" s="10" t="str">
        <f t="shared" si="187"/>
        <v/>
      </c>
      <c r="M1281" s="10" t="str">
        <f>IF(I1281&lt;&gt;1,"",IF(H1281="","",H1281/CONTROL_PANEL!$B$11))</f>
        <v/>
      </c>
      <c r="N1281" s="9" t="str">
        <f t="shared" si="188"/>
        <v/>
      </c>
      <c r="O1281" s="9" t="str">
        <f t="shared" si="189"/>
        <v/>
      </c>
      <c r="P1281" s="9" t="str">
        <f t="shared" si="190"/>
        <v/>
      </c>
      <c r="Q1281" s="9" t="str">
        <f t="shared" si="191"/>
        <v/>
      </c>
      <c r="R1281" s="11"/>
      <c r="S1281" s="11" t="str">
        <f t="shared" si="192"/>
        <v>PASS</v>
      </c>
    </row>
    <row r="1282" spans="1:19" x14ac:dyDescent="0.25">
      <c r="A1282" s="30" t="s">
        <v>98</v>
      </c>
      <c r="B1282" s="31">
        <f t="shared" si="193"/>
        <v>48214</v>
      </c>
      <c r="C1282" s="30">
        <f>YEAR(BInputReservoir[[#This Row],[Date]])</f>
        <v>2032</v>
      </c>
      <c r="D1282" s="30">
        <f>MONTH(BInputReservoir[[#This Row],[Date]])</f>
        <v>1</v>
      </c>
      <c r="E1282" s="30" t="str">
        <f>IF(I1282&lt;&gt;1,"",DATA_INPUT!N200)</f>
        <v/>
      </c>
      <c r="F1282" s="30" t="str">
        <f>STORAGE_BALANCE_ENSEMBLE!BU200</f>
        <v/>
      </c>
      <c r="G1282" s="30" t="str">
        <f>STORAGE_BALANCE_ENSEMBLE!BV200</f>
        <v/>
      </c>
      <c r="H1282" s="30" t="str">
        <f>STORAGE_BALANCE_ENSEMBLE!BT200</f>
        <v/>
      </c>
      <c r="I1282" s="18" t="str">
        <f t="shared" si="194"/>
        <v/>
      </c>
      <c r="J1282" s="8" t="str">
        <f t="shared" si="185"/>
        <v/>
      </c>
      <c r="K1282" s="9" t="str">
        <f t="shared" si="186"/>
        <v/>
      </c>
      <c r="L1282" s="10" t="str">
        <f t="shared" si="187"/>
        <v/>
      </c>
      <c r="M1282" s="10" t="str">
        <f>IF(I1282&lt;&gt;1,"",IF(H1282="","",H1282/CONTROL_PANEL!$B$11))</f>
        <v/>
      </c>
      <c r="N1282" s="9" t="str">
        <f t="shared" si="188"/>
        <v/>
      </c>
      <c r="O1282" s="9" t="str">
        <f t="shared" si="189"/>
        <v/>
      </c>
      <c r="P1282" s="9" t="str">
        <f t="shared" si="190"/>
        <v/>
      </c>
      <c r="Q1282" s="9" t="str">
        <f t="shared" si="191"/>
        <v/>
      </c>
      <c r="R1282" s="11"/>
      <c r="S1282" s="11" t="str">
        <f t="shared" si="192"/>
        <v>PASS</v>
      </c>
    </row>
    <row r="1283" spans="1:19" x14ac:dyDescent="0.25">
      <c r="A1283" s="30" t="s">
        <v>98</v>
      </c>
      <c r="B1283" s="31">
        <f t="shared" si="193"/>
        <v>48245</v>
      </c>
      <c r="C1283" s="30">
        <f>YEAR(BInputReservoir[[#This Row],[Date]])</f>
        <v>2032</v>
      </c>
      <c r="D1283" s="30">
        <f>MONTH(BInputReservoir[[#This Row],[Date]])</f>
        <v>2</v>
      </c>
      <c r="E1283" s="30" t="str">
        <f>IF(I1283&lt;&gt;1,"",DATA_INPUT!N201)</f>
        <v/>
      </c>
      <c r="F1283" s="30" t="str">
        <f>STORAGE_BALANCE_ENSEMBLE!BU201</f>
        <v/>
      </c>
      <c r="G1283" s="30" t="str">
        <f>STORAGE_BALANCE_ENSEMBLE!BV201</f>
        <v/>
      </c>
      <c r="H1283" s="30" t="str">
        <f>STORAGE_BALANCE_ENSEMBLE!BT201</f>
        <v/>
      </c>
      <c r="I1283" s="18" t="str">
        <f t="shared" si="194"/>
        <v/>
      </c>
      <c r="J1283" s="8" t="str">
        <f t="shared" si="185"/>
        <v/>
      </c>
      <c r="K1283" s="9" t="str">
        <f t="shared" si="186"/>
        <v/>
      </c>
      <c r="L1283" s="10" t="str">
        <f t="shared" si="187"/>
        <v/>
      </c>
      <c r="M1283" s="10" t="str">
        <f>IF(I1283&lt;&gt;1,"",IF(H1283="","",H1283/CONTROL_PANEL!$B$11))</f>
        <v/>
      </c>
      <c r="N1283" s="9" t="str">
        <f t="shared" si="188"/>
        <v/>
      </c>
      <c r="O1283" s="9" t="str">
        <f t="shared" si="189"/>
        <v/>
      </c>
      <c r="P1283" s="9" t="str">
        <f t="shared" si="190"/>
        <v/>
      </c>
      <c r="Q1283" s="9" t="str">
        <f t="shared" si="191"/>
        <v/>
      </c>
      <c r="R1283" s="11"/>
      <c r="S1283" s="11" t="str">
        <f t="shared" si="192"/>
        <v>PASS</v>
      </c>
    </row>
    <row r="1284" spans="1:19" x14ac:dyDescent="0.25">
      <c r="A1284" s="30" t="s">
        <v>98</v>
      </c>
      <c r="B1284" s="31">
        <f t="shared" si="193"/>
        <v>48274</v>
      </c>
      <c r="C1284" s="30">
        <f>YEAR(BInputReservoir[[#This Row],[Date]])</f>
        <v>2032</v>
      </c>
      <c r="D1284" s="30">
        <f>MONTH(BInputReservoir[[#This Row],[Date]])</f>
        <v>3</v>
      </c>
      <c r="E1284" s="30" t="str">
        <f>IF(I1284&lt;&gt;1,"",DATA_INPUT!N202)</f>
        <v/>
      </c>
      <c r="F1284" s="30" t="str">
        <f>STORAGE_BALANCE_ENSEMBLE!BU202</f>
        <v/>
      </c>
      <c r="G1284" s="30" t="str">
        <f>STORAGE_BALANCE_ENSEMBLE!BV202</f>
        <v/>
      </c>
      <c r="H1284" s="30" t="str">
        <f>STORAGE_BALANCE_ENSEMBLE!BT202</f>
        <v/>
      </c>
      <c r="I1284" s="18" t="str">
        <f t="shared" si="194"/>
        <v/>
      </c>
      <c r="J1284" s="8" t="str">
        <f t="shared" si="185"/>
        <v/>
      </c>
      <c r="K1284" s="9" t="str">
        <f t="shared" si="186"/>
        <v/>
      </c>
      <c r="L1284" s="10" t="str">
        <f t="shared" si="187"/>
        <v/>
      </c>
      <c r="M1284" s="10" t="str">
        <f>IF(I1284&lt;&gt;1,"",IF(H1284="","",H1284/CONTROL_PANEL!$B$11))</f>
        <v/>
      </c>
      <c r="N1284" s="9" t="str">
        <f t="shared" si="188"/>
        <v/>
      </c>
      <c r="O1284" s="9" t="str">
        <f t="shared" si="189"/>
        <v/>
      </c>
      <c r="P1284" s="9" t="str">
        <f t="shared" si="190"/>
        <v/>
      </c>
      <c r="Q1284" s="9" t="str">
        <f t="shared" si="191"/>
        <v/>
      </c>
      <c r="R1284" s="11"/>
      <c r="S1284" s="11" t="str">
        <f t="shared" si="192"/>
        <v>PASS</v>
      </c>
    </row>
    <row r="1285" spans="1:19" x14ac:dyDescent="0.25">
      <c r="A1285" s="30" t="s">
        <v>98</v>
      </c>
      <c r="B1285" s="31">
        <f t="shared" si="193"/>
        <v>48305</v>
      </c>
      <c r="C1285" s="30">
        <f>YEAR(BInputReservoir[[#This Row],[Date]])</f>
        <v>2032</v>
      </c>
      <c r="D1285" s="30">
        <f>MONTH(BInputReservoir[[#This Row],[Date]])</f>
        <v>4</v>
      </c>
      <c r="E1285" s="30" t="str">
        <f>IF(I1285&lt;&gt;1,"",DATA_INPUT!N203)</f>
        <v/>
      </c>
      <c r="F1285" s="30" t="str">
        <f>STORAGE_BALANCE_ENSEMBLE!BU203</f>
        <v/>
      </c>
      <c r="G1285" s="30" t="str">
        <f>STORAGE_BALANCE_ENSEMBLE!BV203</f>
        <v/>
      </c>
      <c r="H1285" s="30" t="str">
        <f>STORAGE_BALANCE_ENSEMBLE!BT203</f>
        <v/>
      </c>
      <c r="I1285" s="18" t="str">
        <f t="shared" si="194"/>
        <v/>
      </c>
      <c r="J1285" s="8" t="str">
        <f t="shared" ref="J1285:J1348" si="195">IF(I1285&lt;&gt;1,"",IF(E1285="","",MAX(0,E1285-G1285)))</f>
        <v/>
      </c>
      <c r="K1285" s="9" t="str">
        <f t="shared" ref="K1285:K1348" si="196">IF(I1285&lt;&gt;1,"",IF(OR(G1285="",E1285=""),"",IF(G1285&gt;0,1,0)))</f>
        <v/>
      </c>
      <c r="L1285" s="10" t="str">
        <f t="shared" ref="L1285:L1348" si="197">IF(I1285&lt;&gt;1,"",IF(AND(K1285=1,E1285&gt;0),G1285/E1285,0))</f>
        <v/>
      </c>
      <c r="M1285" s="10" t="str">
        <f>IF(I1285&lt;&gt;1,"",IF(H1285="","",H1285/CONTROL_PANEL!$B$11))</f>
        <v/>
      </c>
      <c r="N1285" s="9" t="str">
        <f t="shared" ref="N1285:N1348" si="198">IF(I1285&lt;&gt;1,"",IF(AND(K1285=1,A1286=A1285),1,0))</f>
        <v/>
      </c>
      <c r="O1285" s="9" t="str">
        <f t="shared" ref="O1285:O1348" si="199">IF(I1285&lt;&gt;1,"",IF(AND(K1285=1,A1286=A1285,K1286=0),1,0))</f>
        <v/>
      </c>
      <c r="P1285" s="9" t="str">
        <f t="shared" ref="P1285:P1348" si="200">IF(I1285&lt;&gt;1,"",IF(F1285&gt;0,1,0))</f>
        <v/>
      </c>
      <c r="Q1285" s="9" t="str">
        <f t="shared" ref="Q1285:Q1348" si="201">IF(I1285&lt;&gt;1,"",IF(G1285&gt;0,1,0))</f>
        <v/>
      </c>
      <c r="R1285" s="11"/>
      <c r="S1285" s="11" t="str">
        <f t="shared" si="192"/>
        <v>PASS</v>
      </c>
    </row>
    <row r="1286" spans="1:19" x14ac:dyDescent="0.25">
      <c r="A1286" s="30" t="s">
        <v>98</v>
      </c>
      <c r="B1286" s="31">
        <f t="shared" si="193"/>
        <v>48335</v>
      </c>
      <c r="C1286" s="30">
        <f>YEAR(BInputReservoir[[#This Row],[Date]])</f>
        <v>2032</v>
      </c>
      <c r="D1286" s="30">
        <f>MONTH(BInputReservoir[[#This Row],[Date]])</f>
        <v>5</v>
      </c>
      <c r="E1286" s="30" t="str">
        <f>IF(I1286&lt;&gt;1,"",DATA_INPUT!N204)</f>
        <v/>
      </c>
      <c r="F1286" s="30" t="str">
        <f>STORAGE_BALANCE_ENSEMBLE!BU204</f>
        <v/>
      </c>
      <c r="G1286" s="30" t="str">
        <f>STORAGE_BALANCE_ENSEMBLE!BV204</f>
        <v/>
      </c>
      <c r="H1286" s="30" t="str">
        <f>STORAGE_BALANCE_ENSEMBLE!BT204</f>
        <v/>
      </c>
      <c r="I1286" s="18" t="str">
        <f t="shared" si="194"/>
        <v/>
      </c>
      <c r="J1286" s="8" t="str">
        <f t="shared" si="195"/>
        <v/>
      </c>
      <c r="K1286" s="9" t="str">
        <f t="shared" si="196"/>
        <v/>
      </c>
      <c r="L1286" s="10" t="str">
        <f t="shared" si="197"/>
        <v/>
      </c>
      <c r="M1286" s="10" t="str">
        <f>IF(I1286&lt;&gt;1,"",IF(H1286="","",H1286/CONTROL_PANEL!$B$11))</f>
        <v/>
      </c>
      <c r="N1286" s="9" t="str">
        <f t="shared" si="198"/>
        <v/>
      </c>
      <c r="O1286" s="9" t="str">
        <f t="shared" si="199"/>
        <v/>
      </c>
      <c r="P1286" s="9" t="str">
        <f t="shared" si="200"/>
        <v/>
      </c>
      <c r="Q1286" s="9" t="str">
        <f t="shared" si="201"/>
        <v/>
      </c>
      <c r="R1286" s="11"/>
      <c r="S1286" s="11" t="str">
        <f t="shared" si="192"/>
        <v>PASS</v>
      </c>
    </row>
    <row r="1287" spans="1:19" x14ac:dyDescent="0.25">
      <c r="A1287" s="30" t="s">
        <v>98</v>
      </c>
      <c r="B1287" s="31">
        <f t="shared" si="193"/>
        <v>48366</v>
      </c>
      <c r="C1287" s="30">
        <f>YEAR(BInputReservoir[[#This Row],[Date]])</f>
        <v>2032</v>
      </c>
      <c r="D1287" s="30">
        <f>MONTH(BInputReservoir[[#This Row],[Date]])</f>
        <v>6</v>
      </c>
      <c r="E1287" s="30" t="str">
        <f>IF(I1287&lt;&gt;1,"",DATA_INPUT!N205)</f>
        <v/>
      </c>
      <c r="F1287" s="30" t="str">
        <f>STORAGE_BALANCE_ENSEMBLE!BU205</f>
        <v/>
      </c>
      <c r="G1287" s="30" t="str">
        <f>STORAGE_BALANCE_ENSEMBLE!BV205</f>
        <v/>
      </c>
      <c r="H1287" s="30" t="str">
        <f>STORAGE_BALANCE_ENSEMBLE!BT205</f>
        <v/>
      </c>
      <c r="I1287" s="18" t="str">
        <f t="shared" si="194"/>
        <v/>
      </c>
      <c r="J1287" s="8" t="str">
        <f t="shared" si="195"/>
        <v/>
      </c>
      <c r="K1287" s="9" t="str">
        <f t="shared" si="196"/>
        <v/>
      </c>
      <c r="L1287" s="10" t="str">
        <f t="shared" si="197"/>
        <v/>
      </c>
      <c r="M1287" s="10" t="str">
        <f>IF(I1287&lt;&gt;1,"",IF(H1287="","",H1287/CONTROL_PANEL!$B$11))</f>
        <v/>
      </c>
      <c r="N1287" s="9" t="str">
        <f t="shared" si="198"/>
        <v/>
      </c>
      <c r="O1287" s="9" t="str">
        <f t="shared" si="199"/>
        <v/>
      </c>
      <c r="P1287" s="9" t="str">
        <f t="shared" si="200"/>
        <v/>
      </c>
      <c r="Q1287" s="9" t="str">
        <f t="shared" si="201"/>
        <v/>
      </c>
      <c r="R1287" s="11"/>
      <c r="S1287" s="11" t="str">
        <f t="shared" ref="S1287:S1350" si="202">IF(COUNTA(A1287:H1287)=0,"",IF(OR(A1287="",C1287="",D1287=""),"ERROR: missing key fields","PASS"))</f>
        <v>PASS</v>
      </c>
    </row>
    <row r="1288" spans="1:19" x14ac:dyDescent="0.25">
      <c r="A1288" s="30" t="s">
        <v>98</v>
      </c>
      <c r="B1288" s="31">
        <f t="shared" si="193"/>
        <v>48396</v>
      </c>
      <c r="C1288" s="30">
        <f>YEAR(BInputReservoir[[#This Row],[Date]])</f>
        <v>2032</v>
      </c>
      <c r="D1288" s="30">
        <f>MONTH(BInputReservoir[[#This Row],[Date]])</f>
        <v>7</v>
      </c>
      <c r="E1288" s="30" t="str">
        <f>IF(I1288&lt;&gt;1,"",DATA_INPUT!N206)</f>
        <v/>
      </c>
      <c r="F1288" s="30" t="str">
        <f>STORAGE_BALANCE_ENSEMBLE!BU206</f>
        <v/>
      </c>
      <c r="G1288" s="30" t="str">
        <f>STORAGE_BALANCE_ENSEMBLE!BV206</f>
        <v/>
      </c>
      <c r="H1288" s="30" t="str">
        <f>STORAGE_BALANCE_ENSEMBLE!BT206</f>
        <v/>
      </c>
      <c r="I1288" s="18" t="str">
        <f t="shared" si="194"/>
        <v/>
      </c>
      <c r="J1288" s="8" t="str">
        <f t="shared" si="195"/>
        <v/>
      </c>
      <c r="K1288" s="9" t="str">
        <f t="shared" si="196"/>
        <v/>
      </c>
      <c r="L1288" s="10" t="str">
        <f t="shared" si="197"/>
        <v/>
      </c>
      <c r="M1288" s="10" t="str">
        <f>IF(I1288&lt;&gt;1,"",IF(H1288="","",H1288/CONTROL_PANEL!$B$11))</f>
        <v/>
      </c>
      <c r="N1288" s="9" t="str">
        <f t="shared" si="198"/>
        <v/>
      </c>
      <c r="O1288" s="9" t="str">
        <f t="shared" si="199"/>
        <v/>
      </c>
      <c r="P1288" s="9" t="str">
        <f t="shared" si="200"/>
        <v/>
      </c>
      <c r="Q1288" s="9" t="str">
        <f t="shared" si="201"/>
        <v/>
      </c>
      <c r="R1288" s="11"/>
      <c r="S1288" s="11" t="str">
        <f t="shared" si="202"/>
        <v>PASS</v>
      </c>
    </row>
    <row r="1289" spans="1:19" x14ac:dyDescent="0.25">
      <c r="A1289" s="30" t="s">
        <v>98</v>
      </c>
      <c r="B1289" s="31">
        <f t="shared" si="193"/>
        <v>48427</v>
      </c>
      <c r="C1289" s="30">
        <f>YEAR(BInputReservoir[[#This Row],[Date]])</f>
        <v>2032</v>
      </c>
      <c r="D1289" s="30">
        <f>MONTH(BInputReservoir[[#This Row],[Date]])</f>
        <v>8</v>
      </c>
      <c r="E1289" s="30" t="str">
        <f>IF(I1289&lt;&gt;1,"",DATA_INPUT!N207)</f>
        <v/>
      </c>
      <c r="F1289" s="30" t="str">
        <f>STORAGE_BALANCE_ENSEMBLE!BU207</f>
        <v/>
      </c>
      <c r="G1289" s="30" t="str">
        <f>STORAGE_BALANCE_ENSEMBLE!BV207</f>
        <v/>
      </c>
      <c r="H1289" s="30" t="str">
        <f>STORAGE_BALANCE_ENSEMBLE!BT207</f>
        <v/>
      </c>
      <c r="I1289" s="18" t="str">
        <f t="shared" si="194"/>
        <v/>
      </c>
      <c r="J1289" s="8" t="str">
        <f t="shared" si="195"/>
        <v/>
      </c>
      <c r="K1289" s="9" t="str">
        <f t="shared" si="196"/>
        <v/>
      </c>
      <c r="L1289" s="10" t="str">
        <f t="shared" si="197"/>
        <v/>
      </c>
      <c r="M1289" s="10" t="str">
        <f>IF(I1289&lt;&gt;1,"",IF(H1289="","",H1289/CONTROL_PANEL!$B$11))</f>
        <v/>
      </c>
      <c r="N1289" s="9" t="str">
        <f t="shared" si="198"/>
        <v/>
      </c>
      <c r="O1289" s="9" t="str">
        <f t="shared" si="199"/>
        <v/>
      </c>
      <c r="P1289" s="9" t="str">
        <f t="shared" si="200"/>
        <v/>
      </c>
      <c r="Q1289" s="9" t="str">
        <f t="shared" si="201"/>
        <v/>
      </c>
      <c r="R1289" s="11"/>
      <c r="S1289" s="11" t="str">
        <f t="shared" si="202"/>
        <v>PASS</v>
      </c>
    </row>
    <row r="1290" spans="1:19" x14ac:dyDescent="0.25">
      <c r="A1290" s="30" t="s">
        <v>98</v>
      </c>
      <c r="B1290" s="31">
        <f t="shared" si="193"/>
        <v>48458</v>
      </c>
      <c r="C1290" s="30">
        <f>YEAR(BInputReservoir[[#This Row],[Date]])</f>
        <v>2032</v>
      </c>
      <c r="D1290" s="30">
        <f>MONTH(BInputReservoir[[#This Row],[Date]])</f>
        <v>9</v>
      </c>
      <c r="E1290" s="30" t="str">
        <f>IF(I1290&lt;&gt;1,"",DATA_INPUT!N208)</f>
        <v/>
      </c>
      <c r="F1290" s="30" t="str">
        <f>STORAGE_BALANCE_ENSEMBLE!BU208</f>
        <v/>
      </c>
      <c r="G1290" s="30" t="str">
        <f>STORAGE_BALANCE_ENSEMBLE!BV208</f>
        <v/>
      </c>
      <c r="H1290" s="30" t="str">
        <f>STORAGE_BALANCE_ENSEMBLE!BT208</f>
        <v/>
      </c>
      <c r="I1290" s="18" t="str">
        <f t="shared" si="194"/>
        <v/>
      </c>
      <c r="J1290" s="8" t="str">
        <f t="shared" si="195"/>
        <v/>
      </c>
      <c r="K1290" s="9" t="str">
        <f t="shared" si="196"/>
        <v/>
      </c>
      <c r="L1290" s="10" t="str">
        <f t="shared" si="197"/>
        <v/>
      </c>
      <c r="M1290" s="10" t="str">
        <f>IF(I1290&lt;&gt;1,"",IF(H1290="","",H1290/CONTROL_PANEL!$B$11))</f>
        <v/>
      </c>
      <c r="N1290" s="9" t="str">
        <f t="shared" si="198"/>
        <v/>
      </c>
      <c r="O1290" s="9" t="str">
        <f t="shared" si="199"/>
        <v/>
      </c>
      <c r="P1290" s="9" t="str">
        <f t="shared" si="200"/>
        <v/>
      </c>
      <c r="Q1290" s="9" t="str">
        <f t="shared" si="201"/>
        <v/>
      </c>
      <c r="R1290" s="11"/>
      <c r="S1290" s="11" t="str">
        <f t="shared" si="202"/>
        <v>PASS</v>
      </c>
    </row>
    <row r="1291" spans="1:19" x14ac:dyDescent="0.25">
      <c r="A1291" s="30" t="s">
        <v>98</v>
      </c>
      <c r="B1291" s="31">
        <f t="shared" si="193"/>
        <v>48488</v>
      </c>
      <c r="C1291" s="30">
        <f>YEAR(BInputReservoir[[#This Row],[Date]])</f>
        <v>2032</v>
      </c>
      <c r="D1291" s="30">
        <f>MONTH(BInputReservoir[[#This Row],[Date]])</f>
        <v>10</v>
      </c>
      <c r="E1291" s="30" t="str">
        <f>IF(I1291&lt;&gt;1,"",DATA_INPUT!N209)</f>
        <v/>
      </c>
      <c r="F1291" s="30" t="str">
        <f>STORAGE_BALANCE_ENSEMBLE!BU209</f>
        <v/>
      </c>
      <c r="G1291" s="30" t="str">
        <f>STORAGE_BALANCE_ENSEMBLE!BV209</f>
        <v/>
      </c>
      <c r="H1291" s="30" t="str">
        <f>STORAGE_BALANCE_ENSEMBLE!BT209</f>
        <v/>
      </c>
      <c r="I1291" s="18" t="str">
        <f t="shared" si="194"/>
        <v/>
      </c>
      <c r="J1291" s="8" t="str">
        <f t="shared" si="195"/>
        <v/>
      </c>
      <c r="K1291" s="9" t="str">
        <f t="shared" si="196"/>
        <v/>
      </c>
      <c r="L1291" s="10" t="str">
        <f t="shared" si="197"/>
        <v/>
      </c>
      <c r="M1291" s="10" t="str">
        <f>IF(I1291&lt;&gt;1,"",IF(H1291="","",H1291/CONTROL_PANEL!$B$11))</f>
        <v/>
      </c>
      <c r="N1291" s="9" t="str">
        <f t="shared" si="198"/>
        <v/>
      </c>
      <c r="O1291" s="9" t="str">
        <f t="shared" si="199"/>
        <v/>
      </c>
      <c r="P1291" s="9" t="str">
        <f t="shared" si="200"/>
        <v/>
      </c>
      <c r="Q1291" s="9" t="str">
        <f t="shared" si="201"/>
        <v/>
      </c>
      <c r="R1291" s="11"/>
      <c r="S1291" s="11" t="str">
        <f t="shared" si="202"/>
        <v>PASS</v>
      </c>
    </row>
    <row r="1292" spans="1:19" x14ac:dyDescent="0.25">
      <c r="A1292" s="30" t="s">
        <v>98</v>
      </c>
      <c r="B1292" s="31">
        <f t="shared" si="193"/>
        <v>48519</v>
      </c>
      <c r="C1292" s="30">
        <f>YEAR(BInputReservoir[[#This Row],[Date]])</f>
        <v>2032</v>
      </c>
      <c r="D1292" s="30">
        <f>MONTH(BInputReservoir[[#This Row],[Date]])</f>
        <v>11</v>
      </c>
      <c r="E1292" s="30" t="str">
        <f>IF(I1292&lt;&gt;1,"",DATA_INPUT!N210)</f>
        <v/>
      </c>
      <c r="F1292" s="30" t="str">
        <f>STORAGE_BALANCE_ENSEMBLE!BU210</f>
        <v/>
      </c>
      <c r="G1292" s="30" t="str">
        <f>STORAGE_BALANCE_ENSEMBLE!BV210</f>
        <v/>
      </c>
      <c r="H1292" s="30" t="str">
        <f>STORAGE_BALANCE_ENSEMBLE!BT210</f>
        <v/>
      </c>
      <c r="I1292" s="18" t="str">
        <f t="shared" si="194"/>
        <v/>
      </c>
      <c r="J1292" s="8" t="str">
        <f t="shared" si="195"/>
        <v/>
      </c>
      <c r="K1292" s="9" t="str">
        <f t="shared" si="196"/>
        <v/>
      </c>
      <c r="L1292" s="10" t="str">
        <f t="shared" si="197"/>
        <v/>
      </c>
      <c r="M1292" s="10" t="str">
        <f>IF(I1292&lt;&gt;1,"",IF(H1292="","",H1292/CONTROL_PANEL!$B$11))</f>
        <v/>
      </c>
      <c r="N1292" s="9" t="str">
        <f t="shared" si="198"/>
        <v/>
      </c>
      <c r="O1292" s="9" t="str">
        <f t="shared" si="199"/>
        <v/>
      </c>
      <c r="P1292" s="9" t="str">
        <f t="shared" si="200"/>
        <v/>
      </c>
      <c r="Q1292" s="9" t="str">
        <f t="shared" si="201"/>
        <v/>
      </c>
      <c r="R1292" s="11"/>
      <c r="S1292" s="11" t="str">
        <f t="shared" si="202"/>
        <v>PASS</v>
      </c>
    </row>
    <row r="1293" spans="1:19" x14ac:dyDescent="0.25">
      <c r="A1293" s="30" t="s">
        <v>98</v>
      </c>
      <c r="B1293" s="31">
        <f t="shared" si="193"/>
        <v>48549</v>
      </c>
      <c r="C1293" s="30">
        <f>YEAR(BInputReservoir[[#This Row],[Date]])</f>
        <v>2032</v>
      </c>
      <c r="D1293" s="30">
        <f>MONTH(BInputReservoir[[#This Row],[Date]])</f>
        <v>12</v>
      </c>
      <c r="E1293" s="30" t="str">
        <f>IF(I1293&lt;&gt;1,"",DATA_INPUT!N211)</f>
        <v/>
      </c>
      <c r="F1293" s="30" t="str">
        <f>STORAGE_BALANCE_ENSEMBLE!BU211</f>
        <v/>
      </c>
      <c r="G1293" s="30" t="str">
        <f>STORAGE_BALANCE_ENSEMBLE!BV211</f>
        <v/>
      </c>
      <c r="H1293" s="30" t="str">
        <f>STORAGE_BALANCE_ENSEMBLE!BT211</f>
        <v/>
      </c>
      <c r="I1293" s="18" t="str">
        <f t="shared" si="194"/>
        <v/>
      </c>
      <c r="J1293" s="8" t="str">
        <f t="shared" si="195"/>
        <v/>
      </c>
      <c r="K1293" s="9" t="str">
        <f t="shared" si="196"/>
        <v/>
      </c>
      <c r="L1293" s="10" t="str">
        <f t="shared" si="197"/>
        <v/>
      </c>
      <c r="M1293" s="10" t="str">
        <f>IF(I1293&lt;&gt;1,"",IF(H1293="","",H1293/CONTROL_PANEL!$B$11))</f>
        <v/>
      </c>
      <c r="N1293" s="9" t="str">
        <f t="shared" si="198"/>
        <v/>
      </c>
      <c r="O1293" s="9" t="str">
        <f t="shared" si="199"/>
        <v/>
      </c>
      <c r="P1293" s="9" t="str">
        <f t="shared" si="200"/>
        <v/>
      </c>
      <c r="Q1293" s="9" t="str">
        <f t="shared" si="201"/>
        <v/>
      </c>
      <c r="R1293" s="11"/>
      <c r="S1293" s="11" t="str">
        <f t="shared" si="202"/>
        <v>PASS</v>
      </c>
    </row>
    <row r="1294" spans="1:19" x14ac:dyDescent="0.25">
      <c r="A1294" s="30" t="s">
        <v>98</v>
      </c>
      <c r="B1294" s="31">
        <f t="shared" si="193"/>
        <v>48580</v>
      </c>
      <c r="C1294" s="30">
        <f>YEAR(BInputReservoir[[#This Row],[Date]])</f>
        <v>2033</v>
      </c>
      <c r="D1294" s="30">
        <f>MONTH(BInputReservoir[[#This Row],[Date]])</f>
        <v>1</v>
      </c>
      <c r="E1294" s="30" t="str">
        <f>IF(I1294&lt;&gt;1,"",DATA_INPUT!N212)</f>
        <v/>
      </c>
      <c r="F1294" s="30" t="str">
        <f>STORAGE_BALANCE_ENSEMBLE!BU212</f>
        <v/>
      </c>
      <c r="G1294" s="30" t="str">
        <f>STORAGE_BALANCE_ENSEMBLE!BV212</f>
        <v/>
      </c>
      <c r="H1294" s="30" t="str">
        <f>STORAGE_BALANCE_ENSEMBLE!BT212</f>
        <v/>
      </c>
      <c r="I1294" s="18" t="str">
        <f t="shared" si="194"/>
        <v/>
      </c>
      <c r="J1294" s="8" t="str">
        <f t="shared" si="195"/>
        <v/>
      </c>
      <c r="K1294" s="9" t="str">
        <f t="shared" si="196"/>
        <v/>
      </c>
      <c r="L1294" s="10" t="str">
        <f t="shared" si="197"/>
        <v/>
      </c>
      <c r="M1294" s="10" t="str">
        <f>IF(I1294&lt;&gt;1,"",IF(H1294="","",H1294/CONTROL_PANEL!$B$11))</f>
        <v/>
      </c>
      <c r="N1294" s="9" t="str">
        <f t="shared" si="198"/>
        <v/>
      </c>
      <c r="O1294" s="9" t="str">
        <f t="shared" si="199"/>
        <v/>
      </c>
      <c r="P1294" s="9" t="str">
        <f t="shared" si="200"/>
        <v/>
      </c>
      <c r="Q1294" s="9" t="str">
        <f t="shared" si="201"/>
        <v/>
      </c>
      <c r="R1294" s="11"/>
      <c r="S1294" s="11" t="str">
        <f t="shared" si="202"/>
        <v>PASS</v>
      </c>
    </row>
    <row r="1295" spans="1:19" x14ac:dyDescent="0.25">
      <c r="A1295" s="30" t="s">
        <v>98</v>
      </c>
      <c r="B1295" s="31">
        <f t="shared" si="193"/>
        <v>48611</v>
      </c>
      <c r="C1295" s="30">
        <f>YEAR(BInputReservoir[[#This Row],[Date]])</f>
        <v>2033</v>
      </c>
      <c r="D1295" s="30">
        <f>MONTH(BInputReservoir[[#This Row],[Date]])</f>
        <v>2</v>
      </c>
      <c r="E1295" s="30" t="str">
        <f>IF(I1295&lt;&gt;1,"",DATA_INPUT!N213)</f>
        <v/>
      </c>
      <c r="F1295" s="30" t="str">
        <f>STORAGE_BALANCE_ENSEMBLE!BU213</f>
        <v/>
      </c>
      <c r="G1295" s="30" t="str">
        <f>STORAGE_BALANCE_ENSEMBLE!BV213</f>
        <v/>
      </c>
      <c r="H1295" s="30" t="str">
        <f>STORAGE_BALANCE_ENSEMBLE!BT213</f>
        <v/>
      </c>
      <c r="I1295" s="18" t="str">
        <f t="shared" si="194"/>
        <v/>
      </c>
      <c r="J1295" s="8" t="str">
        <f t="shared" si="195"/>
        <v/>
      </c>
      <c r="K1295" s="9" t="str">
        <f t="shared" si="196"/>
        <v/>
      </c>
      <c r="L1295" s="10" t="str">
        <f t="shared" si="197"/>
        <v/>
      </c>
      <c r="M1295" s="10" t="str">
        <f>IF(I1295&lt;&gt;1,"",IF(H1295="","",H1295/CONTROL_PANEL!$B$11))</f>
        <v/>
      </c>
      <c r="N1295" s="9" t="str">
        <f t="shared" si="198"/>
        <v/>
      </c>
      <c r="O1295" s="9" t="str">
        <f t="shared" si="199"/>
        <v/>
      </c>
      <c r="P1295" s="9" t="str">
        <f t="shared" si="200"/>
        <v/>
      </c>
      <c r="Q1295" s="9" t="str">
        <f t="shared" si="201"/>
        <v/>
      </c>
      <c r="R1295" s="11"/>
      <c r="S1295" s="11" t="str">
        <f t="shared" si="202"/>
        <v>PASS</v>
      </c>
    </row>
    <row r="1296" spans="1:19" x14ac:dyDescent="0.25">
      <c r="A1296" s="30" t="s">
        <v>98</v>
      </c>
      <c r="B1296" s="31">
        <f t="shared" si="193"/>
        <v>48639</v>
      </c>
      <c r="C1296" s="30">
        <f>YEAR(BInputReservoir[[#This Row],[Date]])</f>
        <v>2033</v>
      </c>
      <c r="D1296" s="30">
        <f>MONTH(BInputReservoir[[#This Row],[Date]])</f>
        <v>3</v>
      </c>
      <c r="E1296" s="30" t="str">
        <f>IF(I1296&lt;&gt;1,"",DATA_INPUT!N214)</f>
        <v/>
      </c>
      <c r="F1296" s="30" t="str">
        <f>STORAGE_BALANCE_ENSEMBLE!BU214</f>
        <v/>
      </c>
      <c r="G1296" s="30" t="str">
        <f>STORAGE_BALANCE_ENSEMBLE!BV214</f>
        <v/>
      </c>
      <c r="H1296" s="30" t="str">
        <f>STORAGE_BALANCE_ENSEMBLE!BT214</f>
        <v/>
      </c>
      <c r="I1296" s="18" t="str">
        <f t="shared" si="194"/>
        <v/>
      </c>
      <c r="J1296" s="8" t="str">
        <f t="shared" si="195"/>
        <v/>
      </c>
      <c r="K1296" s="9" t="str">
        <f t="shared" si="196"/>
        <v/>
      </c>
      <c r="L1296" s="10" t="str">
        <f t="shared" si="197"/>
        <v/>
      </c>
      <c r="M1296" s="10" t="str">
        <f>IF(I1296&lt;&gt;1,"",IF(H1296="","",H1296/CONTROL_PANEL!$B$11))</f>
        <v/>
      </c>
      <c r="N1296" s="9" t="str">
        <f t="shared" si="198"/>
        <v/>
      </c>
      <c r="O1296" s="9" t="str">
        <f t="shared" si="199"/>
        <v/>
      </c>
      <c r="P1296" s="9" t="str">
        <f t="shared" si="200"/>
        <v/>
      </c>
      <c r="Q1296" s="9" t="str">
        <f t="shared" si="201"/>
        <v/>
      </c>
      <c r="R1296" s="11"/>
      <c r="S1296" s="11" t="str">
        <f t="shared" si="202"/>
        <v>PASS</v>
      </c>
    </row>
    <row r="1297" spans="1:19" x14ac:dyDescent="0.25">
      <c r="A1297" s="30" t="s">
        <v>98</v>
      </c>
      <c r="B1297" s="31">
        <f t="shared" si="193"/>
        <v>48670</v>
      </c>
      <c r="C1297" s="30">
        <f>YEAR(BInputReservoir[[#This Row],[Date]])</f>
        <v>2033</v>
      </c>
      <c r="D1297" s="30">
        <f>MONTH(BInputReservoir[[#This Row],[Date]])</f>
        <v>4</v>
      </c>
      <c r="E1297" s="30" t="str">
        <f>IF(I1297&lt;&gt;1,"",DATA_INPUT!N215)</f>
        <v/>
      </c>
      <c r="F1297" s="30" t="str">
        <f>STORAGE_BALANCE_ENSEMBLE!BU215</f>
        <v/>
      </c>
      <c r="G1297" s="30" t="str">
        <f>STORAGE_BALANCE_ENSEMBLE!BV215</f>
        <v/>
      </c>
      <c r="H1297" s="30" t="str">
        <f>STORAGE_BALANCE_ENSEMBLE!BT215</f>
        <v/>
      </c>
      <c r="I1297" s="18" t="str">
        <f t="shared" si="194"/>
        <v/>
      </c>
      <c r="J1297" s="8" t="str">
        <f t="shared" si="195"/>
        <v/>
      </c>
      <c r="K1297" s="9" t="str">
        <f t="shared" si="196"/>
        <v/>
      </c>
      <c r="L1297" s="10" t="str">
        <f t="shared" si="197"/>
        <v/>
      </c>
      <c r="M1297" s="10" t="str">
        <f>IF(I1297&lt;&gt;1,"",IF(H1297="","",H1297/CONTROL_PANEL!$B$11))</f>
        <v/>
      </c>
      <c r="N1297" s="9" t="str">
        <f t="shared" si="198"/>
        <v/>
      </c>
      <c r="O1297" s="9" t="str">
        <f t="shared" si="199"/>
        <v/>
      </c>
      <c r="P1297" s="9" t="str">
        <f t="shared" si="200"/>
        <v/>
      </c>
      <c r="Q1297" s="9" t="str">
        <f t="shared" si="201"/>
        <v/>
      </c>
      <c r="R1297" s="11"/>
      <c r="S1297" s="11" t="str">
        <f t="shared" si="202"/>
        <v>PASS</v>
      </c>
    </row>
    <row r="1298" spans="1:19" x14ac:dyDescent="0.25">
      <c r="A1298" s="30" t="s">
        <v>98</v>
      </c>
      <c r="B1298" s="31">
        <f t="shared" si="193"/>
        <v>48700</v>
      </c>
      <c r="C1298" s="30">
        <f>YEAR(BInputReservoir[[#This Row],[Date]])</f>
        <v>2033</v>
      </c>
      <c r="D1298" s="30">
        <f>MONTH(BInputReservoir[[#This Row],[Date]])</f>
        <v>5</v>
      </c>
      <c r="E1298" s="30" t="str">
        <f>IF(I1298&lt;&gt;1,"",DATA_INPUT!N216)</f>
        <v/>
      </c>
      <c r="F1298" s="30" t="str">
        <f>STORAGE_BALANCE_ENSEMBLE!BU216</f>
        <v/>
      </c>
      <c r="G1298" s="30" t="str">
        <f>STORAGE_BALANCE_ENSEMBLE!BV216</f>
        <v/>
      </c>
      <c r="H1298" s="30" t="str">
        <f>STORAGE_BALANCE_ENSEMBLE!BT216</f>
        <v/>
      </c>
      <c r="I1298" s="18" t="str">
        <f t="shared" si="194"/>
        <v/>
      </c>
      <c r="J1298" s="8" t="str">
        <f t="shared" si="195"/>
        <v/>
      </c>
      <c r="K1298" s="9" t="str">
        <f t="shared" si="196"/>
        <v/>
      </c>
      <c r="L1298" s="10" t="str">
        <f t="shared" si="197"/>
        <v/>
      </c>
      <c r="M1298" s="10" t="str">
        <f>IF(I1298&lt;&gt;1,"",IF(H1298="","",H1298/CONTROL_PANEL!$B$11))</f>
        <v/>
      </c>
      <c r="N1298" s="9" t="str">
        <f t="shared" si="198"/>
        <v/>
      </c>
      <c r="O1298" s="9" t="str">
        <f t="shared" si="199"/>
        <v/>
      </c>
      <c r="P1298" s="9" t="str">
        <f t="shared" si="200"/>
        <v/>
      </c>
      <c r="Q1298" s="9" t="str">
        <f t="shared" si="201"/>
        <v/>
      </c>
      <c r="R1298" s="11"/>
      <c r="S1298" s="11" t="str">
        <f t="shared" si="202"/>
        <v>PASS</v>
      </c>
    </row>
    <row r="1299" spans="1:19" x14ac:dyDescent="0.25">
      <c r="A1299" s="30" t="s">
        <v>98</v>
      </c>
      <c r="B1299" s="31">
        <f t="shared" si="193"/>
        <v>48731</v>
      </c>
      <c r="C1299" s="30">
        <f>YEAR(BInputReservoir[[#This Row],[Date]])</f>
        <v>2033</v>
      </c>
      <c r="D1299" s="30">
        <f>MONTH(BInputReservoir[[#This Row],[Date]])</f>
        <v>6</v>
      </c>
      <c r="E1299" s="30" t="str">
        <f>IF(I1299&lt;&gt;1,"",DATA_INPUT!N217)</f>
        <v/>
      </c>
      <c r="F1299" s="30" t="str">
        <f>STORAGE_BALANCE_ENSEMBLE!BU217</f>
        <v/>
      </c>
      <c r="G1299" s="30" t="str">
        <f>STORAGE_BALANCE_ENSEMBLE!BV217</f>
        <v/>
      </c>
      <c r="H1299" s="30" t="str">
        <f>STORAGE_BALANCE_ENSEMBLE!BT217</f>
        <v/>
      </c>
      <c r="I1299" s="18" t="str">
        <f t="shared" si="194"/>
        <v/>
      </c>
      <c r="J1299" s="8" t="str">
        <f t="shared" si="195"/>
        <v/>
      </c>
      <c r="K1299" s="9" t="str">
        <f t="shared" si="196"/>
        <v/>
      </c>
      <c r="L1299" s="10" t="str">
        <f t="shared" si="197"/>
        <v/>
      </c>
      <c r="M1299" s="10" t="str">
        <f>IF(I1299&lt;&gt;1,"",IF(H1299="","",H1299/CONTROL_PANEL!$B$11))</f>
        <v/>
      </c>
      <c r="N1299" s="9" t="str">
        <f t="shared" si="198"/>
        <v/>
      </c>
      <c r="O1299" s="9" t="str">
        <f t="shared" si="199"/>
        <v/>
      </c>
      <c r="P1299" s="9" t="str">
        <f t="shared" si="200"/>
        <v/>
      </c>
      <c r="Q1299" s="9" t="str">
        <f t="shared" si="201"/>
        <v/>
      </c>
      <c r="R1299" s="11"/>
      <c r="S1299" s="11" t="str">
        <f t="shared" si="202"/>
        <v>PASS</v>
      </c>
    </row>
    <row r="1300" spans="1:19" x14ac:dyDescent="0.25">
      <c r="A1300" s="30" t="s">
        <v>98</v>
      </c>
      <c r="B1300" s="31">
        <f t="shared" si="193"/>
        <v>48761</v>
      </c>
      <c r="C1300" s="30">
        <f>YEAR(BInputReservoir[[#This Row],[Date]])</f>
        <v>2033</v>
      </c>
      <c r="D1300" s="30">
        <f>MONTH(BInputReservoir[[#This Row],[Date]])</f>
        <v>7</v>
      </c>
      <c r="E1300" s="30" t="str">
        <f>IF(I1300&lt;&gt;1,"",DATA_INPUT!N218)</f>
        <v/>
      </c>
      <c r="F1300" s="30" t="str">
        <f>STORAGE_BALANCE_ENSEMBLE!BU218</f>
        <v/>
      </c>
      <c r="G1300" s="30" t="str">
        <f>STORAGE_BALANCE_ENSEMBLE!BV218</f>
        <v/>
      </c>
      <c r="H1300" s="30" t="str">
        <f>STORAGE_BALANCE_ENSEMBLE!BT218</f>
        <v/>
      </c>
      <c r="I1300" s="18" t="str">
        <f t="shared" si="194"/>
        <v/>
      </c>
      <c r="J1300" s="8" t="str">
        <f t="shared" si="195"/>
        <v/>
      </c>
      <c r="K1300" s="9" t="str">
        <f t="shared" si="196"/>
        <v/>
      </c>
      <c r="L1300" s="10" t="str">
        <f t="shared" si="197"/>
        <v/>
      </c>
      <c r="M1300" s="10" t="str">
        <f>IF(I1300&lt;&gt;1,"",IF(H1300="","",H1300/CONTROL_PANEL!$B$11))</f>
        <v/>
      </c>
      <c r="N1300" s="9" t="str">
        <f t="shared" si="198"/>
        <v/>
      </c>
      <c r="O1300" s="9" t="str">
        <f t="shared" si="199"/>
        <v/>
      </c>
      <c r="P1300" s="9" t="str">
        <f t="shared" si="200"/>
        <v/>
      </c>
      <c r="Q1300" s="9" t="str">
        <f t="shared" si="201"/>
        <v/>
      </c>
      <c r="R1300" s="11"/>
      <c r="S1300" s="11" t="str">
        <f t="shared" si="202"/>
        <v>PASS</v>
      </c>
    </row>
    <row r="1301" spans="1:19" x14ac:dyDescent="0.25">
      <c r="A1301" s="30" t="s">
        <v>98</v>
      </c>
      <c r="B1301" s="31">
        <f t="shared" si="193"/>
        <v>48792</v>
      </c>
      <c r="C1301" s="30">
        <f>YEAR(BInputReservoir[[#This Row],[Date]])</f>
        <v>2033</v>
      </c>
      <c r="D1301" s="30">
        <f>MONTH(BInputReservoir[[#This Row],[Date]])</f>
        <v>8</v>
      </c>
      <c r="E1301" s="30" t="str">
        <f>IF(I1301&lt;&gt;1,"",DATA_INPUT!N219)</f>
        <v/>
      </c>
      <c r="F1301" s="30" t="str">
        <f>STORAGE_BALANCE_ENSEMBLE!BU219</f>
        <v/>
      </c>
      <c r="G1301" s="30" t="str">
        <f>STORAGE_BALANCE_ENSEMBLE!BV219</f>
        <v/>
      </c>
      <c r="H1301" s="30" t="str">
        <f>STORAGE_BALANCE_ENSEMBLE!BT219</f>
        <v/>
      </c>
      <c r="I1301" s="18" t="str">
        <f t="shared" si="194"/>
        <v/>
      </c>
      <c r="J1301" s="8" t="str">
        <f t="shared" si="195"/>
        <v/>
      </c>
      <c r="K1301" s="9" t="str">
        <f t="shared" si="196"/>
        <v/>
      </c>
      <c r="L1301" s="10" t="str">
        <f t="shared" si="197"/>
        <v/>
      </c>
      <c r="M1301" s="10" t="str">
        <f>IF(I1301&lt;&gt;1,"",IF(H1301="","",H1301/CONTROL_PANEL!$B$11))</f>
        <v/>
      </c>
      <c r="N1301" s="9" t="str">
        <f t="shared" si="198"/>
        <v/>
      </c>
      <c r="O1301" s="9" t="str">
        <f t="shared" si="199"/>
        <v/>
      </c>
      <c r="P1301" s="9" t="str">
        <f t="shared" si="200"/>
        <v/>
      </c>
      <c r="Q1301" s="9" t="str">
        <f t="shared" si="201"/>
        <v/>
      </c>
      <c r="R1301" s="11"/>
      <c r="S1301" s="11" t="str">
        <f t="shared" si="202"/>
        <v>PASS</v>
      </c>
    </row>
    <row r="1302" spans="1:19" x14ac:dyDescent="0.25">
      <c r="A1302" s="30" t="s">
        <v>98</v>
      </c>
      <c r="B1302" s="31">
        <f t="shared" si="193"/>
        <v>48823</v>
      </c>
      <c r="C1302" s="30">
        <f>YEAR(BInputReservoir[[#This Row],[Date]])</f>
        <v>2033</v>
      </c>
      <c r="D1302" s="30">
        <f>MONTH(BInputReservoir[[#This Row],[Date]])</f>
        <v>9</v>
      </c>
      <c r="E1302" s="30" t="str">
        <f>IF(I1302&lt;&gt;1,"",DATA_INPUT!N220)</f>
        <v/>
      </c>
      <c r="F1302" s="30" t="str">
        <f>STORAGE_BALANCE_ENSEMBLE!BU220</f>
        <v/>
      </c>
      <c r="G1302" s="30" t="str">
        <f>STORAGE_BALANCE_ENSEMBLE!BV220</f>
        <v/>
      </c>
      <c r="H1302" s="30" t="str">
        <f>STORAGE_BALANCE_ENSEMBLE!BT220</f>
        <v/>
      </c>
      <c r="I1302" s="18" t="str">
        <f t="shared" si="194"/>
        <v/>
      </c>
      <c r="J1302" s="8" t="str">
        <f t="shared" si="195"/>
        <v/>
      </c>
      <c r="K1302" s="9" t="str">
        <f t="shared" si="196"/>
        <v/>
      </c>
      <c r="L1302" s="10" t="str">
        <f t="shared" si="197"/>
        <v/>
      </c>
      <c r="M1302" s="10" t="str">
        <f>IF(I1302&lt;&gt;1,"",IF(H1302="","",H1302/CONTROL_PANEL!$B$11))</f>
        <v/>
      </c>
      <c r="N1302" s="9" t="str">
        <f t="shared" si="198"/>
        <v/>
      </c>
      <c r="O1302" s="9" t="str">
        <f t="shared" si="199"/>
        <v/>
      </c>
      <c r="P1302" s="9" t="str">
        <f t="shared" si="200"/>
        <v/>
      </c>
      <c r="Q1302" s="9" t="str">
        <f t="shared" si="201"/>
        <v/>
      </c>
      <c r="R1302" s="11"/>
      <c r="S1302" s="11" t="str">
        <f t="shared" si="202"/>
        <v>PASS</v>
      </c>
    </row>
    <row r="1303" spans="1:19" x14ac:dyDescent="0.25">
      <c r="A1303" s="30" t="s">
        <v>98</v>
      </c>
      <c r="B1303" s="31">
        <f t="shared" si="193"/>
        <v>48853</v>
      </c>
      <c r="C1303" s="30">
        <f>YEAR(BInputReservoir[[#This Row],[Date]])</f>
        <v>2033</v>
      </c>
      <c r="D1303" s="30">
        <f>MONTH(BInputReservoir[[#This Row],[Date]])</f>
        <v>10</v>
      </c>
      <c r="E1303" s="30" t="str">
        <f>IF(I1303&lt;&gt;1,"",DATA_INPUT!N221)</f>
        <v/>
      </c>
      <c r="F1303" s="30" t="str">
        <f>STORAGE_BALANCE_ENSEMBLE!BU221</f>
        <v/>
      </c>
      <c r="G1303" s="30" t="str">
        <f>STORAGE_BALANCE_ENSEMBLE!BV221</f>
        <v/>
      </c>
      <c r="H1303" s="30" t="str">
        <f>STORAGE_BALANCE_ENSEMBLE!BT221</f>
        <v/>
      </c>
      <c r="I1303" s="18" t="str">
        <f t="shared" si="194"/>
        <v/>
      </c>
      <c r="J1303" s="8" t="str">
        <f t="shared" si="195"/>
        <v/>
      </c>
      <c r="K1303" s="9" t="str">
        <f t="shared" si="196"/>
        <v/>
      </c>
      <c r="L1303" s="10" t="str">
        <f t="shared" si="197"/>
        <v/>
      </c>
      <c r="M1303" s="10" t="str">
        <f>IF(I1303&lt;&gt;1,"",IF(H1303="","",H1303/CONTROL_PANEL!$B$11))</f>
        <v/>
      </c>
      <c r="N1303" s="9" t="str">
        <f t="shared" si="198"/>
        <v/>
      </c>
      <c r="O1303" s="9" t="str">
        <f t="shared" si="199"/>
        <v/>
      </c>
      <c r="P1303" s="9" t="str">
        <f t="shared" si="200"/>
        <v/>
      </c>
      <c r="Q1303" s="9" t="str">
        <f t="shared" si="201"/>
        <v/>
      </c>
      <c r="R1303" s="11"/>
      <c r="S1303" s="11" t="str">
        <f t="shared" si="202"/>
        <v>PASS</v>
      </c>
    </row>
    <row r="1304" spans="1:19" x14ac:dyDescent="0.25">
      <c r="A1304" s="30" t="s">
        <v>98</v>
      </c>
      <c r="B1304" s="31">
        <f t="shared" si="193"/>
        <v>48884</v>
      </c>
      <c r="C1304" s="30">
        <f>YEAR(BInputReservoir[[#This Row],[Date]])</f>
        <v>2033</v>
      </c>
      <c r="D1304" s="30">
        <f>MONTH(BInputReservoir[[#This Row],[Date]])</f>
        <v>11</v>
      </c>
      <c r="E1304" s="30" t="str">
        <f>IF(I1304&lt;&gt;1,"",DATA_INPUT!N222)</f>
        <v/>
      </c>
      <c r="F1304" s="30" t="str">
        <f>STORAGE_BALANCE_ENSEMBLE!BU222</f>
        <v/>
      </c>
      <c r="G1304" s="30" t="str">
        <f>STORAGE_BALANCE_ENSEMBLE!BV222</f>
        <v/>
      </c>
      <c r="H1304" s="30" t="str">
        <f>STORAGE_BALANCE_ENSEMBLE!BT222</f>
        <v/>
      </c>
      <c r="I1304" s="18" t="str">
        <f t="shared" si="194"/>
        <v/>
      </c>
      <c r="J1304" s="8" t="str">
        <f t="shared" si="195"/>
        <v/>
      </c>
      <c r="K1304" s="9" t="str">
        <f t="shared" si="196"/>
        <v/>
      </c>
      <c r="L1304" s="10" t="str">
        <f t="shared" si="197"/>
        <v/>
      </c>
      <c r="M1304" s="10" t="str">
        <f>IF(I1304&lt;&gt;1,"",IF(H1304="","",H1304/CONTROL_PANEL!$B$11))</f>
        <v/>
      </c>
      <c r="N1304" s="9" t="str">
        <f t="shared" si="198"/>
        <v/>
      </c>
      <c r="O1304" s="9" t="str">
        <f t="shared" si="199"/>
        <v/>
      </c>
      <c r="P1304" s="9" t="str">
        <f t="shared" si="200"/>
        <v/>
      </c>
      <c r="Q1304" s="9" t="str">
        <f t="shared" si="201"/>
        <v/>
      </c>
      <c r="R1304" s="11"/>
      <c r="S1304" s="11" t="str">
        <f t="shared" si="202"/>
        <v>PASS</v>
      </c>
    </row>
    <row r="1305" spans="1:19" x14ac:dyDescent="0.25">
      <c r="A1305" s="30" t="s">
        <v>98</v>
      </c>
      <c r="B1305" s="31">
        <f t="shared" si="193"/>
        <v>48914</v>
      </c>
      <c r="C1305" s="30">
        <f>YEAR(BInputReservoir[[#This Row],[Date]])</f>
        <v>2033</v>
      </c>
      <c r="D1305" s="30">
        <f>MONTH(BInputReservoir[[#This Row],[Date]])</f>
        <v>12</v>
      </c>
      <c r="E1305" s="30" t="str">
        <f>IF(I1305&lt;&gt;1,"",DATA_INPUT!N223)</f>
        <v/>
      </c>
      <c r="F1305" s="30" t="str">
        <f>STORAGE_BALANCE_ENSEMBLE!BU223</f>
        <v/>
      </c>
      <c r="G1305" s="30" t="str">
        <f>STORAGE_BALANCE_ENSEMBLE!BV223</f>
        <v/>
      </c>
      <c r="H1305" s="30" t="str">
        <f>STORAGE_BALANCE_ENSEMBLE!BT223</f>
        <v/>
      </c>
      <c r="I1305" s="18" t="str">
        <f t="shared" si="194"/>
        <v/>
      </c>
      <c r="J1305" s="8" t="str">
        <f t="shared" si="195"/>
        <v/>
      </c>
      <c r="K1305" s="9" t="str">
        <f t="shared" si="196"/>
        <v/>
      </c>
      <c r="L1305" s="10" t="str">
        <f t="shared" si="197"/>
        <v/>
      </c>
      <c r="M1305" s="10" t="str">
        <f>IF(I1305&lt;&gt;1,"",IF(H1305="","",H1305/CONTROL_PANEL!$B$11))</f>
        <v/>
      </c>
      <c r="N1305" s="9" t="str">
        <f t="shared" si="198"/>
        <v/>
      </c>
      <c r="O1305" s="9" t="str">
        <f t="shared" si="199"/>
        <v/>
      </c>
      <c r="P1305" s="9" t="str">
        <f t="shared" si="200"/>
        <v/>
      </c>
      <c r="Q1305" s="9" t="str">
        <f t="shared" si="201"/>
        <v/>
      </c>
      <c r="R1305" s="11"/>
      <c r="S1305" s="11" t="str">
        <f t="shared" si="202"/>
        <v>PASS</v>
      </c>
    </row>
    <row r="1306" spans="1:19" x14ac:dyDescent="0.25">
      <c r="A1306" s="30" t="s">
        <v>98</v>
      </c>
      <c r="B1306" s="31">
        <f t="shared" si="193"/>
        <v>48945</v>
      </c>
      <c r="C1306" s="30">
        <f>YEAR(BInputReservoir[[#This Row],[Date]])</f>
        <v>2034</v>
      </c>
      <c r="D1306" s="30">
        <f>MONTH(BInputReservoir[[#This Row],[Date]])</f>
        <v>1</v>
      </c>
      <c r="E1306" s="30" t="str">
        <f>IF(I1306&lt;&gt;1,"",DATA_INPUT!N224)</f>
        <v/>
      </c>
      <c r="F1306" s="30" t="str">
        <f>STORAGE_BALANCE_ENSEMBLE!BU224</f>
        <v/>
      </c>
      <c r="G1306" s="30" t="str">
        <f>STORAGE_BALANCE_ENSEMBLE!BV224</f>
        <v/>
      </c>
      <c r="H1306" s="30" t="str">
        <f>STORAGE_BALANCE_ENSEMBLE!BT224</f>
        <v/>
      </c>
      <c r="I1306" s="18" t="str">
        <f t="shared" si="194"/>
        <v/>
      </c>
      <c r="J1306" s="8" t="str">
        <f t="shared" si="195"/>
        <v/>
      </c>
      <c r="K1306" s="9" t="str">
        <f t="shared" si="196"/>
        <v/>
      </c>
      <c r="L1306" s="10" t="str">
        <f t="shared" si="197"/>
        <v/>
      </c>
      <c r="M1306" s="10" t="str">
        <f>IF(I1306&lt;&gt;1,"",IF(H1306="","",H1306/CONTROL_PANEL!$B$11))</f>
        <v/>
      </c>
      <c r="N1306" s="9" t="str">
        <f t="shared" si="198"/>
        <v/>
      </c>
      <c r="O1306" s="9" t="str">
        <f t="shared" si="199"/>
        <v/>
      </c>
      <c r="P1306" s="9" t="str">
        <f t="shared" si="200"/>
        <v/>
      </c>
      <c r="Q1306" s="9" t="str">
        <f t="shared" si="201"/>
        <v/>
      </c>
      <c r="R1306" s="11"/>
      <c r="S1306" s="11" t="str">
        <f t="shared" si="202"/>
        <v>PASS</v>
      </c>
    </row>
    <row r="1307" spans="1:19" x14ac:dyDescent="0.25">
      <c r="A1307" s="30" t="s">
        <v>98</v>
      </c>
      <c r="B1307" s="31">
        <f t="shared" si="193"/>
        <v>48976</v>
      </c>
      <c r="C1307" s="30">
        <f>YEAR(BInputReservoir[[#This Row],[Date]])</f>
        <v>2034</v>
      </c>
      <c r="D1307" s="30">
        <f>MONTH(BInputReservoir[[#This Row],[Date]])</f>
        <v>2</v>
      </c>
      <c r="E1307" s="30" t="str">
        <f>IF(I1307&lt;&gt;1,"",DATA_INPUT!N225)</f>
        <v/>
      </c>
      <c r="F1307" s="30" t="str">
        <f>STORAGE_BALANCE_ENSEMBLE!BU225</f>
        <v/>
      </c>
      <c r="G1307" s="30" t="str">
        <f>STORAGE_BALANCE_ENSEMBLE!BV225</f>
        <v/>
      </c>
      <c r="H1307" s="30" t="str">
        <f>STORAGE_BALANCE_ENSEMBLE!BT225</f>
        <v/>
      </c>
      <c r="I1307" s="18" t="str">
        <f t="shared" si="194"/>
        <v/>
      </c>
      <c r="J1307" s="8" t="str">
        <f t="shared" si="195"/>
        <v/>
      </c>
      <c r="K1307" s="9" t="str">
        <f t="shared" si="196"/>
        <v/>
      </c>
      <c r="L1307" s="10" t="str">
        <f t="shared" si="197"/>
        <v/>
      </c>
      <c r="M1307" s="10" t="str">
        <f>IF(I1307&lt;&gt;1,"",IF(H1307="","",H1307/CONTROL_PANEL!$B$11))</f>
        <v/>
      </c>
      <c r="N1307" s="9" t="str">
        <f t="shared" si="198"/>
        <v/>
      </c>
      <c r="O1307" s="9" t="str">
        <f t="shared" si="199"/>
        <v/>
      </c>
      <c r="P1307" s="9" t="str">
        <f t="shared" si="200"/>
        <v/>
      </c>
      <c r="Q1307" s="9" t="str">
        <f t="shared" si="201"/>
        <v/>
      </c>
      <c r="R1307" s="11"/>
      <c r="S1307" s="11" t="str">
        <f t="shared" si="202"/>
        <v>PASS</v>
      </c>
    </row>
    <row r="1308" spans="1:19" x14ac:dyDescent="0.25">
      <c r="A1308" s="30" t="s">
        <v>98</v>
      </c>
      <c r="B1308" s="31">
        <f t="shared" si="193"/>
        <v>49004</v>
      </c>
      <c r="C1308" s="30">
        <f>YEAR(BInputReservoir[[#This Row],[Date]])</f>
        <v>2034</v>
      </c>
      <c r="D1308" s="30">
        <f>MONTH(BInputReservoir[[#This Row],[Date]])</f>
        <v>3</v>
      </c>
      <c r="E1308" s="30" t="str">
        <f>IF(I1308&lt;&gt;1,"",DATA_INPUT!N226)</f>
        <v/>
      </c>
      <c r="F1308" s="30" t="str">
        <f>STORAGE_BALANCE_ENSEMBLE!BU226</f>
        <v/>
      </c>
      <c r="G1308" s="30" t="str">
        <f>STORAGE_BALANCE_ENSEMBLE!BV226</f>
        <v/>
      </c>
      <c r="H1308" s="30" t="str">
        <f>STORAGE_BALANCE_ENSEMBLE!BT226</f>
        <v/>
      </c>
      <c r="I1308" s="18" t="str">
        <f t="shared" si="194"/>
        <v/>
      </c>
      <c r="J1308" s="8" t="str">
        <f t="shared" si="195"/>
        <v/>
      </c>
      <c r="K1308" s="9" t="str">
        <f t="shared" si="196"/>
        <v/>
      </c>
      <c r="L1308" s="10" t="str">
        <f t="shared" si="197"/>
        <v/>
      </c>
      <c r="M1308" s="10" t="str">
        <f>IF(I1308&lt;&gt;1,"",IF(H1308="","",H1308/CONTROL_PANEL!$B$11))</f>
        <v/>
      </c>
      <c r="N1308" s="9" t="str">
        <f t="shared" si="198"/>
        <v/>
      </c>
      <c r="O1308" s="9" t="str">
        <f t="shared" si="199"/>
        <v/>
      </c>
      <c r="P1308" s="9" t="str">
        <f t="shared" si="200"/>
        <v/>
      </c>
      <c r="Q1308" s="9" t="str">
        <f t="shared" si="201"/>
        <v/>
      </c>
      <c r="R1308" s="11"/>
      <c r="S1308" s="11" t="str">
        <f t="shared" si="202"/>
        <v>PASS</v>
      </c>
    </row>
    <row r="1309" spans="1:19" x14ac:dyDescent="0.25">
      <c r="A1309" s="30" t="s">
        <v>98</v>
      </c>
      <c r="B1309" s="31">
        <f t="shared" si="193"/>
        <v>49035</v>
      </c>
      <c r="C1309" s="30">
        <f>YEAR(BInputReservoir[[#This Row],[Date]])</f>
        <v>2034</v>
      </c>
      <c r="D1309" s="30">
        <f>MONTH(BInputReservoir[[#This Row],[Date]])</f>
        <v>4</v>
      </c>
      <c r="E1309" s="30" t="str">
        <f>IF(I1309&lt;&gt;1,"",DATA_INPUT!N227)</f>
        <v/>
      </c>
      <c r="F1309" s="30" t="str">
        <f>STORAGE_BALANCE_ENSEMBLE!BU227</f>
        <v/>
      </c>
      <c r="G1309" s="30" t="str">
        <f>STORAGE_BALANCE_ENSEMBLE!BV227</f>
        <v/>
      </c>
      <c r="H1309" s="30" t="str">
        <f>STORAGE_BALANCE_ENSEMBLE!BT227</f>
        <v/>
      </c>
      <c r="I1309" s="18" t="str">
        <f t="shared" si="194"/>
        <v/>
      </c>
      <c r="J1309" s="8" t="str">
        <f t="shared" si="195"/>
        <v/>
      </c>
      <c r="K1309" s="9" t="str">
        <f t="shared" si="196"/>
        <v/>
      </c>
      <c r="L1309" s="10" t="str">
        <f t="shared" si="197"/>
        <v/>
      </c>
      <c r="M1309" s="10" t="str">
        <f>IF(I1309&lt;&gt;1,"",IF(H1309="","",H1309/CONTROL_PANEL!$B$11))</f>
        <v/>
      </c>
      <c r="N1309" s="9" t="str">
        <f t="shared" si="198"/>
        <v/>
      </c>
      <c r="O1309" s="9" t="str">
        <f t="shared" si="199"/>
        <v/>
      </c>
      <c r="P1309" s="9" t="str">
        <f t="shared" si="200"/>
        <v/>
      </c>
      <c r="Q1309" s="9" t="str">
        <f t="shared" si="201"/>
        <v/>
      </c>
      <c r="R1309" s="11"/>
      <c r="S1309" s="11" t="str">
        <f t="shared" si="202"/>
        <v>PASS</v>
      </c>
    </row>
    <row r="1310" spans="1:19" x14ac:dyDescent="0.25">
      <c r="A1310" s="30" t="s">
        <v>98</v>
      </c>
      <c r="B1310" s="31">
        <f t="shared" si="193"/>
        <v>49065</v>
      </c>
      <c r="C1310" s="30">
        <f>YEAR(BInputReservoir[[#This Row],[Date]])</f>
        <v>2034</v>
      </c>
      <c r="D1310" s="30">
        <f>MONTH(BInputReservoir[[#This Row],[Date]])</f>
        <v>5</v>
      </c>
      <c r="E1310" s="30" t="str">
        <f>IF(I1310&lt;&gt;1,"",DATA_INPUT!N228)</f>
        <v/>
      </c>
      <c r="F1310" s="30" t="str">
        <f>STORAGE_BALANCE_ENSEMBLE!BU228</f>
        <v/>
      </c>
      <c r="G1310" s="30" t="str">
        <f>STORAGE_BALANCE_ENSEMBLE!BV228</f>
        <v/>
      </c>
      <c r="H1310" s="30" t="str">
        <f>STORAGE_BALANCE_ENSEMBLE!BT228</f>
        <v/>
      </c>
      <c r="I1310" s="18" t="str">
        <f t="shared" si="194"/>
        <v/>
      </c>
      <c r="J1310" s="8" t="str">
        <f t="shared" si="195"/>
        <v/>
      </c>
      <c r="K1310" s="9" t="str">
        <f t="shared" si="196"/>
        <v/>
      </c>
      <c r="L1310" s="10" t="str">
        <f t="shared" si="197"/>
        <v/>
      </c>
      <c r="M1310" s="10" t="str">
        <f>IF(I1310&lt;&gt;1,"",IF(H1310="","",H1310/CONTROL_PANEL!$B$11))</f>
        <v/>
      </c>
      <c r="N1310" s="9" t="str">
        <f t="shared" si="198"/>
        <v/>
      </c>
      <c r="O1310" s="9" t="str">
        <f t="shared" si="199"/>
        <v/>
      </c>
      <c r="P1310" s="9" t="str">
        <f t="shared" si="200"/>
        <v/>
      </c>
      <c r="Q1310" s="9" t="str">
        <f t="shared" si="201"/>
        <v/>
      </c>
      <c r="R1310" s="11"/>
      <c r="S1310" s="11" t="str">
        <f t="shared" si="202"/>
        <v>PASS</v>
      </c>
    </row>
    <row r="1311" spans="1:19" x14ac:dyDescent="0.25">
      <c r="A1311" s="30" t="s">
        <v>98</v>
      </c>
      <c r="B1311" s="31">
        <f t="shared" si="193"/>
        <v>49096</v>
      </c>
      <c r="C1311" s="30">
        <f>YEAR(BInputReservoir[[#This Row],[Date]])</f>
        <v>2034</v>
      </c>
      <c r="D1311" s="30">
        <f>MONTH(BInputReservoir[[#This Row],[Date]])</f>
        <v>6</v>
      </c>
      <c r="E1311" s="30" t="str">
        <f>IF(I1311&lt;&gt;1,"",DATA_INPUT!N229)</f>
        <v/>
      </c>
      <c r="F1311" s="30" t="str">
        <f>STORAGE_BALANCE_ENSEMBLE!BU229</f>
        <v/>
      </c>
      <c r="G1311" s="30" t="str">
        <f>STORAGE_BALANCE_ENSEMBLE!BV229</f>
        <v/>
      </c>
      <c r="H1311" s="30" t="str">
        <f>STORAGE_BALANCE_ENSEMBLE!BT229</f>
        <v/>
      </c>
      <c r="I1311" s="18" t="str">
        <f t="shared" si="194"/>
        <v/>
      </c>
      <c r="J1311" s="8" t="str">
        <f t="shared" si="195"/>
        <v/>
      </c>
      <c r="K1311" s="9" t="str">
        <f t="shared" si="196"/>
        <v/>
      </c>
      <c r="L1311" s="10" t="str">
        <f t="shared" si="197"/>
        <v/>
      </c>
      <c r="M1311" s="10" t="str">
        <f>IF(I1311&lt;&gt;1,"",IF(H1311="","",H1311/CONTROL_PANEL!$B$11))</f>
        <v/>
      </c>
      <c r="N1311" s="9" t="str">
        <f t="shared" si="198"/>
        <v/>
      </c>
      <c r="O1311" s="9" t="str">
        <f t="shared" si="199"/>
        <v/>
      </c>
      <c r="P1311" s="9" t="str">
        <f t="shared" si="200"/>
        <v/>
      </c>
      <c r="Q1311" s="9" t="str">
        <f t="shared" si="201"/>
        <v/>
      </c>
      <c r="R1311" s="11"/>
      <c r="S1311" s="11" t="str">
        <f t="shared" si="202"/>
        <v>PASS</v>
      </c>
    </row>
    <row r="1312" spans="1:19" x14ac:dyDescent="0.25">
      <c r="A1312" s="30" t="s">
        <v>98</v>
      </c>
      <c r="B1312" s="31">
        <f t="shared" si="193"/>
        <v>49126</v>
      </c>
      <c r="C1312" s="30">
        <f>YEAR(BInputReservoir[[#This Row],[Date]])</f>
        <v>2034</v>
      </c>
      <c r="D1312" s="30">
        <f>MONTH(BInputReservoir[[#This Row],[Date]])</f>
        <v>7</v>
      </c>
      <c r="E1312" s="30" t="str">
        <f>IF(I1312&lt;&gt;1,"",DATA_INPUT!N230)</f>
        <v/>
      </c>
      <c r="F1312" s="30" t="str">
        <f>STORAGE_BALANCE_ENSEMBLE!BU230</f>
        <v/>
      </c>
      <c r="G1312" s="30" t="str">
        <f>STORAGE_BALANCE_ENSEMBLE!BV230</f>
        <v/>
      </c>
      <c r="H1312" s="30" t="str">
        <f>STORAGE_BALANCE_ENSEMBLE!BT230</f>
        <v/>
      </c>
      <c r="I1312" s="18" t="str">
        <f t="shared" si="194"/>
        <v/>
      </c>
      <c r="J1312" s="8" t="str">
        <f t="shared" si="195"/>
        <v/>
      </c>
      <c r="K1312" s="9" t="str">
        <f t="shared" si="196"/>
        <v/>
      </c>
      <c r="L1312" s="10" t="str">
        <f t="shared" si="197"/>
        <v/>
      </c>
      <c r="M1312" s="10" t="str">
        <f>IF(I1312&lt;&gt;1,"",IF(H1312="","",H1312/CONTROL_PANEL!$B$11))</f>
        <v/>
      </c>
      <c r="N1312" s="9" t="str">
        <f t="shared" si="198"/>
        <v/>
      </c>
      <c r="O1312" s="9" t="str">
        <f t="shared" si="199"/>
        <v/>
      </c>
      <c r="P1312" s="9" t="str">
        <f t="shared" si="200"/>
        <v/>
      </c>
      <c r="Q1312" s="9" t="str">
        <f t="shared" si="201"/>
        <v/>
      </c>
      <c r="R1312" s="11"/>
      <c r="S1312" s="11" t="str">
        <f t="shared" si="202"/>
        <v>PASS</v>
      </c>
    </row>
    <row r="1313" spans="1:19" x14ac:dyDescent="0.25">
      <c r="A1313" s="30" t="s">
        <v>98</v>
      </c>
      <c r="B1313" s="31">
        <f t="shared" si="193"/>
        <v>49157</v>
      </c>
      <c r="C1313" s="30">
        <f>YEAR(BInputReservoir[[#This Row],[Date]])</f>
        <v>2034</v>
      </c>
      <c r="D1313" s="30">
        <f>MONTH(BInputReservoir[[#This Row],[Date]])</f>
        <v>8</v>
      </c>
      <c r="E1313" s="30" t="str">
        <f>IF(I1313&lt;&gt;1,"",DATA_INPUT!N231)</f>
        <v/>
      </c>
      <c r="F1313" s="30" t="str">
        <f>STORAGE_BALANCE_ENSEMBLE!BU231</f>
        <v/>
      </c>
      <c r="G1313" s="30" t="str">
        <f>STORAGE_BALANCE_ENSEMBLE!BV231</f>
        <v/>
      </c>
      <c r="H1313" s="30" t="str">
        <f>STORAGE_BALANCE_ENSEMBLE!BT231</f>
        <v/>
      </c>
      <c r="I1313" s="18" t="str">
        <f t="shared" si="194"/>
        <v/>
      </c>
      <c r="J1313" s="8" t="str">
        <f t="shared" si="195"/>
        <v/>
      </c>
      <c r="K1313" s="9" t="str">
        <f t="shared" si="196"/>
        <v/>
      </c>
      <c r="L1313" s="10" t="str">
        <f t="shared" si="197"/>
        <v/>
      </c>
      <c r="M1313" s="10" t="str">
        <f>IF(I1313&lt;&gt;1,"",IF(H1313="","",H1313/CONTROL_PANEL!$B$11))</f>
        <v/>
      </c>
      <c r="N1313" s="9" t="str">
        <f t="shared" si="198"/>
        <v/>
      </c>
      <c r="O1313" s="9" t="str">
        <f t="shared" si="199"/>
        <v/>
      </c>
      <c r="P1313" s="9" t="str">
        <f t="shared" si="200"/>
        <v/>
      </c>
      <c r="Q1313" s="9" t="str">
        <f t="shared" si="201"/>
        <v/>
      </c>
      <c r="R1313" s="11"/>
      <c r="S1313" s="11" t="str">
        <f t="shared" si="202"/>
        <v>PASS</v>
      </c>
    </row>
    <row r="1314" spans="1:19" x14ac:dyDescent="0.25">
      <c r="A1314" s="30" t="s">
        <v>98</v>
      </c>
      <c r="B1314" s="31">
        <f t="shared" si="193"/>
        <v>49188</v>
      </c>
      <c r="C1314" s="30">
        <f>YEAR(BInputReservoir[[#This Row],[Date]])</f>
        <v>2034</v>
      </c>
      <c r="D1314" s="30">
        <f>MONTH(BInputReservoir[[#This Row],[Date]])</f>
        <v>9</v>
      </c>
      <c r="E1314" s="30" t="str">
        <f>IF(I1314&lt;&gt;1,"",DATA_INPUT!N232)</f>
        <v/>
      </c>
      <c r="F1314" s="30" t="str">
        <f>STORAGE_BALANCE_ENSEMBLE!BU232</f>
        <v/>
      </c>
      <c r="G1314" s="30" t="str">
        <f>STORAGE_BALANCE_ENSEMBLE!BV232</f>
        <v/>
      </c>
      <c r="H1314" s="30" t="str">
        <f>STORAGE_BALANCE_ENSEMBLE!BT232</f>
        <v/>
      </c>
      <c r="I1314" s="18" t="str">
        <f t="shared" si="194"/>
        <v/>
      </c>
      <c r="J1314" s="8" t="str">
        <f t="shared" si="195"/>
        <v/>
      </c>
      <c r="K1314" s="9" t="str">
        <f t="shared" si="196"/>
        <v/>
      </c>
      <c r="L1314" s="10" t="str">
        <f t="shared" si="197"/>
        <v/>
      </c>
      <c r="M1314" s="10" t="str">
        <f>IF(I1314&lt;&gt;1,"",IF(H1314="","",H1314/CONTROL_PANEL!$B$11))</f>
        <v/>
      </c>
      <c r="N1314" s="9" t="str">
        <f t="shared" si="198"/>
        <v/>
      </c>
      <c r="O1314" s="9" t="str">
        <f t="shared" si="199"/>
        <v/>
      </c>
      <c r="P1314" s="9" t="str">
        <f t="shared" si="200"/>
        <v/>
      </c>
      <c r="Q1314" s="9" t="str">
        <f t="shared" si="201"/>
        <v/>
      </c>
      <c r="R1314" s="11"/>
      <c r="S1314" s="11" t="str">
        <f t="shared" si="202"/>
        <v>PASS</v>
      </c>
    </row>
    <row r="1315" spans="1:19" x14ac:dyDescent="0.25">
      <c r="A1315" s="30" t="s">
        <v>98</v>
      </c>
      <c r="B1315" s="31">
        <f t="shared" si="193"/>
        <v>49218</v>
      </c>
      <c r="C1315" s="30">
        <f>YEAR(BInputReservoir[[#This Row],[Date]])</f>
        <v>2034</v>
      </c>
      <c r="D1315" s="30">
        <f>MONTH(BInputReservoir[[#This Row],[Date]])</f>
        <v>10</v>
      </c>
      <c r="E1315" s="30" t="str">
        <f>IF(I1315&lt;&gt;1,"",DATA_INPUT!N233)</f>
        <v/>
      </c>
      <c r="F1315" s="30" t="str">
        <f>STORAGE_BALANCE_ENSEMBLE!BU233</f>
        <v/>
      </c>
      <c r="G1315" s="30" t="str">
        <f>STORAGE_BALANCE_ENSEMBLE!BV233</f>
        <v/>
      </c>
      <c r="H1315" s="30" t="str">
        <f>STORAGE_BALANCE_ENSEMBLE!BT233</f>
        <v/>
      </c>
      <c r="I1315" s="18" t="str">
        <f t="shared" si="194"/>
        <v/>
      </c>
      <c r="J1315" s="8" t="str">
        <f t="shared" si="195"/>
        <v/>
      </c>
      <c r="K1315" s="9" t="str">
        <f t="shared" si="196"/>
        <v/>
      </c>
      <c r="L1315" s="10" t="str">
        <f t="shared" si="197"/>
        <v/>
      </c>
      <c r="M1315" s="10" t="str">
        <f>IF(I1315&lt;&gt;1,"",IF(H1315="","",H1315/CONTROL_PANEL!$B$11))</f>
        <v/>
      </c>
      <c r="N1315" s="9" t="str">
        <f t="shared" si="198"/>
        <v/>
      </c>
      <c r="O1315" s="9" t="str">
        <f t="shared" si="199"/>
        <v/>
      </c>
      <c r="P1315" s="9" t="str">
        <f t="shared" si="200"/>
        <v/>
      </c>
      <c r="Q1315" s="9" t="str">
        <f t="shared" si="201"/>
        <v/>
      </c>
      <c r="R1315" s="11"/>
      <c r="S1315" s="11" t="str">
        <f t="shared" si="202"/>
        <v>PASS</v>
      </c>
    </row>
    <row r="1316" spans="1:19" x14ac:dyDescent="0.25">
      <c r="A1316" s="30" t="s">
        <v>98</v>
      </c>
      <c r="B1316" s="31">
        <f t="shared" si="193"/>
        <v>49249</v>
      </c>
      <c r="C1316" s="30">
        <f>YEAR(BInputReservoir[[#This Row],[Date]])</f>
        <v>2034</v>
      </c>
      <c r="D1316" s="30">
        <f>MONTH(BInputReservoir[[#This Row],[Date]])</f>
        <v>11</v>
      </c>
      <c r="E1316" s="30" t="str">
        <f>IF(I1316&lt;&gt;1,"",DATA_INPUT!N234)</f>
        <v/>
      </c>
      <c r="F1316" s="30" t="str">
        <f>STORAGE_BALANCE_ENSEMBLE!BU234</f>
        <v/>
      </c>
      <c r="G1316" s="30" t="str">
        <f>STORAGE_BALANCE_ENSEMBLE!BV234</f>
        <v/>
      </c>
      <c r="H1316" s="30" t="str">
        <f>STORAGE_BALANCE_ENSEMBLE!BT234</f>
        <v/>
      </c>
      <c r="I1316" s="18" t="str">
        <f t="shared" si="194"/>
        <v/>
      </c>
      <c r="J1316" s="8" t="str">
        <f t="shared" si="195"/>
        <v/>
      </c>
      <c r="K1316" s="9" t="str">
        <f t="shared" si="196"/>
        <v/>
      </c>
      <c r="L1316" s="10" t="str">
        <f t="shared" si="197"/>
        <v/>
      </c>
      <c r="M1316" s="10" t="str">
        <f>IF(I1316&lt;&gt;1,"",IF(H1316="","",H1316/CONTROL_PANEL!$B$11))</f>
        <v/>
      </c>
      <c r="N1316" s="9" t="str">
        <f t="shared" si="198"/>
        <v/>
      </c>
      <c r="O1316" s="9" t="str">
        <f t="shared" si="199"/>
        <v/>
      </c>
      <c r="P1316" s="9" t="str">
        <f t="shared" si="200"/>
        <v/>
      </c>
      <c r="Q1316" s="9" t="str">
        <f t="shared" si="201"/>
        <v/>
      </c>
      <c r="R1316" s="11"/>
      <c r="S1316" s="11" t="str">
        <f t="shared" si="202"/>
        <v>PASS</v>
      </c>
    </row>
    <row r="1317" spans="1:19" x14ac:dyDescent="0.25">
      <c r="A1317" s="30" t="s">
        <v>98</v>
      </c>
      <c r="B1317" s="31">
        <f t="shared" si="193"/>
        <v>49279</v>
      </c>
      <c r="C1317" s="30">
        <f>YEAR(BInputReservoir[[#This Row],[Date]])</f>
        <v>2034</v>
      </c>
      <c r="D1317" s="30">
        <f>MONTH(BInputReservoir[[#This Row],[Date]])</f>
        <v>12</v>
      </c>
      <c r="E1317" s="30" t="str">
        <f>IF(I1317&lt;&gt;1,"",DATA_INPUT!N235)</f>
        <v/>
      </c>
      <c r="F1317" s="30" t="str">
        <f>STORAGE_BALANCE_ENSEMBLE!BU235</f>
        <v/>
      </c>
      <c r="G1317" s="30" t="str">
        <f>STORAGE_BALANCE_ENSEMBLE!BV235</f>
        <v/>
      </c>
      <c r="H1317" s="30" t="str">
        <f>STORAGE_BALANCE_ENSEMBLE!BT235</f>
        <v/>
      </c>
      <c r="I1317" s="18" t="str">
        <f t="shared" si="194"/>
        <v/>
      </c>
      <c r="J1317" s="8" t="str">
        <f t="shared" si="195"/>
        <v/>
      </c>
      <c r="K1317" s="9" t="str">
        <f t="shared" si="196"/>
        <v/>
      </c>
      <c r="L1317" s="10" t="str">
        <f t="shared" si="197"/>
        <v/>
      </c>
      <c r="M1317" s="10" t="str">
        <f>IF(I1317&lt;&gt;1,"",IF(H1317="","",H1317/CONTROL_PANEL!$B$11))</f>
        <v/>
      </c>
      <c r="N1317" s="9" t="str">
        <f t="shared" si="198"/>
        <v/>
      </c>
      <c r="O1317" s="9" t="str">
        <f t="shared" si="199"/>
        <v/>
      </c>
      <c r="P1317" s="9" t="str">
        <f t="shared" si="200"/>
        <v/>
      </c>
      <c r="Q1317" s="9" t="str">
        <f t="shared" si="201"/>
        <v/>
      </c>
      <c r="R1317" s="11"/>
      <c r="S1317" s="11" t="str">
        <f t="shared" si="202"/>
        <v>PASS</v>
      </c>
    </row>
    <row r="1318" spans="1:19" x14ac:dyDescent="0.25">
      <c r="A1318" s="30" t="s">
        <v>98</v>
      </c>
      <c r="B1318" s="31">
        <f t="shared" si="193"/>
        <v>49310</v>
      </c>
      <c r="C1318" s="30">
        <f>YEAR(BInputReservoir[[#This Row],[Date]])</f>
        <v>2035</v>
      </c>
      <c r="D1318" s="30">
        <f>MONTH(BInputReservoir[[#This Row],[Date]])</f>
        <v>1</v>
      </c>
      <c r="E1318" s="30" t="str">
        <f>IF(I1318&lt;&gt;1,"",DATA_INPUT!N236)</f>
        <v/>
      </c>
      <c r="F1318" s="30" t="str">
        <f>STORAGE_BALANCE_ENSEMBLE!BU236</f>
        <v/>
      </c>
      <c r="G1318" s="30" t="str">
        <f>STORAGE_BALANCE_ENSEMBLE!BV236</f>
        <v/>
      </c>
      <c r="H1318" s="30" t="str">
        <f>STORAGE_BALANCE_ENSEMBLE!BT236</f>
        <v/>
      </c>
      <c r="I1318" s="18" t="str">
        <f t="shared" si="194"/>
        <v/>
      </c>
      <c r="J1318" s="8" t="str">
        <f t="shared" si="195"/>
        <v/>
      </c>
      <c r="K1318" s="9" t="str">
        <f t="shared" si="196"/>
        <v/>
      </c>
      <c r="L1318" s="10" t="str">
        <f t="shared" si="197"/>
        <v/>
      </c>
      <c r="M1318" s="10" t="str">
        <f>IF(I1318&lt;&gt;1,"",IF(H1318="","",H1318/CONTROL_PANEL!$B$11))</f>
        <v/>
      </c>
      <c r="N1318" s="9" t="str">
        <f t="shared" si="198"/>
        <v/>
      </c>
      <c r="O1318" s="9" t="str">
        <f t="shared" si="199"/>
        <v/>
      </c>
      <c r="P1318" s="9" t="str">
        <f t="shared" si="200"/>
        <v/>
      </c>
      <c r="Q1318" s="9" t="str">
        <f t="shared" si="201"/>
        <v/>
      </c>
      <c r="R1318" s="11"/>
      <c r="S1318" s="11" t="str">
        <f t="shared" si="202"/>
        <v>PASS</v>
      </c>
    </row>
    <row r="1319" spans="1:19" x14ac:dyDescent="0.25">
      <c r="A1319" s="30" t="s">
        <v>98</v>
      </c>
      <c r="B1319" s="31">
        <f t="shared" si="193"/>
        <v>49341</v>
      </c>
      <c r="C1319" s="30">
        <f>YEAR(BInputReservoir[[#This Row],[Date]])</f>
        <v>2035</v>
      </c>
      <c r="D1319" s="30">
        <f>MONTH(BInputReservoir[[#This Row],[Date]])</f>
        <v>2</v>
      </c>
      <c r="E1319" s="30" t="str">
        <f>IF(I1319&lt;&gt;1,"",DATA_INPUT!N237)</f>
        <v/>
      </c>
      <c r="F1319" s="30" t="str">
        <f>STORAGE_BALANCE_ENSEMBLE!BU237</f>
        <v/>
      </c>
      <c r="G1319" s="30" t="str">
        <f>STORAGE_BALANCE_ENSEMBLE!BV237</f>
        <v/>
      </c>
      <c r="H1319" s="30" t="str">
        <f>STORAGE_BALANCE_ENSEMBLE!BT237</f>
        <v/>
      </c>
      <c r="I1319" s="18" t="str">
        <f t="shared" si="194"/>
        <v/>
      </c>
      <c r="J1319" s="8" t="str">
        <f t="shared" si="195"/>
        <v/>
      </c>
      <c r="K1319" s="9" t="str">
        <f t="shared" si="196"/>
        <v/>
      </c>
      <c r="L1319" s="10" t="str">
        <f t="shared" si="197"/>
        <v/>
      </c>
      <c r="M1319" s="10" t="str">
        <f>IF(I1319&lt;&gt;1,"",IF(H1319="","",H1319/CONTROL_PANEL!$B$11))</f>
        <v/>
      </c>
      <c r="N1319" s="9" t="str">
        <f t="shared" si="198"/>
        <v/>
      </c>
      <c r="O1319" s="9" t="str">
        <f t="shared" si="199"/>
        <v/>
      </c>
      <c r="P1319" s="9" t="str">
        <f t="shared" si="200"/>
        <v/>
      </c>
      <c r="Q1319" s="9" t="str">
        <f t="shared" si="201"/>
        <v/>
      </c>
      <c r="R1319" s="11"/>
      <c r="S1319" s="11" t="str">
        <f t="shared" si="202"/>
        <v>PASS</v>
      </c>
    </row>
    <row r="1320" spans="1:19" x14ac:dyDescent="0.25">
      <c r="A1320" s="30" t="s">
        <v>98</v>
      </c>
      <c r="B1320" s="31">
        <f t="shared" si="193"/>
        <v>49369</v>
      </c>
      <c r="C1320" s="30">
        <f>YEAR(BInputReservoir[[#This Row],[Date]])</f>
        <v>2035</v>
      </c>
      <c r="D1320" s="30">
        <f>MONTH(BInputReservoir[[#This Row],[Date]])</f>
        <v>3</v>
      </c>
      <c r="E1320" s="30" t="str">
        <f>IF(I1320&lt;&gt;1,"",DATA_INPUT!N238)</f>
        <v/>
      </c>
      <c r="F1320" s="30" t="str">
        <f>STORAGE_BALANCE_ENSEMBLE!BU238</f>
        <v/>
      </c>
      <c r="G1320" s="30" t="str">
        <f>STORAGE_BALANCE_ENSEMBLE!BV238</f>
        <v/>
      </c>
      <c r="H1320" s="30" t="str">
        <f>STORAGE_BALANCE_ENSEMBLE!BT238</f>
        <v/>
      </c>
      <c r="I1320" s="18" t="str">
        <f t="shared" si="194"/>
        <v/>
      </c>
      <c r="J1320" s="8" t="str">
        <f t="shared" si="195"/>
        <v/>
      </c>
      <c r="K1320" s="9" t="str">
        <f t="shared" si="196"/>
        <v/>
      </c>
      <c r="L1320" s="10" t="str">
        <f t="shared" si="197"/>
        <v/>
      </c>
      <c r="M1320" s="10" t="str">
        <f>IF(I1320&lt;&gt;1,"",IF(H1320="","",H1320/CONTROL_PANEL!$B$11))</f>
        <v/>
      </c>
      <c r="N1320" s="9" t="str">
        <f t="shared" si="198"/>
        <v/>
      </c>
      <c r="O1320" s="9" t="str">
        <f t="shared" si="199"/>
        <v/>
      </c>
      <c r="P1320" s="9" t="str">
        <f t="shared" si="200"/>
        <v/>
      </c>
      <c r="Q1320" s="9" t="str">
        <f t="shared" si="201"/>
        <v/>
      </c>
      <c r="R1320" s="11"/>
      <c r="S1320" s="11" t="str">
        <f t="shared" si="202"/>
        <v>PASS</v>
      </c>
    </row>
    <row r="1321" spans="1:19" x14ac:dyDescent="0.25">
      <c r="A1321" s="30" t="s">
        <v>98</v>
      </c>
      <c r="B1321" s="31">
        <f t="shared" si="193"/>
        <v>49400</v>
      </c>
      <c r="C1321" s="30">
        <f>YEAR(BInputReservoir[[#This Row],[Date]])</f>
        <v>2035</v>
      </c>
      <c r="D1321" s="30">
        <f>MONTH(BInputReservoir[[#This Row],[Date]])</f>
        <v>4</v>
      </c>
      <c r="E1321" s="30" t="str">
        <f>IF(I1321&lt;&gt;1,"",DATA_INPUT!N239)</f>
        <v/>
      </c>
      <c r="F1321" s="30" t="str">
        <f>STORAGE_BALANCE_ENSEMBLE!BU239</f>
        <v/>
      </c>
      <c r="G1321" s="30" t="str">
        <f>STORAGE_BALANCE_ENSEMBLE!BV239</f>
        <v/>
      </c>
      <c r="H1321" s="30" t="str">
        <f>STORAGE_BALANCE_ENSEMBLE!BT239</f>
        <v/>
      </c>
      <c r="I1321" s="18" t="str">
        <f t="shared" si="194"/>
        <v/>
      </c>
      <c r="J1321" s="8" t="str">
        <f t="shared" si="195"/>
        <v/>
      </c>
      <c r="K1321" s="9" t="str">
        <f t="shared" si="196"/>
        <v/>
      </c>
      <c r="L1321" s="10" t="str">
        <f t="shared" si="197"/>
        <v/>
      </c>
      <c r="M1321" s="10" t="str">
        <f>IF(I1321&lt;&gt;1,"",IF(H1321="","",H1321/CONTROL_PANEL!$B$11))</f>
        <v/>
      </c>
      <c r="N1321" s="9" t="str">
        <f t="shared" si="198"/>
        <v/>
      </c>
      <c r="O1321" s="9" t="str">
        <f t="shared" si="199"/>
        <v/>
      </c>
      <c r="P1321" s="9" t="str">
        <f t="shared" si="200"/>
        <v/>
      </c>
      <c r="Q1321" s="9" t="str">
        <f t="shared" si="201"/>
        <v/>
      </c>
      <c r="R1321" s="11"/>
      <c r="S1321" s="11" t="str">
        <f t="shared" si="202"/>
        <v>PASS</v>
      </c>
    </row>
    <row r="1322" spans="1:19" x14ac:dyDescent="0.25">
      <c r="A1322" s="30" t="s">
        <v>98</v>
      </c>
      <c r="B1322" s="31">
        <f t="shared" si="193"/>
        <v>49430</v>
      </c>
      <c r="C1322" s="30">
        <f>YEAR(BInputReservoir[[#This Row],[Date]])</f>
        <v>2035</v>
      </c>
      <c r="D1322" s="30">
        <f>MONTH(BInputReservoir[[#This Row],[Date]])</f>
        <v>5</v>
      </c>
      <c r="E1322" s="30" t="str">
        <f>IF(I1322&lt;&gt;1,"",DATA_INPUT!N240)</f>
        <v/>
      </c>
      <c r="F1322" s="30" t="str">
        <f>STORAGE_BALANCE_ENSEMBLE!BU240</f>
        <v/>
      </c>
      <c r="G1322" s="30" t="str">
        <f>STORAGE_BALANCE_ENSEMBLE!BV240</f>
        <v/>
      </c>
      <c r="H1322" s="30" t="str">
        <f>STORAGE_BALANCE_ENSEMBLE!BT240</f>
        <v/>
      </c>
      <c r="I1322" s="18" t="str">
        <f t="shared" si="194"/>
        <v/>
      </c>
      <c r="J1322" s="8" t="str">
        <f t="shared" si="195"/>
        <v/>
      </c>
      <c r="K1322" s="9" t="str">
        <f t="shared" si="196"/>
        <v/>
      </c>
      <c r="L1322" s="10" t="str">
        <f t="shared" si="197"/>
        <v/>
      </c>
      <c r="M1322" s="10" t="str">
        <f>IF(I1322&lt;&gt;1,"",IF(H1322="","",H1322/CONTROL_PANEL!$B$11))</f>
        <v/>
      </c>
      <c r="N1322" s="9" t="str">
        <f t="shared" si="198"/>
        <v/>
      </c>
      <c r="O1322" s="9" t="str">
        <f t="shared" si="199"/>
        <v/>
      </c>
      <c r="P1322" s="9" t="str">
        <f t="shared" si="200"/>
        <v/>
      </c>
      <c r="Q1322" s="9" t="str">
        <f t="shared" si="201"/>
        <v/>
      </c>
      <c r="R1322" s="11"/>
      <c r="S1322" s="11" t="str">
        <f t="shared" si="202"/>
        <v>PASS</v>
      </c>
    </row>
    <row r="1323" spans="1:19" x14ac:dyDescent="0.25">
      <c r="A1323" s="30" t="s">
        <v>98</v>
      </c>
      <c r="B1323" s="31">
        <f t="shared" si="193"/>
        <v>49461</v>
      </c>
      <c r="C1323" s="30">
        <f>YEAR(BInputReservoir[[#This Row],[Date]])</f>
        <v>2035</v>
      </c>
      <c r="D1323" s="30">
        <f>MONTH(BInputReservoir[[#This Row],[Date]])</f>
        <v>6</v>
      </c>
      <c r="E1323" s="30" t="str">
        <f>IF(I1323&lt;&gt;1,"",DATA_INPUT!N241)</f>
        <v/>
      </c>
      <c r="F1323" s="30" t="str">
        <f>STORAGE_BALANCE_ENSEMBLE!BU241</f>
        <v/>
      </c>
      <c r="G1323" s="30" t="str">
        <f>STORAGE_BALANCE_ENSEMBLE!BV241</f>
        <v/>
      </c>
      <c r="H1323" s="30" t="str">
        <f>STORAGE_BALANCE_ENSEMBLE!BT241</f>
        <v/>
      </c>
      <c r="I1323" s="18" t="str">
        <f t="shared" si="194"/>
        <v/>
      </c>
      <c r="J1323" s="8" t="str">
        <f t="shared" si="195"/>
        <v/>
      </c>
      <c r="K1323" s="9" t="str">
        <f t="shared" si="196"/>
        <v/>
      </c>
      <c r="L1323" s="10" t="str">
        <f t="shared" si="197"/>
        <v/>
      </c>
      <c r="M1323" s="10" t="str">
        <f>IF(I1323&lt;&gt;1,"",IF(H1323="","",H1323/CONTROL_PANEL!$B$11))</f>
        <v/>
      </c>
      <c r="N1323" s="9" t="str">
        <f t="shared" si="198"/>
        <v/>
      </c>
      <c r="O1323" s="9" t="str">
        <f t="shared" si="199"/>
        <v/>
      </c>
      <c r="P1323" s="9" t="str">
        <f t="shared" si="200"/>
        <v/>
      </c>
      <c r="Q1323" s="9" t="str">
        <f t="shared" si="201"/>
        <v/>
      </c>
      <c r="R1323" s="11"/>
      <c r="S1323" s="11" t="str">
        <f t="shared" si="202"/>
        <v>PASS</v>
      </c>
    </row>
    <row r="1324" spans="1:19" x14ac:dyDescent="0.25">
      <c r="A1324" s="30" t="s">
        <v>98</v>
      </c>
      <c r="B1324" s="31">
        <f t="shared" si="193"/>
        <v>49491</v>
      </c>
      <c r="C1324" s="30">
        <f>YEAR(BInputReservoir[[#This Row],[Date]])</f>
        <v>2035</v>
      </c>
      <c r="D1324" s="30">
        <f>MONTH(BInputReservoir[[#This Row],[Date]])</f>
        <v>7</v>
      </c>
      <c r="E1324" s="30" t="str">
        <f>IF(I1324&lt;&gt;1,"",DATA_INPUT!N242)</f>
        <v/>
      </c>
      <c r="F1324" s="30" t="str">
        <f>STORAGE_BALANCE_ENSEMBLE!BU242</f>
        <v/>
      </c>
      <c r="G1324" s="30" t="str">
        <f>STORAGE_BALANCE_ENSEMBLE!BV242</f>
        <v/>
      </c>
      <c r="H1324" s="30" t="str">
        <f>STORAGE_BALANCE_ENSEMBLE!BT242</f>
        <v/>
      </c>
      <c r="I1324" s="18" t="str">
        <f t="shared" si="194"/>
        <v/>
      </c>
      <c r="J1324" s="8" t="str">
        <f t="shared" si="195"/>
        <v/>
      </c>
      <c r="K1324" s="9" t="str">
        <f t="shared" si="196"/>
        <v/>
      </c>
      <c r="L1324" s="10" t="str">
        <f t="shared" si="197"/>
        <v/>
      </c>
      <c r="M1324" s="10" t="str">
        <f>IF(I1324&lt;&gt;1,"",IF(H1324="","",H1324/CONTROL_PANEL!$B$11))</f>
        <v/>
      </c>
      <c r="N1324" s="9" t="str">
        <f t="shared" si="198"/>
        <v/>
      </c>
      <c r="O1324" s="9" t="str">
        <f t="shared" si="199"/>
        <v/>
      </c>
      <c r="P1324" s="9" t="str">
        <f t="shared" si="200"/>
        <v/>
      </c>
      <c r="Q1324" s="9" t="str">
        <f t="shared" si="201"/>
        <v/>
      </c>
      <c r="R1324" s="11"/>
      <c r="S1324" s="11" t="str">
        <f t="shared" si="202"/>
        <v>PASS</v>
      </c>
    </row>
    <row r="1325" spans="1:19" x14ac:dyDescent="0.25">
      <c r="A1325" s="30" t="s">
        <v>98</v>
      </c>
      <c r="B1325" s="31">
        <f t="shared" si="193"/>
        <v>49522</v>
      </c>
      <c r="C1325" s="30">
        <f>YEAR(BInputReservoir[[#This Row],[Date]])</f>
        <v>2035</v>
      </c>
      <c r="D1325" s="30">
        <f>MONTH(BInputReservoir[[#This Row],[Date]])</f>
        <v>8</v>
      </c>
      <c r="E1325" s="30" t="str">
        <f>IF(I1325&lt;&gt;1,"",DATA_INPUT!N243)</f>
        <v/>
      </c>
      <c r="F1325" s="30" t="str">
        <f>STORAGE_BALANCE_ENSEMBLE!BU243</f>
        <v/>
      </c>
      <c r="G1325" s="30" t="str">
        <f>STORAGE_BALANCE_ENSEMBLE!BV243</f>
        <v/>
      </c>
      <c r="H1325" s="30" t="str">
        <f>STORAGE_BALANCE_ENSEMBLE!BT243</f>
        <v/>
      </c>
      <c r="I1325" s="18" t="str">
        <f t="shared" si="194"/>
        <v/>
      </c>
      <c r="J1325" s="8" t="str">
        <f t="shared" si="195"/>
        <v/>
      </c>
      <c r="K1325" s="9" t="str">
        <f t="shared" si="196"/>
        <v/>
      </c>
      <c r="L1325" s="10" t="str">
        <f t="shared" si="197"/>
        <v/>
      </c>
      <c r="M1325" s="10" t="str">
        <f>IF(I1325&lt;&gt;1,"",IF(H1325="","",H1325/CONTROL_PANEL!$B$11))</f>
        <v/>
      </c>
      <c r="N1325" s="9" t="str">
        <f t="shared" si="198"/>
        <v/>
      </c>
      <c r="O1325" s="9" t="str">
        <f t="shared" si="199"/>
        <v/>
      </c>
      <c r="P1325" s="9" t="str">
        <f t="shared" si="200"/>
        <v/>
      </c>
      <c r="Q1325" s="9" t="str">
        <f t="shared" si="201"/>
        <v/>
      </c>
      <c r="R1325" s="11"/>
      <c r="S1325" s="11" t="str">
        <f t="shared" si="202"/>
        <v>PASS</v>
      </c>
    </row>
    <row r="1326" spans="1:19" x14ac:dyDescent="0.25">
      <c r="A1326" s="30" t="s">
        <v>98</v>
      </c>
      <c r="B1326" s="31">
        <f t="shared" si="193"/>
        <v>49553</v>
      </c>
      <c r="C1326" s="30">
        <f>YEAR(BInputReservoir[[#This Row],[Date]])</f>
        <v>2035</v>
      </c>
      <c r="D1326" s="30">
        <f>MONTH(BInputReservoir[[#This Row],[Date]])</f>
        <v>9</v>
      </c>
      <c r="E1326" s="30" t="str">
        <f>IF(I1326&lt;&gt;1,"",DATA_INPUT!N244)</f>
        <v/>
      </c>
      <c r="F1326" s="30" t="str">
        <f>STORAGE_BALANCE_ENSEMBLE!BU244</f>
        <v/>
      </c>
      <c r="G1326" s="30" t="str">
        <f>STORAGE_BALANCE_ENSEMBLE!BV244</f>
        <v/>
      </c>
      <c r="H1326" s="30" t="str">
        <f>STORAGE_BALANCE_ENSEMBLE!BT244</f>
        <v/>
      </c>
      <c r="I1326" s="18" t="str">
        <f t="shared" si="194"/>
        <v/>
      </c>
      <c r="J1326" s="8" t="str">
        <f t="shared" si="195"/>
        <v/>
      </c>
      <c r="K1326" s="9" t="str">
        <f t="shared" si="196"/>
        <v/>
      </c>
      <c r="L1326" s="10" t="str">
        <f t="shared" si="197"/>
        <v/>
      </c>
      <c r="M1326" s="10" t="str">
        <f>IF(I1326&lt;&gt;1,"",IF(H1326="","",H1326/CONTROL_PANEL!$B$11))</f>
        <v/>
      </c>
      <c r="N1326" s="9" t="str">
        <f t="shared" si="198"/>
        <v/>
      </c>
      <c r="O1326" s="9" t="str">
        <f t="shared" si="199"/>
        <v/>
      </c>
      <c r="P1326" s="9" t="str">
        <f t="shared" si="200"/>
        <v/>
      </c>
      <c r="Q1326" s="9" t="str">
        <f t="shared" si="201"/>
        <v/>
      </c>
      <c r="R1326" s="11"/>
      <c r="S1326" s="11" t="str">
        <f t="shared" si="202"/>
        <v>PASS</v>
      </c>
    </row>
    <row r="1327" spans="1:19" x14ac:dyDescent="0.25">
      <c r="A1327" s="30" t="s">
        <v>98</v>
      </c>
      <c r="B1327" s="31">
        <f t="shared" si="193"/>
        <v>49583</v>
      </c>
      <c r="C1327" s="30">
        <f>YEAR(BInputReservoir[[#This Row],[Date]])</f>
        <v>2035</v>
      </c>
      <c r="D1327" s="30">
        <f>MONTH(BInputReservoir[[#This Row],[Date]])</f>
        <v>10</v>
      </c>
      <c r="E1327" s="30" t="str">
        <f>IF(I1327&lt;&gt;1,"",DATA_INPUT!N245)</f>
        <v/>
      </c>
      <c r="F1327" s="30" t="str">
        <f>STORAGE_BALANCE_ENSEMBLE!BU245</f>
        <v/>
      </c>
      <c r="G1327" s="30" t="str">
        <f>STORAGE_BALANCE_ENSEMBLE!BV245</f>
        <v/>
      </c>
      <c r="H1327" s="30" t="str">
        <f>STORAGE_BALANCE_ENSEMBLE!BT245</f>
        <v/>
      </c>
      <c r="I1327" s="18" t="str">
        <f t="shared" si="194"/>
        <v/>
      </c>
      <c r="J1327" s="8" t="str">
        <f t="shared" si="195"/>
        <v/>
      </c>
      <c r="K1327" s="9" t="str">
        <f t="shared" si="196"/>
        <v/>
      </c>
      <c r="L1327" s="10" t="str">
        <f t="shared" si="197"/>
        <v/>
      </c>
      <c r="M1327" s="10" t="str">
        <f>IF(I1327&lt;&gt;1,"",IF(H1327="","",H1327/CONTROL_PANEL!$B$11))</f>
        <v/>
      </c>
      <c r="N1327" s="9" t="str">
        <f t="shared" si="198"/>
        <v/>
      </c>
      <c r="O1327" s="9" t="str">
        <f t="shared" si="199"/>
        <v/>
      </c>
      <c r="P1327" s="9" t="str">
        <f t="shared" si="200"/>
        <v/>
      </c>
      <c r="Q1327" s="9" t="str">
        <f t="shared" si="201"/>
        <v/>
      </c>
      <c r="R1327" s="11"/>
      <c r="S1327" s="11" t="str">
        <f t="shared" si="202"/>
        <v>PASS</v>
      </c>
    </row>
    <row r="1328" spans="1:19" x14ac:dyDescent="0.25">
      <c r="A1328" s="30" t="s">
        <v>98</v>
      </c>
      <c r="B1328" s="31">
        <f t="shared" si="193"/>
        <v>49614</v>
      </c>
      <c r="C1328" s="30">
        <f>YEAR(BInputReservoir[[#This Row],[Date]])</f>
        <v>2035</v>
      </c>
      <c r="D1328" s="30">
        <f>MONTH(BInputReservoir[[#This Row],[Date]])</f>
        <v>11</v>
      </c>
      <c r="E1328" s="30" t="str">
        <f>IF(I1328&lt;&gt;1,"",DATA_INPUT!N246)</f>
        <v/>
      </c>
      <c r="F1328" s="30" t="str">
        <f>STORAGE_BALANCE_ENSEMBLE!BU246</f>
        <v/>
      </c>
      <c r="G1328" s="30" t="str">
        <f>STORAGE_BALANCE_ENSEMBLE!BV246</f>
        <v/>
      </c>
      <c r="H1328" s="30" t="str">
        <f>STORAGE_BALANCE_ENSEMBLE!BT246</f>
        <v/>
      </c>
      <c r="I1328" s="18" t="str">
        <f t="shared" si="194"/>
        <v/>
      </c>
      <c r="J1328" s="8" t="str">
        <f t="shared" si="195"/>
        <v/>
      </c>
      <c r="K1328" s="9" t="str">
        <f t="shared" si="196"/>
        <v/>
      </c>
      <c r="L1328" s="10" t="str">
        <f t="shared" si="197"/>
        <v/>
      </c>
      <c r="M1328" s="10" t="str">
        <f>IF(I1328&lt;&gt;1,"",IF(H1328="","",H1328/CONTROL_PANEL!$B$11))</f>
        <v/>
      </c>
      <c r="N1328" s="9" t="str">
        <f t="shared" si="198"/>
        <v/>
      </c>
      <c r="O1328" s="9" t="str">
        <f t="shared" si="199"/>
        <v/>
      </c>
      <c r="P1328" s="9" t="str">
        <f t="shared" si="200"/>
        <v/>
      </c>
      <c r="Q1328" s="9" t="str">
        <f t="shared" si="201"/>
        <v/>
      </c>
      <c r="R1328" s="11"/>
      <c r="S1328" s="11" t="str">
        <f t="shared" si="202"/>
        <v>PASS</v>
      </c>
    </row>
    <row r="1329" spans="1:19" x14ac:dyDescent="0.25">
      <c r="A1329" s="30" t="s">
        <v>98</v>
      </c>
      <c r="B1329" s="31">
        <f t="shared" si="193"/>
        <v>49644</v>
      </c>
      <c r="C1329" s="30">
        <f>YEAR(BInputReservoir[[#This Row],[Date]])</f>
        <v>2035</v>
      </c>
      <c r="D1329" s="30">
        <f>MONTH(BInputReservoir[[#This Row],[Date]])</f>
        <v>12</v>
      </c>
      <c r="E1329" s="30" t="str">
        <f>IF(I1329&lt;&gt;1,"",DATA_INPUT!N247)</f>
        <v/>
      </c>
      <c r="F1329" s="30" t="str">
        <f>STORAGE_BALANCE_ENSEMBLE!BU247</f>
        <v/>
      </c>
      <c r="G1329" s="30" t="str">
        <f>STORAGE_BALANCE_ENSEMBLE!BV247</f>
        <v/>
      </c>
      <c r="H1329" s="30" t="str">
        <f>STORAGE_BALANCE_ENSEMBLE!BT247</f>
        <v/>
      </c>
      <c r="I1329" s="18" t="str">
        <f t="shared" si="194"/>
        <v/>
      </c>
      <c r="J1329" s="8" t="str">
        <f t="shared" si="195"/>
        <v/>
      </c>
      <c r="K1329" s="9" t="str">
        <f t="shared" si="196"/>
        <v/>
      </c>
      <c r="L1329" s="10" t="str">
        <f t="shared" si="197"/>
        <v/>
      </c>
      <c r="M1329" s="10" t="str">
        <f>IF(I1329&lt;&gt;1,"",IF(H1329="","",H1329/CONTROL_PANEL!$B$11))</f>
        <v/>
      </c>
      <c r="N1329" s="9" t="str">
        <f t="shared" si="198"/>
        <v/>
      </c>
      <c r="O1329" s="9" t="str">
        <f t="shared" si="199"/>
        <v/>
      </c>
      <c r="P1329" s="9" t="str">
        <f t="shared" si="200"/>
        <v/>
      </c>
      <c r="Q1329" s="9" t="str">
        <f t="shared" si="201"/>
        <v/>
      </c>
      <c r="R1329" s="11"/>
      <c r="S1329" s="11" t="str">
        <f t="shared" si="202"/>
        <v>PASS</v>
      </c>
    </row>
    <row r="1330" spans="1:19" x14ac:dyDescent="0.25">
      <c r="A1330" s="30" t="s">
        <v>98</v>
      </c>
      <c r="B1330" s="31">
        <f t="shared" si="193"/>
        <v>49675</v>
      </c>
      <c r="C1330" s="30">
        <f>YEAR(BInputReservoir[[#This Row],[Date]])</f>
        <v>2036</v>
      </c>
      <c r="D1330" s="30">
        <f>MONTH(BInputReservoir[[#This Row],[Date]])</f>
        <v>1</v>
      </c>
      <c r="E1330" s="30" t="str">
        <f>IF(I1330&lt;&gt;1,"",DATA_INPUT!N248)</f>
        <v/>
      </c>
      <c r="F1330" s="30" t="str">
        <f>STORAGE_BALANCE_ENSEMBLE!BU248</f>
        <v/>
      </c>
      <c r="G1330" s="30" t="str">
        <f>STORAGE_BALANCE_ENSEMBLE!BV248</f>
        <v/>
      </c>
      <c r="H1330" s="30" t="str">
        <f>STORAGE_BALANCE_ENSEMBLE!BT248</f>
        <v/>
      </c>
      <c r="I1330" s="18" t="str">
        <f t="shared" si="194"/>
        <v/>
      </c>
      <c r="J1330" s="8" t="str">
        <f t="shared" si="195"/>
        <v/>
      </c>
      <c r="K1330" s="9" t="str">
        <f t="shared" si="196"/>
        <v/>
      </c>
      <c r="L1330" s="10" t="str">
        <f t="shared" si="197"/>
        <v/>
      </c>
      <c r="M1330" s="10" t="str">
        <f>IF(I1330&lt;&gt;1,"",IF(H1330="","",H1330/CONTROL_PANEL!$B$11))</f>
        <v/>
      </c>
      <c r="N1330" s="9" t="str">
        <f t="shared" si="198"/>
        <v/>
      </c>
      <c r="O1330" s="9" t="str">
        <f t="shared" si="199"/>
        <v/>
      </c>
      <c r="P1330" s="9" t="str">
        <f t="shared" si="200"/>
        <v/>
      </c>
      <c r="Q1330" s="9" t="str">
        <f t="shared" si="201"/>
        <v/>
      </c>
      <c r="R1330" s="11"/>
      <c r="S1330" s="11" t="str">
        <f t="shared" si="202"/>
        <v>PASS</v>
      </c>
    </row>
    <row r="1331" spans="1:19" x14ac:dyDescent="0.25">
      <c r="A1331" s="30" t="s">
        <v>98</v>
      </c>
      <c r="B1331" s="31">
        <f t="shared" si="193"/>
        <v>49706</v>
      </c>
      <c r="C1331" s="30">
        <f>YEAR(BInputReservoir[[#This Row],[Date]])</f>
        <v>2036</v>
      </c>
      <c r="D1331" s="30">
        <f>MONTH(BInputReservoir[[#This Row],[Date]])</f>
        <v>2</v>
      </c>
      <c r="E1331" s="30" t="str">
        <f>IF(I1331&lt;&gt;1,"",DATA_INPUT!N249)</f>
        <v/>
      </c>
      <c r="F1331" s="30" t="str">
        <f>STORAGE_BALANCE_ENSEMBLE!BU249</f>
        <v/>
      </c>
      <c r="G1331" s="30" t="str">
        <f>STORAGE_BALANCE_ENSEMBLE!BV249</f>
        <v/>
      </c>
      <c r="H1331" s="30" t="str">
        <f>STORAGE_BALANCE_ENSEMBLE!BT249</f>
        <v/>
      </c>
      <c r="I1331" s="18" t="str">
        <f t="shared" si="194"/>
        <v/>
      </c>
      <c r="J1331" s="8" t="str">
        <f t="shared" si="195"/>
        <v/>
      </c>
      <c r="K1331" s="9" t="str">
        <f t="shared" si="196"/>
        <v/>
      </c>
      <c r="L1331" s="10" t="str">
        <f t="shared" si="197"/>
        <v/>
      </c>
      <c r="M1331" s="10" t="str">
        <f>IF(I1331&lt;&gt;1,"",IF(H1331="","",H1331/CONTROL_PANEL!$B$11))</f>
        <v/>
      </c>
      <c r="N1331" s="9" t="str">
        <f t="shared" si="198"/>
        <v/>
      </c>
      <c r="O1331" s="9" t="str">
        <f t="shared" si="199"/>
        <v/>
      </c>
      <c r="P1331" s="9" t="str">
        <f t="shared" si="200"/>
        <v/>
      </c>
      <c r="Q1331" s="9" t="str">
        <f t="shared" si="201"/>
        <v/>
      </c>
      <c r="R1331" s="11"/>
      <c r="S1331" s="11" t="str">
        <f t="shared" si="202"/>
        <v>PASS</v>
      </c>
    </row>
    <row r="1332" spans="1:19" x14ac:dyDescent="0.25">
      <c r="A1332" s="30" t="s">
        <v>98</v>
      </c>
      <c r="B1332" s="31">
        <f t="shared" si="193"/>
        <v>49735</v>
      </c>
      <c r="C1332" s="30">
        <f>YEAR(BInputReservoir[[#This Row],[Date]])</f>
        <v>2036</v>
      </c>
      <c r="D1332" s="30">
        <f>MONTH(BInputReservoir[[#This Row],[Date]])</f>
        <v>3</v>
      </c>
      <c r="E1332" s="30" t="str">
        <f>IF(I1332&lt;&gt;1,"",DATA_INPUT!N250)</f>
        <v/>
      </c>
      <c r="F1332" s="30" t="str">
        <f>STORAGE_BALANCE_ENSEMBLE!BU250</f>
        <v/>
      </c>
      <c r="G1332" s="30" t="str">
        <f>STORAGE_BALANCE_ENSEMBLE!BV250</f>
        <v/>
      </c>
      <c r="H1332" s="30" t="str">
        <f>STORAGE_BALANCE_ENSEMBLE!BT250</f>
        <v/>
      </c>
      <c r="I1332" s="18" t="str">
        <f t="shared" si="194"/>
        <v/>
      </c>
      <c r="J1332" s="8" t="str">
        <f t="shared" si="195"/>
        <v/>
      </c>
      <c r="K1332" s="9" t="str">
        <f t="shared" si="196"/>
        <v/>
      </c>
      <c r="L1332" s="10" t="str">
        <f t="shared" si="197"/>
        <v/>
      </c>
      <c r="M1332" s="10" t="str">
        <f>IF(I1332&lt;&gt;1,"",IF(H1332="","",H1332/CONTROL_PANEL!$B$11))</f>
        <v/>
      </c>
      <c r="N1332" s="9" t="str">
        <f t="shared" si="198"/>
        <v/>
      </c>
      <c r="O1332" s="9" t="str">
        <f t="shared" si="199"/>
        <v/>
      </c>
      <c r="P1332" s="9" t="str">
        <f t="shared" si="200"/>
        <v/>
      </c>
      <c r="Q1332" s="9" t="str">
        <f t="shared" si="201"/>
        <v/>
      </c>
      <c r="R1332" s="11"/>
      <c r="S1332" s="11" t="str">
        <f t="shared" si="202"/>
        <v>PASS</v>
      </c>
    </row>
    <row r="1333" spans="1:19" x14ac:dyDescent="0.25">
      <c r="A1333" s="30" t="s">
        <v>98</v>
      </c>
      <c r="B1333" s="31">
        <f t="shared" si="193"/>
        <v>49766</v>
      </c>
      <c r="C1333" s="30">
        <f>YEAR(BInputReservoir[[#This Row],[Date]])</f>
        <v>2036</v>
      </c>
      <c r="D1333" s="30">
        <f>MONTH(BInputReservoir[[#This Row],[Date]])</f>
        <v>4</v>
      </c>
      <c r="E1333" s="30" t="str">
        <f>IF(I1333&lt;&gt;1,"",DATA_INPUT!N251)</f>
        <v/>
      </c>
      <c r="F1333" s="30" t="str">
        <f>STORAGE_BALANCE_ENSEMBLE!BU251</f>
        <v/>
      </c>
      <c r="G1333" s="30" t="str">
        <f>STORAGE_BALANCE_ENSEMBLE!BV251</f>
        <v/>
      </c>
      <c r="H1333" s="30" t="str">
        <f>STORAGE_BALANCE_ENSEMBLE!BT251</f>
        <v/>
      </c>
      <c r="I1333" s="18" t="str">
        <f t="shared" si="194"/>
        <v/>
      </c>
      <c r="J1333" s="8" t="str">
        <f t="shared" si="195"/>
        <v/>
      </c>
      <c r="K1333" s="9" t="str">
        <f t="shared" si="196"/>
        <v/>
      </c>
      <c r="L1333" s="10" t="str">
        <f t="shared" si="197"/>
        <v/>
      </c>
      <c r="M1333" s="10" t="str">
        <f>IF(I1333&lt;&gt;1,"",IF(H1333="","",H1333/CONTROL_PANEL!$B$11))</f>
        <v/>
      </c>
      <c r="N1333" s="9" t="str">
        <f t="shared" si="198"/>
        <v/>
      </c>
      <c r="O1333" s="9" t="str">
        <f t="shared" si="199"/>
        <v/>
      </c>
      <c r="P1333" s="9" t="str">
        <f t="shared" si="200"/>
        <v/>
      </c>
      <c r="Q1333" s="9" t="str">
        <f t="shared" si="201"/>
        <v/>
      </c>
      <c r="R1333" s="11"/>
      <c r="S1333" s="11" t="str">
        <f t="shared" si="202"/>
        <v>PASS</v>
      </c>
    </row>
    <row r="1334" spans="1:19" x14ac:dyDescent="0.25">
      <c r="A1334" s="30" t="s">
        <v>98</v>
      </c>
      <c r="B1334" s="31">
        <f t="shared" si="193"/>
        <v>49796</v>
      </c>
      <c r="C1334" s="30">
        <f>YEAR(BInputReservoir[[#This Row],[Date]])</f>
        <v>2036</v>
      </c>
      <c r="D1334" s="30">
        <f>MONTH(BInputReservoir[[#This Row],[Date]])</f>
        <v>5</v>
      </c>
      <c r="E1334" s="30" t="str">
        <f>IF(I1334&lt;&gt;1,"",DATA_INPUT!N252)</f>
        <v/>
      </c>
      <c r="F1334" s="30" t="str">
        <f>STORAGE_BALANCE_ENSEMBLE!BU252</f>
        <v/>
      </c>
      <c r="G1334" s="30" t="str">
        <f>STORAGE_BALANCE_ENSEMBLE!BV252</f>
        <v/>
      </c>
      <c r="H1334" s="30" t="str">
        <f>STORAGE_BALANCE_ENSEMBLE!BT252</f>
        <v/>
      </c>
      <c r="I1334" s="18" t="str">
        <f t="shared" si="194"/>
        <v/>
      </c>
      <c r="J1334" s="8" t="str">
        <f t="shared" si="195"/>
        <v/>
      </c>
      <c r="K1334" s="9" t="str">
        <f t="shared" si="196"/>
        <v/>
      </c>
      <c r="L1334" s="10" t="str">
        <f t="shared" si="197"/>
        <v/>
      </c>
      <c r="M1334" s="10" t="str">
        <f>IF(I1334&lt;&gt;1,"",IF(H1334="","",H1334/CONTROL_PANEL!$B$11))</f>
        <v/>
      </c>
      <c r="N1334" s="9" t="str">
        <f t="shared" si="198"/>
        <v/>
      </c>
      <c r="O1334" s="9" t="str">
        <f t="shared" si="199"/>
        <v/>
      </c>
      <c r="P1334" s="9" t="str">
        <f t="shared" si="200"/>
        <v/>
      </c>
      <c r="Q1334" s="9" t="str">
        <f t="shared" si="201"/>
        <v/>
      </c>
      <c r="R1334" s="11"/>
      <c r="S1334" s="11" t="str">
        <f t="shared" si="202"/>
        <v>PASS</v>
      </c>
    </row>
    <row r="1335" spans="1:19" x14ac:dyDescent="0.25">
      <c r="A1335" s="30" t="s">
        <v>98</v>
      </c>
      <c r="B1335" s="31">
        <f t="shared" si="193"/>
        <v>49827</v>
      </c>
      <c r="C1335" s="30">
        <f>YEAR(BInputReservoir[[#This Row],[Date]])</f>
        <v>2036</v>
      </c>
      <c r="D1335" s="30">
        <f>MONTH(BInputReservoir[[#This Row],[Date]])</f>
        <v>6</v>
      </c>
      <c r="E1335" s="30" t="str">
        <f>IF(I1335&lt;&gt;1,"",DATA_INPUT!N253)</f>
        <v/>
      </c>
      <c r="F1335" s="30" t="str">
        <f>STORAGE_BALANCE_ENSEMBLE!BU253</f>
        <v/>
      </c>
      <c r="G1335" s="30" t="str">
        <f>STORAGE_BALANCE_ENSEMBLE!BV253</f>
        <v/>
      </c>
      <c r="H1335" s="30" t="str">
        <f>STORAGE_BALANCE_ENSEMBLE!BT253</f>
        <v/>
      </c>
      <c r="I1335" s="18" t="str">
        <f t="shared" si="194"/>
        <v/>
      </c>
      <c r="J1335" s="8" t="str">
        <f t="shared" si="195"/>
        <v/>
      </c>
      <c r="K1335" s="9" t="str">
        <f t="shared" si="196"/>
        <v/>
      </c>
      <c r="L1335" s="10" t="str">
        <f t="shared" si="197"/>
        <v/>
      </c>
      <c r="M1335" s="10" t="str">
        <f>IF(I1335&lt;&gt;1,"",IF(H1335="","",H1335/CONTROL_PANEL!$B$11))</f>
        <v/>
      </c>
      <c r="N1335" s="9" t="str">
        <f t="shared" si="198"/>
        <v/>
      </c>
      <c r="O1335" s="9" t="str">
        <f t="shared" si="199"/>
        <v/>
      </c>
      <c r="P1335" s="9" t="str">
        <f t="shared" si="200"/>
        <v/>
      </c>
      <c r="Q1335" s="9" t="str">
        <f t="shared" si="201"/>
        <v/>
      </c>
      <c r="R1335" s="11"/>
      <c r="S1335" s="11" t="str">
        <f t="shared" si="202"/>
        <v>PASS</v>
      </c>
    </row>
    <row r="1336" spans="1:19" x14ac:dyDescent="0.25">
      <c r="A1336" s="30" t="s">
        <v>98</v>
      </c>
      <c r="B1336" s="31">
        <f t="shared" si="193"/>
        <v>49857</v>
      </c>
      <c r="C1336" s="30">
        <f>YEAR(BInputReservoir[[#This Row],[Date]])</f>
        <v>2036</v>
      </c>
      <c r="D1336" s="30">
        <f>MONTH(BInputReservoir[[#This Row],[Date]])</f>
        <v>7</v>
      </c>
      <c r="E1336" s="30" t="str">
        <f>IF(I1336&lt;&gt;1,"",DATA_INPUT!N254)</f>
        <v/>
      </c>
      <c r="F1336" s="30" t="str">
        <f>STORAGE_BALANCE_ENSEMBLE!BU254</f>
        <v/>
      </c>
      <c r="G1336" s="30" t="str">
        <f>STORAGE_BALANCE_ENSEMBLE!BV254</f>
        <v/>
      </c>
      <c r="H1336" s="30" t="str">
        <f>STORAGE_BALANCE_ENSEMBLE!BT254</f>
        <v/>
      </c>
      <c r="I1336" s="18" t="str">
        <f t="shared" si="194"/>
        <v/>
      </c>
      <c r="J1336" s="8" t="str">
        <f t="shared" si="195"/>
        <v/>
      </c>
      <c r="K1336" s="9" t="str">
        <f t="shared" si="196"/>
        <v/>
      </c>
      <c r="L1336" s="10" t="str">
        <f t="shared" si="197"/>
        <v/>
      </c>
      <c r="M1336" s="10" t="str">
        <f>IF(I1336&lt;&gt;1,"",IF(H1336="","",H1336/CONTROL_PANEL!$B$11))</f>
        <v/>
      </c>
      <c r="N1336" s="9" t="str">
        <f t="shared" si="198"/>
        <v/>
      </c>
      <c r="O1336" s="9" t="str">
        <f t="shared" si="199"/>
        <v/>
      </c>
      <c r="P1336" s="9" t="str">
        <f t="shared" si="200"/>
        <v/>
      </c>
      <c r="Q1336" s="9" t="str">
        <f t="shared" si="201"/>
        <v/>
      </c>
      <c r="R1336" s="11"/>
      <c r="S1336" s="11" t="str">
        <f t="shared" si="202"/>
        <v>PASS</v>
      </c>
    </row>
    <row r="1337" spans="1:19" x14ac:dyDescent="0.25">
      <c r="A1337" s="30" t="s">
        <v>98</v>
      </c>
      <c r="B1337" s="31">
        <f t="shared" si="193"/>
        <v>49888</v>
      </c>
      <c r="C1337" s="30">
        <f>YEAR(BInputReservoir[[#This Row],[Date]])</f>
        <v>2036</v>
      </c>
      <c r="D1337" s="30">
        <f>MONTH(BInputReservoir[[#This Row],[Date]])</f>
        <v>8</v>
      </c>
      <c r="E1337" s="30" t="str">
        <f>IF(I1337&lt;&gt;1,"",DATA_INPUT!N255)</f>
        <v/>
      </c>
      <c r="F1337" s="30" t="str">
        <f>STORAGE_BALANCE_ENSEMBLE!BU255</f>
        <v/>
      </c>
      <c r="G1337" s="30" t="str">
        <f>STORAGE_BALANCE_ENSEMBLE!BV255</f>
        <v/>
      </c>
      <c r="H1337" s="30" t="str">
        <f>STORAGE_BALANCE_ENSEMBLE!BT255</f>
        <v/>
      </c>
      <c r="I1337" s="18" t="str">
        <f t="shared" si="194"/>
        <v/>
      </c>
      <c r="J1337" s="8" t="str">
        <f t="shared" si="195"/>
        <v/>
      </c>
      <c r="K1337" s="9" t="str">
        <f t="shared" si="196"/>
        <v/>
      </c>
      <c r="L1337" s="10" t="str">
        <f t="shared" si="197"/>
        <v/>
      </c>
      <c r="M1337" s="10" t="str">
        <f>IF(I1337&lt;&gt;1,"",IF(H1337="","",H1337/CONTROL_PANEL!$B$11))</f>
        <v/>
      </c>
      <c r="N1337" s="9" t="str">
        <f t="shared" si="198"/>
        <v/>
      </c>
      <c r="O1337" s="9" t="str">
        <f t="shared" si="199"/>
        <v/>
      </c>
      <c r="P1337" s="9" t="str">
        <f t="shared" si="200"/>
        <v/>
      </c>
      <c r="Q1337" s="9" t="str">
        <f t="shared" si="201"/>
        <v/>
      </c>
      <c r="R1337" s="11"/>
      <c r="S1337" s="11" t="str">
        <f t="shared" si="202"/>
        <v>PASS</v>
      </c>
    </row>
    <row r="1338" spans="1:19" x14ac:dyDescent="0.25">
      <c r="A1338" s="30" t="s">
        <v>98</v>
      </c>
      <c r="B1338" s="31">
        <f t="shared" si="193"/>
        <v>49919</v>
      </c>
      <c r="C1338" s="30">
        <f>YEAR(BInputReservoir[[#This Row],[Date]])</f>
        <v>2036</v>
      </c>
      <c r="D1338" s="30">
        <f>MONTH(BInputReservoir[[#This Row],[Date]])</f>
        <v>9</v>
      </c>
      <c r="E1338" s="30" t="str">
        <f>IF(I1338&lt;&gt;1,"",DATA_INPUT!N256)</f>
        <v/>
      </c>
      <c r="F1338" s="30" t="str">
        <f>STORAGE_BALANCE_ENSEMBLE!BU256</f>
        <v/>
      </c>
      <c r="G1338" s="30" t="str">
        <f>STORAGE_BALANCE_ENSEMBLE!BV256</f>
        <v/>
      </c>
      <c r="H1338" s="30" t="str">
        <f>STORAGE_BALANCE_ENSEMBLE!BT256</f>
        <v/>
      </c>
      <c r="I1338" s="18" t="str">
        <f t="shared" si="194"/>
        <v/>
      </c>
      <c r="J1338" s="8" t="str">
        <f t="shared" si="195"/>
        <v/>
      </c>
      <c r="K1338" s="9" t="str">
        <f t="shared" si="196"/>
        <v/>
      </c>
      <c r="L1338" s="10" t="str">
        <f t="shared" si="197"/>
        <v/>
      </c>
      <c r="M1338" s="10" t="str">
        <f>IF(I1338&lt;&gt;1,"",IF(H1338="","",H1338/CONTROL_PANEL!$B$11))</f>
        <v/>
      </c>
      <c r="N1338" s="9" t="str">
        <f t="shared" si="198"/>
        <v/>
      </c>
      <c r="O1338" s="9" t="str">
        <f t="shared" si="199"/>
        <v/>
      </c>
      <c r="P1338" s="9" t="str">
        <f t="shared" si="200"/>
        <v/>
      </c>
      <c r="Q1338" s="9" t="str">
        <f t="shared" si="201"/>
        <v/>
      </c>
      <c r="R1338" s="11"/>
      <c r="S1338" s="11" t="str">
        <f t="shared" si="202"/>
        <v>PASS</v>
      </c>
    </row>
    <row r="1339" spans="1:19" x14ac:dyDescent="0.25">
      <c r="A1339" s="30" t="s">
        <v>98</v>
      </c>
      <c r="B1339" s="31">
        <f t="shared" si="193"/>
        <v>49949</v>
      </c>
      <c r="C1339" s="30">
        <f>YEAR(BInputReservoir[[#This Row],[Date]])</f>
        <v>2036</v>
      </c>
      <c r="D1339" s="30">
        <f>MONTH(BInputReservoir[[#This Row],[Date]])</f>
        <v>10</v>
      </c>
      <c r="E1339" s="30" t="str">
        <f>IF(I1339&lt;&gt;1,"",DATA_INPUT!N257)</f>
        <v/>
      </c>
      <c r="F1339" s="30" t="str">
        <f>STORAGE_BALANCE_ENSEMBLE!BU257</f>
        <v/>
      </c>
      <c r="G1339" s="30" t="str">
        <f>STORAGE_BALANCE_ENSEMBLE!BV257</f>
        <v/>
      </c>
      <c r="H1339" s="30" t="str">
        <f>STORAGE_BALANCE_ENSEMBLE!BT257</f>
        <v/>
      </c>
      <c r="I1339" s="18" t="str">
        <f t="shared" si="194"/>
        <v/>
      </c>
      <c r="J1339" s="8" t="str">
        <f t="shared" si="195"/>
        <v/>
      </c>
      <c r="K1339" s="9" t="str">
        <f t="shared" si="196"/>
        <v/>
      </c>
      <c r="L1339" s="10" t="str">
        <f t="shared" si="197"/>
        <v/>
      </c>
      <c r="M1339" s="10" t="str">
        <f>IF(I1339&lt;&gt;1,"",IF(H1339="","",H1339/CONTROL_PANEL!$B$11))</f>
        <v/>
      </c>
      <c r="N1339" s="9" t="str">
        <f t="shared" si="198"/>
        <v/>
      </c>
      <c r="O1339" s="9" t="str">
        <f t="shared" si="199"/>
        <v/>
      </c>
      <c r="P1339" s="9" t="str">
        <f t="shared" si="200"/>
        <v/>
      </c>
      <c r="Q1339" s="9" t="str">
        <f t="shared" si="201"/>
        <v/>
      </c>
      <c r="R1339" s="11"/>
      <c r="S1339" s="11" t="str">
        <f t="shared" si="202"/>
        <v>PASS</v>
      </c>
    </row>
    <row r="1340" spans="1:19" x14ac:dyDescent="0.25">
      <c r="A1340" s="30" t="s">
        <v>98</v>
      </c>
      <c r="B1340" s="31">
        <f t="shared" si="193"/>
        <v>49980</v>
      </c>
      <c r="C1340" s="30">
        <f>YEAR(BInputReservoir[[#This Row],[Date]])</f>
        <v>2036</v>
      </c>
      <c r="D1340" s="30">
        <f>MONTH(BInputReservoir[[#This Row],[Date]])</f>
        <v>11</v>
      </c>
      <c r="E1340" s="30" t="str">
        <f>IF(I1340&lt;&gt;1,"",DATA_INPUT!N258)</f>
        <v/>
      </c>
      <c r="F1340" s="30" t="str">
        <f>STORAGE_BALANCE_ENSEMBLE!BU258</f>
        <v/>
      </c>
      <c r="G1340" s="30" t="str">
        <f>STORAGE_BALANCE_ENSEMBLE!BV258</f>
        <v/>
      </c>
      <c r="H1340" s="30" t="str">
        <f>STORAGE_BALANCE_ENSEMBLE!BT258</f>
        <v/>
      </c>
      <c r="I1340" s="18" t="str">
        <f t="shared" si="194"/>
        <v/>
      </c>
      <c r="J1340" s="8" t="str">
        <f t="shared" si="195"/>
        <v/>
      </c>
      <c r="K1340" s="9" t="str">
        <f t="shared" si="196"/>
        <v/>
      </c>
      <c r="L1340" s="10" t="str">
        <f t="shared" si="197"/>
        <v/>
      </c>
      <c r="M1340" s="10" t="str">
        <f>IF(I1340&lt;&gt;1,"",IF(H1340="","",H1340/CONTROL_PANEL!$B$11))</f>
        <v/>
      </c>
      <c r="N1340" s="9" t="str">
        <f t="shared" si="198"/>
        <v/>
      </c>
      <c r="O1340" s="9" t="str">
        <f t="shared" si="199"/>
        <v/>
      </c>
      <c r="P1340" s="9" t="str">
        <f t="shared" si="200"/>
        <v/>
      </c>
      <c r="Q1340" s="9" t="str">
        <f t="shared" si="201"/>
        <v/>
      </c>
      <c r="R1340" s="11"/>
      <c r="S1340" s="11" t="str">
        <f t="shared" si="202"/>
        <v>PASS</v>
      </c>
    </row>
    <row r="1341" spans="1:19" x14ac:dyDescent="0.25">
      <c r="A1341" s="30" t="s">
        <v>98</v>
      </c>
      <c r="B1341" s="31">
        <f t="shared" si="193"/>
        <v>50010</v>
      </c>
      <c r="C1341" s="30">
        <f>YEAR(BInputReservoir[[#This Row],[Date]])</f>
        <v>2036</v>
      </c>
      <c r="D1341" s="30">
        <f>MONTH(BInputReservoir[[#This Row],[Date]])</f>
        <v>12</v>
      </c>
      <c r="E1341" s="30" t="str">
        <f>IF(I1341&lt;&gt;1,"",DATA_INPUT!N259)</f>
        <v/>
      </c>
      <c r="F1341" s="30" t="str">
        <f>STORAGE_BALANCE_ENSEMBLE!BU259</f>
        <v/>
      </c>
      <c r="G1341" s="30" t="str">
        <f>STORAGE_BALANCE_ENSEMBLE!BV259</f>
        <v/>
      </c>
      <c r="H1341" s="30" t="str">
        <f>STORAGE_BALANCE_ENSEMBLE!BT259</f>
        <v/>
      </c>
      <c r="I1341" s="18" t="str">
        <f t="shared" si="194"/>
        <v/>
      </c>
      <c r="J1341" s="8" t="str">
        <f t="shared" si="195"/>
        <v/>
      </c>
      <c r="K1341" s="9" t="str">
        <f t="shared" si="196"/>
        <v/>
      </c>
      <c r="L1341" s="10" t="str">
        <f t="shared" si="197"/>
        <v/>
      </c>
      <c r="M1341" s="10" t="str">
        <f>IF(I1341&lt;&gt;1,"",IF(H1341="","",H1341/CONTROL_PANEL!$B$11))</f>
        <v/>
      </c>
      <c r="N1341" s="9" t="str">
        <f t="shared" si="198"/>
        <v/>
      </c>
      <c r="O1341" s="9" t="str">
        <f t="shared" si="199"/>
        <v/>
      </c>
      <c r="P1341" s="9" t="str">
        <f t="shared" si="200"/>
        <v/>
      </c>
      <c r="Q1341" s="9" t="str">
        <f t="shared" si="201"/>
        <v/>
      </c>
      <c r="R1341" s="11"/>
      <c r="S1341" s="11" t="str">
        <f t="shared" si="202"/>
        <v>PASS</v>
      </c>
    </row>
    <row r="1342" spans="1:19" x14ac:dyDescent="0.25">
      <c r="A1342" s="30" t="s">
        <v>98</v>
      </c>
      <c r="B1342" s="31">
        <f t="shared" si="193"/>
        <v>50041</v>
      </c>
      <c r="C1342" s="30">
        <f>YEAR(BInputReservoir[[#This Row],[Date]])</f>
        <v>2037</v>
      </c>
      <c r="D1342" s="30">
        <f>MONTH(BInputReservoir[[#This Row],[Date]])</f>
        <v>1</v>
      </c>
      <c r="E1342" s="30" t="str">
        <f>IF(I1342&lt;&gt;1,"",DATA_INPUT!N260)</f>
        <v/>
      </c>
      <c r="F1342" s="30" t="str">
        <f>STORAGE_BALANCE_ENSEMBLE!BU260</f>
        <v/>
      </c>
      <c r="G1342" s="30" t="str">
        <f>STORAGE_BALANCE_ENSEMBLE!BV260</f>
        <v/>
      </c>
      <c r="H1342" s="30" t="str">
        <f>STORAGE_BALANCE_ENSEMBLE!BT260</f>
        <v/>
      </c>
      <c r="I1342" s="18" t="str">
        <f t="shared" si="194"/>
        <v/>
      </c>
      <c r="J1342" s="8" t="str">
        <f t="shared" si="195"/>
        <v/>
      </c>
      <c r="K1342" s="9" t="str">
        <f t="shared" si="196"/>
        <v/>
      </c>
      <c r="L1342" s="10" t="str">
        <f t="shared" si="197"/>
        <v/>
      </c>
      <c r="M1342" s="10" t="str">
        <f>IF(I1342&lt;&gt;1,"",IF(H1342="","",H1342/CONTROL_PANEL!$B$11))</f>
        <v/>
      </c>
      <c r="N1342" s="9" t="str">
        <f t="shared" si="198"/>
        <v/>
      </c>
      <c r="O1342" s="9" t="str">
        <f t="shared" si="199"/>
        <v/>
      </c>
      <c r="P1342" s="9" t="str">
        <f t="shared" si="200"/>
        <v/>
      </c>
      <c r="Q1342" s="9" t="str">
        <f t="shared" si="201"/>
        <v/>
      </c>
      <c r="R1342" s="11"/>
      <c r="S1342" s="11" t="str">
        <f t="shared" si="202"/>
        <v>PASS</v>
      </c>
    </row>
    <row r="1343" spans="1:19" x14ac:dyDescent="0.25">
      <c r="A1343" s="30" t="s">
        <v>98</v>
      </c>
      <c r="B1343" s="31">
        <f t="shared" si="193"/>
        <v>50072</v>
      </c>
      <c r="C1343" s="30">
        <f>YEAR(BInputReservoir[[#This Row],[Date]])</f>
        <v>2037</v>
      </c>
      <c r="D1343" s="30">
        <f>MONTH(BInputReservoir[[#This Row],[Date]])</f>
        <v>2</v>
      </c>
      <c r="E1343" s="30" t="str">
        <f>IF(I1343&lt;&gt;1,"",DATA_INPUT!N261)</f>
        <v/>
      </c>
      <c r="F1343" s="30" t="str">
        <f>STORAGE_BALANCE_ENSEMBLE!BU261</f>
        <v/>
      </c>
      <c r="G1343" s="30" t="str">
        <f>STORAGE_BALANCE_ENSEMBLE!BV261</f>
        <v/>
      </c>
      <c r="H1343" s="30" t="str">
        <f>STORAGE_BALANCE_ENSEMBLE!BT261</f>
        <v/>
      </c>
      <c r="I1343" s="18" t="str">
        <f t="shared" si="194"/>
        <v/>
      </c>
      <c r="J1343" s="8" t="str">
        <f t="shared" si="195"/>
        <v/>
      </c>
      <c r="K1343" s="9" t="str">
        <f t="shared" si="196"/>
        <v/>
      </c>
      <c r="L1343" s="10" t="str">
        <f t="shared" si="197"/>
        <v/>
      </c>
      <c r="M1343" s="10" t="str">
        <f>IF(I1343&lt;&gt;1,"",IF(H1343="","",H1343/CONTROL_PANEL!$B$11))</f>
        <v/>
      </c>
      <c r="N1343" s="9" t="str">
        <f t="shared" si="198"/>
        <v/>
      </c>
      <c r="O1343" s="9" t="str">
        <f t="shared" si="199"/>
        <v/>
      </c>
      <c r="P1343" s="9" t="str">
        <f t="shared" si="200"/>
        <v/>
      </c>
      <c r="Q1343" s="9" t="str">
        <f t="shared" si="201"/>
        <v/>
      </c>
      <c r="R1343" s="11"/>
      <c r="S1343" s="11" t="str">
        <f t="shared" si="202"/>
        <v>PASS</v>
      </c>
    </row>
    <row r="1344" spans="1:19" x14ac:dyDescent="0.25">
      <c r="A1344" s="30" t="s">
        <v>98</v>
      </c>
      <c r="B1344" s="31">
        <f t="shared" ref="B1344:B1407" si="203">B261</f>
        <v>50100</v>
      </c>
      <c r="C1344" s="30">
        <f>YEAR(BInputReservoir[[#This Row],[Date]])</f>
        <v>2037</v>
      </c>
      <c r="D1344" s="30">
        <f>MONTH(BInputReservoir[[#This Row],[Date]])</f>
        <v>3</v>
      </c>
      <c r="E1344" s="30" t="str">
        <f>IF(I1344&lt;&gt;1,"",DATA_INPUT!N262)</f>
        <v/>
      </c>
      <c r="F1344" s="30" t="str">
        <f>STORAGE_BALANCE_ENSEMBLE!BU262</f>
        <v/>
      </c>
      <c r="G1344" s="30" t="str">
        <f>STORAGE_BALANCE_ENSEMBLE!BV262</f>
        <v/>
      </c>
      <c r="H1344" s="30" t="str">
        <f>STORAGE_BALANCE_ENSEMBLE!BT262</f>
        <v/>
      </c>
      <c r="I1344" s="18" t="str">
        <f t="shared" ref="I1344:I1407" si="204">I261</f>
        <v/>
      </c>
      <c r="J1344" s="8" t="str">
        <f t="shared" si="195"/>
        <v/>
      </c>
      <c r="K1344" s="9" t="str">
        <f t="shared" si="196"/>
        <v/>
      </c>
      <c r="L1344" s="10" t="str">
        <f t="shared" si="197"/>
        <v/>
      </c>
      <c r="M1344" s="10" t="str">
        <f>IF(I1344&lt;&gt;1,"",IF(H1344="","",H1344/CONTROL_PANEL!$B$11))</f>
        <v/>
      </c>
      <c r="N1344" s="9" t="str">
        <f t="shared" si="198"/>
        <v/>
      </c>
      <c r="O1344" s="9" t="str">
        <f t="shared" si="199"/>
        <v/>
      </c>
      <c r="P1344" s="9" t="str">
        <f t="shared" si="200"/>
        <v/>
      </c>
      <c r="Q1344" s="9" t="str">
        <f t="shared" si="201"/>
        <v/>
      </c>
      <c r="R1344" s="11"/>
      <c r="S1344" s="11" t="str">
        <f t="shared" si="202"/>
        <v>PASS</v>
      </c>
    </row>
    <row r="1345" spans="1:19" x14ac:dyDescent="0.25">
      <c r="A1345" s="30" t="s">
        <v>98</v>
      </c>
      <c r="B1345" s="31">
        <f t="shared" si="203"/>
        <v>50131</v>
      </c>
      <c r="C1345" s="30">
        <f>YEAR(BInputReservoir[[#This Row],[Date]])</f>
        <v>2037</v>
      </c>
      <c r="D1345" s="30">
        <f>MONTH(BInputReservoir[[#This Row],[Date]])</f>
        <v>4</v>
      </c>
      <c r="E1345" s="30" t="str">
        <f>IF(I1345&lt;&gt;1,"",DATA_INPUT!N263)</f>
        <v/>
      </c>
      <c r="F1345" s="30" t="str">
        <f>STORAGE_BALANCE_ENSEMBLE!BU263</f>
        <v/>
      </c>
      <c r="G1345" s="30" t="str">
        <f>STORAGE_BALANCE_ENSEMBLE!BV263</f>
        <v/>
      </c>
      <c r="H1345" s="30" t="str">
        <f>STORAGE_BALANCE_ENSEMBLE!BT263</f>
        <v/>
      </c>
      <c r="I1345" s="18" t="str">
        <f t="shared" si="204"/>
        <v/>
      </c>
      <c r="J1345" s="8" t="str">
        <f t="shared" si="195"/>
        <v/>
      </c>
      <c r="K1345" s="9" t="str">
        <f t="shared" si="196"/>
        <v/>
      </c>
      <c r="L1345" s="10" t="str">
        <f t="shared" si="197"/>
        <v/>
      </c>
      <c r="M1345" s="10" t="str">
        <f>IF(I1345&lt;&gt;1,"",IF(H1345="","",H1345/CONTROL_PANEL!$B$11))</f>
        <v/>
      </c>
      <c r="N1345" s="9" t="str">
        <f t="shared" si="198"/>
        <v/>
      </c>
      <c r="O1345" s="9" t="str">
        <f t="shared" si="199"/>
        <v/>
      </c>
      <c r="P1345" s="9" t="str">
        <f t="shared" si="200"/>
        <v/>
      </c>
      <c r="Q1345" s="9" t="str">
        <f t="shared" si="201"/>
        <v/>
      </c>
      <c r="R1345" s="11"/>
      <c r="S1345" s="11" t="str">
        <f t="shared" si="202"/>
        <v>PASS</v>
      </c>
    </row>
    <row r="1346" spans="1:19" x14ac:dyDescent="0.25">
      <c r="A1346" s="30" t="s">
        <v>98</v>
      </c>
      <c r="B1346" s="31">
        <f t="shared" si="203"/>
        <v>50161</v>
      </c>
      <c r="C1346" s="30">
        <f>YEAR(BInputReservoir[[#This Row],[Date]])</f>
        <v>2037</v>
      </c>
      <c r="D1346" s="30">
        <f>MONTH(BInputReservoir[[#This Row],[Date]])</f>
        <v>5</v>
      </c>
      <c r="E1346" s="30" t="str">
        <f>IF(I1346&lt;&gt;1,"",DATA_INPUT!N264)</f>
        <v/>
      </c>
      <c r="F1346" s="30" t="str">
        <f>STORAGE_BALANCE_ENSEMBLE!BU264</f>
        <v/>
      </c>
      <c r="G1346" s="30" t="str">
        <f>STORAGE_BALANCE_ENSEMBLE!BV264</f>
        <v/>
      </c>
      <c r="H1346" s="30" t="str">
        <f>STORAGE_BALANCE_ENSEMBLE!BT264</f>
        <v/>
      </c>
      <c r="I1346" s="18" t="str">
        <f t="shared" si="204"/>
        <v/>
      </c>
      <c r="J1346" s="8" t="str">
        <f t="shared" si="195"/>
        <v/>
      </c>
      <c r="K1346" s="9" t="str">
        <f t="shared" si="196"/>
        <v/>
      </c>
      <c r="L1346" s="10" t="str">
        <f t="shared" si="197"/>
        <v/>
      </c>
      <c r="M1346" s="10" t="str">
        <f>IF(I1346&lt;&gt;1,"",IF(H1346="","",H1346/CONTROL_PANEL!$B$11))</f>
        <v/>
      </c>
      <c r="N1346" s="9" t="str">
        <f t="shared" si="198"/>
        <v/>
      </c>
      <c r="O1346" s="9" t="str">
        <f t="shared" si="199"/>
        <v/>
      </c>
      <c r="P1346" s="9" t="str">
        <f t="shared" si="200"/>
        <v/>
      </c>
      <c r="Q1346" s="9" t="str">
        <f t="shared" si="201"/>
        <v/>
      </c>
      <c r="R1346" s="11"/>
      <c r="S1346" s="11" t="str">
        <f t="shared" si="202"/>
        <v>PASS</v>
      </c>
    </row>
    <row r="1347" spans="1:19" x14ac:dyDescent="0.25">
      <c r="A1347" s="30" t="s">
        <v>98</v>
      </c>
      <c r="B1347" s="31">
        <f t="shared" si="203"/>
        <v>50192</v>
      </c>
      <c r="C1347" s="30">
        <f>YEAR(BInputReservoir[[#This Row],[Date]])</f>
        <v>2037</v>
      </c>
      <c r="D1347" s="30">
        <f>MONTH(BInputReservoir[[#This Row],[Date]])</f>
        <v>6</v>
      </c>
      <c r="E1347" s="30" t="str">
        <f>IF(I1347&lt;&gt;1,"",DATA_INPUT!N265)</f>
        <v/>
      </c>
      <c r="F1347" s="30" t="str">
        <f>STORAGE_BALANCE_ENSEMBLE!BU265</f>
        <v/>
      </c>
      <c r="G1347" s="30" t="str">
        <f>STORAGE_BALANCE_ENSEMBLE!BV265</f>
        <v/>
      </c>
      <c r="H1347" s="30" t="str">
        <f>STORAGE_BALANCE_ENSEMBLE!BT265</f>
        <v/>
      </c>
      <c r="I1347" s="18" t="str">
        <f t="shared" si="204"/>
        <v/>
      </c>
      <c r="J1347" s="8" t="str">
        <f t="shared" si="195"/>
        <v/>
      </c>
      <c r="K1347" s="9" t="str">
        <f t="shared" si="196"/>
        <v/>
      </c>
      <c r="L1347" s="10" t="str">
        <f t="shared" si="197"/>
        <v/>
      </c>
      <c r="M1347" s="10" t="str">
        <f>IF(I1347&lt;&gt;1,"",IF(H1347="","",H1347/CONTROL_PANEL!$B$11))</f>
        <v/>
      </c>
      <c r="N1347" s="9" t="str">
        <f t="shared" si="198"/>
        <v/>
      </c>
      <c r="O1347" s="9" t="str">
        <f t="shared" si="199"/>
        <v/>
      </c>
      <c r="P1347" s="9" t="str">
        <f t="shared" si="200"/>
        <v/>
      </c>
      <c r="Q1347" s="9" t="str">
        <f t="shared" si="201"/>
        <v/>
      </c>
      <c r="R1347" s="11"/>
      <c r="S1347" s="11" t="str">
        <f t="shared" si="202"/>
        <v>PASS</v>
      </c>
    </row>
    <row r="1348" spans="1:19" x14ac:dyDescent="0.25">
      <c r="A1348" s="30" t="s">
        <v>98</v>
      </c>
      <c r="B1348" s="31">
        <f t="shared" si="203"/>
        <v>50222</v>
      </c>
      <c r="C1348" s="30">
        <f>YEAR(BInputReservoir[[#This Row],[Date]])</f>
        <v>2037</v>
      </c>
      <c r="D1348" s="30">
        <f>MONTH(BInputReservoir[[#This Row],[Date]])</f>
        <v>7</v>
      </c>
      <c r="E1348" s="30" t="str">
        <f>IF(I1348&lt;&gt;1,"",DATA_INPUT!N266)</f>
        <v/>
      </c>
      <c r="F1348" s="30" t="str">
        <f>STORAGE_BALANCE_ENSEMBLE!BU266</f>
        <v/>
      </c>
      <c r="G1348" s="30" t="str">
        <f>STORAGE_BALANCE_ENSEMBLE!BV266</f>
        <v/>
      </c>
      <c r="H1348" s="30" t="str">
        <f>STORAGE_BALANCE_ENSEMBLE!BT266</f>
        <v/>
      </c>
      <c r="I1348" s="18" t="str">
        <f t="shared" si="204"/>
        <v/>
      </c>
      <c r="J1348" s="8" t="str">
        <f t="shared" si="195"/>
        <v/>
      </c>
      <c r="K1348" s="9" t="str">
        <f t="shared" si="196"/>
        <v/>
      </c>
      <c r="L1348" s="10" t="str">
        <f t="shared" si="197"/>
        <v/>
      </c>
      <c r="M1348" s="10" t="str">
        <f>IF(I1348&lt;&gt;1,"",IF(H1348="","",H1348/CONTROL_PANEL!$B$11))</f>
        <v/>
      </c>
      <c r="N1348" s="9" t="str">
        <f t="shared" si="198"/>
        <v/>
      </c>
      <c r="O1348" s="9" t="str">
        <f t="shared" si="199"/>
        <v/>
      </c>
      <c r="P1348" s="9" t="str">
        <f t="shared" si="200"/>
        <v/>
      </c>
      <c r="Q1348" s="9" t="str">
        <f t="shared" si="201"/>
        <v/>
      </c>
      <c r="R1348" s="11"/>
      <c r="S1348" s="11" t="str">
        <f t="shared" si="202"/>
        <v>PASS</v>
      </c>
    </row>
    <row r="1349" spans="1:19" x14ac:dyDescent="0.25">
      <c r="A1349" s="30" t="s">
        <v>98</v>
      </c>
      <c r="B1349" s="31">
        <f t="shared" si="203"/>
        <v>50253</v>
      </c>
      <c r="C1349" s="30">
        <f>YEAR(BInputReservoir[[#This Row],[Date]])</f>
        <v>2037</v>
      </c>
      <c r="D1349" s="30">
        <f>MONTH(BInputReservoir[[#This Row],[Date]])</f>
        <v>8</v>
      </c>
      <c r="E1349" s="30" t="str">
        <f>IF(I1349&lt;&gt;1,"",DATA_INPUT!N267)</f>
        <v/>
      </c>
      <c r="F1349" s="30" t="str">
        <f>STORAGE_BALANCE_ENSEMBLE!BU267</f>
        <v/>
      </c>
      <c r="G1349" s="30" t="str">
        <f>STORAGE_BALANCE_ENSEMBLE!BV267</f>
        <v/>
      </c>
      <c r="H1349" s="30" t="str">
        <f>STORAGE_BALANCE_ENSEMBLE!BT267</f>
        <v/>
      </c>
      <c r="I1349" s="18" t="str">
        <f t="shared" si="204"/>
        <v/>
      </c>
      <c r="J1349" s="8" t="str">
        <f t="shared" ref="J1349:J1412" si="205">IF(I1349&lt;&gt;1,"",IF(E1349="","",MAX(0,E1349-G1349)))</f>
        <v/>
      </c>
      <c r="K1349" s="9" t="str">
        <f t="shared" ref="K1349:K1412" si="206">IF(I1349&lt;&gt;1,"",IF(OR(G1349="",E1349=""),"",IF(G1349&gt;0,1,0)))</f>
        <v/>
      </c>
      <c r="L1349" s="10" t="str">
        <f t="shared" ref="L1349:L1412" si="207">IF(I1349&lt;&gt;1,"",IF(AND(K1349=1,E1349&gt;0),G1349/E1349,0))</f>
        <v/>
      </c>
      <c r="M1349" s="10" t="str">
        <f>IF(I1349&lt;&gt;1,"",IF(H1349="","",H1349/CONTROL_PANEL!$B$11))</f>
        <v/>
      </c>
      <c r="N1349" s="9" t="str">
        <f t="shared" ref="N1349:N1412" si="208">IF(I1349&lt;&gt;1,"",IF(AND(K1349=1,A1350=A1349),1,0))</f>
        <v/>
      </c>
      <c r="O1349" s="9" t="str">
        <f t="shared" ref="O1349:O1412" si="209">IF(I1349&lt;&gt;1,"",IF(AND(K1349=1,A1350=A1349,K1350=0),1,0))</f>
        <v/>
      </c>
      <c r="P1349" s="9" t="str">
        <f t="shared" ref="P1349:P1412" si="210">IF(I1349&lt;&gt;1,"",IF(F1349&gt;0,1,0))</f>
        <v/>
      </c>
      <c r="Q1349" s="9" t="str">
        <f t="shared" ref="Q1349:Q1412" si="211">IF(I1349&lt;&gt;1,"",IF(G1349&gt;0,1,0))</f>
        <v/>
      </c>
      <c r="R1349" s="11"/>
      <c r="S1349" s="11" t="str">
        <f t="shared" si="202"/>
        <v>PASS</v>
      </c>
    </row>
    <row r="1350" spans="1:19" x14ac:dyDescent="0.25">
      <c r="A1350" s="30" t="s">
        <v>98</v>
      </c>
      <c r="B1350" s="31">
        <f t="shared" si="203"/>
        <v>50284</v>
      </c>
      <c r="C1350" s="30">
        <f>YEAR(BInputReservoir[[#This Row],[Date]])</f>
        <v>2037</v>
      </c>
      <c r="D1350" s="30">
        <f>MONTH(BInputReservoir[[#This Row],[Date]])</f>
        <v>9</v>
      </c>
      <c r="E1350" s="30" t="str">
        <f>IF(I1350&lt;&gt;1,"",DATA_INPUT!N268)</f>
        <v/>
      </c>
      <c r="F1350" s="30" t="str">
        <f>STORAGE_BALANCE_ENSEMBLE!BU268</f>
        <v/>
      </c>
      <c r="G1350" s="30" t="str">
        <f>STORAGE_BALANCE_ENSEMBLE!BV268</f>
        <v/>
      </c>
      <c r="H1350" s="30" t="str">
        <f>STORAGE_BALANCE_ENSEMBLE!BT268</f>
        <v/>
      </c>
      <c r="I1350" s="18" t="str">
        <f t="shared" si="204"/>
        <v/>
      </c>
      <c r="J1350" s="8" t="str">
        <f t="shared" si="205"/>
        <v/>
      </c>
      <c r="K1350" s="9" t="str">
        <f t="shared" si="206"/>
        <v/>
      </c>
      <c r="L1350" s="10" t="str">
        <f t="shared" si="207"/>
        <v/>
      </c>
      <c r="M1350" s="10" t="str">
        <f>IF(I1350&lt;&gt;1,"",IF(H1350="","",H1350/CONTROL_PANEL!$B$11))</f>
        <v/>
      </c>
      <c r="N1350" s="9" t="str">
        <f t="shared" si="208"/>
        <v/>
      </c>
      <c r="O1350" s="9" t="str">
        <f t="shared" si="209"/>
        <v/>
      </c>
      <c r="P1350" s="9" t="str">
        <f t="shared" si="210"/>
        <v/>
      </c>
      <c r="Q1350" s="9" t="str">
        <f t="shared" si="211"/>
        <v/>
      </c>
      <c r="R1350" s="11"/>
      <c r="S1350" s="11" t="str">
        <f t="shared" si="202"/>
        <v>PASS</v>
      </c>
    </row>
    <row r="1351" spans="1:19" x14ac:dyDescent="0.25">
      <c r="A1351" s="30" t="s">
        <v>98</v>
      </c>
      <c r="B1351" s="31">
        <f t="shared" si="203"/>
        <v>50314</v>
      </c>
      <c r="C1351" s="30">
        <f>YEAR(BInputReservoir[[#This Row],[Date]])</f>
        <v>2037</v>
      </c>
      <c r="D1351" s="30">
        <f>MONTH(BInputReservoir[[#This Row],[Date]])</f>
        <v>10</v>
      </c>
      <c r="E1351" s="30" t="str">
        <f>IF(I1351&lt;&gt;1,"",DATA_INPUT!N269)</f>
        <v/>
      </c>
      <c r="F1351" s="30" t="str">
        <f>STORAGE_BALANCE_ENSEMBLE!BU269</f>
        <v/>
      </c>
      <c r="G1351" s="30" t="str">
        <f>STORAGE_BALANCE_ENSEMBLE!BV269</f>
        <v/>
      </c>
      <c r="H1351" s="30" t="str">
        <f>STORAGE_BALANCE_ENSEMBLE!BT269</f>
        <v/>
      </c>
      <c r="I1351" s="18" t="str">
        <f t="shared" si="204"/>
        <v/>
      </c>
      <c r="J1351" s="8" t="str">
        <f t="shared" si="205"/>
        <v/>
      </c>
      <c r="K1351" s="9" t="str">
        <f t="shared" si="206"/>
        <v/>
      </c>
      <c r="L1351" s="10" t="str">
        <f t="shared" si="207"/>
        <v/>
      </c>
      <c r="M1351" s="10" t="str">
        <f>IF(I1351&lt;&gt;1,"",IF(H1351="","",H1351/CONTROL_PANEL!$B$11))</f>
        <v/>
      </c>
      <c r="N1351" s="9" t="str">
        <f t="shared" si="208"/>
        <v/>
      </c>
      <c r="O1351" s="9" t="str">
        <f t="shared" si="209"/>
        <v/>
      </c>
      <c r="P1351" s="9" t="str">
        <f t="shared" si="210"/>
        <v/>
      </c>
      <c r="Q1351" s="9" t="str">
        <f t="shared" si="211"/>
        <v/>
      </c>
      <c r="R1351" s="11"/>
      <c r="S1351" s="11" t="str">
        <f t="shared" ref="S1351:S1414" si="212">IF(COUNTA(A1351:H1351)=0,"",IF(OR(A1351="",C1351="",D1351=""),"ERROR: missing key fields","PASS"))</f>
        <v>PASS</v>
      </c>
    </row>
    <row r="1352" spans="1:19" x14ac:dyDescent="0.25">
      <c r="A1352" s="30" t="s">
        <v>98</v>
      </c>
      <c r="B1352" s="31">
        <f t="shared" si="203"/>
        <v>50345</v>
      </c>
      <c r="C1352" s="30">
        <f>YEAR(BInputReservoir[[#This Row],[Date]])</f>
        <v>2037</v>
      </c>
      <c r="D1352" s="30">
        <f>MONTH(BInputReservoir[[#This Row],[Date]])</f>
        <v>11</v>
      </c>
      <c r="E1352" s="30" t="str">
        <f>IF(I1352&lt;&gt;1,"",DATA_INPUT!N270)</f>
        <v/>
      </c>
      <c r="F1352" s="30" t="str">
        <f>STORAGE_BALANCE_ENSEMBLE!BU270</f>
        <v/>
      </c>
      <c r="G1352" s="30" t="str">
        <f>STORAGE_BALANCE_ENSEMBLE!BV270</f>
        <v/>
      </c>
      <c r="H1352" s="30" t="str">
        <f>STORAGE_BALANCE_ENSEMBLE!BT270</f>
        <v/>
      </c>
      <c r="I1352" s="18" t="str">
        <f t="shared" si="204"/>
        <v/>
      </c>
      <c r="J1352" s="8" t="str">
        <f t="shared" si="205"/>
        <v/>
      </c>
      <c r="K1352" s="9" t="str">
        <f t="shared" si="206"/>
        <v/>
      </c>
      <c r="L1352" s="10" t="str">
        <f t="shared" si="207"/>
        <v/>
      </c>
      <c r="M1352" s="10" t="str">
        <f>IF(I1352&lt;&gt;1,"",IF(H1352="","",H1352/CONTROL_PANEL!$B$11))</f>
        <v/>
      </c>
      <c r="N1352" s="9" t="str">
        <f t="shared" si="208"/>
        <v/>
      </c>
      <c r="O1352" s="9" t="str">
        <f t="shared" si="209"/>
        <v/>
      </c>
      <c r="P1352" s="9" t="str">
        <f t="shared" si="210"/>
        <v/>
      </c>
      <c r="Q1352" s="9" t="str">
        <f t="shared" si="211"/>
        <v/>
      </c>
      <c r="R1352" s="11"/>
      <c r="S1352" s="11" t="str">
        <f t="shared" si="212"/>
        <v>PASS</v>
      </c>
    </row>
    <row r="1353" spans="1:19" x14ac:dyDescent="0.25">
      <c r="A1353" s="30" t="s">
        <v>98</v>
      </c>
      <c r="B1353" s="31">
        <f t="shared" si="203"/>
        <v>50375</v>
      </c>
      <c r="C1353" s="30">
        <f>YEAR(BInputReservoir[[#This Row],[Date]])</f>
        <v>2037</v>
      </c>
      <c r="D1353" s="30">
        <f>MONTH(BInputReservoir[[#This Row],[Date]])</f>
        <v>12</v>
      </c>
      <c r="E1353" s="30" t="str">
        <f>IF(I1353&lt;&gt;1,"",DATA_INPUT!N271)</f>
        <v/>
      </c>
      <c r="F1353" s="30" t="str">
        <f>STORAGE_BALANCE_ENSEMBLE!BU271</f>
        <v/>
      </c>
      <c r="G1353" s="30" t="str">
        <f>STORAGE_BALANCE_ENSEMBLE!BV271</f>
        <v/>
      </c>
      <c r="H1353" s="30" t="str">
        <f>STORAGE_BALANCE_ENSEMBLE!BT271</f>
        <v/>
      </c>
      <c r="I1353" s="18" t="str">
        <f t="shared" si="204"/>
        <v/>
      </c>
      <c r="J1353" s="8" t="str">
        <f t="shared" si="205"/>
        <v/>
      </c>
      <c r="K1353" s="9" t="str">
        <f t="shared" si="206"/>
        <v/>
      </c>
      <c r="L1353" s="10" t="str">
        <f t="shared" si="207"/>
        <v/>
      </c>
      <c r="M1353" s="10" t="str">
        <f>IF(I1353&lt;&gt;1,"",IF(H1353="","",H1353/CONTROL_PANEL!$B$11))</f>
        <v/>
      </c>
      <c r="N1353" s="9" t="str">
        <f t="shared" si="208"/>
        <v/>
      </c>
      <c r="O1353" s="9" t="str">
        <f t="shared" si="209"/>
        <v/>
      </c>
      <c r="P1353" s="9" t="str">
        <f t="shared" si="210"/>
        <v/>
      </c>
      <c r="Q1353" s="9" t="str">
        <f t="shared" si="211"/>
        <v/>
      </c>
      <c r="R1353" s="11"/>
      <c r="S1353" s="11" t="str">
        <f t="shared" si="212"/>
        <v>PASS</v>
      </c>
    </row>
    <row r="1354" spans="1:19" x14ac:dyDescent="0.25">
      <c r="A1354" s="30" t="s">
        <v>98</v>
      </c>
      <c r="B1354" s="31">
        <f t="shared" si="203"/>
        <v>50406</v>
      </c>
      <c r="C1354" s="30">
        <f>YEAR(BInputReservoir[[#This Row],[Date]])</f>
        <v>2038</v>
      </c>
      <c r="D1354" s="30">
        <f>MONTH(BInputReservoir[[#This Row],[Date]])</f>
        <v>1</v>
      </c>
      <c r="E1354" s="30" t="str">
        <f>IF(I1354&lt;&gt;1,"",DATA_INPUT!N272)</f>
        <v/>
      </c>
      <c r="F1354" s="30" t="str">
        <f>STORAGE_BALANCE_ENSEMBLE!BU272</f>
        <v/>
      </c>
      <c r="G1354" s="30" t="str">
        <f>STORAGE_BALANCE_ENSEMBLE!BV272</f>
        <v/>
      </c>
      <c r="H1354" s="30" t="str">
        <f>STORAGE_BALANCE_ENSEMBLE!BT272</f>
        <v/>
      </c>
      <c r="I1354" s="18" t="str">
        <f t="shared" si="204"/>
        <v/>
      </c>
      <c r="J1354" s="8" t="str">
        <f t="shared" si="205"/>
        <v/>
      </c>
      <c r="K1354" s="9" t="str">
        <f t="shared" si="206"/>
        <v/>
      </c>
      <c r="L1354" s="10" t="str">
        <f t="shared" si="207"/>
        <v/>
      </c>
      <c r="M1354" s="10" t="str">
        <f>IF(I1354&lt;&gt;1,"",IF(H1354="","",H1354/CONTROL_PANEL!$B$11))</f>
        <v/>
      </c>
      <c r="N1354" s="9" t="str">
        <f t="shared" si="208"/>
        <v/>
      </c>
      <c r="O1354" s="9" t="str">
        <f t="shared" si="209"/>
        <v/>
      </c>
      <c r="P1354" s="9" t="str">
        <f t="shared" si="210"/>
        <v/>
      </c>
      <c r="Q1354" s="9" t="str">
        <f t="shared" si="211"/>
        <v/>
      </c>
      <c r="R1354" s="11"/>
      <c r="S1354" s="11" t="str">
        <f t="shared" si="212"/>
        <v>PASS</v>
      </c>
    </row>
    <row r="1355" spans="1:19" x14ac:dyDescent="0.25">
      <c r="A1355" s="30" t="s">
        <v>98</v>
      </c>
      <c r="B1355" s="31">
        <f t="shared" si="203"/>
        <v>50437</v>
      </c>
      <c r="C1355" s="30">
        <f>YEAR(BInputReservoir[[#This Row],[Date]])</f>
        <v>2038</v>
      </c>
      <c r="D1355" s="30">
        <f>MONTH(BInputReservoir[[#This Row],[Date]])</f>
        <v>2</v>
      </c>
      <c r="E1355" s="30" t="str">
        <f>IF(I1355&lt;&gt;1,"",DATA_INPUT!N273)</f>
        <v/>
      </c>
      <c r="F1355" s="30" t="str">
        <f>STORAGE_BALANCE_ENSEMBLE!BU273</f>
        <v/>
      </c>
      <c r="G1355" s="30" t="str">
        <f>STORAGE_BALANCE_ENSEMBLE!BV273</f>
        <v/>
      </c>
      <c r="H1355" s="30" t="str">
        <f>STORAGE_BALANCE_ENSEMBLE!BT273</f>
        <v/>
      </c>
      <c r="I1355" s="18" t="str">
        <f t="shared" si="204"/>
        <v/>
      </c>
      <c r="J1355" s="8" t="str">
        <f t="shared" si="205"/>
        <v/>
      </c>
      <c r="K1355" s="9" t="str">
        <f t="shared" si="206"/>
        <v/>
      </c>
      <c r="L1355" s="10" t="str">
        <f t="shared" si="207"/>
        <v/>
      </c>
      <c r="M1355" s="10" t="str">
        <f>IF(I1355&lt;&gt;1,"",IF(H1355="","",H1355/CONTROL_PANEL!$B$11))</f>
        <v/>
      </c>
      <c r="N1355" s="9" t="str">
        <f t="shared" si="208"/>
        <v/>
      </c>
      <c r="O1355" s="9" t="str">
        <f t="shared" si="209"/>
        <v/>
      </c>
      <c r="P1355" s="9" t="str">
        <f t="shared" si="210"/>
        <v/>
      </c>
      <c r="Q1355" s="9" t="str">
        <f t="shared" si="211"/>
        <v/>
      </c>
      <c r="R1355" s="11"/>
      <c r="S1355" s="11" t="str">
        <f t="shared" si="212"/>
        <v>PASS</v>
      </c>
    </row>
    <row r="1356" spans="1:19" x14ac:dyDescent="0.25">
      <c r="A1356" s="30" t="s">
        <v>98</v>
      </c>
      <c r="B1356" s="31">
        <f t="shared" si="203"/>
        <v>50465</v>
      </c>
      <c r="C1356" s="30">
        <f>YEAR(BInputReservoir[[#This Row],[Date]])</f>
        <v>2038</v>
      </c>
      <c r="D1356" s="30">
        <f>MONTH(BInputReservoir[[#This Row],[Date]])</f>
        <v>3</v>
      </c>
      <c r="E1356" s="30" t="str">
        <f>IF(I1356&lt;&gt;1,"",DATA_INPUT!N274)</f>
        <v/>
      </c>
      <c r="F1356" s="30" t="str">
        <f>STORAGE_BALANCE_ENSEMBLE!BU274</f>
        <v/>
      </c>
      <c r="G1356" s="30" t="str">
        <f>STORAGE_BALANCE_ENSEMBLE!BV274</f>
        <v/>
      </c>
      <c r="H1356" s="30" t="str">
        <f>STORAGE_BALANCE_ENSEMBLE!BT274</f>
        <v/>
      </c>
      <c r="I1356" s="18" t="str">
        <f t="shared" si="204"/>
        <v/>
      </c>
      <c r="J1356" s="8" t="str">
        <f t="shared" si="205"/>
        <v/>
      </c>
      <c r="K1356" s="9" t="str">
        <f t="shared" si="206"/>
        <v/>
      </c>
      <c r="L1356" s="10" t="str">
        <f t="shared" si="207"/>
        <v/>
      </c>
      <c r="M1356" s="10" t="str">
        <f>IF(I1356&lt;&gt;1,"",IF(H1356="","",H1356/CONTROL_PANEL!$B$11))</f>
        <v/>
      </c>
      <c r="N1356" s="9" t="str">
        <f t="shared" si="208"/>
        <v/>
      </c>
      <c r="O1356" s="9" t="str">
        <f t="shared" si="209"/>
        <v/>
      </c>
      <c r="P1356" s="9" t="str">
        <f t="shared" si="210"/>
        <v/>
      </c>
      <c r="Q1356" s="9" t="str">
        <f t="shared" si="211"/>
        <v/>
      </c>
      <c r="R1356" s="11"/>
      <c r="S1356" s="11" t="str">
        <f t="shared" si="212"/>
        <v>PASS</v>
      </c>
    </row>
    <row r="1357" spans="1:19" x14ac:dyDescent="0.25">
      <c r="A1357" s="30" t="s">
        <v>98</v>
      </c>
      <c r="B1357" s="31">
        <f t="shared" si="203"/>
        <v>50496</v>
      </c>
      <c r="C1357" s="30">
        <f>YEAR(BInputReservoir[[#This Row],[Date]])</f>
        <v>2038</v>
      </c>
      <c r="D1357" s="30">
        <f>MONTH(BInputReservoir[[#This Row],[Date]])</f>
        <v>4</v>
      </c>
      <c r="E1357" s="30" t="str">
        <f>IF(I1357&lt;&gt;1,"",DATA_INPUT!N275)</f>
        <v/>
      </c>
      <c r="F1357" s="30" t="str">
        <f>STORAGE_BALANCE_ENSEMBLE!BU275</f>
        <v/>
      </c>
      <c r="G1357" s="30" t="str">
        <f>STORAGE_BALANCE_ENSEMBLE!BV275</f>
        <v/>
      </c>
      <c r="H1357" s="30" t="str">
        <f>STORAGE_BALANCE_ENSEMBLE!BT275</f>
        <v/>
      </c>
      <c r="I1357" s="18" t="str">
        <f t="shared" si="204"/>
        <v/>
      </c>
      <c r="J1357" s="8" t="str">
        <f t="shared" si="205"/>
        <v/>
      </c>
      <c r="K1357" s="9" t="str">
        <f t="shared" si="206"/>
        <v/>
      </c>
      <c r="L1357" s="10" t="str">
        <f t="shared" si="207"/>
        <v/>
      </c>
      <c r="M1357" s="10" t="str">
        <f>IF(I1357&lt;&gt;1,"",IF(H1357="","",H1357/CONTROL_PANEL!$B$11))</f>
        <v/>
      </c>
      <c r="N1357" s="9" t="str">
        <f t="shared" si="208"/>
        <v/>
      </c>
      <c r="O1357" s="9" t="str">
        <f t="shared" si="209"/>
        <v/>
      </c>
      <c r="P1357" s="9" t="str">
        <f t="shared" si="210"/>
        <v/>
      </c>
      <c r="Q1357" s="9" t="str">
        <f t="shared" si="211"/>
        <v/>
      </c>
      <c r="R1357" s="11"/>
      <c r="S1357" s="11" t="str">
        <f t="shared" si="212"/>
        <v>PASS</v>
      </c>
    </row>
    <row r="1358" spans="1:19" x14ac:dyDescent="0.25">
      <c r="A1358" s="30" t="s">
        <v>98</v>
      </c>
      <c r="B1358" s="31">
        <f t="shared" si="203"/>
        <v>50526</v>
      </c>
      <c r="C1358" s="30">
        <f>YEAR(BInputReservoir[[#This Row],[Date]])</f>
        <v>2038</v>
      </c>
      <c r="D1358" s="30">
        <f>MONTH(BInputReservoir[[#This Row],[Date]])</f>
        <v>5</v>
      </c>
      <c r="E1358" s="30" t="str">
        <f>IF(I1358&lt;&gt;1,"",DATA_INPUT!N276)</f>
        <v/>
      </c>
      <c r="F1358" s="30" t="str">
        <f>STORAGE_BALANCE_ENSEMBLE!BU276</f>
        <v/>
      </c>
      <c r="G1358" s="30" t="str">
        <f>STORAGE_BALANCE_ENSEMBLE!BV276</f>
        <v/>
      </c>
      <c r="H1358" s="30" t="str">
        <f>STORAGE_BALANCE_ENSEMBLE!BT276</f>
        <v/>
      </c>
      <c r="I1358" s="18" t="str">
        <f t="shared" si="204"/>
        <v/>
      </c>
      <c r="J1358" s="8" t="str">
        <f t="shared" si="205"/>
        <v/>
      </c>
      <c r="K1358" s="9" t="str">
        <f t="shared" si="206"/>
        <v/>
      </c>
      <c r="L1358" s="10" t="str">
        <f t="shared" si="207"/>
        <v/>
      </c>
      <c r="M1358" s="10" t="str">
        <f>IF(I1358&lt;&gt;1,"",IF(H1358="","",H1358/CONTROL_PANEL!$B$11))</f>
        <v/>
      </c>
      <c r="N1358" s="9" t="str">
        <f t="shared" si="208"/>
        <v/>
      </c>
      <c r="O1358" s="9" t="str">
        <f t="shared" si="209"/>
        <v/>
      </c>
      <c r="P1358" s="9" t="str">
        <f t="shared" si="210"/>
        <v/>
      </c>
      <c r="Q1358" s="9" t="str">
        <f t="shared" si="211"/>
        <v/>
      </c>
      <c r="R1358" s="11"/>
      <c r="S1358" s="11" t="str">
        <f t="shared" si="212"/>
        <v>PASS</v>
      </c>
    </row>
    <row r="1359" spans="1:19" x14ac:dyDescent="0.25">
      <c r="A1359" s="30" t="s">
        <v>98</v>
      </c>
      <c r="B1359" s="31">
        <f t="shared" si="203"/>
        <v>50557</v>
      </c>
      <c r="C1359" s="30">
        <f>YEAR(BInputReservoir[[#This Row],[Date]])</f>
        <v>2038</v>
      </c>
      <c r="D1359" s="30">
        <f>MONTH(BInputReservoir[[#This Row],[Date]])</f>
        <v>6</v>
      </c>
      <c r="E1359" s="30" t="str">
        <f>IF(I1359&lt;&gt;1,"",DATA_INPUT!N277)</f>
        <v/>
      </c>
      <c r="F1359" s="30" t="str">
        <f>STORAGE_BALANCE_ENSEMBLE!BU277</f>
        <v/>
      </c>
      <c r="G1359" s="30" t="str">
        <f>STORAGE_BALANCE_ENSEMBLE!BV277</f>
        <v/>
      </c>
      <c r="H1359" s="30" t="str">
        <f>STORAGE_BALANCE_ENSEMBLE!BT277</f>
        <v/>
      </c>
      <c r="I1359" s="18" t="str">
        <f t="shared" si="204"/>
        <v/>
      </c>
      <c r="J1359" s="8" t="str">
        <f t="shared" si="205"/>
        <v/>
      </c>
      <c r="K1359" s="9" t="str">
        <f t="shared" si="206"/>
        <v/>
      </c>
      <c r="L1359" s="10" t="str">
        <f t="shared" si="207"/>
        <v/>
      </c>
      <c r="M1359" s="10" t="str">
        <f>IF(I1359&lt;&gt;1,"",IF(H1359="","",H1359/CONTROL_PANEL!$B$11))</f>
        <v/>
      </c>
      <c r="N1359" s="9" t="str">
        <f t="shared" si="208"/>
        <v/>
      </c>
      <c r="O1359" s="9" t="str">
        <f t="shared" si="209"/>
        <v/>
      </c>
      <c r="P1359" s="9" t="str">
        <f t="shared" si="210"/>
        <v/>
      </c>
      <c r="Q1359" s="9" t="str">
        <f t="shared" si="211"/>
        <v/>
      </c>
      <c r="R1359" s="11"/>
      <c r="S1359" s="11" t="str">
        <f t="shared" si="212"/>
        <v>PASS</v>
      </c>
    </row>
    <row r="1360" spans="1:19" x14ac:dyDescent="0.25">
      <c r="A1360" s="30" t="s">
        <v>98</v>
      </c>
      <c r="B1360" s="31">
        <f t="shared" si="203"/>
        <v>50587</v>
      </c>
      <c r="C1360" s="30">
        <f>YEAR(BInputReservoir[[#This Row],[Date]])</f>
        <v>2038</v>
      </c>
      <c r="D1360" s="30">
        <f>MONTH(BInputReservoir[[#This Row],[Date]])</f>
        <v>7</v>
      </c>
      <c r="E1360" s="30" t="str">
        <f>IF(I1360&lt;&gt;1,"",DATA_INPUT!N278)</f>
        <v/>
      </c>
      <c r="F1360" s="30" t="str">
        <f>STORAGE_BALANCE_ENSEMBLE!BU278</f>
        <v/>
      </c>
      <c r="G1360" s="30" t="str">
        <f>STORAGE_BALANCE_ENSEMBLE!BV278</f>
        <v/>
      </c>
      <c r="H1360" s="30" t="str">
        <f>STORAGE_BALANCE_ENSEMBLE!BT278</f>
        <v/>
      </c>
      <c r="I1360" s="18" t="str">
        <f t="shared" si="204"/>
        <v/>
      </c>
      <c r="J1360" s="8" t="str">
        <f t="shared" si="205"/>
        <v/>
      </c>
      <c r="K1360" s="9" t="str">
        <f t="shared" si="206"/>
        <v/>
      </c>
      <c r="L1360" s="10" t="str">
        <f t="shared" si="207"/>
        <v/>
      </c>
      <c r="M1360" s="10" t="str">
        <f>IF(I1360&lt;&gt;1,"",IF(H1360="","",H1360/CONTROL_PANEL!$B$11))</f>
        <v/>
      </c>
      <c r="N1360" s="9" t="str">
        <f t="shared" si="208"/>
        <v/>
      </c>
      <c r="O1360" s="9" t="str">
        <f t="shared" si="209"/>
        <v/>
      </c>
      <c r="P1360" s="9" t="str">
        <f t="shared" si="210"/>
        <v/>
      </c>
      <c r="Q1360" s="9" t="str">
        <f t="shared" si="211"/>
        <v/>
      </c>
      <c r="R1360" s="11"/>
      <c r="S1360" s="11" t="str">
        <f t="shared" si="212"/>
        <v>PASS</v>
      </c>
    </row>
    <row r="1361" spans="1:19" x14ac:dyDescent="0.25">
      <c r="A1361" s="30" t="s">
        <v>98</v>
      </c>
      <c r="B1361" s="31">
        <f t="shared" si="203"/>
        <v>50618</v>
      </c>
      <c r="C1361" s="30">
        <f>YEAR(BInputReservoir[[#This Row],[Date]])</f>
        <v>2038</v>
      </c>
      <c r="D1361" s="30">
        <f>MONTH(BInputReservoir[[#This Row],[Date]])</f>
        <v>8</v>
      </c>
      <c r="E1361" s="30" t="str">
        <f>IF(I1361&lt;&gt;1,"",DATA_INPUT!N279)</f>
        <v/>
      </c>
      <c r="F1361" s="30" t="str">
        <f>STORAGE_BALANCE_ENSEMBLE!BU279</f>
        <v/>
      </c>
      <c r="G1361" s="30" t="str">
        <f>STORAGE_BALANCE_ENSEMBLE!BV279</f>
        <v/>
      </c>
      <c r="H1361" s="30" t="str">
        <f>STORAGE_BALANCE_ENSEMBLE!BT279</f>
        <v/>
      </c>
      <c r="I1361" s="18" t="str">
        <f t="shared" si="204"/>
        <v/>
      </c>
      <c r="J1361" s="8" t="str">
        <f t="shared" si="205"/>
        <v/>
      </c>
      <c r="K1361" s="9" t="str">
        <f t="shared" si="206"/>
        <v/>
      </c>
      <c r="L1361" s="10" t="str">
        <f t="shared" si="207"/>
        <v/>
      </c>
      <c r="M1361" s="10" t="str">
        <f>IF(I1361&lt;&gt;1,"",IF(H1361="","",H1361/CONTROL_PANEL!$B$11))</f>
        <v/>
      </c>
      <c r="N1361" s="9" t="str">
        <f t="shared" si="208"/>
        <v/>
      </c>
      <c r="O1361" s="9" t="str">
        <f t="shared" si="209"/>
        <v/>
      </c>
      <c r="P1361" s="9" t="str">
        <f t="shared" si="210"/>
        <v/>
      </c>
      <c r="Q1361" s="9" t="str">
        <f t="shared" si="211"/>
        <v/>
      </c>
      <c r="R1361" s="11"/>
      <c r="S1361" s="11" t="str">
        <f t="shared" si="212"/>
        <v>PASS</v>
      </c>
    </row>
    <row r="1362" spans="1:19" x14ac:dyDescent="0.25">
      <c r="A1362" s="30" t="s">
        <v>98</v>
      </c>
      <c r="B1362" s="31">
        <f t="shared" si="203"/>
        <v>50649</v>
      </c>
      <c r="C1362" s="30">
        <f>YEAR(BInputReservoir[[#This Row],[Date]])</f>
        <v>2038</v>
      </c>
      <c r="D1362" s="30">
        <f>MONTH(BInputReservoir[[#This Row],[Date]])</f>
        <v>9</v>
      </c>
      <c r="E1362" s="30" t="str">
        <f>IF(I1362&lt;&gt;1,"",DATA_INPUT!N280)</f>
        <v/>
      </c>
      <c r="F1362" s="30" t="str">
        <f>STORAGE_BALANCE_ENSEMBLE!BU280</f>
        <v/>
      </c>
      <c r="G1362" s="30" t="str">
        <f>STORAGE_BALANCE_ENSEMBLE!BV280</f>
        <v/>
      </c>
      <c r="H1362" s="30" t="str">
        <f>STORAGE_BALANCE_ENSEMBLE!BT280</f>
        <v/>
      </c>
      <c r="I1362" s="18" t="str">
        <f t="shared" si="204"/>
        <v/>
      </c>
      <c r="J1362" s="8" t="str">
        <f t="shared" si="205"/>
        <v/>
      </c>
      <c r="K1362" s="9" t="str">
        <f t="shared" si="206"/>
        <v/>
      </c>
      <c r="L1362" s="10" t="str">
        <f t="shared" si="207"/>
        <v/>
      </c>
      <c r="M1362" s="10" t="str">
        <f>IF(I1362&lt;&gt;1,"",IF(H1362="","",H1362/CONTROL_PANEL!$B$11))</f>
        <v/>
      </c>
      <c r="N1362" s="9" t="str">
        <f t="shared" si="208"/>
        <v/>
      </c>
      <c r="O1362" s="9" t="str">
        <f t="shared" si="209"/>
        <v/>
      </c>
      <c r="P1362" s="9" t="str">
        <f t="shared" si="210"/>
        <v/>
      </c>
      <c r="Q1362" s="9" t="str">
        <f t="shared" si="211"/>
        <v/>
      </c>
      <c r="R1362" s="11"/>
      <c r="S1362" s="11" t="str">
        <f t="shared" si="212"/>
        <v>PASS</v>
      </c>
    </row>
    <row r="1363" spans="1:19" x14ac:dyDescent="0.25">
      <c r="A1363" s="30" t="s">
        <v>98</v>
      </c>
      <c r="B1363" s="31">
        <f t="shared" si="203"/>
        <v>50679</v>
      </c>
      <c r="C1363" s="30">
        <f>YEAR(BInputReservoir[[#This Row],[Date]])</f>
        <v>2038</v>
      </c>
      <c r="D1363" s="30">
        <f>MONTH(BInputReservoir[[#This Row],[Date]])</f>
        <v>10</v>
      </c>
      <c r="E1363" s="30" t="str">
        <f>IF(I1363&lt;&gt;1,"",DATA_INPUT!N281)</f>
        <v/>
      </c>
      <c r="F1363" s="30" t="str">
        <f>STORAGE_BALANCE_ENSEMBLE!BU281</f>
        <v/>
      </c>
      <c r="G1363" s="30" t="str">
        <f>STORAGE_BALANCE_ENSEMBLE!BV281</f>
        <v/>
      </c>
      <c r="H1363" s="30" t="str">
        <f>STORAGE_BALANCE_ENSEMBLE!BT281</f>
        <v/>
      </c>
      <c r="I1363" s="18" t="str">
        <f t="shared" si="204"/>
        <v/>
      </c>
      <c r="J1363" s="8" t="str">
        <f t="shared" si="205"/>
        <v/>
      </c>
      <c r="K1363" s="9" t="str">
        <f t="shared" si="206"/>
        <v/>
      </c>
      <c r="L1363" s="10" t="str">
        <f t="shared" si="207"/>
        <v/>
      </c>
      <c r="M1363" s="10" t="str">
        <f>IF(I1363&lt;&gt;1,"",IF(H1363="","",H1363/CONTROL_PANEL!$B$11))</f>
        <v/>
      </c>
      <c r="N1363" s="9" t="str">
        <f t="shared" si="208"/>
        <v/>
      </c>
      <c r="O1363" s="9" t="str">
        <f t="shared" si="209"/>
        <v/>
      </c>
      <c r="P1363" s="9" t="str">
        <f t="shared" si="210"/>
        <v/>
      </c>
      <c r="Q1363" s="9" t="str">
        <f t="shared" si="211"/>
        <v/>
      </c>
      <c r="R1363" s="11"/>
      <c r="S1363" s="11" t="str">
        <f t="shared" si="212"/>
        <v>PASS</v>
      </c>
    </row>
    <row r="1364" spans="1:19" x14ac:dyDescent="0.25">
      <c r="A1364" s="30" t="s">
        <v>98</v>
      </c>
      <c r="B1364" s="31">
        <f t="shared" si="203"/>
        <v>50710</v>
      </c>
      <c r="C1364" s="30">
        <f>YEAR(BInputReservoir[[#This Row],[Date]])</f>
        <v>2038</v>
      </c>
      <c r="D1364" s="30">
        <f>MONTH(BInputReservoir[[#This Row],[Date]])</f>
        <v>11</v>
      </c>
      <c r="E1364" s="30" t="str">
        <f>IF(I1364&lt;&gt;1,"",DATA_INPUT!N282)</f>
        <v/>
      </c>
      <c r="F1364" s="30" t="str">
        <f>STORAGE_BALANCE_ENSEMBLE!BU282</f>
        <v/>
      </c>
      <c r="G1364" s="30" t="str">
        <f>STORAGE_BALANCE_ENSEMBLE!BV282</f>
        <v/>
      </c>
      <c r="H1364" s="30" t="str">
        <f>STORAGE_BALANCE_ENSEMBLE!BT282</f>
        <v/>
      </c>
      <c r="I1364" s="18" t="str">
        <f t="shared" si="204"/>
        <v/>
      </c>
      <c r="J1364" s="8" t="str">
        <f t="shared" si="205"/>
        <v/>
      </c>
      <c r="K1364" s="9" t="str">
        <f t="shared" si="206"/>
        <v/>
      </c>
      <c r="L1364" s="10" t="str">
        <f t="shared" si="207"/>
        <v/>
      </c>
      <c r="M1364" s="10" t="str">
        <f>IF(I1364&lt;&gt;1,"",IF(H1364="","",H1364/CONTROL_PANEL!$B$11))</f>
        <v/>
      </c>
      <c r="N1364" s="9" t="str">
        <f t="shared" si="208"/>
        <v/>
      </c>
      <c r="O1364" s="9" t="str">
        <f t="shared" si="209"/>
        <v/>
      </c>
      <c r="P1364" s="9" t="str">
        <f t="shared" si="210"/>
        <v/>
      </c>
      <c r="Q1364" s="9" t="str">
        <f t="shared" si="211"/>
        <v/>
      </c>
      <c r="R1364" s="11"/>
      <c r="S1364" s="11" t="str">
        <f t="shared" si="212"/>
        <v>PASS</v>
      </c>
    </row>
    <row r="1365" spans="1:19" x14ac:dyDescent="0.25">
      <c r="A1365" s="30" t="s">
        <v>98</v>
      </c>
      <c r="B1365" s="31">
        <f t="shared" si="203"/>
        <v>50740</v>
      </c>
      <c r="C1365" s="30">
        <f>YEAR(BInputReservoir[[#This Row],[Date]])</f>
        <v>2038</v>
      </c>
      <c r="D1365" s="30">
        <f>MONTH(BInputReservoir[[#This Row],[Date]])</f>
        <v>12</v>
      </c>
      <c r="E1365" s="30" t="str">
        <f>IF(I1365&lt;&gt;1,"",DATA_INPUT!N283)</f>
        <v/>
      </c>
      <c r="F1365" s="30" t="str">
        <f>STORAGE_BALANCE_ENSEMBLE!BU283</f>
        <v/>
      </c>
      <c r="G1365" s="30" t="str">
        <f>STORAGE_BALANCE_ENSEMBLE!BV283</f>
        <v/>
      </c>
      <c r="H1365" s="30" t="str">
        <f>STORAGE_BALANCE_ENSEMBLE!BT283</f>
        <v/>
      </c>
      <c r="I1365" s="18" t="str">
        <f t="shared" si="204"/>
        <v/>
      </c>
      <c r="J1365" s="8" t="str">
        <f t="shared" si="205"/>
        <v/>
      </c>
      <c r="K1365" s="9" t="str">
        <f t="shared" si="206"/>
        <v/>
      </c>
      <c r="L1365" s="10" t="str">
        <f t="shared" si="207"/>
        <v/>
      </c>
      <c r="M1365" s="10" t="str">
        <f>IF(I1365&lt;&gt;1,"",IF(H1365="","",H1365/CONTROL_PANEL!$B$11))</f>
        <v/>
      </c>
      <c r="N1365" s="9" t="str">
        <f t="shared" si="208"/>
        <v/>
      </c>
      <c r="O1365" s="9" t="str">
        <f t="shared" si="209"/>
        <v/>
      </c>
      <c r="P1365" s="9" t="str">
        <f t="shared" si="210"/>
        <v/>
      </c>
      <c r="Q1365" s="9" t="str">
        <f t="shared" si="211"/>
        <v/>
      </c>
      <c r="R1365" s="11"/>
      <c r="S1365" s="11" t="str">
        <f t="shared" si="212"/>
        <v>PASS</v>
      </c>
    </row>
    <row r="1366" spans="1:19" x14ac:dyDescent="0.25">
      <c r="A1366" s="30" t="s">
        <v>98</v>
      </c>
      <c r="B1366" s="31">
        <f t="shared" si="203"/>
        <v>50771</v>
      </c>
      <c r="C1366" s="30">
        <f>YEAR(BInputReservoir[[#This Row],[Date]])</f>
        <v>2039</v>
      </c>
      <c r="D1366" s="30">
        <f>MONTH(BInputReservoir[[#This Row],[Date]])</f>
        <v>1</v>
      </c>
      <c r="E1366" s="30" t="str">
        <f>IF(I1366&lt;&gt;1,"",DATA_INPUT!N284)</f>
        <v/>
      </c>
      <c r="F1366" s="30" t="str">
        <f>STORAGE_BALANCE_ENSEMBLE!BU284</f>
        <v/>
      </c>
      <c r="G1366" s="30" t="str">
        <f>STORAGE_BALANCE_ENSEMBLE!BV284</f>
        <v/>
      </c>
      <c r="H1366" s="30" t="str">
        <f>STORAGE_BALANCE_ENSEMBLE!BT284</f>
        <v/>
      </c>
      <c r="I1366" s="18" t="str">
        <f t="shared" si="204"/>
        <v/>
      </c>
      <c r="J1366" s="8" t="str">
        <f t="shared" si="205"/>
        <v/>
      </c>
      <c r="K1366" s="9" t="str">
        <f t="shared" si="206"/>
        <v/>
      </c>
      <c r="L1366" s="10" t="str">
        <f t="shared" si="207"/>
        <v/>
      </c>
      <c r="M1366" s="10" t="str">
        <f>IF(I1366&lt;&gt;1,"",IF(H1366="","",H1366/CONTROL_PANEL!$B$11))</f>
        <v/>
      </c>
      <c r="N1366" s="9" t="str">
        <f t="shared" si="208"/>
        <v/>
      </c>
      <c r="O1366" s="9" t="str">
        <f t="shared" si="209"/>
        <v/>
      </c>
      <c r="P1366" s="9" t="str">
        <f t="shared" si="210"/>
        <v/>
      </c>
      <c r="Q1366" s="9" t="str">
        <f t="shared" si="211"/>
        <v/>
      </c>
      <c r="R1366" s="11"/>
      <c r="S1366" s="11" t="str">
        <f t="shared" si="212"/>
        <v>PASS</v>
      </c>
    </row>
    <row r="1367" spans="1:19" x14ac:dyDescent="0.25">
      <c r="A1367" s="30" t="s">
        <v>98</v>
      </c>
      <c r="B1367" s="31">
        <f t="shared" si="203"/>
        <v>50802</v>
      </c>
      <c r="C1367" s="30">
        <f>YEAR(BInputReservoir[[#This Row],[Date]])</f>
        <v>2039</v>
      </c>
      <c r="D1367" s="30">
        <f>MONTH(BInputReservoir[[#This Row],[Date]])</f>
        <v>2</v>
      </c>
      <c r="E1367" s="30" t="str">
        <f>IF(I1367&lt;&gt;1,"",DATA_INPUT!N285)</f>
        <v/>
      </c>
      <c r="F1367" s="30" t="str">
        <f>STORAGE_BALANCE_ENSEMBLE!BU285</f>
        <v/>
      </c>
      <c r="G1367" s="30" t="str">
        <f>STORAGE_BALANCE_ENSEMBLE!BV285</f>
        <v/>
      </c>
      <c r="H1367" s="30" t="str">
        <f>STORAGE_BALANCE_ENSEMBLE!BT285</f>
        <v/>
      </c>
      <c r="I1367" s="18" t="str">
        <f t="shared" si="204"/>
        <v/>
      </c>
      <c r="J1367" s="8" t="str">
        <f t="shared" si="205"/>
        <v/>
      </c>
      <c r="K1367" s="9" t="str">
        <f t="shared" si="206"/>
        <v/>
      </c>
      <c r="L1367" s="10" t="str">
        <f t="shared" si="207"/>
        <v/>
      </c>
      <c r="M1367" s="10" t="str">
        <f>IF(I1367&lt;&gt;1,"",IF(H1367="","",H1367/CONTROL_PANEL!$B$11))</f>
        <v/>
      </c>
      <c r="N1367" s="9" t="str">
        <f t="shared" si="208"/>
        <v/>
      </c>
      <c r="O1367" s="9" t="str">
        <f t="shared" si="209"/>
        <v/>
      </c>
      <c r="P1367" s="9" t="str">
        <f t="shared" si="210"/>
        <v/>
      </c>
      <c r="Q1367" s="9" t="str">
        <f t="shared" si="211"/>
        <v/>
      </c>
      <c r="R1367" s="11"/>
      <c r="S1367" s="11" t="str">
        <f t="shared" si="212"/>
        <v>PASS</v>
      </c>
    </row>
    <row r="1368" spans="1:19" x14ac:dyDescent="0.25">
      <c r="A1368" s="30" t="s">
        <v>98</v>
      </c>
      <c r="B1368" s="31">
        <f t="shared" si="203"/>
        <v>50830</v>
      </c>
      <c r="C1368" s="30">
        <f>YEAR(BInputReservoir[[#This Row],[Date]])</f>
        <v>2039</v>
      </c>
      <c r="D1368" s="30">
        <f>MONTH(BInputReservoir[[#This Row],[Date]])</f>
        <v>3</v>
      </c>
      <c r="E1368" s="30" t="str">
        <f>IF(I1368&lt;&gt;1,"",DATA_INPUT!N286)</f>
        <v/>
      </c>
      <c r="F1368" s="30" t="str">
        <f>STORAGE_BALANCE_ENSEMBLE!BU286</f>
        <v/>
      </c>
      <c r="G1368" s="30" t="str">
        <f>STORAGE_BALANCE_ENSEMBLE!BV286</f>
        <v/>
      </c>
      <c r="H1368" s="30" t="str">
        <f>STORAGE_BALANCE_ENSEMBLE!BT286</f>
        <v/>
      </c>
      <c r="I1368" s="18" t="str">
        <f t="shared" si="204"/>
        <v/>
      </c>
      <c r="J1368" s="8" t="str">
        <f t="shared" si="205"/>
        <v/>
      </c>
      <c r="K1368" s="9" t="str">
        <f t="shared" si="206"/>
        <v/>
      </c>
      <c r="L1368" s="10" t="str">
        <f t="shared" si="207"/>
        <v/>
      </c>
      <c r="M1368" s="10" t="str">
        <f>IF(I1368&lt;&gt;1,"",IF(H1368="","",H1368/CONTROL_PANEL!$B$11))</f>
        <v/>
      </c>
      <c r="N1368" s="9" t="str">
        <f t="shared" si="208"/>
        <v/>
      </c>
      <c r="O1368" s="9" t="str">
        <f t="shared" si="209"/>
        <v/>
      </c>
      <c r="P1368" s="9" t="str">
        <f t="shared" si="210"/>
        <v/>
      </c>
      <c r="Q1368" s="9" t="str">
        <f t="shared" si="211"/>
        <v/>
      </c>
      <c r="R1368" s="11"/>
      <c r="S1368" s="11" t="str">
        <f t="shared" si="212"/>
        <v>PASS</v>
      </c>
    </row>
    <row r="1369" spans="1:19" x14ac:dyDescent="0.25">
      <c r="A1369" s="30" t="s">
        <v>98</v>
      </c>
      <c r="B1369" s="31">
        <f t="shared" si="203"/>
        <v>50861</v>
      </c>
      <c r="C1369" s="30">
        <f>YEAR(BInputReservoir[[#This Row],[Date]])</f>
        <v>2039</v>
      </c>
      <c r="D1369" s="30">
        <f>MONTH(BInputReservoir[[#This Row],[Date]])</f>
        <v>4</v>
      </c>
      <c r="E1369" s="30" t="str">
        <f>IF(I1369&lt;&gt;1,"",DATA_INPUT!N287)</f>
        <v/>
      </c>
      <c r="F1369" s="30" t="str">
        <f>STORAGE_BALANCE_ENSEMBLE!BU287</f>
        <v/>
      </c>
      <c r="G1369" s="30" t="str">
        <f>STORAGE_BALANCE_ENSEMBLE!BV287</f>
        <v/>
      </c>
      <c r="H1369" s="30" t="str">
        <f>STORAGE_BALANCE_ENSEMBLE!BT287</f>
        <v/>
      </c>
      <c r="I1369" s="18" t="str">
        <f t="shared" si="204"/>
        <v/>
      </c>
      <c r="J1369" s="8" t="str">
        <f t="shared" si="205"/>
        <v/>
      </c>
      <c r="K1369" s="9" t="str">
        <f t="shared" si="206"/>
        <v/>
      </c>
      <c r="L1369" s="10" t="str">
        <f t="shared" si="207"/>
        <v/>
      </c>
      <c r="M1369" s="10" t="str">
        <f>IF(I1369&lt;&gt;1,"",IF(H1369="","",H1369/CONTROL_PANEL!$B$11))</f>
        <v/>
      </c>
      <c r="N1369" s="9" t="str">
        <f t="shared" si="208"/>
        <v/>
      </c>
      <c r="O1369" s="9" t="str">
        <f t="shared" si="209"/>
        <v/>
      </c>
      <c r="P1369" s="9" t="str">
        <f t="shared" si="210"/>
        <v/>
      </c>
      <c r="Q1369" s="9" t="str">
        <f t="shared" si="211"/>
        <v/>
      </c>
      <c r="R1369" s="11"/>
      <c r="S1369" s="11" t="str">
        <f t="shared" si="212"/>
        <v>PASS</v>
      </c>
    </row>
    <row r="1370" spans="1:19" x14ac:dyDescent="0.25">
      <c r="A1370" s="30" t="s">
        <v>98</v>
      </c>
      <c r="B1370" s="31">
        <f t="shared" si="203"/>
        <v>50891</v>
      </c>
      <c r="C1370" s="30">
        <f>YEAR(BInputReservoir[[#This Row],[Date]])</f>
        <v>2039</v>
      </c>
      <c r="D1370" s="30">
        <f>MONTH(BInputReservoir[[#This Row],[Date]])</f>
        <v>5</v>
      </c>
      <c r="E1370" s="30" t="str">
        <f>IF(I1370&lt;&gt;1,"",DATA_INPUT!N288)</f>
        <v/>
      </c>
      <c r="F1370" s="30" t="str">
        <f>STORAGE_BALANCE_ENSEMBLE!BU288</f>
        <v/>
      </c>
      <c r="G1370" s="30" t="str">
        <f>STORAGE_BALANCE_ENSEMBLE!BV288</f>
        <v/>
      </c>
      <c r="H1370" s="30" t="str">
        <f>STORAGE_BALANCE_ENSEMBLE!BT288</f>
        <v/>
      </c>
      <c r="I1370" s="18" t="str">
        <f t="shared" si="204"/>
        <v/>
      </c>
      <c r="J1370" s="8" t="str">
        <f t="shared" si="205"/>
        <v/>
      </c>
      <c r="K1370" s="9" t="str">
        <f t="shared" si="206"/>
        <v/>
      </c>
      <c r="L1370" s="10" t="str">
        <f t="shared" si="207"/>
        <v/>
      </c>
      <c r="M1370" s="10" t="str">
        <f>IF(I1370&lt;&gt;1,"",IF(H1370="","",H1370/CONTROL_PANEL!$B$11))</f>
        <v/>
      </c>
      <c r="N1370" s="9" t="str">
        <f t="shared" si="208"/>
        <v/>
      </c>
      <c r="O1370" s="9" t="str">
        <f t="shared" si="209"/>
        <v/>
      </c>
      <c r="P1370" s="9" t="str">
        <f t="shared" si="210"/>
        <v/>
      </c>
      <c r="Q1370" s="9" t="str">
        <f t="shared" si="211"/>
        <v/>
      </c>
      <c r="R1370" s="11"/>
      <c r="S1370" s="11" t="str">
        <f t="shared" si="212"/>
        <v>PASS</v>
      </c>
    </row>
    <row r="1371" spans="1:19" x14ac:dyDescent="0.25">
      <c r="A1371" s="30" t="s">
        <v>98</v>
      </c>
      <c r="B1371" s="31">
        <f t="shared" si="203"/>
        <v>50922</v>
      </c>
      <c r="C1371" s="30">
        <f>YEAR(BInputReservoir[[#This Row],[Date]])</f>
        <v>2039</v>
      </c>
      <c r="D1371" s="30">
        <f>MONTH(BInputReservoir[[#This Row],[Date]])</f>
        <v>6</v>
      </c>
      <c r="E1371" s="30" t="str">
        <f>IF(I1371&lt;&gt;1,"",DATA_INPUT!N289)</f>
        <v/>
      </c>
      <c r="F1371" s="30" t="str">
        <f>STORAGE_BALANCE_ENSEMBLE!BU289</f>
        <v/>
      </c>
      <c r="G1371" s="30" t="str">
        <f>STORAGE_BALANCE_ENSEMBLE!BV289</f>
        <v/>
      </c>
      <c r="H1371" s="30" t="str">
        <f>STORAGE_BALANCE_ENSEMBLE!BT289</f>
        <v/>
      </c>
      <c r="I1371" s="18" t="str">
        <f t="shared" si="204"/>
        <v/>
      </c>
      <c r="J1371" s="8" t="str">
        <f t="shared" si="205"/>
        <v/>
      </c>
      <c r="K1371" s="9" t="str">
        <f t="shared" si="206"/>
        <v/>
      </c>
      <c r="L1371" s="10" t="str">
        <f t="shared" si="207"/>
        <v/>
      </c>
      <c r="M1371" s="10" t="str">
        <f>IF(I1371&lt;&gt;1,"",IF(H1371="","",H1371/CONTROL_PANEL!$B$11))</f>
        <v/>
      </c>
      <c r="N1371" s="9" t="str">
        <f t="shared" si="208"/>
        <v/>
      </c>
      <c r="O1371" s="9" t="str">
        <f t="shared" si="209"/>
        <v/>
      </c>
      <c r="P1371" s="9" t="str">
        <f t="shared" si="210"/>
        <v/>
      </c>
      <c r="Q1371" s="9" t="str">
        <f t="shared" si="211"/>
        <v/>
      </c>
      <c r="R1371" s="11"/>
      <c r="S1371" s="11" t="str">
        <f t="shared" si="212"/>
        <v>PASS</v>
      </c>
    </row>
    <row r="1372" spans="1:19" x14ac:dyDescent="0.25">
      <c r="A1372" s="30" t="s">
        <v>98</v>
      </c>
      <c r="B1372" s="31">
        <f t="shared" si="203"/>
        <v>50952</v>
      </c>
      <c r="C1372" s="30">
        <f>YEAR(BInputReservoir[[#This Row],[Date]])</f>
        <v>2039</v>
      </c>
      <c r="D1372" s="30">
        <f>MONTH(BInputReservoir[[#This Row],[Date]])</f>
        <v>7</v>
      </c>
      <c r="E1372" s="30" t="str">
        <f>IF(I1372&lt;&gt;1,"",DATA_INPUT!N290)</f>
        <v/>
      </c>
      <c r="F1372" s="30" t="str">
        <f>STORAGE_BALANCE_ENSEMBLE!BU290</f>
        <v/>
      </c>
      <c r="G1372" s="30" t="str">
        <f>STORAGE_BALANCE_ENSEMBLE!BV290</f>
        <v/>
      </c>
      <c r="H1372" s="30" t="str">
        <f>STORAGE_BALANCE_ENSEMBLE!BT290</f>
        <v/>
      </c>
      <c r="I1372" s="18" t="str">
        <f t="shared" si="204"/>
        <v/>
      </c>
      <c r="J1372" s="8" t="str">
        <f t="shared" si="205"/>
        <v/>
      </c>
      <c r="K1372" s="9" t="str">
        <f t="shared" si="206"/>
        <v/>
      </c>
      <c r="L1372" s="10" t="str">
        <f t="shared" si="207"/>
        <v/>
      </c>
      <c r="M1372" s="10" t="str">
        <f>IF(I1372&lt;&gt;1,"",IF(H1372="","",H1372/CONTROL_PANEL!$B$11))</f>
        <v/>
      </c>
      <c r="N1372" s="9" t="str">
        <f t="shared" si="208"/>
        <v/>
      </c>
      <c r="O1372" s="9" t="str">
        <f t="shared" si="209"/>
        <v/>
      </c>
      <c r="P1372" s="9" t="str">
        <f t="shared" si="210"/>
        <v/>
      </c>
      <c r="Q1372" s="9" t="str">
        <f t="shared" si="211"/>
        <v/>
      </c>
      <c r="R1372" s="11"/>
      <c r="S1372" s="11" t="str">
        <f t="shared" si="212"/>
        <v>PASS</v>
      </c>
    </row>
    <row r="1373" spans="1:19" x14ac:dyDescent="0.25">
      <c r="A1373" s="30" t="s">
        <v>98</v>
      </c>
      <c r="B1373" s="31">
        <f t="shared" si="203"/>
        <v>50983</v>
      </c>
      <c r="C1373" s="30">
        <f>YEAR(BInputReservoir[[#This Row],[Date]])</f>
        <v>2039</v>
      </c>
      <c r="D1373" s="30">
        <f>MONTH(BInputReservoir[[#This Row],[Date]])</f>
        <v>8</v>
      </c>
      <c r="E1373" s="30" t="str">
        <f>IF(I1373&lt;&gt;1,"",DATA_INPUT!N291)</f>
        <v/>
      </c>
      <c r="F1373" s="30" t="str">
        <f>STORAGE_BALANCE_ENSEMBLE!BU291</f>
        <v/>
      </c>
      <c r="G1373" s="30" t="str">
        <f>STORAGE_BALANCE_ENSEMBLE!BV291</f>
        <v/>
      </c>
      <c r="H1373" s="30" t="str">
        <f>STORAGE_BALANCE_ENSEMBLE!BT291</f>
        <v/>
      </c>
      <c r="I1373" s="18" t="str">
        <f t="shared" si="204"/>
        <v/>
      </c>
      <c r="J1373" s="8" t="str">
        <f t="shared" si="205"/>
        <v/>
      </c>
      <c r="K1373" s="9" t="str">
        <f t="shared" si="206"/>
        <v/>
      </c>
      <c r="L1373" s="10" t="str">
        <f t="shared" si="207"/>
        <v/>
      </c>
      <c r="M1373" s="10" t="str">
        <f>IF(I1373&lt;&gt;1,"",IF(H1373="","",H1373/CONTROL_PANEL!$B$11))</f>
        <v/>
      </c>
      <c r="N1373" s="9" t="str">
        <f t="shared" si="208"/>
        <v/>
      </c>
      <c r="O1373" s="9" t="str">
        <f t="shared" si="209"/>
        <v/>
      </c>
      <c r="P1373" s="9" t="str">
        <f t="shared" si="210"/>
        <v/>
      </c>
      <c r="Q1373" s="9" t="str">
        <f t="shared" si="211"/>
        <v/>
      </c>
      <c r="R1373" s="11"/>
      <c r="S1373" s="11" t="str">
        <f t="shared" si="212"/>
        <v>PASS</v>
      </c>
    </row>
    <row r="1374" spans="1:19" x14ac:dyDescent="0.25">
      <c r="A1374" s="30" t="s">
        <v>98</v>
      </c>
      <c r="B1374" s="31">
        <f t="shared" si="203"/>
        <v>51014</v>
      </c>
      <c r="C1374" s="30">
        <f>YEAR(BInputReservoir[[#This Row],[Date]])</f>
        <v>2039</v>
      </c>
      <c r="D1374" s="30">
        <f>MONTH(BInputReservoir[[#This Row],[Date]])</f>
        <v>9</v>
      </c>
      <c r="E1374" s="30" t="str">
        <f>IF(I1374&lt;&gt;1,"",DATA_INPUT!N292)</f>
        <v/>
      </c>
      <c r="F1374" s="30" t="str">
        <f>STORAGE_BALANCE_ENSEMBLE!BU292</f>
        <v/>
      </c>
      <c r="G1374" s="30" t="str">
        <f>STORAGE_BALANCE_ENSEMBLE!BV292</f>
        <v/>
      </c>
      <c r="H1374" s="30" t="str">
        <f>STORAGE_BALANCE_ENSEMBLE!BT292</f>
        <v/>
      </c>
      <c r="I1374" s="18" t="str">
        <f t="shared" si="204"/>
        <v/>
      </c>
      <c r="J1374" s="8" t="str">
        <f t="shared" si="205"/>
        <v/>
      </c>
      <c r="K1374" s="9" t="str">
        <f t="shared" si="206"/>
        <v/>
      </c>
      <c r="L1374" s="10" t="str">
        <f t="shared" si="207"/>
        <v/>
      </c>
      <c r="M1374" s="10" t="str">
        <f>IF(I1374&lt;&gt;1,"",IF(H1374="","",H1374/CONTROL_PANEL!$B$11))</f>
        <v/>
      </c>
      <c r="N1374" s="9" t="str">
        <f t="shared" si="208"/>
        <v/>
      </c>
      <c r="O1374" s="9" t="str">
        <f t="shared" si="209"/>
        <v/>
      </c>
      <c r="P1374" s="9" t="str">
        <f t="shared" si="210"/>
        <v/>
      </c>
      <c r="Q1374" s="9" t="str">
        <f t="shared" si="211"/>
        <v/>
      </c>
      <c r="R1374" s="11"/>
      <c r="S1374" s="11" t="str">
        <f t="shared" si="212"/>
        <v>PASS</v>
      </c>
    </row>
    <row r="1375" spans="1:19" x14ac:dyDescent="0.25">
      <c r="A1375" s="30" t="s">
        <v>98</v>
      </c>
      <c r="B1375" s="31">
        <f t="shared" si="203"/>
        <v>51044</v>
      </c>
      <c r="C1375" s="30">
        <f>YEAR(BInputReservoir[[#This Row],[Date]])</f>
        <v>2039</v>
      </c>
      <c r="D1375" s="30">
        <f>MONTH(BInputReservoir[[#This Row],[Date]])</f>
        <v>10</v>
      </c>
      <c r="E1375" s="30" t="str">
        <f>IF(I1375&lt;&gt;1,"",DATA_INPUT!N293)</f>
        <v/>
      </c>
      <c r="F1375" s="30" t="str">
        <f>STORAGE_BALANCE_ENSEMBLE!BU293</f>
        <v/>
      </c>
      <c r="G1375" s="30" t="str">
        <f>STORAGE_BALANCE_ENSEMBLE!BV293</f>
        <v/>
      </c>
      <c r="H1375" s="30" t="str">
        <f>STORAGE_BALANCE_ENSEMBLE!BT293</f>
        <v/>
      </c>
      <c r="I1375" s="18" t="str">
        <f t="shared" si="204"/>
        <v/>
      </c>
      <c r="J1375" s="8" t="str">
        <f t="shared" si="205"/>
        <v/>
      </c>
      <c r="K1375" s="9" t="str">
        <f t="shared" si="206"/>
        <v/>
      </c>
      <c r="L1375" s="10" t="str">
        <f t="shared" si="207"/>
        <v/>
      </c>
      <c r="M1375" s="10" t="str">
        <f>IF(I1375&lt;&gt;1,"",IF(H1375="","",H1375/CONTROL_PANEL!$B$11))</f>
        <v/>
      </c>
      <c r="N1375" s="9" t="str">
        <f t="shared" si="208"/>
        <v/>
      </c>
      <c r="O1375" s="9" t="str">
        <f t="shared" si="209"/>
        <v/>
      </c>
      <c r="P1375" s="9" t="str">
        <f t="shared" si="210"/>
        <v/>
      </c>
      <c r="Q1375" s="9" t="str">
        <f t="shared" si="211"/>
        <v/>
      </c>
      <c r="R1375" s="11"/>
      <c r="S1375" s="11" t="str">
        <f t="shared" si="212"/>
        <v>PASS</v>
      </c>
    </row>
    <row r="1376" spans="1:19" x14ac:dyDescent="0.25">
      <c r="A1376" s="30" t="s">
        <v>98</v>
      </c>
      <c r="B1376" s="31">
        <f t="shared" si="203"/>
        <v>51075</v>
      </c>
      <c r="C1376" s="30">
        <f>YEAR(BInputReservoir[[#This Row],[Date]])</f>
        <v>2039</v>
      </c>
      <c r="D1376" s="30">
        <f>MONTH(BInputReservoir[[#This Row],[Date]])</f>
        <v>11</v>
      </c>
      <c r="E1376" s="30" t="str">
        <f>IF(I1376&lt;&gt;1,"",DATA_INPUT!N294)</f>
        <v/>
      </c>
      <c r="F1376" s="30" t="str">
        <f>STORAGE_BALANCE_ENSEMBLE!BU294</f>
        <v/>
      </c>
      <c r="G1376" s="30" t="str">
        <f>STORAGE_BALANCE_ENSEMBLE!BV294</f>
        <v/>
      </c>
      <c r="H1376" s="30" t="str">
        <f>STORAGE_BALANCE_ENSEMBLE!BT294</f>
        <v/>
      </c>
      <c r="I1376" s="18" t="str">
        <f t="shared" si="204"/>
        <v/>
      </c>
      <c r="J1376" s="8" t="str">
        <f t="shared" si="205"/>
        <v/>
      </c>
      <c r="K1376" s="9" t="str">
        <f t="shared" si="206"/>
        <v/>
      </c>
      <c r="L1376" s="10" t="str">
        <f t="shared" si="207"/>
        <v/>
      </c>
      <c r="M1376" s="10" t="str">
        <f>IF(I1376&lt;&gt;1,"",IF(H1376="","",H1376/CONTROL_PANEL!$B$11))</f>
        <v/>
      </c>
      <c r="N1376" s="9" t="str">
        <f t="shared" si="208"/>
        <v/>
      </c>
      <c r="O1376" s="9" t="str">
        <f t="shared" si="209"/>
        <v/>
      </c>
      <c r="P1376" s="9" t="str">
        <f t="shared" si="210"/>
        <v/>
      </c>
      <c r="Q1376" s="9" t="str">
        <f t="shared" si="211"/>
        <v/>
      </c>
      <c r="R1376" s="11"/>
      <c r="S1376" s="11" t="str">
        <f t="shared" si="212"/>
        <v>PASS</v>
      </c>
    </row>
    <row r="1377" spans="1:19" x14ac:dyDescent="0.25">
      <c r="A1377" s="30" t="s">
        <v>98</v>
      </c>
      <c r="B1377" s="31">
        <f t="shared" si="203"/>
        <v>51105</v>
      </c>
      <c r="C1377" s="30">
        <f>YEAR(BInputReservoir[[#This Row],[Date]])</f>
        <v>2039</v>
      </c>
      <c r="D1377" s="30">
        <f>MONTH(BInputReservoir[[#This Row],[Date]])</f>
        <v>12</v>
      </c>
      <c r="E1377" s="30" t="str">
        <f>IF(I1377&lt;&gt;1,"",DATA_INPUT!N295)</f>
        <v/>
      </c>
      <c r="F1377" s="30" t="str">
        <f>STORAGE_BALANCE_ENSEMBLE!BU295</f>
        <v/>
      </c>
      <c r="G1377" s="30" t="str">
        <f>STORAGE_BALANCE_ENSEMBLE!BV295</f>
        <v/>
      </c>
      <c r="H1377" s="30" t="str">
        <f>STORAGE_BALANCE_ENSEMBLE!BT295</f>
        <v/>
      </c>
      <c r="I1377" s="18" t="str">
        <f t="shared" si="204"/>
        <v/>
      </c>
      <c r="J1377" s="8" t="str">
        <f t="shared" si="205"/>
        <v/>
      </c>
      <c r="K1377" s="9" t="str">
        <f t="shared" si="206"/>
        <v/>
      </c>
      <c r="L1377" s="10" t="str">
        <f t="shared" si="207"/>
        <v/>
      </c>
      <c r="M1377" s="10" t="str">
        <f>IF(I1377&lt;&gt;1,"",IF(H1377="","",H1377/CONTROL_PANEL!$B$11))</f>
        <v/>
      </c>
      <c r="N1377" s="9" t="str">
        <f t="shared" si="208"/>
        <v/>
      </c>
      <c r="O1377" s="9" t="str">
        <f t="shared" si="209"/>
        <v/>
      </c>
      <c r="P1377" s="9" t="str">
        <f t="shared" si="210"/>
        <v/>
      </c>
      <c r="Q1377" s="9" t="str">
        <f t="shared" si="211"/>
        <v/>
      </c>
      <c r="R1377" s="11"/>
      <c r="S1377" s="11" t="str">
        <f t="shared" si="212"/>
        <v>PASS</v>
      </c>
    </row>
    <row r="1378" spans="1:19" x14ac:dyDescent="0.25">
      <c r="A1378" s="30" t="s">
        <v>98</v>
      </c>
      <c r="B1378" s="31">
        <f t="shared" si="203"/>
        <v>51136</v>
      </c>
      <c r="C1378" s="30">
        <f>YEAR(BInputReservoir[[#This Row],[Date]])</f>
        <v>2040</v>
      </c>
      <c r="D1378" s="30">
        <f>MONTH(BInputReservoir[[#This Row],[Date]])</f>
        <v>1</v>
      </c>
      <c r="E1378" s="30" t="str">
        <f>IF(I1378&lt;&gt;1,"",DATA_INPUT!N296)</f>
        <v/>
      </c>
      <c r="F1378" s="30" t="str">
        <f>STORAGE_BALANCE_ENSEMBLE!BU296</f>
        <v/>
      </c>
      <c r="G1378" s="30" t="str">
        <f>STORAGE_BALANCE_ENSEMBLE!BV296</f>
        <v/>
      </c>
      <c r="H1378" s="30" t="str">
        <f>STORAGE_BALANCE_ENSEMBLE!BT296</f>
        <v/>
      </c>
      <c r="I1378" s="18" t="str">
        <f t="shared" si="204"/>
        <v/>
      </c>
      <c r="J1378" s="8" t="str">
        <f t="shared" si="205"/>
        <v/>
      </c>
      <c r="K1378" s="9" t="str">
        <f t="shared" si="206"/>
        <v/>
      </c>
      <c r="L1378" s="10" t="str">
        <f t="shared" si="207"/>
        <v/>
      </c>
      <c r="M1378" s="10" t="str">
        <f>IF(I1378&lt;&gt;1,"",IF(H1378="","",H1378/CONTROL_PANEL!$B$11))</f>
        <v/>
      </c>
      <c r="N1378" s="9" t="str">
        <f t="shared" si="208"/>
        <v/>
      </c>
      <c r="O1378" s="9" t="str">
        <f t="shared" si="209"/>
        <v/>
      </c>
      <c r="P1378" s="9" t="str">
        <f t="shared" si="210"/>
        <v/>
      </c>
      <c r="Q1378" s="9" t="str">
        <f t="shared" si="211"/>
        <v/>
      </c>
      <c r="R1378" s="11"/>
      <c r="S1378" s="11" t="str">
        <f t="shared" si="212"/>
        <v>PASS</v>
      </c>
    </row>
    <row r="1379" spans="1:19" x14ac:dyDescent="0.25">
      <c r="A1379" s="30" t="s">
        <v>98</v>
      </c>
      <c r="B1379" s="31">
        <f t="shared" si="203"/>
        <v>51167</v>
      </c>
      <c r="C1379" s="30">
        <f>YEAR(BInputReservoir[[#This Row],[Date]])</f>
        <v>2040</v>
      </c>
      <c r="D1379" s="30">
        <f>MONTH(BInputReservoir[[#This Row],[Date]])</f>
        <v>2</v>
      </c>
      <c r="E1379" s="30" t="str">
        <f>IF(I1379&lt;&gt;1,"",DATA_INPUT!N297)</f>
        <v/>
      </c>
      <c r="F1379" s="30" t="str">
        <f>STORAGE_BALANCE_ENSEMBLE!BU297</f>
        <v/>
      </c>
      <c r="G1379" s="30" t="str">
        <f>STORAGE_BALANCE_ENSEMBLE!BV297</f>
        <v/>
      </c>
      <c r="H1379" s="30" t="str">
        <f>STORAGE_BALANCE_ENSEMBLE!BT297</f>
        <v/>
      </c>
      <c r="I1379" s="18" t="str">
        <f t="shared" si="204"/>
        <v/>
      </c>
      <c r="J1379" s="8" t="str">
        <f t="shared" si="205"/>
        <v/>
      </c>
      <c r="K1379" s="9" t="str">
        <f t="shared" si="206"/>
        <v/>
      </c>
      <c r="L1379" s="10" t="str">
        <f t="shared" si="207"/>
        <v/>
      </c>
      <c r="M1379" s="10" t="str">
        <f>IF(I1379&lt;&gt;1,"",IF(H1379="","",H1379/CONTROL_PANEL!$B$11))</f>
        <v/>
      </c>
      <c r="N1379" s="9" t="str">
        <f t="shared" si="208"/>
        <v/>
      </c>
      <c r="O1379" s="9" t="str">
        <f t="shared" si="209"/>
        <v/>
      </c>
      <c r="P1379" s="9" t="str">
        <f t="shared" si="210"/>
        <v/>
      </c>
      <c r="Q1379" s="9" t="str">
        <f t="shared" si="211"/>
        <v/>
      </c>
      <c r="R1379" s="11"/>
      <c r="S1379" s="11" t="str">
        <f t="shared" si="212"/>
        <v>PASS</v>
      </c>
    </row>
    <row r="1380" spans="1:19" x14ac:dyDescent="0.25">
      <c r="A1380" s="30" t="s">
        <v>98</v>
      </c>
      <c r="B1380" s="31">
        <f t="shared" si="203"/>
        <v>51196</v>
      </c>
      <c r="C1380" s="30">
        <f>YEAR(BInputReservoir[[#This Row],[Date]])</f>
        <v>2040</v>
      </c>
      <c r="D1380" s="30">
        <f>MONTH(BInputReservoir[[#This Row],[Date]])</f>
        <v>3</v>
      </c>
      <c r="E1380" s="30" t="str">
        <f>IF(I1380&lt;&gt;1,"",DATA_INPUT!N298)</f>
        <v/>
      </c>
      <c r="F1380" s="30" t="str">
        <f>STORAGE_BALANCE_ENSEMBLE!BU298</f>
        <v/>
      </c>
      <c r="G1380" s="30" t="str">
        <f>STORAGE_BALANCE_ENSEMBLE!BV298</f>
        <v/>
      </c>
      <c r="H1380" s="30" t="str">
        <f>STORAGE_BALANCE_ENSEMBLE!BT298</f>
        <v/>
      </c>
      <c r="I1380" s="18" t="str">
        <f t="shared" si="204"/>
        <v/>
      </c>
      <c r="J1380" s="8" t="str">
        <f t="shared" si="205"/>
        <v/>
      </c>
      <c r="K1380" s="9" t="str">
        <f t="shared" si="206"/>
        <v/>
      </c>
      <c r="L1380" s="10" t="str">
        <f t="shared" si="207"/>
        <v/>
      </c>
      <c r="M1380" s="10" t="str">
        <f>IF(I1380&lt;&gt;1,"",IF(H1380="","",H1380/CONTROL_PANEL!$B$11))</f>
        <v/>
      </c>
      <c r="N1380" s="9" t="str">
        <f t="shared" si="208"/>
        <v/>
      </c>
      <c r="O1380" s="9" t="str">
        <f t="shared" si="209"/>
        <v/>
      </c>
      <c r="P1380" s="9" t="str">
        <f t="shared" si="210"/>
        <v/>
      </c>
      <c r="Q1380" s="9" t="str">
        <f t="shared" si="211"/>
        <v/>
      </c>
      <c r="R1380" s="11"/>
      <c r="S1380" s="11" t="str">
        <f t="shared" si="212"/>
        <v>PASS</v>
      </c>
    </row>
    <row r="1381" spans="1:19" x14ac:dyDescent="0.25">
      <c r="A1381" s="30" t="s">
        <v>98</v>
      </c>
      <c r="B1381" s="31">
        <f t="shared" si="203"/>
        <v>51227</v>
      </c>
      <c r="C1381" s="30">
        <f>YEAR(BInputReservoir[[#This Row],[Date]])</f>
        <v>2040</v>
      </c>
      <c r="D1381" s="30">
        <f>MONTH(BInputReservoir[[#This Row],[Date]])</f>
        <v>4</v>
      </c>
      <c r="E1381" s="30" t="str">
        <f>IF(I1381&lt;&gt;1,"",DATA_INPUT!N299)</f>
        <v/>
      </c>
      <c r="F1381" s="30" t="str">
        <f>STORAGE_BALANCE_ENSEMBLE!BU299</f>
        <v/>
      </c>
      <c r="G1381" s="30" t="str">
        <f>STORAGE_BALANCE_ENSEMBLE!BV299</f>
        <v/>
      </c>
      <c r="H1381" s="30" t="str">
        <f>STORAGE_BALANCE_ENSEMBLE!BT299</f>
        <v/>
      </c>
      <c r="I1381" s="18" t="str">
        <f t="shared" si="204"/>
        <v/>
      </c>
      <c r="J1381" s="8" t="str">
        <f t="shared" si="205"/>
        <v/>
      </c>
      <c r="K1381" s="9" t="str">
        <f t="shared" si="206"/>
        <v/>
      </c>
      <c r="L1381" s="10" t="str">
        <f t="shared" si="207"/>
        <v/>
      </c>
      <c r="M1381" s="10" t="str">
        <f>IF(I1381&lt;&gt;1,"",IF(H1381="","",H1381/CONTROL_PANEL!$B$11))</f>
        <v/>
      </c>
      <c r="N1381" s="9" t="str">
        <f t="shared" si="208"/>
        <v/>
      </c>
      <c r="O1381" s="9" t="str">
        <f t="shared" si="209"/>
        <v/>
      </c>
      <c r="P1381" s="9" t="str">
        <f t="shared" si="210"/>
        <v/>
      </c>
      <c r="Q1381" s="9" t="str">
        <f t="shared" si="211"/>
        <v/>
      </c>
      <c r="R1381" s="11"/>
      <c r="S1381" s="11" t="str">
        <f t="shared" si="212"/>
        <v>PASS</v>
      </c>
    </row>
    <row r="1382" spans="1:19" x14ac:dyDescent="0.25">
      <c r="A1382" s="30" t="s">
        <v>98</v>
      </c>
      <c r="B1382" s="31">
        <f t="shared" si="203"/>
        <v>51257</v>
      </c>
      <c r="C1382" s="30">
        <f>YEAR(BInputReservoir[[#This Row],[Date]])</f>
        <v>2040</v>
      </c>
      <c r="D1382" s="30">
        <f>MONTH(BInputReservoir[[#This Row],[Date]])</f>
        <v>5</v>
      </c>
      <c r="E1382" s="30" t="str">
        <f>IF(I1382&lt;&gt;1,"",DATA_INPUT!N300)</f>
        <v/>
      </c>
      <c r="F1382" s="30" t="str">
        <f>STORAGE_BALANCE_ENSEMBLE!BU300</f>
        <v/>
      </c>
      <c r="G1382" s="30" t="str">
        <f>STORAGE_BALANCE_ENSEMBLE!BV300</f>
        <v/>
      </c>
      <c r="H1382" s="30" t="str">
        <f>STORAGE_BALANCE_ENSEMBLE!BT300</f>
        <v/>
      </c>
      <c r="I1382" s="18" t="str">
        <f t="shared" si="204"/>
        <v/>
      </c>
      <c r="J1382" s="8" t="str">
        <f t="shared" si="205"/>
        <v/>
      </c>
      <c r="K1382" s="9" t="str">
        <f t="shared" si="206"/>
        <v/>
      </c>
      <c r="L1382" s="10" t="str">
        <f t="shared" si="207"/>
        <v/>
      </c>
      <c r="M1382" s="10" t="str">
        <f>IF(I1382&lt;&gt;1,"",IF(H1382="","",H1382/CONTROL_PANEL!$B$11))</f>
        <v/>
      </c>
      <c r="N1382" s="9" t="str">
        <f t="shared" si="208"/>
        <v/>
      </c>
      <c r="O1382" s="9" t="str">
        <f t="shared" si="209"/>
        <v/>
      </c>
      <c r="P1382" s="9" t="str">
        <f t="shared" si="210"/>
        <v/>
      </c>
      <c r="Q1382" s="9" t="str">
        <f t="shared" si="211"/>
        <v/>
      </c>
      <c r="R1382" s="11"/>
      <c r="S1382" s="11" t="str">
        <f t="shared" si="212"/>
        <v>PASS</v>
      </c>
    </row>
    <row r="1383" spans="1:19" x14ac:dyDescent="0.25">
      <c r="A1383" s="30" t="s">
        <v>98</v>
      </c>
      <c r="B1383" s="31">
        <f t="shared" si="203"/>
        <v>51288</v>
      </c>
      <c r="C1383" s="30">
        <f>YEAR(BInputReservoir[[#This Row],[Date]])</f>
        <v>2040</v>
      </c>
      <c r="D1383" s="30">
        <f>MONTH(BInputReservoir[[#This Row],[Date]])</f>
        <v>6</v>
      </c>
      <c r="E1383" s="30" t="str">
        <f>IF(I1383&lt;&gt;1,"",DATA_INPUT!N301)</f>
        <v/>
      </c>
      <c r="F1383" s="30" t="str">
        <f>STORAGE_BALANCE_ENSEMBLE!BU301</f>
        <v/>
      </c>
      <c r="G1383" s="30" t="str">
        <f>STORAGE_BALANCE_ENSEMBLE!BV301</f>
        <v/>
      </c>
      <c r="H1383" s="30" t="str">
        <f>STORAGE_BALANCE_ENSEMBLE!BT301</f>
        <v/>
      </c>
      <c r="I1383" s="18" t="str">
        <f t="shared" si="204"/>
        <v/>
      </c>
      <c r="J1383" s="8" t="str">
        <f t="shared" si="205"/>
        <v/>
      </c>
      <c r="K1383" s="9" t="str">
        <f t="shared" si="206"/>
        <v/>
      </c>
      <c r="L1383" s="10" t="str">
        <f t="shared" si="207"/>
        <v/>
      </c>
      <c r="M1383" s="10" t="str">
        <f>IF(I1383&lt;&gt;1,"",IF(H1383="","",H1383/CONTROL_PANEL!$B$11))</f>
        <v/>
      </c>
      <c r="N1383" s="9" t="str">
        <f t="shared" si="208"/>
        <v/>
      </c>
      <c r="O1383" s="9" t="str">
        <f t="shared" si="209"/>
        <v/>
      </c>
      <c r="P1383" s="9" t="str">
        <f t="shared" si="210"/>
        <v/>
      </c>
      <c r="Q1383" s="9" t="str">
        <f t="shared" si="211"/>
        <v/>
      </c>
      <c r="R1383" s="11"/>
      <c r="S1383" s="11" t="str">
        <f t="shared" si="212"/>
        <v>PASS</v>
      </c>
    </row>
    <row r="1384" spans="1:19" x14ac:dyDescent="0.25">
      <c r="A1384" s="30" t="s">
        <v>98</v>
      </c>
      <c r="B1384" s="31">
        <f t="shared" si="203"/>
        <v>51318</v>
      </c>
      <c r="C1384" s="30">
        <f>YEAR(BInputReservoir[[#This Row],[Date]])</f>
        <v>2040</v>
      </c>
      <c r="D1384" s="30">
        <f>MONTH(BInputReservoir[[#This Row],[Date]])</f>
        <v>7</v>
      </c>
      <c r="E1384" s="30" t="str">
        <f>IF(I1384&lt;&gt;1,"",DATA_INPUT!N302)</f>
        <v/>
      </c>
      <c r="F1384" s="30" t="str">
        <f>STORAGE_BALANCE_ENSEMBLE!BU302</f>
        <v/>
      </c>
      <c r="G1384" s="30" t="str">
        <f>STORAGE_BALANCE_ENSEMBLE!BV302</f>
        <v/>
      </c>
      <c r="H1384" s="30" t="str">
        <f>STORAGE_BALANCE_ENSEMBLE!BT302</f>
        <v/>
      </c>
      <c r="I1384" s="18" t="str">
        <f t="shared" si="204"/>
        <v/>
      </c>
      <c r="J1384" s="8" t="str">
        <f t="shared" si="205"/>
        <v/>
      </c>
      <c r="K1384" s="9" t="str">
        <f t="shared" si="206"/>
        <v/>
      </c>
      <c r="L1384" s="10" t="str">
        <f t="shared" si="207"/>
        <v/>
      </c>
      <c r="M1384" s="10" t="str">
        <f>IF(I1384&lt;&gt;1,"",IF(H1384="","",H1384/CONTROL_PANEL!$B$11))</f>
        <v/>
      </c>
      <c r="N1384" s="9" t="str">
        <f t="shared" si="208"/>
        <v/>
      </c>
      <c r="O1384" s="9" t="str">
        <f t="shared" si="209"/>
        <v/>
      </c>
      <c r="P1384" s="9" t="str">
        <f t="shared" si="210"/>
        <v/>
      </c>
      <c r="Q1384" s="9" t="str">
        <f t="shared" si="211"/>
        <v/>
      </c>
      <c r="R1384" s="11"/>
      <c r="S1384" s="11" t="str">
        <f t="shared" si="212"/>
        <v>PASS</v>
      </c>
    </row>
    <row r="1385" spans="1:19" x14ac:dyDescent="0.25">
      <c r="A1385" s="30" t="s">
        <v>98</v>
      </c>
      <c r="B1385" s="31">
        <f t="shared" si="203"/>
        <v>51349</v>
      </c>
      <c r="C1385" s="30">
        <f>YEAR(BInputReservoir[[#This Row],[Date]])</f>
        <v>2040</v>
      </c>
      <c r="D1385" s="30">
        <f>MONTH(BInputReservoir[[#This Row],[Date]])</f>
        <v>8</v>
      </c>
      <c r="E1385" s="30" t="str">
        <f>IF(I1385&lt;&gt;1,"",DATA_INPUT!N303)</f>
        <v/>
      </c>
      <c r="F1385" s="30" t="str">
        <f>STORAGE_BALANCE_ENSEMBLE!BU303</f>
        <v/>
      </c>
      <c r="G1385" s="30" t="str">
        <f>STORAGE_BALANCE_ENSEMBLE!BV303</f>
        <v/>
      </c>
      <c r="H1385" s="30" t="str">
        <f>STORAGE_BALANCE_ENSEMBLE!BT303</f>
        <v/>
      </c>
      <c r="I1385" s="18" t="str">
        <f t="shared" si="204"/>
        <v/>
      </c>
      <c r="J1385" s="8" t="str">
        <f t="shared" si="205"/>
        <v/>
      </c>
      <c r="K1385" s="9" t="str">
        <f t="shared" si="206"/>
        <v/>
      </c>
      <c r="L1385" s="10" t="str">
        <f t="shared" si="207"/>
        <v/>
      </c>
      <c r="M1385" s="10" t="str">
        <f>IF(I1385&lt;&gt;1,"",IF(H1385="","",H1385/CONTROL_PANEL!$B$11))</f>
        <v/>
      </c>
      <c r="N1385" s="9" t="str">
        <f t="shared" si="208"/>
        <v/>
      </c>
      <c r="O1385" s="9" t="str">
        <f t="shared" si="209"/>
        <v/>
      </c>
      <c r="P1385" s="9" t="str">
        <f t="shared" si="210"/>
        <v/>
      </c>
      <c r="Q1385" s="9" t="str">
        <f t="shared" si="211"/>
        <v/>
      </c>
      <c r="R1385" s="11"/>
      <c r="S1385" s="11" t="str">
        <f t="shared" si="212"/>
        <v>PASS</v>
      </c>
    </row>
    <row r="1386" spans="1:19" x14ac:dyDescent="0.25">
      <c r="A1386" s="30" t="s">
        <v>98</v>
      </c>
      <c r="B1386" s="31">
        <f t="shared" si="203"/>
        <v>51380</v>
      </c>
      <c r="C1386" s="30">
        <f>YEAR(BInputReservoir[[#This Row],[Date]])</f>
        <v>2040</v>
      </c>
      <c r="D1386" s="30">
        <f>MONTH(BInputReservoir[[#This Row],[Date]])</f>
        <v>9</v>
      </c>
      <c r="E1386" s="30" t="str">
        <f>IF(I1386&lt;&gt;1,"",DATA_INPUT!N304)</f>
        <v/>
      </c>
      <c r="F1386" s="30" t="str">
        <f>STORAGE_BALANCE_ENSEMBLE!BU304</f>
        <v/>
      </c>
      <c r="G1386" s="30" t="str">
        <f>STORAGE_BALANCE_ENSEMBLE!BV304</f>
        <v/>
      </c>
      <c r="H1386" s="30" t="str">
        <f>STORAGE_BALANCE_ENSEMBLE!BT304</f>
        <v/>
      </c>
      <c r="I1386" s="18" t="str">
        <f t="shared" si="204"/>
        <v/>
      </c>
      <c r="J1386" s="8" t="str">
        <f t="shared" si="205"/>
        <v/>
      </c>
      <c r="K1386" s="9" t="str">
        <f t="shared" si="206"/>
        <v/>
      </c>
      <c r="L1386" s="10" t="str">
        <f t="shared" si="207"/>
        <v/>
      </c>
      <c r="M1386" s="10" t="str">
        <f>IF(I1386&lt;&gt;1,"",IF(H1386="","",H1386/CONTROL_PANEL!$B$11))</f>
        <v/>
      </c>
      <c r="N1386" s="9" t="str">
        <f t="shared" si="208"/>
        <v/>
      </c>
      <c r="O1386" s="9" t="str">
        <f t="shared" si="209"/>
        <v/>
      </c>
      <c r="P1386" s="9" t="str">
        <f t="shared" si="210"/>
        <v/>
      </c>
      <c r="Q1386" s="9" t="str">
        <f t="shared" si="211"/>
        <v/>
      </c>
      <c r="R1386" s="11"/>
      <c r="S1386" s="11" t="str">
        <f t="shared" si="212"/>
        <v>PASS</v>
      </c>
    </row>
    <row r="1387" spans="1:19" x14ac:dyDescent="0.25">
      <c r="A1387" s="30" t="s">
        <v>98</v>
      </c>
      <c r="B1387" s="31">
        <f t="shared" si="203"/>
        <v>51410</v>
      </c>
      <c r="C1387" s="30">
        <f>YEAR(BInputReservoir[[#This Row],[Date]])</f>
        <v>2040</v>
      </c>
      <c r="D1387" s="30">
        <f>MONTH(BInputReservoir[[#This Row],[Date]])</f>
        <v>10</v>
      </c>
      <c r="E1387" s="30" t="str">
        <f>IF(I1387&lt;&gt;1,"",DATA_INPUT!N305)</f>
        <v/>
      </c>
      <c r="F1387" s="30" t="str">
        <f>STORAGE_BALANCE_ENSEMBLE!BU305</f>
        <v/>
      </c>
      <c r="G1387" s="30" t="str">
        <f>STORAGE_BALANCE_ENSEMBLE!BV305</f>
        <v/>
      </c>
      <c r="H1387" s="30" t="str">
        <f>STORAGE_BALANCE_ENSEMBLE!BT305</f>
        <v/>
      </c>
      <c r="I1387" s="18" t="str">
        <f t="shared" si="204"/>
        <v/>
      </c>
      <c r="J1387" s="8" t="str">
        <f t="shared" si="205"/>
        <v/>
      </c>
      <c r="K1387" s="9" t="str">
        <f t="shared" si="206"/>
        <v/>
      </c>
      <c r="L1387" s="10" t="str">
        <f t="shared" si="207"/>
        <v/>
      </c>
      <c r="M1387" s="10" t="str">
        <f>IF(I1387&lt;&gt;1,"",IF(H1387="","",H1387/CONTROL_PANEL!$B$11))</f>
        <v/>
      </c>
      <c r="N1387" s="9" t="str">
        <f t="shared" si="208"/>
        <v/>
      </c>
      <c r="O1387" s="9" t="str">
        <f t="shared" si="209"/>
        <v/>
      </c>
      <c r="P1387" s="9" t="str">
        <f t="shared" si="210"/>
        <v/>
      </c>
      <c r="Q1387" s="9" t="str">
        <f t="shared" si="211"/>
        <v/>
      </c>
      <c r="R1387" s="11"/>
      <c r="S1387" s="11" t="str">
        <f t="shared" si="212"/>
        <v>PASS</v>
      </c>
    </row>
    <row r="1388" spans="1:19" x14ac:dyDescent="0.25">
      <c r="A1388" s="30" t="s">
        <v>98</v>
      </c>
      <c r="B1388" s="31">
        <f t="shared" si="203"/>
        <v>51441</v>
      </c>
      <c r="C1388" s="30">
        <f>YEAR(BInputReservoir[[#This Row],[Date]])</f>
        <v>2040</v>
      </c>
      <c r="D1388" s="30">
        <f>MONTH(BInputReservoir[[#This Row],[Date]])</f>
        <v>11</v>
      </c>
      <c r="E1388" s="30" t="str">
        <f>IF(I1388&lt;&gt;1,"",DATA_INPUT!N306)</f>
        <v/>
      </c>
      <c r="F1388" s="30" t="str">
        <f>STORAGE_BALANCE_ENSEMBLE!BU306</f>
        <v/>
      </c>
      <c r="G1388" s="30" t="str">
        <f>STORAGE_BALANCE_ENSEMBLE!BV306</f>
        <v/>
      </c>
      <c r="H1388" s="30" t="str">
        <f>STORAGE_BALANCE_ENSEMBLE!BT306</f>
        <v/>
      </c>
      <c r="I1388" s="18" t="str">
        <f t="shared" si="204"/>
        <v/>
      </c>
      <c r="J1388" s="8" t="str">
        <f t="shared" si="205"/>
        <v/>
      </c>
      <c r="K1388" s="9" t="str">
        <f t="shared" si="206"/>
        <v/>
      </c>
      <c r="L1388" s="10" t="str">
        <f t="shared" si="207"/>
        <v/>
      </c>
      <c r="M1388" s="10" t="str">
        <f>IF(I1388&lt;&gt;1,"",IF(H1388="","",H1388/CONTROL_PANEL!$B$11))</f>
        <v/>
      </c>
      <c r="N1388" s="9" t="str">
        <f t="shared" si="208"/>
        <v/>
      </c>
      <c r="O1388" s="9" t="str">
        <f t="shared" si="209"/>
        <v/>
      </c>
      <c r="P1388" s="9" t="str">
        <f t="shared" si="210"/>
        <v/>
      </c>
      <c r="Q1388" s="9" t="str">
        <f t="shared" si="211"/>
        <v/>
      </c>
      <c r="R1388" s="11"/>
      <c r="S1388" s="11" t="str">
        <f t="shared" si="212"/>
        <v>PASS</v>
      </c>
    </row>
    <row r="1389" spans="1:19" x14ac:dyDescent="0.25">
      <c r="A1389" s="30" t="s">
        <v>98</v>
      </c>
      <c r="B1389" s="31">
        <f t="shared" si="203"/>
        <v>51471</v>
      </c>
      <c r="C1389" s="30">
        <f>YEAR(BInputReservoir[[#This Row],[Date]])</f>
        <v>2040</v>
      </c>
      <c r="D1389" s="30">
        <f>MONTH(BInputReservoir[[#This Row],[Date]])</f>
        <v>12</v>
      </c>
      <c r="E1389" s="30" t="str">
        <f>IF(I1389&lt;&gt;1,"",DATA_INPUT!N307)</f>
        <v/>
      </c>
      <c r="F1389" s="30" t="str">
        <f>STORAGE_BALANCE_ENSEMBLE!BU307</f>
        <v/>
      </c>
      <c r="G1389" s="30" t="str">
        <f>STORAGE_BALANCE_ENSEMBLE!BV307</f>
        <v/>
      </c>
      <c r="H1389" s="30" t="str">
        <f>STORAGE_BALANCE_ENSEMBLE!BT307</f>
        <v/>
      </c>
      <c r="I1389" s="18" t="str">
        <f t="shared" si="204"/>
        <v/>
      </c>
      <c r="J1389" s="8" t="str">
        <f t="shared" si="205"/>
        <v/>
      </c>
      <c r="K1389" s="9" t="str">
        <f t="shared" si="206"/>
        <v/>
      </c>
      <c r="L1389" s="10" t="str">
        <f t="shared" si="207"/>
        <v/>
      </c>
      <c r="M1389" s="10" t="str">
        <f>IF(I1389&lt;&gt;1,"",IF(H1389="","",H1389/CONTROL_PANEL!$B$11))</f>
        <v/>
      </c>
      <c r="N1389" s="9" t="str">
        <f t="shared" si="208"/>
        <v/>
      </c>
      <c r="O1389" s="9" t="str">
        <f t="shared" si="209"/>
        <v/>
      </c>
      <c r="P1389" s="9" t="str">
        <f t="shared" si="210"/>
        <v/>
      </c>
      <c r="Q1389" s="9" t="str">
        <f t="shared" si="211"/>
        <v/>
      </c>
      <c r="R1389" s="11"/>
      <c r="S1389" s="11" t="str">
        <f t="shared" si="212"/>
        <v>PASS</v>
      </c>
    </row>
    <row r="1390" spans="1:19" x14ac:dyDescent="0.25">
      <c r="A1390" s="30" t="s">
        <v>98</v>
      </c>
      <c r="B1390" s="31">
        <f t="shared" si="203"/>
        <v>51502</v>
      </c>
      <c r="C1390" s="30">
        <f>YEAR(BInputReservoir[[#This Row],[Date]])</f>
        <v>2041</v>
      </c>
      <c r="D1390" s="30">
        <f>MONTH(BInputReservoir[[#This Row],[Date]])</f>
        <v>1</v>
      </c>
      <c r="E1390" s="30" t="str">
        <f>IF(I1390&lt;&gt;1,"",DATA_INPUT!N308)</f>
        <v/>
      </c>
      <c r="F1390" s="30" t="str">
        <f>STORAGE_BALANCE_ENSEMBLE!BU308</f>
        <v/>
      </c>
      <c r="G1390" s="30" t="str">
        <f>STORAGE_BALANCE_ENSEMBLE!BV308</f>
        <v/>
      </c>
      <c r="H1390" s="30" t="str">
        <f>STORAGE_BALANCE_ENSEMBLE!BT308</f>
        <v/>
      </c>
      <c r="I1390" s="18" t="str">
        <f t="shared" si="204"/>
        <v/>
      </c>
      <c r="J1390" s="8" t="str">
        <f t="shared" si="205"/>
        <v/>
      </c>
      <c r="K1390" s="9" t="str">
        <f t="shared" si="206"/>
        <v/>
      </c>
      <c r="L1390" s="10" t="str">
        <f t="shared" si="207"/>
        <v/>
      </c>
      <c r="M1390" s="10" t="str">
        <f>IF(I1390&lt;&gt;1,"",IF(H1390="","",H1390/CONTROL_PANEL!$B$11))</f>
        <v/>
      </c>
      <c r="N1390" s="9" t="str">
        <f t="shared" si="208"/>
        <v/>
      </c>
      <c r="O1390" s="9" t="str">
        <f t="shared" si="209"/>
        <v/>
      </c>
      <c r="P1390" s="9" t="str">
        <f t="shared" si="210"/>
        <v/>
      </c>
      <c r="Q1390" s="9" t="str">
        <f t="shared" si="211"/>
        <v/>
      </c>
      <c r="R1390" s="11"/>
      <c r="S1390" s="11" t="str">
        <f t="shared" si="212"/>
        <v>PASS</v>
      </c>
    </row>
    <row r="1391" spans="1:19" x14ac:dyDescent="0.25">
      <c r="A1391" s="30" t="s">
        <v>98</v>
      </c>
      <c r="B1391" s="31">
        <f t="shared" si="203"/>
        <v>51533</v>
      </c>
      <c r="C1391" s="30">
        <f>YEAR(BInputReservoir[[#This Row],[Date]])</f>
        <v>2041</v>
      </c>
      <c r="D1391" s="30">
        <f>MONTH(BInputReservoir[[#This Row],[Date]])</f>
        <v>2</v>
      </c>
      <c r="E1391" s="30" t="str">
        <f>IF(I1391&lt;&gt;1,"",DATA_INPUT!N309)</f>
        <v/>
      </c>
      <c r="F1391" s="30" t="str">
        <f>STORAGE_BALANCE_ENSEMBLE!BU309</f>
        <v/>
      </c>
      <c r="G1391" s="30" t="str">
        <f>STORAGE_BALANCE_ENSEMBLE!BV309</f>
        <v/>
      </c>
      <c r="H1391" s="30" t="str">
        <f>STORAGE_BALANCE_ENSEMBLE!BT309</f>
        <v/>
      </c>
      <c r="I1391" s="18" t="str">
        <f t="shared" si="204"/>
        <v/>
      </c>
      <c r="J1391" s="8" t="str">
        <f t="shared" si="205"/>
        <v/>
      </c>
      <c r="K1391" s="9" t="str">
        <f t="shared" si="206"/>
        <v/>
      </c>
      <c r="L1391" s="10" t="str">
        <f t="shared" si="207"/>
        <v/>
      </c>
      <c r="M1391" s="10" t="str">
        <f>IF(I1391&lt;&gt;1,"",IF(H1391="","",H1391/CONTROL_PANEL!$B$11))</f>
        <v/>
      </c>
      <c r="N1391" s="9" t="str">
        <f t="shared" si="208"/>
        <v/>
      </c>
      <c r="O1391" s="9" t="str">
        <f t="shared" si="209"/>
        <v/>
      </c>
      <c r="P1391" s="9" t="str">
        <f t="shared" si="210"/>
        <v/>
      </c>
      <c r="Q1391" s="9" t="str">
        <f t="shared" si="211"/>
        <v/>
      </c>
      <c r="R1391" s="11"/>
      <c r="S1391" s="11" t="str">
        <f t="shared" si="212"/>
        <v>PASS</v>
      </c>
    </row>
    <row r="1392" spans="1:19" x14ac:dyDescent="0.25">
      <c r="A1392" s="30" t="s">
        <v>98</v>
      </c>
      <c r="B1392" s="31">
        <f t="shared" si="203"/>
        <v>51561</v>
      </c>
      <c r="C1392" s="30">
        <f>YEAR(BInputReservoir[[#This Row],[Date]])</f>
        <v>2041</v>
      </c>
      <c r="D1392" s="30">
        <f>MONTH(BInputReservoir[[#This Row],[Date]])</f>
        <v>3</v>
      </c>
      <c r="E1392" s="30" t="str">
        <f>IF(I1392&lt;&gt;1,"",DATA_INPUT!N310)</f>
        <v/>
      </c>
      <c r="F1392" s="30" t="str">
        <f>STORAGE_BALANCE_ENSEMBLE!BU310</f>
        <v/>
      </c>
      <c r="G1392" s="30" t="str">
        <f>STORAGE_BALANCE_ENSEMBLE!BV310</f>
        <v/>
      </c>
      <c r="H1392" s="30" t="str">
        <f>STORAGE_BALANCE_ENSEMBLE!BT310</f>
        <v/>
      </c>
      <c r="I1392" s="18" t="str">
        <f t="shared" si="204"/>
        <v/>
      </c>
      <c r="J1392" s="8" t="str">
        <f t="shared" si="205"/>
        <v/>
      </c>
      <c r="K1392" s="9" t="str">
        <f t="shared" si="206"/>
        <v/>
      </c>
      <c r="L1392" s="10" t="str">
        <f t="shared" si="207"/>
        <v/>
      </c>
      <c r="M1392" s="10" t="str">
        <f>IF(I1392&lt;&gt;1,"",IF(H1392="","",H1392/CONTROL_PANEL!$B$11))</f>
        <v/>
      </c>
      <c r="N1392" s="9" t="str">
        <f t="shared" si="208"/>
        <v/>
      </c>
      <c r="O1392" s="9" t="str">
        <f t="shared" si="209"/>
        <v/>
      </c>
      <c r="P1392" s="9" t="str">
        <f t="shared" si="210"/>
        <v/>
      </c>
      <c r="Q1392" s="9" t="str">
        <f t="shared" si="211"/>
        <v/>
      </c>
      <c r="R1392" s="11"/>
      <c r="S1392" s="11" t="str">
        <f t="shared" si="212"/>
        <v>PASS</v>
      </c>
    </row>
    <row r="1393" spans="1:19" x14ac:dyDescent="0.25">
      <c r="A1393" s="30" t="s">
        <v>98</v>
      </c>
      <c r="B1393" s="31">
        <f t="shared" si="203"/>
        <v>51592</v>
      </c>
      <c r="C1393" s="30">
        <f>YEAR(BInputReservoir[[#This Row],[Date]])</f>
        <v>2041</v>
      </c>
      <c r="D1393" s="30">
        <f>MONTH(BInputReservoir[[#This Row],[Date]])</f>
        <v>4</v>
      </c>
      <c r="E1393" s="30" t="str">
        <f>IF(I1393&lt;&gt;1,"",DATA_INPUT!N311)</f>
        <v/>
      </c>
      <c r="F1393" s="30" t="str">
        <f>STORAGE_BALANCE_ENSEMBLE!BU311</f>
        <v/>
      </c>
      <c r="G1393" s="30" t="str">
        <f>STORAGE_BALANCE_ENSEMBLE!BV311</f>
        <v/>
      </c>
      <c r="H1393" s="30" t="str">
        <f>STORAGE_BALANCE_ENSEMBLE!BT311</f>
        <v/>
      </c>
      <c r="I1393" s="18" t="str">
        <f t="shared" si="204"/>
        <v/>
      </c>
      <c r="J1393" s="8" t="str">
        <f t="shared" si="205"/>
        <v/>
      </c>
      <c r="K1393" s="9" t="str">
        <f t="shared" si="206"/>
        <v/>
      </c>
      <c r="L1393" s="10" t="str">
        <f t="shared" si="207"/>
        <v/>
      </c>
      <c r="M1393" s="10" t="str">
        <f>IF(I1393&lt;&gt;1,"",IF(H1393="","",H1393/CONTROL_PANEL!$B$11))</f>
        <v/>
      </c>
      <c r="N1393" s="9" t="str">
        <f t="shared" si="208"/>
        <v/>
      </c>
      <c r="O1393" s="9" t="str">
        <f t="shared" si="209"/>
        <v/>
      </c>
      <c r="P1393" s="9" t="str">
        <f t="shared" si="210"/>
        <v/>
      </c>
      <c r="Q1393" s="9" t="str">
        <f t="shared" si="211"/>
        <v/>
      </c>
      <c r="R1393" s="11"/>
      <c r="S1393" s="11" t="str">
        <f t="shared" si="212"/>
        <v>PASS</v>
      </c>
    </row>
    <row r="1394" spans="1:19" x14ac:dyDescent="0.25">
      <c r="A1394" s="30" t="s">
        <v>98</v>
      </c>
      <c r="B1394" s="31">
        <f t="shared" si="203"/>
        <v>51622</v>
      </c>
      <c r="C1394" s="30">
        <f>YEAR(BInputReservoir[[#This Row],[Date]])</f>
        <v>2041</v>
      </c>
      <c r="D1394" s="30">
        <f>MONTH(BInputReservoir[[#This Row],[Date]])</f>
        <v>5</v>
      </c>
      <c r="E1394" s="30" t="str">
        <f>IF(I1394&lt;&gt;1,"",DATA_INPUT!N312)</f>
        <v/>
      </c>
      <c r="F1394" s="30" t="str">
        <f>STORAGE_BALANCE_ENSEMBLE!BU312</f>
        <v/>
      </c>
      <c r="G1394" s="30" t="str">
        <f>STORAGE_BALANCE_ENSEMBLE!BV312</f>
        <v/>
      </c>
      <c r="H1394" s="30" t="str">
        <f>STORAGE_BALANCE_ENSEMBLE!BT312</f>
        <v/>
      </c>
      <c r="I1394" s="18" t="str">
        <f t="shared" si="204"/>
        <v/>
      </c>
      <c r="J1394" s="8" t="str">
        <f t="shared" si="205"/>
        <v/>
      </c>
      <c r="K1394" s="9" t="str">
        <f t="shared" si="206"/>
        <v/>
      </c>
      <c r="L1394" s="10" t="str">
        <f t="shared" si="207"/>
        <v/>
      </c>
      <c r="M1394" s="10" t="str">
        <f>IF(I1394&lt;&gt;1,"",IF(H1394="","",H1394/CONTROL_PANEL!$B$11))</f>
        <v/>
      </c>
      <c r="N1394" s="9" t="str">
        <f t="shared" si="208"/>
        <v/>
      </c>
      <c r="O1394" s="9" t="str">
        <f t="shared" si="209"/>
        <v/>
      </c>
      <c r="P1394" s="9" t="str">
        <f t="shared" si="210"/>
        <v/>
      </c>
      <c r="Q1394" s="9" t="str">
        <f t="shared" si="211"/>
        <v/>
      </c>
      <c r="R1394" s="11"/>
      <c r="S1394" s="11" t="str">
        <f t="shared" si="212"/>
        <v>PASS</v>
      </c>
    </row>
    <row r="1395" spans="1:19" x14ac:dyDescent="0.25">
      <c r="A1395" s="30" t="s">
        <v>98</v>
      </c>
      <c r="B1395" s="31">
        <f t="shared" si="203"/>
        <v>51653</v>
      </c>
      <c r="C1395" s="30">
        <f>YEAR(BInputReservoir[[#This Row],[Date]])</f>
        <v>2041</v>
      </c>
      <c r="D1395" s="30">
        <f>MONTH(BInputReservoir[[#This Row],[Date]])</f>
        <v>6</v>
      </c>
      <c r="E1395" s="30" t="str">
        <f>IF(I1395&lt;&gt;1,"",DATA_INPUT!N313)</f>
        <v/>
      </c>
      <c r="F1395" s="30" t="str">
        <f>STORAGE_BALANCE_ENSEMBLE!BU313</f>
        <v/>
      </c>
      <c r="G1395" s="30" t="str">
        <f>STORAGE_BALANCE_ENSEMBLE!BV313</f>
        <v/>
      </c>
      <c r="H1395" s="30" t="str">
        <f>STORAGE_BALANCE_ENSEMBLE!BT313</f>
        <v/>
      </c>
      <c r="I1395" s="18" t="str">
        <f t="shared" si="204"/>
        <v/>
      </c>
      <c r="J1395" s="8" t="str">
        <f t="shared" si="205"/>
        <v/>
      </c>
      <c r="K1395" s="9" t="str">
        <f t="shared" si="206"/>
        <v/>
      </c>
      <c r="L1395" s="10" t="str">
        <f t="shared" si="207"/>
        <v/>
      </c>
      <c r="M1395" s="10" t="str">
        <f>IF(I1395&lt;&gt;1,"",IF(H1395="","",H1395/CONTROL_PANEL!$B$11))</f>
        <v/>
      </c>
      <c r="N1395" s="9" t="str">
        <f t="shared" si="208"/>
        <v/>
      </c>
      <c r="O1395" s="9" t="str">
        <f t="shared" si="209"/>
        <v/>
      </c>
      <c r="P1395" s="9" t="str">
        <f t="shared" si="210"/>
        <v/>
      </c>
      <c r="Q1395" s="9" t="str">
        <f t="shared" si="211"/>
        <v/>
      </c>
      <c r="R1395" s="11"/>
      <c r="S1395" s="11" t="str">
        <f t="shared" si="212"/>
        <v>PASS</v>
      </c>
    </row>
    <row r="1396" spans="1:19" x14ac:dyDescent="0.25">
      <c r="A1396" s="30" t="s">
        <v>98</v>
      </c>
      <c r="B1396" s="31">
        <f t="shared" si="203"/>
        <v>51683</v>
      </c>
      <c r="C1396" s="30">
        <f>YEAR(BInputReservoir[[#This Row],[Date]])</f>
        <v>2041</v>
      </c>
      <c r="D1396" s="30">
        <f>MONTH(BInputReservoir[[#This Row],[Date]])</f>
        <v>7</v>
      </c>
      <c r="E1396" s="30" t="str">
        <f>IF(I1396&lt;&gt;1,"",DATA_INPUT!N314)</f>
        <v/>
      </c>
      <c r="F1396" s="30" t="str">
        <f>STORAGE_BALANCE_ENSEMBLE!BU314</f>
        <v/>
      </c>
      <c r="G1396" s="30" t="str">
        <f>STORAGE_BALANCE_ENSEMBLE!BV314</f>
        <v/>
      </c>
      <c r="H1396" s="30" t="str">
        <f>STORAGE_BALANCE_ENSEMBLE!BT314</f>
        <v/>
      </c>
      <c r="I1396" s="18" t="str">
        <f t="shared" si="204"/>
        <v/>
      </c>
      <c r="J1396" s="8" t="str">
        <f t="shared" si="205"/>
        <v/>
      </c>
      <c r="K1396" s="9" t="str">
        <f t="shared" si="206"/>
        <v/>
      </c>
      <c r="L1396" s="10" t="str">
        <f t="shared" si="207"/>
        <v/>
      </c>
      <c r="M1396" s="10" t="str">
        <f>IF(I1396&lt;&gt;1,"",IF(H1396="","",H1396/CONTROL_PANEL!$B$11))</f>
        <v/>
      </c>
      <c r="N1396" s="9" t="str">
        <f t="shared" si="208"/>
        <v/>
      </c>
      <c r="O1396" s="9" t="str">
        <f t="shared" si="209"/>
        <v/>
      </c>
      <c r="P1396" s="9" t="str">
        <f t="shared" si="210"/>
        <v/>
      </c>
      <c r="Q1396" s="9" t="str">
        <f t="shared" si="211"/>
        <v/>
      </c>
      <c r="R1396" s="11"/>
      <c r="S1396" s="11" t="str">
        <f t="shared" si="212"/>
        <v>PASS</v>
      </c>
    </row>
    <row r="1397" spans="1:19" x14ac:dyDescent="0.25">
      <c r="A1397" s="30" t="s">
        <v>98</v>
      </c>
      <c r="B1397" s="31">
        <f t="shared" si="203"/>
        <v>51714</v>
      </c>
      <c r="C1397" s="30">
        <f>YEAR(BInputReservoir[[#This Row],[Date]])</f>
        <v>2041</v>
      </c>
      <c r="D1397" s="30">
        <f>MONTH(BInputReservoir[[#This Row],[Date]])</f>
        <v>8</v>
      </c>
      <c r="E1397" s="30" t="str">
        <f>IF(I1397&lt;&gt;1,"",DATA_INPUT!N315)</f>
        <v/>
      </c>
      <c r="F1397" s="30" t="str">
        <f>STORAGE_BALANCE_ENSEMBLE!BU315</f>
        <v/>
      </c>
      <c r="G1397" s="30" t="str">
        <f>STORAGE_BALANCE_ENSEMBLE!BV315</f>
        <v/>
      </c>
      <c r="H1397" s="30" t="str">
        <f>STORAGE_BALANCE_ENSEMBLE!BT315</f>
        <v/>
      </c>
      <c r="I1397" s="18" t="str">
        <f t="shared" si="204"/>
        <v/>
      </c>
      <c r="J1397" s="8" t="str">
        <f t="shared" si="205"/>
        <v/>
      </c>
      <c r="K1397" s="9" t="str">
        <f t="shared" si="206"/>
        <v/>
      </c>
      <c r="L1397" s="10" t="str">
        <f t="shared" si="207"/>
        <v/>
      </c>
      <c r="M1397" s="10" t="str">
        <f>IF(I1397&lt;&gt;1,"",IF(H1397="","",H1397/CONTROL_PANEL!$B$11))</f>
        <v/>
      </c>
      <c r="N1397" s="9" t="str">
        <f t="shared" si="208"/>
        <v/>
      </c>
      <c r="O1397" s="9" t="str">
        <f t="shared" si="209"/>
        <v/>
      </c>
      <c r="P1397" s="9" t="str">
        <f t="shared" si="210"/>
        <v/>
      </c>
      <c r="Q1397" s="9" t="str">
        <f t="shared" si="211"/>
        <v/>
      </c>
      <c r="R1397" s="11"/>
      <c r="S1397" s="11" t="str">
        <f t="shared" si="212"/>
        <v>PASS</v>
      </c>
    </row>
    <row r="1398" spans="1:19" x14ac:dyDescent="0.25">
      <c r="A1398" s="30" t="s">
        <v>98</v>
      </c>
      <c r="B1398" s="31">
        <f t="shared" si="203"/>
        <v>51745</v>
      </c>
      <c r="C1398" s="30">
        <f>YEAR(BInputReservoir[[#This Row],[Date]])</f>
        <v>2041</v>
      </c>
      <c r="D1398" s="30">
        <f>MONTH(BInputReservoir[[#This Row],[Date]])</f>
        <v>9</v>
      </c>
      <c r="E1398" s="30" t="str">
        <f>IF(I1398&lt;&gt;1,"",DATA_INPUT!N316)</f>
        <v/>
      </c>
      <c r="F1398" s="30" t="str">
        <f>STORAGE_BALANCE_ENSEMBLE!BU316</f>
        <v/>
      </c>
      <c r="G1398" s="30" t="str">
        <f>STORAGE_BALANCE_ENSEMBLE!BV316</f>
        <v/>
      </c>
      <c r="H1398" s="30" t="str">
        <f>STORAGE_BALANCE_ENSEMBLE!BT316</f>
        <v/>
      </c>
      <c r="I1398" s="18" t="str">
        <f t="shared" si="204"/>
        <v/>
      </c>
      <c r="J1398" s="8" t="str">
        <f t="shared" si="205"/>
        <v/>
      </c>
      <c r="K1398" s="9" t="str">
        <f t="shared" si="206"/>
        <v/>
      </c>
      <c r="L1398" s="10" t="str">
        <f t="shared" si="207"/>
        <v/>
      </c>
      <c r="M1398" s="10" t="str">
        <f>IF(I1398&lt;&gt;1,"",IF(H1398="","",H1398/CONTROL_PANEL!$B$11))</f>
        <v/>
      </c>
      <c r="N1398" s="9" t="str">
        <f t="shared" si="208"/>
        <v/>
      </c>
      <c r="O1398" s="9" t="str">
        <f t="shared" si="209"/>
        <v/>
      </c>
      <c r="P1398" s="9" t="str">
        <f t="shared" si="210"/>
        <v/>
      </c>
      <c r="Q1398" s="9" t="str">
        <f t="shared" si="211"/>
        <v/>
      </c>
      <c r="R1398" s="11"/>
      <c r="S1398" s="11" t="str">
        <f t="shared" si="212"/>
        <v>PASS</v>
      </c>
    </row>
    <row r="1399" spans="1:19" x14ac:dyDescent="0.25">
      <c r="A1399" s="30" t="s">
        <v>98</v>
      </c>
      <c r="B1399" s="31">
        <f t="shared" si="203"/>
        <v>51775</v>
      </c>
      <c r="C1399" s="30">
        <f>YEAR(BInputReservoir[[#This Row],[Date]])</f>
        <v>2041</v>
      </c>
      <c r="D1399" s="30">
        <f>MONTH(BInputReservoir[[#This Row],[Date]])</f>
        <v>10</v>
      </c>
      <c r="E1399" s="30" t="str">
        <f>IF(I1399&lt;&gt;1,"",DATA_INPUT!N317)</f>
        <v/>
      </c>
      <c r="F1399" s="30" t="str">
        <f>STORAGE_BALANCE_ENSEMBLE!BU317</f>
        <v/>
      </c>
      <c r="G1399" s="30" t="str">
        <f>STORAGE_BALANCE_ENSEMBLE!BV317</f>
        <v/>
      </c>
      <c r="H1399" s="30" t="str">
        <f>STORAGE_BALANCE_ENSEMBLE!BT317</f>
        <v/>
      </c>
      <c r="I1399" s="18" t="str">
        <f t="shared" si="204"/>
        <v/>
      </c>
      <c r="J1399" s="8" t="str">
        <f t="shared" si="205"/>
        <v/>
      </c>
      <c r="K1399" s="9" t="str">
        <f t="shared" si="206"/>
        <v/>
      </c>
      <c r="L1399" s="10" t="str">
        <f t="shared" si="207"/>
        <v/>
      </c>
      <c r="M1399" s="10" t="str">
        <f>IF(I1399&lt;&gt;1,"",IF(H1399="","",H1399/CONTROL_PANEL!$B$11))</f>
        <v/>
      </c>
      <c r="N1399" s="9" t="str">
        <f t="shared" si="208"/>
        <v/>
      </c>
      <c r="O1399" s="9" t="str">
        <f t="shared" si="209"/>
        <v/>
      </c>
      <c r="P1399" s="9" t="str">
        <f t="shared" si="210"/>
        <v/>
      </c>
      <c r="Q1399" s="9" t="str">
        <f t="shared" si="211"/>
        <v/>
      </c>
      <c r="R1399" s="11"/>
      <c r="S1399" s="11" t="str">
        <f t="shared" si="212"/>
        <v>PASS</v>
      </c>
    </row>
    <row r="1400" spans="1:19" x14ac:dyDescent="0.25">
      <c r="A1400" s="30" t="s">
        <v>98</v>
      </c>
      <c r="B1400" s="31">
        <f t="shared" si="203"/>
        <v>51806</v>
      </c>
      <c r="C1400" s="30">
        <f>YEAR(BInputReservoir[[#This Row],[Date]])</f>
        <v>2041</v>
      </c>
      <c r="D1400" s="30">
        <f>MONTH(BInputReservoir[[#This Row],[Date]])</f>
        <v>11</v>
      </c>
      <c r="E1400" s="30" t="str">
        <f>IF(I1400&lt;&gt;1,"",DATA_INPUT!N318)</f>
        <v/>
      </c>
      <c r="F1400" s="30" t="str">
        <f>STORAGE_BALANCE_ENSEMBLE!BU318</f>
        <v/>
      </c>
      <c r="G1400" s="30" t="str">
        <f>STORAGE_BALANCE_ENSEMBLE!BV318</f>
        <v/>
      </c>
      <c r="H1400" s="30" t="str">
        <f>STORAGE_BALANCE_ENSEMBLE!BT318</f>
        <v/>
      </c>
      <c r="I1400" s="18" t="str">
        <f t="shared" si="204"/>
        <v/>
      </c>
      <c r="J1400" s="8" t="str">
        <f t="shared" si="205"/>
        <v/>
      </c>
      <c r="K1400" s="9" t="str">
        <f t="shared" si="206"/>
        <v/>
      </c>
      <c r="L1400" s="10" t="str">
        <f t="shared" si="207"/>
        <v/>
      </c>
      <c r="M1400" s="10" t="str">
        <f>IF(I1400&lt;&gt;1,"",IF(H1400="","",H1400/CONTROL_PANEL!$B$11))</f>
        <v/>
      </c>
      <c r="N1400" s="9" t="str">
        <f t="shared" si="208"/>
        <v/>
      </c>
      <c r="O1400" s="9" t="str">
        <f t="shared" si="209"/>
        <v/>
      </c>
      <c r="P1400" s="9" t="str">
        <f t="shared" si="210"/>
        <v/>
      </c>
      <c r="Q1400" s="9" t="str">
        <f t="shared" si="211"/>
        <v/>
      </c>
      <c r="R1400" s="11"/>
      <c r="S1400" s="11" t="str">
        <f t="shared" si="212"/>
        <v>PASS</v>
      </c>
    </row>
    <row r="1401" spans="1:19" x14ac:dyDescent="0.25">
      <c r="A1401" s="30" t="s">
        <v>98</v>
      </c>
      <c r="B1401" s="31">
        <f t="shared" si="203"/>
        <v>51836</v>
      </c>
      <c r="C1401" s="30">
        <f>YEAR(BInputReservoir[[#This Row],[Date]])</f>
        <v>2041</v>
      </c>
      <c r="D1401" s="30">
        <f>MONTH(BInputReservoir[[#This Row],[Date]])</f>
        <v>12</v>
      </c>
      <c r="E1401" s="30" t="str">
        <f>IF(I1401&lt;&gt;1,"",DATA_INPUT!N319)</f>
        <v/>
      </c>
      <c r="F1401" s="30" t="str">
        <f>STORAGE_BALANCE_ENSEMBLE!BU319</f>
        <v/>
      </c>
      <c r="G1401" s="30" t="str">
        <f>STORAGE_BALANCE_ENSEMBLE!BV319</f>
        <v/>
      </c>
      <c r="H1401" s="30" t="str">
        <f>STORAGE_BALANCE_ENSEMBLE!BT319</f>
        <v/>
      </c>
      <c r="I1401" s="18" t="str">
        <f t="shared" si="204"/>
        <v/>
      </c>
      <c r="J1401" s="8" t="str">
        <f t="shared" si="205"/>
        <v/>
      </c>
      <c r="K1401" s="9" t="str">
        <f t="shared" si="206"/>
        <v/>
      </c>
      <c r="L1401" s="10" t="str">
        <f t="shared" si="207"/>
        <v/>
      </c>
      <c r="M1401" s="10" t="str">
        <f>IF(I1401&lt;&gt;1,"",IF(H1401="","",H1401/CONTROL_PANEL!$B$11))</f>
        <v/>
      </c>
      <c r="N1401" s="9" t="str">
        <f t="shared" si="208"/>
        <v/>
      </c>
      <c r="O1401" s="9" t="str">
        <f t="shared" si="209"/>
        <v/>
      </c>
      <c r="P1401" s="9" t="str">
        <f t="shared" si="210"/>
        <v/>
      </c>
      <c r="Q1401" s="9" t="str">
        <f t="shared" si="211"/>
        <v/>
      </c>
      <c r="R1401" s="11"/>
      <c r="S1401" s="11" t="str">
        <f t="shared" si="212"/>
        <v>PASS</v>
      </c>
    </row>
    <row r="1402" spans="1:19" x14ac:dyDescent="0.25">
      <c r="A1402" s="30" t="s">
        <v>98</v>
      </c>
      <c r="B1402" s="31">
        <f t="shared" si="203"/>
        <v>51867</v>
      </c>
      <c r="C1402" s="30">
        <f>YEAR(BInputReservoir[[#This Row],[Date]])</f>
        <v>2042</v>
      </c>
      <c r="D1402" s="30">
        <f>MONTH(BInputReservoir[[#This Row],[Date]])</f>
        <v>1</v>
      </c>
      <c r="E1402" s="30" t="str">
        <f>IF(I1402&lt;&gt;1,"",DATA_INPUT!N320)</f>
        <v/>
      </c>
      <c r="F1402" s="30" t="str">
        <f>STORAGE_BALANCE_ENSEMBLE!BU320</f>
        <v/>
      </c>
      <c r="G1402" s="30" t="str">
        <f>STORAGE_BALANCE_ENSEMBLE!BV320</f>
        <v/>
      </c>
      <c r="H1402" s="30" t="str">
        <f>STORAGE_BALANCE_ENSEMBLE!BT320</f>
        <v/>
      </c>
      <c r="I1402" s="18" t="str">
        <f t="shared" si="204"/>
        <v/>
      </c>
      <c r="J1402" s="8" t="str">
        <f t="shared" si="205"/>
        <v/>
      </c>
      <c r="K1402" s="9" t="str">
        <f t="shared" si="206"/>
        <v/>
      </c>
      <c r="L1402" s="10" t="str">
        <f t="shared" si="207"/>
        <v/>
      </c>
      <c r="M1402" s="10" t="str">
        <f>IF(I1402&lt;&gt;1,"",IF(H1402="","",H1402/CONTROL_PANEL!$B$11))</f>
        <v/>
      </c>
      <c r="N1402" s="9" t="str">
        <f t="shared" si="208"/>
        <v/>
      </c>
      <c r="O1402" s="9" t="str">
        <f t="shared" si="209"/>
        <v/>
      </c>
      <c r="P1402" s="9" t="str">
        <f t="shared" si="210"/>
        <v/>
      </c>
      <c r="Q1402" s="9" t="str">
        <f t="shared" si="211"/>
        <v/>
      </c>
      <c r="R1402" s="11"/>
      <c r="S1402" s="11" t="str">
        <f t="shared" si="212"/>
        <v>PASS</v>
      </c>
    </row>
    <row r="1403" spans="1:19" x14ac:dyDescent="0.25">
      <c r="A1403" s="30" t="s">
        <v>98</v>
      </c>
      <c r="B1403" s="31">
        <f t="shared" si="203"/>
        <v>51898</v>
      </c>
      <c r="C1403" s="30">
        <f>YEAR(BInputReservoir[[#This Row],[Date]])</f>
        <v>2042</v>
      </c>
      <c r="D1403" s="30">
        <f>MONTH(BInputReservoir[[#This Row],[Date]])</f>
        <v>2</v>
      </c>
      <c r="E1403" s="30" t="str">
        <f>IF(I1403&lt;&gt;1,"",DATA_INPUT!N321)</f>
        <v/>
      </c>
      <c r="F1403" s="30" t="str">
        <f>STORAGE_BALANCE_ENSEMBLE!BU321</f>
        <v/>
      </c>
      <c r="G1403" s="30" t="str">
        <f>STORAGE_BALANCE_ENSEMBLE!BV321</f>
        <v/>
      </c>
      <c r="H1403" s="30" t="str">
        <f>STORAGE_BALANCE_ENSEMBLE!BT321</f>
        <v/>
      </c>
      <c r="I1403" s="18" t="str">
        <f t="shared" si="204"/>
        <v/>
      </c>
      <c r="J1403" s="8" t="str">
        <f t="shared" si="205"/>
        <v/>
      </c>
      <c r="K1403" s="9" t="str">
        <f t="shared" si="206"/>
        <v/>
      </c>
      <c r="L1403" s="10" t="str">
        <f t="shared" si="207"/>
        <v/>
      </c>
      <c r="M1403" s="10" t="str">
        <f>IF(I1403&lt;&gt;1,"",IF(H1403="","",H1403/CONTROL_PANEL!$B$11))</f>
        <v/>
      </c>
      <c r="N1403" s="9" t="str">
        <f t="shared" si="208"/>
        <v/>
      </c>
      <c r="O1403" s="9" t="str">
        <f t="shared" si="209"/>
        <v/>
      </c>
      <c r="P1403" s="9" t="str">
        <f t="shared" si="210"/>
        <v/>
      </c>
      <c r="Q1403" s="9" t="str">
        <f t="shared" si="211"/>
        <v/>
      </c>
      <c r="R1403" s="11"/>
      <c r="S1403" s="11" t="str">
        <f t="shared" si="212"/>
        <v>PASS</v>
      </c>
    </row>
    <row r="1404" spans="1:19" x14ac:dyDescent="0.25">
      <c r="A1404" s="30" t="s">
        <v>98</v>
      </c>
      <c r="B1404" s="31">
        <f t="shared" si="203"/>
        <v>51926</v>
      </c>
      <c r="C1404" s="30">
        <f>YEAR(BInputReservoir[[#This Row],[Date]])</f>
        <v>2042</v>
      </c>
      <c r="D1404" s="30">
        <f>MONTH(BInputReservoir[[#This Row],[Date]])</f>
        <v>3</v>
      </c>
      <c r="E1404" s="30" t="str">
        <f>IF(I1404&lt;&gt;1,"",DATA_INPUT!N322)</f>
        <v/>
      </c>
      <c r="F1404" s="30" t="str">
        <f>STORAGE_BALANCE_ENSEMBLE!BU322</f>
        <v/>
      </c>
      <c r="G1404" s="30" t="str">
        <f>STORAGE_BALANCE_ENSEMBLE!BV322</f>
        <v/>
      </c>
      <c r="H1404" s="30" t="str">
        <f>STORAGE_BALANCE_ENSEMBLE!BT322</f>
        <v/>
      </c>
      <c r="I1404" s="18" t="str">
        <f t="shared" si="204"/>
        <v/>
      </c>
      <c r="J1404" s="8" t="str">
        <f t="shared" si="205"/>
        <v/>
      </c>
      <c r="K1404" s="9" t="str">
        <f t="shared" si="206"/>
        <v/>
      </c>
      <c r="L1404" s="10" t="str">
        <f t="shared" si="207"/>
        <v/>
      </c>
      <c r="M1404" s="10" t="str">
        <f>IF(I1404&lt;&gt;1,"",IF(H1404="","",H1404/CONTROL_PANEL!$B$11))</f>
        <v/>
      </c>
      <c r="N1404" s="9" t="str">
        <f t="shared" si="208"/>
        <v/>
      </c>
      <c r="O1404" s="9" t="str">
        <f t="shared" si="209"/>
        <v/>
      </c>
      <c r="P1404" s="9" t="str">
        <f t="shared" si="210"/>
        <v/>
      </c>
      <c r="Q1404" s="9" t="str">
        <f t="shared" si="211"/>
        <v/>
      </c>
      <c r="R1404" s="11"/>
      <c r="S1404" s="11" t="str">
        <f t="shared" si="212"/>
        <v>PASS</v>
      </c>
    </row>
    <row r="1405" spans="1:19" x14ac:dyDescent="0.25">
      <c r="A1405" s="30" t="s">
        <v>98</v>
      </c>
      <c r="B1405" s="31">
        <f t="shared" si="203"/>
        <v>51957</v>
      </c>
      <c r="C1405" s="30">
        <f>YEAR(BInputReservoir[[#This Row],[Date]])</f>
        <v>2042</v>
      </c>
      <c r="D1405" s="30">
        <f>MONTH(BInputReservoir[[#This Row],[Date]])</f>
        <v>4</v>
      </c>
      <c r="E1405" s="30" t="str">
        <f>IF(I1405&lt;&gt;1,"",DATA_INPUT!N323)</f>
        <v/>
      </c>
      <c r="F1405" s="30" t="str">
        <f>STORAGE_BALANCE_ENSEMBLE!BU323</f>
        <v/>
      </c>
      <c r="G1405" s="30" t="str">
        <f>STORAGE_BALANCE_ENSEMBLE!BV323</f>
        <v/>
      </c>
      <c r="H1405" s="30" t="str">
        <f>STORAGE_BALANCE_ENSEMBLE!BT323</f>
        <v/>
      </c>
      <c r="I1405" s="18" t="str">
        <f t="shared" si="204"/>
        <v/>
      </c>
      <c r="J1405" s="8" t="str">
        <f t="shared" si="205"/>
        <v/>
      </c>
      <c r="K1405" s="9" t="str">
        <f t="shared" si="206"/>
        <v/>
      </c>
      <c r="L1405" s="10" t="str">
        <f t="shared" si="207"/>
        <v/>
      </c>
      <c r="M1405" s="10" t="str">
        <f>IF(I1405&lt;&gt;1,"",IF(H1405="","",H1405/CONTROL_PANEL!$B$11))</f>
        <v/>
      </c>
      <c r="N1405" s="9" t="str">
        <f t="shared" si="208"/>
        <v/>
      </c>
      <c r="O1405" s="9" t="str">
        <f t="shared" si="209"/>
        <v/>
      </c>
      <c r="P1405" s="9" t="str">
        <f t="shared" si="210"/>
        <v/>
      </c>
      <c r="Q1405" s="9" t="str">
        <f t="shared" si="211"/>
        <v/>
      </c>
      <c r="R1405" s="11"/>
      <c r="S1405" s="11" t="str">
        <f t="shared" si="212"/>
        <v>PASS</v>
      </c>
    </row>
    <row r="1406" spans="1:19" x14ac:dyDescent="0.25">
      <c r="A1406" s="30" t="s">
        <v>98</v>
      </c>
      <c r="B1406" s="31">
        <f t="shared" si="203"/>
        <v>51987</v>
      </c>
      <c r="C1406" s="30">
        <f>YEAR(BInputReservoir[[#This Row],[Date]])</f>
        <v>2042</v>
      </c>
      <c r="D1406" s="30">
        <f>MONTH(BInputReservoir[[#This Row],[Date]])</f>
        <v>5</v>
      </c>
      <c r="E1406" s="30" t="str">
        <f>IF(I1406&lt;&gt;1,"",DATA_INPUT!N324)</f>
        <v/>
      </c>
      <c r="F1406" s="30" t="str">
        <f>STORAGE_BALANCE_ENSEMBLE!BU324</f>
        <v/>
      </c>
      <c r="G1406" s="30" t="str">
        <f>STORAGE_BALANCE_ENSEMBLE!BV324</f>
        <v/>
      </c>
      <c r="H1406" s="30" t="str">
        <f>STORAGE_BALANCE_ENSEMBLE!BT324</f>
        <v/>
      </c>
      <c r="I1406" s="18" t="str">
        <f t="shared" si="204"/>
        <v/>
      </c>
      <c r="J1406" s="8" t="str">
        <f t="shared" si="205"/>
        <v/>
      </c>
      <c r="K1406" s="9" t="str">
        <f t="shared" si="206"/>
        <v/>
      </c>
      <c r="L1406" s="10" t="str">
        <f t="shared" si="207"/>
        <v/>
      </c>
      <c r="M1406" s="10" t="str">
        <f>IF(I1406&lt;&gt;1,"",IF(H1406="","",H1406/CONTROL_PANEL!$B$11))</f>
        <v/>
      </c>
      <c r="N1406" s="9" t="str">
        <f t="shared" si="208"/>
        <v/>
      </c>
      <c r="O1406" s="9" t="str">
        <f t="shared" si="209"/>
        <v/>
      </c>
      <c r="P1406" s="9" t="str">
        <f t="shared" si="210"/>
        <v/>
      </c>
      <c r="Q1406" s="9" t="str">
        <f t="shared" si="211"/>
        <v/>
      </c>
      <c r="R1406" s="11"/>
      <c r="S1406" s="11" t="str">
        <f t="shared" si="212"/>
        <v>PASS</v>
      </c>
    </row>
    <row r="1407" spans="1:19" x14ac:dyDescent="0.25">
      <c r="A1407" s="30" t="s">
        <v>98</v>
      </c>
      <c r="B1407" s="31">
        <f t="shared" si="203"/>
        <v>52018</v>
      </c>
      <c r="C1407" s="30">
        <f>YEAR(BInputReservoir[[#This Row],[Date]])</f>
        <v>2042</v>
      </c>
      <c r="D1407" s="30">
        <f>MONTH(BInputReservoir[[#This Row],[Date]])</f>
        <v>6</v>
      </c>
      <c r="E1407" s="30" t="str">
        <f>IF(I1407&lt;&gt;1,"",DATA_INPUT!N325)</f>
        <v/>
      </c>
      <c r="F1407" s="30" t="str">
        <f>STORAGE_BALANCE_ENSEMBLE!BU325</f>
        <v/>
      </c>
      <c r="G1407" s="30" t="str">
        <f>STORAGE_BALANCE_ENSEMBLE!BV325</f>
        <v/>
      </c>
      <c r="H1407" s="30" t="str">
        <f>STORAGE_BALANCE_ENSEMBLE!BT325</f>
        <v/>
      </c>
      <c r="I1407" s="18" t="str">
        <f t="shared" si="204"/>
        <v/>
      </c>
      <c r="J1407" s="8" t="str">
        <f t="shared" si="205"/>
        <v/>
      </c>
      <c r="K1407" s="9" t="str">
        <f t="shared" si="206"/>
        <v/>
      </c>
      <c r="L1407" s="10" t="str">
        <f t="shared" si="207"/>
        <v/>
      </c>
      <c r="M1407" s="10" t="str">
        <f>IF(I1407&lt;&gt;1,"",IF(H1407="","",H1407/CONTROL_PANEL!$B$11))</f>
        <v/>
      </c>
      <c r="N1407" s="9" t="str">
        <f t="shared" si="208"/>
        <v/>
      </c>
      <c r="O1407" s="9" t="str">
        <f t="shared" si="209"/>
        <v/>
      </c>
      <c r="P1407" s="9" t="str">
        <f t="shared" si="210"/>
        <v/>
      </c>
      <c r="Q1407" s="9" t="str">
        <f t="shared" si="211"/>
        <v/>
      </c>
      <c r="R1407" s="11"/>
      <c r="S1407" s="11" t="str">
        <f t="shared" si="212"/>
        <v>PASS</v>
      </c>
    </row>
    <row r="1408" spans="1:19" x14ac:dyDescent="0.25">
      <c r="A1408" s="30" t="s">
        <v>98</v>
      </c>
      <c r="B1408" s="31">
        <f t="shared" ref="B1408:B1471" si="213">B325</f>
        <v>52048</v>
      </c>
      <c r="C1408" s="30">
        <f>YEAR(BInputReservoir[[#This Row],[Date]])</f>
        <v>2042</v>
      </c>
      <c r="D1408" s="30">
        <f>MONTH(BInputReservoir[[#This Row],[Date]])</f>
        <v>7</v>
      </c>
      <c r="E1408" s="30" t="str">
        <f>IF(I1408&lt;&gt;1,"",DATA_INPUT!N326)</f>
        <v/>
      </c>
      <c r="F1408" s="30" t="str">
        <f>STORAGE_BALANCE_ENSEMBLE!BU326</f>
        <v/>
      </c>
      <c r="G1408" s="30" t="str">
        <f>STORAGE_BALANCE_ENSEMBLE!BV326</f>
        <v/>
      </c>
      <c r="H1408" s="30" t="str">
        <f>STORAGE_BALANCE_ENSEMBLE!BT326</f>
        <v/>
      </c>
      <c r="I1408" s="18" t="str">
        <f t="shared" ref="I1408:I1446" si="214">I325</f>
        <v/>
      </c>
      <c r="J1408" s="8" t="str">
        <f t="shared" si="205"/>
        <v/>
      </c>
      <c r="K1408" s="9" t="str">
        <f t="shared" si="206"/>
        <v/>
      </c>
      <c r="L1408" s="10" t="str">
        <f t="shared" si="207"/>
        <v/>
      </c>
      <c r="M1408" s="10" t="str">
        <f>IF(I1408&lt;&gt;1,"",IF(H1408="","",H1408/CONTROL_PANEL!$B$11))</f>
        <v/>
      </c>
      <c r="N1408" s="9" t="str">
        <f t="shared" si="208"/>
        <v/>
      </c>
      <c r="O1408" s="9" t="str">
        <f t="shared" si="209"/>
        <v/>
      </c>
      <c r="P1408" s="9" t="str">
        <f t="shared" si="210"/>
        <v/>
      </c>
      <c r="Q1408" s="9" t="str">
        <f t="shared" si="211"/>
        <v/>
      </c>
      <c r="R1408" s="11"/>
      <c r="S1408" s="11" t="str">
        <f t="shared" si="212"/>
        <v>PASS</v>
      </c>
    </row>
    <row r="1409" spans="1:19" x14ac:dyDescent="0.25">
      <c r="A1409" s="30" t="s">
        <v>98</v>
      </c>
      <c r="B1409" s="31">
        <f t="shared" si="213"/>
        <v>52079</v>
      </c>
      <c r="C1409" s="30">
        <f>YEAR(BInputReservoir[[#This Row],[Date]])</f>
        <v>2042</v>
      </c>
      <c r="D1409" s="30">
        <f>MONTH(BInputReservoir[[#This Row],[Date]])</f>
        <v>8</v>
      </c>
      <c r="E1409" s="30" t="str">
        <f>IF(I1409&lt;&gt;1,"",DATA_INPUT!N327)</f>
        <v/>
      </c>
      <c r="F1409" s="30" t="str">
        <f>STORAGE_BALANCE_ENSEMBLE!BU327</f>
        <v/>
      </c>
      <c r="G1409" s="30" t="str">
        <f>STORAGE_BALANCE_ENSEMBLE!BV327</f>
        <v/>
      </c>
      <c r="H1409" s="30" t="str">
        <f>STORAGE_BALANCE_ENSEMBLE!BT327</f>
        <v/>
      </c>
      <c r="I1409" s="18" t="str">
        <f t="shared" si="214"/>
        <v/>
      </c>
      <c r="J1409" s="8" t="str">
        <f t="shared" si="205"/>
        <v/>
      </c>
      <c r="K1409" s="9" t="str">
        <f t="shared" si="206"/>
        <v/>
      </c>
      <c r="L1409" s="10" t="str">
        <f t="shared" si="207"/>
        <v/>
      </c>
      <c r="M1409" s="10" t="str">
        <f>IF(I1409&lt;&gt;1,"",IF(H1409="","",H1409/CONTROL_PANEL!$B$11))</f>
        <v/>
      </c>
      <c r="N1409" s="9" t="str">
        <f t="shared" si="208"/>
        <v/>
      </c>
      <c r="O1409" s="9" t="str">
        <f t="shared" si="209"/>
        <v/>
      </c>
      <c r="P1409" s="9" t="str">
        <f t="shared" si="210"/>
        <v/>
      </c>
      <c r="Q1409" s="9" t="str">
        <f t="shared" si="211"/>
        <v/>
      </c>
      <c r="R1409" s="11"/>
      <c r="S1409" s="11" t="str">
        <f t="shared" si="212"/>
        <v>PASS</v>
      </c>
    </row>
    <row r="1410" spans="1:19" x14ac:dyDescent="0.25">
      <c r="A1410" s="30" t="s">
        <v>98</v>
      </c>
      <c r="B1410" s="31">
        <f t="shared" si="213"/>
        <v>52110</v>
      </c>
      <c r="C1410" s="30">
        <f>YEAR(BInputReservoir[[#This Row],[Date]])</f>
        <v>2042</v>
      </c>
      <c r="D1410" s="30">
        <f>MONTH(BInputReservoir[[#This Row],[Date]])</f>
        <v>9</v>
      </c>
      <c r="E1410" s="30" t="str">
        <f>IF(I1410&lt;&gt;1,"",DATA_INPUT!N328)</f>
        <v/>
      </c>
      <c r="F1410" s="30" t="str">
        <f>STORAGE_BALANCE_ENSEMBLE!BU328</f>
        <v/>
      </c>
      <c r="G1410" s="30" t="str">
        <f>STORAGE_BALANCE_ENSEMBLE!BV328</f>
        <v/>
      </c>
      <c r="H1410" s="30" t="str">
        <f>STORAGE_BALANCE_ENSEMBLE!BT328</f>
        <v/>
      </c>
      <c r="I1410" s="18" t="str">
        <f t="shared" si="214"/>
        <v/>
      </c>
      <c r="J1410" s="8" t="str">
        <f t="shared" si="205"/>
        <v/>
      </c>
      <c r="K1410" s="9" t="str">
        <f t="shared" si="206"/>
        <v/>
      </c>
      <c r="L1410" s="10" t="str">
        <f t="shared" si="207"/>
        <v/>
      </c>
      <c r="M1410" s="10" t="str">
        <f>IF(I1410&lt;&gt;1,"",IF(H1410="","",H1410/CONTROL_PANEL!$B$11))</f>
        <v/>
      </c>
      <c r="N1410" s="9" t="str">
        <f t="shared" si="208"/>
        <v/>
      </c>
      <c r="O1410" s="9" t="str">
        <f t="shared" si="209"/>
        <v/>
      </c>
      <c r="P1410" s="9" t="str">
        <f t="shared" si="210"/>
        <v/>
      </c>
      <c r="Q1410" s="9" t="str">
        <f t="shared" si="211"/>
        <v/>
      </c>
      <c r="R1410" s="11"/>
      <c r="S1410" s="11" t="str">
        <f t="shared" si="212"/>
        <v>PASS</v>
      </c>
    </row>
    <row r="1411" spans="1:19" x14ac:dyDescent="0.25">
      <c r="A1411" s="30" t="s">
        <v>98</v>
      </c>
      <c r="B1411" s="31">
        <f t="shared" si="213"/>
        <v>52140</v>
      </c>
      <c r="C1411" s="30">
        <f>YEAR(BInputReservoir[[#This Row],[Date]])</f>
        <v>2042</v>
      </c>
      <c r="D1411" s="30">
        <f>MONTH(BInputReservoir[[#This Row],[Date]])</f>
        <v>10</v>
      </c>
      <c r="E1411" s="30" t="str">
        <f>IF(I1411&lt;&gt;1,"",DATA_INPUT!N329)</f>
        <v/>
      </c>
      <c r="F1411" s="30" t="str">
        <f>STORAGE_BALANCE_ENSEMBLE!BU329</f>
        <v/>
      </c>
      <c r="G1411" s="30" t="str">
        <f>STORAGE_BALANCE_ENSEMBLE!BV329</f>
        <v/>
      </c>
      <c r="H1411" s="30" t="str">
        <f>STORAGE_BALANCE_ENSEMBLE!BT329</f>
        <v/>
      </c>
      <c r="I1411" s="18" t="str">
        <f t="shared" si="214"/>
        <v/>
      </c>
      <c r="J1411" s="8" t="str">
        <f t="shared" si="205"/>
        <v/>
      </c>
      <c r="K1411" s="9" t="str">
        <f t="shared" si="206"/>
        <v/>
      </c>
      <c r="L1411" s="10" t="str">
        <f t="shared" si="207"/>
        <v/>
      </c>
      <c r="M1411" s="10" t="str">
        <f>IF(I1411&lt;&gt;1,"",IF(H1411="","",H1411/CONTROL_PANEL!$B$11))</f>
        <v/>
      </c>
      <c r="N1411" s="9" t="str">
        <f t="shared" si="208"/>
        <v/>
      </c>
      <c r="O1411" s="9" t="str">
        <f t="shared" si="209"/>
        <v/>
      </c>
      <c r="P1411" s="9" t="str">
        <f t="shared" si="210"/>
        <v/>
      </c>
      <c r="Q1411" s="9" t="str">
        <f t="shared" si="211"/>
        <v/>
      </c>
      <c r="R1411" s="11"/>
      <c r="S1411" s="11" t="str">
        <f t="shared" si="212"/>
        <v>PASS</v>
      </c>
    </row>
    <row r="1412" spans="1:19" x14ac:dyDescent="0.25">
      <c r="A1412" s="30" t="s">
        <v>98</v>
      </c>
      <c r="B1412" s="31">
        <f t="shared" si="213"/>
        <v>52171</v>
      </c>
      <c r="C1412" s="30">
        <f>YEAR(BInputReservoir[[#This Row],[Date]])</f>
        <v>2042</v>
      </c>
      <c r="D1412" s="30">
        <f>MONTH(BInputReservoir[[#This Row],[Date]])</f>
        <v>11</v>
      </c>
      <c r="E1412" s="30" t="str">
        <f>IF(I1412&lt;&gt;1,"",DATA_INPUT!N330)</f>
        <v/>
      </c>
      <c r="F1412" s="30" t="str">
        <f>STORAGE_BALANCE_ENSEMBLE!BU330</f>
        <v/>
      </c>
      <c r="G1412" s="30" t="str">
        <f>STORAGE_BALANCE_ENSEMBLE!BV330</f>
        <v/>
      </c>
      <c r="H1412" s="30" t="str">
        <f>STORAGE_BALANCE_ENSEMBLE!BT330</f>
        <v/>
      </c>
      <c r="I1412" s="18" t="str">
        <f t="shared" si="214"/>
        <v/>
      </c>
      <c r="J1412" s="8" t="str">
        <f t="shared" si="205"/>
        <v/>
      </c>
      <c r="K1412" s="9" t="str">
        <f t="shared" si="206"/>
        <v/>
      </c>
      <c r="L1412" s="10" t="str">
        <f t="shared" si="207"/>
        <v/>
      </c>
      <c r="M1412" s="10" t="str">
        <f>IF(I1412&lt;&gt;1,"",IF(H1412="","",H1412/CONTROL_PANEL!$B$11))</f>
        <v/>
      </c>
      <c r="N1412" s="9" t="str">
        <f t="shared" si="208"/>
        <v/>
      </c>
      <c r="O1412" s="9" t="str">
        <f t="shared" si="209"/>
        <v/>
      </c>
      <c r="P1412" s="9" t="str">
        <f t="shared" si="210"/>
        <v/>
      </c>
      <c r="Q1412" s="9" t="str">
        <f t="shared" si="211"/>
        <v/>
      </c>
      <c r="R1412" s="11"/>
      <c r="S1412" s="11" t="str">
        <f t="shared" si="212"/>
        <v>PASS</v>
      </c>
    </row>
    <row r="1413" spans="1:19" x14ac:dyDescent="0.25">
      <c r="A1413" s="30" t="s">
        <v>98</v>
      </c>
      <c r="B1413" s="31">
        <f t="shared" si="213"/>
        <v>52201</v>
      </c>
      <c r="C1413" s="30">
        <f>YEAR(BInputReservoir[[#This Row],[Date]])</f>
        <v>2042</v>
      </c>
      <c r="D1413" s="30">
        <f>MONTH(BInputReservoir[[#This Row],[Date]])</f>
        <v>12</v>
      </c>
      <c r="E1413" s="30" t="str">
        <f>IF(I1413&lt;&gt;1,"",DATA_INPUT!N331)</f>
        <v/>
      </c>
      <c r="F1413" s="30" t="str">
        <f>STORAGE_BALANCE_ENSEMBLE!BU331</f>
        <v/>
      </c>
      <c r="G1413" s="30" t="str">
        <f>STORAGE_BALANCE_ENSEMBLE!BV331</f>
        <v/>
      </c>
      <c r="H1413" s="30" t="str">
        <f>STORAGE_BALANCE_ENSEMBLE!BT331</f>
        <v/>
      </c>
      <c r="I1413" s="18" t="str">
        <f t="shared" si="214"/>
        <v/>
      </c>
      <c r="J1413" s="8" t="str">
        <f t="shared" ref="J1413:J1476" si="215">IF(I1413&lt;&gt;1,"",IF(E1413="","",MAX(0,E1413-G1413)))</f>
        <v/>
      </c>
      <c r="K1413" s="9" t="str">
        <f t="shared" ref="K1413:K1476" si="216">IF(I1413&lt;&gt;1,"",IF(OR(G1413="",E1413=""),"",IF(G1413&gt;0,1,0)))</f>
        <v/>
      </c>
      <c r="L1413" s="10" t="str">
        <f t="shared" ref="L1413:L1476" si="217">IF(I1413&lt;&gt;1,"",IF(AND(K1413=1,E1413&gt;0),G1413/E1413,0))</f>
        <v/>
      </c>
      <c r="M1413" s="10" t="str">
        <f>IF(I1413&lt;&gt;1,"",IF(H1413="","",H1413/CONTROL_PANEL!$B$11))</f>
        <v/>
      </c>
      <c r="N1413" s="9" t="str">
        <f t="shared" ref="N1413:N1476" si="218">IF(I1413&lt;&gt;1,"",IF(AND(K1413=1,A1414=A1413),1,0))</f>
        <v/>
      </c>
      <c r="O1413" s="9" t="str">
        <f t="shared" ref="O1413:O1476" si="219">IF(I1413&lt;&gt;1,"",IF(AND(K1413=1,A1414=A1413,K1414=0),1,0))</f>
        <v/>
      </c>
      <c r="P1413" s="9" t="str">
        <f t="shared" ref="P1413:P1476" si="220">IF(I1413&lt;&gt;1,"",IF(F1413&gt;0,1,0))</f>
        <v/>
      </c>
      <c r="Q1413" s="9" t="str">
        <f t="shared" ref="Q1413:Q1476" si="221">IF(I1413&lt;&gt;1,"",IF(G1413&gt;0,1,0))</f>
        <v/>
      </c>
      <c r="R1413" s="11"/>
      <c r="S1413" s="11" t="str">
        <f t="shared" si="212"/>
        <v>PASS</v>
      </c>
    </row>
    <row r="1414" spans="1:19" x14ac:dyDescent="0.25">
      <c r="A1414" s="30" t="s">
        <v>98</v>
      </c>
      <c r="B1414" s="31">
        <f t="shared" si="213"/>
        <v>52232</v>
      </c>
      <c r="C1414" s="30">
        <f>YEAR(BInputReservoir[[#This Row],[Date]])</f>
        <v>2043</v>
      </c>
      <c r="D1414" s="30">
        <f>MONTH(BInputReservoir[[#This Row],[Date]])</f>
        <v>1</v>
      </c>
      <c r="E1414" s="30" t="str">
        <f>IF(I1414&lt;&gt;1,"",DATA_INPUT!N332)</f>
        <v/>
      </c>
      <c r="F1414" s="30" t="str">
        <f>STORAGE_BALANCE_ENSEMBLE!BU332</f>
        <v/>
      </c>
      <c r="G1414" s="30" t="str">
        <f>STORAGE_BALANCE_ENSEMBLE!BV332</f>
        <v/>
      </c>
      <c r="H1414" s="30" t="str">
        <f>STORAGE_BALANCE_ENSEMBLE!BT332</f>
        <v/>
      </c>
      <c r="I1414" s="18" t="str">
        <f t="shared" si="214"/>
        <v/>
      </c>
      <c r="J1414" s="8" t="str">
        <f t="shared" si="215"/>
        <v/>
      </c>
      <c r="K1414" s="9" t="str">
        <f t="shared" si="216"/>
        <v/>
      </c>
      <c r="L1414" s="10" t="str">
        <f t="shared" si="217"/>
        <v/>
      </c>
      <c r="M1414" s="10" t="str">
        <f>IF(I1414&lt;&gt;1,"",IF(H1414="","",H1414/CONTROL_PANEL!$B$11))</f>
        <v/>
      </c>
      <c r="N1414" s="9" t="str">
        <f t="shared" si="218"/>
        <v/>
      </c>
      <c r="O1414" s="9" t="str">
        <f t="shared" si="219"/>
        <v/>
      </c>
      <c r="P1414" s="9" t="str">
        <f t="shared" si="220"/>
        <v/>
      </c>
      <c r="Q1414" s="9" t="str">
        <f t="shared" si="221"/>
        <v/>
      </c>
      <c r="R1414" s="11"/>
      <c r="S1414" s="11" t="str">
        <f t="shared" si="212"/>
        <v>PASS</v>
      </c>
    </row>
    <row r="1415" spans="1:19" x14ac:dyDescent="0.25">
      <c r="A1415" s="30" t="s">
        <v>98</v>
      </c>
      <c r="B1415" s="31">
        <f t="shared" si="213"/>
        <v>52263</v>
      </c>
      <c r="C1415" s="30">
        <f>YEAR(BInputReservoir[[#This Row],[Date]])</f>
        <v>2043</v>
      </c>
      <c r="D1415" s="30">
        <f>MONTH(BInputReservoir[[#This Row],[Date]])</f>
        <v>2</v>
      </c>
      <c r="E1415" s="30" t="str">
        <f>IF(I1415&lt;&gt;1,"",DATA_INPUT!N333)</f>
        <v/>
      </c>
      <c r="F1415" s="30" t="str">
        <f>STORAGE_BALANCE_ENSEMBLE!BU333</f>
        <v/>
      </c>
      <c r="G1415" s="30" t="str">
        <f>STORAGE_BALANCE_ENSEMBLE!BV333</f>
        <v/>
      </c>
      <c r="H1415" s="30" t="str">
        <f>STORAGE_BALANCE_ENSEMBLE!BT333</f>
        <v/>
      </c>
      <c r="I1415" s="18" t="str">
        <f t="shared" si="214"/>
        <v/>
      </c>
      <c r="J1415" s="8" t="str">
        <f t="shared" si="215"/>
        <v/>
      </c>
      <c r="K1415" s="9" t="str">
        <f t="shared" si="216"/>
        <v/>
      </c>
      <c r="L1415" s="10" t="str">
        <f t="shared" si="217"/>
        <v/>
      </c>
      <c r="M1415" s="10" t="str">
        <f>IF(I1415&lt;&gt;1,"",IF(H1415="","",H1415/CONTROL_PANEL!$B$11))</f>
        <v/>
      </c>
      <c r="N1415" s="9" t="str">
        <f t="shared" si="218"/>
        <v/>
      </c>
      <c r="O1415" s="9" t="str">
        <f t="shared" si="219"/>
        <v/>
      </c>
      <c r="P1415" s="9" t="str">
        <f t="shared" si="220"/>
        <v/>
      </c>
      <c r="Q1415" s="9" t="str">
        <f t="shared" si="221"/>
        <v/>
      </c>
      <c r="R1415" s="11"/>
      <c r="S1415" s="11" t="str">
        <f t="shared" ref="S1415:S1478" si="222">IF(COUNTA(A1415:H1415)=0,"",IF(OR(A1415="",C1415="",D1415=""),"ERROR: missing key fields","PASS"))</f>
        <v>PASS</v>
      </c>
    </row>
    <row r="1416" spans="1:19" x14ac:dyDescent="0.25">
      <c r="A1416" s="30" t="s">
        <v>98</v>
      </c>
      <c r="B1416" s="31">
        <f t="shared" si="213"/>
        <v>52291</v>
      </c>
      <c r="C1416" s="30">
        <f>YEAR(BInputReservoir[[#This Row],[Date]])</f>
        <v>2043</v>
      </c>
      <c r="D1416" s="30">
        <f>MONTH(BInputReservoir[[#This Row],[Date]])</f>
        <v>3</v>
      </c>
      <c r="E1416" s="30" t="str">
        <f>IF(I1416&lt;&gt;1,"",DATA_INPUT!N334)</f>
        <v/>
      </c>
      <c r="F1416" s="30" t="str">
        <f>STORAGE_BALANCE_ENSEMBLE!BU334</f>
        <v/>
      </c>
      <c r="G1416" s="30" t="str">
        <f>STORAGE_BALANCE_ENSEMBLE!BV334</f>
        <v/>
      </c>
      <c r="H1416" s="30" t="str">
        <f>STORAGE_BALANCE_ENSEMBLE!BT334</f>
        <v/>
      </c>
      <c r="I1416" s="18" t="str">
        <f t="shared" si="214"/>
        <v/>
      </c>
      <c r="J1416" s="8" t="str">
        <f t="shared" si="215"/>
        <v/>
      </c>
      <c r="K1416" s="9" t="str">
        <f t="shared" si="216"/>
        <v/>
      </c>
      <c r="L1416" s="10" t="str">
        <f t="shared" si="217"/>
        <v/>
      </c>
      <c r="M1416" s="10" t="str">
        <f>IF(I1416&lt;&gt;1,"",IF(H1416="","",H1416/CONTROL_PANEL!$B$11))</f>
        <v/>
      </c>
      <c r="N1416" s="9" t="str">
        <f t="shared" si="218"/>
        <v/>
      </c>
      <c r="O1416" s="9" t="str">
        <f t="shared" si="219"/>
        <v/>
      </c>
      <c r="P1416" s="9" t="str">
        <f t="shared" si="220"/>
        <v/>
      </c>
      <c r="Q1416" s="9" t="str">
        <f t="shared" si="221"/>
        <v/>
      </c>
      <c r="R1416" s="11"/>
      <c r="S1416" s="11" t="str">
        <f t="shared" si="222"/>
        <v>PASS</v>
      </c>
    </row>
    <row r="1417" spans="1:19" x14ac:dyDescent="0.25">
      <c r="A1417" s="30" t="s">
        <v>98</v>
      </c>
      <c r="B1417" s="31">
        <f t="shared" si="213"/>
        <v>52322</v>
      </c>
      <c r="C1417" s="30">
        <f>YEAR(BInputReservoir[[#This Row],[Date]])</f>
        <v>2043</v>
      </c>
      <c r="D1417" s="30">
        <f>MONTH(BInputReservoir[[#This Row],[Date]])</f>
        <v>4</v>
      </c>
      <c r="E1417" s="30" t="str">
        <f>IF(I1417&lt;&gt;1,"",DATA_INPUT!N335)</f>
        <v/>
      </c>
      <c r="F1417" s="30" t="str">
        <f>STORAGE_BALANCE_ENSEMBLE!BU335</f>
        <v/>
      </c>
      <c r="G1417" s="30" t="str">
        <f>STORAGE_BALANCE_ENSEMBLE!BV335</f>
        <v/>
      </c>
      <c r="H1417" s="30" t="str">
        <f>STORAGE_BALANCE_ENSEMBLE!BT335</f>
        <v/>
      </c>
      <c r="I1417" s="18" t="str">
        <f t="shared" si="214"/>
        <v/>
      </c>
      <c r="J1417" s="8" t="str">
        <f t="shared" si="215"/>
        <v/>
      </c>
      <c r="K1417" s="9" t="str">
        <f t="shared" si="216"/>
        <v/>
      </c>
      <c r="L1417" s="10" t="str">
        <f t="shared" si="217"/>
        <v/>
      </c>
      <c r="M1417" s="10" t="str">
        <f>IF(I1417&lt;&gt;1,"",IF(H1417="","",H1417/CONTROL_PANEL!$B$11))</f>
        <v/>
      </c>
      <c r="N1417" s="9" t="str">
        <f t="shared" si="218"/>
        <v/>
      </c>
      <c r="O1417" s="9" t="str">
        <f t="shared" si="219"/>
        <v/>
      </c>
      <c r="P1417" s="9" t="str">
        <f t="shared" si="220"/>
        <v/>
      </c>
      <c r="Q1417" s="9" t="str">
        <f t="shared" si="221"/>
        <v/>
      </c>
      <c r="R1417" s="11"/>
      <c r="S1417" s="11" t="str">
        <f t="shared" si="222"/>
        <v>PASS</v>
      </c>
    </row>
    <row r="1418" spans="1:19" x14ac:dyDescent="0.25">
      <c r="A1418" s="30" t="s">
        <v>98</v>
      </c>
      <c r="B1418" s="31">
        <f t="shared" si="213"/>
        <v>52352</v>
      </c>
      <c r="C1418" s="30">
        <f>YEAR(BInputReservoir[[#This Row],[Date]])</f>
        <v>2043</v>
      </c>
      <c r="D1418" s="30">
        <f>MONTH(BInputReservoir[[#This Row],[Date]])</f>
        <v>5</v>
      </c>
      <c r="E1418" s="30" t="str">
        <f>IF(I1418&lt;&gt;1,"",DATA_INPUT!N336)</f>
        <v/>
      </c>
      <c r="F1418" s="30" t="str">
        <f>STORAGE_BALANCE_ENSEMBLE!BU336</f>
        <v/>
      </c>
      <c r="G1418" s="30" t="str">
        <f>STORAGE_BALANCE_ENSEMBLE!BV336</f>
        <v/>
      </c>
      <c r="H1418" s="30" t="str">
        <f>STORAGE_BALANCE_ENSEMBLE!BT336</f>
        <v/>
      </c>
      <c r="I1418" s="18" t="str">
        <f t="shared" si="214"/>
        <v/>
      </c>
      <c r="J1418" s="8" t="str">
        <f t="shared" si="215"/>
        <v/>
      </c>
      <c r="K1418" s="9" t="str">
        <f t="shared" si="216"/>
        <v/>
      </c>
      <c r="L1418" s="10" t="str">
        <f t="shared" si="217"/>
        <v/>
      </c>
      <c r="M1418" s="10" t="str">
        <f>IF(I1418&lt;&gt;1,"",IF(H1418="","",H1418/CONTROL_PANEL!$B$11))</f>
        <v/>
      </c>
      <c r="N1418" s="9" t="str">
        <f t="shared" si="218"/>
        <v/>
      </c>
      <c r="O1418" s="9" t="str">
        <f t="shared" si="219"/>
        <v/>
      </c>
      <c r="P1418" s="9" t="str">
        <f t="shared" si="220"/>
        <v/>
      </c>
      <c r="Q1418" s="9" t="str">
        <f t="shared" si="221"/>
        <v/>
      </c>
      <c r="R1418" s="11"/>
      <c r="S1418" s="11" t="str">
        <f t="shared" si="222"/>
        <v>PASS</v>
      </c>
    </row>
    <row r="1419" spans="1:19" x14ac:dyDescent="0.25">
      <c r="A1419" s="30" t="s">
        <v>98</v>
      </c>
      <c r="B1419" s="31">
        <f t="shared" si="213"/>
        <v>52383</v>
      </c>
      <c r="C1419" s="30">
        <f>YEAR(BInputReservoir[[#This Row],[Date]])</f>
        <v>2043</v>
      </c>
      <c r="D1419" s="30">
        <f>MONTH(BInputReservoir[[#This Row],[Date]])</f>
        <v>6</v>
      </c>
      <c r="E1419" s="30" t="str">
        <f>IF(I1419&lt;&gt;1,"",DATA_INPUT!N337)</f>
        <v/>
      </c>
      <c r="F1419" s="30" t="str">
        <f>STORAGE_BALANCE_ENSEMBLE!BU337</f>
        <v/>
      </c>
      <c r="G1419" s="30" t="str">
        <f>STORAGE_BALANCE_ENSEMBLE!BV337</f>
        <v/>
      </c>
      <c r="H1419" s="30" t="str">
        <f>STORAGE_BALANCE_ENSEMBLE!BT337</f>
        <v/>
      </c>
      <c r="I1419" s="18" t="str">
        <f t="shared" si="214"/>
        <v/>
      </c>
      <c r="J1419" s="8" t="str">
        <f t="shared" si="215"/>
        <v/>
      </c>
      <c r="K1419" s="9" t="str">
        <f t="shared" si="216"/>
        <v/>
      </c>
      <c r="L1419" s="10" t="str">
        <f t="shared" si="217"/>
        <v/>
      </c>
      <c r="M1419" s="10" t="str">
        <f>IF(I1419&lt;&gt;1,"",IF(H1419="","",H1419/CONTROL_PANEL!$B$11))</f>
        <v/>
      </c>
      <c r="N1419" s="9" t="str">
        <f t="shared" si="218"/>
        <v/>
      </c>
      <c r="O1419" s="9" t="str">
        <f t="shared" si="219"/>
        <v/>
      </c>
      <c r="P1419" s="9" t="str">
        <f t="shared" si="220"/>
        <v/>
      </c>
      <c r="Q1419" s="9" t="str">
        <f t="shared" si="221"/>
        <v/>
      </c>
      <c r="R1419" s="11"/>
      <c r="S1419" s="11" t="str">
        <f t="shared" si="222"/>
        <v>PASS</v>
      </c>
    </row>
    <row r="1420" spans="1:19" x14ac:dyDescent="0.25">
      <c r="A1420" s="30" t="s">
        <v>98</v>
      </c>
      <c r="B1420" s="31">
        <f t="shared" si="213"/>
        <v>52413</v>
      </c>
      <c r="C1420" s="30">
        <f>YEAR(BInputReservoir[[#This Row],[Date]])</f>
        <v>2043</v>
      </c>
      <c r="D1420" s="30">
        <f>MONTH(BInputReservoir[[#This Row],[Date]])</f>
        <v>7</v>
      </c>
      <c r="E1420" s="30" t="str">
        <f>IF(I1420&lt;&gt;1,"",DATA_INPUT!N338)</f>
        <v/>
      </c>
      <c r="F1420" s="30" t="str">
        <f>STORAGE_BALANCE_ENSEMBLE!BU338</f>
        <v/>
      </c>
      <c r="G1420" s="30" t="str">
        <f>STORAGE_BALANCE_ENSEMBLE!BV338</f>
        <v/>
      </c>
      <c r="H1420" s="30" t="str">
        <f>STORAGE_BALANCE_ENSEMBLE!BT338</f>
        <v/>
      </c>
      <c r="I1420" s="18" t="str">
        <f t="shared" si="214"/>
        <v/>
      </c>
      <c r="J1420" s="8" t="str">
        <f t="shared" si="215"/>
        <v/>
      </c>
      <c r="K1420" s="9" t="str">
        <f t="shared" si="216"/>
        <v/>
      </c>
      <c r="L1420" s="10" t="str">
        <f t="shared" si="217"/>
        <v/>
      </c>
      <c r="M1420" s="10" t="str">
        <f>IF(I1420&lt;&gt;1,"",IF(H1420="","",H1420/CONTROL_PANEL!$B$11))</f>
        <v/>
      </c>
      <c r="N1420" s="9" t="str">
        <f t="shared" si="218"/>
        <v/>
      </c>
      <c r="O1420" s="9" t="str">
        <f t="shared" si="219"/>
        <v/>
      </c>
      <c r="P1420" s="9" t="str">
        <f t="shared" si="220"/>
        <v/>
      </c>
      <c r="Q1420" s="9" t="str">
        <f t="shared" si="221"/>
        <v/>
      </c>
      <c r="R1420" s="11"/>
      <c r="S1420" s="11" t="str">
        <f t="shared" si="222"/>
        <v>PASS</v>
      </c>
    </row>
    <row r="1421" spans="1:19" x14ac:dyDescent="0.25">
      <c r="A1421" s="30" t="s">
        <v>98</v>
      </c>
      <c r="B1421" s="31">
        <f t="shared" si="213"/>
        <v>52444</v>
      </c>
      <c r="C1421" s="30">
        <f>YEAR(BInputReservoir[[#This Row],[Date]])</f>
        <v>2043</v>
      </c>
      <c r="D1421" s="30">
        <f>MONTH(BInputReservoir[[#This Row],[Date]])</f>
        <v>8</v>
      </c>
      <c r="E1421" s="30" t="str">
        <f>IF(I1421&lt;&gt;1,"",DATA_INPUT!N339)</f>
        <v/>
      </c>
      <c r="F1421" s="30" t="str">
        <f>STORAGE_BALANCE_ENSEMBLE!BU339</f>
        <v/>
      </c>
      <c r="G1421" s="30" t="str">
        <f>STORAGE_BALANCE_ENSEMBLE!BV339</f>
        <v/>
      </c>
      <c r="H1421" s="30" t="str">
        <f>STORAGE_BALANCE_ENSEMBLE!BT339</f>
        <v/>
      </c>
      <c r="I1421" s="18" t="str">
        <f t="shared" si="214"/>
        <v/>
      </c>
      <c r="J1421" s="8" t="str">
        <f t="shared" si="215"/>
        <v/>
      </c>
      <c r="K1421" s="9" t="str">
        <f t="shared" si="216"/>
        <v/>
      </c>
      <c r="L1421" s="10" t="str">
        <f t="shared" si="217"/>
        <v/>
      </c>
      <c r="M1421" s="10" t="str">
        <f>IF(I1421&lt;&gt;1,"",IF(H1421="","",H1421/CONTROL_PANEL!$B$11))</f>
        <v/>
      </c>
      <c r="N1421" s="9" t="str">
        <f t="shared" si="218"/>
        <v/>
      </c>
      <c r="O1421" s="9" t="str">
        <f t="shared" si="219"/>
        <v/>
      </c>
      <c r="P1421" s="9" t="str">
        <f t="shared" si="220"/>
        <v/>
      </c>
      <c r="Q1421" s="9" t="str">
        <f t="shared" si="221"/>
        <v/>
      </c>
      <c r="R1421" s="11"/>
      <c r="S1421" s="11" t="str">
        <f t="shared" si="222"/>
        <v>PASS</v>
      </c>
    </row>
    <row r="1422" spans="1:19" x14ac:dyDescent="0.25">
      <c r="A1422" s="30" t="s">
        <v>98</v>
      </c>
      <c r="B1422" s="31">
        <f t="shared" si="213"/>
        <v>52475</v>
      </c>
      <c r="C1422" s="30">
        <f>YEAR(BInputReservoir[[#This Row],[Date]])</f>
        <v>2043</v>
      </c>
      <c r="D1422" s="30">
        <f>MONTH(BInputReservoir[[#This Row],[Date]])</f>
        <v>9</v>
      </c>
      <c r="E1422" s="30" t="str">
        <f>IF(I1422&lt;&gt;1,"",DATA_INPUT!N340)</f>
        <v/>
      </c>
      <c r="F1422" s="30" t="str">
        <f>STORAGE_BALANCE_ENSEMBLE!BU340</f>
        <v/>
      </c>
      <c r="G1422" s="30" t="str">
        <f>STORAGE_BALANCE_ENSEMBLE!BV340</f>
        <v/>
      </c>
      <c r="H1422" s="30" t="str">
        <f>STORAGE_BALANCE_ENSEMBLE!BT340</f>
        <v/>
      </c>
      <c r="I1422" s="18" t="str">
        <f t="shared" si="214"/>
        <v/>
      </c>
      <c r="J1422" s="8" t="str">
        <f t="shared" si="215"/>
        <v/>
      </c>
      <c r="K1422" s="9" t="str">
        <f t="shared" si="216"/>
        <v/>
      </c>
      <c r="L1422" s="10" t="str">
        <f t="shared" si="217"/>
        <v/>
      </c>
      <c r="M1422" s="10" t="str">
        <f>IF(I1422&lt;&gt;1,"",IF(H1422="","",H1422/CONTROL_PANEL!$B$11))</f>
        <v/>
      </c>
      <c r="N1422" s="9" t="str">
        <f t="shared" si="218"/>
        <v/>
      </c>
      <c r="O1422" s="9" t="str">
        <f t="shared" si="219"/>
        <v/>
      </c>
      <c r="P1422" s="9" t="str">
        <f t="shared" si="220"/>
        <v/>
      </c>
      <c r="Q1422" s="9" t="str">
        <f t="shared" si="221"/>
        <v/>
      </c>
      <c r="R1422" s="11"/>
      <c r="S1422" s="11" t="str">
        <f t="shared" si="222"/>
        <v>PASS</v>
      </c>
    </row>
    <row r="1423" spans="1:19" x14ac:dyDescent="0.25">
      <c r="A1423" s="30" t="s">
        <v>98</v>
      </c>
      <c r="B1423" s="31">
        <f t="shared" si="213"/>
        <v>52505</v>
      </c>
      <c r="C1423" s="30">
        <f>YEAR(BInputReservoir[[#This Row],[Date]])</f>
        <v>2043</v>
      </c>
      <c r="D1423" s="30">
        <f>MONTH(BInputReservoir[[#This Row],[Date]])</f>
        <v>10</v>
      </c>
      <c r="E1423" s="30" t="str">
        <f>IF(I1423&lt;&gt;1,"",DATA_INPUT!N341)</f>
        <v/>
      </c>
      <c r="F1423" s="30" t="str">
        <f>STORAGE_BALANCE_ENSEMBLE!BU341</f>
        <v/>
      </c>
      <c r="G1423" s="30" t="str">
        <f>STORAGE_BALANCE_ENSEMBLE!BV341</f>
        <v/>
      </c>
      <c r="H1423" s="30" t="str">
        <f>STORAGE_BALANCE_ENSEMBLE!BT341</f>
        <v/>
      </c>
      <c r="I1423" s="18" t="str">
        <f t="shared" si="214"/>
        <v/>
      </c>
      <c r="J1423" s="8" t="str">
        <f t="shared" si="215"/>
        <v/>
      </c>
      <c r="K1423" s="9" t="str">
        <f t="shared" si="216"/>
        <v/>
      </c>
      <c r="L1423" s="10" t="str">
        <f t="shared" si="217"/>
        <v/>
      </c>
      <c r="M1423" s="10" t="str">
        <f>IF(I1423&lt;&gt;1,"",IF(H1423="","",H1423/CONTROL_PANEL!$B$11))</f>
        <v/>
      </c>
      <c r="N1423" s="9" t="str">
        <f t="shared" si="218"/>
        <v/>
      </c>
      <c r="O1423" s="9" t="str">
        <f t="shared" si="219"/>
        <v/>
      </c>
      <c r="P1423" s="9" t="str">
        <f t="shared" si="220"/>
        <v/>
      </c>
      <c r="Q1423" s="9" t="str">
        <f t="shared" si="221"/>
        <v/>
      </c>
      <c r="R1423" s="11"/>
      <c r="S1423" s="11" t="str">
        <f t="shared" si="222"/>
        <v>PASS</v>
      </c>
    </row>
    <row r="1424" spans="1:19" x14ac:dyDescent="0.25">
      <c r="A1424" s="30" t="s">
        <v>98</v>
      </c>
      <c r="B1424" s="31">
        <f t="shared" si="213"/>
        <v>52536</v>
      </c>
      <c r="C1424" s="30">
        <f>YEAR(BInputReservoir[[#This Row],[Date]])</f>
        <v>2043</v>
      </c>
      <c r="D1424" s="30">
        <f>MONTH(BInputReservoir[[#This Row],[Date]])</f>
        <v>11</v>
      </c>
      <c r="E1424" s="30" t="str">
        <f>IF(I1424&lt;&gt;1,"",DATA_INPUT!N342)</f>
        <v/>
      </c>
      <c r="F1424" s="30" t="str">
        <f>STORAGE_BALANCE_ENSEMBLE!BU342</f>
        <v/>
      </c>
      <c r="G1424" s="30" t="str">
        <f>STORAGE_BALANCE_ENSEMBLE!BV342</f>
        <v/>
      </c>
      <c r="H1424" s="30" t="str">
        <f>STORAGE_BALANCE_ENSEMBLE!BT342</f>
        <v/>
      </c>
      <c r="I1424" s="18" t="str">
        <f t="shared" si="214"/>
        <v/>
      </c>
      <c r="J1424" s="8" t="str">
        <f t="shared" si="215"/>
        <v/>
      </c>
      <c r="K1424" s="9" t="str">
        <f t="shared" si="216"/>
        <v/>
      </c>
      <c r="L1424" s="10" t="str">
        <f t="shared" si="217"/>
        <v/>
      </c>
      <c r="M1424" s="10" t="str">
        <f>IF(I1424&lt;&gt;1,"",IF(H1424="","",H1424/CONTROL_PANEL!$B$11))</f>
        <v/>
      </c>
      <c r="N1424" s="9" t="str">
        <f t="shared" si="218"/>
        <v/>
      </c>
      <c r="O1424" s="9" t="str">
        <f t="shared" si="219"/>
        <v/>
      </c>
      <c r="P1424" s="9" t="str">
        <f t="shared" si="220"/>
        <v/>
      </c>
      <c r="Q1424" s="9" t="str">
        <f t="shared" si="221"/>
        <v/>
      </c>
      <c r="R1424" s="11"/>
      <c r="S1424" s="11" t="str">
        <f t="shared" si="222"/>
        <v>PASS</v>
      </c>
    </row>
    <row r="1425" spans="1:19" x14ac:dyDescent="0.25">
      <c r="A1425" s="30" t="s">
        <v>98</v>
      </c>
      <c r="B1425" s="31">
        <f t="shared" si="213"/>
        <v>52566</v>
      </c>
      <c r="C1425" s="30">
        <f>YEAR(BInputReservoir[[#This Row],[Date]])</f>
        <v>2043</v>
      </c>
      <c r="D1425" s="30">
        <f>MONTH(BInputReservoir[[#This Row],[Date]])</f>
        <v>12</v>
      </c>
      <c r="E1425" s="30" t="str">
        <f>IF(I1425&lt;&gt;1,"",DATA_INPUT!N343)</f>
        <v/>
      </c>
      <c r="F1425" s="30" t="str">
        <f>STORAGE_BALANCE_ENSEMBLE!BU343</f>
        <v/>
      </c>
      <c r="G1425" s="30" t="str">
        <f>STORAGE_BALANCE_ENSEMBLE!BV343</f>
        <v/>
      </c>
      <c r="H1425" s="30" t="str">
        <f>STORAGE_BALANCE_ENSEMBLE!BT343</f>
        <v/>
      </c>
      <c r="I1425" s="18" t="str">
        <f t="shared" si="214"/>
        <v/>
      </c>
      <c r="J1425" s="8" t="str">
        <f t="shared" si="215"/>
        <v/>
      </c>
      <c r="K1425" s="9" t="str">
        <f t="shared" si="216"/>
        <v/>
      </c>
      <c r="L1425" s="10" t="str">
        <f t="shared" si="217"/>
        <v/>
      </c>
      <c r="M1425" s="10" t="str">
        <f>IF(I1425&lt;&gt;1,"",IF(H1425="","",H1425/CONTROL_PANEL!$B$11))</f>
        <v/>
      </c>
      <c r="N1425" s="9" t="str">
        <f t="shared" si="218"/>
        <v/>
      </c>
      <c r="O1425" s="9" t="str">
        <f t="shared" si="219"/>
        <v/>
      </c>
      <c r="P1425" s="9" t="str">
        <f t="shared" si="220"/>
        <v/>
      </c>
      <c r="Q1425" s="9" t="str">
        <f t="shared" si="221"/>
        <v/>
      </c>
      <c r="R1425" s="11"/>
      <c r="S1425" s="11" t="str">
        <f t="shared" si="222"/>
        <v>PASS</v>
      </c>
    </row>
    <row r="1426" spans="1:19" x14ac:dyDescent="0.25">
      <c r="A1426" s="30" t="s">
        <v>98</v>
      </c>
      <c r="B1426" s="31">
        <f t="shared" si="213"/>
        <v>52597</v>
      </c>
      <c r="C1426" s="30">
        <f>YEAR(BInputReservoir[[#This Row],[Date]])</f>
        <v>2044</v>
      </c>
      <c r="D1426" s="30">
        <f>MONTH(BInputReservoir[[#This Row],[Date]])</f>
        <v>1</v>
      </c>
      <c r="E1426" s="30" t="str">
        <f>IF(I1426&lt;&gt;1,"",DATA_INPUT!N344)</f>
        <v/>
      </c>
      <c r="F1426" s="30" t="str">
        <f>STORAGE_BALANCE_ENSEMBLE!BU344</f>
        <v/>
      </c>
      <c r="G1426" s="30" t="str">
        <f>STORAGE_BALANCE_ENSEMBLE!BV344</f>
        <v/>
      </c>
      <c r="H1426" s="30" t="str">
        <f>STORAGE_BALANCE_ENSEMBLE!BT344</f>
        <v/>
      </c>
      <c r="I1426" s="18" t="str">
        <f t="shared" si="214"/>
        <v/>
      </c>
      <c r="J1426" s="8" t="str">
        <f t="shared" si="215"/>
        <v/>
      </c>
      <c r="K1426" s="9" t="str">
        <f t="shared" si="216"/>
        <v/>
      </c>
      <c r="L1426" s="10" t="str">
        <f t="shared" si="217"/>
        <v/>
      </c>
      <c r="M1426" s="10" t="str">
        <f>IF(I1426&lt;&gt;1,"",IF(H1426="","",H1426/CONTROL_PANEL!$B$11))</f>
        <v/>
      </c>
      <c r="N1426" s="9" t="str">
        <f t="shared" si="218"/>
        <v/>
      </c>
      <c r="O1426" s="9" t="str">
        <f t="shared" si="219"/>
        <v/>
      </c>
      <c r="P1426" s="9" t="str">
        <f t="shared" si="220"/>
        <v/>
      </c>
      <c r="Q1426" s="9" t="str">
        <f t="shared" si="221"/>
        <v/>
      </c>
      <c r="R1426" s="11"/>
      <c r="S1426" s="11" t="str">
        <f t="shared" si="222"/>
        <v>PASS</v>
      </c>
    </row>
    <row r="1427" spans="1:19" x14ac:dyDescent="0.25">
      <c r="A1427" s="30" t="s">
        <v>98</v>
      </c>
      <c r="B1427" s="31">
        <f t="shared" si="213"/>
        <v>52628</v>
      </c>
      <c r="C1427" s="30">
        <f>YEAR(BInputReservoir[[#This Row],[Date]])</f>
        <v>2044</v>
      </c>
      <c r="D1427" s="30">
        <f>MONTH(BInputReservoir[[#This Row],[Date]])</f>
        <v>2</v>
      </c>
      <c r="E1427" s="30" t="str">
        <f>IF(I1427&lt;&gt;1,"",DATA_INPUT!N345)</f>
        <v/>
      </c>
      <c r="F1427" s="30" t="str">
        <f>STORAGE_BALANCE_ENSEMBLE!BU345</f>
        <v/>
      </c>
      <c r="G1427" s="30" t="str">
        <f>STORAGE_BALANCE_ENSEMBLE!BV345</f>
        <v/>
      </c>
      <c r="H1427" s="30" t="str">
        <f>STORAGE_BALANCE_ENSEMBLE!BT345</f>
        <v/>
      </c>
      <c r="I1427" s="18" t="str">
        <f t="shared" si="214"/>
        <v/>
      </c>
      <c r="J1427" s="8" t="str">
        <f t="shared" si="215"/>
        <v/>
      </c>
      <c r="K1427" s="9" t="str">
        <f t="shared" si="216"/>
        <v/>
      </c>
      <c r="L1427" s="10" t="str">
        <f t="shared" si="217"/>
        <v/>
      </c>
      <c r="M1427" s="10" t="str">
        <f>IF(I1427&lt;&gt;1,"",IF(H1427="","",H1427/CONTROL_PANEL!$B$11))</f>
        <v/>
      </c>
      <c r="N1427" s="9" t="str">
        <f t="shared" si="218"/>
        <v/>
      </c>
      <c r="O1427" s="9" t="str">
        <f t="shared" si="219"/>
        <v/>
      </c>
      <c r="P1427" s="9" t="str">
        <f t="shared" si="220"/>
        <v/>
      </c>
      <c r="Q1427" s="9" t="str">
        <f t="shared" si="221"/>
        <v/>
      </c>
      <c r="R1427" s="11"/>
      <c r="S1427" s="11" t="str">
        <f t="shared" si="222"/>
        <v>PASS</v>
      </c>
    </row>
    <row r="1428" spans="1:19" x14ac:dyDescent="0.25">
      <c r="A1428" s="30" t="s">
        <v>98</v>
      </c>
      <c r="B1428" s="31">
        <f t="shared" si="213"/>
        <v>52657</v>
      </c>
      <c r="C1428" s="30">
        <f>YEAR(BInputReservoir[[#This Row],[Date]])</f>
        <v>2044</v>
      </c>
      <c r="D1428" s="30">
        <f>MONTH(BInputReservoir[[#This Row],[Date]])</f>
        <v>3</v>
      </c>
      <c r="E1428" s="30" t="str">
        <f>IF(I1428&lt;&gt;1,"",DATA_INPUT!N346)</f>
        <v/>
      </c>
      <c r="F1428" s="30" t="str">
        <f>STORAGE_BALANCE_ENSEMBLE!BU346</f>
        <v/>
      </c>
      <c r="G1428" s="30" t="str">
        <f>STORAGE_BALANCE_ENSEMBLE!BV346</f>
        <v/>
      </c>
      <c r="H1428" s="30" t="str">
        <f>STORAGE_BALANCE_ENSEMBLE!BT346</f>
        <v/>
      </c>
      <c r="I1428" s="18" t="str">
        <f t="shared" si="214"/>
        <v/>
      </c>
      <c r="J1428" s="8" t="str">
        <f t="shared" si="215"/>
        <v/>
      </c>
      <c r="K1428" s="9" t="str">
        <f t="shared" si="216"/>
        <v/>
      </c>
      <c r="L1428" s="10" t="str">
        <f t="shared" si="217"/>
        <v/>
      </c>
      <c r="M1428" s="10" t="str">
        <f>IF(I1428&lt;&gt;1,"",IF(H1428="","",H1428/CONTROL_PANEL!$B$11))</f>
        <v/>
      </c>
      <c r="N1428" s="9" t="str">
        <f t="shared" si="218"/>
        <v/>
      </c>
      <c r="O1428" s="9" t="str">
        <f t="shared" si="219"/>
        <v/>
      </c>
      <c r="P1428" s="9" t="str">
        <f t="shared" si="220"/>
        <v/>
      </c>
      <c r="Q1428" s="9" t="str">
        <f t="shared" si="221"/>
        <v/>
      </c>
      <c r="R1428" s="11"/>
      <c r="S1428" s="11" t="str">
        <f t="shared" si="222"/>
        <v>PASS</v>
      </c>
    </row>
    <row r="1429" spans="1:19" x14ac:dyDescent="0.25">
      <c r="A1429" s="30" t="s">
        <v>98</v>
      </c>
      <c r="B1429" s="31">
        <f t="shared" si="213"/>
        <v>52688</v>
      </c>
      <c r="C1429" s="30">
        <f>YEAR(BInputReservoir[[#This Row],[Date]])</f>
        <v>2044</v>
      </c>
      <c r="D1429" s="30">
        <f>MONTH(BInputReservoir[[#This Row],[Date]])</f>
        <v>4</v>
      </c>
      <c r="E1429" s="30" t="str">
        <f>IF(I1429&lt;&gt;1,"",DATA_INPUT!N347)</f>
        <v/>
      </c>
      <c r="F1429" s="30" t="str">
        <f>STORAGE_BALANCE_ENSEMBLE!BU347</f>
        <v/>
      </c>
      <c r="G1429" s="30" t="str">
        <f>STORAGE_BALANCE_ENSEMBLE!BV347</f>
        <v/>
      </c>
      <c r="H1429" s="30" t="str">
        <f>STORAGE_BALANCE_ENSEMBLE!BT347</f>
        <v/>
      </c>
      <c r="I1429" s="18" t="str">
        <f t="shared" si="214"/>
        <v/>
      </c>
      <c r="J1429" s="8" t="str">
        <f t="shared" si="215"/>
        <v/>
      </c>
      <c r="K1429" s="9" t="str">
        <f t="shared" si="216"/>
        <v/>
      </c>
      <c r="L1429" s="10" t="str">
        <f t="shared" si="217"/>
        <v/>
      </c>
      <c r="M1429" s="10" t="str">
        <f>IF(I1429&lt;&gt;1,"",IF(H1429="","",H1429/CONTROL_PANEL!$B$11))</f>
        <v/>
      </c>
      <c r="N1429" s="9" t="str">
        <f t="shared" si="218"/>
        <v/>
      </c>
      <c r="O1429" s="9" t="str">
        <f t="shared" si="219"/>
        <v/>
      </c>
      <c r="P1429" s="9" t="str">
        <f t="shared" si="220"/>
        <v/>
      </c>
      <c r="Q1429" s="9" t="str">
        <f t="shared" si="221"/>
        <v/>
      </c>
      <c r="R1429" s="11"/>
      <c r="S1429" s="11" t="str">
        <f t="shared" si="222"/>
        <v>PASS</v>
      </c>
    </row>
    <row r="1430" spans="1:19" x14ac:dyDescent="0.25">
      <c r="A1430" s="30" t="s">
        <v>98</v>
      </c>
      <c r="B1430" s="31">
        <f t="shared" si="213"/>
        <v>52718</v>
      </c>
      <c r="C1430" s="30">
        <f>YEAR(BInputReservoir[[#This Row],[Date]])</f>
        <v>2044</v>
      </c>
      <c r="D1430" s="30">
        <f>MONTH(BInputReservoir[[#This Row],[Date]])</f>
        <v>5</v>
      </c>
      <c r="E1430" s="30" t="str">
        <f>IF(I1430&lt;&gt;1,"",DATA_INPUT!N348)</f>
        <v/>
      </c>
      <c r="F1430" s="30" t="str">
        <f>STORAGE_BALANCE_ENSEMBLE!BU348</f>
        <v/>
      </c>
      <c r="G1430" s="30" t="str">
        <f>STORAGE_BALANCE_ENSEMBLE!BV348</f>
        <v/>
      </c>
      <c r="H1430" s="30" t="str">
        <f>STORAGE_BALANCE_ENSEMBLE!BT348</f>
        <v/>
      </c>
      <c r="I1430" s="18" t="str">
        <f t="shared" si="214"/>
        <v/>
      </c>
      <c r="J1430" s="8" t="str">
        <f t="shared" si="215"/>
        <v/>
      </c>
      <c r="K1430" s="9" t="str">
        <f t="shared" si="216"/>
        <v/>
      </c>
      <c r="L1430" s="10" t="str">
        <f t="shared" si="217"/>
        <v/>
      </c>
      <c r="M1430" s="10" t="str">
        <f>IF(I1430&lt;&gt;1,"",IF(H1430="","",H1430/CONTROL_PANEL!$B$11))</f>
        <v/>
      </c>
      <c r="N1430" s="9" t="str">
        <f t="shared" si="218"/>
        <v/>
      </c>
      <c r="O1430" s="9" t="str">
        <f t="shared" si="219"/>
        <v/>
      </c>
      <c r="P1430" s="9" t="str">
        <f t="shared" si="220"/>
        <v/>
      </c>
      <c r="Q1430" s="9" t="str">
        <f t="shared" si="221"/>
        <v/>
      </c>
      <c r="R1430" s="11"/>
      <c r="S1430" s="11" t="str">
        <f t="shared" si="222"/>
        <v>PASS</v>
      </c>
    </row>
    <row r="1431" spans="1:19" x14ac:dyDescent="0.25">
      <c r="A1431" s="30" t="s">
        <v>98</v>
      </c>
      <c r="B1431" s="31">
        <f t="shared" si="213"/>
        <v>52749</v>
      </c>
      <c r="C1431" s="30">
        <f>YEAR(BInputReservoir[[#This Row],[Date]])</f>
        <v>2044</v>
      </c>
      <c r="D1431" s="30">
        <f>MONTH(BInputReservoir[[#This Row],[Date]])</f>
        <v>6</v>
      </c>
      <c r="E1431" s="30" t="str">
        <f>IF(I1431&lt;&gt;1,"",DATA_INPUT!N349)</f>
        <v/>
      </c>
      <c r="F1431" s="30" t="str">
        <f>STORAGE_BALANCE_ENSEMBLE!BU349</f>
        <v/>
      </c>
      <c r="G1431" s="30" t="str">
        <f>STORAGE_BALANCE_ENSEMBLE!BV349</f>
        <v/>
      </c>
      <c r="H1431" s="30" t="str">
        <f>STORAGE_BALANCE_ENSEMBLE!BT349</f>
        <v/>
      </c>
      <c r="I1431" s="18" t="str">
        <f t="shared" si="214"/>
        <v/>
      </c>
      <c r="J1431" s="8" t="str">
        <f t="shared" si="215"/>
        <v/>
      </c>
      <c r="K1431" s="9" t="str">
        <f t="shared" si="216"/>
        <v/>
      </c>
      <c r="L1431" s="10" t="str">
        <f t="shared" si="217"/>
        <v/>
      </c>
      <c r="M1431" s="10" t="str">
        <f>IF(I1431&lt;&gt;1,"",IF(H1431="","",H1431/CONTROL_PANEL!$B$11))</f>
        <v/>
      </c>
      <c r="N1431" s="9" t="str">
        <f t="shared" si="218"/>
        <v/>
      </c>
      <c r="O1431" s="9" t="str">
        <f t="shared" si="219"/>
        <v/>
      </c>
      <c r="P1431" s="9" t="str">
        <f t="shared" si="220"/>
        <v/>
      </c>
      <c r="Q1431" s="9" t="str">
        <f t="shared" si="221"/>
        <v/>
      </c>
      <c r="R1431" s="11"/>
      <c r="S1431" s="11" t="str">
        <f t="shared" si="222"/>
        <v>PASS</v>
      </c>
    </row>
    <row r="1432" spans="1:19" x14ac:dyDescent="0.25">
      <c r="A1432" s="30" t="s">
        <v>98</v>
      </c>
      <c r="B1432" s="31">
        <f t="shared" si="213"/>
        <v>52779</v>
      </c>
      <c r="C1432" s="30">
        <f>YEAR(BInputReservoir[[#This Row],[Date]])</f>
        <v>2044</v>
      </c>
      <c r="D1432" s="30">
        <f>MONTH(BInputReservoir[[#This Row],[Date]])</f>
        <v>7</v>
      </c>
      <c r="E1432" s="30" t="str">
        <f>IF(I1432&lt;&gt;1,"",DATA_INPUT!N350)</f>
        <v/>
      </c>
      <c r="F1432" s="30" t="str">
        <f>STORAGE_BALANCE_ENSEMBLE!BU350</f>
        <v/>
      </c>
      <c r="G1432" s="30" t="str">
        <f>STORAGE_BALANCE_ENSEMBLE!BV350</f>
        <v/>
      </c>
      <c r="H1432" s="30" t="str">
        <f>STORAGE_BALANCE_ENSEMBLE!BT350</f>
        <v/>
      </c>
      <c r="I1432" s="18" t="str">
        <f t="shared" si="214"/>
        <v/>
      </c>
      <c r="J1432" s="8" t="str">
        <f t="shared" si="215"/>
        <v/>
      </c>
      <c r="K1432" s="9" t="str">
        <f t="shared" si="216"/>
        <v/>
      </c>
      <c r="L1432" s="10" t="str">
        <f t="shared" si="217"/>
        <v/>
      </c>
      <c r="M1432" s="10" t="str">
        <f>IF(I1432&lt;&gt;1,"",IF(H1432="","",H1432/CONTROL_PANEL!$B$11))</f>
        <v/>
      </c>
      <c r="N1432" s="9" t="str">
        <f t="shared" si="218"/>
        <v/>
      </c>
      <c r="O1432" s="9" t="str">
        <f t="shared" si="219"/>
        <v/>
      </c>
      <c r="P1432" s="9" t="str">
        <f t="shared" si="220"/>
        <v/>
      </c>
      <c r="Q1432" s="9" t="str">
        <f t="shared" si="221"/>
        <v/>
      </c>
      <c r="R1432" s="11"/>
      <c r="S1432" s="11" t="str">
        <f t="shared" si="222"/>
        <v>PASS</v>
      </c>
    </row>
    <row r="1433" spans="1:19" x14ac:dyDescent="0.25">
      <c r="A1433" s="30" t="s">
        <v>98</v>
      </c>
      <c r="B1433" s="31">
        <f t="shared" si="213"/>
        <v>52810</v>
      </c>
      <c r="C1433" s="30">
        <f>YEAR(BInputReservoir[[#This Row],[Date]])</f>
        <v>2044</v>
      </c>
      <c r="D1433" s="30">
        <f>MONTH(BInputReservoir[[#This Row],[Date]])</f>
        <v>8</v>
      </c>
      <c r="E1433" s="30" t="str">
        <f>IF(I1433&lt;&gt;1,"",DATA_INPUT!N351)</f>
        <v/>
      </c>
      <c r="F1433" s="30" t="str">
        <f>STORAGE_BALANCE_ENSEMBLE!BU351</f>
        <v/>
      </c>
      <c r="G1433" s="30" t="str">
        <f>STORAGE_BALANCE_ENSEMBLE!BV351</f>
        <v/>
      </c>
      <c r="H1433" s="30" t="str">
        <f>STORAGE_BALANCE_ENSEMBLE!BT351</f>
        <v/>
      </c>
      <c r="I1433" s="18" t="str">
        <f t="shared" si="214"/>
        <v/>
      </c>
      <c r="J1433" s="8" t="str">
        <f t="shared" si="215"/>
        <v/>
      </c>
      <c r="K1433" s="9" t="str">
        <f t="shared" si="216"/>
        <v/>
      </c>
      <c r="L1433" s="10" t="str">
        <f t="shared" si="217"/>
        <v/>
      </c>
      <c r="M1433" s="10" t="str">
        <f>IF(I1433&lt;&gt;1,"",IF(H1433="","",H1433/CONTROL_PANEL!$B$11))</f>
        <v/>
      </c>
      <c r="N1433" s="9" t="str">
        <f t="shared" si="218"/>
        <v/>
      </c>
      <c r="O1433" s="9" t="str">
        <f t="shared" si="219"/>
        <v/>
      </c>
      <c r="P1433" s="9" t="str">
        <f t="shared" si="220"/>
        <v/>
      </c>
      <c r="Q1433" s="9" t="str">
        <f t="shared" si="221"/>
        <v/>
      </c>
      <c r="R1433" s="11"/>
      <c r="S1433" s="11" t="str">
        <f t="shared" si="222"/>
        <v>PASS</v>
      </c>
    </row>
    <row r="1434" spans="1:19" x14ac:dyDescent="0.25">
      <c r="A1434" s="30" t="s">
        <v>98</v>
      </c>
      <c r="B1434" s="31">
        <f t="shared" si="213"/>
        <v>52841</v>
      </c>
      <c r="C1434" s="30">
        <f>YEAR(BInputReservoir[[#This Row],[Date]])</f>
        <v>2044</v>
      </c>
      <c r="D1434" s="30">
        <f>MONTH(BInputReservoir[[#This Row],[Date]])</f>
        <v>9</v>
      </c>
      <c r="E1434" s="30" t="str">
        <f>IF(I1434&lt;&gt;1,"",DATA_INPUT!N352)</f>
        <v/>
      </c>
      <c r="F1434" s="30" t="str">
        <f>STORAGE_BALANCE_ENSEMBLE!BU352</f>
        <v/>
      </c>
      <c r="G1434" s="30" t="str">
        <f>STORAGE_BALANCE_ENSEMBLE!BV352</f>
        <v/>
      </c>
      <c r="H1434" s="30" t="str">
        <f>STORAGE_BALANCE_ENSEMBLE!BT352</f>
        <v/>
      </c>
      <c r="I1434" s="18" t="str">
        <f t="shared" si="214"/>
        <v/>
      </c>
      <c r="J1434" s="8" t="str">
        <f t="shared" si="215"/>
        <v/>
      </c>
      <c r="K1434" s="9" t="str">
        <f t="shared" si="216"/>
        <v/>
      </c>
      <c r="L1434" s="10" t="str">
        <f t="shared" si="217"/>
        <v/>
      </c>
      <c r="M1434" s="10" t="str">
        <f>IF(I1434&lt;&gt;1,"",IF(H1434="","",H1434/CONTROL_PANEL!$B$11))</f>
        <v/>
      </c>
      <c r="N1434" s="9" t="str">
        <f t="shared" si="218"/>
        <v/>
      </c>
      <c r="O1434" s="9" t="str">
        <f t="shared" si="219"/>
        <v/>
      </c>
      <c r="P1434" s="9" t="str">
        <f t="shared" si="220"/>
        <v/>
      </c>
      <c r="Q1434" s="9" t="str">
        <f t="shared" si="221"/>
        <v/>
      </c>
      <c r="R1434" s="11"/>
      <c r="S1434" s="11" t="str">
        <f t="shared" si="222"/>
        <v>PASS</v>
      </c>
    </row>
    <row r="1435" spans="1:19" x14ac:dyDescent="0.25">
      <c r="A1435" s="30" t="s">
        <v>98</v>
      </c>
      <c r="B1435" s="31">
        <f t="shared" si="213"/>
        <v>52871</v>
      </c>
      <c r="C1435" s="30">
        <f>YEAR(BInputReservoir[[#This Row],[Date]])</f>
        <v>2044</v>
      </c>
      <c r="D1435" s="30">
        <f>MONTH(BInputReservoir[[#This Row],[Date]])</f>
        <v>10</v>
      </c>
      <c r="E1435" s="30" t="str">
        <f>IF(I1435&lt;&gt;1,"",DATA_INPUT!N353)</f>
        <v/>
      </c>
      <c r="F1435" s="30" t="str">
        <f>STORAGE_BALANCE_ENSEMBLE!BU353</f>
        <v/>
      </c>
      <c r="G1435" s="30" t="str">
        <f>STORAGE_BALANCE_ENSEMBLE!BV353</f>
        <v/>
      </c>
      <c r="H1435" s="30" t="str">
        <f>STORAGE_BALANCE_ENSEMBLE!BT353</f>
        <v/>
      </c>
      <c r="I1435" s="18" t="str">
        <f t="shared" si="214"/>
        <v/>
      </c>
      <c r="J1435" s="8" t="str">
        <f t="shared" si="215"/>
        <v/>
      </c>
      <c r="K1435" s="9" t="str">
        <f t="shared" si="216"/>
        <v/>
      </c>
      <c r="L1435" s="10" t="str">
        <f t="shared" si="217"/>
        <v/>
      </c>
      <c r="M1435" s="10" t="str">
        <f>IF(I1435&lt;&gt;1,"",IF(H1435="","",H1435/CONTROL_PANEL!$B$11))</f>
        <v/>
      </c>
      <c r="N1435" s="9" t="str">
        <f t="shared" si="218"/>
        <v/>
      </c>
      <c r="O1435" s="9" t="str">
        <f t="shared" si="219"/>
        <v/>
      </c>
      <c r="P1435" s="9" t="str">
        <f t="shared" si="220"/>
        <v/>
      </c>
      <c r="Q1435" s="9" t="str">
        <f t="shared" si="221"/>
        <v/>
      </c>
      <c r="R1435" s="11"/>
      <c r="S1435" s="11" t="str">
        <f t="shared" si="222"/>
        <v>PASS</v>
      </c>
    </row>
    <row r="1436" spans="1:19" x14ac:dyDescent="0.25">
      <c r="A1436" s="30" t="s">
        <v>98</v>
      </c>
      <c r="B1436" s="31">
        <f t="shared" si="213"/>
        <v>52902</v>
      </c>
      <c r="C1436" s="30">
        <f>YEAR(BInputReservoir[[#This Row],[Date]])</f>
        <v>2044</v>
      </c>
      <c r="D1436" s="30">
        <f>MONTH(BInputReservoir[[#This Row],[Date]])</f>
        <v>11</v>
      </c>
      <c r="E1436" s="30" t="str">
        <f>IF(I1436&lt;&gt;1,"",DATA_INPUT!N354)</f>
        <v/>
      </c>
      <c r="F1436" s="30" t="str">
        <f>STORAGE_BALANCE_ENSEMBLE!BU354</f>
        <v/>
      </c>
      <c r="G1436" s="30" t="str">
        <f>STORAGE_BALANCE_ENSEMBLE!BV354</f>
        <v/>
      </c>
      <c r="H1436" s="30" t="str">
        <f>STORAGE_BALANCE_ENSEMBLE!BT354</f>
        <v/>
      </c>
      <c r="I1436" s="18" t="str">
        <f t="shared" si="214"/>
        <v/>
      </c>
      <c r="J1436" s="8" t="str">
        <f t="shared" si="215"/>
        <v/>
      </c>
      <c r="K1436" s="9" t="str">
        <f t="shared" si="216"/>
        <v/>
      </c>
      <c r="L1436" s="10" t="str">
        <f t="shared" si="217"/>
        <v/>
      </c>
      <c r="M1436" s="10" t="str">
        <f>IF(I1436&lt;&gt;1,"",IF(H1436="","",H1436/CONTROL_PANEL!$B$11))</f>
        <v/>
      </c>
      <c r="N1436" s="9" t="str">
        <f t="shared" si="218"/>
        <v/>
      </c>
      <c r="O1436" s="9" t="str">
        <f t="shared" si="219"/>
        <v/>
      </c>
      <c r="P1436" s="9" t="str">
        <f t="shared" si="220"/>
        <v/>
      </c>
      <c r="Q1436" s="9" t="str">
        <f t="shared" si="221"/>
        <v/>
      </c>
      <c r="R1436" s="11"/>
      <c r="S1436" s="11" t="str">
        <f t="shared" si="222"/>
        <v>PASS</v>
      </c>
    </row>
    <row r="1437" spans="1:19" x14ac:dyDescent="0.25">
      <c r="A1437" s="30" t="s">
        <v>98</v>
      </c>
      <c r="B1437" s="31">
        <f t="shared" si="213"/>
        <v>52932</v>
      </c>
      <c r="C1437" s="30">
        <f>YEAR(BInputReservoir[[#This Row],[Date]])</f>
        <v>2044</v>
      </c>
      <c r="D1437" s="30">
        <f>MONTH(BInputReservoir[[#This Row],[Date]])</f>
        <v>12</v>
      </c>
      <c r="E1437" s="30" t="str">
        <f>IF(I1437&lt;&gt;1,"",DATA_INPUT!N355)</f>
        <v/>
      </c>
      <c r="F1437" s="30" t="str">
        <f>STORAGE_BALANCE_ENSEMBLE!BU355</f>
        <v/>
      </c>
      <c r="G1437" s="30" t="str">
        <f>STORAGE_BALANCE_ENSEMBLE!BV355</f>
        <v/>
      </c>
      <c r="H1437" s="30" t="str">
        <f>STORAGE_BALANCE_ENSEMBLE!BT355</f>
        <v/>
      </c>
      <c r="I1437" s="18" t="str">
        <f t="shared" si="214"/>
        <v/>
      </c>
      <c r="J1437" s="8" t="str">
        <f t="shared" si="215"/>
        <v/>
      </c>
      <c r="K1437" s="9" t="str">
        <f t="shared" si="216"/>
        <v/>
      </c>
      <c r="L1437" s="10" t="str">
        <f t="shared" si="217"/>
        <v/>
      </c>
      <c r="M1437" s="10" t="str">
        <f>IF(I1437&lt;&gt;1,"",IF(H1437="","",H1437/CONTROL_PANEL!$B$11))</f>
        <v/>
      </c>
      <c r="N1437" s="9" t="str">
        <f t="shared" si="218"/>
        <v/>
      </c>
      <c r="O1437" s="9" t="str">
        <f t="shared" si="219"/>
        <v/>
      </c>
      <c r="P1437" s="9" t="str">
        <f t="shared" si="220"/>
        <v/>
      </c>
      <c r="Q1437" s="9" t="str">
        <f t="shared" si="221"/>
        <v/>
      </c>
      <c r="R1437" s="11"/>
      <c r="S1437" s="11" t="str">
        <f t="shared" si="222"/>
        <v>PASS</v>
      </c>
    </row>
    <row r="1438" spans="1:19" x14ac:dyDescent="0.25">
      <c r="A1438" s="30" t="s">
        <v>98</v>
      </c>
      <c r="B1438" s="31">
        <f t="shared" si="213"/>
        <v>52963</v>
      </c>
      <c r="C1438" s="30">
        <f>YEAR(BInputReservoir[[#This Row],[Date]])</f>
        <v>2045</v>
      </c>
      <c r="D1438" s="30">
        <f>MONTH(BInputReservoir[[#This Row],[Date]])</f>
        <v>1</v>
      </c>
      <c r="E1438" s="30" t="str">
        <f>IF(I1438&lt;&gt;1,"",DATA_INPUT!N356)</f>
        <v/>
      </c>
      <c r="F1438" s="30" t="str">
        <f>STORAGE_BALANCE_ENSEMBLE!BU356</f>
        <v/>
      </c>
      <c r="G1438" s="30" t="str">
        <f>STORAGE_BALANCE_ENSEMBLE!BV356</f>
        <v/>
      </c>
      <c r="H1438" s="30" t="str">
        <f>STORAGE_BALANCE_ENSEMBLE!BT356</f>
        <v/>
      </c>
      <c r="I1438" s="18" t="str">
        <f t="shared" si="214"/>
        <v/>
      </c>
      <c r="J1438" s="8" t="str">
        <f t="shared" si="215"/>
        <v/>
      </c>
      <c r="K1438" s="9" t="str">
        <f t="shared" si="216"/>
        <v/>
      </c>
      <c r="L1438" s="10" t="str">
        <f t="shared" si="217"/>
        <v/>
      </c>
      <c r="M1438" s="10" t="str">
        <f>IF(I1438&lt;&gt;1,"",IF(H1438="","",H1438/CONTROL_PANEL!$B$11))</f>
        <v/>
      </c>
      <c r="N1438" s="9" t="str">
        <f t="shared" si="218"/>
        <v/>
      </c>
      <c r="O1438" s="9" t="str">
        <f t="shared" si="219"/>
        <v/>
      </c>
      <c r="P1438" s="9" t="str">
        <f t="shared" si="220"/>
        <v/>
      </c>
      <c r="Q1438" s="9" t="str">
        <f t="shared" si="221"/>
        <v/>
      </c>
      <c r="R1438" s="11"/>
      <c r="S1438" s="11" t="str">
        <f t="shared" si="222"/>
        <v>PASS</v>
      </c>
    </row>
    <row r="1439" spans="1:19" x14ac:dyDescent="0.25">
      <c r="A1439" s="30" t="s">
        <v>98</v>
      </c>
      <c r="B1439" s="31">
        <f t="shared" si="213"/>
        <v>52994</v>
      </c>
      <c r="C1439" s="30">
        <f>YEAR(BInputReservoir[[#This Row],[Date]])</f>
        <v>2045</v>
      </c>
      <c r="D1439" s="30">
        <f>MONTH(BInputReservoir[[#This Row],[Date]])</f>
        <v>2</v>
      </c>
      <c r="E1439" s="30" t="str">
        <f>IF(I1439&lt;&gt;1,"",DATA_INPUT!N357)</f>
        <v/>
      </c>
      <c r="F1439" s="30" t="str">
        <f>STORAGE_BALANCE_ENSEMBLE!BU357</f>
        <v/>
      </c>
      <c r="G1439" s="30" t="str">
        <f>STORAGE_BALANCE_ENSEMBLE!BV357</f>
        <v/>
      </c>
      <c r="H1439" s="30" t="str">
        <f>STORAGE_BALANCE_ENSEMBLE!BT357</f>
        <v/>
      </c>
      <c r="I1439" s="18" t="str">
        <f t="shared" si="214"/>
        <v/>
      </c>
      <c r="J1439" s="8" t="str">
        <f t="shared" si="215"/>
        <v/>
      </c>
      <c r="K1439" s="9" t="str">
        <f t="shared" si="216"/>
        <v/>
      </c>
      <c r="L1439" s="10" t="str">
        <f t="shared" si="217"/>
        <v/>
      </c>
      <c r="M1439" s="10" t="str">
        <f>IF(I1439&lt;&gt;1,"",IF(H1439="","",H1439/CONTROL_PANEL!$B$11))</f>
        <v/>
      </c>
      <c r="N1439" s="9" t="str">
        <f t="shared" si="218"/>
        <v/>
      </c>
      <c r="O1439" s="9" t="str">
        <f t="shared" si="219"/>
        <v/>
      </c>
      <c r="P1439" s="9" t="str">
        <f t="shared" si="220"/>
        <v/>
      </c>
      <c r="Q1439" s="9" t="str">
        <f t="shared" si="221"/>
        <v/>
      </c>
      <c r="R1439" s="11"/>
      <c r="S1439" s="11" t="str">
        <f t="shared" si="222"/>
        <v>PASS</v>
      </c>
    </row>
    <row r="1440" spans="1:19" x14ac:dyDescent="0.25">
      <c r="A1440" s="30" t="s">
        <v>98</v>
      </c>
      <c r="B1440" s="31">
        <f t="shared" si="213"/>
        <v>53022</v>
      </c>
      <c r="C1440" s="30">
        <f>YEAR(BInputReservoir[[#This Row],[Date]])</f>
        <v>2045</v>
      </c>
      <c r="D1440" s="30">
        <f>MONTH(BInputReservoir[[#This Row],[Date]])</f>
        <v>3</v>
      </c>
      <c r="E1440" s="30" t="str">
        <f>IF(I1440&lt;&gt;1,"",DATA_INPUT!N358)</f>
        <v/>
      </c>
      <c r="F1440" s="30" t="str">
        <f>STORAGE_BALANCE_ENSEMBLE!BU358</f>
        <v/>
      </c>
      <c r="G1440" s="30" t="str">
        <f>STORAGE_BALANCE_ENSEMBLE!BV358</f>
        <v/>
      </c>
      <c r="H1440" s="30" t="str">
        <f>STORAGE_BALANCE_ENSEMBLE!BT358</f>
        <v/>
      </c>
      <c r="I1440" s="18" t="str">
        <f t="shared" si="214"/>
        <v/>
      </c>
      <c r="J1440" s="8" t="str">
        <f t="shared" si="215"/>
        <v/>
      </c>
      <c r="K1440" s="9" t="str">
        <f t="shared" si="216"/>
        <v/>
      </c>
      <c r="L1440" s="10" t="str">
        <f t="shared" si="217"/>
        <v/>
      </c>
      <c r="M1440" s="10" t="str">
        <f>IF(I1440&lt;&gt;1,"",IF(H1440="","",H1440/CONTROL_PANEL!$B$11))</f>
        <v/>
      </c>
      <c r="N1440" s="9" t="str">
        <f t="shared" si="218"/>
        <v/>
      </c>
      <c r="O1440" s="9" t="str">
        <f t="shared" si="219"/>
        <v/>
      </c>
      <c r="P1440" s="9" t="str">
        <f t="shared" si="220"/>
        <v/>
      </c>
      <c r="Q1440" s="9" t="str">
        <f t="shared" si="221"/>
        <v/>
      </c>
      <c r="R1440" s="11"/>
      <c r="S1440" s="11" t="str">
        <f t="shared" si="222"/>
        <v>PASS</v>
      </c>
    </row>
    <row r="1441" spans="1:19" x14ac:dyDescent="0.25">
      <c r="A1441" s="30" t="s">
        <v>98</v>
      </c>
      <c r="B1441" s="31">
        <f t="shared" si="213"/>
        <v>53053</v>
      </c>
      <c r="C1441" s="30">
        <f>YEAR(BInputReservoir[[#This Row],[Date]])</f>
        <v>2045</v>
      </c>
      <c r="D1441" s="30">
        <f>MONTH(BInputReservoir[[#This Row],[Date]])</f>
        <v>4</v>
      </c>
      <c r="E1441" s="30" t="str">
        <f>IF(I1441&lt;&gt;1,"",DATA_INPUT!N359)</f>
        <v/>
      </c>
      <c r="F1441" s="30" t="str">
        <f>STORAGE_BALANCE_ENSEMBLE!BU359</f>
        <v/>
      </c>
      <c r="G1441" s="30" t="str">
        <f>STORAGE_BALANCE_ENSEMBLE!BV359</f>
        <v/>
      </c>
      <c r="H1441" s="30" t="str">
        <f>STORAGE_BALANCE_ENSEMBLE!BT359</f>
        <v/>
      </c>
      <c r="I1441" s="18" t="str">
        <f t="shared" si="214"/>
        <v/>
      </c>
      <c r="J1441" s="8" t="str">
        <f t="shared" si="215"/>
        <v/>
      </c>
      <c r="K1441" s="9" t="str">
        <f t="shared" si="216"/>
        <v/>
      </c>
      <c r="L1441" s="10" t="str">
        <f t="shared" si="217"/>
        <v/>
      </c>
      <c r="M1441" s="10" t="str">
        <f>IF(I1441&lt;&gt;1,"",IF(H1441="","",H1441/CONTROL_PANEL!$B$11))</f>
        <v/>
      </c>
      <c r="N1441" s="9" t="str">
        <f t="shared" si="218"/>
        <v/>
      </c>
      <c r="O1441" s="9" t="str">
        <f t="shared" si="219"/>
        <v/>
      </c>
      <c r="P1441" s="9" t="str">
        <f t="shared" si="220"/>
        <v/>
      </c>
      <c r="Q1441" s="9" t="str">
        <f t="shared" si="221"/>
        <v/>
      </c>
      <c r="R1441" s="11"/>
      <c r="S1441" s="11" t="str">
        <f t="shared" si="222"/>
        <v>PASS</v>
      </c>
    </row>
    <row r="1442" spans="1:19" x14ac:dyDescent="0.25">
      <c r="A1442" s="30" t="s">
        <v>98</v>
      </c>
      <c r="B1442" s="31">
        <f t="shared" si="213"/>
        <v>53083</v>
      </c>
      <c r="C1442" s="30">
        <f>YEAR(BInputReservoir[[#This Row],[Date]])</f>
        <v>2045</v>
      </c>
      <c r="D1442" s="30">
        <f>MONTH(BInputReservoir[[#This Row],[Date]])</f>
        <v>5</v>
      </c>
      <c r="E1442" s="30" t="str">
        <f>IF(I1442&lt;&gt;1,"",DATA_INPUT!N360)</f>
        <v/>
      </c>
      <c r="F1442" s="30" t="str">
        <f>STORAGE_BALANCE_ENSEMBLE!BU360</f>
        <v/>
      </c>
      <c r="G1442" s="30" t="str">
        <f>STORAGE_BALANCE_ENSEMBLE!BV360</f>
        <v/>
      </c>
      <c r="H1442" s="30" t="str">
        <f>STORAGE_BALANCE_ENSEMBLE!BT360</f>
        <v/>
      </c>
      <c r="I1442" s="18" t="str">
        <f t="shared" si="214"/>
        <v/>
      </c>
      <c r="J1442" s="8" t="str">
        <f t="shared" si="215"/>
        <v/>
      </c>
      <c r="K1442" s="9" t="str">
        <f t="shared" si="216"/>
        <v/>
      </c>
      <c r="L1442" s="10" t="str">
        <f t="shared" si="217"/>
        <v/>
      </c>
      <c r="M1442" s="10" t="str">
        <f>IF(I1442&lt;&gt;1,"",IF(H1442="","",H1442/CONTROL_PANEL!$B$11))</f>
        <v/>
      </c>
      <c r="N1442" s="9" t="str">
        <f t="shared" si="218"/>
        <v/>
      </c>
      <c r="O1442" s="9" t="str">
        <f t="shared" si="219"/>
        <v/>
      </c>
      <c r="P1442" s="9" t="str">
        <f t="shared" si="220"/>
        <v/>
      </c>
      <c r="Q1442" s="9" t="str">
        <f t="shared" si="221"/>
        <v/>
      </c>
      <c r="R1442" s="11"/>
      <c r="S1442" s="11" t="str">
        <f t="shared" si="222"/>
        <v>PASS</v>
      </c>
    </row>
    <row r="1443" spans="1:19" x14ac:dyDescent="0.25">
      <c r="A1443" s="30" t="s">
        <v>98</v>
      </c>
      <c r="B1443" s="31">
        <f t="shared" si="213"/>
        <v>53114</v>
      </c>
      <c r="C1443" s="30">
        <f>YEAR(BInputReservoir[[#This Row],[Date]])</f>
        <v>2045</v>
      </c>
      <c r="D1443" s="30">
        <f>MONTH(BInputReservoir[[#This Row],[Date]])</f>
        <v>6</v>
      </c>
      <c r="E1443" s="30" t="str">
        <f>IF(I1443&lt;&gt;1,"",DATA_INPUT!N361)</f>
        <v/>
      </c>
      <c r="F1443" s="30" t="str">
        <f>STORAGE_BALANCE_ENSEMBLE!BU361</f>
        <v/>
      </c>
      <c r="G1443" s="30" t="str">
        <f>STORAGE_BALANCE_ENSEMBLE!BV361</f>
        <v/>
      </c>
      <c r="H1443" s="30" t="str">
        <f>STORAGE_BALANCE_ENSEMBLE!BT361</f>
        <v/>
      </c>
      <c r="I1443" s="18" t="str">
        <f t="shared" si="214"/>
        <v/>
      </c>
      <c r="J1443" s="8" t="str">
        <f t="shared" si="215"/>
        <v/>
      </c>
      <c r="K1443" s="9" t="str">
        <f t="shared" si="216"/>
        <v/>
      </c>
      <c r="L1443" s="10" t="str">
        <f t="shared" si="217"/>
        <v/>
      </c>
      <c r="M1443" s="10" t="str">
        <f>IF(I1443&lt;&gt;1,"",IF(H1443="","",H1443/CONTROL_PANEL!$B$11))</f>
        <v/>
      </c>
      <c r="N1443" s="9" t="str">
        <f t="shared" si="218"/>
        <v/>
      </c>
      <c r="O1443" s="9" t="str">
        <f t="shared" si="219"/>
        <v/>
      </c>
      <c r="P1443" s="9" t="str">
        <f t="shared" si="220"/>
        <v/>
      </c>
      <c r="Q1443" s="9" t="str">
        <f t="shared" si="221"/>
        <v/>
      </c>
      <c r="R1443" s="11"/>
      <c r="S1443" s="11" t="str">
        <f t="shared" si="222"/>
        <v>PASS</v>
      </c>
    </row>
    <row r="1444" spans="1:19" x14ac:dyDescent="0.25">
      <c r="A1444" s="30" t="s">
        <v>98</v>
      </c>
      <c r="B1444" s="31">
        <f t="shared" si="213"/>
        <v>53144</v>
      </c>
      <c r="C1444" s="30">
        <f>YEAR(BInputReservoir[[#This Row],[Date]])</f>
        <v>2045</v>
      </c>
      <c r="D1444" s="30">
        <f>MONTH(BInputReservoir[[#This Row],[Date]])</f>
        <v>7</v>
      </c>
      <c r="E1444" s="30" t="str">
        <f>IF(I1444&lt;&gt;1,"",DATA_INPUT!N362)</f>
        <v/>
      </c>
      <c r="F1444" s="30" t="str">
        <f>STORAGE_BALANCE_ENSEMBLE!BU362</f>
        <v/>
      </c>
      <c r="G1444" s="30" t="str">
        <f>STORAGE_BALANCE_ENSEMBLE!BV362</f>
        <v/>
      </c>
      <c r="H1444" s="30" t="str">
        <f>STORAGE_BALANCE_ENSEMBLE!BT362</f>
        <v/>
      </c>
      <c r="I1444" s="18" t="str">
        <f t="shared" si="214"/>
        <v/>
      </c>
      <c r="J1444" s="8" t="str">
        <f t="shared" si="215"/>
        <v/>
      </c>
      <c r="K1444" s="9" t="str">
        <f t="shared" si="216"/>
        <v/>
      </c>
      <c r="L1444" s="10" t="str">
        <f t="shared" si="217"/>
        <v/>
      </c>
      <c r="M1444" s="10" t="str">
        <f>IF(I1444&lt;&gt;1,"",IF(H1444="","",H1444/CONTROL_PANEL!$B$11))</f>
        <v/>
      </c>
      <c r="N1444" s="9" t="str">
        <f t="shared" si="218"/>
        <v/>
      </c>
      <c r="O1444" s="9" t="str">
        <f t="shared" si="219"/>
        <v/>
      </c>
      <c r="P1444" s="9" t="str">
        <f t="shared" si="220"/>
        <v/>
      </c>
      <c r="Q1444" s="9" t="str">
        <f t="shared" si="221"/>
        <v/>
      </c>
      <c r="R1444" s="11"/>
      <c r="S1444" s="11" t="str">
        <f t="shared" si="222"/>
        <v>PASS</v>
      </c>
    </row>
    <row r="1445" spans="1:19" x14ac:dyDescent="0.25">
      <c r="A1445" s="30" t="s">
        <v>98</v>
      </c>
      <c r="B1445" s="31">
        <f t="shared" si="213"/>
        <v>53175</v>
      </c>
      <c r="C1445" s="30">
        <f>YEAR(BInputReservoir[[#This Row],[Date]])</f>
        <v>2045</v>
      </c>
      <c r="D1445" s="30">
        <f>MONTH(BInputReservoir[[#This Row],[Date]])</f>
        <v>8</v>
      </c>
      <c r="E1445" s="30" t="str">
        <f>IF(I1445&lt;&gt;1,"",DATA_INPUT!N363)</f>
        <v/>
      </c>
      <c r="F1445" s="30" t="str">
        <f>STORAGE_BALANCE_ENSEMBLE!BU363</f>
        <v/>
      </c>
      <c r="G1445" s="30" t="str">
        <f>STORAGE_BALANCE_ENSEMBLE!BV363</f>
        <v/>
      </c>
      <c r="H1445" s="30" t="str">
        <f>STORAGE_BALANCE_ENSEMBLE!BT363</f>
        <v/>
      </c>
      <c r="I1445" s="18" t="str">
        <f t="shared" si="214"/>
        <v/>
      </c>
      <c r="J1445" s="8" t="str">
        <f t="shared" si="215"/>
        <v/>
      </c>
      <c r="K1445" s="9" t="str">
        <f t="shared" si="216"/>
        <v/>
      </c>
      <c r="L1445" s="10" t="str">
        <f t="shared" si="217"/>
        <v/>
      </c>
      <c r="M1445" s="10" t="str">
        <f>IF(I1445&lt;&gt;1,"",IF(H1445="","",H1445/CONTROL_PANEL!$B$11))</f>
        <v/>
      </c>
      <c r="N1445" s="9" t="str">
        <f t="shared" si="218"/>
        <v/>
      </c>
      <c r="O1445" s="9" t="str">
        <f t="shared" si="219"/>
        <v/>
      </c>
      <c r="P1445" s="9" t="str">
        <f t="shared" si="220"/>
        <v/>
      </c>
      <c r="Q1445" s="9" t="str">
        <f t="shared" si="221"/>
        <v/>
      </c>
      <c r="R1445" s="11"/>
      <c r="S1445" s="11" t="str">
        <f t="shared" si="222"/>
        <v>PASS</v>
      </c>
    </row>
    <row r="1446" spans="1:19" x14ac:dyDescent="0.25">
      <c r="A1446" s="30" t="s">
        <v>98</v>
      </c>
      <c r="B1446" s="31">
        <f t="shared" si="213"/>
        <v>53206</v>
      </c>
      <c r="C1446" s="30">
        <f>YEAR(BInputReservoir[[#This Row],[Date]])</f>
        <v>2045</v>
      </c>
      <c r="D1446" s="30">
        <f>MONTH(BInputReservoir[[#This Row],[Date]])</f>
        <v>9</v>
      </c>
      <c r="E1446" s="30" t="str">
        <f>IF(I1446&lt;&gt;1,"",DATA_INPUT!N364)</f>
        <v/>
      </c>
      <c r="F1446" s="30" t="str">
        <f>STORAGE_BALANCE_ENSEMBLE!BU364</f>
        <v/>
      </c>
      <c r="G1446" s="30" t="str">
        <f>STORAGE_BALANCE_ENSEMBLE!BV364</f>
        <v/>
      </c>
      <c r="H1446" s="30" t="str">
        <f>STORAGE_BALANCE_ENSEMBLE!BT364</f>
        <v/>
      </c>
      <c r="I1446" s="18" t="str">
        <f t="shared" si="214"/>
        <v/>
      </c>
      <c r="J1446" s="8" t="str">
        <f t="shared" si="215"/>
        <v/>
      </c>
      <c r="K1446" s="9" t="str">
        <f t="shared" si="216"/>
        <v/>
      </c>
      <c r="L1446" s="10" t="str">
        <f t="shared" si="217"/>
        <v/>
      </c>
      <c r="M1446" s="10" t="str">
        <f>IF(I1446&lt;&gt;1,"",IF(H1446="","",H1446/CONTROL_PANEL!$B$11))</f>
        <v/>
      </c>
      <c r="N1446" s="9" t="str">
        <f t="shared" si="218"/>
        <v/>
      </c>
      <c r="O1446" s="9" t="str">
        <f t="shared" si="219"/>
        <v/>
      </c>
      <c r="P1446" s="9" t="str">
        <f t="shared" si="220"/>
        <v/>
      </c>
      <c r="Q1446" s="9" t="str">
        <f t="shared" si="221"/>
        <v/>
      </c>
      <c r="R1446" s="11"/>
      <c r="S1446" s="11" t="str">
        <f t="shared" si="222"/>
        <v>PASS</v>
      </c>
    </row>
    <row r="1447" spans="1:19" x14ac:dyDescent="0.25">
      <c r="A1447" s="30"/>
      <c r="B1447" s="30"/>
      <c r="C1447" s="30"/>
      <c r="D1447" s="30"/>
      <c r="E1447" s="30"/>
      <c r="F1447" s="30"/>
      <c r="G1447" s="30"/>
      <c r="H1447" s="30"/>
      <c r="I1447" s="18"/>
      <c r="J1447" s="8" t="str">
        <f t="shared" si="215"/>
        <v/>
      </c>
      <c r="K1447" s="9" t="str">
        <f t="shared" si="216"/>
        <v/>
      </c>
      <c r="L1447" s="10" t="str">
        <f t="shared" si="217"/>
        <v/>
      </c>
      <c r="M1447" s="10" t="str">
        <f>IF(I1447&lt;&gt;1,"",IF(H1447="","",H1447/CONTROL_PANEL!$B$11))</f>
        <v/>
      </c>
      <c r="N1447" s="9" t="str">
        <f t="shared" si="218"/>
        <v/>
      </c>
      <c r="O1447" s="9" t="str">
        <f t="shared" si="219"/>
        <v/>
      </c>
      <c r="P1447" s="9" t="str">
        <f t="shared" si="220"/>
        <v/>
      </c>
      <c r="Q1447" s="9" t="str">
        <f t="shared" si="221"/>
        <v/>
      </c>
      <c r="R1447" s="11"/>
      <c r="S1447" s="11" t="str">
        <f t="shared" si="222"/>
        <v/>
      </c>
    </row>
    <row r="1448" spans="1:19" x14ac:dyDescent="0.25">
      <c r="A1448" s="30" t="s">
        <v>99</v>
      </c>
      <c r="B1448" s="31">
        <f t="shared" si="213"/>
        <v>42278</v>
      </c>
      <c r="C1448" s="30">
        <f>YEAR(BInputReservoir[[#This Row],[Date]])</f>
        <v>2015</v>
      </c>
      <c r="D1448" s="30">
        <f>MONTH(BInputReservoir[[#This Row],[Date]])</f>
        <v>10</v>
      </c>
      <c r="E1448" s="30">
        <f>IF(I1448&lt;&gt;1,"",DATA_INPUT!O5)</f>
        <v>0</v>
      </c>
      <c r="F1448" s="30">
        <f>STORAGE_BALANCE_ENSEMBLE!CN5</f>
        <v>0</v>
      </c>
      <c r="G1448" s="30">
        <f>STORAGE_BALANCE_ENSEMBLE!CO5</f>
        <v>0</v>
      </c>
      <c r="H1448" s="30">
        <f>STORAGE_BALANCE_ENSEMBLE!CM5</f>
        <v>39118967.9204273</v>
      </c>
      <c r="I1448" s="18">
        <f>I4</f>
        <v>1</v>
      </c>
      <c r="J1448" s="8">
        <f t="shared" si="215"/>
        <v>0</v>
      </c>
      <c r="K1448" s="9">
        <f t="shared" si="216"/>
        <v>0</v>
      </c>
      <c r="L1448" s="10">
        <f t="shared" si="217"/>
        <v>0</v>
      </c>
      <c r="M1448" s="10">
        <f>IF(I1448&lt;&gt;1,"",IF(H1448="","",H1448/CONTROL_PANEL!$B$11))</f>
        <v>0.782379358408546</v>
      </c>
      <c r="N1448" s="9">
        <f t="shared" si="218"/>
        <v>0</v>
      </c>
      <c r="O1448" s="9">
        <f t="shared" si="219"/>
        <v>0</v>
      </c>
      <c r="P1448" s="9">
        <f t="shared" si="220"/>
        <v>0</v>
      </c>
      <c r="Q1448" s="9">
        <f t="shared" si="221"/>
        <v>0</v>
      </c>
      <c r="R1448" s="11"/>
      <c r="S1448" s="11" t="str">
        <f t="shared" si="222"/>
        <v>PASS</v>
      </c>
    </row>
    <row r="1449" spans="1:19" x14ac:dyDescent="0.25">
      <c r="A1449" s="30" t="s">
        <v>99</v>
      </c>
      <c r="B1449" s="31">
        <f t="shared" si="213"/>
        <v>42309</v>
      </c>
      <c r="C1449" s="30">
        <f>YEAR(BInputReservoir[[#This Row],[Date]])</f>
        <v>2015</v>
      </c>
      <c r="D1449" s="30">
        <f>MONTH(BInputReservoir[[#This Row],[Date]])</f>
        <v>11</v>
      </c>
      <c r="E1449" s="30">
        <f>IF(I1449&lt;&gt;1,"",DATA_INPUT!O6)</f>
        <v>0</v>
      </c>
      <c r="F1449" s="30">
        <f>STORAGE_BALANCE_ENSEMBLE!CN6</f>
        <v>0</v>
      </c>
      <c r="G1449" s="30">
        <f>STORAGE_BALANCE_ENSEMBLE!CO6</f>
        <v>0</v>
      </c>
      <c r="H1449" s="30">
        <f>STORAGE_BALANCE_ENSEMBLE!CM6</f>
        <v>39024736.908796281</v>
      </c>
      <c r="I1449" s="18">
        <f t="shared" ref="I1449:I1512" si="223">I5</f>
        <v>1</v>
      </c>
      <c r="J1449" s="8">
        <f t="shared" si="215"/>
        <v>0</v>
      </c>
      <c r="K1449" s="9">
        <f t="shared" si="216"/>
        <v>0</v>
      </c>
      <c r="L1449" s="10">
        <f t="shared" si="217"/>
        <v>0</v>
      </c>
      <c r="M1449" s="10">
        <f>IF(I1449&lt;&gt;1,"",IF(H1449="","",H1449/CONTROL_PANEL!$B$11))</f>
        <v>0.78049473817592563</v>
      </c>
      <c r="N1449" s="9">
        <f t="shared" si="218"/>
        <v>0</v>
      </c>
      <c r="O1449" s="9">
        <f t="shared" si="219"/>
        <v>0</v>
      </c>
      <c r="P1449" s="9">
        <f t="shared" si="220"/>
        <v>0</v>
      </c>
      <c r="Q1449" s="9">
        <f t="shared" si="221"/>
        <v>0</v>
      </c>
      <c r="R1449" s="11"/>
      <c r="S1449" s="11" t="str">
        <f t="shared" si="222"/>
        <v>PASS</v>
      </c>
    </row>
    <row r="1450" spans="1:19" x14ac:dyDescent="0.25">
      <c r="A1450" s="30" t="s">
        <v>99</v>
      </c>
      <c r="B1450" s="31">
        <f t="shared" si="213"/>
        <v>42339</v>
      </c>
      <c r="C1450" s="30">
        <f>YEAR(BInputReservoir[[#This Row],[Date]])</f>
        <v>2015</v>
      </c>
      <c r="D1450" s="30">
        <f>MONTH(BInputReservoir[[#This Row],[Date]])</f>
        <v>12</v>
      </c>
      <c r="E1450" s="30">
        <f>IF(I1450&lt;&gt;1,"",DATA_INPUT!O7)</f>
        <v>0</v>
      </c>
      <c r="F1450" s="30">
        <f>STORAGE_BALANCE_ENSEMBLE!CN7</f>
        <v>0</v>
      </c>
      <c r="G1450" s="30">
        <f>STORAGE_BALANCE_ENSEMBLE!CO7</f>
        <v>0</v>
      </c>
      <c r="H1450" s="30">
        <f>STORAGE_BALANCE_ENSEMBLE!CM7</f>
        <v>39131395.305964693</v>
      </c>
      <c r="I1450" s="18">
        <f t="shared" si="223"/>
        <v>1</v>
      </c>
      <c r="J1450" s="8">
        <f t="shared" si="215"/>
        <v>0</v>
      </c>
      <c r="K1450" s="9">
        <f t="shared" si="216"/>
        <v>0</v>
      </c>
      <c r="L1450" s="10">
        <f t="shared" si="217"/>
        <v>0</v>
      </c>
      <c r="M1450" s="10">
        <f>IF(I1450&lt;&gt;1,"",IF(H1450="","",H1450/CONTROL_PANEL!$B$11))</f>
        <v>0.78262790611929389</v>
      </c>
      <c r="N1450" s="9">
        <f t="shared" si="218"/>
        <v>0</v>
      </c>
      <c r="O1450" s="9">
        <f t="shared" si="219"/>
        <v>0</v>
      </c>
      <c r="P1450" s="9">
        <f t="shared" si="220"/>
        <v>0</v>
      </c>
      <c r="Q1450" s="9">
        <f t="shared" si="221"/>
        <v>0</v>
      </c>
      <c r="R1450" s="11"/>
      <c r="S1450" s="11" t="str">
        <f t="shared" si="222"/>
        <v>PASS</v>
      </c>
    </row>
    <row r="1451" spans="1:19" x14ac:dyDescent="0.25">
      <c r="A1451" s="30" t="s">
        <v>99</v>
      </c>
      <c r="B1451" s="31">
        <f t="shared" si="213"/>
        <v>42370</v>
      </c>
      <c r="C1451" s="30">
        <f>YEAR(BInputReservoir[[#This Row],[Date]])</f>
        <v>2016</v>
      </c>
      <c r="D1451" s="30">
        <f>MONTH(BInputReservoir[[#This Row],[Date]])</f>
        <v>1</v>
      </c>
      <c r="E1451" s="30">
        <f>IF(I1451&lt;&gt;1,"",DATA_INPUT!O8)</f>
        <v>0</v>
      </c>
      <c r="F1451" s="30">
        <f>STORAGE_BALANCE_ENSEMBLE!CN8</f>
        <v>0</v>
      </c>
      <c r="G1451" s="30">
        <f>STORAGE_BALANCE_ENSEMBLE!CO8</f>
        <v>0</v>
      </c>
      <c r="H1451" s="30">
        <f>STORAGE_BALANCE_ENSEMBLE!CM8</f>
        <v>39659872.226584911</v>
      </c>
      <c r="I1451" s="18">
        <f t="shared" si="223"/>
        <v>1</v>
      </c>
      <c r="J1451" s="8">
        <f t="shared" si="215"/>
        <v>0</v>
      </c>
      <c r="K1451" s="9">
        <f t="shared" si="216"/>
        <v>0</v>
      </c>
      <c r="L1451" s="10">
        <f t="shared" si="217"/>
        <v>0</v>
      </c>
      <c r="M1451" s="10">
        <f>IF(I1451&lt;&gt;1,"",IF(H1451="","",H1451/CONTROL_PANEL!$B$11))</f>
        <v>0.79319744453169827</v>
      </c>
      <c r="N1451" s="9">
        <f t="shared" si="218"/>
        <v>0</v>
      </c>
      <c r="O1451" s="9">
        <f t="shared" si="219"/>
        <v>0</v>
      </c>
      <c r="P1451" s="9">
        <f t="shared" si="220"/>
        <v>0</v>
      </c>
      <c r="Q1451" s="9">
        <f t="shared" si="221"/>
        <v>0</v>
      </c>
      <c r="R1451" s="11"/>
      <c r="S1451" s="11" t="str">
        <f t="shared" si="222"/>
        <v>PASS</v>
      </c>
    </row>
    <row r="1452" spans="1:19" x14ac:dyDescent="0.25">
      <c r="A1452" s="30" t="s">
        <v>99</v>
      </c>
      <c r="B1452" s="31">
        <f t="shared" si="213"/>
        <v>42401</v>
      </c>
      <c r="C1452" s="30">
        <f>YEAR(BInputReservoir[[#This Row],[Date]])</f>
        <v>2016</v>
      </c>
      <c r="D1452" s="30">
        <f>MONTH(BInputReservoir[[#This Row],[Date]])</f>
        <v>2</v>
      </c>
      <c r="E1452" s="30">
        <f>IF(I1452&lt;&gt;1,"",DATA_INPUT!O9)</f>
        <v>0</v>
      </c>
      <c r="F1452" s="30">
        <f>STORAGE_BALANCE_ENSEMBLE!CN9</f>
        <v>0</v>
      </c>
      <c r="G1452" s="30">
        <f>STORAGE_BALANCE_ENSEMBLE!CO9</f>
        <v>0</v>
      </c>
      <c r="H1452" s="30">
        <f>STORAGE_BALANCE_ENSEMBLE!CM9</f>
        <v>39951026.353448421</v>
      </c>
      <c r="I1452" s="18">
        <f t="shared" si="223"/>
        <v>1</v>
      </c>
      <c r="J1452" s="8">
        <f t="shared" si="215"/>
        <v>0</v>
      </c>
      <c r="K1452" s="9">
        <f t="shared" si="216"/>
        <v>0</v>
      </c>
      <c r="L1452" s="10">
        <f t="shared" si="217"/>
        <v>0</v>
      </c>
      <c r="M1452" s="10">
        <f>IF(I1452&lt;&gt;1,"",IF(H1452="","",H1452/CONTROL_PANEL!$B$11))</f>
        <v>0.79902052706896842</v>
      </c>
      <c r="N1452" s="9">
        <f t="shared" si="218"/>
        <v>0</v>
      </c>
      <c r="O1452" s="9">
        <f t="shared" si="219"/>
        <v>0</v>
      </c>
      <c r="P1452" s="9">
        <f t="shared" si="220"/>
        <v>0</v>
      </c>
      <c r="Q1452" s="9">
        <f t="shared" si="221"/>
        <v>0</v>
      </c>
      <c r="R1452" s="11"/>
      <c r="S1452" s="11" t="str">
        <f t="shared" si="222"/>
        <v>PASS</v>
      </c>
    </row>
    <row r="1453" spans="1:19" x14ac:dyDescent="0.25">
      <c r="A1453" s="30" t="s">
        <v>99</v>
      </c>
      <c r="B1453" s="31">
        <f t="shared" si="213"/>
        <v>42430</v>
      </c>
      <c r="C1453" s="30">
        <f>YEAR(BInputReservoir[[#This Row],[Date]])</f>
        <v>2016</v>
      </c>
      <c r="D1453" s="30">
        <f>MONTH(BInputReservoir[[#This Row],[Date]])</f>
        <v>3</v>
      </c>
      <c r="E1453" s="30">
        <f>IF(I1453&lt;&gt;1,"",DATA_INPUT!O10)</f>
        <v>0</v>
      </c>
      <c r="F1453" s="30">
        <f>STORAGE_BALANCE_ENSEMBLE!CN10</f>
        <v>0</v>
      </c>
      <c r="G1453" s="30">
        <f>STORAGE_BALANCE_ENSEMBLE!CO10</f>
        <v>0</v>
      </c>
      <c r="H1453" s="30">
        <f>STORAGE_BALANCE_ENSEMBLE!CM10</f>
        <v>40426903.429343104</v>
      </c>
      <c r="I1453" s="18">
        <f t="shared" si="223"/>
        <v>1</v>
      </c>
      <c r="J1453" s="8">
        <f t="shared" si="215"/>
        <v>0</v>
      </c>
      <c r="K1453" s="9">
        <f t="shared" si="216"/>
        <v>0</v>
      </c>
      <c r="L1453" s="10">
        <f t="shared" si="217"/>
        <v>0</v>
      </c>
      <c r="M1453" s="10">
        <f>IF(I1453&lt;&gt;1,"",IF(H1453="","",H1453/CONTROL_PANEL!$B$11))</f>
        <v>0.80853806858686206</v>
      </c>
      <c r="N1453" s="9">
        <f t="shared" si="218"/>
        <v>0</v>
      </c>
      <c r="O1453" s="9">
        <f t="shared" si="219"/>
        <v>0</v>
      </c>
      <c r="P1453" s="9">
        <f t="shared" si="220"/>
        <v>0</v>
      </c>
      <c r="Q1453" s="9">
        <f t="shared" si="221"/>
        <v>0</v>
      </c>
      <c r="R1453" s="11"/>
      <c r="S1453" s="11" t="str">
        <f t="shared" si="222"/>
        <v>PASS</v>
      </c>
    </row>
    <row r="1454" spans="1:19" x14ac:dyDescent="0.25">
      <c r="A1454" s="30" t="s">
        <v>99</v>
      </c>
      <c r="B1454" s="31">
        <f t="shared" si="213"/>
        <v>42461</v>
      </c>
      <c r="C1454" s="30">
        <f>YEAR(BInputReservoir[[#This Row],[Date]])</f>
        <v>2016</v>
      </c>
      <c r="D1454" s="30">
        <f>MONTH(BInputReservoir[[#This Row],[Date]])</f>
        <v>4</v>
      </c>
      <c r="E1454" s="30">
        <f>IF(I1454&lt;&gt;1,"",DATA_INPUT!O11)</f>
        <v>15785.605094625756</v>
      </c>
      <c r="F1454" s="30">
        <f>STORAGE_BALANCE_ENSEMBLE!CN11</f>
        <v>0</v>
      </c>
      <c r="G1454" s="30">
        <f>STORAGE_BALANCE_ENSEMBLE!CO11</f>
        <v>0</v>
      </c>
      <c r="H1454" s="30">
        <f>STORAGE_BALANCE_ENSEMBLE!CM11</f>
        <v>41315164.525828473</v>
      </c>
      <c r="I1454" s="18">
        <f t="shared" si="223"/>
        <v>1</v>
      </c>
      <c r="J1454" s="8">
        <f t="shared" si="215"/>
        <v>15785.605094625756</v>
      </c>
      <c r="K1454" s="9">
        <f t="shared" si="216"/>
        <v>0</v>
      </c>
      <c r="L1454" s="10">
        <f t="shared" si="217"/>
        <v>0</v>
      </c>
      <c r="M1454" s="10">
        <f>IF(I1454&lt;&gt;1,"",IF(H1454="","",H1454/CONTROL_PANEL!$B$11))</f>
        <v>0.82630329051656948</v>
      </c>
      <c r="N1454" s="9">
        <f t="shared" si="218"/>
        <v>0</v>
      </c>
      <c r="O1454" s="9">
        <f t="shared" si="219"/>
        <v>0</v>
      </c>
      <c r="P1454" s="9">
        <f t="shared" si="220"/>
        <v>0</v>
      </c>
      <c r="Q1454" s="9">
        <f t="shared" si="221"/>
        <v>0</v>
      </c>
      <c r="R1454" s="11"/>
      <c r="S1454" s="11" t="str">
        <f t="shared" si="222"/>
        <v>PASS</v>
      </c>
    </row>
    <row r="1455" spans="1:19" x14ac:dyDescent="0.25">
      <c r="A1455" s="30" t="s">
        <v>99</v>
      </c>
      <c r="B1455" s="31">
        <f t="shared" si="213"/>
        <v>42491</v>
      </c>
      <c r="C1455" s="30">
        <f>YEAR(BInputReservoir[[#This Row],[Date]])</f>
        <v>2016</v>
      </c>
      <c r="D1455" s="30">
        <f>MONTH(BInputReservoir[[#This Row],[Date]])</f>
        <v>5</v>
      </c>
      <c r="E1455" s="30">
        <f>IF(I1455&lt;&gt;1,"",DATA_INPUT!O12)</f>
        <v>30792.539010307046</v>
      </c>
      <c r="F1455" s="30">
        <f>STORAGE_BALANCE_ENSEMBLE!CN12</f>
        <v>0</v>
      </c>
      <c r="G1455" s="30">
        <f>STORAGE_BALANCE_ENSEMBLE!CO12</f>
        <v>0</v>
      </c>
      <c r="H1455" s="30">
        <f>STORAGE_BALANCE_ENSEMBLE!CM12</f>
        <v>41650108.892233871</v>
      </c>
      <c r="I1455" s="18">
        <f t="shared" si="223"/>
        <v>1</v>
      </c>
      <c r="J1455" s="8">
        <f t="shared" si="215"/>
        <v>30792.539010307046</v>
      </c>
      <c r="K1455" s="9">
        <f t="shared" si="216"/>
        <v>0</v>
      </c>
      <c r="L1455" s="10">
        <f t="shared" si="217"/>
        <v>0</v>
      </c>
      <c r="M1455" s="10">
        <f>IF(I1455&lt;&gt;1,"",IF(H1455="","",H1455/CONTROL_PANEL!$B$11))</f>
        <v>0.83300217784467745</v>
      </c>
      <c r="N1455" s="9">
        <f t="shared" si="218"/>
        <v>0</v>
      </c>
      <c r="O1455" s="9">
        <f t="shared" si="219"/>
        <v>0</v>
      </c>
      <c r="P1455" s="9">
        <f t="shared" si="220"/>
        <v>0</v>
      </c>
      <c r="Q1455" s="9">
        <f t="shared" si="221"/>
        <v>0</v>
      </c>
      <c r="R1455" s="11"/>
      <c r="S1455" s="11" t="str">
        <f t="shared" si="222"/>
        <v>PASS</v>
      </c>
    </row>
    <row r="1456" spans="1:19" x14ac:dyDescent="0.25">
      <c r="A1456" s="30" t="s">
        <v>99</v>
      </c>
      <c r="B1456" s="31">
        <f t="shared" si="213"/>
        <v>42522</v>
      </c>
      <c r="C1456" s="30">
        <f>YEAR(BInputReservoir[[#This Row],[Date]])</f>
        <v>2016</v>
      </c>
      <c r="D1456" s="30">
        <f>MONTH(BInputReservoir[[#This Row],[Date]])</f>
        <v>6</v>
      </c>
      <c r="E1456" s="30">
        <f>IF(I1456&lt;&gt;1,"",DATA_INPUT!O13)</f>
        <v>872339.75238716521</v>
      </c>
      <c r="F1456" s="30">
        <f>STORAGE_BALANCE_ENSEMBLE!CN13</f>
        <v>0</v>
      </c>
      <c r="G1456" s="30">
        <f>STORAGE_BALANCE_ENSEMBLE!CO13</f>
        <v>0</v>
      </c>
      <c r="H1456" s="30">
        <f>STORAGE_BALANCE_ENSEMBLE!CM13</f>
        <v>40045608.752457574</v>
      </c>
      <c r="I1456" s="18">
        <f t="shared" si="223"/>
        <v>1</v>
      </c>
      <c r="J1456" s="8">
        <f t="shared" si="215"/>
        <v>872339.75238716521</v>
      </c>
      <c r="K1456" s="9">
        <f t="shared" si="216"/>
        <v>0</v>
      </c>
      <c r="L1456" s="10">
        <f t="shared" si="217"/>
        <v>0</v>
      </c>
      <c r="M1456" s="10">
        <f>IF(I1456&lt;&gt;1,"",IF(H1456="","",H1456/CONTROL_PANEL!$B$11))</f>
        <v>0.80091217504915146</v>
      </c>
      <c r="N1456" s="9">
        <f t="shared" si="218"/>
        <v>0</v>
      </c>
      <c r="O1456" s="9">
        <f t="shared" si="219"/>
        <v>0</v>
      </c>
      <c r="P1456" s="9">
        <f t="shared" si="220"/>
        <v>0</v>
      </c>
      <c r="Q1456" s="9">
        <f t="shared" si="221"/>
        <v>0</v>
      </c>
      <c r="R1456" s="11"/>
      <c r="S1456" s="11" t="str">
        <f t="shared" si="222"/>
        <v>PASS</v>
      </c>
    </row>
    <row r="1457" spans="1:19" x14ac:dyDescent="0.25">
      <c r="A1457" s="30" t="s">
        <v>99</v>
      </c>
      <c r="B1457" s="31">
        <f t="shared" si="213"/>
        <v>42552</v>
      </c>
      <c r="C1457" s="30">
        <f>YEAR(BInputReservoir[[#This Row],[Date]])</f>
        <v>2016</v>
      </c>
      <c r="D1457" s="30">
        <f>MONTH(BInputReservoir[[#This Row],[Date]])</f>
        <v>7</v>
      </c>
      <c r="E1457" s="30">
        <f>IF(I1457&lt;&gt;1,"",DATA_INPUT!O14)</f>
        <v>1769221.9526079115</v>
      </c>
      <c r="F1457" s="30">
        <f>STORAGE_BALANCE_ENSEMBLE!CN14</f>
        <v>0</v>
      </c>
      <c r="G1457" s="30">
        <f>STORAGE_BALANCE_ENSEMBLE!CO14</f>
        <v>0</v>
      </c>
      <c r="H1457" s="30">
        <f>STORAGE_BALANCE_ENSEMBLE!CM14</f>
        <v>37381746.882835217</v>
      </c>
      <c r="I1457" s="18">
        <f t="shared" si="223"/>
        <v>1</v>
      </c>
      <c r="J1457" s="8">
        <f t="shared" si="215"/>
        <v>1769221.9526079115</v>
      </c>
      <c r="K1457" s="9">
        <f t="shared" si="216"/>
        <v>0</v>
      </c>
      <c r="L1457" s="10">
        <f t="shared" si="217"/>
        <v>0</v>
      </c>
      <c r="M1457" s="10">
        <f>IF(I1457&lt;&gt;1,"",IF(H1457="","",H1457/CONTROL_PANEL!$B$11))</f>
        <v>0.7476349376567043</v>
      </c>
      <c r="N1457" s="9">
        <f t="shared" si="218"/>
        <v>0</v>
      </c>
      <c r="O1457" s="9">
        <f t="shared" si="219"/>
        <v>0</v>
      </c>
      <c r="P1457" s="9">
        <f t="shared" si="220"/>
        <v>0</v>
      </c>
      <c r="Q1457" s="9">
        <f t="shared" si="221"/>
        <v>0</v>
      </c>
      <c r="R1457" s="11"/>
      <c r="S1457" s="11" t="str">
        <f t="shared" si="222"/>
        <v>PASS</v>
      </c>
    </row>
    <row r="1458" spans="1:19" x14ac:dyDescent="0.25">
      <c r="A1458" s="30" t="s">
        <v>99</v>
      </c>
      <c r="B1458" s="31">
        <f t="shared" si="213"/>
        <v>42583</v>
      </c>
      <c r="C1458" s="30">
        <f>YEAR(BInputReservoir[[#This Row],[Date]])</f>
        <v>2016</v>
      </c>
      <c r="D1458" s="30">
        <f>MONTH(BInputReservoir[[#This Row],[Date]])</f>
        <v>8</v>
      </c>
      <c r="E1458" s="30">
        <f>IF(I1458&lt;&gt;1,"",DATA_INPUT!O15)</f>
        <v>2208738.7827881225</v>
      </c>
      <c r="F1458" s="30">
        <f>STORAGE_BALANCE_ENSEMBLE!CN15</f>
        <v>0</v>
      </c>
      <c r="G1458" s="30">
        <f>STORAGE_BALANCE_ENSEMBLE!CO15</f>
        <v>0</v>
      </c>
      <c r="H1458" s="30">
        <f>STORAGE_BALANCE_ENSEMBLE!CM15</f>
        <v>34289790.402209371</v>
      </c>
      <c r="I1458" s="18">
        <f t="shared" si="223"/>
        <v>1</v>
      </c>
      <c r="J1458" s="8">
        <f t="shared" si="215"/>
        <v>2208738.7827881225</v>
      </c>
      <c r="K1458" s="9">
        <f t="shared" si="216"/>
        <v>0</v>
      </c>
      <c r="L1458" s="10">
        <f t="shared" si="217"/>
        <v>0</v>
      </c>
      <c r="M1458" s="10">
        <f>IF(I1458&lt;&gt;1,"",IF(H1458="","",H1458/CONTROL_PANEL!$B$11))</f>
        <v>0.68579580804418738</v>
      </c>
      <c r="N1458" s="9">
        <f t="shared" si="218"/>
        <v>0</v>
      </c>
      <c r="O1458" s="9">
        <f t="shared" si="219"/>
        <v>0</v>
      </c>
      <c r="P1458" s="9">
        <f t="shared" si="220"/>
        <v>0</v>
      </c>
      <c r="Q1458" s="9">
        <f t="shared" si="221"/>
        <v>0</v>
      </c>
      <c r="R1458" s="11"/>
      <c r="S1458" s="11" t="str">
        <f t="shared" si="222"/>
        <v>PASS</v>
      </c>
    </row>
    <row r="1459" spans="1:19" x14ac:dyDescent="0.25">
      <c r="A1459" s="30" t="s">
        <v>99</v>
      </c>
      <c r="B1459" s="31">
        <f t="shared" si="213"/>
        <v>42614</v>
      </c>
      <c r="C1459" s="30">
        <f>YEAR(BInputReservoir[[#This Row],[Date]])</f>
        <v>2016</v>
      </c>
      <c r="D1459" s="30">
        <f>MONTH(BInputReservoir[[#This Row],[Date]])</f>
        <v>9</v>
      </c>
      <c r="E1459" s="30">
        <f>IF(I1459&lt;&gt;1,"",DATA_INPUT!O16)</f>
        <v>889945.68102618831</v>
      </c>
      <c r="F1459" s="30">
        <f>STORAGE_BALANCE_ENSEMBLE!CN16</f>
        <v>0</v>
      </c>
      <c r="G1459" s="30">
        <f>STORAGE_BALANCE_ENSEMBLE!CO16</f>
        <v>0</v>
      </c>
      <c r="H1459" s="30">
        <f>STORAGE_BALANCE_ENSEMBLE!CM16</f>
        <v>32873285.000615586</v>
      </c>
      <c r="I1459" s="18">
        <f t="shared" si="223"/>
        <v>1</v>
      </c>
      <c r="J1459" s="8">
        <f t="shared" si="215"/>
        <v>889945.68102618831</v>
      </c>
      <c r="K1459" s="9">
        <f t="shared" si="216"/>
        <v>0</v>
      </c>
      <c r="L1459" s="10">
        <f t="shared" si="217"/>
        <v>0</v>
      </c>
      <c r="M1459" s="10">
        <f>IF(I1459&lt;&gt;1,"",IF(H1459="","",H1459/CONTROL_PANEL!$B$11))</f>
        <v>0.65746570001231175</v>
      </c>
      <c r="N1459" s="9">
        <f t="shared" si="218"/>
        <v>0</v>
      </c>
      <c r="O1459" s="9">
        <f t="shared" si="219"/>
        <v>0</v>
      </c>
      <c r="P1459" s="9">
        <f t="shared" si="220"/>
        <v>0</v>
      </c>
      <c r="Q1459" s="9">
        <f t="shared" si="221"/>
        <v>0</v>
      </c>
      <c r="R1459" s="11"/>
      <c r="S1459" s="11" t="str">
        <f t="shared" si="222"/>
        <v>PASS</v>
      </c>
    </row>
    <row r="1460" spans="1:19" x14ac:dyDescent="0.25">
      <c r="A1460" s="30" t="s">
        <v>99</v>
      </c>
      <c r="B1460" s="31">
        <f t="shared" si="213"/>
        <v>42644</v>
      </c>
      <c r="C1460" s="30">
        <f>YEAR(BInputReservoir[[#This Row],[Date]])</f>
        <v>2016</v>
      </c>
      <c r="D1460" s="30">
        <f>MONTH(BInputReservoir[[#This Row],[Date]])</f>
        <v>10</v>
      </c>
      <c r="E1460" s="30">
        <f>IF(I1460&lt;&gt;1,"",DATA_INPUT!O17)</f>
        <v>297232.82812615612</v>
      </c>
      <c r="F1460" s="30">
        <f>STORAGE_BALANCE_ENSEMBLE!CN17</f>
        <v>0</v>
      </c>
      <c r="G1460" s="30">
        <f>STORAGE_BALANCE_ENSEMBLE!CO17</f>
        <v>0</v>
      </c>
      <c r="H1460" s="30">
        <f>STORAGE_BALANCE_ENSEMBLE!CM17</f>
        <v>32533129.826334115</v>
      </c>
      <c r="I1460" s="18">
        <f t="shared" si="223"/>
        <v>1</v>
      </c>
      <c r="J1460" s="8">
        <f t="shared" si="215"/>
        <v>297232.82812615612</v>
      </c>
      <c r="K1460" s="9">
        <f t="shared" si="216"/>
        <v>0</v>
      </c>
      <c r="L1460" s="10">
        <f t="shared" si="217"/>
        <v>0</v>
      </c>
      <c r="M1460" s="10">
        <f>IF(I1460&lt;&gt;1,"",IF(H1460="","",H1460/CONTROL_PANEL!$B$11))</f>
        <v>0.65066259652668235</v>
      </c>
      <c r="N1460" s="9">
        <f t="shared" si="218"/>
        <v>0</v>
      </c>
      <c r="O1460" s="9">
        <f t="shared" si="219"/>
        <v>0</v>
      </c>
      <c r="P1460" s="9">
        <f t="shared" si="220"/>
        <v>0</v>
      </c>
      <c r="Q1460" s="9">
        <f t="shared" si="221"/>
        <v>0</v>
      </c>
      <c r="R1460" s="11"/>
      <c r="S1460" s="11" t="str">
        <f t="shared" si="222"/>
        <v>PASS</v>
      </c>
    </row>
    <row r="1461" spans="1:19" x14ac:dyDescent="0.25">
      <c r="A1461" s="30" t="s">
        <v>99</v>
      </c>
      <c r="B1461" s="31">
        <f t="shared" si="213"/>
        <v>42675</v>
      </c>
      <c r="C1461" s="30">
        <f>YEAR(BInputReservoir[[#This Row],[Date]])</f>
        <v>2016</v>
      </c>
      <c r="D1461" s="30">
        <f>MONTH(BInputReservoir[[#This Row],[Date]])</f>
        <v>11</v>
      </c>
      <c r="E1461" s="30">
        <f>IF(I1461&lt;&gt;1,"",DATA_INPUT!O18)</f>
        <v>0</v>
      </c>
      <c r="F1461" s="30">
        <f>STORAGE_BALANCE_ENSEMBLE!CN18</f>
        <v>0</v>
      </c>
      <c r="G1461" s="30">
        <f>STORAGE_BALANCE_ENSEMBLE!CO18</f>
        <v>0</v>
      </c>
      <c r="H1461" s="30">
        <f>STORAGE_BALANCE_ENSEMBLE!CM18</f>
        <v>32734251.711978503</v>
      </c>
      <c r="I1461" s="18">
        <f t="shared" si="223"/>
        <v>1</v>
      </c>
      <c r="J1461" s="8">
        <f t="shared" si="215"/>
        <v>0</v>
      </c>
      <c r="K1461" s="9">
        <f t="shared" si="216"/>
        <v>0</v>
      </c>
      <c r="L1461" s="10">
        <f t="shared" si="217"/>
        <v>0</v>
      </c>
      <c r="M1461" s="10">
        <f>IF(I1461&lt;&gt;1,"",IF(H1461="","",H1461/CONTROL_PANEL!$B$11))</f>
        <v>0.65468503423957003</v>
      </c>
      <c r="N1461" s="9">
        <f t="shared" si="218"/>
        <v>0</v>
      </c>
      <c r="O1461" s="9">
        <f t="shared" si="219"/>
        <v>0</v>
      </c>
      <c r="P1461" s="9">
        <f t="shared" si="220"/>
        <v>0</v>
      </c>
      <c r="Q1461" s="9">
        <f t="shared" si="221"/>
        <v>0</v>
      </c>
      <c r="R1461" s="11"/>
      <c r="S1461" s="11" t="str">
        <f t="shared" si="222"/>
        <v>PASS</v>
      </c>
    </row>
    <row r="1462" spans="1:19" x14ac:dyDescent="0.25">
      <c r="A1462" s="30" t="s">
        <v>99</v>
      </c>
      <c r="B1462" s="31">
        <f t="shared" si="213"/>
        <v>42705</v>
      </c>
      <c r="C1462" s="30">
        <f>YEAR(BInputReservoir[[#This Row],[Date]])</f>
        <v>2016</v>
      </c>
      <c r="D1462" s="30">
        <f>MONTH(BInputReservoir[[#This Row],[Date]])</f>
        <v>12</v>
      </c>
      <c r="E1462" s="30">
        <f>IF(I1462&lt;&gt;1,"",DATA_INPUT!O19)</f>
        <v>0</v>
      </c>
      <c r="F1462" s="30">
        <f>STORAGE_BALANCE_ENSEMBLE!CN19</f>
        <v>0</v>
      </c>
      <c r="G1462" s="30">
        <f>STORAGE_BALANCE_ENSEMBLE!CO19</f>
        <v>0</v>
      </c>
      <c r="H1462" s="30">
        <f>STORAGE_BALANCE_ENSEMBLE!CM19</f>
        <v>32906277.992829744</v>
      </c>
      <c r="I1462" s="18">
        <f t="shared" si="223"/>
        <v>1</v>
      </c>
      <c r="J1462" s="8">
        <f t="shared" si="215"/>
        <v>0</v>
      </c>
      <c r="K1462" s="9">
        <f t="shared" si="216"/>
        <v>0</v>
      </c>
      <c r="L1462" s="10">
        <f t="shared" si="217"/>
        <v>0</v>
      </c>
      <c r="M1462" s="10">
        <f>IF(I1462&lt;&gt;1,"",IF(H1462="","",H1462/CONTROL_PANEL!$B$11))</f>
        <v>0.65812555985659482</v>
      </c>
      <c r="N1462" s="9">
        <f t="shared" si="218"/>
        <v>0</v>
      </c>
      <c r="O1462" s="9">
        <f t="shared" si="219"/>
        <v>0</v>
      </c>
      <c r="P1462" s="9">
        <f t="shared" si="220"/>
        <v>0</v>
      </c>
      <c r="Q1462" s="9">
        <f t="shared" si="221"/>
        <v>0</v>
      </c>
      <c r="R1462" s="11"/>
      <c r="S1462" s="11" t="str">
        <f t="shared" si="222"/>
        <v>PASS</v>
      </c>
    </row>
    <row r="1463" spans="1:19" x14ac:dyDescent="0.25">
      <c r="A1463" s="30" t="s">
        <v>99</v>
      </c>
      <c r="B1463" s="31">
        <f t="shared" si="213"/>
        <v>42736</v>
      </c>
      <c r="C1463" s="30">
        <f>YEAR(BInputReservoir[[#This Row],[Date]])</f>
        <v>2017</v>
      </c>
      <c r="D1463" s="30">
        <f>MONTH(BInputReservoir[[#This Row],[Date]])</f>
        <v>1</v>
      </c>
      <c r="E1463" s="30">
        <f>IF(I1463&lt;&gt;1,"",DATA_INPUT!O20)</f>
        <v>0</v>
      </c>
      <c r="F1463" s="30">
        <f>STORAGE_BALANCE_ENSEMBLE!CN20</f>
        <v>0</v>
      </c>
      <c r="G1463" s="30">
        <f>STORAGE_BALANCE_ENSEMBLE!CO20</f>
        <v>0</v>
      </c>
      <c r="H1463" s="30">
        <f>STORAGE_BALANCE_ENSEMBLE!CM20</f>
        <v>33018885.170801312</v>
      </c>
      <c r="I1463" s="18">
        <f t="shared" si="223"/>
        <v>1</v>
      </c>
      <c r="J1463" s="8">
        <f t="shared" si="215"/>
        <v>0</v>
      </c>
      <c r="K1463" s="9">
        <f t="shared" si="216"/>
        <v>0</v>
      </c>
      <c r="L1463" s="10">
        <f t="shared" si="217"/>
        <v>0</v>
      </c>
      <c r="M1463" s="10">
        <f>IF(I1463&lt;&gt;1,"",IF(H1463="","",H1463/CONTROL_PANEL!$B$11))</f>
        <v>0.6603777034160262</v>
      </c>
      <c r="N1463" s="9">
        <f t="shared" si="218"/>
        <v>0</v>
      </c>
      <c r="O1463" s="9">
        <f t="shared" si="219"/>
        <v>0</v>
      </c>
      <c r="P1463" s="9">
        <f t="shared" si="220"/>
        <v>0</v>
      </c>
      <c r="Q1463" s="9">
        <f t="shared" si="221"/>
        <v>0</v>
      </c>
      <c r="R1463" s="11"/>
      <c r="S1463" s="11" t="str">
        <f t="shared" si="222"/>
        <v>PASS</v>
      </c>
    </row>
    <row r="1464" spans="1:19" x14ac:dyDescent="0.25">
      <c r="A1464" s="30" t="s">
        <v>99</v>
      </c>
      <c r="B1464" s="31">
        <f t="shared" si="213"/>
        <v>42767</v>
      </c>
      <c r="C1464" s="30">
        <f>YEAR(BInputReservoir[[#This Row],[Date]])</f>
        <v>2017</v>
      </c>
      <c r="D1464" s="30">
        <f>MONTH(BInputReservoir[[#This Row],[Date]])</f>
        <v>2</v>
      </c>
      <c r="E1464" s="30">
        <f>IF(I1464&lt;&gt;1,"",DATA_INPUT!O21)</f>
        <v>0</v>
      </c>
      <c r="F1464" s="30">
        <f>STORAGE_BALANCE_ENSEMBLE!CN21</f>
        <v>0</v>
      </c>
      <c r="G1464" s="30">
        <f>STORAGE_BALANCE_ENSEMBLE!CO21</f>
        <v>0</v>
      </c>
      <c r="H1464" s="30">
        <f>STORAGE_BALANCE_ENSEMBLE!CM21</f>
        <v>33480236.17718504</v>
      </c>
      <c r="I1464" s="18">
        <f t="shared" si="223"/>
        <v>1</v>
      </c>
      <c r="J1464" s="8">
        <f t="shared" si="215"/>
        <v>0</v>
      </c>
      <c r="K1464" s="9">
        <f t="shared" si="216"/>
        <v>0</v>
      </c>
      <c r="L1464" s="10">
        <f t="shared" si="217"/>
        <v>0</v>
      </c>
      <c r="M1464" s="10">
        <f>IF(I1464&lt;&gt;1,"",IF(H1464="","",H1464/CONTROL_PANEL!$B$11))</f>
        <v>0.66960472354370082</v>
      </c>
      <c r="N1464" s="9">
        <f t="shared" si="218"/>
        <v>0</v>
      </c>
      <c r="O1464" s="9">
        <f t="shared" si="219"/>
        <v>0</v>
      </c>
      <c r="P1464" s="9">
        <f t="shared" si="220"/>
        <v>0</v>
      </c>
      <c r="Q1464" s="9">
        <f t="shared" si="221"/>
        <v>0</v>
      </c>
      <c r="R1464" s="11"/>
      <c r="S1464" s="11" t="str">
        <f t="shared" si="222"/>
        <v>PASS</v>
      </c>
    </row>
    <row r="1465" spans="1:19" x14ac:dyDescent="0.25">
      <c r="A1465" s="30" t="s">
        <v>99</v>
      </c>
      <c r="B1465" s="31">
        <f t="shared" si="213"/>
        <v>42795</v>
      </c>
      <c r="C1465" s="30">
        <f>YEAR(BInputReservoir[[#This Row],[Date]])</f>
        <v>2017</v>
      </c>
      <c r="D1465" s="30">
        <f>MONTH(BInputReservoir[[#This Row],[Date]])</f>
        <v>3</v>
      </c>
      <c r="E1465" s="30">
        <f>IF(I1465&lt;&gt;1,"",DATA_INPUT!O22)</f>
        <v>0</v>
      </c>
      <c r="F1465" s="30">
        <f>STORAGE_BALANCE_ENSEMBLE!CN22</f>
        <v>0</v>
      </c>
      <c r="G1465" s="30">
        <f>STORAGE_BALANCE_ENSEMBLE!CO22</f>
        <v>0</v>
      </c>
      <c r="H1465" s="30">
        <f>STORAGE_BALANCE_ENSEMBLE!CM22</f>
        <v>33772889.876120567</v>
      </c>
      <c r="I1465" s="18">
        <f t="shared" si="223"/>
        <v>1</v>
      </c>
      <c r="J1465" s="8">
        <f t="shared" si="215"/>
        <v>0</v>
      </c>
      <c r="K1465" s="9">
        <f t="shared" si="216"/>
        <v>0</v>
      </c>
      <c r="L1465" s="10">
        <f t="shared" si="217"/>
        <v>0</v>
      </c>
      <c r="M1465" s="10">
        <f>IF(I1465&lt;&gt;1,"",IF(H1465="","",H1465/CONTROL_PANEL!$B$11))</f>
        <v>0.67545779752241131</v>
      </c>
      <c r="N1465" s="9">
        <f t="shared" si="218"/>
        <v>0</v>
      </c>
      <c r="O1465" s="9">
        <f t="shared" si="219"/>
        <v>0</v>
      </c>
      <c r="P1465" s="9">
        <f t="shared" si="220"/>
        <v>0</v>
      </c>
      <c r="Q1465" s="9">
        <f t="shared" si="221"/>
        <v>0</v>
      </c>
      <c r="R1465" s="11"/>
      <c r="S1465" s="11" t="str">
        <f t="shared" si="222"/>
        <v>PASS</v>
      </c>
    </row>
    <row r="1466" spans="1:19" x14ac:dyDescent="0.25">
      <c r="A1466" s="30" t="s">
        <v>99</v>
      </c>
      <c r="B1466" s="31">
        <f t="shared" si="213"/>
        <v>42826</v>
      </c>
      <c r="C1466" s="30">
        <f>YEAR(BInputReservoir[[#This Row],[Date]])</f>
        <v>2017</v>
      </c>
      <c r="D1466" s="30">
        <f>MONTH(BInputReservoir[[#This Row],[Date]])</f>
        <v>4</v>
      </c>
      <c r="E1466" s="30">
        <f>IF(I1466&lt;&gt;1,"",DATA_INPUT!O23)</f>
        <v>60012.626179794999</v>
      </c>
      <c r="F1466" s="30">
        <f>STORAGE_BALANCE_ENSEMBLE!CN23</f>
        <v>0</v>
      </c>
      <c r="G1466" s="30">
        <f>STORAGE_BALANCE_ENSEMBLE!CO23</f>
        <v>0</v>
      </c>
      <c r="H1466" s="30">
        <f>STORAGE_BALANCE_ENSEMBLE!CM23</f>
        <v>33384201.197031893</v>
      </c>
      <c r="I1466" s="18">
        <f t="shared" si="223"/>
        <v>1</v>
      </c>
      <c r="J1466" s="8">
        <f t="shared" si="215"/>
        <v>60012.626179794999</v>
      </c>
      <c r="K1466" s="9">
        <f t="shared" si="216"/>
        <v>0</v>
      </c>
      <c r="L1466" s="10">
        <f t="shared" si="217"/>
        <v>0</v>
      </c>
      <c r="M1466" s="10">
        <f>IF(I1466&lt;&gt;1,"",IF(H1466="","",H1466/CONTROL_PANEL!$B$11))</f>
        <v>0.66768402394063786</v>
      </c>
      <c r="N1466" s="9">
        <f t="shared" si="218"/>
        <v>0</v>
      </c>
      <c r="O1466" s="9">
        <f t="shared" si="219"/>
        <v>0</v>
      </c>
      <c r="P1466" s="9">
        <f t="shared" si="220"/>
        <v>0</v>
      </c>
      <c r="Q1466" s="9">
        <f t="shared" si="221"/>
        <v>0</v>
      </c>
      <c r="R1466" s="11"/>
      <c r="S1466" s="11" t="str">
        <f t="shared" si="222"/>
        <v>PASS</v>
      </c>
    </row>
    <row r="1467" spans="1:19" x14ac:dyDescent="0.25">
      <c r="A1467" s="30" t="s">
        <v>99</v>
      </c>
      <c r="B1467" s="31">
        <f t="shared" si="213"/>
        <v>42856</v>
      </c>
      <c r="C1467" s="30">
        <f>YEAR(BInputReservoir[[#This Row],[Date]])</f>
        <v>2017</v>
      </c>
      <c r="D1467" s="30">
        <f>MONTH(BInputReservoir[[#This Row],[Date]])</f>
        <v>5</v>
      </c>
      <c r="E1467" s="30">
        <f>IF(I1467&lt;&gt;1,"",DATA_INPUT!O24)</f>
        <v>187580.11999381441</v>
      </c>
      <c r="F1467" s="30">
        <f>STORAGE_BALANCE_ENSEMBLE!CN24</f>
        <v>0</v>
      </c>
      <c r="G1467" s="30">
        <f>STORAGE_BALANCE_ENSEMBLE!CO24</f>
        <v>0</v>
      </c>
      <c r="H1467" s="30">
        <f>STORAGE_BALANCE_ENSEMBLE!CM24</f>
        <v>32958895.220952112</v>
      </c>
      <c r="I1467" s="18">
        <f t="shared" si="223"/>
        <v>1</v>
      </c>
      <c r="J1467" s="8">
        <f t="shared" si="215"/>
        <v>187580.11999381441</v>
      </c>
      <c r="K1467" s="9">
        <f t="shared" si="216"/>
        <v>0</v>
      </c>
      <c r="L1467" s="10">
        <f t="shared" si="217"/>
        <v>0</v>
      </c>
      <c r="M1467" s="10">
        <f>IF(I1467&lt;&gt;1,"",IF(H1467="","",H1467/CONTROL_PANEL!$B$11))</f>
        <v>0.65917790441904223</v>
      </c>
      <c r="N1467" s="9">
        <f t="shared" si="218"/>
        <v>0</v>
      </c>
      <c r="O1467" s="9">
        <f t="shared" si="219"/>
        <v>0</v>
      </c>
      <c r="P1467" s="9">
        <f t="shared" si="220"/>
        <v>0</v>
      </c>
      <c r="Q1467" s="9">
        <f t="shared" si="221"/>
        <v>0</v>
      </c>
      <c r="R1467" s="11"/>
      <c r="S1467" s="11" t="str">
        <f t="shared" si="222"/>
        <v>PASS</v>
      </c>
    </row>
    <row r="1468" spans="1:19" x14ac:dyDescent="0.25">
      <c r="A1468" s="30" t="s">
        <v>99</v>
      </c>
      <c r="B1468" s="31">
        <f t="shared" si="213"/>
        <v>42887</v>
      </c>
      <c r="C1468" s="30">
        <f>YEAR(BInputReservoir[[#This Row],[Date]])</f>
        <v>2017</v>
      </c>
      <c r="D1468" s="30">
        <f>MONTH(BInputReservoir[[#This Row],[Date]])</f>
        <v>6</v>
      </c>
      <c r="E1468" s="30">
        <f>IF(I1468&lt;&gt;1,"",DATA_INPUT!O25)</f>
        <v>1174945.4984360221</v>
      </c>
      <c r="F1468" s="30">
        <f>STORAGE_BALANCE_ENSEMBLE!CN25</f>
        <v>0</v>
      </c>
      <c r="G1468" s="30">
        <f>STORAGE_BALANCE_ENSEMBLE!CO25</f>
        <v>0</v>
      </c>
      <c r="H1468" s="30">
        <f>STORAGE_BALANCE_ENSEMBLE!CM25</f>
        <v>31080652.786201805</v>
      </c>
      <c r="I1468" s="18">
        <f t="shared" si="223"/>
        <v>1</v>
      </c>
      <c r="J1468" s="8">
        <f t="shared" si="215"/>
        <v>1174945.4984360221</v>
      </c>
      <c r="K1468" s="9">
        <f t="shared" si="216"/>
        <v>0</v>
      </c>
      <c r="L1468" s="10">
        <f t="shared" si="217"/>
        <v>0</v>
      </c>
      <c r="M1468" s="10">
        <f>IF(I1468&lt;&gt;1,"",IF(H1468="","",H1468/CONTROL_PANEL!$B$11))</f>
        <v>0.62161305572403613</v>
      </c>
      <c r="N1468" s="9">
        <f t="shared" si="218"/>
        <v>0</v>
      </c>
      <c r="O1468" s="9">
        <f t="shared" si="219"/>
        <v>0</v>
      </c>
      <c r="P1468" s="9">
        <f t="shared" si="220"/>
        <v>0</v>
      </c>
      <c r="Q1468" s="9">
        <f t="shared" si="221"/>
        <v>0</v>
      </c>
      <c r="R1468" s="11"/>
      <c r="S1468" s="11" t="str">
        <f t="shared" si="222"/>
        <v>PASS</v>
      </c>
    </row>
    <row r="1469" spans="1:19" x14ac:dyDescent="0.25">
      <c r="A1469" s="30" t="s">
        <v>99</v>
      </c>
      <c r="B1469" s="31">
        <f t="shared" si="213"/>
        <v>42917</v>
      </c>
      <c r="C1469" s="30">
        <f>YEAR(BInputReservoir[[#This Row],[Date]])</f>
        <v>2017</v>
      </c>
      <c r="D1469" s="30">
        <f>MONTH(BInputReservoir[[#This Row],[Date]])</f>
        <v>7</v>
      </c>
      <c r="E1469" s="30">
        <f>IF(I1469&lt;&gt;1,"",DATA_INPUT!O26)</f>
        <v>2249328.9880881626</v>
      </c>
      <c r="F1469" s="30">
        <f>STORAGE_BALANCE_ENSEMBLE!CN26</f>
        <v>0</v>
      </c>
      <c r="G1469" s="30">
        <f>STORAGE_BALANCE_ENSEMBLE!CO26</f>
        <v>0</v>
      </c>
      <c r="H1469" s="30">
        <f>STORAGE_BALANCE_ENSEMBLE!CM26</f>
        <v>28039023.305796247</v>
      </c>
      <c r="I1469" s="18">
        <f t="shared" si="223"/>
        <v>1</v>
      </c>
      <c r="J1469" s="8">
        <f t="shared" si="215"/>
        <v>2249328.9880881626</v>
      </c>
      <c r="K1469" s="9">
        <f t="shared" si="216"/>
        <v>0</v>
      </c>
      <c r="L1469" s="10">
        <f t="shared" si="217"/>
        <v>0</v>
      </c>
      <c r="M1469" s="10">
        <f>IF(I1469&lt;&gt;1,"",IF(H1469="","",H1469/CONTROL_PANEL!$B$11))</f>
        <v>0.56078046611592491</v>
      </c>
      <c r="N1469" s="9">
        <f t="shared" si="218"/>
        <v>0</v>
      </c>
      <c r="O1469" s="9">
        <f t="shared" si="219"/>
        <v>0</v>
      </c>
      <c r="P1469" s="9">
        <f t="shared" si="220"/>
        <v>0</v>
      </c>
      <c r="Q1469" s="9">
        <f t="shared" si="221"/>
        <v>0</v>
      </c>
      <c r="R1469" s="11"/>
      <c r="S1469" s="11" t="str">
        <f t="shared" si="222"/>
        <v>PASS</v>
      </c>
    </row>
    <row r="1470" spans="1:19" x14ac:dyDescent="0.25">
      <c r="A1470" s="30" t="s">
        <v>99</v>
      </c>
      <c r="B1470" s="31">
        <f t="shared" si="213"/>
        <v>42948</v>
      </c>
      <c r="C1470" s="30">
        <f>YEAR(BInputReservoir[[#This Row],[Date]])</f>
        <v>2017</v>
      </c>
      <c r="D1470" s="30">
        <f>MONTH(BInputReservoir[[#This Row],[Date]])</f>
        <v>8</v>
      </c>
      <c r="E1470" s="30">
        <f>IF(I1470&lt;&gt;1,"",DATA_INPUT!O27)</f>
        <v>1484043.4720105585</v>
      </c>
      <c r="F1470" s="30">
        <f>STORAGE_BALANCE_ENSEMBLE!CN27</f>
        <v>0</v>
      </c>
      <c r="G1470" s="30">
        <f>STORAGE_BALANCE_ENSEMBLE!CO27</f>
        <v>0</v>
      </c>
      <c r="H1470" s="30">
        <f>STORAGE_BALANCE_ENSEMBLE!CM27</f>
        <v>25891012.435793184</v>
      </c>
      <c r="I1470" s="18">
        <f t="shared" si="223"/>
        <v>1</v>
      </c>
      <c r="J1470" s="8">
        <f t="shared" si="215"/>
        <v>1484043.4720105585</v>
      </c>
      <c r="K1470" s="9">
        <f t="shared" si="216"/>
        <v>0</v>
      </c>
      <c r="L1470" s="10">
        <f t="shared" si="217"/>
        <v>0</v>
      </c>
      <c r="M1470" s="10">
        <f>IF(I1470&lt;&gt;1,"",IF(H1470="","",H1470/CONTROL_PANEL!$B$11))</f>
        <v>0.51782024871586363</v>
      </c>
      <c r="N1470" s="9">
        <f t="shared" si="218"/>
        <v>0</v>
      </c>
      <c r="O1470" s="9">
        <f t="shared" si="219"/>
        <v>0</v>
      </c>
      <c r="P1470" s="9">
        <f t="shared" si="220"/>
        <v>0</v>
      </c>
      <c r="Q1470" s="9">
        <f t="shared" si="221"/>
        <v>0</v>
      </c>
      <c r="R1470" s="11"/>
      <c r="S1470" s="11" t="str">
        <f t="shared" si="222"/>
        <v>PASS</v>
      </c>
    </row>
    <row r="1471" spans="1:19" x14ac:dyDescent="0.25">
      <c r="A1471" s="30" t="s">
        <v>99</v>
      </c>
      <c r="B1471" s="31">
        <f t="shared" si="213"/>
        <v>42979</v>
      </c>
      <c r="C1471" s="30">
        <f>YEAR(BInputReservoir[[#This Row],[Date]])</f>
        <v>2017</v>
      </c>
      <c r="D1471" s="30">
        <f>MONTH(BInputReservoir[[#This Row],[Date]])</f>
        <v>9</v>
      </c>
      <c r="E1471" s="30">
        <f>IF(I1471&lt;&gt;1,"",DATA_INPUT!O28)</f>
        <v>880322.68332878163</v>
      </c>
      <c r="F1471" s="30">
        <f>STORAGE_BALANCE_ENSEMBLE!CN28</f>
        <v>0</v>
      </c>
      <c r="G1471" s="30">
        <f>STORAGE_BALANCE_ENSEMBLE!CO28</f>
        <v>0</v>
      </c>
      <c r="H1471" s="30">
        <f>STORAGE_BALANCE_ENSEMBLE!CM28</f>
        <v>24540031.268064771</v>
      </c>
      <c r="I1471" s="18">
        <f t="shared" si="223"/>
        <v>1</v>
      </c>
      <c r="J1471" s="8">
        <f t="shared" si="215"/>
        <v>880322.68332878163</v>
      </c>
      <c r="K1471" s="9">
        <f t="shared" si="216"/>
        <v>0</v>
      </c>
      <c r="L1471" s="10">
        <f t="shared" si="217"/>
        <v>0</v>
      </c>
      <c r="M1471" s="10">
        <f>IF(I1471&lt;&gt;1,"",IF(H1471="","",H1471/CONTROL_PANEL!$B$11))</f>
        <v>0.49080062536129543</v>
      </c>
      <c r="N1471" s="9">
        <f t="shared" si="218"/>
        <v>0</v>
      </c>
      <c r="O1471" s="9">
        <f t="shared" si="219"/>
        <v>0</v>
      </c>
      <c r="P1471" s="9">
        <f t="shared" si="220"/>
        <v>0</v>
      </c>
      <c r="Q1471" s="9">
        <f t="shared" si="221"/>
        <v>0</v>
      </c>
      <c r="R1471" s="11"/>
      <c r="S1471" s="11" t="str">
        <f t="shared" si="222"/>
        <v>PASS</v>
      </c>
    </row>
    <row r="1472" spans="1:19" x14ac:dyDescent="0.25">
      <c r="A1472" s="30" t="s">
        <v>99</v>
      </c>
      <c r="B1472" s="31">
        <f t="shared" ref="B1472:B1535" si="224">B389</f>
        <v>43009</v>
      </c>
      <c r="C1472" s="30">
        <f>YEAR(BInputReservoir[[#This Row],[Date]])</f>
        <v>2017</v>
      </c>
      <c r="D1472" s="30">
        <f>MONTH(BInputReservoir[[#This Row],[Date]])</f>
        <v>10</v>
      </c>
      <c r="E1472" s="30">
        <f>IF(I1472&lt;&gt;1,"",DATA_INPUT!O29)</f>
        <v>378198.13595491659</v>
      </c>
      <c r="F1472" s="30">
        <f>STORAGE_BALANCE_ENSEMBLE!CN29</f>
        <v>0</v>
      </c>
      <c r="G1472" s="30">
        <f>STORAGE_BALANCE_ENSEMBLE!CO29</f>
        <v>0</v>
      </c>
      <c r="H1472" s="30">
        <f>STORAGE_BALANCE_ENSEMBLE!CM29</f>
        <v>23980768.167800784</v>
      </c>
      <c r="I1472" s="18">
        <f t="shared" si="223"/>
        <v>1</v>
      </c>
      <c r="J1472" s="8">
        <f t="shared" si="215"/>
        <v>378198.13595491659</v>
      </c>
      <c r="K1472" s="9">
        <f t="shared" si="216"/>
        <v>0</v>
      </c>
      <c r="L1472" s="10">
        <f t="shared" si="217"/>
        <v>0</v>
      </c>
      <c r="M1472" s="10">
        <f>IF(I1472&lt;&gt;1,"",IF(H1472="","",H1472/CONTROL_PANEL!$B$11))</f>
        <v>0.47961536335601568</v>
      </c>
      <c r="N1472" s="9">
        <f t="shared" si="218"/>
        <v>0</v>
      </c>
      <c r="O1472" s="9">
        <f t="shared" si="219"/>
        <v>0</v>
      </c>
      <c r="P1472" s="9">
        <f t="shared" si="220"/>
        <v>0</v>
      </c>
      <c r="Q1472" s="9">
        <f t="shared" si="221"/>
        <v>0</v>
      </c>
      <c r="R1472" s="11"/>
      <c r="S1472" s="11" t="str">
        <f t="shared" si="222"/>
        <v>PASS</v>
      </c>
    </row>
    <row r="1473" spans="1:19" x14ac:dyDescent="0.25">
      <c r="A1473" s="30" t="s">
        <v>99</v>
      </c>
      <c r="B1473" s="31">
        <f t="shared" si="224"/>
        <v>43040</v>
      </c>
      <c r="C1473" s="30">
        <f>YEAR(BInputReservoir[[#This Row],[Date]])</f>
        <v>2017</v>
      </c>
      <c r="D1473" s="30">
        <f>MONTH(BInputReservoir[[#This Row],[Date]])</f>
        <v>11</v>
      </c>
      <c r="E1473" s="30">
        <f>IF(I1473&lt;&gt;1,"",DATA_INPUT!O30)</f>
        <v>0</v>
      </c>
      <c r="F1473" s="30">
        <f>STORAGE_BALANCE_ENSEMBLE!CN30</f>
        <v>0</v>
      </c>
      <c r="G1473" s="30">
        <f>STORAGE_BALANCE_ENSEMBLE!CO30</f>
        <v>0</v>
      </c>
      <c r="H1473" s="30">
        <f>STORAGE_BALANCE_ENSEMBLE!CM30</f>
        <v>24021480.047647733</v>
      </c>
      <c r="I1473" s="18">
        <f t="shared" si="223"/>
        <v>1</v>
      </c>
      <c r="J1473" s="8">
        <f t="shared" si="215"/>
        <v>0</v>
      </c>
      <c r="K1473" s="9">
        <f t="shared" si="216"/>
        <v>0</v>
      </c>
      <c r="L1473" s="10">
        <f t="shared" si="217"/>
        <v>0</v>
      </c>
      <c r="M1473" s="10">
        <f>IF(I1473&lt;&gt;1,"",IF(H1473="","",H1473/CONTROL_PANEL!$B$11))</f>
        <v>0.48042960095295467</v>
      </c>
      <c r="N1473" s="9">
        <f t="shared" si="218"/>
        <v>0</v>
      </c>
      <c r="O1473" s="9">
        <f t="shared" si="219"/>
        <v>0</v>
      </c>
      <c r="P1473" s="9">
        <f t="shared" si="220"/>
        <v>0</v>
      </c>
      <c r="Q1473" s="9">
        <f t="shared" si="221"/>
        <v>0</v>
      </c>
      <c r="R1473" s="11"/>
      <c r="S1473" s="11" t="str">
        <f t="shared" si="222"/>
        <v>PASS</v>
      </c>
    </row>
    <row r="1474" spans="1:19" x14ac:dyDescent="0.25">
      <c r="A1474" s="30" t="s">
        <v>99</v>
      </c>
      <c r="B1474" s="31">
        <f t="shared" si="224"/>
        <v>43070</v>
      </c>
      <c r="C1474" s="30">
        <f>YEAR(BInputReservoir[[#This Row],[Date]])</f>
        <v>2017</v>
      </c>
      <c r="D1474" s="30">
        <f>MONTH(BInputReservoir[[#This Row],[Date]])</f>
        <v>12</v>
      </c>
      <c r="E1474" s="30">
        <f>IF(I1474&lt;&gt;1,"",DATA_INPUT!O31)</f>
        <v>0</v>
      </c>
      <c r="F1474" s="30">
        <f>STORAGE_BALANCE_ENSEMBLE!CN31</f>
        <v>0</v>
      </c>
      <c r="G1474" s="30">
        <f>STORAGE_BALANCE_ENSEMBLE!CO31</f>
        <v>0</v>
      </c>
      <c r="H1474" s="30">
        <f>STORAGE_BALANCE_ENSEMBLE!CM31</f>
        <v>24125822.800540805</v>
      </c>
      <c r="I1474" s="18">
        <f t="shared" si="223"/>
        <v>1</v>
      </c>
      <c r="J1474" s="8">
        <f t="shared" si="215"/>
        <v>0</v>
      </c>
      <c r="K1474" s="9">
        <f t="shared" si="216"/>
        <v>0</v>
      </c>
      <c r="L1474" s="10">
        <f t="shared" si="217"/>
        <v>0</v>
      </c>
      <c r="M1474" s="10">
        <f>IF(I1474&lt;&gt;1,"",IF(H1474="","",H1474/CONTROL_PANEL!$B$11))</f>
        <v>0.48251645601081611</v>
      </c>
      <c r="N1474" s="9">
        <f t="shared" si="218"/>
        <v>0</v>
      </c>
      <c r="O1474" s="9">
        <f t="shared" si="219"/>
        <v>0</v>
      </c>
      <c r="P1474" s="9">
        <f t="shared" si="220"/>
        <v>0</v>
      </c>
      <c r="Q1474" s="9">
        <f t="shared" si="221"/>
        <v>0</v>
      </c>
      <c r="R1474" s="11"/>
      <c r="S1474" s="11" t="str">
        <f t="shared" si="222"/>
        <v>PASS</v>
      </c>
    </row>
    <row r="1475" spans="1:19" x14ac:dyDescent="0.25">
      <c r="A1475" s="30" t="s">
        <v>99</v>
      </c>
      <c r="B1475" s="31">
        <f t="shared" si="224"/>
        <v>43101</v>
      </c>
      <c r="C1475" s="30">
        <f>YEAR(BInputReservoir[[#This Row],[Date]])</f>
        <v>2018</v>
      </c>
      <c r="D1475" s="30">
        <f>MONTH(BInputReservoir[[#This Row],[Date]])</f>
        <v>1</v>
      </c>
      <c r="E1475" s="30">
        <f>IF(I1475&lt;&gt;1,"",DATA_INPUT!O32)</f>
        <v>0</v>
      </c>
      <c r="F1475" s="30">
        <f>STORAGE_BALANCE_ENSEMBLE!CN32</f>
        <v>0</v>
      </c>
      <c r="G1475" s="30">
        <f>STORAGE_BALANCE_ENSEMBLE!CO32</f>
        <v>0</v>
      </c>
      <c r="H1475" s="30">
        <f>STORAGE_BALANCE_ENSEMBLE!CM32</f>
        <v>24235067.872259673</v>
      </c>
      <c r="I1475" s="18">
        <f t="shared" si="223"/>
        <v>1</v>
      </c>
      <c r="J1475" s="8">
        <f t="shared" si="215"/>
        <v>0</v>
      </c>
      <c r="K1475" s="9">
        <f t="shared" si="216"/>
        <v>0</v>
      </c>
      <c r="L1475" s="10">
        <f t="shared" si="217"/>
        <v>0</v>
      </c>
      <c r="M1475" s="10">
        <f>IF(I1475&lt;&gt;1,"",IF(H1475="","",H1475/CONTROL_PANEL!$B$11))</f>
        <v>0.48470135744519344</v>
      </c>
      <c r="N1475" s="9">
        <f t="shared" si="218"/>
        <v>0</v>
      </c>
      <c r="O1475" s="9">
        <f t="shared" si="219"/>
        <v>0</v>
      </c>
      <c r="P1475" s="9">
        <f t="shared" si="220"/>
        <v>0</v>
      </c>
      <c r="Q1475" s="9">
        <f t="shared" si="221"/>
        <v>0</v>
      </c>
      <c r="R1475" s="11"/>
      <c r="S1475" s="11" t="str">
        <f t="shared" si="222"/>
        <v>PASS</v>
      </c>
    </row>
    <row r="1476" spans="1:19" x14ac:dyDescent="0.25">
      <c r="A1476" s="30" t="s">
        <v>99</v>
      </c>
      <c r="B1476" s="31">
        <f t="shared" si="224"/>
        <v>43132</v>
      </c>
      <c r="C1476" s="30">
        <f>YEAR(BInputReservoir[[#This Row],[Date]])</f>
        <v>2018</v>
      </c>
      <c r="D1476" s="30">
        <f>MONTH(BInputReservoir[[#This Row],[Date]])</f>
        <v>2</v>
      </c>
      <c r="E1476" s="30">
        <f>IF(I1476&lt;&gt;1,"",DATA_INPUT!O33)</f>
        <v>0</v>
      </c>
      <c r="F1476" s="30">
        <f>STORAGE_BALANCE_ENSEMBLE!CN33</f>
        <v>0</v>
      </c>
      <c r="G1476" s="30">
        <f>STORAGE_BALANCE_ENSEMBLE!CO33</f>
        <v>0</v>
      </c>
      <c r="H1476" s="30">
        <f>STORAGE_BALANCE_ENSEMBLE!CM33</f>
        <v>29950083.400212768</v>
      </c>
      <c r="I1476" s="18">
        <f t="shared" si="223"/>
        <v>1</v>
      </c>
      <c r="J1476" s="8">
        <f t="shared" si="215"/>
        <v>0</v>
      </c>
      <c r="K1476" s="9">
        <f t="shared" si="216"/>
        <v>0</v>
      </c>
      <c r="L1476" s="10">
        <f t="shared" si="217"/>
        <v>0</v>
      </c>
      <c r="M1476" s="10">
        <f>IF(I1476&lt;&gt;1,"",IF(H1476="","",H1476/CONTROL_PANEL!$B$11))</f>
        <v>0.59900166800425536</v>
      </c>
      <c r="N1476" s="9">
        <f t="shared" si="218"/>
        <v>0</v>
      </c>
      <c r="O1476" s="9">
        <f t="shared" si="219"/>
        <v>0</v>
      </c>
      <c r="P1476" s="9">
        <f t="shared" si="220"/>
        <v>0</v>
      </c>
      <c r="Q1476" s="9">
        <f t="shared" si="221"/>
        <v>0</v>
      </c>
      <c r="R1476" s="11"/>
      <c r="S1476" s="11" t="str">
        <f t="shared" si="222"/>
        <v>PASS</v>
      </c>
    </row>
    <row r="1477" spans="1:19" x14ac:dyDescent="0.25">
      <c r="A1477" s="30" t="s">
        <v>99</v>
      </c>
      <c r="B1477" s="31">
        <f t="shared" si="224"/>
        <v>43160</v>
      </c>
      <c r="C1477" s="30">
        <f>YEAR(BInputReservoir[[#This Row],[Date]])</f>
        <v>2018</v>
      </c>
      <c r="D1477" s="30">
        <f>MONTH(BInputReservoir[[#This Row],[Date]])</f>
        <v>3</v>
      </c>
      <c r="E1477" s="30">
        <f>IF(I1477&lt;&gt;1,"",DATA_INPUT!O34)</f>
        <v>0</v>
      </c>
      <c r="F1477" s="30">
        <f>STORAGE_BALANCE_ENSEMBLE!CN34</f>
        <v>0</v>
      </c>
      <c r="G1477" s="30">
        <f>STORAGE_BALANCE_ENSEMBLE!CO34</f>
        <v>0</v>
      </c>
      <c r="H1477" s="30">
        <f>STORAGE_BALANCE_ENSEMBLE!CM34</f>
        <v>33126923.945090476</v>
      </c>
      <c r="I1477" s="18">
        <f t="shared" si="223"/>
        <v>1</v>
      </c>
      <c r="J1477" s="8">
        <f t="shared" ref="J1477:J1540" si="225">IF(I1477&lt;&gt;1,"",IF(E1477="","",MAX(0,E1477-G1477)))</f>
        <v>0</v>
      </c>
      <c r="K1477" s="9">
        <f t="shared" ref="K1477:K1540" si="226">IF(I1477&lt;&gt;1,"",IF(OR(G1477="",E1477=""),"",IF(G1477&gt;0,1,0)))</f>
        <v>0</v>
      </c>
      <c r="L1477" s="10">
        <f t="shared" ref="L1477:L1540" si="227">IF(I1477&lt;&gt;1,"",IF(AND(K1477=1,E1477&gt;0),G1477/E1477,0))</f>
        <v>0</v>
      </c>
      <c r="M1477" s="10">
        <f>IF(I1477&lt;&gt;1,"",IF(H1477="","",H1477/CONTROL_PANEL!$B$11))</f>
        <v>0.6625384789018095</v>
      </c>
      <c r="N1477" s="9">
        <f t="shared" ref="N1477:N1540" si="228">IF(I1477&lt;&gt;1,"",IF(AND(K1477=1,A1478=A1477),1,0))</f>
        <v>0</v>
      </c>
      <c r="O1477" s="9">
        <f t="shared" ref="O1477:O1540" si="229">IF(I1477&lt;&gt;1,"",IF(AND(K1477=1,A1478=A1477,K1478=0),1,0))</f>
        <v>0</v>
      </c>
      <c r="P1477" s="9">
        <f t="shared" ref="P1477:P1540" si="230">IF(I1477&lt;&gt;1,"",IF(F1477&gt;0,1,0))</f>
        <v>0</v>
      </c>
      <c r="Q1477" s="9">
        <f t="shared" ref="Q1477:Q1540" si="231">IF(I1477&lt;&gt;1,"",IF(G1477&gt;0,1,0))</f>
        <v>0</v>
      </c>
      <c r="R1477" s="11"/>
      <c r="S1477" s="11" t="str">
        <f t="shared" si="222"/>
        <v>PASS</v>
      </c>
    </row>
    <row r="1478" spans="1:19" x14ac:dyDescent="0.25">
      <c r="A1478" s="30" t="s">
        <v>99</v>
      </c>
      <c r="B1478" s="31">
        <f t="shared" si="224"/>
        <v>43191</v>
      </c>
      <c r="C1478" s="30">
        <f>YEAR(BInputReservoir[[#This Row],[Date]])</f>
        <v>2018</v>
      </c>
      <c r="D1478" s="30">
        <f>MONTH(BInputReservoir[[#This Row],[Date]])</f>
        <v>4</v>
      </c>
      <c r="E1478" s="30">
        <f>IF(I1478&lt;&gt;1,"",DATA_INPUT!O35)</f>
        <v>188.20561204433957</v>
      </c>
      <c r="F1478" s="30">
        <f>STORAGE_BALANCE_ENSEMBLE!CN35</f>
        <v>0</v>
      </c>
      <c r="G1478" s="30">
        <f>STORAGE_BALANCE_ENSEMBLE!CO35</f>
        <v>0</v>
      </c>
      <c r="H1478" s="30">
        <f>STORAGE_BALANCE_ENSEMBLE!CM35</f>
        <v>33918673.226512603</v>
      </c>
      <c r="I1478" s="18">
        <f t="shared" si="223"/>
        <v>1</v>
      </c>
      <c r="J1478" s="8">
        <f t="shared" si="225"/>
        <v>188.20561204433957</v>
      </c>
      <c r="K1478" s="9">
        <f t="shared" si="226"/>
        <v>0</v>
      </c>
      <c r="L1478" s="10">
        <f t="shared" si="227"/>
        <v>0</v>
      </c>
      <c r="M1478" s="10">
        <f>IF(I1478&lt;&gt;1,"",IF(H1478="","",H1478/CONTROL_PANEL!$B$11))</f>
        <v>0.67837346453025205</v>
      </c>
      <c r="N1478" s="9">
        <f t="shared" si="228"/>
        <v>0</v>
      </c>
      <c r="O1478" s="9">
        <f t="shared" si="229"/>
        <v>0</v>
      </c>
      <c r="P1478" s="9">
        <f t="shared" si="230"/>
        <v>0</v>
      </c>
      <c r="Q1478" s="9">
        <f t="shared" si="231"/>
        <v>0</v>
      </c>
      <c r="R1478" s="11"/>
      <c r="S1478" s="11" t="str">
        <f t="shared" si="222"/>
        <v>PASS</v>
      </c>
    </row>
    <row r="1479" spans="1:19" x14ac:dyDescent="0.25">
      <c r="A1479" s="30" t="s">
        <v>99</v>
      </c>
      <c r="B1479" s="31">
        <f t="shared" si="224"/>
        <v>43221</v>
      </c>
      <c r="C1479" s="30">
        <f>YEAR(BInputReservoir[[#This Row],[Date]])</f>
        <v>2018</v>
      </c>
      <c r="D1479" s="30">
        <f>MONTH(BInputReservoir[[#This Row],[Date]])</f>
        <v>5</v>
      </c>
      <c r="E1479" s="30">
        <f>IF(I1479&lt;&gt;1,"",DATA_INPUT!O36)</f>
        <v>66280.07875558798</v>
      </c>
      <c r="F1479" s="30">
        <f>STORAGE_BALANCE_ENSEMBLE!CN36</f>
        <v>0</v>
      </c>
      <c r="G1479" s="30">
        <f>STORAGE_BALANCE_ENSEMBLE!CO36</f>
        <v>0</v>
      </c>
      <c r="H1479" s="30">
        <f>STORAGE_BALANCE_ENSEMBLE!CM36</f>
        <v>33760414.818940356</v>
      </c>
      <c r="I1479" s="18">
        <f t="shared" si="223"/>
        <v>1</v>
      </c>
      <c r="J1479" s="8">
        <f t="shared" si="225"/>
        <v>66280.07875558798</v>
      </c>
      <c r="K1479" s="9">
        <f t="shared" si="226"/>
        <v>0</v>
      </c>
      <c r="L1479" s="10">
        <f t="shared" si="227"/>
        <v>0</v>
      </c>
      <c r="M1479" s="10">
        <f>IF(I1479&lt;&gt;1,"",IF(H1479="","",H1479/CONTROL_PANEL!$B$11))</f>
        <v>0.67520829637880708</v>
      </c>
      <c r="N1479" s="9">
        <f t="shared" si="228"/>
        <v>0</v>
      </c>
      <c r="O1479" s="9">
        <f t="shared" si="229"/>
        <v>0</v>
      </c>
      <c r="P1479" s="9">
        <f t="shared" si="230"/>
        <v>0</v>
      </c>
      <c r="Q1479" s="9">
        <f t="shared" si="231"/>
        <v>0</v>
      </c>
      <c r="R1479" s="11"/>
      <c r="S1479" s="11" t="str">
        <f t="shared" ref="S1479:S1542" si="232">IF(COUNTA(A1479:H1479)=0,"",IF(OR(A1479="",C1479="",D1479=""),"ERROR: missing key fields","PASS"))</f>
        <v>PASS</v>
      </c>
    </row>
    <row r="1480" spans="1:19" x14ac:dyDescent="0.25">
      <c r="A1480" s="30" t="s">
        <v>99</v>
      </c>
      <c r="B1480" s="31">
        <f t="shared" si="224"/>
        <v>43252</v>
      </c>
      <c r="C1480" s="30">
        <f>YEAR(BInputReservoir[[#This Row],[Date]])</f>
        <v>2018</v>
      </c>
      <c r="D1480" s="30">
        <f>MONTH(BInputReservoir[[#This Row],[Date]])</f>
        <v>6</v>
      </c>
      <c r="E1480" s="30">
        <f>IF(I1480&lt;&gt;1,"",DATA_INPUT!O37)</f>
        <v>309255.04809599358</v>
      </c>
      <c r="F1480" s="30">
        <f>STORAGE_BALANCE_ENSEMBLE!CN37</f>
        <v>0</v>
      </c>
      <c r="G1480" s="30">
        <f>STORAGE_BALANCE_ENSEMBLE!CO37</f>
        <v>0</v>
      </c>
      <c r="H1480" s="30">
        <f>STORAGE_BALANCE_ENSEMBLE!CM37</f>
        <v>32918788.911197137</v>
      </c>
      <c r="I1480" s="18">
        <f t="shared" si="223"/>
        <v>1</v>
      </c>
      <c r="J1480" s="8">
        <f t="shared" si="225"/>
        <v>309255.04809599358</v>
      </c>
      <c r="K1480" s="9">
        <f t="shared" si="226"/>
        <v>0</v>
      </c>
      <c r="L1480" s="10">
        <f t="shared" si="227"/>
        <v>0</v>
      </c>
      <c r="M1480" s="10">
        <f>IF(I1480&lt;&gt;1,"",IF(H1480="","",H1480/CONTROL_PANEL!$B$11))</f>
        <v>0.65837577822394278</v>
      </c>
      <c r="N1480" s="9">
        <f t="shared" si="228"/>
        <v>0</v>
      </c>
      <c r="O1480" s="9">
        <f t="shared" si="229"/>
        <v>0</v>
      </c>
      <c r="P1480" s="9">
        <f t="shared" si="230"/>
        <v>0</v>
      </c>
      <c r="Q1480" s="9">
        <f t="shared" si="231"/>
        <v>0</v>
      </c>
      <c r="R1480" s="11"/>
      <c r="S1480" s="11" t="str">
        <f t="shared" si="232"/>
        <v>PASS</v>
      </c>
    </row>
    <row r="1481" spans="1:19" x14ac:dyDescent="0.25">
      <c r="A1481" s="30" t="s">
        <v>99</v>
      </c>
      <c r="B1481" s="31">
        <f t="shared" si="224"/>
        <v>43282</v>
      </c>
      <c r="C1481" s="30">
        <f>YEAR(BInputReservoir[[#This Row],[Date]])</f>
        <v>2018</v>
      </c>
      <c r="D1481" s="30">
        <f>MONTH(BInputReservoir[[#This Row],[Date]])</f>
        <v>7</v>
      </c>
      <c r="E1481" s="30">
        <f>IF(I1481&lt;&gt;1,"",DATA_INPUT!O38)</f>
        <v>1413494.6585154303</v>
      </c>
      <c r="F1481" s="30">
        <f>STORAGE_BALANCE_ENSEMBLE!CN38</f>
        <v>0</v>
      </c>
      <c r="G1481" s="30">
        <f>STORAGE_BALANCE_ENSEMBLE!CO38</f>
        <v>0</v>
      </c>
      <c r="H1481" s="30">
        <f>STORAGE_BALANCE_ENSEMBLE!CM38</f>
        <v>30798111.694080118</v>
      </c>
      <c r="I1481" s="18">
        <f t="shared" si="223"/>
        <v>1</v>
      </c>
      <c r="J1481" s="8">
        <f t="shared" si="225"/>
        <v>1413494.6585154303</v>
      </c>
      <c r="K1481" s="9">
        <f t="shared" si="226"/>
        <v>0</v>
      </c>
      <c r="L1481" s="10">
        <f t="shared" si="227"/>
        <v>0</v>
      </c>
      <c r="M1481" s="10">
        <f>IF(I1481&lt;&gt;1,"",IF(H1481="","",H1481/CONTROL_PANEL!$B$11))</f>
        <v>0.61596223388160232</v>
      </c>
      <c r="N1481" s="9">
        <f t="shared" si="228"/>
        <v>0</v>
      </c>
      <c r="O1481" s="9">
        <f t="shared" si="229"/>
        <v>0</v>
      </c>
      <c r="P1481" s="9">
        <f t="shared" si="230"/>
        <v>0</v>
      </c>
      <c r="Q1481" s="9">
        <f t="shared" si="231"/>
        <v>0</v>
      </c>
      <c r="R1481" s="11"/>
      <c r="S1481" s="11" t="str">
        <f t="shared" si="232"/>
        <v>PASS</v>
      </c>
    </row>
    <row r="1482" spans="1:19" x14ac:dyDescent="0.25">
      <c r="A1482" s="30" t="s">
        <v>99</v>
      </c>
      <c r="B1482" s="31">
        <f t="shared" si="224"/>
        <v>43313</v>
      </c>
      <c r="C1482" s="30">
        <f>YEAR(BInputReservoir[[#This Row],[Date]])</f>
        <v>2018</v>
      </c>
      <c r="D1482" s="30">
        <f>MONTH(BInputReservoir[[#This Row],[Date]])</f>
        <v>8</v>
      </c>
      <c r="E1482" s="30">
        <f>IF(I1482&lt;&gt;1,"",DATA_INPUT!O39)</f>
        <v>2204094.4351454186</v>
      </c>
      <c r="F1482" s="30">
        <f>STORAGE_BALANCE_ENSEMBLE!CN39</f>
        <v>0</v>
      </c>
      <c r="G1482" s="30">
        <f>STORAGE_BALANCE_ENSEMBLE!CO39</f>
        <v>0</v>
      </c>
      <c r="H1482" s="30">
        <f>STORAGE_BALANCE_ENSEMBLE!CM39</f>
        <v>27778289.072669152</v>
      </c>
      <c r="I1482" s="18">
        <f t="shared" si="223"/>
        <v>1</v>
      </c>
      <c r="J1482" s="8">
        <f t="shared" si="225"/>
        <v>2204094.4351454186</v>
      </c>
      <c r="K1482" s="9">
        <f t="shared" si="226"/>
        <v>0</v>
      </c>
      <c r="L1482" s="10">
        <f t="shared" si="227"/>
        <v>0</v>
      </c>
      <c r="M1482" s="10">
        <f>IF(I1482&lt;&gt;1,"",IF(H1482="","",H1482/CONTROL_PANEL!$B$11))</f>
        <v>0.55556578145338309</v>
      </c>
      <c r="N1482" s="9">
        <f t="shared" si="228"/>
        <v>0</v>
      </c>
      <c r="O1482" s="9">
        <f t="shared" si="229"/>
        <v>0</v>
      </c>
      <c r="P1482" s="9">
        <f t="shared" si="230"/>
        <v>0</v>
      </c>
      <c r="Q1482" s="9">
        <f t="shared" si="231"/>
        <v>0</v>
      </c>
      <c r="R1482" s="11"/>
      <c r="S1482" s="11" t="str">
        <f t="shared" si="232"/>
        <v>PASS</v>
      </c>
    </row>
    <row r="1483" spans="1:19" x14ac:dyDescent="0.25">
      <c r="A1483" s="30" t="s">
        <v>99</v>
      </c>
      <c r="B1483" s="31">
        <f t="shared" si="224"/>
        <v>43344</v>
      </c>
      <c r="C1483" s="30">
        <f>YEAR(BInputReservoir[[#This Row],[Date]])</f>
        <v>2018</v>
      </c>
      <c r="D1483" s="30">
        <f>MONTH(BInputReservoir[[#This Row],[Date]])</f>
        <v>9</v>
      </c>
      <c r="E1483" s="30">
        <f>IF(I1483&lt;&gt;1,"",DATA_INPUT!O40)</f>
        <v>1201289.5143605154</v>
      </c>
      <c r="F1483" s="30">
        <f>STORAGE_BALANCE_ENSEMBLE!CN40</f>
        <v>0</v>
      </c>
      <c r="G1483" s="30">
        <f>STORAGE_BALANCE_ENSEMBLE!CO40</f>
        <v>0</v>
      </c>
      <c r="H1483" s="30">
        <f>STORAGE_BALANCE_ENSEMBLE!CM40</f>
        <v>26051336.285250578</v>
      </c>
      <c r="I1483" s="18">
        <f t="shared" si="223"/>
        <v>1</v>
      </c>
      <c r="J1483" s="8">
        <f t="shared" si="225"/>
        <v>1201289.5143605154</v>
      </c>
      <c r="K1483" s="9">
        <f t="shared" si="226"/>
        <v>0</v>
      </c>
      <c r="L1483" s="10">
        <f t="shared" si="227"/>
        <v>0</v>
      </c>
      <c r="M1483" s="10">
        <f>IF(I1483&lt;&gt;1,"",IF(H1483="","",H1483/CONTROL_PANEL!$B$11))</f>
        <v>0.52102672570501152</v>
      </c>
      <c r="N1483" s="9">
        <f t="shared" si="228"/>
        <v>0</v>
      </c>
      <c r="O1483" s="9">
        <f t="shared" si="229"/>
        <v>0</v>
      </c>
      <c r="P1483" s="9">
        <f t="shared" si="230"/>
        <v>0</v>
      </c>
      <c r="Q1483" s="9">
        <f t="shared" si="231"/>
        <v>0</v>
      </c>
      <c r="R1483" s="11"/>
      <c r="S1483" s="11" t="str">
        <f t="shared" si="232"/>
        <v>PASS</v>
      </c>
    </row>
    <row r="1484" spans="1:19" x14ac:dyDescent="0.25">
      <c r="A1484" s="30" t="s">
        <v>99</v>
      </c>
      <c r="B1484" s="31">
        <f t="shared" si="224"/>
        <v>43374</v>
      </c>
      <c r="C1484" s="30">
        <f>YEAR(BInputReservoir[[#This Row],[Date]])</f>
        <v>2018</v>
      </c>
      <c r="D1484" s="30">
        <f>MONTH(BInputReservoir[[#This Row],[Date]])</f>
        <v>10</v>
      </c>
      <c r="E1484" s="30">
        <f>IF(I1484&lt;&gt;1,"",DATA_INPUT!O41)</f>
        <v>377495.06556786457</v>
      </c>
      <c r="F1484" s="30">
        <f>STORAGE_BALANCE_ENSEMBLE!CN41</f>
        <v>0</v>
      </c>
      <c r="G1484" s="30">
        <f>STORAGE_BALANCE_ENSEMBLE!CO41</f>
        <v>0</v>
      </c>
      <c r="H1484" s="30">
        <f>STORAGE_BALANCE_ENSEMBLE!CM41</f>
        <v>26113767.282122523</v>
      </c>
      <c r="I1484" s="18">
        <f t="shared" si="223"/>
        <v>1</v>
      </c>
      <c r="J1484" s="8">
        <f t="shared" si="225"/>
        <v>377495.06556786457</v>
      </c>
      <c r="K1484" s="9">
        <f t="shared" si="226"/>
        <v>0</v>
      </c>
      <c r="L1484" s="10">
        <f t="shared" si="227"/>
        <v>0</v>
      </c>
      <c r="M1484" s="10">
        <f>IF(I1484&lt;&gt;1,"",IF(H1484="","",H1484/CONTROL_PANEL!$B$11))</f>
        <v>0.52227534564245048</v>
      </c>
      <c r="N1484" s="9">
        <f t="shared" si="228"/>
        <v>0</v>
      </c>
      <c r="O1484" s="9">
        <f t="shared" si="229"/>
        <v>0</v>
      </c>
      <c r="P1484" s="9">
        <f t="shared" si="230"/>
        <v>0</v>
      </c>
      <c r="Q1484" s="9">
        <f t="shared" si="231"/>
        <v>0</v>
      </c>
      <c r="R1484" s="11"/>
      <c r="S1484" s="11" t="str">
        <f t="shared" si="232"/>
        <v>PASS</v>
      </c>
    </row>
    <row r="1485" spans="1:19" x14ac:dyDescent="0.25">
      <c r="A1485" s="30" t="s">
        <v>99</v>
      </c>
      <c r="B1485" s="31">
        <f t="shared" si="224"/>
        <v>43405</v>
      </c>
      <c r="C1485" s="30">
        <f>YEAR(BInputReservoir[[#This Row],[Date]])</f>
        <v>2018</v>
      </c>
      <c r="D1485" s="30">
        <f>MONTH(BInputReservoir[[#This Row],[Date]])</f>
        <v>11</v>
      </c>
      <c r="E1485" s="30">
        <f>IF(I1485&lt;&gt;1,"",DATA_INPUT!O42)</f>
        <v>0</v>
      </c>
      <c r="F1485" s="30">
        <f>STORAGE_BALANCE_ENSEMBLE!CN42</f>
        <v>0</v>
      </c>
      <c r="G1485" s="30">
        <f>STORAGE_BALANCE_ENSEMBLE!CO42</f>
        <v>0</v>
      </c>
      <c r="H1485" s="30">
        <f>STORAGE_BALANCE_ENSEMBLE!CM42</f>
        <v>26668563.207215928</v>
      </c>
      <c r="I1485" s="18">
        <f t="shared" si="223"/>
        <v>1</v>
      </c>
      <c r="J1485" s="8">
        <f t="shared" si="225"/>
        <v>0</v>
      </c>
      <c r="K1485" s="9">
        <f t="shared" si="226"/>
        <v>0</v>
      </c>
      <c r="L1485" s="10">
        <f t="shared" si="227"/>
        <v>0</v>
      </c>
      <c r="M1485" s="10">
        <f>IF(I1485&lt;&gt;1,"",IF(H1485="","",H1485/CONTROL_PANEL!$B$11))</f>
        <v>0.53337126414431857</v>
      </c>
      <c r="N1485" s="9">
        <f t="shared" si="228"/>
        <v>0</v>
      </c>
      <c r="O1485" s="9">
        <f t="shared" si="229"/>
        <v>0</v>
      </c>
      <c r="P1485" s="9">
        <f t="shared" si="230"/>
        <v>0</v>
      </c>
      <c r="Q1485" s="9">
        <f t="shared" si="231"/>
        <v>0</v>
      </c>
      <c r="R1485" s="11"/>
      <c r="S1485" s="11" t="str">
        <f t="shared" si="232"/>
        <v>PASS</v>
      </c>
    </row>
    <row r="1486" spans="1:19" x14ac:dyDescent="0.25">
      <c r="A1486" s="30" t="s">
        <v>99</v>
      </c>
      <c r="B1486" s="31">
        <f t="shared" si="224"/>
        <v>43435</v>
      </c>
      <c r="C1486" s="30">
        <f>YEAR(BInputReservoir[[#This Row],[Date]])</f>
        <v>2018</v>
      </c>
      <c r="D1486" s="30">
        <f>MONTH(BInputReservoir[[#This Row],[Date]])</f>
        <v>12</v>
      </c>
      <c r="E1486" s="30">
        <f>IF(I1486&lt;&gt;1,"",DATA_INPUT!O43)</f>
        <v>0</v>
      </c>
      <c r="F1486" s="30">
        <f>STORAGE_BALANCE_ENSEMBLE!CN43</f>
        <v>0</v>
      </c>
      <c r="G1486" s="30">
        <f>STORAGE_BALANCE_ENSEMBLE!CO43</f>
        <v>0</v>
      </c>
      <c r="H1486" s="30">
        <f>STORAGE_BALANCE_ENSEMBLE!CM43</f>
        <v>26709109.284647707</v>
      </c>
      <c r="I1486" s="18">
        <f t="shared" si="223"/>
        <v>1</v>
      </c>
      <c r="J1486" s="8">
        <f t="shared" si="225"/>
        <v>0</v>
      </c>
      <c r="K1486" s="9">
        <f t="shared" si="226"/>
        <v>0</v>
      </c>
      <c r="L1486" s="10">
        <f t="shared" si="227"/>
        <v>0</v>
      </c>
      <c r="M1486" s="10">
        <f>IF(I1486&lt;&gt;1,"",IF(H1486="","",H1486/CONTROL_PANEL!$B$11))</f>
        <v>0.53418218569295417</v>
      </c>
      <c r="N1486" s="9">
        <f t="shared" si="228"/>
        <v>0</v>
      </c>
      <c r="O1486" s="9">
        <f t="shared" si="229"/>
        <v>0</v>
      </c>
      <c r="P1486" s="9">
        <f t="shared" si="230"/>
        <v>0</v>
      </c>
      <c r="Q1486" s="9">
        <f t="shared" si="231"/>
        <v>0</v>
      </c>
      <c r="R1486" s="11"/>
      <c r="S1486" s="11" t="str">
        <f t="shared" si="232"/>
        <v>PASS</v>
      </c>
    </row>
    <row r="1487" spans="1:19" x14ac:dyDescent="0.25">
      <c r="A1487" s="30" t="s">
        <v>99</v>
      </c>
      <c r="B1487" s="31">
        <f t="shared" si="224"/>
        <v>43466</v>
      </c>
      <c r="C1487" s="30">
        <f>YEAR(BInputReservoir[[#This Row],[Date]])</f>
        <v>2019</v>
      </c>
      <c r="D1487" s="30">
        <f>MONTH(BInputReservoir[[#This Row],[Date]])</f>
        <v>1</v>
      </c>
      <c r="E1487" s="30">
        <f>IF(I1487&lt;&gt;1,"",DATA_INPUT!O44)</f>
        <v>0</v>
      </c>
      <c r="F1487" s="30">
        <f>STORAGE_BALANCE_ENSEMBLE!CN44</f>
        <v>0</v>
      </c>
      <c r="G1487" s="30">
        <f>STORAGE_BALANCE_ENSEMBLE!CO44</f>
        <v>0</v>
      </c>
      <c r="H1487" s="30">
        <f>STORAGE_BALANCE_ENSEMBLE!CM44</f>
        <v>26741571.562549885</v>
      </c>
      <c r="I1487" s="18">
        <f t="shared" si="223"/>
        <v>1</v>
      </c>
      <c r="J1487" s="8">
        <f t="shared" si="225"/>
        <v>0</v>
      </c>
      <c r="K1487" s="9">
        <f t="shared" si="226"/>
        <v>0</v>
      </c>
      <c r="L1487" s="10">
        <f t="shared" si="227"/>
        <v>0</v>
      </c>
      <c r="M1487" s="10">
        <f>IF(I1487&lt;&gt;1,"",IF(H1487="","",H1487/CONTROL_PANEL!$B$11))</f>
        <v>0.53483143125099775</v>
      </c>
      <c r="N1487" s="9">
        <f t="shared" si="228"/>
        <v>0</v>
      </c>
      <c r="O1487" s="9">
        <f t="shared" si="229"/>
        <v>0</v>
      </c>
      <c r="P1487" s="9">
        <f t="shared" si="230"/>
        <v>0</v>
      </c>
      <c r="Q1487" s="9">
        <f t="shared" si="231"/>
        <v>0</v>
      </c>
      <c r="R1487" s="11"/>
      <c r="S1487" s="11" t="str">
        <f t="shared" si="232"/>
        <v>PASS</v>
      </c>
    </row>
    <row r="1488" spans="1:19" x14ac:dyDescent="0.25">
      <c r="A1488" s="30" t="s">
        <v>99</v>
      </c>
      <c r="B1488" s="31">
        <f t="shared" si="224"/>
        <v>43497</v>
      </c>
      <c r="C1488" s="30">
        <f>YEAR(BInputReservoir[[#This Row],[Date]])</f>
        <v>2019</v>
      </c>
      <c r="D1488" s="30">
        <f>MONTH(BInputReservoir[[#This Row],[Date]])</f>
        <v>2</v>
      </c>
      <c r="E1488" s="30">
        <f>IF(I1488&lt;&gt;1,"",DATA_INPUT!O45)</f>
        <v>0</v>
      </c>
      <c r="F1488" s="30">
        <f>STORAGE_BALANCE_ENSEMBLE!CN45</f>
        <v>0</v>
      </c>
      <c r="G1488" s="30">
        <f>STORAGE_BALANCE_ENSEMBLE!CO45</f>
        <v>0</v>
      </c>
      <c r="H1488" s="30">
        <f>STORAGE_BALANCE_ENSEMBLE!CM45</f>
        <v>26786236.885716245</v>
      </c>
      <c r="I1488" s="18">
        <f t="shared" si="223"/>
        <v>1</v>
      </c>
      <c r="J1488" s="8">
        <f t="shared" si="225"/>
        <v>0</v>
      </c>
      <c r="K1488" s="9">
        <f t="shared" si="226"/>
        <v>0</v>
      </c>
      <c r="L1488" s="10">
        <f t="shared" si="227"/>
        <v>0</v>
      </c>
      <c r="M1488" s="10">
        <f>IF(I1488&lt;&gt;1,"",IF(H1488="","",H1488/CONTROL_PANEL!$B$11))</f>
        <v>0.53572473771432494</v>
      </c>
      <c r="N1488" s="9">
        <f t="shared" si="228"/>
        <v>0</v>
      </c>
      <c r="O1488" s="9">
        <f t="shared" si="229"/>
        <v>0</v>
      </c>
      <c r="P1488" s="9">
        <f t="shared" si="230"/>
        <v>0</v>
      </c>
      <c r="Q1488" s="9">
        <f t="shared" si="231"/>
        <v>0</v>
      </c>
      <c r="R1488" s="11"/>
      <c r="S1488" s="11" t="str">
        <f t="shared" si="232"/>
        <v>PASS</v>
      </c>
    </row>
    <row r="1489" spans="1:19" x14ac:dyDescent="0.25">
      <c r="A1489" s="30" t="s">
        <v>99</v>
      </c>
      <c r="B1489" s="31">
        <f t="shared" si="224"/>
        <v>43525</v>
      </c>
      <c r="C1489" s="30">
        <f>YEAR(BInputReservoir[[#This Row],[Date]])</f>
        <v>2019</v>
      </c>
      <c r="D1489" s="30">
        <f>MONTH(BInputReservoir[[#This Row],[Date]])</f>
        <v>3</v>
      </c>
      <c r="E1489" s="30">
        <f>IF(I1489&lt;&gt;1,"",DATA_INPUT!O46)</f>
        <v>0</v>
      </c>
      <c r="F1489" s="30">
        <f>STORAGE_BALANCE_ENSEMBLE!CN46</f>
        <v>0</v>
      </c>
      <c r="G1489" s="30">
        <f>STORAGE_BALANCE_ENSEMBLE!CO46</f>
        <v>0</v>
      </c>
      <c r="H1489" s="30">
        <f>STORAGE_BALANCE_ENSEMBLE!CM46</f>
        <v>26693679.522541076</v>
      </c>
      <c r="I1489" s="18">
        <f t="shared" si="223"/>
        <v>1</v>
      </c>
      <c r="J1489" s="8">
        <f t="shared" si="225"/>
        <v>0</v>
      </c>
      <c r="K1489" s="9">
        <f t="shared" si="226"/>
        <v>0</v>
      </c>
      <c r="L1489" s="10">
        <f t="shared" si="227"/>
        <v>0</v>
      </c>
      <c r="M1489" s="10">
        <f>IF(I1489&lt;&gt;1,"",IF(H1489="","",H1489/CONTROL_PANEL!$B$11))</f>
        <v>0.5338735904508215</v>
      </c>
      <c r="N1489" s="9">
        <f t="shared" si="228"/>
        <v>0</v>
      </c>
      <c r="O1489" s="9">
        <f t="shared" si="229"/>
        <v>0</v>
      </c>
      <c r="P1489" s="9">
        <f t="shared" si="230"/>
        <v>0</v>
      </c>
      <c r="Q1489" s="9">
        <f t="shared" si="231"/>
        <v>0</v>
      </c>
      <c r="R1489" s="11"/>
      <c r="S1489" s="11" t="str">
        <f t="shared" si="232"/>
        <v>PASS</v>
      </c>
    </row>
    <row r="1490" spans="1:19" x14ac:dyDescent="0.25">
      <c r="A1490" s="30" t="s">
        <v>99</v>
      </c>
      <c r="B1490" s="31">
        <f t="shared" si="224"/>
        <v>43556</v>
      </c>
      <c r="C1490" s="30">
        <f>YEAR(BInputReservoir[[#This Row],[Date]])</f>
        <v>2019</v>
      </c>
      <c r="D1490" s="30">
        <f>MONTH(BInputReservoir[[#This Row],[Date]])</f>
        <v>4</v>
      </c>
      <c r="E1490" s="30">
        <f>IF(I1490&lt;&gt;1,"",DATA_INPUT!O47)</f>
        <v>22247.548171053666</v>
      </c>
      <c r="F1490" s="30">
        <f>STORAGE_BALANCE_ENSEMBLE!CN47</f>
        <v>0</v>
      </c>
      <c r="G1490" s="30">
        <f>STORAGE_BALANCE_ENSEMBLE!CO47</f>
        <v>0</v>
      </c>
      <c r="H1490" s="30">
        <f>STORAGE_BALANCE_ENSEMBLE!CM47</f>
        <v>26711873.069415506</v>
      </c>
      <c r="I1490" s="18">
        <f t="shared" si="223"/>
        <v>1</v>
      </c>
      <c r="J1490" s="8">
        <f t="shared" si="225"/>
        <v>22247.548171053666</v>
      </c>
      <c r="K1490" s="9">
        <f t="shared" si="226"/>
        <v>0</v>
      </c>
      <c r="L1490" s="10">
        <f t="shared" si="227"/>
        <v>0</v>
      </c>
      <c r="M1490" s="10">
        <f>IF(I1490&lt;&gt;1,"",IF(H1490="","",H1490/CONTROL_PANEL!$B$11))</f>
        <v>0.53423746138831008</v>
      </c>
      <c r="N1490" s="9">
        <f t="shared" si="228"/>
        <v>0</v>
      </c>
      <c r="O1490" s="9">
        <f t="shared" si="229"/>
        <v>0</v>
      </c>
      <c r="P1490" s="9">
        <f t="shared" si="230"/>
        <v>0</v>
      </c>
      <c r="Q1490" s="9">
        <f t="shared" si="231"/>
        <v>0</v>
      </c>
      <c r="R1490" s="11"/>
      <c r="S1490" s="11" t="str">
        <f t="shared" si="232"/>
        <v>PASS</v>
      </c>
    </row>
    <row r="1491" spans="1:19" x14ac:dyDescent="0.25">
      <c r="A1491" s="30" t="s">
        <v>99</v>
      </c>
      <c r="B1491" s="31">
        <f t="shared" si="224"/>
        <v>43586</v>
      </c>
      <c r="C1491" s="30">
        <f>YEAR(BInputReservoir[[#This Row],[Date]])</f>
        <v>2019</v>
      </c>
      <c r="D1491" s="30">
        <f>MONTH(BInputReservoir[[#This Row],[Date]])</f>
        <v>5</v>
      </c>
      <c r="E1491" s="30">
        <f>IF(I1491&lt;&gt;1,"",DATA_INPUT!O48)</f>
        <v>457236.28682305058</v>
      </c>
      <c r="F1491" s="30">
        <f>STORAGE_BALANCE_ENSEMBLE!CN48</f>
        <v>0</v>
      </c>
      <c r="G1491" s="30">
        <f>STORAGE_BALANCE_ENSEMBLE!CO48</f>
        <v>0</v>
      </c>
      <c r="H1491" s="30">
        <f>STORAGE_BALANCE_ENSEMBLE!CM48</f>
        <v>25899353.170715205</v>
      </c>
      <c r="I1491" s="18">
        <f t="shared" si="223"/>
        <v>1</v>
      </c>
      <c r="J1491" s="8">
        <f t="shared" si="225"/>
        <v>457236.28682305058</v>
      </c>
      <c r="K1491" s="9">
        <f t="shared" si="226"/>
        <v>0</v>
      </c>
      <c r="L1491" s="10">
        <f t="shared" si="227"/>
        <v>0</v>
      </c>
      <c r="M1491" s="10">
        <f>IF(I1491&lt;&gt;1,"",IF(H1491="","",H1491/CONTROL_PANEL!$B$11))</f>
        <v>0.51798706341430412</v>
      </c>
      <c r="N1491" s="9">
        <f t="shared" si="228"/>
        <v>0</v>
      </c>
      <c r="O1491" s="9">
        <f t="shared" si="229"/>
        <v>0</v>
      </c>
      <c r="P1491" s="9">
        <f t="shared" si="230"/>
        <v>0</v>
      </c>
      <c r="Q1491" s="9">
        <f t="shared" si="231"/>
        <v>0</v>
      </c>
      <c r="R1491" s="11"/>
      <c r="S1491" s="11" t="str">
        <f t="shared" si="232"/>
        <v>PASS</v>
      </c>
    </row>
    <row r="1492" spans="1:19" x14ac:dyDescent="0.25">
      <c r="A1492" s="30" t="s">
        <v>99</v>
      </c>
      <c r="B1492" s="31">
        <f t="shared" si="224"/>
        <v>43617</v>
      </c>
      <c r="C1492" s="30">
        <f>YEAR(BInputReservoir[[#This Row],[Date]])</f>
        <v>2019</v>
      </c>
      <c r="D1492" s="30">
        <f>MONTH(BInputReservoir[[#This Row],[Date]])</f>
        <v>6</v>
      </c>
      <c r="E1492" s="30">
        <f>IF(I1492&lt;&gt;1,"",DATA_INPUT!O49)</f>
        <v>1132177.2549087179</v>
      </c>
      <c r="F1492" s="30">
        <f>STORAGE_BALANCE_ENSEMBLE!CN49</f>
        <v>0</v>
      </c>
      <c r="G1492" s="30">
        <f>STORAGE_BALANCE_ENSEMBLE!CO49</f>
        <v>0</v>
      </c>
      <c r="H1492" s="30">
        <f>STORAGE_BALANCE_ENSEMBLE!CM49</f>
        <v>24231046.202418048</v>
      </c>
      <c r="I1492" s="18">
        <f t="shared" si="223"/>
        <v>1</v>
      </c>
      <c r="J1492" s="8">
        <f t="shared" si="225"/>
        <v>1132177.2549087179</v>
      </c>
      <c r="K1492" s="9">
        <f t="shared" si="226"/>
        <v>0</v>
      </c>
      <c r="L1492" s="10">
        <f t="shared" si="227"/>
        <v>0</v>
      </c>
      <c r="M1492" s="10">
        <f>IF(I1492&lt;&gt;1,"",IF(H1492="","",H1492/CONTROL_PANEL!$B$11))</f>
        <v>0.48462092404836093</v>
      </c>
      <c r="N1492" s="9">
        <f t="shared" si="228"/>
        <v>0</v>
      </c>
      <c r="O1492" s="9">
        <f t="shared" si="229"/>
        <v>0</v>
      </c>
      <c r="P1492" s="9">
        <f t="shared" si="230"/>
        <v>0</v>
      </c>
      <c r="Q1492" s="9">
        <f t="shared" si="231"/>
        <v>0</v>
      </c>
      <c r="R1492" s="11"/>
      <c r="S1492" s="11" t="str">
        <f t="shared" si="232"/>
        <v>PASS</v>
      </c>
    </row>
    <row r="1493" spans="1:19" x14ac:dyDescent="0.25">
      <c r="A1493" s="30" t="s">
        <v>99</v>
      </c>
      <c r="B1493" s="31">
        <f t="shared" si="224"/>
        <v>43647</v>
      </c>
      <c r="C1493" s="30">
        <f>YEAR(BInputReservoir[[#This Row],[Date]])</f>
        <v>2019</v>
      </c>
      <c r="D1493" s="30">
        <f>MONTH(BInputReservoir[[#This Row],[Date]])</f>
        <v>7</v>
      </c>
      <c r="E1493" s="30">
        <f>IF(I1493&lt;&gt;1,"",DATA_INPUT!O50)</f>
        <v>2151156.3922943757</v>
      </c>
      <c r="F1493" s="30">
        <f>STORAGE_BALANCE_ENSEMBLE!CN50</f>
        <v>0</v>
      </c>
      <c r="G1493" s="30">
        <f>STORAGE_BALANCE_ENSEMBLE!CO50</f>
        <v>0</v>
      </c>
      <c r="H1493" s="30">
        <f>STORAGE_BALANCE_ENSEMBLE!CM50</f>
        <v>21452550.996072572</v>
      </c>
      <c r="I1493" s="18">
        <f t="shared" si="223"/>
        <v>1</v>
      </c>
      <c r="J1493" s="8">
        <f t="shared" si="225"/>
        <v>2151156.3922943757</v>
      </c>
      <c r="K1493" s="9">
        <f t="shared" si="226"/>
        <v>0</v>
      </c>
      <c r="L1493" s="10">
        <f t="shared" si="227"/>
        <v>0</v>
      </c>
      <c r="M1493" s="10">
        <f>IF(I1493&lt;&gt;1,"",IF(H1493="","",H1493/CONTROL_PANEL!$B$11))</f>
        <v>0.42905101992145145</v>
      </c>
      <c r="N1493" s="9">
        <f t="shared" si="228"/>
        <v>0</v>
      </c>
      <c r="O1493" s="9">
        <f t="shared" si="229"/>
        <v>0</v>
      </c>
      <c r="P1493" s="9">
        <f t="shared" si="230"/>
        <v>0</v>
      </c>
      <c r="Q1493" s="9">
        <f t="shared" si="231"/>
        <v>0</v>
      </c>
      <c r="R1493" s="11"/>
      <c r="S1493" s="11" t="str">
        <f t="shared" si="232"/>
        <v>PASS</v>
      </c>
    </row>
    <row r="1494" spans="1:19" x14ac:dyDescent="0.25">
      <c r="A1494" s="30" t="s">
        <v>99</v>
      </c>
      <c r="B1494" s="31">
        <f t="shared" si="224"/>
        <v>43678</v>
      </c>
      <c r="C1494" s="30">
        <f>YEAR(BInputReservoir[[#This Row],[Date]])</f>
        <v>2019</v>
      </c>
      <c r="D1494" s="30">
        <f>MONTH(BInputReservoir[[#This Row],[Date]])</f>
        <v>8</v>
      </c>
      <c r="E1494" s="30">
        <f>IF(I1494&lt;&gt;1,"",DATA_INPUT!O51)</f>
        <v>1706653.0713372577</v>
      </c>
      <c r="F1494" s="30">
        <f>STORAGE_BALANCE_ENSEMBLE!CN51</f>
        <v>0</v>
      </c>
      <c r="G1494" s="30">
        <f>STORAGE_BALANCE_ENSEMBLE!CO51</f>
        <v>0</v>
      </c>
      <c r="H1494" s="30">
        <f>STORAGE_BALANCE_ENSEMBLE!CM51</f>
        <v>19194374.495323803</v>
      </c>
      <c r="I1494" s="18">
        <f t="shared" si="223"/>
        <v>1</v>
      </c>
      <c r="J1494" s="8">
        <f t="shared" si="225"/>
        <v>1706653.0713372577</v>
      </c>
      <c r="K1494" s="9">
        <f t="shared" si="226"/>
        <v>0</v>
      </c>
      <c r="L1494" s="10">
        <f t="shared" si="227"/>
        <v>0</v>
      </c>
      <c r="M1494" s="10">
        <f>IF(I1494&lt;&gt;1,"",IF(H1494="","",H1494/CONTROL_PANEL!$B$11))</f>
        <v>0.38388748990647609</v>
      </c>
      <c r="N1494" s="9">
        <f t="shared" si="228"/>
        <v>0</v>
      </c>
      <c r="O1494" s="9">
        <f t="shared" si="229"/>
        <v>0</v>
      </c>
      <c r="P1494" s="9">
        <f t="shared" si="230"/>
        <v>0</v>
      </c>
      <c r="Q1494" s="9">
        <f t="shared" si="231"/>
        <v>0</v>
      </c>
      <c r="R1494" s="11"/>
      <c r="S1494" s="11" t="str">
        <f t="shared" si="232"/>
        <v>PASS</v>
      </c>
    </row>
    <row r="1495" spans="1:19" x14ac:dyDescent="0.25">
      <c r="A1495" s="30" t="s">
        <v>99</v>
      </c>
      <c r="B1495" s="31">
        <f t="shared" si="224"/>
        <v>43709</v>
      </c>
      <c r="C1495" s="30">
        <f>YEAR(BInputReservoir[[#This Row],[Date]])</f>
        <v>2019</v>
      </c>
      <c r="D1495" s="30">
        <f>MONTH(BInputReservoir[[#This Row],[Date]])</f>
        <v>9</v>
      </c>
      <c r="E1495" s="30">
        <f>IF(I1495&lt;&gt;1,"",DATA_INPUT!O52)</f>
        <v>808345.99197626393</v>
      </c>
      <c r="F1495" s="30">
        <f>STORAGE_BALANCE_ENSEMBLE!CN52</f>
        <v>0</v>
      </c>
      <c r="G1495" s="30">
        <f>STORAGE_BALANCE_ENSEMBLE!CO52</f>
        <v>0</v>
      </c>
      <c r="H1495" s="30">
        <f>STORAGE_BALANCE_ENSEMBLE!CM52</f>
        <v>18024427.64605619</v>
      </c>
      <c r="I1495" s="18">
        <f t="shared" si="223"/>
        <v>1</v>
      </c>
      <c r="J1495" s="8">
        <f t="shared" si="225"/>
        <v>808345.99197626393</v>
      </c>
      <c r="K1495" s="9">
        <f t="shared" si="226"/>
        <v>0</v>
      </c>
      <c r="L1495" s="10">
        <f t="shared" si="227"/>
        <v>0</v>
      </c>
      <c r="M1495" s="10">
        <f>IF(I1495&lt;&gt;1,"",IF(H1495="","",H1495/CONTROL_PANEL!$B$11))</f>
        <v>0.36048855292112381</v>
      </c>
      <c r="N1495" s="9">
        <f t="shared" si="228"/>
        <v>0</v>
      </c>
      <c r="O1495" s="9">
        <f t="shared" si="229"/>
        <v>0</v>
      </c>
      <c r="P1495" s="9">
        <f t="shared" si="230"/>
        <v>0</v>
      </c>
      <c r="Q1495" s="9">
        <f t="shared" si="231"/>
        <v>0</v>
      </c>
      <c r="R1495" s="11"/>
      <c r="S1495" s="11" t="str">
        <f t="shared" si="232"/>
        <v>PASS</v>
      </c>
    </row>
    <row r="1496" spans="1:19" x14ac:dyDescent="0.25">
      <c r="A1496" s="30" t="s">
        <v>99</v>
      </c>
      <c r="B1496" s="31">
        <f t="shared" si="224"/>
        <v>43739</v>
      </c>
      <c r="C1496" s="30">
        <f>YEAR(BInputReservoir[[#This Row],[Date]])</f>
        <v>2019</v>
      </c>
      <c r="D1496" s="30">
        <f>MONTH(BInputReservoir[[#This Row],[Date]])</f>
        <v>10</v>
      </c>
      <c r="E1496" s="30">
        <f>IF(I1496&lt;&gt;1,"",DATA_INPUT!O53)</f>
        <v>113696.69862653445</v>
      </c>
      <c r="F1496" s="30">
        <f>STORAGE_BALANCE_ENSEMBLE!CN53</f>
        <v>0</v>
      </c>
      <c r="G1496" s="30">
        <f>STORAGE_BALANCE_ENSEMBLE!CO53</f>
        <v>0</v>
      </c>
      <c r="H1496" s="30">
        <f>STORAGE_BALANCE_ENSEMBLE!CM53</f>
        <v>17951866.058937728</v>
      </c>
      <c r="I1496" s="18">
        <f t="shared" si="223"/>
        <v>1</v>
      </c>
      <c r="J1496" s="8">
        <f t="shared" si="225"/>
        <v>113696.69862653445</v>
      </c>
      <c r="K1496" s="9">
        <f t="shared" si="226"/>
        <v>0</v>
      </c>
      <c r="L1496" s="10">
        <f t="shared" si="227"/>
        <v>0</v>
      </c>
      <c r="M1496" s="10">
        <f>IF(I1496&lt;&gt;1,"",IF(H1496="","",H1496/CONTROL_PANEL!$B$11))</f>
        <v>0.35903732117875459</v>
      </c>
      <c r="N1496" s="9">
        <f t="shared" si="228"/>
        <v>0</v>
      </c>
      <c r="O1496" s="9">
        <f t="shared" si="229"/>
        <v>0</v>
      </c>
      <c r="P1496" s="9">
        <f t="shared" si="230"/>
        <v>0</v>
      </c>
      <c r="Q1496" s="9">
        <f t="shared" si="231"/>
        <v>0</v>
      </c>
      <c r="R1496" s="11"/>
      <c r="S1496" s="11" t="str">
        <f t="shared" si="232"/>
        <v>PASS</v>
      </c>
    </row>
    <row r="1497" spans="1:19" x14ac:dyDescent="0.25">
      <c r="A1497" s="30" t="s">
        <v>99</v>
      </c>
      <c r="B1497" s="31">
        <f t="shared" si="224"/>
        <v>43770</v>
      </c>
      <c r="C1497" s="30">
        <f>YEAR(BInputReservoir[[#This Row],[Date]])</f>
        <v>2019</v>
      </c>
      <c r="D1497" s="30">
        <f>MONTH(BInputReservoir[[#This Row],[Date]])</f>
        <v>11</v>
      </c>
      <c r="E1497" s="30">
        <f>IF(I1497&lt;&gt;1,"",DATA_INPUT!O54)</f>
        <v>0</v>
      </c>
      <c r="F1497" s="30">
        <f>STORAGE_BALANCE_ENSEMBLE!CN54</f>
        <v>0</v>
      </c>
      <c r="G1497" s="30">
        <f>STORAGE_BALANCE_ENSEMBLE!CO54</f>
        <v>0</v>
      </c>
      <c r="H1497" s="30">
        <f>STORAGE_BALANCE_ENSEMBLE!CM54</f>
        <v>19715680.824440334</v>
      </c>
      <c r="I1497" s="18">
        <f t="shared" si="223"/>
        <v>1</v>
      </c>
      <c r="J1497" s="8">
        <f t="shared" si="225"/>
        <v>0</v>
      </c>
      <c r="K1497" s="9">
        <f t="shared" si="226"/>
        <v>0</v>
      </c>
      <c r="L1497" s="10">
        <f t="shared" si="227"/>
        <v>0</v>
      </c>
      <c r="M1497" s="10">
        <f>IF(I1497&lt;&gt;1,"",IF(H1497="","",H1497/CONTROL_PANEL!$B$11))</f>
        <v>0.3943136164888067</v>
      </c>
      <c r="N1497" s="9">
        <f t="shared" si="228"/>
        <v>0</v>
      </c>
      <c r="O1497" s="9">
        <f t="shared" si="229"/>
        <v>0</v>
      </c>
      <c r="P1497" s="9">
        <f t="shared" si="230"/>
        <v>0</v>
      </c>
      <c r="Q1497" s="9">
        <f t="shared" si="231"/>
        <v>0</v>
      </c>
      <c r="R1497" s="11"/>
      <c r="S1497" s="11" t="str">
        <f t="shared" si="232"/>
        <v>PASS</v>
      </c>
    </row>
    <row r="1498" spans="1:19" x14ac:dyDescent="0.25">
      <c r="A1498" s="30" t="s">
        <v>99</v>
      </c>
      <c r="B1498" s="31">
        <f t="shared" si="224"/>
        <v>43800</v>
      </c>
      <c r="C1498" s="30">
        <f>YEAR(BInputReservoir[[#This Row],[Date]])</f>
        <v>2019</v>
      </c>
      <c r="D1498" s="30">
        <f>MONTH(BInputReservoir[[#This Row],[Date]])</f>
        <v>12</v>
      </c>
      <c r="E1498" s="30">
        <f>IF(I1498&lt;&gt;1,"",DATA_INPUT!O55)</f>
        <v>0</v>
      </c>
      <c r="F1498" s="30">
        <f>STORAGE_BALANCE_ENSEMBLE!CN55</f>
        <v>0</v>
      </c>
      <c r="G1498" s="30">
        <f>STORAGE_BALANCE_ENSEMBLE!CO55</f>
        <v>0</v>
      </c>
      <c r="H1498" s="30">
        <f>STORAGE_BALANCE_ENSEMBLE!CM55</f>
        <v>21137221.205997299</v>
      </c>
      <c r="I1498" s="18">
        <f t="shared" si="223"/>
        <v>1</v>
      </c>
      <c r="J1498" s="8">
        <f t="shared" si="225"/>
        <v>0</v>
      </c>
      <c r="K1498" s="9">
        <f t="shared" si="226"/>
        <v>0</v>
      </c>
      <c r="L1498" s="10">
        <f t="shared" si="227"/>
        <v>0</v>
      </c>
      <c r="M1498" s="10">
        <f>IF(I1498&lt;&gt;1,"",IF(H1498="","",H1498/CONTROL_PANEL!$B$11))</f>
        <v>0.42274442411994601</v>
      </c>
      <c r="N1498" s="9">
        <f t="shared" si="228"/>
        <v>0</v>
      </c>
      <c r="O1498" s="9">
        <f t="shared" si="229"/>
        <v>0</v>
      </c>
      <c r="P1498" s="9">
        <f t="shared" si="230"/>
        <v>0</v>
      </c>
      <c r="Q1498" s="9">
        <f t="shared" si="231"/>
        <v>0</v>
      </c>
      <c r="R1498" s="11"/>
      <c r="S1498" s="11" t="str">
        <f t="shared" si="232"/>
        <v>PASS</v>
      </c>
    </row>
    <row r="1499" spans="1:19" x14ac:dyDescent="0.25">
      <c r="A1499" s="30" t="s">
        <v>99</v>
      </c>
      <c r="B1499" s="31">
        <f t="shared" si="224"/>
        <v>43831</v>
      </c>
      <c r="C1499" s="30">
        <f>YEAR(BInputReservoir[[#This Row],[Date]])</f>
        <v>2020</v>
      </c>
      <c r="D1499" s="30">
        <f>MONTH(BInputReservoir[[#This Row],[Date]])</f>
        <v>1</v>
      </c>
      <c r="E1499" s="30">
        <f>IF(I1499&lt;&gt;1,"",DATA_INPUT!O56)</f>
        <v>0</v>
      </c>
      <c r="F1499" s="30">
        <f>STORAGE_BALANCE_ENSEMBLE!CN56</f>
        <v>0</v>
      </c>
      <c r="G1499" s="30">
        <f>STORAGE_BALANCE_ENSEMBLE!CO56</f>
        <v>0</v>
      </c>
      <c r="H1499" s="30">
        <f>STORAGE_BALANCE_ENSEMBLE!CM56</f>
        <v>21572064.204668276</v>
      </c>
      <c r="I1499" s="18">
        <f t="shared" si="223"/>
        <v>1</v>
      </c>
      <c r="J1499" s="8">
        <f t="shared" si="225"/>
        <v>0</v>
      </c>
      <c r="K1499" s="9">
        <f t="shared" si="226"/>
        <v>0</v>
      </c>
      <c r="L1499" s="10">
        <f t="shared" si="227"/>
        <v>0</v>
      </c>
      <c r="M1499" s="10">
        <f>IF(I1499&lt;&gt;1,"",IF(H1499="","",H1499/CONTROL_PANEL!$B$11))</f>
        <v>0.43144128409336552</v>
      </c>
      <c r="N1499" s="9">
        <f t="shared" si="228"/>
        <v>0</v>
      </c>
      <c r="O1499" s="9">
        <f t="shared" si="229"/>
        <v>0</v>
      </c>
      <c r="P1499" s="9">
        <f t="shared" si="230"/>
        <v>0</v>
      </c>
      <c r="Q1499" s="9">
        <f t="shared" si="231"/>
        <v>0</v>
      </c>
      <c r="R1499" s="11"/>
      <c r="S1499" s="11" t="str">
        <f t="shared" si="232"/>
        <v>PASS</v>
      </c>
    </row>
    <row r="1500" spans="1:19" x14ac:dyDescent="0.25">
      <c r="A1500" s="30" t="s">
        <v>99</v>
      </c>
      <c r="B1500" s="31">
        <f t="shared" si="224"/>
        <v>43862</v>
      </c>
      <c r="C1500" s="30">
        <f>YEAR(BInputReservoir[[#This Row],[Date]])</f>
        <v>2020</v>
      </c>
      <c r="D1500" s="30">
        <f>MONTH(BInputReservoir[[#This Row],[Date]])</f>
        <v>2</v>
      </c>
      <c r="E1500" s="30">
        <f>IF(I1500&lt;&gt;1,"",DATA_INPUT!O57)</f>
        <v>0</v>
      </c>
      <c r="F1500" s="30">
        <f>STORAGE_BALANCE_ENSEMBLE!CN57</f>
        <v>0</v>
      </c>
      <c r="G1500" s="30">
        <f>STORAGE_BALANCE_ENSEMBLE!CO57</f>
        <v>0</v>
      </c>
      <c r="H1500" s="30">
        <f>STORAGE_BALANCE_ENSEMBLE!CM57</f>
        <v>21532056.837243006</v>
      </c>
      <c r="I1500" s="18">
        <f t="shared" si="223"/>
        <v>1</v>
      </c>
      <c r="J1500" s="8">
        <f t="shared" si="225"/>
        <v>0</v>
      </c>
      <c r="K1500" s="9">
        <f t="shared" si="226"/>
        <v>0</v>
      </c>
      <c r="L1500" s="10">
        <f t="shared" si="227"/>
        <v>0</v>
      </c>
      <c r="M1500" s="10">
        <f>IF(I1500&lt;&gt;1,"",IF(H1500="","",H1500/CONTROL_PANEL!$B$11))</f>
        <v>0.4306411367448601</v>
      </c>
      <c r="N1500" s="9">
        <f t="shared" si="228"/>
        <v>0</v>
      </c>
      <c r="O1500" s="9">
        <f t="shared" si="229"/>
        <v>0</v>
      </c>
      <c r="P1500" s="9">
        <f t="shared" si="230"/>
        <v>0</v>
      </c>
      <c r="Q1500" s="9">
        <f t="shared" si="231"/>
        <v>0</v>
      </c>
      <c r="R1500" s="11"/>
      <c r="S1500" s="11" t="str">
        <f t="shared" si="232"/>
        <v>PASS</v>
      </c>
    </row>
    <row r="1501" spans="1:19" x14ac:dyDescent="0.25">
      <c r="A1501" s="30" t="s">
        <v>99</v>
      </c>
      <c r="B1501" s="31">
        <f t="shared" si="224"/>
        <v>43891</v>
      </c>
      <c r="C1501" s="30">
        <f>YEAR(BInputReservoir[[#This Row],[Date]])</f>
        <v>2020</v>
      </c>
      <c r="D1501" s="30">
        <f>MONTH(BInputReservoir[[#This Row],[Date]])</f>
        <v>3</v>
      </c>
      <c r="E1501" s="30">
        <f>IF(I1501&lt;&gt;1,"",DATA_INPUT!O58)</f>
        <v>0</v>
      </c>
      <c r="F1501" s="30">
        <f>STORAGE_BALANCE_ENSEMBLE!CN58</f>
        <v>0</v>
      </c>
      <c r="G1501" s="30">
        <f>STORAGE_BALANCE_ENSEMBLE!CO58</f>
        <v>0</v>
      </c>
      <c r="H1501" s="30">
        <f>STORAGE_BALANCE_ENSEMBLE!CM58</f>
        <v>22039891.653410658</v>
      </c>
      <c r="I1501" s="18">
        <f t="shared" si="223"/>
        <v>1</v>
      </c>
      <c r="J1501" s="8">
        <f t="shared" si="225"/>
        <v>0</v>
      </c>
      <c r="K1501" s="9">
        <f t="shared" si="226"/>
        <v>0</v>
      </c>
      <c r="L1501" s="10">
        <f t="shared" si="227"/>
        <v>0</v>
      </c>
      <c r="M1501" s="10">
        <f>IF(I1501&lt;&gt;1,"",IF(H1501="","",H1501/CONTROL_PANEL!$B$11))</f>
        <v>0.44079783306821319</v>
      </c>
      <c r="N1501" s="9">
        <f t="shared" si="228"/>
        <v>0</v>
      </c>
      <c r="O1501" s="9">
        <f t="shared" si="229"/>
        <v>0</v>
      </c>
      <c r="P1501" s="9">
        <f t="shared" si="230"/>
        <v>0</v>
      </c>
      <c r="Q1501" s="9">
        <f t="shared" si="231"/>
        <v>0</v>
      </c>
      <c r="R1501" s="11"/>
      <c r="S1501" s="11" t="str">
        <f t="shared" si="232"/>
        <v>PASS</v>
      </c>
    </row>
    <row r="1502" spans="1:19" x14ac:dyDescent="0.25">
      <c r="A1502" s="30" t="s">
        <v>99</v>
      </c>
      <c r="B1502" s="31">
        <f t="shared" si="224"/>
        <v>43922</v>
      </c>
      <c r="C1502" s="30">
        <f>YEAR(BInputReservoir[[#This Row],[Date]])</f>
        <v>2020</v>
      </c>
      <c r="D1502" s="30">
        <f>MONTH(BInputReservoir[[#This Row],[Date]])</f>
        <v>4</v>
      </c>
      <c r="E1502" s="30">
        <f>IF(I1502&lt;&gt;1,"",DATA_INPUT!O59)</f>
        <v>84.43082416022736</v>
      </c>
      <c r="F1502" s="30">
        <f>STORAGE_BALANCE_ENSEMBLE!CN59</f>
        <v>0</v>
      </c>
      <c r="G1502" s="30">
        <f>STORAGE_BALANCE_ENSEMBLE!CO59</f>
        <v>0</v>
      </c>
      <c r="H1502" s="30">
        <f>STORAGE_BALANCE_ENSEMBLE!CM59</f>
        <v>22386743.043265544</v>
      </c>
      <c r="I1502" s="18">
        <f t="shared" si="223"/>
        <v>1</v>
      </c>
      <c r="J1502" s="8">
        <f t="shared" si="225"/>
        <v>84.43082416022736</v>
      </c>
      <c r="K1502" s="9">
        <f t="shared" si="226"/>
        <v>0</v>
      </c>
      <c r="L1502" s="10">
        <f t="shared" si="227"/>
        <v>0</v>
      </c>
      <c r="M1502" s="10">
        <f>IF(I1502&lt;&gt;1,"",IF(H1502="","",H1502/CONTROL_PANEL!$B$11))</f>
        <v>0.44773486086531089</v>
      </c>
      <c r="N1502" s="9">
        <f t="shared" si="228"/>
        <v>0</v>
      </c>
      <c r="O1502" s="9">
        <f t="shared" si="229"/>
        <v>0</v>
      </c>
      <c r="P1502" s="9">
        <f t="shared" si="230"/>
        <v>0</v>
      </c>
      <c r="Q1502" s="9">
        <f t="shared" si="231"/>
        <v>0</v>
      </c>
      <c r="R1502" s="11"/>
      <c r="S1502" s="11" t="str">
        <f t="shared" si="232"/>
        <v>PASS</v>
      </c>
    </row>
    <row r="1503" spans="1:19" x14ac:dyDescent="0.25">
      <c r="A1503" s="30" t="s">
        <v>99</v>
      </c>
      <c r="B1503" s="31">
        <f t="shared" si="224"/>
        <v>43952</v>
      </c>
      <c r="C1503" s="30">
        <f>YEAR(BInputReservoir[[#This Row],[Date]])</f>
        <v>2020</v>
      </c>
      <c r="D1503" s="30">
        <f>MONTH(BInputReservoir[[#This Row],[Date]])</f>
        <v>5</v>
      </c>
      <c r="E1503" s="30">
        <f>IF(I1503&lt;&gt;1,"",DATA_INPUT!O60)</f>
        <v>155396.90423473367</v>
      </c>
      <c r="F1503" s="30">
        <f>STORAGE_BALANCE_ENSEMBLE!CN60</f>
        <v>0</v>
      </c>
      <c r="G1503" s="30">
        <f>STORAGE_BALANCE_ENSEMBLE!CO60</f>
        <v>0</v>
      </c>
      <c r="H1503" s="30">
        <f>STORAGE_BALANCE_ENSEMBLE!CM60</f>
        <v>22093840.562374789</v>
      </c>
      <c r="I1503" s="18">
        <f t="shared" si="223"/>
        <v>1</v>
      </c>
      <c r="J1503" s="8">
        <f t="shared" si="225"/>
        <v>155396.90423473367</v>
      </c>
      <c r="K1503" s="9">
        <f t="shared" si="226"/>
        <v>0</v>
      </c>
      <c r="L1503" s="10">
        <f t="shared" si="227"/>
        <v>0</v>
      </c>
      <c r="M1503" s="10">
        <f>IF(I1503&lt;&gt;1,"",IF(H1503="","",H1503/CONTROL_PANEL!$B$11))</f>
        <v>0.44187681124749578</v>
      </c>
      <c r="N1503" s="9">
        <f t="shared" si="228"/>
        <v>0</v>
      </c>
      <c r="O1503" s="9">
        <f t="shared" si="229"/>
        <v>0</v>
      </c>
      <c r="P1503" s="9">
        <f t="shared" si="230"/>
        <v>0</v>
      </c>
      <c r="Q1503" s="9">
        <f t="shared" si="231"/>
        <v>0</v>
      </c>
      <c r="R1503" s="11"/>
      <c r="S1503" s="11" t="str">
        <f t="shared" si="232"/>
        <v>PASS</v>
      </c>
    </row>
    <row r="1504" spans="1:19" x14ac:dyDescent="0.25">
      <c r="A1504" s="30" t="s">
        <v>99</v>
      </c>
      <c r="B1504" s="31">
        <f t="shared" si="224"/>
        <v>43983</v>
      </c>
      <c r="C1504" s="30">
        <f>YEAR(BInputReservoir[[#This Row],[Date]])</f>
        <v>2020</v>
      </c>
      <c r="D1504" s="30">
        <f>MONTH(BInputReservoir[[#This Row],[Date]])</f>
        <v>6</v>
      </c>
      <c r="E1504" s="30">
        <f>IF(I1504&lt;&gt;1,"",DATA_INPUT!O61)</f>
        <v>898983.62786058837</v>
      </c>
      <c r="F1504" s="30">
        <f>STORAGE_BALANCE_ENSEMBLE!CN61</f>
        <v>0</v>
      </c>
      <c r="G1504" s="30">
        <f>STORAGE_BALANCE_ENSEMBLE!CO61</f>
        <v>0</v>
      </c>
      <c r="H1504" s="30">
        <f>STORAGE_BALANCE_ENSEMBLE!CM61</f>
        <v>20793184.091868266</v>
      </c>
      <c r="I1504" s="18">
        <f t="shared" si="223"/>
        <v>1</v>
      </c>
      <c r="J1504" s="8">
        <f t="shared" si="225"/>
        <v>898983.62786058837</v>
      </c>
      <c r="K1504" s="9">
        <f t="shared" si="226"/>
        <v>0</v>
      </c>
      <c r="L1504" s="10">
        <f t="shared" si="227"/>
        <v>0</v>
      </c>
      <c r="M1504" s="10">
        <f>IF(I1504&lt;&gt;1,"",IF(H1504="","",H1504/CONTROL_PANEL!$B$11))</f>
        <v>0.41586368183736533</v>
      </c>
      <c r="N1504" s="9">
        <f t="shared" si="228"/>
        <v>0</v>
      </c>
      <c r="O1504" s="9">
        <f t="shared" si="229"/>
        <v>0</v>
      </c>
      <c r="P1504" s="9">
        <f t="shared" si="230"/>
        <v>0</v>
      </c>
      <c r="Q1504" s="9">
        <f t="shared" si="231"/>
        <v>0</v>
      </c>
      <c r="R1504" s="11"/>
      <c r="S1504" s="11" t="str">
        <f t="shared" si="232"/>
        <v>PASS</v>
      </c>
    </row>
    <row r="1505" spans="1:19" x14ac:dyDescent="0.25">
      <c r="A1505" s="30" t="s">
        <v>99</v>
      </c>
      <c r="B1505" s="31">
        <f t="shared" si="224"/>
        <v>44013</v>
      </c>
      <c r="C1505" s="30">
        <f>YEAR(BInputReservoir[[#This Row],[Date]])</f>
        <v>2020</v>
      </c>
      <c r="D1505" s="30">
        <f>MONTH(BInputReservoir[[#This Row],[Date]])</f>
        <v>7</v>
      </c>
      <c r="E1505" s="30">
        <f>IF(I1505&lt;&gt;1,"",DATA_INPUT!O62)</f>
        <v>2162837.8137295437</v>
      </c>
      <c r="F1505" s="30">
        <f>STORAGE_BALANCE_ENSEMBLE!CN62</f>
        <v>0</v>
      </c>
      <c r="G1505" s="30">
        <f>STORAGE_BALANCE_ENSEMBLE!CO62</f>
        <v>0</v>
      </c>
      <c r="H1505" s="30">
        <f>STORAGE_BALANCE_ENSEMBLE!CM62</f>
        <v>18135832.91811626</v>
      </c>
      <c r="I1505" s="18">
        <f t="shared" si="223"/>
        <v>1</v>
      </c>
      <c r="J1505" s="8">
        <f t="shared" si="225"/>
        <v>2162837.8137295437</v>
      </c>
      <c r="K1505" s="9">
        <f t="shared" si="226"/>
        <v>0</v>
      </c>
      <c r="L1505" s="10">
        <f t="shared" si="227"/>
        <v>0</v>
      </c>
      <c r="M1505" s="10">
        <f>IF(I1505&lt;&gt;1,"",IF(H1505="","",H1505/CONTROL_PANEL!$B$11))</f>
        <v>0.36271665836232519</v>
      </c>
      <c r="N1505" s="9">
        <f t="shared" si="228"/>
        <v>0</v>
      </c>
      <c r="O1505" s="9">
        <f t="shared" si="229"/>
        <v>0</v>
      </c>
      <c r="P1505" s="9">
        <f t="shared" si="230"/>
        <v>0</v>
      </c>
      <c r="Q1505" s="9">
        <f t="shared" si="231"/>
        <v>0</v>
      </c>
      <c r="R1505" s="11"/>
      <c r="S1505" s="11" t="str">
        <f t="shared" si="232"/>
        <v>PASS</v>
      </c>
    </row>
    <row r="1506" spans="1:19" x14ac:dyDescent="0.25">
      <c r="A1506" s="30" t="s">
        <v>99</v>
      </c>
      <c r="B1506" s="31">
        <f t="shared" si="224"/>
        <v>44044</v>
      </c>
      <c r="C1506" s="30">
        <f>YEAR(BInputReservoir[[#This Row],[Date]])</f>
        <v>2020</v>
      </c>
      <c r="D1506" s="30">
        <f>MONTH(BInputReservoir[[#This Row],[Date]])</f>
        <v>8</v>
      </c>
      <c r="E1506" s="30">
        <f>IF(I1506&lt;&gt;1,"",DATA_INPUT!O63)</f>
        <v>1905196.7376706242</v>
      </c>
      <c r="F1506" s="30">
        <f>STORAGE_BALANCE_ENSEMBLE!CN63</f>
        <v>0</v>
      </c>
      <c r="G1506" s="30">
        <f>STORAGE_BALANCE_ENSEMBLE!CO63</f>
        <v>0</v>
      </c>
      <c r="H1506" s="30">
        <f>STORAGE_BALANCE_ENSEMBLE!CM63</f>
        <v>15862954.65642252</v>
      </c>
      <c r="I1506" s="18">
        <f t="shared" si="223"/>
        <v>1</v>
      </c>
      <c r="J1506" s="8">
        <f t="shared" si="225"/>
        <v>1905196.7376706242</v>
      </c>
      <c r="K1506" s="9">
        <f t="shared" si="226"/>
        <v>0</v>
      </c>
      <c r="L1506" s="10">
        <f t="shared" si="227"/>
        <v>0</v>
      </c>
      <c r="M1506" s="10">
        <f>IF(I1506&lt;&gt;1,"",IF(H1506="","",H1506/CONTROL_PANEL!$B$11))</f>
        <v>0.31725909312845041</v>
      </c>
      <c r="N1506" s="9">
        <f t="shared" si="228"/>
        <v>0</v>
      </c>
      <c r="O1506" s="9">
        <f t="shared" si="229"/>
        <v>0</v>
      </c>
      <c r="P1506" s="9">
        <f t="shared" si="230"/>
        <v>0</v>
      </c>
      <c r="Q1506" s="9">
        <f t="shared" si="231"/>
        <v>0</v>
      </c>
      <c r="R1506" s="11"/>
      <c r="S1506" s="11" t="str">
        <f t="shared" si="232"/>
        <v>PASS</v>
      </c>
    </row>
    <row r="1507" spans="1:19" x14ac:dyDescent="0.25">
      <c r="A1507" s="30" t="s">
        <v>99</v>
      </c>
      <c r="B1507" s="31">
        <f t="shared" si="224"/>
        <v>44075</v>
      </c>
      <c r="C1507" s="30">
        <f>YEAR(BInputReservoir[[#This Row],[Date]])</f>
        <v>2020</v>
      </c>
      <c r="D1507" s="30">
        <f>MONTH(BInputReservoir[[#This Row],[Date]])</f>
        <v>9</v>
      </c>
      <c r="E1507" s="30">
        <f>IF(I1507&lt;&gt;1,"",DATA_INPUT!O64)</f>
        <v>668594.28562562494</v>
      </c>
      <c r="F1507" s="30">
        <f>STORAGE_BALANCE_ENSEMBLE!CN64</f>
        <v>0</v>
      </c>
      <c r="G1507" s="30">
        <f>STORAGE_BALANCE_ENSEMBLE!CO64</f>
        <v>0</v>
      </c>
      <c r="H1507" s="30">
        <f>STORAGE_BALANCE_ENSEMBLE!CM64</f>
        <v>15198466.60903999</v>
      </c>
      <c r="I1507" s="18">
        <f t="shared" si="223"/>
        <v>1</v>
      </c>
      <c r="J1507" s="8">
        <f t="shared" si="225"/>
        <v>668594.28562562494</v>
      </c>
      <c r="K1507" s="9">
        <f t="shared" si="226"/>
        <v>0</v>
      </c>
      <c r="L1507" s="10">
        <f t="shared" si="227"/>
        <v>0</v>
      </c>
      <c r="M1507" s="10">
        <f>IF(I1507&lt;&gt;1,"",IF(H1507="","",H1507/CONTROL_PANEL!$B$11))</f>
        <v>0.3039693321807998</v>
      </c>
      <c r="N1507" s="9">
        <f t="shared" si="228"/>
        <v>0</v>
      </c>
      <c r="O1507" s="9">
        <f t="shared" si="229"/>
        <v>0</v>
      </c>
      <c r="P1507" s="9">
        <f t="shared" si="230"/>
        <v>0</v>
      </c>
      <c r="Q1507" s="9">
        <f t="shared" si="231"/>
        <v>0</v>
      </c>
      <c r="R1507" s="11"/>
      <c r="S1507" s="11" t="str">
        <f t="shared" si="232"/>
        <v>PASS</v>
      </c>
    </row>
    <row r="1508" spans="1:19" x14ac:dyDescent="0.25">
      <c r="A1508" s="30" t="s">
        <v>99</v>
      </c>
      <c r="B1508" s="31">
        <f t="shared" si="224"/>
        <v>44105</v>
      </c>
      <c r="C1508" s="30">
        <f>YEAR(BInputReservoir[[#This Row],[Date]])</f>
        <v>2020</v>
      </c>
      <c r="D1508" s="30">
        <f>MONTH(BInputReservoir[[#This Row],[Date]])</f>
        <v>10</v>
      </c>
      <c r="E1508" s="30">
        <f>IF(I1508&lt;&gt;1,"",DATA_INPUT!O65)</f>
        <v>114411.26137451374</v>
      </c>
      <c r="F1508" s="30">
        <f>STORAGE_BALANCE_ENSEMBLE!CN65</f>
        <v>0</v>
      </c>
      <c r="G1508" s="30">
        <f>STORAGE_BALANCE_ENSEMBLE!CO65</f>
        <v>0</v>
      </c>
      <c r="H1508" s="30">
        <f>STORAGE_BALANCE_ENSEMBLE!CM65</f>
        <v>15805236.511053367</v>
      </c>
      <c r="I1508" s="18">
        <f t="shared" si="223"/>
        <v>1</v>
      </c>
      <c r="J1508" s="8">
        <f t="shared" si="225"/>
        <v>114411.26137451374</v>
      </c>
      <c r="K1508" s="9">
        <f t="shared" si="226"/>
        <v>0</v>
      </c>
      <c r="L1508" s="10">
        <f t="shared" si="227"/>
        <v>0</v>
      </c>
      <c r="M1508" s="10">
        <f>IF(I1508&lt;&gt;1,"",IF(H1508="","",H1508/CONTROL_PANEL!$B$11))</f>
        <v>0.31610473022106733</v>
      </c>
      <c r="N1508" s="9">
        <f t="shared" si="228"/>
        <v>0</v>
      </c>
      <c r="O1508" s="9">
        <f t="shared" si="229"/>
        <v>0</v>
      </c>
      <c r="P1508" s="9">
        <f t="shared" si="230"/>
        <v>0</v>
      </c>
      <c r="Q1508" s="9">
        <f t="shared" si="231"/>
        <v>0</v>
      </c>
      <c r="R1508" s="11"/>
      <c r="S1508" s="11" t="str">
        <f t="shared" si="232"/>
        <v>PASS</v>
      </c>
    </row>
    <row r="1509" spans="1:19" x14ac:dyDescent="0.25">
      <c r="A1509" s="30" t="s">
        <v>99</v>
      </c>
      <c r="B1509" s="31">
        <f t="shared" si="224"/>
        <v>44136</v>
      </c>
      <c r="C1509" s="30">
        <f>YEAR(BInputReservoir[[#This Row],[Date]])</f>
        <v>2020</v>
      </c>
      <c r="D1509" s="30">
        <f>MONTH(BInputReservoir[[#This Row],[Date]])</f>
        <v>11</v>
      </c>
      <c r="E1509" s="30">
        <f>IF(I1509&lt;&gt;1,"",DATA_INPUT!O66)</f>
        <v>0</v>
      </c>
      <c r="F1509" s="30">
        <f>STORAGE_BALANCE_ENSEMBLE!CN66</f>
        <v>0</v>
      </c>
      <c r="G1509" s="30">
        <f>STORAGE_BALANCE_ENSEMBLE!CO66</f>
        <v>0</v>
      </c>
      <c r="H1509" s="30">
        <f>STORAGE_BALANCE_ENSEMBLE!CM66</f>
        <v>16630014.681698959</v>
      </c>
      <c r="I1509" s="18">
        <f t="shared" si="223"/>
        <v>1</v>
      </c>
      <c r="J1509" s="8">
        <f t="shared" si="225"/>
        <v>0</v>
      </c>
      <c r="K1509" s="9">
        <f t="shared" si="226"/>
        <v>0</v>
      </c>
      <c r="L1509" s="10">
        <f t="shared" si="227"/>
        <v>0</v>
      </c>
      <c r="M1509" s="10">
        <f>IF(I1509&lt;&gt;1,"",IF(H1509="","",H1509/CONTROL_PANEL!$B$11))</f>
        <v>0.33260029363397919</v>
      </c>
      <c r="N1509" s="9">
        <f t="shared" si="228"/>
        <v>0</v>
      </c>
      <c r="O1509" s="9">
        <f t="shared" si="229"/>
        <v>0</v>
      </c>
      <c r="P1509" s="9">
        <f t="shared" si="230"/>
        <v>0</v>
      </c>
      <c r="Q1509" s="9">
        <f t="shared" si="231"/>
        <v>0</v>
      </c>
      <c r="R1509" s="11"/>
      <c r="S1509" s="11" t="str">
        <f t="shared" si="232"/>
        <v>PASS</v>
      </c>
    </row>
    <row r="1510" spans="1:19" x14ac:dyDescent="0.25">
      <c r="A1510" s="30" t="s">
        <v>99</v>
      </c>
      <c r="B1510" s="31">
        <f t="shared" si="224"/>
        <v>44166</v>
      </c>
      <c r="C1510" s="30">
        <f>YEAR(BInputReservoir[[#This Row],[Date]])</f>
        <v>2020</v>
      </c>
      <c r="D1510" s="30">
        <f>MONTH(BInputReservoir[[#This Row],[Date]])</f>
        <v>12</v>
      </c>
      <c r="E1510" s="30">
        <f>IF(I1510&lt;&gt;1,"",DATA_INPUT!O67)</f>
        <v>0</v>
      </c>
      <c r="F1510" s="30">
        <f>STORAGE_BALANCE_ENSEMBLE!CN67</f>
        <v>0</v>
      </c>
      <c r="G1510" s="30">
        <f>STORAGE_BALANCE_ENSEMBLE!CO67</f>
        <v>0</v>
      </c>
      <c r="H1510" s="30">
        <f>STORAGE_BALANCE_ENSEMBLE!CM67</f>
        <v>18223271.032426208</v>
      </c>
      <c r="I1510" s="18">
        <f t="shared" si="223"/>
        <v>1</v>
      </c>
      <c r="J1510" s="8">
        <f t="shared" si="225"/>
        <v>0</v>
      </c>
      <c r="K1510" s="9">
        <f t="shared" si="226"/>
        <v>0</v>
      </c>
      <c r="L1510" s="10">
        <f t="shared" si="227"/>
        <v>0</v>
      </c>
      <c r="M1510" s="10">
        <f>IF(I1510&lt;&gt;1,"",IF(H1510="","",H1510/CONTROL_PANEL!$B$11))</f>
        <v>0.36446542064852416</v>
      </c>
      <c r="N1510" s="9">
        <f t="shared" si="228"/>
        <v>0</v>
      </c>
      <c r="O1510" s="9">
        <f t="shared" si="229"/>
        <v>0</v>
      </c>
      <c r="P1510" s="9">
        <f t="shared" si="230"/>
        <v>0</v>
      </c>
      <c r="Q1510" s="9">
        <f t="shared" si="231"/>
        <v>0</v>
      </c>
      <c r="R1510" s="11"/>
      <c r="S1510" s="11" t="str">
        <f t="shared" si="232"/>
        <v>PASS</v>
      </c>
    </row>
    <row r="1511" spans="1:19" x14ac:dyDescent="0.25">
      <c r="A1511" s="30" t="s">
        <v>99</v>
      </c>
      <c r="B1511" s="31">
        <f t="shared" si="224"/>
        <v>44197</v>
      </c>
      <c r="C1511" s="30">
        <f>YEAR(BInputReservoir[[#This Row],[Date]])</f>
        <v>2021</v>
      </c>
      <c r="D1511" s="30">
        <f>MONTH(BInputReservoir[[#This Row],[Date]])</f>
        <v>1</v>
      </c>
      <c r="E1511" s="30">
        <f>IF(I1511&lt;&gt;1,"",DATA_INPUT!O68)</f>
        <v>0</v>
      </c>
      <c r="F1511" s="30">
        <f>STORAGE_BALANCE_ENSEMBLE!CN68</f>
        <v>0</v>
      </c>
      <c r="G1511" s="30">
        <f>STORAGE_BALANCE_ENSEMBLE!CO68</f>
        <v>0</v>
      </c>
      <c r="H1511" s="30">
        <f>STORAGE_BALANCE_ENSEMBLE!CM68</f>
        <v>23907241.871686973</v>
      </c>
      <c r="I1511" s="18">
        <f t="shared" si="223"/>
        <v>1</v>
      </c>
      <c r="J1511" s="8">
        <f t="shared" si="225"/>
        <v>0</v>
      </c>
      <c r="K1511" s="9">
        <f t="shared" si="226"/>
        <v>0</v>
      </c>
      <c r="L1511" s="10">
        <f t="shared" si="227"/>
        <v>0</v>
      </c>
      <c r="M1511" s="10">
        <f>IF(I1511&lt;&gt;1,"",IF(H1511="","",H1511/CONTROL_PANEL!$B$11))</f>
        <v>0.47814483743373948</v>
      </c>
      <c r="N1511" s="9">
        <f t="shared" si="228"/>
        <v>0</v>
      </c>
      <c r="O1511" s="9">
        <f t="shared" si="229"/>
        <v>0</v>
      </c>
      <c r="P1511" s="9">
        <f t="shared" si="230"/>
        <v>0</v>
      </c>
      <c r="Q1511" s="9">
        <f t="shared" si="231"/>
        <v>0</v>
      </c>
      <c r="R1511" s="11"/>
      <c r="S1511" s="11" t="str">
        <f t="shared" si="232"/>
        <v>PASS</v>
      </c>
    </row>
    <row r="1512" spans="1:19" x14ac:dyDescent="0.25">
      <c r="A1512" s="30" t="s">
        <v>99</v>
      </c>
      <c r="B1512" s="31">
        <f t="shared" si="224"/>
        <v>44228</v>
      </c>
      <c r="C1512" s="30">
        <f>YEAR(BInputReservoir[[#This Row],[Date]])</f>
        <v>2021</v>
      </c>
      <c r="D1512" s="30">
        <f>MONTH(BInputReservoir[[#This Row],[Date]])</f>
        <v>2</v>
      </c>
      <c r="E1512" s="30">
        <f>IF(I1512&lt;&gt;1,"",DATA_INPUT!O69)</f>
        <v>0</v>
      </c>
      <c r="F1512" s="30">
        <f>STORAGE_BALANCE_ENSEMBLE!CN69</f>
        <v>0</v>
      </c>
      <c r="G1512" s="30">
        <f>STORAGE_BALANCE_ENSEMBLE!CO69</f>
        <v>0</v>
      </c>
      <c r="H1512" s="30">
        <f>STORAGE_BALANCE_ENSEMBLE!CM69</f>
        <v>25669772.878003825</v>
      </c>
      <c r="I1512" s="18">
        <f t="shared" si="223"/>
        <v>1</v>
      </c>
      <c r="J1512" s="8">
        <f t="shared" si="225"/>
        <v>0</v>
      </c>
      <c r="K1512" s="9">
        <f t="shared" si="226"/>
        <v>0</v>
      </c>
      <c r="L1512" s="10">
        <f t="shared" si="227"/>
        <v>0</v>
      </c>
      <c r="M1512" s="10">
        <f>IF(I1512&lt;&gt;1,"",IF(H1512="","",H1512/CONTROL_PANEL!$B$11))</f>
        <v>0.51339545756007654</v>
      </c>
      <c r="N1512" s="9">
        <f t="shared" si="228"/>
        <v>0</v>
      </c>
      <c r="O1512" s="9">
        <f t="shared" si="229"/>
        <v>0</v>
      </c>
      <c r="P1512" s="9">
        <f t="shared" si="230"/>
        <v>0</v>
      </c>
      <c r="Q1512" s="9">
        <f t="shared" si="231"/>
        <v>0</v>
      </c>
      <c r="R1512" s="11"/>
      <c r="S1512" s="11" t="str">
        <f t="shared" si="232"/>
        <v>PASS</v>
      </c>
    </row>
    <row r="1513" spans="1:19" x14ac:dyDescent="0.25">
      <c r="A1513" s="30" t="s">
        <v>99</v>
      </c>
      <c r="B1513" s="31">
        <f t="shared" si="224"/>
        <v>44256</v>
      </c>
      <c r="C1513" s="30">
        <f>YEAR(BInputReservoir[[#This Row],[Date]])</f>
        <v>2021</v>
      </c>
      <c r="D1513" s="30">
        <f>MONTH(BInputReservoir[[#This Row],[Date]])</f>
        <v>3</v>
      </c>
      <c r="E1513" s="30">
        <f>IF(I1513&lt;&gt;1,"",DATA_INPUT!O70)</f>
        <v>0</v>
      </c>
      <c r="F1513" s="30">
        <f>STORAGE_BALANCE_ENSEMBLE!CN70</f>
        <v>0</v>
      </c>
      <c r="G1513" s="30">
        <f>STORAGE_BALANCE_ENSEMBLE!CO70</f>
        <v>0</v>
      </c>
      <c r="H1513" s="30">
        <f>STORAGE_BALANCE_ENSEMBLE!CM70</f>
        <v>25841143.059028927</v>
      </c>
      <c r="I1513" s="18">
        <f t="shared" ref="I1513:I1576" si="233">I69</f>
        <v>1</v>
      </c>
      <c r="J1513" s="8">
        <f t="shared" si="225"/>
        <v>0</v>
      </c>
      <c r="K1513" s="9">
        <f t="shared" si="226"/>
        <v>0</v>
      </c>
      <c r="L1513" s="10">
        <f t="shared" si="227"/>
        <v>0</v>
      </c>
      <c r="M1513" s="10">
        <f>IF(I1513&lt;&gt;1,"",IF(H1513="","",H1513/CONTROL_PANEL!$B$11))</f>
        <v>0.51682286118057852</v>
      </c>
      <c r="N1513" s="9">
        <f t="shared" si="228"/>
        <v>0</v>
      </c>
      <c r="O1513" s="9">
        <f t="shared" si="229"/>
        <v>0</v>
      </c>
      <c r="P1513" s="9">
        <f t="shared" si="230"/>
        <v>0</v>
      </c>
      <c r="Q1513" s="9">
        <f t="shared" si="231"/>
        <v>0</v>
      </c>
      <c r="R1513" s="11"/>
      <c r="S1513" s="11" t="str">
        <f t="shared" si="232"/>
        <v>PASS</v>
      </c>
    </row>
    <row r="1514" spans="1:19" x14ac:dyDescent="0.25">
      <c r="A1514" s="30" t="s">
        <v>99</v>
      </c>
      <c r="B1514" s="31">
        <f t="shared" si="224"/>
        <v>44287</v>
      </c>
      <c r="C1514" s="30">
        <f>YEAR(BInputReservoir[[#This Row],[Date]])</f>
        <v>2021</v>
      </c>
      <c r="D1514" s="30">
        <f>MONTH(BInputReservoir[[#This Row],[Date]])</f>
        <v>4</v>
      </c>
      <c r="E1514" s="30">
        <f>IF(I1514&lt;&gt;1,"",DATA_INPUT!O71)</f>
        <v>34106.511648649597</v>
      </c>
      <c r="F1514" s="30">
        <f>STORAGE_BALANCE_ENSEMBLE!CN71</f>
        <v>0</v>
      </c>
      <c r="G1514" s="30">
        <f>STORAGE_BALANCE_ENSEMBLE!CO71</f>
        <v>0</v>
      </c>
      <c r="H1514" s="30">
        <f>STORAGE_BALANCE_ENSEMBLE!CM71</f>
        <v>25839809.630579937</v>
      </c>
      <c r="I1514" s="18">
        <f t="shared" si="233"/>
        <v>1</v>
      </c>
      <c r="J1514" s="8">
        <f t="shared" si="225"/>
        <v>34106.511648649597</v>
      </c>
      <c r="K1514" s="9">
        <f t="shared" si="226"/>
        <v>0</v>
      </c>
      <c r="L1514" s="10">
        <f t="shared" si="227"/>
        <v>0</v>
      </c>
      <c r="M1514" s="10">
        <f>IF(I1514&lt;&gt;1,"",IF(H1514="","",H1514/CONTROL_PANEL!$B$11))</f>
        <v>0.5167961926115987</v>
      </c>
      <c r="N1514" s="9">
        <f t="shared" si="228"/>
        <v>0</v>
      </c>
      <c r="O1514" s="9">
        <f t="shared" si="229"/>
        <v>0</v>
      </c>
      <c r="P1514" s="9">
        <f t="shared" si="230"/>
        <v>0</v>
      </c>
      <c r="Q1514" s="9">
        <f t="shared" si="231"/>
        <v>0</v>
      </c>
      <c r="R1514" s="11"/>
      <c r="S1514" s="11" t="str">
        <f t="shared" si="232"/>
        <v>PASS</v>
      </c>
    </row>
    <row r="1515" spans="1:19" x14ac:dyDescent="0.25">
      <c r="A1515" s="30" t="s">
        <v>99</v>
      </c>
      <c r="B1515" s="31">
        <f t="shared" si="224"/>
        <v>44317</v>
      </c>
      <c r="C1515" s="30">
        <f>YEAR(BInputReservoir[[#This Row],[Date]])</f>
        <v>2021</v>
      </c>
      <c r="D1515" s="30">
        <f>MONTH(BInputReservoir[[#This Row],[Date]])</f>
        <v>5</v>
      </c>
      <c r="E1515" s="30">
        <f>IF(I1515&lt;&gt;1,"",DATA_INPUT!O72)</f>
        <v>292802.56318179664</v>
      </c>
      <c r="F1515" s="30">
        <f>STORAGE_BALANCE_ENSEMBLE!CN72</f>
        <v>0</v>
      </c>
      <c r="G1515" s="30">
        <f>STORAGE_BALANCE_ENSEMBLE!CO72</f>
        <v>0</v>
      </c>
      <c r="H1515" s="30">
        <f>STORAGE_BALANCE_ENSEMBLE!CM72</f>
        <v>25246140.511341978</v>
      </c>
      <c r="I1515" s="18">
        <f t="shared" si="233"/>
        <v>1</v>
      </c>
      <c r="J1515" s="8">
        <f t="shared" si="225"/>
        <v>292802.56318179664</v>
      </c>
      <c r="K1515" s="9">
        <f t="shared" si="226"/>
        <v>0</v>
      </c>
      <c r="L1515" s="10">
        <f t="shared" si="227"/>
        <v>0</v>
      </c>
      <c r="M1515" s="10">
        <f>IF(I1515&lt;&gt;1,"",IF(H1515="","",H1515/CONTROL_PANEL!$B$11))</f>
        <v>0.5049228102268396</v>
      </c>
      <c r="N1515" s="9">
        <f t="shared" si="228"/>
        <v>0</v>
      </c>
      <c r="O1515" s="9">
        <f t="shared" si="229"/>
        <v>0</v>
      </c>
      <c r="P1515" s="9">
        <f t="shared" si="230"/>
        <v>0</v>
      </c>
      <c r="Q1515" s="9">
        <f t="shared" si="231"/>
        <v>0</v>
      </c>
      <c r="R1515" s="11"/>
      <c r="S1515" s="11" t="str">
        <f t="shared" si="232"/>
        <v>PASS</v>
      </c>
    </row>
    <row r="1516" spans="1:19" x14ac:dyDescent="0.25">
      <c r="A1516" s="30" t="s">
        <v>99</v>
      </c>
      <c r="B1516" s="31">
        <f t="shared" si="224"/>
        <v>44348</v>
      </c>
      <c r="C1516" s="30">
        <f>YEAR(BInputReservoir[[#This Row],[Date]])</f>
        <v>2021</v>
      </c>
      <c r="D1516" s="30">
        <f>MONTH(BInputReservoir[[#This Row],[Date]])</f>
        <v>6</v>
      </c>
      <c r="E1516" s="30">
        <f>IF(I1516&lt;&gt;1,"",DATA_INPUT!O73)</f>
        <v>964976.33910576883</v>
      </c>
      <c r="F1516" s="30">
        <f>STORAGE_BALANCE_ENSEMBLE!CN73</f>
        <v>0</v>
      </c>
      <c r="G1516" s="30">
        <f>STORAGE_BALANCE_ENSEMBLE!CO73</f>
        <v>0</v>
      </c>
      <c r="H1516" s="30">
        <f>STORAGE_BALANCE_ENSEMBLE!CM73</f>
        <v>23829596.96268028</v>
      </c>
      <c r="I1516" s="18">
        <f t="shared" si="233"/>
        <v>1</v>
      </c>
      <c r="J1516" s="8">
        <f t="shared" si="225"/>
        <v>964976.33910576883</v>
      </c>
      <c r="K1516" s="9">
        <f t="shared" si="226"/>
        <v>0</v>
      </c>
      <c r="L1516" s="10">
        <f t="shared" si="227"/>
        <v>0</v>
      </c>
      <c r="M1516" s="10">
        <f>IF(I1516&lt;&gt;1,"",IF(H1516="","",H1516/CONTROL_PANEL!$B$11))</f>
        <v>0.4765919392536056</v>
      </c>
      <c r="N1516" s="9">
        <f t="shared" si="228"/>
        <v>0</v>
      </c>
      <c r="O1516" s="9">
        <f t="shared" si="229"/>
        <v>0</v>
      </c>
      <c r="P1516" s="9">
        <f t="shared" si="230"/>
        <v>0</v>
      </c>
      <c r="Q1516" s="9">
        <f t="shared" si="231"/>
        <v>0</v>
      </c>
      <c r="R1516" s="11"/>
      <c r="S1516" s="11" t="str">
        <f t="shared" si="232"/>
        <v>PASS</v>
      </c>
    </row>
    <row r="1517" spans="1:19" x14ac:dyDescent="0.25">
      <c r="A1517" s="30" t="s">
        <v>99</v>
      </c>
      <c r="B1517" s="31">
        <f t="shared" si="224"/>
        <v>44378</v>
      </c>
      <c r="C1517" s="30">
        <f>YEAR(BInputReservoir[[#This Row],[Date]])</f>
        <v>2021</v>
      </c>
      <c r="D1517" s="30">
        <f>MONTH(BInputReservoir[[#This Row],[Date]])</f>
        <v>7</v>
      </c>
      <c r="E1517" s="30">
        <f>IF(I1517&lt;&gt;1,"",DATA_INPUT!O74)</f>
        <v>2057887.0619798042</v>
      </c>
      <c r="F1517" s="30">
        <f>STORAGE_BALANCE_ENSEMBLE!CN74</f>
        <v>0</v>
      </c>
      <c r="G1517" s="30">
        <f>STORAGE_BALANCE_ENSEMBLE!CO74</f>
        <v>0</v>
      </c>
      <c r="H1517" s="30">
        <f>STORAGE_BALANCE_ENSEMBLE!CM74</f>
        <v>21287752.943171855</v>
      </c>
      <c r="I1517" s="18">
        <f t="shared" si="233"/>
        <v>1</v>
      </c>
      <c r="J1517" s="8">
        <f t="shared" si="225"/>
        <v>2057887.0619798042</v>
      </c>
      <c r="K1517" s="9">
        <f t="shared" si="226"/>
        <v>0</v>
      </c>
      <c r="L1517" s="10">
        <f t="shared" si="227"/>
        <v>0</v>
      </c>
      <c r="M1517" s="10">
        <f>IF(I1517&lt;&gt;1,"",IF(H1517="","",H1517/CONTROL_PANEL!$B$11))</f>
        <v>0.42575505886343712</v>
      </c>
      <c r="N1517" s="9">
        <f t="shared" si="228"/>
        <v>0</v>
      </c>
      <c r="O1517" s="9">
        <f t="shared" si="229"/>
        <v>0</v>
      </c>
      <c r="P1517" s="9">
        <f t="shared" si="230"/>
        <v>0</v>
      </c>
      <c r="Q1517" s="9">
        <f t="shared" si="231"/>
        <v>0</v>
      </c>
      <c r="R1517" s="11"/>
      <c r="S1517" s="11" t="str">
        <f t="shared" si="232"/>
        <v>PASS</v>
      </c>
    </row>
    <row r="1518" spans="1:19" x14ac:dyDescent="0.25">
      <c r="A1518" s="30" t="s">
        <v>99</v>
      </c>
      <c r="B1518" s="31">
        <f t="shared" si="224"/>
        <v>44409</v>
      </c>
      <c r="C1518" s="30">
        <f>YEAR(BInputReservoir[[#This Row],[Date]])</f>
        <v>2021</v>
      </c>
      <c r="D1518" s="30">
        <f>MONTH(BInputReservoir[[#This Row],[Date]])</f>
        <v>8</v>
      </c>
      <c r="E1518" s="30">
        <f>IF(I1518&lt;&gt;1,"",DATA_INPUT!O75)</f>
        <v>2305847.7871576771</v>
      </c>
      <c r="F1518" s="30">
        <f>STORAGE_BALANCE_ENSEMBLE!CN75</f>
        <v>0</v>
      </c>
      <c r="G1518" s="30">
        <f>STORAGE_BALANCE_ENSEMBLE!CO75</f>
        <v>0</v>
      </c>
      <c r="H1518" s="30">
        <f>STORAGE_BALANCE_ENSEMBLE!CM75</f>
        <v>18553754.559288464</v>
      </c>
      <c r="I1518" s="18">
        <f t="shared" si="233"/>
        <v>1</v>
      </c>
      <c r="J1518" s="8">
        <f t="shared" si="225"/>
        <v>2305847.7871576771</v>
      </c>
      <c r="K1518" s="9">
        <f t="shared" si="226"/>
        <v>0</v>
      </c>
      <c r="L1518" s="10">
        <f t="shared" si="227"/>
        <v>0</v>
      </c>
      <c r="M1518" s="10">
        <f>IF(I1518&lt;&gt;1,"",IF(H1518="","",H1518/CONTROL_PANEL!$B$11))</f>
        <v>0.37107509118576931</v>
      </c>
      <c r="N1518" s="9">
        <f t="shared" si="228"/>
        <v>0</v>
      </c>
      <c r="O1518" s="9">
        <f t="shared" si="229"/>
        <v>0</v>
      </c>
      <c r="P1518" s="9">
        <f t="shared" si="230"/>
        <v>0</v>
      </c>
      <c r="Q1518" s="9">
        <f t="shared" si="231"/>
        <v>0</v>
      </c>
      <c r="R1518" s="11"/>
      <c r="S1518" s="11" t="str">
        <f t="shared" si="232"/>
        <v>PASS</v>
      </c>
    </row>
    <row r="1519" spans="1:19" x14ac:dyDescent="0.25">
      <c r="A1519" s="30" t="s">
        <v>99</v>
      </c>
      <c r="B1519" s="31">
        <f t="shared" si="224"/>
        <v>44440</v>
      </c>
      <c r="C1519" s="30">
        <f>YEAR(BInputReservoir[[#This Row],[Date]])</f>
        <v>2021</v>
      </c>
      <c r="D1519" s="30">
        <f>MONTH(BInputReservoir[[#This Row],[Date]])</f>
        <v>9</v>
      </c>
      <c r="E1519" s="30">
        <f>IF(I1519&lt;&gt;1,"",DATA_INPUT!O76)</f>
        <v>525181.99835892243</v>
      </c>
      <c r="F1519" s="30">
        <f>STORAGE_BALANCE_ENSEMBLE!CN76</f>
        <v>0</v>
      </c>
      <c r="G1519" s="30">
        <f>STORAGE_BALANCE_ENSEMBLE!CO76</f>
        <v>0</v>
      </c>
      <c r="H1519" s="30">
        <f>STORAGE_BALANCE_ENSEMBLE!CM76</f>
        <v>17935908.374178946</v>
      </c>
      <c r="I1519" s="18">
        <f t="shared" si="233"/>
        <v>1</v>
      </c>
      <c r="J1519" s="8">
        <f t="shared" si="225"/>
        <v>525181.99835892243</v>
      </c>
      <c r="K1519" s="9">
        <f t="shared" si="226"/>
        <v>0</v>
      </c>
      <c r="L1519" s="10">
        <f t="shared" si="227"/>
        <v>0</v>
      </c>
      <c r="M1519" s="10">
        <f>IF(I1519&lt;&gt;1,"",IF(H1519="","",H1519/CONTROL_PANEL!$B$11))</f>
        <v>0.35871816748357893</v>
      </c>
      <c r="N1519" s="9">
        <f t="shared" si="228"/>
        <v>0</v>
      </c>
      <c r="O1519" s="9">
        <f t="shared" si="229"/>
        <v>0</v>
      </c>
      <c r="P1519" s="9">
        <f t="shared" si="230"/>
        <v>0</v>
      </c>
      <c r="Q1519" s="9">
        <f t="shared" si="231"/>
        <v>0</v>
      </c>
      <c r="R1519" s="11"/>
      <c r="S1519" s="11" t="str">
        <f t="shared" si="232"/>
        <v>PASS</v>
      </c>
    </row>
    <row r="1520" spans="1:19" x14ac:dyDescent="0.25">
      <c r="A1520" s="30" t="s">
        <v>99</v>
      </c>
      <c r="B1520" s="31">
        <f t="shared" si="224"/>
        <v>44470</v>
      </c>
      <c r="C1520" s="30">
        <f>YEAR(BInputReservoir[[#This Row],[Date]])</f>
        <v>2021</v>
      </c>
      <c r="D1520" s="30">
        <f>MONTH(BInputReservoir[[#This Row],[Date]])</f>
        <v>10</v>
      </c>
      <c r="E1520" s="30">
        <f>IF(I1520&lt;&gt;1,"",DATA_INPUT!O77)</f>
        <v>215126.87026318477</v>
      </c>
      <c r="F1520" s="30">
        <f>STORAGE_BALANCE_ENSEMBLE!CN77</f>
        <v>0</v>
      </c>
      <c r="G1520" s="30">
        <f>STORAGE_BALANCE_ENSEMBLE!CO77</f>
        <v>0</v>
      </c>
      <c r="H1520" s="30">
        <f>STORAGE_BALANCE_ENSEMBLE!CM77</f>
        <v>17763905.022757541</v>
      </c>
      <c r="I1520" s="18">
        <f t="shared" si="233"/>
        <v>1</v>
      </c>
      <c r="J1520" s="8">
        <f t="shared" si="225"/>
        <v>215126.87026318477</v>
      </c>
      <c r="K1520" s="9">
        <f t="shared" si="226"/>
        <v>0</v>
      </c>
      <c r="L1520" s="10">
        <f t="shared" si="227"/>
        <v>0</v>
      </c>
      <c r="M1520" s="10">
        <f>IF(I1520&lt;&gt;1,"",IF(H1520="","",H1520/CONTROL_PANEL!$B$11))</f>
        <v>0.35527810045515085</v>
      </c>
      <c r="N1520" s="9">
        <f t="shared" si="228"/>
        <v>0</v>
      </c>
      <c r="O1520" s="9">
        <f t="shared" si="229"/>
        <v>0</v>
      </c>
      <c r="P1520" s="9">
        <f t="shared" si="230"/>
        <v>0</v>
      </c>
      <c r="Q1520" s="9">
        <f t="shared" si="231"/>
        <v>0</v>
      </c>
      <c r="R1520" s="11"/>
      <c r="S1520" s="11" t="str">
        <f t="shared" si="232"/>
        <v>PASS</v>
      </c>
    </row>
    <row r="1521" spans="1:19" x14ac:dyDescent="0.25">
      <c r="A1521" s="30" t="s">
        <v>99</v>
      </c>
      <c r="B1521" s="31">
        <f t="shared" si="224"/>
        <v>44501</v>
      </c>
      <c r="C1521" s="30">
        <f>YEAR(BInputReservoir[[#This Row],[Date]])</f>
        <v>2021</v>
      </c>
      <c r="D1521" s="30">
        <f>MONTH(BInputReservoir[[#This Row],[Date]])</f>
        <v>11</v>
      </c>
      <c r="E1521" s="30">
        <f>IF(I1521&lt;&gt;1,"",DATA_INPUT!O78)</f>
        <v>0</v>
      </c>
      <c r="F1521" s="30">
        <f>STORAGE_BALANCE_ENSEMBLE!CN78</f>
        <v>0</v>
      </c>
      <c r="G1521" s="30">
        <f>STORAGE_BALANCE_ENSEMBLE!CO78</f>
        <v>0</v>
      </c>
      <c r="H1521" s="30">
        <f>STORAGE_BALANCE_ENSEMBLE!CM78</f>
        <v>17733657.417710185</v>
      </c>
      <c r="I1521" s="18">
        <f t="shared" si="233"/>
        <v>1</v>
      </c>
      <c r="J1521" s="8">
        <f t="shared" si="225"/>
        <v>0</v>
      </c>
      <c r="K1521" s="9">
        <f t="shared" si="226"/>
        <v>0</v>
      </c>
      <c r="L1521" s="10">
        <f t="shared" si="227"/>
        <v>0</v>
      </c>
      <c r="M1521" s="10">
        <f>IF(I1521&lt;&gt;1,"",IF(H1521="","",H1521/CONTROL_PANEL!$B$11))</f>
        <v>0.35467314835420372</v>
      </c>
      <c r="N1521" s="9">
        <f t="shared" si="228"/>
        <v>0</v>
      </c>
      <c r="O1521" s="9">
        <f t="shared" si="229"/>
        <v>0</v>
      </c>
      <c r="P1521" s="9">
        <f t="shared" si="230"/>
        <v>0</v>
      </c>
      <c r="Q1521" s="9">
        <f t="shared" si="231"/>
        <v>0</v>
      </c>
      <c r="R1521" s="11"/>
      <c r="S1521" s="11" t="str">
        <f t="shared" si="232"/>
        <v>PASS</v>
      </c>
    </row>
    <row r="1522" spans="1:19" x14ac:dyDescent="0.25">
      <c r="A1522" s="30" t="s">
        <v>99</v>
      </c>
      <c r="B1522" s="31">
        <f t="shared" si="224"/>
        <v>44531</v>
      </c>
      <c r="C1522" s="30">
        <f>YEAR(BInputReservoir[[#This Row],[Date]])</f>
        <v>2021</v>
      </c>
      <c r="D1522" s="30">
        <f>MONTH(BInputReservoir[[#This Row],[Date]])</f>
        <v>12</v>
      </c>
      <c r="E1522" s="30">
        <f>IF(I1522&lt;&gt;1,"",DATA_INPUT!O79)</f>
        <v>0</v>
      </c>
      <c r="F1522" s="30">
        <f>STORAGE_BALANCE_ENSEMBLE!CN79</f>
        <v>0</v>
      </c>
      <c r="G1522" s="30">
        <f>STORAGE_BALANCE_ENSEMBLE!CO79</f>
        <v>0</v>
      </c>
      <c r="H1522" s="30">
        <f>STORAGE_BALANCE_ENSEMBLE!CM79</f>
        <v>17866639.809552502</v>
      </c>
      <c r="I1522" s="18">
        <f t="shared" si="233"/>
        <v>1</v>
      </c>
      <c r="J1522" s="8">
        <f t="shared" si="225"/>
        <v>0</v>
      </c>
      <c r="K1522" s="9">
        <f t="shared" si="226"/>
        <v>0</v>
      </c>
      <c r="L1522" s="10">
        <f t="shared" si="227"/>
        <v>0</v>
      </c>
      <c r="M1522" s="10">
        <f>IF(I1522&lt;&gt;1,"",IF(H1522="","",H1522/CONTROL_PANEL!$B$11))</f>
        <v>0.35733279619105002</v>
      </c>
      <c r="N1522" s="9">
        <f t="shared" si="228"/>
        <v>0</v>
      </c>
      <c r="O1522" s="9">
        <f t="shared" si="229"/>
        <v>0</v>
      </c>
      <c r="P1522" s="9">
        <f t="shared" si="230"/>
        <v>0</v>
      </c>
      <c r="Q1522" s="9">
        <f t="shared" si="231"/>
        <v>0</v>
      </c>
      <c r="R1522" s="11"/>
      <c r="S1522" s="11" t="str">
        <f t="shared" si="232"/>
        <v>PASS</v>
      </c>
    </row>
    <row r="1523" spans="1:19" x14ac:dyDescent="0.25">
      <c r="A1523" s="30" t="s">
        <v>99</v>
      </c>
      <c r="B1523" s="31">
        <f t="shared" si="224"/>
        <v>44562</v>
      </c>
      <c r="C1523" s="30">
        <f>YEAR(BInputReservoir[[#This Row],[Date]])</f>
        <v>2022</v>
      </c>
      <c r="D1523" s="30">
        <f>MONTH(BInputReservoir[[#This Row],[Date]])</f>
        <v>1</v>
      </c>
      <c r="E1523" s="30">
        <f>IF(I1523&lt;&gt;1,"",DATA_INPUT!O80)</f>
        <v>0</v>
      </c>
      <c r="F1523" s="30">
        <f>STORAGE_BALANCE_ENSEMBLE!CN80</f>
        <v>0</v>
      </c>
      <c r="G1523" s="30">
        <f>STORAGE_BALANCE_ENSEMBLE!CO80</f>
        <v>0</v>
      </c>
      <c r="H1523" s="30">
        <f>STORAGE_BALANCE_ENSEMBLE!CM80</f>
        <v>17811853.592515577</v>
      </c>
      <c r="I1523" s="18">
        <f t="shared" si="233"/>
        <v>1</v>
      </c>
      <c r="J1523" s="8">
        <f t="shared" si="225"/>
        <v>0</v>
      </c>
      <c r="K1523" s="9">
        <f t="shared" si="226"/>
        <v>0</v>
      </c>
      <c r="L1523" s="10">
        <f t="shared" si="227"/>
        <v>0</v>
      </c>
      <c r="M1523" s="10">
        <f>IF(I1523&lt;&gt;1,"",IF(H1523="","",H1523/CONTROL_PANEL!$B$11))</f>
        <v>0.35623707185031156</v>
      </c>
      <c r="N1523" s="9">
        <f t="shared" si="228"/>
        <v>0</v>
      </c>
      <c r="O1523" s="9">
        <f t="shared" si="229"/>
        <v>0</v>
      </c>
      <c r="P1523" s="9">
        <f t="shared" si="230"/>
        <v>0</v>
      </c>
      <c r="Q1523" s="9">
        <f t="shared" si="231"/>
        <v>0</v>
      </c>
      <c r="R1523" s="11"/>
      <c r="S1523" s="11" t="str">
        <f t="shared" si="232"/>
        <v>PASS</v>
      </c>
    </row>
    <row r="1524" spans="1:19" x14ac:dyDescent="0.25">
      <c r="A1524" s="30" t="s">
        <v>99</v>
      </c>
      <c r="B1524" s="31">
        <f t="shared" si="224"/>
        <v>44593</v>
      </c>
      <c r="C1524" s="30">
        <f>YEAR(BInputReservoir[[#This Row],[Date]])</f>
        <v>2022</v>
      </c>
      <c r="D1524" s="30">
        <f>MONTH(BInputReservoir[[#This Row],[Date]])</f>
        <v>2</v>
      </c>
      <c r="E1524" s="30">
        <f>IF(I1524&lt;&gt;1,"",DATA_INPUT!O81)</f>
        <v>0</v>
      </c>
      <c r="F1524" s="30">
        <f>STORAGE_BALANCE_ENSEMBLE!CN81</f>
        <v>0</v>
      </c>
      <c r="G1524" s="30">
        <f>STORAGE_BALANCE_ENSEMBLE!CO81</f>
        <v>0</v>
      </c>
      <c r="H1524" s="30">
        <f>STORAGE_BALANCE_ENSEMBLE!CM81</f>
        <v>17964494.678189054</v>
      </c>
      <c r="I1524" s="18">
        <f t="shared" si="233"/>
        <v>1</v>
      </c>
      <c r="J1524" s="8">
        <f t="shared" si="225"/>
        <v>0</v>
      </c>
      <c r="K1524" s="9">
        <f t="shared" si="226"/>
        <v>0</v>
      </c>
      <c r="L1524" s="10">
        <f t="shared" si="227"/>
        <v>0</v>
      </c>
      <c r="M1524" s="10">
        <f>IF(I1524&lt;&gt;1,"",IF(H1524="","",H1524/CONTROL_PANEL!$B$11))</f>
        <v>0.3592898935637811</v>
      </c>
      <c r="N1524" s="9">
        <f t="shared" si="228"/>
        <v>0</v>
      </c>
      <c r="O1524" s="9">
        <f t="shared" si="229"/>
        <v>0</v>
      </c>
      <c r="P1524" s="9">
        <f t="shared" si="230"/>
        <v>0</v>
      </c>
      <c r="Q1524" s="9">
        <f t="shared" si="231"/>
        <v>0</v>
      </c>
      <c r="R1524" s="11"/>
      <c r="S1524" s="11" t="str">
        <f t="shared" si="232"/>
        <v>PASS</v>
      </c>
    </row>
    <row r="1525" spans="1:19" x14ac:dyDescent="0.25">
      <c r="A1525" s="30" t="s">
        <v>99</v>
      </c>
      <c r="B1525" s="31">
        <f t="shared" si="224"/>
        <v>44621</v>
      </c>
      <c r="C1525" s="30">
        <f>YEAR(BInputReservoir[[#This Row],[Date]])</f>
        <v>2022</v>
      </c>
      <c r="D1525" s="30">
        <f>MONTH(BInputReservoir[[#This Row],[Date]])</f>
        <v>3</v>
      </c>
      <c r="E1525" s="30">
        <f>IF(I1525&lt;&gt;1,"",DATA_INPUT!O82)</f>
        <v>0</v>
      </c>
      <c r="F1525" s="30">
        <f>STORAGE_BALANCE_ENSEMBLE!CN82</f>
        <v>0</v>
      </c>
      <c r="G1525" s="30">
        <f>STORAGE_BALANCE_ENSEMBLE!CO82</f>
        <v>0</v>
      </c>
      <c r="H1525" s="30">
        <f>STORAGE_BALANCE_ENSEMBLE!CM82</f>
        <v>18271304.051146779</v>
      </c>
      <c r="I1525" s="18">
        <f t="shared" si="233"/>
        <v>1</v>
      </c>
      <c r="J1525" s="8">
        <f t="shared" si="225"/>
        <v>0</v>
      </c>
      <c r="K1525" s="9">
        <f t="shared" si="226"/>
        <v>0</v>
      </c>
      <c r="L1525" s="10">
        <f t="shared" si="227"/>
        <v>0</v>
      </c>
      <c r="M1525" s="10">
        <f>IF(I1525&lt;&gt;1,"",IF(H1525="","",H1525/CONTROL_PANEL!$B$11))</f>
        <v>0.36542608102293561</v>
      </c>
      <c r="N1525" s="9">
        <f t="shared" si="228"/>
        <v>0</v>
      </c>
      <c r="O1525" s="9">
        <f t="shared" si="229"/>
        <v>0</v>
      </c>
      <c r="P1525" s="9">
        <f t="shared" si="230"/>
        <v>0</v>
      </c>
      <c r="Q1525" s="9">
        <f t="shared" si="231"/>
        <v>0</v>
      </c>
      <c r="R1525" s="11"/>
      <c r="S1525" s="11" t="str">
        <f t="shared" si="232"/>
        <v>PASS</v>
      </c>
    </row>
    <row r="1526" spans="1:19" x14ac:dyDescent="0.25">
      <c r="A1526" s="30" t="s">
        <v>99</v>
      </c>
      <c r="B1526" s="31">
        <f t="shared" si="224"/>
        <v>44652</v>
      </c>
      <c r="C1526" s="30">
        <f>YEAR(BInputReservoir[[#This Row],[Date]])</f>
        <v>2022</v>
      </c>
      <c r="D1526" s="30">
        <f>MONTH(BInputReservoir[[#This Row],[Date]])</f>
        <v>4</v>
      </c>
      <c r="E1526" s="30">
        <f>IF(I1526&lt;&gt;1,"",DATA_INPUT!O83)</f>
        <v>36554.202365132602</v>
      </c>
      <c r="F1526" s="30">
        <f>STORAGE_BALANCE_ENSEMBLE!CN83</f>
        <v>0</v>
      </c>
      <c r="G1526" s="30">
        <f>STORAGE_BALANCE_ENSEMBLE!CO83</f>
        <v>0</v>
      </c>
      <c r="H1526" s="30">
        <f>STORAGE_BALANCE_ENSEMBLE!CM83</f>
        <v>18173248.405634463</v>
      </c>
      <c r="I1526" s="18">
        <f t="shared" si="233"/>
        <v>1</v>
      </c>
      <c r="J1526" s="8">
        <f t="shared" si="225"/>
        <v>36554.202365132602</v>
      </c>
      <c r="K1526" s="9">
        <f t="shared" si="226"/>
        <v>0</v>
      </c>
      <c r="L1526" s="10">
        <f t="shared" si="227"/>
        <v>0</v>
      </c>
      <c r="M1526" s="10">
        <f>IF(I1526&lt;&gt;1,"",IF(H1526="","",H1526/CONTROL_PANEL!$B$11))</f>
        <v>0.36346496811268925</v>
      </c>
      <c r="N1526" s="9">
        <f t="shared" si="228"/>
        <v>0</v>
      </c>
      <c r="O1526" s="9">
        <f t="shared" si="229"/>
        <v>0</v>
      </c>
      <c r="P1526" s="9">
        <f t="shared" si="230"/>
        <v>0</v>
      </c>
      <c r="Q1526" s="9">
        <f t="shared" si="231"/>
        <v>0</v>
      </c>
      <c r="R1526" s="11"/>
      <c r="S1526" s="11" t="str">
        <f t="shared" si="232"/>
        <v>PASS</v>
      </c>
    </row>
    <row r="1527" spans="1:19" x14ac:dyDescent="0.25">
      <c r="A1527" s="30" t="s">
        <v>99</v>
      </c>
      <c r="B1527" s="31">
        <f t="shared" si="224"/>
        <v>44682</v>
      </c>
      <c r="C1527" s="30">
        <f>YEAR(BInputReservoir[[#This Row],[Date]])</f>
        <v>2022</v>
      </c>
      <c r="D1527" s="30">
        <f>MONTH(BInputReservoir[[#This Row],[Date]])</f>
        <v>5</v>
      </c>
      <c r="E1527" s="30">
        <f>IF(I1527&lt;&gt;1,"",DATA_INPUT!O84)</f>
        <v>788962.58489686518</v>
      </c>
      <c r="F1527" s="30">
        <f>STORAGE_BALANCE_ENSEMBLE!CN84</f>
        <v>0</v>
      </c>
      <c r="G1527" s="30">
        <f>STORAGE_BALANCE_ENSEMBLE!CO84</f>
        <v>0</v>
      </c>
      <c r="H1527" s="30">
        <f>STORAGE_BALANCE_ENSEMBLE!CM84</f>
        <v>17070267.390392765</v>
      </c>
      <c r="I1527" s="18">
        <f t="shared" si="233"/>
        <v>1</v>
      </c>
      <c r="J1527" s="8">
        <f t="shared" si="225"/>
        <v>788962.58489686518</v>
      </c>
      <c r="K1527" s="9">
        <f t="shared" si="226"/>
        <v>0</v>
      </c>
      <c r="L1527" s="10">
        <f t="shared" si="227"/>
        <v>0</v>
      </c>
      <c r="M1527" s="10">
        <f>IF(I1527&lt;&gt;1,"",IF(H1527="","",H1527/CONTROL_PANEL!$B$11))</f>
        <v>0.34140534780785531</v>
      </c>
      <c r="N1527" s="9">
        <f t="shared" si="228"/>
        <v>0</v>
      </c>
      <c r="O1527" s="9">
        <f t="shared" si="229"/>
        <v>0</v>
      </c>
      <c r="P1527" s="9">
        <f t="shared" si="230"/>
        <v>0</v>
      </c>
      <c r="Q1527" s="9">
        <f t="shared" si="231"/>
        <v>0</v>
      </c>
      <c r="R1527" s="11"/>
      <c r="S1527" s="11" t="str">
        <f t="shared" si="232"/>
        <v>PASS</v>
      </c>
    </row>
    <row r="1528" spans="1:19" x14ac:dyDescent="0.25">
      <c r="A1528" s="30" t="s">
        <v>99</v>
      </c>
      <c r="B1528" s="31">
        <f t="shared" si="224"/>
        <v>44713</v>
      </c>
      <c r="C1528" s="30">
        <f>YEAR(BInputReservoir[[#This Row],[Date]])</f>
        <v>2022</v>
      </c>
      <c r="D1528" s="30">
        <f>MONTH(BInputReservoir[[#This Row],[Date]])</f>
        <v>6</v>
      </c>
      <c r="E1528" s="30">
        <f>IF(I1528&lt;&gt;1,"",DATA_INPUT!O85)</f>
        <v>1121367.6688961051</v>
      </c>
      <c r="F1528" s="30">
        <f>STORAGE_BALANCE_ENSEMBLE!CN85</f>
        <v>0</v>
      </c>
      <c r="G1528" s="30">
        <f>STORAGE_BALANCE_ENSEMBLE!CO85</f>
        <v>0</v>
      </c>
      <c r="H1528" s="30">
        <f>STORAGE_BALANCE_ENSEMBLE!CM85</f>
        <v>15617431.222825194</v>
      </c>
      <c r="I1528" s="18">
        <f t="shared" si="233"/>
        <v>1</v>
      </c>
      <c r="J1528" s="8">
        <f t="shared" si="225"/>
        <v>1121367.6688961051</v>
      </c>
      <c r="K1528" s="9">
        <f t="shared" si="226"/>
        <v>0</v>
      </c>
      <c r="L1528" s="10">
        <f t="shared" si="227"/>
        <v>0</v>
      </c>
      <c r="M1528" s="10">
        <f>IF(I1528&lt;&gt;1,"",IF(H1528="","",H1528/CONTROL_PANEL!$B$11))</f>
        <v>0.31234862445650385</v>
      </c>
      <c r="N1528" s="9">
        <f t="shared" si="228"/>
        <v>0</v>
      </c>
      <c r="O1528" s="9">
        <f t="shared" si="229"/>
        <v>0</v>
      </c>
      <c r="P1528" s="9">
        <f t="shared" si="230"/>
        <v>0</v>
      </c>
      <c r="Q1528" s="9">
        <f t="shared" si="231"/>
        <v>0</v>
      </c>
      <c r="R1528" s="11"/>
      <c r="S1528" s="11" t="str">
        <f t="shared" si="232"/>
        <v>PASS</v>
      </c>
    </row>
    <row r="1529" spans="1:19" x14ac:dyDescent="0.25">
      <c r="A1529" s="30" t="s">
        <v>99</v>
      </c>
      <c r="B1529" s="31">
        <f t="shared" si="224"/>
        <v>44743</v>
      </c>
      <c r="C1529" s="30">
        <f>YEAR(BInputReservoir[[#This Row],[Date]])</f>
        <v>2022</v>
      </c>
      <c r="D1529" s="30">
        <f>MONTH(BInputReservoir[[#This Row],[Date]])</f>
        <v>7</v>
      </c>
      <c r="E1529" s="30">
        <f>IF(I1529&lt;&gt;1,"",DATA_INPUT!O86)</f>
        <v>2720103.8285982446</v>
      </c>
      <c r="F1529" s="30">
        <f>STORAGE_BALANCE_ENSEMBLE!CN86</f>
        <v>0</v>
      </c>
      <c r="G1529" s="30">
        <f>STORAGE_BALANCE_ENSEMBLE!CO86</f>
        <v>0</v>
      </c>
      <c r="H1529" s="30">
        <f>STORAGE_BALANCE_ENSEMBLE!CM86</f>
        <v>12472096.956051331</v>
      </c>
      <c r="I1529" s="18">
        <f t="shared" si="233"/>
        <v>1</v>
      </c>
      <c r="J1529" s="8">
        <f t="shared" si="225"/>
        <v>2720103.8285982446</v>
      </c>
      <c r="K1529" s="9">
        <f t="shared" si="226"/>
        <v>0</v>
      </c>
      <c r="L1529" s="10">
        <f t="shared" si="227"/>
        <v>0</v>
      </c>
      <c r="M1529" s="10">
        <f>IF(I1529&lt;&gt;1,"",IF(H1529="","",H1529/CONTROL_PANEL!$B$11))</f>
        <v>0.24944193912102661</v>
      </c>
      <c r="N1529" s="9">
        <f t="shared" si="228"/>
        <v>0</v>
      </c>
      <c r="O1529" s="9">
        <f t="shared" si="229"/>
        <v>0</v>
      </c>
      <c r="P1529" s="9">
        <f t="shared" si="230"/>
        <v>0</v>
      </c>
      <c r="Q1529" s="9">
        <f t="shared" si="231"/>
        <v>0</v>
      </c>
      <c r="R1529" s="11"/>
      <c r="S1529" s="11" t="str">
        <f t="shared" si="232"/>
        <v>PASS</v>
      </c>
    </row>
    <row r="1530" spans="1:19" x14ac:dyDescent="0.25">
      <c r="A1530" s="30" t="s">
        <v>99</v>
      </c>
      <c r="B1530" s="31">
        <f t="shared" si="224"/>
        <v>44774</v>
      </c>
      <c r="C1530" s="30">
        <f>YEAR(BInputReservoir[[#This Row],[Date]])</f>
        <v>2022</v>
      </c>
      <c r="D1530" s="30">
        <f>MONTH(BInputReservoir[[#This Row],[Date]])</f>
        <v>8</v>
      </c>
      <c r="E1530" s="30">
        <f>IF(I1530&lt;&gt;1,"",DATA_INPUT!O87)</f>
        <v>2274579.7177030235</v>
      </c>
      <c r="F1530" s="30">
        <f>STORAGE_BALANCE_ENSEMBLE!CN87</f>
        <v>0</v>
      </c>
      <c r="G1530" s="30">
        <f>STORAGE_BALANCE_ENSEMBLE!CO87</f>
        <v>0</v>
      </c>
      <c r="H1530" s="30">
        <f>STORAGE_BALANCE_ENSEMBLE!CM87</f>
        <v>9899607.9132341556</v>
      </c>
      <c r="I1530" s="18">
        <f t="shared" si="233"/>
        <v>1</v>
      </c>
      <c r="J1530" s="8">
        <f t="shared" si="225"/>
        <v>2274579.7177030235</v>
      </c>
      <c r="K1530" s="9">
        <f t="shared" si="226"/>
        <v>0</v>
      </c>
      <c r="L1530" s="10">
        <f t="shared" si="227"/>
        <v>0</v>
      </c>
      <c r="M1530" s="10">
        <f>IF(I1530&lt;&gt;1,"",IF(H1530="","",H1530/CONTROL_PANEL!$B$11))</f>
        <v>0.19799215826468311</v>
      </c>
      <c r="N1530" s="9">
        <f t="shared" si="228"/>
        <v>0</v>
      </c>
      <c r="O1530" s="9">
        <f t="shared" si="229"/>
        <v>0</v>
      </c>
      <c r="P1530" s="9">
        <f t="shared" si="230"/>
        <v>0</v>
      </c>
      <c r="Q1530" s="9">
        <f t="shared" si="231"/>
        <v>0</v>
      </c>
      <c r="R1530" s="11"/>
      <c r="S1530" s="11" t="str">
        <f t="shared" si="232"/>
        <v>PASS</v>
      </c>
    </row>
    <row r="1531" spans="1:19" x14ac:dyDescent="0.25">
      <c r="A1531" s="30" t="s">
        <v>99</v>
      </c>
      <c r="B1531" s="31">
        <f t="shared" si="224"/>
        <v>44805</v>
      </c>
      <c r="C1531" s="30">
        <f>YEAR(BInputReservoir[[#This Row],[Date]])</f>
        <v>2022</v>
      </c>
      <c r="D1531" s="30">
        <f>MONTH(BInputReservoir[[#This Row],[Date]])</f>
        <v>9</v>
      </c>
      <c r="E1531" s="30">
        <f>IF(I1531&lt;&gt;1,"",DATA_INPUT!O88)</f>
        <v>513338.53764455818</v>
      </c>
      <c r="F1531" s="30">
        <f>STORAGE_BALANCE_ENSEMBLE!CN88</f>
        <v>0</v>
      </c>
      <c r="G1531" s="30">
        <f>STORAGE_BALANCE_ENSEMBLE!CO88</f>
        <v>0</v>
      </c>
      <c r="H1531" s="30">
        <f>STORAGE_BALANCE_ENSEMBLE!CM88</f>
        <v>9332942.8380355611</v>
      </c>
      <c r="I1531" s="18">
        <f t="shared" si="233"/>
        <v>1</v>
      </c>
      <c r="J1531" s="8">
        <f t="shared" si="225"/>
        <v>513338.53764455818</v>
      </c>
      <c r="K1531" s="9">
        <f t="shared" si="226"/>
        <v>0</v>
      </c>
      <c r="L1531" s="10">
        <f t="shared" si="227"/>
        <v>0</v>
      </c>
      <c r="M1531" s="10">
        <f>IF(I1531&lt;&gt;1,"",IF(H1531="","",H1531/CONTROL_PANEL!$B$11))</f>
        <v>0.18665885676071123</v>
      </c>
      <c r="N1531" s="9">
        <f t="shared" si="228"/>
        <v>0</v>
      </c>
      <c r="O1531" s="9">
        <f t="shared" si="229"/>
        <v>0</v>
      </c>
      <c r="P1531" s="9">
        <f t="shared" si="230"/>
        <v>0</v>
      </c>
      <c r="Q1531" s="9">
        <f t="shared" si="231"/>
        <v>0</v>
      </c>
      <c r="R1531" s="11"/>
      <c r="S1531" s="11" t="str">
        <f t="shared" si="232"/>
        <v>PASS</v>
      </c>
    </row>
    <row r="1532" spans="1:19" x14ac:dyDescent="0.25">
      <c r="A1532" s="30" t="s">
        <v>99</v>
      </c>
      <c r="B1532" s="31">
        <f t="shared" si="224"/>
        <v>44835</v>
      </c>
      <c r="C1532" s="30">
        <f>YEAR(BInputReservoir[[#This Row],[Date]])</f>
        <v>2022</v>
      </c>
      <c r="D1532" s="30">
        <f>MONTH(BInputReservoir[[#This Row],[Date]])</f>
        <v>10</v>
      </c>
      <c r="E1532" s="30">
        <f>IF(I1532&lt;&gt;1,"",DATA_INPUT!O89)</f>
        <v>206733.70484524535</v>
      </c>
      <c r="F1532" s="30">
        <f>STORAGE_BALANCE_ENSEMBLE!CN89</f>
        <v>0</v>
      </c>
      <c r="G1532" s="30">
        <f>STORAGE_BALANCE_ENSEMBLE!CO89</f>
        <v>0</v>
      </c>
      <c r="H1532" s="30">
        <f>STORAGE_BALANCE_ENSEMBLE!CM89</f>
        <v>9132444.9457283616</v>
      </c>
      <c r="I1532" s="18">
        <f t="shared" si="233"/>
        <v>1</v>
      </c>
      <c r="J1532" s="8">
        <f t="shared" si="225"/>
        <v>206733.70484524535</v>
      </c>
      <c r="K1532" s="9">
        <f t="shared" si="226"/>
        <v>0</v>
      </c>
      <c r="L1532" s="10">
        <f t="shared" si="227"/>
        <v>0</v>
      </c>
      <c r="M1532" s="10">
        <f>IF(I1532&lt;&gt;1,"",IF(H1532="","",H1532/CONTROL_PANEL!$B$11))</f>
        <v>0.18264889891456723</v>
      </c>
      <c r="N1532" s="9">
        <f t="shared" si="228"/>
        <v>0</v>
      </c>
      <c r="O1532" s="9">
        <f t="shared" si="229"/>
        <v>0</v>
      </c>
      <c r="P1532" s="9">
        <f t="shared" si="230"/>
        <v>0</v>
      </c>
      <c r="Q1532" s="9">
        <f t="shared" si="231"/>
        <v>0</v>
      </c>
      <c r="R1532" s="11"/>
      <c r="S1532" s="11" t="str">
        <f t="shared" si="232"/>
        <v>PASS</v>
      </c>
    </row>
    <row r="1533" spans="1:19" x14ac:dyDescent="0.25">
      <c r="A1533" s="30" t="s">
        <v>99</v>
      </c>
      <c r="B1533" s="31">
        <f t="shared" si="224"/>
        <v>44866</v>
      </c>
      <c r="C1533" s="30">
        <f>YEAR(BInputReservoir[[#This Row],[Date]])</f>
        <v>2022</v>
      </c>
      <c r="D1533" s="30">
        <f>MONTH(BInputReservoir[[#This Row],[Date]])</f>
        <v>11</v>
      </c>
      <c r="E1533" s="30">
        <f>IF(I1533&lt;&gt;1,"",DATA_INPUT!O90)</f>
        <v>0</v>
      </c>
      <c r="F1533" s="30">
        <f>STORAGE_BALANCE_ENSEMBLE!CN90</f>
        <v>0</v>
      </c>
      <c r="G1533" s="30">
        <f>STORAGE_BALANCE_ENSEMBLE!CO90</f>
        <v>0</v>
      </c>
      <c r="H1533" s="30">
        <f>STORAGE_BALANCE_ENSEMBLE!CM90</f>
        <v>13191128.852816615</v>
      </c>
      <c r="I1533" s="18">
        <f t="shared" si="233"/>
        <v>1</v>
      </c>
      <c r="J1533" s="8">
        <f t="shared" si="225"/>
        <v>0</v>
      </c>
      <c r="K1533" s="9">
        <f t="shared" si="226"/>
        <v>0</v>
      </c>
      <c r="L1533" s="10">
        <f t="shared" si="227"/>
        <v>0</v>
      </c>
      <c r="M1533" s="10">
        <f>IF(I1533&lt;&gt;1,"",IF(H1533="","",H1533/CONTROL_PANEL!$B$11))</f>
        <v>0.26382257705633233</v>
      </c>
      <c r="N1533" s="9">
        <f t="shared" si="228"/>
        <v>0</v>
      </c>
      <c r="O1533" s="9">
        <f t="shared" si="229"/>
        <v>0</v>
      </c>
      <c r="P1533" s="9">
        <f t="shared" si="230"/>
        <v>0</v>
      </c>
      <c r="Q1533" s="9">
        <f t="shared" si="231"/>
        <v>0</v>
      </c>
      <c r="R1533" s="11"/>
      <c r="S1533" s="11" t="str">
        <f t="shared" si="232"/>
        <v>PASS</v>
      </c>
    </row>
    <row r="1534" spans="1:19" x14ac:dyDescent="0.25">
      <c r="A1534" s="30" t="s">
        <v>99</v>
      </c>
      <c r="B1534" s="31">
        <f t="shared" si="224"/>
        <v>44896</v>
      </c>
      <c r="C1534" s="30">
        <f>YEAR(BInputReservoir[[#This Row],[Date]])</f>
        <v>2022</v>
      </c>
      <c r="D1534" s="30">
        <f>MONTH(BInputReservoir[[#This Row],[Date]])</f>
        <v>12</v>
      </c>
      <c r="E1534" s="30">
        <f>IF(I1534&lt;&gt;1,"",DATA_INPUT!O91)</f>
        <v>0</v>
      </c>
      <c r="F1534" s="30">
        <f>STORAGE_BALANCE_ENSEMBLE!CN91</f>
        <v>0</v>
      </c>
      <c r="G1534" s="30">
        <f>STORAGE_BALANCE_ENSEMBLE!CO91</f>
        <v>0</v>
      </c>
      <c r="H1534" s="30">
        <f>STORAGE_BALANCE_ENSEMBLE!CM91</f>
        <v>14976254.132132377</v>
      </c>
      <c r="I1534" s="18">
        <f t="shared" si="233"/>
        <v>1</v>
      </c>
      <c r="J1534" s="8">
        <f t="shared" si="225"/>
        <v>0</v>
      </c>
      <c r="K1534" s="9">
        <f t="shared" si="226"/>
        <v>0</v>
      </c>
      <c r="L1534" s="10">
        <f t="shared" si="227"/>
        <v>0</v>
      </c>
      <c r="M1534" s="10">
        <f>IF(I1534&lt;&gt;1,"",IF(H1534="","",H1534/CONTROL_PANEL!$B$11))</f>
        <v>0.29952508264264754</v>
      </c>
      <c r="N1534" s="9">
        <f t="shared" si="228"/>
        <v>0</v>
      </c>
      <c r="O1534" s="9">
        <f t="shared" si="229"/>
        <v>0</v>
      </c>
      <c r="P1534" s="9">
        <f t="shared" si="230"/>
        <v>0</v>
      </c>
      <c r="Q1534" s="9">
        <f t="shared" si="231"/>
        <v>0</v>
      </c>
      <c r="R1534" s="11"/>
      <c r="S1534" s="11" t="str">
        <f t="shared" si="232"/>
        <v>PASS</v>
      </c>
    </row>
    <row r="1535" spans="1:19" x14ac:dyDescent="0.25">
      <c r="A1535" s="30" t="s">
        <v>99</v>
      </c>
      <c r="B1535" s="31">
        <f t="shared" si="224"/>
        <v>44927</v>
      </c>
      <c r="C1535" s="30">
        <f>YEAR(BInputReservoir[[#This Row],[Date]])</f>
        <v>2023</v>
      </c>
      <c r="D1535" s="30">
        <f>MONTH(BInputReservoir[[#This Row],[Date]])</f>
        <v>1</v>
      </c>
      <c r="E1535" s="30">
        <f>IF(I1535&lt;&gt;1,"",DATA_INPUT!O92)</f>
        <v>0</v>
      </c>
      <c r="F1535" s="30">
        <f>STORAGE_BALANCE_ENSEMBLE!CN92</f>
        <v>0</v>
      </c>
      <c r="G1535" s="30">
        <f>STORAGE_BALANCE_ENSEMBLE!CO92</f>
        <v>0</v>
      </c>
      <c r="H1535" s="30">
        <f>STORAGE_BALANCE_ENSEMBLE!CM92</f>
        <v>15342246.809912486</v>
      </c>
      <c r="I1535" s="18">
        <f t="shared" si="233"/>
        <v>1</v>
      </c>
      <c r="J1535" s="8">
        <f t="shared" si="225"/>
        <v>0</v>
      </c>
      <c r="K1535" s="9">
        <f t="shared" si="226"/>
        <v>0</v>
      </c>
      <c r="L1535" s="10">
        <f t="shared" si="227"/>
        <v>0</v>
      </c>
      <c r="M1535" s="10">
        <f>IF(I1535&lt;&gt;1,"",IF(H1535="","",H1535/CONTROL_PANEL!$B$11))</f>
        <v>0.30684493619824971</v>
      </c>
      <c r="N1535" s="9">
        <f t="shared" si="228"/>
        <v>0</v>
      </c>
      <c r="O1535" s="9">
        <f t="shared" si="229"/>
        <v>0</v>
      </c>
      <c r="P1535" s="9">
        <f t="shared" si="230"/>
        <v>0</v>
      </c>
      <c r="Q1535" s="9">
        <f t="shared" si="231"/>
        <v>0</v>
      </c>
      <c r="R1535" s="11"/>
      <c r="S1535" s="11" t="str">
        <f t="shared" si="232"/>
        <v>PASS</v>
      </c>
    </row>
    <row r="1536" spans="1:19" x14ac:dyDescent="0.25">
      <c r="A1536" s="30" t="s">
        <v>99</v>
      </c>
      <c r="B1536" s="31">
        <f t="shared" ref="B1536:B1599" si="234">B453</f>
        <v>44958</v>
      </c>
      <c r="C1536" s="30">
        <f>YEAR(BInputReservoir[[#This Row],[Date]])</f>
        <v>2023</v>
      </c>
      <c r="D1536" s="30">
        <f>MONTH(BInputReservoir[[#This Row],[Date]])</f>
        <v>2</v>
      </c>
      <c r="E1536" s="30">
        <f>IF(I1536&lt;&gt;1,"",DATA_INPUT!O93)</f>
        <v>0</v>
      </c>
      <c r="F1536" s="30">
        <f>STORAGE_BALANCE_ENSEMBLE!CN93</f>
        <v>0</v>
      </c>
      <c r="G1536" s="30">
        <f>STORAGE_BALANCE_ENSEMBLE!CO93</f>
        <v>0</v>
      </c>
      <c r="H1536" s="30">
        <f>STORAGE_BALANCE_ENSEMBLE!CM93</f>
        <v>15331300.781230949</v>
      </c>
      <c r="I1536" s="18">
        <f t="shared" si="233"/>
        <v>1</v>
      </c>
      <c r="J1536" s="8">
        <f t="shared" si="225"/>
        <v>0</v>
      </c>
      <c r="K1536" s="9">
        <f t="shared" si="226"/>
        <v>0</v>
      </c>
      <c r="L1536" s="10">
        <f t="shared" si="227"/>
        <v>0</v>
      </c>
      <c r="M1536" s="10">
        <f>IF(I1536&lt;&gt;1,"",IF(H1536="","",H1536/CONTROL_PANEL!$B$11))</f>
        <v>0.306626015624619</v>
      </c>
      <c r="N1536" s="9">
        <f t="shared" si="228"/>
        <v>0</v>
      </c>
      <c r="O1536" s="9">
        <f t="shared" si="229"/>
        <v>0</v>
      </c>
      <c r="P1536" s="9">
        <f t="shared" si="230"/>
        <v>0</v>
      </c>
      <c r="Q1536" s="9">
        <f t="shared" si="231"/>
        <v>0</v>
      </c>
      <c r="R1536" s="11"/>
      <c r="S1536" s="11" t="str">
        <f t="shared" si="232"/>
        <v>PASS</v>
      </c>
    </row>
    <row r="1537" spans="1:19" x14ac:dyDescent="0.25">
      <c r="A1537" s="30" t="s">
        <v>99</v>
      </c>
      <c r="B1537" s="31">
        <f t="shared" si="234"/>
        <v>44986</v>
      </c>
      <c r="C1537" s="30">
        <f>YEAR(BInputReservoir[[#This Row],[Date]])</f>
        <v>2023</v>
      </c>
      <c r="D1537" s="30">
        <f>MONTH(BInputReservoir[[#This Row],[Date]])</f>
        <v>3</v>
      </c>
      <c r="E1537" s="30">
        <f>IF(I1537&lt;&gt;1,"",DATA_INPUT!O94)</f>
        <v>0</v>
      </c>
      <c r="F1537" s="30">
        <f>STORAGE_BALANCE_ENSEMBLE!CN94</f>
        <v>0</v>
      </c>
      <c r="G1537" s="30">
        <f>STORAGE_BALANCE_ENSEMBLE!CO94</f>
        <v>0</v>
      </c>
      <c r="H1537" s="30">
        <f>STORAGE_BALANCE_ENSEMBLE!CM94</f>
        <v>15259203.274987793</v>
      </c>
      <c r="I1537" s="18">
        <f t="shared" si="233"/>
        <v>1</v>
      </c>
      <c r="J1537" s="8">
        <f t="shared" si="225"/>
        <v>0</v>
      </c>
      <c r="K1537" s="9">
        <f t="shared" si="226"/>
        <v>0</v>
      </c>
      <c r="L1537" s="10">
        <f t="shared" si="227"/>
        <v>0</v>
      </c>
      <c r="M1537" s="10">
        <f>IF(I1537&lt;&gt;1,"",IF(H1537="","",H1537/CONTROL_PANEL!$B$11))</f>
        <v>0.30518406549975585</v>
      </c>
      <c r="N1537" s="9">
        <f t="shared" si="228"/>
        <v>0</v>
      </c>
      <c r="O1537" s="9">
        <f t="shared" si="229"/>
        <v>0</v>
      </c>
      <c r="P1537" s="9">
        <f t="shared" si="230"/>
        <v>0</v>
      </c>
      <c r="Q1537" s="9">
        <f t="shared" si="231"/>
        <v>0</v>
      </c>
      <c r="R1537" s="11"/>
      <c r="S1537" s="11" t="str">
        <f t="shared" si="232"/>
        <v>PASS</v>
      </c>
    </row>
    <row r="1538" spans="1:19" x14ac:dyDescent="0.25">
      <c r="A1538" s="30" t="s">
        <v>99</v>
      </c>
      <c r="B1538" s="31">
        <f t="shared" si="234"/>
        <v>45017</v>
      </c>
      <c r="C1538" s="30">
        <f>YEAR(BInputReservoir[[#This Row],[Date]])</f>
        <v>2023</v>
      </c>
      <c r="D1538" s="30">
        <f>MONTH(BInputReservoir[[#This Row],[Date]])</f>
        <v>4</v>
      </c>
      <c r="E1538" s="30">
        <f>IF(I1538&lt;&gt;1,"",DATA_INPUT!O95)</f>
        <v>323743.92028965586</v>
      </c>
      <c r="F1538" s="30">
        <f>STORAGE_BALANCE_ENSEMBLE!CN95</f>
        <v>0</v>
      </c>
      <c r="G1538" s="30">
        <f>STORAGE_BALANCE_ENSEMBLE!CO95</f>
        <v>0</v>
      </c>
      <c r="H1538" s="30">
        <f>STORAGE_BALANCE_ENSEMBLE!CM95</f>
        <v>14714398.297960725</v>
      </c>
      <c r="I1538" s="18">
        <f t="shared" si="233"/>
        <v>1</v>
      </c>
      <c r="J1538" s="8">
        <f t="shared" si="225"/>
        <v>323743.92028965586</v>
      </c>
      <c r="K1538" s="9">
        <f t="shared" si="226"/>
        <v>0</v>
      </c>
      <c r="L1538" s="10">
        <f t="shared" si="227"/>
        <v>0</v>
      </c>
      <c r="M1538" s="10">
        <f>IF(I1538&lt;&gt;1,"",IF(H1538="","",H1538/CONTROL_PANEL!$B$11))</f>
        <v>0.29428796595921447</v>
      </c>
      <c r="N1538" s="9">
        <f t="shared" si="228"/>
        <v>0</v>
      </c>
      <c r="O1538" s="9">
        <f t="shared" si="229"/>
        <v>0</v>
      </c>
      <c r="P1538" s="9">
        <f t="shared" si="230"/>
        <v>0</v>
      </c>
      <c r="Q1538" s="9">
        <f t="shared" si="231"/>
        <v>0</v>
      </c>
      <c r="R1538" s="11"/>
      <c r="S1538" s="11" t="str">
        <f t="shared" si="232"/>
        <v>PASS</v>
      </c>
    </row>
    <row r="1539" spans="1:19" x14ac:dyDescent="0.25">
      <c r="A1539" s="30" t="s">
        <v>99</v>
      </c>
      <c r="B1539" s="31">
        <f t="shared" si="234"/>
        <v>45047</v>
      </c>
      <c r="C1539" s="30">
        <f>YEAR(BInputReservoir[[#This Row],[Date]])</f>
        <v>2023</v>
      </c>
      <c r="D1539" s="30">
        <f>MONTH(BInputReservoir[[#This Row],[Date]])</f>
        <v>5</v>
      </c>
      <c r="E1539" s="30">
        <f>IF(I1539&lt;&gt;1,"",DATA_INPUT!O96)</f>
        <v>602208.83125865506</v>
      </c>
      <c r="F1539" s="30">
        <f>STORAGE_BALANCE_ENSEMBLE!CN96</f>
        <v>0</v>
      </c>
      <c r="G1539" s="30">
        <f>STORAGE_BALANCE_ENSEMBLE!CO96</f>
        <v>0</v>
      </c>
      <c r="H1539" s="30">
        <f>STORAGE_BALANCE_ENSEMBLE!CM96</f>
        <v>13912341.366005195</v>
      </c>
      <c r="I1539" s="18">
        <f t="shared" si="233"/>
        <v>1</v>
      </c>
      <c r="J1539" s="8">
        <f t="shared" si="225"/>
        <v>602208.83125865506</v>
      </c>
      <c r="K1539" s="9">
        <f t="shared" si="226"/>
        <v>0</v>
      </c>
      <c r="L1539" s="10">
        <f t="shared" si="227"/>
        <v>0</v>
      </c>
      <c r="M1539" s="10">
        <f>IF(I1539&lt;&gt;1,"",IF(H1539="","",H1539/CONTROL_PANEL!$B$11))</f>
        <v>0.27824682732010392</v>
      </c>
      <c r="N1539" s="9">
        <f t="shared" si="228"/>
        <v>0</v>
      </c>
      <c r="O1539" s="9">
        <f t="shared" si="229"/>
        <v>0</v>
      </c>
      <c r="P1539" s="9">
        <f t="shared" si="230"/>
        <v>0</v>
      </c>
      <c r="Q1539" s="9">
        <f t="shared" si="231"/>
        <v>0</v>
      </c>
      <c r="R1539" s="11"/>
      <c r="S1539" s="11" t="str">
        <f t="shared" si="232"/>
        <v>PASS</v>
      </c>
    </row>
    <row r="1540" spans="1:19" x14ac:dyDescent="0.25">
      <c r="A1540" s="30" t="s">
        <v>99</v>
      </c>
      <c r="B1540" s="31">
        <f t="shared" si="234"/>
        <v>45078</v>
      </c>
      <c r="C1540" s="30">
        <f>YEAR(BInputReservoir[[#This Row],[Date]])</f>
        <v>2023</v>
      </c>
      <c r="D1540" s="30">
        <f>MONTH(BInputReservoir[[#This Row],[Date]])</f>
        <v>6</v>
      </c>
      <c r="E1540" s="30">
        <f>IF(I1540&lt;&gt;1,"",DATA_INPUT!O97)</f>
        <v>1137936.6293156561</v>
      </c>
      <c r="F1540" s="30">
        <f>STORAGE_BALANCE_ENSEMBLE!CN97</f>
        <v>0</v>
      </c>
      <c r="G1540" s="30">
        <f>STORAGE_BALANCE_ENSEMBLE!CO97</f>
        <v>0</v>
      </c>
      <c r="H1540" s="30">
        <f>STORAGE_BALANCE_ENSEMBLE!CM97</f>
        <v>12510537.158705406</v>
      </c>
      <c r="I1540" s="18">
        <f t="shared" si="233"/>
        <v>1</v>
      </c>
      <c r="J1540" s="8">
        <f t="shared" si="225"/>
        <v>1137936.6293156561</v>
      </c>
      <c r="K1540" s="9">
        <f t="shared" si="226"/>
        <v>0</v>
      </c>
      <c r="L1540" s="10">
        <f t="shared" si="227"/>
        <v>0</v>
      </c>
      <c r="M1540" s="10">
        <f>IF(I1540&lt;&gt;1,"",IF(H1540="","",H1540/CONTROL_PANEL!$B$11))</f>
        <v>0.25021074317410813</v>
      </c>
      <c r="N1540" s="9">
        <f t="shared" si="228"/>
        <v>0</v>
      </c>
      <c r="O1540" s="9">
        <f t="shared" si="229"/>
        <v>0</v>
      </c>
      <c r="P1540" s="9">
        <f t="shared" si="230"/>
        <v>0</v>
      </c>
      <c r="Q1540" s="9">
        <f t="shared" si="231"/>
        <v>0</v>
      </c>
      <c r="R1540" s="11"/>
      <c r="S1540" s="11" t="str">
        <f t="shared" si="232"/>
        <v>PASS</v>
      </c>
    </row>
    <row r="1541" spans="1:19" x14ac:dyDescent="0.25">
      <c r="A1541" s="30" t="s">
        <v>99</v>
      </c>
      <c r="B1541" s="31">
        <f t="shared" si="234"/>
        <v>45108</v>
      </c>
      <c r="C1541" s="30">
        <f>YEAR(BInputReservoir[[#This Row],[Date]])</f>
        <v>2023</v>
      </c>
      <c r="D1541" s="30">
        <f>MONTH(BInputReservoir[[#This Row],[Date]])</f>
        <v>7</v>
      </c>
      <c r="E1541" s="30">
        <f>IF(I1541&lt;&gt;1,"",DATA_INPUT!O98)</f>
        <v>2683130.447449958</v>
      </c>
      <c r="F1541" s="30">
        <f>STORAGE_BALANCE_ENSEMBLE!CN98</f>
        <v>0</v>
      </c>
      <c r="G1541" s="30">
        <f>STORAGE_BALANCE_ENSEMBLE!CO98</f>
        <v>0</v>
      </c>
      <c r="H1541" s="30">
        <f>STORAGE_BALANCE_ENSEMBLE!CM98</f>
        <v>9510030.1332780384</v>
      </c>
      <c r="I1541" s="18">
        <f t="shared" si="233"/>
        <v>1</v>
      </c>
      <c r="J1541" s="8">
        <f t="shared" ref="J1541:J1604" si="235">IF(I1541&lt;&gt;1,"",IF(E1541="","",MAX(0,E1541-G1541)))</f>
        <v>2683130.447449958</v>
      </c>
      <c r="K1541" s="9">
        <f t="shared" ref="K1541:K1604" si="236">IF(I1541&lt;&gt;1,"",IF(OR(G1541="",E1541=""),"",IF(G1541&gt;0,1,0)))</f>
        <v>0</v>
      </c>
      <c r="L1541" s="10">
        <f t="shared" ref="L1541:L1604" si="237">IF(I1541&lt;&gt;1,"",IF(AND(K1541=1,E1541&gt;0),G1541/E1541,0))</f>
        <v>0</v>
      </c>
      <c r="M1541" s="10">
        <f>IF(I1541&lt;&gt;1,"",IF(H1541="","",H1541/CONTROL_PANEL!$B$11))</f>
        <v>0.19020060266556077</v>
      </c>
      <c r="N1541" s="9">
        <f t="shared" ref="N1541:N1604" si="238">IF(I1541&lt;&gt;1,"",IF(AND(K1541=1,A1542=A1541),1,0))</f>
        <v>0</v>
      </c>
      <c r="O1541" s="9">
        <f t="shared" ref="O1541:O1604" si="239">IF(I1541&lt;&gt;1,"",IF(AND(K1541=1,A1542=A1541,K1542=0),1,0))</f>
        <v>0</v>
      </c>
      <c r="P1541" s="9">
        <f t="shared" ref="P1541:P1604" si="240">IF(I1541&lt;&gt;1,"",IF(F1541&gt;0,1,0))</f>
        <v>0</v>
      </c>
      <c r="Q1541" s="9">
        <f t="shared" ref="Q1541:Q1604" si="241">IF(I1541&lt;&gt;1,"",IF(G1541&gt;0,1,0))</f>
        <v>0</v>
      </c>
      <c r="R1541" s="11"/>
      <c r="S1541" s="11" t="str">
        <f t="shared" si="232"/>
        <v>PASS</v>
      </c>
    </row>
    <row r="1542" spans="1:19" x14ac:dyDescent="0.25">
      <c r="A1542" s="30" t="s">
        <v>99</v>
      </c>
      <c r="B1542" s="31">
        <f t="shared" si="234"/>
        <v>45139</v>
      </c>
      <c r="C1542" s="30">
        <f>YEAR(BInputReservoir[[#This Row],[Date]])</f>
        <v>2023</v>
      </c>
      <c r="D1542" s="30">
        <f>MONTH(BInputReservoir[[#This Row],[Date]])</f>
        <v>8</v>
      </c>
      <c r="E1542" s="30">
        <f>IF(I1542&lt;&gt;1,"",DATA_INPUT!O99)</f>
        <v>2544767.0128146904</v>
      </c>
      <c r="F1542" s="30">
        <f>STORAGE_BALANCE_ENSEMBLE!CN99</f>
        <v>0</v>
      </c>
      <c r="G1542" s="30">
        <f>STORAGE_BALANCE_ENSEMBLE!CO99</f>
        <v>0</v>
      </c>
      <c r="H1542" s="30">
        <f>STORAGE_BALANCE_ENSEMBLE!CM99</f>
        <v>6715096.8996429667</v>
      </c>
      <c r="I1542" s="18">
        <f t="shared" si="233"/>
        <v>1</v>
      </c>
      <c r="J1542" s="8">
        <f t="shared" si="235"/>
        <v>2544767.0128146904</v>
      </c>
      <c r="K1542" s="9">
        <f t="shared" si="236"/>
        <v>0</v>
      </c>
      <c r="L1542" s="10">
        <f t="shared" si="237"/>
        <v>0</v>
      </c>
      <c r="M1542" s="10">
        <f>IF(I1542&lt;&gt;1,"",IF(H1542="","",H1542/CONTROL_PANEL!$B$11))</f>
        <v>0.13430193799285933</v>
      </c>
      <c r="N1542" s="9">
        <f t="shared" si="238"/>
        <v>0</v>
      </c>
      <c r="O1542" s="9">
        <f t="shared" si="239"/>
        <v>0</v>
      </c>
      <c r="P1542" s="9">
        <f t="shared" si="240"/>
        <v>0</v>
      </c>
      <c r="Q1542" s="9">
        <f t="shared" si="241"/>
        <v>0</v>
      </c>
      <c r="R1542" s="11"/>
      <c r="S1542" s="11" t="str">
        <f t="shared" si="232"/>
        <v>PASS</v>
      </c>
    </row>
    <row r="1543" spans="1:19" x14ac:dyDescent="0.25">
      <c r="A1543" s="30" t="s">
        <v>99</v>
      </c>
      <c r="B1543" s="31">
        <f t="shared" si="234"/>
        <v>45170</v>
      </c>
      <c r="C1543" s="30">
        <f>YEAR(BInputReservoir[[#This Row],[Date]])</f>
        <v>2023</v>
      </c>
      <c r="D1543" s="30">
        <f>MONTH(BInputReservoir[[#This Row],[Date]])</f>
        <v>9</v>
      </c>
      <c r="E1543" s="30">
        <f>IF(I1543&lt;&gt;1,"",DATA_INPUT!O100)</f>
        <v>707072.33919231757</v>
      </c>
      <c r="F1543" s="30">
        <f>STORAGE_BALANCE_ENSEMBLE!CN100</f>
        <v>0</v>
      </c>
      <c r="G1543" s="30">
        <f>STORAGE_BALANCE_ENSEMBLE!CO100</f>
        <v>0</v>
      </c>
      <c r="H1543" s="30">
        <f>STORAGE_BALANCE_ENSEMBLE!CM100</f>
        <v>7051504.1618380304</v>
      </c>
      <c r="I1543" s="18">
        <f t="shared" si="233"/>
        <v>1</v>
      </c>
      <c r="J1543" s="8">
        <f t="shared" si="235"/>
        <v>707072.33919231757</v>
      </c>
      <c r="K1543" s="9">
        <f t="shared" si="236"/>
        <v>0</v>
      </c>
      <c r="L1543" s="10">
        <f t="shared" si="237"/>
        <v>0</v>
      </c>
      <c r="M1543" s="10">
        <f>IF(I1543&lt;&gt;1,"",IF(H1543="","",H1543/CONTROL_PANEL!$B$11))</f>
        <v>0.14103008323676061</v>
      </c>
      <c r="N1543" s="9">
        <f t="shared" si="238"/>
        <v>0</v>
      </c>
      <c r="O1543" s="9">
        <f t="shared" si="239"/>
        <v>0</v>
      </c>
      <c r="P1543" s="9">
        <f t="shared" si="240"/>
        <v>0</v>
      </c>
      <c r="Q1543" s="9">
        <f t="shared" si="241"/>
        <v>0</v>
      </c>
      <c r="R1543" s="11"/>
      <c r="S1543" s="11" t="str">
        <f t="shared" ref="S1543:S1606" si="242">IF(COUNTA(A1543:H1543)=0,"",IF(OR(A1543="",C1543="",D1543=""),"ERROR: missing key fields","PASS"))</f>
        <v>PASS</v>
      </c>
    </row>
    <row r="1544" spans="1:19" x14ac:dyDescent="0.25">
      <c r="A1544" s="30" t="s">
        <v>99</v>
      </c>
      <c r="B1544" s="31">
        <f t="shared" si="234"/>
        <v>45200</v>
      </c>
      <c r="C1544" s="30">
        <f>YEAR(BInputReservoir[[#This Row],[Date]])</f>
        <v>2023</v>
      </c>
      <c r="D1544" s="30">
        <f>MONTH(BInputReservoir[[#This Row],[Date]])</f>
        <v>10</v>
      </c>
      <c r="E1544" s="30">
        <f>IF(I1544&lt;&gt;1,"",DATA_INPUT!O101)</f>
        <v>144102.96775410243</v>
      </c>
      <c r="F1544" s="30">
        <f>STORAGE_BALANCE_ENSEMBLE!CN101</f>
        <v>0</v>
      </c>
      <c r="G1544" s="30">
        <f>STORAGE_BALANCE_ENSEMBLE!CO101</f>
        <v>0</v>
      </c>
      <c r="H1544" s="30">
        <f>STORAGE_BALANCE_ENSEMBLE!CM101</f>
        <v>7588446.0680349972</v>
      </c>
      <c r="I1544" s="18">
        <f t="shared" si="233"/>
        <v>1</v>
      </c>
      <c r="J1544" s="8">
        <f t="shared" si="235"/>
        <v>144102.96775410243</v>
      </c>
      <c r="K1544" s="9">
        <f t="shared" si="236"/>
        <v>0</v>
      </c>
      <c r="L1544" s="10">
        <f t="shared" si="237"/>
        <v>0</v>
      </c>
      <c r="M1544" s="10">
        <f>IF(I1544&lt;&gt;1,"",IF(H1544="","",H1544/CONTROL_PANEL!$B$11))</f>
        <v>0.15176892136069994</v>
      </c>
      <c r="N1544" s="9">
        <f t="shared" si="238"/>
        <v>0</v>
      </c>
      <c r="O1544" s="9">
        <f t="shared" si="239"/>
        <v>0</v>
      </c>
      <c r="P1544" s="9">
        <f t="shared" si="240"/>
        <v>0</v>
      </c>
      <c r="Q1544" s="9">
        <f t="shared" si="241"/>
        <v>0</v>
      </c>
      <c r="R1544" s="11"/>
      <c r="S1544" s="11" t="str">
        <f t="shared" si="242"/>
        <v>PASS</v>
      </c>
    </row>
    <row r="1545" spans="1:19" x14ac:dyDescent="0.25">
      <c r="A1545" s="30" t="s">
        <v>99</v>
      </c>
      <c r="B1545" s="31">
        <f t="shared" si="234"/>
        <v>45231</v>
      </c>
      <c r="C1545" s="30">
        <f>YEAR(BInputReservoir[[#This Row],[Date]])</f>
        <v>2023</v>
      </c>
      <c r="D1545" s="30">
        <f>MONTH(BInputReservoir[[#This Row],[Date]])</f>
        <v>11</v>
      </c>
      <c r="E1545" s="30">
        <f>IF(I1545&lt;&gt;1,"",DATA_INPUT!O102)</f>
        <v>0</v>
      </c>
      <c r="F1545" s="30">
        <f>STORAGE_BALANCE_ENSEMBLE!CN102</f>
        <v>0</v>
      </c>
      <c r="G1545" s="30">
        <f>STORAGE_BALANCE_ENSEMBLE!CO102</f>
        <v>0</v>
      </c>
      <c r="H1545" s="30">
        <f>STORAGE_BALANCE_ENSEMBLE!CM102</f>
        <v>8945515.8056386989</v>
      </c>
      <c r="I1545" s="18">
        <f t="shared" si="233"/>
        <v>1</v>
      </c>
      <c r="J1545" s="8">
        <f t="shared" si="235"/>
        <v>0</v>
      </c>
      <c r="K1545" s="9">
        <f t="shared" si="236"/>
        <v>0</v>
      </c>
      <c r="L1545" s="10">
        <f t="shared" si="237"/>
        <v>0</v>
      </c>
      <c r="M1545" s="10">
        <f>IF(I1545&lt;&gt;1,"",IF(H1545="","",H1545/CONTROL_PANEL!$B$11))</f>
        <v>0.17891031611277397</v>
      </c>
      <c r="N1545" s="9">
        <f t="shared" si="238"/>
        <v>0</v>
      </c>
      <c r="O1545" s="9">
        <f t="shared" si="239"/>
        <v>0</v>
      </c>
      <c r="P1545" s="9">
        <f t="shared" si="240"/>
        <v>0</v>
      </c>
      <c r="Q1545" s="9">
        <f t="shared" si="241"/>
        <v>0</v>
      </c>
      <c r="R1545" s="11"/>
      <c r="S1545" s="11" t="str">
        <f t="shared" si="242"/>
        <v>PASS</v>
      </c>
    </row>
    <row r="1546" spans="1:19" x14ac:dyDescent="0.25">
      <c r="A1546" s="30" t="s">
        <v>99</v>
      </c>
      <c r="B1546" s="31">
        <f t="shared" si="234"/>
        <v>45261</v>
      </c>
      <c r="C1546" s="30">
        <f>YEAR(BInputReservoir[[#This Row],[Date]])</f>
        <v>2023</v>
      </c>
      <c r="D1546" s="30">
        <f>MONTH(BInputReservoir[[#This Row],[Date]])</f>
        <v>12</v>
      </c>
      <c r="E1546" s="30">
        <f>IF(I1546&lt;&gt;1,"",DATA_INPUT!O103)</f>
        <v>0</v>
      </c>
      <c r="F1546" s="30">
        <f>STORAGE_BALANCE_ENSEMBLE!CN103</f>
        <v>0</v>
      </c>
      <c r="G1546" s="30">
        <f>STORAGE_BALANCE_ENSEMBLE!CO103</f>
        <v>0</v>
      </c>
      <c r="H1546" s="30">
        <f>STORAGE_BALANCE_ENSEMBLE!CM103</f>
        <v>12494383.521817004</v>
      </c>
      <c r="I1546" s="18">
        <f t="shared" si="233"/>
        <v>1</v>
      </c>
      <c r="J1546" s="8">
        <f t="shared" si="235"/>
        <v>0</v>
      </c>
      <c r="K1546" s="9">
        <f t="shared" si="236"/>
        <v>0</v>
      </c>
      <c r="L1546" s="10">
        <f t="shared" si="237"/>
        <v>0</v>
      </c>
      <c r="M1546" s="10">
        <f>IF(I1546&lt;&gt;1,"",IF(H1546="","",H1546/CONTROL_PANEL!$B$11))</f>
        <v>0.24988767043634008</v>
      </c>
      <c r="N1546" s="9">
        <f t="shared" si="238"/>
        <v>0</v>
      </c>
      <c r="O1546" s="9">
        <f t="shared" si="239"/>
        <v>0</v>
      </c>
      <c r="P1546" s="9">
        <f t="shared" si="240"/>
        <v>0</v>
      </c>
      <c r="Q1546" s="9">
        <f t="shared" si="241"/>
        <v>0</v>
      </c>
      <c r="R1546" s="11"/>
      <c r="S1546" s="11" t="str">
        <f t="shared" si="242"/>
        <v>PASS</v>
      </c>
    </row>
    <row r="1547" spans="1:19" x14ac:dyDescent="0.25">
      <c r="A1547" s="30" t="s">
        <v>99</v>
      </c>
      <c r="B1547" s="31">
        <f t="shared" si="234"/>
        <v>45292</v>
      </c>
      <c r="C1547" s="30">
        <f>YEAR(BInputReservoir[[#This Row],[Date]])</f>
        <v>2024</v>
      </c>
      <c r="D1547" s="30">
        <f>MONTH(BInputReservoir[[#This Row],[Date]])</f>
        <v>1</v>
      </c>
      <c r="E1547" s="30">
        <f>IF(I1547&lt;&gt;1,"",DATA_INPUT!O104)</f>
        <v>0</v>
      </c>
      <c r="F1547" s="30">
        <f>STORAGE_BALANCE_ENSEMBLE!CN104</f>
        <v>0</v>
      </c>
      <c r="G1547" s="30">
        <f>STORAGE_BALANCE_ENSEMBLE!CO104</f>
        <v>0</v>
      </c>
      <c r="H1547" s="30">
        <f>STORAGE_BALANCE_ENSEMBLE!CM104</f>
        <v>14532651.892599108</v>
      </c>
      <c r="I1547" s="18">
        <f t="shared" si="233"/>
        <v>1</v>
      </c>
      <c r="J1547" s="8">
        <f t="shared" si="235"/>
        <v>0</v>
      </c>
      <c r="K1547" s="9">
        <f t="shared" si="236"/>
        <v>0</v>
      </c>
      <c r="L1547" s="10">
        <f t="shared" si="237"/>
        <v>0</v>
      </c>
      <c r="M1547" s="10">
        <f>IF(I1547&lt;&gt;1,"",IF(H1547="","",H1547/CONTROL_PANEL!$B$11))</f>
        <v>0.29065303785198215</v>
      </c>
      <c r="N1547" s="9">
        <f t="shared" si="238"/>
        <v>0</v>
      </c>
      <c r="O1547" s="9">
        <f t="shared" si="239"/>
        <v>0</v>
      </c>
      <c r="P1547" s="9">
        <f t="shared" si="240"/>
        <v>0</v>
      </c>
      <c r="Q1547" s="9">
        <f t="shared" si="241"/>
        <v>0</v>
      </c>
      <c r="R1547" s="11"/>
      <c r="S1547" s="11" t="str">
        <f t="shared" si="242"/>
        <v>PASS</v>
      </c>
    </row>
    <row r="1548" spans="1:19" x14ac:dyDescent="0.25">
      <c r="A1548" s="30" t="s">
        <v>99</v>
      </c>
      <c r="B1548" s="31">
        <f t="shared" si="234"/>
        <v>45323</v>
      </c>
      <c r="C1548" s="30">
        <f>YEAR(BInputReservoir[[#This Row],[Date]])</f>
        <v>2024</v>
      </c>
      <c r="D1548" s="30">
        <f>MONTH(BInputReservoir[[#This Row],[Date]])</f>
        <v>2</v>
      </c>
      <c r="E1548" s="30">
        <f>IF(I1548&lt;&gt;1,"",DATA_INPUT!O105)</f>
        <v>0</v>
      </c>
      <c r="F1548" s="30">
        <f>STORAGE_BALANCE_ENSEMBLE!CN105</f>
        <v>0</v>
      </c>
      <c r="G1548" s="30">
        <f>STORAGE_BALANCE_ENSEMBLE!CO105</f>
        <v>0</v>
      </c>
      <c r="H1548" s="30">
        <f>STORAGE_BALANCE_ENSEMBLE!CM105</f>
        <v>18494313.777794831</v>
      </c>
      <c r="I1548" s="18">
        <f t="shared" si="233"/>
        <v>1</v>
      </c>
      <c r="J1548" s="8">
        <f t="shared" si="235"/>
        <v>0</v>
      </c>
      <c r="K1548" s="9">
        <f t="shared" si="236"/>
        <v>0</v>
      </c>
      <c r="L1548" s="10">
        <f t="shared" si="237"/>
        <v>0</v>
      </c>
      <c r="M1548" s="10">
        <f>IF(I1548&lt;&gt;1,"",IF(H1548="","",H1548/CONTROL_PANEL!$B$11))</f>
        <v>0.36988627555589659</v>
      </c>
      <c r="N1548" s="9">
        <f t="shared" si="238"/>
        <v>0</v>
      </c>
      <c r="O1548" s="9">
        <f t="shared" si="239"/>
        <v>0</v>
      </c>
      <c r="P1548" s="9">
        <f t="shared" si="240"/>
        <v>0</v>
      </c>
      <c r="Q1548" s="9">
        <f t="shared" si="241"/>
        <v>0</v>
      </c>
      <c r="R1548" s="11"/>
      <c r="S1548" s="11" t="str">
        <f t="shared" si="242"/>
        <v>PASS</v>
      </c>
    </row>
    <row r="1549" spans="1:19" x14ac:dyDescent="0.25">
      <c r="A1549" s="30" t="s">
        <v>99</v>
      </c>
      <c r="B1549" s="31">
        <f t="shared" si="234"/>
        <v>45352</v>
      </c>
      <c r="C1549" s="30">
        <f>YEAR(BInputReservoir[[#This Row],[Date]])</f>
        <v>2024</v>
      </c>
      <c r="D1549" s="30">
        <f>MONTH(BInputReservoir[[#This Row],[Date]])</f>
        <v>3</v>
      </c>
      <c r="E1549" s="30">
        <f>IF(I1549&lt;&gt;1,"",DATA_INPUT!O106)</f>
        <v>0</v>
      </c>
      <c r="F1549" s="30">
        <f>STORAGE_BALANCE_ENSEMBLE!CN106</f>
        <v>0</v>
      </c>
      <c r="G1549" s="30">
        <f>STORAGE_BALANCE_ENSEMBLE!CO106</f>
        <v>0</v>
      </c>
      <c r="H1549" s="30">
        <f>STORAGE_BALANCE_ENSEMBLE!CM106</f>
        <v>19777966.104344413</v>
      </c>
      <c r="I1549" s="18">
        <f t="shared" si="233"/>
        <v>1</v>
      </c>
      <c r="J1549" s="8">
        <f t="shared" si="235"/>
        <v>0</v>
      </c>
      <c r="K1549" s="9">
        <f t="shared" si="236"/>
        <v>0</v>
      </c>
      <c r="L1549" s="10">
        <f t="shared" si="237"/>
        <v>0</v>
      </c>
      <c r="M1549" s="10">
        <f>IF(I1549&lt;&gt;1,"",IF(H1549="","",H1549/CONTROL_PANEL!$B$11))</f>
        <v>0.39555932208688827</v>
      </c>
      <c r="N1549" s="9">
        <f t="shared" si="238"/>
        <v>0</v>
      </c>
      <c r="O1549" s="9">
        <f t="shared" si="239"/>
        <v>0</v>
      </c>
      <c r="P1549" s="9">
        <f t="shared" si="240"/>
        <v>0</v>
      </c>
      <c r="Q1549" s="9">
        <f t="shared" si="241"/>
        <v>0</v>
      </c>
      <c r="R1549" s="11"/>
      <c r="S1549" s="11" t="str">
        <f t="shared" si="242"/>
        <v>PASS</v>
      </c>
    </row>
    <row r="1550" spans="1:19" x14ac:dyDescent="0.25">
      <c r="A1550" s="30" t="s">
        <v>99</v>
      </c>
      <c r="B1550" s="31">
        <f t="shared" si="234"/>
        <v>45383</v>
      </c>
      <c r="C1550" s="30">
        <f>YEAR(BInputReservoir[[#This Row],[Date]])</f>
        <v>2024</v>
      </c>
      <c r="D1550" s="30">
        <f>MONTH(BInputReservoir[[#This Row],[Date]])</f>
        <v>4</v>
      </c>
      <c r="E1550" s="30">
        <f>IF(I1550&lt;&gt;1,"",DATA_INPUT!O107)</f>
        <v>3442.6396349614197</v>
      </c>
      <c r="F1550" s="30">
        <f>STORAGE_BALANCE_ENSEMBLE!CN107</f>
        <v>0</v>
      </c>
      <c r="G1550" s="30">
        <f>STORAGE_BALANCE_ENSEMBLE!CO107</f>
        <v>0</v>
      </c>
      <c r="H1550" s="30">
        <f>STORAGE_BALANCE_ENSEMBLE!CM107</f>
        <v>19864966.222382724</v>
      </c>
      <c r="I1550" s="18">
        <f t="shared" si="233"/>
        <v>1</v>
      </c>
      <c r="J1550" s="8">
        <f t="shared" si="235"/>
        <v>3442.6396349614197</v>
      </c>
      <c r="K1550" s="9">
        <f t="shared" si="236"/>
        <v>0</v>
      </c>
      <c r="L1550" s="10">
        <f t="shared" si="237"/>
        <v>0</v>
      </c>
      <c r="M1550" s="10">
        <f>IF(I1550&lt;&gt;1,"",IF(H1550="","",H1550/CONTROL_PANEL!$B$11))</f>
        <v>0.39729932444765448</v>
      </c>
      <c r="N1550" s="9">
        <f t="shared" si="238"/>
        <v>0</v>
      </c>
      <c r="O1550" s="9">
        <f t="shared" si="239"/>
        <v>0</v>
      </c>
      <c r="P1550" s="9">
        <f t="shared" si="240"/>
        <v>0</v>
      </c>
      <c r="Q1550" s="9">
        <f t="shared" si="241"/>
        <v>0</v>
      </c>
      <c r="R1550" s="11"/>
      <c r="S1550" s="11" t="str">
        <f t="shared" si="242"/>
        <v>PASS</v>
      </c>
    </row>
    <row r="1551" spans="1:19" x14ac:dyDescent="0.25">
      <c r="A1551" s="30" t="s">
        <v>99</v>
      </c>
      <c r="B1551" s="31">
        <f t="shared" si="234"/>
        <v>45413</v>
      </c>
      <c r="C1551" s="30">
        <f>YEAR(BInputReservoir[[#This Row],[Date]])</f>
        <v>2024</v>
      </c>
      <c r="D1551" s="30">
        <f>MONTH(BInputReservoir[[#This Row],[Date]])</f>
        <v>5</v>
      </c>
      <c r="E1551" s="30">
        <f>IF(I1551&lt;&gt;1,"",DATA_INPUT!O108)</f>
        <v>445562.36557965731</v>
      </c>
      <c r="F1551" s="30">
        <f>STORAGE_BALANCE_ENSEMBLE!CN108</f>
        <v>0</v>
      </c>
      <c r="G1551" s="30">
        <f>STORAGE_BALANCE_ENSEMBLE!CO108</f>
        <v>0</v>
      </c>
      <c r="H1551" s="30">
        <f>STORAGE_BALANCE_ENSEMBLE!CM108</f>
        <v>19188945.89548827</v>
      </c>
      <c r="I1551" s="18">
        <f t="shared" si="233"/>
        <v>1</v>
      </c>
      <c r="J1551" s="8">
        <f t="shared" si="235"/>
        <v>445562.36557965731</v>
      </c>
      <c r="K1551" s="9">
        <f t="shared" si="236"/>
        <v>0</v>
      </c>
      <c r="L1551" s="10">
        <f t="shared" si="237"/>
        <v>0</v>
      </c>
      <c r="M1551" s="10">
        <f>IF(I1551&lt;&gt;1,"",IF(H1551="","",H1551/CONTROL_PANEL!$B$11))</f>
        <v>0.38377891790976537</v>
      </c>
      <c r="N1551" s="9">
        <f t="shared" si="238"/>
        <v>0</v>
      </c>
      <c r="O1551" s="9">
        <f t="shared" si="239"/>
        <v>0</v>
      </c>
      <c r="P1551" s="9">
        <f t="shared" si="240"/>
        <v>0</v>
      </c>
      <c r="Q1551" s="9">
        <f t="shared" si="241"/>
        <v>0</v>
      </c>
      <c r="R1551" s="11"/>
      <c r="S1551" s="11" t="str">
        <f t="shared" si="242"/>
        <v>PASS</v>
      </c>
    </row>
    <row r="1552" spans="1:19" x14ac:dyDescent="0.25">
      <c r="A1552" s="30" t="s">
        <v>99</v>
      </c>
      <c r="B1552" s="31">
        <f t="shared" si="234"/>
        <v>45444</v>
      </c>
      <c r="C1552" s="30">
        <f>YEAR(BInputReservoir[[#This Row],[Date]])</f>
        <v>2024</v>
      </c>
      <c r="D1552" s="30">
        <f>MONTH(BInputReservoir[[#This Row],[Date]])</f>
        <v>6</v>
      </c>
      <c r="E1552" s="30">
        <f>IF(I1552&lt;&gt;1,"",DATA_INPUT!O109)</f>
        <v>538764.69795375061</v>
      </c>
      <c r="F1552" s="30">
        <f>STORAGE_BALANCE_ENSEMBLE!CN109</f>
        <v>0</v>
      </c>
      <c r="G1552" s="30">
        <f>STORAGE_BALANCE_ENSEMBLE!CO109</f>
        <v>0</v>
      </c>
      <c r="H1552" s="30">
        <f>STORAGE_BALANCE_ENSEMBLE!CM109</f>
        <v>18405416.295975752</v>
      </c>
      <c r="I1552" s="18">
        <f t="shared" si="233"/>
        <v>1</v>
      </c>
      <c r="J1552" s="8">
        <f t="shared" si="235"/>
        <v>538764.69795375061</v>
      </c>
      <c r="K1552" s="9">
        <f t="shared" si="236"/>
        <v>0</v>
      </c>
      <c r="L1552" s="10">
        <f t="shared" si="237"/>
        <v>0</v>
      </c>
      <c r="M1552" s="10">
        <f>IF(I1552&lt;&gt;1,"",IF(H1552="","",H1552/CONTROL_PANEL!$B$11))</f>
        <v>0.36810832591951503</v>
      </c>
      <c r="N1552" s="9">
        <f t="shared" si="238"/>
        <v>0</v>
      </c>
      <c r="O1552" s="9">
        <f t="shared" si="239"/>
        <v>0</v>
      </c>
      <c r="P1552" s="9">
        <f t="shared" si="240"/>
        <v>0</v>
      </c>
      <c r="Q1552" s="9">
        <f t="shared" si="241"/>
        <v>0</v>
      </c>
      <c r="R1552" s="11"/>
      <c r="S1552" s="11" t="str">
        <f t="shared" si="242"/>
        <v>PASS</v>
      </c>
    </row>
    <row r="1553" spans="1:19" x14ac:dyDescent="0.25">
      <c r="A1553" s="30" t="s">
        <v>99</v>
      </c>
      <c r="B1553" s="31">
        <f t="shared" si="234"/>
        <v>45474</v>
      </c>
      <c r="C1553" s="30">
        <f>YEAR(BInputReservoir[[#This Row],[Date]])</f>
        <v>2024</v>
      </c>
      <c r="D1553" s="30">
        <f>MONTH(BInputReservoir[[#This Row],[Date]])</f>
        <v>7</v>
      </c>
      <c r="E1553" s="30">
        <f>IF(I1553&lt;&gt;1,"",DATA_INPUT!O110)</f>
        <v>1974901.2776168364</v>
      </c>
      <c r="F1553" s="30">
        <f>STORAGE_BALANCE_ENSEMBLE!CN110</f>
        <v>0</v>
      </c>
      <c r="G1553" s="30">
        <f>STORAGE_BALANCE_ENSEMBLE!CO110</f>
        <v>0</v>
      </c>
      <c r="H1553" s="30">
        <f>STORAGE_BALANCE_ENSEMBLE!CM110</f>
        <v>16051143.693245731</v>
      </c>
      <c r="I1553" s="18">
        <f t="shared" si="233"/>
        <v>1</v>
      </c>
      <c r="J1553" s="8">
        <f t="shared" si="235"/>
        <v>1974901.2776168364</v>
      </c>
      <c r="K1553" s="9">
        <f t="shared" si="236"/>
        <v>0</v>
      </c>
      <c r="L1553" s="10">
        <f t="shared" si="237"/>
        <v>0</v>
      </c>
      <c r="M1553" s="10">
        <f>IF(I1553&lt;&gt;1,"",IF(H1553="","",H1553/CONTROL_PANEL!$B$11))</f>
        <v>0.32102287386491463</v>
      </c>
      <c r="N1553" s="9">
        <f t="shared" si="238"/>
        <v>0</v>
      </c>
      <c r="O1553" s="9">
        <f t="shared" si="239"/>
        <v>0</v>
      </c>
      <c r="P1553" s="9">
        <f t="shared" si="240"/>
        <v>0</v>
      </c>
      <c r="Q1553" s="9">
        <f t="shared" si="241"/>
        <v>0</v>
      </c>
      <c r="R1553" s="11"/>
      <c r="S1553" s="11" t="str">
        <f t="shared" si="242"/>
        <v>PASS</v>
      </c>
    </row>
    <row r="1554" spans="1:19" x14ac:dyDescent="0.25">
      <c r="A1554" s="30" t="s">
        <v>99</v>
      </c>
      <c r="B1554" s="31">
        <f t="shared" si="234"/>
        <v>45505</v>
      </c>
      <c r="C1554" s="30">
        <f>YEAR(BInputReservoir[[#This Row],[Date]])</f>
        <v>2024</v>
      </c>
      <c r="D1554" s="30">
        <f>MONTH(BInputReservoir[[#This Row],[Date]])</f>
        <v>8</v>
      </c>
      <c r="E1554" s="30">
        <f>IF(I1554&lt;&gt;1,"",DATA_INPUT!O111)</f>
        <v>2435846.0379785411</v>
      </c>
      <c r="F1554" s="30">
        <f>STORAGE_BALANCE_ENSEMBLE!CN111</f>
        <v>0</v>
      </c>
      <c r="G1554" s="30">
        <f>STORAGE_BALANCE_ENSEMBLE!CO111</f>
        <v>0</v>
      </c>
      <c r="H1554" s="30">
        <f>STORAGE_BALANCE_ENSEMBLE!CM111</f>
        <v>13285725.433651615</v>
      </c>
      <c r="I1554" s="18">
        <f t="shared" si="233"/>
        <v>1</v>
      </c>
      <c r="J1554" s="8">
        <f t="shared" si="235"/>
        <v>2435846.0379785411</v>
      </c>
      <c r="K1554" s="9">
        <f t="shared" si="236"/>
        <v>0</v>
      </c>
      <c r="L1554" s="10">
        <f t="shared" si="237"/>
        <v>0</v>
      </c>
      <c r="M1554" s="10">
        <f>IF(I1554&lt;&gt;1,"",IF(H1554="","",H1554/CONTROL_PANEL!$B$11))</f>
        <v>0.26571450867303231</v>
      </c>
      <c r="N1554" s="9">
        <f t="shared" si="238"/>
        <v>0</v>
      </c>
      <c r="O1554" s="9">
        <f t="shared" si="239"/>
        <v>0</v>
      </c>
      <c r="P1554" s="9">
        <f t="shared" si="240"/>
        <v>0</v>
      </c>
      <c r="Q1554" s="9">
        <f t="shared" si="241"/>
        <v>0</v>
      </c>
      <c r="R1554" s="11"/>
      <c r="S1554" s="11" t="str">
        <f t="shared" si="242"/>
        <v>PASS</v>
      </c>
    </row>
    <row r="1555" spans="1:19" x14ac:dyDescent="0.25">
      <c r="A1555" s="30" t="s">
        <v>99</v>
      </c>
      <c r="B1555" s="31">
        <f t="shared" si="234"/>
        <v>45536</v>
      </c>
      <c r="C1555" s="30">
        <f>YEAR(BInputReservoir[[#This Row],[Date]])</f>
        <v>2024</v>
      </c>
      <c r="D1555" s="30">
        <f>MONTH(BInputReservoir[[#This Row],[Date]])</f>
        <v>9</v>
      </c>
      <c r="E1555" s="30">
        <f>IF(I1555&lt;&gt;1,"",DATA_INPUT!O112)</f>
        <v>1173175.7787036244</v>
      </c>
      <c r="F1555" s="30">
        <f>STORAGE_BALANCE_ENSEMBLE!CN112</f>
        <v>0</v>
      </c>
      <c r="G1555" s="30">
        <f>STORAGE_BALANCE_ENSEMBLE!CO112</f>
        <v>0</v>
      </c>
      <c r="H1555" s="30">
        <f>STORAGE_BALANCE_ENSEMBLE!CM112</f>
        <v>12613150.371598739</v>
      </c>
      <c r="I1555" s="18">
        <f t="shared" si="233"/>
        <v>1</v>
      </c>
      <c r="J1555" s="8">
        <f t="shared" si="235"/>
        <v>1173175.7787036244</v>
      </c>
      <c r="K1555" s="9">
        <f t="shared" si="236"/>
        <v>0</v>
      </c>
      <c r="L1555" s="10">
        <f t="shared" si="237"/>
        <v>0</v>
      </c>
      <c r="M1555" s="10">
        <f>IF(I1555&lt;&gt;1,"",IF(H1555="","",H1555/CONTROL_PANEL!$B$11))</f>
        <v>0.25226300743197477</v>
      </c>
      <c r="N1555" s="9">
        <f t="shared" si="238"/>
        <v>0</v>
      </c>
      <c r="O1555" s="9">
        <f t="shared" si="239"/>
        <v>0</v>
      </c>
      <c r="P1555" s="9">
        <f t="shared" si="240"/>
        <v>0</v>
      </c>
      <c r="Q1555" s="9">
        <f t="shared" si="241"/>
        <v>0</v>
      </c>
      <c r="R1555" s="11"/>
      <c r="S1555" s="11" t="str">
        <f t="shared" si="242"/>
        <v>PASS</v>
      </c>
    </row>
    <row r="1556" spans="1:19" x14ac:dyDescent="0.25">
      <c r="A1556" s="30" t="s">
        <v>99</v>
      </c>
      <c r="B1556" s="31">
        <f t="shared" si="234"/>
        <v>45566</v>
      </c>
      <c r="C1556" s="30">
        <f>YEAR(BInputReservoir[[#This Row],[Date]])</f>
        <v>2024</v>
      </c>
      <c r="D1556" s="30">
        <f>MONTH(BInputReservoir[[#This Row],[Date]])</f>
        <v>10</v>
      </c>
      <c r="E1556" s="30">
        <f>IF(I1556&lt;&gt;1,"",DATA_INPUT!O113)</f>
        <v>154674.33818550219</v>
      </c>
      <c r="F1556" s="30">
        <f>STORAGE_BALANCE_ENSEMBLE!CN113</f>
        <v>0</v>
      </c>
      <c r="G1556" s="30">
        <f>STORAGE_BALANCE_ENSEMBLE!CO113</f>
        <v>0</v>
      </c>
      <c r="H1556" s="30">
        <f>STORAGE_BALANCE_ENSEMBLE!CM113</f>
        <v>12999827.074587744</v>
      </c>
      <c r="I1556" s="18">
        <f t="shared" si="233"/>
        <v>1</v>
      </c>
      <c r="J1556" s="8">
        <f t="shared" si="235"/>
        <v>154674.33818550219</v>
      </c>
      <c r="K1556" s="9">
        <f t="shared" si="236"/>
        <v>0</v>
      </c>
      <c r="L1556" s="10">
        <f t="shared" si="237"/>
        <v>0</v>
      </c>
      <c r="M1556" s="10">
        <f>IF(I1556&lt;&gt;1,"",IF(H1556="","",H1556/CONTROL_PANEL!$B$11))</f>
        <v>0.25999654149175488</v>
      </c>
      <c r="N1556" s="9">
        <f t="shared" si="238"/>
        <v>0</v>
      </c>
      <c r="O1556" s="9">
        <f t="shared" si="239"/>
        <v>0</v>
      </c>
      <c r="P1556" s="9">
        <f t="shared" si="240"/>
        <v>0</v>
      </c>
      <c r="Q1556" s="9">
        <f t="shared" si="241"/>
        <v>0</v>
      </c>
      <c r="R1556" s="11"/>
      <c r="S1556" s="11" t="str">
        <f t="shared" si="242"/>
        <v>PASS</v>
      </c>
    </row>
    <row r="1557" spans="1:19" x14ac:dyDescent="0.25">
      <c r="A1557" s="30" t="s">
        <v>99</v>
      </c>
      <c r="B1557" s="31">
        <f t="shared" si="234"/>
        <v>45597</v>
      </c>
      <c r="C1557" s="30">
        <f>YEAR(BInputReservoir[[#This Row],[Date]])</f>
        <v>2024</v>
      </c>
      <c r="D1557" s="30">
        <f>MONTH(BInputReservoir[[#This Row],[Date]])</f>
        <v>11</v>
      </c>
      <c r="E1557" s="30">
        <f>IF(I1557&lt;&gt;1,"",DATA_INPUT!O114)</f>
        <v>0</v>
      </c>
      <c r="F1557" s="30">
        <f>STORAGE_BALANCE_ENSEMBLE!CN114</f>
        <v>0</v>
      </c>
      <c r="G1557" s="30">
        <f>STORAGE_BALANCE_ENSEMBLE!CO114</f>
        <v>0</v>
      </c>
      <c r="H1557" s="30">
        <f>STORAGE_BALANCE_ENSEMBLE!CM114</f>
        <v>13151953.347098827</v>
      </c>
      <c r="I1557" s="18">
        <f t="shared" si="233"/>
        <v>1</v>
      </c>
      <c r="J1557" s="8">
        <f t="shared" si="235"/>
        <v>0</v>
      </c>
      <c r="K1557" s="9">
        <f t="shared" si="236"/>
        <v>0</v>
      </c>
      <c r="L1557" s="10">
        <f t="shared" si="237"/>
        <v>0</v>
      </c>
      <c r="M1557" s="10">
        <f>IF(I1557&lt;&gt;1,"",IF(H1557="","",H1557/CONTROL_PANEL!$B$11))</f>
        <v>0.26303906694197654</v>
      </c>
      <c r="N1557" s="9">
        <f t="shared" si="238"/>
        <v>0</v>
      </c>
      <c r="O1557" s="9">
        <f t="shared" si="239"/>
        <v>0</v>
      </c>
      <c r="P1557" s="9">
        <f t="shared" si="240"/>
        <v>0</v>
      </c>
      <c r="Q1557" s="9">
        <f t="shared" si="241"/>
        <v>0</v>
      </c>
      <c r="R1557" s="11"/>
      <c r="S1557" s="11" t="str">
        <f t="shared" si="242"/>
        <v>PASS</v>
      </c>
    </row>
    <row r="1558" spans="1:19" x14ac:dyDescent="0.25">
      <c r="A1558" s="30" t="s">
        <v>99</v>
      </c>
      <c r="B1558" s="31">
        <f t="shared" si="234"/>
        <v>45627</v>
      </c>
      <c r="C1558" s="30">
        <f>YEAR(BInputReservoir[[#This Row],[Date]])</f>
        <v>2024</v>
      </c>
      <c r="D1558" s="30">
        <f>MONTH(BInputReservoir[[#This Row],[Date]])</f>
        <v>12</v>
      </c>
      <c r="E1558" s="30">
        <f>IF(I1558&lt;&gt;1,"",DATA_INPUT!O115)</f>
        <v>0</v>
      </c>
      <c r="F1558" s="30">
        <f>STORAGE_BALANCE_ENSEMBLE!CN115</f>
        <v>0</v>
      </c>
      <c r="G1558" s="30">
        <f>STORAGE_BALANCE_ENSEMBLE!CO115</f>
        <v>0</v>
      </c>
      <c r="H1558" s="30">
        <f>STORAGE_BALANCE_ENSEMBLE!CM115</f>
        <v>15433471.944626929</v>
      </c>
      <c r="I1558" s="18">
        <f t="shared" si="233"/>
        <v>1</v>
      </c>
      <c r="J1558" s="8">
        <f t="shared" si="235"/>
        <v>0</v>
      </c>
      <c r="K1558" s="9">
        <f t="shared" si="236"/>
        <v>0</v>
      </c>
      <c r="L1558" s="10">
        <f t="shared" si="237"/>
        <v>0</v>
      </c>
      <c r="M1558" s="10">
        <f>IF(I1558&lt;&gt;1,"",IF(H1558="","",H1558/CONTROL_PANEL!$B$11))</f>
        <v>0.30866943889253856</v>
      </c>
      <c r="N1558" s="9">
        <f t="shared" si="238"/>
        <v>0</v>
      </c>
      <c r="O1558" s="9">
        <f t="shared" si="239"/>
        <v>0</v>
      </c>
      <c r="P1558" s="9">
        <f t="shared" si="240"/>
        <v>0</v>
      </c>
      <c r="Q1558" s="9">
        <f t="shared" si="241"/>
        <v>0</v>
      </c>
      <c r="R1558" s="11"/>
      <c r="S1558" s="11" t="str">
        <f t="shared" si="242"/>
        <v>PASS</v>
      </c>
    </row>
    <row r="1559" spans="1:19" x14ac:dyDescent="0.25">
      <c r="A1559" s="30" t="s">
        <v>99</v>
      </c>
      <c r="B1559" s="31">
        <f t="shared" si="234"/>
        <v>45658</v>
      </c>
      <c r="C1559" s="30">
        <f>YEAR(BInputReservoir[[#This Row],[Date]])</f>
        <v>2025</v>
      </c>
      <c r="D1559" s="30">
        <f>MONTH(BInputReservoir[[#This Row],[Date]])</f>
        <v>1</v>
      </c>
      <c r="E1559" s="30">
        <f>IF(I1559&lt;&gt;1,"",DATA_INPUT!O116)</f>
        <v>0</v>
      </c>
      <c r="F1559" s="30">
        <f>STORAGE_BALANCE_ENSEMBLE!CN116</f>
        <v>0</v>
      </c>
      <c r="G1559" s="30">
        <f>STORAGE_BALANCE_ENSEMBLE!CO116</f>
        <v>0</v>
      </c>
      <c r="H1559" s="30">
        <f>STORAGE_BALANCE_ENSEMBLE!CM116</f>
        <v>17220137.074808005</v>
      </c>
      <c r="I1559" s="18">
        <f t="shared" si="233"/>
        <v>1</v>
      </c>
      <c r="J1559" s="8">
        <f t="shared" si="235"/>
        <v>0</v>
      </c>
      <c r="K1559" s="9">
        <f t="shared" si="236"/>
        <v>0</v>
      </c>
      <c r="L1559" s="10">
        <f t="shared" si="237"/>
        <v>0</v>
      </c>
      <c r="M1559" s="10">
        <f>IF(I1559&lt;&gt;1,"",IF(H1559="","",H1559/CONTROL_PANEL!$B$11))</f>
        <v>0.34440274149616013</v>
      </c>
      <c r="N1559" s="9">
        <f t="shared" si="238"/>
        <v>0</v>
      </c>
      <c r="O1559" s="9">
        <f t="shared" si="239"/>
        <v>0</v>
      </c>
      <c r="P1559" s="9">
        <f t="shared" si="240"/>
        <v>0</v>
      </c>
      <c r="Q1559" s="9">
        <f t="shared" si="241"/>
        <v>0</v>
      </c>
      <c r="R1559" s="11"/>
      <c r="S1559" s="11" t="str">
        <f t="shared" si="242"/>
        <v>PASS</v>
      </c>
    </row>
    <row r="1560" spans="1:19" x14ac:dyDescent="0.25">
      <c r="A1560" s="30" t="s">
        <v>99</v>
      </c>
      <c r="B1560" s="31">
        <f t="shared" si="234"/>
        <v>45689</v>
      </c>
      <c r="C1560" s="30">
        <f>YEAR(BInputReservoir[[#This Row],[Date]])</f>
        <v>2025</v>
      </c>
      <c r="D1560" s="30">
        <f>MONTH(BInputReservoir[[#This Row],[Date]])</f>
        <v>2</v>
      </c>
      <c r="E1560" s="30">
        <f>IF(I1560&lt;&gt;1,"",DATA_INPUT!O117)</f>
        <v>0</v>
      </c>
      <c r="F1560" s="30">
        <f>STORAGE_BALANCE_ENSEMBLE!CN117</f>
        <v>0</v>
      </c>
      <c r="G1560" s="30">
        <f>STORAGE_BALANCE_ENSEMBLE!CO117</f>
        <v>0</v>
      </c>
      <c r="H1560" s="30">
        <f>STORAGE_BALANCE_ENSEMBLE!CM117</f>
        <v>26150231.792223424</v>
      </c>
      <c r="I1560" s="18">
        <f t="shared" si="233"/>
        <v>1</v>
      </c>
      <c r="J1560" s="8">
        <f t="shared" si="235"/>
        <v>0</v>
      </c>
      <c r="K1560" s="9">
        <f t="shared" si="236"/>
        <v>0</v>
      </c>
      <c r="L1560" s="10">
        <f t="shared" si="237"/>
        <v>0</v>
      </c>
      <c r="M1560" s="10">
        <f>IF(I1560&lt;&gt;1,"",IF(H1560="","",H1560/CONTROL_PANEL!$B$11))</f>
        <v>0.52300463584446844</v>
      </c>
      <c r="N1560" s="9">
        <f t="shared" si="238"/>
        <v>0</v>
      </c>
      <c r="O1560" s="9">
        <f t="shared" si="239"/>
        <v>0</v>
      </c>
      <c r="P1560" s="9">
        <f t="shared" si="240"/>
        <v>0</v>
      </c>
      <c r="Q1560" s="9">
        <f t="shared" si="241"/>
        <v>0</v>
      </c>
      <c r="R1560" s="11"/>
      <c r="S1560" s="11" t="str">
        <f t="shared" si="242"/>
        <v>PASS</v>
      </c>
    </row>
    <row r="1561" spans="1:19" x14ac:dyDescent="0.25">
      <c r="A1561" s="30" t="s">
        <v>99</v>
      </c>
      <c r="B1561" s="31">
        <f t="shared" si="234"/>
        <v>45717</v>
      </c>
      <c r="C1561" s="30">
        <f>YEAR(BInputReservoir[[#This Row],[Date]])</f>
        <v>2025</v>
      </c>
      <c r="D1561" s="30">
        <f>MONTH(BInputReservoir[[#This Row],[Date]])</f>
        <v>3</v>
      </c>
      <c r="E1561" s="30">
        <f>IF(I1561&lt;&gt;1,"",DATA_INPUT!O118)</f>
        <v>0</v>
      </c>
      <c r="F1561" s="30">
        <f>STORAGE_BALANCE_ENSEMBLE!CN118</f>
        <v>0</v>
      </c>
      <c r="G1561" s="30">
        <f>STORAGE_BALANCE_ENSEMBLE!CO118</f>
        <v>0</v>
      </c>
      <c r="H1561" s="30">
        <f>STORAGE_BALANCE_ENSEMBLE!CM118</f>
        <v>30101726.664902519</v>
      </c>
      <c r="I1561" s="18">
        <f t="shared" si="233"/>
        <v>1</v>
      </c>
      <c r="J1561" s="8">
        <f t="shared" si="235"/>
        <v>0</v>
      </c>
      <c r="K1561" s="9">
        <f t="shared" si="236"/>
        <v>0</v>
      </c>
      <c r="L1561" s="10">
        <f t="shared" si="237"/>
        <v>0</v>
      </c>
      <c r="M1561" s="10">
        <f>IF(I1561&lt;&gt;1,"",IF(H1561="","",H1561/CONTROL_PANEL!$B$11))</f>
        <v>0.60203453329805034</v>
      </c>
      <c r="N1561" s="9">
        <f t="shared" si="238"/>
        <v>0</v>
      </c>
      <c r="O1561" s="9">
        <f t="shared" si="239"/>
        <v>0</v>
      </c>
      <c r="P1561" s="9">
        <f t="shared" si="240"/>
        <v>0</v>
      </c>
      <c r="Q1561" s="9">
        <f t="shared" si="241"/>
        <v>0</v>
      </c>
      <c r="R1561" s="11"/>
      <c r="S1561" s="11" t="str">
        <f t="shared" si="242"/>
        <v>PASS</v>
      </c>
    </row>
    <row r="1562" spans="1:19" x14ac:dyDescent="0.25">
      <c r="A1562" s="30" t="s">
        <v>99</v>
      </c>
      <c r="B1562" s="31">
        <f t="shared" si="234"/>
        <v>45748</v>
      </c>
      <c r="C1562" s="30">
        <f>YEAR(BInputReservoir[[#This Row],[Date]])</f>
        <v>2025</v>
      </c>
      <c r="D1562" s="30">
        <f>MONTH(BInputReservoir[[#This Row],[Date]])</f>
        <v>4</v>
      </c>
      <c r="E1562" s="30">
        <f>IF(I1562&lt;&gt;1,"",DATA_INPUT!O119)</f>
        <v>467.70065247339869</v>
      </c>
      <c r="F1562" s="30">
        <f>STORAGE_BALANCE_ENSEMBLE!CN119</f>
        <v>0</v>
      </c>
      <c r="G1562" s="30">
        <f>STORAGE_BALANCE_ENSEMBLE!CO119</f>
        <v>0</v>
      </c>
      <c r="H1562" s="30">
        <f>STORAGE_BALANCE_ENSEMBLE!CM119</f>
        <v>31089263.609877534</v>
      </c>
      <c r="I1562" s="18">
        <f t="shared" si="233"/>
        <v>1</v>
      </c>
      <c r="J1562" s="8">
        <f t="shared" si="235"/>
        <v>467.70065247339869</v>
      </c>
      <c r="K1562" s="9">
        <f t="shared" si="236"/>
        <v>0</v>
      </c>
      <c r="L1562" s="10">
        <f t="shared" si="237"/>
        <v>0</v>
      </c>
      <c r="M1562" s="10">
        <f>IF(I1562&lt;&gt;1,"",IF(H1562="","",H1562/CONTROL_PANEL!$B$11))</f>
        <v>0.62178527219755064</v>
      </c>
      <c r="N1562" s="9">
        <f t="shared" si="238"/>
        <v>0</v>
      </c>
      <c r="O1562" s="9">
        <f t="shared" si="239"/>
        <v>0</v>
      </c>
      <c r="P1562" s="9">
        <f t="shared" si="240"/>
        <v>0</v>
      </c>
      <c r="Q1562" s="9">
        <f t="shared" si="241"/>
        <v>0</v>
      </c>
      <c r="R1562" s="11"/>
      <c r="S1562" s="11" t="str">
        <f t="shared" si="242"/>
        <v>PASS</v>
      </c>
    </row>
    <row r="1563" spans="1:19" x14ac:dyDescent="0.25">
      <c r="A1563" s="30" t="s">
        <v>99</v>
      </c>
      <c r="B1563" s="31">
        <f t="shared" si="234"/>
        <v>45778</v>
      </c>
      <c r="C1563" s="30">
        <f>YEAR(BInputReservoir[[#This Row],[Date]])</f>
        <v>2025</v>
      </c>
      <c r="D1563" s="30">
        <f>MONTH(BInputReservoir[[#This Row],[Date]])</f>
        <v>5</v>
      </c>
      <c r="E1563" s="30">
        <f>IF(I1563&lt;&gt;1,"",DATA_INPUT!O120)</f>
        <v>288025.8810089</v>
      </c>
      <c r="F1563" s="30">
        <f>STORAGE_BALANCE_ENSEMBLE!CN120</f>
        <v>0</v>
      </c>
      <c r="G1563" s="30">
        <f>STORAGE_BALANCE_ENSEMBLE!CO120</f>
        <v>0</v>
      </c>
      <c r="H1563" s="30">
        <f>STORAGE_BALANCE_ENSEMBLE!CM120</f>
        <v>30635480.990060247</v>
      </c>
      <c r="I1563" s="18">
        <f t="shared" si="233"/>
        <v>1</v>
      </c>
      <c r="J1563" s="8">
        <f t="shared" si="235"/>
        <v>288025.8810089</v>
      </c>
      <c r="K1563" s="9">
        <f t="shared" si="236"/>
        <v>0</v>
      </c>
      <c r="L1563" s="10">
        <f t="shared" si="237"/>
        <v>0</v>
      </c>
      <c r="M1563" s="10">
        <f>IF(I1563&lt;&gt;1,"",IF(H1563="","",H1563/CONTROL_PANEL!$B$11))</f>
        <v>0.61270961980120497</v>
      </c>
      <c r="N1563" s="9">
        <f t="shared" si="238"/>
        <v>0</v>
      </c>
      <c r="O1563" s="9">
        <f t="shared" si="239"/>
        <v>0</v>
      </c>
      <c r="P1563" s="9">
        <f t="shared" si="240"/>
        <v>0</v>
      </c>
      <c r="Q1563" s="9">
        <f t="shared" si="241"/>
        <v>0</v>
      </c>
      <c r="R1563" s="11"/>
      <c r="S1563" s="11" t="str">
        <f t="shared" si="242"/>
        <v>PASS</v>
      </c>
    </row>
    <row r="1564" spans="1:19" x14ac:dyDescent="0.25">
      <c r="A1564" s="30" t="s">
        <v>99</v>
      </c>
      <c r="B1564" s="31">
        <f t="shared" si="234"/>
        <v>45809</v>
      </c>
      <c r="C1564" s="30">
        <f>YEAR(BInputReservoir[[#This Row],[Date]])</f>
        <v>2025</v>
      </c>
      <c r="D1564" s="30">
        <f>MONTH(BInputReservoir[[#This Row],[Date]])</f>
        <v>6</v>
      </c>
      <c r="E1564" s="30">
        <f>IF(I1564&lt;&gt;1,"",DATA_INPUT!O121)</f>
        <v>1270648.7627557861</v>
      </c>
      <c r="F1564" s="30">
        <f>STORAGE_BALANCE_ENSEMBLE!CN121</f>
        <v>0</v>
      </c>
      <c r="G1564" s="30">
        <f>STORAGE_BALANCE_ENSEMBLE!CO121</f>
        <v>0</v>
      </c>
      <c r="H1564" s="30">
        <f>STORAGE_BALANCE_ENSEMBLE!CM121</f>
        <v>29009304.080203053</v>
      </c>
      <c r="I1564" s="18">
        <f t="shared" si="233"/>
        <v>1</v>
      </c>
      <c r="J1564" s="8">
        <f t="shared" si="235"/>
        <v>1270648.7627557861</v>
      </c>
      <c r="K1564" s="9">
        <f t="shared" si="236"/>
        <v>0</v>
      </c>
      <c r="L1564" s="10">
        <f t="shared" si="237"/>
        <v>0</v>
      </c>
      <c r="M1564" s="10">
        <f>IF(I1564&lt;&gt;1,"",IF(H1564="","",H1564/CONTROL_PANEL!$B$11))</f>
        <v>0.58018608160406104</v>
      </c>
      <c r="N1564" s="9">
        <f t="shared" si="238"/>
        <v>0</v>
      </c>
      <c r="O1564" s="9">
        <f t="shared" si="239"/>
        <v>0</v>
      </c>
      <c r="P1564" s="9">
        <f t="shared" si="240"/>
        <v>0</v>
      </c>
      <c r="Q1564" s="9">
        <f t="shared" si="241"/>
        <v>0</v>
      </c>
      <c r="R1564" s="11"/>
      <c r="S1564" s="11" t="str">
        <f t="shared" si="242"/>
        <v>PASS</v>
      </c>
    </row>
    <row r="1565" spans="1:19" x14ac:dyDescent="0.25">
      <c r="A1565" s="30" t="s">
        <v>99</v>
      </c>
      <c r="B1565" s="31">
        <f t="shared" si="234"/>
        <v>45839</v>
      </c>
      <c r="C1565" s="30">
        <f>YEAR(BInputReservoir[[#This Row],[Date]])</f>
        <v>2025</v>
      </c>
      <c r="D1565" s="30">
        <f>MONTH(BInputReservoir[[#This Row],[Date]])</f>
        <v>7</v>
      </c>
      <c r="E1565" s="30">
        <f>IF(I1565&lt;&gt;1,"",DATA_INPUT!O122)</f>
        <v>2006781.853884002</v>
      </c>
      <c r="F1565" s="30">
        <f>STORAGE_BALANCE_ENSEMBLE!CN122</f>
        <v>0</v>
      </c>
      <c r="G1565" s="30">
        <f>STORAGE_BALANCE_ENSEMBLE!CO122</f>
        <v>0</v>
      </c>
      <c r="H1565" s="30">
        <f>STORAGE_BALANCE_ENSEMBLE!CM122</f>
        <v>26435955.216113098</v>
      </c>
      <c r="I1565" s="18">
        <f t="shared" si="233"/>
        <v>1</v>
      </c>
      <c r="J1565" s="8">
        <f t="shared" si="235"/>
        <v>2006781.853884002</v>
      </c>
      <c r="K1565" s="9">
        <f t="shared" si="236"/>
        <v>0</v>
      </c>
      <c r="L1565" s="10">
        <f t="shared" si="237"/>
        <v>0</v>
      </c>
      <c r="M1565" s="10">
        <f>IF(I1565&lt;&gt;1,"",IF(H1565="","",H1565/CONTROL_PANEL!$B$11))</f>
        <v>0.52871910432226199</v>
      </c>
      <c r="N1565" s="9">
        <f t="shared" si="238"/>
        <v>0</v>
      </c>
      <c r="O1565" s="9">
        <f t="shared" si="239"/>
        <v>0</v>
      </c>
      <c r="P1565" s="9">
        <f t="shared" si="240"/>
        <v>0</v>
      </c>
      <c r="Q1565" s="9">
        <f t="shared" si="241"/>
        <v>0</v>
      </c>
      <c r="R1565" s="11"/>
      <c r="S1565" s="11" t="str">
        <f t="shared" si="242"/>
        <v>PASS</v>
      </c>
    </row>
    <row r="1566" spans="1:19" x14ac:dyDescent="0.25">
      <c r="A1566" s="30" t="s">
        <v>99</v>
      </c>
      <c r="B1566" s="31">
        <f t="shared" si="234"/>
        <v>45870</v>
      </c>
      <c r="C1566" s="30">
        <f>YEAR(BInputReservoir[[#This Row],[Date]])</f>
        <v>2025</v>
      </c>
      <c r="D1566" s="30">
        <f>MONTH(BInputReservoir[[#This Row],[Date]])</f>
        <v>8</v>
      </c>
      <c r="E1566" s="30">
        <f>IF(I1566&lt;&gt;1,"",DATA_INPUT!O123)</f>
        <v>2514991.2908991165</v>
      </c>
      <c r="F1566" s="30">
        <f>STORAGE_BALANCE_ENSEMBLE!CN123</f>
        <v>0</v>
      </c>
      <c r="G1566" s="30">
        <f>STORAGE_BALANCE_ENSEMBLE!CO123</f>
        <v>0</v>
      </c>
      <c r="H1566" s="30">
        <f>STORAGE_BALANCE_ENSEMBLE!CM123</f>
        <v>23419778.526465572</v>
      </c>
      <c r="I1566" s="18">
        <f t="shared" si="233"/>
        <v>1</v>
      </c>
      <c r="J1566" s="8">
        <f t="shared" si="235"/>
        <v>2514991.2908991165</v>
      </c>
      <c r="K1566" s="9">
        <f t="shared" si="236"/>
        <v>0</v>
      </c>
      <c r="L1566" s="10">
        <f t="shared" si="237"/>
        <v>0</v>
      </c>
      <c r="M1566" s="10">
        <f>IF(I1566&lt;&gt;1,"",IF(H1566="","",H1566/CONTROL_PANEL!$B$11))</f>
        <v>0.46839557052931147</v>
      </c>
      <c r="N1566" s="9">
        <f t="shared" si="238"/>
        <v>0</v>
      </c>
      <c r="O1566" s="9">
        <f t="shared" si="239"/>
        <v>0</v>
      </c>
      <c r="P1566" s="9">
        <f t="shared" si="240"/>
        <v>0</v>
      </c>
      <c r="Q1566" s="9">
        <f t="shared" si="241"/>
        <v>0</v>
      </c>
      <c r="R1566" s="11"/>
      <c r="S1566" s="11" t="str">
        <f t="shared" si="242"/>
        <v>PASS</v>
      </c>
    </row>
    <row r="1567" spans="1:19" x14ac:dyDescent="0.25">
      <c r="A1567" s="30" t="s">
        <v>99</v>
      </c>
      <c r="B1567" s="31">
        <f t="shared" si="234"/>
        <v>45901</v>
      </c>
      <c r="C1567" s="30">
        <f>YEAR(BInputReservoir[[#This Row],[Date]])</f>
        <v>2025</v>
      </c>
      <c r="D1567" s="30">
        <f>MONTH(BInputReservoir[[#This Row],[Date]])</f>
        <v>9</v>
      </c>
      <c r="E1567" s="30">
        <f>IF(I1567&lt;&gt;1,"",DATA_INPUT!O124)</f>
        <v>1019740.9083497172</v>
      </c>
      <c r="F1567" s="30">
        <f>STORAGE_BALANCE_ENSEMBLE!CN124</f>
        <v>0</v>
      </c>
      <c r="G1567" s="30">
        <f>STORAGE_BALANCE_ENSEMBLE!CO124</f>
        <v>0</v>
      </c>
      <c r="H1567" s="30">
        <f>STORAGE_BALANCE_ENSEMBLE!CM124</f>
        <v>22132196.212260064</v>
      </c>
      <c r="I1567" s="18">
        <f t="shared" si="233"/>
        <v>1</v>
      </c>
      <c r="J1567" s="8">
        <f t="shared" si="235"/>
        <v>1019740.9083497172</v>
      </c>
      <c r="K1567" s="9">
        <f t="shared" si="236"/>
        <v>0</v>
      </c>
      <c r="L1567" s="10">
        <f t="shared" si="237"/>
        <v>0</v>
      </c>
      <c r="M1567" s="10">
        <f>IF(I1567&lt;&gt;1,"",IF(H1567="","",H1567/CONTROL_PANEL!$B$11))</f>
        <v>0.44264392424520127</v>
      </c>
      <c r="N1567" s="9">
        <f t="shared" si="238"/>
        <v>0</v>
      </c>
      <c r="O1567" s="9">
        <f t="shared" si="239"/>
        <v>0</v>
      </c>
      <c r="P1567" s="9">
        <f t="shared" si="240"/>
        <v>0</v>
      </c>
      <c r="Q1567" s="9">
        <f t="shared" si="241"/>
        <v>0</v>
      </c>
      <c r="R1567" s="11"/>
      <c r="S1567" s="11" t="str">
        <f t="shared" si="242"/>
        <v>PASS</v>
      </c>
    </row>
    <row r="1568" spans="1:19" x14ac:dyDescent="0.25">
      <c r="A1568" s="30" t="s">
        <v>99</v>
      </c>
      <c r="B1568" s="31">
        <f t="shared" si="234"/>
        <v>45931</v>
      </c>
      <c r="C1568" s="30">
        <f>YEAR(BInputReservoir[[#This Row],[Date]])</f>
        <v>2025</v>
      </c>
      <c r="D1568" s="30">
        <f>MONTH(BInputReservoir[[#This Row],[Date]])</f>
        <v>10</v>
      </c>
      <c r="E1568" s="30">
        <f>IF(I1568&lt;&gt;1,"",DATA_INPUT!O125)</f>
        <v>351346.58094578399</v>
      </c>
      <c r="F1568" s="30">
        <f>STORAGE_BALANCE_ENSEMBLE!CN125</f>
        <v>0</v>
      </c>
      <c r="G1568" s="30">
        <f>STORAGE_BALANCE_ENSEMBLE!CO125</f>
        <v>0</v>
      </c>
      <c r="H1568" s="30">
        <f>STORAGE_BALANCE_ENSEMBLE!CM125</f>
        <v>21699312.928834949</v>
      </c>
      <c r="I1568" s="18">
        <f t="shared" si="233"/>
        <v>1</v>
      </c>
      <c r="J1568" s="8">
        <f t="shared" si="235"/>
        <v>351346.58094578399</v>
      </c>
      <c r="K1568" s="9">
        <f t="shared" si="236"/>
        <v>0</v>
      </c>
      <c r="L1568" s="10">
        <f t="shared" si="237"/>
        <v>0</v>
      </c>
      <c r="M1568" s="10">
        <f>IF(I1568&lt;&gt;1,"",IF(H1568="","",H1568/CONTROL_PANEL!$B$11))</f>
        <v>0.43398625857669898</v>
      </c>
      <c r="N1568" s="9">
        <f t="shared" si="238"/>
        <v>0</v>
      </c>
      <c r="O1568" s="9">
        <f t="shared" si="239"/>
        <v>0</v>
      </c>
      <c r="P1568" s="9">
        <f t="shared" si="240"/>
        <v>0</v>
      </c>
      <c r="Q1568" s="9">
        <f t="shared" si="241"/>
        <v>0</v>
      </c>
      <c r="R1568" s="11"/>
      <c r="S1568" s="11" t="str">
        <f t="shared" si="242"/>
        <v>PASS</v>
      </c>
    </row>
    <row r="1569" spans="1:19" x14ac:dyDescent="0.25">
      <c r="A1569" s="30" t="s">
        <v>99</v>
      </c>
      <c r="B1569" s="31">
        <f t="shared" si="234"/>
        <v>45962</v>
      </c>
      <c r="C1569" s="30">
        <f>YEAR(BInputReservoir[[#This Row],[Date]])</f>
        <v>2025</v>
      </c>
      <c r="D1569" s="30">
        <f>MONTH(BInputReservoir[[#This Row],[Date]])</f>
        <v>11</v>
      </c>
      <c r="E1569" s="30">
        <f>IF(I1569&lt;&gt;1,"",DATA_INPUT!O126)</f>
        <v>0</v>
      </c>
      <c r="F1569" s="30">
        <f>STORAGE_BALANCE_ENSEMBLE!CN126</f>
        <v>0</v>
      </c>
      <c r="G1569" s="30">
        <f>STORAGE_BALANCE_ENSEMBLE!CO126</f>
        <v>0</v>
      </c>
      <c r="H1569" s="30">
        <f>STORAGE_BALANCE_ENSEMBLE!CM126</f>
        <v>24050680.853990916</v>
      </c>
      <c r="I1569" s="18">
        <f t="shared" si="233"/>
        <v>1</v>
      </c>
      <c r="J1569" s="8">
        <f t="shared" si="235"/>
        <v>0</v>
      </c>
      <c r="K1569" s="9">
        <f t="shared" si="236"/>
        <v>0</v>
      </c>
      <c r="L1569" s="10">
        <f t="shared" si="237"/>
        <v>0</v>
      </c>
      <c r="M1569" s="10">
        <f>IF(I1569&lt;&gt;1,"",IF(H1569="","",H1569/CONTROL_PANEL!$B$11))</f>
        <v>0.48101361707981832</v>
      </c>
      <c r="N1569" s="9">
        <f t="shared" si="238"/>
        <v>0</v>
      </c>
      <c r="O1569" s="9">
        <f t="shared" si="239"/>
        <v>0</v>
      </c>
      <c r="P1569" s="9">
        <f t="shared" si="240"/>
        <v>0</v>
      </c>
      <c r="Q1569" s="9">
        <f t="shared" si="241"/>
        <v>0</v>
      </c>
      <c r="R1569" s="11"/>
      <c r="S1569" s="11" t="str">
        <f t="shared" si="242"/>
        <v>PASS</v>
      </c>
    </row>
    <row r="1570" spans="1:19" x14ac:dyDescent="0.25">
      <c r="A1570" s="30" t="s">
        <v>99</v>
      </c>
      <c r="B1570" s="31">
        <f t="shared" si="234"/>
        <v>45992</v>
      </c>
      <c r="C1570" s="30">
        <f>YEAR(BInputReservoir[[#This Row],[Date]])</f>
        <v>2025</v>
      </c>
      <c r="D1570" s="30">
        <f>MONTH(BInputReservoir[[#This Row],[Date]])</f>
        <v>12</v>
      </c>
      <c r="E1570" s="30">
        <f>IF(I1570&lt;&gt;1,"",DATA_INPUT!O127)</f>
        <v>0</v>
      </c>
      <c r="F1570" s="30">
        <f>STORAGE_BALANCE_ENSEMBLE!CN127</f>
        <v>0</v>
      </c>
      <c r="G1570" s="30">
        <f>STORAGE_BALANCE_ENSEMBLE!CO127</f>
        <v>0</v>
      </c>
      <c r="H1570" s="30">
        <f>STORAGE_BALANCE_ENSEMBLE!CM127</f>
        <v>33286086.120811556</v>
      </c>
      <c r="I1570" s="18">
        <f t="shared" si="233"/>
        <v>1</v>
      </c>
      <c r="J1570" s="8">
        <f t="shared" si="235"/>
        <v>0</v>
      </c>
      <c r="K1570" s="9">
        <f t="shared" si="236"/>
        <v>0</v>
      </c>
      <c r="L1570" s="10">
        <f t="shared" si="237"/>
        <v>0</v>
      </c>
      <c r="M1570" s="10">
        <f>IF(I1570&lt;&gt;1,"",IF(H1570="","",H1570/CONTROL_PANEL!$B$11))</f>
        <v>0.66572172241623107</v>
      </c>
      <c r="N1570" s="9">
        <f t="shared" si="238"/>
        <v>0</v>
      </c>
      <c r="O1570" s="9">
        <f t="shared" si="239"/>
        <v>0</v>
      </c>
      <c r="P1570" s="9">
        <f t="shared" si="240"/>
        <v>0</v>
      </c>
      <c r="Q1570" s="9">
        <f t="shared" si="241"/>
        <v>0</v>
      </c>
      <c r="R1570" s="11"/>
      <c r="S1570" s="11" t="str">
        <f t="shared" si="242"/>
        <v>PASS</v>
      </c>
    </row>
    <row r="1571" spans="1:19" x14ac:dyDescent="0.25">
      <c r="A1571" s="30" t="s">
        <v>99</v>
      </c>
      <c r="B1571" s="31">
        <f t="shared" si="234"/>
        <v>46023</v>
      </c>
      <c r="C1571" s="30">
        <f>YEAR(BInputReservoir[[#This Row],[Date]])</f>
        <v>2026</v>
      </c>
      <c r="D1571" s="30">
        <f>MONTH(BInputReservoir[[#This Row],[Date]])</f>
        <v>1</v>
      </c>
      <c r="E1571" s="30">
        <f>IF(I1571&lt;&gt;1,"",DATA_INPUT!O128)</f>
        <v>0</v>
      </c>
      <c r="F1571" s="30">
        <f>STORAGE_BALANCE_ENSEMBLE!CN128</f>
        <v>0</v>
      </c>
      <c r="G1571" s="30">
        <f>STORAGE_BALANCE_ENSEMBLE!CO128</f>
        <v>0</v>
      </c>
      <c r="H1571" s="30">
        <f>STORAGE_BALANCE_ENSEMBLE!CM128</f>
        <v>48488305.150783569</v>
      </c>
      <c r="I1571" s="18">
        <f t="shared" si="233"/>
        <v>1</v>
      </c>
      <c r="J1571" s="8">
        <f t="shared" si="235"/>
        <v>0</v>
      </c>
      <c r="K1571" s="9">
        <f t="shared" si="236"/>
        <v>0</v>
      </c>
      <c r="L1571" s="10">
        <f t="shared" si="237"/>
        <v>0</v>
      </c>
      <c r="M1571" s="10">
        <f>IF(I1571&lt;&gt;1,"",IF(H1571="","",H1571/CONTROL_PANEL!$B$11))</f>
        <v>0.96976610301567134</v>
      </c>
      <c r="N1571" s="9">
        <f t="shared" si="238"/>
        <v>0</v>
      </c>
      <c r="O1571" s="9">
        <f t="shared" si="239"/>
        <v>0</v>
      </c>
      <c r="P1571" s="9">
        <f t="shared" si="240"/>
        <v>0</v>
      </c>
      <c r="Q1571" s="9">
        <f t="shared" si="241"/>
        <v>0</v>
      </c>
      <c r="R1571" s="11"/>
      <c r="S1571" s="11" t="str">
        <f t="shared" si="242"/>
        <v>PASS</v>
      </c>
    </row>
    <row r="1572" spans="1:19" x14ac:dyDescent="0.25">
      <c r="A1572" s="30" t="s">
        <v>99</v>
      </c>
      <c r="B1572" s="31">
        <f t="shared" si="234"/>
        <v>46054</v>
      </c>
      <c r="C1572" s="30">
        <f>YEAR(BInputReservoir[[#This Row],[Date]])</f>
        <v>2026</v>
      </c>
      <c r="D1572" s="30">
        <f>MONTH(BInputReservoir[[#This Row],[Date]])</f>
        <v>2</v>
      </c>
      <c r="E1572" s="30">
        <f>IF(I1572&lt;&gt;1,"",DATA_INPUT!O129)</f>
        <v>0</v>
      </c>
      <c r="F1572" s="30">
        <f>STORAGE_BALANCE_ENSEMBLE!CN129</f>
        <v>2381490.6729969531</v>
      </c>
      <c r="G1572" s="30">
        <f>STORAGE_BALANCE_ENSEMBLE!CO129</f>
        <v>0</v>
      </c>
      <c r="H1572" s="30">
        <f>STORAGE_BALANCE_ENSEMBLE!CM129</f>
        <v>52381490.672996953</v>
      </c>
      <c r="I1572" s="18">
        <f t="shared" si="233"/>
        <v>1</v>
      </c>
      <c r="J1572" s="8">
        <f t="shared" si="235"/>
        <v>0</v>
      </c>
      <c r="K1572" s="9">
        <f t="shared" si="236"/>
        <v>0</v>
      </c>
      <c r="L1572" s="10">
        <f t="shared" si="237"/>
        <v>0</v>
      </c>
      <c r="M1572" s="10">
        <f>IF(I1572&lt;&gt;1,"",IF(H1572="","",H1572/CONTROL_PANEL!$B$11))</f>
        <v>1.0476298134599391</v>
      </c>
      <c r="N1572" s="9">
        <f t="shared" si="238"/>
        <v>0</v>
      </c>
      <c r="O1572" s="9">
        <f t="shared" si="239"/>
        <v>0</v>
      </c>
      <c r="P1572" s="9">
        <f t="shared" si="240"/>
        <v>1</v>
      </c>
      <c r="Q1572" s="9">
        <f t="shared" si="241"/>
        <v>0</v>
      </c>
      <c r="R1572" s="11"/>
      <c r="S1572" s="11" t="str">
        <f t="shared" si="242"/>
        <v>PASS</v>
      </c>
    </row>
    <row r="1573" spans="1:19" x14ac:dyDescent="0.25">
      <c r="A1573" s="30" t="s">
        <v>99</v>
      </c>
      <c r="B1573" s="31">
        <f t="shared" si="234"/>
        <v>46082</v>
      </c>
      <c r="C1573" s="30">
        <f>YEAR(BInputReservoir[[#This Row],[Date]])</f>
        <v>2026</v>
      </c>
      <c r="D1573" s="30">
        <f>MONTH(BInputReservoir[[#This Row],[Date]])</f>
        <v>3</v>
      </c>
      <c r="E1573" s="30">
        <f>IF(I1573&lt;&gt;1,"",DATA_INPUT!O130)</f>
        <v>0</v>
      </c>
      <c r="F1573" s="30">
        <f>STORAGE_BALANCE_ENSEMBLE!CN130</f>
        <v>593316.7343211174</v>
      </c>
      <c r="G1573" s="30">
        <f>STORAGE_BALANCE_ENSEMBLE!CO130</f>
        <v>0</v>
      </c>
      <c r="H1573" s="30">
        <f>STORAGE_BALANCE_ENSEMBLE!CM130</f>
        <v>50593316.734321117</v>
      </c>
      <c r="I1573" s="18">
        <f t="shared" si="233"/>
        <v>1</v>
      </c>
      <c r="J1573" s="8">
        <f t="shared" si="235"/>
        <v>0</v>
      </c>
      <c r="K1573" s="9">
        <f t="shared" si="236"/>
        <v>0</v>
      </c>
      <c r="L1573" s="10">
        <f t="shared" si="237"/>
        <v>0</v>
      </c>
      <c r="M1573" s="10">
        <f>IF(I1573&lt;&gt;1,"",IF(H1573="","",H1573/CONTROL_PANEL!$B$11))</f>
        <v>1.0118663346864223</v>
      </c>
      <c r="N1573" s="9">
        <f t="shared" si="238"/>
        <v>0</v>
      </c>
      <c r="O1573" s="9">
        <f t="shared" si="239"/>
        <v>0</v>
      </c>
      <c r="P1573" s="9">
        <f t="shared" si="240"/>
        <v>1</v>
      </c>
      <c r="Q1573" s="9">
        <f t="shared" si="241"/>
        <v>0</v>
      </c>
      <c r="R1573" s="11"/>
      <c r="S1573" s="11" t="str">
        <f t="shared" si="242"/>
        <v>PASS</v>
      </c>
    </row>
    <row r="1574" spans="1:19" x14ac:dyDescent="0.25">
      <c r="A1574" s="30" t="s">
        <v>99</v>
      </c>
      <c r="B1574" s="31">
        <f t="shared" si="234"/>
        <v>46113</v>
      </c>
      <c r="C1574" s="30">
        <f>YEAR(BInputReservoir[[#This Row],[Date]])</f>
        <v>2026</v>
      </c>
      <c r="D1574" s="30">
        <f>MONTH(BInputReservoir[[#This Row],[Date]])</f>
        <v>4</v>
      </c>
      <c r="E1574" s="30">
        <f>IF(I1574&lt;&gt;1,"",DATA_INPUT!O131)</f>
        <v>467.70065247339869</v>
      </c>
      <c r="F1574" s="30">
        <f>STORAGE_BALANCE_ENSEMBLE!CN131</f>
        <v>0</v>
      </c>
      <c r="G1574" s="30">
        <f>STORAGE_BALANCE_ENSEMBLE!CO131</f>
        <v>0</v>
      </c>
      <c r="H1574" s="30">
        <f>STORAGE_BALANCE_ENSEMBLE!CM131</f>
        <v>49760233.030239582</v>
      </c>
      <c r="I1574" s="18">
        <f t="shared" si="233"/>
        <v>1</v>
      </c>
      <c r="J1574" s="8">
        <f t="shared" si="235"/>
        <v>467.70065247339869</v>
      </c>
      <c r="K1574" s="9">
        <f t="shared" si="236"/>
        <v>0</v>
      </c>
      <c r="L1574" s="10">
        <f t="shared" si="237"/>
        <v>0</v>
      </c>
      <c r="M1574" s="10">
        <f>IF(I1574&lt;&gt;1,"",IF(H1574="","",H1574/CONTROL_PANEL!$B$11))</f>
        <v>0.99520466060479162</v>
      </c>
      <c r="N1574" s="9">
        <f t="shared" si="238"/>
        <v>0</v>
      </c>
      <c r="O1574" s="9">
        <f t="shared" si="239"/>
        <v>0</v>
      </c>
      <c r="P1574" s="9">
        <f t="shared" si="240"/>
        <v>0</v>
      </c>
      <c r="Q1574" s="9">
        <f t="shared" si="241"/>
        <v>0</v>
      </c>
      <c r="R1574" s="11"/>
      <c r="S1574" s="11" t="str">
        <f t="shared" si="242"/>
        <v>PASS</v>
      </c>
    </row>
    <row r="1575" spans="1:19" x14ac:dyDescent="0.25">
      <c r="A1575" s="30" t="s">
        <v>99</v>
      </c>
      <c r="B1575" s="31">
        <f t="shared" si="234"/>
        <v>46143</v>
      </c>
      <c r="C1575" s="30">
        <f>YEAR(BInputReservoir[[#This Row],[Date]])</f>
        <v>2026</v>
      </c>
      <c r="D1575" s="30">
        <f>MONTH(BInputReservoir[[#This Row],[Date]])</f>
        <v>5</v>
      </c>
      <c r="E1575" s="30">
        <f>IF(I1575&lt;&gt;1,"",DATA_INPUT!O132)</f>
        <v>288025.8810089</v>
      </c>
      <c r="F1575" s="30">
        <f>STORAGE_BALANCE_ENSEMBLE!CN132</f>
        <v>0</v>
      </c>
      <c r="G1575" s="30">
        <f>STORAGE_BALANCE_ENSEMBLE!CO132</f>
        <v>0</v>
      </c>
      <c r="H1575" s="30">
        <f>STORAGE_BALANCE_ENSEMBLE!CM132</f>
        <v>48998108.382117406</v>
      </c>
      <c r="I1575" s="18">
        <f t="shared" si="233"/>
        <v>1</v>
      </c>
      <c r="J1575" s="8">
        <f t="shared" si="235"/>
        <v>288025.8810089</v>
      </c>
      <c r="K1575" s="9">
        <f t="shared" si="236"/>
        <v>0</v>
      </c>
      <c r="L1575" s="10">
        <f t="shared" si="237"/>
        <v>0</v>
      </c>
      <c r="M1575" s="10">
        <f>IF(I1575&lt;&gt;1,"",IF(H1575="","",H1575/CONTROL_PANEL!$B$11))</f>
        <v>0.97996216764234811</v>
      </c>
      <c r="N1575" s="9">
        <f t="shared" si="238"/>
        <v>0</v>
      </c>
      <c r="O1575" s="9">
        <f t="shared" si="239"/>
        <v>0</v>
      </c>
      <c r="P1575" s="9">
        <f t="shared" si="240"/>
        <v>0</v>
      </c>
      <c r="Q1575" s="9">
        <f t="shared" si="241"/>
        <v>0</v>
      </c>
      <c r="R1575" s="11"/>
      <c r="S1575" s="11" t="str">
        <f t="shared" si="242"/>
        <v>PASS</v>
      </c>
    </row>
    <row r="1576" spans="1:19" x14ac:dyDescent="0.25">
      <c r="A1576" s="30" t="s">
        <v>99</v>
      </c>
      <c r="B1576" s="31">
        <f t="shared" si="234"/>
        <v>46174</v>
      </c>
      <c r="C1576" s="30">
        <f>YEAR(BInputReservoir[[#This Row],[Date]])</f>
        <v>2026</v>
      </c>
      <c r="D1576" s="30">
        <f>MONTH(BInputReservoir[[#This Row],[Date]])</f>
        <v>6</v>
      </c>
      <c r="E1576" s="30" t="str">
        <f>IF(I1576&lt;&gt;1,"",DATA_INPUT!O133)</f>
        <v/>
      </c>
      <c r="F1576" s="30" t="str">
        <f>STORAGE_BALANCE_ENSEMBLE!CN133</f>
        <v/>
      </c>
      <c r="G1576" s="30" t="str">
        <f>STORAGE_BALANCE_ENSEMBLE!CO133</f>
        <v/>
      </c>
      <c r="H1576" s="30" t="str">
        <f>STORAGE_BALANCE_ENSEMBLE!CM133</f>
        <v/>
      </c>
      <c r="I1576" s="18" t="str">
        <f t="shared" si="233"/>
        <v/>
      </c>
      <c r="J1576" s="8" t="str">
        <f t="shared" si="235"/>
        <v/>
      </c>
      <c r="K1576" s="9" t="str">
        <f t="shared" si="236"/>
        <v/>
      </c>
      <c r="L1576" s="10" t="str">
        <f t="shared" si="237"/>
        <v/>
      </c>
      <c r="M1576" s="10" t="str">
        <f>IF(I1576&lt;&gt;1,"",IF(H1576="","",H1576/CONTROL_PANEL!$B$11))</f>
        <v/>
      </c>
      <c r="N1576" s="9" t="str">
        <f t="shared" si="238"/>
        <v/>
      </c>
      <c r="O1576" s="9" t="str">
        <f t="shared" si="239"/>
        <v/>
      </c>
      <c r="P1576" s="9" t="str">
        <f t="shared" si="240"/>
        <v/>
      </c>
      <c r="Q1576" s="9" t="str">
        <f t="shared" si="241"/>
        <v/>
      </c>
      <c r="R1576" s="11"/>
      <c r="S1576" s="11" t="str">
        <f t="shared" si="242"/>
        <v>PASS</v>
      </c>
    </row>
    <row r="1577" spans="1:19" x14ac:dyDescent="0.25">
      <c r="A1577" s="30" t="s">
        <v>99</v>
      </c>
      <c r="B1577" s="31">
        <f t="shared" si="234"/>
        <v>46204</v>
      </c>
      <c r="C1577" s="30">
        <f>YEAR(BInputReservoir[[#This Row],[Date]])</f>
        <v>2026</v>
      </c>
      <c r="D1577" s="30">
        <f>MONTH(BInputReservoir[[#This Row],[Date]])</f>
        <v>7</v>
      </c>
      <c r="E1577" s="30" t="str">
        <f>IF(I1577&lt;&gt;1,"",DATA_INPUT!O134)</f>
        <v/>
      </c>
      <c r="F1577" s="30" t="str">
        <f>STORAGE_BALANCE_ENSEMBLE!CN134</f>
        <v/>
      </c>
      <c r="G1577" s="30" t="str">
        <f>STORAGE_BALANCE_ENSEMBLE!CO134</f>
        <v/>
      </c>
      <c r="H1577" s="30" t="str">
        <f>STORAGE_BALANCE_ENSEMBLE!CM134</f>
        <v/>
      </c>
      <c r="I1577" s="18" t="str">
        <f t="shared" ref="I1577:I1640" si="243">I133</f>
        <v/>
      </c>
      <c r="J1577" s="8" t="str">
        <f t="shared" si="235"/>
        <v/>
      </c>
      <c r="K1577" s="9" t="str">
        <f t="shared" si="236"/>
        <v/>
      </c>
      <c r="L1577" s="10" t="str">
        <f t="shared" si="237"/>
        <v/>
      </c>
      <c r="M1577" s="10" t="str">
        <f>IF(I1577&lt;&gt;1,"",IF(H1577="","",H1577/CONTROL_PANEL!$B$11))</f>
        <v/>
      </c>
      <c r="N1577" s="9" t="str">
        <f t="shared" si="238"/>
        <v/>
      </c>
      <c r="O1577" s="9" t="str">
        <f t="shared" si="239"/>
        <v/>
      </c>
      <c r="P1577" s="9" t="str">
        <f t="shared" si="240"/>
        <v/>
      </c>
      <c r="Q1577" s="9" t="str">
        <f t="shared" si="241"/>
        <v/>
      </c>
      <c r="R1577" s="11"/>
      <c r="S1577" s="11" t="str">
        <f t="shared" si="242"/>
        <v>PASS</v>
      </c>
    </row>
    <row r="1578" spans="1:19" x14ac:dyDescent="0.25">
      <c r="A1578" s="30" t="s">
        <v>99</v>
      </c>
      <c r="B1578" s="31">
        <f t="shared" si="234"/>
        <v>46235</v>
      </c>
      <c r="C1578" s="30">
        <f>YEAR(BInputReservoir[[#This Row],[Date]])</f>
        <v>2026</v>
      </c>
      <c r="D1578" s="30">
        <f>MONTH(BInputReservoir[[#This Row],[Date]])</f>
        <v>8</v>
      </c>
      <c r="E1578" s="30" t="str">
        <f>IF(I1578&lt;&gt;1,"",DATA_INPUT!O135)</f>
        <v/>
      </c>
      <c r="F1578" s="30" t="str">
        <f>STORAGE_BALANCE_ENSEMBLE!CN135</f>
        <v/>
      </c>
      <c r="G1578" s="30" t="str">
        <f>STORAGE_BALANCE_ENSEMBLE!CO135</f>
        <v/>
      </c>
      <c r="H1578" s="30" t="str">
        <f>STORAGE_BALANCE_ENSEMBLE!CM135</f>
        <v/>
      </c>
      <c r="I1578" s="18" t="str">
        <f t="shared" si="243"/>
        <v/>
      </c>
      <c r="J1578" s="8" t="str">
        <f t="shared" si="235"/>
        <v/>
      </c>
      <c r="K1578" s="9" t="str">
        <f t="shared" si="236"/>
        <v/>
      </c>
      <c r="L1578" s="10" t="str">
        <f t="shared" si="237"/>
        <v/>
      </c>
      <c r="M1578" s="10" t="str">
        <f>IF(I1578&lt;&gt;1,"",IF(H1578="","",H1578/CONTROL_PANEL!$B$11))</f>
        <v/>
      </c>
      <c r="N1578" s="9" t="str">
        <f t="shared" si="238"/>
        <v/>
      </c>
      <c r="O1578" s="9" t="str">
        <f t="shared" si="239"/>
        <v/>
      </c>
      <c r="P1578" s="9" t="str">
        <f t="shared" si="240"/>
        <v/>
      </c>
      <c r="Q1578" s="9" t="str">
        <f t="shared" si="241"/>
        <v/>
      </c>
      <c r="R1578" s="11"/>
      <c r="S1578" s="11" t="str">
        <f t="shared" si="242"/>
        <v>PASS</v>
      </c>
    </row>
    <row r="1579" spans="1:19" x14ac:dyDescent="0.25">
      <c r="A1579" s="30" t="s">
        <v>99</v>
      </c>
      <c r="B1579" s="31">
        <f t="shared" si="234"/>
        <v>46266</v>
      </c>
      <c r="C1579" s="30">
        <f>YEAR(BInputReservoir[[#This Row],[Date]])</f>
        <v>2026</v>
      </c>
      <c r="D1579" s="30">
        <f>MONTH(BInputReservoir[[#This Row],[Date]])</f>
        <v>9</v>
      </c>
      <c r="E1579" s="30" t="str">
        <f>IF(I1579&lt;&gt;1,"",DATA_INPUT!O136)</f>
        <v/>
      </c>
      <c r="F1579" s="30" t="str">
        <f>STORAGE_BALANCE_ENSEMBLE!CN136</f>
        <v/>
      </c>
      <c r="G1579" s="30" t="str">
        <f>STORAGE_BALANCE_ENSEMBLE!CO136</f>
        <v/>
      </c>
      <c r="H1579" s="30" t="str">
        <f>STORAGE_BALANCE_ENSEMBLE!CM136</f>
        <v/>
      </c>
      <c r="I1579" s="18" t="str">
        <f t="shared" si="243"/>
        <v/>
      </c>
      <c r="J1579" s="8" t="str">
        <f t="shared" si="235"/>
        <v/>
      </c>
      <c r="K1579" s="9" t="str">
        <f t="shared" si="236"/>
        <v/>
      </c>
      <c r="L1579" s="10" t="str">
        <f t="shared" si="237"/>
        <v/>
      </c>
      <c r="M1579" s="10" t="str">
        <f>IF(I1579&lt;&gt;1,"",IF(H1579="","",H1579/CONTROL_PANEL!$B$11))</f>
        <v/>
      </c>
      <c r="N1579" s="9" t="str">
        <f t="shared" si="238"/>
        <v/>
      </c>
      <c r="O1579" s="9" t="str">
        <f t="shared" si="239"/>
        <v/>
      </c>
      <c r="P1579" s="9" t="str">
        <f t="shared" si="240"/>
        <v/>
      </c>
      <c r="Q1579" s="9" t="str">
        <f t="shared" si="241"/>
        <v/>
      </c>
      <c r="R1579" s="11"/>
      <c r="S1579" s="11" t="str">
        <f t="shared" si="242"/>
        <v>PASS</v>
      </c>
    </row>
    <row r="1580" spans="1:19" x14ac:dyDescent="0.25">
      <c r="A1580" s="30" t="s">
        <v>99</v>
      </c>
      <c r="B1580" s="31">
        <f t="shared" si="234"/>
        <v>46296</v>
      </c>
      <c r="C1580" s="30">
        <f>YEAR(BInputReservoir[[#This Row],[Date]])</f>
        <v>2026</v>
      </c>
      <c r="D1580" s="30">
        <f>MONTH(BInputReservoir[[#This Row],[Date]])</f>
        <v>10</v>
      </c>
      <c r="E1580" s="30" t="str">
        <f>IF(I1580&lt;&gt;1,"",DATA_INPUT!O137)</f>
        <v/>
      </c>
      <c r="F1580" s="30" t="str">
        <f>STORAGE_BALANCE_ENSEMBLE!CN137</f>
        <v/>
      </c>
      <c r="G1580" s="30" t="str">
        <f>STORAGE_BALANCE_ENSEMBLE!CO137</f>
        <v/>
      </c>
      <c r="H1580" s="30" t="str">
        <f>STORAGE_BALANCE_ENSEMBLE!CM137</f>
        <v/>
      </c>
      <c r="I1580" s="18" t="str">
        <f t="shared" si="243"/>
        <v/>
      </c>
      <c r="J1580" s="8" t="str">
        <f t="shared" si="235"/>
        <v/>
      </c>
      <c r="K1580" s="9" t="str">
        <f t="shared" si="236"/>
        <v/>
      </c>
      <c r="L1580" s="10" t="str">
        <f t="shared" si="237"/>
        <v/>
      </c>
      <c r="M1580" s="10" t="str">
        <f>IF(I1580&lt;&gt;1,"",IF(H1580="","",H1580/CONTROL_PANEL!$B$11))</f>
        <v/>
      </c>
      <c r="N1580" s="9" t="str">
        <f t="shared" si="238"/>
        <v/>
      </c>
      <c r="O1580" s="9" t="str">
        <f t="shared" si="239"/>
        <v/>
      </c>
      <c r="P1580" s="9" t="str">
        <f t="shared" si="240"/>
        <v/>
      </c>
      <c r="Q1580" s="9" t="str">
        <f t="shared" si="241"/>
        <v/>
      </c>
      <c r="R1580" s="11"/>
      <c r="S1580" s="11" t="str">
        <f t="shared" si="242"/>
        <v>PASS</v>
      </c>
    </row>
    <row r="1581" spans="1:19" x14ac:dyDescent="0.25">
      <c r="A1581" s="30" t="s">
        <v>99</v>
      </c>
      <c r="B1581" s="31">
        <f t="shared" si="234"/>
        <v>46327</v>
      </c>
      <c r="C1581" s="30">
        <f>YEAR(BInputReservoir[[#This Row],[Date]])</f>
        <v>2026</v>
      </c>
      <c r="D1581" s="30">
        <f>MONTH(BInputReservoir[[#This Row],[Date]])</f>
        <v>11</v>
      </c>
      <c r="E1581" s="30" t="str">
        <f>IF(I1581&lt;&gt;1,"",DATA_INPUT!O138)</f>
        <v/>
      </c>
      <c r="F1581" s="30" t="str">
        <f>STORAGE_BALANCE_ENSEMBLE!CN138</f>
        <v/>
      </c>
      <c r="G1581" s="30" t="str">
        <f>STORAGE_BALANCE_ENSEMBLE!CO138</f>
        <v/>
      </c>
      <c r="H1581" s="30" t="str">
        <f>STORAGE_BALANCE_ENSEMBLE!CM138</f>
        <v/>
      </c>
      <c r="I1581" s="18" t="str">
        <f t="shared" si="243"/>
        <v/>
      </c>
      <c r="J1581" s="8" t="str">
        <f t="shared" si="235"/>
        <v/>
      </c>
      <c r="K1581" s="9" t="str">
        <f t="shared" si="236"/>
        <v/>
      </c>
      <c r="L1581" s="10" t="str">
        <f t="shared" si="237"/>
        <v/>
      </c>
      <c r="M1581" s="10" t="str">
        <f>IF(I1581&lt;&gt;1,"",IF(H1581="","",H1581/CONTROL_PANEL!$B$11))</f>
        <v/>
      </c>
      <c r="N1581" s="9" t="str">
        <f t="shared" si="238"/>
        <v/>
      </c>
      <c r="O1581" s="9" t="str">
        <f t="shared" si="239"/>
        <v/>
      </c>
      <c r="P1581" s="9" t="str">
        <f t="shared" si="240"/>
        <v/>
      </c>
      <c r="Q1581" s="9" t="str">
        <f t="shared" si="241"/>
        <v/>
      </c>
      <c r="R1581" s="11"/>
      <c r="S1581" s="11" t="str">
        <f t="shared" si="242"/>
        <v>PASS</v>
      </c>
    </row>
    <row r="1582" spans="1:19" x14ac:dyDescent="0.25">
      <c r="A1582" s="30" t="s">
        <v>99</v>
      </c>
      <c r="B1582" s="31">
        <f t="shared" si="234"/>
        <v>46357</v>
      </c>
      <c r="C1582" s="30">
        <f>YEAR(BInputReservoir[[#This Row],[Date]])</f>
        <v>2026</v>
      </c>
      <c r="D1582" s="30">
        <f>MONTH(BInputReservoir[[#This Row],[Date]])</f>
        <v>12</v>
      </c>
      <c r="E1582" s="30" t="str">
        <f>IF(I1582&lt;&gt;1,"",DATA_INPUT!O139)</f>
        <v/>
      </c>
      <c r="F1582" s="30" t="str">
        <f>STORAGE_BALANCE_ENSEMBLE!CN139</f>
        <v/>
      </c>
      <c r="G1582" s="30" t="str">
        <f>STORAGE_BALANCE_ENSEMBLE!CO139</f>
        <v/>
      </c>
      <c r="H1582" s="30" t="str">
        <f>STORAGE_BALANCE_ENSEMBLE!CM139</f>
        <v/>
      </c>
      <c r="I1582" s="18" t="str">
        <f t="shared" si="243"/>
        <v/>
      </c>
      <c r="J1582" s="8" t="str">
        <f t="shared" si="235"/>
        <v/>
      </c>
      <c r="K1582" s="9" t="str">
        <f t="shared" si="236"/>
        <v/>
      </c>
      <c r="L1582" s="10" t="str">
        <f t="shared" si="237"/>
        <v/>
      </c>
      <c r="M1582" s="10" t="str">
        <f>IF(I1582&lt;&gt;1,"",IF(H1582="","",H1582/CONTROL_PANEL!$B$11))</f>
        <v/>
      </c>
      <c r="N1582" s="9" t="str">
        <f t="shared" si="238"/>
        <v/>
      </c>
      <c r="O1582" s="9" t="str">
        <f t="shared" si="239"/>
        <v/>
      </c>
      <c r="P1582" s="9" t="str">
        <f t="shared" si="240"/>
        <v/>
      </c>
      <c r="Q1582" s="9" t="str">
        <f t="shared" si="241"/>
        <v/>
      </c>
      <c r="R1582" s="11"/>
      <c r="S1582" s="11" t="str">
        <f t="shared" si="242"/>
        <v>PASS</v>
      </c>
    </row>
    <row r="1583" spans="1:19" x14ac:dyDescent="0.25">
      <c r="A1583" s="30" t="s">
        <v>99</v>
      </c>
      <c r="B1583" s="31">
        <f t="shared" si="234"/>
        <v>46388</v>
      </c>
      <c r="C1583" s="30">
        <f>YEAR(BInputReservoir[[#This Row],[Date]])</f>
        <v>2027</v>
      </c>
      <c r="D1583" s="30">
        <f>MONTH(BInputReservoir[[#This Row],[Date]])</f>
        <v>1</v>
      </c>
      <c r="E1583" s="30" t="str">
        <f>IF(I1583&lt;&gt;1,"",DATA_INPUT!O140)</f>
        <v/>
      </c>
      <c r="F1583" s="30" t="str">
        <f>STORAGE_BALANCE_ENSEMBLE!CN140</f>
        <v/>
      </c>
      <c r="G1583" s="30" t="str">
        <f>STORAGE_BALANCE_ENSEMBLE!CO140</f>
        <v/>
      </c>
      <c r="H1583" s="30" t="str">
        <f>STORAGE_BALANCE_ENSEMBLE!CM140</f>
        <v/>
      </c>
      <c r="I1583" s="18" t="str">
        <f t="shared" si="243"/>
        <v/>
      </c>
      <c r="J1583" s="8" t="str">
        <f t="shared" si="235"/>
        <v/>
      </c>
      <c r="K1583" s="9" t="str">
        <f t="shared" si="236"/>
        <v/>
      </c>
      <c r="L1583" s="10" t="str">
        <f t="shared" si="237"/>
        <v/>
      </c>
      <c r="M1583" s="10" t="str">
        <f>IF(I1583&lt;&gt;1,"",IF(H1583="","",H1583/CONTROL_PANEL!$B$11))</f>
        <v/>
      </c>
      <c r="N1583" s="9" t="str">
        <f t="shared" si="238"/>
        <v/>
      </c>
      <c r="O1583" s="9" t="str">
        <f t="shared" si="239"/>
        <v/>
      </c>
      <c r="P1583" s="9" t="str">
        <f t="shared" si="240"/>
        <v/>
      </c>
      <c r="Q1583" s="9" t="str">
        <f t="shared" si="241"/>
        <v/>
      </c>
      <c r="R1583" s="11"/>
      <c r="S1583" s="11" t="str">
        <f t="shared" si="242"/>
        <v>PASS</v>
      </c>
    </row>
    <row r="1584" spans="1:19" x14ac:dyDescent="0.25">
      <c r="A1584" s="30" t="s">
        <v>99</v>
      </c>
      <c r="B1584" s="31">
        <f t="shared" si="234"/>
        <v>46419</v>
      </c>
      <c r="C1584" s="30">
        <f>YEAR(BInputReservoir[[#This Row],[Date]])</f>
        <v>2027</v>
      </c>
      <c r="D1584" s="30">
        <f>MONTH(BInputReservoir[[#This Row],[Date]])</f>
        <v>2</v>
      </c>
      <c r="E1584" s="30" t="str">
        <f>IF(I1584&lt;&gt;1,"",DATA_INPUT!O141)</f>
        <v/>
      </c>
      <c r="F1584" s="30" t="str">
        <f>STORAGE_BALANCE_ENSEMBLE!CN141</f>
        <v/>
      </c>
      <c r="G1584" s="30" t="str">
        <f>STORAGE_BALANCE_ENSEMBLE!CO141</f>
        <v/>
      </c>
      <c r="H1584" s="30" t="str">
        <f>STORAGE_BALANCE_ENSEMBLE!CM141</f>
        <v/>
      </c>
      <c r="I1584" s="18" t="str">
        <f t="shared" si="243"/>
        <v/>
      </c>
      <c r="J1584" s="8" t="str">
        <f t="shared" si="235"/>
        <v/>
      </c>
      <c r="K1584" s="9" t="str">
        <f t="shared" si="236"/>
        <v/>
      </c>
      <c r="L1584" s="10" t="str">
        <f t="shared" si="237"/>
        <v/>
      </c>
      <c r="M1584" s="10" t="str">
        <f>IF(I1584&lt;&gt;1,"",IF(H1584="","",H1584/CONTROL_PANEL!$B$11))</f>
        <v/>
      </c>
      <c r="N1584" s="9" t="str">
        <f t="shared" si="238"/>
        <v/>
      </c>
      <c r="O1584" s="9" t="str">
        <f t="shared" si="239"/>
        <v/>
      </c>
      <c r="P1584" s="9" t="str">
        <f t="shared" si="240"/>
        <v/>
      </c>
      <c r="Q1584" s="9" t="str">
        <f t="shared" si="241"/>
        <v/>
      </c>
      <c r="R1584" s="11"/>
      <c r="S1584" s="11" t="str">
        <f t="shared" si="242"/>
        <v>PASS</v>
      </c>
    </row>
    <row r="1585" spans="1:19" x14ac:dyDescent="0.25">
      <c r="A1585" s="30" t="s">
        <v>99</v>
      </c>
      <c r="B1585" s="31">
        <f t="shared" si="234"/>
        <v>46447</v>
      </c>
      <c r="C1585" s="30">
        <f>YEAR(BInputReservoir[[#This Row],[Date]])</f>
        <v>2027</v>
      </c>
      <c r="D1585" s="30">
        <f>MONTH(BInputReservoir[[#This Row],[Date]])</f>
        <v>3</v>
      </c>
      <c r="E1585" s="30" t="str">
        <f>IF(I1585&lt;&gt;1,"",DATA_INPUT!O142)</f>
        <v/>
      </c>
      <c r="F1585" s="30" t="str">
        <f>STORAGE_BALANCE_ENSEMBLE!CN142</f>
        <v/>
      </c>
      <c r="G1585" s="30" t="str">
        <f>STORAGE_BALANCE_ENSEMBLE!CO142</f>
        <v/>
      </c>
      <c r="H1585" s="30" t="str">
        <f>STORAGE_BALANCE_ENSEMBLE!CM142</f>
        <v/>
      </c>
      <c r="I1585" s="18" t="str">
        <f t="shared" si="243"/>
        <v/>
      </c>
      <c r="J1585" s="8" t="str">
        <f t="shared" si="235"/>
        <v/>
      </c>
      <c r="K1585" s="9" t="str">
        <f t="shared" si="236"/>
        <v/>
      </c>
      <c r="L1585" s="10" t="str">
        <f t="shared" si="237"/>
        <v/>
      </c>
      <c r="M1585" s="10" t="str">
        <f>IF(I1585&lt;&gt;1,"",IF(H1585="","",H1585/CONTROL_PANEL!$B$11))</f>
        <v/>
      </c>
      <c r="N1585" s="9" t="str">
        <f t="shared" si="238"/>
        <v/>
      </c>
      <c r="O1585" s="9" t="str">
        <f t="shared" si="239"/>
        <v/>
      </c>
      <c r="P1585" s="9" t="str">
        <f t="shared" si="240"/>
        <v/>
      </c>
      <c r="Q1585" s="9" t="str">
        <f t="shared" si="241"/>
        <v/>
      </c>
      <c r="R1585" s="11"/>
      <c r="S1585" s="11" t="str">
        <f t="shared" si="242"/>
        <v>PASS</v>
      </c>
    </row>
    <row r="1586" spans="1:19" x14ac:dyDescent="0.25">
      <c r="A1586" s="30" t="s">
        <v>99</v>
      </c>
      <c r="B1586" s="31">
        <f t="shared" si="234"/>
        <v>46478</v>
      </c>
      <c r="C1586" s="30">
        <f>YEAR(BInputReservoir[[#This Row],[Date]])</f>
        <v>2027</v>
      </c>
      <c r="D1586" s="30">
        <f>MONTH(BInputReservoir[[#This Row],[Date]])</f>
        <v>4</v>
      </c>
      <c r="E1586" s="30" t="str">
        <f>IF(I1586&lt;&gt;1,"",DATA_INPUT!O143)</f>
        <v/>
      </c>
      <c r="F1586" s="30" t="str">
        <f>STORAGE_BALANCE_ENSEMBLE!CN143</f>
        <v/>
      </c>
      <c r="G1586" s="30" t="str">
        <f>STORAGE_BALANCE_ENSEMBLE!CO143</f>
        <v/>
      </c>
      <c r="H1586" s="30" t="str">
        <f>STORAGE_BALANCE_ENSEMBLE!CM143</f>
        <v/>
      </c>
      <c r="I1586" s="18" t="str">
        <f t="shared" si="243"/>
        <v/>
      </c>
      <c r="J1586" s="8" t="str">
        <f t="shared" si="235"/>
        <v/>
      </c>
      <c r="K1586" s="9" t="str">
        <f t="shared" si="236"/>
        <v/>
      </c>
      <c r="L1586" s="10" t="str">
        <f t="shared" si="237"/>
        <v/>
      </c>
      <c r="M1586" s="10" t="str">
        <f>IF(I1586&lt;&gt;1,"",IF(H1586="","",H1586/CONTROL_PANEL!$B$11))</f>
        <v/>
      </c>
      <c r="N1586" s="9" t="str">
        <f t="shared" si="238"/>
        <v/>
      </c>
      <c r="O1586" s="9" t="str">
        <f t="shared" si="239"/>
        <v/>
      </c>
      <c r="P1586" s="9" t="str">
        <f t="shared" si="240"/>
        <v/>
      </c>
      <c r="Q1586" s="9" t="str">
        <f t="shared" si="241"/>
        <v/>
      </c>
      <c r="R1586" s="11"/>
      <c r="S1586" s="11" t="str">
        <f t="shared" si="242"/>
        <v>PASS</v>
      </c>
    </row>
    <row r="1587" spans="1:19" x14ac:dyDescent="0.25">
      <c r="A1587" s="30" t="s">
        <v>99</v>
      </c>
      <c r="B1587" s="31">
        <f t="shared" si="234"/>
        <v>46508</v>
      </c>
      <c r="C1587" s="30">
        <f>YEAR(BInputReservoir[[#This Row],[Date]])</f>
        <v>2027</v>
      </c>
      <c r="D1587" s="30">
        <f>MONTH(BInputReservoir[[#This Row],[Date]])</f>
        <v>5</v>
      </c>
      <c r="E1587" s="30" t="str">
        <f>IF(I1587&lt;&gt;1,"",DATA_INPUT!O144)</f>
        <v/>
      </c>
      <c r="F1587" s="30" t="str">
        <f>STORAGE_BALANCE_ENSEMBLE!CN144</f>
        <v/>
      </c>
      <c r="G1587" s="30" t="str">
        <f>STORAGE_BALANCE_ENSEMBLE!CO144</f>
        <v/>
      </c>
      <c r="H1587" s="30" t="str">
        <f>STORAGE_BALANCE_ENSEMBLE!CM144</f>
        <v/>
      </c>
      <c r="I1587" s="18" t="str">
        <f t="shared" si="243"/>
        <v/>
      </c>
      <c r="J1587" s="8" t="str">
        <f t="shared" si="235"/>
        <v/>
      </c>
      <c r="K1587" s="9" t="str">
        <f t="shared" si="236"/>
        <v/>
      </c>
      <c r="L1587" s="10" t="str">
        <f t="shared" si="237"/>
        <v/>
      </c>
      <c r="M1587" s="10" t="str">
        <f>IF(I1587&lt;&gt;1,"",IF(H1587="","",H1587/CONTROL_PANEL!$B$11))</f>
        <v/>
      </c>
      <c r="N1587" s="9" t="str">
        <f t="shared" si="238"/>
        <v/>
      </c>
      <c r="O1587" s="9" t="str">
        <f t="shared" si="239"/>
        <v/>
      </c>
      <c r="P1587" s="9" t="str">
        <f t="shared" si="240"/>
        <v/>
      </c>
      <c r="Q1587" s="9" t="str">
        <f t="shared" si="241"/>
        <v/>
      </c>
      <c r="R1587" s="11"/>
      <c r="S1587" s="11" t="str">
        <f t="shared" si="242"/>
        <v>PASS</v>
      </c>
    </row>
    <row r="1588" spans="1:19" x14ac:dyDescent="0.25">
      <c r="A1588" s="30" t="s">
        <v>99</v>
      </c>
      <c r="B1588" s="31">
        <f t="shared" si="234"/>
        <v>46539</v>
      </c>
      <c r="C1588" s="30">
        <f>YEAR(BInputReservoir[[#This Row],[Date]])</f>
        <v>2027</v>
      </c>
      <c r="D1588" s="30">
        <f>MONTH(BInputReservoir[[#This Row],[Date]])</f>
        <v>6</v>
      </c>
      <c r="E1588" s="30" t="str">
        <f>IF(I1588&lt;&gt;1,"",DATA_INPUT!O145)</f>
        <v/>
      </c>
      <c r="F1588" s="30" t="str">
        <f>STORAGE_BALANCE_ENSEMBLE!CN145</f>
        <v/>
      </c>
      <c r="G1588" s="30" t="str">
        <f>STORAGE_BALANCE_ENSEMBLE!CO145</f>
        <v/>
      </c>
      <c r="H1588" s="30" t="str">
        <f>STORAGE_BALANCE_ENSEMBLE!CM145</f>
        <v/>
      </c>
      <c r="I1588" s="18" t="str">
        <f t="shared" si="243"/>
        <v/>
      </c>
      <c r="J1588" s="8" t="str">
        <f t="shared" si="235"/>
        <v/>
      </c>
      <c r="K1588" s="9" t="str">
        <f t="shared" si="236"/>
        <v/>
      </c>
      <c r="L1588" s="10" t="str">
        <f t="shared" si="237"/>
        <v/>
      </c>
      <c r="M1588" s="10" t="str">
        <f>IF(I1588&lt;&gt;1,"",IF(H1588="","",H1588/CONTROL_PANEL!$B$11))</f>
        <v/>
      </c>
      <c r="N1588" s="9" t="str">
        <f t="shared" si="238"/>
        <v/>
      </c>
      <c r="O1588" s="9" t="str">
        <f t="shared" si="239"/>
        <v/>
      </c>
      <c r="P1588" s="9" t="str">
        <f t="shared" si="240"/>
        <v/>
      </c>
      <c r="Q1588" s="9" t="str">
        <f t="shared" si="241"/>
        <v/>
      </c>
      <c r="R1588" s="11"/>
      <c r="S1588" s="11" t="str">
        <f t="shared" si="242"/>
        <v>PASS</v>
      </c>
    </row>
    <row r="1589" spans="1:19" x14ac:dyDescent="0.25">
      <c r="A1589" s="30" t="s">
        <v>99</v>
      </c>
      <c r="B1589" s="31">
        <f t="shared" si="234"/>
        <v>46569</v>
      </c>
      <c r="C1589" s="30">
        <f>YEAR(BInputReservoir[[#This Row],[Date]])</f>
        <v>2027</v>
      </c>
      <c r="D1589" s="30">
        <f>MONTH(BInputReservoir[[#This Row],[Date]])</f>
        <v>7</v>
      </c>
      <c r="E1589" s="30" t="str">
        <f>IF(I1589&lt;&gt;1,"",DATA_INPUT!O146)</f>
        <v/>
      </c>
      <c r="F1589" s="30" t="str">
        <f>STORAGE_BALANCE_ENSEMBLE!CN146</f>
        <v/>
      </c>
      <c r="G1589" s="30" t="str">
        <f>STORAGE_BALANCE_ENSEMBLE!CO146</f>
        <v/>
      </c>
      <c r="H1589" s="30" t="str">
        <f>STORAGE_BALANCE_ENSEMBLE!CM146</f>
        <v/>
      </c>
      <c r="I1589" s="18" t="str">
        <f t="shared" si="243"/>
        <v/>
      </c>
      <c r="J1589" s="8" t="str">
        <f t="shared" si="235"/>
        <v/>
      </c>
      <c r="K1589" s="9" t="str">
        <f t="shared" si="236"/>
        <v/>
      </c>
      <c r="L1589" s="10" t="str">
        <f t="shared" si="237"/>
        <v/>
      </c>
      <c r="M1589" s="10" t="str">
        <f>IF(I1589&lt;&gt;1,"",IF(H1589="","",H1589/CONTROL_PANEL!$B$11))</f>
        <v/>
      </c>
      <c r="N1589" s="9" t="str">
        <f t="shared" si="238"/>
        <v/>
      </c>
      <c r="O1589" s="9" t="str">
        <f t="shared" si="239"/>
        <v/>
      </c>
      <c r="P1589" s="9" t="str">
        <f t="shared" si="240"/>
        <v/>
      </c>
      <c r="Q1589" s="9" t="str">
        <f t="shared" si="241"/>
        <v/>
      </c>
      <c r="R1589" s="11"/>
      <c r="S1589" s="11" t="str">
        <f t="shared" si="242"/>
        <v>PASS</v>
      </c>
    </row>
    <row r="1590" spans="1:19" x14ac:dyDescent="0.25">
      <c r="A1590" s="30" t="s">
        <v>99</v>
      </c>
      <c r="B1590" s="31">
        <f t="shared" si="234"/>
        <v>46600</v>
      </c>
      <c r="C1590" s="30">
        <f>YEAR(BInputReservoir[[#This Row],[Date]])</f>
        <v>2027</v>
      </c>
      <c r="D1590" s="30">
        <f>MONTH(BInputReservoir[[#This Row],[Date]])</f>
        <v>8</v>
      </c>
      <c r="E1590" s="30"/>
      <c r="F1590" s="30" t="str">
        <f>STORAGE_BALANCE_ENSEMBLE!CN147</f>
        <v/>
      </c>
      <c r="G1590" s="30" t="str">
        <f>STORAGE_BALANCE_ENSEMBLE!CO147</f>
        <v/>
      </c>
      <c r="H1590" s="30"/>
      <c r="I1590" s="18" t="str">
        <f t="shared" si="243"/>
        <v/>
      </c>
      <c r="J1590" s="8" t="str">
        <f t="shared" si="235"/>
        <v/>
      </c>
      <c r="K1590" s="9" t="str">
        <f t="shared" si="236"/>
        <v/>
      </c>
      <c r="L1590" s="10" t="str">
        <f t="shared" si="237"/>
        <v/>
      </c>
      <c r="M1590" s="10" t="str">
        <f>IF(I1590&lt;&gt;1,"",IF(H1590="","",H1590/CONTROL_PANEL!$B$11))</f>
        <v/>
      </c>
      <c r="N1590" s="9" t="str">
        <f t="shared" si="238"/>
        <v/>
      </c>
      <c r="O1590" s="9" t="str">
        <f t="shared" si="239"/>
        <v/>
      </c>
      <c r="P1590" s="9" t="str">
        <f t="shared" si="240"/>
        <v/>
      </c>
      <c r="Q1590" s="9" t="str">
        <f t="shared" si="241"/>
        <v/>
      </c>
      <c r="R1590" s="11"/>
      <c r="S1590" s="11" t="str">
        <f t="shared" si="242"/>
        <v>PASS</v>
      </c>
    </row>
    <row r="1591" spans="1:19" x14ac:dyDescent="0.25">
      <c r="A1591" s="30" t="s">
        <v>99</v>
      </c>
      <c r="B1591" s="31">
        <f t="shared" si="234"/>
        <v>46631</v>
      </c>
      <c r="C1591" s="30">
        <f>YEAR(BInputReservoir[[#This Row],[Date]])</f>
        <v>2027</v>
      </c>
      <c r="D1591" s="30">
        <f>MONTH(BInputReservoir[[#This Row],[Date]])</f>
        <v>9</v>
      </c>
      <c r="E1591" s="30"/>
      <c r="F1591" s="30" t="str">
        <f>STORAGE_BALANCE_ENSEMBLE!CN148</f>
        <v/>
      </c>
      <c r="G1591" s="30" t="str">
        <f>STORAGE_BALANCE_ENSEMBLE!CO148</f>
        <v/>
      </c>
      <c r="H1591" s="30"/>
      <c r="I1591" s="18" t="str">
        <f t="shared" si="243"/>
        <v/>
      </c>
      <c r="J1591" s="8" t="str">
        <f t="shared" si="235"/>
        <v/>
      </c>
      <c r="K1591" s="9" t="str">
        <f t="shared" si="236"/>
        <v/>
      </c>
      <c r="L1591" s="10" t="str">
        <f t="shared" si="237"/>
        <v/>
      </c>
      <c r="M1591" s="10" t="str">
        <f>IF(I1591&lt;&gt;1,"",IF(H1591="","",H1591/CONTROL_PANEL!$B$11))</f>
        <v/>
      </c>
      <c r="N1591" s="9" t="str">
        <f t="shared" si="238"/>
        <v/>
      </c>
      <c r="O1591" s="9" t="str">
        <f t="shared" si="239"/>
        <v/>
      </c>
      <c r="P1591" s="9" t="str">
        <f t="shared" si="240"/>
        <v/>
      </c>
      <c r="Q1591" s="9" t="str">
        <f t="shared" si="241"/>
        <v/>
      </c>
      <c r="R1591" s="11"/>
      <c r="S1591" s="11" t="str">
        <f t="shared" si="242"/>
        <v>PASS</v>
      </c>
    </row>
    <row r="1592" spans="1:19" x14ac:dyDescent="0.25">
      <c r="A1592" s="30" t="s">
        <v>99</v>
      </c>
      <c r="B1592" s="31">
        <f t="shared" si="234"/>
        <v>46661</v>
      </c>
      <c r="C1592" s="30">
        <f>YEAR(BInputReservoir[[#This Row],[Date]])</f>
        <v>2027</v>
      </c>
      <c r="D1592" s="30">
        <f>MONTH(BInputReservoir[[#This Row],[Date]])</f>
        <v>10</v>
      </c>
      <c r="E1592" s="30"/>
      <c r="F1592" s="30" t="str">
        <f>STORAGE_BALANCE_ENSEMBLE!CN149</f>
        <v/>
      </c>
      <c r="G1592" s="30" t="str">
        <f>STORAGE_BALANCE_ENSEMBLE!CO149</f>
        <v/>
      </c>
      <c r="H1592" s="30"/>
      <c r="I1592" s="18" t="str">
        <f t="shared" si="243"/>
        <v/>
      </c>
      <c r="J1592" s="8" t="str">
        <f t="shared" si="235"/>
        <v/>
      </c>
      <c r="K1592" s="9" t="str">
        <f t="shared" si="236"/>
        <v/>
      </c>
      <c r="L1592" s="10" t="str">
        <f t="shared" si="237"/>
        <v/>
      </c>
      <c r="M1592" s="10" t="str">
        <f>IF(I1592&lt;&gt;1,"",IF(H1592="","",H1592/CONTROL_PANEL!$B$11))</f>
        <v/>
      </c>
      <c r="N1592" s="9" t="str">
        <f t="shared" si="238"/>
        <v/>
      </c>
      <c r="O1592" s="9" t="str">
        <f t="shared" si="239"/>
        <v/>
      </c>
      <c r="P1592" s="9" t="str">
        <f t="shared" si="240"/>
        <v/>
      </c>
      <c r="Q1592" s="9" t="str">
        <f t="shared" si="241"/>
        <v/>
      </c>
      <c r="R1592" s="11"/>
      <c r="S1592" s="11" t="str">
        <f t="shared" si="242"/>
        <v>PASS</v>
      </c>
    </row>
    <row r="1593" spans="1:19" x14ac:dyDescent="0.25">
      <c r="A1593" s="30" t="s">
        <v>99</v>
      </c>
      <c r="B1593" s="31">
        <f t="shared" si="234"/>
        <v>46692</v>
      </c>
      <c r="C1593" s="30">
        <f>YEAR(BInputReservoir[[#This Row],[Date]])</f>
        <v>2027</v>
      </c>
      <c r="D1593" s="30">
        <f>MONTH(BInputReservoir[[#This Row],[Date]])</f>
        <v>11</v>
      </c>
      <c r="E1593" s="30"/>
      <c r="F1593" s="30" t="str">
        <f>STORAGE_BALANCE_ENSEMBLE!CN150</f>
        <v/>
      </c>
      <c r="G1593" s="30" t="str">
        <f>STORAGE_BALANCE_ENSEMBLE!CO150</f>
        <v/>
      </c>
      <c r="H1593" s="30"/>
      <c r="I1593" s="18" t="str">
        <f t="shared" si="243"/>
        <v/>
      </c>
      <c r="J1593" s="8" t="str">
        <f t="shared" si="235"/>
        <v/>
      </c>
      <c r="K1593" s="9" t="str">
        <f t="shared" si="236"/>
        <v/>
      </c>
      <c r="L1593" s="10" t="str">
        <f t="shared" si="237"/>
        <v/>
      </c>
      <c r="M1593" s="10" t="str">
        <f>IF(I1593&lt;&gt;1,"",IF(H1593="","",H1593/CONTROL_PANEL!$B$11))</f>
        <v/>
      </c>
      <c r="N1593" s="9" t="str">
        <f t="shared" si="238"/>
        <v/>
      </c>
      <c r="O1593" s="9" t="str">
        <f t="shared" si="239"/>
        <v/>
      </c>
      <c r="P1593" s="9" t="str">
        <f t="shared" si="240"/>
        <v/>
      </c>
      <c r="Q1593" s="9" t="str">
        <f t="shared" si="241"/>
        <v/>
      </c>
      <c r="R1593" s="11"/>
      <c r="S1593" s="11" t="str">
        <f t="shared" si="242"/>
        <v>PASS</v>
      </c>
    </row>
    <row r="1594" spans="1:19" x14ac:dyDescent="0.25">
      <c r="A1594" s="30" t="s">
        <v>99</v>
      </c>
      <c r="B1594" s="31">
        <f t="shared" si="234"/>
        <v>46722</v>
      </c>
      <c r="C1594" s="30">
        <f>YEAR(BInputReservoir[[#This Row],[Date]])</f>
        <v>2027</v>
      </c>
      <c r="D1594" s="30">
        <f>MONTH(BInputReservoir[[#This Row],[Date]])</f>
        <v>12</v>
      </c>
      <c r="E1594" s="30"/>
      <c r="F1594" s="30" t="str">
        <f>STORAGE_BALANCE_ENSEMBLE!CN151</f>
        <v/>
      </c>
      <c r="G1594" s="30" t="str">
        <f>STORAGE_BALANCE_ENSEMBLE!CO151</f>
        <v/>
      </c>
      <c r="H1594" s="30"/>
      <c r="I1594" s="18" t="str">
        <f t="shared" si="243"/>
        <v/>
      </c>
      <c r="J1594" s="8" t="str">
        <f t="shared" si="235"/>
        <v/>
      </c>
      <c r="K1594" s="9" t="str">
        <f t="shared" si="236"/>
        <v/>
      </c>
      <c r="L1594" s="10" t="str">
        <f t="shared" si="237"/>
        <v/>
      </c>
      <c r="M1594" s="10" t="str">
        <f>IF(I1594&lt;&gt;1,"",IF(H1594="","",H1594/CONTROL_PANEL!$B$11))</f>
        <v/>
      </c>
      <c r="N1594" s="9" t="str">
        <f t="shared" si="238"/>
        <v/>
      </c>
      <c r="O1594" s="9" t="str">
        <f t="shared" si="239"/>
        <v/>
      </c>
      <c r="P1594" s="9" t="str">
        <f t="shared" si="240"/>
        <v/>
      </c>
      <c r="Q1594" s="9" t="str">
        <f t="shared" si="241"/>
        <v/>
      </c>
      <c r="R1594" s="11"/>
      <c r="S1594" s="11" t="str">
        <f t="shared" si="242"/>
        <v>PASS</v>
      </c>
    </row>
    <row r="1595" spans="1:19" x14ac:dyDescent="0.25">
      <c r="A1595" s="30" t="s">
        <v>99</v>
      </c>
      <c r="B1595" s="31">
        <f t="shared" si="234"/>
        <v>46753</v>
      </c>
      <c r="C1595" s="30">
        <f>YEAR(BInputReservoir[[#This Row],[Date]])</f>
        <v>2028</v>
      </c>
      <c r="D1595" s="30">
        <f>MONTH(BInputReservoir[[#This Row],[Date]])</f>
        <v>1</v>
      </c>
      <c r="E1595" s="30"/>
      <c r="F1595" s="30" t="str">
        <f>STORAGE_BALANCE_ENSEMBLE!CN152</f>
        <v/>
      </c>
      <c r="G1595" s="30" t="str">
        <f>STORAGE_BALANCE_ENSEMBLE!CO152</f>
        <v/>
      </c>
      <c r="H1595" s="30"/>
      <c r="I1595" s="18" t="str">
        <f t="shared" si="243"/>
        <v/>
      </c>
      <c r="J1595" s="8" t="str">
        <f t="shared" si="235"/>
        <v/>
      </c>
      <c r="K1595" s="9" t="str">
        <f t="shared" si="236"/>
        <v/>
      </c>
      <c r="L1595" s="10" t="str">
        <f t="shared" si="237"/>
        <v/>
      </c>
      <c r="M1595" s="10" t="str">
        <f>IF(I1595&lt;&gt;1,"",IF(H1595="","",H1595/CONTROL_PANEL!$B$11))</f>
        <v/>
      </c>
      <c r="N1595" s="9" t="str">
        <f t="shared" si="238"/>
        <v/>
      </c>
      <c r="O1595" s="9" t="str">
        <f t="shared" si="239"/>
        <v/>
      </c>
      <c r="P1595" s="9" t="str">
        <f t="shared" si="240"/>
        <v/>
      </c>
      <c r="Q1595" s="9" t="str">
        <f t="shared" si="241"/>
        <v/>
      </c>
      <c r="R1595" s="11"/>
      <c r="S1595" s="11" t="str">
        <f t="shared" si="242"/>
        <v>PASS</v>
      </c>
    </row>
    <row r="1596" spans="1:19" x14ac:dyDescent="0.25">
      <c r="A1596" s="30" t="s">
        <v>99</v>
      </c>
      <c r="B1596" s="31">
        <f t="shared" si="234"/>
        <v>46784</v>
      </c>
      <c r="C1596" s="30">
        <f>YEAR(BInputReservoir[[#This Row],[Date]])</f>
        <v>2028</v>
      </c>
      <c r="D1596" s="30">
        <f>MONTH(BInputReservoir[[#This Row],[Date]])</f>
        <v>2</v>
      </c>
      <c r="E1596" s="30"/>
      <c r="F1596" s="30" t="str">
        <f>STORAGE_BALANCE_ENSEMBLE!CN153</f>
        <v/>
      </c>
      <c r="G1596" s="30" t="str">
        <f>STORAGE_BALANCE_ENSEMBLE!CO153</f>
        <v/>
      </c>
      <c r="H1596" s="30"/>
      <c r="I1596" s="18" t="str">
        <f t="shared" si="243"/>
        <v/>
      </c>
      <c r="J1596" s="8" t="str">
        <f t="shared" si="235"/>
        <v/>
      </c>
      <c r="K1596" s="9" t="str">
        <f t="shared" si="236"/>
        <v/>
      </c>
      <c r="L1596" s="10" t="str">
        <f t="shared" si="237"/>
        <v/>
      </c>
      <c r="M1596" s="10" t="str">
        <f>IF(I1596&lt;&gt;1,"",IF(H1596="","",H1596/CONTROL_PANEL!$B$11))</f>
        <v/>
      </c>
      <c r="N1596" s="9" t="str">
        <f t="shared" si="238"/>
        <v/>
      </c>
      <c r="O1596" s="9" t="str">
        <f t="shared" si="239"/>
        <v/>
      </c>
      <c r="P1596" s="9" t="str">
        <f t="shared" si="240"/>
        <v/>
      </c>
      <c r="Q1596" s="9" t="str">
        <f t="shared" si="241"/>
        <v/>
      </c>
      <c r="R1596" s="11"/>
      <c r="S1596" s="11" t="str">
        <f t="shared" si="242"/>
        <v>PASS</v>
      </c>
    </row>
    <row r="1597" spans="1:19" x14ac:dyDescent="0.25">
      <c r="A1597" s="30" t="s">
        <v>99</v>
      </c>
      <c r="B1597" s="31">
        <f t="shared" si="234"/>
        <v>46813</v>
      </c>
      <c r="C1597" s="30">
        <f>YEAR(BInputReservoir[[#This Row],[Date]])</f>
        <v>2028</v>
      </c>
      <c r="D1597" s="30">
        <f>MONTH(BInputReservoir[[#This Row],[Date]])</f>
        <v>3</v>
      </c>
      <c r="E1597" s="30"/>
      <c r="F1597" s="30" t="str">
        <f>STORAGE_BALANCE_ENSEMBLE!CN154</f>
        <v/>
      </c>
      <c r="G1597" s="30" t="str">
        <f>STORAGE_BALANCE_ENSEMBLE!CO154</f>
        <v/>
      </c>
      <c r="H1597" s="30"/>
      <c r="I1597" s="18" t="str">
        <f t="shared" si="243"/>
        <v/>
      </c>
      <c r="J1597" s="8" t="str">
        <f t="shared" si="235"/>
        <v/>
      </c>
      <c r="K1597" s="9" t="str">
        <f t="shared" si="236"/>
        <v/>
      </c>
      <c r="L1597" s="10" t="str">
        <f t="shared" si="237"/>
        <v/>
      </c>
      <c r="M1597" s="10" t="str">
        <f>IF(I1597&lt;&gt;1,"",IF(H1597="","",H1597/CONTROL_PANEL!$B$11))</f>
        <v/>
      </c>
      <c r="N1597" s="9" t="str">
        <f t="shared" si="238"/>
        <v/>
      </c>
      <c r="O1597" s="9" t="str">
        <f t="shared" si="239"/>
        <v/>
      </c>
      <c r="P1597" s="9" t="str">
        <f t="shared" si="240"/>
        <v/>
      </c>
      <c r="Q1597" s="9" t="str">
        <f t="shared" si="241"/>
        <v/>
      </c>
      <c r="R1597" s="11"/>
      <c r="S1597" s="11" t="str">
        <f t="shared" si="242"/>
        <v>PASS</v>
      </c>
    </row>
    <row r="1598" spans="1:19" x14ac:dyDescent="0.25">
      <c r="A1598" s="30" t="s">
        <v>99</v>
      </c>
      <c r="B1598" s="31">
        <f t="shared" si="234"/>
        <v>46844</v>
      </c>
      <c r="C1598" s="30">
        <f>YEAR(BInputReservoir[[#This Row],[Date]])</f>
        <v>2028</v>
      </c>
      <c r="D1598" s="30">
        <f>MONTH(BInputReservoir[[#This Row],[Date]])</f>
        <v>4</v>
      </c>
      <c r="E1598" s="30"/>
      <c r="F1598" s="30" t="str">
        <f>STORAGE_BALANCE_ENSEMBLE!CN155</f>
        <v/>
      </c>
      <c r="G1598" s="30" t="str">
        <f>STORAGE_BALANCE_ENSEMBLE!CO155</f>
        <v/>
      </c>
      <c r="H1598" s="30"/>
      <c r="I1598" s="18" t="str">
        <f t="shared" si="243"/>
        <v/>
      </c>
      <c r="J1598" s="8" t="str">
        <f t="shared" si="235"/>
        <v/>
      </c>
      <c r="K1598" s="9" t="str">
        <f t="shared" si="236"/>
        <v/>
      </c>
      <c r="L1598" s="10" t="str">
        <f t="shared" si="237"/>
        <v/>
      </c>
      <c r="M1598" s="10" t="str">
        <f>IF(I1598&lt;&gt;1,"",IF(H1598="","",H1598/CONTROL_PANEL!$B$11))</f>
        <v/>
      </c>
      <c r="N1598" s="9" t="str">
        <f t="shared" si="238"/>
        <v/>
      </c>
      <c r="O1598" s="9" t="str">
        <f t="shared" si="239"/>
        <v/>
      </c>
      <c r="P1598" s="9" t="str">
        <f t="shared" si="240"/>
        <v/>
      </c>
      <c r="Q1598" s="9" t="str">
        <f t="shared" si="241"/>
        <v/>
      </c>
      <c r="R1598" s="11"/>
      <c r="S1598" s="11" t="str">
        <f t="shared" si="242"/>
        <v>PASS</v>
      </c>
    </row>
    <row r="1599" spans="1:19" x14ac:dyDescent="0.25">
      <c r="A1599" s="30" t="s">
        <v>99</v>
      </c>
      <c r="B1599" s="31">
        <f t="shared" si="234"/>
        <v>46874</v>
      </c>
      <c r="C1599" s="30">
        <f>YEAR(BInputReservoir[[#This Row],[Date]])</f>
        <v>2028</v>
      </c>
      <c r="D1599" s="30">
        <f>MONTH(BInputReservoir[[#This Row],[Date]])</f>
        <v>5</v>
      </c>
      <c r="E1599" s="30"/>
      <c r="F1599" s="30" t="str">
        <f>STORAGE_BALANCE_ENSEMBLE!CN156</f>
        <v/>
      </c>
      <c r="G1599" s="30" t="str">
        <f>STORAGE_BALANCE_ENSEMBLE!CO156</f>
        <v/>
      </c>
      <c r="H1599" s="30"/>
      <c r="I1599" s="18" t="str">
        <f t="shared" si="243"/>
        <v/>
      </c>
      <c r="J1599" s="8" t="str">
        <f t="shared" si="235"/>
        <v/>
      </c>
      <c r="K1599" s="9" t="str">
        <f t="shared" si="236"/>
        <v/>
      </c>
      <c r="L1599" s="10" t="str">
        <f t="shared" si="237"/>
        <v/>
      </c>
      <c r="M1599" s="10" t="str">
        <f>IF(I1599&lt;&gt;1,"",IF(H1599="","",H1599/CONTROL_PANEL!$B$11))</f>
        <v/>
      </c>
      <c r="N1599" s="9" t="str">
        <f t="shared" si="238"/>
        <v/>
      </c>
      <c r="O1599" s="9" t="str">
        <f t="shared" si="239"/>
        <v/>
      </c>
      <c r="P1599" s="9" t="str">
        <f t="shared" si="240"/>
        <v/>
      </c>
      <c r="Q1599" s="9" t="str">
        <f t="shared" si="241"/>
        <v/>
      </c>
      <c r="R1599" s="11"/>
      <c r="S1599" s="11" t="str">
        <f t="shared" si="242"/>
        <v>PASS</v>
      </c>
    </row>
    <row r="1600" spans="1:19" x14ac:dyDescent="0.25">
      <c r="A1600" s="30" t="s">
        <v>99</v>
      </c>
      <c r="B1600" s="31">
        <f t="shared" ref="B1600:B1663" si="244">B517</f>
        <v>46905</v>
      </c>
      <c r="C1600" s="30">
        <f>YEAR(BInputReservoir[[#This Row],[Date]])</f>
        <v>2028</v>
      </c>
      <c r="D1600" s="30">
        <f>MONTH(BInputReservoir[[#This Row],[Date]])</f>
        <v>6</v>
      </c>
      <c r="E1600" s="30"/>
      <c r="F1600" s="30" t="str">
        <f>STORAGE_BALANCE_ENSEMBLE!CN157</f>
        <v/>
      </c>
      <c r="G1600" s="30" t="str">
        <f>STORAGE_BALANCE_ENSEMBLE!CO157</f>
        <v/>
      </c>
      <c r="H1600" s="30"/>
      <c r="I1600" s="18" t="str">
        <f t="shared" si="243"/>
        <v/>
      </c>
      <c r="J1600" s="8" t="str">
        <f t="shared" si="235"/>
        <v/>
      </c>
      <c r="K1600" s="9" t="str">
        <f t="shared" si="236"/>
        <v/>
      </c>
      <c r="L1600" s="10" t="str">
        <f t="shared" si="237"/>
        <v/>
      </c>
      <c r="M1600" s="10" t="str">
        <f>IF(I1600&lt;&gt;1,"",IF(H1600="","",H1600/CONTROL_PANEL!$B$11))</f>
        <v/>
      </c>
      <c r="N1600" s="9" t="str">
        <f t="shared" si="238"/>
        <v/>
      </c>
      <c r="O1600" s="9" t="str">
        <f t="shared" si="239"/>
        <v/>
      </c>
      <c r="P1600" s="9" t="str">
        <f t="shared" si="240"/>
        <v/>
      </c>
      <c r="Q1600" s="9" t="str">
        <f t="shared" si="241"/>
        <v/>
      </c>
      <c r="R1600" s="11"/>
      <c r="S1600" s="11" t="str">
        <f t="shared" si="242"/>
        <v>PASS</v>
      </c>
    </row>
    <row r="1601" spans="1:19" x14ac:dyDescent="0.25">
      <c r="A1601" s="30" t="s">
        <v>99</v>
      </c>
      <c r="B1601" s="31">
        <f t="shared" si="244"/>
        <v>46935</v>
      </c>
      <c r="C1601" s="30">
        <f>YEAR(BInputReservoir[[#This Row],[Date]])</f>
        <v>2028</v>
      </c>
      <c r="D1601" s="30">
        <f>MONTH(BInputReservoir[[#This Row],[Date]])</f>
        <v>7</v>
      </c>
      <c r="E1601" s="30"/>
      <c r="F1601" s="30" t="str">
        <f>STORAGE_BALANCE_ENSEMBLE!CN158</f>
        <v/>
      </c>
      <c r="G1601" s="30" t="str">
        <f>STORAGE_BALANCE_ENSEMBLE!CO158</f>
        <v/>
      </c>
      <c r="H1601" s="30"/>
      <c r="I1601" s="18" t="str">
        <f t="shared" si="243"/>
        <v/>
      </c>
      <c r="J1601" s="8" t="str">
        <f t="shared" si="235"/>
        <v/>
      </c>
      <c r="K1601" s="9" t="str">
        <f t="shared" si="236"/>
        <v/>
      </c>
      <c r="L1601" s="10" t="str">
        <f t="shared" si="237"/>
        <v/>
      </c>
      <c r="M1601" s="10" t="str">
        <f>IF(I1601&lt;&gt;1,"",IF(H1601="","",H1601/CONTROL_PANEL!$B$11))</f>
        <v/>
      </c>
      <c r="N1601" s="9" t="str">
        <f t="shared" si="238"/>
        <v/>
      </c>
      <c r="O1601" s="9" t="str">
        <f t="shared" si="239"/>
        <v/>
      </c>
      <c r="P1601" s="9" t="str">
        <f t="shared" si="240"/>
        <v/>
      </c>
      <c r="Q1601" s="9" t="str">
        <f t="shared" si="241"/>
        <v/>
      </c>
      <c r="R1601" s="11"/>
      <c r="S1601" s="11" t="str">
        <f t="shared" si="242"/>
        <v>PASS</v>
      </c>
    </row>
    <row r="1602" spans="1:19" x14ac:dyDescent="0.25">
      <c r="A1602" s="30" t="s">
        <v>99</v>
      </c>
      <c r="B1602" s="31">
        <f t="shared" si="244"/>
        <v>46966</v>
      </c>
      <c r="C1602" s="30">
        <f>YEAR(BInputReservoir[[#This Row],[Date]])</f>
        <v>2028</v>
      </c>
      <c r="D1602" s="30">
        <f>MONTH(BInputReservoir[[#This Row],[Date]])</f>
        <v>8</v>
      </c>
      <c r="E1602" s="30"/>
      <c r="F1602" s="30" t="str">
        <f>STORAGE_BALANCE_ENSEMBLE!CN159</f>
        <v/>
      </c>
      <c r="G1602" s="30" t="str">
        <f>STORAGE_BALANCE_ENSEMBLE!CO159</f>
        <v/>
      </c>
      <c r="H1602" s="30"/>
      <c r="I1602" s="18" t="str">
        <f t="shared" si="243"/>
        <v/>
      </c>
      <c r="J1602" s="8" t="str">
        <f t="shared" si="235"/>
        <v/>
      </c>
      <c r="K1602" s="9" t="str">
        <f t="shared" si="236"/>
        <v/>
      </c>
      <c r="L1602" s="10" t="str">
        <f t="shared" si="237"/>
        <v/>
      </c>
      <c r="M1602" s="10" t="str">
        <f>IF(I1602&lt;&gt;1,"",IF(H1602="","",H1602/CONTROL_PANEL!$B$11))</f>
        <v/>
      </c>
      <c r="N1602" s="9" t="str">
        <f t="shared" si="238"/>
        <v/>
      </c>
      <c r="O1602" s="9" t="str">
        <f t="shared" si="239"/>
        <v/>
      </c>
      <c r="P1602" s="9" t="str">
        <f t="shared" si="240"/>
        <v/>
      </c>
      <c r="Q1602" s="9" t="str">
        <f t="shared" si="241"/>
        <v/>
      </c>
      <c r="R1602" s="11"/>
      <c r="S1602" s="11" t="str">
        <f t="shared" si="242"/>
        <v>PASS</v>
      </c>
    </row>
    <row r="1603" spans="1:19" x14ac:dyDescent="0.25">
      <c r="A1603" s="30" t="s">
        <v>99</v>
      </c>
      <c r="B1603" s="31">
        <f t="shared" si="244"/>
        <v>46997</v>
      </c>
      <c r="C1603" s="30">
        <f>YEAR(BInputReservoir[[#This Row],[Date]])</f>
        <v>2028</v>
      </c>
      <c r="D1603" s="30">
        <f>MONTH(BInputReservoir[[#This Row],[Date]])</f>
        <v>9</v>
      </c>
      <c r="E1603" s="30"/>
      <c r="F1603" s="30" t="str">
        <f>STORAGE_BALANCE_ENSEMBLE!CN160</f>
        <v/>
      </c>
      <c r="G1603" s="30" t="str">
        <f>STORAGE_BALANCE_ENSEMBLE!CO160</f>
        <v/>
      </c>
      <c r="H1603" s="30"/>
      <c r="I1603" s="18" t="str">
        <f t="shared" si="243"/>
        <v/>
      </c>
      <c r="J1603" s="8" t="str">
        <f t="shared" si="235"/>
        <v/>
      </c>
      <c r="K1603" s="9" t="str">
        <f t="shared" si="236"/>
        <v/>
      </c>
      <c r="L1603" s="10" t="str">
        <f t="shared" si="237"/>
        <v/>
      </c>
      <c r="M1603" s="10" t="str">
        <f>IF(I1603&lt;&gt;1,"",IF(H1603="","",H1603/CONTROL_PANEL!$B$11))</f>
        <v/>
      </c>
      <c r="N1603" s="9" t="str">
        <f t="shared" si="238"/>
        <v/>
      </c>
      <c r="O1603" s="9" t="str">
        <f t="shared" si="239"/>
        <v/>
      </c>
      <c r="P1603" s="9" t="str">
        <f t="shared" si="240"/>
        <v/>
      </c>
      <c r="Q1603" s="9" t="str">
        <f t="shared" si="241"/>
        <v/>
      </c>
      <c r="R1603" s="11"/>
      <c r="S1603" s="11" t="str">
        <f t="shared" si="242"/>
        <v>PASS</v>
      </c>
    </row>
    <row r="1604" spans="1:19" x14ac:dyDescent="0.25">
      <c r="A1604" s="30" t="s">
        <v>99</v>
      </c>
      <c r="B1604" s="31">
        <f t="shared" si="244"/>
        <v>47027</v>
      </c>
      <c r="C1604" s="30">
        <f>YEAR(BInputReservoir[[#This Row],[Date]])</f>
        <v>2028</v>
      </c>
      <c r="D1604" s="30">
        <f>MONTH(BInputReservoir[[#This Row],[Date]])</f>
        <v>10</v>
      </c>
      <c r="E1604" s="30"/>
      <c r="F1604" s="30" t="str">
        <f>STORAGE_BALANCE_ENSEMBLE!CN161</f>
        <v/>
      </c>
      <c r="G1604" s="30" t="str">
        <f>STORAGE_BALANCE_ENSEMBLE!CO161</f>
        <v/>
      </c>
      <c r="H1604" s="30"/>
      <c r="I1604" s="18" t="str">
        <f t="shared" si="243"/>
        <v/>
      </c>
      <c r="J1604" s="8" t="str">
        <f t="shared" si="235"/>
        <v/>
      </c>
      <c r="K1604" s="9" t="str">
        <f t="shared" si="236"/>
        <v/>
      </c>
      <c r="L1604" s="10" t="str">
        <f t="shared" si="237"/>
        <v/>
      </c>
      <c r="M1604" s="10" t="str">
        <f>IF(I1604&lt;&gt;1,"",IF(H1604="","",H1604/CONTROL_PANEL!$B$11))</f>
        <v/>
      </c>
      <c r="N1604" s="9" t="str">
        <f t="shared" si="238"/>
        <v/>
      </c>
      <c r="O1604" s="9" t="str">
        <f t="shared" si="239"/>
        <v/>
      </c>
      <c r="P1604" s="9" t="str">
        <f t="shared" si="240"/>
        <v/>
      </c>
      <c r="Q1604" s="9" t="str">
        <f t="shared" si="241"/>
        <v/>
      </c>
      <c r="R1604" s="11"/>
      <c r="S1604" s="11" t="str">
        <f t="shared" si="242"/>
        <v>PASS</v>
      </c>
    </row>
    <row r="1605" spans="1:19" x14ac:dyDescent="0.25">
      <c r="A1605" s="30" t="s">
        <v>99</v>
      </c>
      <c r="B1605" s="31">
        <f t="shared" si="244"/>
        <v>47058</v>
      </c>
      <c r="C1605" s="30">
        <f>YEAR(BInputReservoir[[#This Row],[Date]])</f>
        <v>2028</v>
      </c>
      <c r="D1605" s="30">
        <f>MONTH(BInputReservoir[[#This Row],[Date]])</f>
        <v>11</v>
      </c>
      <c r="E1605" s="30"/>
      <c r="F1605" s="30" t="str">
        <f>STORAGE_BALANCE_ENSEMBLE!CN162</f>
        <v/>
      </c>
      <c r="G1605" s="30" t="str">
        <f>STORAGE_BALANCE_ENSEMBLE!CO162</f>
        <v/>
      </c>
      <c r="H1605" s="30"/>
      <c r="I1605" s="18" t="str">
        <f t="shared" si="243"/>
        <v/>
      </c>
      <c r="J1605" s="8" t="str">
        <f t="shared" ref="J1605:J1668" si="245">IF(I1605&lt;&gt;1,"",IF(E1605="","",MAX(0,E1605-G1605)))</f>
        <v/>
      </c>
      <c r="K1605" s="9" t="str">
        <f t="shared" ref="K1605:K1668" si="246">IF(I1605&lt;&gt;1,"",IF(OR(G1605="",E1605=""),"",IF(G1605&gt;0,1,0)))</f>
        <v/>
      </c>
      <c r="L1605" s="10" t="str">
        <f t="shared" ref="L1605:L1668" si="247">IF(I1605&lt;&gt;1,"",IF(AND(K1605=1,E1605&gt;0),G1605/E1605,0))</f>
        <v/>
      </c>
      <c r="M1605" s="10" t="str">
        <f>IF(I1605&lt;&gt;1,"",IF(H1605="","",H1605/CONTROL_PANEL!$B$11))</f>
        <v/>
      </c>
      <c r="N1605" s="9" t="str">
        <f t="shared" ref="N1605:N1668" si="248">IF(I1605&lt;&gt;1,"",IF(AND(K1605=1,A1606=A1605),1,0))</f>
        <v/>
      </c>
      <c r="O1605" s="9" t="str">
        <f t="shared" ref="O1605:O1668" si="249">IF(I1605&lt;&gt;1,"",IF(AND(K1605=1,A1606=A1605,K1606=0),1,0))</f>
        <v/>
      </c>
      <c r="P1605" s="9" t="str">
        <f t="shared" ref="P1605:P1668" si="250">IF(I1605&lt;&gt;1,"",IF(F1605&gt;0,1,0))</f>
        <v/>
      </c>
      <c r="Q1605" s="9" t="str">
        <f t="shared" ref="Q1605:Q1668" si="251">IF(I1605&lt;&gt;1,"",IF(G1605&gt;0,1,0))</f>
        <v/>
      </c>
      <c r="R1605" s="11"/>
      <c r="S1605" s="11" t="str">
        <f t="shared" si="242"/>
        <v>PASS</v>
      </c>
    </row>
    <row r="1606" spans="1:19" x14ac:dyDescent="0.25">
      <c r="A1606" s="30" t="s">
        <v>99</v>
      </c>
      <c r="B1606" s="31">
        <f t="shared" si="244"/>
        <v>47088</v>
      </c>
      <c r="C1606" s="30">
        <f>YEAR(BInputReservoir[[#This Row],[Date]])</f>
        <v>2028</v>
      </c>
      <c r="D1606" s="30">
        <f>MONTH(BInputReservoir[[#This Row],[Date]])</f>
        <v>12</v>
      </c>
      <c r="E1606" s="30"/>
      <c r="F1606" s="30" t="str">
        <f>STORAGE_BALANCE_ENSEMBLE!CN163</f>
        <v/>
      </c>
      <c r="G1606" s="30" t="str">
        <f>STORAGE_BALANCE_ENSEMBLE!CO163</f>
        <v/>
      </c>
      <c r="H1606" s="30"/>
      <c r="I1606" s="18" t="str">
        <f t="shared" si="243"/>
        <v/>
      </c>
      <c r="J1606" s="8" t="str">
        <f t="shared" si="245"/>
        <v/>
      </c>
      <c r="K1606" s="9" t="str">
        <f t="shared" si="246"/>
        <v/>
      </c>
      <c r="L1606" s="10" t="str">
        <f t="shared" si="247"/>
        <v/>
      </c>
      <c r="M1606" s="10" t="str">
        <f>IF(I1606&lt;&gt;1,"",IF(H1606="","",H1606/CONTROL_PANEL!$B$11))</f>
        <v/>
      </c>
      <c r="N1606" s="9" t="str">
        <f t="shared" si="248"/>
        <v/>
      </c>
      <c r="O1606" s="9" t="str">
        <f t="shared" si="249"/>
        <v/>
      </c>
      <c r="P1606" s="9" t="str">
        <f t="shared" si="250"/>
        <v/>
      </c>
      <c r="Q1606" s="9" t="str">
        <f t="shared" si="251"/>
        <v/>
      </c>
      <c r="R1606" s="11"/>
      <c r="S1606" s="11" t="str">
        <f t="shared" si="242"/>
        <v>PASS</v>
      </c>
    </row>
    <row r="1607" spans="1:19" x14ac:dyDescent="0.25">
      <c r="A1607" s="30" t="s">
        <v>99</v>
      </c>
      <c r="B1607" s="31">
        <f t="shared" si="244"/>
        <v>47119</v>
      </c>
      <c r="C1607" s="30">
        <f>YEAR(BInputReservoir[[#This Row],[Date]])</f>
        <v>2029</v>
      </c>
      <c r="D1607" s="30">
        <f>MONTH(BInputReservoir[[#This Row],[Date]])</f>
        <v>1</v>
      </c>
      <c r="E1607" s="30"/>
      <c r="F1607" s="30" t="str">
        <f>STORAGE_BALANCE_ENSEMBLE!CN164</f>
        <v/>
      </c>
      <c r="G1607" s="30" t="str">
        <f>STORAGE_BALANCE_ENSEMBLE!CO164</f>
        <v/>
      </c>
      <c r="H1607" s="30"/>
      <c r="I1607" s="18" t="str">
        <f t="shared" si="243"/>
        <v/>
      </c>
      <c r="J1607" s="8" t="str">
        <f t="shared" si="245"/>
        <v/>
      </c>
      <c r="K1607" s="9" t="str">
        <f t="shared" si="246"/>
        <v/>
      </c>
      <c r="L1607" s="10" t="str">
        <f t="shared" si="247"/>
        <v/>
      </c>
      <c r="M1607" s="10" t="str">
        <f>IF(I1607&lt;&gt;1,"",IF(H1607="","",H1607/CONTROL_PANEL!$B$11))</f>
        <v/>
      </c>
      <c r="N1607" s="9" t="str">
        <f t="shared" si="248"/>
        <v/>
      </c>
      <c r="O1607" s="9" t="str">
        <f t="shared" si="249"/>
        <v/>
      </c>
      <c r="P1607" s="9" t="str">
        <f t="shared" si="250"/>
        <v/>
      </c>
      <c r="Q1607" s="9" t="str">
        <f t="shared" si="251"/>
        <v/>
      </c>
      <c r="R1607" s="11"/>
      <c r="S1607" s="11" t="str">
        <f t="shared" ref="S1607:S1670" si="252">IF(COUNTA(A1607:H1607)=0,"",IF(OR(A1607="",C1607="",D1607=""),"ERROR: missing key fields","PASS"))</f>
        <v>PASS</v>
      </c>
    </row>
    <row r="1608" spans="1:19" x14ac:dyDescent="0.25">
      <c r="A1608" s="30" t="s">
        <v>99</v>
      </c>
      <c r="B1608" s="31">
        <f t="shared" si="244"/>
        <v>47150</v>
      </c>
      <c r="C1608" s="30">
        <f>YEAR(BInputReservoir[[#This Row],[Date]])</f>
        <v>2029</v>
      </c>
      <c r="D1608" s="30">
        <f>MONTH(BInputReservoir[[#This Row],[Date]])</f>
        <v>2</v>
      </c>
      <c r="E1608" s="30"/>
      <c r="F1608" s="30" t="str">
        <f>STORAGE_BALANCE_ENSEMBLE!CN165</f>
        <v/>
      </c>
      <c r="G1608" s="30" t="str">
        <f>STORAGE_BALANCE_ENSEMBLE!CO165</f>
        <v/>
      </c>
      <c r="H1608" s="30"/>
      <c r="I1608" s="18" t="str">
        <f t="shared" si="243"/>
        <v/>
      </c>
      <c r="J1608" s="8" t="str">
        <f t="shared" si="245"/>
        <v/>
      </c>
      <c r="K1608" s="9" t="str">
        <f t="shared" si="246"/>
        <v/>
      </c>
      <c r="L1608" s="10" t="str">
        <f t="shared" si="247"/>
        <v/>
      </c>
      <c r="M1608" s="10" t="str">
        <f>IF(I1608&lt;&gt;1,"",IF(H1608="","",H1608/CONTROL_PANEL!$B$11))</f>
        <v/>
      </c>
      <c r="N1608" s="9" t="str">
        <f t="shared" si="248"/>
        <v/>
      </c>
      <c r="O1608" s="9" t="str">
        <f t="shared" si="249"/>
        <v/>
      </c>
      <c r="P1608" s="9" t="str">
        <f t="shared" si="250"/>
        <v/>
      </c>
      <c r="Q1608" s="9" t="str">
        <f t="shared" si="251"/>
        <v/>
      </c>
      <c r="R1608" s="11"/>
      <c r="S1608" s="11" t="str">
        <f t="shared" si="252"/>
        <v>PASS</v>
      </c>
    </row>
    <row r="1609" spans="1:19" x14ac:dyDescent="0.25">
      <c r="A1609" s="30" t="s">
        <v>99</v>
      </c>
      <c r="B1609" s="31">
        <f t="shared" si="244"/>
        <v>47178</v>
      </c>
      <c r="C1609" s="30">
        <f>YEAR(BInputReservoir[[#This Row],[Date]])</f>
        <v>2029</v>
      </c>
      <c r="D1609" s="30">
        <f>MONTH(BInputReservoir[[#This Row],[Date]])</f>
        <v>3</v>
      </c>
      <c r="E1609" s="30"/>
      <c r="F1609" s="30" t="str">
        <f>STORAGE_BALANCE_ENSEMBLE!CN166</f>
        <v/>
      </c>
      <c r="G1609" s="30" t="str">
        <f>STORAGE_BALANCE_ENSEMBLE!CO166</f>
        <v/>
      </c>
      <c r="H1609" s="30"/>
      <c r="I1609" s="18" t="str">
        <f t="shared" si="243"/>
        <v/>
      </c>
      <c r="J1609" s="8" t="str">
        <f t="shared" si="245"/>
        <v/>
      </c>
      <c r="K1609" s="9" t="str">
        <f t="shared" si="246"/>
        <v/>
      </c>
      <c r="L1609" s="10" t="str">
        <f t="shared" si="247"/>
        <v/>
      </c>
      <c r="M1609" s="10" t="str">
        <f>IF(I1609&lt;&gt;1,"",IF(H1609="","",H1609/CONTROL_PANEL!$B$11))</f>
        <v/>
      </c>
      <c r="N1609" s="9" t="str">
        <f t="shared" si="248"/>
        <v/>
      </c>
      <c r="O1609" s="9" t="str">
        <f t="shared" si="249"/>
        <v/>
      </c>
      <c r="P1609" s="9" t="str">
        <f t="shared" si="250"/>
        <v/>
      </c>
      <c r="Q1609" s="9" t="str">
        <f t="shared" si="251"/>
        <v/>
      </c>
      <c r="R1609" s="11"/>
      <c r="S1609" s="11" t="str">
        <f t="shared" si="252"/>
        <v>PASS</v>
      </c>
    </row>
    <row r="1610" spans="1:19" x14ac:dyDescent="0.25">
      <c r="A1610" s="30" t="s">
        <v>99</v>
      </c>
      <c r="B1610" s="31">
        <f t="shared" si="244"/>
        <v>47209</v>
      </c>
      <c r="C1610" s="30">
        <f>YEAR(BInputReservoir[[#This Row],[Date]])</f>
        <v>2029</v>
      </c>
      <c r="D1610" s="30">
        <f>MONTH(BInputReservoir[[#This Row],[Date]])</f>
        <v>4</v>
      </c>
      <c r="E1610" s="30"/>
      <c r="F1610" s="30" t="str">
        <f>STORAGE_BALANCE_ENSEMBLE!CN167</f>
        <v/>
      </c>
      <c r="G1610" s="30" t="str">
        <f>STORAGE_BALANCE_ENSEMBLE!CO167</f>
        <v/>
      </c>
      <c r="H1610" s="30"/>
      <c r="I1610" s="18" t="str">
        <f t="shared" si="243"/>
        <v/>
      </c>
      <c r="J1610" s="8" t="str">
        <f t="shared" si="245"/>
        <v/>
      </c>
      <c r="K1610" s="9" t="str">
        <f t="shared" si="246"/>
        <v/>
      </c>
      <c r="L1610" s="10" t="str">
        <f t="shared" si="247"/>
        <v/>
      </c>
      <c r="M1610" s="10" t="str">
        <f>IF(I1610&lt;&gt;1,"",IF(H1610="","",H1610/CONTROL_PANEL!$B$11))</f>
        <v/>
      </c>
      <c r="N1610" s="9" t="str">
        <f t="shared" si="248"/>
        <v/>
      </c>
      <c r="O1610" s="9" t="str">
        <f t="shared" si="249"/>
        <v/>
      </c>
      <c r="P1610" s="9" t="str">
        <f t="shared" si="250"/>
        <v/>
      </c>
      <c r="Q1610" s="9" t="str">
        <f t="shared" si="251"/>
        <v/>
      </c>
      <c r="R1610" s="11"/>
      <c r="S1610" s="11" t="str">
        <f t="shared" si="252"/>
        <v>PASS</v>
      </c>
    </row>
    <row r="1611" spans="1:19" x14ac:dyDescent="0.25">
      <c r="A1611" s="30" t="s">
        <v>99</v>
      </c>
      <c r="B1611" s="31">
        <f t="shared" si="244"/>
        <v>47239</v>
      </c>
      <c r="C1611" s="30">
        <f>YEAR(BInputReservoir[[#This Row],[Date]])</f>
        <v>2029</v>
      </c>
      <c r="D1611" s="30">
        <f>MONTH(BInputReservoir[[#This Row],[Date]])</f>
        <v>5</v>
      </c>
      <c r="E1611" s="30"/>
      <c r="F1611" s="30" t="str">
        <f>STORAGE_BALANCE_ENSEMBLE!CN168</f>
        <v/>
      </c>
      <c r="G1611" s="30" t="str">
        <f>STORAGE_BALANCE_ENSEMBLE!CO168</f>
        <v/>
      </c>
      <c r="H1611" s="30"/>
      <c r="I1611" s="18" t="str">
        <f t="shared" si="243"/>
        <v/>
      </c>
      <c r="J1611" s="8" t="str">
        <f t="shared" si="245"/>
        <v/>
      </c>
      <c r="K1611" s="9" t="str">
        <f t="shared" si="246"/>
        <v/>
      </c>
      <c r="L1611" s="10" t="str">
        <f t="shared" si="247"/>
        <v/>
      </c>
      <c r="M1611" s="10" t="str">
        <f>IF(I1611&lt;&gt;1,"",IF(H1611="","",H1611/CONTROL_PANEL!$B$11))</f>
        <v/>
      </c>
      <c r="N1611" s="9" t="str">
        <f t="shared" si="248"/>
        <v/>
      </c>
      <c r="O1611" s="9" t="str">
        <f t="shared" si="249"/>
        <v/>
      </c>
      <c r="P1611" s="9" t="str">
        <f t="shared" si="250"/>
        <v/>
      </c>
      <c r="Q1611" s="9" t="str">
        <f t="shared" si="251"/>
        <v/>
      </c>
      <c r="R1611" s="11"/>
      <c r="S1611" s="11" t="str">
        <f t="shared" si="252"/>
        <v>PASS</v>
      </c>
    </row>
    <row r="1612" spans="1:19" x14ac:dyDescent="0.25">
      <c r="A1612" s="30" t="s">
        <v>99</v>
      </c>
      <c r="B1612" s="31">
        <f t="shared" si="244"/>
        <v>47270</v>
      </c>
      <c r="C1612" s="30">
        <f>YEAR(BInputReservoir[[#This Row],[Date]])</f>
        <v>2029</v>
      </c>
      <c r="D1612" s="30">
        <f>MONTH(BInputReservoir[[#This Row],[Date]])</f>
        <v>6</v>
      </c>
      <c r="E1612" s="30"/>
      <c r="F1612" s="30" t="str">
        <f>STORAGE_BALANCE_ENSEMBLE!CN169</f>
        <v/>
      </c>
      <c r="G1612" s="30" t="str">
        <f>STORAGE_BALANCE_ENSEMBLE!CO169</f>
        <v/>
      </c>
      <c r="H1612" s="30"/>
      <c r="I1612" s="18" t="str">
        <f t="shared" si="243"/>
        <v/>
      </c>
      <c r="J1612" s="8" t="str">
        <f t="shared" si="245"/>
        <v/>
      </c>
      <c r="K1612" s="9" t="str">
        <f t="shared" si="246"/>
        <v/>
      </c>
      <c r="L1612" s="10" t="str">
        <f t="shared" si="247"/>
        <v/>
      </c>
      <c r="M1612" s="10" t="str">
        <f>IF(I1612&lt;&gt;1,"",IF(H1612="","",H1612/CONTROL_PANEL!$B$11))</f>
        <v/>
      </c>
      <c r="N1612" s="9" t="str">
        <f t="shared" si="248"/>
        <v/>
      </c>
      <c r="O1612" s="9" t="str">
        <f t="shared" si="249"/>
        <v/>
      </c>
      <c r="P1612" s="9" t="str">
        <f t="shared" si="250"/>
        <v/>
      </c>
      <c r="Q1612" s="9" t="str">
        <f t="shared" si="251"/>
        <v/>
      </c>
      <c r="R1612" s="11"/>
      <c r="S1612" s="11" t="str">
        <f t="shared" si="252"/>
        <v>PASS</v>
      </c>
    </row>
    <row r="1613" spans="1:19" x14ac:dyDescent="0.25">
      <c r="A1613" s="30" t="s">
        <v>99</v>
      </c>
      <c r="B1613" s="31">
        <f t="shared" si="244"/>
        <v>47300</v>
      </c>
      <c r="C1613" s="30">
        <f>YEAR(BInputReservoir[[#This Row],[Date]])</f>
        <v>2029</v>
      </c>
      <c r="D1613" s="30">
        <f>MONTH(BInputReservoir[[#This Row],[Date]])</f>
        <v>7</v>
      </c>
      <c r="E1613" s="30"/>
      <c r="F1613" s="30" t="str">
        <f>STORAGE_BALANCE_ENSEMBLE!CN170</f>
        <v/>
      </c>
      <c r="G1613" s="30" t="str">
        <f>STORAGE_BALANCE_ENSEMBLE!CO170</f>
        <v/>
      </c>
      <c r="H1613" s="30"/>
      <c r="I1613" s="18" t="str">
        <f t="shared" si="243"/>
        <v/>
      </c>
      <c r="J1613" s="8" t="str">
        <f t="shared" si="245"/>
        <v/>
      </c>
      <c r="K1613" s="9" t="str">
        <f t="shared" si="246"/>
        <v/>
      </c>
      <c r="L1613" s="10" t="str">
        <f t="shared" si="247"/>
        <v/>
      </c>
      <c r="M1613" s="10" t="str">
        <f>IF(I1613&lt;&gt;1,"",IF(H1613="","",H1613/CONTROL_PANEL!$B$11))</f>
        <v/>
      </c>
      <c r="N1613" s="9" t="str">
        <f t="shared" si="248"/>
        <v/>
      </c>
      <c r="O1613" s="9" t="str">
        <f t="shared" si="249"/>
        <v/>
      </c>
      <c r="P1613" s="9" t="str">
        <f t="shared" si="250"/>
        <v/>
      </c>
      <c r="Q1613" s="9" t="str">
        <f t="shared" si="251"/>
        <v/>
      </c>
      <c r="R1613" s="11"/>
      <c r="S1613" s="11" t="str">
        <f t="shared" si="252"/>
        <v>PASS</v>
      </c>
    </row>
    <row r="1614" spans="1:19" x14ac:dyDescent="0.25">
      <c r="A1614" s="30" t="s">
        <v>99</v>
      </c>
      <c r="B1614" s="31">
        <f t="shared" si="244"/>
        <v>47331</v>
      </c>
      <c r="C1614" s="30">
        <f>YEAR(BInputReservoir[[#This Row],[Date]])</f>
        <v>2029</v>
      </c>
      <c r="D1614" s="30">
        <f>MONTH(BInputReservoir[[#This Row],[Date]])</f>
        <v>8</v>
      </c>
      <c r="E1614" s="30"/>
      <c r="F1614" s="30" t="str">
        <f>STORAGE_BALANCE_ENSEMBLE!CN171</f>
        <v/>
      </c>
      <c r="G1614" s="30" t="str">
        <f>STORAGE_BALANCE_ENSEMBLE!CO171</f>
        <v/>
      </c>
      <c r="H1614" s="30"/>
      <c r="I1614" s="18" t="str">
        <f t="shared" si="243"/>
        <v/>
      </c>
      <c r="J1614" s="8" t="str">
        <f t="shared" si="245"/>
        <v/>
      </c>
      <c r="K1614" s="9" t="str">
        <f t="shared" si="246"/>
        <v/>
      </c>
      <c r="L1614" s="10" t="str">
        <f t="shared" si="247"/>
        <v/>
      </c>
      <c r="M1614" s="10" t="str">
        <f>IF(I1614&lt;&gt;1,"",IF(H1614="","",H1614/CONTROL_PANEL!$B$11))</f>
        <v/>
      </c>
      <c r="N1614" s="9" t="str">
        <f t="shared" si="248"/>
        <v/>
      </c>
      <c r="O1614" s="9" t="str">
        <f t="shared" si="249"/>
        <v/>
      </c>
      <c r="P1614" s="9" t="str">
        <f t="shared" si="250"/>
        <v/>
      </c>
      <c r="Q1614" s="9" t="str">
        <f t="shared" si="251"/>
        <v/>
      </c>
      <c r="R1614" s="11"/>
      <c r="S1614" s="11" t="str">
        <f t="shared" si="252"/>
        <v>PASS</v>
      </c>
    </row>
    <row r="1615" spans="1:19" x14ac:dyDescent="0.25">
      <c r="A1615" s="30" t="s">
        <v>99</v>
      </c>
      <c r="B1615" s="31">
        <f t="shared" si="244"/>
        <v>47362</v>
      </c>
      <c r="C1615" s="30">
        <f>YEAR(BInputReservoir[[#This Row],[Date]])</f>
        <v>2029</v>
      </c>
      <c r="D1615" s="30">
        <f>MONTH(BInputReservoir[[#This Row],[Date]])</f>
        <v>9</v>
      </c>
      <c r="E1615" s="30"/>
      <c r="F1615" s="30" t="str">
        <f>STORAGE_BALANCE_ENSEMBLE!CN172</f>
        <v/>
      </c>
      <c r="G1615" s="30" t="str">
        <f>STORAGE_BALANCE_ENSEMBLE!CO172</f>
        <v/>
      </c>
      <c r="H1615" s="30"/>
      <c r="I1615" s="18" t="str">
        <f t="shared" si="243"/>
        <v/>
      </c>
      <c r="J1615" s="8" t="str">
        <f t="shared" si="245"/>
        <v/>
      </c>
      <c r="K1615" s="9" t="str">
        <f t="shared" si="246"/>
        <v/>
      </c>
      <c r="L1615" s="10" t="str">
        <f t="shared" si="247"/>
        <v/>
      </c>
      <c r="M1615" s="10" t="str">
        <f>IF(I1615&lt;&gt;1,"",IF(H1615="","",H1615/CONTROL_PANEL!$B$11))</f>
        <v/>
      </c>
      <c r="N1615" s="9" t="str">
        <f t="shared" si="248"/>
        <v/>
      </c>
      <c r="O1615" s="9" t="str">
        <f t="shared" si="249"/>
        <v/>
      </c>
      <c r="P1615" s="9" t="str">
        <f t="shared" si="250"/>
        <v/>
      </c>
      <c r="Q1615" s="9" t="str">
        <f t="shared" si="251"/>
        <v/>
      </c>
      <c r="R1615" s="11"/>
      <c r="S1615" s="11" t="str">
        <f t="shared" si="252"/>
        <v>PASS</v>
      </c>
    </row>
    <row r="1616" spans="1:19" x14ac:dyDescent="0.25">
      <c r="A1616" s="30" t="s">
        <v>99</v>
      </c>
      <c r="B1616" s="31">
        <f t="shared" si="244"/>
        <v>47392</v>
      </c>
      <c r="C1616" s="30">
        <f>YEAR(BInputReservoir[[#This Row],[Date]])</f>
        <v>2029</v>
      </c>
      <c r="D1616" s="30">
        <f>MONTH(BInputReservoir[[#This Row],[Date]])</f>
        <v>10</v>
      </c>
      <c r="E1616" s="30"/>
      <c r="F1616" s="30" t="str">
        <f>STORAGE_BALANCE_ENSEMBLE!CN173</f>
        <v/>
      </c>
      <c r="G1616" s="30" t="str">
        <f>STORAGE_BALANCE_ENSEMBLE!CO173</f>
        <v/>
      </c>
      <c r="H1616" s="30"/>
      <c r="I1616" s="18" t="str">
        <f t="shared" si="243"/>
        <v/>
      </c>
      <c r="J1616" s="8" t="str">
        <f t="shared" si="245"/>
        <v/>
      </c>
      <c r="K1616" s="9" t="str">
        <f t="shared" si="246"/>
        <v/>
      </c>
      <c r="L1616" s="10" t="str">
        <f t="shared" si="247"/>
        <v/>
      </c>
      <c r="M1616" s="10" t="str">
        <f>IF(I1616&lt;&gt;1,"",IF(H1616="","",H1616/CONTROL_PANEL!$B$11))</f>
        <v/>
      </c>
      <c r="N1616" s="9" t="str">
        <f t="shared" si="248"/>
        <v/>
      </c>
      <c r="O1616" s="9" t="str">
        <f t="shared" si="249"/>
        <v/>
      </c>
      <c r="P1616" s="9" t="str">
        <f t="shared" si="250"/>
        <v/>
      </c>
      <c r="Q1616" s="9" t="str">
        <f t="shared" si="251"/>
        <v/>
      </c>
      <c r="R1616" s="11"/>
      <c r="S1616" s="11" t="str">
        <f t="shared" si="252"/>
        <v>PASS</v>
      </c>
    </row>
    <row r="1617" spans="1:19" x14ac:dyDescent="0.25">
      <c r="A1617" s="30" t="s">
        <v>99</v>
      </c>
      <c r="B1617" s="31">
        <f t="shared" si="244"/>
        <v>47423</v>
      </c>
      <c r="C1617" s="30">
        <f>YEAR(BInputReservoir[[#This Row],[Date]])</f>
        <v>2029</v>
      </c>
      <c r="D1617" s="30">
        <f>MONTH(BInputReservoir[[#This Row],[Date]])</f>
        <v>11</v>
      </c>
      <c r="E1617" s="30"/>
      <c r="F1617" s="30" t="str">
        <f>STORAGE_BALANCE_ENSEMBLE!CN174</f>
        <v/>
      </c>
      <c r="G1617" s="30" t="str">
        <f>STORAGE_BALANCE_ENSEMBLE!CO174</f>
        <v/>
      </c>
      <c r="H1617" s="30"/>
      <c r="I1617" s="18" t="str">
        <f t="shared" si="243"/>
        <v/>
      </c>
      <c r="J1617" s="8" t="str">
        <f t="shared" si="245"/>
        <v/>
      </c>
      <c r="K1617" s="9" t="str">
        <f t="shared" si="246"/>
        <v/>
      </c>
      <c r="L1617" s="10" t="str">
        <f t="shared" si="247"/>
        <v/>
      </c>
      <c r="M1617" s="10" t="str">
        <f>IF(I1617&lt;&gt;1,"",IF(H1617="","",H1617/CONTROL_PANEL!$B$11))</f>
        <v/>
      </c>
      <c r="N1617" s="9" t="str">
        <f t="shared" si="248"/>
        <v/>
      </c>
      <c r="O1617" s="9" t="str">
        <f t="shared" si="249"/>
        <v/>
      </c>
      <c r="P1617" s="9" t="str">
        <f t="shared" si="250"/>
        <v/>
      </c>
      <c r="Q1617" s="9" t="str">
        <f t="shared" si="251"/>
        <v/>
      </c>
      <c r="R1617" s="11"/>
      <c r="S1617" s="11" t="str">
        <f t="shared" si="252"/>
        <v>PASS</v>
      </c>
    </row>
    <row r="1618" spans="1:19" x14ac:dyDescent="0.25">
      <c r="A1618" s="30" t="s">
        <v>99</v>
      </c>
      <c r="B1618" s="31">
        <f t="shared" si="244"/>
        <v>47453</v>
      </c>
      <c r="C1618" s="30">
        <f>YEAR(BInputReservoir[[#This Row],[Date]])</f>
        <v>2029</v>
      </c>
      <c r="D1618" s="30">
        <f>MONTH(BInputReservoir[[#This Row],[Date]])</f>
        <v>12</v>
      </c>
      <c r="E1618" s="30"/>
      <c r="F1618" s="30" t="str">
        <f>STORAGE_BALANCE_ENSEMBLE!CN175</f>
        <v/>
      </c>
      <c r="G1618" s="30" t="str">
        <f>STORAGE_BALANCE_ENSEMBLE!CO175</f>
        <v/>
      </c>
      <c r="H1618" s="30"/>
      <c r="I1618" s="18" t="str">
        <f t="shared" si="243"/>
        <v/>
      </c>
      <c r="J1618" s="8" t="str">
        <f t="shared" si="245"/>
        <v/>
      </c>
      <c r="K1618" s="9" t="str">
        <f t="shared" si="246"/>
        <v/>
      </c>
      <c r="L1618" s="10" t="str">
        <f t="shared" si="247"/>
        <v/>
      </c>
      <c r="M1618" s="10" t="str">
        <f>IF(I1618&lt;&gt;1,"",IF(H1618="","",H1618/CONTROL_PANEL!$B$11))</f>
        <v/>
      </c>
      <c r="N1618" s="9" t="str">
        <f t="shared" si="248"/>
        <v/>
      </c>
      <c r="O1618" s="9" t="str">
        <f t="shared" si="249"/>
        <v/>
      </c>
      <c r="P1618" s="9" t="str">
        <f t="shared" si="250"/>
        <v/>
      </c>
      <c r="Q1618" s="9" t="str">
        <f t="shared" si="251"/>
        <v/>
      </c>
      <c r="R1618" s="11"/>
      <c r="S1618" s="11" t="str">
        <f t="shared" si="252"/>
        <v>PASS</v>
      </c>
    </row>
    <row r="1619" spans="1:19" x14ac:dyDescent="0.25">
      <c r="A1619" s="30" t="s">
        <v>99</v>
      </c>
      <c r="B1619" s="31">
        <f t="shared" si="244"/>
        <v>47484</v>
      </c>
      <c r="C1619" s="30">
        <f>YEAR(BInputReservoir[[#This Row],[Date]])</f>
        <v>2030</v>
      </c>
      <c r="D1619" s="30">
        <f>MONTH(BInputReservoir[[#This Row],[Date]])</f>
        <v>1</v>
      </c>
      <c r="E1619" s="30"/>
      <c r="F1619" s="30" t="str">
        <f>STORAGE_BALANCE_ENSEMBLE!CN176</f>
        <v/>
      </c>
      <c r="G1619" s="30" t="str">
        <f>STORAGE_BALANCE_ENSEMBLE!CO176</f>
        <v/>
      </c>
      <c r="H1619" s="30"/>
      <c r="I1619" s="18" t="str">
        <f t="shared" si="243"/>
        <v/>
      </c>
      <c r="J1619" s="8" t="str">
        <f t="shared" si="245"/>
        <v/>
      </c>
      <c r="K1619" s="9" t="str">
        <f t="shared" si="246"/>
        <v/>
      </c>
      <c r="L1619" s="10" t="str">
        <f t="shared" si="247"/>
        <v/>
      </c>
      <c r="M1619" s="10" t="str">
        <f>IF(I1619&lt;&gt;1,"",IF(H1619="","",H1619/CONTROL_PANEL!$B$11))</f>
        <v/>
      </c>
      <c r="N1619" s="9" t="str">
        <f t="shared" si="248"/>
        <v/>
      </c>
      <c r="O1619" s="9" t="str">
        <f t="shared" si="249"/>
        <v/>
      </c>
      <c r="P1619" s="9" t="str">
        <f t="shared" si="250"/>
        <v/>
      </c>
      <c r="Q1619" s="9" t="str">
        <f t="shared" si="251"/>
        <v/>
      </c>
      <c r="R1619" s="11"/>
      <c r="S1619" s="11" t="str">
        <f t="shared" si="252"/>
        <v>PASS</v>
      </c>
    </row>
    <row r="1620" spans="1:19" x14ac:dyDescent="0.25">
      <c r="A1620" s="30" t="s">
        <v>99</v>
      </c>
      <c r="B1620" s="31">
        <f t="shared" si="244"/>
        <v>47515</v>
      </c>
      <c r="C1620" s="30">
        <f>YEAR(BInputReservoir[[#This Row],[Date]])</f>
        <v>2030</v>
      </c>
      <c r="D1620" s="30">
        <f>MONTH(BInputReservoir[[#This Row],[Date]])</f>
        <v>2</v>
      </c>
      <c r="E1620" s="30"/>
      <c r="F1620" s="30" t="str">
        <f>STORAGE_BALANCE_ENSEMBLE!CN177</f>
        <v/>
      </c>
      <c r="G1620" s="30" t="str">
        <f>STORAGE_BALANCE_ENSEMBLE!CO177</f>
        <v/>
      </c>
      <c r="H1620" s="30"/>
      <c r="I1620" s="18" t="str">
        <f t="shared" si="243"/>
        <v/>
      </c>
      <c r="J1620" s="8" t="str">
        <f t="shared" si="245"/>
        <v/>
      </c>
      <c r="K1620" s="9" t="str">
        <f t="shared" si="246"/>
        <v/>
      </c>
      <c r="L1620" s="10" t="str">
        <f t="shared" si="247"/>
        <v/>
      </c>
      <c r="M1620" s="10" t="str">
        <f>IF(I1620&lt;&gt;1,"",IF(H1620="","",H1620/CONTROL_PANEL!$B$11))</f>
        <v/>
      </c>
      <c r="N1620" s="9" t="str">
        <f t="shared" si="248"/>
        <v/>
      </c>
      <c r="O1620" s="9" t="str">
        <f t="shared" si="249"/>
        <v/>
      </c>
      <c r="P1620" s="9" t="str">
        <f t="shared" si="250"/>
        <v/>
      </c>
      <c r="Q1620" s="9" t="str">
        <f t="shared" si="251"/>
        <v/>
      </c>
      <c r="R1620" s="11"/>
      <c r="S1620" s="11" t="str">
        <f t="shared" si="252"/>
        <v>PASS</v>
      </c>
    </row>
    <row r="1621" spans="1:19" x14ac:dyDescent="0.25">
      <c r="A1621" s="30" t="s">
        <v>99</v>
      </c>
      <c r="B1621" s="31">
        <f t="shared" si="244"/>
        <v>47543</v>
      </c>
      <c r="C1621" s="30">
        <f>YEAR(BInputReservoir[[#This Row],[Date]])</f>
        <v>2030</v>
      </c>
      <c r="D1621" s="30">
        <f>MONTH(BInputReservoir[[#This Row],[Date]])</f>
        <v>3</v>
      </c>
      <c r="E1621" s="30"/>
      <c r="F1621" s="30" t="str">
        <f>STORAGE_BALANCE_ENSEMBLE!CN178</f>
        <v/>
      </c>
      <c r="G1621" s="30" t="str">
        <f>STORAGE_BALANCE_ENSEMBLE!CO178</f>
        <v/>
      </c>
      <c r="H1621" s="30"/>
      <c r="I1621" s="18" t="str">
        <f t="shared" si="243"/>
        <v/>
      </c>
      <c r="J1621" s="8" t="str">
        <f t="shared" si="245"/>
        <v/>
      </c>
      <c r="K1621" s="9" t="str">
        <f t="shared" si="246"/>
        <v/>
      </c>
      <c r="L1621" s="10" t="str">
        <f t="shared" si="247"/>
        <v/>
      </c>
      <c r="M1621" s="10" t="str">
        <f>IF(I1621&lt;&gt;1,"",IF(H1621="","",H1621/CONTROL_PANEL!$B$11))</f>
        <v/>
      </c>
      <c r="N1621" s="9" t="str">
        <f t="shared" si="248"/>
        <v/>
      </c>
      <c r="O1621" s="9" t="str">
        <f t="shared" si="249"/>
        <v/>
      </c>
      <c r="P1621" s="9" t="str">
        <f t="shared" si="250"/>
        <v/>
      </c>
      <c r="Q1621" s="9" t="str">
        <f t="shared" si="251"/>
        <v/>
      </c>
      <c r="R1621" s="11"/>
      <c r="S1621" s="11" t="str">
        <f t="shared" si="252"/>
        <v>PASS</v>
      </c>
    </row>
    <row r="1622" spans="1:19" x14ac:dyDescent="0.25">
      <c r="A1622" s="30" t="s">
        <v>99</v>
      </c>
      <c r="B1622" s="31">
        <f t="shared" si="244"/>
        <v>47574</v>
      </c>
      <c r="C1622" s="30">
        <f>YEAR(BInputReservoir[[#This Row],[Date]])</f>
        <v>2030</v>
      </c>
      <c r="D1622" s="30">
        <f>MONTH(BInputReservoir[[#This Row],[Date]])</f>
        <v>4</v>
      </c>
      <c r="E1622" s="30"/>
      <c r="F1622" s="30" t="str">
        <f>STORAGE_BALANCE_ENSEMBLE!CN179</f>
        <v/>
      </c>
      <c r="G1622" s="30" t="str">
        <f>STORAGE_BALANCE_ENSEMBLE!CO179</f>
        <v/>
      </c>
      <c r="H1622" s="30"/>
      <c r="I1622" s="18" t="str">
        <f t="shared" si="243"/>
        <v/>
      </c>
      <c r="J1622" s="8" t="str">
        <f t="shared" si="245"/>
        <v/>
      </c>
      <c r="K1622" s="9" t="str">
        <f t="shared" si="246"/>
        <v/>
      </c>
      <c r="L1622" s="10" t="str">
        <f t="shared" si="247"/>
        <v/>
      </c>
      <c r="M1622" s="10" t="str">
        <f>IF(I1622&lt;&gt;1,"",IF(H1622="","",H1622/CONTROL_PANEL!$B$11))</f>
        <v/>
      </c>
      <c r="N1622" s="9" t="str">
        <f t="shared" si="248"/>
        <v/>
      </c>
      <c r="O1622" s="9" t="str">
        <f t="shared" si="249"/>
        <v/>
      </c>
      <c r="P1622" s="9" t="str">
        <f t="shared" si="250"/>
        <v/>
      </c>
      <c r="Q1622" s="9" t="str">
        <f t="shared" si="251"/>
        <v/>
      </c>
      <c r="R1622" s="11"/>
      <c r="S1622" s="11" t="str">
        <f t="shared" si="252"/>
        <v>PASS</v>
      </c>
    </row>
    <row r="1623" spans="1:19" x14ac:dyDescent="0.25">
      <c r="A1623" s="30" t="s">
        <v>99</v>
      </c>
      <c r="B1623" s="31">
        <f t="shared" si="244"/>
        <v>47604</v>
      </c>
      <c r="C1623" s="30">
        <f>YEAR(BInputReservoir[[#This Row],[Date]])</f>
        <v>2030</v>
      </c>
      <c r="D1623" s="30">
        <f>MONTH(BInputReservoir[[#This Row],[Date]])</f>
        <v>5</v>
      </c>
      <c r="E1623" s="30"/>
      <c r="F1623" s="30" t="str">
        <f>STORAGE_BALANCE_ENSEMBLE!CN180</f>
        <v/>
      </c>
      <c r="G1623" s="30" t="str">
        <f>STORAGE_BALANCE_ENSEMBLE!CO180</f>
        <v/>
      </c>
      <c r="H1623" s="30"/>
      <c r="I1623" s="18" t="str">
        <f t="shared" si="243"/>
        <v/>
      </c>
      <c r="J1623" s="8" t="str">
        <f t="shared" si="245"/>
        <v/>
      </c>
      <c r="K1623" s="9" t="str">
        <f t="shared" si="246"/>
        <v/>
      </c>
      <c r="L1623" s="10" t="str">
        <f t="shared" si="247"/>
        <v/>
      </c>
      <c r="M1623" s="10" t="str">
        <f>IF(I1623&lt;&gt;1,"",IF(H1623="","",H1623/CONTROL_PANEL!$B$11))</f>
        <v/>
      </c>
      <c r="N1623" s="9" t="str">
        <f t="shared" si="248"/>
        <v/>
      </c>
      <c r="O1623" s="9" t="str">
        <f t="shared" si="249"/>
        <v/>
      </c>
      <c r="P1623" s="9" t="str">
        <f t="shared" si="250"/>
        <v/>
      </c>
      <c r="Q1623" s="9" t="str">
        <f t="shared" si="251"/>
        <v/>
      </c>
      <c r="R1623" s="11"/>
      <c r="S1623" s="11" t="str">
        <f t="shared" si="252"/>
        <v>PASS</v>
      </c>
    </row>
    <row r="1624" spans="1:19" x14ac:dyDescent="0.25">
      <c r="A1624" s="30" t="s">
        <v>99</v>
      </c>
      <c r="B1624" s="31">
        <f t="shared" si="244"/>
        <v>47635</v>
      </c>
      <c r="C1624" s="30">
        <f>YEAR(BInputReservoir[[#This Row],[Date]])</f>
        <v>2030</v>
      </c>
      <c r="D1624" s="30">
        <f>MONTH(BInputReservoir[[#This Row],[Date]])</f>
        <v>6</v>
      </c>
      <c r="E1624" s="30"/>
      <c r="F1624" s="30" t="str">
        <f>STORAGE_BALANCE_ENSEMBLE!CN181</f>
        <v/>
      </c>
      <c r="G1624" s="30" t="str">
        <f>STORAGE_BALANCE_ENSEMBLE!CO181</f>
        <v/>
      </c>
      <c r="H1624" s="30"/>
      <c r="I1624" s="18" t="str">
        <f t="shared" si="243"/>
        <v/>
      </c>
      <c r="J1624" s="8" t="str">
        <f t="shared" si="245"/>
        <v/>
      </c>
      <c r="K1624" s="9" t="str">
        <f t="shared" si="246"/>
        <v/>
      </c>
      <c r="L1624" s="10" t="str">
        <f t="shared" si="247"/>
        <v/>
      </c>
      <c r="M1624" s="10" t="str">
        <f>IF(I1624&lt;&gt;1,"",IF(H1624="","",H1624/CONTROL_PANEL!$B$11))</f>
        <v/>
      </c>
      <c r="N1624" s="9" t="str">
        <f t="shared" si="248"/>
        <v/>
      </c>
      <c r="O1624" s="9" t="str">
        <f t="shared" si="249"/>
        <v/>
      </c>
      <c r="P1624" s="9" t="str">
        <f t="shared" si="250"/>
        <v/>
      </c>
      <c r="Q1624" s="9" t="str">
        <f t="shared" si="251"/>
        <v/>
      </c>
      <c r="R1624" s="11"/>
      <c r="S1624" s="11" t="str">
        <f t="shared" si="252"/>
        <v>PASS</v>
      </c>
    </row>
    <row r="1625" spans="1:19" x14ac:dyDescent="0.25">
      <c r="A1625" s="30" t="s">
        <v>99</v>
      </c>
      <c r="B1625" s="31">
        <f t="shared" si="244"/>
        <v>47665</v>
      </c>
      <c r="C1625" s="30">
        <f>YEAR(BInputReservoir[[#This Row],[Date]])</f>
        <v>2030</v>
      </c>
      <c r="D1625" s="30">
        <f>MONTH(BInputReservoir[[#This Row],[Date]])</f>
        <v>7</v>
      </c>
      <c r="E1625" s="30"/>
      <c r="F1625" s="30" t="str">
        <f>STORAGE_BALANCE_ENSEMBLE!CN182</f>
        <v/>
      </c>
      <c r="G1625" s="30" t="str">
        <f>STORAGE_BALANCE_ENSEMBLE!CO182</f>
        <v/>
      </c>
      <c r="H1625" s="30"/>
      <c r="I1625" s="18" t="str">
        <f t="shared" si="243"/>
        <v/>
      </c>
      <c r="J1625" s="8" t="str">
        <f t="shared" si="245"/>
        <v/>
      </c>
      <c r="K1625" s="9" t="str">
        <f t="shared" si="246"/>
        <v/>
      </c>
      <c r="L1625" s="10" t="str">
        <f t="shared" si="247"/>
        <v/>
      </c>
      <c r="M1625" s="10" t="str">
        <f>IF(I1625&lt;&gt;1,"",IF(H1625="","",H1625/CONTROL_PANEL!$B$11))</f>
        <v/>
      </c>
      <c r="N1625" s="9" t="str">
        <f t="shared" si="248"/>
        <v/>
      </c>
      <c r="O1625" s="9" t="str">
        <f t="shared" si="249"/>
        <v/>
      </c>
      <c r="P1625" s="9" t="str">
        <f t="shared" si="250"/>
        <v/>
      </c>
      <c r="Q1625" s="9" t="str">
        <f t="shared" si="251"/>
        <v/>
      </c>
      <c r="R1625" s="11"/>
      <c r="S1625" s="11" t="str">
        <f t="shared" si="252"/>
        <v>PASS</v>
      </c>
    </row>
    <row r="1626" spans="1:19" x14ac:dyDescent="0.25">
      <c r="A1626" s="30" t="s">
        <v>99</v>
      </c>
      <c r="B1626" s="31">
        <f t="shared" si="244"/>
        <v>47696</v>
      </c>
      <c r="C1626" s="30">
        <f>YEAR(BInputReservoir[[#This Row],[Date]])</f>
        <v>2030</v>
      </c>
      <c r="D1626" s="30">
        <f>MONTH(BInputReservoir[[#This Row],[Date]])</f>
        <v>8</v>
      </c>
      <c r="E1626" s="30"/>
      <c r="F1626" s="30" t="str">
        <f>STORAGE_BALANCE_ENSEMBLE!CN183</f>
        <v/>
      </c>
      <c r="G1626" s="30" t="str">
        <f>STORAGE_BALANCE_ENSEMBLE!CO183</f>
        <v/>
      </c>
      <c r="H1626" s="30"/>
      <c r="I1626" s="18" t="str">
        <f t="shared" si="243"/>
        <v/>
      </c>
      <c r="J1626" s="8" t="str">
        <f t="shared" si="245"/>
        <v/>
      </c>
      <c r="K1626" s="9" t="str">
        <f t="shared" si="246"/>
        <v/>
      </c>
      <c r="L1626" s="10" t="str">
        <f t="shared" si="247"/>
        <v/>
      </c>
      <c r="M1626" s="10" t="str">
        <f>IF(I1626&lt;&gt;1,"",IF(H1626="","",H1626/CONTROL_PANEL!$B$11))</f>
        <v/>
      </c>
      <c r="N1626" s="9" t="str">
        <f t="shared" si="248"/>
        <v/>
      </c>
      <c r="O1626" s="9" t="str">
        <f t="shared" si="249"/>
        <v/>
      </c>
      <c r="P1626" s="9" t="str">
        <f t="shared" si="250"/>
        <v/>
      </c>
      <c r="Q1626" s="9" t="str">
        <f t="shared" si="251"/>
        <v/>
      </c>
      <c r="R1626" s="11"/>
      <c r="S1626" s="11" t="str">
        <f t="shared" si="252"/>
        <v>PASS</v>
      </c>
    </row>
    <row r="1627" spans="1:19" x14ac:dyDescent="0.25">
      <c r="A1627" s="30" t="s">
        <v>99</v>
      </c>
      <c r="B1627" s="31">
        <f t="shared" si="244"/>
        <v>47727</v>
      </c>
      <c r="C1627" s="30">
        <f>YEAR(BInputReservoir[[#This Row],[Date]])</f>
        <v>2030</v>
      </c>
      <c r="D1627" s="30">
        <f>MONTH(BInputReservoir[[#This Row],[Date]])</f>
        <v>9</v>
      </c>
      <c r="E1627" s="30"/>
      <c r="F1627" s="30" t="str">
        <f>STORAGE_BALANCE_ENSEMBLE!CN184</f>
        <v/>
      </c>
      <c r="G1627" s="30" t="str">
        <f>STORAGE_BALANCE_ENSEMBLE!CO184</f>
        <v/>
      </c>
      <c r="H1627" s="30"/>
      <c r="I1627" s="18" t="str">
        <f t="shared" si="243"/>
        <v/>
      </c>
      <c r="J1627" s="8" t="str">
        <f t="shared" si="245"/>
        <v/>
      </c>
      <c r="K1627" s="9" t="str">
        <f t="shared" si="246"/>
        <v/>
      </c>
      <c r="L1627" s="10" t="str">
        <f t="shared" si="247"/>
        <v/>
      </c>
      <c r="M1627" s="10" t="str">
        <f>IF(I1627&lt;&gt;1,"",IF(H1627="","",H1627/CONTROL_PANEL!$B$11))</f>
        <v/>
      </c>
      <c r="N1627" s="9" t="str">
        <f t="shared" si="248"/>
        <v/>
      </c>
      <c r="O1627" s="9" t="str">
        <f t="shared" si="249"/>
        <v/>
      </c>
      <c r="P1627" s="9" t="str">
        <f t="shared" si="250"/>
        <v/>
      </c>
      <c r="Q1627" s="9" t="str">
        <f t="shared" si="251"/>
        <v/>
      </c>
      <c r="R1627" s="11"/>
      <c r="S1627" s="11" t="str">
        <f t="shared" si="252"/>
        <v>PASS</v>
      </c>
    </row>
    <row r="1628" spans="1:19" x14ac:dyDescent="0.25">
      <c r="A1628" s="30" t="s">
        <v>99</v>
      </c>
      <c r="B1628" s="31">
        <f t="shared" si="244"/>
        <v>47757</v>
      </c>
      <c r="C1628" s="30">
        <f>YEAR(BInputReservoir[[#This Row],[Date]])</f>
        <v>2030</v>
      </c>
      <c r="D1628" s="30">
        <f>MONTH(BInputReservoir[[#This Row],[Date]])</f>
        <v>10</v>
      </c>
      <c r="E1628" s="30"/>
      <c r="F1628" s="30" t="str">
        <f>STORAGE_BALANCE_ENSEMBLE!CN185</f>
        <v/>
      </c>
      <c r="G1628" s="30" t="str">
        <f>STORAGE_BALANCE_ENSEMBLE!CO185</f>
        <v/>
      </c>
      <c r="H1628" s="30"/>
      <c r="I1628" s="18" t="str">
        <f t="shared" si="243"/>
        <v/>
      </c>
      <c r="J1628" s="8" t="str">
        <f t="shared" si="245"/>
        <v/>
      </c>
      <c r="K1628" s="9" t="str">
        <f t="shared" si="246"/>
        <v/>
      </c>
      <c r="L1628" s="10" t="str">
        <f t="shared" si="247"/>
        <v/>
      </c>
      <c r="M1628" s="10" t="str">
        <f>IF(I1628&lt;&gt;1,"",IF(H1628="","",H1628/CONTROL_PANEL!$B$11))</f>
        <v/>
      </c>
      <c r="N1628" s="9" t="str">
        <f t="shared" si="248"/>
        <v/>
      </c>
      <c r="O1628" s="9" t="str">
        <f t="shared" si="249"/>
        <v/>
      </c>
      <c r="P1628" s="9" t="str">
        <f t="shared" si="250"/>
        <v/>
      </c>
      <c r="Q1628" s="9" t="str">
        <f t="shared" si="251"/>
        <v/>
      </c>
      <c r="R1628" s="11"/>
      <c r="S1628" s="11" t="str">
        <f t="shared" si="252"/>
        <v>PASS</v>
      </c>
    </row>
    <row r="1629" spans="1:19" x14ac:dyDescent="0.25">
      <c r="A1629" s="30" t="s">
        <v>99</v>
      </c>
      <c r="B1629" s="31">
        <f t="shared" si="244"/>
        <v>47788</v>
      </c>
      <c r="C1629" s="30">
        <f>YEAR(BInputReservoir[[#This Row],[Date]])</f>
        <v>2030</v>
      </c>
      <c r="D1629" s="30">
        <f>MONTH(BInputReservoir[[#This Row],[Date]])</f>
        <v>11</v>
      </c>
      <c r="E1629" s="30"/>
      <c r="F1629" s="30" t="str">
        <f>STORAGE_BALANCE_ENSEMBLE!CN186</f>
        <v/>
      </c>
      <c r="G1629" s="30" t="str">
        <f>STORAGE_BALANCE_ENSEMBLE!CO186</f>
        <v/>
      </c>
      <c r="H1629" s="30"/>
      <c r="I1629" s="18" t="str">
        <f t="shared" si="243"/>
        <v/>
      </c>
      <c r="J1629" s="8" t="str">
        <f t="shared" si="245"/>
        <v/>
      </c>
      <c r="K1629" s="9" t="str">
        <f t="shared" si="246"/>
        <v/>
      </c>
      <c r="L1629" s="10" t="str">
        <f t="shared" si="247"/>
        <v/>
      </c>
      <c r="M1629" s="10" t="str">
        <f>IF(I1629&lt;&gt;1,"",IF(H1629="","",H1629/CONTROL_PANEL!$B$11))</f>
        <v/>
      </c>
      <c r="N1629" s="9" t="str">
        <f t="shared" si="248"/>
        <v/>
      </c>
      <c r="O1629" s="9" t="str">
        <f t="shared" si="249"/>
        <v/>
      </c>
      <c r="P1629" s="9" t="str">
        <f t="shared" si="250"/>
        <v/>
      </c>
      <c r="Q1629" s="9" t="str">
        <f t="shared" si="251"/>
        <v/>
      </c>
      <c r="R1629" s="11"/>
      <c r="S1629" s="11" t="str">
        <f t="shared" si="252"/>
        <v>PASS</v>
      </c>
    </row>
    <row r="1630" spans="1:19" x14ac:dyDescent="0.25">
      <c r="A1630" s="30" t="s">
        <v>99</v>
      </c>
      <c r="B1630" s="31">
        <f t="shared" si="244"/>
        <v>47818</v>
      </c>
      <c r="C1630" s="30">
        <f>YEAR(BInputReservoir[[#This Row],[Date]])</f>
        <v>2030</v>
      </c>
      <c r="D1630" s="30">
        <f>MONTH(BInputReservoir[[#This Row],[Date]])</f>
        <v>12</v>
      </c>
      <c r="E1630" s="30"/>
      <c r="F1630" s="30" t="str">
        <f>STORAGE_BALANCE_ENSEMBLE!CN187</f>
        <v/>
      </c>
      <c r="G1630" s="30" t="str">
        <f>STORAGE_BALANCE_ENSEMBLE!CO187</f>
        <v/>
      </c>
      <c r="H1630" s="30"/>
      <c r="I1630" s="18" t="str">
        <f t="shared" si="243"/>
        <v/>
      </c>
      <c r="J1630" s="8" t="str">
        <f t="shared" si="245"/>
        <v/>
      </c>
      <c r="K1630" s="9" t="str">
        <f t="shared" si="246"/>
        <v/>
      </c>
      <c r="L1630" s="10" t="str">
        <f t="shared" si="247"/>
        <v/>
      </c>
      <c r="M1630" s="10" t="str">
        <f>IF(I1630&lt;&gt;1,"",IF(H1630="","",H1630/CONTROL_PANEL!$B$11))</f>
        <v/>
      </c>
      <c r="N1630" s="9" t="str">
        <f t="shared" si="248"/>
        <v/>
      </c>
      <c r="O1630" s="9" t="str">
        <f t="shared" si="249"/>
        <v/>
      </c>
      <c r="P1630" s="9" t="str">
        <f t="shared" si="250"/>
        <v/>
      </c>
      <c r="Q1630" s="9" t="str">
        <f t="shared" si="251"/>
        <v/>
      </c>
      <c r="R1630" s="11"/>
      <c r="S1630" s="11" t="str">
        <f t="shared" si="252"/>
        <v>PASS</v>
      </c>
    </row>
    <row r="1631" spans="1:19" x14ac:dyDescent="0.25">
      <c r="A1631" s="30" t="s">
        <v>99</v>
      </c>
      <c r="B1631" s="31">
        <f t="shared" si="244"/>
        <v>47849</v>
      </c>
      <c r="C1631" s="30">
        <f>YEAR(BInputReservoir[[#This Row],[Date]])</f>
        <v>2031</v>
      </c>
      <c r="D1631" s="30">
        <f>MONTH(BInputReservoir[[#This Row],[Date]])</f>
        <v>1</v>
      </c>
      <c r="E1631" s="30"/>
      <c r="F1631" s="30" t="str">
        <f>STORAGE_BALANCE_ENSEMBLE!CN188</f>
        <v/>
      </c>
      <c r="G1631" s="30" t="str">
        <f>STORAGE_BALANCE_ENSEMBLE!CO188</f>
        <v/>
      </c>
      <c r="H1631" s="30"/>
      <c r="I1631" s="18" t="str">
        <f t="shared" si="243"/>
        <v/>
      </c>
      <c r="J1631" s="8" t="str">
        <f t="shared" si="245"/>
        <v/>
      </c>
      <c r="K1631" s="9" t="str">
        <f t="shared" si="246"/>
        <v/>
      </c>
      <c r="L1631" s="10" t="str">
        <f t="shared" si="247"/>
        <v/>
      </c>
      <c r="M1631" s="10" t="str">
        <f>IF(I1631&lt;&gt;1,"",IF(H1631="","",H1631/CONTROL_PANEL!$B$11))</f>
        <v/>
      </c>
      <c r="N1631" s="9" t="str">
        <f t="shared" si="248"/>
        <v/>
      </c>
      <c r="O1631" s="9" t="str">
        <f t="shared" si="249"/>
        <v/>
      </c>
      <c r="P1631" s="9" t="str">
        <f t="shared" si="250"/>
        <v/>
      </c>
      <c r="Q1631" s="9" t="str">
        <f t="shared" si="251"/>
        <v/>
      </c>
      <c r="R1631" s="11"/>
      <c r="S1631" s="11" t="str">
        <f t="shared" si="252"/>
        <v>PASS</v>
      </c>
    </row>
    <row r="1632" spans="1:19" x14ac:dyDescent="0.25">
      <c r="A1632" s="30" t="s">
        <v>99</v>
      </c>
      <c r="B1632" s="31">
        <f t="shared" si="244"/>
        <v>47880</v>
      </c>
      <c r="C1632" s="30">
        <f>YEAR(BInputReservoir[[#This Row],[Date]])</f>
        <v>2031</v>
      </c>
      <c r="D1632" s="30">
        <f>MONTH(BInputReservoir[[#This Row],[Date]])</f>
        <v>2</v>
      </c>
      <c r="E1632" s="30"/>
      <c r="F1632" s="30" t="str">
        <f>STORAGE_BALANCE_ENSEMBLE!CN189</f>
        <v/>
      </c>
      <c r="G1632" s="30" t="str">
        <f>STORAGE_BALANCE_ENSEMBLE!CO189</f>
        <v/>
      </c>
      <c r="H1632" s="30"/>
      <c r="I1632" s="18" t="str">
        <f t="shared" si="243"/>
        <v/>
      </c>
      <c r="J1632" s="8" t="str">
        <f t="shared" si="245"/>
        <v/>
      </c>
      <c r="K1632" s="9" t="str">
        <f t="shared" si="246"/>
        <v/>
      </c>
      <c r="L1632" s="10" t="str">
        <f t="shared" si="247"/>
        <v/>
      </c>
      <c r="M1632" s="10" t="str">
        <f>IF(I1632&lt;&gt;1,"",IF(H1632="","",H1632/CONTROL_PANEL!$B$11))</f>
        <v/>
      </c>
      <c r="N1632" s="9" t="str">
        <f t="shared" si="248"/>
        <v/>
      </c>
      <c r="O1632" s="9" t="str">
        <f t="shared" si="249"/>
        <v/>
      </c>
      <c r="P1632" s="9" t="str">
        <f t="shared" si="250"/>
        <v/>
      </c>
      <c r="Q1632" s="9" t="str">
        <f t="shared" si="251"/>
        <v/>
      </c>
      <c r="R1632" s="11"/>
      <c r="S1632" s="11" t="str">
        <f t="shared" si="252"/>
        <v>PASS</v>
      </c>
    </row>
    <row r="1633" spans="1:19" x14ac:dyDescent="0.25">
      <c r="A1633" s="30" t="s">
        <v>99</v>
      </c>
      <c r="B1633" s="31">
        <f t="shared" si="244"/>
        <v>47908</v>
      </c>
      <c r="C1633" s="30">
        <f>YEAR(BInputReservoir[[#This Row],[Date]])</f>
        <v>2031</v>
      </c>
      <c r="D1633" s="30">
        <f>MONTH(BInputReservoir[[#This Row],[Date]])</f>
        <v>3</v>
      </c>
      <c r="E1633" s="30"/>
      <c r="F1633" s="30" t="str">
        <f>STORAGE_BALANCE_ENSEMBLE!CN190</f>
        <v/>
      </c>
      <c r="G1633" s="30" t="str">
        <f>STORAGE_BALANCE_ENSEMBLE!CO190</f>
        <v/>
      </c>
      <c r="H1633" s="30"/>
      <c r="I1633" s="18" t="str">
        <f t="shared" si="243"/>
        <v/>
      </c>
      <c r="J1633" s="8" t="str">
        <f t="shared" si="245"/>
        <v/>
      </c>
      <c r="K1633" s="9" t="str">
        <f t="shared" si="246"/>
        <v/>
      </c>
      <c r="L1633" s="10" t="str">
        <f t="shared" si="247"/>
        <v/>
      </c>
      <c r="M1633" s="10" t="str">
        <f>IF(I1633&lt;&gt;1,"",IF(H1633="","",H1633/CONTROL_PANEL!$B$11))</f>
        <v/>
      </c>
      <c r="N1633" s="9" t="str">
        <f t="shared" si="248"/>
        <v/>
      </c>
      <c r="O1633" s="9" t="str">
        <f t="shared" si="249"/>
        <v/>
      </c>
      <c r="P1633" s="9" t="str">
        <f t="shared" si="250"/>
        <v/>
      </c>
      <c r="Q1633" s="9" t="str">
        <f t="shared" si="251"/>
        <v/>
      </c>
      <c r="R1633" s="11"/>
      <c r="S1633" s="11" t="str">
        <f t="shared" si="252"/>
        <v>PASS</v>
      </c>
    </row>
    <row r="1634" spans="1:19" x14ac:dyDescent="0.25">
      <c r="A1634" s="30" t="s">
        <v>99</v>
      </c>
      <c r="B1634" s="31">
        <f t="shared" si="244"/>
        <v>47939</v>
      </c>
      <c r="C1634" s="30">
        <f>YEAR(BInputReservoir[[#This Row],[Date]])</f>
        <v>2031</v>
      </c>
      <c r="D1634" s="30">
        <f>MONTH(BInputReservoir[[#This Row],[Date]])</f>
        <v>4</v>
      </c>
      <c r="E1634" s="30"/>
      <c r="F1634" s="30" t="str">
        <f>STORAGE_BALANCE_ENSEMBLE!CN191</f>
        <v/>
      </c>
      <c r="G1634" s="30" t="str">
        <f>STORAGE_BALANCE_ENSEMBLE!CO191</f>
        <v/>
      </c>
      <c r="H1634" s="30"/>
      <c r="I1634" s="18" t="str">
        <f t="shared" si="243"/>
        <v/>
      </c>
      <c r="J1634" s="8" t="str">
        <f t="shared" si="245"/>
        <v/>
      </c>
      <c r="K1634" s="9" t="str">
        <f t="shared" si="246"/>
        <v/>
      </c>
      <c r="L1634" s="10" t="str">
        <f t="shared" si="247"/>
        <v/>
      </c>
      <c r="M1634" s="10" t="str">
        <f>IF(I1634&lt;&gt;1,"",IF(H1634="","",H1634/CONTROL_PANEL!$B$11))</f>
        <v/>
      </c>
      <c r="N1634" s="9" t="str">
        <f t="shared" si="248"/>
        <v/>
      </c>
      <c r="O1634" s="9" t="str">
        <f t="shared" si="249"/>
        <v/>
      </c>
      <c r="P1634" s="9" t="str">
        <f t="shared" si="250"/>
        <v/>
      </c>
      <c r="Q1634" s="9" t="str">
        <f t="shared" si="251"/>
        <v/>
      </c>
      <c r="R1634" s="11"/>
      <c r="S1634" s="11" t="str">
        <f t="shared" si="252"/>
        <v>PASS</v>
      </c>
    </row>
    <row r="1635" spans="1:19" x14ac:dyDescent="0.25">
      <c r="A1635" s="30" t="s">
        <v>99</v>
      </c>
      <c r="B1635" s="31">
        <f t="shared" si="244"/>
        <v>47969</v>
      </c>
      <c r="C1635" s="30">
        <f>YEAR(BInputReservoir[[#This Row],[Date]])</f>
        <v>2031</v>
      </c>
      <c r="D1635" s="30">
        <f>MONTH(BInputReservoir[[#This Row],[Date]])</f>
        <v>5</v>
      </c>
      <c r="E1635" s="30"/>
      <c r="F1635" s="30" t="str">
        <f>STORAGE_BALANCE_ENSEMBLE!CN192</f>
        <v/>
      </c>
      <c r="G1635" s="30" t="str">
        <f>STORAGE_BALANCE_ENSEMBLE!CO192</f>
        <v/>
      </c>
      <c r="H1635" s="30"/>
      <c r="I1635" s="18" t="str">
        <f t="shared" si="243"/>
        <v/>
      </c>
      <c r="J1635" s="8" t="str">
        <f t="shared" si="245"/>
        <v/>
      </c>
      <c r="K1635" s="9" t="str">
        <f t="shared" si="246"/>
        <v/>
      </c>
      <c r="L1635" s="10" t="str">
        <f t="shared" si="247"/>
        <v/>
      </c>
      <c r="M1635" s="10" t="str">
        <f>IF(I1635&lt;&gt;1,"",IF(H1635="","",H1635/CONTROL_PANEL!$B$11))</f>
        <v/>
      </c>
      <c r="N1635" s="9" t="str">
        <f t="shared" si="248"/>
        <v/>
      </c>
      <c r="O1635" s="9" t="str">
        <f t="shared" si="249"/>
        <v/>
      </c>
      <c r="P1635" s="9" t="str">
        <f t="shared" si="250"/>
        <v/>
      </c>
      <c r="Q1635" s="9" t="str">
        <f t="shared" si="251"/>
        <v/>
      </c>
      <c r="R1635" s="11"/>
      <c r="S1635" s="11" t="str">
        <f t="shared" si="252"/>
        <v>PASS</v>
      </c>
    </row>
    <row r="1636" spans="1:19" x14ac:dyDescent="0.25">
      <c r="A1636" s="30" t="s">
        <v>99</v>
      </c>
      <c r="B1636" s="31">
        <f t="shared" si="244"/>
        <v>48000</v>
      </c>
      <c r="C1636" s="30">
        <f>YEAR(BInputReservoir[[#This Row],[Date]])</f>
        <v>2031</v>
      </c>
      <c r="D1636" s="30">
        <f>MONTH(BInputReservoir[[#This Row],[Date]])</f>
        <v>6</v>
      </c>
      <c r="E1636" s="30"/>
      <c r="F1636" s="30" t="str">
        <f>STORAGE_BALANCE_ENSEMBLE!CN193</f>
        <v/>
      </c>
      <c r="G1636" s="30" t="str">
        <f>STORAGE_BALANCE_ENSEMBLE!CO193</f>
        <v/>
      </c>
      <c r="H1636" s="30"/>
      <c r="I1636" s="18" t="str">
        <f t="shared" si="243"/>
        <v/>
      </c>
      <c r="J1636" s="8" t="str">
        <f t="shared" si="245"/>
        <v/>
      </c>
      <c r="K1636" s="9" t="str">
        <f t="shared" si="246"/>
        <v/>
      </c>
      <c r="L1636" s="10" t="str">
        <f t="shared" si="247"/>
        <v/>
      </c>
      <c r="M1636" s="10" t="str">
        <f>IF(I1636&lt;&gt;1,"",IF(H1636="","",H1636/CONTROL_PANEL!$B$11))</f>
        <v/>
      </c>
      <c r="N1636" s="9" t="str">
        <f t="shared" si="248"/>
        <v/>
      </c>
      <c r="O1636" s="9" t="str">
        <f t="shared" si="249"/>
        <v/>
      </c>
      <c r="P1636" s="9" t="str">
        <f t="shared" si="250"/>
        <v/>
      </c>
      <c r="Q1636" s="9" t="str">
        <f t="shared" si="251"/>
        <v/>
      </c>
      <c r="R1636" s="11"/>
      <c r="S1636" s="11" t="str">
        <f t="shared" si="252"/>
        <v>PASS</v>
      </c>
    </row>
    <row r="1637" spans="1:19" x14ac:dyDescent="0.25">
      <c r="A1637" s="30" t="s">
        <v>99</v>
      </c>
      <c r="B1637" s="31">
        <f t="shared" si="244"/>
        <v>48030</v>
      </c>
      <c r="C1637" s="30">
        <f>YEAR(BInputReservoir[[#This Row],[Date]])</f>
        <v>2031</v>
      </c>
      <c r="D1637" s="30">
        <f>MONTH(BInputReservoir[[#This Row],[Date]])</f>
        <v>7</v>
      </c>
      <c r="E1637" s="30"/>
      <c r="F1637" s="30" t="str">
        <f>STORAGE_BALANCE_ENSEMBLE!CN194</f>
        <v/>
      </c>
      <c r="G1637" s="30" t="str">
        <f>STORAGE_BALANCE_ENSEMBLE!CO194</f>
        <v/>
      </c>
      <c r="H1637" s="30"/>
      <c r="I1637" s="18" t="str">
        <f t="shared" si="243"/>
        <v/>
      </c>
      <c r="J1637" s="8" t="str">
        <f t="shared" si="245"/>
        <v/>
      </c>
      <c r="K1637" s="9" t="str">
        <f t="shared" si="246"/>
        <v/>
      </c>
      <c r="L1637" s="10" t="str">
        <f t="shared" si="247"/>
        <v/>
      </c>
      <c r="M1637" s="10" t="str">
        <f>IF(I1637&lt;&gt;1,"",IF(H1637="","",H1637/CONTROL_PANEL!$B$11))</f>
        <v/>
      </c>
      <c r="N1637" s="9" t="str">
        <f t="shared" si="248"/>
        <v/>
      </c>
      <c r="O1637" s="9" t="str">
        <f t="shared" si="249"/>
        <v/>
      </c>
      <c r="P1637" s="9" t="str">
        <f t="shared" si="250"/>
        <v/>
      </c>
      <c r="Q1637" s="9" t="str">
        <f t="shared" si="251"/>
        <v/>
      </c>
      <c r="R1637" s="11"/>
      <c r="S1637" s="11" t="str">
        <f t="shared" si="252"/>
        <v>PASS</v>
      </c>
    </row>
    <row r="1638" spans="1:19" x14ac:dyDescent="0.25">
      <c r="A1638" s="30" t="s">
        <v>99</v>
      </c>
      <c r="B1638" s="31">
        <f t="shared" si="244"/>
        <v>48061</v>
      </c>
      <c r="C1638" s="30">
        <f>YEAR(BInputReservoir[[#This Row],[Date]])</f>
        <v>2031</v>
      </c>
      <c r="D1638" s="30">
        <f>MONTH(BInputReservoir[[#This Row],[Date]])</f>
        <v>8</v>
      </c>
      <c r="E1638" s="30"/>
      <c r="F1638" s="30" t="str">
        <f>STORAGE_BALANCE_ENSEMBLE!CN195</f>
        <v/>
      </c>
      <c r="G1638" s="30" t="str">
        <f>STORAGE_BALANCE_ENSEMBLE!CO195</f>
        <v/>
      </c>
      <c r="H1638" s="30"/>
      <c r="I1638" s="18" t="str">
        <f t="shared" si="243"/>
        <v/>
      </c>
      <c r="J1638" s="8" t="str">
        <f t="shared" si="245"/>
        <v/>
      </c>
      <c r="K1638" s="9" t="str">
        <f t="shared" si="246"/>
        <v/>
      </c>
      <c r="L1638" s="10" t="str">
        <f t="shared" si="247"/>
        <v/>
      </c>
      <c r="M1638" s="10" t="str">
        <f>IF(I1638&lt;&gt;1,"",IF(H1638="","",H1638/CONTROL_PANEL!$B$11))</f>
        <v/>
      </c>
      <c r="N1638" s="9" t="str">
        <f t="shared" si="248"/>
        <v/>
      </c>
      <c r="O1638" s="9" t="str">
        <f t="shared" si="249"/>
        <v/>
      </c>
      <c r="P1638" s="9" t="str">
        <f t="shared" si="250"/>
        <v/>
      </c>
      <c r="Q1638" s="9" t="str">
        <f t="shared" si="251"/>
        <v/>
      </c>
      <c r="R1638" s="11"/>
      <c r="S1638" s="11" t="str">
        <f t="shared" si="252"/>
        <v>PASS</v>
      </c>
    </row>
    <row r="1639" spans="1:19" x14ac:dyDescent="0.25">
      <c r="A1639" s="30" t="s">
        <v>99</v>
      </c>
      <c r="B1639" s="31">
        <f t="shared" si="244"/>
        <v>48092</v>
      </c>
      <c r="C1639" s="30">
        <f>YEAR(BInputReservoir[[#This Row],[Date]])</f>
        <v>2031</v>
      </c>
      <c r="D1639" s="30">
        <f>MONTH(BInputReservoir[[#This Row],[Date]])</f>
        <v>9</v>
      </c>
      <c r="E1639" s="30"/>
      <c r="F1639" s="30" t="str">
        <f>STORAGE_BALANCE_ENSEMBLE!CN196</f>
        <v/>
      </c>
      <c r="G1639" s="30" t="str">
        <f>STORAGE_BALANCE_ENSEMBLE!CO196</f>
        <v/>
      </c>
      <c r="H1639" s="30"/>
      <c r="I1639" s="18" t="str">
        <f t="shared" si="243"/>
        <v/>
      </c>
      <c r="J1639" s="8" t="str">
        <f t="shared" si="245"/>
        <v/>
      </c>
      <c r="K1639" s="9" t="str">
        <f t="shared" si="246"/>
        <v/>
      </c>
      <c r="L1639" s="10" t="str">
        <f t="shared" si="247"/>
        <v/>
      </c>
      <c r="M1639" s="10" t="str">
        <f>IF(I1639&lt;&gt;1,"",IF(H1639="","",H1639/CONTROL_PANEL!$B$11))</f>
        <v/>
      </c>
      <c r="N1639" s="9" t="str">
        <f t="shared" si="248"/>
        <v/>
      </c>
      <c r="O1639" s="9" t="str">
        <f t="shared" si="249"/>
        <v/>
      </c>
      <c r="P1639" s="9" t="str">
        <f t="shared" si="250"/>
        <v/>
      </c>
      <c r="Q1639" s="9" t="str">
        <f t="shared" si="251"/>
        <v/>
      </c>
      <c r="R1639" s="11"/>
      <c r="S1639" s="11" t="str">
        <f t="shared" si="252"/>
        <v>PASS</v>
      </c>
    </row>
    <row r="1640" spans="1:19" x14ac:dyDescent="0.25">
      <c r="A1640" s="30" t="s">
        <v>99</v>
      </c>
      <c r="B1640" s="31">
        <f t="shared" si="244"/>
        <v>48122</v>
      </c>
      <c r="C1640" s="30">
        <f>YEAR(BInputReservoir[[#This Row],[Date]])</f>
        <v>2031</v>
      </c>
      <c r="D1640" s="30">
        <f>MONTH(BInputReservoir[[#This Row],[Date]])</f>
        <v>10</v>
      </c>
      <c r="E1640" s="30"/>
      <c r="F1640" s="30" t="str">
        <f>STORAGE_BALANCE_ENSEMBLE!CN197</f>
        <v/>
      </c>
      <c r="G1640" s="30" t="str">
        <f>STORAGE_BALANCE_ENSEMBLE!CO197</f>
        <v/>
      </c>
      <c r="H1640" s="30"/>
      <c r="I1640" s="18" t="str">
        <f t="shared" si="243"/>
        <v/>
      </c>
      <c r="J1640" s="8" t="str">
        <f t="shared" si="245"/>
        <v/>
      </c>
      <c r="K1640" s="9" t="str">
        <f t="shared" si="246"/>
        <v/>
      </c>
      <c r="L1640" s="10" t="str">
        <f t="shared" si="247"/>
        <v/>
      </c>
      <c r="M1640" s="10" t="str">
        <f>IF(I1640&lt;&gt;1,"",IF(H1640="","",H1640/CONTROL_PANEL!$B$11))</f>
        <v/>
      </c>
      <c r="N1640" s="9" t="str">
        <f t="shared" si="248"/>
        <v/>
      </c>
      <c r="O1640" s="9" t="str">
        <f t="shared" si="249"/>
        <v/>
      </c>
      <c r="P1640" s="9" t="str">
        <f t="shared" si="250"/>
        <v/>
      </c>
      <c r="Q1640" s="9" t="str">
        <f t="shared" si="251"/>
        <v/>
      </c>
      <c r="R1640" s="11"/>
      <c r="S1640" s="11" t="str">
        <f t="shared" si="252"/>
        <v>PASS</v>
      </c>
    </row>
    <row r="1641" spans="1:19" x14ac:dyDescent="0.25">
      <c r="A1641" s="30" t="s">
        <v>99</v>
      </c>
      <c r="B1641" s="31">
        <f t="shared" si="244"/>
        <v>48153</v>
      </c>
      <c r="C1641" s="30">
        <f>YEAR(BInputReservoir[[#This Row],[Date]])</f>
        <v>2031</v>
      </c>
      <c r="D1641" s="30">
        <f>MONTH(BInputReservoir[[#This Row],[Date]])</f>
        <v>11</v>
      </c>
      <c r="E1641" s="30"/>
      <c r="F1641" s="30" t="str">
        <f>STORAGE_BALANCE_ENSEMBLE!CN198</f>
        <v/>
      </c>
      <c r="G1641" s="30" t="str">
        <f>STORAGE_BALANCE_ENSEMBLE!CO198</f>
        <v/>
      </c>
      <c r="H1641" s="30"/>
      <c r="I1641" s="18" t="str">
        <f t="shared" ref="I1641:I1704" si="253">I197</f>
        <v/>
      </c>
      <c r="J1641" s="8" t="str">
        <f t="shared" si="245"/>
        <v/>
      </c>
      <c r="K1641" s="9" t="str">
        <f t="shared" si="246"/>
        <v/>
      </c>
      <c r="L1641" s="10" t="str">
        <f t="shared" si="247"/>
        <v/>
      </c>
      <c r="M1641" s="10" t="str">
        <f>IF(I1641&lt;&gt;1,"",IF(H1641="","",H1641/CONTROL_PANEL!$B$11))</f>
        <v/>
      </c>
      <c r="N1641" s="9" t="str">
        <f t="shared" si="248"/>
        <v/>
      </c>
      <c r="O1641" s="9" t="str">
        <f t="shared" si="249"/>
        <v/>
      </c>
      <c r="P1641" s="9" t="str">
        <f t="shared" si="250"/>
        <v/>
      </c>
      <c r="Q1641" s="9" t="str">
        <f t="shared" si="251"/>
        <v/>
      </c>
      <c r="R1641" s="11"/>
      <c r="S1641" s="11" t="str">
        <f t="shared" si="252"/>
        <v>PASS</v>
      </c>
    </row>
    <row r="1642" spans="1:19" x14ac:dyDescent="0.25">
      <c r="A1642" s="30" t="s">
        <v>99</v>
      </c>
      <c r="B1642" s="31">
        <f t="shared" si="244"/>
        <v>48183</v>
      </c>
      <c r="C1642" s="30">
        <f>YEAR(BInputReservoir[[#This Row],[Date]])</f>
        <v>2031</v>
      </c>
      <c r="D1642" s="30">
        <f>MONTH(BInputReservoir[[#This Row],[Date]])</f>
        <v>12</v>
      </c>
      <c r="E1642" s="30"/>
      <c r="F1642" s="30" t="str">
        <f>STORAGE_BALANCE_ENSEMBLE!CN199</f>
        <v/>
      </c>
      <c r="G1642" s="30" t="str">
        <f>STORAGE_BALANCE_ENSEMBLE!CO199</f>
        <v/>
      </c>
      <c r="H1642" s="30"/>
      <c r="I1642" s="18" t="str">
        <f t="shared" si="253"/>
        <v/>
      </c>
      <c r="J1642" s="8" t="str">
        <f t="shared" si="245"/>
        <v/>
      </c>
      <c r="K1642" s="9" t="str">
        <f t="shared" si="246"/>
        <v/>
      </c>
      <c r="L1642" s="10" t="str">
        <f t="shared" si="247"/>
        <v/>
      </c>
      <c r="M1642" s="10" t="str">
        <f>IF(I1642&lt;&gt;1,"",IF(H1642="","",H1642/CONTROL_PANEL!$B$11))</f>
        <v/>
      </c>
      <c r="N1642" s="9" t="str">
        <f t="shared" si="248"/>
        <v/>
      </c>
      <c r="O1642" s="9" t="str">
        <f t="shared" si="249"/>
        <v/>
      </c>
      <c r="P1642" s="9" t="str">
        <f t="shared" si="250"/>
        <v/>
      </c>
      <c r="Q1642" s="9" t="str">
        <f t="shared" si="251"/>
        <v/>
      </c>
      <c r="R1642" s="11"/>
      <c r="S1642" s="11" t="str">
        <f t="shared" si="252"/>
        <v>PASS</v>
      </c>
    </row>
    <row r="1643" spans="1:19" x14ac:dyDescent="0.25">
      <c r="A1643" s="30" t="s">
        <v>99</v>
      </c>
      <c r="B1643" s="31">
        <f t="shared" si="244"/>
        <v>48214</v>
      </c>
      <c r="C1643" s="30">
        <f>YEAR(BInputReservoir[[#This Row],[Date]])</f>
        <v>2032</v>
      </c>
      <c r="D1643" s="30">
        <f>MONTH(BInputReservoir[[#This Row],[Date]])</f>
        <v>1</v>
      </c>
      <c r="E1643" s="30"/>
      <c r="F1643" s="30" t="str">
        <f>STORAGE_BALANCE_ENSEMBLE!CN200</f>
        <v/>
      </c>
      <c r="G1643" s="30" t="str">
        <f>STORAGE_BALANCE_ENSEMBLE!CO200</f>
        <v/>
      </c>
      <c r="H1643" s="30"/>
      <c r="I1643" s="18" t="str">
        <f t="shared" si="253"/>
        <v/>
      </c>
      <c r="J1643" s="8" t="str">
        <f t="shared" si="245"/>
        <v/>
      </c>
      <c r="K1643" s="9" t="str">
        <f t="shared" si="246"/>
        <v/>
      </c>
      <c r="L1643" s="10" t="str">
        <f t="shared" si="247"/>
        <v/>
      </c>
      <c r="M1643" s="10" t="str">
        <f>IF(I1643&lt;&gt;1,"",IF(H1643="","",H1643/CONTROL_PANEL!$B$11))</f>
        <v/>
      </c>
      <c r="N1643" s="9" t="str">
        <f t="shared" si="248"/>
        <v/>
      </c>
      <c r="O1643" s="9" t="str">
        <f t="shared" si="249"/>
        <v/>
      </c>
      <c r="P1643" s="9" t="str">
        <f t="shared" si="250"/>
        <v/>
      </c>
      <c r="Q1643" s="9" t="str">
        <f t="shared" si="251"/>
        <v/>
      </c>
      <c r="R1643" s="11"/>
      <c r="S1643" s="11" t="str">
        <f t="shared" si="252"/>
        <v>PASS</v>
      </c>
    </row>
    <row r="1644" spans="1:19" x14ac:dyDescent="0.25">
      <c r="A1644" s="30" t="s">
        <v>99</v>
      </c>
      <c r="B1644" s="31">
        <f t="shared" si="244"/>
        <v>48245</v>
      </c>
      <c r="C1644" s="30">
        <f>YEAR(BInputReservoir[[#This Row],[Date]])</f>
        <v>2032</v>
      </c>
      <c r="D1644" s="30">
        <f>MONTH(BInputReservoir[[#This Row],[Date]])</f>
        <v>2</v>
      </c>
      <c r="E1644" s="30"/>
      <c r="F1644" s="30" t="str">
        <f>STORAGE_BALANCE_ENSEMBLE!CN201</f>
        <v/>
      </c>
      <c r="G1644" s="30" t="str">
        <f>STORAGE_BALANCE_ENSEMBLE!CO201</f>
        <v/>
      </c>
      <c r="H1644" s="30"/>
      <c r="I1644" s="18" t="str">
        <f t="shared" si="253"/>
        <v/>
      </c>
      <c r="J1644" s="8" t="str">
        <f t="shared" si="245"/>
        <v/>
      </c>
      <c r="K1644" s="9" t="str">
        <f t="shared" si="246"/>
        <v/>
      </c>
      <c r="L1644" s="10" t="str">
        <f t="shared" si="247"/>
        <v/>
      </c>
      <c r="M1644" s="10" t="str">
        <f>IF(I1644&lt;&gt;1,"",IF(H1644="","",H1644/CONTROL_PANEL!$B$11))</f>
        <v/>
      </c>
      <c r="N1644" s="9" t="str">
        <f t="shared" si="248"/>
        <v/>
      </c>
      <c r="O1644" s="9" t="str">
        <f t="shared" si="249"/>
        <v/>
      </c>
      <c r="P1644" s="9" t="str">
        <f t="shared" si="250"/>
        <v/>
      </c>
      <c r="Q1644" s="9" t="str">
        <f t="shared" si="251"/>
        <v/>
      </c>
      <c r="R1644" s="11"/>
      <c r="S1644" s="11" t="str">
        <f t="shared" si="252"/>
        <v>PASS</v>
      </c>
    </row>
    <row r="1645" spans="1:19" x14ac:dyDescent="0.25">
      <c r="A1645" s="30" t="s">
        <v>99</v>
      </c>
      <c r="B1645" s="31">
        <f t="shared" si="244"/>
        <v>48274</v>
      </c>
      <c r="C1645" s="30">
        <f>YEAR(BInputReservoir[[#This Row],[Date]])</f>
        <v>2032</v>
      </c>
      <c r="D1645" s="30">
        <f>MONTH(BInputReservoir[[#This Row],[Date]])</f>
        <v>3</v>
      </c>
      <c r="E1645" s="30"/>
      <c r="F1645" s="30" t="str">
        <f>STORAGE_BALANCE_ENSEMBLE!CN202</f>
        <v/>
      </c>
      <c r="G1645" s="30" t="str">
        <f>STORAGE_BALANCE_ENSEMBLE!CO202</f>
        <v/>
      </c>
      <c r="H1645" s="30"/>
      <c r="I1645" s="18" t="str">
        <f t="shared" si="253"/>
        <v/>
      </c>
      <c r="J1645" s="8" t="str">
        <f t="shared" si="245"/>
        <v/>
      </c>
      <c r="K1645" s="9" t="str">
        <f t="shared" si="246"/>
        <v/>
      </c>
      <c r="L1645" s="10" t="str">
        <f t="shared" si="247"/>
        <v/>
      </c>
      <c r="M1645" s="10" t="str">
        <f>IF(I1645&lt;&gt;1,"",IF(H1645="","",H1645/CONTROL_PANEL!$B$11))</f>
        <v/>
      </c>
      <c r="N1645" s="9" t="str">
        <f t="shared" si="248"/>
        <v/>
      </c>
      <c r="O1645" s="9" t="str">
        <f t="shared" si="249"/>
        <v/>
      </c>
      <c r="P1645" s="9" t="str">
        <f t="shared" si="250"/>
        <v/>
      </c>
      <c r="Q1645" s="9" t="str">
        <f t="shared" si="251"/>
        <v/>
      </c>
      <c r="R1645" s="11"/>
      <c r="S1645" s="11" t="str">
        <f t="shared" si="252"/>
        <v>PASS</v>
      </c>
    </row>
    <row r="1646" spans="1:19" x14ac:dyDescent="0.25">
      <c r="A1646" s="30" t="s">
        <v>99</v>
      </c>
      <c r="B1646" s="31">
        <f t="shared" si="244"/>
        <v>48305</v>
      </c>
      <c r="C1646" s="30">
        <f>YEAR(BInputReservoir[[#This Row],[Date]])</f>
        <v>2032</v>
      </c>
      <c r="D1646" s="30">
        <f>MONTH(BInputReservoir[[#This Row],[Date]])</f>
        <v>4</v>
      </c>
      <c r="E1646" s="30"/>
      <c r="F1646" s="30" t="str">
        <f>STORAGE_BALANCE_ENSEMBLE!CN203</f>
        <v/>
      </c>
      <c r="G1646" s="30" t="str">
        <f>STORAGE_BALANCE_ENSEMBLE!CO203</f>
        <v/>
      </c>
      <c r="H1646" s="30"/>
      <c r="I1646" s="18" t="str">
        <f t="shared" si="253"/>
        <v/>
      </c>
      <c r="J1646" s="8" t="str">
        <f t="shared" si="245"/>
        <v/>
      </c>
      <c r="K1646" s="9" t="str">
        <f t="shared" si="246"/>
        <v/>
      </c>
      <c r="L1646" s="10" t="str">
        <f t="shared" si="247"/>
        <v/>
      </c>
      <c r="M1646" s="10" t="str">
        <f>IF(I1646&lt;&gt;1,"",IF(H1646="","",H1646/CONTROL_PANEL!$B$11))</f>
        <v/>
      </c>
      <c r="N1646" s="9" t="str">
        <f t="shared" si="248"/>
        <v/>
      </c>
      <c r="O1646" s="9" t="str">
        <f t="shared" si="249"/>
        <v/>
      </c>
      <c r="P1646" s="9" t="str">
        <f t="shared" si="250"/>
        <v/>
      </c>
      <c r="Q1646" s="9" t="str">
        <f t="shared" si="251"/>
        <v/>
      </c>
      <c r="R1646" s="11"/>
      <c r="S1646" s="11" t="str">
        <f t="shared" si="252"/>
        <v>PASS</v>
      </c>
    </row>
    <row r="1647" spans="1:19" x14ac:dyDescent="0.25">
      <c r="A1647" s="30" t="s">
        <v>99</v>
      </c>
      <c r="B1647" s="31">
        <f t="shared" si="244"/>
        <v>48335</v>
      </c>
      <c r="C1647" s="30">
        <f>YEAR(BInputReservoir[[#This Row],[Date]])</f>
        <v>2032</v>
      </c>
      <c r="D1647" s="30">
        <f>MONTH(BInputReservoir[[#This Row],[Date]])</f>
        <v>5</v>
      </c>
      <c r="E1647" s="30"/>
      <c r="F1647" s="30" t="str">
        <f>STORAGE_BALANCE_ENSEMBLE!CN204</f>
        <v/>
      </c>
      <c r="G1647" s="30" t="str">
        <f>STORAGE_BALANCE_ENSEMBLE!CO204</f>
        <v/>
      </c>
      <c r="H1647" s="30"/>
      <c r="I1647" s="18" t="str">
        <f t="shared" si="253"/>
        <v/>
      </c>
      <c r="J1647" s="8" t="str">
        <f t="shared" si="245"/>
        <v/>
      </c>
      <c r="K1647" s="9" t="str">
        <f t="shared" si="246"/>
        <v/>
      </c>
      <c r="L1647" s="10" t="str">
        <f t="shared" si="247"/>
        <v/>
      </c>
      <c r="M1647" s="10" t="str">
        <f>IF(I1647&lt;&gt;1,"",IF(H1647="","",H1647/CONTROL_PANEL!$B$11))</f>
        <v/>
      </c>
      <c r="N1647" s="9" t="str">
        <f t="shared" si="248"/>
        <v/>
      </c>
      <c r="O1647" s="9" t="str">
        <f t="shared" si="249"/>
        <v/>
      </c>
      <c r="P1647" s="9" t="str">
        <f t="shared" si="250"/>
        <v/>
      </c>
      <c r="Q1647" s="9" t="str">
        <f t="shared" si="251"/>
        <v/>
      </c>
      <c r="R1647" s="11"/>
      <c r="S1647" s="11" t="str">
        <f t="shared" si="252"/>
        <v>PASS</v>
      </c>
    </row>
    <row r="1648" spans="1:19" x14ac:dyDescent="0.25">
      <c r="A1648" s="30" t="s">
        <v>99</v>
      </c>
      <c r="B1648" s="31">
        <f t="shared" si="244"/>
        <v>48366</v>
      </c>
      <c r="C1648" s="30">
        <f>YEAR(BInputReservoir[[#This Row],[Date]])</f>
        <v>2032</v>
      </c>
      <c r="D1648" s="30">
        <f>MONTH(BInputReservoir[[#This Row],[Date]])</f>
        <v>6</v>
      </c>
      <c r="E1648" s="30"/>
      <c r="F1648" s="30" t="str">
        <f>STORAGE_BALANCE_ENSEMBLE!CN205</f>
        <v/>
      </c>
      <c r="G1648" s="30" t="str">
        <f>STORAGE_BALANCE_ENSEMBLE!CO205</f>
        <v/>
      </c>
      <c r="H1648" s="30"/>
      <c r="I1648" s="18" t="str">
        <f t="shared" si="253"/>
        <v/>
      </c>
      <c r="J1648" s="8" t="str">
        <f t="shared" si="245"/>
        <v/>
      </c>
      <c r="K1648" s="9" t="str">
        <f t="shared" si="246"/>
        <v/>
      </c>
      <c r="L1648" s="10" t="str">
        <f t="shared" si="247"/>
        <v/>
      </c>
      <c r="M1648" s="10" t="str">
        <f>IF(I1648&lt;&gt;1,"",IF(H1648="","",H1648/CONTROL_PANEL!$B$11))</f>
        <v/>
      </c>
      <c r="N1648" s="9" t="str">
        <f t="shared" si="248"/>
        <v/>
      </c>
      <c r="O1648" s="9" t="str">
        <f t="shared" si="249"/>
        <v/>
      </c>
      <c r="P1648" s="9" t="str">
        <f t="shared" si="250"/>
        <v/>
      </c>
      <c r="Q1648" s="9" t="str">
        <f t="shared" si="251"/>
        <v/>
      </c>
      <c r="R1648" s="11"/>
      <c r="S1648" s="11" t="str">
        <f t="shared" si="252"/>
        <v>PASS</v>
      </c>
    </row>
    <row r="1649" spans="1:19" x14ac:dyDescent="0.25">
      <c r="A1649" s="30" t="s">
        <v>99</v>
      </c>
      <c r="B1649" s="31">
        <f t="shared" si="244"/>
        <v>48396</v>
      </c>
      <c r="C1649" s="30">
        <f>YEAR(BInputReservoir[[#This Row],[Date]])</f>
        <v>2032</v>
      </c>
      <c r="D1649" s="30">
        <f>MONTH(BInputReservoir[[#This Row],[Date]])</f>
        <v>7</v>
      </c>
      <c r="E1649" s="30"/>
      <c r="F1649" s="30" t="str">
        <f>STORAGE_BALANCE_ENSEMBLE!CN206</f>
        <v/>
      </c>
      <c r="G1649" s="30" t="str">
        <f>STORAGE_BALANCE_ENSEMBLE!CO206</f>
        <v/>
      </c>
      <c r="H1649" s="30"/>
      <c r="I1649" s="18" t="str">
        <f t="shared" si="253"/>
        <v/>
      </c>
      <c r="J1649" s="8" t="str">
        <f t="shared" si="245"/>
        <v/>
      </c>
      <c r="K1649" s="9" t="str">
        <f t="shared" si="246"/>
        <v/>
      </c>
      <c r="L1649" s="10" t="str">
        <f t="shared" si="247"/>
        <v/>
      </c>
      <c r="M1649" s="10" t="str">
        <f>IF(I1649&lt;&gt;1,"",IF(H1649="","",H1649/CONTROL_PANEL!$B$11))</f>
        <v/>
      </c>
      <c r="N1649" s="9" t="str">
        <f t="shared" si="248"/>
        <v/>
      </c>
      <c r="O1649" s="9" t="str">
        <f t="shared" si="249"/>
        <v/>
      </c>
      <c r="P1649" s="9" t="str">
        <f t="shared" si="250"/>
        <v/>
      </c>
      <c r="Q1649" s="9" t="str">
        <f t="shared" si="251"/>
        <v/>
      </c>
      <c r="R1649" s="11"/>
      <c r="S1649" s="11" t="str">
        <f t="shared" si="252"/>
        <v>PASS</v>
      </c>
    </row>
    <row r="1650" spans="1:19" x14ac:dyDescent="0.25">
      <c r="A1650" s="30" t="s">
        <v>99</v>
      </c>
      <c r="B1650" s="31">
        <f t="shared" si="244"/>
        <v>48427</v>
      </c>
      <c r="C1650" s="30">
        <f>YEAR(BInputReservoir[[#This Row],[Date]])</f>
        <v>2032</v>
      </c>
      <c r="D1650" s="30">
        <f>MONTH(BInputReservoir[[#This Row],[Date]])</f>
        <v>8</v>
      </c>
      <c r="E1650" s="30"/>
      <c r="F1650" s="30" t="str">
        <f>STORAGE_BALANCE_ENSEMBLE!CN207</f>
        <v/>
      </c>
      <c r="G1650" s="30" t="str">
        <f>STORAGE_BALANCE_ENSEMBLE!CO207</f>
        <v/>
      </c>
      <c r="H1650" s="30"/>
      <c r="I1650" s="18" t="str">
        <f t="shared" si="253"/>
        <v/>
      </c>
      <c r="J1650" s="8" t="str">
        <f t="shared" si="245"/>
        <v/>
      </c>
      <c r="K1650" s="9" t="str">
        <f t="shared" si="246"/>
        <v/>
      </c>
      <c r="L1650" s="10" t="str">
        <f t="shared" si="247"/>
        <v/>
      </c>
      <c r="M1650" s="10" t="str">
        <f>IF(I1650&lt;&gt;1,"",IF(H1650="","",H1650/CONTROL_PANEL!$B$11))</f>
        <v/>
      </c>
      <c r="N1650" s="9" t="str">
        <f t="shared" si="248"/>
        <v/>
      </c>
      <c r="O1650" s="9" t="str">
        <f t="shared" si="249"/>
        <v/>
      </c>
      <c r="P1650" s="9" t="str">
        <f t="shared" si="250"/>
        <v/>
      </c>
      <c r="Q1650" s="9" t="str">
        <f t="shared" si="251"/>
        <v/>
      </c>
      <c r="R1650" s="11"/>
      <c r="S1650" s="11" t="str">
        <f t="shared" si="252"/>
        <v>PASS</v>
      </c>
    </row>
    <row r="1651" spans="1:19" x14ac:dyDescent="0.25">
      <c r="A1651" s="30" t="s">
        <v>99</v>
      </c>
      <c r="B1651" s="31">
        <f t="shared" si="244"/>
        <v>48458</v>
      </c>
      <c r="C1651" s="30">
        <f>YEAR(BInputReservoir[[#This Row],[Date]])</f>
        <v>2032</v>
      </c>
      <c r="D1651" s="30">
        <f>MONTH(BInputReservoir[[#This Row],[Date]])</f>
        <v>9</v>
      </c>
      <c r="E1651" s="30"/>
      <c r="F1651" s="30" t="str">
        <f>STORAGE_BALANCE_ENSEMBLE!CN208</f>
        <v/>
      </c>
      <c r="G1651" s="30" t="str">
        <f>STORAGE_BALANCE_ENSEMBLE!CO208</f>
        <v/>
      </c>
      <c r="H1651" s="30"/>
      <c r="I1651" s="18" t="str">
        <f t="shared" si="253"/>
        <v/>
      </c>
      <c r="J1651" s="8" t="str">
        <f t="shared" si="245"/>
        <v/>
      </c>
      <c r="K1651" s="9" t="str">
        <f t="shared" si="246"/>
        <v/>
      </c>
      <c r="L1651" s="10" t="str">
        <f t="shared" si="247"/>
        <v/>
      </c>
      <c r="M1651" s="10" t="str">
        <f>IF(I1651&lt;&gt;1,"",IF(H1651="","",H1651/CONTROL_PANEL!$B$11))</f>
        <v/>
      </c>
      <c r="N1651" s="9" t="str">
        <f t="shared" si="248"/>
        <v/>
      </c>
      <c r="O1651" s="9" t="str">
        <f t="shared" si="249"/>
        <v/>
      </c>
      <c r="P1651" s="9" t="str">
        <f t="shared" si="250"/>
        <v/>
      </c>
      <c r="Q1651" s="9" t="str">
        <f t="shared" si="251"/>
        <v/>
      </c>
      <c r="R1651" s="11"/>
      <c r="S1651" s="11" t="str">
        <f t="shared" si="252"/>
        <v>PASS</v>
      </c>
    </row>
    <row r="1652" spans="1:19" x14ac:dyDescent="0.25">
      <c r="A1652" s="30" t="s">
        <v>99</v>
      </c>
      <c r="B1652" s="31">
        <f t="shared" si="244"/>
        <v>48488</v>
      </c>
      <c r="C1652" s="30">
        <f>YEAR(BInputReservoir[[#This Row],[Date]])</f>
        <v>2032</v>
      </c>
      <c r="D1652" s="30">
        <f>MONTH(BInputReservoir[[#This Row],[Date]])</f>
        <v>10</v>
      </c>
      <c r="E1652" s="30"/>
      <c r="F1652" s="30" t="str">
        <f>STORAGE_BALANCE_ENSEMBLE!CN209</f>
        <v/>
      </c>
      <c r="G1652" s="30" t="str">
        <f>STORAGE_BALANCE_ENSEMBLE!CO209</f>
        <v/>
      </c>
      <c r="H1652" s="30"/>
      <c r="I1652" s="18" t="str">
        <f t="shared" si="253"/>
        <v/>
      </c>
      <c r="J1652" s="8" t="str">
        <f t="shared" si="245"/>
        <v/>
      </c>
      <c r="K1652" s="9" t="str">
        <f t="shared" si="246"/>
        <v/>
      </c>
      <c r="L1652" s="10" t="str">
        <f t="shared" si="247"/>
        <v/>
      </c>
      <c r="M1652" s="10" t="str">
        <f>IF(I1652&lt;&gt;1,"",IF(H1652="","",H1652/CONTROL_PANEL!$B$11))</f>
        <v/>
      </c>
      <c r="N1652" s="9" t="str">
        <f t="shared" si="248"/>
        <v/>
      </c>
      <c r="O1652" s="9" t="str">
        <f t="shared" si="249"/>
        <v/>
      </c>
      <c r="P1652" s="9" t="str">
        <f t="shared" si="250"/>
        <v/>
      </c>
      <c r="Q1652" s="9" t="str">
        <f t="shared" si="251"/>
        <v/>
      </c>
      <c r="R1652" s="11"/>
      <c r="S1652" s="11" t="str">
        <f t="shared" si="252"/>
        <v>PASS</v>
      </c>
    </row>
    <row r="1653" spans="1:19" x14ac:dyDescent="0.25">
      <c r="A1653" s="30" t="s">
        <v>99</v>
      </c>
      <c r="B1653" s="31">
        <f t="shared" si="244"/>
        <v>48519</v>
      </c>
      <c r="C1653" s="30">
        <f>YEAR(BInputReservoir[[#This Row],[Date]])</f>
        <v>2032</v>
      </c>
      <c r="D1653" s="30">
        <f>MONTH(BInputReservoir[[#This Row],[Date]])</f>
        <v>11</v>
      </c>
      <c r="E1653" s="30"/>
      <c r="F1653" s="30" t="str">
        <f>STORAGE_BALANCE_ENSEMBLE!CN210</f>
        <v/>
      </c>
      <c r="G1653" s="30" t="str">
        <f>STORAGE_BALANCE_ENSEMBLE!CO210</f>
        <v/>
      </c>
      <c r="H1653" s="30"/>
      <c r="I1653" s="18" t="str">
        <f t="shared" si="253"/>
        <v/>
      </c>
      <c r="J1653" s="8" t="str">
        <f t="shared" si="245"/>
        <v/>
      </c>
      <c r="K1653" s="9" t="str">
        <f t="shared" si="246"/>
        <v/>
      </c>
      <c r="L1653" s="10" t="str">
        <f t="shared" si="247"/>
        <v/>
      </c>
      <c r="M1653" s="10" t="str">
        <f>IF(I1653&lt;&gt;1,"",IF(H1653="","",H1653/CONTROL_PANEL!$B$11))</f>
        <v/>
      </c>
      <c r="N1653" s="9" t="str">
        <f t="shared" si="248"/>
        <v/>
      </c>
      <c r="O1653" s="9" t="str">
        <f t="shared" si="249"/>
        <v/>
      </c>
      <c r="P1653" s="9" t="str">
        <f t="shared" si="250"/>
        <v/>
      </c>
      <c r="Q1653" s="9" t="str">
        <f t="shared" si="251"/>
        <v/>
      </c>
      <c r="R1653" s="11"/>
      <c r="S1653" s="11" t="str">
        <f t="shared" si="252"/>
        <v>PASS</v>
      </c>
    </row>
    <row r="1654" spans="1:19" x14ac:dyDescent="0.25">
      <c r="A1654" s="30" t="s">
        <v>99</v>
      </c>
      <c r="B1654" s="31">
        <f t="shared" si="244"/>
        <v>48549</v>
      </c>
      <c r="C1654" s="30">
        <f>YEAR(BInputReservoir[[#This Row],[Date]])</f>
        <v>2032</v>
      </c>
      <c r="D1654" s="30">
        <f>MONTH(BInputReservoir[[#This Row],[Date]])</f>
        <v>12</v>
      </c>
      <c r="E1654" s="30"/>
      <c r="F1654" s="30" t="str">
        <f>STORAGE_BALANCE_ENSEMBLE!CN211</f>
        <v/>
      </c>
      <c r="G1654" s="30" t="str">
        <f>STORAGE_BALANCE_ENSEMBLE!CO211</f>
        <v/>
      </c>
      <c r="H1654" s="30"/>
      <c r="I1654" s="18" t="str">
        <f t="shared" si="253"/>
        <v/>
      </c>
      <c r="J1654" s="8" t="str">
        <f t="shared" si="245"/>
        <v/>
      </c>
      <c r="K1654" s="9" t="str">
        <f t="shared" si="246"/>
        <v/>
      </c>
      <c r="L1654" s="10" t="str">
        <f t="shared" si="247"/>
        <v/>
      </c>
      <c r="M1654" s="10" t="str">
        <f>IF(I1654&lt;&gt;1,"",IF(H1654="","",H1654/CONTROL_PANEL!$B$11))</f>
        <v/>
      </c>
      <c r="N1654" s="9" t="str">
        <f t="shared" si="248"/>
        <v/>
      </c>
      <c r="O1654" s="9" t="str">
        <f t="shared" si="249"/>
        <v/>
      </c>
      <c r="P1654" s="9" t="str">
        <f t="shared" si="250"/>
        <v/>
      </c>
      <c r="Q1654" s="9" t="str">
        <f t="shared" si="251"/>
        <v/>
      </c>
      <c r="R1654" s="11"/>
      <c r="S1654" s="11" t="str">
        <f t="shared" si="252"/>
        <v>PASS</v>
      </c>
    </row>
    <row r="1655" spans="1:19" x14ac:dyDescent="0.25">
      <c r="A1655" s="30" t="s">
        <v>99</v>
      </c>
      <c r="B1655" s="31">
        <f t="shared" si="244"/>
        <v>48580</v>
      </c>
      <c r="C1655" s="30">
        <f>YEAR(BInputReservoir[[#This Row],[Date]])</f>
        <v>2033</v>
      </c>
      <c r="D1655" s="30">
        <f>MONTH(BInputReservoir[[#This Row],[Date]])</f>
        <v>1</v>
      </c>
      <c r="E1655" s="30"/>
      <c r="F1655" s="30" t="str">
        <f>STORAGE_BALANCE_ENSEMBLE!CN212</f>
        <v/>
      </c>
      <c r="G1655" s="30" t="str">
        <f>STORAGE_BALANCE_ENSEMBLE!CO212</f>
        <v/>
      </c>
      <c r="H1655" s="30"/>
      <c r="I1655" s="18" t="str">
        <f t="shared" si="253"/>
        <v/>
      </c>
      <c r="J1655" s="8" t="str">
        <f t="shared" si="245"/>
        <v/>
      </c>
      <c r="K1655" s="9" t="str">
        <f t="shared" si="246"/>
        <v/>
      </c>
      <c r="L1655" s="10" t="str">
        <f t="shared" si="247"/>
        <v/>
      </c>
      <c r="M1655" s="10" t="str">
        <f>IF(I1655&lt;&gt;1,"",IF(H1655="","",H1655/CONTROL_PANEL!$B$11))</f>
        <v/>
      </c>
      <c r="N1655" s="9" t="str">
        <f t="shared" si="248"/>
        <v/>
      </c>
      <c r="O1655" s="9" t="str">
        <f t="shared" si="249"/>
        <v/>
      </c>
      <c r="P1655" s="9" t="str">
        <f t="shared" si="250"/>
        <v/>
      </c>
      <c r="Q1655" s="9" t="str">
        <f t="shared" si="251"/>
        <v/>
      </c>
      <c r="R1655" s="11"/>
      <c r="S1655" s="11" t="str">
        <f t="shared" si="252"/>
        <v>PASS</v>
      </c>
    </row>
    <row r="1656" spans="1:19" x14ac:dyDescent="0.25">
      <c r="A1656" s="30" t="s">
        <v>99</v>
      </c>
      <c r="B1656" s="31">
        <f t="shared" si="244"/>
        <v>48611</v>
      </c>
      <c r="C1656" s="30">
        <f>YEAR(BInputReservoir[[#This Row],[Date]])</f>
        <v>2033</v>
      </c>
      <c r="D1656" s="30">
        <f>MONTH(BInputReservoir[[#This Row],[Date]])</f>
        <v>2</v>
      </c>
      <c r="E1656" s="30"/>
      <c r="F1656" s="30" t="str">
        <f>STORAGE_BALANCE_ENSEMBLE!CN213</f>
        <v/>
      </c>
      <c r="G1656" s="30" t="str">
        <f>STORAGE_BALANCE_ENSEMBLE!CO213</f>
        <v/>
      </c>
      <c r="H1656" s="30"/>
      <c r="I1656" s="18" t="str">
        <f t="shared" si="253"/>
        <v/>
      </c>
      <c r="J1656" s="8" t="str">
        <f t="shared" si="245"/>
        <v/>
      </c>
      <c r="K1656" s="9" t="str">
        <f t="shared" si="246"/>
        <v/>
      </c>
      <c r="L1656" s="10" t="str">
        <f t="shared" si="247"/>
        <v/>
      </c>
      <c r="M1656" s="10" t="str">
        <f>IF(I1656&lt;&gt;1,"",IF(H1656="","",H1656/CONTROL_PANEL!$B$11))</f>
        <v/>
      </c>
      <c r="N1656" s="9" t="str">
        <f t="shared" si="248"/>
        <v/>
      </c>
      <c r="O1656" s="9" t="str">
        <f t="shared" si="249"/>
        <v/>
      </c>
      <c r="P1656" s="9" t="str">
        <f t="shared" si="250"/>
        <v/>
      </c>
      <c r="Q1656" s="9" t="str">
        <f t="shared" si="251"/>
        <v/>
      </c>
      <c r="R1656" s="11"/>
      <c r="S1656" s="11" t="str">
        <f t="shared" si="252"/>
        <v>PASS</v>
      </c>
    </row>
    <row r="1657" spans="1:19" x14ac:dyDescent="0.25">
      <c r="A1657" s="30" t="s">
        <v>99</v>
      </c>
      <c r="B1657" s="31">
        <f t="shared" si="244"/>
        <v>48639</v>
      </c>
      <c r="C1657" s="30">
        <f>YEAR(BInputReservoir[[#This Row],[Date]])</f>
        <v>2033</v>
      </c>
      <c r="D1657" s="30">
        <f>MONTH(BInputReservoir[[#This Row],[Date]])</f>
        <v>3</v>
      </c>
      <c r="E1657" s="30"/>
      <c r="F1657" s="30" t="str">
        <f>STORAGE_BALANCE_ENSEMBLE!CN214</f>
        <v/>
      </c>
      <c r="G1657" s="30" t="str">
        <f>STORAGE_BALANCE_ENSEMBLE!CO214</f>
        <v/>
      </c>
      <c r="H1657" s="30"/>
      <c r="I1657" s="18" t="str">
        <f t="shared" si="253"/>
        <v/>
      </c>
      <c r="J1657" s="8" t="str">
        <f t="shared" si="245"/>
        <v/>
      </c>
      <c r="K1657" s="9" t="str">
        <f t="shared" si="246"/>
        <v/>
      </c>
      <c r="L1657" s="10" t="str">
        <f t="shared" si="247"/>
        <v/>
      </c>
      <c r="M1657" s="10" t="str">
        <f>IF(I1657&lt;&gt;1,"",IF(H1657="","",H1657/CONTROL_PANEL!$B$11))</f>
        <v/>
      </c>
      <c r="N1657" s="9" t="str">
        <f t="shared" si="248"/>
        <v/>
      </c>
      <c r="O1657" s="9" t="str">
        <f t="shared" si="249"/>
        <v/>
      </c>
      <c r="P1657" s="9" t="str">
        <f t="shared" si="250"/>
        <v/>
      </c>
      <c r="Q1657" s="9" t="str">
        <f t="shared" si="251"/>
        <v/>
      </c>
      <c r="R1657" s="11"/>
      <c r="S1657" s="11" t="str">
        <f t="shared" si="252"/>
        <v>PASS</v>
      </c>
    </row>
    <row r="1658" spans="1:19" x14ac:dyDescent="0.25">
      <c r="A1658" s="30" t="s">
        <v>99</v>
      </c>
      <c r="B1658" s="31">
        <f t="shared" si="244"/>
        <v>48670</v>
      </c>
      <c r="C1658" s="30">
        <f>YEAR(BInputReservoir[[#This Row],[Date]])</f>
        <v>2033</v>
      </c>
      <c r="D1658" s="30">
        <f>MONTH(BInputReservoir[[#This Row],[Date]])</f>
        <v>4</v>
      </c>
      <c r="E1658" s="30"/>
      <c r="F1658" s="30" t="str">
        <f>STORAGE_BALANCE_ENSEMBLE!CN215</f>
        <v/>
      </c>
      <c r="G1658" s="30" t="str">
        <f>STORAGE_BALANCE_ENSEMBLE!CO215</f>
        <v/>
      </c>
      <c r="H1658" s="30"/>
      <c r="I1658" s="18" t="str">
        <f t="shared" si="253"/>
        <v/>
      </c>
      <c r="J1658" s="8" t="str">
        <f t="shared" si="245"/>
        <v/>
      </c>
      <c r="K1658" s="9" t="str">
        <f t="shared" si="246"/>
        <v/>
      </c>
      <c r="L1658" s="10" t="str">
        <f t="shared" si="247"/>
        <v/>
      </c>
      <c r="M1658" s="10" t="str">
        <f>IF(I1658&lt;&gt;1,"",IF(H1658="","",H1658/CONTROL_PANEL!$B$11))</f>
        <v/>
      </c>
      <c r="N1658" s="9" t="str">
        <f t="shared" si="248"/>
        <v/>
      </c>
      <c r="O1658" s="9" t="str">
        <f t="shared" si="249"/>
        <v/>
      </c>
      <c r="P1658" s="9" t="str">
        <f t="shared" si="250"/>
        <v/>
      </c>
      <c r="Q1658" s="9" t="str">
        <f t="shared" si="251"/>
        <v/>
      </c>
      <c r="R1658" s="11"/>
      <c r="S1658" s="11" t="str">
        <f t="shared" si="252"/>
        <v>PASS</v>
      </c>
    </row>
    <row r="1659" spans="1:19" x14ac:dyDescent="0.25">
      <c r="A1659" s="30" t="s">
        <v>99</v>
      </c>
      <c r="B1659" s="31">
        <f t="shared" si="244"/>
        <v>48700</v>
      </c>
      <c r="C1659" s="30">
        <f>YEAR(BInputReservoir[[#This Row],[Date]])</f>
        <v>2033</v>
      </c>
      <c r="D1659" s="30">
        <f>MONTH(BInputReservoir[[#This Row],[Date]])</f>
        <v>5</v>
      </c>
      <c r="E1659" s="30"/>
      <c r="F1659" s="30" t="str">
        <f>STORAGE_BALANCE_ENSEMBLE!CN216</f>
        <v/>
      </c>
      <c r="G1659" s="30" t="str">
        <f>STORAGE_BALANCE_ENSEMBLE!CO216</f>
        <v/>
      </c>
      <c r="H1659" s="30"/>
      <c r="I1659" s="18" t="str">
        <f t="shared" si="253"/>
        <v/>
      </c>
      <c r="J1659" s="8" t="str">
        <f t="shared" si="245"/>
        <v/>
      </c>
      <c r="K1659" s="9" t="str">
        <f t="shared" si="246"/>
        <v/>
      </c>
      <c r="L1659" s="10" t="str">
        <f t="shared" si="247"/>
        <v/>
      </c>
      <c r="M1659" s="10" t="str">
        <f>IF(I1659&lt;&gt;1,"",IF(H1659="","",H1659/CONTROL_PANEL!$B$11))</f>
        <v/>
      </c>
      <c r="N1659" s="9" t="str">
        <f t="shared" si="248"/>
        <v/>
      </c>
      <c r="O1659" s="9" t="str">
        <f t="shared" si="249"/>
        <v/>
      </c>
      <c r="P1659" s="9" t="str">
        <f t="shared" si="250"/>
        <v/>
      </c>
      <c r="Q1659" s="9" t="str">
        <f t="shared" si="251"/>
        <v/>
      </c>
      <c r="R1659" s="11"/>
      <c r="S1659" s="11" t="str">
        <f t="shared" si="252"/>
        <v>PASS</v>
      </c>
    </row>
    <row r="1660" spans="1:19" x14ac:dyDescent="0.25">
      <c r="A1660" s="30" t="s">
        <v>99</v>
      </c>
      <c r="B1660" s="31">
        <f t="shared" si="244"/>
        <v>48731</v>
      </c>
      <c r="C1660" s="30">
        <f>YEAR(BInputReservoir[[#This Row],[Date]])</f>
        <v>2033</v>
      </c>
      <c r="D1660" s="30">
        <f>MONTH(BInputReservoir[[#This Row],[Date]])</f>
        <v>6</v>
      </c>
      <c r="E1660" s="30"/>
      <c r="F1660" s="30" t="str">
        <f>STORAGE_BALANCE_ENSEMBLE!CN217</f>
        <v/>
      </c>
      <c r="G1660" s="30" t="str">
        <f>STORAGE_BALANCE_ENSEMBLE!CO217</f>
        <v/>
      </c>
      <c r="H1660" s="30"/>
      <c r="I1660" s="18" t="str">
        <f t="shared" si="253"/>
        <v/>
      </c>
      <c r="J1660" s="8" t="str">
        <f t="shared" si="245"/>
        <v/>
      </c>
      <c r="K1660" s="9" t="str">
        <f t="shared" si="246"/>
        <v/>
      </c>
      <c r="L1660" s="10" t="str">
        <f t="shared" si="247"/>
        <v/>
      </c>
      <c r="M1660" s="10" t="str">
        <f>IF(I1660&lt;&gt;1,"",IF(H1660="","",H1660/CONTROL_PANEL!$B$11))</f>
        <v/>
      </c>
      <c r="N1660" s="9" t="str">
        <f t="shared" si="248"/>
        <v/>
      </c>
      <c r="O1660" s="9" t="str">
        <f t="shared" si="249"/>
        <v/>
      </c>
      <c r="P1660" s="9" t="str">
        <f t="shared" si="250"/>
        <v/>
      </c>
      <c r="Q1660" s="9" t="str">
        <f t="shared" si="251"/>
        <v/>
      </c>
      <c r="R1660" s="11"/>
      <c r="S1660" s="11" t="str">
        <f t="shared" si="252"/>
        <v>PASS</v>
      </c>
    </row>
    <row r="1661" spans="1:19" x14ac:dyDescent="0.25">
      <c r="A1661" s="30" t="s">
        <v>99</v>
      </c>
      <c r="B1661" s="31">
        <f t="shared" si="244"/>
        <v>48761</v>
      </c>
      <c r="C1661" s="30">
        <f>YEAR(BInputReservoir[[#This Row],[Date]])</f>
        <v>2033</v>
      </c>
      <c r="D1661" s="30">
        <f>MONTH(BInputReservoir[[#This Row],[Date]])</f>
        <v>7</v>
      </c>
      <c r="E1661" s="30"/>
      <c r="F1661" s="30" t="str">
        <f>STORAGE_BALANCE_ENSEMBLE!CN218</f>
        <v/>
      </c>
      <c r="G1661" s="30" t="str">
        <f>STORAGE_BALANCE_ENSEMBLE!CO218</f>
        <v/>
      </c>
      <c r="H1661" s="30"/>
      <c r="I1661" s="18" t="str">
        <f t="shared" si="253"/>
        <v/>
      </c>
      <c r="J1661" s="8" t="str">
        <f t="shared" si="245"/>
        <v/>
      </c>
      <c r="K1661" s="9" t="str">
        <f t="shared" si="246"/>
        <v/>
      </c>
      <c r="L1661" s="10" t="str">
        <f t="shared" si="247"/>
        <v/>
      </c>
      <c r="M1661" s="10" t="str">
        <f>IF(I1661&lt;&gt;1,"",IF(H1661="","",H1661/CONTROL_PANEL!$B$11))</f>
        <v/>
      </c>
      <c r="N1661" s="9" t="str">
        <f t="shared" si="248"/>
        <v/>
      </c>
      <c r="O1661" s="9" t="str">
        <f t="shared" si="249"/>
        <v/>
      </c>
      <c r="P1661" s="9" t="str">
        <f t="shared" si="250"/>
        <v/>
      </c>
      <c r="Q1661" s="9" t="str">
        <f t="shared" si="251"/>
        <v/>
      </c>
      <c r="R1661" s="11"/>
      <c r="S1661" s="11" t="str">
        <f t="shared" si="252"/>
        <v>PASS</v>
      </c>
    </row>
    <row r="1662" spans="1:19" x14ac:dyDescent="0.25">
      <c r="A1662" s="30" t="s">
        <v>99</v>
      </c>
      <c r="B1662" s="31">
        <f t="shared" si="244"/>
        <v>48792</v>
      </c>
      <c r="C1662" s="30">
        <f>YEAR(BInputReservoir[[#This Row],[Date]])</f>
        <v>2033</v>
      </c>
      <c r="D1662" s="30">
        <f>MONTH(BInputReservoir[[#This Row],[Date]])</f>
        <v>8</v>
      </c>
      <c r="E1662" s="30"/>
      <c r="F1662" s="30" t="str">
        <f>STORAGE_BALANCE_ENSEMBLE!CN219</f>
        <v/>
      </c>
      <c r="G1662" s="30" t="str">
        <f>STORAGE_BALANCE_ENSEMBLE!CO219</f>
        <v/>
      </c>
      <c r="H1662" s="30"/>
      <c r="I1662" s="18" t="str">
        <f t="shared" si="253"/>
        <v/>
      </c>
      <c r="J1662" s="8" t="str">
        <f t="shared" si="245"/>
        <v/>
      </c>
      <c r="K1662" s="9" t="str">
        <f t="shared" si="246"/>
        <v/>
      </c>
      <c r="L1662" s="10" t="str">
        <f t="shared" si="247"/>
        <v/>
      </c>
      <c r="M1662" s="10" t="str">
        <f>IF(I1662&lt;&gt;1,"",IF(H1662="","",H1662/CONTROL_PANEL!$B$11))</f>
        <v/>
      </c>
      <c r="N1662" s="9" t="str">
        <f t="shared" si="248"/>
        <v/>
      </c>
      <c r="O1662" s="9" t="str">
        <f t="shared" si="249"/>
        <v/>
      </c>
      <c r="P1662" s="9" t="str">
        <f t="shared" si="250"/>
        <v/>
      </c>
      <c r="Q1662" s="9" t="str">
        <f t="shared" si="251"/>
        <v/>
      </c>
      <c r="R1662" s="11"/>
      <c r="S1662" s="11" t="str">
        <f t="shared" si="252"/>
        <v>PASS</v>
      </c>
    </row>
    <row r="1663" spans="1:19" x14ac:dyDescent="0.25">
      <c r="A1663" s="30" t="s">
        <v>99</v>
      </c>
      <c r="B1663" s="31">
        <f t="shared" si="244"/>
        <v>48823</v>
      </c>
      <c r="C1663" s="30">
        <f>YEAR(BInputReservoir[[#This Row],[Date]])</f>
        <v>2033</v>
      </c>
      <c r="D1663" s="30">
        <f>MONTH(BInputReservoir[[#This Row],[Date]])</f>
        <v>9</v>
      </c>
      <c r="E1663" s="30"/>
      <c r="F1663" s="30" t="str">
        <f>STORAGE_BALANCE_ENSEMBLE!CN220</f>
        <v/>
      </c>
      <c r="G1663" s="30" t="str">
        <f>STORAGE_BALANCE_ENSEMBLE!CO220</f>
        <v/>
      </c>
      <c r="H1663" s="30"/>
      <c r="I1663" s="18" t="str">
        <f t="shared" si="253"/>
        <v/>
      </c>
      <c r="J1663" s="8" t="str">
        <f t="shared" si="245"/>
        <v/>
      </c>
      <c r="K1663" s="9" t="str">
        <f t="shared" si="246"/>
        <v/>
      </c>
      <c r="L1663" s="10" t="str">
        <f t="shared" si="247"/>
        <v/>
      </c>
      <c r="M1663" s="10" t="str">
        <f>IF(I1663&lt;&gt;1,"",IF(H1663="","",H1663/CONTROL_PANEL!$B$11))</f>
        <v/>
      </c>
      <c r="N1663" s="9" t="str">
        <f t="shared" si="248"/>
        <v/>
      </c>
      <c r="O1663" s="9" t="str">
        <f t="shared" si="249"/>
        <v/>
      </c>
      <c r="P1663" s="9" t="str">
        <f t="shared" si="250"/>
        <v/>
      </c>
      <c r="Q1663" s="9" t="str">
        <f t="shared" si="251"/>
        <v/>
      </c>
      <c r="R1663" s="11"/>
      <c r="S1663" s="11" t="str">
        <f t="shared" si="252"/>
        <v>PASS</v>
      </c>
    </row>
    <row r="1664" spans="1:19" x14ac:dyDescent="0.25">
      <c r="A1664" s="30" t="s">
        <v>99</v>
      </c>
      <c r="B1664" s="31">
        <f t="shared" ref="B1664:B1727" si="254">B581</f>
        <v>48853</v>
      </c>
      <c r="C1664" s="30">
        <f>YEAR(BInputReservoir[[#This Row],[Date]])</f>
        <v>2033</v>
      </c>
      <c r="D1664" s="30">
        <f>MONTH(BInputReservoir[[#This Row],[Date]])</f>
        <v>10</v>
      </c>
      <c r="E1664" s="30"/>
      <c r="F1664" s="30" t="str">
        <f>STORAGE_BALANCE_ENSEMBLE!CN221</f>
        <v/>
      </c>
      <c r="G1664" s="30" t="str">
        <f>STORAGE_BALANCE_ENSEMBLE!CO221</f>
        <v/>
      </c>
      <c r="H1664" s="30"/>
      <c r="I1664" s="18" t="str">
        <f t="shared" si="253"/>
        <v/>
      </c>
      <c r="J1664" s="8" t="str">
        <f t="shared" si="245"/>
        <v/>
      </c>
      <c r="K1664" s="9" t="str">
        <f t="shared" si="246"/>
        <v/>
      </c>
      <c r="L1664" s="10" t="str">
        <f t="shared" si="247"/>
        <v/>
      </c>
      <c r="M1664" s="10" t="str">
        <f>IF(I1664&lt;&gt;1,"",IF(H1664="","",H1664/CONTROL_PANEL!$B$11))</f>
        <v/>
      </c>
      <c r="N1664" s="9" t="str">
        <f t="shared" si="248"/>
        <v/>
      </c>
      <c r="O1664" s="9" t="str">
        <f t="shared" si="249"/>
        <v/>
      </c>
      <c r="P1664" s="9" t="str">
        <f t="shared" si="250"/>
        <v/>
      </c>
      <c r="Q1664" s="9" t="str">
        <f t="shared" si="251"/>
        <v/>
      </c>
      <c r="R1664" s="11"/>
      <c r="S1664" s="11" t="str">
        <f t="shared" si="252"/>
        <v>PASS</v>
      </c>
    </row>
    <row r="1665" spans="1:19" x14ac:dyDescent="0.25">
      <c r="A1665" s="30" t="s">
        <v>99</v>
      </c>
      <c r="B1665" s="31">
        <f t="shared" si="254"/>
        <v>48884</v>
      </c>
      <c r="C1665" s="30">
        <f>YEAR(BInputReservoir[[#This Row],[Date]])</f>
        <v>2033</v>
      </c>
      <c r="D1665" s="30">
        <f>MONTH(BInputReservoir[[#This Row],[Date]])</f>
        <v>11</v>
      </c>
      <c r="E1665" s="30"/>
      <c r="F1665" s="30" t="str">
        <f>STORAGE_BALANCE_ENSEMBLE!CN222</f>
        <v/>
      </c>
      <c r="G1665" s="30" t="str">
        <f>STORAGE_BALANCE_ENSEMBLE!CO222</f>
        <v/>
      </c>
      <c r="H1665" s="30"/>
      <c r="I1665" s="18" t="str">
        <f t="shared" si="253"/>
        <v/>
      </c>
      <c r="J1665" s="8" t="str">
        <f t="shared" si="245"/>
        <v/>
      </c>
      <c r="K1665" s="9" t="str">
        <f t="shared" si="246"/>
        <v/>
      </c>
      <c r="L1665" s="10" t="str">
        <f t="shared" si="247"/>
        <v/>
      </c>
      <c r="M1665" s="10" t="str">
        <f>IF(I1665&lt;&gt;1,"",IF(H1665="","",H1665/CONTROL_PANEL!$B$11))</f>
        <v/>
      </c>
      <c r="N1665" s="9" t="str">
        <f t="shared" si="248"/>
        <v/>
      </c>
      <c r="O1665" s="9" t="str">
        <f t="shared" si="249"/>
        <v/>
      </c>
      <c r="P1665" s="9" t="str">
        <f t="shared" si="250"/>
        <v/>
      </c>
      <c r="Q1665" s="9" t="str">
        <f t="shared" si="251"/>
        <v/>
      </c>
      <c r="R1665" s="11"/>
      <c r="S1665" s="11" t="str">
        <f t="shared" si="252"/>
        <v>PASS</v>
      </c>
    </row>
    <row r="1666" spans="1:19" x14ac:dyDescent="0.25">
      <c r="A1666" s="30" t="s">
        <v>99</v>
      </c>
      <c r="B1666" s="31">
        <f t="shared" si="254"/>
        <v>48914</v>
      </c>
      <c r="C1666" s="30">
        <f>YEAR(BInputReservoir[[#This Row],[Date]])</f>
        <v>2033</v>
      </c>
      <c r="D1666" s="30">
        <f>MONTH(BInputReservoir[[#This Row],[Date]])</f>
        <v>12</v>
      </c>
      <c r="E1666" s="30"/>
      <c r="F1666" s="30" t="str">
        <f>STORAGE_BALANCE_ENSEMBLE!CN223</f>
        <v/>
      </c>
      <c r="G1666" s="30" t="str">
        <f>STORAGE_BALANCE_ENSEMBLE!CO223</f>
        <v/>
      </c>
      <c r="H1666" s="30"/>
      <c r="I1666" s="18" t="str">
        <f t="shared" si="253"/>
        <v/>
      </c>
      <c r="J1666" s="8" t="str">
        <f t="shared" si="245"/>
        <v/>
      </c>
      <c r="K1666" s="9" t="str">
        <f t="shared" si="246"/>
        <v/>
      </c>
      <c r="L1666" s="10" t="str">
        <f t="shared" si="247"/>
        <v/>
      </c>
      <c r="M1666" s="10" t="str">
        <f>IF(I1666&lt;&gt;1,"",IF(H1666="","",H1666/CONTROL_PANEL!$B$11))</f>
        <v/>
      </c>
      <c r="N1666" s="9" t="str">
        <f t="shared" si="248"/>
        <v/>
      </c>
      <c r="O1666" s="9" t="str">
        <f t="shared" si="249"/>
        <v/>
      </c>
      <c r="P1666" s="9" t="str">
        <f t="shared" si="250"/>
        <v/>
      </c>
      <c r="Q1666" s="9" t="str">
        <f t="shared" si="251"/>
        <v/>
      </c>
      <c r="R1666" s="11"/>
      <c r="S1666" s="11" t="str">
        <f t="shared" si="252"/>
        <v>PASS</v>
      </c>
    </row>
    <row r="1667" spans="1:19" x14ac:dyDescent="0.25">
      <c r="A1667" s="30" t="s">
        <v>99</v>
      </c>
      <c r="B1667" s="31">
        <f t="shared" si="254"/>
        <v>48945</v>
      </c>
      <c r="C1667" s="30">
        <f>YEAR(BInputReservoir[[#This Row],[Date]])</f>
        <v>2034</v>
      </c>
      <c r="D1667" s="30">
        <f>MONTH(BInputReservoir[[#This Row],[Date]])</f>
        <v>1</v>
      </c>
      <c r="E1667" s="30"/>
      <c r="F1667" s="30" t="str">
        <f>STORAGE_BALANCE_ENSEMBLE!CN224</f>
        <v/>
      </c>
      <c r="G1667" s="30" t="str">
        <f>STORAGE_BALANCE_ENSEMBLE!CO224</f>
        <v/>
      </c>
      <c r="H1667" s="30"/>
      <c r="I1667" s="18" t="str">
        <f t="shared" si="253"/>
        <v/>
      </c>
      <c r="J1667" s="8" t="str">
        <f t="shared" si="245"/>
        <v/>
      </c>
      <c r="K1667" s="9" t="str">
        <f t="shared" si="246"/>
        <v/>
      </c>
      <c r="L1667" s="10" t="str">
        <f t="shared" si="247"/>
        <v/>
      </c>
      <c r="M1667" s="10" t="str">
        <f>IF(I1667&lt;&gt;1,"",IF(H1667="","",H1667/CONTROL_PANEL!$B$11))</f>
        <v/>
      </c>
      <c r="N1667" s="9" t="str">
        <f t="shared" si="248"/>
        <v/>
      </c>
      <c r="O1667" s="9" t="str">
        <f t="shared" si="249"/>
        <v/>
      </c>
      <c r="P1667" s="9" t="str">
        <f t="shared" si="250"/>
        <v/>
      </c>
      <c r="Q1667" s="9" t="str">
        <f t="shared" si="251"/>
        <v/>
      </c>
      <c r="R1667" s="11"/>
      <c r="S1667" s="11" t="str">
        <f t="shared" si="252"/>
        <v>PASS</v>
      </c>
    </row>
    <row r="1668" spans="1:19" x14ac:dyDescent="0.25">
      <c r="A1668" s="30" t="s">
        <v>99</v>
      </c>
      <c r="B1668" s="31">
        <f t="shared" si="254"/>
        <v>48976</v>
      </c>
      <c r="C1668" s="30">
        <f>YEAR(BInputReservoir[[#This Row],[Date]])</f>
        <v>2034</v>
      </c>
      <c r="D1668" s="30">
        <f>MONTH(BInputReservoir[[#This Row],[Date]])</f>
        <v>2</v>
      </c>
      <c r="E1668" s="30"/>
      <c r="F1668" s="30" t="str">
        <f>STORAGE_BALANCE_ENSEMBLE!CN225</f>
        <v/>
      </c>
      <c r="G1668" s="30" t="str">
        <f>STORAGE_BALANCE_ENSEMBLE!CO225</f>
        <v/>
      </c>
      <c r="H1668" s="30"/>
      <c r="I1668" s="18" t="str">
        <f t="shared" si="253"/>
        <v/>
      </c>
      <c r="J1668" s="8" t="str">
        <f t="shared" si="245"/>
        <v/>
      </c>
      <c r="K1668" s="9" t="str">
        <f t="shared" si="246"/>
        <v/>
      </c>
      <c r="L1668" s="10" t="str">
        <f t="shared" si="247"/>
        <v/>
      </c>
      <c r="M1668" s="10" t="str">
        <f>IF(I1668&lt;&gt;1,"",IF(H1668="","",H1668/CONTROL_PANEL!$B$11))</f>
        <v/>
      </c>
      <c r="N1668" s="9" t="str">
        <f t="shared" si="248"/>
        <v/>
      </c>
      <c r="O1668" s="9" t="str">
        <f t="shared" si="249"/>
        <v/>
      </c>
      <c r="P1668" s="9" t="str">
        <f t="shared" si="250"/>
        <v/>
      </c>
      <c r="Q1668" s="9" t="str">
        <f t="shared" si="251"/>
        <v/>
      </c>
      <c r="R1668" s="11"/>
      <c r="S1668" s="11" t="str">
        <f t="shared" si="252"/>
        <v>PASS</v>
      </c>
    </row>
    <row r="1669" spans="1:19" x14ac:dyDescent="0.25">
      <c r="A1669" s="30" t="s">
        <v>99</v>
      </c>
      <c r="B1669" s="31">
        <f t="shared" si="254"/>
        <v>49004</v>
      </c>
      <c r="C1669" s="30">
        <f>YEAR(BInputReservoir[[#This Row],[Date]])</f>
        <v>2034</v>
      </c>
      <c r="D1669" s="30">
        <f>MONTH(BInputReservoir[[#This Row],[Date]])</f>
        <v>3</v>
      </c>
      <c r="E1669" s="30"/>
      <c r="F1669" s="30" t="str">
        <f>STORAGE_BALANCE_ENSEMBLE!CN226</f>
        <v/>
      </c>
      <c r="G1669" s="30" t="str">
        <f>STORAGE_BALANCE_ENSEMBLE!CO226</f>
        <v/>
      </c>
      <c r="H1669" s="30"/>
      <c r="I1669" s="18" t="str">
        <f t="shared" si="253"/>
        <v/>
      </c>
      <c r="J1669" s="8" t="str">
        <f t="shared" ref="J1669:J1732" si="255">IF(I1669&lt;&gt;1,"",IF(E1669="","",MAX(0,E1669-G1669)))</f>
        <v/>
      </c>
      <c r="K1669" s="9" t="str">
        <f t="shared" ref="K1669:K1732" si="256">IF(I1669&lt;&gt;1,"",IF(OR(G1669="",E1669=""),"",IF(G1669&gt;0,1,0)))</f>
        <v/>
      </c>
      <c r="L1669" s="10" t="str">
        <f t="shared" ref="L1669:L1732" si="257">IF(I1669&lt;&gt;1,"",IF(AND(K1669=1,E1669&gt;0),G1669/E1669,0))</f>
        <v/>
      </c>
      <c r="M1669" s="10" t="str">
        <f>IF(I1669&lt;&gt;1,"",IF(H1669="","",H1669/CONTROL_PANEL!$B$11))</f>
        <v/>
      </c>
      <c r="N1669" s="9" t="str">
        <f t="shared" ref="N1669:N1732" si="258">IF(I1669&lt;&gt;1,"",IF(AND(K1669=1,A1670=A1669),1,0))</f>
        <v/>
      </c>
      <c r="O1669" s="9" t="str">
        <f t="shared" ref="O1669:O1732" si="259">IF(I1669&lt;&gt;1,"",IF(AND(K1669=1,A1670=A1669,K1670=0),1,0))</f>
        <v/>
      </c>
      <c r="P1669" s="9" t="str">
        <f t="shared" ref="P1669:P1732" si="260">IF(I1669&lt;&gt;1,"",IF(F1669&gt;0,1,0))</f>
        <v/>
      </c>
      <c r="Q1669" s="9" t="str">
        <f t="shared" ref="Q1669:Q1732" si="261">IF(I1669&lt;&gt;1,"",IF(G1669&gt;0,1,0))</f>
        <v/>
      </c>
      <c r="R1669" s="11"/>
      <c r="S1669" s="11" t="str">
        <f t="shared" si="252"/>
        <v>PASS</v>
      </c>
    </row>
    <row r="1670" spans="1:19" x14ac:dyDescent="0.25">
      <c r="A1670" s="30" t="s">
        <v>99</v>
      </c>
      <c r="B1670" s="31">
        <f t="shared" si="254"/>
        <v>49035</v>
      </c>
      <c r="C1670" s="30">
        <f>YEAR(BInputReservoir[[#This Row],[Date]])</f>
        <v>2034</v>
      </c>
      <c r="D1670" s="30">
        <f>MONTH(BInputReservoir[[#This Row],[Date]])</f>
        <v>4</v>
      </c>
      <c r="E1670" s="30"/>
      <c r="F1670" s="30" t="str">
        <f>STORAGE_BALANCE_ENSEMBLE!CN227</f>
        <v/>
      </c>
      <c r="G1670" s="30" t="str">
        <f>STORAGE_BALANCE_ENSEMBLE!CO227</f>
        <v/>
      </c>
      <c r="H1670" s="30"/>
      <c r="I1670" s="18" t="str">
        <f t="shared" si="253"/>
        <v/>
      </c>
      <c r="J1670" s="8" t="str">
        <f t="shared" si="255"/>
        <v/>
      </c>
      <c r="K1670" s="9" t="str">
        <f t="shared" si="256"/>
        <v/>
      </c>
      <c r="L1670" s="10" t="str">
        <f t="shared" si="257"/>
        <v/>
      </c>
      <c r="M1670" s="10" t="str">
        <f>IF(I1670&lt;&gt;1,"",IF(H1670="","",H1670/CONTROL_PANEL!$B$11))</f>
        <v/>
      </c>
      <c r="N1670" s="9" t="str">
        <f t="shared" si="258"/>
        <v/>
      </c>
      <c r="O1670" s="9" t="str">
        <f t="shared" si="259"/>
        <v/>
      </c>
      <c r="P1670" s="9" t="str">
        <f t="shared" si="260"/>
        <v/>
      </c>
      <c r="Q1670" s="9" t="str">
        <f t="shared" si="261"/>
        <v/>
      </c>
      <c r="R1670" s="11"/>
      <c r="S1670" s="11" t="str">
        <f t="shared" si="252"/>
        <v>PASS</v>
      </c>
    </row>
    <row r="1671" spans="1:19" x14ac:dyDescent="0.25">
      <c r="A1671" s="30" t="s">
        <v>99</v>
      </c>
      <c r="B1671" s="31">
        <f t="shared" si="254"/>
        <v>49065</v>
      </c>
      <c r="C1671" s="30">
        <f>YEAR(BInputReservoir[[#This Row],[Date]])</f>
        <v>2034</v>
      </c>
      <c r="D1671" s="30">
        <f>MONTH(BInputReservoir[[#This Row],[Date]])</f>
        <v>5</v>
      </c>
      <c r="E1671" s="30"/>
      <c r="F1671" s="30" t="str">
        <f>STORAGE_BALANCE_ENSEMBLE!CN228</f>
        <v/>
      </c>
      <c r="G1671" s="30" t="str">
        <f>STORAGE_BALANCE_ENSEMBLE!CO228</f>
        <v/>
      </c>
      <c r="H1671" s="30"/>
      <c r="I1671" s="18" t="str">
        <f t="shared" si="253"/>
        <v/>
      </c>
      <c r="J1671" s="8" t="str">
        <f t="shared" si="255"/>
        <v/>
      </c>
      <c r="K1671" s="9" t="str">
        <f t="shared" si="256"/>
        <v/>
      </c>
      <c r="L1671" s="10" t="str">
        <f t="shared" si="257"/>
        <v/>
      </c>
      <c r="M1671" s="10" t="str">
        <f>IF(I1671&lt;&gt;1,"",IF(H1671="","",H1671/CONTROL_PANEL!$B$11))</f>
        <v/>
      </c>
      <c r="N1671" s="9" t="str">
        <f t="shared" si="258"/>
        <v/>
      </c>
      <c r="O1671" s="9" t="str">
        <f t="shared" si="259"/>
        <v/>
      </c>
      <c r="P1671" s="9" t="str">
        <f t="shared" si="260"/>
        <v/>
      </c>
      <c r="Q1671" s="9" t="str">
        <f t="shared" si="261"/>
        <v/>
      </c>
      <c r="R1671" s="11"/>
      <c r="S1671" s="11" t="str">
        <f t="shared" ref="S1671:S1734" si="262">IF(COUNTA(A1671:H1671)=0,"",IF(OR(A1671="",C1671="",D1671=""),"ERROR: missing key fields","PASS"))</f>
        <v>PASS</v>
      </c>
    </row>
    <row r="1672" spans="1:19" x14ac:dyDescent="0.25">
      <c r="A1672" s="30" t="s">
        <v>99</v>
      </c>
      <c r="B1672" s="31">
        <f t="shared" si="254"/>
        <v>49096</v>
      </c>
      <c r="C1672" s="30">
        <f>YEAR(BInputReservoir[[#This Row],[Date]])</f>
        <v>2034</v>
      </c>
      <c r="D1672" s="30">
        <f>MONTH(BInputReservoir[[#This Row],[Date]])</f>
        <v>6</v>
      </c>
      <c r="E1672" s="30"/>
      <c r="F1672" s="30" t="str">
        <f>STORAGE_BALANCE_ENSEMBLE!CN229</f>
        <v/>
      </c>
      <c r="G1672" s="30" t="str">
        <f>STORAGE_BALANCE_ENSEMBLE!CO229</f>
        <v/>
      </c>
      <c r="H1672" s="30"/>
      <c r="I1672" s="18" t="str">
        <f t="shared" si="253"/>
        <v/>
      </c>
      <c r="J1672" s="8" t="str">
        <f t="shared" si="255"/>
        <v/>
      </c>
      <c r="K1672" s="9" t="str">
        <f t="shared" si="256"/>
        <v/>
      </c>
      <c r="L1672" s="10" t="str">
        <f t="shared" si="257"/>
        <v/>
      </c>
      <c r="M1672" s="10" t="str">
        <f>IF(I1672&lt;&gt;1,"",IF(H1672="","",H1672/CONTROL_PANEL!$B$11))</f>
        <v/>
      </c>
      <c r="N1672" s="9" t="str">
        <f t="shared" si="258"/>
        <v/>
      </c>
      <c r="O1672" s="9" t="str">
        <f t="shared" si="259"/>
        <v/>
      </c>
      <c r="P1672" s="9" t="str">
        <f t="shared" si="260"/>
        <v/>
      </c>
      <c r="Q1672" s="9" t="str">
        <f t="shared" si="261"/>
        <v/>
      </c>
      <c r="R1672" s="11"/>
      <c r="S1672" s="11" t="str">
        <f t="shared" si="262"/>
        <v>PASS</v>
      </c>
    </row>
    <row r="1673" spans="1:19" x14ac:dyDescent="0.25">
      <c r="A1673" s="30" t="s">
        <v>99</v>
      </c>
      <c r="B1673" s="31">
        <f t="shared" si="254"/>
        <v>49126</v>
      </c>
      <c r="C1673" s="30">
        <f>YEAR(BInputReservoir[[#This Row],[Date]])</f>
        <v>2034</v>
      </c>
      <c r="D1673" s="30">
        <f>MONTH(BInputReservoir[[#This Row],[Date]])</f>
        <v>7</v>
      </c>
      <c r="E1673" s="30"/>
      <c r="F1673" s="30" t="str">
        <f>STORAGE_BALANCE_ENSEMBLE!CN230</f>
        <v/>
      </c>
      <c r="G1673" s="30" t="str">
        <f>STORAGE_BALANCE_ENSEMBLE!CO230</f>
        <v/>
      </c>
      <c r="H1673" s="30"/>
      <c r="I1673" s="18" t="str">
        <f t="shared" si="253"/>
        <v/>
      </c>
      <c r="J1673" s="8" t="str">
        <f t="shared" si="255"/>
        <v/>
      </c>
      <c r="K1673" s="9" t="str">
        <f t="shared" si="256"/>
        <v/>
      </c>
      <c r="L1673" s="10" t="str">
        <f t="shared" si="257"/>
        <v/>
      </c>
      <c r="M1673" s="10" t="str">
        <f>IF(I1673&lt;&gt;1,"",IF(H1673="","",H1673/CONTROL_PANEL!$B$11))</f>
        <v/>
      </c>
      <c r="N1673" s="9" t="str">
        <f t="shared" si="258"/>
        <v/>
      </c>
      <c r="O1673" s="9" t="str">
        <f t="shared" si="259"/>
        <v/>
      </c>
      <c r="P1673" s="9" t="str">
        <f t="shared" si="260"/>
        <v/>
      </c>
      <c r="Q1673" s="9" t="str">
        <f t="shared" si="261"/>
        <v/>
      </c>
      <c r="R1673" s="11"/>
      <c r="S1673" s="11" t="str">
        <f t="shared" si="262"/>
        <v>PASS</v>
      </c>
    </row>
    <row r="1674" spans="1:19" x14ac:dyDescent="0.25">
      <c r="A1674" s="30" t="s">
        <v>99</v>
      </c>
      <c r="B1674" s="31">
        <f t="shared" si="254"/>
        <v>49157</v>
      </c>
      <c r="C1674" s="30">
        <f>YEAR(BInputReservoir[[#This Row],[Date]])</f>
        <v>2034</v>
      </c>
      <c r="D1674" s="30">
        <f>MONTH(BInputReservoir[[#This Row],[Date]])</f>
        <v>8</v>
      </c>
      <c r="E1674" s="30"/>
      <c r="F1674" s="30" t="str">
        <f>STORAGE_BALANCE_ENSEMBLE!CN231</f>
        <v/>
      </c>
      <c r="G1674" s="30" t="str">
        <f>STORAGE_BALANCE_ENSEMBLE!CO231</f>
        <v/>
      </c>
      <c r="H1674" s="30"/>
      <c r="I1674" s="18" t="str">
        <f t="shared" si="253"/>
        <v/>
      </c>
      <c r="J1674" s="8" t="str">
        <f t="shared" si="255"/>
        <v/>
      </c>
      <c r="K1674" s="9" t="str">
        <f t="shared" si="256"/>
        <v/>
      </c>
      <c r="L1674" s="10" t="str">
        <f t="shared" si="257"/>
        <v/>
      </c>
      <c r="M1674" s="10" t="str">
        <f>IF(I1674&lt;&gt;1,"",IF(H1674="","",H1674/CONTROL_PANEL!$B$11))</f>
        <v/>
      </c>
      <c r="N1674" s="9" t="str">
        <f t="shared" si="258"/>
        <v/>
      </c>
      <c r="O1674" s="9" t="str">
        <f t="shared" si="259"/>
        <v/>
      </c>
      <c r="P1674" s="9" t="str">
        <f t="shared" si="260"/>
        <v/>
      </c>
      <c r="Q1674" s="9" t="str">
        <f t="shared" si="261"/>
        <v/>
      </c>
      <c r="R1674" s="11"/>
      <c r="S1674" s="11" t="str">
        <f t="shared" si="262"/>
        <v>PASS</v>
      </c>
    </row>
    <row r="1675" spans="1:19" x14ac:dyDescent="0.25">
      <c r="A1675" s="30" t="s">
        <v>99</v>
      </c>
      <c r="B1675" s="31">
        <f t="shared" si="254"/>
        <v>49188</v>
      </c>
      <c r="C1675" s="30">
        <f>YEAR(BInputReservoir[[#This Row],[Date]])</f>
        <v>2034</v>
      </c>
      <c r="D1675" s="30">
        <f>MONTH(BInputReservoir[[#This Row],[Date]])</f>
        <v>9</v>
      </c>
      <c r="E1675" s="30"/>
      <c r="F1675" s="30" t="str">
        <f>STORAGE_BALANCE_ENSEMBLE!CN232</f>
        <v/>
      </c>
      <c r="G1675" s="30" t="str">
        <f>STORAGE_BALANCE_ENSEMBLE!CO232</f>
        <v/>
      </c>
      <c r="H1675" s="30"/>
      <c r="I1675" s="18" t="str">
        <f t="shared" si="253"/>
        <v/>
      </c>
      <c r="J1675" s="8" t="str">
        <f t="shared" si="255"/>
        <v/>
      </c>
      <c r="K1675" s="9" t="str">
        <f t="shared" si="256"/>
        <v/>
      </c>
      <c r="L1675" s="10" t="str">
        <f t="shared" si="257"/>
        <v/>
      </c>
      <c r="M1675" s="10" t="str">
        <f>IF(I1675&lt;&gt;1,"",IF(H1675="","",H1675/CONTROL_PANEL!$B$11))</f>
        <v/>
      </c>
      <c r="N1675" s="9" t="str">
        <f t="shared" si="258"/>
        <v/>
      </c>
      <c r="O1675" s="9" t="str">
        <f t="shared" si="259"/>
        <v/>
      </c>
      <c r="P1675" s="9" t="str">
        <f t="shared" si="260"/>
        <v/>
      </c>
      <c r="Q1675" s="9" t="str">
        <f t="shared" si="261"/>
        <v/>
      </c>
      <c r="R1675" s="11"/>
      <c r="S1675" s="11" t="str">
        <f t="shared" si="262"/>
        <v>PASS</v>
      </c>
    </row>
    <row r="1676" spans="1:19" x14ac:dyDescent="0.25">
      <c r="A1676" s="30" t="s">
        <v>99</v>
      </c>
      <c r="B1676" s="31">
        <f t="shared" si="254"/>
        <v>49218</v>
      </c>
      <c r="C1676" s="30">
        <f>YEAR(BInputReservoir[[#This Row],[Date]])</f>
        <v>2034</v>
      </c>
      <c r="D1676" s="30">
        <f>MONTH(BInputReservoir[[#This Row],[Date]])</f>
        <v>10</v>
      </c>
      <c r="E1676" s="30"/>
      <c r="F1676" s="30" t="str">
        <f>STORAGE_BALANCE_ENSEMBLE!CN233</f>
        <v/>
      </c>
      <c r="G1676" s="30" t="str">
        <f>STORAGE_BALANCE_ENSEMBLE!CO233</f>
        <v/>
      </c>
      <c r="H1676" s="30"/>
      <c r="I1676" s="18" t="str">
        <f t="shared" si="253"/>
        <v/>
      </c>
      <c r="J1676" s="8" t="str">
        <f t="shared" si="255"/>
        <v/>
      </c>
      <c r="K1676" s="9" t="str">
        <f t="shared" si="256"/>
        <v/>
      </c>
      <c r="L1676" s="10" t="str">
        <f t="shared" si="257"/>
        <v/>
      </c>
      <c r="M1676" s="10" t="str">
        <f>IF(I1676&lt;&gt;1,"",IF(H1676="","",H1676/CONTROL_PANEL!$B$11))</f>
        <v/>
      </c>
      <c r="N1676" s="9" t="str">
        <f t="shared" si="258"/>
        <v/>
      </c>
      <c r="O1676" s="9" t="str">
        <f t="shared" si="259"/>
        <v/>
      </c>
      <c r="P1676" s="9" t="str">
        <f t="shared" si="260"/>
        <v/>
      </c>
      <c r="Q1676" s="9" t="str">
        <f t="shared" si="261"/>
        <v/>
      </c>
      <c r="R1676" s="11"/>
      <c r="S1676" s="11" t="str">
        <f t="shared" si="262"/>
        <v>PASS</v>
      </c>
    </row>
    <row r="1677" spans="1:19" x14ac:dyDescent="0.25">
      <c r="A1677" s="30" t="s">
        <v>99</v>
      </c>
      <c r="B1677" s="31">
        <f t="shared" si="254"/>
        <v>49249</v>
      </c>
      <c r="C1677" s="30">
        <f>YEAR(BInputReservoir[[#This Row],[Date]])</f>
        <v>2034</v>
      </c>
      <c r="D1677" s="30">
        <f>MONTH(BInputReservoir[[#This Row],[Date]])</f>
        <v>11</v>
      </c>
      <c r="E1677" s="30"/>
      <c r="F1677" s="30" t="str">
        <f>STORAGE_BALANCE_ENSEMBLE!CN234</f>
        <v/>
      </c>
      <c r="G1677" s="30" t="str">
        <f>STORAGE_BALANCE_ENSEMBLE!CO234</f>
        <v/>
      </c>
      <c r="H1677" s="30"/>
      <c r="I1677" s="18" t="str">
        <f t="shared" si="253"/>
        <v/>
      </c>
      <c r="J1677" s="8" t="str">
        <f t="shared" si="255"/>
        <v/>
      </c>
      <c r="K1677" s="9" t="str">
        <f t="shared" si="256"/>
        <v/>
      </c>
      <c r="L1677" s="10" t="str">
        <f t="shared" si="257"/>
        <v/>
      </c>
      <c r="M1677" s="10" t="str">
        <f>IF(I1677&lt;&gt;1,"",IF(H1677="","",H1677/CONTROL_PANEL!$B$11))</f>
        <v/>
      </c>
      <c r="N1677" s="9" t="str">
        <f t="shared" si="258"/>
        <v/>
      </c>
      <c r="O1677" s="9" t="str">
        <f t="shared" si="259"/>
        <v/>
      </c>
      <c r="P1677" s="9" t="str">
        <f t="shared" si="260"/>
        <v/>
      </c>
      <c r="Q1677" s="9" t="str">
        <f t="shared" si="261"/>
        <v/>
      </c>
      <c r="R1677" s="11"/>
      <c r="S1677" s="11" t="str">
        <f t="shared" si="262"/>
        <v>PASS</v>
      </c>
    </row>
    <row r="1678" spans="1:19" x14ac:dyDescent="0.25">
      <c r="A1678" s="30" t="s">
        <v>99</v>
      </c>
      <c r="B1678" s="31">
        <f t="shared" si="254"/>
        <v>49279</v>
      </c>
      <c r="C1678" s="30">
        <f>YEAR(BInputReservoir[[#This Row],[Date]])</f>
        <v>2034</v>
      </c>
      <c r="D1678" s="30">
        <f>MONTH(BInputReservoir[[#This Row],[Date]])</f>
        <v>12</v>
      </c>
      <c r="E1678" s="30"/>
      <c r="F1678" s="30" t="str">
        <f>STORAGE_BALANCE_ENSEMBLE!CN235</f>
        <v/>
      </c>
      <c r="G1678" s="30" t="str">
        <f>STORAGE_BALANCE_ENSEMBLE!CO235</f>
        <v/>
      </c>
      <c r="H1678" s="30"/>
      <c r="I1678" s="18" t="str">
        <f t="shared" si="253"/>
        <v/>
      </c>
      <c r="J1678" s="8" t="str">
        <f t="shared" si="255"/>
        <v/>
      </c>
      <c r="K1678" s="9" t="str">
        <f t="shared" si="256"/>
        <v/>
      </c>
      <c r="L1678" s="10" t="str">
        <f t="shared" si="257"/>
        <v/>
      </c>
      <c r="M1678" s="10" t="str">
        <f>IF(I1678&lt;&gt;1,"",IF(H1678="","",H1678/CONTROL_PANEL!$B$11))</f>
        <v/>
      </c>
      <c r="N1678" s="9" t="str">
        <f t="shared" si="258"/>
        <v/>
      </c>
      <c r="O1678" s="9" t="str">
        <f t="shared" si="259"/>
        <v/>
      </c>
      <c r="P1678" s="9" t="str">
        <f t="shared" si="260"/>
        <v/>
      </c>
      <c r="Q1678" s="9" t="str">
        <f t="shared" si="261"/>
        <v/>
      </c>
      <c r="R1678" s="11"/>
      <c r="S1678" s="11" t="str">
        <f t="shared" si="262"/>
        <v>PASS</v>
      </c>
    </row>
    <row r="1679" spans="1:19" x14ac:dyDescent="0.25">
      <c r="A1679" s="30" t="s">
        <v>99</v>
      </c>
      <c r="B1679" s="31">
        <f t="shared" si="254"/>
        <v>49310</v>
      </c>
      <c r="C1679" s="30">
        <f>YEAR(BInputReservoir[[#This Row],[Date]])</f>
        <v>2035</v>
      </c>
      <c r="D1679" s="30">
        <f>MONTH(BInputReservoir[[#This Row],[Date]])</f>
        <v>1</v>
      </c>
      <c r="E1679" s="30"/>
      <c r="F1679" s="30" t="str">
        <f>STORAGE_BALANCE_ENSEMBLE!CN236</f>
        <v/>
      </c>
      <c r="G1679" s="30" t="str">
        <f>STORAGE_BALANCE_ENSEMBLE!CO236</f>
        <v/>
      </c>
      <c r="H1679" s="30"/>
      <c r="I1679" s="18" t="str">
        <f t="shared" si="253"/>
        <v/>
      </c>
      <c r="J1679" s="8" t="str">
        <f t="shared" si="255"/>
        <v/>
      </c>
      <c r="K1679" s="9" t="str">
        <f t="shared" si="256"/>
        <v/>
      </c>
      <c r="L1679" s="10" t="str">
        <f t="shared" si="257"/>
        <v/>
      </c>
      <c r="M1679" s="10" t="str">
        <f>IF(I1679&lt;&gt;1,"",IF(H1679="","",H1679/CONTROL_PANEL!$B$11))</f>
        <v/>
      </c>
      <c r="N1679" s="9" t="str">
        <f t="shared" si="258"/>
        <v/>
      </c>
      <c r="O1679" s="9" t="str">
        <f t="shared" si="259"/>
        <v/>
      </c>
      <c r="P1679" s="9" t="str">
        <f t="shared" si="260"/>
        <v/>
      </c>
      <c r="Q1679" s="9" t="str">
        <f t="shared" si="261"/>
        <v/>
      </c>
      <c r="R1679" s="11"/>
      <c r="S1679" s="11" t="str">
        <f t="shared" si="262"/>
        <v>PASS</v>
      </c>
    </row>
    <row r="1680" spans="1:19" x14ac:dyDescent="0.25">
      <c r="A1680" s="30" t="s">
        <v>99</v>
      </c>
      <c r="B1680" s="31">
        <f t="shared" si="254"/>
        <v>49341</v>
      </c>
      <c r="C1680" s="30">
        <f>YEAR(BInputReservoir[[#This Row],[Date]])</f>
        <v>2035</v>
      </c>
      <c r="D1680" s="30">
        <f>MONTH(BInputReservoir[[#This Row],[Date]])</f>
        <v>2</v>
      </c>
      <c r="E1680" s="30"/>
      <c r="F1680" s="30" t="str">
        <f>STORAGE_BALANCE_ENSEMBLE!CN237</f>
        <v/>
      </c>
      <c r="G1680" s="30" t="str">
        <f>STORAGE_BALANCE_ENSEMBLE!CO237</f>
        <v/>
      </c>
      <c r="H1680" s="30"/>
      <c r="I1680" s="18" t="str">
        <f t="shared" si="253"/>
        <v/>
      </c>
      <c r="J1680" s="8" t="str">
        <f t="shared" si="255"/>
        <v/>
      </c>
      <c r="K1680" s="9" t="str">
        <f t="shared" si="256"/>
        <v/>
      </c>
      <c r="L1680" s="10" t="str">
        <f t="shared" si="257"/>
        <v/>
      </c>
      <c r="M1680" s="10" t="str">
        <f>IF(I1680&lt;&gt;1,"",IF(H1680="","",H1680/CONTROL_PANEL!$B$11))</f>
        <v/>
      </c>
      <c r="N1680" s="9" t="str">
        <f t="shared" si="258"/>
        <v/>
      </c>
      <c r="O1680" s="9" t="str">
        <f t="shared" si="259"/>
        <v/>
      </c>
      <c r="P1680" s="9" t="str">
        <f t="shared" si="260"/>
        <v/>
      </c>
      <c r="Q1680" s="9" t="str">
        <f t="shared" si="261"/>
        <v/>
      </c>
      <c r="R1680" s="11"/>
      <c r="S1680" s="11" t="str">
        <f t="shared" si="262"/>
        <v>PASS</v>
      </c>
    </row>
    <row r="1681" spans="1:19" x14ac:dyDescent="0.25">
      <c r="A1681" s="30" t="s">
        <v>99</v>
      </c>
      <c r="B1681" s="31">
        <f t="shared" si="254"/>
        <v>49369</v>
      </c>
      <c r="C1681" s="30">
        <f>YEAR(BInputReservoir[[#This Row],[Date]])</f>
        <v>2035</v>
      </c>
      <c r="D1681" s="30">
        <f>MONTH(BInputReservoir[[#This Row],[Date]])</f>
        <v>3</v>
      </c>
      <c r="E1681" s="30"/>
      <c r="F1681" s="30" t="str">
        <f>STORAGE_BALANCE_ENSEMBLE!CN238</f>
        <v/>
      </c>
      <c r="G1681" s="30" t="str">
        <f>STORAGE_BALANCE_ENSEMBLE!CO238</f>
        <v/>
      </c>
      <c r="H1681" s="30"/>
      <c r="I1681" s="18" t="str">
        <f t="shared" si="253"/>
        <v/>
      </c>
      <c r="J1681" s="8" t="str">
        <f t="shared" si="255"/>
        <v/>
      </c>
      <c r="K1681" s="9" t="str">
        <f t="shared" si="256"/>
        <v/>
      </c>
      <c r="L1681" s="10" t="str">
        <f t="shared" si="257"/>
        <v/>
      </c>
      <c r="M1681" s="10" t="str">
        <f>IF(I1681&lt;&gt;1,"",IF(H1681="","",H1681/CONTROL_PANEL!$B$11))</f>
        <v/>
      </c>
      <c r="N1681" s="9" t="str">
        <f t="shared" si="258"/>
        <v/>
      </c>
      <c r="O1681" s="9" t="str">
        <f t="shared" si="259"/>
        <v/>
      </c>
      <c r="P1681" s="9" t="str">
        <f t="shared" si="260"/>
        <v/>
      </c>
      <c r="Q1681" s="9" t="str">
        <f t="shared" si="261"/>
        <v/>
      </c>
      <c r="R1681" s="11"/>
      <c r="S1681" s="11" t="str">
        <f t="shared" si="262"/>
        <v>PASS</v>
      </c>
    </row>
    <row r="1682" spans="1:19" x14ac:dyDescent="0.25">
      <c r="A1682" s="30" t="s">
        <v>99</v>
      </c>
      <c r="B1682" s="31">
        <f t="shared" si="254"/>
        <v>49400</v>
      </c>
      <c r="C1682" s="30">
        <f>YEAR(BInputReservoir[[#This Row],[Date]])</f>
        <v>2035</v>
      </c>
      <c r="D1682" s="30">
        <f>MONTH(BInputReservoir[[#This Row],[Date]])</f>
        <v>4</v>
      </c>
      <c r="E1682" s="30"/>
      <c r="F1682" s="30" t="str">
        <f>STORAGE_BALANCE_ENSEMBLE!CN239</f>
        <v/>
      </c>
      <c r="G1682" s="30" t="str">
        <f>STORAGE_BALANCE_ENSEMBLE!CO239</f>
        <v/>
      </c>
      <c r="H1682" s="30"/>
      <c r="I1682" s="18" t="str">
        <f t="shared" si="253"/>
        <v/>
      </c>
      <c r="J1682" s="8" t="str">
        <f t="shared" si="255"/>
        <v/>
      </c>
      <c r="K1682" s="9" t="str">
        <f t="shared" si="256"/>
        <v/>
      </c>
      <c r="L1682" s="10" t="str">
        <f t="shared" si="257"/>
        <v/>
      </c>
      <c r="M1682" s="10" t="str">
        <f>IF(I1682&lt;&gt;1,"",IF(H1682="","",H1682/CONTROL_PANEL!$B$11))</f>
        <v/>
      </c>
      <c r="N1682" s="9" t="str">
        <f t="shared" si="258"/>
        <v/>
      </c>
      <c r="O1682" s="9" t="str">
        <f t="shared" si="259"/>
        <v/>
      </c>
      <c r="P1682" s="9" t="str">
        <f t="shared" si="260"/>
        <v/>
      </c>
      <c r="Q1682" s="9" t="str">
        <f t="shared" si="261"/>
        <v/>
      </c>
      <c r="R1682" s="11"/>
      <c r="S1682" s="11" t="str">
        <f t="shared" si="262"/>
        <v>PASS</v>
      </c>
    </row>
    <row r="1683" spans="1:19" x14ac:dyDescent="0.25">
      <c r="A1683" s="30" t="s">
        <v>99</v>
      </c>
      <c r="B1683" s="31">
        <f t="shared" si="254"/>
        <v>49430</v>
      </c>
      <c r="C1683" s="30">
        <f>YEAR(BInputReservoir[[#This Row],[Date]])</f>
        <v>2035</v>
      </c>
      <c r="D1683" s="30">
        <f>MONTH(BInputReservoir[[#This Row],[Date]])</f>
        <v>5</v>
      </c>
      <c r="E1683" s="30"/>
      <c r="F1683" s="30" t="str">
        <f>STORAGE_BALANCE_ENSEMBLE!CN240</f>
        <v/>
      </c>
      <c r="G1683" s="30" t="str">
        <f>STORAGE_BALANCE_ENSEMBLE!CO240</f>
        <v/>
      </c>
      <c r="H1683" s="30"/>
      <c r="I1683" s="18" t="str">
        <f t="shared" si="253"/>
        <v/>
      </c>
      <c r="J1683" s="8" t="str">
        <f t="shared" si="255"/>
        <v/>
      </c>
      <c r="K1683" s="9" t="str">
        <f t="shared" si="256"/>
        <v/>
      </c>
      <c r="L1683" s="10" t="str">
        <f t="shared" si="257"/>
        <v/>
      </c>
      <c r="M1683" s="10" t="str">
        <f>IF(I1683&lt;&gt;1,"",IF(H1683="","",H1683/CONTROL_PANEL!$B$11))</f>
        <v/>
      </c>
      <c r="N1683" s="9" t="str">
        <f t="shared" si="258"/>
        <v/>
      </c>
      <c r="O1683" s="9" t="str">
        <f t="shared" si="259"/>
        <v/>
      </c>
      <c r="P1683" s="9" t="str">
        <f t="shared" si="260"/>
        <v/>
      </c>
      <c r="Q1683" s="9" t="str">
        <f t="shared" si="261"/>
        <v/>
      </c>
      <c r="R1683" s="11"/>
      <c r="S1683" s="11" t="str">
        <f t="shared" si="262"/>
        <v>PASS</v>
      </c>
    </row>
    <row r="1684" spans="1:19" x14ac:dyDescent="0.25">
      <c r="A1684" s="30" t="s">
        <v>99</v>
      </c>
      <c r="B1684" s="31">
        <f t="shared" si="254"/>
        <v>49461</v>
      </c>
      <c r="C1684" s="30">
        <f>YEAR(BInputReservoir[[#This Row],[Date]])</f>
        <v>2035</v>
      </c>
      <c r="D1684" s="30">
        <f>MONTH(BInputReservoir[[#This Row],[Date]])</f>
        <v>6</v>
      </c>
      <c r="E1684" s="30"/>
      <c r="F1684" s="30" t="str">
        <f>STORAGE_BALANCE_ENSEMBLE!CN241</f>
        <v/>
      </c>
      <c r="G1684" s="30" t="str">
        <f>STORAGE_BALANCE_ENSEMBLE!CO241</f>
        <v/>
      </c>
      <c r="H1684" s="30"/>
      <c r="I1684" s="18" t="str">
        <f t="shared" si="253"/>
        <v/>
      </c>
      <c r="J1684" s="8" t="str">
        <f t="shared" si="255"/>
        <v/>
      </c>
      <c r="K1684" s="9" t="str">
        <f t="shared" si="256"/>
        <v/>
      </c>
      <c r="L1684" s="10" t="str">
        <f t="shared" si="257"/>
        <v/>
      </c>
      <c r="M1684" s="10" t="str">
        <f>IF(I1684&lt;&gt;1,"",IF(H1684="","",H1684/CONTROL_PANEL!$B$11))</f>
        <v/>
      </c>
      <c r="N1684" s="9" t="str">
        <f t="shared" si="258"/>
        <v/>
      </c>
      <c r="O1684" s="9" t="str">
        <f t="shared" si="259"/>
        <v/>
      </c>
      <c r="P1684" s="9" t="str">
        <f t="shared" si="260"/>
        <v/>
      </c>
      <c r="Q1684" s="9" t="str">
        <f t="shared" si="261"/>
        <v/>
      </c>
      <c r="R1684" s="11"/>
      <c r="S1684" s="11" t="str">
        <f t="shared" si="262"/>
        <v>PASS</v>
      </c>
    </row>
    <row r="1685" spans="1:19" x14ac:dyDescent="0.25">
      <c r="A1685" s="30" t="s">
        <v>99</v>
      </c>
      <c r="B1685" s="31">
        <f t="shared" si="254"/>
        <v>49491</v>
      </c>
      <c r="C1685" s="30">
        <f>YEAR(BInputReservoir[[#This Row],[Date]])</f>
        <v>2035</v>
      </c>
      <c r="D1685" s="30">
        <f>MONTH(BInputReservoir[[#This Row],[Date]])</f>
        <v>7</v>
      </c>
      <c r="E1685" s="30"/>
      <c r="F1685" s="30" t="str">
        <f>STORAGE_BALANCE_ENSEMBLE!CN242</f>
        <v/>
      </c>
      <c r="G1685" s="30" t="str">
        <f>STORAGE_BALANCE_ENSEMBLE!CO242</f>
        <v/>
      </c>
      <c r="H1685" s="30"/>
      <c r="I1685" s="18" t="str">
        <f t="shared" si="253"/>
        <v/>
      </c>
      <c r="J1685" s="8" t="str">
        <f t="shared" si="255"/>
        <v/>
      </c>
      <c r="K1685" s="9" t="str">
        <f t="shared" si="256"/>
        <v/>
      </c>
      <c r="L1685" s="10" t="str">
        <f t="shared" si="257"/>
        <v/>
      </c>
      <c r="M1685" s="10" t="str">
        <f>IF(I1685&lt;&gt;1,"",IF(H1685="","",H1685/CONTROL_PANEL!$B$11))</f>
        <v/>
      </c>
      <c r="N1685" s="9" t="str">
        <f t="shared" si="258"/>
        <v/>
      </c>
      <c r="O1685" s="9" t="str">
        <f t="shared" si="259"/>
        <v/>
      </c>
      <c r="P1685" s="9" t="str">
        <f t="shared" si="260"/>
        <v/>
      </c>
      <c r="Q1685" s="9" t="str">
        <f t="shared" si="261"/>
        <v/>
      </c>
      <c r="R1685" s="11"/>
      <c r="S1685" s="11" t="str">
        <f t="shared" si="262"/>
        <v>PASS</v>
      </c>
    </row>
    <row r="1686" spans="1:19" x14ac:dyDescent="0.25">
      <c r="A1686" s="30" t="s">
        <v>99</v>
      </c>
      <c r="B1686" s="31">
        <f t="shared" si="254"/>
        <v>49522</v>
      </c>
      <c r="C1686" s="30">
        <f>YEAR(BInputReservoir[[#This Row],[Date]])</f>
        <v>2035</v>
      </c>
      <c r="D1686" s="30">
        <f>MONTH(BInputReservoir[[#This Row],[Date]])</f>
        <v>8</v>
      </c>
      <c r="E1686" s="30"/>
      <c r="F1686" s="30" t="str">
        <f>STORAGE_BALANCE_ENSEMBLE!CN243</f>
        <v/>
      </c>
      <c r="G1686" s="30" t="str">
        <f>STORAGE_BALANCE_ENSEMBLE!CO243</f>
        <v/>
      </c>
      <c r="H1686" s="30"/>
      <c r="I1686" s="18" t="str">
        <f t="shared" si="253"/>
        <v/>
      </c>
      <c r="J1686" s="8" t="str">
        <f t="shared" si="255"/>
        <v/>
      </c>
      <c r="K1686" s="9" t="str">
        <f t="shared" si="256"/>
        <v/>
      </c>
      <c r="L1686" s="10" t="str">
        <f t="shared" si="257"/>
        <v/>
      </c>
      <c r="M1686" s="10" t="str">
        <f>IF(I1686&lt;&gt;1,"",IF(H1686="","",H1686/CONTROL_PANEL!$B$11))</f>
        <v/>
      </c>
      <c r="N1686" s="9" t="str">
        <f t="shared" si="258"/>
        <v/>
      </c>
      <c r="O1686" s="9" t="str">
        <f t="shared" si="259"/>
        <v/>
      </c>
      <c r="P1686" s="9" t="str">
        <f t="shared" si="260"/>
        <v/>
      </c>
      <c r="Q1686" s="9" t="str">
        <f t="shared" si="261"/>
        <v/>
      </c>
      <c r="R1686" s="11"/>
      <c r="S1686" s="11" t="str">
        <f t="shared" si="262"/>
        <v>PASS</v>
      </c>
    </row>
    <row r="1687" spans="1:19" x14ac:dyDescent="0.25">
      <c r="A1687" s="30" t="s">
        <v>99</v>
      </c>
      <c r="B1687" s="31">
        <f t="shared" si="254"/>
        <v>49553</v>
      </c>
      <c r="C1687" s="30">
        <f>YEAR(BInputReservoir[[#This Row],[Date]])</f>
        <v>2035</v>
      </c>
      <c r="D1687" s="30">
        <f>MONTH(BInputReservoir[[#This Row],[Date]])</f>
        <v>9</v>
      </c>
      <c r="E1687" s="30"/>
      <c r="F1687" s="30" t="str">
        <f>STORAGE_BALANCE_ENSEMBLE!CN244</f>
        <v/>
      </c>
      <c r="G1687" s="30" t="str">
        <f>STORAGE_BALANCE_ENSEMBLE!CO244</f>
        <v/>
      </c>
      <c r="H1687" s="30"/>
      <c r="I1687" s="18" t="str">
        <f t="shared" si="253"/>
        <v/>
      </c>
      <c r="J1687" s="8" t="str">
        <f t="shared" si="255"/>
        <v/>
      </c>
      <c r="K1687" s="9" t="str">
        <f t="shared" si="256"/>
        <v/>
      </c>
      <c r="L1687" s="10" t="str">
        <f t="shared" si="257"/>
        <v/>
      </c>
      <c r="M1687" s="10" t="str">
        <f>IF(I1687&lt;&gt;1,"",IF(H1687="","",H1687/CONTROL_PANEL!$B$11))</f>
        <v/>
      </c>
      <c r="N1687" s="9" t="str">
        <f t="shared" si="258"/>
        <v/>
      </c>
      <c r="O1687" s="9" t="str">
        <f t="shared" si="259"/>
        <v/>
      </c>
      <c r="P1687" s="9" t="str">
        <f t="shared" si="260"/>
        <v/>
      </c>
      <c r="Q1687" s="9" t="str">
        <f t="shared" si="261"/>
        <v/>
      </c>
      <c r="R1687" s="11"/>
      <c r="S1687" s="11" t="str">
        <f t="shared" si="262"/>
        <v>PASS</v>
      </c>
    </row>
    <row r="1688" spans="1:19" x14ac:dyDescent="0.25">
      <c r="A1688" s="30" t="s">
        <v>99</v>
      </c>
      <c r="B1688" s="31">
        <f t="shared" si="254"/>
        <v>49583</v>
      </c>
      <c r="C1688" s="30">
        <f>YEAR(BInputReservoir[[#This Row],[Date]])</f>
        <v>2035</v>
      </c>
      <c r="D1688" s="30">
        <f>MONTH(BInputReservoir[[#This Row],[Date]])</f>
        <v>10</v>
      </c>
      <c r="E1688" s="30"/>
      <c r="F1688" s="30" t="str">
        <f>STORAGE_BALANCE_ENSEMBLE!CN245</f>
        <v/>
      </c>
      <c r="G1688" s="30" t="str">
        <f>STORAGE_BALANCE_ENSEMBLE!CO245</f>
        <v/>
      </c>
      <c r="H1688" s="30"/>
      <c r="I1688" s="18" t="str">
        <f t="shared" si="253"/>
        <v/>
      </c>
      <c r="J1688" s="8" t="str">
        <f t="shared" si="255"/>
        <v/>
      </c>
      <c r="K1688" s="9" t="str">
        <f t="shared" si="256"/>
        <v/>
      </c>
      <c r="L1688" s="10" t="str">
        <f t="shared" si="257"/>
        <v/>
      </c>
      <c r="M1688" s="10" t="str">
        <f>IF(I1688&lt;&gt;1,"",IF(H1688="","",H1688/CONTROL_PANEL!$B$11))</f>
        <v/>
      </c>
      <c r="N1688" s="9" t="str">
        <f t="shared" si="258"/>
        <v/>
      </c>
      <c r="O1688" s="9" t="str">
        <f t="shared" si="259"/>
        <v/>
      </c>
      <c r="P1688" s="9" t="str">
        <f t="shared" si="260"/>
        <v/>
      </c>
      <c r="Q1688" s="9" t="str">
        <f t="shared" si="261"/>
        <v/>
      </c>
      <c r="R1688" s="11"/>
      <c r="S1688" s="11" t="str">
        <f t="shared" si="262"/>
        <v>PASS</v>
      </c>
    </row>
    <row r="1689" spans="1:19" x14ac:dyDescent="0.25">
      <c r="A1689" s="30" t="s">
        <v>99</v>
      </c>
      <c r="B1689" s="31">
        <f t="shared" si="254"/>
        <v>49614</v>
      </c>
      <c r="C1689" s="30">
        <f>YEAR(BInputReservoir[[#This Row],[Date]])</f>
        <v>2035</v>
      </c>
      <c r="D1689" s="30">
        <f>MONTH(BInputReservoir[[#This Row],[Date]])</f>
        <v>11</v>
      </c>
      <c r="E1689" s="30"/>
      <c r="F1689" s="30" t="str">
        <f>STORAGE_BALANCE_ENSEMBLE!CN246</f>
        <v/>
      </c>
      <c r="G1689" s="30" t="str">
        <f>STORAGE_BALANCE_ENSEMBLE!CO246</f>
        <v/>
      </c>
      <c r="H1689" s="30"/>
      <c r="I1689" s="18" t="str">
        <f t="shared" si="253"/>
        <v/>
      </c>
      <c r="J1689" s="8" t="str">
        <f t="shared" si="255"/>
        <v/>
      </c>
      <c r="K1689" s="9" t="str">
        <f t="shared" si="256"/>
        <v/>
      </c>
      <c r="L1689" s="10" t="str">
        <f t="shared" si="257"/>
        <v/>
      </c>
      <c r="M1689" s="10" t="str">
        <f>IF(I1689&lt;&gt;1,"",IF(H1689="","",H1689/CONTROL_PANEL!$B$11))</f>
        <v/>
      </c>
      <c r="N1689" s="9" t="str">
        <f t="shared" si="258"/>
        <v/>
      </c>
      <c r="O1689" s="9" t="str">
        <f t="shared" si="259"/>
        <v/>
      </c>
      <c r="P1689" s="9" t="str">
        <f t="shared" si="260"/>
        <v/>
      </c>
      <c r="Q1689" s="9" t="str">
        <f t="shared" si="261"/>
        <v/>
      </c>
      <c r="R1689" s="11"/>
      <c r="S1689" s="11" t="str">
        <f t="shared" si="262"/>
        <v>PASS</v>
      </c>
    </row>
    <row r="1690" spans="1:19" x14ac:dyDescent="0.25">
      <c r="A1690" s="30" t="s">
        <v>99</v>
      </c>
      <c r="B1690" s="31">
        <f t="shared" si="254"/>
        <v>49644</v>
      </c>
      <c r="C1690" s="30">
        <f>YEAR(BInputReservoir[[#This Row],[Date]])</f>
        <v>2035</v>
      </c>
      <c r="D1690" s="30">
        <f>MONTH(BInputReservoir[[#This Row],[Date]])</f>
        <v>12</v>
      </c>
      <c r="E1690" s="30"/>
      <c r="F1690" s="30" t="str">
        <f>STORAGE_BALANCE_ENSEMBLE!CN247</f>
        <v/>
      </c>
      <c r="G1690" s="30" t="str">
        <f>STORAGE_BALANCE_ENSEMBLE!CO247</f>
        <v/>
      </c>
      <c r="H1690" s="30"/>
      <c r="I1690" s="18" t="str">
        <f t="shared" si="253"/>
        <v/>
      </c>
      <c r="J1690" s="8" t="str">
        <f t="shared" si="255"/>
        <v/>
      </c>
      <c r="K1690" s="9" t="str">
        <f t="shared" si="256"/>
        <v/>
      </c>
      <c r="L1690" s="10" t="str">
        <f t="shared" si="257"/>
        <v/>
      </c>
      <c r="M1690" s="10" t="str">
        <f>IF(I1690&lt;&gt;1,"",IF(H1690="","",H1690/CONTROL_PANEL!$B$11))</f>
        <v/>
      </c>
      <c r="N1690" s="9" t="str">
        <f t="shared" si="258"/>
        <v/>
      </c>
      <c r="O1690" s="9" t="str">
        <f t="shared" si="259"/>
        <v/>
      </c>
      <c r="P1690" s="9" t="str">
        <f t="shared" si="260"/>
        <v/>
      </c>
      <c r="Q1690" s="9" t="str">
        <f t="shared" si="261"/>
        <v/>
      </c>
      <c r="R1690" s="11"/>
      <c r="S1690" s="11" t="str">
        <f t="shared" si="262"/>
        <v>PASS</v>
      </c>
    </row>
    <row r="1691" spans="1:19" x14ac:dyDescent="0.25">
      <c r="A1691" s="30" t="s">
        <v>99</v>
      </c>
      <c r="B1691" s="31">
        <f t="shared" si="254"/>
        <v>49675</v>
      </c>
      <c r="C1691" s="30">
        <f>YEAR(BInputReservoir[[#This Row],[Date]])</f>
        <v>2036</v>
      </c>
      <c r="D1691" s="30">
        <f>MONTH(BInputReservoir[[#This Row],[Date]])</f>
        <v>1</v>
      </c>
      <c r="E1691" s="30"/>
      <c r="F1691" s="30" t="str">
        <f>STORAGE_BALANCE_ENSEMBLE!CN248</f>
        <v/>
      </c>
      <c r="G1691" s="30" t="str">
        <f>STORAGE_BALANCE_ENSEMBLE!CO248</f>
        <v/>
      </c>
      <c r="H1691" s="30"/>
      <c r="I1691" s="18" t="str">
        <f t="shared" si="253"/>
        <v/>
      </c>
      <c r="J1691" s="8" t="str">
        <f t="shared" si="255"/>
        <v/>
      </c>
      <c r="K1691" s="9" t="str">
        <f t="shared" si="256"/>
        <v/>
      </c>
      <c r="L1691" s="10" t="str">
        <f t="shared" si="257"/>
        <v/>
      </c>
      <c r="M1691" s="10" t="str">
        <f>IF(I1691&lt;&gt;1,"",IF(H1691="","",H1691/CONTROL_PANEL!$B$11))</f>
        <v/>
      </c>
      <c r="N1691" s="9" t="str">
        <f t="shared" si="258"/>
        <v/>
      </c>
      <c r="O1691" s="9" t="str">
        <f t="shared" si="259"/>
        <v/>
      </c>
      <c r="P1691" s="9" t="str">
        <f t="shared" si="260"/>
        <v/>
      </c>
      <c r="Q1691" s="9" t="str">
        <f t="shared" si="261"/>
        <v/>
      </c>
      <c r="R1691" s="11"/>
      <c r="S1691" s="11" t="str">
        <f t="shared" si="262"/>
        <v>PASS</v>
      </c>
    </row>
    <row r="1692" spans="1:19" x14ac:dyDescent="0.25">
      <c r="A1692" s="30" t="s">
        <v>99</v>
      </c>
      <c r="B1692" s="31">
        <f t="shared" si="254"/>
        <v>49706</v>
      </c>
      <c r="C1692" s="30">
        <f>YEAR(BInputReservoir[[#This Row],[Date]])</f>
        <v>2036</v>
      </c>
      <c r="D1692" s="30">
        <f>MONTH(BInputReservoir[[#This Row],[Date]])</f>
        <v>2</v>
      </c>
      <c r="E1692" s="30"/>
      <c r="F1692" s="30" t="str">
        <f>STORAGE_BALANCE_ENSEMBLE!CN249</f>
        <v/>
      </c>
      <c r="G1692" s="30" t="str">
        <f>STORAGE_BALANCE_ENSEMBLE!CO249</f>
        <v/>
      </c>
      <c r="H1692" s="30"/>
      <c r="I1692" s="18" t="str">
        <f t="shared" si="253"/>
        <v/>
      </c>
      <c r="J1692" s="8" t="str">
        <f t="shared" si="255"/>
        <v/>
      </c>
      <c r="K1692" s="9" t="str">
        <f t="shared" si="256"/>
        <v/>
      </c>
      <c r="L1692" s="10" t="str">
        <f t="shared" si="257"/>
        <v/>
      </c>
      <c r="M1692" s="10" t="str">
        <f>IF(I1692&lt;&gt;1,"",IF(H1692="","",H1692/CONTROL_PANEL!$B$11))</f>
        <v/>
      </c>
      <c r="N1692" s="9" t="str">
        <f t="shared" si="258"/>
        <v/>
      </c>
      <c r="O1692" s="9" t="str">
        <f t="shared" si="259"/>
        <v/>
      </c>
      <c r="P1692" s="9" t="str">
        <f t="shared" si="260"/>
        <v/>
      </c>
      <c r="Q1692" s="9" t="str">
        <f t="shared" si="261"/>
        <v/>
      </c>
      <c r="R1692" s="11"/>
      <c r="S1692" s="11" t="str">
        <f t="shared" si="262"/>
        <v>PASS</v>
      </c>
    </row>
    <row r="1693" spans="1:19" x14ac:dyDescent="0.25">
      <c r="A1693" s="30" t="s">
        <v>99</v>
      </c>
      <c r="B1693" s="31">
        <f t="shared" si="254"/>
        <v>49735</v>
      </c>
      <c r="C1693" s="30">
        <f>YEAR(BInputReservoir[[#This Row],[Date]])</f>
        <v>2036</v>
      </c>
      <c r="D1693" s="30">
        <f>MONTH(BInputReservoir[[#This Row],[Date]])</f>
        <v>3</v>
      </c>
      <c r="E1693" s="30"/>
      <c r="F1693" s="30" t="str">
        <f>STORAGE_BALANCE_ENSEMBLE!CN250</f>
        <v/>
      </c>
      <c r="G1693" s="30" t="str">
        <f>STORAGE_BALANCE_ENSEMBLE!CO250</f>
        <v/>
      </c>
      <c r="H1693" s="30"/>
      <c r="I1693" s="18" t="str">
        <f t="shared" si="253"/>
        <v/>
      </c>
      <c r="J1693" s="8" t="str">
        <f t="shared" si="255"/>
        <v/>
      </c>
      <c r="K1693" s="9" t="str">
        <f t="shared" si="256"/>
        <v/>
      </c>
      <c r="L1693" s="10" t="str">
        <f t="shared" si="257"/>
        <v/>
      </c>
      <c r="M1693" s="10" t="str">
        <f>IF(I1693&lt;&gt;1,"",IF(H1693="","",H1693/CONTROL_PANEL!$B$11))</f>
        <v/>
      </c>
      <c r="N1693" s="9" t="str">
        <f t="shared" si="258"/>
        <v/>
      </c>
      <c r="O1693" s="9" t="str">
        <f t="shared" si="259"/>
        <v/>
      </c>
      <c r="P1693" s="9" t="str">
        <f t="shared" si="260"/>
        <v/>
      </c>
      <c r="Q1693" s="9" t="str">
        <f t="shared" si="261"/>
        <v/>
      </c>
      <c r="R1693" s="11"/>
      <c r="S1693" s="11" t="str">
        <f t="shared" si="262"/>
        <v>PASS</v>
      </c>
    </row>
    <row r="1694" spans="1:19" x14ac:dyDescent="0.25">
      <c r="A1694" s="30" t="s">
        <v>99</v>
      </c>
      <c r="B1694" s="31">
        <f t="shared" si="254"/>
        <v>49766</v>
      </c>
      <c r="C1694" s="30">
        <f>YEAR(BInputReservoir[[#This Row],[Date]])</f>
        <v>2036</v>
      </c>
      <c r="D1694" s="30">
        <f>MONTH(BInputReservoir[[#This Row],[Date]])</f>
        <v>4</v>
      </c>
      <c r="E1694" s="30"/>
      <c r="F1694" s="30" t="str">
        <f>STORAGE_BALANCE_ENSEMBLE!CN251</f>
        <v/>
      </c>
      <c r="G1694" s="30" t="str">
        <f>STORAGE_BALANCE_ENSEMBLE!CO251</f>
        <v/>
      </c>
      <c r="H1694" s="30"/>
      <c r="I1694" s="18" t="str">
        <f t="shared" si="253"/>
        <v/>
      </c>
      <c r="J1694" s="8" t="str">
        <f t="shared" si="255"/>
        <v/>
      </c>
      <c r="K1694" s="9" t="str">
        <f t="shared" si="256"/>
        <v/>
      </c>
      <c r="L1694" s="10" t="str">
        <f t="shared" si="257"/>
        <v/>
      </c>
      <c r="M1694" s="10" t="str">
        <f>IF(I1694&lt;&gt;1,"",IF(H1694="","",H1694/CONTROL_PANEL!$B$11))</f>
        <v/>
      </c>
      <c r="N1694" s="9" t="str">
        <f t="shared" si="258"/>
        <v/>
      </c>
      <c r="O1694" s="9" t="str">
        <f t="shared" si="259"/>
        <v/>
      </c>
      <c r="P1694" s="9" t="str">
        <f t="shared" si="260"/>
        <v/>
      </c>
      <c r="Q1694" s="9" t="str">
        <f t="shared" si="261"/>
        <v/>
      </c>
      <c r="R1694" s="11"/>
      <c r="S1694" s="11" t="str">
        <f t="shared" si="262"/>
        <v>PASS</v>
      </c>
    </row>
    <row r="1695" spans="1:19" x14ac:dyDescent="0.25">
      <c r="A1695" s="30" t="s">
        <v>99</v>
      </c>
      <c r="B1695" s="31">
        <f t="shared" si="254"/>
        <v>49796</v>
      </c>
      <c r="C1695" s="30">
        <f>YEAR(BInputReservoir[[#This Row],[Date]])</f>
        <v>2036</v>
      </c>
      <c r="D1695" s="30">
        <f>MONTH(BInputReservoir[[#This Row],[Date]])</f>
        <v>5</v>
      </c>
      <c r="E1695" s="30"/>
      <c r="F1695" s="30" t="str">
        <f>STORAGE_BALANCE_ENSEMBLE!CN252</f>
        <v/>
      </c>
      <c r="G1695" s="30" t="str">
        <f>STORAGE_BALANCE_ENSEMBLE!CO252</f>
        <v/>
      </c>
      <c r="H1695" s="30"/>
      <c r="I1695" s="18" t="str">
        <f t="shared" si="253"/>
        <v/>
      </c>
      <c r="J1695" s="8" t="str">
        <f t="shared" si="255"/>
        <v/>
      </c>
      <c r="K1695" s="9" t="str">
        <f t="shared" si="256"/>
        <v/>
      </c>
      <c r="L1695" s="10" t="str">
        <f t="shared" si="257"/>
        <v/>
      </c>
      <c r="M1695" s="10" t="str">
        <f>IF(I1695&lt;&gt;1,"",IF(H1695="","",H1695/CONTROL_PANEL!$B$11))</f>
        <v/>
      </c>
      <c r="N1695" s="9" t="str">
        <f t="shared" si="258"/>
        <v/>
      </c>
      <c r="O1695" s="9" t="str">
        <f t="shared" si="259"/>
        <v/>
      </c>
      <c r="P1695" s="9" t="str">
        <f t="shared" si="260"/>
        <v/>
      </c>
      <c r="Q1695" s="9" t="str">
        <f t="shared" si="261"/>
        <v/>
      </c>
      <c r="R1695" s="11"/>
      <c r="S1695" s="11" t="str">
        <f t="shared" si="262"/>
        <v>PASS</v>
      </c>
    </row>
    <row r="1696" spans="1:19" x14ac:dyDescent="0.25">
      <c r="A1696" s="30" t="s">
        <v>99</v>
      </c>
      <c r="B1696" s="31">
        <f t="shared" si="254"/>
        <v>49827</v>
      </c>
      <c r="C1696" s="30">
        <f>YEAR(BInputReservoir[[#This Row],[Date]])</f>
        <v>2036</v>
      </c>
      <c r="D1696" s="30">
        <f>MONTH(BInputReservoir[[#This Row],[Date]])</f>
        <v>6</v>
      </c>
      <c r="E1696" s="30"/>
      <c r="F1696" s="30" t="str">
        <f>STORAGE_BALANCE_ENSEMBLE!CN253</f>
        <v/>
      </c>
      <c r="G1696" s="30" t="str">
        <f>STORAGE_BALANCE_ENSEMBLE!CO253</f>
        <v/>
      </c>
      <c r="H1696" s="30"/>
      <c r="I1696" s="18" t="str">
        <f t="shared" si="253"/>
        <v/>
      </c>
      <c r="J1696" s="8" t="str">
        <f t="shared" si="255"/>
        <v/>
      </c>
      <c r="K1696" s="9" t="str">
        <f t="shared" si="256"/>
        <v/>
      </c>
      <c r="L1696" s="10" t="str">
        <f t="shared" si="257"/>
        <v/>
      </c>
      <c r="M1696" s="10" t="str">
        <f>IF(I1696&lt;&gt;1,"",IF(H1696="","",H1696/CONTROL_PANEL!$B$11))</f>
        <v/>
      </c>
      <c r="N1696" s="9" t="str">
        <f t="shared" si="258"/>
        <v/>
      </c>
      <c r="O1696" s="9" t="str">
        <f t="shared" si="259"/>
        <v/>
      </c>
      <c r="P1696" s="9" t="str">
        <f t="shared" si="260"/>
        <v/>
      </c>
      <c r="Q1696" s="9" t="str">
        <f t="shared" si="261"/>
        <v/>
      </c>
      <c r="R1696" s="11"/>
      <c r="S1696" s="11" t="str">
        <f t="shared" si="262"/>
        <v>PASS</v>
      </c>
    </row>
    <row r="1697" spans="1:19" x14ac:dyDescent="0.25">
      <c r="A1697" s="30" t="s">
        <v>99</v>
      </c>
      <c r="B1697" s="31">
        <f t="shared" si="254"/>
        <v>49857</v>
      </c>
      <c r="C1697" s="30">
        <f>YEAR(BInputReservoir[[#This Row],[Date]])</f>
        <v>2036</v>
      </c>
      <c r="D1697" s="30">
        <f>MONTH(BInputReservoir[[#This Row],[Date]])</f>
        <v>7</v>
      </c>
      <c r="E1697" s="30"/>
      <c r="F1697" s="30" t="str">
        <f>STORAGE_BALANCE_ENSEMBLE!CN254</f>
        <v/>
      </c>
      <c r="G1697" s="30" t="str">
        <f>STORAGE_BALANCE_ENSEMBLE!CO254</f>
        <v/>
      </c>
      <c r="H1697" s="30"/>
      <c r="I1697" s="18" t="str">
        <f t="shared" si="253"/>
        <v/>
      </c>
      <c r="J1697" s="8" t="str">
        <f t="shared" si="255"/>
        <v/>
      </c>
      <c r="K1697" s="9" t="str">
        <f t="shared" si="256"/>
        <v/>
      </c>
      <c r="L1697" s="10" t="str">
        <f t="shared" si="257"/>
        <v/>
      </c>
      <c r="M1697" s="10" t="str">
        <f>IF(I1697&lt;&gt;1,"",IF(H1697="","",H1697/CONTROL_PANEL!$B$11))</f>
        <v/>
      </c>
      <c r="N1697" s="9" t="str">
        <f t="shared" si="258"/>
        <v/>
      </c>
      <c r="O1697" s="9" t="str">
        <f t="shared" si="259"/>
        <v/>
      </c>
      <c r="P1697" s="9" t="str">
        <f t="shared" si="260"/>
        <v/>
      </c>
      <c r="Q1697" s="9" t="str">
        <f t="shared" si="261"/>
        <v/>
      </c>
      <c r="R1697" s="11"/>
      <c r="S1697" s="11" t="str">
        <f t="shared" si="262"/>
        <v>PASS</v>
      </c>
    </row>
    <row r="1698" spans="1:19" x14ac:dyDescent="0.25">
      <c r="A1698" s="30" t="s">
        <v>99</v>
      </c>
      <c r="B1698" s="31">
        <f t="shared" si="254"/>
        <v>49888</v>
      </c>
      <c r="C1698" s="30">
        <f>YEAR(BInputReservoir[[#This Row],[Date]])</f>
        <v>2036</v>
      </c>
      <c r="D1698" s="30">
        <f>MONTH(BInputReservoir[[#This Row],[Date]])</f>
        <v>8</v>
      </c>
      <c r="E1698" s="30"/>
      <c r="F1698" s="30" t="str">
        <f>STORAGE_BALANCE_ENSEMBLE!CN255</f>
        <v/>
      </c>
      <c r="G1698" s="30" t="str">
        <f>STORAGE_BALANCE_ENSEMBLE!CO255</f>
        <v/>
      </c>
      <c r="H1698" s="30"/>
      <c r="I1698" s="18" t="str">
        <f t="shared" si="253"/>
        <v/>
      </c>
      <c r="J1698" s="8" t="str">
        <f t="shared" si="255"/>
        <v/>
      </c>
      <c r="K1698" s="9" t="str">
        <f t="shared" si="256"/>
        <v/>
      </c>
      <c r="L1698" s="10" t="str">
        <f t="shared" si="257"/>
        <v/>
      </c>
      <c r="M1698" s="10" t="str">
        <f>IF(I1698&lt;&gt;1,"",IF(H1698="","",H1698/CONTROL_PANEL!$B$11))</f>
        <v/>
      </c>
      <c r="N1698" s="9" t="str">
        <f t="shared" si="258"/>
        <v/>
      </c>
      <c r="O1698" s="9" t="str">
        <f t="shared" si="259"/>
        <v/>
      </c>
      <c r="P1698" s="9" t="str">
        <f t="shared" si="260"/>
        <v/>
      </c>
      <c r="Q1698" s="9" t="str">
        <f t="shared" si="261"/>
        <v/>
      </c>
      <c r="R1698" s="11"/>
      <c r="S1698" s="11" t="str">
        <f t="shared" si="262"/>
        <v>PASS</v>
      </c>
    </row>
    <row r="1699" spans="1:19" x14ac:dyDescent="0.25">
      <c r="A1699" s="30" t="s">
        <v>99</v>
      </c>
      <c r="B1699" s="31">
        <f t="shared" si="254"/>
        <v>49919</v>
      </c>
      <c r="C1699" s="30">
        <f>YEAR(BInputReservoir[[#This Row],[Date]])</f>
        <v>2036</v>
      </c>
      <c r="D1699" s="30">
        <f>MONTH(BInputReservoir[[#This Row],[Date]])</f>
        <v>9</v>
      </c>
      <c r="E1699" s="30"/>
      <c r="F1699" s="30" t="str">
        <f>STORAGE_BALANCE_ENSEMBLE!CN256</f>
        <v/>
      </c>
      <c r="G1699" s="30" t="str">
        <f>STORAGE_BALANCE_ENSEMBLE!CO256</f>
        <v/>
      </c>
      <c r="H1699" s="30"/>
      <c r="I1699" s="18" t="str">
        <f t="shared" si="253"/>
        <v/>
      </c>
      <c r="J1699" s="8" t="str">
        <f t="shared" si="255"/>
        <v/>
      </c>
      <c r="K1699" s="9" t="str">
        <f t="shared" si="256"/>
        <v/>
      </c>
      <c r="L1699" s="10" t="str">
        <f t="shared" si="257"/>
        <v/>
      </c>
      <c r="M1699" s="10" t="str">
        <f>IF(I1699&lt;&gt;1,"",IF(H1699="","",H1699/CONTROL_PANEL!$B$11))</f>
        <v/>
      </c>
      <c r="N1699" s="9" t="str">
        <f t="shared" si="258"/>
        <v/>
      </c>
      <c r="O1699" s="9" t="str">
        <f t="shared" si="259"/>
        <v/>
      </c>
      <c r="P1699" s="9" t="str">
        <f t="shared" si="260"/>
        <v/>
      </c>
      <c r="Q1699" s="9" t="str">
        <f t="shared" si="261"/>
        <v/>
      </c>
      <c r="R1699" s="11"/>
      <c r="S1699" s="11" t="str">
        <f t="shared" si="262"/>
        <v>PASS</v>
      </c>
    </row>
    <row r="1700" spans="1:19" x14ac:dyDescent="0.25">
      <c r="A1700" s="30" t="s">
        <v>99</v>
      </c>
      <c r="B1700" s="31">
        <f t="shared" si="254"/>
        <v>49949</v>
      </c>
      <c r="C1700" s="30">
        <f>YEAR(BInputReservoir[[#This Row],[Date]])</f>
        <v>2036</v>
      </c>
      <c r="D1700" s="30">
        <f>MONTH(BInputReservoir[[#This Row],[Date]])</f>
        <v>10</v>
      </c>
      <c r="E1700" s="30"/>
      <c r="F1700" s="30" t="str">
        <f>STORAGE_BALANCE_ENSEMBLE!CN257</f>
        <v/>
      </c>
      <c r="G1700" s="30" t="str">
        <f>STORAGE_BALANCE_ENSEMBLE!CO257</f>
        <v/>
      </c>
      <c r="H1700" s="30"/>
      <c r="I1700" s="18" t="str">
        <f t="shared" si="253"/>
        <v/>
      </c>
      <c r="J1700" s="8" t="str">
        <f t="shared" si="255"/>
        <v/>
      </c>
      <c r="K1700" s="9" t="str">
        <f t="shared" si="256"/>
        <v/>
      </c>
      <c r="L1700" s="10" t="str">
        <f t="shared" si="257"/>
        <v/>
      </c>
      <c r="M1700" s="10" t="str">
        <f>IF(I1700&lt;&gt;1,"",IF(H1700="","",H1700/CONTROL_PANEL!$B$11))</f>
        <v/>
      </c>
      <c r="N1700" s="9" t="str">
        <f t="shared" si="258"/>
        <v/>
      </c>
      <c r="O1700" s="9" t="str">
        <f t="shared" si="259"/>
        <v/>
      </c>
      <c r="P1700" s="9" t="str">
        <f t="shared" si="260"/>
        <v/>
      </c>
      <c r="Q1700" s="9" t="str">
        <f t="shared" si="261"/>
        <v/>
      </c>
      <c r="R1700" s="11"/>
      <c r="S1700" s="11" t="str">
        <f t="shared" si="262"/>
        <v>PASS</v>
      </c>
    </row>
    <row r="1701" spans="1:19" x14ac:dyDescent="0.25">
      <c r="A1701" s="30" t="s">
        <v>99</v>
      </c>
      <c r="B1701" s="31">
        <f t="shared" si="254"/>
        <v>49980</v>
      </c>
      <c r="C1701" s="30">
        <f>YEAR(BInputReservoir[[#This Row],[Date]])</f>
        <v>2036</v>
      </c>
      <c r="D1701" s="30">
        <f>MONTH(BInputReservoir[[#This Row],[Date]])</f>
        <v>11</v>
      </c>
      <c r="E1701" s="30"/>
      <c r="F1701" s="30" t="str">
        <f>STORAGE_BALANCE_ENSEMBLE!CN258</f>
        <v/>
      </c>
      <c r="G1701" s="30" t="str">
        <f>STORAGE_BALANCE_ENSEMBLE!CO258</f>
        <v/>
      </c>
      <c r="H1701" s="30"/>
      <c r="I1701" s="18" t="str">
        <f t="shared" si="253"/>
        <v/>
      </c>
      <c r="J1701" s="8" t="str">
        <f t="shared" si="255"/>
        <v/>
      </c>
      <c r="K1701" s="9" t="str">
        <f t="shared" si="256"/>
        <v/>
      </c>
      <c r="L1701" s="10" t="str">
        <f t="shared" si="257"/>
        <v/>
      </c>
      <c r="M1701" s="10" t="str">
        <f>IF(I1701&lt;&gt;1,"",IF(H1701="","",H1701/CONTROL_PANEL!$B$11))</f>
        <v/>
      </c>
      <c r="N1701" s="9" t="str">
        <f t="shared" si="258"/>
        <v/>
      </c>
      <c r="O1701" s="9" t="str">
        <f t="shared" si="259"/>
        <v/>
      </c>
      <c r="P1701" s="9" t="str">
        <f t="shared" si="260"/>
        <v/>
      </c>
      <c r="Q1701" s="9" t="str">
        <f t="shared" si="261"/>
        <v/>
      </c>
      <c r="R1701" s="11"/>
      <c r="S1701" s="11" t="str">
        <f t="shared" si="262"/>
        <v>PASS</v>
      </c>
    </row>
    <row r="1702" spans="1:19" x14ac:dyDescent="0.25">
      <c r="A1702" s="30" t="s">
        <v>99</v>
      </c>
      <c r="B1702" s="31">
        <f t="shared" si="254"/>
        <v>50010</v>
      </c>
      <c r="C1702" s="30">
        <f>YEAR(BInputReservoir[[#This Row],[Date]])</f>
        <v>2036</v>
      </c>
      <c r="D1702" s="30">
        <f>MONTH(BInputReservoir[[#This Row],[Date]])</f>
        <v>12</v>
      </c>
      <c r="E1702" s="30"/>
      <c r="F1702" s="30" t="str">
        <f>STORAGE_BALANCE_ENSEMBLE!CN259</f>
        <v/>
      </c>
      <c r="G1702" s="30" t="str">
        <f>STORAGE_BALANCE_ENSEMBLE!CO259</f>
        <v/>
      </c>
      <c r="H1702" s="30"/>
      <c r="I1702" s="18" t="str">
        <f t="shared" si="253"/>
        <v/>
      </c>
      <c r="J1702" s="8" t="str">
        <f t="shared" si="255"/>
        <v/>
      </c>
      <c r="K1702" s="9" t="str">
        <f t="shared" si="256"/>
        <v/>
      </c>
      <c r="L1702" s="10" t="str">
        <f t="shared" si="257"/>
        <v/>
      </c>
      <c r="M1702" s="10" t="str">
        <f>IF(I1702&lt;&gt;1,"",IF(H1702="","",H1702/CONTROL_PANEL!$B$11))</f>
        <v/>
      </c>
      <c r="N1702" s="9" t="str">
        <f t="shared" si="258"/>
        <v/>
      </c>
      <c r="O1702" s="9" t="str">
        <f t="shared" si="259"/>
        <v/>
      </c>
      <c r="P1702" s="9" t="str">
        <f t="shared" si="260"/>
        <v/>
      </c>
      <c r="Q1702" s="9" t="str">
        <f t="shared" si="261"/>
        <v/>
      </c>
      <c r="R1702" s="11"/>
      <c r="S1702" s="11" t="str">
        <f t="shared" si="262"/>
        <v>PASS</v>
      </c>
    </row>
    <row r="1703" spans="1:19" x14ac:dyDescent="0.25">
      <c r="A1703" s="30" t="s">
        <v>99</v>
      </c>
      <c r="B1703" s="31">
        <f t="shared" si="254"/>
        <v>50041</v>
      </c>
      <c r="C1703" s="30">
        <f>YEAR(BInputReservoir[[#This Row],[Date]])</f>
        <v>2037</v>
      </c>
      <c r="D1703" s="30">
        <f>MONTH(BInputReservoir[[#This Row],[Date]])</f>
        <v>1</v>
      </c>
      <c r="E1703" s="30"/>
      <c r="F1703" s="30" t="str">
        <f>STORAGE_BALANCE_ENSEMBLE!CN260</f>
        <v/>
      </c>
      <c r="G1703" s="30" t="str">
        <f>STORAGE_BALANCE_ENSEMBLE!CO260</f>
        <v/>
      </c>
      <c r="H1703" s="30"/>
      <c r="I1703" s="18" t="str">
        <f t="shared" si="253"/>
        <v/>
      </c>
      <c r="J1703" s="8" t="str">
        <f t="shared" si="255"/>
        <v/>
      </c>
      <c r="K1703" s="9" t="str">
        <f t="shared" si="256"/>
        <v/>
      </c>
      <c r="L1703" s="10" t="str">
        <f t="shared" si="257"/>
        <v/>
      </c>
      <c r="M1703" s="10" t="str">
        <f>IF(I1703&lt;&gt;1,"",IF(H1703="","",H1703/CONTROL_PANEL!$B$11))</f>
        <v/>
      </c>
      <c r="N1703" s="9" t="str">
        <f t="shared" si="258"/>
        <v/>
      </c>
      <c r="O1703" s="9" t="str">
        <f t="shared" si="259"/>
        <v/>
      </c>
      <c r="P1703" s="9" t="str">
        <f t="shared" si="260"/>
        <v/>
      </c>
      <c r="Q1703" s="9" t="str">
        <f t="shared" si="261"/>
        <v/>
      </c>
      <c r="R1703" s="11"/>
      <c r="S1703" s="11" t="str">
        <f t="shared" si="262"/>
        <v>PASS</v>
      </c>
    </row>
    <row r="1704" spans="1:19" x14ac:dyDescent="0.25">
      <c r="A1704" s="30" t="s">
        <v>99</v>
      </c>
      <c r="B1704" s="31">
        <f t="shared" si="254"/>
        <v>50072</v>
      </c>
      <c r="C1704" s="30">
        <f>YEAR(BInputReservoir[[#This Row],[Date]])</f>
        <v>2037</v>
      </c>
      <c r="D1704" s="30">
        <f>MONTH(BInputReservoir[[#This Row],[Date]])</f>
        <v>2</v>
      </c>
      <c r="E1704" s="30"/>
      <c r="F1704" s="30" t="str">
        <f>STORAGE_BALANCE_ENSEMBLE!CN261</f>
        <v/>
      </c>
      <c r="G1704" s="30" t="str">
        <f>STORAGE_BALANCE_ENSEMBLE!CO261</f>
        <v/>
      </c>
      <c r="H1704" s="30"/>
      <c r="I1704" s="18" t="str">
        <f t="shared" si="253"/>
        <v/>
      </c>
      <c r="J1704" s="8" t="str">
        <f t="shared" si="255"/>
        <v/>
      </c>
      <c r="K1704" s="9" t="str">
        <f t="shared" si="256"/>
        <v/>
      </c>
      <c r="L1704" s="10" t="str">
        <f t="shared" si="257"/>
        <v/>
      </c>
      <c r="M1704" s="10" t="str">
        <f>IF(I1704&lt;&gt;1,"",IF(H1704="","",H1704/CONTROL_PANEL!$B$11))</f>
        <v/>
      </c>
      <c r="N1704" s="9" t="str">
        <f t="shared" si="258"/>
        <v/>
      </c>
      <c r="O1704" s="9" t="str">
        <f t="shared" si="259"/>
        <v/>
      </c>
      <c r="P1704" s="9" t="str">
        <f t="shared" si="260"/>
        <v/>
      </c>
      <c r="Q1704" s="9" t="str">
        <f t="shared" si="261"/>
        <v/>
      </c>
      <c r="R1704" s="11"/>
      <c r="S1704" s="11" t="str">
        <f t="shared" si="262"/>
        <v>PASS</v>
      </c>
    </row>
    <row r="1705" spans="1:19" x14ac:dyDescent="0.25">
      <c r="A1705" s="30" t="s">
        <v>99</v>
      </c>
      <c r="B1705" s="31">
        <f t="shared" si="254"/>
        <v>50100</v>
      </c>
      <c r="C1705" s="30">
        <f>YEAR(BInputReservoir[[#This Row],[Date]])</f>
        <v>2037</v>
      </c>
      <c r="D1705" s="30">
        <f>MONTH(BInputReservoir[[#This Row],[Date]])</f>
        <v>3</v>
      </c>
      <c r="E1705" s="30"/>
      <c r="F1705" s="30" t="str">
        <f>STORAGE_BALANCE_ENSEMBLE!CN262</f>
        <v/>
      </c>
      <c r="G1705" s="30" t="str">
        <f>STORAGE_BALANCE_ENSEMBLE!CO262</f>
        <v/>
      </c>
      <c r="H1705" s="30"/>
      <c r="I1705" s="18" t="str">
        <f t="shared" ref="I1705:I1768" si="263">I261</f>
        <v/>
      </c>
      <c r="J1705" s="8" t="str">
        <f t="shared" si="255"/>
        <v/>
      </c>
      <c r="K1705" s="9" t="str">
        <f t="shared" si="256"/>
        <v/>
      </c>
      <c r="L1705" s="10" t="str">
        <f t="shared" si="257"/>
        <v/>
      </c>
      <c r="M1705" s="10" t="str">
        <f>IF(I1705&lt;&gt;1,"",IF(H1705="","",H1705/CONTROL_PANEL!$B$11))</f>
        <v/>
      </c>
      <c r="N1705" s="9" t="str">
        <f t="shared" si="258"/>
        <v/>
      </c>
      <c r="O1705" s="9" t="str">
        <f t="shared" si="259"/>
        <v/>
      </c>
      <c r="P1705" s="9" t="str">
        <f t="shared" si="260"/>
        <v/>
      </c>
      <c r="Q1705" s="9" t="str">
        <f t="shared" si="261"/>
        <v/>
      </c>
      <c r="R1705" s="11"/>
      <c r="S1705" s="11" t="str">
        <f t="shared" si="262"/>
        <v>PASS</v>
      </c>
    </row>
    <row r="1706" spans="1:19" x14ac:dyDescent="0.25">
      <c r="A1706" s="30" t="s">
        <v>99</v>
      </c>
      <c r="B1706" s="31">
        <f t="shared" si="254"/>
        <v>50131</v>
      </c>
      <c r="C1706" s="30">
        <f>YEAR(BInputReservoir[[#This Row],[Date]])</f>
        <v>2037</v>
      </c>
      <c r="D1706" s="30">
        <f>MONTH(BInputReservoir[[#This Row],[Date]])</f>
        <v>4</v>
      </c>
      <c r="E1706" s="30"/>
      <c r="F1706" s="30" t="str">
        <f>STORAGE_BALANCE_ENSEMBLE!CN263</f>
        <v/>
      </c>
      <c r="G1706" s="30" t="str">
        <f>STORAGE_BALANCE_ENSEMBLE!CO263</f>
        <v/>
      </c>
      <c r="H1706" s="30"/>
      <c r="I1706" s="18" t="str">
        <f t="shared" si="263"/>
        <v/>
      </c>
      <c r="J1706" s="8" t="str">
        <f t="shared" si="255"/>
        <v/>
      </c>
      <c r="K1706" s="9" t="str">
        <f t="shared" si="256"/>
        <v/>
      </c>
      <c r="L1706" s="10" t="str">
        <f t="shared" si="257"/>
        <v/>
      </c>
      <c r="M1706" s="10" t="str">
        <f>IF(I1706&lt;&gt;1,"",IF(H1706="","",H1706/CONTROL_PANEL!$B$11))</f>
        <v/>
      </c>
      <c r="N1706" s="9" t="str">
        <f t="shared" si="258"/>
        <v/>
      </c>
      <c r="O1706" s="9" t="str">
        <f t="shared" si="259"/>
        <v/>
      </c>
      <c r="P1706" s="9" t="str">
        <f t="shared" si="260"/>
        <v/>
      </c>
      <c r="Q1706" s="9" t="str">
        <f t="shared" si="261"/>
        <v/>
      </c>
      <c r="R1706" s="11"/>
      <c r="S1706" s="11" t="str">
        <f t="shared" si="262"/>
        <v>PASS</v>
      </c>
    </row>
    <row r="1707" spans="1:19" x14ac:dyDescent="0.25">
      <c r="A1707" s="30" t="s">
        <v>99</v>
      </c>
      <c r="B1707" s="31">
        <f t="shared" si="254"/>
        <v>50161</v>
      </c>
      <c r="C1707" s="30">
        <f>YEAR(BInputReservoir[[#This Row],[Date]])</f>
        <v>2037</v>
      </c>
      <c r="D1707" s="30">
        <f>MONTH(BInputReservoir[[#This Row],[Date]])</f>
        <v>5</v>
      </c>
      <c r="E1707" s="30"/>
      <c r="F1707" s="30" t="str">
        <f>STORAGE_BALANCE_ENSEMBLE!CN264</f>
        <v/>
      </c>
      <c r="G1707" s="30" t="str">
        <f>STORAGE_BALANCE_ENSEMBLE!CO264</f>
        <v/>
      </c>
      <c r="H1707" s="30"/>
      <c r="I1707" s="18" t="str">
        <f t="shared" si="263"/>
        <v/>
      </c>
      <c r="J1707" s="8" t="str">
        <f t="shared" si="255"/>
        <v/>
      </c>
      <c r="K1707" s="9" t="str">
        <f t="shared" si="256"/>
        <v/>
      </c>
      <c r="L1707" s="10" t="str">
        <f t="shared" si="257"/>
        <v/>
      </c>
      <c r="M1707" s="10" t="str">
        <f>IF(I1707&lt;&gt;1,"",IF(H1707="","",H1707/CONTROL_PANEL!$B$11))</f>
        <v/>
      </c>
      <c r="N1707" s="9" t="str">
        <f t="shared" si="258"/>
        <v/>
      </c>
      <c r="O1707" s="9" t="str">
        <f t="shared" si="259"/>
        <v/>
      </c>
      <c r="P1707" s="9" t="str">
        <f t="shared" si="260"/>
        <v/>
      </c>
      <c r="Q1707" s="9" t="str">
        <f t="shared" si="261"/>
        <v/>
      </c>
      <c r="R1707" s="11"/>
      <c r="S1707" s="11" t="str">
        <f t="shared" si="262"/>
        <v>PASS</v>
      </c>
    </row>
    <row r="1708" spans="1:19" x14ac:dyDescent="0.25">
      <c r="A1708" s="30" t="s">
        <v>99</v>
      </c>
      <c r="B1708" s="31">
        <f t="shared" si="254"/>
        <v>50192</v>
      </c>
      <c r="C1708" s="30">
        <f>YEAR(BInputReservoir[[#This Row],[Date]])</f>
        <v>2037</v>
      </c>
      <c r="D1708" s="30">
        <f>MONTH(BInputReservoir[[#This Row],[Date]])</f>
        <v>6</v>
      </c>
      <c r="E1708" s="30"/>
      <c r="F1708" s="30" t="str">
        <f>STORAGE_BALANCE_ENSEMBLE!CN265</f>
        <v/>
      </c>
      <c r="G1708" s="30" t="str">
        <f>STORAGE_BALANCE_ENSEMBLE!CO265</f>
        <v/>
      </c>
      <c r="H1708" s="30"/>
      <c r="I1708" s="18" t="str">
        <f t="shared" si="263"/>
        <v/>
      </c>
      <c r="J1708" s="8" t="str">
        <f t="shared" si="255"/>
        <v/>
      </c>
      <c r="K1708" s="9" t="str">
        <f t="shared" si="256"/>
        <v/>
      </c>
      <c r="L1708" s="10" t="str">
        <f t="shared" si="257"/>
        <v/>
      </c>
      <c r="M1708" s="10" t="str">
        <f>IF(I1708&lt;&gt;1,"",IF(H1708="","",H1708/CONTROL_PANEL!$B$11))</f>
        <v/>
      </c>
      <c r="N1708" s="9" t="str">
        <f t="shared" si="258"/>
        <v/>
      </c>
      <c r="O1708" s="9" t="str">
        <f t="shared" si="259"/>
        <v/>
      </c>
      <c r="P1708" s="9" t="str">
        <f t="shared" si="260"/>
        <v/>
      </c>
      <c r="Q1708" s="9" t="str">
        <f t="shared" si="261"/>
        <v/>
      </c>
      <c r="R1708" s="11"/>
      <c r="S1708" s="11" t="str">
        <f t="shared" si="262"/>
        <v>PASS</v>
      </c>
    </row>
    <row r="1709" spans="1:19" x14ac:dyDescent="0.25">
      <c r="A1709" s="30" t="s">
        <v>99</v>
      </c>
      <c r="B1709" s="31">
        <f t="shared" si="254"/>
        <v>50222</v>
      </c>
      <c r="C1709" s="30">
        <f>YEAR(BInputReservoir[[#This Row],[Date]])</f>
        <v>2037</v>
      </c>
      <c r="D1709" s="30">
        <f>MONTH(BInputReservoir[[#This Row],[Date]])</f>
        <v>7</v>
      </c>
      <c r="E1709" s="30"/>
      <c r="F1709" s="30" t="str">
        <f>STORAGE_BALANCE_ENSEMBLE!CN266</f>
        <v/>
      </c>
      <c r="G1709" s="30" t="str">
        <f>STORAGE_BALANCE_ENSEMBLE!CO266</f>
        <v/>
      </c>
      <c r="H1709" s="30"/>
      <c r="I1709" s="18" t="str">
        <f t="shared" si="263"/>
        <v/>
      </c>
      <c r="J1709" s="8" t="str">
        <f t="shared" si="255"/>
        <v/>
      </c>
      <c r="K1709" s="9" t="str">
        <f t="shared" si="256"/>
        <v/>
      </c>
      <c r="L1709" s="10" t="str">
        <f t="shared" si="257"/>
        <v/>
      </c>
      <c r="M1709" s="10" t="str">
        <f>IF(I1709&lt;&gt;1,"",IF(H1709="","",H1709/CONTROL_PANEL!$B$11))</f>
        <v/>
      </c>
      <c r="N1709" s="9" t="str">
        <f t="shared" si="258"/>
        <v/>
      </c>
      <c r="O1709" s="9" t="str">
        <f t="shared" si="259"/>
        <v/>
      </c>
      <c r="P1709" s="9" t="str">
        <f t="shared" si="260"/>
        <v/>
      </c>
      <c r="Q1709" s="9" t="str">
        <f t="shared" si="261"/>
        <v/>
      </c>
      <c r="R1709" s="11"/>
      <c r="S1709" s="11" t="str">
        <f t="shared" si="262"/>
        <v>PASS</v>
      </c>
    </row>
    <row r="1710" spans="1:19" x14ac:dyDescent="0.25">
      <c r="A1710" s="30" t="s">
        <v>99</v>
      </c>
      <c r="B1710" s="31">
        <f t="shared" si="254"/>
        <v>50253</v>
      </c>
      <c r="C1710" s="30">
        <f>YEAR(BInputReservoir[[#This Row],[Date]])</f>
        <v>2037</v>
      </c>
      <c r="D1710" s="30">
        <f>MONTH(BInputReservoir[[#This Row],[Date]])</f>
        <v>8</v>
      </c>
      <c r="E1710" s="30"/>
      <c r="F1710" s="30" t="str">
        <f>STORAGE_BALANCE_ENSEMBLE!CN267</f>
        <v/>
      </c>
      <c r="G1710" s="30" t="str">
        <f>STORAGE_BALANCE_ENSEMBLE!CO267</f>
        <v/>
      </c>
      <c r="H1710" s="30"/>
      <c r="I1710" s="18" t="str">
        <f t="shared" si="263"/>
        <v/>
      </c>
      <c r="J1710" s="8" t="str">
        <f t="shared" si="255"/>
        <v/>
      </c>
      <c r="K1710" s="9" t="str">
        <f t="shared" si="256"/>
        <v/>
      </c>
      <c r="L1710" s="10" t="str">
        <f t="shared" si="257"/>
        <v/>
      </c>
      <c r="M1710" s="10" t="str">
        <f>IF(I1710&lt;&gt;1,"",IF(H1710="","",H1710/CONTROL_PANEL!$B$11))</f>
        <v/>
      </c>
      <c r="N1710" s="9" t="str">
        <f t="shared" si="258"/>
        <v/>
      </c>
      <c r="O1710" s="9" t="str">
        <f t="shared" si="259"/>
        <v/>
      </c>
      <c r="P1710" s="9" t="str">
        <f t="shared" si="260"/>
        <v/>
      </c>
      <c r="Q1710" s="9" t="str">
        <f t="shared" si="261"/>
        <v/>
      </c>
      <c r="R1710" s="11"/>
      <c r="S1710" s="11" t="str">
        <f t="shared" si="262"/>
        <v>PASS</v>
      </c>
    </row>
    <row r="1711" spans="1:19" x14ac:dyDescent="0.25">
      <c r="A1711" s="30" t="s">
        <v>99</v>
      </c>
      <c r="B1711" s="31">
        <f t="shared" si="254"/>
        <v>50284</v>
      </c>
      <c r="C1711" s="30">
        <f>YEAR(BInputReservoir[[#This Row],[Date]])</f>
        <v>2037</v>
      </c>
      <c r="D1711" s="30">
        <f>MONTH(BInputReservoir[[#This Row],[Date]])</f>
        <v>9</v>
      </c>
      <c r="E1711" s="30"/>
      <c r="F1711" s="30" t="str">
        <f>STORAGE_BALANCE_ENSEMBLE!CN268</f>
        <v/>
      </c>
      <c r="G1711" s="30" t="str">
        <f>STORAGE_BALANCE_ENSEMBLE!CO268</f>
        <v/>
      </c>
      <c r="H1711" s="30"/>
      <c r="I1711" s="18" t="str">
        <f t="shared" si="263"/>
        <v/>
      </c>
      <c r="J1711" s="8" t="str">
        <f t="shared" si="255"/>
        <v/>
      </c>
      <c r="K1711" s="9" t="str">
        <f t="shared" si="256"/>
        <v/>
      </c>
      <c r="L1711" s="10" t="str">
        <f t="shared" si="257"/>
        <v/>
      </c>
      <c r="M1711" s="10" t="str">
        <f>IF(I1711&lt;&gt;1,"",IF(H1711="","",H1711/CONTROL_PANEL!$B$11))</f>
        <v/>
      </c>
      <c r="N1711" s="9" t="str">
        <f t="shared" si="258"/>
        <v/>
      </c>
      <c r="O1711" s="9" t="str">
        <f t="shared" si="259"/>
        <v/>
      </c>
      <c r="P1711" s="9" t="str">
        <f t="shared" si="260"/>
        <v/>
      </c>
      <c r="Q1711" s="9" t="str">
        <f t="shared" si="261"/>
        <v/>
      </c>
      <c r="R1711" s="11"/>
      <c r="S1711" s="11" t="str">
        <f t="shared" si="262"/>
        <v>PASS</v>
      </c>
    </row>
    <row r="1712" spans="1:19" x14ac:dyDescent="0.25">
      <c r="A1712" s="30" t="s">
        <v>99</v>
      </c>
      <c r="B1712" s="31">
        <f t="shared" si="254"/>
        <v>50314</v>
      </c>
      <c r="C1712" s="30">
        <f>YEAR(BInputReservoir[[#This Row],[Date]])</f>
        <v>2037</v>
      </c>
      <c r="D1712" s="30">
        <f>MONTH(BInputReservoir[[#This Row],[Date]])</f>
        <v>10</v>
      </c>
      <c r="E1712" s="30"/>
      <c r="F1712" s="30" t="str">
        <f>STORAGE_BALANCE_ENSEMBLE!CN269</f>
        <v/>
      </c>
      <c r="G1712" s="30" t="str">
        <f>STORAGE_BALANCE_ENSEMBLE!CO269</f>
        <v/>
      </c>
      <c r="H1712" s="30"/>
      <c r="I1712" s="18" t="str">
        <f t="shared" si="263"/>
        <v/>
      </c>
      <c r="J1712" s="8" t="str">
        <f t="shared" si="255"/>
        <v/>
      </c>
      <c r="K1712" s="9" t="str">
        <f t="shared" si="256"/>
        <v/>
      </c>
      <c r="L1712" s="10" t="str">
        <f t="shared" si="257"/>
        <v/>
      </c>
      <c r="M1712" s="10" t="str">
        <f>IF(I1712&lt;&gt;1,"",IF(H1712="","",H1712/CONTROL_PANEL!$B$11))</f>
        <v/>
      </c>
      <c r="N1712" s="9" t="str">
        <f t="shared" si="258"/>
        <v/>
      </c>
      <c r="O1712" s="9" t="str">
        <f t="shared" si="259"/>
        <v/>
      </c>
      <c r="P1712" s="9" t="str">
        <f t="shared" si="260"/>
        <v/>
      </c>
      <c r="Q1712" s="9" t="str">
        <f t="shared" si="261"/>
        <v/>
      </c>
      <c r="R1712" s="11"/>
      <c r="S1712" s="11" t="str">
        <f t="shared" si="262"/>
        <v>PASS</v>
      </c>
    </row>
    <row r="1713" spans="1:19" x14ac:dyDescent="0.25">
      <c r="A1713" s="30" t="s">
        <v>99</v>
      </c>
      <c r="B1713" s="31">
        <f t="shared" si="254"/>
        <v>50345</v>
      </c>
      <c r="C1713" s="30">
        <f>YEAR(BInputReservoir[[#This Row],[Date]])</f>
        <v>2037</v>
      </c>
      <c r="D1713" s="30">
        <f>MONTH(BInputReservoir[[#This Row],[Date]])</f>
        <v>11</v>
      </c>
      <c r="E1713" s="30"/>
      <c r="F1713" s="30" t="str">
        <f>STORAGE_BALANCE_ENSEMBLE!CN270</f>
        <v/>
      </c>
      <c r="G1713" s="30" t="str">
        <f>STORAGE_BALANCE_ENSEMBLE!CO270</f>
        <v/>
      </c>
      <c r="H1713" s="30"/>
      <c r="I1713" s="18" t="str">
        <f t="shared" si="263"/>
        <v/>
      </c>
      <c r="J1713" s="8" t="str">
        <f t="shared" si="255"/>
        <v/>
      </c>
      <c r="K1713" s="9" t="str">
        <f t="shared" si="256"/>
        <v/>
      </c>
      <c r="L1713" s="10" t="str">
        <f t="shared" si="257"/>
        <v/>
      </c>
      <c r="M1713" s="10" t="str">
        <f>IF(I1713&lt;&gt;1,"",IF(H1713="","",H1713/CONTROL_PANEL!$B$11))</f>
        <v/>
      </c>
      <c r="N1713" s="9" t="str">
        <f t="shared" si="258"/>
        <v/>
      </c>
      <c r="O1713" s="9" t="str">
        <f t="shared" si="259"/>
        <v/>
      </c>
      <c r="P1713" s="9" t="str">
        <f t="shared" si="260"/>
        <v/>
      </c>
      <c r="Q1713" s="9" t="str">
        <f t="shared" si="261"/>
        <v/>
      </c>
      <c r="R1713" s="11"/>
      <c r="S1713" s="11" t="str">
        <f t="shared" si="262"/>
        <v>PASS</v>
      </c>
    </row>
    <row r="1714" spans="1:19" x14ac:dyDescent="0.25">
      <c r="A1714" s="30" t="s">
        <v>99</v>
      </c>
      <c r="B1714" s="31">
        <f t="shared" si="254"/>
        <v>50375</v>
      </c>
      <c r="C1714" s="30">
        <f>YEAR(BInputReservoir[[#This Row],[Date]])</f>
        <v>2037</v>
      </c>
      <c r="D1714" s="30">
        <f>MONTH(BInputReservoir[[#This Row],[Date]])</f>
        <v>12</v>
      </c>
      <c r="E1714" s="30"/>
      <c r="F1714" s="30" t="str">
        <f>STORAGE_BALANCE_ENSEMBLE!CN271</f>
        <v/>
      </c>
      <c r="G1714" s="30" t="str">
        <f>STORAGE_BALANCE_ENSEMBLE!CO271</f>
        <v/>
      </c>
      <c r="H1714" s="30"/>
      <c r="I1714" s="18" t="str">
        <f t="shared" si="263"/>
        <v/>
      </c>
      <c r="J1714" s="8" t="str">
        <f t="shared" si="255"/>
        <v/>
      </c>
      <c r="K1714" s="9" t="str">
        <f t="shared" si="256"/>
        <v/>
      </c>
      <c r="L1714" s="10" t="str">
        <f t="shared" si="257"/>
        <v/>
      </c>
      <c r="M1714" s="10" t="str">
        <f>IF(I1714&lt;&gt;1,"",IF(H1714="","",H1714/CONTROL_PANEL!$B$11))</f>
        <v/>
      </c>
      <c r="N1714" s="9" t="str">
        <f t="shared" si="258"/>
        <v/>
      </c>
      <c r="O1714" s="9" t="str">
        <f t="shared" si="259"/>
        <v/>
      </c>
      <c r="P1714" s="9" t="str">
        <f t="shared" si="260"/>
        <v/>
      </c>
      <c r="Q1714" s="9" t="str">
        <f t="shared" si="261"/>
        <v/>
      </c>
      <c r="R1714" s="11"/>
      <c r="S1714" s="11" t="str">
        <f t="shared" si="262"/>
        <v>PASS</v>
      </c>
    </row>
    <row r="1715" spans="1:19" x14ac:dyDescent="0.25">
      <c r="A1715" s="30" t="s">
        <v>99</v>
      </c>
      <c r="B1715" s="31">
        <f t="shared" si="254"/>
        <v>50406</v>
      </c>
      <c r="C1715" s="30">
        <f>YEAR(BInputReservoir[[#This Row],[Date]])</f>
        <v>2038</v>
      </c>
      <c r="D1715" s="30">
        <f>MONTH(BInputReservoir[[#This Row],[Date]])</f>
        <v>1</v>
      </c>
      <c r="E1715" s="30"/>
      <c r="F1715" s="30" t="str">
        <f>STORAGE_BALANCE_ENSEMBLE!CN272</f>
        <v/>
      </c>
      <c r="G1715" s="30" t="str">
        <f>STORAGE_BALANCE_ENSEMBLE!CO272</f>
        <v/>
      </c>
      <c r="H1715" s="30"/>
      <c r="I1715" s="18" t="str">
        <f t="shared" si="263"/>
        <v/>
      </c>
      <c r="J1715" s="8" t="str">
        <f t="shared" si="255"/>
        <v/>
      </c>
      <c r="K1715" s="9" t="str">
        <f t="shared" si="256"/>
        <v/>
      </c>
      <c r="L1715" s="10" t="str">
        <f t="shared" si="257"/>
        <v/>
      </c>
      <c r="M1715" s="10" t="str">
        <f>IF(I1715&lt;&gt;1,"",IF(H1715="","",H1715/CONTROL_PANEL!$B$11))</f>
        <v/>
      </c>
      <c r="N1715" s="9" t="str">
        <f t="shared" si="258"/>
        <v/>
      </c>
      <c r="O1715" s="9" t="str">
        <f t="shared" si="259"/>
        <v/>
      </c>
      <c r="P1715" s="9" t="str">
        <f t="shared" si="260"/>
        <v/>
      </c>
      <c r="Q1715" s="9" t="str">
        <f t="shared" si="261"/>
        <v/>
      </c>
      <c r="R1715" s="11"/>
      <c r="S1715" s="11" t="str">
        <f t="shared" si="262"/>
        <v>PASS</v>
      </c>
    </row>
    <row r="1716" spans="1:19" x14ac:dyDescent="0.25">
      <c r="A1716" s="30" t="s">
        <v>99</v>
      </c>
      <c r="B1716" s="31">
        <f t="shared" si="254"/>
        <v>50437</v>
      </c>
      <c r="C1716" s="30">
        <f>YEAR(BInputReservoir[[#This Row],[Date]])</f>
        <v>2038</v>
      </c>
      <c r="D1716" s="30">
        <f>MONTH(BInputReservoir[[#This Row],[Date]])</f>
        <v>2</v>
      </c>
      <c r="E1716" s="30"/>
      <c r="F1716" s="30" t="str">
        <f>STORAGE_BALANCE_ENSEMBLE!CN273</f>
        <v/>
      </c>
      <c r="G1716" s="30" t="str">
        <f>STORAGE_BALANCE_ENSEMBLE!CO273</f>
        <v/>
      </c>
      <c r="H1716" s="30"/>
      <c r="I1716" s="18" t="str">
        <f t="shared" si="263"/>
        <v/>
      </c>
      <c r="J1716" s="8" t="str">
        <f t="shared" si="255"/>
        <v/>
      </c>
      <c r="K1716" s="9" t="str">
        <f t="shared" si="256"/>
        <v/>
      </c>
      <c r="L1716" s="10" t="str">
        <f t="shared" si="257"/>
        <v/>
      </c>
      <c r="M1716" s="10" t="str">
        <f>IF(I1716&lt;&gt;1,"",IF(H1716="","",H1716/CONTROL_PANEL!$B$11))</f>
        <v/>
      </c>
      <c r="N1716" s="9" t="str">
        <f t="shared" si="258"/>
        <v/>
      </c>
      <c r="O1716" s="9" t="str">
        <f t="shared" si="259"/>
        <v/>
      </c>
      <c r="P1716" s="9" t="str">
        <f t="shared" si="260"/>
        <v/>
      </c>
      <c r="Q1716" s="9" t="str">
        <f t="shared" si="261"/>
        <v/>
      </c>
      <c r="R1716" s="11"/>
      <c r="S1716" s="11" t="str">
        <f t="shared" si="262"/>
        <v>PASS</v>
      </c>
    </row>
    <row r="1717" spans="1:19" x14ac:dyDescent="0.25">
      <c r="A1717" s="30" t="s">
        <v>99</v>
      </c>
      <c r="B1717" s="31">
        <f t="shared" si="254"/>
        <v>50465</v>
      </c>
      <c r="C1717" s="30">
        <f>YEAR(BInputReservoir[[#This Row],[Date]])</f>
        <v>2038</v>
      </c>
      <c r="D1717" s="30">
        <f>MONTH(BInputReservoir[[#This Row],[Date]])</f>
        <v>3</v>
      </c>
      <c r="E1717" s="30"/>
      <c r="F1717" s="30" t="str">
        <f>STORAGE_BALANCE_ENSEMBLE!CN274</f>
        <v/>
      </c>
      <c r="G1717" s="30" t="str">
        <f>STORAGE_BALANCE_ENSEMBLE!CO274</f>
        <v/>
      </c>
      <c r="H1717" s="30"/>
      <c r="I1717" s="18" t="str">
        <f t="shared" si="263"/>
        <v/>
      </c>
      <c r="J1717" s="8" t="str">
        <f t="shared" si="255"/>
        <v/>
      </c>
      <c r="K1717" s="9" t="str">
        <f t="shared" si="256"/>
        <v/>
      </c>
      <c r="L1717" s="10" t="str">
        <f t="shared" si="257"/>
        <v/>
      </c>
      <c r="M1717" s="10" t="str">
        <f>IF(I1717&lt;&gt;1,"",IF(H1717="","",H1717/CONTROL_PANEL!$B$11))</f>
        <v/>
      </c>
      <c r="N1717" s="9" t="str">
        <f t="shared" si="258"/>
        <v/>
      </c>
      <c r="O1717" s="9" t="str">
        <f t="shared" si="259"/>
        <v/>
      </c>
      <c r="P1717" s="9" t="str">
        <f t="shared" si="260"/>
        <v/>
      </c>
      <c r="Q1717" s="9" t="str">
        <f t="shared" si="261"/>
        <v/>
      </c>
      <c r="R1717" s="11"/>
      <c r="S1717" s="11" t="str">
        <f t="shared" si="262"/>
        <v>PASS</v>
      </c>
    </row>
    <row r="1718" spans="1:19" x14ac:dyDescent="0.25">
      <c r="A1718" s="30" t="s">
        <v>99</v>
      </c>
      <c r="B1718" s="31">
        <f t="shared" si="254"/>
        <v>50496</v>
      </c>
      <c r="C1718" s="30">
        <f>YEAR(BInputReservoir[[#This Row],[Date]])</f>
        <v>2038</v>
      </c>
      <c r="D1718" s="30">
        <f>MONTH(BInputReservoir[[#This Row],[Date]])</f>
        <v>4</v>
      </c>
      <c r="E1718" s="30"/>
      <c r="F1718" s="30" t="str">
        <f>STORAGE_BALANCE_ENSEMBLE!CN275</f>
        <v/>
      </c>
      <c r="G1718" s="30" t="str">
        <f>STORAGE_BALANCE_ENSEMBLE!CO275</f>
        <v/>
      </c>
      <c r="H1718" s="30"/>
      <c r="I1718" s="18" t="str">
        <f t="shared" si="263"/>
        <v/>
      </c>
      <c r="J1718" s="8" t="str">
        <f t="shared" si="255"/>
        <v/>
      </c>
      <c r="K1718" s="9" t="str">
        <f t="shared" si="256"/>
        <v/>
      </c>
      <c r="L1718" s="10" t="str">
        <f t="shared" si="257"/>
        <v/>
      </c>
      <c r="M1718" s="10" t="str">
        <f>IF(I1718&lt;&gt;1,"",IF(H1718="","",H1718/CONTROL_PANEL!$B$11))</f>
        <v/>
      </c>
      <c r="N1718" s="9" t="str">
        <f t="shared" si="258"/>
        <v/>
      </c>
      <c r="O1718" s="9" t="str">
        <f t="shared" si="259"/>
        <v/>
      </c>
      <c r="P1718" s="9" t="str">
        <f t="shared" si="260"/>
        <v/>
      </c>
      <c r="Q1718" s="9" t="str">
        <f t="shared" si="261"/>
        <v/>
      </c>
      <c r="R1718" s="11"/>
      <c r="S1718" s="11" t="str">
        <f t="shared" si="262"/>
        <v>PASS</v>
      </c>
    </row>
    <row r="1719" spans="1:19" x14ac:dyDescent="0.25">
      <c r="A1719" s="30" t="s">
        <v>99</v>
      </c>
      <c r="B1719" s="31">
        <f t="shared" si="254"/>
        <v>50526</v>
      </c>
      <c r="C1719" s="30">
        <f>YEAR(BInputReservoir[[#This Row],[Date]])</f>
        <v>2038</v>
      </c>
      <c r="D1719" s="30">
        <f>MONTH(BInputReservoir[[#This Row],[Date]])</f>
        <v>5</v>
      </c>
      <c r="E1719" s="30"/>
      <c r="F1719" s="30" t="str">
        <f>STORAGE_BALANCE_ENSEMBLE!CN276</f>
        <v/>
      </c>
      <c r="G1719" s="30" t="str">
        <f>STORAGE_BALANCE_ENSEMBLE!CO276</f>
        <v/>
      </c>
      <c r="H1719" s="30"/>
      <c r="I1719" s="18" t="str">
        <f t="shared" si="263"/>
        <v/>
      </c>
      <c r="J1719" s="8" t="str">
        <f t="shared" si="255"/>
        <v/>
      </c>
      <c r="K1719" s="9" t="str">
        <f t="shared" si="256"/>
        <v/>
      </c>
      <c r="L1719" s="10" t="str">
        <f t="shared" si="257"/>
        <v/>
      </c>
      <c r="M1719" s="10" t="str">
        <f>IF(I1719&lt;&gt;1,"",IF(H1719="","",H1719/CONTROL_PANEL!$B$11))</f>
        <v/>
      </c>
      <c r="N1719" s="9" t="str">
        <f t="shared" si="258"/>
        <v/>
      </c>
      <c r="O1719" s="9" t="str">
        <f t="shared" si="259"/>
        <v/>
      </c>
      <c r="P1719" s="9" t="str">
        <f t="shared" si="260"/>
        <v/>
      </c>
      <c r="Q1719" s="9" t="str">
        <f t="shared" si="261"/>
        <v/>
      </c>
      <c r="R1719" s="11"/>
      <c r="S1719" s="11" t="str">
        <f t="shared" si="262"/>
        <v>PASS</v>
      </c>
    </row>
    <row r="1720" spans="1:19" x14ac:dyDescent="0.25">
      <c r="A1720" s="30" t="s">
        <v>99</v>
      </c>
      <c r="B1720" s="31">
        <f t="shared" si="254"/>
        <v>50557</v>
      </c>
      <c r="C1720" s="30">
        <f>YEAR(BInputReservoir[[#This Row],[Date]])</f>
        <v>2038</v>
      </c>
      <c r="D1720" s="30">
        <f>MONTH(BInputReservoir[[#This Row],[Date]])</f>
        <v>6</v>
      </c>
      <c r="E1720" s="30"/>
      <c r="F1720" s="30" t="str">
        <f>STORAGE_BALANCE_ENSEMBLE!CN277</f>
        <v/>
      </c>
      <c r="G1720" s="30" t="str">
        <f>STORAGE_BALANCE_ENSEMBLE!CO277</f>
        <v/>
      </c>
      <c r="H1720" s="30"/>
      <c r="I1720" s="18" t="str">
        <f t="shared" si="263"/>
        <v/>
      </c>
      <c r="J1720" s="8" t="str">
        <f t="shared" si="255"/>
        <v/>
      </c>
      <c r="K1720" s="9" t="str">
        <f t="shared" si="256"/>
        <v/>
      </c>
      <c r="L1720" s="10" t="str">
        <f t="shared" si="257"/>
        <v/>
      </c>
      <c r="M1720" s="10" t="str">
        <f>IF(I1720&lt;&gt;1,"",IF(H1720="","",H1720/CONTROL_PANEL!$B$11))</f>
        <v/>
      </c>
      <c r="N1720" s="9" t="str">
        <f t="shared" si="258"/>
        <v/>
      </c>
      <c r="O1720" s="9" t="str">
        <f t="shared" si="259"/>
        <v/>
      </c>
      <c r="P1720" s="9" t="str">
        <f t="shared" si="260"/>
        <v/>
      </c>
      <c r="Q1720" s="9" t="str">
        <f t="shared" si="261"/>
        <v/>
      </c>
      <c r="R1720" s="11"/>
      <c r="S1720" s="11" t="str">
        <f t="shared" si="262"/>
        <v>PASS</v>
      </c>
    </row>
    <row r="1721" spans="1:19" x14ac:dyDescent="0.25">
      <c r="A1721" s="30" t="s">
        <v>99</v>
      </c>
      <c r="B1721" s="31">
        <f t="shared" si="254"/>
        <v>50587</v>
      </c>
      <c r="C1721" s="30">
        <f>YEAR(BInputReservoir[[#This Row],[Date]])</f>
        <v>2038</v>
      </c>
      <c r="D1721" s="30">
        <f>MONTH(BInputReservoir[[#This Row],[Date]])</f>
        <v>7</v>
      </c>
      <c r="E1721" s="30"/>
      <c r="F1721" s="30" t="str">
        <f>STORAGE_BALANCE_ENSEMBLE!CN278</f>
        <v/>
      </c>
      <c r="G1721" s="30" t="str">
        <f>STORAGE_BALANCE_ENSEMBLE!CO278</f>
        <v/>
      </c>
      <c r="H1721" s="30"/>
      <c r="I1721" s="18" t="str">
        <f t="shared" si="263"/>
        <v/>
      </c>
      <c r="J1721" s="8" t="str">
        <f t="shared" si="255"/>
        <v/>
      </c>
      <c r="K1721" s="9" t="str">
        <f t="shared" si="256"/>
        <v/>
      </c>
      <c r="L1721" s="10" t="str">
        <f t="shared" si="257"/>
        <v/>
      </c>
      <c r="M1721" s="10" t="str">
        <f>IF(I1721&lt;&gt;1,"",IF(H1721="","",H1721/CONTROL_PANEL!$B$11))</f>
        <v/>
      </c>
      <c r="N1721" s="9" t="str">
        <f t="shared" si="258"/>
        <v/>
      </c>
      <c r="O1721" s="9" t="str">
        <f t="shared" si="259"/>
        <v/>
      </c>
      <c r="P1721" s="9" t="str">
        <f t="shared" si="260"/>
        <v/>
      </c>
      <c r="Q1721" s="9" t="str">
        <f t="shared" si="261"/>
        <v/>
      </c>
      <c r="R1721" s="11"/>
      <c r="S1721" s="11" t="str">
        <f t="shared" si="262"/>
        <v>PASS</v>
      </c>
    </row>
    <row r="1722" spans="1:19" x14ac:dyDescent="0.25">
      <c r="A1722" s="30" t="s">
        <v>99</v>
      </c>
      <c r="B1722" s="31">
        <f t="shared" si="254"/>
        <v>50618</v>
      </c>
      <c r="C1722" s="30">
        <f>YEAR(BInputReservoir[[#This Row],[Date]])</f>
        <v>2038</v>
      </c>
      <c r="D1722" s="30">
        <f>MONTH(BInputReservoir[[#This Row],[Date]])</f>
        <v>8</v>
      </c>
      <c r="E1722" s="30"/>
      <c r="F1722" s="30" t="str">
        <f>STORAGE_BALANCE_ENSEMBLE!CN279</f>
        <v/>
      </c>
      <c r="G1722" s="30" t="str">
        <f>STORAGE_BALANCE_ENSEMBLE!CO279</f>
        <v/>
      </c>
      <c r="H1722" s="30"/>
      <c r="I1722" s="18" t="str">
        <f t="shared" si="263"/>
        <v/>
      </c>
      <c r="J1722" s="8" t="str">
        <f t="shared" si="255"/>
        <v/>
      </c>
      <c r="K1722" s="9" t="str">
        <f t="shared" si="256"/>
        <v/>
      </c>
      <c r="L1722" s="10" t="str">
        <f t="shared" si="257"/>
        <v/>
      </c>
      <c r="M1722" s="10" t="str">
        <f>IF(I1722&lt;&gt;1,"",IF(H1722="","",H1722/CONTROL_PANEL!$B$11))</f>
        <v/>
      </c>
      <c r="N1722" s="9" t="str">
        <f t="shared" si="258"/>
        <v/>
      </c>
      <c r="O1722" s="9" t="str">
        <f t="shared" si="259"/>
        <v/>
      </c>
      <c r="P1722" s="9" t="str">
        <f t="shared" si="260"/>
        <v/>
      </c>
      <c r="Q1722" s="9" t="str">
        <f t="shared" si="261"/>
        <v/>
      </c>
      <c r="R1722" s="11"/>
      <c r="S1722" s="11" t="str">
        <f t="shared" si="262"/>
        <v>PASS</v>
      </c>
    </row>
    <row r="1723" spans="1:19" x14ac:dyDescent="0.25">
      <c r="A1723" s="30" t="s">
        <v>99</v>
      </c>
      <c r="B1723" s="31">
        <f t="shared" si="254"/>
        <v>50649</v>
      </c>
      <c r="C1723" s="30">
        <f>YEAR(BInputReservoir[[#This Row],[Date]])</f>
        <v>2038</v>
      </c>
      <c r="D1723" s="30">
        <f>MONTH(BInputReservoir[[#This Row],[Date]])</f>
        <v>9</v>
      </c>
      <c r="E1723" s="30"/>
      <c r="F1723" s="30" t="str">
        <f>STORAGE_BALANCE_ENSEMBLE!CN280</f>
        <v/>
      </c>
      <c r="G1723" s="30" t="str">
        <f>STORAGE_BALANCE_ENSEMBLE!CO280</f>
        <v/>
      </c>
      <c r="H1723" s="30"/>
      <c r="I1723" s="18" t="str">
        <f t="shared" si="263"/>
        <v/>
      </c>
      <c r="J1723" s="8" t="str">
        <f t="shared" si="255"/>
        <v/>
      </c>
      <c r="K1723" s="9" t="str">
        <f t="shared" si="256"/>
        <v/>
      </c>
      <c r="L1723" s="10" t="str">
        <f t="shared" si="257"/>
        <v/>
      </c>
      <c r="M1723" s="10" t="str">
        <f>IF(I1723&lt;&gt;1,"",IF(H1723="","",H1723/CONTROL_PANEL!$B$11))</f>
        <v/>
      </c>
      <c r="N1723" s="9" t="str">
        <f t="shared" si="258"/>
        <v/>
      </c>
      <c r="O1723" s="9" t="str">
        <f t="shared" si="259"/>
        <v/>
      </c>
      <c r="P1723" s="9" t="str">
        <f t="shared" si="260"/>
        <v/>
      </c>
      <c r="Q1723" s="9" t="str">
        <f t="shared" si="261"/>
        <v/>
      </c>
      <c r="R1723" s="11"/>
      <c r="S1723" s="11" t="str">
        <f t="shared" si="262"/>
        <v>PASS</v>
      </c>
    </row>
    <row r="1724" spans="1:19" x14ac:dyDescent="0.25">
      <c r="A1724" s="30" t="s">
        <v>99</v>
      </c>
      <c r="B1724" s="31">
        <f t="shared" si="254"/>
        <v>50679</v>
      </c>
      <c r="C1724" s="30">
        <f>YEAR(BInputReservoir[[#This Row],[Date]])</f>
        <v>2038</v>
      </c>
      <c r="D1724" s="30">
        <f>MONTH(BInputReservoir[[#This Row],[Date]])</f>
        <v>10</v>
      </c>
      <c r="E1724" s="30"/>
      <c r="F1724" s="30" t="str">
        <f>STORAGE_BALANCE_ENSEMBLE!CN281</f>
        <v/>
      </c>
      <c r="G1724" s="30" t="str">
        <f>STORAGE_BALANCE_ENSEMBLE!CO281</f>
        <v/>
      </c>
      <c r="H1724" s="30"/>
      <c r="I1724" s="18" t="str">
        <f t="shared" si="263"/>
        <v/>
      </c>
      <c r="J1724" s="8" t="str">
        <f t="shared" si="255"/>
        <v/>
      </c>
      <c r="K1724" s="9" t="str">
        <f t="shared" si="256"/>
        <v/>
      </c>
      <c r="L1724" s="10" t="str">
        <f t="shared" si="257"/>
        <v/>
      </c>
      <c r="M1724" s="10" t="str">
        <f>IF(I1724&lt;&gt;1,"",IF(H1724="","",H1724/CONTROL_PANEL!$B$11))</f>
        <v/>
      </c>
      <c r="N1724" s="9" t="str">
        <f t="shared" si="258"/>
        <v/>
      </c>
      <c r="O1724" s="9" t="str">
        <f t="shared" si="259"/>
        <v/>
      </c>
      <c r="P1724" s="9" t="str">
        <f t="shared" si="260"/>
        <v/>
      </c>
      <c r="Q1724" s="9" t="str">
        <f t="shared" si="261"/>
        <v/>
      </c>
      <c r="R1724" s="11"/>
      <c r="S1724" s="11" t="str">
        <f t="shared" si="262"/>
        <v>PASS</v>
      </c>
    </row>
    <row r="1725" spans="1:19" x14ac:dyDescent="0.25">
      <c r="A1725" s="30" t="s">
        <v>99</v>
      </c>
      <c r="B1725" s="31">
        <f t="shared" si="254"/>
        <v>50710</v>
      </c>
      <c r="C1725" s="30">
        <f>YEAR(BInputReservoir[[#This Row],[Date]])</f>
        <v>2038</v>
      </c>
      <c r="D1725" s="30">
        <f>MONTH(BInputReservoir[[#This Row],[Date]])</f>
        <v>11</v>
      </c>
      <c r="E1725" s="30"/>
      <c r="F1725" s="30" t="str">
        <f>STORAGE_BALANCE_ENSEMBLE!CN282</f>
        <v/>
      </c>
      <c r="G1725" s="30" t="str">
        <f>STORAGE_BALANCE_ENSEMBLE!CO282</f>
        <v/>
      </c>
      <c r="H1725" s="30"/>
      <c r="I1725" s="18" t="str">
        <f t="shared" si="263"/>
        <v/>
      </c>
      <c r="J1725" s="8" t="str">
        <f t="shared" si="255"/>
        <v/>
      </c>
      <c r="K1725" s="9" t="str">
        <f t="shared" si="256"/>
        <v/>
      </c>
      <c r="L1725" s="10" t="str">
        <f t="shared" si="257"/>
        <v/>
      </c>
      <c r="M1725" s="10" t="str">
        <f>IF(I1725&lt;&gt;1,"",IF(H1725="","",H1725/CONTROL_PANEL!$B$11))</f>
        <v/>
      </c>
      <c r="N1725" s="9" t="str">
        <f t="shared" si="258"/>
        <v/>
      </c>
      <c r="O1725" s="9" t="str">
        <f t="shared" si="259"/>
        <v/>
      </c>
      <c r="P1725" s="9" t="str">
        <f t="shared" si="260"/>
        <v/>
      </c>
      <c r="Q1725" s="9" t="str">
        <f t="shared" si="261"/>
        <v/>
      </c>
      <c r="R1725" s="11"/>
      <c r="S1725" s="11" t="str">
        <f t="shared" si="262"/>
        <v>PASS</v>
      </c>
    </row>
    <row r="1726" spans="1:19" x14ac:dyDescent="0.25">
      <c r="A1726" s="30" t="s">
        <v>99</v>
      </c>
      <c r="B1726" s="31">
        <f t="shared" si="254"/>
        <v>50740</v>
      </c>
      <c r="C1726" s="30">
        <f>YEAR(BInputReservoir[[#This Row],[Date]])</f>
        <v>2038</v>
      </c>
      <c r="D1726" s="30">
        <f>MONTH(BInputReservoir[[#This Row],[Date]])</f>
        <v>12</v>
      </c>
      <c r="E1726" s="30"/>
      <c r="F1726" s="30" t="str">
        <f>STORAGE_BALANCE_ENSEMBLE!CN283</f>
        <v/>
      </c>
      <c r="G1726" s="30" t="str">
        <f>STORAGE_BALANCE_ENSEMBLE!CO283</f>
        <v/>
      </c>
      <c r="H1726" s="30"/>
      <c r="I1726" s="18" t="str">
        <f t="shared" si="263"/>
        <v/>
      </c>
      <c r="J1726" s="8" t="str">
        <f t="shared" si="255"/>
        <v/>
      </c>
      <c r="K1726" s="9" t="str">
        <f t="shared" si="256"/>
        <v/>
      </c>
      <c r="L1726" s="10" t="str">
        <f t="shared" si="257"/>
        <v/>
      </c>
      <c r="M1726" s="10" t="str">
        <f>IF(I1726&lt;&gt;1,"",IF(H1726="","",H1726/CONTROL_PANEL!$B$11))</f>
        <v/>
      </c>
      <c r="N1726" s="9" t="str">
        <f t="shared" si="258"/>
        <v/>
      </c>
      <c r="O1726" s="9" t="str">
        <f t="shared" si="259"/>
        <v/>
      </c>
      <c r="P1726" s="9" t="str">
        <f t="shared" si="260"/>
        <v/>
      </c>
      <c r="Q1726" s="9" t="str">
        <f t="shared" si="261"/>
        <v/>
      </c>
      <c r="R1726" s="11"/>
      <c r="S1726" s="11" t="str">
        <f t="shared" si="262"/>
        <v>PASS</v>
      </c>
    </row>
    <row r="1727" spans="1:19" x14ac:dyDescent="0.25">
      <c r="A1727" s="30" t="s">
        <v>99</v>
      </c>
      <c r="B1727" s="31">
        <f t="shared" si="254"/>
        <v>50771</v>
      </c>
      <c r="C1727" s="30">
        <f>YEAR(BInputReservoir[[#This Row],[Date]])</f>
        <v>2039</v>
      </c>
      <c r="D1727" s="30">
        <f>MONTH(BInputReservoir[[#This Row],[Date]])</f>
        <v>1</v>
      </c>
      <c r="E1727" s="30"/>
      <c r="F1727" s="30" t="str">
        <f>STORAGE_BALANCE_ENSEMBLE!CN284</f>
        <v/>
      </c>
      <c r="G1727" s="30" t="str">
        <f>STORAGE_BALANCE_ENSEMBLE!CO284</f>
        <v/>
      </c>
      <c r="H1727" s="30"/>
      <c r="I1727" s="18" t="str">
        <f t="shared" si="263"/>
        <v/>
      </c>
      <c r="J1727" s="8" t="str">
        <f t="shared" si="255"/>
        <v/>
      </c>
      <c r="K1727" s="9" t="str">
        <f t="shared" si="256"/>
        <v/>
      </c>
      <c r="L1727" s="10" t="str">
        <f t="shared" si="257"/>
        <v/>
      </c>
      <c r="M1727" s="10" t="str">
        <f>IF(I1727&lt;&gt;1,"",IF(H1727="","",H1727/CONTROL_PANEL!$B$11))</f>
        <v/>
      </c>
      <c r="N1727" s="9" t="str">
        <f t="shared" si="258"/>
        <v/>
      </c>
      <c r="O1727" s="9" t="str">
        <f t="shared" si="259"/>
        <v/>
      </c>
      <c r="P1727" s="9" t="str">
        <f t="shared" si="260"/>
        <v/>
      </c>
      <c r="Q1727" s="9" t="str">
        <f t="shared" si="261"/>
        <v/>
      </c>
      <c r="R1727" s="11"/>
      <c r="S1727" s="11" t="str">
        <f t="shared" si="262"/>
        <v>PASS</v>
      </c>
    </row>
    <row r="1728" spans="1:19" x14ac:dyDescent="0.25">
      <c r="A1728" s="30" t="s">
        <v>99</v>
      </c>
      <c r="B1728" s="31">
        <f t="shared" ref="B1728:B1791" si="264">B645</f>
        <v>50802</v>
      </c>
      <c r="C1728" s="30">
        <f>YEAR(BInputReservoir[[#This Row],[Date]])</f>
        <v>2039</v>
      </c>
      <c r="D1728" s="30">
        <f>MONTH(BInputReservoir[[#This Row],[Date]])</f>
        <v>2</v>
      </c>
      <c r="E1728" s="30"/>
      <c r="F1728" s="30" t="str">
        <f>STORAGE_BALANCE_ENSEMBLE!CN285</f>
        <v/>
      </c>
      <c r="G1728" s="30" t="str">
        <f>STORAGE_BALANCE_ENSEMBLE!CO285</f>
        <v/>
      </c>
      <c r="H1728" s="30"/>
      <c r="I1728" s="18" t="str">
        <f t="shared" si="263"/>
        <v/>
      </c>
      <c r="J1728" s="8" t="str">
        <f t="shared" si="255"/>
        <v/>
      </c>
      <c r="K1728" s="9" t="str">
        <f t="shared" si="256"/>
        <v/>
      </c>
      <c r="L1728" s="10" t="str">
        <f t="shared" si="257"/>
        <v/>
      </c>
      <c r="M1728" s="10" t="str">
        <f>IF(I1728&lt;&gt;1,"",IF(H1728="","",H1728/CONTROL_PANEL!$B$11))</f>
        <v/>
      </c>
      <c r="N1728" s="9" t="str">
        <f t="shared" si="258"/>
        <v/>
      </c>
      <c r="O1728" s="9" t="str">
        <f t="shared" si="259"/>
        <v/>
      </c>
      <c r="P1728" s="9" t="str">
        <f t="shared" si="260"/>
        <v/>
      </c>
      <c r="Q1728" s="9" t="str">
        <f t="shared" si="261"/>
        <v/>
      </c>
      <c r="R1728" s="11"/>
      <c r="S1728" s="11" t="str">
        <f t="shared" si="262"/>
        <v>PASS</v>
      </c>
    </row>
    <row r="1729" spans="1:19" x14ac:dyDescent="0.25">
      <c r="A1729" s="30" t="s">
        <v>99</v>
      </c>
      <c r="B1729" s="31">
        <f t="shared" si="264"/>
        <v>50830</v>
      </c>
      <c r="C1729" s="30">
        <f>YEAR(BInputReservoir[[#This Row],[Date]])</f>
        <v>2039</v>
      </c>
      <c r="D1729" s="30">
        <f>MONTH(BInputReservoir[[#This Row],[Date]])</f>
        <v>3</v>
      </c>
      <c r="E1729" s="30"/>
      <c r="F1729" s="30" t="str">
        <f>STORAGE_BALANCE_ENSEMBLE!CN286</f>
        <v/>
      </c>
      <c r="G1729" s="30" t="str">
        <f>STORAGE_BALANCE_ENSEMBLE!CO286</f>
        <v/>
      </c>
      <c r="H1729" s="30"/>
      <c r="I1729" s="18" t="str">
        <f t="shared" si="263"/>
        <v/>
      </c>
      <c r="J1729" s="8" t="str">
        <f t="shared" si="255"/>
        <v/>
      </c>
      <c r="K1729" s="9" t="str">
        <f t="shared" si="256"/>
        <v/>
      </c>
      <c r="L1729" s="10" t="str">
        <f t="shared" si="257"/>
        <v/>
      </c>
      <c r="M1729" s="10" t="str">
        <f>IF(I1729&lt;&gt;1,"",IF(H1729="","",H1729/CONTROL_PANEL!$B$11))</f>
        <v/>
      </c>
      <c r="N1729" s="9" t="str">
        <f t="shared" si="258"/>
        <v/>
      </c>
      <c r="O1729" s="9" t="str">
        <f t="shared" si="259"/>
        <v/>
      </c>
      <c r="P1729" s="9" t="str">
        <f t="shared" si="260"/>
        <v/>
      </c>
      <c r="Q1729" s="9" t="str">
        <f t="shared" si="261"/>
        <v/>
      </c>
      <c r="R1729" s="11"/>
      <c r="S1729" s="11" t="str">
        <f t="shared" si="262"/>
        <v>PASS</v>
      </c>
    </row>
    <row r="1730" spans="1:19" x14ac:dyDescent="0.25">
      <c r="A1730" s="30" t="s">
        <v>99</v>
      </c>
      <c r="B1730" s="31">
        <f t="shared" si="264"/>
        <v>50861</v>
      </c>
      <c r="C1730" s="30">
        <f>YEAR(BInputReservoir[[#This Row],[Date]])</f>
        <v>2039</v>
      </c>
      <c r="D1730" s="30">
        <f>MONTH(BInputReservoir[[#This Row],[Date]])</f>
        <v>4</v>
      </c>
      <c r="E1730" s="30"/>
      <c r="F1730" s="30" t="str">
        <f>STORAGE_BALANCE_ENSEMBLE!CN287</f>
        <v/>
      </c>
      <c r="G1730" s="30" t="str">
        <f>STORAGE_BALANCE_ENSEMBLE!CO287</f>
        <v/>
      </c>
      <c r="H1730" s="30"/>
      <c r="I1730" s="18" t="str">
        <f t="shared" si="263"/>
        <v/>
      </c>
      <c r="J1730" s="8" t="str">
        <f t="shared" si="255"/>
        <v/>
      </c>
      <c r="K1730" s="9" t="str">
        <f t="shared" si="256"/>
        <v/>
      </c>
      <c r="L1730" s="10" t="str">
        <f t="shared" si="257"/>
        <v/>
      </c>
      <c r="M1730" s="10" t="str">
        <f>IF(I1730&lt;&gt;1,"",IF(H1730="","",H1730/CONTROL_PANEL!$B$11))</f>
        <v/>
      </c>
      <c r="N1730" s="9" t="str">
        <f t="shared" si="258"/>
        <v/>
      </c>
      <c r="O1730" s="9" t="str">
        <f t="shared" si="259"/>
        <v/>
      </c>
      <c r="P1730" s="9" t="str">
        <f t="shared" si="260"/>
        <v/>
      </c>
      <c r="Q1730" s="9" t="str">
        <f t="shared" si="261"/>
        <v/>
      </c>
      <c r="R1730" s="11"/>
      <c r="S1730" s="11" t="str">
        <f t="shared" si="262"/>
        <v>PASS</v>
      </c>
    </row>
    <row r="1731" spans="1:19" x14ac:dyDescent="0.25">
      <c r="A1731" s="30" t="s">
        <v>99</v>
      </c>
      <c r="B1731" s="31">
        <f t="shared" si="264"/>
        <v>50891</v>
      </c>
      <c r="C1731" s="30">
        <f>YEAR(BInputReservoir[[#This Row],[Date]])</f>
        <v>2039</v>
      </c>
      <c r="D1731" s="30">
        <f>MONTH(BInputReservoir[[#This Row],[Date]])</f>
        <v>5</v>
      </c>
      <c r="E1731" s="30"/>
      <c r="F1731" s="30" t="str">
        <f>STORAGE_BALANCE_ENSEMBLE!CN288</f>
        <v/>
      </c>
      <c r="G1731" s="30" t="str">
        <f>STORAGE_BALANCE_ENSEMBLE!CO288</f>
        <v/>
      </c>
      <c r="H1731" s="30"/>
      <c r="I1731" s="18" t="str">
        <f t="shared" si="263"/>
        <v/>
      </c>
      <c r="J1731" s="8" t="str">
        <f t="shared" si="255"/>
        <v/>
      </c>
      <c r="K1731" s="9" t="str">
        <f t="shared" si="256"/>
        <v/>
      </c>
      <c r="L1731" s="10" t="str">
        <f t="shared" si="257"/>
        <v/>
      </c>
      <c r="M1731" s="10" t="str">
        <f>IF(I1731&lt;&gt;1,"",IF(H1731="","",H1731/CONTROL_PANEL!$B$11))</f>
        <v/>
      </c>
      <c r="N1731" s="9" t="str">
        <f t="shared" si="258"/>
        <v/>
      </c>
      <c r="O1731" s="9" t="str">
        <f t="shared" si="259"/>
        <v/>
      </c>
      <c r="P1731" s="9" t="str">
        <f t="shared" si="260"/>
        <v/>
      </c>
      <c r="Q1731" s="9" t="str">
        <f t="shared" si="261"/>
        <v/>
      </c>
      <c r="R1731" s="11"/>
      <c r="S1731" s="11" t="str">
        <f t="shared" si="262"/>
        <v>PASS</v>
      </c>
    </row>
    <row r="1732" spans="1:19" x14ac:dyDescent="0.25">
      <c r="A1732" s="30" t="s">
        <v>99</v>
      </c>
      <c r="B1732" s="31">
        <f t="shared" si="264"/>
        <v>50922</v>
      </c>
      <c r="C1732" s="30">
        <f>YEAR(BInputReservoir[[#This Row],[Date]])</f>
        <v>2039</v>
      </c>
      <c r="D1732" s="30">
        <f>MONTH(BInputReservoir[[#This Row],[Date]])</f>
        <v>6</v>
      </c>
      <c r="E1732" s="30"/>
      <c r="F1732" s="30" t="str">
        <f>STORAGE_BALANCE_ENSEMBLE!CN289</f>
        <v/>
      </c>
      <c r="G1732" s="30" t="str">
        <f>STORAGE_BALANCE_ENSEMBLE!CO289</f>
        <v/>
      </c>
      <c r="H1732" s="30"/>
      <c r="I1732" s="18" t="str">
        <f t="shared" si="263"/>
        <v/>
      </c>
      <c r="J1732" s="8" t="str">
        <f t="shared" si="255"/>
        <v/>
      </c>
      <c r="K1732" s="9" t="str">
        <f t="shared" si="256"/>
        <v/>
      </c>
      <c r="L1732" s="10" t="str">
        <f t="shared" si="257"/>
        <v/>
      </c>
      <c r="M1732" s="10" t="str">
        <f>IF(I1732&lt;&gt;1,"",IF(H1732="","",H1732/CONTROL_PANEL!$B$11))</f>
        <v/>
      </c>
      <c r="N1732" s="9" t="str">
        <f t="shared" si="258"/>
        <v/>
      </c>
      <c r="O1732" s="9" t="str">
        <f t="shared" si="259"/>
        <v/>
      </c>
      <c r="P1732" s="9" t="str">
        <f t="shared" si="260"/>
        <v/>
      </c>
      <c r="Q1732" s="9" t="str">
        <f t="shared" si="261"/>
        <v/>
      </c>
      <c r="R1732" s="11"/>
      <c r="S1732" s="11" t="str">
        <f t="shared" si="262"/>
        <v>PASS</v>
      </c>
    </row>
    <row r="1733" spans="1:19" x14ac:dyDescent="0.25">
      <c r="A1733" s="30" t="s">
        <v>99</v>
      </c>
      <c r="B1733" s="31">
        <f t="shared" si="264"/>
        <v>50952</v>
      </c>
      <c r="C1733" s="30">
        <f>YEAR(BInputReservoir[[#This Row],[Date]])</f>
        <v>2039</v>
      </c>
      <c r="D1733" s="30">
        <f>MONTH(BInputReservoir[[#This Row],[Date]])</f>
        <v>7</v>
      </c>
      <c r="E1733" s="30"/>
      <c r="F1733" s="30" t="str">
        <f>STORAGE_BALANCE_ENSEMBLE!CN290</f>
        <v/>
      </c>
      <c r="G1733" s="30" t="str">
        <f>STORAGE_BALANCE_ENSEMBLE!CO290</f>
        <v/>
      </c>
      <c r="H1733" s="30"/>
      <c r="I1733" s="18" t="str">
        <f t="shared" si="263"/>
        <v/>
      </c>
      <c r="J1733" s="8" t="str">
        <f t="shared" ref="J1733:J1796" si="265">IF(I1733&lt;&gt;1,"",IF(E1733="","",MAX(0,E1733-G1733)))</f>
        <v/>
      </c>
      <c r="K1733" s="9" t="str">
        <f t="shared" ref="K1733:K1796" si="266">IF(I1733&lt;&gt;1,"",IF(OR(G1733="",E1733=""),"",IF(G1733&gt;0,1,0)))</f>
        <v/>
      </c>
      <c r="L1733" s="10" t="str">
        <f t="shared" ref="L1733:L1796" si="267">IF(I1733&lt;&gt;1,"",IF(AND(K1733=1,E1733&gt;0),G1733/E1733,0))</f>
        <v/>
      </c>
      <c r="M1733" s="10" t="str">
        <f>IF(I1733&lt;&gt;1,"",IF(H1733="","",H1733/CONTROL_PANEL!$B$11))</f>
        <v/>
      </c>
      <c r="N1733" s="9" t="str">
        <f t="shared" ref="N1733:N1796" si="268">IF(I1733&lt;&gt;1,"",IF(AND(K1733=1,A1734=A1733),1,0))</f>
        <v/>
      </c>
      <c r="O1733" s="9" t="str">
        <f t="shared" ref="O1733:O1796" si="269">IF(I1733&lt;&gt;1,"",IF(AND(K1733=1,A1734=A1733,K1734=0),1,0))</f>
        <v/>
      </c>
      <c r="P1733" s="9" t="str">
        <f t="shared" ref="P1733:P1796" si="270">IF(I1733&lt;&gt;1,"",IF(F1733&gt;0,1,0))</f>
        <v/>
      </c>
      <c r="Q1733" s="9" t="str">
        <f t="shared" ref="Q1733:Q1796" si="271">IF(I1733&lt;&gt;1,"",IF(G1733&gt;0,1,0))</f>
        <v/>
      </c>
      <c r="R1733" s="11"/>
      <c r="S1733" s="11" t="str">
        <f t="shared" si="262"/>
        <v>PASS</v>
      </c>
    </row>
    <row r="1734" spans="1:19" x14ac:dyDescent="0.25">
      <c r="A1734" s="30" t="s">
        <v>99</v>
      </c>
      <c r="B1734" s="31">
        <f t="shared" si="264"/>
        <v>50983</v>
      </c>
      <c r="C1734" s="30">
        <f>YEAR(BInputReservoir[[#This Row],[Date]])</f>
        <v>2039</v>
      </c>
      <c r="D1734" s="30">
        <f>MONTH(BInputReservoir[[#This Row],[Date]])</f>
        <v>8</v>
      </c>
      <c r="E1734" s="30"/>
      <c r="F1734" s="30" t="str">
        <f>STORAGE_BALANCE_ENSEMBLE!CN291</f>
        <v/>
      </c>
      <c r="G1734" s="30" t="str">
        <f>STORAGE_BALANCE_ENSEMBLE!CO291</f>
        <v/>
      </c>
      <c r="H1734" s="30"/>
      <c r="I1734" s="18" t="str">
        <f t="shared" si="263"/>
        <v/>
      </c>
      <c r="J1734" s="8" t="str">
        <f t="shared" si="265"/>
        <v/>
      </c>
      <c r="K1734" s="9" t="str">
        <f t="shared" si="266"/>
        <v/>
      </c>
      <c r="L1734" s="10" t="str">
        <f t="shared" si="267"/>
        <v/>
      </c>
      <c r="M1734" s="10" t="str">
        <f>IF(I1734&lt;&gt;1,"",IF(H1734="","",H1734/CONTROL_PANEL!$B$11))</f>
        <v/>
      </c>
      <c r="N1734" s="9" t="str">
        <f t="shared" si="268"/>
        <v/>
      </c>
      <c r="O1734" s="9" t="str">
        <f t="shared" si="269"/>
        <v/>
      </c>
      <c r="P1734" s="9" t="str">
        <f t="shared" si="270"/>
        <v/>
      </c>
      <c r="Q1734" s="9" t="str">
        <f t="shared" si="271"/>
        <v/>
      </c>
      <c r="R1734" s="11"/>
      <c r="S1734" s="11" t="str">
        <f t="shared" si="262"/>
        <v>PASS</v>
      </c>
    </row>
    <row r="1735" spans="1:19" x14ac:dyDescent="0.25">
      <c r="A1735" s="30" t="s">
        <v>99</v>
      </c>
      <c r="B1735" s="31">
        <f t="shared" si="264"/>
        <v>51014</v>
      </c>
      <c r="C1735" s="30">
        <f>YEAR(BInputReservoir[[#This Row],[Date]])</f>
        <v>2039</v>
      </c>
      <c r="D1735" s="30">
        <f>MONTH(BInputReservoir[[#This Row],[Date]])</f>
        <v>9</v>
      </c>
      <c r="E1735" s="30"/>
      <c r="F1735" s="30" t="str">
        <f>STORAGE_BALANCE_ENSEMBLE!CN292</f>
        <v/>
      </c>
      <c r="G1735" s="30" t="str">
        <f>STORAGE_BALANCE_ENSEMBLE!CO292</f>
        <v/>
      </c>
      <c r="H1735" s="30"/>
      <c r="I1735" s="18" t="str">
        <f t="shared" si="263"/>
        <v/>
      </c>
      <c r="J1735" s="8" t="str">
        <f t="shared" si="265"/>
        <v/>
      </c>
      <c r="K1735" s="9" t="str">
        <f t="shared" si="266"/>
        <v/>
      </c>
      <c r="L1735" s="10" t="str">
        <f t="shared" si="267"/>
        <v/>
      </c>
      <c r="M1735" s="10" t="str">
        <f>IF(I1735&lt;&gt;1,"",IF(H1735="","",H1735/CONTROL_PANEL!$B$11))</f>
        <v/>
      </c>
      <c r="N1735" s="9" t="str">
        <f t="shared" si="268"/>
        <v/>
      </c>
      <c r="O1735" s="9" t="str">
        <f t="shared" si="269"/>
        <v/>
      </c>
      <c r="P1735" s="9" t="str">
        <f t="shared" si="270"/>
        <v/>
      </c>
      <c r="Q1735" s="9" t="str">
        <f t="shared" si="271"/>
        <v/>
      </c>
      <c r="R1735" s="11"/>
      <c r="S1735" s="11" t="str">
        <f t="shared" ref="S1735:S1798" si="272">IF(COUNTA(A1735:H1735)=0,"",IF(OR(A1735="",C1735="",D1735=""),"ERROR: missing key fields","PASS"))</f>
        <v>PASS</v>
      </c>
    </row>
    <row r="1736" spans="1:19" x14ac:dyDescent="0.25">
      <c r="A1736" s="30" t="s">
        <v>99</v>
      </c>
      <c r="B1736" s="31">
        <f t="shared" si="264"/>
        <v>51044</v>
      </c>
      <c r="C1736" s="30">
        <f>YEAR(BInputReservoir[[#This Row],[Date]])</f>
        <v>2039</v>
      </c>
      <c r="D1736" s="30">
        <f>MONTH(BInputReservoir[[#This Row],[Date]])</f>
        <v>10</v>
      </c>
      <c r="E1736" s="30"/>
      <c r="F1736" s="30" t="str">
        <f>STORAGE_BALANCE_ENSEMBLE!CN293</f>
        <v/>
      </c>
      <c r="G1736" s="30" t="str">
        <f>STORAGE_BALANCE_ENSEMBLE!CO293</f>
        <v/>
      </c>
      <c r="H1736" s="30"/>
      <c r="I1736" s="18" t="str">
        <f t="shared" si="263"/>
        <v/>
      </c>
      <c r="J1736" s="8" t="str">
        <f t="shared" si="265"/>
        <v/>
      </c>
      <c r="K1736" s="9" t="str">
        <f t="shared" si="266"/>
        <v/>
      </c>
      <c r="L1736" s="10" t="str">
        <f t="shared" si="267"/>
        <v/>
      </c>
      <c r="M1736" s="10" t="str">
        <f>IF(I1736&lt;&gt;1,"",IF(H1736="","",H1736/CONTROL_PANEL!$B$11))</f>
        <v/>
      </c>
      <c r="N1736" s="9" t="str">
        <f t="shared" si="268"/>
        <v/>
      </c>
      <c r="O1736" s="9" t="str">
        <f t="shared" si="269"/>
        <v/>
      </c>
      <c r="P1736" s="9" t="str">
        <f t="shared" si="270"/>
        <v/>
      </c>
      <c r="Q1736" s="9" t="str">
        <f t="shared" si="271"/>
        <v/>
      </c>
      <c r="R1736" s="11"/>
      <c r="S1736" s="11" t="str">
        <f t="shared" si="272"/>
        <v>PASS</v>
      </c>
    </row>
    <row r="1737" spans="1:19" x14ac:dyDescent="0.25">
      <c r="A1737" s="30" t="s">
        <v>99</v>
      </c>
      <c r="B1737" s="31">
        <f t="shared" si="264"/>
        <v>51075</v>
      </c>
      <c r="C1737" s="30">
        <f>YEAR(BInputReservoir[[#This Row],[Date]])</f>
        <v>2039</v>
      </c>
      <c r="D1737" s="30">
        <f>MONTH(BInputReservoir[[#This Row],[Date]])</f>
        <v>11</v>
      </c>
      <c r="E1737" s="30"/>
      <c r="F1737" s="30" t="str">
        <f>STORAGE_BALANCE_ENSEMBLE!CN294</f>
        <v/>
      </c>
      <c r="G1737" s="30" t="str">
        <f>STORAGE_BALANCE_ENSEMBLE!CO294</f>
        <v/>
      </c>
      <c r="H1737" s="30"/>
      <c r="I1737" s="18" t="str">
        <f t="shared" si="263"/>
        <v/>
      </c>
      <c r="J1737" s="8" t="str">
        <f t="shared" si="265"/>
        <v/>
      </c>
      <c r="K1737" s="9" t="str">
        <f t="shared" si="266"/>
        <v/>
      </c>
      <c r="L1737" s="10" t="str">
        <f t="shared" si="267"/>
        <v/>
      </c>
      <c r="M1737" s="10" t="str">
        <f>IF(I1737&lt;&gt;1,"",IF(H1737="","",H1737/CONTROL_PANEL!$B$11))</f>
        <v/>
      </c>
      <c r="N1737" s="9" t="str">
        <f t="shared" si="268"/>
        <v/>
      </c>
      <c r="O1737" s="9" t="str">
        <f t="shared" si="269"/>
        <v/>
      </c>
      <c r="P1737" s="9" t="str">
        <f t="shared" si="270"/>
        <v/>
      </c>
      <c r="Q1737" s="9" t="str">
        <f t="shared" si="271"/>
        <v/>
      </c>
      <c r="R1737" s="11"/>
      <c r="S1737" s="11" t="str">
        <f t="shared" si="272"/>
        <v>PASS</v>
      </c>
    </row>
    <row r="1738" spans="1:19" x14ac:dyDescent="0.25">
      <c r="A1738" s="30" t="s">
        <v>99</v>
      </c>
      <c r="B1738" s="31">
        <f t="shared" si="264"/>
        <v>51105</v>
      </c>
      <c r="C1738" s="30">
        <f>YEAR(BInputReservoir[[#This Row],[Date]])</f>
        <v>2039</v>
      </c>
      <c r="D1738" s="30">
        <f>MONTH(BInputReservoir[[#This Row],[Date]])</f>
        <v>12</v>
      </c>
      <c r="E1738" s="30"/>
      <c r="F1738" s="30" t="str">
        <f>STORAGE_BALANCE_ENSEMBLE!CN295</f>
        <v/>
      </c>
      <c r="G1738" s="30" t="str">
        <f>STORAGE_BALANCE_ENSEMBLE!CO295</f>
        <v/>
      </c>
      <c r="H1738" s="30"/>
      <c r="I1738" s="18" t="str">
        <f t="shared" si="263"/>
        <v/>
      </c>
      <c r="J1738" s="8" t="str">
        <f t="shared" si="265"/>
        <v/>
      </c>
      <c r="K1738" s="9" t="str">
        <f t="shared" si="266"/>
        <v/>
      </c>
      <c r="L1738" s="10" t="str">
        <f t="shared" si="267"/>
        <v/>
      </c>
      <c r="M1738" s="10" t="str">
        <f>IF(I1738&lt;&gt;1,"",IF(H1738="","",H1738/CONTROL_PANEL!$B$11))</f>
        <v/>
      </c>
      <c r="N1738" s="9" t="str">
        <f t="shared" si="268"/>
        <v/>
      </c>
      <c r="O1738" s="9" t="str">
        <f t="shared" si="269"/>
        <v/>
      </c>
      <c r="P1738" s="9" t="str">
        <f t="shared" si="270"/>
        <v/>
      </c>
      <c r="Q1738" s="9" t="str">
        <f t="shared" si="271"/>
        <v/>
      </c>
      <c r="R1738" s="11"/>
      <c r="S1738" s="11" t="str">
        <f t="shared" si="272"/>
        <v>PASS</v>
      </c>
    </row>
    <row r="1739" spans="1:19" x14ac:dyDescent="0.25">
      <c r="A1739" s="30" t="s">
        <v>99</v>
      </c>
      <c r="B1739" s="31">
        <f t="shared" si="264"/>
        <v>51136</v>
      </c>
      <c r="C1739" s="30">
        <f>YEAR(BInputReservoir[[#This Row],[Date]])</f>
        <v>2040</v>
      </c>
      <c r="D1739" s="30">
        <f>MONTH(BInputReservoir[[#This Row],[Date]])</f>
        <v>1</v>
      </c>
      <c r="E1739" s="30"/>
      <c r="F1739" s="30" t="str">
        <f>STORAGE_BALANCE_ENSEMBLE!CN296</f>
        <v/>
      </c>
      <c r="G1739" s="30" t="str">
        <f>STORAGE_BALANCE_ENSEMBLE!CO296</f>
        <v/>
      </c>
      <c r="H1739" s="30"/>
      <c r="I1739" s="18" t="str">
        <f t="shared" si="263"/>
        <v/>
      </c>
      <c r="J1739" s="8" t="str">
        <f t="shared" si="265"/>
        <v/>
      </c>
      <c r="K1739" s="9" t="str">
        <f t="shared" si="266"/>
        <v/>
      </c>
      <c r="L1739" s="10" t="str">
        <f t="shared" si="267"/>
        <v/>
      </c>
      <c r="M1739" s="10" t="str">
        <f>IF(I1739&lt;&gt;1,"",IF(H1739="","",H1739/CONTROL_PANEL!$B$11))</f>
        <v/>
      </c>
      <c r="N1739" s="9" t="str">
        <f t="shared" si="268"/>
        <v/>
      </c>
      <c r="O1739" s="9" t="str">
        <f t="shared" si="269"/>
        <v/>
      </c>
      <c r="P1739" s="9" t="str">
        <f t="shared" si="270"/>
        <v/>
      </c>
      <c r="Q1739" s="9" t="str">
        <f t="shared" si="271"/>
        <v/>
      </c>
      <c r="R1739" s="11"/>
      <c r="S1739" s="11" t="str">
        <f t="shared" si="272"/>
        <v>PASS</v>
      </c>
    </row>
    <row r="1740" spans="1:19" x14ac:dyDescent="0.25">
      <c r="A1740" s="30" t="s">
        <v>99</v>
      </c>
      <c r="B1740" s="31">
        <f t="shared" si="264"/>
        <v>51167</v>
      </c>
      <c r="C1740" s="30">
        <f>YEAR(BInputReservoir[[#This Row],[Date]])</f>
        <v>2040</v>
      </c>
      <c r="D1740" s="30">
        <f>MONTH(BInputReservoir[[#This Row],[Date]])</f>
        <v>2</v>
      </c>
      <c r="E1740" s="30"/>
      <c r="F1740" s="30" t="str">
        <f>STORAGE_BALANCE_ENSEMBLE!CN297</f>
        <v/>
      </c>
      <c r="G1740" s="30" t="str">
        <f>STORAGE_BALANCE_ENSEMBLE!CO297</f>
        <v/>
      </c>
      <c r="H1740" s="30"/>
      <c r="I1740" s="18" t="str">
        <f t="shared" si="263"/>
        <v/>
      </c>
      <c r="J1740" s="8" t="str">
        <f t="shared" si="265"/>
        <v/>
      </c>
      <c r="K1740" s="9" t="str">
        <f t="shared" si="266"/>
        <v/>
      </c>
      <c r="L1740" s="10" t="str">
        <f t="shared" si="267"/>
        <v/>
      </c>
      <c r="M1740" s="10" t="str">
        <f>IF(I1740&lt;&gt;1,"",IF(H1740="","",H1740/CONTROL_PANEL!$B$11))</f>
        <v/>
      </c>
      <c r="N1740" s="9" t="str">
        <f t="shared" si="268"/>
        <v/>
      </c>
      <c r="O1740" s="9" t="str">
        <f t="shared" si="269"/>
        <v/>
      </c>
      <c r="P1740" s="9" t="str">
        <f t="shared" si="270"/>
        <v/>
      </c>
      <c r="Q1740" s="9" t="str">
        <f t="shared" si="271"/>
        <v/>
      </c>
      <c r="R1740" s="11"/>
      <c r="S1740" s="11" t="str">
        <f t="shared" si="272"/>
        <v>PASS</v>
      </c>
    </row>
    <row r="1741" spans="1:19" x14ac:dyDescent="0.25">
      <c r="A1741" s="30" t="s">
        <v>99</v>
      </c>
      <c r="B1741" s="31">
        <f t="shared" si="264"/>
        <v>51196</v>
      </c>
      <c r="C1741" s="30">
        <f>YEAR(BInputReservoir[[#This Row],[Date]])</f>
        <v>2040</v>
      </c>
      <c r="D1741" s="30">
        <f>MONTH(BInputReservoir[[#This Row],[Date]])</f>
        <v>3</v>
      </c>
      <c r="E1741" s="30"/>
      <c r="F1741" s="30" t="str">
        <f>STORAGE_BALANCE_ENSEMBLE!CN298</f>
        <v/>
      </c>
      <c r="G1741" s="30" t="str">
        <f>STORAGE_BALANCE_ENSEMBLE!CO298</f>
        <v/>
      </c>
      <c r="H1741" s="30"/>
      <c r="I1741" s="18" t="str">
        <f t="shared" si="263"/>
        <v/>
      </c>
      <c r="J1741" s="8" t="str">
        <f t="shared" si="265"/>
        <v/>
      </c>
      <c r="K1741" s="9" t="str">
        <f t="shared" si="266"/>
        <v/>
      </c>
      <c r="L1741" s="10" t="str">
        <f t="shared" si="267"/>
        <v/>
      </c>
      <c r="M1741" s="10" t="str">
        <f>IF(I1741&lt;&gt;1,"",IF(H1741="","",H1741/CONTROL_PANEL!$B$11))</f>
        <v/>
      </c>
      <c r="N1741" s="9" t="str">
        <f t="shared" si="268"/>
        <v/>
      </c>
      <c r="O1741" s="9" t="str">
        <f t="shared" si="269"/>
        <v/>
      </c>
      <c r="P1741" s="9" t="str">
        <f t="shared" si="270"/>
        <v/>
      </c>
      <c r="Q1741" s="9" t="str">
        <f t="shared" si="271"/>
        <v/>
      </c>
      <c r="R1741" s="11"/>
      <c r="S1741" s="11" t="str">
        <f t="shared" si="272"/>
        <v>PASS</v>
      </c>
    </row>
    <row r="1742" spans="1:19" x14ac:dyDescent="0.25">
      <c r="A1742" s="30" t="s">
        <v>99</v>
      </c>
      <c r="B1742" s="31">
        <f t="shared" si="264"/>
        <v>51227</v>
      </c>
      <c r="C1742" s="30">
        <f>YEAR(BInputReservoir[[#This Row],[Date]])</f>
        <v>2040</v>
      </c>
      <c r="D1742" s="30">
        <f>MONTH(BInputReservoir[[#This Row],[Date]])</f>
        <v>4</v>
      </c>
      <c r="E1742" s="30"/>
      <c r="F1742" s="30" t="str">
        <f>STORAGE_BALANCE_ENSEMBLE!CN299</f>
        <v/>
      </c>
      <c r="G1742" s="30" t="str">
        <f>STORAGE_BALANCE_ENSEMBLE!CO299</f>
        <v/>
      </c>
      <c r="H1742" s="30"/>
      <c r="I1742" s="18" t="str">
        <f t="shared" si="263"/>
        <v/>
      </c>
      <c r="J1742" s="8" t="str">
        <f t="shared" si="265"/>
        <v/>
      </c>
      <c r="K1742" s="9" t="str">
        <f t="shared" si="266"/>
        <v/>
      </c>
      <c r="L1742" s="10" t="str">
        <f t="shared" si="267"/>
        <v/>
      </c>
      <c r="M1742" s="10" t="str">
        <f>IF(I1742&lt;&gt;1,"",IF(H1742="","",H1742/CONTROL_PANEL!$B$11))</f>
        <v/>
      </c>
      <c r="N1742" s="9" t="str">
        <f t="shared" si="268"/>
        <v/>
      </c>
      <c r="O1742" s="9" t="str">
        <f t="shared" si="269"/>
        <v/>
      </c>
      <c r="P1742" s="9" t="str">
        <f t="shared" si="270"/>
        <v/>
      </c>
      <c r="Q1742" s="9" t="str">
        <f t="shared" si="271"/>
        <v/>
      </c>
      <c r="R1742" s="11"/>
      <c r="S1742" s="11" t="str">
        <f t="shared" si="272"/>
        <v>PASS</v>
      </c>
    </row>
    <row r="1743" spans="1:19" x14ac:dyDescent="0.25">
      <c r="A1743" s="30" t="s">
        <v>99</v>
      </c>
      <c r="B1743" s="31">
        <f t="shared" si="264"/>
        <v>51257</v>
      </c>
      <c r="C1743" s="30">
        <f>YEAR(BInputReservoir[[#This Row],[Date]])</f>
        <v>2040</v>
      </c>
      <c r="D1743" s="30">
        <f>MONTH(BInputReservoir[[#This Row],[Date]])</f>
        <v>5</v>
      </c>
      <c r="E1743" s="30"/>
      <c r="F1743" s="30" t="str">
        <f>STORAGE_BALANCE_ENSEMBLE!CN300</f>
        <v/>
      </c>
      <c r="G1743" s="30" t="str">
        <f>STORAGE_BALANCE_ENSEMBLE!CO300</f>
        <v/>
      </c>
      <c r="H1743" s="30"/>
      <c r="I1743" s="18" t="str">
        <f t="shared" si="263"/>
        <v/>
      </c>
      <c r="J1743" s="8" t="str">
        <f t="shared" si="265"/>
        <v/>
      </c>
      <c r="K1743" s="9" t="str">
        <f t="shared" si="266"/>
        <v/>
      </c>
      <c r="L1743" s="10" t="str">
        <f t="shared" si="267"/>
        <v/>
      </c>
      <c r="M1743" s="10" t="str">
        <f>IF(I1743&lt;&gt;1,"",IF(H1743="","",H1743/CONTROL_PANEL!$B$11))</f>
        <v/>
      </c>
      <c r="N1743" s="9" t="str">
        <f t="shared" si="268"/>
        <v/>
      </c>
      <c r="O1743" s="9" t="str">
        <f t="shared" si="269"/>
        <v/>
      </c>
      <c r="P1743" s="9" t="str">
        <f t="shared" si="270"/>
        <v/>
      </c>
      <c r="Q1743" s="9" t="str">
        <f t="shared" si="271"/>
        <v/>
      </c>
      <c r="R1743" s="11"/>
      <c r="S1743" s="11" t="str">
        <f t="shared" si="272"/>
        <v>PASS</v>
      </c>
    </row>
    <row r="1744" spans="1:19" x14ac:dyDescent="0.25">
      <c r="A1744" s="30" t="s">
        <v>99</v>
      </c>
      <c r="B1744" s="31">
        <f t="shared" si="264"/>
        <v>51288</v>
      </c>
      <c r="C1744" s="30">
        <f>YEAR(BInputReservoir[[#This Row],[Date]])</f>
        <v>2040</v>
      </c>
      <c r="D1744" s="30">
        <f>MONTH(BInputReservoir[[#This Row],[Date]])</f>
        <v>6</v>
      </c>
      <c r="E1744" s="30"/>
      <c r="F1744" s="30" t="str">
        <f>STORAGE_BALANCE_ENSEMBLE!CN301</f>
        <v/>
      </c>
      <c r="G1744" s="30" t="str">
        <f>STORAGE_BALANCE_ENSEMBLE!CO301</f>
        <v/>
      </c>
      <c r="H1744" s="30"/>
      <c r="I1744" s="18" t="str">
        <f t="shared" si="263"/>
        <v/>
      </c>
      <c r="J1744" s="8" t="str">
        <f t="shared" si="265"/>
        <v/>
      </c>
      <c r="K1744" s="9" t="str">
        <f t="shared" si="266"/>
        <v/>
      </c>
      <c r="L1744" s="10" t="str">
        <f t="shared" si="267"/>
        <v/>
      </c>
      <c r="M1744" s="10" t="str">
        <f>IF(I1744&lt;&gt;1,"",IF(H1744="","",H1744/CONTROL_PANEL!$B$11))</f>
        <v/>
      </c>
      <c r="N1744" s="9" t="str">
        <f t="shared" si="268"/>
        <v/>
      </c>
      <c r="O1744" s="9" t="str">
        <f t="shared" si="269"/>
        <v/>
      </c>
      <c r="P1744" s="9" t="str">
        <f t="shared" si="270"/>
        <v/>
      </c>
      <c r="Q1744" s="9" t="str">
        <f t="shared" si="271"/>
        <v/>
      </c>
      <c r="R1744" s="11"/>
      <c r="S1744" s="11" t="str">
        <f t="shared" si="272"/>
        <v>PASS</v>
      </c>
    </row>
    <row r="1745" spans="1:19" x14ac:dyDescent="0.25">
      <c r="A1745" s="30" t="s">
        <v>99</v>
      </c>
      <c r="B1745" s="31">
        <f t="shared" si="264"/>
        <v>51318</v>
      </c>
      <c r="C1745" s="30">
        <f>YEAR(BInputReservoir[[#This Row],[Date]])</f>
        <v>2040</v>
      </c>
      <c r="D1745" s="30">
        <f>MONTH(BInputReservoir[[#This Row],[Date]])</f>
        <v>7</v>
      </c>
      <c r="E1745" s="30"/>
      <c r="F1745" s="30" t="str">
        <f>STORAGE_BALANCE_ENSEMBLE!CN302</f>
        <v/>
      </c>
      <c r="G1745" s="30" t="str">
        <f>STORAGE_BALANCE_ENSEMBLE!CO302</f>
        <v/>
      </c>
      <c r="H1745" s="30"/>
      <c r="I1745" s="18" t="str">
        <f t="shared" si="263"/>
        <v/>
      </c>
      <c r="J1745" s="8" t="str">
        <f t="shared" si="265"/>
        <v/>
      </c>
      <c r="K1745" s="9" t="str">
        <f t="shared" si="266"/>
        <v/>
      </c>
      <c r="L1745" s="10" t="str">
        <f t="shared" si="267"/>
        <v/>
      </c>
      <c r="M1745" s="10" t="str">
        <f>IF(I1745&lt;&gt;1,"",IF(H1745="","",H1745/CONTROL_PANEL!$B$11))</f>
        <v/>
      </c>
      <c r="N1745" s="9" t="str">
        <f t="shared" si="268"/>
        <v/>
      </c>
      <c r="O1745" s="9" t="str">
        <f t="shared" si="269"/>
        <v/>
      </c>
      <c r="P1745" s="9" t="str">
        <f t="shared" si="270"/>
        <v/>
      </c>
      <c r="Q1745" s="9" t="str">
        <f t="shared" si="271"/>
        <v/>
      </c>
      <c r="R1745" s="11"/>
      <c r="S1745" s="11" t="str">
        <f t="shared" si="272"/>
        <v>PASS</v>
      </c>
    </row>
    <row r="1746" spans="1:19" x14ac:dyDescent="0.25">
      <c r="A1746" s="30" t="s">
        <v>99</v>
      </c>
      <c r="B1746" s="31">
        <f t="shared" si="264"/>
        <v>51349</v>
      </c>
      <c r="C1746" s="30">
        <f>YEAR(BInputReservoir[[#This Row],[Date]])</f>
        <v>2040</v>
      </c>
      <c r="D1746" s="30">
        <f>MONTH(BInputReservoir[[#This Row],[Date]])</f>
        <v>8</v>
      </c>
      <c r="E1746" s="30"/>
      <c r="F1746" s="30" t="str">
        <f>STORAGE_BALANCE_ENSEMBLE!CN303</f>
        <v/>
      </c>
      <c r="G1746" s="30" t="str">
        <f>STORAGE_BALANCE_ENSEMBLE!CO303</f>
        <v/>
      </c>
      <c r="H1746" s="30"/>
      <c r="I1746" s="18" t="str">
        <f t="shared" si="263"/>
        <v/>
      </c>
      <c r="J1746" s="8" t="str">
        <f t="shared" si="265"/>
        <v/>
      </c>
      <c r="K1746" s="9" t="str">
        <f t="shared" si="266"/>
        <v/>
      </c>
      <c r="L1746" s="10" t="str">
        <f t="shared" si="267"/>
        <v/>
      </c>
      <c r="M1746" s="10" t="str">
        <f>IF(I1746&lt;&gt;1,"",IF(H1746="","",H1746/CONTROL_PANEL!$B$11))</f>
        <v/>
      </c>
      <c r="N1746" s="9" t="str">
        <f t="shared" si="268"/>
        <v/>
      </c>
      <c r="O1746" s="9" t="str">
        <f t="shared" si="269"/>
        <v/>
      </c>
      <c r="P1746" s="9" t="str">
        <f t="shared" si="270"/>
        <v/>
      </c>
      <c r="Q1746" s="9" t="str">
        <f t="shared" si="271"/>
        <v/>
      </c>
      <c r="R1746" s="11"/>
      <c r="S1746" s="11" t="str">
        <f t="shared" si="272"/>
        <v>PASS</v>
      </c>
    </row>
    <row r="1747" spans="1:19" x14ac:dyDescent="0.25">
      <c r="A1747" s="30" t="s">
        <v>99</v>
      </c>
      <c r="B1747" s="31">
        <f t="shared" si="264"/>
        <v>51380</v>
      </c>
      <c r="C1747" s="30">
        <f>YEAR(BInputReservoir[[#This Row],[Date]])</f>
        <v>2040</v>
      </c>
      <c r="D1747" s="30">
        <f>MONTH(BInputReservoir[[#This Row],[Date]])</f>
        <v>9</v>
      </c>
      <c r="E1747" s="30"/>
      <c r="F1747" s="30" t="str">
        <f>STORAGE_BALANCE_ENSEMBLE!CN304</f>
        <v/>
      </c>
      <c r="G1747" s="30" t="str">
        <f>STORAGE_BALANCE_ENSEMBLE!CO304</f>
        <v/>
      </c>
      <c r="H1747" s="30"/>
      <c r="I1747" s="18" t="str">
        <f t="shared" si="263"/>
        <v/>
      </c>
      <c r="J1747" s="8" t="str">
        <f t="shared" si="265"/>
        <v/>
      </c>
      <c r="K1747" s="9" t="str">
        <f t="shared" si="266"/>
        <v/>
      </c>
      <c r="L1747" s="10" t="str">
        <f t="shared" si="267"/>
        <v/>
      </c>
      <c r="M1747" s="10" t="str">
        <f>IF(I1747&lt;&gt;1,"",IF(H1747="","",H1747/CONTROL_PANEL!$B$11))</f>
        <v/>
      </c>
      <c r="N1747" s="9" t="str">
        <f t="shared" si="268"/>
        <v/>
      </c>
      <c r="O1747" s="9" t="str">
        <f t="shared" si="269"/>
        <v/>
      </c>
      <c r="P1747" s="9" t="str">
        <f t="shared" si="270"/>
        <v/>
      </c>
      <c r="Q1747" s="9" t="str">
        <f t="shared" si="271"/>
        <v/>
      </c>
      <c r="R1747" s="11"/>
      <c r="S1747" s="11" t="str">
        <f t="shared" si="272"/>
        <v>PASS</v>
      </c>
    </row>
    <row r="1748" spans="1:19" x14ac:dyDescent="0.25">
      <c r="A1748" s="30" t="s">
        <v>99</v>
      </c>
      <c r="B1748" s="31">
        <f t="shared" si="264"/>
        <v>51410</v>
      </c>
      <c r="C1748" s="30">
        <f>YEAR(BInputReservoir[[#This Row],[Date]])</f>
        <v>2040</v>
      </c>
      <c r="D1748" s="30">
        <f>MONTH(BInputReservoir[[#This Row],[Date]])</f>
        <v>10</v>
      </c>
      <c r="E1748" s="30"/>
      <c r="F1748" s="30" t="str">
        <f>STORAGE_BALANCE_ENSEMBLE!CN305</f>
        <v/>
      </c>
      <c r="G1748" s="30" t="str">
        <f>STORAGE_BALANCE_ENSEMBLE!CO305</f>
        <v/>
      </c>
      <c r="H1748" s="30"/>
      <c r="I1748" s="18" t="str">
        <f t="shared" si="263"/>
        <v/>
      </c>
      <c r="J1748" s="8" t="str">
        <f t="shared" si="265"/>
        <v/>
      </c>
      <c r="K1748" s="9" t="str">
        <f t="shared" si="266"/>
        <v/>
      </c>
      <c r="L1748" s="10" t="str">
        <f t="shared" si="267"/>
        <v/>
      </c>
      <c r="M1748" s="10" t="str">
        <f>IF(I1748&lt;&gt;1,"",IF(H1748="","",H1748/CONTROL_PANEL!$B$11))</f>
        <v/>
      </c>
      <c r="N1748" s="9" t="str">
        <f t="shared" si="268"/>
        <v/>
      </c>
      <c r="O1748" s="9" t="str">
        <f t="shared" si="269"/>
        <v/>
      </c>
      <c r="P1748" s="9" t="str">
        <f t="shared" si="270"/>
        <v/>
      </c>
      <c r="Q1748" s="9" t="str">
        <f t="shared" si="271"/>
        <v/>
      </c>
      <c r="R1748" s="11"/>
      <c r="S1748" s="11" t="str">
        <f t="shared" si="272"/>
        <v>PASS</v>
      </c>
    </row>
    <row r="1749" spans="1:19" x14ac:dyDescent="0.25">
      <c r="A1749" s="30" t="s">
        <v>99</v>
      </c>
      <c r="B1749" s="31">
        <f t="shared" si="264"/>
        <v>51441</v>
      </c>
      <c r="C1749" s="30">
        <f>YEAR(BInputReservoir[[#This Row],[Date]])</f>
        <v>2040</v>
      </c>
      <c r="D1749" s="30">
        <f>MONTH(BInputReservoir[[#This Row],[Date]])</f>
        <v>11</v>
      </c>
      <c r="E1749" s="30"/>
      <c r="F1749" s="30" t="str">
        <f>STORAGE_BALANCE_ENSEMBLE!CN306</f>
        <v/>
      </c>
      <c r="G1749" s="30" t="str">
        <f>STORAGE_BALANCE_ENSEMBLE!CO306</f>
        <v/>
      </c>
      <c r="H1749" s="30"/>
      <c r="I1749" s="18" t="str">
        <f t="shared" si="263"/>
        <v/>
      </c>
      <c r="J1749" s="8" t="str">
        <f t="shared" si="265"/>
        <v/>
      </c>
      <c r="K1749" s="9" t="str">
        <f t="shared" si="266"/>
        <v/>
      </c>
      <c r="L1749" s="10" t="str">
        <f t="shared" si="267"/>
        <v/>
      </c>
      <c r="M1749" s="10" t="str">
        <f>IF(I1749&lt;&gt;1,"",IF(H1749="","",H1749/CONTROL_PANEL!$B$11))</f>
        <v/>
      </c>
      <c r="N1749" s="9" t="str">
        <f t="shared" si="268"/>
        <v/>
      </c>
      <c r="O1749" s="9" t="str">
        <f t="shared" si="269"/>
        <v/>
      </c>
      <c r="P1749" s="9" t="str">
        <f t="shared" si="270"/>
        <v/>
      </c>
      <c r="Q1749" s="9" t="str">
        <f t="shared" si="271"/>
        <v/>
      </c>
      <c r="R1749" s="11"/>
      <c r="S1749" s="11" t="str">
        <f t="shared" si="272"/>
        <v>PASS</v>
      </c>
    </row>
    <row r="1750" spans="1:19" x14ac:dyDescent="0.25">
      <c r="A1750" s="30" t="s">
        <v>99</v>
      </c>
      <c r="B1750" s="31">
        <f t="shared" si="264"/>
        <v>51471</v>
      </c>
      <c r="C1750" s="30">
        <f>YEAR(BInputReservoir[[#This Row],[Date]])</f>
        <v>2040</v>
      </c>
      <c r="D1750" s="30">
        <f>MONTH(BInputReservoir[[#This Row],[Date]])</f>
        <v>12</v>
      </c>
      <c r="E1750" s="30"/>
      <c r="F1750" s="30" t="str">
        <f>STORAGE_BALANCE_ENSEMBLE!CN307</f>
        <v/>
      </c>
      <c r="G1750" s="30" t="str">
        <f>STORAGE_BALANCE_ENSEMBLE!CO307</f>
        <v/>
      </c>
      <c r="H1750" s="30"/>
      <c r="I1750" s="18" t="str">
        <f t="shared" si="263"/>
        <v/>
      </c>
      <c r="J1750" s="8" t="str">
        <f t="shared" si="265"/>
        <v/>
      </c>
      <c r="K1750" s="9" t="str">
        <f t="shared" si="266"/>
        <v/>
      </c>
      <c r="L1750" s="10" t="str">
        <f t="shared" si="267"/>
        <v/>
      </c>
      <c r="M1750" s="10" t="str">
        <f>IF(I1750&lt;&gt;1,"",IF(H1750="","",H1750/CONTROL_PANEL!$B$11))</f>
        <v/>
      </c>
      <c r="N1750" s="9" t="str">
        <f t="shared" si="268"/>
        <v/>
      </c>
      <c r="O1750" s="9" t="str">
        <f t="shared" si="269"/>
        <v/>
      </c>
      <c r="P1750" s="9" t="str">
        <f t="shared" si="270"/>
        <v/>
      </c>
      <c r="Q1750" s="9" t="str">
        <f t="shared" si="271"/>
        <v/>
      </c>
      <c r="R1750" s="11"/>
      <c r="S1750" s="11" t="str">
        <f t="shared" si="272"/>
        <v>PASS</v>
      </c>
    </row>
    <row r="1751" spans="1:19" x14ac:dyDescent="0.25">
      <c r="A1751" s="30" t="s">
        <v>99</v>
      </c>
      <c r="B1751" s="31">
        <f t="shared" si="264"/>
        <v>51502</v>
      </c>
      <c r="C1751" s="30">
        <f>YEAR(BInputReservoir[[#This Row],[Date]])</f>
        <v>2041</v>
      </c>
      <c r="D1751" s="30">
        <f>MONTH(BInputReservoir[[#This Row],[Date]])</f>
        <v>1</v>
      </c>
      <c r="E1751" s="30"/>
      <c r="F1751" s="30" t="str">
        <f>STORAGE_BALANCE_ENSEMBLE!CN308</f>
        <v/>
      </c>
      <c r="G1751" s="30" t="str">
        <f>STORAGE_BALANCE_ENSEMBLE!CO308</f>
        <v/>
      </c>
      <c r="H1751" s="30"/>
      <c r="I1751" s="18" t="str">
        <f t="shared" si="263"/>
        <v/>
      </c>
      <c r="J1751" s="8" t="str">
        <f t="shared" si="265"/>
        <v/>
      </c>
      <c r="K1751" s="9" t="str">
        <f t="shared" si="266"/>
        <v/>
      </c>
      <c r="L1751" s="10" t="str">
        <f t="shared" si="267"/>
        <v/>
      </c>
      <c r="M1751" s="10" t="str">
        <f>IF(I1751&lt;&gt;1,"",IF(H1751="","",H1751/CONTROL_PANEL!$B$11))</f>
        <v/>
      </c>
      <c r="N1751" s="9" t="str">
        <f t="shared" si="268"/>
        <v/>
      </c>
      <c r="O1751" s="9" t="str">
        <f t="shared" si="269"/>
        <v/>
      </c>
      <c r="P1751" s="9" t="str">
        <f t="shared" si="270"/>
        <v/>
      </c>
      <c r="Q1751" s="9" t="str">
        <f t="shared" si="271"/>
        <v/>
      </c>
      <c r="R1751" s="11"/>
      <c r="S1751" s="11" t="str">
        <f t="shared" si="272"/>
        <v>PASS</v>
      </c>
    </row>
    <row r="1752" spans="1:19" x14ac:dyDescent="0.25">
      <c r="A1752" s="30" t="s">
        <v>99</v>
      </c>
      <c r="B1752" s="31">
        <f t="shared" si="264"/>
        <v>51533</v>
      </c>
      <c r="C1752" s="30">
        <f>YEAR(BInputReservoir[[#This Row],[Date]])</f>
        <v>2041</v>
      </c>
      <c r="D1752" s="30">
        <f>MONTH(BInputReservoir[[#This Row],[Date]])</f>
        <v>2</v>
      </c>
      <c r="E1752" s="30"/>
      <c r="F1752" s="30" t="str">
        <f>STORAGE_BALANCE_ENSEMBLE!CN309</f>
        <v/>
      </c>
      <c r="G1752" s="30" t="str">
        <f>STORAGE_BALANCE_ENSEMBLE!CO309</f>
        <v/>
      </c>
      <c r="H1752" s="30"/>
      <c r="I1752" s="18" t="str">
        <f t="shared" si="263"/>
        <v/>
      </c>
      <c r="J1752" s="8" t="str">
        <f t="shared" si="265"/>
        <v/>
      </c>
      <c r="K1752" s="9" t="str">
        <f t="shared" si="266"/>
        <v/>
      </c>
      <c r="L1752" s="10" t="str">
        <f t="shared" si="267"/>
        <v/>
      </c>
      <c r="M1752" s="10" t="str">
        <f>IF(I1752&lt;&gt;1,"",IF(H1752="","",H1752/CONTROL_PANEL!$B$11))</f>
        <v/>
      </c>
      <c r="N1752" s="9" t="str">
        <f t="shared" si="268"/>
        <v/>
      </c>
      <c r="O1752" s="9" t="str">
        <f t="shared" si="269"/>
        <v/>
      </c>
      <c r="P1752" s="9" t="str">
        <f t="shared" si="270"/>
        <v/>
      </c>
      <c r="Q1752" s="9" t="str">
        <f t="shared" si="271"/>
        <v/>
      </c>
      <c r="R1752" s="11"/>
      <c r="S1752" s="11" t="str">
        <f t="shared" si="272"/>
        <v>PASS</v>
      </c>
    </row>
    <row r="1753" spans="1:19" x14ac:dyDescent="0.25">
      <c r="A1753" s="30" t="s">
        <v>99</v>
      </c>
      <c r="B1753" s="31">
        <f t="shared" si="264"/>
        <v>51561</v>
      </c>
      <c r="C1753" s="30">
        <f>YEAR(BInputReservoir[[#This Row],[Date]])</f>
        <v>2041</v>
      </c>
      <c r="D1753" s="30">
        <f>MONTH(BInputReservoir[[#This Row],[Date]])</f>
        <v>3</v>
      </c>
      <c r="E1753" s="30"/>
      <c r="F1753" s="30" t="str">
        <f>STORAGE_BALANCE_ENSEMBLE!CN310</f>
        <v/>
      </c>
      <c r="G1753" s="30" t="str">
        <f>STORAGE_BALANCE_ENSEMBLE!CO310</f>
        <v/>
      </c>
      <c r="H1753" s="30"/>
      <c r="I1753" s="18" t="str">
        <f t="shared" si="263"/>
        <v/>
      </c>
      <c r="J1753" s="8" t="str">
        <f t="shared" si="265"/>
        <v/>
      </c>
      <c r="K1753" s="9" t="str">
        <f t="shared" si="266"/>
        <v/>
      </c>
      <c r="L1753" s="10" t="str">
        <f t="shared" si="267"/>
        <v/>
      </c>
      <c r="M1753" s="10" t="str">
        <f>IF(I1753&lt;&gt;1,"",IF(H1753="","",H1753/CONTROL_PANEL!$B$11))</f>
        <v/>
      </c>
      <c r="N1753" s="9" t="str">
        <f t="shared" si="268"/>
        <v/>
      </c>
      <c r="O1753" s="9" t="str">
        <f t="shared" si="269"/>
        <v/>
      </c>
      <c r="P1753" s="9" t="str">
        <f t="shared" si="270"/>
        <v/>
      </c>
      <c r="Q1753" s="9" t="str">
        <f t="shared" si="271"/>
        <v/>
      </c>
      <c r="R1753" s="11"/>
      <c r="S1753" s="11" t="str">
        <f t="shared" si="272"/>
        <v>PASS</v>
      </c>
    </row>
    <row r="1754" spans="1:19" x14ac:dyDescent="0.25">
      <c r="A1754" s="30" t="s">
        <v>99</v>
      </c>
      <c r="B1754" s="31">
        <f t="shared" si="264"/>
        <v>51592</v>
      </c>
      <c r="C1754" s="30">
        <f>YEAR(BInputReservoir[[#This Row],[Date]])</f>
        <v>2041</v>
      </c>
      <c r="D1754" s="30">
        <f>MONTH(BInputReservoir[[#This Row],[Date]])</f>
        <v>4</v>
      </c>
      <c r="E1754" s="30"/>
      <c r="F1754" s="30" t="str">
        <f>STORAGE_BALANCE_ENSEMBLE!CN311</f>
        <v/>
      </c>
      <c r="G1754" s="30" t="str">
        <f>STORAGE_BALANCE_ENSEMBLE!CO311</f>
        <v/>
      </c>
      <c r="H1754" s="30"/>
      <c r="I1754" s="18" t="str">
        <f t="shared" si="263"/>
        <v/>
      </c>
      <c r="J1754" s="8" t="str">
        <f t="shared" si="265"/>
        <v/>
      </c>
      <c r="K1754" s="9" t="str">
        <f t="shared" si="266"/>
        <v/>
      </c>
      <c r="L1754" s="10" t="str">
        <f t="shared" si="267"/>
        <v/>
      </c>
      <c r="M1754" s="10" t="str">
        <f>IF(I1754&lt;&gt;1,"",IF(H1754="","",H1754/CONTROL_PANEL!$B$11))</f>
        <v/>
      </c>
      <c r="N1754" s="9" t="str">
        <f t="shared" si="268"/>
        <v/>
      </c>
      <c r="O1754" s="9" t="str">
        <f t="shared" si="269"/>
        <v/>
      </c>
      <c r="P1754" s="9" t="str">
        <f t="shared" si="270"/>
        <v/>
      </c>
      <c r="Q1754" s="9" t="str">
        <f t="shared" si="271"/>
        <v/>
      </c>
      <c r="R1754" s="11"/>
      <c r="S1754" s="11" t="str">
        <f t="shared" si="272"/>
        <v>PASS</v>
      </c>
    </row>
    <row r="1755" spans="1:19" x14ac:dyDescent="0.25">
      <c r="A1755" s="30" t="s">
        <v>99</v>
      </c>
      <c r="B1755" s="31">
        <f t="shared" si="264"/>
        <v>51622</v>
      </c>
      <c r="C1755" s="30">
        <f>YEAR(BInputReservoir[[#This Row],[Date]])</f>
        <v>2041</v>
      </c>
      <c r="D1755" s="30">
        <f>MONTH(BInputReservoir[[#This Row],[Date]])</f>
        <v>5</v>
      </c>
      <c r="E1755" s="30"/>
      <c r="F1755" s="30" t="str">
        <f>STORAGE_BALANCE_ENSEMBLE!CN312</f>
        <v/>
      </c>
      <c r="G1755" s="30" t="str">
        <f>STORAGE_BALANCE_ENSEMBLE!CO312</f>
        <v/>
      </c>
      <c r="H1755" s="30"/>
      <c r="I1755" s="18" t="str">
        <f t="shared" si="263"/>
        <v/>
      </c>
      <c r="J1755" s="8" t="str">
        <f t="shared" si="265"/>
        <v/>
      </c>
      <c r="K1755" s="9" t="str">
        <f t="shared" si="266"/>
        <v/>
      </c>
      <c r="L1755" s="10" t="str">
        <f t="shared" si="267"/>
        <v/>
      </c>
      <c r="M1755" s="10" t="str">
        <f>IF(I1755&lt;&gt;1,"",IF(H1755="","",H1755/CONTROL_PANEL!$B$11))</f>
        <v/>
      </c>
      <c r="N1755" s="9" t="str">
        <f t="shared" si="268"/>
        <v/>
      </c>
      <c r="O1755" s="9" t="str">
        <f t="shared" si="269"/>
        <v/>
      </c>
      <c r="P1755" s="9" t="str">
        <f t="shared" si="270"/>
        <v/>
      </c>
      <c r="Q1755" s="9" t="str">
        <f t="shared" si="271"/>
        <v/>
      </c>
      <c r="R1755" s="11"/>
      <c r="S1755" s="11" t="str">
        <f t="shared" si="272"/>
        <v>PASS</v>
      </c>
    </row>
    <row r="1756" spans="1:19" x14ac:dyDescent="0.25">
      <c r="A1756" s="30" t="s">
        <v>99</v>
      </c>
      <c r="B1756" s="31">
        <f t="shared" si="264"/>
        <v>51653</v>
      </c>
      <c r="C1756" s="30">
        <f>YEAR(BInputReservoir[[#This Row],[Date]])</f>
        <v>2041</v>
      </c>
      <c r="D1756" s="30">
        <f>MONTH(BInputReservoir[[#This Row],[Date]])</f>
        <v>6</v>
      </c>
      <c r="E1756" s="30"/>
      <c r="F1756" s="30" t="str">
        <f>STORAGE_BALANCE_ENSEMBLE!CN313</f>
        <v/>
      </c>
      <c r="G1756" s="30" t="str">
        <f>STORAGE_BALANCE_ENSEMBLE!CO313</f>
        <v/>
      </c>
      <c r="H1756" s="30"/>
      <c r="I1756" s="18" t="str">
        <f t="shared" si="263"/>
        <v/>
      </c>
      <c r="J1756" s="8" t="str">
        <f t="shared" si="265"/>
        <v/>
      </c>
      <c r="K1756" s="9" t="str">
        <f t="shared" si="266"/>
        <v/>
      </c>
      <c r="L1756" s="10" t="str">
        <f t="shared" si="267"/>
        <v/>
      </c>
      <c r="M1756" s="10" t="str">
        <f>IF(I1756&lt;&gt;1,"",IF(H1756="","",H1756/CONTROL_PANEL!$B$11))</f>
        <v/>
      </c>
      <c r="N1756" s="9" t="str">
        <f t="shared" si="268"/>
        <v/>
      </c>
      <c r="O1756" s="9" t="str">
        <f t="shared" si="269"/>
        <v/>
      </c>
      <c r="P1756" s="9" t="str">
        <f t="shared" si="270"/>
        <v/>
      </c>
      <c r="Q1756" s="9" t="str">
        <f t="shared" si="271"/>
        <v/>
      </c>
      <c r="R1756" s="11"/>
      <c r="S1756" s="11" t="str">
        <f t="shared" si="272"/>
        <v>PASS</v>
      </c>
    </row>
    <row r="1757" spans="1:19" x14ac:dyDescent="0.25">
      <c r="A1757" s="30" t="s">
        <v>99</v>
      </c>
      <c r="B1757" s="31">
        <f t="shared" si="264"/>
        <v>51683</v>
      </c>
      <c r="C1757" s="30">
        <f>YEAR(BInputReservoir[[#This Row],[Date]])</f>
        <v>2041</v>
      </c>
      <c r="D1757" s="30">
        <f>MONTH(BInputReservoir[[#This Row],[Date]])</f>
        <v>7</v>
      </c>
      <c r="E1757" s="30"/>
      <c r="F1757" s="30" t="str">
        <f>STORAGE_BALANCE_ENSEMBLE!CN314</f>
        <v/>
      </c>
      <c r="G1757" s="30" t="str">
        <f>STORAGE_BALANCE_ENSEMBLE!CO314</f>
        <v/>
      </c>
      <c r="H1757" s="30"/>
      <c r="I1757" s="18" t="str">
        <f t="shared" si="263"/>
        <v/>
      </c>
      <c r="J1757" s="8" t="str">
        <f t="shared" si="265"/>
        <v/>
      </c>
      <c r="K1757" s="9" t="str">
        <f t="shared" si="266"/>
        <v/>
      </c>
      <c r="L1757" s="10" t="str">
        <f t="shared" si="267"/>
        <v/>
      </c>
      <c r="M1757" s="10" t="str">
        <f>IF(I1757&lt;&gt;1,"",IF(H1757="","",H1757/CONTROL_PANEL!$B$11))</f>
        <v/>
      </c>
      <c r="N1757" s="9" t="str">
        <f t="shared" si="268"/>
        <v/>
      </c>
      <c r="O1757" s="9" t="str">
        <f t="shared" si="269"/>
        <v/>
      </c>
      <c r="P1757" s="9" t="str">
        <f t="shared" si="270"/>
        <v/>
      </c>
      <c r="Q1757" s="9" t="str">
        <f t="shared" si="271"/>
        <v/>
      </c>
      <c r="R1757" s="11"/>
      <c r="S1757" s="11" t="str">
        <f t="shared" si="272"/>
        <v>PASS</v>
      </c>
    </row>
    <row r="1758" spans="1:19" x14ac:dyDescent="0.25">
      <c r="A1758" s="30" t="s">
        <v>99</v>
      </c>
      <c r="B1758" s="31">
        <f t="shared" si="264"/>
        <v>51714</v>
      </c>
      <c r="C1758" s="30">
        <f>YEAR(BInputReservoir[[#This Row],[Date]])</f>
        <v>2041</v>
      </c>
      <c r="D1758" s="30">
        <f>MONTH(BInputReservoir[[#This Row],[Date]])</f>
        <v>8</v>
      </c>
      <c r="E1758" s="30"/>
      <c r="F1758" s="30" t="str">
        <f>STORAGE_BALANCE_ENSEMBLE!CN315</f>
        <v/>
      </c>
      <c r="G1758" s="30" t="str">
        <f>STORAGE_BALANCE_ENSEMBLE!CO315</f>
        <v/>
      </c>
      <c r="H1758" s="30"/>
      <c r="I1758" s="18" t="str">
        <f t="shared" si="263"/>
        <v/>
      </c>
      <c r="J1758" s="8" t="str">
        <f t="shared" si="265"/>
        <v/>
      </c>
      <c r="K1758" s="9" t="str">
        <f t="shared" si="266"/>
        <v/>
      </c>
      <c r="L1758" s="10" t="str">
        <f t="shared" si="267"/>
        <v/>
      </c>
      <c r="M1758" s="10" t="str">
        <f>IF(I1758&lt;&gt;1,"",IF(H1758="","",H1758/CONTROL_PANEL!$B$11))</f>
        <v/>
      </c>
      <c r="N1758" s="9" t="str">
        <f t="shared" si="268"/>
        <v/>
      </c>
      <c r="O1758" s="9" t="str">
        <f t="shared" si="269"/>
        <v/>
      </c>
      <c r="P1758" s="9" t="str">
        <f t="shared" si="270"/>
        <v/>
      </c>
      <c r="Q1758" s="9" t="str">
        <f t="shared" si="271"/>
        <v/>
      </c>
      <c r="R1758" s="11"/>
      <c r="S1758" s="11" t="str">
        <f t="shared" si="272"/>
        <v>PASS</v>
      </c>
    </row>
    <row r="1759" spans="1:19" x14ac:dyDescent="0.25">
      <c r="A1759" s="30" t="s">
        <v>99</v>
      </c>
      <c r="B1759" s="31">
        <f t="shared" si="264"/>
        <v>51745</v>
      </c>
      <c r="C1759" s="30">
        <f>YEAR(BInputReservoir[[#This Row],[Date]])</f>
        <v>2041</v>
      </c>
      <c r="D1759" s="30">
        <f>MONTH(BInputReservoir[[#This Row],[Date]])</f>
        <v>9</v>
      </c>
      <c r="E1759" s="30"/>
      <c r="F1759" s="30" t="str">
        <f>STORAGE_BALANCE_ENSEMBLE!CN316</f>
        <v/>
      </c>
      <c r="G1759" s="30" t="str">
        <f>STORAGE_BALANCE_ENSEMBLE!CO316</f>
        <v/>
      </c>
      <c r="H1759" s="30"/>
      <c r="I1759" s="18" t="str">
        <f t="shared" si="263"/>
        <v/>
      </c>
      <c r="J1759" s="8" t="str">
        <f t="shared" si="265"/>
        <v/>
      </c>
      <c r="K1759" s="9" t="str">
        <f t="shared" si="266"/>
        <v/>
      </c>
      <c r="L1759" s="10" t="str">
        <f t="shared" si="267"/>
        <v/>
      </c>
      <c r="M1759" s="10" t="str">
        <f>IF(I1759&lt;&gt;1,"",IF(H1759="","",H1759/CONTROL_PANEL!$B$11))</f>
        <v/>
      </c>
      <c r="N1759" s="9" t="str">
        <f t="shared" si="268"/>
        <v/>
      </c>
      <c r="O1759" s="9" t="str">
        <f t="shared" si="269"/>
        <v/>
      </c>
      <c r="P1759" s="9" t="str">
        <f t="shared" si="270"/>
        <v/>
      </c>
      <c r="Q1759" s="9" t="str">
        <f t="shared" si="271"/>
        <v/>
      </c>
      <c r="R1759" s="11"/>
      <c r="S1759" s="11" t="str">
        <f t="shared" si="272"/>
        <v>PASS</v>
      </c>
    </row>
    <row r="1760" spans="1:19" x14ac:dyDescent="0.25">
      <c r="A1760" s="30" t="s">
        <v>99</v>
      </c>
      <c r="B1760" s="31">
        <f t="shared" si="264"/>
        <v>51775</v>
      </c>
      <c r="C1760" s="30">
        <f>YEAR(BInputReservoir[[#This Row],[Date]])</f>
        <v>2041</v>
      </c>
      <c r="D1760" s="30">
        <f>MONTH(BInputReservoir[[#This Row],[Date]])</f>
        <v>10</v>
      </c>
      <c r="E1760" s="30"/>
      <c r="F1760" s="30" t="str">
        <f>STORAGE_BALANCE_ENSEMBLE!CN317</f>
        <v/>
      </c>
      <c r="G1760" s="30" t="str">
        <f>STORAGE_BALANCE_ENSEMBLE!CO317</f>
        <v/>
      </c>
      <c r="H1760" s="30"/>
      <c r="I1760" s="18" t="str">
        <f t="shared" si="263"/>
        <v/>
      </c>
      <c r="J1760" s="8" t="str">
        <f t="shared" si="265"/>
        <v/>
      </c>
      <c r="K1760" s="9" t="str">
        <f t="shared" si="266"/>
        <v/>
      </c>
      <c r="L1760" s="10" t="str">
        <f t="shared" si="267"/>
        <v/>
      </c>
      <c r="M1760" s="10" t="str">
        <f>IF(I1760&lt;&gt;1,"",IF(H1760="","",H1760/CONTROL_PANEL!$B$11))</f>
        <v/>
      </c>
      <c r="N1760" s="9" t="str">
        <f t="shared" si="268"/>
        <v/>
      </c>
      <c r="O1760" s="9" t="str">
        <f t="shared" si="269"/>
        <v/>
      </c>
      <c r="P1760" s="9" t="str">
        <f t="shared" si="270"/>
        <v/>
      </c>
      <c r="Q1760" s="9" t="str">
        <f t="shared" si="271"/>
        <v/>
      </c>
      <c r="R1760" s="11"/>
      <c r="S1760" s="11" t="str">
        <f t="shared" si="272"/>
        <v>PASS</v>
      </c>
    </row>
    <row r="1761" spans="1:19" x14ac:dyDescent="0.25">
      <c r="A1761" s="30" t="s">
        <v>99</v>
      </c>
      <c r="B1761" s="31">
        <f t="shared" si="264"/>
        <v>51806</v>
      </c>
      <c r="C1761" s="30">
        <f>YEAR(BInputReservoir[[#This Row],[Date]])</f>
        <v>2041</v>
      </c>
      <c r="D1761" s="30">
        <f>MONTH(BInputReservoir[[#This Row],[Date]])</f>
        <v>11</v>
      </c>
      <c r="E1761" s="30"/>
      <c r="F1761" s="30" t="str">
        <f>STORAGE_BALANCE_ENSEMBLE!CN318</f>
        <v/>
      </c>
      <c r="G1761" s="30" t="str">
        <f>STORAGE_BALANCE_ENSEMBLE!CO318</f>
        <v/>
      </c>
      <c r="H1761" s="30"/>
      <c r="I1761" s="18" t="str">
        <f t="shared" si="263"/>
        <v/>
      </c>
      <c r="J1761" s="8" t="str">
        <f t="shared" si="265"/>
        <v/>
      </c>
      <c r="K1761" s="9" t="str">
        <f t="shared" si="266"/>
        <v/>
      </c>
      <c r="L1761" s="10" t="str">
        <f t="shared" si="267"/>
        <v/>
      </c>
      <c r="M1761" s="10" t="str">
        <f>IF(I1761&lt;&gt;1,"",IF(H1761="","",H1761/CONTROL_PANEL!$B$11))</f>
        <v/>
      </c>
      <c r="N1761" s="9" t="str">
        <f t="shared" si="268"/>
        <v/>
      </c>
      <c r="O1761" s="9" t="str">
        <f t="shared" si="269"/>
        <v/>
      </c>
      <c r="P1761" s="9" t="str">
        <f t="shared" si="270"/>
        <v/>
      </c>
      <c r="Q1761" s="9" t="str">
        <f t="shared" si="271"/>
        <v/>
      </c>
      <c r="R1761" s="11"/>
      <c r="S1761" s="11" t="str">
        <f t="shared" si="272"/>
        <v>PASS</v>
      </c>
    </row>
    <row r="1762" spans="1:19" x14ac:dyDescent="0.25">
      <c r="A1762" s="30" t="s">
        <v>99</v>
      </c>
      <c r="B1762" s="31">
        <f t="shared" si="264"/>
        <v>51836</v>
      </c>
      <c r="C1762" s="30">
        <f>YEAR(BInputReservoir[[#This Row],[Date]])</f>
        <v>2041</v>
      </c>
      <c r="D1762" s="30">
        <f>MONTH(BInputReservoir[[#This Row],[Date]])</f>
        <v>12</v>
      </c>
      <c r="E1762" s="30"/>
      <c r="F1762" s="30" t="str">
        <f>STORAGE_BALANCE_ENSEMBLE!CN319</f>
        <v/>
      </c>
      <c r="G1762" s="30" t="str">
        <f>STORAGE_BALANCE_ENSEMBLE!CO319</f>
        <v/>
      </c>
      <c r="H1762" s="30"/>
      <c r="I1762" s="18" t="str">
        <f t="shared" si="263"/>
        <v/>
      </c>
      <c r="J1762" s="8" t="str">
        <f t="shared" si="265"/>
        <v/>
      </c>
      <c r="K1762" s="9" t="str">
        <f t="shared" si="266"/>
        <v/>
      </c>
      <c r="L1762" s="10" t="str">
        <f t="shared" si="267"/>
        <v/>
      </c>
      <c r="M1762" s="10" t="str">
        <f>IF(I1762&lt;&gt;1,"",IF(H1762="","",H1762/CONTROL_PANEL!$B$11))</f>
        <v/>
      </c>
      <c r="N1762" s="9" t="str">
        <f t="shared" si="268"/>
        <v/>
      </c>
      <c r="O1762" s="9" t="str">
        <f t="shared" si="269"/>
        <v/>
      </c>
      <c r="P1762" s="9" t="str">
        <f t="shared" si="270"/>
        <v/>
      </c>
      <c r="Q1762" s="9" t="str">
        <f t="shared" si="271"/>
        <v/>
      </c>
      <c r="R1762" s="11"/>
      <c r="S1762" s="11" t="str">
        <f t="shared" si="272"/>
        <v>PASS</v>
      </c>
    </row>
    <row r="1763" spans="1:19" x14ac:dyDescent="0.25">
      <c r="A1763" s="30" t="s">
        <v>99</v>
      </c>
      <c r="B1763" s="31">
        <f t="shared" si="264"/>
        <v>51867</v>
      </c>
      <c r="C1763" s="30">
        <f>YEAR(BInputReservoir[[#This Row],[Date]])</f>
        <v>2042</v>
      </c>
      <c r="D1763" s="30">
        <f>MONTH(BInputReservoir[[#This Row],[Date]])</f>
        <v>1</v>
      </c>
      <c r="E1763" s="30"/>
      <c r="F1763" s="30" t="str">
        <f>STORAGE_BALANCE_ENSEMBLE!CN320</f>
        <v/>
      </c>
      <c r="G1763" s="30" t="str">
        <f>STORAGE_BALANCE_ENSEMBLE!CO320</f>
        <v/>
      </c>
      <c r="H1763" s="30"/>
      <c r="I1763" s="18" t="str">
        <f t="shared" si="263"/>
        <v/>
      </c>
      <c r="J1763" s="8" t="str">
        <f t="shared" si="265"/>
        <v/>
      </c>
      <c r="K1763" s="9" t="str">
        <f t="shared" si="266"/>
        <v/>
      </c>
      <c r="L1763" s="10" t="str">
        <f t="shared" si="267"/>
        <v/>
      </c>
      <c r="M1763" s="10" t="str">
        <f>IF(I1763&lt;&gt;1,"",IF(H1763="","",H1763/CONTROL_PANEL!$B$11))</f>
        <v/>
      </c>
      <c r="N1763" s="9" t="str">
        <f t="shared" si="268"/>
        <v/>
      </c>
      <c r="O1763" s="9" t="str">
        <f t="shared" si="269"/>
        <v/>
      </c>
      <c r="P1763" s="9" t="str">
        <f t="shared" si="270"/>
        <v/>
      </c>
      <c r="Q1763" s="9" t="str">
        <f t="shared" si="271"/>
        <v/>
      </c>
      <c r="R1763" s="11"/>
      <c r="S1763" s="11" t="str">
        <f t="shared" si="272"/>
        <v>PASS</v>
      </c>
    </row>
    <row r="1764" spans="1:19" x14ac:dyDescent="0.25">
      <c r="A1764" s="30" t="s">
        <v>99</v>
      </c>
      <c r="B1764" s="31">
        <f t="shared" si="264"/>
        <v>51898</v>
      </c>
      <c r="C1764" s="30">
        <f>YEAR(BInputReservoir[[#This Row],[Date]])</f>
        <v>2042</v>
      </c>
      <c r="D1764" s="30">
        <f>MONTH(BInputReservoir[[#This Row],[Date]])</f>
        <v>2</v>
      </c>
      <c r="E1764" s="30"/>
      <c r="F1764" s="30" t="str">
        <f>STORAGE_BALANCE_ENSEMBLE!CN321</f>
        <v/>
      </c>
      <c r="G1764" s="30" t="str">
        <f>STORAGE_BALANCE_ENSEMBLE!CO321</f>
        <v/>
      </c>
      <c r="H1764" s="30"/>
      <c r="I1764" s="18" t="str">
        <f t="shared" si="263"/>
        <v/>
      </c>
      <c r="J1764" s="8" t="str">
        <f t="shared" si="265"/>
        <v/>
      </c>
      <c r="K1764" s="9" t="str">
        <f t="shared" si="266"/>
        <v/>
      </c>
      <c r="L1764" s="10" t="str">
        <f t="shared" si="267"/>
        <v/>
      </c>
      <c r="M1764" s="10" t="str">
        <f>IF(I1764&lt;&gt;1,"",IF(H1764="","",H1764/CONTROL_PANEL!$B$11))</f>
        <v/>
      </c>
      <c r="N1764" s="9" t="str">
        <f t="shared" si="268"/>
        <v/>
      </c>
      <c r="O1764" s="9" t="str">
        <f t="shared" si="269"/>
        <v/>
      </c>
      <c r="P1764" s="9" t="str">
        <f t="shared" si="270"/>
        <v/>
      </c>
      <c r="Q1764" s="9" t="str">
        <f t="shared" si="271"/>
        <v/>
      </c>
      <c r="R1764" s="11"/>
      <c r="S1764" s="11" t="str">
        <f t="shared" si="272"/>
        <v>PASS</v>
      </c>
    </row>
    <row r="1765" spans="1:19" x14ac:dyDescent="0.25">
      <c r="A1765" s="30" t="s">
        <v>99</v>
      </c>
      <c r="B1765" s="31">
        <f t="shared" si="264"/>
        <v>51926</v>
      </c>
      <c r="C1765" s="30">
        <f>YEAR(BInputReservoir[[#This Row],[Date]])</f>
        <v>2042</v>
      </c>
      <c r="D1765" s="30">
        <f>MONTH(BInputReservoir[[#This Row],[Date]])</f>
        <v>3</v>
      </c>
      <c r="E1765" s="30"/>
      <c r="F1765" s="30" t="str">
        <f>STORAGE_BALANCE_ENSEMBLE!CN322</f>
        <v/>
      </c>
      <c r="G1765" s="30" t="str">
        <f>STORAGE_BALANCE_ENSEMBLE!CO322</f>
        <v/>
      </c>
      <c r="H1765" s="30"/>
      <c r="I1765" s="18" t="str">
        <f t="shared" si="263"/>
        <v/>
      </c>
      <c r="J1765" s="8" t="str">
        <f t="shared" si="265"/>
        <v/>
      </c>
      <c r="K1765" s="9" t="str">
        <f t="shared" si="266"/>
        <v/>
      </c>
      <c r="L1765" s="10" t="str">
        <f t="shared" si="267"/>
        <v/>
      </c>
      <c r="M1765" s="10" t="str">
        <f>IF(I1765&lt;&gt;1,"",IF(H1765="","",H1765/CONTROL_PANEL!$B$11))</f>
        <v/>
      </c>
      <c r="N1765" s="9" t="str">
        <f t="shared" si="268"/>
        <v/>
      </c>
      <c r="O1765" s="9" t="str">
        <f t="shared" si="269"/>
        <v/>
      </c>
      <c r="P1765" s="9" t="str">
        <f t="shared" si="270"/>
        <v/>
      </c>
      <c r="Q1765" s="9" t="str">
        <f t="shared" si="271"/>
        <v/>
      </c>
      <c r="R1765" s="11"/>
      <c r="S1765" s="11" t="str">
        <f t="shared" si="272"/>
        <v>PASS</v>
      </c>
    </row>
    <row r="1766" spans="1:19" x14ac:dyDescent="0.25">
      <c r="A1766" s="30" t="s">
        <v>99</v>
      </c>
      <c r="B1766" s="31">
        <f t="shared" si="264"/>
        <v>51957</v>
      </c>
      <c r="C1766" s="30">
        <f>YEAR(BInputReservoir[[#This Row],[Date]])</f>
        <v>2042</v>
      </c>
      <c r="D1766" s="30">
        <f>MONTH(BInputReservoir[[#This Row],[Date]])</f>
        <v>4</v>
      </c>
      <c r="E1766" s="30"/>
      <c r="F1766" s="30" t="str">
        <f>STORAGE_BALANCE_ENSEMBLE!CN323</f>
        <v/>
      </c>
      <c r="G1766" s="30" t="str">
        <f>STORAGE_BALANCE_ENSEMBLE!CO323</f>
        <v/>
      </c>
      <c r="H1766" s="30"/>
      <c r="I1766" s="18" t="str">
        <f t="shared" si="263"/>
        <v/>
      </c>
      <c r="J1766" s="8" t="str">
        <f t="shared" si="265"/>
        <v/>
      </c>
      <c r="K1766" s="9" t="str">
        <f t="shared" si="266"/>
        <v/>
      </c>
      <c r="L1766" s="10" t="str">
        <f t="shared" si="267"/>
        <v/>
      </c>
      <c r="M1766" s="10" t="str">
        <f>IF(I1766&lt;&gt;1,"",IF(H1766="","",H1766/CONTROL_PANEL!$B$11))</f>
        <v/>
      </c>
      <c r="N1766" s="9" t="str">
        <f t="shared" si="268"/>
        <v/>
      </c>
      <c r="O1766" s="9" t="str">
        <f t="shared" si="269"/>
        <v/>
      </c>
      <c r="P1766" s="9" t="str">
        <f t="shared" si="270"/>
        <v/>
      </c>
      <c r="Q1766" s="9" t="str">
        <f t="shared" si="271"/>
        <v/>
      </c>
      <c r="R1766" s="11"/>
      <c r="S1766" s="11" t="str">
        <f t="shared" si="272"/>
        <v>PASS</v>
      </c>
    </row>
    <row r="1767" spans="1:19" x14ac:dyDescent="0.25">
      <c r="A1767" s="30" t="s">
        <v>99</v>
      </c>
      <c r="B1767" s="31">
        <f t="shared" si="264"/>
        <v>51987</v>
      </c>
      <c r="C1767" s="30">
        <f>YEAR(BInputReservoir[[#This Row],[Date]])</f>
        <v>2042</v>
      </c>
      <c r="D1767" s="30">
        <f>MONTH(BInputReservoir[[#This Row],[Date]])</f>
        <v>5</v>
      </c>
      <c r="E1767" s="30"/>
      <c r="F1767" s="30" t="str">
        <f>STORAGE_BALANCE_ENSEMBLE!CN324</f>
        <v/>
      </c>
      <c r="G1767" s="30" t="str">
        <f>STORAGE_BALANCE_ENSEMBLE!CO324</f>
        <v/>
      </c>
      <c r="H1767" s="30"/>
      <c r="I1767" s="18" t="str">
        <f t="shared" si="263"/>
        <v/>
      </c>
      <c r="J1767" s="8" t="str">
        <f t="shared" si="265"/>
        <v/>
      </c>
      <c r="K1767" s="9" t="str">
        <f t="shared" si="266"/>
        <v/>
      </c>
      <c r="L1767" s="10" t="str">
        <f t="shared" si="267"/>
        <v/>
      </c>
      <c r="M1767" s="10" t="str">
        <f>IF(I1767&lt;&gt;1,"",IF(H1767="","",H1767/CONTROL_PANEL!$B$11))</f>
        <v/>
      </c>
      <c r="N1767" s="9" t="str">
        <f t="shared" si="268"/>
        <v/>
      </c>
      <c r="O1767" s="9" t="str">
        <f t="shared" si="269"/>
        <v/>
      </c>
      <c r="P1767" s="9" t="str">
        <f t="shared" si="270"/>
        <v/>
      </c>
      <c r="Q1767" s="9" t="str">
        <f t="shared" si="271"/>
        <v/>
      </c>
      <c r="R1767" s="11"/>
      <c r="S1767" s="11" t="str">
        <f t="shared" si="272"/>
        <v>PASS</v>
      </c>
    </row>
    <row r="1768" spans="1:19" x14ac:dyDescent="0.25">
      <c r="A1768" s="30" t="s">
        <v>99</v>
      </c>
      <c r="B1768" s="31">
        <f t="shared" si="264"/>
        <v>52018</v>
      </c>
      <c r="C1768" s="30">
        <f>YEAR(BInputReservoir[[#This Row],[Date]])</f>
        <v>2042</v>
      </c>
      <c r="D1768" s="30">
        <f>MONTH(BInputReservoir[[#This Row],[Date]])</f>
        <v>6</v>
      </c>
      <c r="E1768" s="30"/>
      <c r="F1768" s="30" t="str">
        <f>STORAGE_BALANCE_ENSEMBLE!CN325</f>
        <v/>
      </c>
      <c r="G1768" s="30" t="str">
        <f>STORAGE_BALANCE_ENSEMBLE!CO325</f>
        <v/>
      </c>
      <c r="H1768" s="30"/>
      <c r="I1768" s="18" t="str">
        <f t="shared" si="263"/>
        <v/>
      </c>
      <c r="J1768" s="8" t="str">
        <f t="shared" si="265"/>
        <v/>
      </c>
      <c r="K1768" s="9" t="str">
        <f t="shared" si="266"/>
        <v/>
      </c>
      <c r="L1768" s="10" t="str">
        <f t="shared" si="267"/>
        <v/>
      </c>
      <c r="M1768" s="10" t="str">
        <f>IF(I1768&lt;&gt;1,"",IF(H1768="","",H1768/CONTROL_PANEL!$B$11))</f>
        <v/>
      </c>
      <c r="N1768" s="9" t="str">
        <f t="shared" si="268"/>
        <v/>
      </c>
      <c r="O1768" s="9" t="str">
        <f t="shared" si="269"/>
        <v/>
      </c>
      <c r="P1768" s="9" t="str">
        <f t="shared" si="270"/>
        <v/>
      </c>
      <c r="Q1768" s="9" t="str">
        <f t="shared" si="271"/>
        <v/>
      </c>
      <c r="R1768" s="11"/>
      <c r="S1768" s="11" t="str">
        <f t="shared" si="272"/>
        <v>PASS</v>
      </c>
    </row>
    <row r="1769" spans="1:19" x14ac:dyDescent="0.25">
      <c r="A1769" s="30" t="s">
        <v>99</v>
      </c>
      <c r="B1769" s="31">
        <f t="shared" si="264"/>
        <v>52048</v>
      </c>
      <c r="C1769" s="30">
        <f>YEAR(BInputReservoir[[#This Row],[Date]])</f>
        <v>2042</v>
      </c>
      <c r="D1769" s="30">
        <f>MONTH(BInputReservoir[[#This Row],[Date]])</f>
        <v>7</v>
      </c>
      <c r="E1769" s="30"/>
      <c r="F1769" s="30" t="str">
        <f>STORAGE_BALANCE_ENSEMBLE!CN326</f>
        <v/>
      </c>
      <c r="G1769" s="30" t="str">
        <f>STORAGE_BALANCE_ENSEMBLE!CO326</f>
        <v/>
      </c>
      <c r="H1769" s="30"/>
      <c r="I1769" s="18" t="str">
        <f t="shared" ref="I1769:I1807" si="273">I325</f>
        <v/>
      </c>
      <c r="J1769" s="8" t="str">
        <f t="shared" si="265"/>
        <v/>
      </c>
      <c r="K1769" s="9" t="str">
        <f t="shared" si="266"/>
        <v/>
      </c>
      <c r="L1769" s="10" t="str">
        <f t="shared" si="267"/>
        <v/>
      </c>
      <c r="M1769" s="10" t="str">
        <f>IF(I1769&lt;&gt;1,"",IF(H1769="","",H1769/CONTROL_PANEL!$B$11))</f>
        <v/>
      </c>
      <c r="N1769" s="9" t="str">
        <f t="shared" si="268"/>
        <v/>
      </c>
      <c r="O1769" s="9" t="str">
        <f t="shared" si="269"/>
        <v/>
      </c>
      <c r="P1769" s="9" t="str">
        <f t="shared" si="270"/>
        <v/>
      </c>
      <c r="Q1769" s="9" t="str">
        <f t="shared" si="271"/>
        <v/>
      </c>
      <c r="R1769" s="11"/>
      <c r="S1769" s="11" t="str">
        <f t="shared" si="272"/>
        <v>PASS</v>
      </c>
    </row>
    <row r="1770" spans="1:19" x14ac:dyDescent="0.25">
      <c r="A1770" s="30" t="s">
        <v>99</v>
      </c>
      <c r="B1770" s="31">
        <f t="shared" si="264"/>
        <v>52079</v>
      </c>
      <c r="C1770" s="30">
        <f>YEAR(BInputReservoir[[#This Row],[Date]])</f>
        <v>2042</v>
      </c>
      <c r="D1770" s="30">
        <f>MONTH(BInputReservoir[[#This Row],[Date]])</f>
        <v>8</v>
      </c>
      <c r="E1770" s="30"/>
      <c r="F1770" s="30" t="str">
        <f>STORAGE_BALANCE_ENSEMBLE!CN327</f>
        <v/>
      </c>
      <c r="G1770" s="30" t="str">
        <f>STORAGE_BALANCE_ENSEMBLE!CO327</f>
        <v/>
      </c>
      <c r="H1770" s="30"/>
      <c r="I1770" s="18" t="str">
        <f t="shared" si="273"/>
        <v/>
      </c>
      <c r="J1770" s="8" t="str">
        <f t="shared" si="265"/>
        <v/>
      </c>
      <c r="K1770" s="9" t="str">
        <f t="shared" si="266"/>
        <v/>
      </c>
      <c r="L1770" s="10" t="str">
        <f t="shared" si="267"/>
        <v/>
      </c>
      <c r="M1770" s="10" t="str">
        <f>IF(I1770&lt;&gt;1,"",IF(H1770="","",H1770/CONTROL_PANEL!$B$11))</f>
        <v/>
      </c>
      <c r="N1770" s="9" t="str">
        <f t="shared" si="268"/>
        <v/>
      </c>
      <c r="O1770" s="9" t="str">
        <f t="shared" si="269"/>
        <v/>
      </c>
      <c r="P1770" s="9" t="str">
        <f t="shared" si="270"/>
        <v/>
      </c>
      <c r="Q1770" s="9" t="str">
        <f t="shared" si="271"/>
        <v/>
      </c>
      <c r="R1770" s="11"/>
      <c r="S1770" s="11" t="str">
        <f t="shared" si="272"/>
        <v>PASS</v>
      </c>
    </row>
    <row r="1771" spans="1:19" x14ac:dyDescent="0.25">
      <c r="A1771" s="30" t="s">
        <v>99</v>
      </c>
      <c r="B1771" s="31">
        <f t="shared" si="264"/>
        <v>52110</v>
      </c>
      <c r="C1771" s="30">
        <f>YEAR(BInputReservoir[[#This Row],[Date]])</f>
        <v>2042</v>
      </c>
      <c r="D1771" s="30">
        <f>MONTH(BInputReservoir[[#This Row],[Date]])</f>
        <v>9</v>
      </c>
      <c r="E1771" s="30"/>
      <c r="F1771" s="30" t="str">
        <f>STORAGE_BALANCE_ENSEMBLE!CN328</f>
        <v/>
      </c>
      <c r="G1771" s="30" t="str">
        <f>STORAGE_BALANCE_ENSEMBLE!CO328</f>
        <v/>
      </c>
      <c r="H1771" s="30"/>
      <c r="I1771" s="18" t="str">
        <f t="shared" si="273"/>
        <v/>
      </c>
      <c r="J1771" s="8" t="str">
        <f t="shared" si="265"/>
        <v/>
      </c>
      <c r="K1771" s="9" t="str">
        <f t="shared" si="266"/>
        <v/>
      </c>
      <c r="L1771" s="10" t="str">
        <f t="shared" si="267"/>
        <v/>
      </c>
      <c r="M1771" s="10" t="str">
        <f>IF(I1771&lt;&gt;1,"",IF(H1771="","",H1771/CONTROL_PANEL!$B$11))</f>
        <v/>
      </c>
      <c r="N1771" s="9" t="str">
        <f t="shared" si="268"/>
        <v/>
      </c>
      <c r="O1771" s="9" t="str">
        <f t="shared" si="269"/>
        <v/>
      </c>
      <c r="P1771" s="9" t="str">
        <f t="shared" si="270"/>
        <v/>
      </c>
      <c r="Q1771" s="9" t="str">
        <f t="shared" si="271"/>
        <v/>
      </c>
      <c r="R1771" s="11"/>
      <c r="S1771" s="11" t="str">
        <f t="shared" si="272"/>
        <v>PASS</v>
      </c>
    </row>
    <row r="1772" spans="1:19" x14ac:dyDescent="0.25">
      <c r="A1772" s="30" t="s">
        <v>99</v>
      </c>
      <c r="B1772" s="31">
        <f t="shared" si="264"/>
        <v>52140</v>
      </c>
      <c r="C1772" s="30">
        <f>YEAR(BInputReservoir[[#This Row],[Date]])</f>
        <v>2042</v>
      </c>
      <c r="D1772" s="30">
        <f>MONTH(BInputReservoir[[#This Row],[Date]])</f>
        <v>10</v>
      </c>
      <c r="E1772" s="30"/>
      <c r="F1772" s="30" t="str">
        <f>STORAGE_BALANCE_ENSEMBLE!CN329</f>
        <v/>
      </c>
      <c r="G1772" s="30" t="str">
        <f>STORAGE_BALANCE_ENSEMBLE!CO329</f>
        <v/>
      </c>
      <c r="H1772" s="30"/>
      <c r="I1772" s="18" t="str">
        <f t="shared" si="273"/>
        <v/>
      </c>
      <c r="J1772" s="8" t="str">
        <f t="shared" si="265"/>
        <v/>
      </c>
      <c r="K1772" s="9" t="str">
        <f t="shared" si="266"/>
        <v/>
      </c>
      <c r="L1772" s="10" t="str">
        <f t="shared" si="267"/>
        <v/>
      </c>
      <c r="M1772" s="10" t="str">
        <f>IF(I1772&lt;&gt;1,"",IF(H1772="","",H1772/CONTROL_PANEL!$B$11))</f>
        <v/>
      </c>
      <c r="N1772" s="9" t="str">
        <f t="shared" si="268"/>
        <v/>
      </c>
      <c r="O1772" s="9" t="str">
        <f t="shared" si="269"/>
        <v/>
      </c>
      <c r="P1772" s="9" t="str">
        <f t="shared" si="270"/>
        <v/>
      </c>
      <c r="Q1772" s="9" t="str">
        <f t="shared" si="271"/>
        <v/>
      </c>
      <c r="R1772" s="11"/>
      <c r="S1772" s="11" t="str">
        <f t="shared" si="272"/>
        <v>PASS</v>
      </c>
    </row>
    <row r="1773" spans="1:19" x14ac:dyDescent="0.25">
      <c r="A1773" s="30" t="s">
        <v>99</v>
      </c>
      <c r="B1773" s="31">
        <f t="shared" si="264"/>
        <v>52171</v>
      </c>
      <c r="C1773" s="30">
        <f>YEAR(BInputReservoir[[#This Row],[Date]])</f>
        <v>2042</v>
      </c>
      <c r="D1773" s="30">
        <f>MONTH(BInputReservoir[[#This Row],[Date]])</f>
        <v>11</v>
      </c>
      <c r="E1773" s="30"/>
      <c r="F1773" s="30" t="str">
        <f>STORAGE_BALANCE_ENSEMBLE!CN330</f>
        <v/>
      </c>
      <c r="G1773" s="30" t="str">
        <f>STORAGE_BALANCE_ENSEMBLE!CO330</f>
        <v/>
      </c>
      <c r="H1773" s="30"/>
      <c r="I1773" s="18" t="str">
        <f t="shared" si="273"/>
        <v/>
      </c>
      <c r="J1773" s="8" t="str">
        <f t="shared" si="265"/>
        <v/>
      </c>
      <c r="K1773" s="9" t="str">
        <f t="shared" si="266"/>
        <v/>
      </c>
      <c r="L1773" s="10" t="str">
        <f t="shared" si="267"/>
        <v/>
      </c>
      <c r="M1773" s="10" t="str">
        <f>IF(I1773&lt;&gt;1,"",IF(H1773="","",H1773/CONTROL_PANEL!$B$11))</f>
        <v/>
      </c>
      <c r="N1773" s="9" t="str">
        <f t="shared" si="268"/>
        <v/>
      </c>
      <c r="O1773" s="9" t="str">
        <f t="shared" si="269"/>
        <v/>
      </c>
      <c r="P1773" s="9" t="str">
        <f t="shared" si="270"/>
        <v/>
      </c>
      <c r="Q1773" s="9" t="str">
        <f t="shared" si="271"/>
        <v/>
      </c>
      <c r="R1773" s="11"/>
      <c r="S1773" s="11" t="str">
        <f t="shared" si="272"/>
        <v>PASS</v>
      </c>
    </row>
    <row r="1774" spans="1:19" x14ac:dyDescent="0.25">
      <c r="A1774" s="30" t="s">
        <v>99</v>
      </c>
      <c r="B1774" s="31">
        <f t="shared" si="264"/>
        <v>52201</v>
      </c>
      <c r="C1774" s="30">
        <f>YEAR(BInputReservoir[[#This Row],[Date]])</f>
        <v>2042</v>
      </c>
      <c r="D1774" s="30">
        <f>MONTH(BInputReservoir[[#This Row],[Date]])</f>
        <v>12</v>
      </c>
      <c r="E1774" s="30"/>
      <c r="F1774" s="30" t="str">
        <f>STORAGE_BALANCE_ENSEMBLE!CN331</f>
        <v/>
      </c>
      <c r="G1774" s="30" t="str">
        <f>STORAGE_BALANCE_ENSEMBLE!CO331</f>
        <v/>
      </c>
      <c r="H1774" s="30"/>
      <c r="I1774" s="18" t="str">
        <f t="shared" si="273"/>
        <v/>
      </c>
      <c r="J1774" s="8" t="str">
        <f t="shared" si="265"/>
        <v/>
      </c>
      <c r="K1774" s="9" t="str">
        <f t="shared" si="266"/>
        <v/>
      </c>
      <c r="L1774" s="10" t="str">
        <f t="shared" si="267"/>
        <v/>
      </c>
      <c r="M1774" s="10" t="str">
        <f>IF(I1774&lt;&gt;1,"",IF(H1774="","",H1774/CONTROL_PANEL!$B$11))</f>
        <v/>
      </c>
      <c r="N1774" s="9" t="str">
        <f t="shared" si="268"/>
        <v/>
      </c>
      <c r="O1774" s="9" t="str">
        <f t="shared" si="269"/>
        <v/>
      </c>
      <c r="P1774" s="9" t="str">
        <f t="shared" si="270"/>
        <v/>
      </c>
      <c r="Q1774" s="9" t="str">
        <f t="shared" si="271"/>
        <v/>
      </c>
      <c r="R1774" s="11"/>
      <c r="S1774" s="11" t="str">
        <f t="shared" si="272"/>
        <v>PASS</v>
      </c>
    </row>
    <row r="1775" spans="1:19" x14ac:dyDescent="0.25">
      <c r="A1775" s="30" t="s">
        <v>99</v>
      </c>
      <c r="B1775" s="31">
        <f t="shared" si="264"/>
        <v>52232</v>
      </c>
      <c r="C1775" s="30">
        <f>YEAR(BInputReservoir[[#This Row],[Date]])</f>
        <v>2043</v>
      </c>
      <c r="D1775" s="30">
        <f>MONTH(BInputReservoir[[#This Row],[Date]])</f>
        <v>1</v>
      </c>
      <c r="E1775" s="30"/>
      <c r="F1775" s="30" t="str">
        <f>STORAGE_BALANCE_ENSEMBLE!CN332</f>
        <v/>
      </c>
      <c r="G1775" s="30" t="str">
        <f>STORAGE_BALANCE_ENSEMBLE!CO332</f>
        <v/>
      </c>
      <c r="H1775" s="30"/>
      <c r="I1775" s="18" t="str">
        <f t="shared" si="273"/>
        <v/>
      </c>
      <c r="J1775" s="8" t="str">
        <f t="shared" si="265"/>
        <v/>
      </c>
      <c r="K1775" s="9" t="str">
        <f t="shared" si="266"/>
        <v/>
      </c>
      <c r="L1775" s="10" t="str">
        <f t="shared" si="267"/>
        <v/>
      </c>
      <c r="M1775" s="10" t="str">
        <f>IF(I1775&lt;&gt;1,"",IF(H1775="","",H1775/CONTROL_PANEL!$B$11))</f>
        <v/>
      </c>
      <c r="N1775" s="9" t="str">
        <f t="shared" si="268"/>
        <v/>
      </c>
      <c r="O1775" s="9" t="str">
        <f t="shared" si="269"/>
        <v/>
      </c>
      <c r="P1775" s="9" t="str">
        <f t="shared" si="270"/>
        <v/>
      </c>
      <c r="Q1775" s="9" t="str">
        <f t="shared" si="271"/>
        <v/>
      </c>
      <c r="R1775" s="11"/>
      <c r="S1775" s="11" t="str">
        <f t="shared" si="272"/>
        <v>PASS</v>
      </c>
    </row>
    <row r="1776" spans="1:19" x14ac:dyDescent="0.25">
      <c r="A1776" s="30" t="s">
        <v>99</v>
      </c>
      <c r="B1776" s="31">
        <f t="shared" si="264"/>
        <v>52263</v>
      </c>
      <c r="C1776" s="30">
        <f>YEAR(BInputReservoir[[#This Row],[Date]])</f>
        <v>2043</v>
      </c>
      <c r="D1776" s="30">
        <f>MONTH(BInputReservoir[[#This Row],[Date]])</f>
        <v>2</v>
      </c>
      <c r="E1776" s="30"/>
      <c r="F1776" s="30" t="str">
        <f>STORAGE_BALANCE_ENSEMBLE!CN333</f>
        <v/>
      </c>
      <c r="G1776" s="30" t="str">
        <f>STORAGE_BALANCE_ENSEMBLE!CO333</f>
        <v/>
      </c>
      <c r="H1776" s="30"/>
      <c r="I1776" s="18" t="str">
        <f t="shared" si="273"/>
        <v/>
      </c>
      <c r="J1776" s="8" t="str">
        <f t="shared" si="265"/>
        <v/>
      </c>
      <c r="K1776" s="9" t="str">
        <f t="shared" si="266"/>
        <v/>
      </c>
      <c r="L1776" s="10" t="str">
        <f t="shared" si="267"/>
        <v/>
      </c>
      <c r="M1776" s="10" t="str">
        <f>IF(I1776&lt;&gt;1,"",IF(H1776="","",H1776/CONTROL_PANEL!$B$11))</f>
        <v/>
      </c>
      <c r="N1776" s="9" t="str">
        <f t="shared" si="268"/>
        <v/>
      </c>
      <c r="O1776" s="9" t="str">
        <f t="shared" si="269"/>
        <v/>
      </c>
      <c r="P1776" s="9" t="str">
        <f t="shared" si="270"/>
        <v/>
      </c>
      <c r="Q1776" s="9" t="str">
        <f t="shared" si="271"/>
        <v/>
      </c>
      <c r="R1776" s="11"/>
      <c r="S1776" s="11" t="str">
        <f t="shared" si="272"/>
        <v>PASS</v>
      </c>
    </row>
    <row r="1777" spans="1:19" x14ac:dyDescent="0.25">
      <c r="A1777" s="30" t="s">
        <v>99</v>
      </c>
      <c r="B1777" s="31">
        <f t="shared" si="264"/>
        <v>52291</v>
      </c>
      <c r="C1777" s="30">
        <f>YEAR(BInputReservoir[[#This Row],[Date]])</f>
        <v>2043</v>
      </c>
      <c r="D1777" s="30">
        <f>MONTH(BInputReservoir[[#This Row],[Date]])</f>
        <v>3</v>
      </c>
      <c r="E1777" s="30"/>
      <c r="F1777" s="30" t="str">
        <f>STORAGE_BALANCE_ENSEMBLE!CN334</f>
        <v/>
      </c>
      <c r="G1777" s="30" t="str">
        <f>STORAGE_BALANCE_ENSEMBLE!CO334</f>
        <v/>
      </c>
      <c r="H1777" s="30"/>
      <c r="I1777" s="18" t="str">
        <f t="shared" si="273"/>
        <v/>
      </c>
      <c r="J1777" s="8" t="str">
        <f t="shared" si="265"/>
        <v/>
      </c>
      <c r="K1777" s="9" t="str">
        <f t="shared" si="266"/>
        <v/>
      </c>
      <c r="L1777" s="10" t="str">
        <f t="shared" si="267"/>
        <v/>
      </c>
      <c r="M1777" s="10" t="str">
        <f>IF(I1777&lt;&gt;1,"",IF(H1777="","",H1777/CONTROL_PANEL!$B$11))</f>
        <v/>
      </c>
      <c r="N1777" s="9" t="str">
        <f t="shared" si="268"/>
        <v/>
      </c>
      <c r="O1777" s="9" t="str">
        <f t="shared" si="269"/>
        <v/>
      </c>
      <c r="P1777" s="9" t="str">
        <f t="shared" si="270"/>
        <v/>
      </c>
      <c r="Q1777" s="9" t="str">
        <f t="shared" si="271"/>
        <v/>
      </c>
      <c r="R1777" s="11"/>
      <c r="S1777" s="11" t="str">
        <f t="shared" si="272"/>
        <v>PASS</v>
      </c>
    </row>
    <row r="1778" spans="1:19" x14ac:dyDescent="0.25">
      <c r="A1778" s="30" t="s">
        <v>99</v>
      </c>
      <c r="B1778" s="31">
        <f t="shared" si="264"/>
        <v>52322</v>
      </c>
      <c r="C1778" s="30">
        <f>YEAR(BInputReservoir[[#This Row],[Date]])</f>
        <v>2043</v>
      </c>
      <c r="D1778" s="30">
        <f>MONTH(BInputReservoir[[#This Row],[Date]])</f>
        <v>4</v>
      </c>
      <c r="E1778" s="30"/>
      <c r="F1778" s="30" t="str">
        <f>STORAGE_BALANCE_ENSEMBLE!CN335</f>
        <v/>
      </c>
      <c r="G1778" s="30" t="str">
        <f>STORAGE_BALANCE_ENSEMBLE!CO335</f>
        <v/>
      </c>
      <c r="H1778" s="30"/>
      <c r="I1778" s="18" t="str">
        <f t="shared" si="273"/>
        <v/>
      </c>
      <c r="J1778" s="8" t="str">
        <f t="shared" si="265"/>
        <v/>
      </c>
      <c r="K1778" s="9" t="str">
        <f t="shared" si="266"/>
        <v/>
      </c>
      <c r="L1778" s="10" t="str">
        <f t="shared" si="267"/>
        <v/>
      </c>
      <c r="M1778" s="10" t="str">
        <f>IF(I1778&lt;&gt;1,"",IF(H1778="","",H1778/CONTROL_PANEL!$B$11))</f>
        <v/>
      </c>
      <c r="N1778" s="9" t="str">
        <f t="shared" si="268"/>
        <v/>
      </c>
      <c r="O1778" s="9" t="str">
        <f t="shared" si="269"/>
        <v/>
      </c>
      <c r="P1778" s="9" t="str">
        <f t="shared" si="270"/>
        <v/>
      </c>
      <c r="Q1778" s="9" t="str">
        <f t="shared" si="271"/>
        <v/>
      </c>
      <c r="R1778" s="11"/>
      <c r="S1778" s="11" t="str">
        <f t="shared" si="272"/>
        <v>PASS</v>
      </c>
    </row>
    <row r="1779" spans="1:19" x14ac:dyDescent="0.25">
      <c r="A1779" s="30" t="s">
        <v>99</v>
      </c>
      <c r="B1779" s="31">
        <f t="shared" si="264"/>
        <v>52352</v>
      </c>
      <c r="C1779" s="30">
        <f>YEAR(BInputReservoir[[#This Row],[Date]])</f>
        <v>2043</v>
      </c>
      <c r="D1779" s="30">
        <f>MONTH(BInputReservoir[[#This Row],[Date]])</f>
        <v>5</v>
      </c>
      <c r="E1779" s="30"/>
      <c r="F1779" s="30" t="str">
        <f>STORAGE_BALANCE_ENSEMBLE!CN336</f>
        <v/>
      </c>
      <c r="G1779" s="30" t="str">
        <f>STORAGE_BALANCE_ENSEMBLE!CO336</f>
        <v/>
      </c>
      <c r="H1779" s="30"/>
      <c r="I1779" s="18" t="str">
        <f t="shared" si="273"/>
        <v/>
      </c>
      <c r="J1779" s="8" t="str">
        <f t="shared" si="265"/>
        <v/>
      </c>
      <c r="K1779" s="9" t="str">
        <f t="shared" si="266"/>
        <v/>
      </c>
      <c r="L1779" s="10" t="str">
        <f t="shared" si="267"/>
        <v/>
      </c>
      <c r="M1779" s="10" t="str">
        <f>IF(I1779&lt;&gt;1,"",IF(H1779="","",H1779/CONTROL_PANEL!$B$11))</f>
        <v/>
      </c>
      <c r="N1779" s="9" t="str">
        <f t="shared" si="268"/>
        <v/>
      </c>
      <c r="O1779" s="9" t="str">
        <f t="shared" si="269"/>
        <v/>
      </c>
      <c r="P1779" s="9" t="str">
        <f t="shared" si="270"/>
        <v/>
      </c>
      <c r="Q1779" s="9" t="str">
        <f t="shared" si="271"/>
        <v/>
      </c>
      <c r="R1779" s="11"/>
      <c r="S1779" s="11" t="str">
        <f t="shared" si="272"/>
        <v>PASS</v>
      </c>
    </row>
    <row r="1780" spans="1:19" x14ac:dyDescent="0.25">
      <c r="A1780" s="30" t="s">
        <v>99</v>
      </c>
      <c r="B1780" s="31">
        <f t="shared" si="264"/>
        <v>52383</v>
      </c>
      <c r="C1780" s="30">
        <f>YEAR(BInputReservoir[[#This Row],[Date]])</f>
        <v>2043</v>
      </c>
      <c r="D1780" s="30">
        <f>MONTH(BInputReservoir[[#This Row],[Date]])</f>
        <v>6</v>
      </c>
      <c r="E1780" s="30"/>
      <c r="F1780" s="30" t="str">
        <f>STORAGE_BALANCE_ENSEMBLE!CN337</f>
        <v/>
      </c>
      <c r="G1780" s="30" t="str">
        <f>STORAGE_BALANCE_ENSEMBLE!CO337</f>
        <v/>
      </c>
      <c r="H1780" s="30"/>
      <c r="I1780" s="18" t="str">
        <f t="shared" si="273"/>
        <v/>
      </c>
      <c r="J1780" s="8" t="str">
        <f t="shared" si="265"/>
        <v/>
      </c>
      <c r="K1780" s="9" t="str">
        <f t="shared" si="266"/>
        <v/>
      </c>
      <c r="L1780" s="10" t="str">
        <f t="shared" si="267"/>
        <v/>
      </c>
      <c r="M1780" s="10" t="str">
        <f>IF(I1780&lt;&gt;1,"",IF(H1780="","",H1780/CONTROL_PANEL!$B$11))</f>
        <v/>
      </c>
      <c r="N1780" s="9" t="str">
        <f t="shared" si="268"/>
        <v/>
      </c>
      <c r="O1780" s="9" t="str">
        <f t="shared" si="269"/>
        <v/>
      </c>
      <c r="P1780" s="9" t="str">
        <f t="shared" si="270"/>
        <v/>
      </c>
      <c r="Q1780" s="9" t="str">
        <f t="shared" si="271"/>
        <v/>
      </c>
      <c r="R1780" s="11"/>
      <c r="S1780" s="11" t="str">
        <f t="shared" si="272"/>
        <v>PASS</v>
      </c>
    </row>
    <row r="1781" spans="1:19" x14ac:dyDescent="0.25">
      <c r="A1781" s="30" t="s">
        <v>99</v>
      </c>
      <c r="B1781" s="31">
        <f t="shared" si="264"/>
        <v>52413</v>
      </c>
      <c r="C1781" s="30">
        <f>YEAR(BInputReservoir[[#This Row],[Date]])</f>
        <v>2043</v>
      </c>
      <c r="D1781" s="30">
        <f>MONTH(BInputReservoir[[#This Row],[Date]])</f>
        <v>7</v>
      </c>
      <c r="E1781" s="30"/>
      <c r="F1781" s="30" t="str">
        <f>STORAGE_BALANCE_ENSEMBLE!CN338</f>
        <v/>
      </c>
      <c r="G1781" s="30" t="str">
        <f>STORAGE_BALANCE_ENSEMBLE!CO338</f>
        <v/>
      </c>
      <c r="H1781" s="30"/>
      <c r="I1781" s="18" t="str">
        <f t="shared" si="273"/>
        <v/>
      </c>
      <c r="J1781" s="8" t="str">
        <f t="shared" si="265"/>
        <v/>
      </c>
      <c r="K1781" s="9" t="str">
        <f t="shared" si="266"/>
        <v/>
      </c>
      <c r="L1781" s="10" t="str">
        <f t="shared" si="267"/>
        <v/>
      </c>
      <c r="M1781" s="10" t="str">
        <f>IF(I1781&lt;&gt;1,"",IF(H1781="","",H1781/CONTROL_PANEL!$B$11))</f>
        <v/>
      </c>
      <c r="N1781" s="9" t="str">
        <f t="shared" si="268"/>
        <v/>
      </c>
      <c r="O1781" s="9" t="str">
        <f t="shared" si="269"/>
        <v/>
      </c>
      <c r="P1781" s="9" t="str">
        <f t="shared" si="270"/>
        <v/>
      </c>
      <c r="Q1781" s="9" t="str">
        <f t="shared" si="271"/>
        <v/>
      </c>
      <c r="R1781" s="11"/>
      <c r="S1781" s="11" t="str">
        <f t="shared" si="272"/>
        <v>PASS</v>
      </c>
    </row>
    <row r="1782" spans="1:19" x14ac:dyDescent="0.25">
      <c r="A1782" s="30" t="s">
        <v>99</v>
      </c>
      <c r="B1782" s="31">
        <f t="shared" si="264"/>
        <v>52444</v>
      </c>
      <c r="C1782" s="30">
        <f>YEAR(BInputReservoir[[#This Row],[Date]])</f>
        <v>2043</v>
      </c>
      <c r="D1782" s="30">
        <f>MONTH(BInputReservoir[[#This Row],[Date]])</f>
        <v>8</v>
      </c>
      <c r="E1782" s="30"/>
      <c r="F1782" s="30" t="str">
        <f>STORAGE_BALANCE_ENSEMBLE!CN339</f>
        <v/>
      </c>
      <c r="G1782" s="30" t="str">
        <f>STORAGE_BALANCE_ENSEMBLE!CO339</f>
        <v/>
      </c>
      <c r="H1782" s="30"/>
      <c r="I1782" s="18" t="str">
        <f t="shared" si="273"/>
        <v/>
      </c>
      <c r="J1782" s="8" t="str">
        <f t="shared" si="265"/>
        <v/>
      </c>
      <c r="K1782" s="9" t="str">
        <f t="shared" si="266"/>
        <v/>
      </c>
      <c r="L1782" s="10" t="str">
        <f t="shared" si="267"/>
        <v/>
      </c>
      <c r="M1782" s="10" t="str">
        <f>IF(I1782&lt;&gt;1,"",IF(H1782="","",H1782/CONTROL_PANEL!$B$11))</f>
        <v/>
      </c>
      <c r="N1782" s="9" t="str">
        <f t="shared" si="268"/>
        <v/>
      </c>
      <c r="O1782" s="9" t="str">
        <f t="shared" si="269"/>
        <v/>
      </c>
      <c r="P1782" s="9" t="str">
        <f t="shared" si="270"/>
        <v/>
      </c>
      <c r="Q1782" s="9" t="str">
        <f t="shared" si="271"/>
        <v/>
      </c>
      <c r="R1782" s="11"/>
      <c r="S1782" s="11" t="str">
        <f t="shared" si="272"/>
        <v>PASS</v>
      </c>
    </row>
    <row r="1783" spans="1:19" x14ac:dyDescent="0.25">
      <c r="A1783" s="30" t="s">
        <v>99</v>
      </c>
      <c r="B1783" s="31">
        <f t="shared" si="264"/>
        <v>52475</v>
      </c>
      <c r="C1783" s="30">
        <f>YEAR(BInputReservoir[[#This Row],[Date]])</f>
        <v>2043</v>
      </c>
      <c r="D1783" s="30">
        <f>MONTH(BInputReservoir[[#This Row],[Date]])</f>
        <v>9</v>
      </c>
      <c r="E1783" s="30"/>
      <c r="F1783" s="30" t="str">
        <f>STORAGE_BALANCE_ENSEMBLE!CN340</f>
        <v/>
      </c>
      <c r="G1783" s="30" t="str">
        <f>STORAGE_BALANCE_ENSEMBLE!CO340</f>
        <v/>
      </c>
      <c r="H1783" s="30"/>
      <c r="I1783" s="18" t="str">
        <f t="shared" si="273"/>
        <v/>
      </c>
      <c r="J1783" s="8" t="str">
        <f t="shared" si="265"/>
        <v/>
      </c>
      <c r="K1783" s="9" t="str">
        <f t="shared" si="266"/>
        <v/>
      </c>
      <c r="L1783" s="10" t="str">
        <f t="shared" si="267"/>
        <v/>
      </c>
      <c r="M1783" s="10" t="str">
        <f>IF(I1783&lt;&gt;1,"",IF(H1783="","",H1783/CONTROL_PANEL!$B$11))</f>
        <v/>
      </c>
      <c r="N1783" s="9" t="str">
        <f t="shared" si="268"/>
        <v/>
      </c>
      <c r="O1783" s="9" t="str">
        <f t="shared" si="269"/>
        <v/>
      </c>
      <c r="P1783" s="9" t="str">
        <f t="shared" si="270"/>
        <v/>
      </c>
      <c r="Q1783" s="9" t="str">
        <f t="shared" si="271"/>
        <v/>
      </c>
      <c r="R1783" s="11"/>
      <c r="S1783" s="11" t="str">
        <f t="shared" si="272"/>
        <v>PASS</v>
      </c>
    </row>
    <row r="1784" spans="1:19" x14ac:dyDescent="0.25">
      <c r="A1784" s="30" t="s">
        <v>99</v>
      </c>
      <c r="B1784" s="31">
        <f t="shared" si="264"/>
        <v>52505</v>
      </c>
      <c r="C1784" s="30">
        <f>YEAR(BInputReservoir[[#This Row],[Date]])</f>
        <v>2043</v>
      </c>
      <c r="D1784" s="30">
        <f>MONTH(BInputReservoir[[#This Row],[Date]])</f>
        <v>10</v>
      </c>
      <c r="E1784" s="30"/>
      <c r="F1784" s="30" t="str">
        <f>STORAGE_BALANCE_ENSEMBLE!CN341</f>
        <v/>
      </c>
      <c r="G1784" s="30" t="str">
        <f>STORAGE_BALANCE_ENSEMBLE!CO341</f>
        <v/>
      </c>
      <c r="H1784" s="30"/>
      <c r="I1784" s="18" t="str">
        <f t="shared" si="273"/>
        <v/>
      </c>
      <c r="J1784" s="8" t="str">
        <f t="shared" si="265"/>
        <v/>
      </c>
      <c r="K1784" s="9" t="str">
        <f t="shared" si="266"/>
        <v/>
      </c>
      <c r="L1784" s="10" t="str">
        <f t="shared" si="267"/>
        <v/>
      </c>
      <c r="M1784" s="10" t="str">
        <f>IF(I1784&lt;&gt;1,"",IF(H1784="","",H1784/CONTROL_PANEL!$B$11))</f>
        <v/>
      </c>
      <c r="N1784" s="9" t="str">
        <f t="shared" si="268"/>
        <v/>
      </c>
      <c r="O1784" s="9" t="str">
        <f t="shared" si="269"/>
        <v/>
      </c>
      <c r="P1784" s="9" t="str">
        <f t="shared" si="270"/>
        <v/>
      </c>
      <c r="Q1784" s="9" t="str">
        <f t="shared" si="271"/>
        <v/>
      </c>
      <c r="R1784" s="11"/>
      <c r="S1784" s="11" t="str">
        <f t="shared" si="272"/>
        <v>PASS</v>
      </c>
    </row>
    <row r="1785" spans="1:19" x14ac:dyDescent="0.25">
      <c r="A1785" s="30" t="s">
        <v>99</v>
      </c>
      <c r="B1785" s="31">
        <f t="shared" si="264"/>
        <v>52536</v>
      </c>
      <c r="C1785" s="30">
        <f>YEAR(BInputReservoir[[#This Row],[Date]])</f>
        <v>2043</v>
      </c>
      <c r="D1785" s="30">
        <f>MONTH(BInputReservoir[[#This Row],[Date]])</f>
        <v>11</v>
      </c>
      <c r="E1785" s="30"/>
      <c r="F1785" s="30" t="str">
        <f>STORAGE_BALANCE_ENSEMBLE!CN342</f>
        <v/>
      </c>
      <c r="G1785" s="30" t="str">
        <f>STORAGE_BALANCE_ENSEMBLE!CO342</f>
        <v/>
      </c>
      <c r="H1785" s="30"/>
      <c r="I1785" s="18" t="str">
        <f t="shared" si="273"/>
        <v/>
      </c>
      <c r="J1785" s="8" t="str">
        <f t="shared" si="265"/>
        <v/>
      </c>
      <c r="K1785" s="9" t="str">
        <f t="shared" si="266"/>
        <v/>
      </c>
      <c r="L1785" s="10" t="str">
        <f t="shared" si="267"/>
        <v/>
      </c>
      <c r="M1785" s="10" t="str">
        <f>IF(I1785&lt;&gt;1,"",IF(H1785="","",H1785/CONTROL_PANEL!$B$11))</f>
        <v/>
      </c>
      <c r="N1785" s="9" t="str">
        <f t="shared" si="268"/>
        <v/>
      </c>
      <c r="O1785" s="9" t="str">
        <f t="shared" si="269"/>
        <v/>
      </c>
      <c r="P1785" s="9" t="str">
        <f t="shared" si="270"/>
        <v/>
      </c>
      <c r="Q1785" s="9" t="str">
        <f t="shared" si="271"/>
        <v/>
      </c>
      <c r="R1785" s="11"/>
      <c r="S1785" s="11" t="str">
        <f t="shared" si="272"/>
        <v>PASS</v>
      </c>
    </row>
    <row r="1786" spans="1:19" x14ac:dyDescent="0.25">
      <c r="A1786" s="30" t="s">
        <v>99</v>
      </c>
      <c r="B1786" s="31">
        <f t="shared" si="264"/>
        <v>52566</v>
      </c>
      <c r="C1786" s="30">
        <f>YEAR(BInputReservoir[[#This Row],[Date]])</f>
        <v>2043</v>
      </c>
      <c r="D1786" s="30">
        <f>MONTH(BInputReservoir[[#This Row],[Date]])</f>
        <v>12</v>
      </c>
      <c r="E1786" s="30"/>
      <c r="F1786" s="30" t="str">
        <f>STORAGE_BALANCE_ENSEMBLE!CN343</f>
        <v/>
      </c>
      <c r="G1786" s="30" t="str">
        <f>STORAGE_BALANCE_ENSEMBLE!CO343</f>
        <v/>
      </c>
      <c r="H1786" s="30"/>
      <c r="I1786" s="18" t="str">
        <f t="shared" si="273"/>
        <v/>
      </c>
      <c r="J1786" s="8" t="str">
        <f t="shared" si="265"/>
        <v/>
      </c>
      <c r="K1786" s="9" t="str">
        <f t="shared" si="266"/>
        <v/>
      </c>
      <c r="L1786" s="10" t="str">
        <f t="shared" si="267"/>
        <v/>
      </c>
      <c r="M1786" s="10" t="str">
        <f>IF(I1786&lt;&gt;1,"",IF(H1786="","",H1786/CONTROL_PANEL!$B$11))</f>
        <v/>
      </c>
      <c r="N1786" s="9" t="str">
        <f t="shared" si="268"/>
        <v/>
      </c>
      <c r="O1786" s="9" t="str">
        <f t="shared" si="269"/>
        <v/>
      </c>
      <c r="P1786" s="9" t="str">
        <f t="shared" si="270"/>
        <v/>
      </c>
      <c r="Q1786" s="9" t="str">
        <f t="shared" si="271"/>
        <v/>
      </c>
      <c r="R1786" s="11"/>
      <c r="S1786" s="11" t="str">
        <f t="shared" si="272"/>
        <v>PASS</v>
      </c>
    </row>
    <row r="1787" spans="1:19" x14ac:dyDescent="0.25">
      <c r="A1787" s="30" t="s">
        <v>99</v>
      </c>
      <c r="B1787" s="31">
        <f t="shared" si="264"/>
        <v>52597</v>
      </c>
      <c r="C1787" s="30">
        <f>YEAR(BInputReservoir[[#This Row],[Date]])</f>
        <v>2044</v>
      </c>
      <c r="D1787" s="30">
        <f>MONTH(BInputReservoir[[#This Row],[Date]])</f>
        <v>1</v>
      </c>
      <c r="E1787" s="30"/>
      <c r="F1787" s="30" t="str">
        <f>STORAGE_BALANCE_ENSEMBLE!CN344</f>
        <v/>
      </c>
      <c r="G1787" s="30" t="str">
        <f>STORAGE_BALANCE_ENSEMBLE!CO344</f>
        <v/>
      </c>
      <c r="H1787" s="30"/>
      <c r="I1787" s="18" t="str">
        <f t="shared" si="273"/>
        <v/>
      </c>
      <c r="J1787" s="8" t="str">
        <f t="shared" si="265"/>
        <v/>
      </c>
      <c r="K1787" s="9" t="str">
        <f t="shared" si="266"/>
        <v/>
      </c>
      <c r="L1787" s="10" t="str">
        <f t="shared" si="267"/>
        <v/>
      </c>
      <c r="M1787" s="10" t="str">
        <f>IF(I1787&lt;&gt;1,"",IF(H1787="","",H1787/CONTROL_PANEL!$B$11))</f>
        <v/>
      </c>
      <c r="N1787" s="9" t="str">
        <f t="shared" si="268"/>
        <v/>
      </c>
      <c r="O1787" s="9" t="str">
        <f t="shared" si="269"/>
        <v/>
      </c>
      <c r="P1787" s="9" t="str">
        <f t="shared" si="270"/>
        <v/>
      </c>
      <c r="Q1787" s="9" t="str">
        <f t="shared" si="271"/>
        <v/>
      </c>
      <c r="R1787" s="11"/>
      <c r="S1787" s="11" t="str">
        <f t="shared" si="272"/>
        <v>PASS</v>
      </c>
    </row>
    <row r="1788" spans="1:19" x14ac:dyDescent="0.25">
      <c r="A1788" s="30" t="s">
        <v>99</v>
      </c>
      <c r="B1788" s="31">
        <f t="shared" si="264"/>
        <v>52628</v>
      </c>
      <c r="C1788" s="30">
        <f>YEAR(BInputReservoir[[#This Row],[Date]])</f>
        <v>2044</v>
      </c>
      <c r="D1788" s="30">
        <f>MONTH(BInputReservoir[[#This Row],[Date]])</f>
        <v>2</v>
      </c>
      <c r="E1788" s="30"/>
      <c r="F1788" s="30" t="str">
        <f>STORAGE_BALANCE_ENSEMBLE!CN345</f>
        <v/>
      </c>
      <c r="G1788" s="30" t="str">
        <f>STORAGE_BALANCE_ENSEMBLE!CO345</f>
        <v/>
      </c>
      <c r="H1788" s="30"/>
      <c r="I1788" s="18" t="str">
        <f t="shared" si="273"/>
        <v/>
      </c>
      <c r="J1788" s="8" t="str">
        <f t="shared" si="265"/>
        <v/>
      </c>
      <c r="K1788" s="9" t="str">
        <f t="shared" si="266"/>
        <v/>
      </c>
      <c r="L1788" s="10" t="str">
        <f t="shared" si="267"/>
        <v/>
      </c>
      <c r="M1788" s="10" t="str">
        <f>IF(I1788&lt;&gt;1,"",IF(H1788="","",H1788/CONTROL_PANEL!$B$11))</f>
        <v/>
      </c>
      <c r="N1788" s="9" t="str">
        <f t="shared" si="268"/>
        <v/>
      </c>
      <c r="O1788" s="9" t="str">
        <f t="shared" si="269"/>
        <v/>
      </c>
      <c r="P1788" s="9" t="str">
        <f t="shared" si="270"/>
        <v/>
      </c>
      <c r="Q1788" s="9" t="str">
        <f t="shared" si="271"/>
        <v/>
      </c>
      <c r="R1788" s="11"/>
      <c r="S1788" s="11" t="str">
        <f t="shared" si="272"/>
        <v>PASS</v>
      </c>
    </row>
    <row r="1789" spans="1:19" x14ac:dyDescent="0.25">
      <c r="A1789" s="30" t="s">
        <v>99</v>
      </c>
      <c r="B1789" s="31">
        <f t="shared" si="264"/>
        <v>52657</v>
      </c>
      <c r="C1789" s="30">
        <f>YEAR(BInputReservoir[[#This Row],[Date]])</f>
        <v>2044</v>
      </c>
      <c r="D1789" s="30">
        <f>MONTH(BInputReservoir[[#This Row],[Date]])</f>
        <v>3</v>
      </c>
      <c r="E1789" s="30"/>
      <c r="F1789" s="30" t="str">
        <f>STORAGE_BALANCE_ENSEMBLE!CN346</f>
        <v/>
      </c>
      <c r="G1789" s="30" t="str">
        <f>STORAGE_BALANCE_ENSEMBLE!CO346</f>
        <v/>
      </c>
      <c r="H1789" s="30"/>
      <c r="I1789" s="18" t="str">
        <f t="shared" si="273"/>
        <v/>
      </c>
      <c r="J1789" s="8" t="str">
        <f t="shared" si="265"/>
        <v/>
      </c>
      <c r="K1789" s="9" t="str">
        <f t="shared" si="266"/>
        <v/>
      </c>
      <c r="L1789" s="10" t="str">
        <f t="shared" si="267"/>
        <v/>
      </c>
      <c r="M1789" s="10" t="str">
        <f>IF(I1789&lt;&gt;1,"",IF(H1789="","",H1789/CONTROL_PANEL!$B$11))</f>
        <v/>
      </c>
      <c r="N1789" s="9" t="str">
        <f t="shared" si="268"/>
        <v/>
      </c>
      <c r="O1789" s="9" t="str">
        <f t="shared" si="269"/>
        <v/>
      </c>
      <c r="P1789" s="9" t="str">
        <f t="shared" si="270"/>
        <v/>
      </c>
      <c r="Q1789" s="9" t="str">
        <f t="shared" si="271"/>
        <v/>
      </c>
      <c r="R1789" s="11"/>
      <c r="S1789" s="11" t="str">
        <f t="shared" si="272"/>
        <v>PASS</v>
      </c>
    </row>
    <row r="1790" spans="1:19" x14ac:dyDescent="0.25">
      <c r="A1790" s="30" t="s">
        <v>99</v>
      </c>
      <c r="B1790" s="31">
        <f t="shared" si="264"/>
        <v>52688</v>
      </c>
      <c r="C1790" s="30">
        <f>YEAR(BInputReservoir[[#This Row],[Date]])</f>
        <v>2044</v>
      </c>
      <c r="D1790" s="30">
        <f>MONTH(BInputReservoir[[#This Row],[Date]])</f>
        <v>4</v>
      </c>
      <c r="E1790" s="30"/>
      <c r="F1790" s="30" t="str">
        <f>STORAGE_BALANCE_ENSEMBLE!CN347</f>
        <v/>
      </c>
      <c r="G1790" s="30" t="str">
        <f>STORAGE_BALANCE_ENSEMBLE!CO347</f>
        <v/>
      </c>
      <c r="H1790" s="30"/>
      <c r="I1790" s="18" t="str">
        <f t="shared" si="273"/>
        <v/>
      </c>
      <c r="J1790" s="8" t="str">
        <f t="shared" si="265"/>
        <v/>
      </c>
      <c r="K1790" s="9" t="str">
        <f t="shared" si="266"/>
        <v/>
      </c>
      <c r="L1790" s="10" t="str">
        <f t="shared" si="267"/>
        <v/>
      </c>
      <c r="M1790" s="10" t="str">
        <f>IF(I1790&lt;&gt;1,"",IF(H1790="","",H1790/CONTROL_PANEL!$B$11))</f>
        <v/>
      </c>
      <c r="N1790" s="9" t="str">
        <f t="shared" si="268"/>
        <v/>
      </c>
      <c r="O1790" s="9" t="str">
        <f t="shared" si="269"/>
        <v/>
      </c>
      <c r="P1790" s="9" t="str">
        <f t="shared" si="270"/>
        <v/>
      </c>
      <c r="Q1790" s="9" t="str">
        <f t="shared" si="271"/>
        <v/>
      </c>
      <c r="R1790" s="11"/>
      <c r="S1790" s="11" t="str">
        <f t="shared" si="272"/>
        <v>PASS</v>
      </c>
    </row>
    <row r="1791" spans="1:19" x14ac:dyDescent="0.25">
      <c r="A1791" s="30" t="s">
        <v>99</v>
      </c>
      <c r="B1791" s="31">
        <f t="shared" si="264"/>
        <v>52718</v>
      </c>
      <c r="C1791" s="30">
        <f>YEAR(BInputReservoir[[#This Row],[Date]])</f>
        <v>2044</v>
      </c>
      <c r="D1791" s="30">
        <f>MONTH(BInputReservoir[[#This Row],[Date]])</f>
        <v>5</v>
      </c>
      <c r="E1791" s="30"/>
      <c r="F1791" s="30" t="str">
        <f>STORAGE_BALANCE_ENSEMBLE!CN348</f>
        <v/>
      </c>
      <c r="G1791" s="30" t="str">
        <f>STORAGE_BALANCE_ENSEMBLE!CO348</f>
        <v/>
      </c>
      <c r="H1791" s="30"/>
      <c r="I1791" s="18" t="str">
        <f t="shared" si="273"/>
        <v/>
      </c>
      <c r="J1791" s="8" t="str">
        <f t="shared" si="265"/>
        <v/>
      </c>
      <c r="K1791" s="9" t="str">
        <f t="shared" si="266"/>
        <v/>
      </c>
      <c r="L1791" s="10" t="str">
        <f t="shared" si="267"/>
        <v/>
      </c>
      <c r="M1791" s="10" t="str">
        <f>IF(I1791&lt;&gt;1,"",IF(H1791="","",H1791/CONTROL_PANEL!$B$11))</f>
        <v/>
      </c>
      <c r="N1791" s="9" t="str">
        <f t="shared" si="268"/>
        <v/>
      </c>
      <c r="O1791" s="9" t="str">
        <f t="shared" si="269"/>
        <v/>
      </c>
      <c r="P1791" s="9" t="str">
        <f t="shared" si="270"/>
        <v/>
      </c>
      <c r="Q1791" s="9" t="str">
        <f t="shared" si="271"/>
        <v/>
      </c>
      <c r="R1791" s="11"/>
      <c r="S1791" s="11" t="str">
        <f t="shared" si="272"/>
        <v>PASS</v>
      </c>
    </row>
    <row r="1792" spans="1:19" x14ac:dyDescent="0.25">
      <c r="A1792" s="30" t="s">
        <v>99</v>
      </c>
      <c r="B1792" s="31">
        <f t="shared" ref="B1792:B1807" si="274">B709</f>
        <v>52749</v>
      </c>
      <c r="C1792" s="30">
        <f>YEAR(BInputReservoir[[#This Row],[Date]])</f>
        <v>2044</v>
      </c>
      <c r="D1792" s="30">
        <f>MONTH(BInputReservoir[[#This Row],[Date]])</f>
        <v>6</v>
      </c>
      <c r="E1792" s="30"/>
      <c r="F1792" s="30" t="str">
        <f>STORAGE_BALANCE_ENSEMBLE!CN349</f>
        <v/>
      </c>
      <c r="G1792" s="30" t="str">
        <f>STORAGE_BALANCE_ENSEMBLE!CO349</f>
        <v/>
      </c>
      <c r="H1792" s="30"/>
      <c r="I1792" s="18" t="str">
        <f t="shared" si="273"/>
        <v/>
      </c>
      <c r="J1792" s="8" t="str">
        <f t="shared" si="265"/>
        <v/>
      </c>
      <c r="K1792" s="9" t="str">
        <f t="shared" si="266"/>
        <v/>
      </c>
      <c r="L1792" s="10" t="str">
        <f t="shared" si="267"/>
        <v/>
      </c>
      <c r="M1792" s="10" t="str">
        <f>IF(I1792&lt;&gt;1,"",IF(H1792="","",H1792/CONTROL_PANEL!$B$11))</f>
        <v/>
      </c>
      <c r="N1792" s="9" t="str">
        <f t="shared" si="268"/>
        <v/>
      </c>
      <c r="O1792" s="9" t="str">
        <f t="shared" si="269"/>
        <v/>
      </c>
      <c r="P1792" s="9" t="str">
        <f t="shared" si="270"/>
        <v/>
      </c>
      <c r="Q1792" s="9" t="str">
        <f t="shared" si="271"/>
        <v/>
      </c>
      <c r="R1792" s="11"/>
      <c r="S1792" s="11" t="str">
        <f t="shared" si="272"/>
        <v>PASS</v>
      </c>
    </row>
    <row r="1793" spans="1:19" x14ac:dyDescent="0.25">
      <c r="A1793" s="30" t="s">
        <v>99</v>
      </c>
      <c r="B1793" s="31">
        <f t="shared" si="274"/>
        <v>52779</v>
      </c>
      <c r="C1793" s="30">
        <f>YEAR(BInputReservoir[[#This Row],[Date]])</f>
        <v>2044</v>
      </c>
      <c r="D1793" s="30">
        <f>MONTH(BInputReservoir[[#This Row],[Date]])</f>
        <v>7</v>
      </c>
      <c r="E1793" s="30"/>
      <c r="F1793" s="30" t="str">
        <f>STORAGE_BALANCE_ENSEMBLE!CN350</f>
        <v/>
      </c>
      <c r="G1793" s="30" t="str">
        <f>STORAGE_BALANCE_ENSEMBLE!CO350</f>
        <v/>
      </c>
      <c r="H1793" s="30"/>
      <c r="I1793" s="18" t="str">
        <f t="shared" si="273"/>
        <v/>
      </c>
      <c r="J1793" s="8" t="str">
        <f t="shared" si="265"/>
        <v/>
      </c>
      <c r="K1793" s="9" t="str">
        <f t="shared" si="266"/>
        <v/>
      </c>
      <c r="L1793" s="10" t="str">
        <f t="shared" si="267"/>
        <v/>
      </c>
      <c r="M1793" s="10" t="str">
        <f>IF(I1793&lt;&gt;1,"",IF(H1793="","",H1793/CONTROL_PANEL!$B$11))</f>
        <v/>
      </c>
      <c r="N1793" s="9" t="str">
        <f t="shared" si="268"/>
        <v/>
      </c>
      <c r="O1793" s="9" t="str">
        <f t="shared" si="269"/>
        <v/>
      </c>
      <c r="P1793" s="9" t="str">
        <f t="shared" si="270"/>
        <v/>
      </c>
      <c r="Q1793" s="9" t="str">
        <f t="shared" si="271"/>
        <v/>
      </c>
      <c r="R1793" s="11"/>
      <c r="S1793" s="11" t="str">
        <f t="shared" si="272"/>
        <v>PASS</v>
      </c>
    </row>
    <row r="1794" spans="1:19" x14ac:dyDescent="0.25">
      <c r="A1794" s="30" t="s">
        <v>99</v>
      </c>
      <c r="B1794" s="31">
        <f t="shared" si="274"/>
        <v>52810</v>
      </c>
      <c r="C1794" s="30">
        <f>YEAR(BInputReservoir[[#This Row],[Date]])</f>
        <v>2044</v>
      </c>
      <c r="D1794" s="30">
        <f>MONTH(BInputReservoir[[#This Row],[Date]])</f>
        <v>8</v>
      </c>
      <c r="E1794" s="30"/>
      <c r="F1794" s="30" t="str">
        <f>STORAGE_BALANCE_ENSEMBLE!CN351</f>
        <v/>
      </c>
      <c r="G1794" s="30" t="str">
        <f>STORAGE_BALANCE_ENSEMBLE!CO351</f>
        <v/>
      </c>
      <c r="H1794" s="30"/>
      <c r="I1794" s="18" t="str">
        <f t="shared" si="273"/>
        <v/>
      </c>
      <c r="J1794" s="8" t="str">
        <f t="shared" si="265"/>
        <v/>
      </c>
      <c r="K1794" s="9" t="str">
        <f t="shared" si="266"/>
        <v/>
      </c>
      <c r="L1794" s="10" t="str">
        <f t="shared" si="267"/>
        <v/>
      </c>
      <c r="M1794" s="10" t="str">
        <f>IF(I1794&lt;&gt;1,"",IF(H1794="","",H1794/CONTROL_PANEL!$B$11))</f>
        <v/>
      </c>
      <c r="N1794" s="9" t="str">
        <f t="shared" si="268"/>
        <v/>
      </c>
      <c r="O1794" s="9" t="str">
        <f t="shared" si="269"/>
        <v/>
      </c>
      <c r="P1794" s="9" t="str">
        <f t="shared" si="270"/>
        <v/>
      </c>
      <c r="Q1794" s="9" t="str">
        <f t="shared" si="271"/>
        <v/>
      </c>
      <c r="R1794" s="11"/>
      <c r="S1794" s="11" t="str">
        <f t="shared" si="272"/>
        <v>PASS</v>
      </c>
    </row>
    <row r="1795" spans="1:19" x14ac:dyDescent="0.25">
      <c r="A1795" s="30" t="s">
        <v>99</v>
      </c>
      <c r="B1795" s="31">
        <f t="shared" si="274"/>
        <v>52841</v>
      </c>
      <c r="C1795" s="30">
        <f>YEAR(BInputReservoir[[#This Row],[Date]])</f>
        <v>2044</v>
      </c>
      <c r="D1795" s="30">
        <f>MONTH(BInputReservoir[[#This Row],[Date]])</f>
        <v>9</v>
      </c>
      <c r="E1795" s="30"/>
      <c r="F1795" s="30" t="str">
        <f>STORAGE_BALANCE_ENSEMBLE!CN352</f>
        <v/>
      </c>
      <c r="G1795" s="30" t="str">
        <f>STORAGE_BALANCE_ENSEMBLE!CO352</f>
        <v/>
      </c>
      <c r="H1795" s="30"/>
      <c r="I1795" s="18" t="str">
        <f t="shared" si="273"/>
        <v/>
      </c>
      <c r="J1795" s="8" t="str">
        <f t="shared" si="265"/>
        <v/>
      </c>
      <c r="K1795" s="9" t="str">
        <f t="shared" si="266"/>
        <v/>
      </c>
      <c r="L1795" s="10" t="str">
        <f t="shared" si="267"/>
        <v/>
      </c>
      <c r="M1795" s="10" t="str">
        <f>IF(I1795&lt;&gt;1,"",IF(H1795="","",H1795/CONTROL_PANEL!$B$11))</f>
        <v/>
      </c>
      <c r="N1795" s="9" t="str">
        <f t="shared" si="268"/>
        <v/>
      </c>
      <c r="O1795" s="9" t="str">
        <f t="shared" si="269"/>
        <v/>
      </c>
      <c r="P1795" s="9" t="str">
        <f t="shared" si="270"/>
        <v/>
      </c>
      <c r="Q1795" s="9" t="str">
        <f t="shared" si="271"/>
        <v/>
      </c>
      <c r="R1795" s="11"/>
      <c r="S1795" s="11" t="str">
        <f t="shared" si="272"/>
        <v>PASS</v>
      </c>
    </row>
    <row r="1796" spans="1:19" x14ac:dyDescent="0.25">
      <c r="A1796" s="30" t="s">
        <v>99</v>
      </c>
      <c r="B1796" s="31">
        <f t="shared" si="274"/>
        <v>52871</v>
      </c>
      <c r="C1796" s="30">
        <f>YEAR(BInputReservoir[[#This Row],[Date]])</f>
        <v>2044</v>
      </c>
      <c r="D1796" s="30">
        <f>MONTH(BInputReservoir[[#This Row],[Date]])</f>
        <v>10</v>
      </c>
      <c r="E1796" s="30"/>
      <c r="F1796" s="30" t="str">
        <f>STORAGE_BALANCE_ENSEMBLE!CN353</f>
        <v/>
      </c>
      <c r="G1796" s="30" t="str">
        <f>STORAGE_BALANCE_ENSEMBLE!CO353</f>
        <v/>
      </c>
      <c r="H1796" s="30"/>
      <c r="I1796" s="18" t="str">
        <f t="shared" si="273"/>
        <v/>
      </c>
      <c r="J1796" s="8" t="str">
        <f t="shared" si="265"/>
        <v/>
      </c>
      <c r="K1796" s="9" t="str">
        <f t="shared" si="266"/>
        <v/>
      </c>
      <c r="L1796" s="10" t="str">
        <f t="shared" si="267"/>
        <v/>
      </c>
      <c r="M1796" s="10" t="str">
        <f>IF(I1796&lt;&gt;1,"",IF(H1796="","",H1796/CONTROL_PANEL!$B$11))</f>
        <v/>
      </c>
      <c r="N1796" s="9" t="str">
        <f t="shared" si="268"/>
        <v/>
      </c>
      <c r="O1796" s="9" t="str">
        <f t="shared" si="269"/>
        <v/>
      </c>
      <c r="P1796" s="9" t="str">
        <f t="shared" si="270"/>
        <v/>
      </c>
      <c r="Q1796" s="9" t="str">
        <f t="shared" si="271"/>
        <v/>
      </c>
      <c r="R1796" s="11"/>
      <c r="S1796" s="11" t="str">
        <f t="shared" si="272"/>
        <v>PASS</v>
      </c>
    </row>
    <row r="1797" spans="1:19" x14ac:dyDescent="0.25">
      <c r="A1797" s="30" t="s">
        <v>99</v>
      </c>
      <c r="B1797" s="31">
        <f t="shared" si="274"/>
        <v>52902</v>
      </c>
      <c r="C1797" s="30">
        <f>YEAR(BInputReservoir[[#This Row],[Date]])</f>
        <v>2044</v>
      </c>
      <c r="D1797" s="30">
        <f>MONTH(BInputReservoir[[#This Row],[Date]])</f>
        <v>11</v>
      </c>
      <c r="E1797" s="30"/>
      <c r="F1797" s="30" t="str">
        <f>STORAGE_BALANCE_ENSEMBLE!CN354</f>
        <v/>
      </c>
      <c r="G1797" s="30" t="str">
        <f>STORAGE_BALANCE_ENSEMBLE!CO354</f>
        <v/>
      </c>
      <c r="H1797" s="30"/>
      <c r="I1797" s="18" t="str">
        <f t="shared" si="273"/>
        <v/>
      </c>
      <c r="J1797" s="8" t="str">
        <f t="shared" ref="J1797:J1807" si="275">IF(I1797&lt;&gt;1,"",IF(E1797="","",MAX(0,E1797-G1797)))</f>
        <v/>
      </c>
      <c r="K1797" s="9" t="str">
        <f t="shared" ref="K1797:K1807" si="276">IF(I1797&lt;&gt;1,"",IF(OR(G1797="",E1797=""),"",IF(G1797&gt;0,1,0)))</f>
        <v/>
      </c>
      <c r="L1797" s="10" t="str">
        <f t="shared" ref="L1797:L1807" si="277">IF(I1797&lt;&gt;1,"",IF(AND(K1797=1,E1797&gt;0),G1797/E1797,0))</f>
        <v/>
      </c>
      <c r="M1797" s="10" t="str">
        <f>IF(I1797&lt;&gt;1,"",IF(H1797="","",H1797/CONTROL_PANEL!$B$11))</f>
        <v/>
      </c>
      <c r="N1797" s="9" t="str">
        <f t="shared" ref="N1797:N1807" si="278">IF(I1797&lt;&gt;1,"",IF(AND(K1797=1,A1798=A1797),1,0))</f>
        <v/>
      </c>
      <c r="O1797" s="9" t="str">
        <f t="shared" ref="O1797:O1807" si="279">IF(I1797&lt;&gt;1,"",IF(AND(K1797=1,A1798=A1797,K1798=0),1,0))</f>
        <v/>
      </c>
      <c r="P1797" s="9" t="str">
        <f t="shared" ref="P1797:P1807" si="280">IF(I1797&lt;&gt;1,"",IF(F1797&gt;0,1,0))</f>
        <v/>
      </c>
      <c r="Q1797" s="9" t="str">
        <f t="shared" ref="Q1797:Q1807" si="281">IF(I1797&lt;&gt;1,"",IF(G1797&gt;0,1,0))</f>
        <v/>
      </c>
      <c r="R1797" s="11"/>
      <c r="S1797" s="11" t="str">
        <f t="shared" si="272"/>
        <v>PASS</v>
      </c>
    </row>
    <row r="1798" spans="1:19" x14ac:dyDescent="0.25">
      <c r="A1798" s="30" t="s">
        <v>99</v>
      </c>
      <c r="B1798" s="31">
        <f t="shared" si="274"/>
        <v>52932</v>
      </c>
      <c r="C1798" s="30">
        <f>YEAR(BInputReservoir[[#This Row],[Date]])</f>
        <v>2044</v>
      </c>
      <c r="D1798" s="30">
        <f>MONTH(BInputReservoir[[#This Row],[Date]])</f>
        <v>12</v>
      </c>
      <c r="E1798" s="30"/>
      <c r="F1798" s="30" t="str">
        <f>STORAGE_BALANCE_ENSEMBLE!CN355</f>
        <v/>
      </c>
      <c r="G1798" s="30" t="str">
        <f>STORAGE_BALANCE_ENSEMBLE!CO355</f>
        <v/>
      </c>
      <c r="H1798" s="30"/>
      <c r="I1798" s="18" t="str">
        <f t="shared" si="273"/>
        <v/>
      </c>
      <c r="J1798" s="8" t="str">
        <f t="shared" si="275"/>
        <v/>
      </c>
      <c r="K1798" s="9" t="str">
        <f t="shared" si="276"/>
        <v/>
      </c>
      <c r="L1798" s="10" t="str">
        <f t="shared" si="277"/>
        <v/>
      </c>
      <c r="M1798" s="10" t="str">
        <f>IF(I1798&lt;&gt;1,"",IF(H1798="","",H1798/CONTROL_PANEL!$B$11))</f>
        <v/>
      </c>
      <c r="N1798" s="9" t="str">
        <f t="shared" si="278"/>
        <v/>
      </c>
      <c r="O1798" s="9" t="str">
        <f t="shared" si="279"/>
        <v/>
      </c>
      <c r="P1798" s="9" t="str">
        <f t="shared" si="280"/>
        <v/>
      </c>
      <c r="Q1798" s="9" t="str">
        <f t="shared" si="281"/>
        <v/>
      </c>
      <c r="R1798" s="11"/>
      <c r="S1798" s="11" t="str">
        <f t="shared" si="272"/>
        <v>PASS</v>
      </c>
    </row>
    <row r="1799" spans="1:19" x14ac:dyDescent="0.25">
      <c r="A1799" s="30" t="s">
        <v>99</v>
      </c>
      <c r="B1799" s="31">
        <f t="shared" si="274"/>
        <v>52963</v>
      </c>
      <c r="C1799" s="30">
        <f>YEAR(BInputReservoir[[#This Row],[Date]])</f>
        <v>2045</v>
      </c>
      <c r="D1799" s="30">
        <f>MONTH(BInputReservoir[[#This Row],[Date]])</f>
        <v>1</v>
      </c>
      <c r="E1799" s="30"/>
      <c r="F1799" s="30" t="str">
        <f>STORAGE_BALANCE_ENSEMBLE!CN356</f>
        <v/>
      </c>
      <c r="G1799" s="30" t="str">
        <f>STORAGE_BALANCE_ENSEMBLE!CO356</f>
        <v/>
      </c>
      <c r="H1799" s="30"/>
      <c r="I1799" s="18" t="str">
        <f t="shared" si="273"/>
        <v/>
      </c>
      <c r="J1799" s="8" t="str">
        <f t="shared" si="275"/>
        <v/>
      </c>
      <c r="K1799" s="9" t="str">
        <f t="shared" si="276"/>
        <v/>
      </c>
      <c r="L1799" s="10" t="str">
        <f t="shared" si="277"/>
        <v/>
      </c>
      <c r="M1799" s="10" t="str">
        <f>IF(I1799&lt;&gt;1,"",IF(H1799="","",H1799/CONTROL_PANEL!$B$11))</f>
        <v/>
      </c>
      <c r="N1799" s="9" t="str">
        <f t="shared" si="278"/>
        <v/>
      </c>
      <c r="O1799" s="9" t="str">
        <f t="shared" si="279"/>
        <v/>
      </c>
      <c r="P1799" s="9" t="str">
        <f t="shared" si="280"/>
        <v/>
      </c>
      <c r="Q1799" s="9" t="str">
        <f t="shared" si="281"/>
        <v/>
      </c>
      <c r="R1799" s="11"/>
      <c r="S1799" s="11" t="str">
        <f t="shared" ref="S1799:S1807" si="282">IF(COUNTA(A1799:H1799)=0,"",IF(OR(A1799="",C1799="",D1799=""),"ERROR: missing key fields","PASS"))</f>
        <v>PASS</v>
      </c>
    </row>
    <row r="1800" spans="1:19" x14ac:dyDescent="0.25">
      <c r="A1800" s="30" t="s">
        <v>99</v>
      </c>
      <c r="B1800" s="31">
        <f t="shared" si="274"/>
        <v>52994</v>
      </c>
      <c r="C1800" s="30">
        <f>YEAR(BInputReservoir[[#This Row],[Date]])</f>
        <v>2045</v>
      </c>
      <c r="D1800" s="30">
        <f>MONTH(BInputReservoir[[#This Row],[Date]])</f>
        <v>2</v>
      </c>
      <c r="E1800" s="30"/>
      <c r="F1800" s="30" t="str">
        <f>STORAGE_BALANCE_ENSEMBLE!CN357</f>
        <v/>
      </c>
      <c r="G1800" s="30" t="str">
        <f>STORAGE_BALANCE_ENSEMBLE!CO357</f>
        <v/>
      </c>
      <c r="H1800" s="30"/>
      <c r="I1800" s="18" t="str">
        <f t="shared" si="273"/>
        <v/>
      </c>
      <c r="J1800" s="8" t="str">
        <f t="shared" si="275"/>
        <v/>
      </c>
      <c r="K1800" s="9" t="str">
        <f t="shared" si="276"/>
        <v/>
      </c>
      <c r="L1800" s="10" t="str">
        <f t="shared" si="277"/>
        <v/>
      </c>
      <c r="M1800" s="10" t="str">
        <f>IF(I1800&lt;&gt;1,"",IF(H1800="","",H1800/CONTROL_PANEL!$B$11))</f>
        <v/>
      </c>
      <c r="N1800" s="9" t="str">
        <f t="shared" si="278"/>
        <v/>
      </c>
      <c r="O1800" s="9" t="str">
        <f t="shared" si="279"/>
        <v/>
      </c>
      <c r="P1800" s="9" t="str">
        <f t="shared" si="280"/>
        <v/>
      </c>
      <c r="Q1800" s="9" t="str">
        <f t="shared" si="281"/>
        <v/>
      </c>
      <c r="R1800" s="11"/>
      <c r="S1800" s="11" t="str">
        <f t="shared" si="282"/>
        <v>PASS</v>
      </c>
    </row>
    <row r="1801" spans="1:19" x14ac:dyDescent="0.25">
      <c r="A1801" s="30" t="s">
        <v>99</v>
      </c>
      <c r="B1801" s="31">
        <f t="shared" si="274"/>
        <v>53022</v>
      </c>
      <c r="C1801" s="30">
        <f>YEAR(BInputReservoir[[#This Row],[Date]])</f>
        <v>2045</v>
      </c>
      <c r="D1801" s="30">
        <f>MONTH(BInputReservoir[[#This Row],[Date]])</f>
        <v>3</v>
      </c>
      <c r="E1801" s="30"/>
      <c r="F1801" s="30" t="str">
        <f>STORAGE_BALANCE_ENSEMBLE!CN358</f>
        <v/>
      </c>
      <c r="G1801" s="30" t="str">
        <f>STORAGE_BALANCE_ENSEMBLE!CO358</f>
        <v/>
      </c>
      <c r="H1801" s="30"/>
      <c r="I1801" s="18" t="str">
        <f t="shared" si="273"/>
        <v/>
      </c>
      <c r="J1801" s="8" t="str">
        <f t="shared" si="275"/>
        <v/>
      </c>
      <c r="K1801" s="9" t="str">
        <f t="shared" si="276"/>
        <v/>
      </c>
      <c r="L1801" s="10" t="str">
        <f t="shared" si="277"/>
        <v/>
      </c>
      <c r="M1801" s="10" t="str">
        <f>IF(I1801&lt;&gt;1,"",IF(H1801="","",H1801/CONTROL_PANEL!$B$11))</f>
        <v/>
      </c>
      <c r="N1801" s="9" t="str">
        <f t="shared" si="278"/>
        <v/>
      </c>
      <c r="O1801" s="9" t="str">
        <f t="shared" si="279"/>
        <v/>
      </c>
      <c r="P1801" s="9" t="str">
        <f t="shared" si="280"/>
        <v/>
      </c>
      <c r="Q1801" s="9" t="str">
        <f t="shared" si="281"/>
        <v/>
      </c>
      <c r="R1801" s="11"/>
      <c r="S1801" s="11" t="str">
        <f t="shared" si="282"/>
        <v>PASS</v>
      </c>
    </row>
    <row r="1802" spans="1:19" x14ac:dyDescent="0.25">
      <c r="A1802" s="30" t="s">
        <v>99</v>
      </c>
      <c r="B1802" s="31">
        <f t="shared" si="274"/>
        <v>53053</v>
      </c>
      <c r="C1802" s="30">
        <f>YEAR(BInputReservoir[[#This Row],[Date]])</f>
        <v>2045</v>
      </c>
      <c r="D1802" s="30">
        <f>MONTH(BInputReservoir[[#This Row],[Date]])</f>
        <v>4</v>
      </c>
      <c r="E1802" s="30"/>
      <c r="F1802" s="30" t="str">
        <f>STORAGE_BALANCE_ENSEMBLE!CN359</f>
        <v/>
      </c>
      <c r="G1802" s="30" t="str">
        <f>STORAGE_BALANCE_ENSEMBLE!CO359</f>
        <v/>
      </c>
      <c r="H1802" s="30"/>
      <c r="I1802" s="18" t="str">
        <f t="shared" si="273"/>
        <v/>
      </c>
      <c r="J1802" s="8" t="str">
        <f t="shared" si="275"/>
        <v/>
      </c>
      <c r="K1802" s="9" t="str">
        <f t="shared" si="276"/>
        <v/>
      </c>
      <c r="L1802" s="10" t="str">
        <f t="shared" si="277"/>
        <v/>
      </c>
      <c r="M1802" s="10" t="str">
        <f>IF(I1802&lt;&gt;1,"",IF(H1802="","",H1802/CONTROL_PANEL!$B$11))</f>
        <v/>
      </c>
      <c r="N1802" s="9" t="str">
        <f t="shared" si="278"/>
        <v/>
      </c>
      <c r="O1802" s="9" t="str">
        <f t="shared" si="279"/>
        <v/>
      </c>
      <c r="P1802" s="9" t="str">
        <f t="shared" si="280"/>
        <v/>
      </c>
      <c r="Q1802" s="9" t="str">
        <f t="shared" si="281"/>
        <v/>
      </c>
      <c r="R1802" s="11"/>
      <c r="S1802" s="11" t="str">
        <f t="shared" si="282"/>
        <v>PASS</v>
      </c>
    </row>
    <row r="1803" spans="1:19" x14ac:dyDescent="0.25">
      <c r="A1803" s="30" t="s">
        <v>99</v>
      </c>
      <c r="B1803" s="31">
        <f t="shared" si="274"/>
        <v>53083</v>
      </c>
      <c r="C1803" s="30">
        <f>YEAR(BInputReservoir[[#This Row],[Date]])</f>
        <v>2045</v>
      </c>
      <c r="D1803" s="30">
        <f>MONTH(BInputReservoir[[#This Row],[Date]])</f>
        <v>5</v>
      </c>
      <c r="E1803" s="30"/>
      <c r="F1803" s="30" t="str">
        <f>STORAGE_BALANCE_ENSEMBLE!CN360</f>
        <v/>
      </c>
      <c r="G1803" s="30" t="str">
        <f>STORAGE_BALANCE_ENSEMBLE!CO360</f>
        <v/>
      </c>
      <c r="H1803" s="30"/>
      <c r="I1803" s="18" t="str">
        <f t="shared" si="273"/>
        <v/>
      </c>
      <c r="J1803" s="8" t="str">
        <f t="shared" si="275"/>
        <v/>
      </c>
      <c r="K1803" s="9" t="str">
        <f t="shared" si="276"/>
        <v/>
      </c>
      <c r="L1803" s="10" t="str">
        <f t="shared" si="277"/>
        <v/>
      </c>
      <c r="M1803" s="10" t="str">
        <f>IF(I1803&lt;&gt;1,"",IF(H1803="","",H1803/CONTROL_PANEL!$B$11))</f>
        <v/>
      </c>
      <c r="N1803" s="9" t="str">
        <f t="shared" si="278"/>
        <v/>
      </c>
      <c r="O1803" s="9" t="str">
        <f t="shared" si="279"/>
        <v/>
      </c>
      <c r="P1803" s="9" t="str">
        <f t="shared" si="280"/>
        <v/>
      </c>
      <c r="Q1803" s="9" t="str">
        <f t="shared" si="281"/>
        <v/>
      </c>
      <c r="R1803" s="11"/>
      <c r="S1803" s="11" t="str">
        <f t="shared" si="282"/>
        <v>PASS</v>
      </c>
    </row>
    <row r="1804" spans="1:19" x14ac:dyDescent="0.25">
      <c r="A1804" s="30" t="s">
        <v>99</v>
      </c>
      <c r="B1804" s="31">
        <f t="shared" si="274"/>
        <v>53114</v>
      </c>
      <c r="C1804" s="30">
        <f>YEAR(BInputReservoir[[#This Row],[Date]])</f>
        <v>2045</v>
      </c>
      <c r="D1804" s="30">
        <f>MONTH(BInputReservoir[[#This Row],[Date]])</f>
        <v>6</v>
      </c>
      <c r="E1804" s="30"/>
      <c r="F1804" s="30" t="str">
        <f>STORAGE_BALANCE_ENSEMBLE!CN361</f>
        <v/>
      </c>
      <c r="G1804" s="30" t="str">
        <f>STORAGE_BALANCE_ENSEMBLE!CO361</f>
        <v/>
      </c>
      <c r="H1804" s="30"/>
      <c r="I1804" s="18" t="str">
        <f t="shared" si="273"/>
        <v/>
      </c>
      <c r="J1804" s="8" t="str">
        <f t="shared" si="275"/>
        <v/>
      </c>
      <c r="K1804" s="9" t="str">
        <f t="shared" si="276"/>
        <v/>
      </c>
      <c r="L1804" s="10" t="str">
        <f t="shared" si="277"/>
        <v/>
      </c>
      <c r="M1804" s="10" t="str">
        <f>IF(I1804&lt;&gt;1,"",IF(H1804="","",H1804/CONTROL_PANEL!$B$11))</f>
        <v/>
      </c>
      <c r="N1804" s="9" t="str">
        <f t="shared" si="278"/>
        <v/>
      </c>
      <c r="O1804" s="9" t="str">
        <f t="shared" si="279"/>
        <v/>
      </c>
      <c r="P1804" s="9" t="str">
        <f t="shared" si="280"/>
        <v/>
      </c>
      <c r="Q1804" s="9" t="str">
        <f t="shared" si="281"/>
        <v/>
      </c>
      <c r="R1804" s="11"/>
      <c r="S1804" s="11" t="str">
        <f t="shared" si="282"/>
        <v>PASS</v>
      </c>
    </row>
    <row r="1805" spans="1:19" x14ac:dyDescent="0.25">
      <c r="A1805" s="30" t="s">
        <v>99</v>
      </c>
      <c r="B1805" s="31">
        <f t="shared" si="274"/>
        <v>53144</v>
      </c>
      <c r="C1805" s="30">
        <f>YEAR(BInputReservoir[[#This Row],[Date]])</f>
        <v>2045</v>
      </c>
      <c r="D1805" s="30">
        <f>MONTH(BInputReservoir[[#This Row],[Date]])</f>
        <v>7</v>
      </c>
      <c r="E1805" s="30"/>
      <c r="F1805" s="30" t="str">
        <f>STORAGE_BALANCE_ENSEMBLE!CN362</f>
        <v/>
      </c>
      <c r="G1805" s="30" t="str">
        <f>STORAGE_BALANCE_ENSEMBLE!CO362</f>
        <v/>
      </c>
      <c r="H1805" s="30"/>
      <c r="I1805" s="18" t="str">
        <f t="shared" si="273"/>
        <v/>
      </c>
      <c r="J1805" s="8" t="str">
        <f t="shared" si="275"/>
        <v/>
      </c>
      <c r="K1805" s="9" t="str">
        <f t="shared" si="276"/>
        <v/>
      </c>
      <c r="L1805" s="10" t="str">
        <f t="shared" si="277"/>
        <v/>
      </c>
      <c r="M1805" s="10" t="str">
        <f>IF(I1805&lt;&gt;1,"",IF(H1805="","",H1805/CONTROL_PANEL!$B$11))</f>
        <v/>
      </c>
      <c r="N1805" s="9" t="str">
        <f t="shared" si="278"/>
        <v/>
      </c>
      <c r="O1805" s="9" t="str">
        <f t="shared" si="279"/>
        <v/>
      </c>
      <c r="P1805" s="9" t="str">
        <f t="shared" si="280"/>
        <v/>
      </c>
      <c r="Q1805" s="9" t="str">
        <f t="shared" si="281"/>
        <v/>
      </c>
      <c r="R1805" s="11"/>
      <c r="S1805" s="11" t="str">
        <f t="shared" si="282"/>
        <v>PASS</v>
      </c>
    </row>
    <row r="1806" spans="1:19" x14ac:dyDescent="0.25">
      <c r="A1806" s="30" t="s">
        <v>99</v>
      </c>
      <c r="B1806" s="31">
        <f t="shared" si="274"/>
        <v>53175</v>
      </c>
      <c r="C1806" s="30">
        <f>YEAR(BInputReservoir[[#This Row],[Date]])</f>
        <v>2045</v>
      </c>
      <c r="D1806" s="30">
        <f>MONTH(BInputReservoir[[#This Row],[Date]])</f>
        <v>8</v>
      </c>
      <c r="E1806" s="30"/>
      <c r="F1806" s="30" t="str">
        <f>STORAGE_BALANCE_ENSEMBLE!CN363</f>
        <v/>
      </c>
      <c r="G1806" s="30" t="str">
        <f>STORAGE_BALANCE_ENSEMBLE!CO363</f>
        <v/>
      </c>
      <c r="H1806" s="30"/>
      <c r="I1806" s="18" t="str">
        <f t="shared" si="273"/>
        <v/>
      </c>
      <c r="J1806" s="8" t="str">
        <f t="shared" si="275"/>
        <v/>
      </c>
      <c r="K1806" s="9" t="str">
        <f t="shared" si="276"/>
        <v/>
      </c>
      <c r="L1806" s="10" t="str">
        <f t="shared" si="277"/>
        <v/>
      </c>
      <c r="M1806" s="10" t="str">
        <f>IF(I1806&lt;&gt;1,"",IF(H1806="","",H1806/CONTROL_PANEL!$B$11))</f>
        <v/>
      </c>
      <c r="N1806" s="9" t="str">
        <f t="shared" si="278"/>
        <v/>
      </c>
      <c r="O1806" s="9" t="str">
        <f t="shared" si="279"/>
        <v/>
      </c>
      <c r="P1806" s="9" t="str">
        <f t="shared" si="280"/>
        <v/>
      </c>
      <c r="Q1806" s="9" t="str">
        <f t="shared" si="281"/>
        <v/>
      </c>
      <c r="R1806" s="11"/>
      <c r="S1806" s="11" t="str">
        <f t="shared" si="282"/>
        <v>PASS</v>
      </c>
    </row>
    <row r="1807" spans="1:19" x14ac:dyDescent="0.25">
      <c r="A1807" s="30" t="s">
        <v>99</v>
      </c>
      <c r="B1807" s="31">
        <f t="shared" si="274"/>
        <v>53206</v>
      </c>
      <c r="C1807" s="30">
        <f>YEAR(BInputReservoir[[#This Row],[Date]])</f>
        <v>2045</v>
      </c>
      <c r="D1807" s="30">
        <f>MONTH(BInputReservoir[[#This Row],[Date]])</f>
        <v>9</v>
      </c>
      <c r="E1807" s="30"/>
      <c r="F1807" s="30" t="str">
        <f>STORAGE_BALANCE_ENSEMBLE!CN364</f>
        <v/>
      </c>
      <c r="G1807" s="30" t="str">
        <f>STORAGE_BALANCE_ENSEMBLE!CO364</f>
        <v/>
      </c>
      <c r="H1807" s="30"/>
      <c r="I1807" s="18" t="str">
        <f t="shared" si="273"/>
        <v/>
      </c>
      <c r="J1807" s="8" t="str">
        <f t="shared" si="275"/>
        <v/>
      </c>
      <c r="K1807" s="9" t="str">
        <f t="shared" si="276"/>
        <v/>
      </c>
      <c r="L1807" s="10" t="str">
        <f t="shared" si="277"/>
        <v/>
      </c>
      <c r="M1807" s="10" t="str">
        <f>IF(I1807&lt;&gt;1,"",IF(H1807="","",H1807/CONTROL_PANEL!$B$11))</f>
        <v/>
      </c>
      <c r="N1807" s="9" t="str">
        <f t="shared" si="278"/>
        <v/>
      </c>
      <c r="O1807" s="9" t="str">
        <f t="shared" si="279"/>
        <v/>
      </c>
      <c r="P1807" s="9" t="str">
        <f t="shared" si="280"/>
        <v/>
      </c>
      <c r="Q1807" s="9" t="str">
        <f t="shared" si="281"/>
        <v/>
      </c>
      <c r="R1807" s="11"/>
      <c r="S1807" s="11" t="str">
        <f t="shared" si="282"/>
        <v>PASS</v>
      </c>
    </row>
  </sheetData>
  <mergeCells count="1">
    <mergeCell ref="A1:S1"/>
  </mergeCells>
  <conditionalFormatting sqref="S4:S1807">
    <cfRule type="expression" dxfId="4" priority="1">
      <formula>S4="PASS"</formula>
    </cfRule>
    <cfRule type="expression" dxfId="3" priority="2">
      <formula>LEFT(S4,5)="ERROR"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Q153"/>
  <sheetViews>
    <sheetView workbookViewId="0">
      <pane ySplit="3" topLeftCell="A4" activePane="bottomLeft" state="frozen"/>
      <selection pane="bottomLeft" activeCell="V5" sqref="V5"/>
    </sheetView>
  </sheetViews>
  <sheetFormatPr defaultRowHeight="15" x14ac:dyDescent="0.25"/>
  <cols>
    <col min="1" max="1" width="24" customWidth="1"/>
    <col min="2" max="2" width="8" customWidth="1"/>
    <col min="3" max="3" width="9" customWidth="1"/>
    <col min="4" max="4" width="20" customWidth="1"/>
    <col min="5" max="6" width="18" customWidth="1"/>
    <col min="7" max="8" width="14" customWidth="1"/>
    <col min="9" max="10" width="10" customWidth="1"/>
    <col min="11" max="12" width="20" customWidth="1"/>
    <col min="13" max="14" width="12" customWidth="1"/>
    <col min="15" max="15" width="22" customWidth="1"/>
    <col min="16" max="16" width="20" customWidth="1"/>
    <col min="17" max="17" width="18" customWidth="1"/>
  </cols>
  <sheetData>
    <row r="1" spans="1:17" ht="18.75" x14ac:dyDescent="0.25">
      <c r="A1" s="64" t="s">
        <v>100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3" spans="1:17" ht="30" x14ac:dyDescent="0.25">
      <c r="A3" s="2" t="s">
        <v>79</v>
      </c>
      <c r="B3" s="2" t="s">
        <v>81</v>
      </c>
      <c r="C3" s="2" t="s">
        <v>101</v>
      </c>
      <c r="D3" s="2" t="s">
        <v>83</v>
      </c>
      <c r="E3" s="2" t="s">
        <v>87</v>
      </c>
      <c r="F3" s="2" t="s">
        <v>102</v>
      </c>
      <c r="G3" s="2" t="s">
        <v>84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  <c r="M3" s="2" t="s">
        <v>108</v>
      </c>
      <c r="N3" s="2" t="s">
        <v>109</v>
      </c>
      <c r="O3" s="2" t="s">
        <v>110</v>
      </c>
      <c r="P3" s="2" t="s">
        <v>111</v>
      </c>
      <c r="Q3" s="2" t="s">
        <v>112</v>
      </c>
    </row>
    <row r="4" spans="1:17" x14ac:dyDescent="0.25">
      <c r="A4" s="4" t="s">
        <v>96</v>
      </c>
      <c r="B4" s="4">
        <v>2016</v>
      </c>
      <c r="C4" s="8">
        <f>COUNTIFS(B_INPUT_RESERVOIR!$A$4:$A$1807,A4,B_INPUT_RESERVOIR!$C$4:$C$1807,B4)</f>
        <v>12</v>
      </c>
      <c r="D4" s="12">
        <f>IF(C4=0,0,SUMIFS(B_INPUT_RESERVOIR!$E$4:$E$1807,B_INPUT_RESERVOIR!$A$4:$A$1807,A4,B_INPUT_RESERVOIR!$C$4:$C$1807,B4))</f>
        <v>5414713.752835325</v>
      </c>
      <c r="E4" s="12">
        <f>IF(C4=0,0,SUMIFS(B_INPUT_RESERVOIR!$J$4:$J$1807,B_INPUT_RESERVOIR!$A$4:$A$1807,A4,B_INPUT_RESERVOIR!$C$4:$C$1807,B4))</f>
        <v>5414713.752835325</v>
      </c>
      <c r="F4" s="12">
        <f>IF(C4=0,"",SUMIFS(B_INPUT_RESERVOIR!$G$4:$G$1807,B_INPUT_RESERVOIR!$A$4:$A$1807,A4,B_INPUT_RESERVOIR!$C$4:$C$1807,B4))</f>
        <v>0</v>
      </c>
      <c r="G4" s="12">
        <f>IF(C4=0,"",SUMIFS(B_INPUT_RESERVOIR!$F$4:$F$1807,B_INPUT_RESERVOIR!$A$4:$A$1807,A4,B_INPUT_RESERVOIR!$C$4:$C$1807,B4))</f>
        <v>0</v>
      </c>
      <c r="H4" s="8">
        <f>IF(C4=0,"",SUMIFS(B_INPUT_RESERVOIR!$K$4:$K$1807,B_INPUT_RESERVOIR!$A$4:$A$1807,A4,B_INPUT_RESERVOIR!$C$4:$C$1807,B4))</f>
        <v>0</v>
      </c>
      <c r="I4" s="10">
        <f>IF(C4=0,"",1-H4/C4)</f>
        <v>1</v>
      </c>
      <c r="J4" s="10">
        <f t="shared" ref="J4:J35" si="0">IF(D4=0,"",E4/D4)</f>
        <v>1</v>
      </c>
      <c r="K4" s="10">
        <f>IF(H4=0,0,SUMIFS(B_INPUT_RESERVOIR!$L$4:$L$1807,B_INPUT_RESERVOIR!$A$4:$A$1807,A4,B_INPUT_RESERVOIR!$C$4:$C$1807,B4)/H4)</f>
        <v>0</v>
      </c>
      <c r="L4" s="10">
        <f>IF(H4=0,1,1-K4)</f>
        <v>1</v>
      </c>
      <c r="M4" s="10">
        <f>IF(SUMIFS(B_INPUT_RESERVOIR!$N$4:$N$1807,B_INPUT_RESERVOIR!$A$4:$A$1807,A4,B_INPUT_RESERVOIR!$C$4:$C$1807,B4)=0,1,SUMIFS(B_INPUT_RESERVOIR!$O$4:$O$1807,B_INPUT_RESERVOIR!$A$4:$A$1807,A4,B_INPUT_RESERVOIR!$C$4:$C$1807,B4)/SUMIFS(B_INPUT_RESERVOIR!$N$4:$N$1807,B_INPUT_RESERVOIR!$A$4:$A$1807,A4,B_INPUT_RESERVOIR!$C$4:$C$1807,B4))</f>
        <v>1</v>
      </c>
      <c r="N4" s="8">
        <f t="shared" ref="N4:N67" si="1">IF(AND(G4&gt;0,F4&gt;0),1,0)</f>
        <v>0</v>
      </c>
      <c r="O4" s="12">
        <f>_xlfn.SINGLE(IF(C4=0,"",_xlfn.MINIFS(B_INPUT_RESERVOIR!$H$4:$H$1807,B_INPUT_RESERVOIR!$A$4:$A$1807,A4,B_INPUT_RESERVOIR!$C$4:$C$1807,B4)))</f>
        <v>33196794.073363941</v>
      </c>
      <c r="P4" s="12">
        <f>IF(C4=0,"",SUMIFS(B_INPUT_RESERVOIR!$H$4:$H$1807,B_INPUT_RESERVOIR!$A$4:$A$1807,A4,B_INPUT_RESERVOIR!$C$4:$C$1807,B4,B_INPUT_RESERVOIR!$D$4:$D$1807,12))</f>
        <v>33575011.919182025</v>
      </c>
      <c r="Q4" s="13" t="str">
        <f>IF(C4=0,"No data",IF(H4&gt;0,"Failure year","No failure"))</f>
        <v>No failure</v>
      </c>
    </row>
    <row r="5" spans="1:17" x14ac:dyDescent="0.25">
      <c r="A5" s="4" t="s">
        <v>96</v>
      </c>
      <c r="B5" s="4">
        <v>2017</v>
      </c>
      <c r="C5" s="8">
        <f>COUNTIFS(B_INPUT_RESERVOIR!$A$4:$A$1807,A5,B_INPUT_RESERVOIR!$C$4:$C$1807,B5)</f>
        <v>12</v>
      </c>
      <c r="D5" s="12">
        <f>IF(C5=0,0,SUMIFS(B_INPUT_RESERVOIR!$E$4:$E$1807,B_INPUT_RESERVOIR!$A$4:$A$1807,A5,B_INPUT_RESERVOIR!$C$4:$C$1807,B5))</f>
        <v>5892183.7433519335</v>
      </c>
      <c r="E5" s="12">
        <f>IF(C5=0,0,SUMIFS(B_INPUT_RESERVOIR!$J$4:$J$1807,B_INPUT_RESERVOIR!$A$4:$A$1807,A5,B_INPUT_RESERVOIR!$C$4:$C$1807,B5))</f>
        <v>5892183.7433519335</v>
      </c>
      <c r="F5" s="12">
        <f>IF(C5=0,"",SUMIFS(B_INPUT_RESERVOIR!$G$4:$G$1807,B_INPUT_RESERVOIR!$A$4:$A$1807,A5,B_INPUT_RESERVOIR!$C$4:$C$1807,B5))</f>
        <v>0</v>
      </c>
      <c r="G5" s="12">
        <f>IF(C5=0,"",SUMIFS(B_INPUT_RESERVOIR!$F$4:$F$1807,B_INPUT_RESERVOIR!$A$4:$A$1807,A5,B_INPUT_RESERVOIR!$C$4:$C$1807,B5))</f>
        <v>0</v>
      </c>
      <c r="H5" s="8">
        <f>IF(C5=0,"",SUMIFS(B_INPUT_RESERVOIR!$K$4:$K$1807,B_INPUT_RESERVOIR!$A$4:$A$1807,A5,B_INPUT_RESERVOIR!$C$4:$C$1807,B5))</f>
        <v>0</v>
      </c>
      <c r="I5" s="10">
        <f t="shared" ref="I5:I68" si="2">IF(C5=0,"",1-H5/C5)</f>
        <v>1</v>
      </c>
      <c r="J5" s="10">
        <f t="shared" si="0"/>
        <v>1</v>
      </c>
      <c r="K5" s="10">
        <f>IF(H5=0,0,SUMIFS(B_INPUT_RESERVOIR!$L$4:$L$1807,B_INPUT_RESERVOIR!$A$4:$A$1807,A5,B_INPUT_RESERVOIR!$C$4:$C$1807,B5)/H5)</f>
        <v>0</v>
      </c>
      <c r="L5" s="10">
        <f t="shared" ref="L5:L68" si="3">IF(H5=0,1,1-K5)</f>
        <v>1</v>
      </c>
      <c r="M5" s="10">
        <f>IF(SUMIFS(B_INPUT_RESERVOIR!$N$4:$N$1807,B_INPUT_RESERVOIR!$A$4:$A$1807,A5,B_INPUT_RESERVOIR!$C$4:$C$1807,B5)=0,1,SUMIFS(B_INPUT_RESERVOIR!$O$4:$O$1807,B_INPUT_RESERVOIR!$A$4:$A$1807,A5,B_INPUT_RESERVOIR!$C$4:$C$1807,B5)/SUMIFS(B_INPUT_RESERVOIR!$N$4:$N$1807,B_INPUT_RESERVOIR!$A$4:$A$1807,A5,B_INPUT_RESERVOIR!$C$4:$C$1807,B5))</f>
        <v>1</v>
      </c>
      <c r="N5" s="8">
        <f t="shared" si="1"/>
        <v>0</v>
      </c>
      <c r="O5" s="12">
        <f>_xlfn.SINGLE(IF(C5=0,"",_xlfn.MINIFS(B_INPUT_RESERVOIR!$H$4:$H$1807,B_INPUT_RESERVOIR!$A$4:$A$1807,A5,B_INPUT_RESERVOIR!$C$4:$C$1807,B5)))</f>
        <v>25130253.96947854</v>
      </c>
      <c r="P5" s="12">
        <f>IF(C5=0,"",SUMIFS(B_INPUT_RESERVOIR!$H$4:$H$1807,B_INPUT_RESERVOIR!$A$4:$A$1807,A5,B_INPUT_RESERVOIR!$C$4:$C$1807,B5,B_INPUT_RESERVOIR!$D$4:$D$1807,12))</f>
        <v>25279921.260447267</v>
      </c>
      <c r="Q5" s="13" t="str">
        <f t="shared" ref="Q5:Q35" si="4">IF(C5=0,"No data",IF(H5&gt;0,"Failure year","No failure"))</f>
        <v>No failure</v>
      </c>
    </row>
    <row r="6" spans="1:17" x14ac:dyDescent="0.25">
      <c r="A6" s="4" t="s">
        <v>96</v>
      </c>
      <c r="B6" s="4">
        <v>2018</v>
      </c>
      <c r="C6" s="8">
        <f>COUNTIFS(B_INPUT_RESERVOIR!$A$4:$A$1807,A6,B_INPUT_RESERVOIR!$C$4:$C$1807,B6)</f>
        <v>12</v>
      </c>
      <c r="D6" s="12">
        <f>IF(C6=0,0,SUMIFS(B_INPUT_RESERVOIR!$E$4:$E$1807,B_INPUT_RESERVOIR!$A$4:$A$1807,A6,B_INPUT_RESERVOIR!$C$4:$C$1807,B6))</f>
        <v>4984880.7944504153</v>
      </c>
      <c r="E6" s="12">
        <f>IF(C6=0,0,SUMIFS(B_INPUT_RESERVOIR!$J$4:$J$1807,B_INPUT_RESERVOIR!$A$4:$A$1807,A6,B_INPUT_RESERVOIR!$C$4:$C$1807,B6))</f>
        <v>4984880.7944504153</v>
      </c>
      <c r="F6" s="12">
        <f>IF(C6=0,"",SUMIFS(B_INPUT_RESERVOIR!$G$4:$G$1807,B_INPUT_RESERVOIR!$A$4:$A$1807,A6,B_INPUT_RESERVOIR!$C$4:$C$1807,B6))</f>
        <v>0</v>
      </c>
      <c r="G6" s="12">
        <f>IF(C6=0,"",SUMIFS(B_INPUT_RESERVOIR!$F$4:$F$1807,B_INPUT_RESERVOIR!$A$4:$A$1807,A6,B_INPUT_RESERVOIR!$C$4:$C$1807,B6))</f>
        <v>0</v>
      </c>
      <c r="H6" s="8">
        <f>IF(C6=0,"",SUMIFS(B_INPUT_RESERVOIR!$K$4:$K$1807,B_INPUT_RESERVOIR!$A$4:$A$1807,A6,B_INPUT_RESERVOIR!$C$4:$C$1807,B6))</f>
        <v>0</v>
      </c>
      <c r="I6" s="10">
        <f t="shared" si="2"/>
        <v>1</v>
      </c>
      <c r="J6" s="10">
        <f t="shared" si="0"/>
        <v>1</v>
      </c>
      <c r="K6" s="10">
        <f>IF(H6=0,0,SUMIFS(B_INPUT_RESERVOIR!$L$4:$L$1807,B_INPUT_RESERVOIR!$A$4:$A$1807,A6,B_INPUT_RESERVOIR!$C$4:$C$1807,B6)/H6)</f>
        <v>0</v>
      </c>
      <c r="L6" s="10">
        <f t="shared" si="3"/>
        <v>1</v>
      </c>
      <c r="M6" s="10">
        <f>IF(SUMIFS(B_INPUT_RESERVOIR!$N$4:$N$1807,B_INPUT_RESERVOIR!$A$4:$A$1807,A6,B_INPUT_RESERVOIR!$C$4:$C$1807,B6)=0,1,SUMIFS(B_INPUT_RESERVOIR!$O$4:$O$1807,B_INPUT_RESERVOIR!$A$4:$A$1807,A6,B_INPUT_RESERVOIR!$C$4:$C$1807,B6)/SUMIFS(B_INPUT_RESERVOIR!$N$4:$N$1807,B_INPUT_RESERVOIR!$A$4:$A$1807,A6,B_INPUT_RESERVOIR!$C$4:$C$1807,B6))</f>
        <v>1</v>
      </c>
      <c r="N6" s="8">
        <f t="shared" si="1"/>
        <v>0</v>
      </c>
      <c r="O6" s="12">
        <f>_xlfn.SINGLE(IF(C6=0,"",_xlfn.MINIFS(B_INPUT_RESERVOIR!$H$4:$H$1807,B_INPUT_RESERVOIR!$A$4:$A$1807,A6,B_INPUT_RESERVOIR!$C$4:$C$1807,B6)))</f>
        <v>25392634.701262873</v>
      </c>
      <c r="P6" s="12">
        <f>IF(C6=0,"",SUMIFS(B_INPUT_RESERVOIR!$H$4:$H$1807,B_INPUT_RESERVOIR!$A$4:$A$1807,A6,B_INPUT_RESERVOIR!$C$4:$C$1807,B6,B_INPUT_RESERVOIR!$D$4:$D$1807,12))</f>
        <v>28420346.200824324</v>
      </c>
      <c r="Q6" s="13" t="str">
        <f t="shared" si="4"/>
        <v>No failure</v>
      </c>
    </row>
    <row r="7" spans="1:17" x14ac:dyDescent="0.25">
      <c r="A7" s="4" t="s">
        <v>96</v>
      </c>
      <c r="B7" s="4">
        <v>2019</v>
      </c>
      <c r="C7" s="8">
        <f>COUNTIFS(B_INPUT_RESERVOIR!$A$4:$A$1807,A7,B_INPUT_RESERVOIR!$C$4:$C$1807,B7)</f>
        <v>12</v>
      </c>
      <c r="D7" s="12">
        <f>IF(C7=0,0,SUMIFS(B_INPUT_RESERVOIR!$E$4:$E$1807,B_INPUT_RESERVOIR!$A$4:$A$1807,A7,B_INPUT_RESERVOIR!$C$4:$C$1807,B7))</f>
        <v>5772534.5453955987</v>
      </c>
      <c r="E7" s="12">
        <f>IF(C7=0,0,SUMIFS(B_INPUT_RESERVOIR!$J$4:$J$1807,B_INPUT_RESERVOIR!$A$4:$A$1807,A7,B_INPUT_RESERVOIR!$C$4:$C$1807,B7))</f>
        <v>5772534.5453955987</v>
      </c>
      <c r="F7" s="12">
        <f>IF(C7=0,"",SUMIFS(B_INPUT_RESERVOIR!$G$4:$G$1807,B_INPUT_RESERVOIR!$A$4:$A$1807,A7,B_INPUT_RESERVOIR!$C$4:$C$1807,B7))</f>
        <v>0</v>
      </c>
      <c r="G7" s="12">
        <f>IF(C7=0,"",SUMIFS(B_INPUT_RESERVOIR!$F$4:$F$1807,B_INPUT_RESERVOIR!$A$4:$A$1807,A7,B_INPUT_RESERVOIR!$C$4:$C$1807,B7))</f>
        <v>0</v>
      </c>
      <c r="H7" s="8">
        <f>IF(C7=0,"",SUMIFS(B_INPUT_RESERVOIR!$K$4:$K$1807,B_INPUT_RESERVOIR!$A$4:$A$1807,A7,B_INPUT_RESERVOIR!$C$4:$C$1807,B7))</f>
        <v>0</v>
      </c>
      <c r="I7" s="10">
        <f t="shared" si="2"/>
        <v>1</v>
      </c>
      <c r="J7" s="10">
        <f t="shared" si="0"/>
        <v>1</v>
      </c>
      <c r="K7" s="10">
        <f>IF(H7=0,0,SUMIFS(B_INPUT_RESERVOIR!$L$4:$L$1807,B_INPUT_RESERVOIR!$A$4:$A$1807,A7,B_INPUT_RESERVOIR!$C$4:$C$1807,B7)/H7)</f>
        <v>0</v>
      </c>
      <c r="L7" s="10">
        <f t="shared" si="3"/>
        <v>1</v>
      </c>
      <c r="M7" s="10">
        <f>IF(SUMIFS(B_INPUT_RESERVOIR!$N$4:$N$1807,B_INPUT_RESERVOIR!$A$4:$A$1807,A7,B_INPUT_RESERVOIR!$C$4:$C$1807,B7)=0,1,SUMIFS(B_INPUT_RESERVOIR!$O$4:$O$1807,B_INPUT_RESERVOIR!$A$4:$A$1807,A7,B_INPUT_RESERVOIR!$C$4:$C$1807,B7)/SUMIFS(B_INPUT_RESERVOIR!$N$4:$N$1807,B_INPUT_RESERVOIR!$A$4:$A$1807,A7,B_INPUT_RESERVOIR!$C$4:$C$1807,B7))</f>
        <v>1</v>
      </c>
      <c r="N7" s="8">
        <f t="shared" si="1"/>
        <v>0</v>
      </c>
      <c r="O7" s="12">
        <f>_xlfn.SINGLE(IF(C7=0,"",_xlfn.MINIFS(B_INPUT_RESERVOIR!$H$4:$H$1807,B_INPUT_RESERVOIR!$A$4:$A$1807,A7,B_INPUT_RESERVOIR!$C$4:$C$1807,B7)))</f>
        <v>20157366.593514867</v>
      </c>
      <c r="P7" s="12">
        <f>IF(C7=0,"",SUMIFS(B_INPUT_RESERVOIR!$H$4:$H$1807,B_INPUT_RESERVOIR!$A$4:$A$1807,A7,B_INPUT_RESERVOIR!$C$4:$C$1807,B7,B_INPUT_RESERVOIR!$D$4:$D$1807,12))</f>
        <v>23380527.3152619</v>
      </c>
      <c r="Q7" s="13" t="str">
        <f t="shared" si="4"/>
        <v>No failure</v>
      </c>
    </row>
    <row r="8" spans="1:17" x14ac:dyDescent="0.25">
      <c r="A8" s="4" t="s">
        <v>96</v>
      </c>
      <c r="B8" s="4">
        <v>2020</v>
      </c>
      <c r="C8" s="8">
        <f>COUNTIFS(B_INPUT_RESERVOIR!$A$4:$A$1807,A8,B_INPUT_RESERVOIR!$C$4:$C$1807,B8)</f>
        <v>12</v>
      </c>
      <c r="D8" s="12">
        <f>IF(C8=0,0,SUMIFS(B_INPUT_RESERVOIR!$E$4:$E$1807,B_INPUT_RESERVOIR!$A$4:$A$1807,A8,B_INPUT_RESERVOIR!$C$4:$C$1807,B8))</f>
        <v>5228604.0845431518</v>
      </c>
      <c r="E8" s="12">
        <f>IF(C8=0,0,SUMIFS(B_INPUT_RESERVOIR!$J$4:$J$1807,B_INPUT_RESERVOIR!$A$4:$A$1807,A8,B_INPUT_RESERVOIR!$C$4:$C$1807,B8))</f>
        <v>5228604.0845431518</v>
      </c>
      <c r="F8" s="12">
        <f>IF(C8=0,"",SUMIFS(B_INPUT_RESERVOIR!$G$4:$G$1807,B_INPUT_RESERVOIR!$A$4:$A$1807,A8,B_INPUT_RESERVOIR!$C$4:$C$1807,B8))</f>
        <v>0</v>
      </c>
      <c r="G8" s="12">
        <f>IF(C8=0,"",SUMIFS(B_INPUT_RESERVOIR!$F$4:$F$1807,B_INPUT_RESERVOIR!$A$4:$A$1807,A8,B_INPUT_RESERVOIR!$C$4:$C$1807,B8))</f>
        <v>0</v>
      </c>
      <c r="H8" s="8">
        <f>IF(C8=0,"",SUMIFS(B_INPUT_RESERVOIR!$K$4:$K$1807,B_INPUT_RESERVOIR!$A$4:$A$1807,A8,B_INPUT_RESERVOIR!$C$4:$C$1807,B8))</f>
        <v>0</v>
      </c>
      <c r="I8" s="10">
        <f t="shared" si="2"/>
        <v>1</v>
      </c>
      <c r="J8" s="10">
        <f t="shared" si="0"/>
        <v>1</v>
      </c>
      <c r="K8" s="10">
        <f>IF(H8=0,0,SUMIFS(B_INPUT_RESERVOIR!$L$4:$L$1807,B_INPUT_RESERVOIR!$A$4:$A$1807,A8,B_INPUT_RESERVOIR!$C$4:$C$1807,B8)/H8)</f>
        <v>0</v>
      </c>
      <c r="L8" s="10">
        <f t="shared" si="3"/>
        <v>1</v>
      </c>
      <c r="M8" s="10">
        <f>IF(SUMIFS(B_INPUT_RESERVOIR!$N$4:$N$1807,B_INPUT_RESERVOIR!$A$4:$A$1807,A8,B_INPUT_RESERVOIR!$C$4:$C$1807,B8)=0,1,SUMIFS(B_INPUT_RESERVOIR!$O$4:$O$1807,B_INPUT_RESERVOIR!$A$4:$A$1807,A8,B_INPUT_RESERVOIR!$C$4:$C$1807,B8)/SUMIFS(B_INPUT_RESERVOIR!$N$4:$N$1807,B_INPUT_RESERVOIR!$A$4:$A$1807,A8,B_INPUT_RESERVOIR!$C$4:$C$1807,B8))</f>
        <v>1</v>
      </c>
      <c r="N8" s="8">
        <f t="shared" si="1"/>
        <v>0</v>
      </c>
      <c r="O8" s="12">
        <f>_xlfn.SINGLE(IF(C8=0,"",_xlfn.MINIFS(B_INPUT_RESERVOIR!$H$4:$H$1807,B_INPUT_RESERVOIR!$A$4:$A$1807,A8,B_INPUT_RESERVOIR!$C$4:$C$1807,B8)))</f>
        <v>17989007.393758349</v>
      </c>
      <c r="P8" s="12">
        <f>IF(C8=0,"",SUMIFS(B_INPUT_RESERVOIR!$H$4:$H$1807,B_INPUT_RESERVOIR!$A$4:$A$1807,A8,B_INPUT_RESERVOIR!$C$4:$C$1807,B8,B_INPUT_RESERVOIR!$D$4:$D$1807,12))</f>
        <v>21086296.94045306</v>
      </c>
      <c r="Q8" s="13" t="str">
        <f t="shared" si="4"/>
        <v>No failure</v>
      </c>
    </row>
    <row r="9" spans="1:17" x14ac:dyDescent="0.25">
      <c r="A9" s="4" t="s">
        <v>96</v>
      </c>
      <c r="B9" s="4">
        <v>2021</v>
      </c>
      <c r="C9" s="8">
        <f>COUNTIFS(B_INPUT_RESERVOIR!$A$4:$A$1807,A9,B_INPUT_RESERVOIR!$C$4:$C$1807,B9)</f>
        <v>12</v>
      </c>
      <c r="D9" s="12">
        <f>IF(C9=0,0,SUMIFS(B_INPUT_RESERVOIR!$E$4:$E$1807,B_INPUT_RESERVOIR!$A$4:$A$1807,A9,B_INPUT_RESERVOIR!$C$4:$C$1807,B9))</f>
        <v>5871314.822633055</v>
      </c>
      <c r="E9" s="12">
        <f>IF(C9=0,0,SUMIFS(B_INPUT_RESERVOIR!$J$4:$J$1807,B_INPUT_RESERVOIR!$A$4:$A$1807,A9,B_INPUT_RESERVOIR!$C$4:$C$1807,B9))</f>
        <v>5871314.822633055</v>
      </c>
      <c r="F9" s="12">
        <f>IF(C9=0,"",SUMIFS(B_INPUT_RESERVOIR!$G$4:$G$1807,B_INPUT_RESERVOIR!$A$4:$A$1807,A9,B_INPUT_RESERVOIR!$C$4:$C$1807,B9))</f>
        <v>0</v>
      </c>
      <c r="G9" s="12">
        <f>IF(C9=0,"",SUMIFS(B_INPUT_RESERVOIR!$F$4:$F$1807,B_INPUT_RESERVOIR!$A$4:$A$1807,A9,B_INPUT_RESERVOIR!$C$4:$C$1807,B9))</f>
        <v>0</v>
      </c>
      <c r="H9" s="8">
        <f>IF(C9=0,"",SUMIFS(B_INPUT_RESERVOIR!$K$4:$K$1807,B_INPUT_RESERVOIR!$A$4:$A$1807,A9,B_INPUT_RESERVOIR!$C$4:$C$1807,B9))</f>
        <v>0</v>
      </c>
      <c r="I9" s="10">
        <f t="shared" si="2"/>
        <v>1</v>
      </c>
      <c r="J9" s="10">
        <f t="shared" si="0"/>
        <v>1</v>
      </c>
      <c r="K9" s="10">
        <f>IF(H9=0,0,SUMIFS(B_INPUT_RESERVOIR!$L$4:$L$1807,B_INPUT_RESERVOIR!$A$4:$A$1807,A9,B_INPUT_RESERVOIR!$C$4:$C$1807,B9)/H9)</f>
        <v>0</v>
      </c>
      <c r="L9" s="10">
        <f t="shared" si="3"/>
        <v>1</v>
      </c>
      <c r="M9" s="10">
        <f>IF(SUMIFS(B_INPUT_RESERVOIR!$N$4:$N$1807,B_INPUT_RESERVOIR!$A$4:$A$1807,A9,B_INPUT_RESERVOIR!$C$4:$C$1807,B9)=0,1,SUMIFS(B_INPUT_RESERVOIR!$O$4:$O$1807,B_INPUT_RESERVOIR!$A$4:$A$1807,A9,B_INPUT_RESERVOIR!$C$4:$C$1807,B9)/SUMIFS(B_INPUT_RESERVOIR!$N$4:$N$1807,B_INPUT_RESERVOIR!$A$4:$A$1807,A9,B_INPUT_RESERVOIR!$C$4:$C$1807,B9))</f>
        <v>1</v>
      </c>
      <c r="N9" s="8">
        <f t="shared" si="1"/>
        <v>0</v>
      </c>
      <c r="O9" s="12">
        <f>_xlfn.SINGLE(IF(C9=0,"",_xlfn.MINIFS(B_INPUT_RESERVOIR!$H$4:$H$1807,B_INPUT_RESERVOIR!$A$4:$A$1807,A9,B_INPUT_RESERVOIR!$C$4:$C$1807,B9)))</f>
        <v>21017039.143531609</v>
      </c>
      <c r="P9" s="12">
        <f>IF(C9=0,"",SUMIFS(B_INPUT_RESERVOIR!$H$4:$H$1807,B_INPUT_RESERVOIR!$A$4:$A$1807,A9,B_INPUT_RESERVOIR!$C$4:$C$1807,B9,B_INPUT_RESERVOIR!$D$4:$D$1807,12))</f>
        <v>21166022.974092726</v>
      </c>
      <c r="Q9" s="13" t="str">
        <f t="shared" si="4"/>
        <v>No failure</v>
      </c>
    </row>
    <row r="10" spans="1:17" x14ac:dyDescent="0.25">
      <c r="A10" s="4" t="s">
        <v>96</v>
      </c>
      <c r="B10" s="4">
        <v>2022</v>
      </c>
      <c r="C10" s="8">
        <f>COUNTIFS(B_INPUT_RESERVOIR!$A$4:$A$1807,A10,B_INPUT_RESERVOIR!$C$4:$C$1807,B10)</f>
        <v>12</v>
      </c>
      <c r="D10" s="12">
        <f>IF(C10=0,0,SUMIFS(B_INPUT_RESERVOIR!$E$4:$E$1807,B_INPUT_RESERVOIR!$A$4:$A$1807,A10,B_INPUT_RESERVOIR!$C$4:$C$1807,B10))</f>
        <v>6798556.2151131509</v>
      </c>
      <c r="E10" s="12">
        <f>IF(C10=0,0,SUMIFS(B_INPUT_RESERVOIR!$J$4:$J$1807,B_INPUT_RESERVOIR!$A$4:$A$1807,A10,B_INPUT_RESERVOIR!$C$4:$C$1807,B10))</f>
        <v>6798556.2151131509</v>
      </c>
      <c r="F10" s="12">
        <f>IF(C10=0,"",SUMIFS(B_INPUT_RESERVOIR!$G$4:$G$1807,B_INPUT_RESERVOIR!$A$4:$A$1807,A10,B_INPUT_RESERVOIR!$C$4:$C$1807,B10))</f>
        <v>0</v>
      </c>
      <c r="G10" s="12">
        <f>IF(C10=0,"",SUMIFS(B_INPUT_RESERVOIR!$F$4:$F$1807,B_INPUT_RESERVOIR!$A$4:$A$1807,A10,B_INPUT_RESERVOIR!$C$4:$C$1807,B10))</f>
        <v>0</v>
      </c>
      <c r="H10" s="8">
        <f>IF(C10=0,"",SUMIFS(B_INPUT_RESERVOIR!$K$4:$K$1807,B_INPUT_RESERVOIR!$A$4:$A$1807,A10,B_INPUT_RESERVOIR!$C$4:$C$1807,B10))</f>
        <v>0</v>
      </c>
      <c r="I10" s="10">
        <f t="shared" si="2"/>
        <v>1</v>
      </c>
      <c r="J10" s="10">
        <f t="shared" si="0"/>
        <v>1</v>
      </c>
      <c r="K10" s="10">
        <f>IF(H10=0,0,SUMIFS(B_INPUT_RESERVOIR!$L$4:$L$1807,B_INPUT_RESERVOIR!$A$4:$A$1807,A10,B_INPUT_RESERVOIR!$C$4:$C$1807,B10)/H10)</f>
        <v>0</v>
      </c>
      <c r="L10" s="10">
        <f t="shared" si="3"/>
        <v>1</v>
      </c>
      <c r="M10" s="10">
        <f>IF(SUMIFS(B_INPUT_RESERVOIR!$N$4:$N$1807,B_INPUT_RESERVOIR!$A$4:$A$1807,A10,B_INPUT_RESERVOIR!$C$4:$C$1807,B10)=0,1,SUMIFS(B_INPUT_RESERVOIR!$O$4:$O$1807,B_INPUT_RESERVOIR!$A$4:$A$1807,A10,B_INPUT_RESERVOIR!$C$4:$C$1807,B10)/SUMIFS(B_INPUT_RESERVOIR!$N$4:$N$1807,B_INPUT_RESERVOIR!$A$4:$A$1807,A10,B_INPUT_RESERVOIR!$C$4:$C$1807,B10))</f>
        <v>1</v>
      </c>
      <c r="N10" s="8">
        <f t="shared" si="1"/>
        <v>0</v>
      </c>
      <c r="O10" s="12">
        <f>_xlfn.SINGLE(IF(C10=0,"",_xlfn.MINIFS(B_INPUT_RESERVOIR!$H$4:$H$1807,B_INPUT_RESERVOIR!$A$4:$A$1807,A10,B_INPUT_RESERVOIR!$C$4:$C$1807,B10)))</f>
        <v>13094677.081092594</v>
      </c>
      <c r="P10" s="12">
        <f>IF(C10=0,"",SUMIFS(B_INPUT_RESERVOIR!$H$4:$H$1807,B_INPUT_RESERVOIR!$A$4:$A$1807,A10,B_INPUT_RESERVOIR!$C$4:$C$1807,B10,B_INPUT_RESERVOIR!$D$4:$D$1807,12))</f>
        <v>19026957.181923255</v>
      </c>
      <c r="Q10" s="13" t="str">
        <f t="shared" si="4"/>
        <v>No failure</v>
      </c>
    </row>
    <row r="11" spans="1:17" x14ac:dyDescent="0.25">
      <c r="A11" s="4" t="s">
        <v>96</v>
      </c>
      <c r="B11" s="4">
        <v>2023</v>
      </c>
      <c r="C11" s="8">
        <f>COUNTIFS(B_INPUT_RESERVOIR!$A$4:$A$1807,A11,B_INPUT_RESERVOIR!$C$4:$C$1807,B11)</f>
        <v>12</v>
      </c>
      <c r="D11" s="12">
        <f>IF(C11=0,0,SUMIFS(B_INPUT_RESERVOIR!$E$4:$E$1807,B_INPUT_RESERVOIR!$A$4:$A$1807,A11,B_INPUT_RESERVOIR!$C$4:$C$1807,B11))</f>
        <v>7649368.5353939915</v>
      </c>
      <c r="E11" s="12">
        <f>IF(C11=0,0,SUMIFS(B_INPUT_RESERVOIR!$J$4:$J$1807,B_INPUT_RESERVOIR!$A$4:$A$1807,A11,B_INPUT_RESERVOIR!$C$4:$C$1807,B11))</f>
        <v>7649368.5353939915</v>
      </c>
      <c r="F11" s="12">
        <f>IF(C11=0,"",SUMIFS(B_INPUT_RESERVOIR!$G$4:$G$1807,B_INPUT_RESERVOIR!$A$4:$A$1807,A11,B_INPUT_RESERVOIR!$C$4:$C$1807,B11))</f>
        <v>0</v>
      </c>
      <c r="G11" s="12">
        <f>IF(C11=0,"",SUMIFS(B_INPUT_RESERVOIR!$F$4:$F$1807,B_INPUT_RESERVOIR!$A$4:$A$1807,A11,B_INPUT_RESERVOIR!$C$4:$C$1807,B11))</f>
        <v>0</v>
      </c>
      <c r="H11" s="8">
        <f>IF(C11=0,"",SUMIFS(B_INPUT_RESERVOIR!$K$4:$K$1807,B_INPUT_RESERVOIR!$A$4:$A$1807,A11,B_INPUT_RESERVOIR!$C$4:$C$1807,B11))</f>
        <v>0</v>
      </c>
      <c r="I11" s="10">
        <f t="shared" si="2"/>
        <v>1</v>
      </c>
      <c r="J11" s="10">
        <f t="shared" si="0"/>
        <v>1</v>
      </c>
      <c r="K11" s="10">
        <f>IF(H11=0,0,SUMIFS(B_INPUT_RESERVOIR!$L$4:$L$1807,B_INPUT_RESERVOIR!$A$4:$A$1807,A11,B_INPUT_RESERVOIR!$C$4:$C$1807,B11)/H11)</f>
        <v>0</v>
      </c>
      <c r="L11" s="10">
        <f t="shared" si="3"/>
        <v>1</v>
      </c>
      <c r="M11" s="10">
        <f>IF(SUMIFS(B_INPUT_RESERVOIR!$N$4:$N$1807,B_INPUT_RESERVOIR!$A$4:$A$1807,A11,B_INPUT_RESERVOIR!$C$4:$C$1807,B11)=0,1,SUMIFS(B_INPUT_RESERVOIR!$O$4:$O$1807,B_INPUT_RESERVOIR!$A$4:$A$1807,A11,B_INPUT_RESERVOIR!$C$4:$C$1807,B11)/SUMIFS(B_INPUT_RESERVOIR!$N$4:$N$1807,B_INPUT_RESERVOIR!$A$4:$A$1807,A11,B_INPUT_RESERVOIR!$C$4:$C$1807,B11))</f>
        <v>1</v>
      </c>
      <c r="N11" s="8">
        <f t="shared" si="1"/>
        <v>0</v>
      </c>
      <c r="O11" s="12">
        <f>_xlfn.SINGLE(IF(C11=0,"",_xlfn.MINIFS(B_INPUT_RESERVOIR!$H$4:$H$1807,B_INPUT_RESERVOIR!$A$4:$A$1807,A11,B_INPUT_RESERVOIR!$C$4:$C$1807,B11)))</f>
        <v>10868174.584636217</v>
      </c>
      <c r="P11" s="12">
        <f>IF(C11=0,"",SUMIFS(B_INPUT_RESERVOIR!$H$4:$H$1807,B_INPUT_RESERVOIR!$A$4:$A$1807,A11,B_INPUT_RESERVOIR!$C$4:$C$1807,B11,B_INPUT_RESERVOIR!$D$4:$D$1807,12))</f>
        <v>16879184.047771864</v>
      </c>
      <c r="Q11" s="13" t="str">
        <f t="shared" si="4"/>
        <v>No failure</v>
      </c>
    </row>
    <row r="12" spans="1:17" x14ac:dyDescent="0.25">
      <c r="A12" s="4" t="s">
        <v>96</v>
      </c>
      <c r="B12" s="4">
        <v>2024</v>
      </c>
      <c r="C12" s="8">
        <f>COUNTIFS(B_INPUT_RESERVOIR!$A$4:$A$1807,A12,B_INPUT_RESERVOIR!$C$4:$C$1807,B12)</f>
        <v>12</v>
      </c>
      <c r="D12" s="12">
        <f>IF(C12=0,0,SUMIFS(B_INPUT_RESERVOIR!$E$4:$E$1807,B_INPUT_RESERVOIR!$A$4:$A$1807,A12,B_INPUT_RESERVOIR!$C$4:$C$1807,B12))</f>
        <v>5995611.2003650581</v>
      </c>
      <c r="E12" s="12">
        <f>IF(C12=0,0,SUMIFS(B_INPUT_RESERVOIR!$J$4:$J$1807,B_INPUT_RESERVOIR!$A$4:$A$1807,A12,B_INPUT_RESERVOIR!$C$4:$C$1807,B12))</f>
        <v>5995611.2003650581</v>
      </c>
      <c r="F12" s="12">
        <f>IF(C12=0,"",SUMIFS(B_INPUT_RESERVOIR!$G$4:$G$1807,B_INPUT_RESERVOIR!$A$4:$A$1807,A12,B_INPUT_RESERVOIR!$C$4:$C$1807,B12))</f>
        <v>0</v>
      </c>
      <c r="G12" s="12">
        <f>IF(C12=0,"",SUMIFS(B_INPUT_RESERVOIR!$F$4:$F$1807,B_INPUT_RESERVOIR!$A$4:$A$1807,A12,B_INPUT_RESERVOIR!$C$4:$C$1807,B12))</f>
        <v>0</v>
      </c>
      <c r="H12" s="8">
        <f>IF(C12=0,"",SUMIFS(B_INPUT_RESERVOIR!$K$4:$K$1807,B_INPUT_RESERVOIR!$A$4:$A$1807,A12,B_INPUT_RESERVOIR!$C$4:$C$1807,B12))</f>
        <v>0</v>
      </c>
      <c r="I12" s="10">
        <f t="shared" si="2"/>
        <v>1</v>
      </c>
      <c r="J12" s="10">
        <f t="shared" si="0"/>
        <v>1</v>
      </c>
      <c r="K12" s="10">
        <f>IF(H12=0,0,SUMIFS(B_INPUT_RESERVOIR!$L$4:$L$1807,B_INPUT_RESERVOIR!$A$4:$A$1807,A12,B_INPUT_RESERVOIR!$C$4:$C$1807,B12)/H12)</f>
        <v>0</v>
      </c>
      <c r="L12" s="10">
        <f t="shared" si="3"/>
        <v>1</v>
      </c>
      <c r="M12" s="10">
        <f>IF(SUMIFS(B_INPUT_RESERVOIR!$N$4:$N$1807,B_INPUT_RESERVOIR!$A$4:$A$1807,A12,B_INPUT_RESERVOIR!$C$4:$C$1807,B12)=0,1,SUMIFS(B_INPUT_RESERVOIR!$O$4:$O$1807,B_INPUT_RESERVOIR!$A$4:$A$1807,A12,B_INPUT_RESERVOIR!$C$4:$C$1807,B12)/SUMIFS(B_INPUT_RESERVOIR!$N$4:$N$1807,B_INPUT_RESERVOIR!$A$4:$A$1807,A12,B_INPUT_RESERVOIR!$C$4:$C$1807,B12))</f>
        <v>1</v>
      </c>
      <c r="N12" s="8">
        <f t="shared" si="1"/>
        <v>0</v>
      </c>
      <c r="O12" s="12">
        <f>_xlfn.SINGLE(IF(C12=0,"",_xlfn.MINIFS(B_INPUT_RESERVOIR!$H$4:$H$1807,B_INPUT_RESERVOIR!$A$4:$A$1807,A12,B_INPUT_RESERVOIR!$C$4:$C$1807,B12)))</f>
        <v>17532038.924590778</v>
      </c>
      <c r="P12" s="12">
        <f>IF(C12=0,"",SUMIFS(B_INPUT_RESERVOIR!$H$4:$H$1807,B_INPUT_RESERVOIR!$A$4:$A$1807,A12,B_INPUT_RESERVOIR!$C$4:$C$1807,B12,B_INPUT_RESERVOIR!$D$4:$D$1807,12))</f>
        <v>20443315.149960332</v>
      </c>
      <c r="Q12" s="13" t="str">
        <f t="shared" si="4"/>
        <v>No failure</v>
      </c>
    </row>
    <row r="13" spans="1:17" x14ac:dyDescent="0.25">
      <c r="A13" s="4" t="s">
        <v>96</v>
      </c>
      <c r="B13" s="4">
        <v>2025</v>
      </c>
      <c r="C13" s="8">
        <f>COUNTIFS(B_INPUT_RESERVOIR!$A$4:$A$1807,A13,B_INPUT_RESERVOIR!$C$4:$C$1807,B13)</f>
        <v>12</v>
      </c>
      <c r="D13" s="12">
        <f>IF(C13=0,0,SUMIFS(B_INPUT_RESERVOIR!$E$4:$E$1807,B_INPUT_RESERVOIR!$A$4:$A$1807,A13,B_INPUT_RESERVOIR!$C$4:$C$1807,B13))</f>
        <v>6566277.260231615</v>
      </c>
      <c r="E13" s="12">
        <f>IF(C13=0,0,SUMIFS(B_INPUT_RESERVOIR!$J$4:$J$1807,B_INPUT_RESERVOIR!$A$4:$A$1807,A13,B_INPUT_RESERVOIR!$C$4:$C$1807,B13))</f>
        <v>6566277.260231615</v>
      </c>
      <c r="F13" s="12">
        <f>IF(C13=0,"",SUMIFS(B_INPUT_RESERVOIR!$G$4:$G$1807,B_INPUT_RESERVOIR!$A$4:$A$1807,A13,B_INPUT_RESERVOIR!$C$4:$C$1807,B13))</f>
        <v>0</v>
      </c>
      <c r="G13" s="12">
        <f>IF(C13=0,"",SUMIFS(B_INPUT_RESERVOIR!$F$4:$F$1807,B_INPUT_RESERVOIR!$A$4:$A$1807,A13,B_INPUT_RESERVOIR!$C$4:$C$1807,B13))</f>
        <v>0</v>
      </c>
      <c r="H13" s="8">
        <f>IF(C13=0,"",SUMIFS(B_INPUT_RESERVOIR!$K$4:$K$1807,B_INPUT_RESERVOIR!$A$4:$A$1807,A13,B_INPUT_RESERVOIR!$C$4:$C$1807,B13))</f>
        <v>0</v>
      </c>
      <c r="I13" s="10">
        <f t="shared" si="2"/>
        <v>1</v>
      </c>
      <c r="J13" s="10">
        <f t="shared" si="0"/>
        <v>1</v>
      </c>
      <c r="K13" s="10">
        <f>IF(H13=0,0,SUMIFS(B_INPUT_RESERVOIR!$L$4:$L$1807,B_INPUT_RESERVOIR!$A$4:$A$1807,A13,B_INPUT_RESERVOIR!$C$4:$C$1807,B13)/H13)</f>
        <v>0</v>
      </c>
      <c r="L13" s="10">
        <f t="shared" si="3"/>
        <v>1</v>
      </c>
      <c r="M13" s="10">
        <f>IF(SUMIFS(B_INPUT_RESERVOIR!$N$4:$N$1807,B_INPUT_RESERVOIR!$A$4:$A$1807,A13,B_INPUT_RESERVOIR!$C$4:$C$1807,B13)=0,1,SUMIFS(B_INPUT_RESERVOIR!$O$4:$O$1807,B_INPUT_RESERVOIR!$A$4:$A$1807,A13,B_INPUT_RESERVOIR!$C$4:$C$1807,B13)/SUMIFS(B_INPUT_RESERVOIR!$N$4:$N$1807,B_INPUT_RESERVOIR!$A$4:$A$1807,A13,B_INPUT_RESERVOIR!$C$4:$C$1807,B13))</f>
        <v>1</v>
      </c>
      <c r="N13" s="8">
        <f t="shared" si="1"/>
        <v>0</v>
      </c>
      <c r="O13" s="12">
        <f>_xlfn.SINGLE(IF(C13=0,"",_xlfn.MINIFS(B_INPUT_RESERVOIR!$H$4:$H$1807,B_INPUT_RESERVOIR!$A$4:$A$1807,A13,B_INPUT_RESERVOIR!$C$4:$C$1807,B13)))</f>
        <v>22285907.838505466</v>
      </c>
      <c r="P13" s="12">
        <f>IF(C13=0,"",SUMIFS(B_INPUT_RESERVOIR!$H$4:$H$1807,B_INPUT_RESERVOIR!$A$4:$A$1807,A13,B_INPUT_RESERVOIR!$C$4:$C$1807,B13,B_INPUT_RESERVOIR!$D$4:$D$1807,12))</f>
        <v>39168207.735609636</v>
      </c>
      <c r="Q13" s="13" t="str">
        <f t="shared" si="4"/>
        <v>No failure</v>
      </c>
    </row>
    <row r="14" spans="1:17" x14ac:dyDescent="0.25">
      <c r="A14" s="4" t="s">
        <v>96</v>
      </c>
      <c r="B14" s="4">
        <v>2026</v>
      </c>
      <c r="C14" s="8">
        <f>COUNTIFS(B_INPUT_RESERVOIR!$A$4:$A$1807,A14,B_INPUT_RESERVOIR!$C$4:$C$1807,B14)</f>
        <v>12</v>
      </c>
      <c r="D14" s="12">
        <f>IF(C14=0,0,SUMIFS(B_INPUT_RESERVOIR!$E$4:$E$1807,B_INPUT_RESERVOIR!$A$4:$A$1807,A14,B_INPUT_RESERVOIR!$C$4:$C$1807,B14))</f>
        <v>327510.80493677867</v>
      </c>
      <c r="E14" s="12">
        <f>IF(C14=0,0,SUMIFS(B_INPUT_RESERVOIR!$J$4:$J$1807,B_INPUT_RESERVOIR!$A$4:$A$1807,A14,B_INPUT_RESERVOIR!$C$4:$C$1807,B14))</f>
        <v>327510.80493677867</v>
      </c>
      <c r="F14" s="12">
        <f>IF(C14=0,"",SUMIFS(B_INPUT_RESERVOIR!$G$4:$G$1807,B_INPUT_RESERVOIR!$A$4:$A$1807,A14,B_INPUT_RESERVOIR!$C$4:$C$1807,B14))</f>
        <v>0</v>
      </c>
      <c r="G14" s="12">
        <f>IF(C14=0,"",SUMIFS(B_INPUT_RESERVOIR!$F$4:$F$1807,B_INPUT_RESERVOIR!$A$4:$A$1807,A14,B_INPUT_RESERVOIR!$C$4:$C$1807,B14))</f>
        <v>8951205.2408204153</v>
      </c>
      <c r="H14" s="8">
        <f>IF(C14=0,"",SUMIFS(B_INPUT_RESERVOIR!$K$4:$K$1807,B_INPUT_RESERVOIR!$A$4:$A$1807,A14,B_INPUT_RESERVOIR!$C$4:$C$1807,B14))</f>
        <v>0</v>
      </c>
      <c r="I14" s="10">
        <f t="shared" si="2"/>
        <v>1</v>
      </c>
      <c r="J14" s="10">
        <f t="shared" si="0"/>
        <v>1</v>
      </c>
      <c r="K14" s="10">
        <f>IF(H14=0,0,SUMIFS(B_INPUT_RESERVOIR!$L$4:$L$1807,B_INPUT_RESERVOIR!$A$4:$A$1807,A14,B_INPUT_RESERVOIR!$C$4:$C$1807,B14)/H14)</f>
        <v>0</v>
      </c>
      <c r="L14" s="10">
        <f t="shared" si="3"/>
        <v>1</v>
      </c>
      <c r="M14" s="10">
        <f>IF(SUMIFS(B_INPUT_RESERVOIR!$N$4:$N$1807,B_INPUT_RESERVOIR!$A$4:$A$1807,A14,B_INPUT_RESERVOIR!$C$4:$C$1807,B14)=0,1,SUMIFS(B_INPUT_RESERVOIR!$O$4:$O$1807,B_INPUT_RESERVOIR!$A$4:$A$1807,A14,B_INPUT_RESERVOIR!$C$4:$C$1807,B14)/SUMIFS(B_INPUT_RESERVOIR!$N$4:$N$1807,B_INPUT_RESERVOIR!$A$4:$A$1807,A14,B_INPUT_RESERVOIR!$C$4:$C$1807,B14))</f>
        <v>1</v>
      </c>
      <c r="N14" s="8">
        <f t="shared" si="1"/>
        <v>0</v>
      </c>
      <c r="O14" s="12">
        <f>_xlfn.SINGLE(IF(C14=0,"",_xlfn.MINIFS(B_INPUT_RESERVOIR!$H$4:$H$1807,B_INPUT_RESERVOIR!$A$4:$A$1807,A14,B_INPUT_RESERVOIR!$C$4:$C$1807,B14)))</f>
        <v>48959129.30947613</v>
      </c>
      <c r="P14" s="12">
        <f>IF(C14=0,"",SUMIFS(B_INPUT_RESERVOIR!$H$4:$H$1807,B_INPUT_RESERVOIR!$A$4:$A$1807,A14,B_INPUT_RESERVOIR!$C$4:$C$1807,B14,B_INPUT_RESERVOIR!$D$4:$D$1807,12))</f>
        <v>0</v>
      </c>
      <c r="Q14" s="13" t="str">
        <f t="shared" si="4"/>
        <v>No failure</v>
      </c>
    </row>
    <row r="15" spans="1:17" x14ac:dyDescent="0.25">
      <c r="A15" s="4" t="s">
        <v>96</v>
      </c>
      <c r="B15" s="4">
        <v>2027</v>
      </c>
      <c r="C15" s="8">
        <f>COUNTIFS(B_INPUT_RESERVOIR!$A$4:$A$1807,A15,B_INPUT_RESERVOIR!$C$4:$C$1807,B15)</f>
        <v>12</v>
      </c>
      <c r="D15" s="12">
        <f>IF(C15=0,0,SUMIFS(B_INPUT_RESERVOIR!$E$4:$E$1807,B_INPUT_RESERVOIR!$A$4:$A$1807,A15,B_INPUT_RESERVOIR!$C$4:$C$1807,B15))</f>
        <v>0</v>
      </c>
      <c r="E15" s="12">
        <f>IF(C15=0,0,SUMIFS(B_INPUT_RESERVOIR!$J$4:$J$1807,B_INPUT_RESERVOIR!$A$4:$A$1807,A15,B_INPUT_RESERVOIR!$C$4:$C$1807,B15))</f>
        <v>0</v>
      </c>
      <c r="F15" s="12">
        <f>IF(C15=0,"",SUMIFS(B_INPUT_RESERVOIR!$G$4:$G$1807,B_INPUT_RESERVOIR!$A$4:$A$1807,A15,B_INPUT_RESERVOIR!$C$4:$C$1807,B15))</f>
        <v>0</v>
      </c>
      <c r="G15" s="12">
        <f>IF(C15=0,"",SUMIFS(B_INPUT_RESERVOIR!$F$4:$F$1807,B_INPUT_RESERVOIR!$A$4:$A$1807,A15,B_INPUT_RESERVOIR!$C$4:$C$1807,B15))</f>
        <v>0</v>
      </c>
      <c r="H15" s="8">
        <f>IF(C15=0,"",SUMIFS(B_INPUT_RESERVOIR!$K$4:$K$1807,B_INPUT_RESERVOIR!$A$4:$A$1807,A15,B_INPUT_RESERVOIR!$C$4:$C$1807,B15))</f>
        <v>0</v>
      </c>
      <c r="I15" s="10">
        <f t="shared" si="2"/>
        <v>1</v>
      </c>
      <c r="J15" s="10" t="str">
        <f t="shared" si="0"/>
        <v/>
      </c>
      <c r="K15" s="10">
        <f>IF(H15=0,0,SUMIFS(B_INPUT_RESERVOIR!$L$4:$L$1807,B_INPUT_RESERVOIR!$A$4:$A$1807,A15,B_INPUT_RESERVOIR!$C$4:$C$1807,B15)/H15)</f>
        <v>0</v>
      </c>
      <c r="L15" s="10">
        <f t="shared" si="3"/>
        <v>1</v>
      </c>
      <c r="M15" s="10">
        <f>IF(SUMIFS(B_INPUT_RESERVOIR!$N$4:$N$1807,B_INPUT_RESERVOIR!$A$4:$A$1807,A15,B_INPUT_RESERVOIR!$C$4:$C$1807,B15)=0,1,SUMIFS(B_INPUT_RESERVOIR!$O$4:$O$1807,B_INPUT_RESERVOIR!$A$4:$A$1807,A15,B_INPUT_RESERVOIR!$C$4:$C$1807,B15)/SUMIFS(B_INPUT_RESERVOIR!$N$4:$N$1807,B_INPUT_RESERVOIR!$A$4:$A$1807,A15,B_INPUT_RESERVOIR!$C$4:$C$1807,B15))</f>
        <v>1</v>
      </c>
      <c r="N15" s="8">
        <f t="shared" si="1"/>
        <v>0</v>
      </c>
      <c r="O15" s="12">
        <f>_xlfn.SINGLE(IF(C15=0,"",_xlfn.MINIFS(B_INPUT_RESERVOIR!$H$4:$H$1807,B_INPUT_RESERVOIR!$A$4:$A$1807,A15,B_INPUT_RESERVOIR!$C$4:$C$1807,B15)))</f>
        <v>0</v>
      </c>
      <c r="P15" s="12">
        <f>IF(C15=0,"",SUMIFS(B_INPUT_RESERVOIR!$H$4:$H$1807,B_INPUT_RESERVOIR!$A$4:$A$1807,A15,B_INPUT_RESERVOIR!$C$4:$C$1807,B15,B_INPUT_RESERVOIR!$D$4:$D$1807,12))</f>
        <v>0</v>
      </c>
      <c r="Q15" s="13" t="str">
        <f t="shared" si="4"/>
        <v>No failure</v>
      </c>
    </row>
    <row r="16" spans="1:17" x14ac:dyDescent="0.25">
      <c r="A16" s="4" t="s">
        <v>96</v>
      </c>
      <c r="B16" s="4">
        <v>2028</v>
      </c>
      <c r="C16" s="8">
        <f>COUNTIFS(B_INPUT_RESERVOIR!$A$4:$A$1807,A16,B_INPUT_RESERVOIR!$C$4:$C$1807,B16)</f>
        <v>12</v>
      </c>
      <c r="D16" s="12">
        <f>IF(C16=0,0,SUMIFS(B_INPUT_RESERVOIR!$E$4:$E$1807,B_INPUT_RESERVOIR!$A$4:$A$1807,A16,B_INPUT_RESERVOIR!$C$4:$C$1807,B16))</f>
        <v>0</v>
      </c>
      <c r="E16" s="12">
        <f>IF(C16=0,0,SUMIFS(B_INPUT_RESERVOIR!$J$4:$J$1807,B_INPUT_RESERVOIR!$A$4:$A$1807,A16,B_INPUT_RESERVOIR!$C$4:$C$1807,B16))</f>
        <v>0</v>
      </c>
      <c r="F16" s="12">
        <f>IF(C16=0,"",SUMIFS(B_INPUT_RESERVOIR!$G$4:$G$1807,B_INPUT_RESERVOIR!$A$4:$A$1807,A16,B_INPUT_RESERVOIR!$C$4:$C$1807,B16))</f>
        <v>0</v>
      </c>
      <c r="G16" s="12">
        <f>IF(C16=0,"",SUMIFS(B_INPUT_RESERVOIR!$F$4:$F$1807,B_INPUT_RESERVOIR!$A$4:$A$1807,A16,B_INPUT_RESERVOIR!$C$4:$C$1807,B16))</f>
        <v>0</v>
      </c>
      <c r="H16" s="8">
        <f>IF(C16=0,"",SUMIFS(B_INPUT_RESERVOIR!$K$4:$K$1807,B_INPUT_RESERVOIR!$A$4:$A$1807,A16,B_INPUT_RESERVOIR!$C$4:$C$1807,B16))</f>
        <v>0</v>
      </c>
      <c r="I16" s="10">
        <f t="shared" si="2"/>
        <v>1</v>
      </c>
      <c r="J16" s="10" t="str">
        <f t="shared" si="0"/>
        <v/>
      </c>
      <c r="K16" s="10">
        <f>IF(H16=0,0,SUMIFS(B_INPUT_RESERVOIR!$L$4:$L$1807,B_INPUT_RESERVOIR!$A$4:$A$1807,A16,B_INPUT_RESERVOIR!$C$4:$C$1807,B16)/H16)</f>
        <v>0</v>
      </c>
      <c r="L16" s="10">
        <f t="shared" si="3"/>
        <v>1</v>
      </c>
      <c r="M16" s="10">
        <f>IF(SUMIFS(B_INPUT_RESERVOIR!$N$4:$N$1807,B_INPUT_RESERVOIR!$A$4:$A$1807,A16,B_INPUT_RESERVOIR!$C$4:$C$1807,B16)=0,1,SUMIFS(B_INPUT_RESERVOIR!$O$4:$O$1807,B_INPUT_RESERVOIR!$A$4:$A$1807,A16,B_INPUT_RESERVOIR!$C$4:$C$1807,B16)/SUMIFS(B_INPUT_RESERVOIR!$N$4:$N$1807,B_INPUT_RESERVOIR!$A$4:$A$1807,A16,B_INPUT_RESERVOIR!$C$4:$C$1807,B16))</f>
        <v>1</v>
      </c>
      <c r="N16" s="8">
        <f t="shared" si="1"/>
        <v>0</v>
      </c>
      <c r="O16" s="12">
        <f>_xlfn.SINGLE(IF(C16=0,"",_xlfn.MINIFS(B_INPUT_RESERVOIR!$H$4:$H$1807,B_INPUT_RESERVOIR!$A$4:$A$1807,A16,B_INPUT_RESERVOIR!$C$4:$C$1807,B16)))</f>
        <v>0</v>
      </c>
      <c r="P16" s="12">
        <f>IF(C16=0,"",SUMIFS(B_INPUT_RESERVOIR!$H$4:$H$1807,B_INPUT_RESERVOIR!$A$4:$A$1807,A16,B_INPUT_RESERVOIR!$C$4:$C$1807,B16,B_INPUT_RESERVOIR!$D$4:$D$1807,12))</f>
        <v>0</v>
      </c>
      <c r="Q16" s="13" t="str">
        <f t="shared" si="4"/>
        <v>No failure</v>
      </c>
    </row>
    <row r="17" spans="1:17" x14ac:dyDescent="0.25">
      <c r="A17" s="4" t="s">
        <v>96</v>
      </c>
      <c r="B17" s="4">
        <v>2029</v>
      </c>
      <c r="C17" s="8">
        <f>COUNTIFS(B_INPUT_RESERVOIR!$A$4:$A$1807,A17,B_INPUT_RESERVOIR!$C$4:$C$1807,B17)</f>
        <v>12</v>
      </c>
      <c r="D17" s="12">
        <f>IF(C17=0,0,SUMIFS(B_INPUT_RESERVOIR!$E$4:$E$1807,B_INPUT_RESERVOIR!$A$4:$A$1807,A17,B_INPUT_RESERVOIR!$C$4:$C$1807,B17))</f>
        <v>0</v>
      </c>
      <c r="E17" s="12">
        <f>IF(C17=0,0,SUMIFS(B_INPUT_RESERVOIR!$J$4:$J$1807,B_INPUT_RESERVOIR!$A$4:$A$1807,A17,B_INPUT_RESERVOIR!$C$4:$C$1807,B17))</f>
        <v>0</v>
      </c>
      <c r="F17" s="12">
        <f>IF(C17=0,"",SUMIFS(B_INPUT_RESERVOIR!$G$4:$G$1807,B_INPUT_RESERVOIR!$A$4:$A$1807,A17,B_INPUT_RESERVOIR!$C$4:$C$1807,B17))</f>
        <v>0</v>
      </c>
      <c r="G17" s="12">
        <f>IF(C17=0,"",SUMIFS(B_INPUT_RESERVOIR!$F$4:$F$1807,B_INPUT_RESERVOIR!$A$4:$A$1807,A17,B_INPUT_RESERVOIR!$C$4:$C$1807,B17))</f>
        <v>0</v>
      </c>
      <c r="H17" s="8">
        <f>IF(C17=0,"",SUMIFS(B_INPUT_RESERVOIR!$K$4:$K$1807,B_INPUT_RESERVOIR!$A$4:$A$1807,A17,B_INPUT_RESERVOIR!$C$4:$C$1807,B17))</f>
        <v>0</v>
      </c>
      <c r="I17" s="10">
        <f t="shared" si="2"/>
        <v>1</v>
      </c>
      <c r="J17" s="10" t="str">
        <f t="shared" si="0"/>
        <v/>
      </c>
      <c r="K17" s="10">
        <f>IF(H17=0,0,SUMIFS(B_INPUT_RESERVOIR!$L$4:$L$1807,B_INPUT_RESERVOIR!$A$4:$A$1807,A17,B_INPUT_RESERVOIR!$C$4:$C$1807,B17)/H17)</f>
        <v>0</v>
      </c>
      <c r="L17" s="10">
        <f t="shared" si="3"/>
        <v>1</v>
      </c>
      <c r="M17" s="10">
        <f>IF(SUMIFS(B_INPUT_RESERVOIR!$N$4:$N$1807,B_INPUT_RESERVOIR!$A$4:$A$1807,A17,B_INPUT_RESERVOIR!$C$4:$C$1807,B17)=0,1,SUMIFS(B_INPUT_RESERVOIR!$O$4:$O$1807,B_INPUT_RESERVOIR!$A$4:$A$1807,A17,B_INPUT_RESERVOIR!$C$4:$C$1807,B17)/SUMIFS(B_INPUT_RESERVOIR!$N$4:$N$1807,B_INPUT_RESERVOIR!$A$4:$A$1807,A17,B_INPUT_RESERVOIR!$C$4:$C$1807,B17))</f>
        <v>1</v>
      </c>
      <c r="N17" s="8">
        <f t="shared" si="1"/>
        <v>0</v>
      </c>
      <c r="O17" s="12">
        <f>_xlfn.SINGLE(IF(C17=0,"",_xlfn.MINIFS(B_INPUT_RESERVOIR!$H$4:$H$1807,B_INPUT_RESERVOIR!$A$4:$A$1807,A17,B_INPUT_RESERVOIR!$C$4:$C$1807,B17)))</f>
        <v>0</v>
      </c>
      <c r="P17" s="12">
        <f>IF(C17=0,"",SUMIFS(B_INPUT_RESERVOIR!$H$4:$H$1807,B_INPUT_RESERVOIR!$A$4:$A$1807,A17,B_INPUT_RESERVOIR!$C$4:$C$1807,B17,B_INPUT_RESERVOIR!$D$4:$D$1807,12))</f>
        <v>0</v>
      </c>
      <c r="Q17" s="13" t="str">
        <f t="shared" si="4"/>
        <v>No failure</v>
      </c>
    </row>
    <row r="18" spans="1:17" x14ac:dyDescent="0.25">
      <c r="A18" s="4" t="s">
        <v>96</v>
      </c>
      <c r="B18" s="4">
        <v>2030</v>
      </c>
      <c r="C18" s="8">
        <f>COUNTIFS(B_INPUT_RESERVOIR!$A$4:$A$1807,A18,B_INPUT_RESERVOIR!$C$4:$C$1807,B18)</f>
        <v>12</v>
      </c>
      <c r="D18" s="12">
        <f>IF(C18=0,0,SUMIFS(B_INPUT_RESERVOIR!$E$4:$E$1807,B_INPUT_RESERVOIR!$A$4:$A$1807,A18,B_INPUT_RESERVOIR!$C$4:$C$1807,B18))</f>
        <v>0</v>
      </c>
      <c r="E18" s="12">
        <f>IF(C18=0,0,SUMIFS(B_INPUT_RESERVOIR!$J$4:$J$1807,B_INPUT_RESERVOIR!$A$4:$A$1807,A18,B_INPUT_RESERVOIR!$C$4:$C$1807,B18))</f>
        <v>0</v>
      </c>
      <c r="F18" s="12">
        <f>IF(C18=0,"",SUMIFS(B_INPUT_RESERVOIR!$G$4:$G$1807,B_INPUT_RESERVOIR!$A$4:$A$1807,A18,B_INPUT_RESERVOIR!$C$4:$C$1807,B18))</f>
        <v>0</v>
      </c>
      <c r="G18" s="12">
        <f>IF(C18=0,"",SUMIFS(B_INPUT_RESERVOIR!$F$4:$F$1807,B_INPUT_RESERVOIR!$A$4:$A$1807,A18,B_INPUT_RESERVOIR!$C$4:$C$1807,B18))</f>
        <v>0</v>
      </c>
      <c r="H18" s="8">
        <f>IF(C18=0,"",SUMIFS(B_INPUT_RESERVOIR!$K$4:$K$1807,B_INPUT_RESERVOIR!$A$4:$A$1807,A18,B_INPUT_RESERVOIR!$C$4:$C$1807,B18))</f>
        <v>0</v>
      </c>
      <c r="I18" s="10">
        <f t="shared" si="2"/>
        <v>1</v>
      </c>
      <c r="J18" s="10" t="str">
        <f t="shared" si="0"/>
        <v/>
      </c>
      <c r="K18" s="10">
        <f>IF(H18=0,0,SUMIFS(B_INPUT_RESERVOIR!$L$4:$L$1807,B_INPUT_RESERVOIR!$A$4:$A$1807,A18,B_INPUT_RESERVOIR!$C$4:$C$1807,B18)/H18)</f>
        <v>0</v>
      </c>
      <c r="L18" s="10">
        <f t="shared" si="3"/>
        <v>1</v>
      </c>
      <c r="M18" s="10">
        <f>IF(SUMIFS(B_INPUT_RESERVOIR!$N$4:$N$1807,B_INPUT_RESERVOIR!$A$4:$A$1807,A18,B_INPUT_RESERVOIR!$C$4:$C$1807,B18)=0,1,SUMIFS(B_INPUT_RESERVOIR!$O$4:$O$1807,B_INPUT_RESERVOIR!$A$4:$A$1807,A18,B_INPUT_RESERVOIR!$C$4:$C$1807,B18)/SUMIFS(B_INPUT_RESERVOIR!$N$4:$N$1807,B_INPUT_RESERVOIR!$A$4:$A$1807,A18,B_INPUT_RESERVOIR!$C$4:$C$1807,B18))</f>
        <v>1</v>
      </c>
      <c r="N18" s="8">
        <f t="shared" si="1"/>
        <v>0</v>
      </c>
      <c r="O18" s="12">
        <f>_xlfn.SINGLE(IF(C18=0,"",_xlfn.MINIFS(B_INPUT_RESERVOIR!$H$4:$H$1807,B_INPUT_RESERVOIR!$A$4:$A$1807,A18,B_INPUT_RESERVOIR!$C$4:$C$1807,B18)))</f>
        <v>0</v>
      </c>
      <c r="P18" s="12">
        <f>IF(C18=0,"",SUMIFS(B_INPUT_RESERVOIR!$H$4:$H$1807,B_INPUT_RESERVOIR!$A$4:$A$1807,A18,B_INPUT_RESERVOIR!$C$4:$C$1807,B18,B_INPUT_RESERVOIR!$D$4:$D$1807,12))</f>
        <v>0</v>
      </c>
      <c r="Q18" s="13" t="str">
        <f t="shared" si="4"/>
        <v>No failure</v>
      </c>
    </row>
    <row r="19" spans="1:17" x14ac:dyDescent="0.25">
      <c r="A19" s="4" t="s">
        <v>96</v>
      </c>
      <c r="B19" s="4">
        <v>2031</v>
      </c>
      <c r="C19" s="8">
        <f>COUNTIFS(B_INPUT_RESERVOIR!$A$4:$A$1807,A19,B_INPUT_RESERVOIR!$C$4:$C$1807,B19)</f>
        <v>12</v>
      </c>
      <c r="D19" s="12">
        <f>IF(C19=0,0,SUMIFS(B_INPUT_RESERVOIR!$E$4:$E$1807,B_INPUT_RESERVOIR!$A$4:$A$1807,A19,B_INPUT_RESERVOIR!$C$4:$C$1807,B19))</f>
        <v>0</v>
      </c>
      <c r="E19" s="12">
        <f>IF(C19=0,0,SUMIFS(B_INPUT_RESERVOIR!$J$4:$J$1807,B_INPUT_RESERVOIR!$A$4:$A$1807,A19,B_INPUT_RESERVOIR!$C$4:$C$1807,B19))</f>
        <v>0</v>
      </c>
      <c r="F19" s="12">
        <f>IF(C19=0,"",SUMIFS(B_INPUT_RESERVOIR!$G$4:$G$1807,B_INPUT_RESERVOIR!$A$4:$A$1807,A19,B_INPUT_RESERVOIR!$C$4:$C$1807,B19))</f>
        <v>0</v>
      </c>
      <c r="G19" s="12">
        <f>IF(C19=0,"",SUMIFS(B_INPUT_RESERVOIR!$F$4:$F$1807,B_INPUT_RESERVOIR!$A$4:$A$1807,A19,B_INPUT_RESERVOIR!$C$4:$C$1807,B19))</f>
        <v>0</v>
      </c>
      <c r="H19" s="8">
        <f>IF(C19=0,"",SUMIFS(B_INPUT_RESERVOIR!$K$4:$K$1807,B_INPUT_RESERVOIR!$A$4:$A$1807,A19,B_INPUT_RESERVOIR!$C$4:$C$1807,B19))</f>
        <v>0</v>
      </c>
      <c r="I19" s="10">
        <f t="shared" si="2"/>
        <v>1</v>
      </c>
      <c r="J19" s="10" t="str">
        <f t="shared" si="0"/>
        <v/>
      </c>
      <c r="K19" s="10">
        <f>IF(H19=0,0,SUMIFS(B_INPUT_RESERVOIR!$L$4:$L$1807,B_INPUT_RESERVOIR!$A$4:$A$1807,A19,B_INPUT_RESERVOIR!$C$4:$C$1807,B19)/H19)</f>
        <v>0</v>
      </c>
      <c r="L19" s="10">
        <f t="shared" si="3"/>
        <v>1</v>
      </c>
      <c r="M19" s="10">
        <f>IF(SUMIFS(B_INPUT_RESERVOIR!$N$4:$N$1807,B_INPUT_RESERVOIR!$A$4:$A$1807,A19,B_INPUT_RESERVOIR!$C$4:$C$1807,B19)=0,1,SUMIFS(B_INPUT_RESERVOIR!$O$4:$O$1807,B_INPUT_RESERVOIR!$A$4:$A$1807,A19,B_INPUT_RESERVOIR!$C$4:$C$1807,B19)/SUMIFS(B_INPUT_RESERVOIR!$N$4:$N$1807,B_INPUT_RESERVOIR!$A$4:$A$1807,A19,B_INPUT_RESERVOIR!$C$4:$C$1807,B19))</f>
        <v>1</v>
      </c>
      <c r="N19" s="8">
        <f t="shared" si="1"/>
        <v>0</v>
      </c>
      <c r="O19" s="12">
        <f>_xlfn.SINGLE(IF(C19=0,"",_xlfn.MINIFS(B_INPUT_RESERVOIR!$H$4:$H$1807,B_INPUT_RESERVOIR!$A$4:$A$1807,A19,B_INPUT_RESERVOIR!$C$4:$C$1807,B19)))</f>
        <v>0</v>
      </c>
      <c r="P19" s="12">
        <f>IF(C19=0,"",SUMIFS(B_INPUT_RESERVOIR!$H$4:$H$1807,B_INPUT_RESERVOIR!$A$4:$A$1807,A19,B_INPUT_RESERVOIR!$C$4:$C$1807,B19,B_INPUT_RESERVOIR!$D$4:$D$1807,12))</f>
        <v>0</v>
      </c>
      <c r="Q19" s="13" t="str">
        <f t="shared" si="4"/>
        <v>No failure</v>
      </c>
    </row>
    <row r="20" spans="1:17" x14ac:dyDescent="0.25">
      <c r="A20" s="4" t="s">
        <v>96</v>
      </c>
      <c r="B20" s="4">
        <v>2032</v>
      </c>
      <c r="C20" s="8">
        <f>COUNTIFS(B_INPUT_RESERVOIR!$A$4:$A$1807,A20,B_INPUT_RESERVOIR!$C$4:$C$1807,B20)</f>
        <v>12</v>
      </c>
      <c r="D20" s="12">
        <f>IF(C20=0,0,SUMIFS(B_INPUT_RESERVOIR!$E$4:$E$1807,B_INPUT_RESERVOIR!$A$4:$A$1807,A20,B_INPUT_RESERVOIR!$C$4:$C$1807,B20))</f>
        <v>0</v>
      </c>
      <c r="E20" s="12">
        <f>IF(C20=0,0,SUMIFS(B_INPUT_RESERVOIR!$J$4:$J$1807,B_INPUT_RESERVOIR!$A$4:$A$1807,A20,B_INPUT_RESERVOIR!$C$4:$C$1807,B20))</f>
        <v>0</v>
      </c>
      <c r="F20" s="12">
        <f>IF(C20=0,"",SUMIFS(B_INPUT_RESERVOIR!$G$4:$G$1807,B_INPUT_RESERVOIR!$A$4:$A$1807,A20,B_INPUT_RESERVOIR!$C$4:$C$1807,B20))</f>
        <v>0</v>
      </c>
      <c r="G20" s="12">
        <f>IF(C20=0,"",SUMIFS(B_INPUT_RESERVOIR!$F$4:$F$1807,B_INPUT_RESERVOIR!$A$4:$A$1807,A20,B_INPUT_RESERVOIR!$C$4:$C$1807,B20))</f>
        <v>0</v>
      </c>
      <c r="H20" s="8">
        <f>IF(C20=0,"",SUMIFS(B_INPUT_RESERVOIR!$K$4:$K$1807,B_INPUT_RESERVOIR!$A$4:$A$1807,A20,B_INPUT_RESERVOIR!$C$4:$C$1807,B20))</f>
        <v>0</v>
      </c>
      <c r="I20" s="10">
        <f t="shared" si="2"/>
        <v>1</v>
      </c>
      <c r="J20" s="10" t="str">
        <f t="shared" si="0"/>
        <v/>
      </c>
      <c r="K20" s="10">
        <f>IF(H20=0,0,SUMIFS(B_INPUT_RESERVOIR!$L$4:$L$1807,B_INPUT_RESERVOIR!$A$4:$A$1807,A20,B_INPUT_RESERVOIR!$C$4:$C$1807,B20)/H20)</f>
        <v>0</v>
      </c>
      <c r="L20" s="10">
        <f t="shared" si="3"/>
        <v>1</v>
      </c>
      <c r="M20" s="10">
        <f>IF(SUMIFS(B_INPUT_RESERVOIR!$N$4:$N$1807,B_INPUT_RESERVOIR!$A$4:$A$1807,A20,B_INPUT_RESERVOIR!$C$4:$C$1807,B20)=0,1,SUMIFS(B_INPUT_RESERVOIR!$O$4:$O$1807,B_INPUT_RESERVOIR!$A$4:$A$1807,A20,B_INPUT_RESERVOIR!$C$4:$C$1807,B20)/SUMIFS(B_INPUT_RESERVOIR!$N$4:$N$1807,B_INPUT_RESERVOIR!$A$4:$A$1807,A20,B_INPUT_RESERVOIR!$C$4:$C$1807,B20))</f>
        <v>1</v>
      </c>
      <c r="N20" s="8">
        <f t="shared" si="1"/>
        <v>0</v>
      </c>
      <c r="O20" s="12">
        <f>_xlfn.SINGLE(IF(C20=0,"",_xlfn.MINIFS(B_INPUT_RESERVOIR!$H$4:$H$1807,B_INPUT_RESERVOIR!$A$4:$A$1807,A20,B_INPUT_RESERVOIR!$C$4:$C$1807,B20)))</f>
        <v>0</v>
      </c>
      <c r="P20" s="12">
        <f>IF(C20=0,"",SUMIFS(B_INPUT_RESERVOIR!$H$4:$H$1807,B_INPUT_RESERVOIR!$A$4:$A$1807,A20,B_INPUT_RESERVOIR!$C$4:$C$1807,B20,B_INPUT_RESERVOIR!$D$4:$D$1807,12))</f>
        <v>0</v>
      </c>
      <c r="Q20" s="13" t="str">
        <f t="shared" si="4"/>
        <v>No failure</v>
      </c>
    </row>
    <row r="21" spans="1:17" x14ac:dyDescent="0.25">
      <c r="A21" s="4" t="s">
        <v>96</v>
      </c>
      <c r="B21" s="4">
        <v>2033</v>
      </c>
      <c r="C21" s="8">
        <f>COUNTIFS(B_INPUT_RESERVOIR!$A$4:$A$1807,A21,B_INPUT_RESERVOIR!$C$4:$C$1807,B21)</f>
        <v>12</v>
      </c>
      <c r="D21" s="12">
        <f>IF(C21=0,0,SUMIFS(B_INPUT_RESERVOIR!$E$4:$E$1807,B_INPUT_RESERVOIR!$A$4:$A$1807,A21,B_INPUT_RESERVOIR!$C$4:$C$1807,B21))</f>
        <v>0</v>
      </c>
      <c r="E21" s="12">
        <f>IF(C21=0,0,SUMIFS(B_INPUT_RESERVOIR!$J$4:$J$1807,B_INPUT_RESERVOIR!$A$4:$A$1807,A21,B_INPUT_RESERVOIR!$C$4:$C$1807,B21))</f>
        <v>0</v>
      </c>
      <c r="F21" s="12">
        <f>IF(C21=0,"",SUMIFS(B_INPUT_RESERVOIR!$G$4:$G$1807,B_INPUT_RESERVOIR!$A$4:$A$1807,A21,B_INPUT_RESERVOIR!$C$4:$C$1807,B21))</f>
        <v>0</v>
      </c>
      <c r="G21" s="12">
        <f>IF(C21=0,"",SUMIFS(B_INPUT_RESERVOIR!$F$4:$F$1807,B_INPUT_RESERVOIR!$A$4:$A$1807,A21,B_INPUT_RESERVOIR!$C$4:$C$1807,B21))</f>
        <v>0</v>
      </c>
      <c r="H21" s="8">
        <f>IF(C21=0,"",SUMIFS(B_INPUT_RESERVOIR!$K$4:$K$1807,B_INPUT_RESERVOIR!$A$4:$A$1807,A21,B_INPUT_RESERVOIR!$C$4:$C$1807,B21))</f>
        <v>0</v>
      </c>
      <c r="I21" s="10">
        <f t="shared" si="2"/>
        <v>1</v>
      </c>
      <c r="J21" s="10" t="str">
        <f t="shared" si="0"/>
        <v/>
      </c>
      <c r="K21" s="10">
        <f>IF(H21=0,0,SUMIFS(B_INPUT_RESERVOIR!$L$4:$L$1807,B_INPUT_RESERVOIR!$A$4:$A$1807,A21,B_INPUT_RESERVOIR!$C$4:$C$1807,B21)/H21)</f>
        <v>0</v>
      </c>
      <c r="L21" s="10">
        <f t="shared" si="3"/>
        <v>1</v>
      </c>
      <c r="M21" s="10">
        <f>IF(SUMIFS(B_INPUT_RESERVOIR!$N$4:$N$1807,B_INPUT_RESERVOIR!$A$4:$A$1807,A21,B_INPUT_RESERVOIR!$C$4:$C$1807,B21)=0,1,SUMIFS(B_INPUT_RESERVOIR!$O$4:$O$1807,B_INPUT_RESERVOIR!$A$4:$A$1807,A21,B_INPUT_RESERVOIR!$C$4:$C$1807,B21)/SUMIFS(B_INPUT_RESERVOIR!$N$4:$N$1807,B_INPUT_RESERVOIR!$A$4:$A$1807,A21,B_INPUT_RESERVOIR!$C$4:$C$1807,B21))</f>
        <v>1</v>
      </c>
      <c r="N21" s="8">
        <f t="shared" si="1"/>
        <v>0</v>
      </c>
      <c r="O21" s="12">
        <f>_xlfn.SINGLE(IF(C21=0,"",_xlfn.MINIFS(B_INPUT_RESERVOIR!$H$4:$H$1807,B_INPUT_RESERVOIR!$A$4:$A$1807,A21,B_INPUT_RESERVOIR!$C$4:$C$1807,B21)))</f>
        <v>0</v>
      </c>
      <c r="P21" s="12">
        <f>IF(C21=0,"",SUMIFS(B_INPUT_RESERVOIR!$H$4:$H$1807,B_INPUT_RESERVOIR!$A$4:$A$1807,A21,B_INPUT_RESERVOIR!$C$4:$C$1807,B21,B_INPUT_RESERVOIR!$D$4:$D$1807,12))</f>
        <v>0</v>
      </c>
      <c r="Q21" s="13" t="str">
        <f t="shared" si="4"/>
        <v>No failure</v>
      </c>
    </row>
    <row r="22" spans="1:17" x14ac:dyDescent="0.25">
      <c r="A22" s="4" t="s">
        <v>96</v>
      </c>
      <c r="B22" s="4">
        <v>2034</v>
      </c>
      <c r="C22" s="8">
        <f>COUNTIFS(B_INPUT_RESERVOIR!$A$4:$A$1807,A22,B_INPUT_RESERVOIR!$C$4:$C$1807,B22)</f>
        <v>12</v>
      </c>
      <c r="D22" s="12">
        <f>IF(C22=0,0,SUMIFS(B_INPUT_RESERVOIR!$E$4:$E$1807,B_INPUT_RESERVOIR!$A$4:$A$1807,A22,B_INPUT_RESERVOIR!$C$4:$C$1807,B22))</f>
        <v>0</v>
      </c>
      <c r="E22" s="12">
        <f>IF(C22=0,0,SUMIFS(B_INPUT_RESERVOIR!$J$4:$J$1807,B_INPUT_RESERVOIR!$A$4:$A$1807,A22,B_INPUT_RESERVOIR!$C$4:$C$1807,B22))</f>
        <v>0</v>
      </c>
      <c r="F22" s="12">
        <f>IF(C22=0,"",SUMIFS(B_INPUT_RESERVOIR!$G$4:$G$1807,B_INPUT_RESERVOIR!$A$4:$A$1807,A22,B_INPUT_RESERVOIR!$C$4:$C$1807,B22))</f>
        <v>0</v>
      </c>
      <c r="G22" s="12">
        <f>IF(C22=0,"",SUMIFS(B_INPUT_RESERVOIR!$F$4:$F$1807,B_INPUT_RESERVOIR!$A$4:$A$1807,A22,B_INPUT_RESERVOIR!$C$4:$C$1807,B22))</f>
        <v>0</v>
      </c>
      <c r="H22" s="8">
        <f>IF(C22=0,"",SUMIFS(B_INPUT_RESERVOIR!$K$4:$K$1807,B_INPUT_RESERVOIR!$A$4:$A$1807,A22,B_INPUT_RESERVOIR!$C$4:$C$1807,B22))</f>
        <v>0</v>
      </c>
      <c r="I22" s="10">
        <f t="shared" si="2"/>
        <v>1</v>
      </c>
      <c r="J22" s="10" t="str">
        <f t="shared" si="0"/>
        <v/>
      </c>
      <c r="K22" s="10">
        <f>IF(H22=0,0,SUMIFS(B_INPUT_RESERVOIR!$L$4:$L$1807,B_INPUT_RESERVOIR!$A$4:$A$1807,A22,B_INPUT_RESERVOIR!$C$4:$C$1807,B22)/H22)</f>
        <v>0</v>
      </c>
      <c r="L22" s="10">
        <f t="shared" si="3"/>
        <v>1</v>
      </c>
      <c r="M22" s="10">
        <f>IF(SUMIFS(B_INPUT_RESERVOIR!$N$4:$N$1807,B_INPUT_RESERVOIR!$A$4:$A$1807,A22,B_INPUT_RESERVOIR!$C$4:$C$1807,B22)=0,1,SUMIFS(B_INPUT_RESERVOIR!$O$4:$O$1807,B_INPUT_RESERVOIR!$A$4:$A$1807,A22,B_INPUT_RESERVOIR!$C$4:$C$1807,B22)/SUMIFS(B_INPUT_RESERVOIR!$N$4:$N$1807,B_INPUT_RESERVOIR!$A$4:$A$1807,A22,B_INPUT_RESERVOIR!$C$4:$C$1807,B22))</f>
        <v>1</v>
      </c>
      <c r="N22" s="8">
        <f t="shared" si="1"/>
        <v>0</v>
      </c>
      <c r="O22" s="12">
        <f>_xlfn.SINGLE(IF(C22=0,"",_xlfn.MINIFS(B_INPUT_RESERVOIR!$H$4:$H$1807,B_INPUT_RESERVOIR!$A$4:$A$1807,A22,B_INPUT_RESERVOIR!$C$4:$C$1807,B22)))</f>
        <v>0</v>
      </c>
      <c r="P22" s="12">
        <f>IF(C22=0,"",SUMIFS(B_INPUT_RESERVOIR!$H$4:$H$1807,B_INPUT_RESERVOIR!$A$4:$A$1807,A22,B_INPUT_RESERVOIR!$C$4:$C$1807,B22,B_INPUT_RESERVOIR!$D$4:$D$1807,12))</f>
        <v>0</v>
      </c>
      <c r="Q22" s="13" t="str">
        <f t="shared" si="4"/>
        <v>No failure</v>
      </c>
    </row>
    <row r="23" spans="1:17" x14ac:dyDescent="0.25">
      <c r="A23" s="4" t="s">
        <v>96</v>
      </c>
      <c r="B23" s="4">
        <v>2035</v>
      </c>
      <c r="C23" s="8">
        <f>COUNTIFS(B_INPUT_RESERVOIR!$A$4:$A$1807,A23,B_INPUT_RESERVOIR!$C$4:$C$1807,B23)</f>
        <v>12</v>
      </c>
      <c r="D23" s="12">
        <f>IF(C23=0,0,SUMIFS(B_INPUT_RESERVOIR!$E$4:$E$1807,B_INPUT_RESERVOIR!$A$4:$A$1807,A23,B_INPUT_RESERVOIR!$C$4:$C$1807,B23))</f>
        <v>0</v>
      </c>
      <c r="E23" s="12">
        <f>IF(C23=0,0,SUMIFS(B_INPUT_RESERVOIR!$J$4:$J$1807,B_INPUT_RESERVOIR!$A$4:$A$1807,A23,B_INPUT_RESERVOIR!$C$4:$C$1807,B23))</f>
        <v>0</v>
      </c>
      <c r="F23" s="12">
        <f>IF(C23=0,"",SUMIFS(B_INPUT_RESERVOIR!$G$4:$G$1807,B_INPUT_RESERVOIR!$A$4:$A$1807,A23,B_INPUT_RESERVOIR!$C$4:$C$1807,B23))</f>
        <v>0</v>
      </c>
      <c r="G23" s="12">
        <f>IF(C23=0,"",SUMIFS(B_INPUT_RESERVOIR!$F$4:$F$1807,B_INPUT_RESERVOIR!$A$4:$A$1807,A23,B_INPUT_RESERVOIR!$C$4:$C$1807,B23))</f>
        <v>0</v>
      </c>
      <c r="H23" s="8">
        <f>IF(C23=0,"",SUMIFS(B_INPUT_RESERVOIR!$K$4:$K$1807,B_INPUT_RESERVOIR!$A$4:$A$1807,A23,B_INPUT_RESERVOIR!$C$4:$C$1807,B23))</f>
        <v>0</v>
      </c>
      <c r="I23" s="10">
        <f t="shared" si="2"/>
        <v>1</v>
      </c>
      <c r="J23" s="10" t="str">
        <f t="shared" si="0"/>
        <v/>
      </c>
      <c r="K23" s="10">
        <f>IF(H23=0,0,SUMIFS(B_INPUT_RESERVOIR!$L$4:$L$1807,B_INPUT_RESERVOIR!$A$4:$A$1807,A23,B_INPUT_RESERVOIR!$C$4:$C$1807,B23)/H23)</f>
        <v>0</v>
      </c>
      <c r="L23" s="10">
        <f t="shared" si="3"/>
        <v>1</v>
      </c>
      <c r="M23" s="10">
        <f>IF(SUMIFS(B_INPUT_RESERVOIR!$N$4:$N$1807,B_INPUT_RESERVOIR!$A$4:$A$1807,A23,B_INPUT_RESERVOIR!$C$4:$C$1807,B23)=0,1,SUMIFS(B_INPUT_RESERVOIR!$O$4:$O$1807,B_INPUT_RESERVOIR!$A$4:$A$1807,A23,B_INPUT_RESERVOIR!$C$4:$C$1807,B23)/SUMIFS(B_INPUT_RESERVOIR!$N$4:$N$1807,B_INPUT_RESERVOIR!$A$4:$A$1807,A23,B_INPUT_RESERVOIR!$C$4:$C$1807,B23))</f>
        <v>1</v>
      </c>
      <c r="N23" s="8">
        <f t="shared" si="1"/>
        <v>0</v>
      </c>
      <c r="O23" s="12">
        <f>_xlfn.SINGLE(IF(C23=0,"",_xlfn.MINIFS(B_INPUT_RESERVOIR!$H$4:$H$1807,B_INPUT_RESERVOIR!$A$4:$A$1807,A23,B_INPUT_RESERVOIR!$C$4:$C$1807,B23)))</f>
        <v>0</v>
      </c>
      <c r="P23" s="12">
        <f>IF(C23=0,"",SUMIFS(B_INPUT_RESERVOIR!$H$4:$H$1807,B_INPUT_RESERVOIR!$A$4:$A$1807,A23,B_INPUT_RESERVOIR!$C$4:$C$1807,B23,B_INPUT_RESERVOIR!$D$4:$D$1807,12))</f>
        <v>0</v>
      </c>
      <c r="Q23" s="13" t="str">
        <f t="shared" si="4"/>
        <v>No failure</v>
      </c>
    </row>
    <row r="24" spans="1:17" x14ac:dyDescent="0.25">
      <c r="A24" s="4" t="s">
        <v>96</v>
      </c>
      <c r="B24" s="4">
        <v>2036</v>
      </c>
      <c r="C24" s="8">
        <f>COUNTIFS(B_INPUT_RESERVOIR!$A$4:$A$1807,A24,B_INPUT_RESERVOIR!$C$4:$C$1807,B24)</f>
        <v>12</v>
      </c>
      <c r="D24" s="12">
        <f>IF(C24=0,0,SUMIFS(B_INPUT_RESERVOIR!$E$4:$E$1807,B_INPUT_RESERVOIR!$A$4:$A$1807,A24,B_INPUT_RESERVOIR!$C$4:$C$1807,B24))</f>
        <v>0</v>
      </c>
      <c r="E24" s="12">
        <f>IF(C24=0,0,SUMIFS(B_INPUT_RESERVOIR!$J$4:$J$1807,B_INPUT_RESERVOIR!$A$4:$A$1807,A24,B_INPUT_RESERVOIR!$C$4:$C$1807,B24))</f>
        <v>0</v>
      </c>
      <c r="F24" s="12">
        <f>IF(C24=0,"",SUMIFS(B_INPUT_RESERVOIR!$G$4:$G$1807,B_INPUT_RESERVOIR!$A$4:$A$1807,A24,B_INPUT_RESERVOIR!$C$4:$C$1807,B24))</f>
        <v>0</v>
      </c>
      <c r="G24" s="12">
        <f>IF(C24=0,"",SUMIFS(B_INPUT_RESERVOIR!$F$4:$F$1807,B_INPUT_RESERVOIR!$A$4:$A$1807,A24,B_INPUT_RESERVOIR!$C$4:$C$1807,B24))</f>
        <v>0</v>
      </c>
      <c r="H24" s="8">
        <f>IF(C24=0,"",SUMIFS(B_INPUT_RESERVOIR!$K$4:$K$1807,B_INPUT_RESERVOIR!$A$4:$A$1807,A24,B_INPUT_RESERVOIR!$C$4:$C$1807,B24))</f>
        <v>0</v>
      </c>
      <c r="I24" s="10">
        <f t="shared" si="2"/>
        <v>1</v>
      </c>
      <c r="J24" s="10" t="str">
        <f t="shared" si="0"/>
        <v/>
      </c>
      <c r="K24" s="10">
        <f>IF(H24=0,0,SUMIFS(B_INPUT_RESERVOIR!$L$4:$L$1807,B_INPUT_RESERVOIR!$A$4:$A$1807,A24,B_INPUT_RESERVOIR!$C$4:$C$1807,B24)/H24)</f>
        <v>0</v>
      </c>
      <c r="L24" s="10">
        <f t="shared" si="3"/>
        <v>1</v>
      </c>
      <c r="M24" s="10">
        <f>IF(SUMIFS(B_INPUT_RESERVOIR!$N$4:$N$1807,B_INPUT_RESERVOIR!$A$4:$A$1807,A24,B_INPUT_RESERVOIR!$C$4:$C$1807,B24)=0,1,SUMIFS(B_INPUT_RESERVOIR!$O$4:$O$1807,B_INPUT_RESERVOIR!$A$4:$A$1807,A24,B_INPUT_RESERVOIR!$C$4:$C$1807,B24)/SUMIFS(B_INPUT_RESERVOIR!$N$4:$N$1807,B_INPUT_RESERVOIR!$A$4:$A$1807,A24,B_INPUT_RESERVOIR!$C$4:$C$1807,B24))</f>
        <v>1</v>
      </c>
      <c r="N24" s="8">
        <f t="shared" si="1"/>
        <v>0</v>
      </c>
      <c r="O24" s="12">
        <f>_xlfn.SINGLE(IF(C24=0,"",_xlfn.MINIFS(B_INPUT_RESERVOIR!$H$4:$H$1807,B_INPUT_RESERVOIR!$A$4:$A$1807,A24,B_INPUT_RESERVOIR!$C$4:$C$1807,B24)))</f>
        <v>0</v>
      </c>
      <c r="P24" s="12">
        <f>IF(C24=0,"",SUMIFS(B_INPUT_RESERVOIR!$H$4:$H$1807,B_INPUT_RESERVOIR!$A$4:$A$1807,A24,B_INPUT_RESERVOIR!$C$4:$C$1807,B24,B_INPUT_RESERVOIR!$D$4:$D$1807,12))</f>
        <v>0</v>
      </c>
      <c r="Q24" s="13" t="str">
        <f t="shared" si="4"/>
        <v>No failure</v>
      </c>
    </row>
    <row r="25" spans="1:17" x14ac:dyDescent="0.25">
      <c r="A25" s="4" t="s">
        <v>96</v>
      </c>
      <c r="B25" s="4">
        <v>2037</v>
      </c>
      <c r="C25" s="8">
        <f>COUNTIFS(B_INPUT_RESERVOIR!$A$4:$A$1807,A25,B_INPUT_RESERVOIR!$C$4:$C$1807,B25)</f>
        <v>12</v>
      </c>
      <c r="D25" s="12">
        <f>IF(C25=0,0,SUMIFS(B_INPUT_RESERVOIR!$E$4:$E$1807,B_INPUT_RESERVOIR!$A$4:$A$1807,A25,B_INPUT_RESERVOIR!$C$4:$C$1807,B25))</f>
        <v>0</v>
      </c>
      <c r="E25" s="12">
        <f>IF(C25=0,0,SUMIFS(B_INPUT_RESERVOIR!$J$4:$J$1807,B_INPUT_RESERVOIR!$A$4:$A$1807,A25,B_INPUT_RESERVOIR!$C$4:$C$1807,B25))</f>
        <v>0</v>
      </c>
      <c r="F25" s="12">
        <f>IF(C25=0,"",SUMIFS(B_INPUT_RESERVOIR!$G$4:$G$1807,B_INPUT_RESERVOIR!$A$4:$A$1807,A25,B_INPUT_RESERVOIR!$C$4:$C$1807,B25))</f>
        <v>0</v>
      </c>
      <c r="G25" s="12">
        <f>IF(C25=0,"",SUMIFS(B_INPUT_RESERVOIR!$F$4:$F$1807,B_INPUT_RESERVOIR!$A$4:$A$1807,A25,B_INPUT_RESERVOIR!$C$4:$C$1807,B25))</f>
        <v>0</v>
      </c>
      <c r="H25" s="8">
        <f>IF(C25=0,"",SUMIFS(B_INPUT_RESERVOIR!$K$4:$K$1807,B_INPUT_RESERVOIR!$A$4:$A$1807,A25,B_INPUT_RESERVOIR!$C$4:$C$1807,B25))</f>
        <v>0</v>
      </c>
      <c r="I25" s="10">
        <f t="shared" si="2"/>
        <v>1</v>
      </c>
      <c r="J25" s="10" t="str">
        <f t="shared" si="0"/>
        <v/>
      </c>
      <c r="K25" s="10">
        <f>IF(H25=0,0,SUMIFS(B_INPUT_RESERVOIR!$L$4:$L$1807,B_INPUT_RESERVOIR!$A$4:$A$1807,A25,B_INPUT_RESERVOIR!$C$4:$C$1807,B25)/H25)</f>
        <v>0</v>
      </c>
      <c r="L25" s="10">
        <f t="shared" si="3"/>
        <v>1</v>
      </c>
      <c r="M25" s="10">
        <f>IF(SUMIFS(B_INPUT_RESERVOIR!$N$4:$N$1807,B_INPUT_RESERVOIR!$A$4:$A$1807,A25,B_INPUT_RESERVOIR!$C$4:$C$1807,B25)=0,1,SUMIFS(B_INPUT_RESERVOIR!$O$4:$O$1807,B_INPUT_RESERVOIR!$A$4:$A$1807,A25,B_INPUT_RESERVOIR!$C$4:$C$1807,B25)/SUMIFS(B_INPUT_RESERVOIR!$N$4:$N$1807,B_INPUT_RESERVOIR!$A$4:$A$1807,A25,B_INPUT_RESERVOIR!$C$4:$C$1807,B25))</f>
        <v>1</v>
      </c>
      <c r="N25" s="8">
        <f t="shared" si="1"/>
        <v>0</v>
      </c>
      <c r="O25" s="12">
        <f>_xlfn.SINGLE(IF(C25=0,"",_xlfn.MINIFS(B_INPUT_RESERVOIR!$H$4:$H$1807,B_INPUT_RESERVOIR!$A$4:$A$1807,A25,B_INPUT_RESERVOIR!$C$4:$C$1807,B25)))</f>
        <v>0</v>
      </c>
      <c r="P25" s="12">
        <f>IF(C25=0,"",SUMIFS(B_INPUT_RESERVOIR!$H$4:$H$1807,B_INPUT_RESERVOIR!$A$4:$A$1807,A25,B_INPUT_RESERVOIR!$C$4:$C$1807,B25,B_INPUT_RESERVOIR!$D$4:$D$1807,12))</f>
        <v>0</v>
      </c>
      <c r="Q25" s="13" t="str">
        <f t="shared" si="4"/>
        <v>No failure</v>
      </c>
    </row>
    <row r="26" spans="1:17" x14ac:dyDescent="0.25">
      <c r="A26" s="4" t="s">
        <v>96</v>
      </c>
      <c r="B26" s="4">
        <v>2038</v>
      </c>
      <c r="C26" s="8">
        <f>COUNTIFS(B_INPUT_RESERVOIR!$A$4:$A$1807,A26,B_INPUT_RESERVOIR!$C$4:$C$1807,B26)</f>
        <v>12</v>
      </c>
      <c r="D26" s="12">
        <f>IF(C26=0,0,SUMIFS(B_INPUT_RESERVOIR!$E$4:$E$1807,B_INPUT_RESERVOIR!$A$4:$A$1807,A26,B_INPUT_RESERVOIR!$C$4:$C$1807,B26))</f>
        <v>0</v>
      </c>
      <c r="E26" s="12">
        <f>IF(C26=0,0,SUMIFS(B_INPUT_RESERVOIR!$J$4:$J$1807,B_INPUT_RESERVOIR!$A$4:$A$1807,A26,B_INPUT_RESERVOIR!$C$4:$C$1807,B26))</f>
        <v>0</v>
      </c>
      <c r="F26" s="12">
        <f>IF(C26=0,"",SUMIFS(B_INPUT_RESERVOIR!$G$4:$G$1807,B_INPUT_RESERVOIR!$A$4:$A$1807,A26,B_INPUT_RESERVOIR!$C$4:$C$1807,B26))</f>
        <v>0</v>
      </c>
      <c r="G26" s="12">
        <f>IF(C26=0,"",SUMIFS(B_INPUT_RESERVOIR!$F$4:$F$1807,B_INPUT_RESERVOIR!$A$4:$A$1807,A26,B_INPUT_RESERVOIR!$C$4:$C$1807,B26))</f>
        <v>0</v>
      </c>
      <c r="H26" s="8">
        <f>IF(C26=0,"",SUMIFS(B_INPUT_RESERVOIR!$K$4:$K$1807,B_INPUT_RESERVOIR!$A$4:$A$1807,A26,B_INPUT_RESERVOIR!$C$4:$C$1807,B26))</f>
        <v>0</v>
      </c>
      <c r="I26" s="10">
        <f t="shared" si="2"/>
        <v>1</v>
      </c>
      <c r="J26" s="10" t="str">
        <f t="shared" si="0"/>
        <v/>
      </c>
      <c r="K26" s="10">
        <f>IF(H26=0,0,SUMIFS(B_INPUT_RESERVOIR!$L$4:$L$1807,B_INPUT_RESERVOIR!$A$4:$A$1807,A26,B_INPUT_RESERVOIR!$C$4:$C$1807,B26)/H26)</f>
        <v>0</v>
      </c>
      <c r="L26" s="10">
        <f t="shared" si="3"/>
        <v>1</v>
      </c>
      <c r="M26" s="10">
        <f>IF(SUMIFS(B_INPUT_RESERVOIR!$N$4:$N$1807,B_INPUT_RESERVOIR!$A$4:$A$1807,A26,B_INPUT_RESERVOIR!$C$4:$C$1807,B26)=0,1,SUMIFS(B_INPUT_RESERVOIR!$O$4:$O$1807,B_INPUT_RESERVOIR!$A$4:$A$1807,A26,B_INPUT_RESERVOIR!$C$4:$C$1807,B26)/SUMIFS(B_INPUT_RESERVOIR!$N$4:$N$1807,B_INPUT_RESERVOIR!$A$4:$A$1807,A26,B_INPUT_RESERVOIR!$C$4:$C$1807,B26))</f>
        <v>1</v>
      </c>
      <c r="N26" s="8">
        <f t="shared" si="1"/>
        <v>0</v>
      </c>
      <c r="O26" s="12">
        <f>_xlfn.SINGLE(IF(C26=0,"",_xlfn.MINIFS(B_INPUT_RESERVOIR!$H$4:$H$1807,B_INPUT_RESERVOIR!$A$4:$A$1807,A26,B_INPUT_RESERVOIR!$C$4:$C$1807,B26)))</f>
        <v>0</v>
      </c>
      <c r="P26" s="12">
        <f>IF(C26=0,"",SUMIFS(B_INPUT_RESERVOIR!$H$4:$H$1807,B_INPUT_RESERVOIR!$A$4:$A$1807,A26,B_INPUT_RESERVOIR!$C$4:$C$1807,B26,B_INPUT_RESERVOIR!$D$4:$D$1807,12))</f>
        <v>0</v>
      </c>
      <c r="Q26" s="13" t="str">
        <f t="shared" si="4"/>
        <v>No failure</v>
      </c>
    </row>
    <row r="27" spans="1:17" x14ac:dyDescent="0.25">
      <c r="A27" s="4" t="s">
        <v>96</v>
      </c>
      <c r="B27" s="4">
        <v>2039</v>
      </c>
      <c r="C27" s="8">
        <f>COUNTIFS(B_INPUT_RESERVOIR!$A$4:$A$1807,A27,B_INPUT_RESERVOIR!$C$4:$C$1807,B27)</f>
        <v>12</v>
      </c>
      <c r="D27" s="12">
        <f>IF(C27=0,0,SUMIFS(B_INPUT_RESERVOIR!$E$4:$E$1807,B_INPUT_RESERVOIR!$A$4:$A$1807,A27,B_INPUT_RESERVOIR!$C$4:$C$1807,B27))</f>
        <v>0</v>
      </c>
      <c r="E27" s="12">
        <f>IF(C27=0,0,SUMIFS(B_INPUT_RESERVOIR!$J$4:$J$1807,B_INPUT_RESERVOIR!$A$4:$A$1807,A27,B_INPUT_RESERVOIR!$C$4:$C$1807,B27))</f>
        <v>0</v>
      </c>
      <c r="F27" s="12">
        <f>IF(C27=0,"",SUMIFS(B_INPUT_RESERVOIR!$G$4:$G$1807,B_INPUT_RESERVOIR!$A$4:$A$1807,A27,B_INPUT_RESERVOIR!$C$4:$C$1807,B27))</f>
        <v>0</v>
      </c>
      <c r="G27" s="12">
        <f>IF(C27=0,"",SUMIFS(B_INPUT_RESERVOIR!$F$4:$F$1807,B_INPUT_RESERVOIR!$A$4:$A$1807,A27,B_INPUT_RESERVOIR!$C$4:$C$1807,B27))</f>
        <v>0</v>
      </c>
      <c r="H27" s="8">
        <f>IF(C27=0,"",SUMIFS(B_INPUT_RESERVOIR!$K$4:$K$1807,B_INPUT_RESERVOIR!$A$4:$A$1807,A27,B_INPUT_RESERVOIR!$C$4:$C$1807,B27))</f>
        <v>0</v>
      </c>
      <c r="I27" s="10">
        <f t="shared" si="2"/>
        <v>1</v>
      </c>
      <c r="J27" s="10" t="str">
        <f t="shared" si="0"/>
        <v/>
      </c>
      <c r="K27" s="10">
        <f>IF(H27=0,0,SUMIFS(B_INPUT_RESERVOIR!$L$4:$L$1807,B_INPUT_RESERVOIR!$A$4:$A$1807,A27,B_INPUT_RESERVOIR!$C$4:$C$1807,B27)/H27)</f>
        <v>0</v>
      </c>
      <c r="L27" s="10">
        <f t="shared" si="3"/>
        <v>1</v>
      </c>
      <c r="M27" s="10">
        <f>IF(SUMIFS(B_INPUT_RESERVOIR!$N$4:$N$1807,B_INPUT_RESERVOIR!$A$4:$A$1807,A27,B_INPUT_RESERVOIR!$C$4:$C$1807,B27)=0,1,SUMIFS(B_INPUT_RESERVOIR!$O$4:$O$1807,B_INPUT_RESERVOIR!$A$4:$A$1807,A27,B_INPUT_RESERVOIR!$C$4:$C$1807,B27)/SUMIFS(B_INPUT_RESERVOIR!$N$4:$N$1807,B_INPUT_RESERVOIR!$A$4:$A$1807,A27,B_INPUT_RESERVOIR!$C$4:$C$1807,B27))</f>
        <v>1</v>
      </c>
      <c r="N27" s="8">
        <f t="shared" si="1"/>
        <v>0</v>
      </c>
      <c r="O27" s="12">
        <f>_xlfn.SINGLE(IF(C27=0,"",_xlfn.MINIFS(B_INPUT_RESERVOIR!$H$4:$H$1807,B_INPUT_RESERVOIR!$A$4:$A$1807,A27,B_INPUT_RESERVOIR!$C$4:$C$1807,B27)))</f>
        <v>0</v>
      </c>
      <c r="P27" s="12">
        <f>IF(C27=0,"",SUMIFS(B_INPUT_RESERVOIR!$H$4:$H$1807,B_INPUT_RESERVOIR!$A$4:$A$1807,A27,B_INPUT_RESERVOIR!$C$4:$C$1807,B27,B_INPUT_RESERVOIR!$D$4:$D$1807,12))</f>
        <v>0</v>
      </c>
      <c r="Q27" s="13" t="str">
        <f t="shared" si="4"/>
        <v>No failure</v>
      </c>
    </row>
    <row r="28" spans="1:17" x14ac:dyDescent="0.25">
      <c r="A28" s="4" t="s">
        <v>96</v>
      </c>
      <c r="B28" s="4">
        <v>2040</v>
      </c>
      <c r="C28" s="8">
        <f>COUNTIFS(B_INPUT_RESERVOIR!$A$4:$A$1807,A28,B_INPUT_RESERVOIR!$C$4:$C$1807,B28)</f>
        <v>12</v>
      </c>
      <c r="D28" s="12">
        <f>IF(C28=0,0,SUMIFS(B_INPUT_RESERVOIR!$E$4:$E$1807,B_INPUT_RESERVOIR!$A$4:$A$1807,A28,B_INPUT_RESERVOIR!$C$4:$C$1807,B28))</f>
        <v>0</v>
      </c>
      <c r="E28" s="12">
        <f>IF(C28=0,0,SUMIFS(B_INPUT_RESERVOIR!$J$4:$J$1807,B_INPUT_RESERVOIR!$A$4:$A$1807,A28,B_INPUT_RESERVOIR!$C$4:$C$1807,B28))</f>
        <v>0</v>
      </c>
      <c r="F28" s="12">
        <f>IF(C28=0,"",SUMIFS(B_INPUT_RESERVOIR!$G$4:$G$1807,B_INPUT_RESERVOIR!$A$4:$A$1807,A28,B_INPUT_RESERVOIR!$C$4:$C$1807,B28))</f>
        <v>0</v>
      </c>
      <c r="G28" s="12">
        <f>IF(C28=0,"",SUMIFS(B_INPUT_RESERVOIR!$F$4:$F$1807,B_INPUT_RESERVOIR!$A$4:$A$1807,A28,B_INPUT_RESERVOIR!$C$4:$C$1807,B28))</f>
        <v>0</v>
      </c>
      <c r="H28" s="8">
        <f>IF(C28=0,"",SUMIFS(B_INPUT_RESERVOIR!$K$4:$K$1807,B_INPUT_RESERVOIR!$A$4:$A$1807,A28,B_INPUT_RESERVOIR!$C$4:$C$1807,B28))</f>
        <v>0</v>
      </c>
      <c r="I28" s="10">
        <f t="shared" si="2"/>
        <v>1</v>
      </c>
      <c r="J28" s="10" t="str">
        <f t="shared" si="0"/>
        <v/>
      </c>
      <c r="K28" s="10">
        <f>IF(H28=0,0,SUMIFS(B_INPUT_RESERVOIR!$L$4:$L$1807,B_INPUT_RESERVOIR!$A$4:$A$1807,A28,B_INPUT_RESERVOIR!$C$4:$C$1807,B28)/H28)</f>
        <v>0</v>
      </c>
      <c r="L28" s="10">
        <f t="shared" si="3"/>
        <v>1</v>
      </c>
      <c r="M28" s="10">
        <f>IF(SUMIFS(B_INPUT_RESERVOIR!$N$4:$N$1807,B_INPUT_RESERVOIR!$A$4:$A$1807,A28,B_INPUT_RESERVOIR!$C$4:$C$1807,B28)=0,1,SUMIFS(B_INPUT_RESERVOIR!$O$4:$O$1807,B_INPUT_RESERVOIR!$A$4:$A$1807,A28,B_INPUT_RESERVOIR!$C$4:$C$1807,B28)/SUMIFS(B_INPUT_RESERVOIR!$N$4:$N$1807,B_INPUT_RESERVOIR!$A$4:$A$1807,A28,B_INPUT_RESERVOIR!$C$4:$C$1807,B28))</f>
        <v>1</v>
      </c>
      <c r="N28" s="8">
        <f t="shared" si="1"/>
        <v>0</v>
      </c>
      <c r="O28" s="12">
        <f>_xlfn.SINGLE(IF(C28=0,"",_xlfn.MINIFS(B_INPUT_RESERVOIR!$H$4:$H$1807,B_INPUT_RESERVOIR!$A$4:$A$1807,A28,B_INPUT_RESERVOIR!$C$4:$C$1807,B28)))</f>
        <v>0</v>
      </c>
      <c r="P28" s="12">
        <f>IF(C28=0,"",SUMIFS(B_INPUT_RESERVOIR!$H$4:$H$1807,B_INPUT_RESERVOIR!$A$4:$A$1807,A28,B_INPUT_RESERVOIR!$C$4:$C$1807,B28,B_INPUT_RESERVOIR!$D$4:$D$1807,12))</f>
        <v>0</v>
      </c>
      <c r="Q28" s="13" t="str">
        <f t="shared" si="4"/>
        <v>No failure</v>
      </c>
    </row>
    <row r="29" spans="1:17" x14ac:dyDescent="0.25">
      <c r="A29" s="4" t="s">
        <v>96</v>
      </c>
      <c r="B29" s="4">
        <v>2041</v>
      </c>
      <c r="C29" s="8">
        <f>COUNTIFS(B_INPUT_RESERVOIR!$A$4:$A$1807,A29,B_INPUT_RESERVOIR!$C$4:$C$1807,B29)</f>
        <v>12</v>
      </c>
      <c r="D29" s="12">
        <f>IF(C29=0,0,SUMIFS(B_INPUT_RESERVOIR!$E$4:$E$1807,B_INPUT_RESERVOIR!$A$4:$A$1807,A29,B_INPUT_RESERVOIR!$C$4:$C$1807,B29))</f>
        <v>0</v>
      </c>
      <c r="E29" s="12">
        <f>IF(C29=0,0,SUMIFS(B_INPUT_RESERVOIR!$J$4:$J$1807,B_INPUT_RESERVOIR!$A$4:$A$1807,A29,B_INPUT_RESERVOIR!$C$4:$C$1807,B29))</f>
        <v>0</v>
      </c>
      <c r="F29" s="12">
        <f>IF(C29=0,"",SUMIFS(B_INPUT_RESERVOIR!$G$4:$G$1807,B_INPUT_RESERVOIR!$A$4:$A$1807,A29,B_INPUT_RESERVOIR!$C$4:$C$1807,B29))</f>
        <v>0</v>
      </c>
      <c r="G29" s="12">
        <f>IF(C29=0,"",SUMIFS(B_INPUT_RESERVOIR!$F$4:$F$1807,B_INPUT_RESERVOIR!$A$4:$A$1807,A29,B_INPUT_RESERVOIR!$C$4:$C$1807,B29))</f>
        <v>0</v>
      </c>
      <c r="H29" s="8">
        <f>IF(C29=0,"",SUMIFS(B_INPUT_RESERVOIR!$K$4:$K$1807,B_INPUT_RESERVOIR!$A$4:$A$1807,A29,B_INPUT_RESERVOIR!$C$4:$C$1807,B29))</f>
        <v>0</v>
      </c>
      <c r="I29" s="10">
        <f t="shared" si="2"/>
        <v>1</v>
      </c>
      <c r="J29" s="10" t="str">
        <f t="shared" si="0"/>
        <v/>
      </c>
      <c r="K29" s="10">
        <f>IF(H29=0,0,SUMIFS(B_INPUT_RESERVOIR!$L$4:$L$1807,B_INPUT_RESERVOIR!$A$4:$A$1807,A29,B_INPUT_RESERVOIR!$C$4:$C$1807,B29)/H29)</f>
        <v>0</v>
      </c>
      <c r="L29" s="10">
        <f t="shared" si="3"/>
        <v>1</v>
      </c>
      <c r="M29" s="10">
        <f>IF(SUMIFS(B_INPUT_RESERVOIR!$N$4:$N$1807,B_INPUT_RESERVOIR!$A$4:$A$1807,A29,B_INPUT_RESERVOIR!$C$4:$C$1807,B29)=0,1,SUMIFS(B_INPUT_RESERVOIR!$O$4:$O$1807,B_INPUT_RESERVOIR!$A$4:$A$1807,A29,B_INPUT_RESERVOIR!$C$4:$C$1807,B29)/SUMIFS(B_INPUT_RESERVOIR!$N$4:$N$1807,B_INPUT_RESERVOIR!$A$4:$A$1807,A29,B_INPUT_RESERVOIR!$C$4:$C$1807,B29))</f>
        <v>1</v>
      </c>
      <c r="N29" s="8">
        <f t="shared" si="1"/>
        <v>0</v>
      </c>
      <c r="O29" s="12">
        <f>_xlfn.SINGLE(IF(C29=0,"",_xlfn.MINIFS(B_INPUT_RESERVOIR!$H$4:$H$1807,B_INPUT_RESERVOIR!$A$4:$A$1807,A29,B_INPUT_RESERVOIR!$C$4:$C$1807,B29)))</f>
        <v>0</v>
      </c>
      <c r="P29" s="12">
        <f>IF(C29=0,"",SUMIFS(B_INPUT_RESERVOIR!$H$4:$H$1807,B_INPUT_RESERVOIR!$A$4:$A$1807,A29,B_INPUT_RESERVOIR!$C$4:$C$1807,B29,B_INPUT_RESERVOIR!$D$4:$D$1807,12))</f>
        <v>0</v>
      </c>
      <c r="Q29" s="13" t="str">
        <f t="shared" si="4"/>
        <v>No failure</v>
      </c>
    </row>
    <row r="30" spans="1:17" x14ac:dyDescent="0.25">
      <c r="A30" s="4" t="s">
        <v>96</v>
      </c>
      <c r="B30" s="4">
        <v>2042</v>
      </c>
      <c r="C30" s="8">
        <f>COUNTIFS(B_INPUT_RESERVOIR!$A$4:$A$1807,A30,B_INPUT_RESERVOIR!$C$4:$C$1807,B30)</f>
        <v>12</v>
      </c>
      <c r="D30" s="12">
        <f>IF(C30=0,0,SUMIFS(B_INPUT_RESERVOIR!$E$4:$E$1807,B_INPUT_RESERVOIR!$A$4:$A$1807,A30,B_INPUT_RESERVOIR!$C$4:$C$1807,B30))</f>
        <v>0</v>
      </c>
      <c r="E30" s="12">
        <f>IF(C30=0,0,SUMIFS(B_INPUT_RESERVOIR!$J$4:$J$1807,B_INPUT_RESERVOIR!$A$4:$A$1807,A30,B_INPUT_RESERVOIR!$C$4:$C$1807,B30))</f>
        <v>0</v>
      </c>
      <c r="F30" s="12">
        <f>IF(C30=0,"",SUMIFS(B_INPUT_RESERVOIR!$G$4:$G$1807,B_INPUT_RESERVOIR!$A$4:$A$1807,A30,B_INPUT_RESERVOIR!$C$4:$C$1807,B30))</f>
        <v>0</v>
      </c>
      <c r="G30" s="12">
        <f>IF(C30=0,"",SUMIFS(B_INPUT_RESERVOIR!$F$4:$F$1807,B_INPUT_RESERVOIR!$A$4:$A$1807,A30,B_INPUT_RESERVOIR!$C$4:$C$1807,B30))</f>
        <v>0</v>
      </c>
      <c r="H30" s="8">
        <f>IF(C30=0,"",SUMIFS(B_INPUT_RESERVOIR!$K$4:$K$1807,B_INPUT_RESERVOIR!$A$4:$A$1807,A30,B_INPUT_RESERVOIR!$C$4:$C$1807,B30))</f>
        <v>0</v>
      </c>
      <c r="I30" s="10">
        <f t="shared" si="2"/>
        <v>1</v>
      </c>
      <c r="J30" s="10" t="str">
        <f t="shared" si="0"/>
        <v/>
      </c>
      <c r="K30" s="10">
        <f>IF(H30=0,0,SUMIFS(B_INPUT_RESERVOIR!$L$4:$L$1807,B_INPUT_RESERVOIR!$A$4:$A$1807,A30,B_INPUT_RESERVOIR!$C$4:$C$1807,B30)/H30)</f>
        <v>0</v>
      </c>
      <c r="L30" s="10">
        <f t="shared" si="3"/>
        <v>1</v>
      </c>
      <c r="M30" s="10">
        <f>IF(SUMIFS(B_INPUT_RESERVOIR!$N$4:$N$1807,B_INPUT_RESERVOIR!$A$4:$A$1807,A30,B_INPUT_RESERVOIR!$C$4:$C$1807,B30)=0,1,SUMIFS(B_INPUT_RESERVOIR!$O$4:$O$1807,B_INPUT_RESERVOIR!$A$4:$A$1807,A30,B_INPUT_RESERVOIR!$C$4:$C$1807,B30)/SUMIFS(B_INPUT_RESERVOIR!$N$4:$N$1807,B_INPUT_RESERVOIR!$A$4:$A$1807,A30,B_INPUT_RESERVOIR!$C$4:$C$1807,B30))</f>
        <v>1</v>
      </c>
      <c r="N30" s="8">
        <f t="shared" si="1"/>
        <v>0</v>
      </c>
      <c r="O30" s="12">
        <f>_xlfn.SINGLE(IF(C30=0,"",_xlfn.MINIFS(B_INPUT_RESERVOIR!$H$4:$H$1807,B_INPUT_RESERVOIR!$A$4:$A$1807,A30,B_INPUT_RESERVOIR!$C$4:$C$1807,B30)))</f>
        <v>0</v>
      </c>
      <c r="P30" s="12">
        <f>IF(C30=0,"",SUMIFS(B_INPUT_RESERVOIR!$H$4:$H$1807,B_INPUT_RESERVOIR!$A$4:$A$1807,A30,B_INPUT_RESERVOIR!$C$4:$C$1807,B30,B_INPUT_RESERVOIR!$D$4:$D$1807,12))</f>
        <v>0</v>
      </c>
      <c r="Q30" s="13" t="str">
        <f t="shared" si="4"/>
        <v>No failure</v>
      </c>
    </row>
    <row r="31" spans="1:17" x14ac:dyDescent="0.25">
      <c r="A31" s="4" t="s">
        <v>96</v>
      </c>
      <c r="B31" s="4">
        <v>2043</v>
      </c>
      <c r="C31" s="8">
        <f>COUNTIFS(B_INPUT_RESERVOIR!$A$4:$A$1807,A31,B_INPUT_RESERVOIR!$C$4:$C$1807,B31)</f>
        <v>12</v>
      </c>
      <c r="D31" s="12">
        <f>IF(C31=0,0,SUMIFS(B_INPUT_RESERVOIR!$E$4:$E$1807,B_INPUT_RESERVOIR!$A$4:$A$1807,A31,B_INPUT_RESERVOIR!$C$4:$C$1807,B31))</f>
        <v>0</v>
      </c>
      <c r="E31" s="12">
        <f>IF(C31=0,0,SUMIFS(B_INPUT_RESERVOIR!$J$4:$J$1807,B_INPUT_RESERVOIR!$A$4:$A$1807,A31,B_INPUT_RESERVOIR!$C$4:$C$1807,B31))</f>
        <v>0</v>
      </c>
      <c r="F31" s="12">
        <f>IF(C31=0,"",SUMIFS(B_INPUT_RESERVOIR!$G$4:$G$1807,B_INPUT_RESERVOIR!$A$4:$A$1807,A31,B_INPUT_RESERVOIR!$C$4:$C$1807,B31))</f>
        <v>0</v>
      </c>
      <c r="G31" s="12">
        <f>IF(C31=0,"",SUMIFS(B_INPUT_RESERVOIR!$F$4:$F$1807,B_INPUT_RESERVOIR!$A$4:$A$1807,A31,B_INPUT_RESERVOIR!$C$4:$C$1807,B31))</f>
        <v>0</v>
      </c>
      <c r="H31" s="8">
        <f>IF(C31=0,"",SUMIFS(B_INPUT_RESERVOIR!$K$4:$K$1807,B_INPUT_RESERVOIR!$A$4:$A$1807,A31,B_INPUT_RESERVOIR!$C$4:$C$1807,B31))</f>
        <v>0</v>
      </c>
      <c r="I31" s="10">
        <f t="shared" si="2"/>
        <v>1</v>
      </c>
      <c r="J31" s="10" t="str">
        <f t="shared" si="0"/>
        <v/>
      </c>
      <c r="K31" s="10">
        <f>IF(H31=0,0,SUMIFS(B_INPUT_RESERVOIR!$L$4:$L$1807,B_INPUT_RESERVOIR!$A$4:$A$1807,A31,B_INPUT_RESERVOIR!$C$4:$C$1807,B31)/H31)</f>
        <v>0</v>
      </c>
      <c r="L31" s="10">
        <f t="shared" si="3"/>
        <v>1</v>
      </c>
      <c r="M31" s="10">
        <f>IF(SUMIFS(B_INPUT_RESERVOIR!$N$4:$N$1807,B_INPUT_RESERVOIR!$A$4:$A$1807,A31,B_INPUT_RESERVOIR!$C$4:$C$1807,B31)=0,1,SUMIFS(B_INPUT_RESERVOIR!$O$4:$O$1807,B_INPUT_RESERVOIR!$A$4:$A$1807,A31,B_INPUT_RESERVOIR!$C$4:$C$1807,B31)/SUMIFS(B_INPUT_RESERVOIR!$N$4:$N$1807,B_INPUT_RESERVOIR!$A$4:$A$1807,A31,B_INPUT_RESERVOIR!$C$4:$C$1807,B31))</f>
        <v>1</v>
      </c>
      <c r="N31" s="8">
        <f t="shared" si="1"/>
        <v>0</v>
      </c>
      <c r="O31" s="12">
        <f>_xlfn.SINGLE(IF(C31=0,"",_xlfn.MINIFS(B_INPUT_RESERVOIR!$H$4:$H$1807,B_INPUT_RESERVOIR!$A$4:$A$1807,A31,B_INPUT_RESERVOIR!$C$4:$C$1807,B31)))</f>
        <v>0</v>
      </c>
      <c r="P31" s="12">
        <f>IF(C31=0,"",SUMIFS(B_INPUT_RESERVOIR!$H$4:$H$1807,B_INPUT_RESERVOIR!$A$4:$A$1807,A31,B_INPUT_RESERVOIR!$C$4:$C$1807,B31,B_INPUT_RESERVOIR!$D$4:$D$1807,12))</f>
        <v>0</v>
      </c>
      <c r="Q31" s="13" t="str">
        <f t="shared" si="4"/>
        <v>No failure</v>
      </c>
    </row>
    <row r="32" spans="1:17" x14ac:dyDescent="0.25">
      <c r="A32" s="4" t="s">
        <v>96</v>
      </c>
      <c r="B32" s="4">
        <v>2044</v>
      </c>
      <c r="C32" s="8">
        <f>COUNTIFS(B_INPUT_RESERVOIR!$A$4:$A$1807,A32,B_INPUT_RESERVOIR!$C$4:$C$1807,B32)</f>
        <v>12</v>
      </c>
      <c r="D32" s="12">
        <f>IF(C32=0,0,SUMIFS(B_INPUT_RESERVOIR!$E$4:$E$1807,B_INPUT_RESERVOIR!$A$4:$A$1807,A32,B_INPUT_RESERVOIR!$C$4:$C$1807,B32))</f>
        <v>0</v>
      </c>
      <c r="E32" s="12">
        <f>IF(C32=0,0,SUMIFS(B_INPUT_RESERVOIR!$J$4:$J$1807,B_INPUT_RESERVOIR!$A$4:$A$1807,A32,B_INPUT_RESERVOIR!$C$4:$C$1807,B32))</f>
        <v>0</v>
      </c>
      <c r="F32" s="12">
        <f>IF(C32=0,"",SUMIFS(B_INPUT_RESERVOIR!$G$4:$G$1807,B_INPUT_RESERVOIR!$A$4:$A$1807,A32,B_INPUT_RESERVOIR!$C$4:$C$1807,B32))</f>
        <v>0</v>
      </c>
      <c r="G32" s="12">
        <f>IF(C32=0,"",SUMIFS(B_INPUT_RESERVOIR!$F$4:$F$1807,B_INPUT_RESERVOIR!$A$4:$A$1807,A32,B_INPUT_RESERVOIR!$C$4:$C$1807,B32))</f>
        <v>0</v>
      </c>
      <c r="H32" s="8">
        <f>IF(C32=0,"",SUMIFS(B_INPUT_RESERVOIR!$K$4:$K$1807,B_INPUT_RESERVOIR!$A$4:$A$1807,A32,B_INPUT_RESERVOIR!$C$4:$C$1807,B32))</f>
        <v>0</v>
      </c>
      <c r="I32" s="10">
        <f t="shared" si="2"/>
        <v>1</v>
      </c>
      <c r="J32" s="10" t="str">
        <f t="shared" si="0"/>
        <v/>
      </c>
      <c r="K32" s="10">
        <f>IF(H32=0,0,SUMIFS(B_INPUT_RESERVOIR!$L$4:$L$1807,B_INPUT_RESERVOIR!$A$4:$A$1807,A32,B_INPUT_RESERVOIR!$C$4:$C$1807,B32)/H32)</f>
        <v>0</v>
      </c>
      <c r="L32" s="10">
        <f t="shared" si="3"/>
        <v>1</v>
      </c>
      <c r="M32" s="10">
        <f>IF(SUMIFS(B_INPUT_RESERVOIR!$N$4:$N$1807,B_INPUT_RESERVOIR!$A$4:$A$1807,A32,B_INPUT_RESERVOIR!$C$4:$C$1807,B32)=0,1,SUMIFS(B_INPUT_RESERVOIR!$O$4:$O$1807,B_INPUT_RESERVOIR!$A$4:$A$1807,A32,B_INPUT_RESERVOIR!$C$4:$C$1807,B32)/SUMIFS(B_INPUT_RESERVOIR!$N$4:$N$1807,B_INPUT_RESERVOIR!$A$4:$A$1807,A32,B_INPUT_RESERVOIR!$C$4:$C$1807,B32))</f>
        <v>1</v>
      </c>
      <c r="N32" s="8">
        <f t="shared" si="1"/>
        <v>0</v>
      </c>
      <c r="O32" s="12">
        <f>_xlfn.SINGLE(IF(C32=0,"",_xlfn.MINIFS(B_INPUT_RESERVOIR!$H$4:$H$1807,B_INPUT_RESERVOIR!$A$4:$A$1807,A32,B_INPUT_RESERVOIR!$C$4:$C$1807,B32)))</f>
        <v>0</v>
      </c>
      <c r="P32" s="12">
        <f>IF(C32=0,"",SUMIFS(B_INPUT_RESERVOIR!$H$4:$H$1807,B_INPUT_RESERVOIR!$A$4:$A$1807,A32,B_INPUT_RESERVOIR!$C$4:$C$1807,B32,B_INPUT_RESERVOIR!$D$4:$D$1807,12))</f>
        <v>0</v>
      </c>
      <c r="Q32" s="13" t="str">
        <f t="shared" si="4"/>
        <v>No failure</v>
      </c>
    </row>
    <row r="33" spans="1:17" x14ac:dyDescent="0.25">
      <c r="A33" s="4" t="s">
        <v>96</v>
      </c>
      <c r="B33" s="4">
        <v>2045</v>
      </c>
      <c r="C33" s="8">
        <f>COUNTIFS(B_INPUT_RESERVOIR!$A$4:$A$1807,A33,B_INPUT_RESERVOIR!$C$4:$C$1807,B33)</f>
        <v>9</v>
      </c>
      <c r="D33" s="12">
        <f>IF(C33=0,0,SUMIFS(B_INPUT_RESERVOIR!$E$4:$E$1807,B_INPUT_RESERVOIR!$A$4:$A$1807,A33,B_INPUT_RESERVOIR!$C$4:$C$1807,B33))</f>
        <v>0</v>
      </c>
      <c r="E33" s="12">
        <f>IF(C33=0,0,SUMIFS(B_INPUT_RESERVOIR!$J$4:$J$1807,B_INPUT_RESERVOIR!$A$4:$A$1807,A33,B_INPUT_RESERVOIR!$C$4:$C$1807,B33))</f>
        <v>0</v>
      </c>
      <c r="F33" s="12">
        <f>IF(C33=0,"",SUMIFS(B_INPUT_RESERVOIR!$G$4:$G$1807,B_INPUT_RESERVOIR!$A$4:$A$1807,A33,B_INPUT_RESERVOIR!$C$4:$C$1807,B33))</f>
        <v>0</v>
      </c>
      <c r="G33" s="12">
        <f>IF(C33=0,"",SUMIFS(B_INPUT_RESERVOIR!$F$4:$F$1807,B_INPUT_RESERVOIR!$A$4:$A$1807,A33,B_INPUT_RESERVOIR!$C$4:$C$1807,B33))</f>
        <v>0</v>
      </c>
      <c r="H33" s="8">
        <f>IF(C33=0,"",SUMIFS(B_INPUT_RESERVOIR!$K$4:$K$1807,B_INPUT_RESERVOIR!$A$4:$A$1807,A33,B_INPUT_RESERVOIR!$C$4:$C$1807,B33))</f>
        <v>0</v>
      </c>
      <c r="I33" s="10">
        <f t="shared" si="2"/>
        <v>1</v>
      </c>
      <c r="J33" s="10" t="str">
        <f t="shared" si="0"/>
        <v/>
      </c>
      <c r="K33" s="10">
        <f>IF(H33=0,0,SUMIFS(B_INPUT_RESERVOIR!$L$4:$L$1807,B_INPUT_RESERVOIR!$A$4:$A$1807,A33,B_INPUT_RESERVOIR!$C$4:$C$1807,B33)/H33)</f>
        <v>0</v>
      </c>
      <c r="L33" s="10">
        <f t="shared" si="3"/>
        <v>1</v>
      </c>
      <c r="M33" s="10">
        <f>IF(SUMIFS(B_INPUT_RESERVOIR!$N$4:$N$1807,B_INPUT_RESERVOIR!$A$4:$A$1807,A33,B_INPUT_RESERVOIR!$C$4:$C$1807,B33)=0,1,SUMIFS(B_INPUT_RESERVOIR!$O$4:$O$1807,B_INPUT_RESERVOIR!$A$4:$A$1807,A33,B_INPUT_RESERVOIR!$C$4:$C$1807,B33)/SUMIFS(B_INPUT_RESERVOIR!$N$4:$N$1807,B_INPUT_RESERVOIR!$A$4:$A$1807,A33,B_INPUT_RESERVOIR!$C$4:$C$1807,B33))</f>
        <v>1</v>
      </c>
      <c r="N33" s="8">
        <f t="shared" si="1"/>
        <v>0</v>
      </c>
      <c r="O33" s="12">
        <f>_xlfn.SINGLE(IF(C33=0,"",_xlfn.MINIFS(B_INPUT_RESERVOIR!$H$4:$H$1807,B_INPUT_RESERVOIR!$A$4:$A$1807,A33,B_INPUT_RESERVOIR!$C$4:$C$1807,B33)))</f>
        <v>0</v>
      </c>
      <c r="P33" s="12">
        <f>IF(C33=0,"",SUMIFS(B_INPUT_RESERVOIR!$H$4:$H$1807,B_INPUT_RESERVOIR!$A$4:$A$1807,A33,B_INPUT_RESERVOIR!$C$4:$C$1807,B33,B_INPUT_RESERVOIR!$D$4:$D$1807,12))</f>
        <v>0</v>
      </c>
      <c r="Q33" s="13" t="str">
        <f t="shared" si="4"/>
        <v>No failure</v>
      </c>
    </row>
    <row r="34" spans="1:17" x14ac:dyDescent="0.25">
      <c r="A34" s="4" t="s">
        <v>97</v>
      </c>
      <c r="B34" s="4">
        <f>B4</f>
        <v>2016</v>
      </c>
      <c r="C34" s="8">
        <f>COUNTIFS(B_INPUT_RESERVOIR!$A$4:$A$1807,A34,B_INPUT_RESERVOIR!$C$4:$C$1807,B34)</f>
        <v>12</v>
      </c>
      <c r="D34" s="12">
        <f>IF(C34=0,0,SUMIFS(B_INPUT_RESERVOIR!$E$4:$E$1807,B_INPUT_RESERVOIR!$A$4:$A$1807,A34,B_INPUT_RESERVOIR!$C$4:$C$1807,B34))</f>
        <v>6898268.3366031256</v>
      </c>
      <c r="E34" s="12">
        <f>IF(C34=0,0,SUMIFS(B_INPUT_RESERVOIR!$J$4:$J$1807,B_INPUT_RESERVOIR!$A$4:$A$1807,A34,B_INPUT_RESERVOIR!$C$4:$C$1807,B34))</f>
        <v>6898268.3366031256</v>
      </c>
      <c r="F34" s="12">
        <f>IF(C34=0,"",SUMIFS(B_INPUT_RESERVOIR!$G$4:$G$1807,B_INPUT_RESERVOIR!$A$4:$A$1807,A34,B_INPUT_RESERVOIR!$C$4:$C$1807,B34))</f>
        <v>0</v>
      </c>
      <c r="G34" s="12">
        <f>IF(C34=0,"",SUMIFS(B_INPUT_RESERVOIR!$F$4:$F$1807,B_INPUT_RESERVOIR!$A$4:$A$1807,A34,B_INPUT_RESERVOIR!$C$4:$C$1807,B34))</f>
        <v>0</v>
      </c>
      <c r="H34" s="8">
        <f>IF(C34=0,"",SUMIFS(B_INPUT_RESERVOIR!$K$4:$K$1807,B_INPUT_RESERVOIR!$A$4:$A$1807,A34,B_INPUT_RESERVOIR!$C$4:$C$1807,B34))</f>
        <v>0</v>
      </c>
      <c r="I34" s="10">
        <f t="shared" si="2"/>
        <v>1</v>
      </c>
      <c r="J34" s="10">
        <f t="shared" si="0"/>
        <v>1</v>
      </c>
      <c r="K34" s="10">
        <f>IF(H34=0,0,SUMIFS(B_INPUT_RESERVOIR!$L$4:$L$1807,B_INPUT_RESERVOIR!$A$4:$A$1807,A34,B_INPUT_RESERVOIR!$C$4:$C$1807,B34)/H34)</f>
        <v>0</v>
      </c>
      <c r="L34" s="10">
        <f t="shared" si="3"/>
        <v>1</v>
      </c>
      <c r="M34" s="10">
        <f>IF(SUMIFS(B_INPUT_RESERVOIR!$N$4:$N$1807,B_INPUT_RESERVOIR!$A$4:$A$1807,A34,B_INPUT_RESERVOIR!$C$4:$C$1807,B34)=0,1,SUMIFS(B_INPUT_RESERVOIR!$O$4:$O$1807,B_INPUT_RESERVOIR!$A$4:$A$1807,A34,B_INPUT_RESERVOIR!$C$4:$C$1807,B34)/SUMIFS(B_INPUT_RESERVOIR!$N$4:$N$1807,B_INPUT_RESERVOIR!$A$4:$A$1807,A34,B_INPUT_RESERVOIR!$C$4:$C$1807,B34))</f>
        <v>1</v>
      </c>
      <c r="N34" s="8">
        <f t="shared" si="1"/>
        <v>0</v>
      </c>
      <c r="O34" s="12">
        <f>_xlfn.SINGLE(IF(C34=0,"",_xlfn.MINIFS(B_INPUT_RESERVOIR!$H$4:$H$1807,B_INPUT_RESERVOIR!$A$4:$A$1807,A34,B_INPUT_RESERVOIR!$C$4:$C$1807,B34)))</f>
        <v>31742152.88531867</v>
      </c>
      <c r="P34" s="12">
        <f>IF(C34=0,"",SUMIFS(B_INPUT_RESERVOIR!$H$4:$H$1807,B_INPUT_RESERVOIR!$A$4:$A$1807,A34,B_INPUT_RESERVOIR!$C$4:$C$1807,B34,B_INPUT_RESERVOIR!$D$4:$D$1807,12))</f>
        <v>32109213.834352925</v>
      </c>
      <c r="Q34" s="13" t="str">
        <f t="shared" si="4"/>
        <v>No failure</v>
      </c>
    </row>
    <row r="35" spans="1:17" x14ac:dyDescent="0.25">
      <c r="A35" s="4" t="s">
        <v>97</v>
      </c>
      <c r="B35" s="4">
        <f t="shared" ref="B35:B98" si="5">B5</f>
        <v>2017</v>
      </c>
      <c r="C35" s="8">
        <f>COUNTIFS(B_INPUT_RESERVOIR!$A$4:$A$1807,A35,B_INPUT_RESERVOIR!$C$4:$C$1807,B35)</f>
        <v>12</v>
      </c>
      <c r="D35" s="12">
        <f>IF(C35=0,0,SUMIFS(B_INPUT_RESERVOIR!$E$4:$E$1807,B_INPUT_RESERVOIR!$A$4:$A$1807,A35,B_INPUT_RESERVOIR!$C$4:$C$1807,B35))</f>
        <v>7507022.6194005301</v>
      </c>
      <c r="E35" s="12">
        <f>IF(C35=0,0,SUMIFS(B_INPUT_RESERVOIR!$J$4:$J$1807,B_INPUT_RESERVOIR!$A$4:$A$1807,A35,B_INPUT_RESERVOIR!$C$4:$C$1807,B35))</f>
        <v>7507022.6194005301</v>
      </c>
      <c r="F35" s="12">
        <f>IF(C35=0,"",SUMIFS(B_INPUT_RESERVOIR!$G$4:$G$1807,B_INPUT_RESERVOIR!$A$4:$A$1807,A35,B_INPUT_RESERVOIR!$C$4:$C$1807,B35))</f>
        <v>0</v>
      </c>
      <c r="G35" s="12">
        <f>IF(C35=0,"",SUMIFS(B_INPUT_RESERVOIR!$F$4:$F$1807,B_INPUT_RESERVOIR!$A$4:$A$1807,A35,B_INPUT_RESERVOIR!$C$4:$C$1807,B35))</f>
        <v>0</v>
      </c>
      <c r="H35" s="8">
        <f>IF(C35=0,"",SUMIFS(B_INPUT_RESERVOIR!$K$4:$K$1807,B_INPUT_RESERVOIR!$A$4:$A$1807,A35,B_INPUT_RESERVOIR!$C$4:$C$1807,B35))</f>
        <v>0</v>
      </c>
      <c r="I35" s="10">
        <f t="shared" si="2"/>
        <v>1</v>
      </c>
      <c r="J35" s="10">
        <f t="shared" si="0"/>
        <v>1</v>
      </c>
      <c r="K35" s="10">
        <f>IF(H35=0,0,SUMIFS(B_INPUT_RESERVOIR!$L$4:$L$1807,B_INPUT_RESERVOIR!$A$4:$A$1807,A35,B_INPUT_RESERVOIR!$C$4:$C$1807,B35)/H35)</f>
        <v>0</v>
      </c>
      <c r="L35" s="10">
        <f t="shared" si="3"/>
        <v>1</v>
      </c>
      <c r="M35" s="10">
        <f>IF(SUMIFS(B_INPUT_RESERVOIR!$N$4:$N$1807,B_INPUT_RESERVOIR!$A$4:$A$1807,A35,B_INPUT_RESERVOIR!$C$4:$C$1807,B35)=0,1,SUMIFS(B_INPUT_RESERVOIR!$O$4:$O$1807,B_INPUT_RESERVOIR!$A$4:$A$1807,A35,B_INPUT_RESERVOIR!$C$4:$C$1807,B35)/SUMIFS(B_INPUT_RESERVOIR!$N$4:$N$1807,B_INPUT_RESERVOIR!$A$4:$A$1807,A35,B_INPUT_RESERVOIR!$C$4:$C$1807,B35))</f>
        <v>1</v>
      </c>
      <c r="N35" s="8">
        <f t="shared" si="1"/>
        <v>0</v>
      </c>
      <c r="O35" s="12">
        <f>_xlfn.SINGLE(IF(C35=0,"",_xlfn.MINIFS(B_INPUT_RESERVOIR!$H$4:$H$1807,B_INPUT_RESERVOIR!$A$4:$A$1807,A35,B_INPUT_RESERVOIR!$C$4:$C$1807,B35)))</f>
        <v>22197066.14756215</v>
      </c>
      <c r="P35" s="12">
        <f>IF(C35=0,"",SUMIFS(B_INPUT_RESERVOIR!$H$4:$H$1807,B_INPUT_RESERVOIR!$A$4:$A$1807,A35,B_INPUT_RESERVOIR!$C$4:$C$1807,B35,B_INPUT_RESERVOIR!$D$4:$D$1807,12))</f>
        <v>22334815.113016501</v>
      </c>
      <c r="Q35" s="13" t="str">
        <f t="shared" si="4"/>
        <v>No failure</v>
      </c>
    </row>
    <row r="36" spans="1:17" x14ac:dyDescent="0.25">
      <c r="A36" s="4" t="s">
        <v>97</v>
      </c>
      <c r="B36" s="4">
        <f t="shared" si="5"/>
        <v>2018</v>
      </c>
      <c r="C36" s="8">
        <f>COUNTIFS(B_INPUT_RESERVOIR!$A$4:$A$1807,A36,B_INPUT_RESERVOIR!$C$4:$C$1807,B36)</f>
        <v>12</v>
      </c>
      <c r="D36" s="12">
        <f>IF(C36=0,0,SUMIFS(B_INPUT_RESERVOIR!$E$4:$E$1807,B_INPUT_RESERVOIR!$A$4:$A$1807,A36,B_INPUT_RESERVOIR!$C$4:$C$1807,B36))</f>
        <v>6349092.4322128715</v>
      </c>
      <c r="E36" s="12">
        <f>IF(C36=0,0,SUMIFS(B_INPUT_RESERVOIR!$J$4:$J$1807,B_INPUT_RESERVOIR!$A$4:$A$1807,A36,B_INPUT_RESERVOIR!$C$4:$C$1807,B36))</f>
        <v>6349092.4322128715</v>
      </c>
      <c r="F36" s="12">
        <f>IF(C36=0,"",SUMIFS(B_INPUT_RESERVOIR!$G$4:$G$1807,B_INPUT_RESERVOIR!$A$4:$A$1807,A36,B_INPUT_RESERVOIR!$C$4:$C$1807,B36))</f>
        <v>0</v>
      </c>
      <c r="G36" s="12">
        <f>IF(C36=0,"",SUMIFS(B_INPUT_RESERVOIR!$F$4:$F$1807,B_INPUT_RESERVOIR!$A$4:$A$1807,A36,B_INPUT_RESERVOIR!$C$4:$C$1807,B36))</f>
        <v>0</v>
      </c>
      <c r="H36" s="8">
        <f>IF(C36=0,"",SUMIFS(B_INPUT_RESERVOIR!$K$4:$K$1807,B_INPUT_RESERVOIR!$A$4:$A$1807,A36,B_INPUT_RESERVOIR!$C$4:$C$1807,B36))</f>
        <v>0</v>
      </c>
      <c r="I36" s="10">
        <f t="shared" si="2"/>
        <v>1</v>
      </c>
      <c r="J36" s="10">
        <f t="shared" ref="J36:J67" si="6">IF(D36=0,"",E36/D36)</f>
        <v>1</v>
      </c>
      <c r="K36" s="10">
        <f>IF(H36=0,0,SUMIFS(B_INPUT_RESERVOIR!$L$4:$L$1807,B_INPUT_RESERVOIR!$A$4:$A$1807,A36,B_INPUT_RESERVOIR!$C$4:$C$1807,B36)/H36)</f>
        <v>0</v>
      </c>
      <c r="L36" s="10">
        <f t="shared" si="3"/>
        <v>1</v>
      </c>
      <c r="M36" s="10">
        <f>IF(SUMIFS(B_INPUT_RESERVOIR!$N$4:$N$1807,B_INPUT_RESERVOIR!$A$4:$A$1807,A36,B_INPUT_RESERVOIR!$C$4:$C$1807,B36)=0,1,SUMIFS(B_INPUT_RESERVOIR!$O$4:$O$1807,B_INPUT_RESERVOIR!$A$4:$A$1807,A36,B_INPUT_RESERVOIR!$C$4:$C$1807,B36)/SUMIFS(B_INPUT_RESERVOIR!$N$4:$N$1807,B_INPUT_RESERVOIR!$A$4:$A$1807,A36,B_INPUT_RESERVOIR!$C$4:$C$1807,B36))</f>
        <v>1</v>
      </c>
      <c r="N36" s="8">
        <f t="shared" si="1"/>
        <v>0</v>
      </c>
      <c r="O36" s="12">
        <f>_xlfn.SINGLE(IF(C36=0,"",_xlfn.MINIFS(B_INPUT_RESERVOIR!$H$4:$H$1807,B_INPUT_RESERVOIR!$A$4:$A$1807,A36,B_INPUT_RESERVOIR!$C$4:$C$1807,B36)))</f>
        <v>22438566.693692449</v>
      </c>
      <c r="P36" s="12">
        <f>IF(C36=0,"",SUMIFS(B_INPUT_RESERVOIR!$H$4:$H$1807,B_INPUT_RESERVOIR!$A$4:$A$1807,A36,B_INPUT_RESERVOIR!$C$4:$C$1807,B36,B_INPUT_RESERVOIR!$D$4:$D$1807,12))</f>
        <v>24205187.921610635</v>
      </c>
      <c r="Q36" s="13" t="str">
        <f t="shared" ref="Q36:Q67" si="7">IF(C36=0,"No data",IF(H36&gt;0,"Failure year","No failure"))</f>
        <v>No failure</v>
      </c>
    </row>
    <row r="37" spans="1:17" x14ac:dyDescent="0.25">
      <c r="A37" s="4" t="s">
        <v>97</v>
      </c>
      <c r="B37" s="4">
        <f t="shared" si="5"/>
        <v>2019</v>
      </c>
      <c r="C37" s="8">
        <f>COUNTIFS(B_INPUT_RESERVOIR!$A$4:$A$1807,A37,B_INPUT_RESERVOIR!$C$4:$C$1807,B37)</f>
        <v>12</v>
      </c>
      <c r="D37" s="12">
        <f>IF(C37=0,0,SUMIFS(B_INPUT_RESERVOIR!$E$4:$E$1807,B_INPUT_RESERVOIR!$A$4:$A$1807,A37,B_INPUT_RESERVOIR!$C$4:$C$1807,B37))</f>
        <v>7347550.4841923751</v>
      </c>
      <c r="E37" s="12">
        <f>IF(C37=0,0,SUMIFS(B_INPUT_RESERVOIR!$J$4:$J$1807,B_INPUT_RESERVOIR!$A$4:$A$1807,A37,B_INPUT_RESERVOIR!$C$4:$C$1807,B37))</f>
        <v>7347550.4841923751</v>
      </c>
      <c r="F37" s="12">
        <f>IF(C37=0,"",SUMIFS(B_INPUT_RESERVOIR!$G$4:$G$1807,B_INPUT_RESERVOIR!$A$4:$A$1807,A37,B_INPUT_RESERVOIR!$C$4:$C$1807,B37))</f>
        <v>0</v>
      </c>
      <c r="G37" s="12">
        <f>IF(C37=0,"",SUMIFS(B_INPUT_RESERVOIR!$F$4:$F$1807,B_INPUT_RESERVOIR!$A$4:$A$1807,A37,B_INPUT_RESERVOIR!$C$4:$C$1807,B37))</f>
        <v>0</v>
      </c>
      <c r="H37" s="8">
        <f>IF(C37=0,"",SUMIFS(B_INPUT_RESERVOIR!$K$4:$K$1807,B_INPUT_RESERVOIR!$A$4:$A$1807,A37,B_INPUT_RESERVOIR!$C$4:$C$1807,B37))</f>
        <v>0</v>
      </c>
      <c r="I37" s="10">
        <f t="shared" si="2"/>
        <v>1</v>
      </c>
      <c r="J37" s="10">
        <f t="shared" si="6"/>
        <v>1</v>
      </c>
      <c r="K37" s="10">
        <f>IF(H37=0,0,SUMIFS(B_INPUT_RESERVOIR!$L$4:$L$1807,B_INPUT_RESERVOIR!$A$4:$A$1807,A37,B_INPUT_RESERVOIR!$C$4:$C$1807,B37)/H37)</f>
        <v>0</v>
      </c>
      <c r="L37" s="10">
        <f t="shared" si="3"/>
        <v>1</v>
      </c>
      <c r="M37" s="10">
        <f>IF(SUMIFS(B_INPUT_RESERVOIR!$N$4:$N$1807,B_INPUT_RESERVOIR!$A$4:$A$1807,A37,B_INPUT_RESERVOIR!$C$4:$C$1807,B37)=0,1,SUMIFS(B_INPUT_RESERVOIR!$O$4:$O$1807,B_INPUT_RESERVOIR!$A$4:$A$1807,A37,B_INPUT_RESERVOIR!$C$4:$C$1807,B37)/SUMIFS(B_INPUT_RESERVOIR!$N$4:$N$1807,B_INPUT_RESERVOIR!$A$4:$A$1807,A37,B_INPUT_RESERVOIR!$C$4:$C$1807,B37))</f>
        <v>1</v>
      </c>
      <c r="N37" s="8">
        <f t="shared" si="1"/>
        <v>0</v>
      </c>
      <c r="O37" s="12">
        <f>_xlfn.SINGLE(IF(C37=0,"",_xlfn.MINIFS(B_INPUT_RESERVOIR!$H$4:$H$1807,B_INPUT_RESERVOIR!$A$4:$A$1807,A37,B_INPUT_RESERVOIR!$C$4:$C$1807,B37)))</f>
        <v>14716902.796866158</v>
      </c>
      <c r="P37" s="12">
        <f>IF(C37=0,"",SUMIFS(B_INPUT_RESERVOIR!$H$4:$H$1807,B_INPUT_RESERVOIR!$A$4:$A$1807,A37,B_INPUT_RESERVOIR!$C$4:$C$1807,B37,B_INPUT_RESERVOIR!$D$4:$D$1807,12))</f>
        <v>17843994.161819473</v>
      </c>
      <c r="Q37" s="13" t="str">
        <f t="shared" si="7"/>
        <v>No failure</v>
      </c>
    </row>
    <row r="38" spans="1:17" x14ac:dyDescent="0.25">
      <c r="A38" s="4" t="s">
        <v>97</v>
      </c>
      <c r="B38" s="4">
        <f t="shared" si="5"/>
        <v>2020</v>
      </c>
      <c r="C38" s="8">
        <f>COUNTIFS(B_INPUT_RESERVOIR!$A$4:$A$1807,A38,B_INPUT_RESERVOIR!$C$4:$C$1807,B38)</f>
        <v>12</v>
      </c>
      <c r="D38" s="12">
        <f>IF(C38=0,0,SUMIFS(B_INPUT_RESERVOIR!$E$4:$E$1807,B_INPUT_RESERVOIR!$A$4:$A$1807,A38,B_INPUT_RESERVOIR!$C$4:$C$1807,B38))</f>
        <v>6652147.5079875588</v>
      </c>
      <c r="E38" s="12">
        <f>IF(C38=0,0,SUMIFS(B_INPUT_RESERVOIR!$J$4:$J$1807,B_INPUT_RESERVOIR!$A$4:$A$1807,A38,B_INPUT_RESERVOIR!$C$4:$C$1807,B38))</f>
        <v>6652147.5079875588</v>
      </c>
      <c r="F38" s="12">
        <f>IF(C38=0,"",SUMIFS(B_INPUT_RESERVOIR!$G$4:$G$1807,B_INPUT_RESERVOIR!$A$4:$A$1807,A38,B_INPUT_RESERVOIR!$C$4:$C$1807,B38))</f>
        <v>0</v>
      </c>
      <c r="G38" s="12">
        <f>IF(C38=0,"",SUMIFS(B_INPUT_RESERVOIR!$F$4:$F$1807,B_INPUT_RESERVOIR!$A$4:$A$1807,A38,B_INPUT_RESERVOIR!$C$4:$C$1807,B38))</f>
        <v>0</v>
      </c>
      <c r="H38" s="8">
        <f>IF(C38=0,"",SUMIFS(B_INPUT_RESERVOIR!$K$4:$K$1807,B_INPUT_RESERVOIR!$A$4:$A$1807,A38,B_INPUT_RESERVOIR!$C$4:$C$1807,B38))</f>
        <v>0</v>
      </c>
      <c r="I38" s="10">
        <f t="shared" si="2"/>
        <v>1</v>
      </c>
      <c r="J38" s="10">
        <f t="shared" si="6"/>
        <v>1</v>
      </c>
      <c r="K38" s="10">
        <f>IF(H38=0,0,SUMIFS(B_INPUT_RESERVOIR!$L$4:$L$1807,B_INPUT_RESERVOIR!$A$4:$A$1807,A38,B_INPUT_RESERVOIR!$C$4:$C$1807,B38)/H38)</f>
        <v>0</v>
      </c>
      <c r="L38" s="10">
        <f t="shared" si="3"/>
        <v>1</v>
      </c>
      <c r="M38" s="10">
        <f>IF(SUMIFS(B_INPUT_RESERVOIR!$N$4:$N$1807,B_INPUT_RESERVOIR!$A$4:$A$1807,A38,B_INPUT_RESERVOIR!$C$4:$C$1807,B38)=0,1,SUMIFS(B_INPUT_RESERVOIR!$O$4:$O$1807,B_INPUT_RESERVOIR!$A$4:$A$1807,A38,B_INPUT_RESERVOIR!$C$4:$C$1807,B38)/SUMIFS(B_INPUT_RESERVOIR!$N$4:$N$1807,B_INPUT_RESERVOIR!$A$4:$A$1807,A38,B_INPUT_RESERVOIR!$C$4:$C$1807,B38))</f>
        <v>1</v>
      </c>
      <c r="N38" s="8">
        <f t="shared" si="1"/>
        <v>0</v>
      </c>
      <c r="O38" s="12">
        <f>_xlfn.SINGLE(IF(C38=0,"",_xlfn.MINIFS(B_INPUT_RESERVOIR!$H$4:$H$1807,B_INPUT_RESERVOIR!$A$4:$A$1807,A38,B_INPUT_RESERVOIR!$C$4:$C$1807,B38)))</f>
        <v>11347222.158822199</v>
      </c>
      <c r="P38" s="12">
        <f>IF(C38=0,"",SUMIFS(B_INPUT_RESERVOIR!$H$4:$H$1807,B_INPUT_RESERVOIR!$A$4:$A$1807,A38,B_INPUT_RESERVOIR!$C$4:$C$1807,B38,B_INPUT_RESERVOIR!$D$4:$D$1807,12))</f>
        <v>14284179.6239479</v>
      </c>
      <c r="Q38" s="13" t="str">
        <f t="shared" si="7"/>
        <v>No failure</v>
      </c>
    </row>
    <row r="39" spans="1:17" x14ac:dyDescent="0.25">
      <c r="A39" s="4" t="s">
        <v>97</v>
      </c>
      <c r="B39" s="4">
        <f t="shared" si="5"/>
        <v>2021</v>
      </c>
      <c r="C39" s="8">
        <f>COUNTIFS(B_INPUT_RESERVOIR!$A$4:$A$1807,A39,B_INPUT_RESERVOIR!$C$4:$C$1807,B39)</f>
        <v>12</v>
      </c>
      <c r="D39" s="12">
        <f>IF(C39=0,0,SUMIFS(B_INPUT_RESERVOIR!$E$4:$E$1807,B_INPUT_RESERVOIR!$A$4:$A$1807,A39,B_INPUT_RESERVOIR!$C$4:$C$1807,B39))</f>
        <v>7471084.4985939441</v>
      </c>
      <c r="E39" s="12">
        <f>IF(C39=0,0,SUMIFS(B_INPUT_RESERVOIR!$J$4:$J$1807,B_INPUT_RESERVOIR!$A$4:$A$1807,A39,B_INPUT_RESERVOIR!$C$4:$C$1807,B39))</f>
        <v>7471084.4985939441</v>
      </c>
      <c r="F39" s="12">
        <f>IF(C39=0,"",SUMIFS(B_INPUT_RESERVOIR!$G$4:$G$1807,B_INPUT_RESERVOIR!$A$4:$A$1807,A39,B_INPUT_RESERVOIR!$C$4:$C$1807,B39))</f>
        <v>0</v>
      </c>
      <c r="G39" s="12">
        <f>IF(C39=0,"",SUMIFS(B_INPUT_RESERVOIR!$F$4:$F$1807,B_INPUT_RESERVOIR!$A$4:$A$1807,A39,B_INPUT_RESERVOIR!$C$4:$C$1807,B39))</f>
        <v>0</v>
      </c>
      <c r="H39" s="8">
        <f>IF(C39=0,"",SUMIFS(B_INPUT_RESERVOIR!$K$4:$K$1807,B_INPUT_RESERVOIR!$A$4:$A$1807,A39,B_INPUT_RESERVOIR!$C$4:$C$1807,B39))</f>
        <v>0</v>
      </c>
      <c r="I39" s="10">
        <f t="shared" si="2"/>
        <v>1</v>
      </c>
      <c r="J39" s="10">
        <f t="shared" si="6"/>
        <v>1</v>
      </c>
      <c r="K39" s="10">
        <f>IF(H39=0,0,SUMIFS(B_INPUT_RESERVOIR!$L$4:$L$1807,B_INPUT_RESERVOIR!$A$4:$A$1807,A39,B_INPUT_RESERVOIR!$C$4:$C$1807,B39)/H39)</f>
        <v>0</v>
      </c>
      <c r="L39" s="10">
        <f t="shared" si="3"/>
        <v>1</v>
      </c>
      <c r="M39" s="10">
        <f>IF(SUMIFS(B_INPUT_RESERVOIR!$N$4:$N$1807,B_INPUT_RESERVOIR!$A$4:$A$1807,A39,B_INPUT_RESERVOIR!$C$4:$C$1807,B39)=0,1,SUMIFS(B_INPUT_RESERVOIR!$O$4:$O$1807,B_INPUT_RESERVOIR!$A$4:$A$1807,A39,B_INPUT_RESERVOIR!$C$4:$C$1807,B39)/SUMIFS(B_INPUT_RESERVOIR!$N$4:$N$1807,B_INPUT_RESERVOIR!$A$4:$A$1807,A39,B_INPUT_RESERVOIR!$C$4:$C$1807,B39))</f>
        <v>1</v>
      </c>
      <c r="N39" s="8">
        <f t="shared" si="1"/>
        <v>0</v>
      </c>
      <c r="O39" s="12">
        <f>_xlfn.SINGLE(IF(C39=0,"",_xlfn.MINIFS(B_INPUT_RESERVOIR!$H$4:$H$1807,B_INPUT_RESERVOIR!$A$4:$A$1807,A39,B_INPUT_RESERVOIR!$C$4:$C$1807,B39)))</f>
        <v>12907280.283244016</v>
      </c>
      <c r="P39" s="12">
        <f>IF(C39=0,"",SUMIFS(B_INPUT_RESERVOIR!$H$4:$H$1807,B_INPUT_RESERVOIR!$A$4:$A$1807,A39,B_INPUT_RESERVOIR!$C$4:$C$1807,B39,B_INPUT_RESERVOIR!$D$4:$D$1807,12))</f>
        <v>13014806.379308684</v>
      </c>
      <c r="Q39" s="13" t="str">
        <f t="shared" si="7"/>
        <v>No failure</v>
      </c>
    </row>
    <row r="40" spans="1:17" x14ac:dyDescent="0.25">
      <c r="A40" s="4" t="s">
        <v>97</v>
      </c>
      <c r="B40" s="4">
        <f t="shared" si="5"/>
        <v>2022</v>
      </c>
      <c r="C40" s="8">
        <f>COUNTIFS(B_INPUT_RESERVOIR!$A$4:$A$1807,A40,B_INPUT_RESERVOIR!$C$4:$C$1807,B40)</f>
        <v>12</v>
      </c>
      <c r="D40" s="12">
        <f>IF(C40=0,0,SUMIFS(B_INPUT_RESERVOIR!$E$4:$E$1807,B_INPUT_RESERVOIR!$A$4:$A$1807,A40,B_INPUT_RESERVOIR!$C$4:$C$1807,B40))</f>
        <v>8624199.3433539122</v>
      </c>
      <c r="E40" s="12">
        <f>IF(C40=0,0,SUMIFS(B_INPUT_RESERVOIR!$J$4:$J$1807,B_INPUT_RESERVOIR!$A$4:$A$1807,A40,B_INPUT_RESERVOIR!$C$4:$C$1807,B40))</f>
        <v>8624199.3433539122</v>
      </c>
      <c r="F40" s="12">
        <f>IF(C40=0,"",SUMIFS(B_INPUT_RESERVOIR!$G$4:$G$1807,B_INPUT_RESERVOIR!$A$4:$A$1807,A40,B_INPUT_RESERVOIR!$C$4:$C$1807,B40))</f>
        <v>0</v>
      </c>
      <c r="G40" s="12">
        <f>IF(C40=0,"",SUMIFS(B_INPUT_RESERVOIR!$F$4:$F$1807,B_INPUT_RESERVOIR!$A$4:$A$1807,A40,B_INPUT_RESERVOIR!$C$4:$C$1807,B40))</f>
        <v>0</v>
      </c>
      <c r="H40" s="8">
        <f>IF(C40=0,"",SUMIFS(B_INPUT_RESERVOIR!$K$4:$K$1807,B_INPUT_RESERVOIR!$A$4:$A$1807,A40,B_INPUT_RESERVOIR!$C$4:$C$1807,B40))</f>
        <v>0</v>
      </c>
      <c r="I40" s="10">
        <f t="shared" si="2"/>
        <v>1</v>
      </c>
      <c r="J40" s="10">
        <f t="shared" si="6"/>
        <v>1</v>
      </c>
      <c r="K40" s="10">
        <f>IF(H40=0,0,SUMIFS(B_INPUT_RESERVOIR!$L$4:$L$1807,B_INPUT_RESERVOIR!$A$4:$A$1807,A40,B_INPUT_RESERVOIR!$C$4:$C$1807,B40)/H40)</f>
        <v>0</v>
      </c>
      <c r="L40" s="10">
        <f t="shared" si="3"/>
        <v>1</v>
      </c>
      <c r="M40" s="10">
        <f>IF(SUMIFS(B_INPUT_RESERVOIR!$N$4:$N$1807,B_INPUT_RESERVOIR!$A$4:$A$1807,A40,B_INPUT_RESERVOIR!$C$4:$C$1807,B40)=0,1,SUMIFS(B_INPUT_RESERVOIR!$O$4:$O$1807,B_INPUT_RESERVOIR!$A$4:$A$1807,A40,B_INPUT_RESERVOIR!$C$4:$C$1807,B40)/SUMIFS(B_INPUT_RESERVOIR!$N$4:$N$1807,B_INPUT_RESERVOIR!$A$4:$A$1807,A40,B_INPUT_RESERVOIR!$C$4:$C$1807,B40))</f>
        <v>1</v>
      </c>
      <c r="N40" s="8">
        <f t="shared" si="1"/>
        <v>0</v>
      </c>
      <c r="O40" s="12">
        <f>_xlfn.SINGLE(IF(C40=0,"",_xlfn.MINIFS(B_INPUT_RESERVOIR!$H$4:$H$1807,B_INPUT_RESERVOIR!$A$4:$A$1807,A40,B_INPUT_RESERVOIR!$C$4:$C$1807,B40)))</f>
        <v>3663926.4773430801</v>
      </c>
      <c r="P40" s="12">
        <f>IF(C40=0,"",SUMIFS(B_INPUT_RESERVOIR!$H$4:$H$1807,B_INPUT_RESERVOIR!$A$4:$A$1807,A40,B_INPUT_RESERVOIR!$C$4:$C$1807,B40,B_INPUT_RESERVOIR!$D$4:$D$1807,12))</f>
        <v>9367402.8609903082</v>
      </c>
      <c r="Q40" s="13" t="str">
        <f t="shared" si="7"/>
        <v>No failure</v>
      </c>
    </row>
    <row r="41" spans="1:17" x14ac:dyDescent="0.25">
      <c r="A41" s="4" t="s">
        <v>97</v>
      </c>
      <c r="B41" s="4">
        <f t="shared" si="5"/>
        <v>2023</v>
      </c>
      <c r="C41" s="8">
        <f>COUNTIFS(B_INPUT_RESERVOIR!$A$4:$A$1807,A41,B_INPUT_RESERVOIR!$C$4:$C$1807,B41)</f>
        <v>12</v>
      </c>
      <c r="D41" s="12">
        <f>IF(C41=0,0,SUMIFS(B_INPUT_RESERVOIR!$E$4:$E$1807,B_INPUT_RESERVOIR!$A$4:$A$1807,A41,B_INPUT_RESERVOIR!$C$4:$C$1807,B41))</f>
        <v>9700237.8254006058</v>
      </c>
      <c r="E41" s="12">
        <f>IF(C41=0,0,SUMIFS(B_INPUT_RESERVOIR!$J$4:$J$1807,B_INPUT_RESERVOIR!$A$4:$A$1807,A41,B_INPUT_RESERVOIR!$C$4:$C$1807,B41))</f>
        <v>6783457.8297766978</v>
      </c>
      <c r="F41" s="12">
        <f>IF(C41=0,"",SUMIFS(B_INPUT_RESERVOIR!$G$4:$G$1807,B_INPUT_RESERVOIR!$A$4:$A$1807,A41,B_INPUT_RESERVOIR!$C$4:$C$1807,B41))</f>
        <v>2916779.9956239075</v>
      </c>
      <c r="G41" s="12">
        <f>IF(C41=0,"",SUMIFS(B_INPUT_RESERVOIR!$F$4:$F$1807,B_INPUT_RESERVOIR!$A$4:$A$1807,A41,B_INPUT_RESERVOIR!$C$4:$C$1807,B41))</f>
        <v>0</v>
      </c>
      <c r="H41" s="8">
        <f>IF(C41=0,"",SUMIFS(B_INPUT_RESERVOIR!$K$4:$K$1807,B_INPUT_RESERVOIR!$A$4:$A$1807,A41,B_INPUT_RESERVOIR!$C$4:$C$1807,B41))</f>
        <v>3</v>
      </c>
      <c r="I41" s="10">
        <f t="shared" si="2"/>
        <v>0.75</v>
      </c>
      <c r="J41" s="10">
        <f t="shared" si="6"/>
        <v>0.69930840376035319</v>
      </c>
      <c r="K41" s="10">
        <f>IF(H41=0,0,SUMIFS(B_INPUT_RESERVOIR!$L$4:$L$1807,B_INPUT_RESERVOIR!$A$4:$A$1807,A41,B_INPUT_RESERVOIR!$C$4:$C$1807,B41)/H41)</f>
        <v>0.9137856363078497</v>
      </c>
      <c r="L41" s="10">
        <f t="shared" si="3"/>
        <v>8.6214363692150298E-2</v>
      </c>
      <c r="M41" s="10">
        <f>IF(SUMIFS(B_INPUT_RESERVOIR!$N$4:$N$1807,B_INPUT_RESERVOIR!$A$4:$A$1807,A41,B_INPUT_RESERVOIR!$C$4:$C$1807,B41)=0,1,SUMIFS(B_INPUT_RESERVOIR!$O$4:$O$1807,B_INPUT_RESERVOIR!$A$4:$A$1807,A41,B_INPUT_RESERVOIR!$C$4:$C$1807,B41)/SUMIFS(B_INPUT_RESERVOIR!$N$4:$N$1807,B_INPUT_RESERVOIR!$A$4:$A$1807,A41,B_INPUT_RESERVOIR!$C$4:$C$1807,B41))</f>
        <v>0.33333333333333331</v>
      </c>
      <c r="N41" s="8">
        <f t="shared" si="1"/>
        <v>0</v>
      </c>
      <c r="O41" s="12">
        <f>_xlfn.SINGLE(IF(C41=0,"",_xlfn.MINIFS(B_INPUT_RESERVOIR!$H$4:$H$1807,B_INPUT_RESERVOIR!$A$4:$A$1807,A41,B_INPUT_RESERVOIR!$C$4:$C$1807,B41)))</f>
        <v>77330.13753833808</v>
      </c>
      <c r="P41" s="12">
        <f>IF(C41=0,"",SUMIFS(B_INPUT_RESERVOIR!$H$4:$H$1807,B_INPUT_RESERVOIR!$A$4:$A$1807,A41,B_INPUT_RESERVOIR!$C$4:$C$1807,B41,B_INPUT_RESERVOIR!$D$4:$D$1807,12))</f>
        <v>5637512.9351829113</v>
      </c>
      <c r="Q41" s="13" t="str">
        <f t="shared" si="7"/>
        <v>Failure year</v>
      </c>
    </row>
    <row r="42" spans="1:17" x14ac:dyDescent="0.25">
      <c r="A42" s="4" t="s">
        <v>97</v>
      </c>
      <c r="B42" s="4">
        <f t="shared" si="5"/>
        <v>2024</v>
      </c>
      <c r="C42" s="8">
        <f>COUNTIFS(B_INPUT_RESERVOIR!$A$4:$A$1807,A42,B_INPUT_RESERVOIR!$C$4:$C$1807,B42)</f>
        <v>12</v>
      </c>
      <c r="D42" s="12">
        <f>IF(C42=0,0,SUMIFS(B_INPUT_RESERVOIR!$E$4:$E$1807,B_INPUT_RESERVOIR!$A$4:$A$1807,A42,B_INPUT_RESERVOIR!$C$4:$C$1807,B42))</f>
        <v>7591502.8141531292</v>
      </c>
      <c r="E42" s="12">
        <f>IF(C42=0,0,SUMIFS(B_INPUT_RESERVOIR!$J$4:$J$1807,B_INPUT_RESERVOIR!$A$4:$A$1807,A42,B_INPUT_RESERVOIR!$C$4:$C$1807,B42))</f>
        <v>7591502.8141531292</v>
      </c>
      <c r="F42" s="12">
        <f>IF(C42=0,"",SUMIFS(B_INPUT_RESERVOIR!$G$4:$G$1807,B_INPUT_RESERVOIR!$A$4:$A$1807,A42,B_INPUT_RESERVOIR!$C$4:$C$1807,B42))</f>
        <v>0</v>
      </c>
      <c r="G42" s="12">
        <f>IF(C42=0,"",SUMIFS(B_INPUT_RESERVOIR!$F$4:$F$1807,B_INPUT_RESERVOIR!$A$4:$A$1807,A42,B_INPUT_RESERVOIR!$C$4:$C$1807,B42))</f>
        <v>0</v>
      </c>
      <c r="H42" s="8">
        <f>IF(C42=0,"",SUMIFS(B_INPUT_RESERVOIR!$K$4:$K$1807,B_INPUT_RESERVOIR!$A$4:$A$1807,A42,B_INPUT_RESERVOIR!$C$4:$C$1807,B42))</f>
        <v>0</v>
      </c>
      <c r="I42" s="10">
        <f t="shared" si="2"/>
        <v>1</v>
      </c>
      <c r="J42" s="10">
        <f t="shared" si="6"/>
        <v>1</v>
      </c>
      <c r="K42" s="10">
        <f>IF(H42=0,0,SUMIFS(B_INPUT_RESERVOIR!$L$4:$L$1807,B_INPUT_RESERVOIR!$A$4:$A$1807,A42,B_INPUT_RESERVOIR!$C$4:$C$1807,B42)/H42)</f>
        <v>0</v>
      </c>
      <c r="L42" s="10">
        <f t="shared" si="3"/>
        <v>1</v>
      </c>
      <c r="M42" s="10">
        <f>IF(SUMIFS(B_INPUT_RESERVOIR!$N$4:$N$1807,B_INPUT_RESERVOIR!$A$4:$A$1807,A42,B_INPUT_RESERVOIR!$C$4:$C$1807,B42)=0,1,SUMIFS(B_INPUT_RESERVOIR!$O$4:$O$1807,B_INPUT_RESERVOIR!$A$4:$A$1807,A42,B_INPUT_RESERVOIR!$C$4:$C$1807,B42)/SUMIFS(B_INPUT_RESERVOIR!$N$4:$N$1807,B_INPUT_RESERVOIR!$A$4:$A$1807,A42,B_INPUT_RESERVOIR!$C$4:$C$1807,B42))</f>
        <v>1</v>
      </c>
      <c r="N42" s="8">
        <f t="shared" si="1"/>
        <v>0</v>
      </c>
      <c r="O42" s="12">
        <f>_xlfn.SINGLE(IF(C42=0,"",_xlfn.MINIFS(B_INPUT_RESERVOIR!$H$4:$H$1807,B_INPUT_RESERVOIR!$A$4:$A$1807,A42,B_INPUT_RESERVOIR!$C$4:$C$1807,B42)))</f>
        <v>5206182.8744346919</v>
      </c>
      <c r="P42" s="12">
        <f>IF(C42=0,"",SUMIFS(B_INPUT_RESERVOIR!$H$4:$H$1807,B_INPUT_RESERVOIR!$A$4:$A$1807,A42,B_INPUT_RESERVOIR!$C$4:$C$1807,B42,B_INPUT_RESERVOIR!$D$4:$D$1807,12))</f>
        <v>7904653.8170765573</v>
      </c>
      <c r="Q42" s="13" t="str">
        <f t="shared" si="7"/>
        <v>No failure</v>
      </c>
    </row>
    <row r="43" spans="1:17" x14ac:dyDescent="0.25">
      <c r="A43" s="4" t="s">
        <v>97</v>
      </c>
      <c r="B43" s="4">
        <f t="shared" si="5"/>
        <v>2025</v>
      </c>
      <c r="C43" s="8">
        <f>COUNTIFS(B_INPUT_RESERVOIR!$A$4:$A$1807,A43,B_INPUT_RESERVOIR!$C$4:$C$1807,B43)</f>
        <v>12</v>
      </c>
      <c r="D43" s="12">
        <f>IF(C43=0,0,SUMIFS(B_INPUT_RESERVOIR!$E$4:$E$1807,B_INPUT_RESERVOIR!$A$4:$A$1807,A43,B_INPUT_RESERVOIR!$C$4:$C$1807,B43))</f>
        <v>8325955.2714879327</v>
      </c>
      <c r="E43" s="12">
        <f>IF(C43=0,0,SUMIFS(B_INPUT_RESERVOIR!$J$4:$J$1807,B_INPUT_RESERVOIR!$A$4:$A$1807,A43,B_INPUT_RESERVOIR!$C$4:$C$1807,B43))</f>
        <v>8325955.2714879327</v>
      </c>
      <c r="F43" s="12">
        <f>IF(C43=0,"",SUMIFS(B_INPUT_RESERVOIR!$G$4:$G$1807,B_INPUT_RESERVOIR!$A$4:$A$1807,A43,B_INPUT_RESERVOIR!$C$4:$C$1807,B43))</f>
        <v>0</v>
      </c>
      <c r="G43" s="12">
        <f>IF(C43=0,"",SUMIFS(B_INPUT_RESERVOIR!$F$4:$F$1807,B_INPUT_RESERVOIR!$A$4:$A$1807,A43,B_INPUT_RESERVOIR!$C$4:$C$1807,B43))</f>
        <v>0</v>
      </c>
      <c r="H43" s="8">
        <f>IF(C43=0,"",SUMIFS(B_INPUT_RESERVOIR!$K$4:$K$1807,B_INPUT_RESERVOIR!$A$4:$A$1807,A43,B_INPUT_RESERVOIR!$C$4:$C$1807,B43))</f>
        <v>0</v>
      </c>
      <c r="I43" s="10">
        <f t="shared" si="2"/>
        <v>1</v>
      </c>
      <c r="J43" s="10">
        <f t="shared" si="6"/>
        <v>1</v>
      </c>
      <c r="K43" s="10">
        <f>IF(H43=0,0,SUMIFS(B_INPUT_RESERVOIR!$L$4:$L$1807,B_INPUT_RESERVOIR!$A$4:$A$1807,A43,B_INPUT_RESERVOIR!$C$4:$C$1807,B43)/H43)</f>
        <v>0</v>
      </c>
      <c r="L43" s="10">
        <f t="shared" si="3"/>
        <v>1</v>
      </c>
      <c r="M43" s="10">
        <f>IF(SUMIFS(B_INPUT_RESERVOIR!$N$4:$N$1807,B_INPUT_RESERVOIR!$A$4:$A$1807,A43,B_INPUT_RESERVOIR!$C$4:$C$1807,B43)=0,1,SUMIFS(B_INPUT_RESERVOIR!$O$4:$O$1807,B_INPUT_RESERVOIR!$A$4:$A$1807,A43,B_INPUT_RESERVOIR!$C$4:$C$1807,B43)/SUMIFS(B_INPUT_RESERVOIR!$N$4:$N$1807,B_INPUT_RESERVOIR!$A$4:$A$1807,A43,B_INPUT_RESERVOIR!$C$4:$C$1807,B43))</f>
        <v>1</v>
      </c>
      <c r="N43" s="8">
        <f t="shared" si="1"/>
        <v>0</v>
      </c>
      <c r="O43" s="12">
        <f>_xlfn.SINGLE(IF(C43=0,"",_xlfn.MINIFS(B_INPUT_RESERVOIR!$H$4:$H$1807,B_INPUT_RESERVOIR!$A$4:$A$1807,A43,B_INPUT_RESERVOIR!$C$4:$C$1807,B43)))</f>
        <v>9593777.7828846294</v>
      </c>
      <c r="P43" s="12">
        <f>IF(C43=0,"",SUMIFS(B_INPUT_RESERVOIR!$H$4:$H$1807,B_INPUT_RESERVOIR!$A$4:$A$1807,A43,B_INPUT_RESERVOIR!$C$4:$C$1807,B43,B_INPUT_RESERVOIR!$D$4:$D$1807,12))</f>
        <v>24908160.248895712</v>
      </c>
      <c r="Q43" s="13" t="str">
        <f t="shared" si="7"/>
        <v>No failure</v>
      </c>
    </row>
    <row r="44" spans="1:17" x14ac:dyDescent="0.25">
      <c r="A44" s="4" t="s">
        <v>97</v>
      </c>
      <c r="B44" s="4">
        <f t="shared" si="5"/>
        <v>2026</v>
      </c>
      <c r="C44" s="8">
        <f>COUNTIFS(B_INPUT_RESERVOIR!$A$4:$A$1807,A44,B_INPUT_RESERVOIR!$C$4:$C$1807,B44)</f>
        <v>12</v>
      </c>
      <c r="D44" s="12">
        <f>IF(C44=0,0,SUMIFS(B_INPUT_RESERVOIR!$E$4:$E$1807,B_INPUT_RESERVOIR!$A$4:$A$1807,A44,B_INPUT_RESERVOIR!$C$4:$C$1807,B44))</f>
        <v>413601.57678015379</v>
      </c>
      <c r="E44" s="12">
        <f>IF(C44=0,0,SUMIFS(B_INPUT_RESERVOIR!$J$4:$J$1807,B_INPUT_RESERVOIR!$A$4:$A$1807,A44,B_INPUT_RESERVOIR!$C$4:$C$1807,B44))</f>
        <v>413601.57678015379</v>
      </c>
      <c r="F44" s="12">
        <f>IF(C44=0,"",SUMIFS(B_INPUT_RESERVOIR!$G$4:$G$1807,B_INPUT_RESERVOIR!$A$4:$A$1807,A44,B_INPUT_RESERVOIR!$C$4:$C$1807,B44))</f>
        <v>0</v>
      </c>
      <c r="G44" s="12">
        <f>IF(C44=0,"",SUMIFS(B_INPUT_RESERVOIR!$F$4:$F$1807,B_INPUT_RESERVOIR!$A$4:$A$1807,A44,B_INPUT_RESERVOIR!$C$4:$C$1807,B44))</f>
        <v>0</v>
      </c>
      <c r="H44" s="8">
        <f>IF(C44=0,"",SUMIFS(B_INPUT_RESERVOIR!$K$4:$K$1807,B_INPUT_RESERVOIR!$A$4:$A$1807,A44,B_INPUT_RESERVOIR!$C$4:$C$1807,B44))</f>
        <v>0</v>
      </c>
      <c r="I44" s="10">
        <f t="shared" si="2"/>
        <v>1</v>
      </c>
      <c r="J44" s="10">
        <f t="shared" si="6"/>
        <v>1</v>
      </c>
      <c r="K44" s="10">
        <f>IF(H44=0,0,SUMIFS(B_INPUT_RESERVOIR!$L$4:$L$1807,B_INPUT_RESERVOIR!$A$4:$A$1807,A44,B_INPUT_RESERVOIR!$C$4:$C$1807,B44)/H44)</f>
        <v>0</v>
      </c>
      <c r="L44" s="10">
        <f t="shared" si="3"/>
        <v>1</v>
      </c>
      <c r="M44" s="10">
        <f>IF(SUMIFS(B_INPUT_RESERVOIR!$N$4:$N$1807,B_INPUT_RESERVOIR!$A$4:$A$1807,A44,B_INPUT_RESERVOIR!$C$4:$C$1807,B44)=0,1,SUMIFS(B_INPUT_RESERVOIR!$O$4:$O$1807,B_INPUT_RESERVOIR!$A$4:$A$1807,A44,B_INPUT_RESERVOIR!$C$4:$C$1807,B44)/SUMIFS(B_INPUT_RESERVOIR!$N$4:$N$1807,B_INPUT_RESERVOIR!$A$4:$A$1807,A44,B_INPUT_RESERVOIR!$C$4:$C$1807,B44))</f>
        <v>1</v>
      </c>
      <c r="N44" s="8">
        <f t="shared" si="1"/>
        <v>0</v>
      </c>
      <c r="O44" s="12">
        <f>_xlfn.SINGLE(IF(C44=0,"",_xlfn.MINIFS(B_INPUT_RESERVOIR!$H$4:$H$1807,B_INPUT_RESERVOIR!$A$4:$A$1807,A44,B_INPUT_RESERVOIR!$C$4:$C$1807,B44)))</f>
        <v>39998060.38145709</v>
      </c>
      <c r="P44" s="12">
        <f>IF(C44=0,"",SUMIFS(B_INPUT_RESERVOIR!$H$4:$H$1807,B_INPUT_RESERVOIR!$A$4:$A$1807,A44,B_INPUT_RESERVOIR!$C$4:$C$1807,B44,B_INPUT_RESERVOIR!$D$4:$D$1807,12))</f>
        <v>0</v>
      </c>
      <c r="Q44" s="13" t="str">
        <f t="shared" si="7"/>
        <v>No failure</v>
      </c>
    </row>
    <row r="45" spans="1:17" x14ac:dyDescent="0.25">
      <c r="A45" s="4" t="s">
        <v>97</v>
      </c>
      <c r="B45" s="4">
        <f t="shared" si="5"/>
        <v>2027</v>
      </c>
      <c r="C45" s="8">
        <f>COUNTIFS(B_INPUT_RESERVOIR!$A$4:$A$1807,A45,B_INPUT_RESERVOIR!$C$4:$C$1807,B45)</f>
        <v>12</v>
      </c>
      <c r="D45" s="12">
        <f>IF(C45=0,0,SUMIFS(B_INPUT_RESERVOIR!$E$4:$E$1807,B_INPUT_RESERVOIR!$A$4:$A$1807,A45,B_INPUT_RESERVOIR!$C$4:$C$1807,B45))</f>
        <v>0</v>
      </c>
      <c r="E45" s="12">
        <f>IF(C45=0,0,SUMIFS(B_INPUT_RESERVOIR!$J$4:$J$1807,B_INPUT_RESERVOIR!$A$4:$A$1807,A45,B_INPUT_RESERVOIR!$C$4:$C$1807,B45))</f>
        <v>0</v>
      </c>
      <c r="F45" s="12">
        <f>IF(C45=0,"",SUMIFS(B_INPUT_RESERVOIR!$G$4:$G$1807,B_INPUT_RESERVOIR!$A$4:$A$1807,A45,B_INPUT_RESERVOIR!$C$4:$C$1807,B45))</f>
        <v>0</v>
      </c>
      <c r="G45" s="12">
        <f>IF(C45=0,"",SUMIFS(B_INPUT_RESERVOIR!$F$4:$F$1807,B_INPUT_RESERVOIR!$A$4:$A$1807,A45,B_INPUT_RESERVOIR!$C$4:$C$1807,B45))</f>
        <v>0</v>
      </c>
      <c r="H45" s="8">
        <f>IF(C45=0,"",SUMIFS(B_INPUT_RESERVOIR!$K$4:$K$1807,B_INPUT_RESERVOIR!$A$4:$A$1807,A45,B_INPUT_RESERVOIR!$C$4:$C$1807,B45))</f>
        <v>0</v>
      </c>
      <c r="I45" s="10">
        <f t="shared" si="2"/>
        <v>1</v>
      </c>
      <c r="J45" s="10" t="str">
        <f t="shared" si="6"/>
        <v/>
      </c>
      <c r="K45" s="10">
        <f>IF(H45=0,0,SUMIFS(B_INPUT_RESERVOIR!$L$4:$L$1807,B_INPUT_RESERVOIR!$A$4:$A$1807,A45,B_INPUT_RESERVOIR!$C$4:$C$1807,B45)/H45)</f>
        <v>0</v>
      </c>
      <c r="L45" s="10">
        <f t="shared" si="3"/>
        <v>1</v>
      </c>
      <c r="M45" s="10">
        <f>IF(SUMIFS(B_INPUT_RESERVOIR!$N$4:$N$1807,B_INPUT_RESERVOIR!$A$4:$A$1807,A45,B_INPUT_RESERVOIR!$C$4:$C$1807,B45)=0,1,SUMIFS(B_INPUT_RESERVOIR!$O$4:$O$1807,B_INPUT_RESERVOIR!$A$4:$A$1807,A45,B_INPUT_RESERVOIR!$C$4:$C$1807,B45)/SUMIFS(B_INPUT_RESERVOIR!$N$4:$N$1807,B_INPUT_RESERVOIR!$A$4:$A$1807,A45,B_INPUT_RESERVOIR!$C$4:$C$1807,B45))</f>
        <v>1</v>
      </c>
      <c r="N45" s="8">
        <f t="shared" si="1"/>
        <v>0</v>
      </c>
      <c r="O45" s="12">
        <f>_xlfn.SINGLE(IF(C45=0,"",_xlfn.MINIFS(B_INPUT_RESERVOIR!$H$4:$H$1807,B_INPUT_RESERVOIR!$A$4:$A$1807,A45,B_INPUT_RESERVOIR!$C$4:$C$1807,B45)))</f>
        <v>0</v>
      </c>
      <c r="P45" s="12">
        <f>IF(C45=0,"",SUMIFS(B_INPUT_RESERVOIR!$H$4:$H$1807,B_INPUT_RESERVOIR!$A$4:$A$1807,A45,B_INPUT_RESERVOIR!$C$4:$C$1807,B45,B_INPUT_RESERVOIR!$D$4:$D$1807,12))</f>
        <v>0</v>
      </c>
      <c r="Q45" s="13" t="str">
        <f t="shared" si="7"/>
        <v>No failure</v>
      </c>
    </row>
    <row r="46" spans="1:17" x14ac:dyDescent="0.25">
      <c r="A46" s="4" t="s">
        <v>97</v>
      </c>
      <c r="B46" s="4">
        <f t="shared" si="5"/>
        <v>2028</v>
      </c>
      <c r="C46" s="8">
        <f>COUNTIFS(B_INPUT_RESERVOIR!$A$4:$A$1807,A46,B_INPUT_RESERVOIR!$C$4:$C$1807,B46)</f>
        <v>12</v>
      </c>
      <c r="D46" s="12">
        <f>IF(C46=0,0,SUMIFS(B_INPUT_RESERVOIR!$E$4:$E$1807,B_INPUT_RESERVOIR!$A$4:$A$1807,A46,B_INPUT_RESERVOIR!$C$4:$C$1807,B46))</f>
        <v>0</v>
      </c>
      <c r="E46" s="12">
        <f>IF(C46=0,0,SUMIFS(B_INPUT_RESERVOIR!$J$4:$J$1807,B_INPUT_RESERVOIR!$A$4:$A$1807,A46,B_INPUT_RESERVOIR!$C$4:$C$1807,B46))</f>
        <v>0</v>
      </c>
      <c r="F46" s="12">
        <f>IF(C46=0,"",SUMIFS(B_INPUT_RESERVOIR!$G$4:$G$1807,B_INPUT_RESERVOIR!$A$4:$A$1807,A46,B_INPUT_RESERVOIR!$C$4:$C$1807,B46))</f>
        <v>0</v>
      </c>
      <c r="G46" s="12">
        <f>IF(C46=0,"",SUMIFS(B_INPUT_RESERVOIR!$F$4:$F$1807,B_INPUT_RESERVOIR!$A$4:$A$1807,A46,B_INPUT_RESERVOIR!$C$4:$C$1807,B46))</f>
        <v>0</v>
      </c>
      <c r="H46" s="8">
        <f>IF(C46=0,"",SUMIFS(B_INPUT_RESERVOIR!$K$4:$K$1807,B_INPUT_RESERVOIR!$A$4:$A$1807,A46,B_INPUT_RESERVOIR!$C$4:$C$1807,B46))</f>
        <v>0</v>
      </c>
      <c r="I46" s="10">
        <f t="shared" si="2"/>
        <v>1</v>
      </c>
      <c r="J46" s="10" t="str">
        <f t="shared" si="6"/>
        <v/>
      </c>
      <c r="K46" s="10">
        <f>IF(H46=0,0,SUMIFS(B_INPUT_RESERVOIR!$L$4:$L$1807,B_INPUT_RESERVOIR!$A$4:$A$1807,A46,B_INPUT_RESERVOIR!$C$4:$C$1807,B46)/H46)</f>
        <v>0</v>
      </c>
      <c r="L46" s="10">
        <f t="shared" si="3"/>
        <v>1</v>
      </c>
      <c r="M46" s="10">
        <f>IF(SUMIFS(B_INPUT_RESERVOIR!$N$4:$N$1807,B_INPUT_RESERVOIR!$A$4:$A$1807,A46,B_INPUT_RESERVOIR!$C$4:$C$1807,B46)=0,1,SUMIFS(B_INPUT_RESERVOIR!$O$4:$O$1807,B_INPUT_RESERVOIR!$A$4:$A$1807,A46,B_INPUT_RESERVOIR!$C$4:$C$1807,B46)/SUMIFS(B_INPUT_RESERVOIR!$N$4:$N$1807,B_INPUT_RESERVOIR!$A$4:$A$1807,A46,B_INPUT_RESERVOIR!$C$4:$C$1807,B46))</f>
        <v>1</v>
      </c>
      <c r="N46" s="8">
        <f t="shared" si="1"/>
        <v>0</v>
      </c>
      <c r="O46" s="12">
        <f>_xlfn.SINGLE(IF(C46=0,"",_xlfn.MINIFS(B_INPUT_RESERVOIR!$H$4:$H$1807,B_INPUT_RESERVOIR!$A$4:$A$1807,A46,B_INPUT_RESERVOIR!$C$4:$C$1807,B46)))</f>
        <v>0</v>
      </c>
      <c r="P46" s="12">
        <f>IF(C46=0,"",SUMIFS(B_INPUT_RESERVOIR!$H$4:$H$1807,B_INPUT_RESERVOIR!$A$4:$A$1807,A46,B_INPUT_RESERVOIR!$C$4:$C$1807,B46,B_INPUT_RESERVOIR!$D$4:$D$1807,12))</f>
        <v>0</v>
      </c>
      <c r="Q46" s="13" t="str">
        <f t="shared" si="7"/>
        <v>No failure</v>
      </c>
    </row>
    <row r="47" spans="1:17" x14ac:dyDescent="0.25">
      <c r="A47" s="4" t="s">
        <v>97</v>
      </c>
      <c r="B47" s="4">
        <f t="shared" si="5"/>
        <v>2029</v>
      </c>
      <c r="C47" s="8">
        <f>COUNTIFS(B_INPUT_RESERVOIR!$A$4:$A$1807,A47,B_INPUT_RESERVOIR!$C$4:$C$1807,B47)</f>
        <v>12</v>
      </c>
      <c r="D47" s="12">
        <f>IF(C47=0,0,SUMIFS(B_INPUT_RESERVOIR!$E$4:$E$1807,B_INPUT_RESERVOIR!$A$4:$A$1807,A47,B_INPUT_RESERVOIR!$C$4:$C$1807,B47))</f>
        <v>0</v>
      </c>
      <c r="E47" s="12">
        <f>IF(C47=0,0,SUMIFS(B_INPUT_RESERVOIR!$J$4:$J$1807,B_INPUT_RESERVOIR!$A$4:$A$1807,A47,B_INPUT_RESERVOIR!$C$4:$C$1807,B47))</f>
        <v>0</v>
      </c>
      <c r="F47" s="12">
        <f>IF(C47=0,"",SUMIFS(B_INPUT_RESERVOIR!$G$4:$G$1807,B_INPUT_RESERVOIR!$A$4:$A$1807,A47,B_INPUT_RESERVOIR!$C$4:$C$1807,B47))</f>
        <v>0</v>
      </c>
      <c r="G47" s="12">
        <f>IF(C47=0,"",SUMIFS(B_INPUT_RESERVOIR!$F$4:$F$1807,B_INPUT_RESERVOIR!$A$4:$A$1807,A47,B_INPUT_RESERVOIR!$C$4:$C$1807,B47))</f>
        <v>0</v>
      </c>
      <c r="H47" s="8">
        <f>IF(C47=0,"",SUMIFS(B_INPUT_RESERVOIR!$K$4:$K$1807,B_INPUT_RESERVOIR!$A$4:$A$1807,A47,B_INPUT_RESERVOIR!$C$4:$C$1807,B47))</f>
        <v>0</v>
      </c>
      <c r="I47" s="10">
        <f t="shared" si="2"/>
        <v>1</v>
      </c>
      <c r="J47" s="10" t="str">
        <f t="shared" si="6"/>
        <v/>
      </c>
      <c r="K47" s="10">
        <f>IF(H47=0,0,SUMIFS(B_INPUT_RESERVOIR!$L$4:$L$1807,B_INPUT_RESERVOIR!$A$4:$A$1807,A47,B_INPUT_RESERVOIR!$C$4:$C$1807,B47)/H47)</f>
        <v>0</v>
      </c>
      <c r="L47" s="10">
        <f t="shared" si="3"/>
        <v>1</v>
      </c>
      <c r="M47" s="10">
        <f>IF(SUMIFS(B_INPUT_RESERVOIR!$N$4:$N$1807,B_INPUT_RESERVOIR!$A$4:$A$1807,A47,B_INPUT_RESERVOIR!$C$4:$C$1807,B47)=0,1,SUMIFS(B_INPUT_RESERVOIR!$O$4:$O$1807,B_INPUT_RESERVOIR!$A$4:$A$1807,A47,B_INPUT_RESERVOIR!$C$4:$C$1807,B47)/SUMIFS(B_INPUT_RESERVOIR!$N$4:$N$1807,B_INPUT_RESERVOIR!$A$4:$A$1807,A47,B_INPUT_RESERVOIR!$C$4:$C$1807,B47))</f>
        <v>1</v>
      </c>
      <c r="N47" s="8">
        <f t="shared" si="1"/>
        <v>0</v>
      </c>
      <c r="O47" s="12">
        <f>_xlfn.SINGLE(IF(C47=0,"",_xlfn.MINIFS(B_INPUT_RESERVOIR!$H$4:$H$1807,B_INPUT_RESERVOIR!$A$4:$A$1807,A47,B_INPUT_RESERVOIR!$C$4:$C$1807,B47)))</f>
        <v>0</v>
      </c>
      <c r="P47" s="12">
        <f>IF(C47=0,"",SUMIFS(B_INPUT_RESERVOIR!$H$4:$H$1807,B_INPUT_RESERVOIR!$A$4:$A$1807,A47,B_INPUT_RESERVOIR!$C$4:$C$1807,B47,B_INPUT_RESERVOIR!$D$4:$D$1807,12))</f>
        <v>0</v>
      </c>
      <c r="Q47" s="13" t="str">
        <f t="shared" si="7"/>
        <v>No failure</v>
      </c>
    </row>
    <row r="48" spans="1:17" x14ac:dyDescent="0.25">
      <c r="A48" s="4" t="s">
        <v>97</v>
      </c>
      <c r="B48" s="4">
        <f t="shared" si="5"/>
        <v>2030</v>
      </c>
      <c r="C48" s="8">
        <f>COUNTIFS(B_INPUT_RESERVOIR!$A$4:$A$1807,A48,B_INPUT_RESERVOIR!$C$4:$C$1807,B48)</f>
        <v>12</v>
      </c>
      <c r="D48" s="12">
        <f>IF(C48=0,0,SUMIFS(B_INPUT_RESERVOIR!$E$4:$E$1807,B_INPUT_RESERVOIR!$A$4:$A$1807,A48,B_INPUT_RESERVOIR!$C$4:$C$1807,B48))</f>
        <v>0</v>
      </c>
      <c r="E48" s="12">
        <f>IF(C48=0,0,SUMIFS(B_INPUT_RESERVOIR!$J$4:$J$1807,B_INPUT_RESERVOIR!$A$4:$A$1807,A48,B_INPUT_RESERVOIR!$C$4:$C$1807,B48))</f>
        <v>0</v>
      </c>
      <c r="F48" s="12">
        <f>IF(C48=0,"",SUMIFS(B_INPUT_RESERVOIR!$G$4:$G$1807,B_INPUT_RESERVOIR!$A$4:$A$1807,A48,B_INPUT_RESERVOIR!$C$4:$C$1807,B48))</f>
        <v>0</v>
      </c>
      <c r="G48" s="12">
        <f>IF(C48=0,"",SUMIFS(B_INPUT_RESERVOIR!$F$4:$F$1807,B_INPUT_RESERVOIR!$A$4:$A$1807,A48,B_INPUT_RESERVOIR!$C$4:$C$1807,B48))</f>
        <v>0</v>
      </c>
      <c r="H48" s="8">
        <f>IF(C48=0,"",SUMIFS(B_INPUT_RESERVOIR!$K$4:$K$1807,B_INPUT_RESERVOIR!$A$4:$A$1807,A48,B_INPUT_RESERVOIR!$C$4:$C$1807,B48))</f>
        <v>0</v>
      </c>
      <c r="I48" s="10">
        <f t="shared" si="2"/>
        <v>1</v>
      </c>
      <c r="J48" s="10" t="str">
        <f t="shared" si="6"/>
        <v/>
      </c>
      <c r="K48" s="10">
        <f>IF(H48=0,0,SUMIFS(B_INPUT_RESERVOIR!$L$4:$L$1807,B_INPUT_RESERVOIR!$A$4:$A$1807,A48,B_INPUT_RESERVOIR!$C$4:$C$1807,B48)/H48)</f>
        <v>0</v>
      </c>
      <c r="L48" s="10">
        <f t="shared" si="3"/>
        <v>1</v>
      </c>
      <c r="M48" s="10">
        <f>IF(SUMIFS(B_INPUT_RESERVOIR!$N$4:$N$1807,B_INPUT_RESERVOIR!$A$4:$A$1807,A48,B_INPUT_RESERVOIR!$C$4:$C$1807,B48)=0,1,SUMIFS(B_INPUT_RESERVOIR!$O$4:$O$1807,B_INPUT_RESERVOIR!$A$4:$A$1807,A48,B_INPUT_RESERVOIR!$C$4:$C$1807,B48)/SUMIFS(B_INPUT_RESERVOIR!$N$4:$N$1807,B_INPUT_RESERVOIR!$A$4:$A$1807,A48,B_INPUT_RESERVOIR!$C$4:$C$1807,B48))</f>
        <v>1</v>
      </c>
      <c r="N48" s="8">
        <f t="shared" si="1"/>
        <v>0</v>
      </c>
      <c r="O48" s="12">
        <f>_xlfn.SINGLE(IF(C48=0,"",_xlfn.MINIFS(B_INPUT_RESERVOIR!$H$4:$H$1807,B_INPUT_RESERVOIR!$A$4:$A$1807,A48,B_INPUT_RESERVOIR!$C$4:$C$1807,B48)))</f>
        <v>0</v>
      </c>
      <c r="P48" s="12">
        <f>IF(C48=0,"",SUMIFS(B_INPUT_RESERVOIR!$H$4:$H$1807,B_INPUT_RESERVOIR!$A$4:$A$1807,A48,B_INPUT_RESERVOIR!$C$4:$C$1807,B48,B_INPUT_RESERVOIR!$D$4:$D$1807,12))</f>
        <v>0</v>
      </c>
      <c r="Q48" s="13" t="str">
        <f t="shared" si="7"/>
        <v>No failure</v>
      </c>
    </row>
    <row r="49" spans="1:17" x14ac:dyDescent="0.25">
      <c r="A49" s="4" t="s">
        <v>97</v>
      </c>
      <c r="B49" s="4">
        <f t="shared" si="5"/>
        <v>2031</v>
      </c>
      <c r="C49" s="8">
        <f>COUNTIFS(B_INPUT_RESERVOIR!$A$4:$A$1807,A49,B_INPUT_RESERVOIR!$C$4:$C$1807,B49)</f>
        <v>12</v>
      </c>
      <c r="D49" s="12">
        <f>IF(C49=0,0,SUMIFS(B_INPUT_RESERVOIR!$E$4:$E$1807,B_INPUT_RESERVOIR!$A$4:$A$1807,A49,B_INPUT_RESERVOIR!$C$4:$C$1807,B49))</f>
        <v>0</v>
      </c>
      <c r="E49" s="12">
        <f>IF(C49=0,0,SUMIFS(B_INPUT_RESERVOIR!$J$4:$J$1807,B_INPUT_RESERVOIR!$A$4:$A$1807,A49,B_INPUT_RESERVOIR!$C$4:$C$1807,B49))</f>
        <v>0</v>
      </c>
      <c r="F49" s="12">
        <f>IF(C49=0,"",SUMIFS(B_INPUT_RESERVOIR!$G$4:$G$1807,B_INPUT_RESERVOIR!$A$4:$A$1807,A49,B_INPUT_RESERVOIR!$C$4:$C$1807,B49))</f>
        <v>0</v>
      </c>
      <c r="G49" s="12">
        <f>IF(C49=0,"",SUMIFS(B_INPUT_RESERVOIR!$F$4:$F$1807,B_INPUT_RESERVOIR!$A$4:$A$1807,A49,B_INPUT_RESERVOIR!$C$4:$C$1807,B49))</f>
        <v>0</v>
      </c>
      <c r="H49" s="8">
        <f>IF(C49=0,"",SUMIFS(B_INPUT_RESERVOIR!$K$4:$K$1807,B_INPUT_RESERVOIR!$A$4:$A$1807,A49,B_INPUT_RESERVOIR!$C$4:$C$1807,B49))</f>
        <v>0</v>
      </c>
      <c r="I49" s="10">
        <f t="shared" si="2"/>
        <v>1</v>
      </c>
      <c r="J49" s="10" t="str">
        <f t="shared" si="6"/>
        <v/>
      </c>
      <c r="K49" s="10">
        <f>IF(H49=0,0,SUMIFS(B_INPUT_RESERVOIR!$L$4:$L$1807,B_INPUT_RESERVOIR!$A$4:$A$1807,A49,B_INPUT_RESERVOIR!$C$4:$C$1807,B49)/H49)</f>
        <v>0</v>
      </c>
      <c r="L49" s="10">
        <f t="shared" si="3"/>
        <v>1</v>
      </c>
      <c r="M49" s="10">
        <f>IF(SUMIFS(B_INPUT_RESERVOIR!$N$4:$N$1807,B_INPUT_RESERVOIR!$A$4:$A$1807,A49,B_INPUT_RESERVOIR!$C$4:$C$1807,B49)=0,1,SUMIFS(B_INPUT_RESERVOIR!$O$4:$O$1807,B_INPUT_RESERVOIR!$A$4:$A$1807,A49,B_INPUT_RESERVOIR!$C$4:$C$1807,B49)/SUMIFS(B_INPUT_RESERVOIR!$N$4:$N$1807,B_INPUT_RESERVOIR!$A$4:$A$1807,A49,B_INPUT_RESERVOIR!$C$4:$C$1807,B49))</f>
        <v>1</v>
      </c>
      <c r="N49" s="8">
        <f t="shared" si="1"/>
        <v>0</v>
      </c>
      <c r="O49" s="12">
        <f>_xlfn.SINGLE(IF(C49=0,"",_xlfn.MINIFS(B_INPUT_RESERVOIR!$H$4:$H$1807,B_INPUT_RESERVOIR!$A$4:$A$1807,A49,B_INPUT_RESERVOIR!$C$4:$C$1807,B49)))</f>
        <v>0</v>
      </c>
      <c r="P49" s="12">
        <f>IF(C49=0,"",SUMIFS(B_INPUT_RESERVOIR!$H$4:$H$1807,B_INPUT_RESERVOIR!$A$4:$A$1807,A49,B_INPUT_RESERVOIR!$C$4:$C$1807,B49,B_INPUT_RESERVOIR!$D$4:$D$1807,12))</f>
        <v>0</v>
      </c>
      <c r="Q49" s="13" t="str">
        <f t="shared" si="7"/>
        <v>No failure</v>
      </c>
    </row>
    <row r="50" spans="1:17" x14ac:dyDescent="0.25">
      <c r="A50" s="4" t="s">
        <v>97</v>
      </c>
      <c r="B50" s="4">
        <f t="shared" si="5"/>
        <v>2032</v>
      </c>
      <c r="C50" s="8">
        <f>COUNTIFS(B_INPUT_RESERVOIR!$A$4:$A$1807,A50,B_INPUT_RESERVOIR!$C$4:$C$1807,B50)</f>
        <v>12</v>
      </c>
      <c r="D50" s="12">
        <f>IF(C50=0,0,SUMIFS(B_INPUT_RESERVOIR!$E$4:$E$1807,B_INPUT_RESERVOIR!$A$4:$A$1807,A50,B_INPUT_RESERVOIR!$C$4:$C$1807,B50))</f>
        <v>0</v>
      </c>
      <c r="E50" s="12">
        <f>IF(C50=0,0,SUMIFS(B_INPUT_RESERVOIR!$J$4:$J$1807,B_INPUT_RESERVOIR!$A$4:$A$1807,A50,B_INPUT_RESERVOIR!$C$4:$C$1807,B50))</f>
        <v>0</v>
      </c>
      <c r="F50" s="12">
        <f>IF(C50=0,"",SUMIFS(B_INPUT_RESERVOIR!$G$4:$G$1807,B_INPUT_RESERVOIR!$A$4:$A$1807,A50,B_INPUT_RESERVOIR!$C$4:$C$1807,B50))</f>
        <v>0</v>
      </c>
      <c r="G50" s="12">
        <f>IF(C50=0,"",SUMIFS(B_INPUT_RESERVOIR!$F$4:$F$1807,B_INPUT_RESERVOIR!$A$4:$A$1807,A50,B_INPUT_RESERVOIR!$C$4:$C$1807,B50))</f>
        <v>0</v>
      </c>
      <c r="H50" s="8">
        <f>IF(C50=0,"",SUMIFS(B_INPUT_RESERVOIR!$K$4:$K$1807,B_INPUT_RESERVOIR!$A$4:$A$1807,A50,B_INPUT_RESERVOIR!$C$4:$C$1807,B50))</f>
        <v>0</v>
      </c>
      <c r="I50" s="10">
        <f t="shared" si="2"/>
        <v>1</v>
      </c>
      <c r="J50" s="10" t="str">
        <f t="shared" si="6"/>
        <v/>
      </c>
      <c r="K50" s="10">
        <f>IF(H50=0,0,SUMIFS(B_INPUT_RESERVOIR!$L$4:$L$1807,B_INPUT_RESERVOIR!$A$4:$A$1807,A50,B_INPUT_RESERVOIR!$C$4:$C$1807,B50)/H50)</f>
        <v>0</v>
      </c>
      <c r="L50" s="10">
        <f t="shared" si="3"/>
        <v>1</v>
      </c>
      <c r="M50" s="10">
        <f>IF(SUMIFS(B_INPUT_RESERVOIR!$N$4:$N$1807,B_INPUT_RESERVOIR!$A$4:$A$1807,A50,B_INPUT_RESERVOIR!$C$4:$C$1807,B50)=0,1,SUMIFS(B_INPUT_RESERVOIR!$O$4:$O$1807,B_INPUT_RESERVOIR!$A$4:$A$1807,A50,B_INPUT_RESERVOIR!$C$4:$C$1807,B50)/SUMIFS(B_INPUT_RESERVOIR!$N$4:$N$1807,B_INPUT_RESERVOIR!$A$4:$A$1807,A50,B_INPUT_RESERVOIR!$C$4:$C$1807,B50))</f>
        <v>1</v>
      </c>
      <c r="N50" s="8">
        <f t="shared" si="1"/>
        <v>0</v>
      </c>
      <c r="O50" s="12">
        <f>_xlfn.SINGLE(IF(C50=0,"",_xlfn.MINIFS(B_INPUT_RESERVOIR!$H$4:$H$1807,B_INPUT_RESERVOIR!$A$4:$A$1807,A50,B_INPUT_RESERVOIR!$C$4:$C$1807,B50)))</f>
        <v>0</v>
      </c>
      <c r="P50" s="12">
        <f>IF(C50=0,"",SUMIFS(B_INPUT_RESERVOIR!$H$4:$H$1807,B_INPUT_RESERVOIR!$A$4:$A$1807,A50,B_INPUT_RESERVOIR!$C$4:$C$1807,B50,B_INPUT_RESERVOIR!$D$4:$D$1807,12))</f>
        <v>0</v>
      </c>
      <c r="Q50" s="13" t="str">
        <f t="shared" si="7"/>
        <v>No failure</v>
      </c>
    </row>
    <row r="51" spans="1:17" x14ac:dyDescent="0.25">
      <c r="A51" s="4" t="s">
        <v>97</v>
      </c>
      <c r="B51" s="4">
        <f t="shared" si="5"/>
        <v>2033</v>
      </c>
      <c r="C51" s="8">
        <f>COUNTIFS(B_INPUT_RESERVOIR!$A$4:$A$1807,A51,B_INPUT_RESERVOIR!$C$4:$C$1807,B51)</f>
        <v>12</v>
      </c>
      <c r="D51" s="12">
        <f>IF(C51=0,0,SUMIFS(B_INPUT_RESERVOIR!$E$4:$E$1807,B_INPUT_RESERVOIR!$A$4:$A$1807,A51,B_INPUT_RESERVOIR!$C$4:$C$1807,B51))</f>
        <v>0</v>
      </c>
      <c r="E51" s="12">
        <f>IF(C51=0,0,SUMIFS(B_INPUT_RESERVOIR!$J$4:$J$1807,B_INPUT_RESERVOIR!$A$4:$A$1807,A51,B_INPUT_RESERVOIR!$C$4:$C$1807,B51))</f>
        <v>0</v>
      </c>
      <c r="F51" s="12">
        <f>IF(C51=0,"",SUMIFS(B_INPUT_RESERVOIR!$G$4:$G$1807,B_INPUT_RESERVOIR!$A$4:$A$1807,A51,B_INPUT_RESERVOIR!$C$4:$C$1807,B51))</f>
        <v>0</v>
      </c>
      <c r="G51" s="12">
        <f>IF(C51=0,"",SUMIFS(B_INPUT_RESERVOIR!$F$4:$F$1807,B_INPUT_RESERVOIR!$A$4:$A$1807,A51,B_INPUT_RESERVOIR!$C$4:$C$1807,B51))</f>
        <v>0</v>
      </c>
      <c r="H51" s="8">
        <f>IF(C51=0,"",SUMIFS(B_INPUT_RESERVOIR!$K$4:$K$1807,B_INPUT_RESERVOIR!$A$4:$A$1807,A51,B_INPUT_RESERVOIR!$C$4:$C$1807,B51))</f>
        <v>0</v>
      </c>
      <c r="I51" s="10">
        <f t="shared" si="2"/>
        <v>1</v>
      </c>
      <c r="J51" s="10" t="str">
        <f t="shared" si="6"/>
        <v/>
      </c>
      <c r="K51" s="10">
        <f>IF(H51=0,0,SUMIFS(B_INPUT_RESERVOIR!$L$4:$L$1807,B_INPUT_RESERVOIR!$A$4:$A$1807,A51,B_INPUT_RESERVOIR!$C$4:$C$1807,B51)/H51)</f>
        <v>0</v>
      </c>
      <c r="L51" s="10">
        <f t="shared" si="3"/>
        <v>1</v>
      </c>
      <c r="M51" s="10">
        <f>IF(SUMIFS(B_INPUT_RESERVOIR!$N$4:$N$1807,B_INPUT_RESERVOIR!$A$4:$A$1807,A51,B_INPUT_RESERVOIR!$C$4:$C$1807,B51)=0,1,SUMIFS(B_INPUT_RESERVOIR!$O$4:$O$1807,B_INPUT_RESERVOIR!$A$4:$A$1807,A51,B_INPUT_RESERVOIR!$C$4:$C$1807,B51)/SUMIFS(B_INPUT_RESERVOIR!$N$4:$N$1807,B_INPUT_RESERVOIR!$A$4:$A$1807,A51,B_INPUT_RESERVOIR!$C$4:$C$1807,B51))</f>
        <v>1</v>
      </c>
      <c r="N51" s="8">
        <f t="shared" si="1"/>
        <v>0</v>
      </c>
      <c r="O51" s="12">
        <f>_xlfn.SINGLE(IF(C51=0,"",_xlfn.MINIFS(B_INPUT_RESERVOIR!$H$4:$H$1807,B_INPUT_RESERVOIR!$A$4:$A$1807,A51,B_INPUT_RESERVOIR!$C$4:$C$1807,B51)))</f>
        <v>0</v>
      </c>
      <c r="P51" s="12">
        <f>IF(C51=0,"",SUMIFS(B_INPUT_RESERVOIR!$H$4:$H$1807,B_INPUT_RESERVOIR!$A$4:$A$1807,A51,B_INPUT_RESERVOIR!$C$4:$C$1807,B51,B_INPUT_RESERVOIR!$D$4:$D$1807,12))</f>
        <v>0</v>
      </c>
      <c r="Q51" s="13" t="str">
        <f t="shared" si="7"/>
        <v>No failure</v>
      </c>
    </row>
    <row r="52" spans="1:17" x14ac:dyDescent="0.25">
      <c r="A52" s="4" t="s">
        <v>97</v>
      </c>
      <c r="B52" s="4">
        <f t="shared" si="5"/>
        <v>2034</v>
      </c>
      <c r="C52" s="8">
        <f>COUNTIFS(B_INPUT_RESERVOIR!$A$4:$A$1807,A52,B_INPUT_RESERVOIR!$C$4:$C$1807,B52)</f>
        <v>12</v>
      </c>
      <c r="D52" s="12">
        <f>IF(C52=0,0,SUMIFS(B_INPUT_RESERVOIR!$E$4:$E$1807,B_INPUT_RESERVOIR!$A$4:$A$1807,A52,B_INPUT_RESERVOIR!$C$4:$C$1807,B52))</f>
        <v>0</v>
      </c>
      <c r="E52" s="12">
        <f>IF(C52=0,0,SUMIFS(B_INPUT_RESERVOIR!$J$4:$J$1807,B_INPUT_RESERVOIR!$A$4:$A$1807,A52,B_INPUT_RESERVOIR!$C$4:$C$1807,B52))</f>
        <v>0</v>
      </c>
      <c r="F52" s="12">
        <f>IF(C52=0,"",SUMIFS(B_INPUT_RESERVOIR!$G$4:$G$1807,B_INPUT_RESERVOIR!$A$4:$A$1807,A52,B_INPUT_RESERVOIR!$C$4:$C$1807,B52))</f>
        <v>0</v>
      </c>
      <c r="G52" s="12">
        <f>IF(C52=0,"",SUMIFS(B_INPUT_RESERVOIR!$F$4:$F$1807,B_INPUT_RESERVOIR!$A$4:$A$1807,A52,B_INPUT_RESERVOIR!$C$4:$C$1807,B52))</f>
        <v>0</v>
      </c>
      <c r="H52" s="8">
        <f>IF(C52=0,"",SUMIFS(B_INPUT_RESERVOIR!$K$4:$K$1807,B_INPUT_RESERVOIR!$A$4:$A$1807,A52,B_INPUT_RESERVOIR!$C$4:$C$1807,B52))</f>
        <v>0</v>
      </c>
      <c r="I52" s="10">
        <f t="shared" si="2"/>
        <v>1</v>
      </c>
      <c r="J52" s="10" t="str">
        <f t="shared" si="6"/>
        <v/>
      </c>
      <c r="K52" s="10">
        <f>IF(H52=0,0,SUMIFS(B_INPUT_RESERVOIR!$L$4:$L$1807,B_INPUT_RESERVOIR!$A$4:$A$1807,A52,B_INPUT_RESERVOIR!$C$4:$C$1807,B52)/H52)</f>
        <v>0</v>
      </c>
      <c r="L52" s="10">
        <f t="shared" si="3"/>
        <v>1</v>
      </c>
      <c r="M52" s="10">
        <f>IF(SUMIFS(B_INPUT_RESERVOIR!$N$4:$N$1807,B_INPUT_RESERVOIR!$A$4:$A$1807,A52,B_INPUT_RESERVOIR!$C$4:$C$1807,B52)=0,1,SUMIFS(B_INPUT_RESERVOIR!$O$4:$O$1807,B_INPUT_RESERVOIR!$A$4:$A$1807,A52,B_INPUT_RESERVOIR!$C$4:$C$1807,B52)/SUMIFS(B_INPUT_RESERVOIR!$N$4:$N$1807,B_INPUT_RESERVOIR!$A$4:$A$1807,A52,B_INPUT_RESERVOIR!$C$4:$C$1807,B52))</f>
        <v>1</v>
      </c>
      <c r="N52" s="8">
        <f t="shared" si="1"/>
        <v>0</v>
      </c>
      <c r="O52" s="12">
        <f>_xlfn.SINGLE(IF(C52=0,"",_xlfn.MINIFS(B_INPUT_RESERVOIR!$H$4:$H$1807,B_INPUT_RESERVOIR!$A$4:$A$1807,A52,B_INPUT_RESERVOIR!$C$4:$C$1807,B52)))</f>
        <v>0</v>
      </c>
      <c r="P52" s="12">
        <f>IF(C52=0,"",SUMIFS(B_INPUT_RESERVOIR!$H$4:$H$1807,B_INPUT_RESERVOIR!$A$4:$A$1807,A52,B_INPUT_RESERVOIR!$C$4:$C$1807,B52,B_INPUT_RESERVOIR!$D$4:$D$1807,12))</f>
        <v>0</v>
      </c>
      <c r="Q52" s="13" t="str">
        <f t="shared" si="7"/>
        <v>No failure</v>
      </c>
    </row>
    <row r="53" spans="1:17" x14ac:dyDescent="0.25">
      <c r="A53" s="4" t="s">
        <v>97</v>
      </c>
      <c r="B53" s="4">
        <f t="shared" si="5"/>
        <v>2035</v>
      </c>
      <c r="C53" s="8">
        <f>COUNTIFS(B_INPUT_RESERVOIR!$A$4:$A$1807,A53,B_INPUT_RESERVOIR!$C$4:$C$1807,B53)</f>
        <v>12</v>
      </c>
      <c r="D53" s="12">
        <f>IF(C53=0,0,SUMIFS(B_INPUT_RESERVOIR!$E$4:$E$1807,B_INPUT_RESERVOIR!$A$4:$A$1807,A53,B_INPUT_RESERVOIR!$C$4:$C$1807,B53))</f>
        <v>0</v>
      </c>
      <c r="E53" s="12">
        <f>IF(C53=0,0,SUMIFS(B_INPUT_RESERVOIR!$J$4:$J$1807,B_INPUT_RESERVOIR!$A$4:$A$1807,A53,B_INPUT_RESERVOIR!$C$4:$C$1807,B53))</f>
        <v>0</v>
      </c>
      <c r="F53" s="12">
        <f>IF(C53=0,"",SUMIFS(B_INPUT_RESERVOIR!$G$4:$G$1807,B_INPUT_RESERVOIR!$A$4:$A$1807,A53,B_INPUT_RESERVOIR!$C$4:$C$1807,B53))</f>
        <v>0</v>
      </c>
      <c r="G53" s="12">
        <f>IF(C53=0,"",SUMIFS(B_INPUT_RESERVOIR!$F$4:$F$1807,B_INPUT_RESERVOIR!$A$4:$A$1807,A53,B_INPUT_RESERVOIR!$C$4:$C$1807,B53))</f>
        <v>0</v>
      </c>
      <c r="H53" s="8">
        <f>IF(C53=0,"",SUMIFS(B_INPUT_RESERVOIR!$K$4:$K$1807,B_INPUT_RESERVOIR!$A$4:$A$1807,A53,B_INPUT_RESERVOIR!$C$4:$C$1807,B53))</f>
        <v>0</v>
      </c>
      <c r="I53" s="10">
        <f t="shared" si="2"/>
        <v>1</v>
      </c>
      <c r="J53" s="10" t="str">
        <f t="shared" si="6"/>
        <v/>
      </c>
      <c r="K53" s="10">
        <f>IF(H53=0,0,SUMIFS(B_INPUT_RESERVOIR!$L$4:$L$1807,B_INPUT_RESERVOIR!$A$4:$A$1807,A53,B_INPUT_RESERVOIR!$C$4:$C$1807,B53)/H53)</f>
        <v>0</v>
      </c>
      <c r="L53" s="10">
        <f t="shared" si="3"/>
        <v>1</v>
      </c>
      <c r="M53" s="10">
        <f>IF(SUMIFS(B_INPUT_RESERVOIR!$N$4:$N$1807,B_INPUT_RESERVOIR!$A$4:$A$1807,A53,B_INPUT_RESERVOIR!$C$4:$C$1807,B53)=0,1,SUMIFS(B_INPUT_RESERVOIR!$O$4:$O$1807,B_INPUT_RESERVOIR!$A$4:$A$1807,A53,B_INPUT_RESERVOIR!$C$4:$C$1807,B53)/SUMIFS(B_INPUT_RESERVOIR!$N$4:$N$1807,B_INPUT_RESERVOIR!$A$4:$A$1807,A53,B_INPUT_RESERVOIR!$C$4:$C$1807,B53))</f>
        <v>1</v>
      </c>
      <c r="N53" s="8">
        <f t="shared" si="1"/>
        <v>0</v>
      </c>
      <c r="O53" s="12">
        <f>_xlfn.SINGLE(IF(C53=0,"",_xlfn.MINIFS(B_INPUT_RESERVOIR!$H$4:$H$1807,B_INPUT_RESERVOIR!$A$4:$A$1807,A53,B_INPUT_RESERVOIR!$C$4:$C$1807,B53)))</f>
        <v>0</v>
      </c>
      <c r="P53" s="12">
        <f>IF(C53=0,"",SUMIFS(B_INPUT_RESERVOIR!$H$4:$H$1807,B_INPUT_RESERVOIR!$A$4:$A$1807,A53,B_INPUT_RESERVOIR!$C$4:$C$1807,B53,B_INPUT_RESERVOIR!$D$4:$D$1807,12))</f>
        <v>0</v>
      </c>
      <c r="Q53" s="13" t="str">
        <f t="shared" si="7"/>
        <v>No failure</v>
      </c>
    </row>
    <row r="54" spans="1:17" x14ac:dyDescent="0.25">
      <c r="A54" s="4" t="s">
        <v>97</v>
      </c>
      <c r="B54" s="4">
        <f t="shared" si="5"/>
        <v>2036</v>
      </c>
      <c r="C54" s="8">
        <f>COUNTIFS(B_INPUT_RESERVOIR!$A$4:$A$1807,A54,B_INPUT_RESERVOIR!$C$4:$C$1807,B54)</f>
        <v>12</v>
      </c>
      <c r="D54" s="12">
        <f>IF(C54=0,0,SUMIFS(B_INPUT_RESERVOIR!$E$4:$E$1807,B_INPUT_RESERVOIR!$A$4:$A$1807,A54,B_INPUT_RESERVOIR!$C$4:$C$1807,B54))</f>
        <v>0</v>
      </c>
      <c r="E54" s="12">
        <f>IF(C54=0,0,SUMIFS(B_INPUT_RESERVOIR!$J$4:$J$1807,B_INPUT_RESERVOIR!$A$4:$A$1807,A54,B_INPUT_RESERVOIR!$C$4:$C$1807,B54))</f>
        <v>0</v>
      </c>
      <c r="F54" s="12">
        <f>IF(C54=0,"",SUMIFS(B_INPUT_RESERVOIR!$G$4:$G$1807,B_INPUT_RESERVOIR!$A$4:$A$1807,A54,B_INPUT_RESERVOIR!$C$4:$C$1807,B54))</f>
        <v>0</v>
      </c>
      <c r="G54" s="12">
        <f>IF(C54=0,"",SUMIFS(B_INPUT_RESERVOIR!$F$4:$F$1807,B_INPUT_RESERVOIR!$A$4:$A$1807,A54,B_INPUT_RESERVOIR!$C$4:$C$1807,B54))</f>
        <v>0</v>
      </c>
      <c r="H54" s="8">
        <f>IF(C54=0,"",SUMIFS(B_INPUT_RESERVOIR!$K$4:$K$1807,B_INPUT_RESERVOIR!$A$4:$A$1807,A54,B_INPUT_RESERVOIR!$C$4:$C$1807,B54))</f>
        <v>0</v>
      </c>
      <c r="I54" s="10">
        <f t="shared" si="2"/>
        <v>1</v>
      </c>
      <c r="J54" s="10" t="str">
        <f t="shared" si="6"/>
        <v/>
      </c>
      <c r="K54" s="10">
        <f>IF(H54=0,0,SUMIFS(B_INPUT_RESERVOIR!$L$4:$L$1807,B_INPUT_RESERVOIR!$A$4:$A$1807,A54,B_INPUT_RESERVOIR!$C$4:$C$1807,B54)/H54)</f>
        <v>0</v>
      </c>
      <c r="L54" s="10">
        <f t="shared" si="3"/>
        <v>1</v>
      </c>
      <c r="M54" s="10">
        <f>IF(SUMIFS(B_INPUT_RESERVOIR!$N$4:$N$1807,B_INPUT_RESERVOIR!$A$4:$A$1807,A54,B_INPUT_RESERVOIR!$C$4:$C$1807,B54)=0,1,SUMIFS(B_INPUT_RESERVOIR!$O$4:$O$1807,B_INPUT_RESERVOIR!$A$4:$A$1807,A54,B_INPUT_RESERVOIR!$C$4:$C$1807,B54)/SUMIFS(B_INPUT_RESERVOIR!$N$4:$N$1807,B_INPUT_RESERVOIR!$A$4:$A$1807,A54,B_INPUT_RESERVOIR!$C$4:$C$1807,B54))</f>
        <v>1</v>
      </c>
      <c r="N54" s="8">
        <f t="shared" si="1"/>
        <v>0</v>
      </c>
      <c r="O54" s="12">
        <f>_xlfn.SINGLE(IF(C54=0,"",_xlfn.MINIFS(B_INPUT_RESERVOIR!$H$4:$H$1807,B_INPUT_RESERVOIR!$A$4:$A$1807,A54,B_INPUT_RESERVOIR!$C$4:$C$1807,B54)))</f>
        <v>0</v>
      </c>
      <c r="P54" s="12">
        <f>IF(C54=0,"",SUMIFS(B_INPUT_RESERVOIR!$H$4:$H$1807,B_INPUT_RESERVOIR!$A$4:$A$1807,A54,B_INPUT_RESERVOIR!$C$4:$C$1807,B54,B_INPUT_RESERVOIR!$D$4:$D$1807,12))</f>
        <v>0</v>
      </c>
      <c r="Q54" s="13" t="str">
        <f t="shared" si="7"/>
        <v>No failure</v>
      </c>
    </row>
    <row r="55" spans="1:17" x14ac:dyDescent="0.25">
      <c r="A55" s="4" t="s">
        <v>97</v>
      </c>
      <c r="B55" s="4">
        <f t="shared" si="5"/>
        <v>2037</v>
      </c>
      <c r="C55" s="8">
        <f>COUNTIFS(B_INPUT_RESERVOIR!$A$4:$A$1807,A55,B_INPUT_RESERVOIR!$C$4:$C$1807,B55)</f>
        <v>12</v>
      </c>
      <c r="D55" s="12">
        <f>IF(C55=0,0,SUMIFS(B_INPUT_RESERVOIR!$E$4:$E$1807,B_INPUT_RESERVOIR!$A$4:$A$1807,A55,B_INPUT_RESERVOIR!$C$4:$C$1807,B55))</f>
        <v>0</v>
      </c>
      <c r="E55" s="12">
        <f>IF(C55=0,0,SUMIFS(B_INPUT_RESERVOIR!$J$4:$J$1807,B_INPUT_RESERVOIR!$A$4:$A$1807,A55,B_INPUT_RESERVOIR!$C$4:$C$1807,B55))</f>
        <v>0</v>
      </c>
      <c r="F55" s="12">
        <f>IF(C55=0,"",SUMIFS(B_INPUT_RESERVOIR!$G$4:$G$1807,B_INPUT_RESERVOIR!$A$4:$A$1807,A55,B_INPUT_RESERVOIR!$C$4:$C$1807,B55))</f>
        <v>0</v>
      </c>
      <c r="G55" s="12">
        <f>IF(C55=0,"",SUMIFS(B_INPUT_RESERVOIR!$F$4:$F$1807,B_INPUT_RESERVOIR!$A$4:$A$1807,A55,B_INPUT_RESERVOIR!$C$4:$C$1807,B55))</f>
        <v>0</v>
      </c>
      <c r="H55" s="8">
        <f>IF(C55=0,"",SUMIFS(B_INPUT_RESERVOIR!$K$4:$K$1807,B_INPUT_RESERVOIR!$A$4:$A$1807,A55,B_INPUT_RESERVOIR!$C$4:$C$1807,B55))</f>
        <v>0</v>
      </c>
      <c r="I55" s="10">
        <f t="shared" si="2"/>
        <v>1</v>
      </c>
      <c r="J55" s="10" t="str">
        <f t="shared" si="6"/>
        <v/>
      </c>
      <c r="K55" s="10">
        <f>IF(H55=0,0,SUMIFS(B_INPUT_RESERVOIR!$L$4:$L$1807,B_INPUT_RESERVOIR!$A$4:$A$1807,A55,B_INPUT_RESERVOIR!$C$4:$C$1807,B55)/H55)</f>
        <v>0</v>
      </c>
      <c r="L55" s="10">
        <f t="shared" si="3"/>
        <v>1</v>
      </c>
      <c r="M55" s="10">
        <f>IF(SUMIFS(B_INPUT_RESERVOIR!$N$4:$N$1807,B_INPUT_RESERVOIR!$A$4:$A$1807,A55,B_INPUT_RESERVOIR!$C$4:$C$1807,B55)=0,1,SUMIFS(B_INPUT_RESERVOIR!$O$4:$O$1807,B_INPUT_RESERVOIR!$A$4:$A$1807,A55,B_INPUT_RESERVOIR!$C$4:$C$1807,B55)/SUMIFS(B_INPUT_RESERVOIR!$N$4:$N$1807,B_INPUT_RESERVOIR!$A$4:$A$1807,A55,B_INPUT_RESERVOIR!$C$4:$C$1807,B55))</f>
        <v>1</v>
      </c>
      <c r="N55" s="8">
        <f t="shared" si="1"/>
        <v>0</v>
      </c>
      <c r="O55" s="12">
        <f>_xlfn.SINGLE(IF(C55=0,"",_xlfn.MINIFS(B_INPUT_RESERVOIR!$H$4:$H$1807,B_INPUT_RESERVOIR!$A$4:$A$1807,A55,B_INPUT_RESERVOIR!$C$4:$C$1807,B55)))</f>
        <v>0</v>
      </c>
      <c r="P55" s="12">
        <f>IF(C55=0,"",SUMIFS(B_INPUT_RESERVOIR!$H$4:$H$1807,B_INPUT_RESERVOIR!$A$4:$A$1807,A55,B_INPUT_RESERVOIR!$C$4:$C$1807,B55,B_INPUT_RESERVOIR!$D$4:$D$1807,12))</f>
        <v>0</v>
      </c>
      <c r="Q55" s="13" t="str">
        <f t="shared" si="7"/>
        <v>No failure</v>
      </c>
    </row>
    <row r="56" spans="1:17" x14ac:dyDescent="0.25">
      <c r="A56" s="4" t="s">
        <v>97</v>
      </c>
      <c r="B56" s="4">
        <f t="shared" si="5"/>
        <v>2038</v>
      </c>
      <c r="C56" s="8">
        <f>COUNTIFS(B_INPUT_RESERVOIR!$A$4:$A$1807,A56,B_INPUT_RESERVOIR!$C$4:$C$1807,B56)</f>
        <v>12</v>
      </c>
      <c r="D56" s="12">
        <f>IF(C56=0,0,SUMIFS(B_INPUT_RESERVOIR!$E$4:$E$1807,B_INPUT_RESERVOIR!$A$4:$A$1807,A56,B_INPUT_RESERVOIR!$C$4:$C$1807,B56))</f>
        <v>0</v>
      </c>
      <c r="E56" s="12">
        <f>IF(C56=0,0,SUMIFS(B_INPUT_RESERVOIR!$J$4:$J$1807,B_INPUT_RESERVOIR!$A$4:$A$1807,A56,B_INPUT_RESERVOIR!$C$4:$C$1807,B56))</f>
        <v>0</v>
      </c>
      <c r="F56" s="12">
        <f>IF(C56=0,"",SUMIFS(B_INPUT_RESERVOIR!$G$4:$G$1807,B_INPUT_RESERVOIR!$A$4:$A$1807,A56,B_INPUT_RESERVOIR!$C$4:$C$1807,B56))</f>
        <v>0</v>
      </c>
      <c r="G56" s="12">
        <f>IF(C56=0,"",SUMIFS(B_INPUT_RESERVOIR!$F$4:$F$1807,B_INPUT_RESERVOIR!$A$4:$A$1807,A56,B_INPUT_RESERVOIR!$C$4:$C$1807,B56))</f>
        <v>0</v>
      </c>
      <c r="H56" s="8">
        <f>IF(C56=0,"",SUMIFS(B_INPUT_RESERVOIR!$K$4:$K$1807,B_INPUT_RESERVOIR!$A$4:$A$1807,A56,B_INPUT_RESERVOIR!$C$4:$C$1807,B56))</f>
        <v>0</v>
      </c>
      <c r="I56" s="10">
        <f t="shared" si="2"/>
        <v>1</v>
      </c>
      <c r="J56" s="10" t="str">
        <f t="shared" si="6"/>
        <v/>
      </c>
      <c r="K56" s="10">
        <f>IF(H56=0,0,SUMIFS(B_INPUT_RESERVOIR!$L$4:$L$1807,B_INPUT_RESERVOIR!$A$4:$A$1807,A56,B_INPUT_RESERVOIR!$C$4:$C$1807,B56)/H56)</f>
        <v>0</v>
      </c>
      <c r="L56" s="10">
        <f t="shared" si="3"/>
        <v>1</v>
      </c>
      <c r="M56" s="10">
        <f>IF(SUMIFS(B_INPUT_RESERVOIR!$N$4:$N$1807,B_INPUT_RESERVOIR!$A$4:$A$1807,A56,B_INPUT_RESERVOIR!$C$4:$C$1807,B56)=0,1,SUMIFS(B_INPUT_RESERVOIR!$O$4:$O$1807,B_INPUT_RESERVOIR!$A$4:$A$1807,A56,B_INPUT_RESERVOIR!$C$4:$C$1807,B56)/SUMIFS(B_INPUT_RESERVOIR!$N$4:$N$1807,B_INPUT_RESERVOIR!$A$4:$A$1807,A56,B_INPUT_RESERVOIR!$C$4:$C$1807,B56))</f>
        <v>1</v>
      </c>
      <c r="N56" s="8">
        <f t="shared" si="1"/>
        <v>0</v>
      </c>
      <c r="O56" s="12">
        <f>_xlfn.SINGLE(IF(C56=0,"",_xlfn.MINIFS(B_INPUT_RESERVOIR!$H$4:$H$1807,B_INPUT_RESERVOIR!$A$4:$A$1807,A56,B_INPUT_RESERVOIR!$C$4:$C$1807,B56)))</f>
        <v>0</v>
      </c>
      <c r="P56" s="12">
        <f>IF(C56=0,"",SUMIFS(B_INPUT_RESERVOIR!$H$4:$H$1807,B_INPUT_RESERVOIR!$A$4:$A$1807,A56,B_INPUT_RESERVOIR!$C$4:$C$1807,B56,B_INPUT_RESERVOIR!$D$4:$D$1807,12))</f>
        <v>0</v>
      </c>
      <c r="Q56" s="13" t="str">
        <f t="shared" si="7"/>
        <v>No failure</v>
      </c>
    </row>
    <row r="57" spans="1:17" x14ac:dyDescent="0.25">
      <c r="A57" s="4" t="s">
        <v>97</v>
      </c>
      <c r="B57" s="4">
        <f t="shared" si="5"/>
        <v>2039</v>
      </c>
      <c r="C57" s="8">
        <f>COUNTIFS(B_INPUT_RESERVOIR!$A$4:$A$1807,A57,B_INPUT_RESERVOIR!$C$4:$C$1807,B57)</f>
        <v>12</v>
      </c>
      <c r="D57" s="12">
        <f>IF(C57=0,0,SUMIFS(B_INPUT_RESERVOIR!$E$4:$E$1807,B_INPUT_RESERVOIR!$A$4:$A$1807,A57,B_INPUT_RESERVOIR!$C$4:$C$1807,B57))</f>
        <v>0</v>
      </c>
      <c r="E57" s="12">
        <f>IF(C57=0,0,SUMIFS(B_INPUT_RESERVOIR!$J$4:$J$1807,B_INPUT_RESERVOIR!$A$4:$A$1807,A57,B_INPUT_RESERVOIR!$C$4:$C$1807,B57))</f>
        <v>0</v>
      </c>
      <c r="F57" s="12">
        <f>IF(C57=0,"",SUMIFS(B_INPUT_RESERVOIR!$G$4:$G$1807,B_INPUT_RESERVOIR!$A$4:$A$1807,A57,B_INPUT_RESERVOIR!$C$4:$C$1807,B57))</f>
        <v>0</v>
      </c>
      <c r="G57" s="12">
        <f>IF(C57=0,"",SUMIFS(B_INPUT_RESERVOIR!$F$4:$F$1807,B_INPUT_RESERVOIR!$A$4:$A$1807,A57,B_INPUT_RESERVOIR!$C$4:$C$1807,B57))</f>
        <v>0</v>
      </c>
      <c r="H57" s="8">
        <f>IF(C57=0,"",SUMIFS(B_INPUT_RESERVOIR!$K$4:$K$1807,B_INPUT_RESERVOIR!$A$4:$A$1807,A57,B_INPUT_RESERVOIR!$C$4:$C$1807,B57))</f>
        <v>0</v>
      </c>
      <c r="I57" s="10">
        <f t="shared" si="2"/>
        <v>1</v>
      </c>
      <c r="J57" s="10" t="str">
        <f t="shared" si="6"/>
        <v/>
      </c>
      <c r="K57" s="10">
        <f>IF(H57=0,0,SUMIFS(B_INPUT_RESERVOIR!$L$4:$L$1807,B_INPUT_RESERVOIR!$A$4:$A$1807,A57,B_INPUT_RESERVOIR!$C$4:$C$1807,B57)/H57)</f>
        <v>0</v>
      </c>
      <c r="L57" s="10">
        <f t="shared" si="3"/>
        <v>1</v>
      </c>
      <c r="M57" s="10">
        <f>IF(SUMIFS(B_INPUT_RESERVOIR!$N$4:$N$1807,B_INPUT_RESERVOIR!$A$4:$A$1807,A57,B_INPUT_RESERVOIR!$C$4:$C$1807,B57)=0,1,SUMIFS(B_INPUT_RESERVOIR!$O$4:$O$1807,B_INPUT_RESERVOIR!$A$4:$A$1807,A57,B_INPUT_RESERVOIR!$C$4:$C$1807,B57)/SUMIFS(B_INPUT_RESERVOIR!$N$4:$N$1807,B_INPUT_RESERVOIR!$A$4:$A$1807,A57,B_INPUT_RESERVOIR!$C$4:$C$1807,B57))</f>
        <v>1</v>
      </c>
      <c r="N57" s="8">
        <f t="shared" si="1"/>
        <v>0</v>
      </c>
      <c r="O57" s="12">
        <f>_xlfn.SINGLE(IF(C57=0,"",_xlfn.MINIFS(B_INPUT_RESERVOIR!$H$4:$H$1807,B_INPUT_RESERVOIR!$A$4:$A$1807,A57,B_INPUT_RESERVOIR!$C$4:$C$1807,B57)))</f>
        <v>0</v>
      </c>
      <c r="P57" s="12">
        <f>IF(C57=0,"",SUMIFS(B_INPUT_RESERVOIR!$H$4:$H$1807,B_INPUT_RESERVOIR!$A$4:$A$1807,A57,B_INPUT_RESERVOIR!$C$4:$C$1807,B57,B_INPUT_RESERVOIR!$D$4:$D$1807,12))</f>
        <v>0</v>
      </c>
      <c r="Q57" s="13" t="str">
        <f t="shared" si="7"/>
        <v>No failure</v>
      </c>
    </row>
    <row r="58" spans="1:17" x14ac:dyDescent="0.25">
      <c r="A58" s="4" t="s">
        <v>97</v>
      </c>
      <c r="B58" s="4">
        <f t="shared" si="5"/>
        <v>2040</v>
      </c>
      <c r="C58" s="8">
        <f>COUNTIFS(B_INPUT_RESERVOIR!$A$4:$A$1807,A58,B_INPUT_RESERVOIR!$C$4:$C$1807,B58)</f>
        <v>12</v>
      </c>
      <c r="D58" s="12">
        <f>IF(C58=0,0,SUMIFS(B_INPUT_RESERVOIR!$E$4:$E$1807,B_INPUT_RESERVOIR!$A$4:$A$1807,A58,B_INPUT_RESERVOIR!$C$4:$C$1807,B58))</f>
        <v>0</v>
      </c>
      <c r="E58" s="12">
        <f>IF(C58=0,0,SUMIFS(B_INPUT_RESERVOIR!$J$4:$J$1807,B_INPUT_RESERVOIR!$A$4:$A$1807,A58,B_INPUT_RESERVOIR!$C$4:$C$1807,B58))</f>
        <v>0</v>
      </c>
      <c r="F58" s="12">
        <f>IF(C58=0,"",SUMIFS(B_INPUT_RESERVOIR!$G$4:$G$1807,B_INPUT_RESERVOIR!$A$4:$A$1807,A58,B_INPUT_RESERVOIR!$C$4:$C$1807,B58))</f>
        <v>0</v>
      </c>
      <c r="G58" s="12">
        <f>IF(C58=0,"",SUMIFS(B_INPUT_RESERVOIR!$F$4:$F$1807,B_INPUT_RESERVOIR!$A$4:$A$1807,A58,B_INPUT_RESERVOIR!$C$4:$C$1807,B58))</f>
        <v>0</v>
      </c>
      <c r="H58" s="8">
        <f>IF(C58=0,"",SUMIFS(B_INPUT_RESERVOIR!$K$4:$K$1807,B_INPUT_RESERVOIR!$A$4:$A$1807,A58,B_INPUT_RESERVOIR!$C$4:$C$1807,B58))</f>
        <v>0</v>
      </c>
      <c r="I58" s="10">
        <f t="shared" si="2"/>
        <v>1</v>
      </c>
      <c r="J58" s="10" t="str">
        <f t="shared" si="6"/>
        <v/>
      </c>
      <c r="K58" s="10">
        <f>IF(H58=0,0,SUMIFS(B_INPUT_RESERVOIR!$L$4:$L$1807,B_INPUT_RESERVOIR!$A$4:$A$1807,A58,B_INPUT_RESERVOIR!$C$4:$C$1807,B58)/H58)</f>
        <v>0</v>
      </c>
      <c r="L58" s="10">
        <f t="shared" si="3"/>
        <v>1</v>
      </c>
      <c r="M58" s="10">
        <f>IF(SUMIFS(B_INPUT_RESERVOIR!$N$4:$N$1807,B_INPUT_RESERVOIR!$A$4:$A$1807,A58,B_INPUT_RESERVOIR!$C$4:$C$1807,B58)=0,1,SUMIFS(B_INPUT_RESERVOIR!$O$4:$O$1807,B_INPUT_RESERVOIR!$A$4:$A$1807,A58,B_INPUT_RESERVOIR!$C$4:$C$1807,B58)/SUMIFS(B_INPUT_RESERVOIR!$N$4:$N$1807,B_INPUT_RESERVOIR!$A$4:$A$1807,A58,B_INPUT_RESERVOIR!$C$4:$C$1807,B58))</f>
        <v>1</v>
      </c>
      <c r="N58" s="8">
        <f t="shared" si="1"/>
        <v>0</v>
      </c>
      <c r="O58" s="12">
        <f>_xlfn.SINGLE(IF(C58=0,"",_xlfn.MINIFS(B_INPUT_RESERVOIR!$H$4:$H$1807,B_INPUT_RESERVOIR!$A$4:$A$1807,A58,B_INPUT_RESERVOIR!$C$4:$C$1807,B58)))</f>
        <v>0</v>
      </c>
      <c r="P58" s="12">
        <f>IF(C58=0,"",SUMIFS(B_INPUT_RESERVOIR!$H$4:$H$1807,B_INPUT_RESERVOIR!$A$4:$A$1807,A58,B_INPUT_RESERVOIR!$C$4:$C$1807,B58,B_INPUT_RESERVOIR!$D$4:$D$1807,12))</f>
        <v>0</v>
      </c>
      <c r="Q58" s="13" t="str">
        <f t="shared" si="7"/>
        <v>No failure</v>
      </c>
    </row>
    <row r="59" spans="1:17" x14ac:dyDescent="0.25">
      <c r="A59" s="4" t="s">
        <v>97</v>
      </c>
      <c r="B59" s="4">
        <f t="shared" si="5"/>
        <v>2041</v>
      </c>
      <c r="C59" s="8">
        <f>COUNTIFS(B_INPUT_RESERVOIR!$A$4:$A$1807,A59,B_INPUT_RESERVOIR!$C$4:$C$1807,B59)</f>
        <v>12</v>
      </c>
      <c r="D59" s="12">
        <f>IF(C59=0,0,SUMIFS(B_INPUT_RESERVOIR!$E$4:$E$1807,B_INPUT_RESERVOIR!$A$4:$A$1807,A59,B_INPUT_RESERVOIR!$C$4:$C$1807,B59))</f>
        <v>0</v>
      </c>
      <c r="E59" s="12">
        <f>IF(C59=0,0,SUMIFS(B_INPUT_RESERVOIR!$J$4:$J$1807,B_INPUT_RESERVOIR!$A$4:$A$1807,A59,B_INPUT_RESERVOIR!$C$4:$C$1807,B59))</f>
        <v>0</v>
      </c>
      <c r="F59" s="12">
        <f>IF(C59=0,"",SUMIFS(B_INPUT_RESERVOIR!$G$4:$G$1807,B_INPUT_RESERVOIR!$A$4:$A$1807,A59,B_INPUT_RESERVOIR!$C$4:$C$1807,B59))</f>
        <v>0</v>
      </c>
      <c r="G59" s="12">
        <f>IF(C59=0,"",SUMIFS(B_INPUT_RESERVOIR!$F$4:$F$1807,B_INPUT_RESERVOIR!$A$4:$A$1807,A59,B_INPUT_RESERVOIR!$C$4:$C$1807,B59))</f>
        <v>0</v>
      </c>
      <c r="H59" s="8">
        <f>IF(C59=0,"",SUMIFS(B_INPUT_RESERVOIR!$K$4:$K$1807,B_INPUT_RESERVOIR!$A$4:$A$1807,A59,B_INPUT_RESERVOIR!$C$4:$C$1807,B59))</f>
        <v>0</v>
      </c>
      <c r="I59" s="10">
        <f t="shared" si="2"/>
        <v>1</v>
      </c>
      <c r="J59" s="10" t="str">
        <f t="shared" si="6"/>
        <v/>
      </c>
      <c r="K59" s="10">
        <f>IF(H59=0,0,SUMIFS(B_INPUT_RESERVOIR!$L$4:$L$1807,B_INPUT_RESERVOIR!$A$4:$A$1807,A59,B_INPUT_RESERVOIR!$C$4:$C$1807,B59)/H59)</f>
        <v>0</v>
      </c>
      <c r="L59" s="10">
        <f t="shared" si="3"/>
        <v>1</v>
      </c>
      <c r="M59" s="10">
        <f>IF(SUMIFS(B_INPUT_RESERVOIR!$N$4:$N$1807,B_INPUT_RESERVOIR!$A$4:$A$1807,A59,B_INPUT_RESERVOIR!$C$4:$C$1807,B59)=0,1,SUMIFS(B_INPUT_RESERVOIR!$O$4:$O$1807,B_INPUT_RESERVOIR!$A$4:$A$1807,A59,B_INPUT_RESERVOIR!$C$4:$C$1807,B59)/SUMIFS(B_INPUT_RESERVOIR!$N$4:$N$1807,B_INPUT_RESERVOIR!$A$4:$A$1807,A59,B_INPUT_RESERVOIR!$C$4:$C$1807,B59))</f>
        <v>1</v>
      </c>
      <c r="N59" s="8">
        <f t="shared" si="1"/>
        <v>0</v>
      </c>
      <c r="O59" s="12">
        <f>_xlfn.SINGLE(IF(C59=0,"",_xlfn.MINIFS(B_INPUT_RESERVOIR!$H$4:$H$1807,B_INPUT_RESERVOIR!$A$4:$A$1807,A59,B_INPUT_RESERVOIR!$C$4:$C$1807,B59)))</f>
        <v>0</v>
      </c>
      <c r="P59" s="12">
        <f>IF(C59=0,"",SUMIFS(B_INPUT_RESERVOIR!$H$4:$H$1807,B_INPUT_RESERVOIR!$A$4:$A$1807,A59,B_INPUT_RESERVOIR!$C$4:$C$1807,B59,B_INPUT_RESERVOIR!$D$4:$D$1807,12))</f>
        <v>0</v>
      </c>
      <c r="Q59" s="13" t="str">
        <f t="shared" si="7"/>
        <v>No failure</v>
      </c>
    </row>
    <row r="60" spans="1:17" x14ac:dyDescent="0.25">
      <c r="A60" s="4" t="s">
        <v>97</v>
      </c>
      <c r="B60" s="4">
        <f t="shared" si="5"/>
        <v>2042</v>
      </c>
      <c r="C60" s="8">
        <f>COUNTIFS(B_INPUT_RESERVOIR!$A$4:$A$1807,A60,B_INPUT_RESERVOIR!$C$4:$C$1807,B60)</f>
        <v>12</v>
      </c>
      <c r="D60" s="12">
        <f>IF(C60=0,0,SUMIFS(B_INPUT_RESERVOIR!$E$4:$E$1807,B_INPUT_RESERVOIR!$A$4:$A$1807,A60,B_INPUT_RESERVOIR!$C$4:$C$1807,B60))</f>
        <v>0</v>
      </c>
      <c r="E60" s="12">
        <f>IF(C60=0,0,SUMIFS(B_INPUT_RESERVOIR!$J$4:$J$1807,B_INPUT_RESERVOIR!$A$4:$A$1807,A60,B_INPUT_RESERVOIR!$C$4:$C$1807,B60))</f>
        <v>0</v>
      </c>
      <c r="F60" s="12">
        <f>IF(C60=0,"",SUMIFS(B_INPUT_RESERVOIR!$G$4:$G$1807,B_INPUT_RESERVOIR!$A$4:$A$1807,A60,B_INPUT_RESERVOIR!$C$4:$C$1807,B60))</f>
        <v>0</v>
      </c>
      <c r="G60" s="12">
        <f>IF(C60=0,"",SUMIFS(B_INPUT_RESERVOIR!$F$4:$F$1807,B_INPUT_RESERVOIR!$A$4:$A$1807,A60,B_INPUT_RESERVOIR!$C$4:$C$1807,B60))</f>
        <v>0</v>
      </c>
      <c r="H60" s="8">
        <f>IF(C60=0,"",SUMIFS(B_INPUT_RESERVOIR!$K$4:$K$1807,B_INPUT_RESERVOIR!$A$4:$A$1807,A60,B_INPUT_RESERVOIR!$C$4:$C$1807,B60))</f>
        <v>0</v>
      </c>
      <c r="I60" s="10">
        <f t="shared" si="2"/>
        <v>1</v>
      </c>
      <c r="J60" s="10" t="str">
        <f t="shared" si="6"/>
        <v/>
      </c>
      <c r="K60" s="10">
        <f>IF(H60=0,0,SUMIFS(B_INPUT_RESERVOIR!$L$4:$L$1807,B_INPUT_RESERVOIR!$A$4:$A$1807,A60,B_INPUT_RESERVOIR!$C$4:$C$1807,B60)/H60)</f>
        <v>0</v>
      </c>
      <c r="L60" s="10">
        <f t="shared" si="3"/>
        <v>1</v>
      </c>
      <c r="M60" s="10">
        <f>IF(SUMIFS(B_INPUT_RESERVOIR!$N$4:$N$1807,B_INPUT_RESERVOIR!$A$4:$A$1807,A60,B_INPUT_RESERVOIR!$C$4:$C$1807,B60)=0,1,SUMIFS(B_INPUT_RESERVOIR!$O$4:$O$1807,B_INPUT_RESERVOIR!$A$4:$A$1807,A60,B_INPUT_RESERVOIR!$C$4:$C$1807,B60)/SUMIFS(B_INPUT_RESERVOIR!$N$4:$N$1807,B_INPUT_RESERVOIR!$A$4:$A$1807,A60,B_INPUT_RESERVOIR!$C$4:$C$1807,B60))</f>
        <v>1</v>
      </c>
      <c r="N60" s="8">
        <f t="shared" si="1"/>
        <v>0</v>
      </c>
      <c r="O60" s="12">
        <f>_xlfn.SINGLE(IF(C60=0,"",_xlfn.MINIFS(B_INPUT_RESERVOIR!$H$4:$H$1807,B_INPUT_RESERVOIR!$A$4:$A$1807,A60,B_INPUT_RESERVOIR!$C$4:$C$1807,B60)))</f>
        <v>0</v>
      </c>
      <c r="P60" s="12">
        <f>IF(C60=0,"",SUMIFS(B_INPUT_RESERVOIR!$H$4:$H$1807,B_INPUT_RESERVOIR!$A$4:$A$1807,A60,B_INPUT_RESERVOIR!$C$4:$C$1807,B60,B_INPUT_RESERVOIR!$D$4:$D$1807,12))</f>
        <v>0</v>
      </c>
      <c r="Q60" s="13" t="str">
        <f t="shared" si="7"/>
        <v>No failure</v>
      </c>
    </row>
    <row r="61" spans="1:17" x14ac:dyDescent="0.25">
      <c r="A61" s="4" t="s">
        <v>97</v>
      </c>
      <c r="B61" s="4">
        <f t="shared" si="5"/>
        <v>2043</v>
      </c>
      <c r="C61" s="8">
        <f>COUNTIFS(B_INPUT_RESERVOIR!$A$4:$A$1807,A61,B_INPUT_RESERVOIR!$C$4:$C$1807,B61)</f>
        <v>12</v>
      </c>
      <c r="D61" s="12">
        <f>IF(C61=0,0,SUMIFS(B_INPUT_RESERVOIR!$E$4:$E$1807,B_INPUT_RESERVOIR!$A$4:$A$1807,A61,B_INPUT_RESERVOIR!$C$4:$C$1807,B61))</f>
        <v>0</v>
      </c>
      <c r="E61" s="12">
        <f>IF(C61=0,0,SUMIFS(B_INPUT_RESERVOIR!$J$4:$J$1807,B_INPUT_RESERVOIR!$A$4:$A$1807,A61,B_INPUT_RESERVOIR!$C$4:$C$1807,B61))</f>
        <v>0</v>
      </c>
      <c r="F61" s="12">
        <f>IF(C61=0,"",SUMIFS(B_INPUT_RESERVOIR!$G$4:$G$1807,B_INPUT_RESERVOIR!$A$4:$A$1807,A61,B_INPUT_RESERVOIR!$C$4:$C$1807,B61))</f>
        <v>0</v>
      </c>
      <c r="G61" s="12">
        <f>IF(C61=0,"",SUMIFS(B_INPUT_RESERVOIR!$F$4:$F$1807,B_INPUT_RESERVOIR!$A$4:$A$1807,A61,B_INPUT_RESERVOIR!$C$4:$C$1807,B61))</f>
        <v>0</v>
      </c>
      <c r="H61" s="8">
        <f>IF(C61=0,"",SUMIFS(B_INPUT_RESERVOIR!$K$4:$K$1807,B_INPUT_RESERVOIR!$A$4:$A$1807,A61,B_INPUT_RESERVOIR!$C$4:$C$1807,B61))</f>
        <v>0</v>
      </c>
      <c r="I61" s="10">
        <f t="shared" si="2"/>
        <v>1</v>
      </c>
      <c r="J61" s="10" t="str">
        <f t="shared" si="6"/>
        <v/>
      </c>
      <c r="K61" s="10">
        <f>IF(H61=0,0,SUMIFS(B_INPUT_RESERVOIR!$L$4:$L$1807,B_INPUT_RESERVOIR!$A$4:$A$1807,A61,B_INPUT_RESERVOIR!$C$4:$C$1807,B61)/H61)</f>
        <v>0</v>
      </c>
      <c r="L61" s="10">
        <f t="shared" si="3"/>
        <v>1</v>
      </c>
      <c r="M61" s="10">
        <f>IF(SUMIFS(B_INPUT_RESERVOIR!$N$4:$N$1807,B_INPUT_RESERVOIR!$A$4:$A$1807,A61,B_INPUT_RESERVOIR!$C$4:$C$1807,B61)=0,1,SUMIFS(B_INPUT_RESERVOIR!$O$4:$O$1807,B_INPUT_RESERVOIR!$A$4:$A$1807,A61,B_INPUT_RESERVOIR!$C$4:$C$1807,B61)/SUMIFS(B_INPUT_RESERVOIR!$N$4:$N$1807,B_INPUT_RESERVOIR!$A$4:$A$1807,A61,B_INPUT_RESERVOIR!$C$4:$C$1807,B61))</f>
        <v>1</v>
      </c>
      <c r="N61" s="8">
        <f t="shared" si="1"/>
        <v>0</v>
      </c>
      <c r="O61" s="12">
        <f>_xlfn.SINGLE(IF(C61=0,"",_xlfn.MINIFS(B_INPUT_RESERVOIR!$H$4:$H$1807,B_INPUT_RESERVOIR!$A$4:$A$1807,A61,B_INPUT_RESERVOIR!$C$4:$C$1807,B61)))</f>
        <v>0</v>
      </c>
      <c r="P61" s="12">
        <f>IF(C61=0,"",SUMIFS(B_INPUT_RESERVOIR!$H$4:$H$1807,B_INPUT_RESERVOIR!$A$4:$A$1807,A61,B_INPUT_RESERVOIR!$C$4:$C$1807,B61,B_INPUT_RESERVOIR!$D$4:$D$1807,12))</f>
        <v>0</v>
      </c>
      <c r="Q61" s="13" t="str">
        <f t="shared" si="7"/>
        <v>No failure</v>
      </c>
    </row>
    <row r="62" spans="1:17" x14ac:dyDescent="0.25">
      <c r="A62" s="4" t="s">
        <v>97</v>
      </c>
      <c r="B62" s="4">
        <f t="shared" si="5"/>
        <v>2044</v>
      </c>
      <c r="C62" s="8">
        <f>COUNTIFS(B_INPUT_RESERVOIR!$A$4:$A$1807,A62,B_INPUT_RESERVOIR!$C$4:$C$1807,B62)</f>
        <v>12</v>
      </c>
      <c r="D62" s="12">
        <f>IF(C62=0,0,SUMIFS(B_INPUT_RESERVOIR!$E$4:$E$1807,B_INPUT_RESERVOIR!$A$4:$A$1807,A62,B_INPUT_RESERVOIR!$C$4:$C$1807,B62))</f>
        <v>0</v>
      </c>
      <c r="E62" s="12">
        <f>IF(C62=0,0,SUMIFS(B_INPUT_RESERVOIR!$J$4:$J$1807,B_INPUT_RESERVOIR!$A$4:$A$1807,A62,B_INPUT_RESERVOIR!$C$4:$C$1807,B62))</f>
        <v>0</v>
      </c>
      <c r="F62" s="12">
        <f>IF(C62=0,"",SUMIFS(B_INPUT_RESERVOIR!$G$4:$G$1807,B_INPUT_RESERVOIR!$A$4:$A$1807,A62,B_INPUT_RESERVOIR!$C$4:$C$1807,B62))</f>
        <v>0</v>
      </c>
      <c r="G62" s="12">
        <f>IF(C62=0,"",SUMIFS(B_INPUT_RESERVOIR!$F$4:$F$1807,B_INPUT_RESERVOIR!$A$4:$A$1807,A62,B_INPUT_RESERVOIR!$C$4:$C$1807,B62))</f>
        <v>0</v>
      </c>
      <c r="H62" s="8">
        <f>IF(C62=0,"",SUMIFS(B_INPUT_RESERVOIR!$K$4:$K$1807,B_INPUT_RESERVOIR!$A$4:$A$1807,A62,B_INPUT_RESERVOIR!$C$4:$C$1807,B62))</f>
        <v>0</v>
      </c>
      <c r="I62" s="10">
        <f t="shared" si="2"/>
        <v>1</v>
      </c>
      <c r="J62" s="10" t="str">
        <f t="shared" si="6"/>
        <v/>
      </c>
      <c r="K62" s="10">
        <f>IF(H62=0,0,SUMIFS(B_INPUT_RESERVOIR!$L$4:$L$1807,B_INPUT_RESERVOIR!$A$4:$A$1807,A62,B_INPUT_RESERVOIR!$C$4:$C$1807,B62)/H62)</f>
        <v>0</v>
      </c>
      <c r="L62" s="10">
        <f t="shared" si="3"/>
        <v>1</v>
      </c>
      <c r="M62" s="10">
        <f>IF(SUMIFS(B_INPUT_RESERVOIR!$N$4:$N$1807,B_INPUT_RESERVOIR!$A$4:$A$1807,A62,B_INPUT_RESERVOIR!$C$4:$C$1807,B62)=0,1,SUMIFS(B_INPUT_RESERVOIR!$O$4:$O$1807,B_INPUT_RESERVOIR!$A$4:$A$1807,A62,B_INPUT_RESERVOIR!$C$4:$C$1807,B62)/SUMIFS(B_INPUT_RESERVOIR!$N$4:$N$1807,B_INPUT_RESERVOIR!$A$4:$A$1807,A62,B_INPUT_RESERVOIR!$C$4:$C$1807,B62))</f>
        <v>1</v>
      </c>
      <c r="N62" s="8">
        <f t="shared" si="1"/>
        <v>0</v>
      </c>
      <c r="O62" s="12">
        <f>_xlfn.SINGLE(IF(C62=0,"",_xlfn.MINIFS(B_INPUT_RESERVOIR!$H$4:$H$1807,B_INPUT_RESERVOIR!$A$4:$A$1807,A62,B_INPUT_RESERVOIR!$C$4:$C$1807,B62)))</f>
        <v>0</v>
      </c>
      <c r="P62" s="12">
        <f>IF(C62=0,"",SUMIFS(B_INPUT_RESERVOIR!$H$4:$H$1807,B_INPUT_RESERVOIR!$A$4:$A$1807,A62,B_INPUT_RESERVOIR!$C$4:$C$1807,B62,B_INPUT_RESERVOIR!$D$4:$D$1807,12))</f>
        <v>0</v>
      </c>
      <c r="Q62" s="13" t="str">
        <f t="shared" si="7"/>
        <v>No failure</v>
      </c>
    </row>
    <row r="63" spans="1:17" x14ac:dyDescent="0.25">
      <c r="A63" s="4" t="s">
        <v>97</v>
      </c>
      <c r="B63" s="4">
        <f t="shared" si="5"/>
        <v>2045</v>
      </c>
      <c r="C63" s="8">
        <f>COUNTIFS(B_INPUT_RESERVOIR!$A$4:$A$1807,A63,B_INPUT_RESERVOIR!$C$4:$C$1807,B63)</f>
        <v>9</v>
      </c>
      <c r="D63" s="12">
        <f>IF(C63=0,0,SUMIFS(B_INPUT_RESERVOIR!$E$4:$E$1807,B_INPUT_RESERVOIR!$A$4:$A$1807,A63,B_INPUT_RESERVOIR!$C$4:$C$1807,B63))</f>
        <v>0</v>
      </c>
      <c r="E63" s="12">
        <f>IF(C63=0,0,SUMIFS(B_INPUT_RESERVOIR!$J$4:$J$1807,B_INPUT_RESERVOIR!$A$4:$A$1807,A63,B_INPUT_RESERVOIR!$C$4:$C$1807,B63))</f>
        <v>0</v>
      </c>
      <c r="F63" s="12">
        <f>IF(C63=0,"",SUMIFS(B_INPUT_RESERVOIR!$G$4:$G$1807,B_INPUT_RESERVOIR!$A$4:$A$1807,A63,B_INPUT_RESERVOIR!$C$4:$C$1807,B63))</f>
        <v>0</v>
      </c>
      <c r="G63" s="12">
        <f>IF(C63=0,"",SUMIFS(B_INPUT_RESERVOIR!$F$4:$F$1807,B_INPUT_RESERVOIR!$A$4:$A$1807,A63,B_INPUT_RESERVOIR!$C$4:$C$1807,B63))</f>
        <v>0</v>
      </c>
      <c r="H63" s="8">
        <f>IF(C63=0,"",SUMIFS(B_INPUT_RESERVOIR!$K$4:$K$1807,B_INPUT_RESERVOIR!$A$4:$A$1807,A63,B_INPUT_RESERVOIR!$C$4:$C$1807,B63))</f>
        <v>0</v>
      </c>
      <c r="I63" s="10">
        <f t="shared" si="2"/>
        <v>1</v>
      </c>
      <c r="J63" s="10" t="str">
        <f t="shared" si="6"/>
        <v/>
      </c>
      <c r="K63" s="10">
        <f>IF(H63=0,0,SUMIFS(B_INPUT_RESERVOIR!$L$4:$L$1807,B_INPUT_RESERVOIR!$A$4:$A$1807,A63,B_INPUT_RESERVOIR!$C$4:$C$1807,B63)/H63)</f>
        <v>0</v>
      </c>
      <c r="L63" s="10">
        <f t="shared" si="3"/>
        <v>1</v>
      </c>
      <c r="M63" s="10">
        <f>IF(SUMIFS(B_INPUT_RESERVOIR!$N$4:$N$1807,B_INPUT_RESERVOIR!$A$4:$A$1807,A63,B_INPUT_RESERVOIR!$C$4:$C$1807,B63)=0,1,SUMIFS(B_INPUT_RESERVOIR!$O$4:$O$1807,B_INPUT_RESERVOIR!$A$4:$A$1807,A63,B_INPUT_RESERVOIR!$C$4:$C$1807,B63)/SUMIFS(B_INPUT_RESERVOIR!$N$4:$N$1807,B_INPUT_RESERVOIR!$A$4:$A$1807,A63,B_INPUT_RESERVOIR!$C$4:$C$1807,B63))</f>
        <v>1</v>
      </c>
      <c r="N63" s="8">
        <f t="shared" si="1"/>
        <v>0</v>
      </c>
      <c r="O63" s="12">
        <f>_xlfn.SINGLE(IF(C63=0,"",_xlfn.MINIFS(B_INPUT_RESERVOIR!$H$4:$H$1807,B_INPUT_RESERVOIR!$A$4:$A$1807,A63,B_INPUT_RESERVOIR!$C$4:$C$1807,B63)))</f>
        <v>0</v>
      </c>
      <c r="P63" s="12">
        <f>IF(C63=0,"",SUMIFS(B_INPUT_RESERVOIR!$H$4:$H$1807,B_INPUT_RESERVOIR!$A$4:$A$1807,A63,B_INPUT_RESERVOIR!$C$4:$C$1807,B63,B_INPUT_RESERVOIR!$D$4:$D$1807,12))</f>
        <v>0</v>
      </c>
      <c r="Q63" s="13" t="str">
        <f t="shared" si="7"/>
        <v>No failure</v>
      </c>
    </row>
    <row r="64" spans="1:17" x14ac:dyDescent="0.25">
      <c r="A64" s="4" t="s">
        <v>30</v>
      </c>
      <c r="B64" s="4">
        <f t="shared" si="5"/>
        <v>2016</v>
      </c>
      <c r="C64" s="8">
        <f>COUNTIFS(B_INPUT_RESERVOIR!$A$4:$A$1807,A64,B_INPUT_RESERVOIR!$C$4:$C$1807,B64)</f>
        <v>12</v>
      </c>
      <c r="D64" s="12">
        <f>IF(C64=0,0,SUMIFS(B_INPUT_RESERVOIR!$E$4:$E$1807,B_INPUT_RESERVOIR!$A$4:$A$1807,A64,B_INPUT_RESERVOIR!$C$4:$C$1807,B64))</f>
        <v>5922398.3073964017</v>
      </c>
      <c r="E64" s="12">
        <f>IF(C64=0,0,SUMIFS(B_INPUT_RESERVOIR!$J$4:$J$1807,B_INPUT_RESERVOIR!$A$4:$A$1807,A64,B_INPUT_RESERVOIR!$C$4:$C$1807,B64))</f>
        <v>5922398.3073964017</v>
      </c>
      <c r="F64" s="12">
        <f>IF(C64=0,"",SUMIFS(B_INPUT_RESERVOIR!$G$4:$G$1807,B_INPUT_RESERVOIR!$A$4:$A$1807,A64,B_INPUT_RESERVOIR!$C$4:$C$1807,B64))</f>
        <v>0</v>
      </c>
      <c r="G64" s="12">
        <f>IF(C64=0,"",SUMIFS(B_INPUT_RESERVOIR!$F$4:$F$1807,B_INPUT_RESERVOIR!$A$4:$A$1807,A64,B_INPUT_RESERVOIR!$C$4:$C$1807,B64))</f>
        <v>0</v>
      </c>
      <c r="H64" s="8">
        <f>IF(C64=0,"",SUMIFS(B_INPUT_RESERVOIR!$K$4:$K$1807,B_INPUT_RESERVOIR!$A$4:$A$1807,A64,B_INPUT_RESERVOIR!$C$4:$C$1807,B64))</f>
        <v>0</v>
      </c>
      <c r="I64" s="10">
        <f t="shared" si="2"/>
        <v>1</v>
      </c>
      <c r="J64" s="10">
        <f t="shared" si="6"/>
        <v>1</v>
      </c>
      <c r="K64" s="10">
        <f>IF(H64=0,0,SUMIFS(B_INPUT_RESERVOIR!$L$4:$L$1807,B_INPUT_RESERVOIR!$A$4:$A$1807,A64,B_INPUT_RESERVOIR!$C$4:$C$1807,B64)/H64)</f>
        <v>0</v>
      </c>
      <c r="L64" s="10">
        <f t="shared" si="3"/>
        <v>1</v>
      </c>
      <c r="M64" s="10">
        <f>IF(SUMIFS(B_INPUT_RESERVOIR!$N$4:$N$1807,B_INPUT_RESERVOIR!$A$4:$A$1807,A64,B_INPUT_RESERVOIR!$C$4:$C$1807,B64)=0,1,SUMIFS(B_INPUT_RESERVOIR!$O$4:$O$1807,B_INPUT_RESERVOIR!$A$4:$A$1807,A64,B_INPUT_RESERVOIR!$C$4:$C$1807,B64)/SUMIFS(B_INPUT_RESERVOIR!$N$4:$N$1807,B_INPUT_RESERVOIR!$A$4:$A$1807,A64,B_INPUT_RESERVOIR!$C$4:$C$1807,B64))</f>
        <v>1</v>
      </c>
      <c r="N64" s="8">
        <f t="shared" si="1"/>
        <v>0</v>
      </c>
      <c r="O64" s="12">
        <f>_xlfn.SINGLE(IF(C64=0,"",_xlfn.MINIFS(B_INPUT_RESERVOIR!$H$4:$H$1807,B_INPUT_RESERVOIR!$A$4:$A$1807,A64,B_INPUT_RESERVOIR!$C$4:$C$1807,B64)))</f>
        <v>32695557.076383062</v>
      </c>
      <c r="P64" s="12">
        <f>IF(C64=0,"",SUMIFS(B_INPUT_RESERVOIR!$H$4:$H$1807,B_INPUT_RESERVOIR!$A$4:$A$1807,A64,B_INPUT_RESERVOIR!$C$4:$C$1807,B64,B_INPUT_RESERVOIR!$D$4:$D$1807,12))</f>
        <v>33069949.155228224</v>
      </c>
      <c r="Q64" s="13" t="str">
        <f t="shared" si="7"/>
        <v>No failure</v>
      </c>
    </row>
    <row r="65" spans="1:17" x14ac:dyDescent="0.25">
      <c r="A65" s="4" t="s">
        <v>30</v>
      </c>
      <c r="B65" s="4">
        <f t="shared" si="5"/>
        <v>2017</v>
      </c>
      <c r="C65" s="8">
        <f>COUNTIFS(B_INPUT_RESERVOIR!$A$4:$A$1807,A65,B_INPUT_RESERVOIR!$C$4:$C$1807,B65)</f>
        <v>12</v>
      </c>
      <c r="D65" s="12">
        <f>IF(C65=0,0,SUMIFS(B_INPUT_RESERVOIR!$E$4:$E$1807,B_INPUT_RESERVOIR!$A$4:$A$1807,A65,B_INPUT_RESERVOIR!$C$4:$C$1807,B65))</f>
        <v>6348396.2131089708</v>
      </c>
      <c r="E65" s="12">
        <f>IF(C65=0,0,SUMIFS(B_INPUT_RESERVOIR!$J$4:$J$1807,B_INPUT_RESERVOIR!$A$4:$A$1807,A65,B_INPUT_RESERVOIR!$C$4:$C$1807,B65))</f>
        <v>6348396.2131089708</v>
      </c>
      <c r="F65" s="12">
        <f>IF(C65=0,"",SUMIFS(B_INPUT_RESERVOIR!$G$4:$G$1807,B_INPUT_RESERVOIR!$A$4:$A$1807,A65,B_INPUT_RESERVOIR!$C$4:$C$1807,B65))</f>
        <v>0</v>
      </c>
      <c r="G65" s="12">
        <f>IF(C65=0,"",SUMIFS(B_INPUT_RESERVOIR!$F$4:$F$1807,B_INPUT_RESERVOIR!$A$4:$A$1807,A65,B_INPUT_RESERVOIR!$C$4:$C$1807,B65))</f>
        <v>0</v>
      </c>
      <c r="H65" s="8">
        <f>IF(C65=0,"",SUMIFS(B_INPUT_RESERVOIR!$K$4:$K$1807,B_INPUT_RESERVOIR!$A$4:$A$1807,A65,B_INPUT_RESERVOIR!$C$4:$C$1807,B65))</f>
        <v>0</v>
      </c>
      <c r="I65" s="10">
        <f t="shared" si="2"/>
        <v>1</v>
      </c>
      <c r="J65" s="10">
        <f t="shared" si="6"/>
        <v>1</v>
      </c>
      <c r="K65" s="10">
        <f>IF(H65=0,0,SUMIFS(B_INPUT_RESERVOIR!$L$4:$L$1807,B_INPUT_RESERVOIR!$A$4:$A$1807,A65,B_INPUT_RESERVOIR!$C$4:$C$1807,B65)/H65)</f>
        <v>0</v>
      </c>
      <c r="L65" s="10">
        <f t="shared" si="3"/>
        <v>1</v>
      </c>
      <c r="M65" s="10">
        <f>IF(SUMIFS(B_INPUT_RESERVOIR!$N$4:$N$1807,B_INPUT_RESERVOIR!$A$4:$A$1807,A65,B_INPUT_RESERVOIR!$C$4:$C$1807,B65)=0,1,SUMIFS(B_INPUT_RESERVOIR!$O$4:$O$1807,B_INPUT_RESERVOIR!$A$4:$A$1807,A65,B_INPUT_RESERVOIR!$C$4:$C$1807,B65)/SUMIFS(B_INPUT_RESERVOIR!$N$4:$N$1807,B_INPUT_RESERVOIR!$A$4:$A$1807,A65,B_INPUT_RESERVOIR!$C$4:$C$1807,B65))</f>
        <v>1</v>
      </c>
      <c r="N65" s="8">
        <f t="shared" si="1"/>
        <v>0</v>
      </c>
      <c r="O65" s="12">
        <f>_xlfn.SINGLE(IF(C65=0,"",_xlfn.MINIFS(B_INPUT_RESERVOIR!$H$4:$H$1807,B_INPUT_RESERVOIR!$A$4:$A$1807,A65,B_INPUT_RESERVOIR!$C$4:$C$1807,B65)))</f>
        <v>24207555.135518048</v>
      </c>
      <c r="P65" s="12">
        <f>IF(C65=0,"",SUMIFS(B_INPUT_RESERVOIR!$H$4:$H$1807,B_INPUT_RESERVOIR!$A$4:$A$1807,A65,B_INPUT_RESERVOIR!$C$4:$C$1807,B65,B_INPUT_RESERVOIR!$D$4:$D$1807,12))</f>
        <v>24353525.519738678</v>
      </c>
      <c r="Q65" s="13" t="str">
        <f t="shared" si="7"/>
        <v>No failure</v>
      </c>
    </row>
    <row r="66" spans="1:17" x14ac:dyDescent="0.25">
      <c r="A66" s="4" t="s">
        <v>30</v>
      </c>
      <c r="B66" s="4">
        <f t="shared" si="5"/>
        <v>2018</v>
      </c>
      <c r="C66" s="8">
        <f>COUNTIFS(B_INPUT_RESERVOIR!$A$4:$A$1807,A66,B_INPUT_RESERVOIR!$C$4:$C$1807,B66)</f>
        <v>12</v>
      </c>
      <c r="D66" s="12">
        <f>IF(C66=0,0,SUMIFS(B_INPUT_RESERVOIR!$E$4:$E$1807,B_INPUT_RESERVOIR!$A$4:$A$1807,A66,B_INPUT_RESERVOIR!$C$4:$C$1807,B66))</f>
        <v>5438533.9940058412</v>
      </c>
      <c r="E66" s="12">
        <f>IF(C66=0,0,SUMIFS(B_INPUT_RESERVOIR!$J$4:$J$1807,B_INPUT_RESERVOIR!$A$4:$A$1807,A66,B_INPUT_RESERVOIR!$C$4:$C$1807,B66))</f>
        <v>5438533.9940058412</v>
      </c>
      <c r="F66" s="12">
        <f>IF(C66=0,"",SUMIFS(B_INPUT_RESERVOIR!$G$4:$G$1807,B_INPUT_RESERVOIR!$A$4:$A$1807,A66,B_INPUT_RESERVOIR!$C$4:$C$1807,B66))</f>
        <v>0</v>
      </c>
      <c r="G66" s="12">
        <f>IF(C66=0,"",SUMIFS(B_INPUT_RESERVOIR!$F$4:$F$1807,B_INPUT_RESERVOIR!$A$4:$A$1807,A66,B_INPUT_RESERVOIR!$C$4:$C$1807,B66))</f>
        <v>0</v>
      </c>
      <c r="H66" s="8">
        <f>IF(C66=0,"",SUMIFS(B_INPUT_RESERVOIR!$K$4:$K$1807,B_INPUT_RESERVOIR!$A$4:$A$1807,A66,B_INPUT_RESERVOIR!$C$4:$C$1807,B66))</f>
        <v>0</v>
      </c>
      <c r="I66" s="10">
        <f t="shared" si="2"/>
        <v>1</v>
      </c>
      <c r="J66" s="10">
        <f t="shared" si="6"/>
        <v>1</v>
      </c>
      <c r="K66" s="10">
        <f>IF(H66=0,0,SUMIFS(B_INPUT_RESERVOIR!$L$4:$L$1807,B_INPUT_RESERVOIR!$A$4:$A$1807,A66,B_INPUT_RESERVOIR!$C$4:$C$1807,B66)/H66)</f>
        <v>0</v>
      </c>
      <c r="L66" s="10">
        <f t="shared" si="3"/>
        <v>1</v>
      </c>
      <c r="M66" s="10">
        <f>IF(SUMIFS(B_INPUT_RESERVOIR!$N$4:$N$1807,B_INPUT_RESERVOIR!$A$4:$A$1807,A66,B_INPUT_RESERVOIR!$C$4:$C$1807,B66)=0,1,SUMIFS(B_INPUT_RESERVOIR!$O$4:$O$1807,B_INPUT_RESERVOIR!$A$4:$A$1807,A66,B_INPUT_RESERVOIR!$C$4:$C$1807,B66)/SUMIFS(B_INPUT_RESERVOIR!$N$4:$N$1807,B_INPUT_RESERVOIR!$A$4:$A$1807,A66,B_INPUT_RESERVOIR!$C$4:$C$1807,B66))</f>
        <v>1</v>
      </c>
      <c r="N66" s="8">
        <f t="shared" si="1"/>
        <v>0</v>
      </c>
      <c r="O66" s="12">
        <f>_xlfn.SINGLE(IF(C66=0,"",_xlfn.MINIFS(B_INPUT_RESERVOIR!$H$4:$H$1807,B_INPUT_RESERVOIR!$A$4:$A$1807,A66,B_INPUT_RESERVOIR!$C$4:$C$1807,B66)))</f>
        <v>24463459.174037192</v>
      </c>
      <c r="P66" s="12">
        <f>IF(C66=0,"",SUMIFS(B_INPUT_RESERVOIR!$H$4:$H$1807,B_INPUT_RESERVOIR!$A$4:$A$1807,A66,B_INPUT_RESERVOIR!$C$4:$C$1807,B66,B_INPUT_RESERVOIR!$D$4:$D$1807,12))</f>
        <v>27066587.69071139</v>
      </c>
      <c r="Q66" s="13" t="str">
        <f t="shared" si="7"/>
        <v>No failure</v>
      </c>
    </row>
    <row r="67" spans="1:17" x14ac:dyDescent="0.25">
      <c r="A67" s="4" t="s">
        <v>30</v>
      </c>
      <c r="B67" s="4">
        <f t="shared" si="5"/>
        <v>2019</v>
      </c>
      <c r="C67" s="8">
        <f>COUNTIFS(B_INPUT_RESERVOIR!$A$4:$A$1807,A67,B_INPUT_RESERVOIR!$C$4:$C$1807,B67)</f>
        <v>12</v>
      </c>
      <c r="D67" s="12">
        <f>IF(C67=0,0,SUMIFS(B_INPUT_RESERVOIR!$E$4:$E$1807,B_INPUT_RESERVOIR!$A$4:$A$1807,A67,B_INPUT_RESERVOIR!$C$4:$C$1807,B67))</f>
        <v>6268954.6326541174</v>
      </c>
      <c r="E67" s="12">
        <f>IF(C67=0,0,SUMIFS(B_INPUT_RESERVOIR!$J$4:$J$1807,B_INPUT_RESERVOIR!$A$4:$A$1807,A67,B_INPUT_RESERVOIR!$C$4:$C$1807,B67))</f>
        <v>6268954.6326541174</v>
      </c>
      <c r="F67" s="12">
        <f>IF(C67=0,"",SUMIFS(B_INPUT_RESERVOIR!$G$4:$G$1807,B_INPUT_RESERVOIR!$A$4:$A$1807,A67,B_INPUT_RESERVOIR!$C$4:$C$1807,B67))</f>
        <v>0</v>
      </c>
      <c r="G67" s="12">
        <f>IF(C67=0,"",SUMIFS(B_INPUT_RESERVOIR!$F$4:$F$1807,B_INPUT_RESERVOIR!$A$4:$A$1807,A67,B_INPUT_RESERVOIR!$C$4:$C$1807,B67))</f>
        <v>0</v>
      </c>
      <c r="H67" s="8">
        <f>IF(C67=0,"",SUMIFS(B_INPUT_RESERVOIR!$K$4:$K$1807,B_INPUT_RESERVOIR!$A$4:$A$1807,A67,B_INPUT_RESERVOIR!$C$4:$C$1807,B67))</f>
        <v>0</v>
      </c>
      <c r="I67" s="10">
        <f t="shared" si="2"/>
        <v>1</v>
      </c>
      <c r="J67" s="10">
        <f t="shared" si="6"/>
        <v>1</v>
      </c>
      <c r="K67" s="10">
        <f>IF(H67=0,0,SUMIFS(B_INPUT_RESERVOIR!$L$4:$L$1807,B_INPUT_RESERVOIR!$A$4:$A$1807,A67,B_INPUT_RESERVOIR!$C$4:$C$1807,B67)/H67)</f>
        <v>0</v>
      </c>
      <c r="L67" s="10">
        <f t="shared" si="3"/>
        <v>1</v>
      </c>
      <c r="M67" s="10">
        <f>IF(SUMIFS(B_INPUT_RESERVOIR!$N$4:$N$1807,B_INPUT_RESERVOIR!$A$4:$A$1807,A67,B_INPUT_RESERVOIR!$C$4:$C$1807,B67)=0,1,SUMIFS(B_INPUT_RESERVOIR!$O$4:$O$1807,B_INPUT_RESERVOIR!$A$4:$A$1807,A67,B_INPUT_RESERVOIR!$C$4:$C$1807,B67)/SUMIFS(B_INPUT_RESERVOIR!$N$4:$N$1807,B_INPUT_RESERVOIR!$A$4:$A$1807,A67,B_INPUT_RESERVOIR!$C$4:$C$1807,B67))</f>
        <v>1</v>
      </c>
      <c r="N67" s="8">
        <f t="shared" si="1"/>
        <v>0</v>
      </c>
      <c r="O67" s="12">
        <f>_xlfn.SINGLE(IF(C67=0,"",_xlfn.MINIFS(B_INPUT_RESERVOIR!$H$4:$H$1807,B_INPUT_RESERVOIR!$A$4:$A$1807,A67,B_INPUT_RESERVOIR!$C$4:$C$1807,B67)))</f>
        <v>18410183.390024219</v>
      </c>
      <c r="P67" s="12">
        <f>IF(C67=0,"",SUMIFS(B_INPUT_RESERVOIR!$H$4:$H$1807,B_INPUT_RESERVOIR!$A$4:$A$1807,A67,B_INPUT_RESERVOIR!$C$4:$C$1807,B67,B_INPUT_RESERVOIR!$D$4:$D$1807,12))</f>
        <v>21603511.508491401</v>
      </c>
      <c r="Q67" s="13" t="str">
        <f t="shared" si="7"/>
        <v>No failure</v>
      </c>
    </row>
    <row r="68" spans="1:17" x14ac:dyDescent="0.25">
      <c r="A68" s="4" t="s">
        <v>30</v>
      </c>
      <c r="B68" s="4">
        <f t="shared" si="5"/>
        <v>2020</v>
      </c>
      <c r="C68" s="8">
        <f>COUNTIFS(B_INPUT_RESERVOIR!$A$4:$A$1807,A68,B_INPUT_RESERVOIR!$C$4:$C$1807,B68)</f>
        <v>12</v>
      </c>
      <c r="D68" s="12">
        <f>IF(C68=0,0,SUMIFS(B_INPUT_RESERVOIR!$E$4:$E$1807,B_INPUT_RESERVOIR!$A$4:$A$1807,A68,B_INPUT_RESERVOIR!$C$4:$C$1807,B68))</f>
        <v>5732485.954886796</v>
      </c>
      <c r="E68" s="12">
        <f>IF(C68=0,0,SUMIFS(B_INPUT_RESERVOIR!$J$4:$J$1807,B_INPUT_RESERVOIR!$A$4:$A$1807,A68,B_INPUT_RESERVOIR!$C$4:$C$1807,B68))</f>
        <v>5732485.954886796</v>
      </c>
      <c r="F68" s="12">
        <f>IF(C68=0,"",SUMIFS(B_INPUT_RESERVOIR!$G$4:$G$1807,B_INPUT_RESERVOIR!$A$4:$A$1807,A68,B_INPUT_RESERVOIR!$C$4:$C$1807,B68))</f>
        <v>0</v>
      </c>
      <c r="G68" s="12">
        <f>IF(C68=0,"",SUMIFS(B_INPUT_RESERVOIR!$F$4:$F$1807,B_INPUT_RESERVOIR!$A$4:$A$1807,A68,B_INPUT_RESERVOIR!$C$4:$C$1807,B68))</f>
        <v>0</v>
      </c>
      <c r="H68" s="8">
        <f>IF(C68=0,"",SUMIFS(B_INPUT_RESERVOIR!$K$4:$K$1807,B_INPUT_RESERVOIR!$A$4:$A$1807,A68,B_INPUT_RESERVOIR!$C$4:$C$1807,B68))</f>
        <v>0</v>
      </c>
      <c r="I68" s="10">
        <f t="shared" si="2"/>
        <v>1</v>
      </c>
      <c r="J68" s="10">
        <f t="shared" ref="J68:J99" si="8">IF(D68=0,"",E68/D68)</f>
        <v>1</v>
      </c>
      <c r="K68" s="10">
        <f>IF(H68=0,0,SUMIFS(B_INPUT_RESERVOIR!$L$4:$L$1807,B_INPUT_RESERVOIR!$A$4:$A$1807,A68,B_INPUT_RESERVOIR!$C$4:$C$1807,B68)/H68)</f>
        <v>0</v>
      </c>
      <c r="L68" s="10">
        <f t="shared" si="3"/>
        <v>1</v>
      </c>
      <c r="M68" s="10">
        <f>IF(SUMIFS(B_INPUT_RESERVOIR!$N$4:$N$1807,B_INPUT_RESERVOIR!$A$4:$A$1807,A68,B_INPUT_RESERVOIR!$C$4:$C$1807,B68)=0,1,SUMIFS(B_INPUT_RESERVOIR!$O$4:$O$1807,B_INPUT_RESERVOIR!$A$4:$A$1807,A68,B_INPUT_RESERVOIR!$C$4:$C$1807,B68)/SUMIFS(B_INPUT_RESERVOIR!$N$4:$N$1807,B_INPUT_RESERVOIR!$A$4:$A$1807,A68,B_INPUT_RESERVOIR!$C$4:$C$1807,B68))</f>
        <v>1</v>
      </c>
      <c r="N68" s="8">
        <f t="shared" ref="N68:N131" si="9">IF(AND(G68&gt;0,F68&gt;0),1,0)</f>
        <v>0</v>
      </c>
      <c r="O68" s="12">
        <f>_xlfn.SINGLE(IF(C68=0,"",_xlfn.MINIFS(B_INPUT_RESERVOIR!$H$4:$H$1807,B_INPUT_RESERVOIR!$A$4:$A$1807,A68,B_INPUT_RESERVOIR!$C$4:$C$1807,B68)))</f>
        <v>15809029.949018881</v>
      </c>
      <c r="P68" s="12">
        <f>IF(C68=0,"",SUMIFS(B_INPUT_RESERVOIR!$H$4:$H$1807,B_INPUT_RESERVOIR!$A$4:$A$1807,A68,B_INPUT_RESERVOIR!$C$4:$C$1807,B68,B_INPUT_RESERVOIR!$D$4:$D$1807,12))</f>
        <v>18852352.771392867</v>
      </c>
      <c r="Q68" s="13" t="str">
        <f t="shared" ref="Q68:Q99" si="10">IF(C68=0,"No data",IF(H68&gt;0,"Failure year","No failure"))</f>
        <v>No failure</v>
      </c>
    </row>
    <row r="69" spans="1:17" x14ac:dyDescent="0.25">
      <c r="A69" s="4" t="s">
        <v>30</v>
      </c>
      <c r="B69" s="4">
        <f t="shared" si="5"/>
        <v>2021</v>
      </c>
      <c r="C69" s="8">
        <f>COUNTIFS(B_INPUT_RESERVOIR!$A$4:$A$1807,A69,B_INPUT_RESERVOIR!$C$4:$C$1807,B69)</f>
        <v>12</v>
      </c>
      <c r="D69" s="12">
        <f>IF(C69=0,0,SUMIFS(B_INPUT_RESERVOIR!$E$4:$E$1807,B_INPUT_RESERVOIR!$A$4:$A$1807,A69,B_INPUT_RESERVOIR!$C$4:$C$1807,B69))</f>
        <v>6327114.8803670201</v>
      </c>
      <c r="E69" s="12">
        <f>IF(C69=0,0,SUMIFS(B_INPUT_RESERVOIR!$J$4:$J$1807,B_INPUT_RESERVOIR!$A$4:$A$1807,A69,B_INPUT_RESERVOIR!$C$4:$C$1807,B69))</f>
        <v>6327114.8803670201</v>
      </c>
      <c r="F69" s="12">
        <f>IF(C69=0,"",SUMIFS(B_INPUT_RESERVOIR!$G$4:$G$1807,B_INPUT_RESERVOIR!$A$4:$A$1807,A69,B_INPUT_RESERVOIR!$C$4:$C$1807,B69))</f>
        <v>0</v>
      </c>
      <c r="G69" s="12">
        <f>IF(C69=0,"",SUMIFS(B_INPUT_RESERVOIR!$F$4:$F$1807,B_INPUT_RESERVOIR!$A$4:$A$1807,A69,B_INPUT_RESERVOIR!$C$4:$C$1807,B69))</f>
        <v>0</v>
      </c>
      <c r="H69" s="8">
        <f>IF(C69=0,"",SUMIFS(B_INPUT_RESERVOIR!$K$4:$K$1807,B_INPUT_RESERVOIR!$A$4:$A$1807,A69,B_INPUT_RESERVOIR!$C$4:$C$1807,B69))</f>
        <v>0</v>
      </c>
      <c r="I69" s="10">
        <f t="shared" ref="I69:I132" si="11">IF(C69=0,"",1-H69/C69)</f>
        <v>1</v>
      </c>
      <c r="J69" s="10">
        <f t="shared" si="8"/>
        <v>1</v>
      </c>
      <c r="K69" s="10">
        <f>IF(H69=0,0,SUMIFS(B_INPUT_RESERVOIR!$L$4:$L$1807,B_INPUT_RESERVOIR!$A$4:$A$1807,A69,B_INPUT_RESERVOIR!$C$4:$C$1807,B69)/H69)</f>
        <v>0</v>
      </c>
      <c r="L69" s="10">
        <f t="shared" ref="L69:L132" si="12">IF(H69=0,1,1-K69)</f>
        <v>1</v>
      </c>
      <c r="M69" s="10">
        <f>IF(SUMIFS(B_INPUT_RESERVOIR!$N$4:$N$1807,B_INPUT_RESERVOIR!$A$4:$A$1807,A69,B_INPUT_RESERVOIR!$C$4:$C$1807,B69)=0,1,SUMIFS(B_INPUT_RESERVOIR!$O$4:$O$1807,B_INPUT_RESERVOIR!$A$4:$A$1807,A69,B_INPUT_RESERVOIR!$C$4:$C$1807,B69)/SUMIFS(B_INPUT_RESERVOIR!$N$4:$N$1807,B_INPUT_RESERVOIR!$A$4:$A$1807,A69,B_INPUT_RESERVOIR!$C$4:$C$1807,B69))</f>
        <v>1</v>
      </c>
      <c r="N69" s="8">
        <f t="shared" si="9"/>
        <v>0</v>
      </c>
      <c r="O69" s="12">
        <f>_xlfn.SINGLE(IF(C69=0,"",_xlfn.MINIFS(B_INPUT_RESERVOIR!$H$4:$H$1807,B_INPUT_RESERVOIR!$A$4:$A$1807,A69,B_INPUT_RESERVOIR!$C$4:$C$1807,B69)))</f>
        <v>18412971.297103934</v>
      </c>
      <c r="P69" s="12">
        <f>IF(C69=0,"",SUMIFS(B_INPUT_RESERVOIR!$H$4:$H$1807,B_INPUT_RESERVOIR!$A$4:$A$1807,A69,B_INPUT_RESERVOIR!$C$4:$C$1807,B69,B_INPUT_RESERVOIR!$D$4:$D$1807,12))</f>
        <v>18549339.741255853</v>
      </c>
      <c r="Q69" s="13" t="str">
        <f t="shared" si="10"/>
        <v>No failure</v>
      </c>
    </row>
    <row r="70" spans="1:17" x14ac:dyDescent="0.25">
      <c r="A70" s="4" t="s">
        <v>30</v>
      </c>
      <c r="B70" s="4">
        <f t="shared" si="5"/>
        <v>2022</v>
      </c>
      <c r="C70" s="8">
        <f>COUNTIFS(B_INPUT_RESERVOIR!$A$4:$A$1807,A70,B_INPUT_RESERVOIR!$C$4:$C$1807,B70)</f>
        <v>12</v>
      </c>
      <c r="D70" s="12">
        <f>IF(C70=0,0,SUMIFS(B_INPUT_RESERVOIR!$E$4:$E$1807,B_INPUT_RESERVOIR!$A$4:$A$1807,A70,B_INPUT_RESERVOIR!$C$4:$C$1807,B70))</f>
        <v>7444412.9603689704</v>
      </c>
      <c r="E70" s="12">
        <f>IF(C70=0,0,SUMIFS(B_INPUT_RESERVOIR!$J$4:$J$1807,B_INPUT_RESERVOIR!$A$4:$A$1807,A70,B_INPUT_RESERVOIR!$C$4:$C$1807,B70))</f>
        <v>7444412.9603689704</v>
      </c>
      <c r="F70" s="12">
        <f>IF(C70=0,"",SUMIFS(B_INPUT_RESERVOIR!$G$4:$G$1807,B_INPUT_RESERVOIR!$A$4:$A$1807,A70,B_INPUT_RESERVOIR!$C$4:$C$1807,B70))</f>
        <v>0</v>
      </c>
      <c r="G70" s="12">
        <f>IF(C70=0,"",SUMIFS(B_INPUT_RESERVOIR!$F$4:$F$1807,B_INPUT_RESERVOIR!$A$4:$A$1807,A70,B_INPUT_RESERVOIR!$C$4:$C$1807,B70))</f>
        <v>0</v>
      </c>
      <c r="H70" s="8">
        <f>IF(C70=0,"",SUMIFS(B_INPUT_RESERVOIR!$K$4:$K$1807,B_INPUT_RESERVOIR!$A$4:$A$1807,A70,B_INPUT_RESERVOIR!$C$4:$C$1807,B70))</f>
        <v>0</v>
      </c>
      <c r="I70" s="10">
        <f t="shared" si="11"/>
        <v>1</v>
      </c>
      <c r="J70" s="10">
        <f t="shared" si="8"/>
        <v>1</v>
      </c>
      <c r="K70" s="10">
        <f>IF(H70=0,0,SUMIFS(B_INPUT_RESERVOIR!$L$4:$L$1807,B_INPUT_RESERVOIR!$A$4:$A$1807,A70,B_INPUT_RESERVOIR!$C$4:$C$1807,B70)/H70)</f>
        <v>0</v>
      </c>
      <c r="L70" s="10">
        <f t="shared" si="12"/>
        <v>1</v>
      </c>
      <c r="M70" s="10">
        <f>IF(SUMIFS(B_INPUT_RESERVOIR!$N$4:$N$1807,B_INPUT_RESERVOIR!$A$4:$A$1807,A70,B_INPUT_RESERVOIR!$C$4:$C$1807,B70)=0,1,SUMIFS(B_INPUT_RESERVOIR!$O$4:$O$1807,B_INPUT_RESERVOIR!$A$4:$A$1807,A70,B_INPUT_RESERVOIR!$C$4:$C$1807,B70)/SUMIFS(B_INPUT_RESERVOIR!$N$4:$N$1807,B_INPUT_RESERVOIR!$A$4:$A$1807,A70,B_INPUT_RESERVOIR!$C$4:$C$1807,B70))</f>
        <v>1</v>
      </c>
      <c r="N70" s="8">
        <f t="shared" si="9"/>
        <v>0</v>
      </c>
      <c r="O70" s="12">
        <f>_xlfn.SINGLE(IF(C70=0,"",_xlfn.MINIFS(B_INPUT_RESERVOIR!$H$4:$H$1807,B_INPUT_RESERVOIR!$A$4:$A$1807,A70,B_INPUT_RESERVOIR!$C$4:$C$1807,B70)))</f>
        <v>9992276.0574128982</v>
      </c>
      <c r="P70" s="12">
        <f>IF(C70=0,"",SUMIFS(B_INPUT_RESERVOIR!$H$4:$H$1807,B_INPUT_RESERVOIR!$A$4:$A$1807,A70,B_INPUT_RESERVOIR!$C$4:$C$1807,B70,B_INPUT_RESERVOIR!$D$4:$D$1807,12))</f>
        <v>15856003.910693148</v>
      </c>
      <c r="Q70" s="13" t="str">
        <f t="shared" si="10"/>
        <v>No failure</v>
      </c>
    </row>
    <row r="71" spans="1:17" x14ac:dyDescent="0.25">
      <c r="A71" s="4" t="s">
        <v>30</v>
      </c>
      <c r="B71" s="4">
        <f t="shared" si="5"/>
        <v>2023</v>
      </c>
      <c r="C71" s="8">
        <f>COUNTIFS(B_INPUT_RESERVOIR!$A$4:$A$1807,A71,B_INPUT_RESERVOIR!$C$4:$C$1807,B71)</f>
        <v>12</v>
      </c>
      <c r="D71" s="12">
        <f>IF(C71=0,0,SUMIFS(B_INPUT_RESERVOIR!$E$4:$E$1807,B_INPUT_RESERVOIR!$A$4:$A$1807,A71,B_INPUT_RESERVOIR!$C$4:$C$1807,B71))</f>
        <v>8153104.5668652253</v>
      </c>
      <c r="E71" s="12">
        <f>IF(C71=0,0,SUMIFS(B_INPUT_RESERVOIR!$J$4:$J$1807,B_INPUT_RESERVOIR!$A$4:$A$1807,A71,B_INPUT_RESERVOIR!$C$4:$C$1807,B71))</f>
        <v>8153104.5668652253</v>
      </c>
      <c r="F71" s="12">
        <f>IF(C71=0,"",SUMIFS(B_INPUT_RESERVOIR!$G$4:$G$1807,B_INPUT_RESERVOIR!$A$4:$A$1807,A71,B_INPUT_RESERVOIR!$C$4:$C$1807,B71))</f>
        <v>0</v>
      </c>
      <c r="G71" s="12">
        <f>IF(C71=0,"",SUMIFS(B_INPUT_RESERVOIR!$F$4:$F$1807,B_INPUT_RESERVOIR!$A$4:$A$1807,A71,B_INPUT_RESERVOIR!$C$4:$C$1807,B71))</f>
        <v>0</v>
      </c>
      <c r="H71" s="8">
        <f>IF(C71=0,"",SUMIFS(B_INPUT_RESERVOIR!$K$4:$K$1807,B_INPUT_RESERVOIR!$A$4:$A$1807,A71,B_INPUT_RESERVOIR!$C$4:$C$1807,B71))</f>
        <v>0</v>
      </c>
      <c r="I71" s="10">
        <f t="shared" si="11"/>
        <v>1</v>
      </c>
      <c r="J71" s="10">
        <f t="shared" si="8"/>
        <v>1</v>
      </c>
      <c r="K71" s="10">
        <f>IF(H71=0,0,SUMIFS(B_INPUT_RESERVOIR!$L$4:$L$1807,B_INPUT_RESERVOIR!$A$4:$A$1807,A71,B_INPUT_RESERVOIR!$C$4:$C$1807,B71)/H71)</f>
        <v>0</v>
      </c>
      <c r="L71" s="10">
        <f t="shared" si="12"/>
        <v>1</v>
      </c>
      <c r="M71" s="10">
        <f>IF(SUMIFS(B_INPUT_RESERVOIR!$N$4:$N$1807,B_INPUT_RESERVOIR!$A$4:$A$1807,A71,B_INPUT_RESERVOIR!$C$4:$C$1807,B71)=0,1,SUMIFS(B_INPUT_RESERVOIR!$O$4:$O$1807,B_INPUT_RESERVOIR!$A$4:$A$1807,A71,B_INPUT_RESERVOIR!$C$4:$C$1807,B71)/SUMIFS(B_INPUT_RESERVOIR!$N$4:$N$1807,B_INPUT_RESERVOIR!$A$4:$A$1807,A71,B_INPUT_RESERVOIR!$C$4:$C$1807,B71))</f>
        <v>1</v>
      </c>
      <c r="N71" s="8">
        <f t="shared" si="9"/>
        <v>0</v>
      </c>
      <c r="O71" s="12">
        <f>_xlfn.SINGLE(IF(C71=0,"",_xlfn.MINIFS(B_INPUT_RESERVOIR!$H$4:$H$1807,B_INPUT_RESERVOIR!$A$4:$A$1807,A71,B_INPUT_RESERVOIR!$C$4:$C$1807,B71)))</f>
        <v>7487508.6755754407</v>
      </c>
      <c r="P71" s="12">
        <f>IF(C71=0,"",SUMIFS(B_INPUT_RESERVOIR!$H$4:$H$1807,B_INPUT_RESERVOIR!$A$4:$A$1807,A71,B_INPUT_RESERVOIR!$C$4:$C$1807,B71,B_INPUT_RESERVOIR!$D$4:$D$1807,12))</f>
        <v>13337167.982390139</v>
      </c>
      <c r="Q71" s="13" t="str">
        <f t="shared" si="10"/>
        <v>No failure</v>
      </c>
    </row>
    <row r="72" spans="1:17" x14ac:dyDescent="0.25">
      <c r="A72" s="4" t="s">
        <v>30</v>
      </c>
      <c r="B72" s="4">
        <f t="shared" si="5"/>
        <v>2024</v>
      </c>
      <c r="C72" s="8">
        <f>COUNTIFS(B_INPUT_RESERVOIR!$A$4:$A$1807,A72,B_INPUT_RESERVOIR!$C$4:$C$1807,B72)</f>
        <v>12</v>
      </c>
      <c r="D72" s="12">
        <f>IF(C72=0,0,SUMIFS(B_INPUT_RESERVOIR!$E$4:$E$1807,B_INPUT_RESERVOIR!$A$4:$A$1807,A72,B_INPUT_RESERVOIR!$C$4:$C$1807,B72))</f>
        <v>6550256.2275405535</v>
      </c>
      <c r="E72" s="12">
        <f>IF(C72=0,0,SUMIFS(B_INPUT_RESERVOIR!$J$4:$J$1807,B_INPUT_RESERVOIR!$A$4:$A$1807,A72,B_INPUT_RESERVOIR!$C$4:$C$1807,B72))</f>
        <v>6550256.2275405535</v>
      </c>
      <c r="F72" s="12">
        <f>IF(C72=0,"",SUMIFS(B_INPUT_RESERVOIR!$G$4:$G$1807,B_INPUT_RESERVOIR!$A$4:$A$1807,A72,B_INPUT_RESERVOIR!$C$4:$C$1807,B72))</f>
        <v>0</v>
      </c>
      <c r="G72" s="12">
        <f>IF(C72=0,"",SUMIFS(B_INPUT_RESERVOIR!$F$4:$F$1807,B_INPUT_RESERVOIR!$A$4:$A$1807,A72,B_INPUT_RESERVOIR!$C$4:$C$1807,B72))</f>
        <v>0</v>
      </c>
      <c r="H72" s="8">
        <f>IF(C72=0,"",SUMIFS(B_INPUT_RESERVOIR!$K$4:$K$1807,B_INPUT_RESERVOIR!$A$4:$A$1807,A72,B_INPUT_RESERVOIR!$C$4:$C$1807,B72))</f>
        <v>0</v>
      </c>
      <c r="I72" s="10">
        <f t="shared" si="11"/>
        <v>1</v>
      </c>
      <c r="J72" s="10">
        <f t="shared" si="8"/>
        <v>1</v>
      </c>
      <c r="K72" s="10">
        <f>IF(H72=0,0,SUMIFS(B_INPUT_RESERVOIR!$L$4:$L$1807,B_INPUT_RESERVOIR!$A$4:$A$1807,A72,B_INPUT_RESERVOIR!$C$4:$C$1807,B72)/H72)</f>
        <v>0</v>
      </c>
      <c r="L72" s="10">
        <f t="shared" si="12"/>
        <v>1</v>
      </c>
      <c r="M72" s="10">
        <f>IF(SUMIFS(B_INPUT_RESERVOIR!$N$4:$N$1807,B_INPUT_RESERVOIR!$A$4:$A$1807,A72,B_INPUT_RESERVOIR!$C$4:$C$1807,B72)=0,1,SUMIFS(B_INPUT_RESERVOIR!$O$4:$O$1807,B_INPUT_RESERVOIR!$A$4:$A$1807,A72,B_INPUT_RESERVOIR!$C$4:$C$1807,B72)/SUMIFS(B_INPUT_RESERVOIR!$N$4:$N$1807,B_INPUT_RESERVOIR!$A$4:$A$1807,A72,B_INPUT_RESERVOIR!$C$4:$C$1807,B72))</f>
        <v>1</v>
      </c>
      <c r="N72" s="8">
        <f t="shared" si="9"/>
        <v>0</v>
      </c>
      <c r="O72" s="12">
        <f>_xlfn.SINGLE(IF(C72=0,"",_xlfn.MINIFS(B_INPUT_RESERVOIR!$H$4:$H$1807,B_INPUT_RESERVOIR!$A$4:$A$1807,A72,B_INPUT_RESERVOIR!$C$4:$C$1807,B72)))</f>
        <v>13589805.161482889</v>
      </c>
      <c r="P72" s="12">
        <f>IF(C72=0,"",SUMIFS(B_INPUT_RESERVOIR!$H$4:$H$1807,B_INPUT_RESERVOIR!$A$4:$A$1807,A72,B_INPUT_RESERVOIR!$C$4:$C$1807,B72,B_INPUT_RESERVOIR!$D$4:$D$1807,12))</f>
        <v>16433438.881917972</v>
      </c>
      <c r="Q72" s="13" t="str">
        <f t="shared" si="10"/>
        <v>No failure</v>
      </c>
    </row>
    <row r="73" spans="1:17" x14ac:dyDescent="0.25">
      <c r="A73" s="4" t="s">
        <v>30</v>
      </c>
      <c r="B73" s="4">
        <f t="shared" si="5"/>
        <v>2025</v>
      </c>
      <c r="C73" s="8">
        <f>COUNTIFS(B_INPUT_RESERVOIR!$A$4:$A$1807,A73,B_INPUT_RESERVOIR!$C$4:$C$1807,B73)</f>
        <v>12</v>
      </c>
      <c r="D73" s="12">
        <f>IF(C73=0,0,SUMIFS(B_INPUT_RESERVOIR!$E$4:$E$1807,B_INPUT_RESERVOIR!$A$4:$A$1807,A73,B_INPUT_RESERVOIR!$C$4:$C$1807,B73))</f>
        <v>7214458.9545516334</v>
      </c>
      <c r="E73" s="12">
        <f>IF(C73=0,0,SUMIFS(B_INPUT_RESERVOIR!$J$4:$J$1807,B_INPUT_RESERVOIR!$A$4:$A$1807,A73,B_INPUT_RESERVOIR!$C$4:$C$1807,B73))</f>
        <v>7214458.9545516334</v>
      </c>
      <c r="F73" s="12">
        <f>IF(C73=0,"",SUMIFS(B_INPUT_RESERVOIR!$G$4:$G$1807,B_INPUT_RESERVOIR!$A$4:$A$1807,A73,B_INPUT_RESERVOIR!$C$4:$C$1807,B73))</f>
        <v>0</v>
      </c>
      <c r="G73" s="12">
        <f>IF(C73=0,"",SUMIFS(B_INPUT_RESERVOIR!$F$4:$F$1807,B_INPUT_RESERVOIR!$A$4:$A$1807,A73,B_INPUT_RESERVOIR!$C$4:$C$1807,B73))</f>
        <v>0</v>
      </c>
      <c r="H73" s="8">
        <f>IF(C73=0,"",SUMIFS(B_INPUT_RESERVOIR!$K$4:$K$1807,B_INPUT_RESERVOIR!$A$4:$A$1807,A73,B_INPUT_RESERVOIR!$C$4:$C$1807,B73))</f>
        <v>0</v>
      </c>
      <c r="I73" s="10">
        <f t="shared" si="11"/>
        <v>1</v>
      </c>
      <c r="J73" s="10">
        <f t="shared" si="8"/>
        <v>1</v>
      </c>
      <c r="K73" s="10">
        <f>IF(H73=0,0,SUMIFS(B_INPUT_RESERVOIR!$L$4:$L$1807,B_INPUT_RESERVOIR!$A$4:$A$1807,A73,B_INPUT_RESERVOIR!$C$4:$C$1807,B73)/H73)</f>
        <v>0</v>
      </c>
      <c r="L73" s="10">
        <f t="shared" si="12"/>
        <v>1</v>
      </c>
      <c r="M73" s="10">
        <f>IF(SUMIFS(B_INPUT_RESERVOIR!$N$4:$N$1807,B_INPUT_RESERVOIR!$A$4:$A$1807,A73,B_INPUT_RESERVOIR!$C$4:$C$1807,B73)=0,1,SUMIFS(B_INPUT_RESERVOIR!$O$4:$O$1807,B_INPUT_RESERVOIR!$A$4:$A$1807,A73,B_INPUT_RESERVOIR!$C$4:$C$1807,B73)/SUMIFS(B_INPUT_RESERVOIR!$N$4:$N$1807,B_INPUT_RESERVOIR!$A$4:$A$1807,A73,B_INPUT_RESERVOIR!$C$4:$C$1807,B73))</f>
        <v>1</v>
      </c>
      <c r="N73" s="8">
        <f t="shared" si="9"/>
        <v>0</v>
      </c>
      <c r="O73" s="12">
        <f>_xlfn.SINGLE(IF(C73=0,"",_xlfn.MINIFS(B_INPUT_RESERVOIR!$H$4:$H$1807,B_INPUT_RESERVOIR!$A$4:$A$1807,A73,B_INPUT_RESERVOIR!$C$4:$C$1807,B73)))</f>
        <v>18231698.100456789</v>
      </c>
      <c r="P73" s="12">
        <f>IF(C73=0,"",SUMIFS(B_INPUT_RESERVOIR!$H$4:$H$1807,B_INPUT_RESERVOIR!$A$4:$A$1807,A73,B_INPUT_RESERVOIR!$C$4:$C$1807,B73,B_INPUT_RESERVOIR!$D$4:$D$1807,12))</f>
        <v>34522745.863307618</v>
      </c>
      <c r="Q73" s="13" t="str">
        <f t="shared" si="10"/>
        <v>No failure</v>
      </c>
    </row>
    <row r="74" spans="1:17" x14ac:dyDescent="0.25">
      <c r="A74" s="4" t="s">
        <v>30</v>
      </c>
      <c r="B74" s="4">
        <f t="shared" si="5"/>
        <v>2026</v>
      </c>
      <c r="C74" s="8">
        <f>COUNTIFS(B_INPUT_RESERVOIR!$A$4:$A$1807,A74,B_INPUT_RESERVOIR!$C$4:$C$1807,B74)</f>
        <v>12</v>
      </c>
      <c r="D74" s="12">
        <f>IF(C74=0,0,SUMIFS(B_INPUT_RESERVOIR!$E$4:$E$1807,B_INPUT_RESERVOIR!$A$4:$A$1807,A74,B_INPUT_RESERVOIR!$C$4:$C$1807,B74))</f>
        <v>320774.60183478839</v>
      </c>
      <c r="E74" s="12">
        <f>IF(C74=0,0,SUMIFS(B_INPUT_RESERVOIR!$J$4:$J$1807,B_INPUT_RESERVOIR!$A$4:$A$1807,A74,B_INPUT_RESERVOIR!$C$4:$C$1807,B74))</f>
        <v>320774.60183478839</v>
      </c>
      <c r="F74" s="12">
        <f>IF(C74=0,"",SUMIFS(B_INPUT_RESERVOIR!$G$4:$G$1807,B_INPUT_RESERVOIR!$A$4:$A$1807,A74,B_INPUT_RESERVOIR!$C$4:$C$1807,B74))</f>
        <v>0</v>
      </c>
      <c r="G74" s="12">
        <f>IF(C74=0,"",SUMIFS(B_INPUT_RESERVOIR!$F$4:$F$1807,B_INPUT_RESERVOIR!$A$4:$A$1807,A74,B_INPUT_RESERVOIR!$C$4:$C$1807,B74))</f>
        <v>4244629.1999904513</v>
      </c>
      <c r="H74" s="8">
        <f>IF(C74=0,"",SUMIFS(B_INPUT_RESERVOIR!$K$4:$K$1807,B_INPUT_RESERVOIR!$A$4:$A$1807,A74,B_INPUT_RESERVOIR!$C$4:$C$1807,B74))</f>
        <v>0</v>
      </c>
      <c r="I74" s="10">
        <f t="shared" si="11"/>
        <v>1</v>
      </c>
      <c r="J74" s="10">
        <f t="shared" si="8"/>
        <v>1</v>
      </c>
      <c r="K74" s="10">
        <f>IF(H74=0,0,SUMIFS(B_INPUT_RESERVOIR!$L$4:$L$1807,B_INPUT_RESERVOIR!$A$4:$A$1807,A74,B_INPUT_RESERVOIR!$C$4:$C$1807,B74)/H74)</f>
        <v>0</v>
      </c>
      <c r="L74" s="10">
        <f t="shared" si="12"/>
        <v>1</v>
      </c>
      <c r="M74" s="10">
        <f>IF(SUMIFS(B_INPUT_RESERVOIR!$N$4:$N$1807,B_INPUT_RESERVOIR!$A$4:$A$1807,A74,B_INPUT_RESERVOIR!$C$4:$C$1807,B74)=0,1,SUMIFS(B_INPUT_RESERVOIR!$O$4:$O$1807,B_INPUT_RESERVOIR!$A$4:$A$1807,A74,B_INPUT_RESERVOIR!$C$4:$C$1807,B74)/SUMIFS(B_INPUT_RESERVOIR!$N$4:$N$1807,B_INPUT_RESERVOIR!$A$4:$A$1807,A74,B_INPUT_RESERVOIR!$C$4:$C$1807,B74))</f>
        <v>1</v>
      </c>
      <c r="N74" s="8">
        <f t="shared" si="9"/>
        <v>0</v>
      </c>
      <c r="O74" s="12">
        <f>_xlfn.SINGLE(IF(C74=0,"",_xlfn.MINIFS(B_INPUT_RESERVOIR!$H$4:$H$1807,B_INPUT_RESERVOIR!$A$4:$A$1807,A74,B_INPUT_RESERVOIR!$C$4:$C$1807,B74)))</f>
        <v>48965848.923772015</v>
      </c>
      <c r="P74" s="12">
        <f>IF(C74=0,"",SUMIFS(B_INPUT_RESERVOIR!$H$4:$H$1807,B_INPUT_RESERVOIR!$A$4:$A$1807,A74,B_INPUT_RESERVOIR!$C$4:$C$1807,B74,B_INPUT_RESERVOIR!$D$4:$D$1807,12))</f>
        <v>0</v>
      </c>
      <c r="Q74" s="13" t="str">
        <f t="shared" si="10"/>
        <v>No failure</v>
      </c>
    </row>
    <row r="75" spans="1:17" x14ac:dyDescent="0.25">
      <c r="A75" s="4" t="s">
        <v>30</v>
      </c>
      <c r="B75" s="4">
        <f t="shared" si="5"/>
        <v>2027</v>
      </c>
      <c r="C75" s="8">
        <f>COUNTIFS(B_INPUT_RESERVOIR!$A$4:$A$1807,A75,B_INPUT_RESERVOIR!$C$4:$C$1807,B75)</f>
        <v>12</v>
      </c>
      <c r="D75" s="12">
        <f>IF(C75=0,0,SUMIFS(B_INPUT_RESERVOIR!$E$4:$E$1807,B_INPUT_RESERVOIR!$A$4:$A$1807,A75,B_INPUT_RESERVOIR!$C$4:$C$1807,B75))</f>
        <v>0</v>
      </c>
      <c r="E75" s="12">
        <f>IF(C75=0,0,SUMIFS(B_INPUT_RESERVOIR!$J$4:$J$1807,B_INPUT_RESERVOIR!$A$4:$A$1807,A75,B_INPUT_RESERVOIR!$C$4:$C$1807,B75))</f>
        <v>0</v>
      </c>
      <c r="F75" s="12">
        <f>IF(C75=0,"",SUMIFS(B_INPUT_RESERVOIR!$G$4:$G$1807,B_INPUT_RESERVOIR!$A$4:$A$1807,A75,B_INPUT_RESERVOIR!$C$4:$C$1807,B75))</f>
        <v>0</v>
      </c>
      <c r="G75" s="12">
        <f>IF(C75=0,"",SUMIFS(B_INPUT_RESERVOIR!$F$4:$F$1807,B_INPUT_RESERVOIR!$A$4:$A$1807,A75,B_INPUT_RESERVOIR!$C$4:$C$1807,B75))</f>
        <v>0</v>
      </c>
      <c r="H75" s="8">
        <f>IF(C75=0,"",SUMIFS(B_INPUT_RESERVOIR!$K$4:$K$1807,B_INPUT_RESERVOIR!$A$4:$A$1807,A75,B_INPUT_RESERVOIR!$C$4:$C$1807,B75))</f>
        <v>0</v>
      </c>
      <c r="I75" s="10">
        <f t="shared" si="11"/>
        <v>1</v>
      </c>
      <c r="J75" s="10" t="str">
        <f t="shared" si="8"/>
        <v/>
      </c>
      <c r="K75" s="10">
        <f>IF(H75=0,0,SUMIFS(B_INPUT_RESERVOIR!$L$4:$L$1807,B_INPUT_RESERVOIR!$A$4:$A$1807,A75,B_INPUT_RESERVOIR!$C$4:$C$1807,B75)/H75)</f>
        <v>0</v>
      </c>
      <c r="L75" s="10">
        <f t="shared" si="12"/>
        <v>1</v>
      </c>
      <c r="M75" s="10">
        <f>IF(SUMIFS(B_INPUT_RESERVOIR!$N$4:$N$1807,B_INPUT_RESERVOIR!$A$4:$A$1807,A75,B_INPUT_RESERVOIR!$C$4:$C$1807,B75)=0,1,SUMIFS(B_INPUT_RESERVOIR!$O$4:$O$1807,B_INPUT_RESERVOIR!$A$4:$A$1807,A75,B_INPUT_RESERVOIR!$C$4:$C$1807,B75)/SUMIFS(B_INPUT_RESERVOIR!$N$4:$N$1807,B_INPUT_RESERVOIR!$A$4:$A$1807,A75,B_INPUT_RESERVOIR!$C$4:$C$1807,B75))</f>
        <v>1</v>
      </c>
      <c r="N75" s="8">
        <f t="shared" si="9"/>
        <v>0</v>
      </c>
      <c r="O75" s="12">
        <f>_xlfn.SINGLE(IF(C75=0,"",_xlfn.MINIFS(B_INPUT_RESERVOIR!$H$4:$H$1807,B_INPUT_RESERVOIR!$A$4:$A$1807,A75,B_INPUT_RESERVOIR!$C$4:$C$1807,B75)))</f>
        <v>0</v>
      </c>
      <c r="P75" s="12">
        <f>IF(C75=0,"",SUMIFS(B_INPUT_RESERVOIR!$H$4:$H$1807,B_INPUT_RESERVOIR!$A$4:$A$1807,A75,B_INPUT_RESERVOIR!$C$4:$C$1807,B75,B_INPUT_RESERVOIR!$D$4:$D$1807,12))</f>
        <v>0</v>
      </c>
      <c r="Q75" s="13" t="str">
        <f t="shared" si="10"/>
        <v>No failure</v>
      </c>
    </row>
    <row r="76" spans="1:17" x14ac:dyDescent="0.25">
      <c r="A76" s="4" t="s">
        <v>30</v>
      </c>
      <c r="B76" s="4">
        <f t="shared" si="5"/>
        <v>2028</v>
      </c>
      <c r="C76" s="8">
        <f>COUNTIFS(B_INPUT_RESERVOIR!$A$4:$A$1807,A76,B_INPUT_RESERVOIR!$C$4:$C$1807,B76)</f>
        <v>12</v>
      </c>
      <c r="D76" s="12">
        <f>IF(C76=0,0,SUMIFS(B_INPUT_RESERVOIR!$E$4:$E$1807,B_INPUT_RESERVOIR!$A$4:$A$1807,A76,B_INPUT_RESERVOIR!$C$4:$C$1807,B76))</f>
        <v>0</v>
      </c>
      <c r="E76" s="12">
        <f>IF(C76=0,0,SUMIFS(B_INPUT_RESERVOIR!$J$4:$J$1807,B_INPUT_RESERVOIR!$A$4:$A$1807,A76,B_INPUT_RESERVOIR!$C$4:$C$1807,B76))</f>
        <v>0</v>
      </c>
      <c r="F76" s="12">
        <f>IF(C76=0,"",SUMIFS(B_INPUT_RESERVOIR!$G$4:$G$1807,B_INPUT_RESERVOIR!$A$4:$A$1807,A76,B_INPUT_RESERVOIR!$C$4:$C$1807,B76))</f>
        <v>0</v>
      </c>
      <c r="G76" s="12">
        <f>IF(C76=0,"",SUMIFS(B_INPUT_RESERVOIR!$F$4:$F$1807,B_INPUT_RESERVOIR!$A$4:$A$1807,A76,B_INPUT_RESERVOIR!$C$4:$C$1807,B76))</f>
        <v>0</v>
      </c>
      <c r="H76" s="8">
        <f>IF(C76=0,"",SUMIFS(B_INPUT_RESERVOIR!$K$4:$K$1807,B_INPUT_RESERVOIR!$A$4:$A$1807,A76,B_INPUT_RESERVOIR!$C$4:$C$1807,B76))</f>
        <v>0</v>
      </c>
      <c r="I76" s="10">
        <f t="shared" si="11"/>
        <v>1</v>
      </c>
      <c r="J76" s="10" t="str">
        <f t="shared" si="8"/>
        <v/>
      </c>
      <c r="K76" s="10">
        <f>IF(H76=0,0,SUMIFS(B_INPUT_RESERVOIR!$L$4:$L$1807,B_INPUT_RESERVOIR!$A$4:$A$1807,A76,B_INPUT_RESERVOIR!$C$4:$C$1807,B76)/H76)</f>
        <v>0</v>
      </c>
      <c r="L76" s="10">
        <f t="shared" si="12"/>
        <v>1</v>
      </c>
      <c r="M76" s="10">
        <f>IF(SUMIFS(B_INPUT_RESERVOIR!$N$4:$N$1807,B_INPUT_RESERVOIR!$A$4:$A$1807,A76,B_INPUT_RESERVOIR!$C$4:$C$1807,B76)=0,1,SUMIFS(B_INPUT_RESERVOIR!$O$4:$O$1807,B_INPUT_RESERVOIR!$A$4:$A$1807,A76,B_INPUT_RESERVOIR!$C$4:$C$1807,B76)/SUMIFS(B_INPUT_RESERVOIR!$N$4:$N$1807,B_INPUT_RESERVOIR!$A$4:$A$1807,A76,B_INPUT_RESERVOIR!$C$4:$C$1807,B76))</f>
        <v>1</v>
      </c>
      <c r="N76" s="8">
        <f t="shared" si="9"/>
        <v>0</v>
      </c>
      <c r="O76" s="12">
        <f>_xlfn.SINGLE(IF(C76=0,"",_xlfn.MINIFS(B_INPUT_RESERVOIR!$H$4:$H$1807,B_INPUT_RESERVOIR!$A$4:$A$1807,A76,B_INPUT_RESERVOIR!$C$4:$C$1807,B76)))</f>
        <v>0</v>
      </c>
      <c r="P76" s="12">
        <f>IF(C76=0,"",SUMIFS(B_INPUT_RESERVOIR!$H$4:$H$1807,B_INPUT_RESERVOIR!$A$4:$A$1807,A76,B_INPUT_RESERVOIR!$C$4:$C$1807,B76,B_INPUT_RESERVOIR!$D$4:$D$1807,12))</f>
        <v>0</v>
      </c>
      <c r="Q76" s="13" t="str">
        <f t="shared" si="10"/>
        <v>No failure</v>
      </c>
    </row>
    <row r="77" spans="1:17" x14ac:dyDescent="0.25">
      <c r="A77" s="4" t="s">
        <v>30</v>
      </c>
      <c r="B77" s="4">
        <f t="shared" si="5"/>
        <v>2029</v>
      </c>
      <c r="C77" s="8">
        <f>COUNTIFS(B_INPUT_RESERVOIR!$A$4:$A$1807,A77,B_INPUT_RESERVOIR!$C$4:$C$1807,B77)</f>
        <v>12</v>
      </c>
      <c r="D77" s="12">
        <f>IF(C77=0,0,SUMIFS(B_INPUT_RESERVOIR!$E$4:$E$1807,B_INPUT_RESERVOIR!$A$4:$A$1807,A77,B_INPUT_RESERVOIR!$C$4:$C$1807,B77))</f>
        <v>0</v>
      </c>
      <c r="E77" s="12">
        <f>IF(C77=0,0,SUMIFS(B_INPUT_RESERVOIR!$J$4:$J$1807,B_INPUT_RESERVOIR!$A$4:$A$1807,A77,B_INPUT_RESERVOIR!$C$4:$C$1807,B77))</f>
        <v>0</v>
      </c>
      <c r="F77" s="12">
        <f>IF(C77=0,"",SUMIFS(B_INPUT_RESERVOIR!$G$4:$G$1807,B_INPUT_RESERVOIR!$A$4:$A$1807,A77,B_INPUT_RESERVOIR!$C$4:$C$1807,B77))</f>
        <v>0</v>
      </c>
      <c r="G77" s="12">
        <f>IF(C77=0,"",SUMIFS(B_INPUT_RESERVOIR!$F$4:$F$1807,B_INPUT_RESERVOIR!$A$4:$A$1807,A77,B_INPUT_RESERVOIR!$C$4:$C$1807,B77))</f>
        <v>0</v>
      </c>
      <c r="H77" s="8">
        <f>IF(C77=0,"",SUMIFS(B_INPUT_RESERVOIR!$K$4:$K$1807,B_INPUT_RESERVOIR!$A$4:$A$1807,A77,B_INPUT_RESERVOIR!$C$4:$C$1807,B77))</f>
        <v>0</v>
      </c>
      <c r="I77" s="10">
        <f t="shared" si="11"/>
        <v>1</v>
      </c>
      <c r="J77" s="10" t="str">
        <f t="shared" si="8"/>
        <v/>
      </c>
      <c r="K77" s="10">
        <f>IF(H77=0,0,SUMIFS(B_INPUT_RESERVOIR!$L$4:$L$1807,B_INPUT_RESERVOIR!$A$4:$A$1807,A77,B_INPUT_RESERVOIR!$C$4:$C$1807,B77)/H77)</f>
        <v>0</v>
      </c>
      <c r="L77" s="10">
        <f t="shared" si="12"/>
        <v>1</v>
      </c>
      <c r="M77" s="10">
        <f>IF(SUMIFS(B_INPUT_RESERVOIR!$N$4:$N$1807,B_INPUT_RESERVOIR!$A$4:$A$1807,A77,B_INPUT_RESERVOIR!$C$4:$C$1807,B77)=0,1,SUMIFS(B_INPUT_RESERVOIR!$O$4:$O$1807,B_INPUT_RESERVOIR!$A$4:$A$1807,A77,B_INPUT_RESERVOIR!$C$4:$C$1807,B77)/SUMIFS(B_INPUT_RESERVOIR!$N$4:$N$1807,B_INPUT_RESERVOIR!$A$4:$A$1807,A77,B_INPUT_RESERVOIR!$C$4:$C$1807,B77))</f>
        <v>1</v>
      </c>
      <c r="N77" s="8">
        <f t="shared" si="9"/>
        <v>0</v>
      </c>
      <c r="O77" s="12">
        <f>_xlfn.SINGLE(IF(C77=0,"",_xlfn.MINIFS(B_INPUT_RESERVOIR!$H$4:$H$1807,B_INPUT_RESERVOIR!$A$4:$A$1807,A77,B_INPUT_RESERVOIR!$C$4:$C$1807,B77)))</f>
        <v>0</v>
      </c>
      <c r="P77" s="12">
        <f>IF(C77=0,"",SUMIFS(B_INPUT_RESERVOIR!$H$4:$H$1807,B_INPUT_RESERVOIR!$A$4:$A$1807,A77,B_INPUT_RESERVOIR!$C$4:$C$1807,B77,B_INPUT_RESERVOIR!$D$4:$D$1807,12))</f>
        <v>0</v>
      </c>
      <c r="Q77" s="13" t="str">
        <f t="shared" si="10"/>
        <v>No failure</v>
      </c>
    </row>
    <row r="78" spans="1:17" x14ac:dyDescent="0.25">
      <c r="A78" s="4" t="s">
        <v>30</v>
      </c>
      <c r="B78" s="4">
        <f t="shared" si="5"/>
        <v>2030</v>
      </c>
      <c r="C78" s="8">
        <f>COUNTIFS(B_INPUT_RESERVOIR!$A$4:$A$1807,A78,B_INPUT_RESERVOIR!$C$4:$C$1807,B78)</f>
        <v>12</v>
      </c>
      <c r="D78" s="12">
        <f>IF(C78=0,0,SUMIFS(B_INPUT_RESERVOIR!$E$4:$E$1807,B_INPUT_RESERVOIR!$A$4:$A$1807,A78,B_INPUT_RESERVOIR!$C$4:$C$1807,B78))</f>
        <v>0</v>
      </c>
      <c r="E78" s="12">
        <f>IF(C78=0,0,SUMIFS(B_INPUT_RESERVOIR!$J$4:$J$1807,B_INPUT_RESERVOIR!$A$4:$A$1807,A78,B_INPUT_RESERVOIR!$C$4:$C$1807,B78))</f>
        <v>0</v>
      </c>
      <c r="F78" s="12">
        <f>IF(C78=0,"",SUMIFS(B_INPUT_RESERVOIR!$G$4:$G$1807,B_INPUT_RESERVOIR!$A$4:$A$1807,A78,B_INPUT_RESERVOIR!$C$4:$C$1807,B78))</f>
        <v>0</v>
      </c>
      <c r="G78" s="12">
        <f>IF(C78=0,"",SUMIFS(B_INPUT_RESERVOIR!$F$4:$F$1807,B_INPUT_RESERVOIR!$A$4:$A$1807,A78,B_INPUT_RESERVOIR!$C$4:$C$1807,B78))</f>
        <v>0</v>
      </c>
      <c r="H78" s="8">
        <f>IF(C78=0,"",SUMIFS(B_INPUT_RESERVOIR!$K$4:$K$1807,B_INPUT_RESERVOIR!$A$4:$A$1807,A78,B_INPUT_RESERVOIR!$C$4:$C$1807,B78))</f>
        <v>0</v>
      </c>
      <c r="I78" s="10">
        <f t="shared" si="11"/>
        <v>1</v>
      </c>
      <c r="J78" s="10" t="str">
        <f t="shared" si="8"/>
        <v/>
      </c>
      <c r="K78" s="10">
        <f>IF(H78=0,0,SUMIFS(B_INPUT_RESERVOIR!$L$4:$L$1807,B_INPUT_RESERVOIR!$A$4:$A$1807,A78,B_INPUT_RESERVOIR!$C$4:$C$1807,B78)/H78)</f>
        <v>0</v>
      </c>
      <c r="L78" s="10">
        <f t="shared" si="12"/>
        <v>1</v>
      </c>
      <c r="M78" s="10">
        <f>IF(SUMIFS(B_INPUT_RESERVOIR!$N$4:$N$1807,B_INPUT_RESERVOIR!$A$4:$A$1807,A78,B_INPUT_RESERVOIR!$C$4:$C$1807,B78)=0,1,SUMIFS(B_INPUT_RESERVOIR!$O$4:$O$1807,B_INPUT_RESERVOIR!$A$4:$A$1807,A78,B_INPUT_RESERVOIR!$C$4:$C$1807,B78)/SUMIFS(B_INPUT_RESERVOIR!$N$4:$N$1807,B_INPUT_RESERVOIR!$A$4:$A$1807,A78,B_INPUT_RESERVOIR!$C$4:$C$1807,B78))</f>
        <v>1</v>
      </c>
      <c r="N78" s="8">
        <f t="shared" si="9"/>
        <v>0</v>
      </c>
      <c r="O78" s="12">
        <f>_xlfn.SINGLE(IF(C78=0,"",_xlfn.MINIFS(B_INPUT_RESERVOIR!$H$4:$H$1807,B_INPUT_RESERVOIR!$A$4:$A$1807,A78,B_INPUT_RESERVOIR!$C$4:$C$1807,B78)))</f>
        <v>0</v>
      </c>
      <c r="P78" s="12">
        <f>IF(C78=0,"",SUMIFS(B_INPUT_RESERVOIR!$H$4:$H$1807,B_INPUT_RESERVOIR!$A$4:$A$1807,A78,B_INPUT_RESERVOIR!$C$4:$C$1807,B78,B_INPUT_RESERVOIR!$D$4:$D$1807,12))</f>
        <v>0</v>
      </c>
      <c r="Q78" s="13" t="str">
        <f t="shared" si="10"/>
        <v>No failure</v>
      </c>
    </row>
    <row r="79" spans="1:17" x14ac:dyDescent="0.25">
      <c r="A79" s="4" t="s">
        <v>30</v>
      </c>
      <c r="B79" s="4">
        <f t="shared" si="5"/>
        <v>2031</v>
      </c>
      <c r="C79" s="8">
        <f>COUNTIFS(B_INPUT_RESERVOIR!$A$4:$A$1807,A79,B_INPUT_RESERVOIR!$C$4:$C$1807,B79)</f>
        <v>12</v>
      </c>
      <c r="D79" s="12">
        <f>IF(C79=0,0,SUMIFS(B_INPUT_RESERVOIR!$E$4:$E$1807,B_INPUT_RESERVOIR!$A$4:$A$1807,A79,B_INPUT_RESERVOIR!$C$4:$C$1807,B79))</f>
        <v>0</v>
      </c>
      <c r="E79" s="12">
        <f>IF(C79=0,0,SUMIFS(B_INPUT_RESERVOIR!$J$4:$J$1807,B_INPUT_RESERVOIR!$A$4:$A$1807,A79,B_INPUT_RESERVOIR!$C$4:$C$1807,B79))</f>
        <v>0</v>
      </c>
      <c r="F79" s="12">
        <f>IF(C79=0,"",SUMIFS(B_INPUT_RESERVOIR!$G$4:$G$1807,B_INPUT_RESERVOIR!$A$4:$A$1807,A79,B_INPUT_RESERVOIR!$C$4:$C$1807,B79))</f>
        <v>0</v>
      </c>
      <c r="G79" s="12">
        <f>IF(C79=0,"",SUMIFS(B_INPUT_RESERVOIR!$F$4:$F$1807,B_INPUT_RESERVOIR!$A$4:$A$1807,A79,B_INPUT_RESERVOIR!$C$4:$C$1807,B79))</f>
        <v>0</v>
      </c>
      <c r="H79" s="8">
        <f>IF(C79=0,"",SUMIFS(B_INPUT_RESERVOIR!$K$4:$K$1807,B_INPUT_RESERVOIR!$A$4:$A$1807,A79,B_INPUT_RESERVOIR!$C$4:$C$1807,B79))</f>
        <v>0</v>
      </c>
      <c r="I79" s="10">
        <f t="shared" si="11"/>
        <v>1</v>
      </c>
      <c r="J79" s="10" t="str">
        <f t="shared" si="8"/>
        <v/>
      </c>
      <c r="K79" s="10">
        <f>IF(H79=0,0,SUMIFS(B_INPUT_RESERVOIR!$L$4:$L$1807,B_INPUT_RESERVOIR!$A$4:$A$1807,A79,B_INPUT_RESERVOIR!$C$4:$C$1807,B79)/H79)</f>
        <v>0</v>
      </c>
      <c r="L79" s="10">
        <f t="shared" si="12"/>
        <v>1</v>
      </c>
      <c r="M79" s="10">
        <f>IF(SUMIFS(B_INPUT_RESERVOIR!$N$4:$N$1807,B_INPUT_RESERVOIR!$A$4:$A$1807,A79,B_INPUT_RESERVOIR!$C$4:$C$1807,B79)=0,1,SUMIFS(B_INPUT_RESERVOIR!$O$4:$O$1807,B_INPUT_RESERVOIR!$A$4:$A$1807,A79,B_INPUT_RESERVOIR!$C$4:$C$1807,B79)/SUMIFS(B_INPUT_RESERVOIR!$N$4:$N$1807,B_INPUT_RESERVOIR!$A$4:$A$1807,A79,B_INPUT_RESERVOIR!$C$4:$C$1807,B79))</f>
        <v>1</v>
      </c>
      <c r="N79" s="8">
        <f t="shared" si="9"/>
        <v>0</v>
      </c>
      <c r="O79" s="12">
        <f>_xlfn.SINGLE(IF(C79=0,"",_xlfn.MINIFS(B_INPUT_RESERVOIR!$H$4:$H$1807,B_INPUT_RESERVOIR!$A$4:$A$1807,A79,B_INPUT_RESERVOIR!$C$4:$C$1807,B79)))</f>
        <v>0</v>
      </c>
      <c r="P79" s="12">
        <f>IF(C79=0,"",SUMIFS(B_INPUT_RESERVOIR!$H$4:$H$1807,B_INPUT_RESERVOIR!$A$4:$A$1807,A79,B_INPUT_RESERVOIR!$C$4:$C$1807,B79,B_INPUT_RESERVOIR!$D$4:$D$1807,12))</f>
        <v>0</v>
      </c>
      <c r="Q79" s="13" t="str">
        <f t="shared" si="10"/>
        <v>No failure</v>
      </c>
    </row>
    <row r="80" spans="1:17" x14ac:dyDescent="0.25">
      <c r="A80" s="4" t="s">
        <v>30</v>
      </c>
      <c r="B80" s="4">
        <f t="shared" si="5"/>
        <v>2032</v>
      </c>
      <c r="C80" s="8">
        <f>COUNTIFS(B_INPUT_RESERVOIR!$A$4:$A$1807,A80,B_INPUT_RESERVOIR!$C$4:$C$1807,B80)</f>
        <v>12</v>
      </c>
      <c r="D80" s="12">
        <f>IF(C80=0,0,SUMIFS(B_INPUT_RESERVOIR!$E$4:$E$1807,B_INPUT_RESERVOIR!$A$4:$A$1807,A80,B_INPUT_RESERVOIR!$C$4:$C$1807,B80))</f>
        <v>0</v>
      </c>
      <c r="E80" s="12">
        <f>IF(C80=0,0,SUMIFS(B_INPUT_RESERVOIR!$J$4:$J$1807,B_INPUT_RESERVOIR!$A$4:$A$1807,A80,B_INPUT_RESERVOIR!$C$4:$C$1807,B80))</f>
        <v>0</v>
      </c>
      <c r="F80" s="12">
        <f>IF(C80=0,"",SUMIFS(B_INPUT_RESERVOIR!$G$4:$G$1807,B_INPUT_RESERVOIR!$A$4:$A$1807,A80,B_INPUT_RESERVOIR!$C$4:$C$1807,B80))</f>
        <v>0</v>
      </c>
      <c r="G80" s="12">
        <f>IF(C80=0,"",SUMIFS(B_INPUT_RESERVOIR!$F$4:$F$1807,B_INPUT_RESERVOIR!$A$4:$A$1807,A80,B_INPUT_RESERVOIR!$C$4:$C$1807,B80))</f>
        <v>0</v>
      </c>
      <c r="H80" s="8">
        <f>IF(C80=0,"",SUMIFS(B_INPUT_RESERVOIR!$K$4:$K$1807,B_INPUT_RESERVOIR!$A$4:$A$1807,A80,B_INPUT_RESERVOIR!$C$4:$C$1807,B80))</f>
        <v>0</v>
      </c>
      <c r="I80" s="10">
        <f t="shared" si="11"/>
        <v>1</v>
      </c>
      <c r="J80" s="10" t="str">
        <f t="shared" si="8"/>
        <v/>
      </c>
      <c r="K80" s="10">
        <f>IF(H80=0,0,SUMIFS(B_INPUT_RESERVOIR!$L$4:$L$1807,B_INPUT_RESERVOIR!$A$4:$A$1807,A80,B_INPUT_RESERVOIR!$C$4:$C$1807,B80)/H80)</f>
        <v>0</v>
      </c>
      <c r="L80" s="10">
        <f t="shared" si="12"/>
        <v>1</v>
      </c>
      <c r="M80" s="10">
        <f>IF(SUMIFS(B_INPUT_RESERVOIR!$N$4:$N$1807,B_INPUT_RESERVOIR!$A$4:$A$1807,A80,B_INPUT_RESERVOIR!$C$4:$C$1807,B80)=0,1,SUMIFS(B_INPUT_RESERVOIR!$O$4:$O$1807,B_INPUT_RESERVOIR!$A$4:$A$1807,A80,B_INPUT_RESERVOIR!$C$4:$C$1807,B80)/SUMIFS(B_INPUT_RESERVOIR!$N$4:$N$1807,B_INPUT_RESERVOIR!$A$4:$A$1807,A80,B_INPUT_RESERVOIR!$C$4:$C$1807,B80))</f>
        <v>1</v>
      </c>
      <c r="N80" s="8">
        <f t="shared" si="9"/>
        <v>0</v>
      </c>
      <c r="O80" s="12">
        <f>_xlfn.SINGLE(IF(C80=0,"",_xlfn.MINIFS(B_INPUT_RESERVOIR!$H$4:$H$1807,B_INPUT_RESERVOIR!$A$4:$A$1807,A80,B_INPUT_RESERVOIR!$C$4:$C$1807,B80)))</f>
        <v>0</v>
      </c>
      <c r="P80" s="12">
        <f>IF(C80=0,"",SUMIFS(B_INPUT_RESERVOIR!$H$4:$H$1807,B_INPUT_RESERVOIR!$A$4:$A$1807,A80,B_INPUT_RESERVOIR!$C$4:$C$1807,B80,B_INPUT_RESERVOIR!$D$4:$D$1807,12))</f>
        <v>0</v>
      </c>
      <c r="Q80" s="13" t="str">
        <f t="shared" si="10"/>
        <v>No failure</v>
      </c>
    </row>
    <row r="81" spans="1:17" x14ac:dyDescent="0.25">
      <c r="A81" s="4" t="s">
        <v>30</v>
      </c>
      <c r="B81" s="4">
        <f t="shared" si="5"/>
        <v>2033</v>
      </c>
      <c r="C81" s="8">
        <f>COUNTIFS(B_INPUT_RESERVOIR!$A$4:$A$1807,A81,B_INPUT_RESERVOIR!$C$4:$C$1807,B81)</f>
        <v>12</v>
      </c>
      <c r="D81" s="12">
        <f>IF(C81=0,0,SUMIFS(B_INPUT_RESERVOIR!$E$4:$E$1807,B_INPUT_RESERVOIR!$A$4:$A$1807,A81,B_INPUT_RESERVOIR!$C$4:$C$1807,B81))</f>
        <v>0</v>
      </c>
      <c r="E81" s="12">
        <f>IF(C81=0,0,SUMIFS(B_INPUT_RESERVOIR!$J$4:$J$1807,B_INPUT_RESERVOIR!$A$4:$A$1807,A81,B_INPUT_RESERVOIR!$C$4:$C$1807,B81))</f>
        <v>0</v>
      </c>
      <c r="F81" s="12">
        <f>IF(C81=0,"",SUMIFS(B_INPUT_RESERVOIR!$G$4:$G$1807,B_INPUT_RESERVOIR!$A$4:$A$1807,A81,B_INPUT_RESERVOIR!$C$4:$C$1807,B81))</f>
        <v>0</v>
      </c>
      <c r="G81" s="12">
        <f>IF(C81=0,"",SUMIFS(B_INPUT_RESERVOIR!$F$4:$F$1807,B_INPUT_RESERVOIR!$A$4:$A$1807,A81,B_INPUT_RESERVOIR!$C$4:$C$1807,B81))</f>
        <v>0</v>
      </c>
      <c r="H81" s="8">
        <f>IF(C81=0,"",SUMIFS(B_INPUT_RESERVOIR!$K$4:$K$1807,B_INPUT_RESERVOIR!$A$4:$A$1807,A81,B_INPUT_RESERVOIR!$C$4:$C$1807,B81))</f>
        <v>0</v>
      </c>
      <c r="I81" s="10">
        <f t="shared" si="11"/>
        <v>1</v>
      </c>
      <c r="J81" s="10" t="str">
        <f t="shared" si="8"/>
        <v/>
      </c>
      <c r="K81" s="10">
        <f>IF(H81=0,0,SUMIFS(B_INPUT_RESERVOIR!$L$4:$L$1807,B_INPUT_RESERVOIR!$A$4:$A$1807,A81,B_INPUT_RESERVOIR!$C$4:$C$1807,B81)/H81)</f>
        <v>0</v>
      </c>
      <c r="L81" s="10">
        <f t="shared" si="12"/>
        <v>1</v>
      </c>
      <c r="M81" s="10">
        <f>IF(SUMIFS(B_INPUT_RESERVOIR!$N$4:$N$1807,B_INPUT_RESERVOIR!$A$4:$A$1807,A81,B_INPUT_RESERVOIR!$C$4:$C$1807,B81)=0,1,SUMIFS(B_INPUT_RESERVOIR!$O$4:$O$1807,B_INPUT_RESERVOIR!$A$4:$A$1807,A81,B_INPUT_RESERVOIR!$C$4:$C$1807,B81)/SUMIFS(B_INPUT_RESERVOIR!$N$4:$N$1807,B_INPUT_RESERVOIR!$A$4:$A$1807,A81,B_INPUT_RESERVOIR!$C$4:$C$1807,B81))</f>
        <v>1</v>
      </c>
      <c r="N81" s="8">
        <f t="shared" si="9"/>
        <v>0</v>
      </c>
      <c r="O81" s="12">
        <f>_xlfn.SINGLE(IF(C81=0,"",_xlfn.MINIFS(B_INPUT_RESERVOIR!$H$4:$H$1807,B_INPUT_RESERVOIR!$A$4:$A$1807,A81,B_INPUT_RESERVOIR!$C$4:$C$1807,B81)))</f>
        <v>0</v>
      </c>
      <c r="P81" s="12">
        <f>IF(C81=0,"",SUMIFS(B_INPUT_RESERVOIR!$H$4:$H$1807,B_INPUT_RESERVOIR!$A$4:$A$1807,A81,B_INPUT_RESERVOIR!$C$4:$C$1807,B81,B_INPUT_RESERVOIR!$D$4:$D$1807,12))</f>
        <v>0</v>
      </c>
      <c r="Q81" s="13" t="str">
        <f t="shared" si="10"/>
        <v>No failure</v>
      </c>
    </row>
    <row r="82" spans="1:17" x14ac:dyDescent="0.25">
      <c r="A82" s="4" t="s">
        <v>30</v>
      </c>
      <c r="B82" s="4">
        <f t="shared" si="5"/>
        <v>2034</v>
      </c>
      <c r="C82" s="8">
        <f>COUNTIFS(B_INPUT_RESERVOIR!$A$4:$A$1807,A82,B_INPUT_RESERVOIR!$C$4:$C$1807,B82)</f>
        <v>12</v>
      </c>
      <c r="D82" s="12">
        <f>IF(C82=0,0,SUMIFS(B_INPUT_RESERVOIR!$E$4:$E$1807,B_INPUT_RESERVOIR!$A$4:$A$1807,A82,B_INPUT_RESERVOIR!$C$4:$C$1807,B82))</f>
        <v>0</v>
      </c>
      <c r="E82" s="12">
        <f>IF(C82=0,0,SUMIFS(B_INPUT_RESERVOIR!$J$4:$J$1807,B_INPUT_RESERVOIR!$A$4:$A$1807,A82,B_INPUT_RESERVOIR!$C$4:$C$1807,B82))</f>
        <v>0</v>
      </c>
      <c r="F82" s="12">
        <f>IF(C82=0,"",SUMIFS(B_INPUT_RESERVOIR!$G$4:$G$1807,B_INPUT_RESERVOIR!$A$4:$A$1807,A82,B_INPUT_RESERVOIR!$C$4:$C$1807,B82))</f>
        <v>0</v>
      </c>
      <c r="G82" s="12">
        <f>IF(C82=0,"",SUMIFS(B_INPUT_RESERVOIR!$F$4:$F$1807,B_INPUT_RESERVOIR!$A$4:$A$1807,A82,B_INPUT_RESERVOIR!$C$4:$C$1807,B82))</f>
        <v>0</v>
      </c>
      <c r="H82" s="8">
        <f>IF(C82=0,"",SUMIFS(B_INPUT_RESERVOIR!$K$4:$K$1807,B_INPUT_RESERVOIR!$A$4:$A$1807,A82,B_INPUT_RESERVOIR!$C$4:$C$1807,B82))</f>
        <v>0</v>
      </c>
      <c r="I82" s="10">
        <f t="shared" si="11"/>
        <v>1</v>
      </c>
      <c r="J82" s="10" t="str">
        <f t="shared" si="8"/>
        <v/>
      </c>
      <c r="K82" s="10">
        <f>IF(H82=0,0,SUMIFS(B_INPUT_RESERVOIR!$L$4:$L$1807,B_INPUT_RESERVOIR!$A$4:$A$1807,A82,B_INPUT_RESERVOIR!$C$4:$C$1807,B82)/H82)</f>
        <v>0</v>
      </c>
      <c r="L82" s="10">
        <f t="shared" si="12"/>
        <v>1</v>
      </c>
      <c r="M82" s="10">
        <f>IF(SUMIFS(B_INPUT_RESERVOIR!$N$4:$N$1807,B_INPUT_RESERVOIR!$A$4:$A$1807,A82,B_INPUT_RESERVOIR!$C$4:$C$1807,B82)=0,1,SUMIFS(B_INPUT_RESERVOIR!$O$4:$O$1807,B_INPUT_RESERVOIR!$A$4:$A$1807,A82,B_INPUT_RESERVOIR!$C$4:$C$1807,B82)/SUMIFS(B_INPUT_RESERVOIR!$N$4:$N$1807,B_INPUT_RESERVOIR!$A$4:$A$1807,A82,B_INPUT_RESERVOIR!$C$4:$C$1807,B82))</f>
        <v>1</v>
      </c>
      <c r="N82" s="8">
        <f t="shared" si="9"/>
        <v>0</v>
      </c>
      <c r="O82" s="12">
        <f>_xlfn.SINGLE(IF(C82=0,"",_xlfn.MINIFS(B_INPUT_RESERVOIR!$H$4:$H$1807,B_INPUT_RESERVOIR!$A$4:$A$1807,A82,B_INPUT_RESERVOIR!$C$4:$C$1807,B82)))</f>
        <v>0</v>
      </c>
      <c r="P82" s="12">
        <f>IF(C82=0,"",SUMIFS(B_INPUT_RESERVOIR!$H$4:$H$1807,B_INPUT_RESERVOIR!$A$4:$A$1807,A82,B_INPUT_RESERVOIR!$C$4:$C$1807,B82,B_INPUT_RESERVOIR!$D$4:$D$1807,12))</f>
        <v>0</v>
      </c>
      <c r="Q82" s="13" t="str">
        <f t="shared" si="10"/>
        <v>No failure</v>
      </c>
    </row>
    <row r="83" spans="1:17" x14ac:dyDescent="0.25">
      <c r="A83" s="4" t="s">
        <v>30</v>
      </c>
      <c r="B83" s="4">
        <f t="shared" si="5"/>
        <v>2035</v>
      </c>
      <c r="C83" s="8">
        <f>COUNTIFS(B_INPUT_RESERVOIR!$A$4:$A$1807,A83,B_INPUT_RESERVOIR!$C$4:$C$1807,B83)</f>
        <v>12</v>
      </c>
      <c r="D83" s="12">
        <f>IF(C83=0,0,SUMIFS(B_INPUT_RESERVOIR!$E$4:$E$1807,B_INPUT_RESERVOIR!$A$4:$A$1807,A83,B_INPUT_RESERVOIR!$C$4:$C$1807,B83))</f>
        <v>0</v>
      </c>
      <c r="E83" s="12">
        <f>IF(C83=0,0,SUMIFS(B_INPUT_RESERVOIR!$J$4:$J$1807,B_INPUT_RESERVOIR!$A$4:$A$1807,A83,B_INPUT_RESERVOIR!$C$4:$C$1807,B83))</f>
        <v>0</v>
      </c>
      <c r="F83" s="12">
        <f>IF(C83=0,"",SUMIFS(B_INPUT_RESERVOIR!$G$4:$G$1807,B_INPUT_RESERVOIR!$A$4:$A$1807,A83,B_INPUT_RESERVOIR!$C$4:$C$1807,B83))</f>
        <v>0</v>
      </c>
      <c r="G83" s="12">
        <f>IF(C83=0,"",SUMIFS(B_INPUT_RESERVOIR!$F$4:$F$1807,B_INPUT_RESERVOIR!$A$4:$A$1807,A83,B_INPUT_RESERVOIR!$C$4:$C$1807,B83))</f>
        <v>0</v>
      </c>
      <c r="H83" s="8">
        <f>IF(C83=0,"",SUMIFS(B_INPUT_RESERVOIR!$K$4:$K$1807,B_INPUT_RESERVOIR!$A$4:$A$1807,A83,B_INPUT_RESERVOIR!$C$4:$C$1807,B83))</f>
        <v>0</v>
      </c>
      <c r="I83" s="10">
        <f t="shared" si="11"/>
        <v>1</v>
      </c>
      <c r="J83" s="10" t="str">
        <f t="shared" si="8"/>
        <v/>
      </c>
      <c r="K83" s="10">
        <f>IF(H83=0,0,SUMIFS(B_INPUT_RESERVOIR!$L$4:$L$1807,B_INPUT_RESERVOIR!$A$4:$A$1807,A83,B_INPUT_RESERVOIR!$C$4:$C$1807,B83)/H83)</f>
        <v>0</v>
      </c>
      <c r="L83" s="10">
        <f t="shared" si="12"/>
        <v>1</v>
      </c>
      <c r="M83" s="10">
        <f>IF(SUMIFS(B_INPUT_RESERVOIR!$N$4:$N$1807,B_INPUT_RESERVOIR!$A$4:$A$1807,A83,B_INPUT_RESERVOIR!$C$4:$C$1807,B83)=0,1,SUMIFS(B_INPUT_RESERVOIR!$O$4:$O$1807,B_INPUT_RESERVOIR!$A$4:$A$1807,A83,B_INPUT_RESERVOIR!$C$4:$C$1807,B83)/SUMIFS(B_INPUT_RESERVOIR!$N$4:$N$1807,B_INPUT_RESERVOIR!$A$4:$A$1807,A83,B_INPUT_RESERVOIR!$C$4:$C$1807,B83))</f>
        <v>1</v>
      </c>
      <c r="N83" s="8">
        <f t="shared" si="9"/>
        <v>0</v>
      </c>
      <c r="O83" s="12">
        <f>_xlfn.SINGLE(IF(C83=0,"",_xlfn.MINIFS(B_INPUT_RESERVOIR!$H$4:$H$1807,B_INPUT_RESERVOIR!$A$4:$A$1807,A83,B_INPUT_RESERVOIR!$C$4:$C$1807,B83)))</f>
        <v>0</v>
      </c>
      <c r="P83" s="12">
        <f>IF(C83=0,"",SUMIFS(B_INPUT_RESERVOIR!$H$4:$H$1807,B_INPUT_RESERVOIR!$A$4:$A$1807,A83,B_INPUT_RESERVOIR!$C$4:$C$1807,B83,B_INPUT_RESERVOIR!$D$4:$D$1807,12))</f>
        <v>0</v>
      </c>
      <c r="Q83" s="13" t="str">
        <f t="shared" si="10"/>
        <v>No failure</v>
      </c>
    </row>
    <row r="84" spans="1:17" x14ac:dyDescent="0.25">
      <c r="A84" s="4" t="s">
        <v>30</v>
      </c>
      <c r="B84" s="4">
        <f t="shared" si="5"/>
        <v>2036</v>
      </c>
      <c r="C84" s="8">
        <f>COUNTIFS(B_INPUT_RESERVOIR!$A$4:$A$1807,A84,B_INPUT_RESERVOIR!$C$4:$C$1807,B84)</f>
        <v>12</v>
      </c>
      <c r="D84" s="12">
        <f>IF(C84=0,0,SUMIFS(B_INPUT_RESERVOIR!$E$4:$E$1807,B_INPUT_RESERVOIR!$A$4:$A$1807,A84,B_INPUT_RESERVOIR!$C$4:$C$1807,B84))</f>
        <v>0</v>
      </c>
      <c r="E84" s="12">
        <f>IF(C84=0,0,SUMIFS(B_INPUT_RESERVOIR!$J$4:$J$1807,B_INPUT_RESERVOIR!$A$4:$A$1807,A84,B_INPUT_RESERVOIR!$C$4:$C$1807,B84))</f>
        <v>0</v>
      </c>
      <c r="F84" s="12">
        <f>IF(C84=0,"",SUMIFS(B_INPUT_RESERVOIR!$G$4:$G$1807,B_INPUT_RESERVOIR!$A$4:$A$1807,A84,B_INPUT_RESERVOIR!$C$4:$C$1807,B84))</f>
        <v>0</v>
      </c>
      <c r="G84" s="12">
        <f>IF(C84=0,"",SUMIFS(B_INPUT_RESERVOIR!$F$4:$F$1807,B_INPUT_RESERVOIR!$A$4:$A$1807,A84,B_INPUT_RESERVOIR!$C$4:$C$1807,B84))</f>
        <v>0</v>
      </c>
      <c r="H84" s="8">
        <f>IF(C84=0,"",SUMIFS(B_INPUT_RESERVOIR!$K$4:$K$1807,B_INPUT_RESERVOIR!$A$4:$A$1807,A84,B_INPUT_RESERVOIR!$C$4:$C$1807,B84))</f>
        <v>0</v>
      </c>
      <c r="I84" s="10">
        <f t="shared" si="11"/>
        <v>1</v>
      </c>
      <c r="J84" s="10" t="str">
        <f t="shared" si="8"/>
        <v/>
      </c>
      <c r="K84" s="10">
        <f>IF(H84=0,0,SUMIFS(B_INPUT_RESERVOIR!$L$4:$L$1807,B_INPUT_RESERVOIR!$A$4:$A$1807,A84,B_INPUT_RESERVOIR!$C$4:$C$1807,B84)/H84)</f>
        <v>0</v>
      </c>
      <c r="L84" s="10">
        <f t="shared" si="12"/>
        <v>1</v>
      </c>
      <c r="M84" s="10">
        <f>IF(SUMIFS(B_INPUT_RESERVOIR!$N$4:$N$1807,B_INPUT_RESERVOIR!$A$4:$A$1807,A84,B_INPUT_RESERVOIR!$C$4:$C$1807,B84)=0,1,SUMIFS(B_INPUT_RESERVOIR!$O$4:$O$1807,B_INPUT_RESERVOIR!$A$4:$A$1807,A84,B_INPUT_RESERVOIR!$C$4:$C$1807,B84)/SUMIFS(B_INPUT_RESERVOIR!$N$4:$N$1807,B_INPUT_RESERVOIR!$A$4:$A$1807,A84,B_INPUT_RESERVOIR!$C$4:$C$1807,B84))</f>
        <v>1</v>
      </c>
      <c r="N84" s="8">
        <f t="shared" si="9"/>
        <v>0</v>
      </c>
      <c r="O84" s="12">
        <f>_xlfn.SINGLE(IF(C84=0,"",_xlfn.MINIFS(B_INPUT_RESERVOIR!$H$4:$H$1807,B_INPUT_RESERVOIR!$A$4:$A$1807,A84,B_INPUT_RESERVOIR!$C$4:$C$1807,B84)))</f>
        <v>0</v>
      </c>
      <c r="P84" s="12">
        <f>IF(C84=0,"",SUMIFS(B_INPUT_RESERVOIR!$H$4:$H$1807,B_INPUT_RESERVOIR!$A$4:$A$1807,A84,B_INPUT_RESERVOIR!$C$4:$C$1807,B84,B_INPUT_RESERVOIR!$D$4:$D$1807,12))</f>
        <v>0</v>
      </c>
      <c r="Q84" s="13" t="str">
        <f t="shared" si="10"/>
        <v>No failure</v>
      </c>
    </row>
    <row r="85" spans="1:17" x14ac:dyDescent="0.25">
      <c r="A85" s="4" t="s">
        <v>30</v>
      </c>
      <c r="B85" s="4">
        <f t="shared" si="5"/>
        <v>2037</v>
      </c>
      <c r="C85" s="8">
        <f>COUNTIFS(B_INPUT_RESERVOIR!$A$4:$A$1807,A85,B_INPUT_RESERVOIR!$C$4:$C$1807,B85)</f>
        <v>12</v>
      </c>
      <c r="D85" s="12">
        <f>IF(C85=0,0,SUMIFS(B_INPUT_RESERVOIR!$E$4:$E$1807,B_INPUT_RESERVOIR!$A$4:$A$1807,A85,B_INPUT_RESERVOIR!$C$4:$C$1807,B85))</f>
        <v>0</v>
      </c>
      <c r="E85" s="12">
        <f>IF(C85=0,0,SUMIFS(B_INPUT_RESERVOIR!$J$4:$J$1807,B_INPUT_RESERVOIR!$A$4:$A$1807,A85,B_INPUT_RESERVOIR!$C$4:$C$1807,B85))</f>
        <v>0</v>
      </c>
      <c r="F85" s="12">
        <f>IF(C85=0,"",SUMIFS(B_INPUT_RESERVOIR!$G$4:$G$1807,B_INPUT_RESERVOIR!$A$4:$A$1807,A85,B_INPUT_RESERVOIR!$C$4:$C$1807,B85))</f>
        <v>0</v>
      </c>
      <c r="G85" s="12">
        <f>IF(C85=0,"",SUMIFS(B_INPUT_RESERVOIR!$F$4:$F$1807,B_INPUT_RESERVOIR!$A$4:$A$1807,A85,B_INPUT_RESERVOIR!$C$4:$C$1807,B85))</f>
        <v>0</v>
      </c>
      <c r="H85" s="8">
        <f>IF(C85=0,"",SUMIFS(B_INPUT_RESERVOIR!$K$4:$K$1807,B_INPUT_RESERVOIR!$A$4:$A$1807,A85,B_INPUT_RESERVOIR!$C$4:$C$1807,B85))</f>
        <v>0</v>
      </c>
      <c r="I85" s="10">
        <f t="shared" si="11"/>
        <v>1</v>
      </c>
      <c r="J85" s="10" t="str">
        <f t="shared" si="8"/>
        <v/>
      </c>
      <c r="K85" s="10">
        <f>IF(H85=0,0,SUMIFS(B_INPUT_RESERVOIR!$L$4:$L$1807,B_INPUT_RESERVOIR!$A$4:$A$1807,A85,B_INPUT_RESERVOIR!$C$4:$C$1807,B85)/H85)</f>
        <v>0</v>
      </c>
      <c r="L85" s="10">
        <f t="shared" si="12"/>
        <v>1</v>
      </c>
      <c r="M85" s="10">
        <f>IF(SUMIFS(B_INPUT_RESERVOIR!$N$4:$N$1807,B_INPUT_RESERVOIR!$A$4:$A$1807,A85,B_INPUT_RESERVOIR!$C$4:$C$1807,B85)=0,1,SUMIFS(B_INPUT_RESERVOIR!$O$4:$O$1807,B_INPUT_RESERVOIR!$A$4:$A$1807,A85,B_INPUT_RESERVOIR!$C$4:$C$1807,B85)/SUMIFS(B_INPUT_RESERVOIR!$N$4:$N$1807,B_INPUT_RESERVOIR!$A$4:$A$1807,A85,B_INPUT_RESERVOIR!$C$4:$C$1807,B85))</f>
        <v>1</v>
      </c>
      <c r="N85" s="8">
        <f t="shared" si="9"/>
        <v>0</v>
      </c>
      <c r="O85" s="12">
        <f>_xlfn.SINGLE(IF(C85=0,"",_xlfn.MINIFS(B_INPUT_RESERVOIR!$H$4:$H$1807,B_INPUT_RESERVOIR!$A$4:$A$1807,A85,B_INPUT_RESERVOIR!$C$4:$C$1807,B85)))</f>
        <v>0</v>
      </c>
      <c r="P85" s="12">
        <f>IF(C85=0,"",SUMIFS(B_INPUT_RESERVOIR!$H$4:$H$1807,B_INPUT_RESERVOIR!$A$4:$A$1807,A85,B_INPUT_RESERVOIR!$C$4:$C$1807,B85,B_INPUT_RESERVOIR!$D$4:$D$1807,12))</f>
        <v>0</v>
      </c>
      <c r="Q85" s="13" t="str">
        <f t="shared" si="10"/>
        <v>No failure</v>
      </c>
    </row>
    <row r="86" spans="1:17" x14ac:dyDescent="0.25">
      <c r="A86" s="4" t="s">
        <v>30</v>
      </c>
      <c r="B86" s="4">
        <f t="shared" si="5"/>
        <v>2038</v>
      </c>
      <c r="C86" s="8">
        <f>COUNTIFS(B_INPUT_RESERVOIR!$A$4:$A$1807,A86,B_INPUT_RESERVOIR!$C$4:$C$1807,B86)</f>
        <v>12</v>
      </c>
      <c r="D86" s="12">
        <f>IF(C86=0,0,SUMIFS(B_INPUT_RESERVOIR!$E$4:$E$1807,B_INPUT_RESERVOIR!$A$4:$A$1807,A86,B_INPUT_RESERVOIR!$C$4:$C$1807,B86))</f>
        <v>0</v>
      </c>
      <c r="E86" s="12">
        <f>IF(C86=0,0,SUMIFS(B_INPUT_RESERVOIR!$J$4:$J$1807,B_INPUT_RESERVOIR!$A$4:$A$1807,A86,B_INPUT_RESERVOIR!$C$4:$C$1807,B86))</f>
        <v>0</v>
      </c>
      <c r="F86" s="12">
        <f>IF(C86=0,"",SUMIFS(B_INPUT_RESERVOIR!$G$4:$G$1807,B_INPUT_RESERVOIR!$A$4:$A$1807,A86,B_INPUT_RESERVOIR!$C$4:$C$1807,B86))</f>
        <v>0</v>
      </c>
      <c r="G86" s="12">
        <f>IF(C86=0,"",SUMIFS(B_INPUT_RESERVOIR!$F$4:$F$1807,B_INPUT_RESERVOIR!$A$4:$A$1807,A86,B_INPUT_RESERVOIR!$C$4:$C$1807,B86))</f>
        <v>0</v>
      </c>
      <c r="H86" s="8">
        <f>IF(C86=0,"",SUMIFS(B_INPUT_RESERVOIR!$K$4:$K$1807,B_INPUT_RESERVOIR!$A$4:$A$1807,A86,B_INPUT_RESERVOIR!$C$4:$C$1807,B86))</f>
        <v>0</v>
      </c>
      <c r="I86" s="10">
        <f t="shared" si="11"/>
        <v>1</v>
      </c>
      <c r="J86" s="10" t="str">
        <f t="shared" si="8"/>
        <v/>
      </c>
      <c r="K86" s="10">
        <f>IF(H86=0,0,SUMIFS(B_INPUT_RESERVOIR!$L$4:$L$1807,B_INPUT_RESERVOIR!$A$4:$A$1807,A86,B_INPUT_RESERVOIR!$C$4:$C$1807,B86)/H86)</f>
        <v>0</v>
      </c>
      <c r="L86" s="10">
        <f t="shared" si="12"/>
        <v>1</v>
      </c>
      <c r="M86" s="10">
        <f>IF(SUMIFS(B_INPUT_RESERVOIR!$N$4:$N$1807,B_INPUT_RESERVOIR!$A$4:$A$1807,A86,B_INPUT_RESERVOIR!$C$4:$C$1807,B86)=0,1,SUMIFS(B_INPUT_RESERVOIR!$O$4:$O$1807,B_INPUT_RESERVOIR!$A$4:$A$1807,A86,B_INPUT_RESERVOIR!$C$4:$C$1807,B86)/SUMIFS(B_INPUT_RESERVOIR!$N$4:$N$1807,B_INPUT_RESERVOIR!$A$4:$A$1807,A86,B_INPUT_RESERVOIR!$C$4:$C$1807,B86))</f>
        <v>1</v>
      </c>
      <c r="N86" s="8">
        <f t="shared" si="9"/>
        <v>0</v>
      </c>
      <c r="O86" s="12">
        <f>_xlfn.SINGLE(IF(C86=0,"",_xlfn.MINIFS(B_INPUT_RESERVOIR!$H$4:$H$1807,B_INPUT_RESERVOIR!$A$4:$A$1807,A86,B_INPUT_RESERVOIR!$C$4:$C$1807,B86)))</f>
        <v>0</v>
      </c>
      <c r="P86" s="12">
        <f>IF(C86=0,"",SUMIFS(B_INPUT_RESERVOIR!$H$4:$H$1807,B_INPUT_RESERVOIR!$A$4:$A$1807,A86,B_INPUT_RESERVOIR!$C$4:$C$1807,B86,B_INPUT_RESERVOIR!$D$4:$D$1807,12))</f>
        <v>0</v>
      </c>
      <c r="Q86" s="13" t="str">
        <f t="shared" si="10"/>
        <v>No failure</v>
      </c>
    </row>
    <row r="87" spans="1:17" x14ac:dyDescent="0.25">
      <c r="A87" s="4" t="s">
        <v>30</v>
      </c>
      <c r="B87" s="4">
        <f t="shared" si="5"/>
        <v>2039</v>
      </c>
      <c r="C87" s="8">
        <f>COUNTIFS(B_INPUT_RESERVOIR!$A$4:$A$1807,A87,B_INPUT_RESERVOIR!$C$4:$C$1807,B87)</f>
        <v>12</v>
      </c>
      <c r="D87" s="12">
        <f>IF(C87=0,0,SUMIFS(B_INPUT_RESERVOIR!$E$4:$E$1807,B_INPUT_RESERVOIR!$A$4:$A$1807,A87,B_INPUT_RESERVOIR!$C$4:$C$1807,B87))</f>
        <v>0</v>
      </c>
      <c r="E87" s="12">
        <f>IF(C87=0,0,SUMIFS(B_INPUT_RESERVOIR!$J$4:$J$1807,B_INPUT_RESERVOIR!$A$4:$A$1807,A87,B_INPUT_RESERVOIR!$C$4:$C$1807,B87))</f>
        <v>0</v>
      </c>
      <c r="F87" s="12">
        <f>IF(C87=0,"",SUMIFS(B_INPUT_RESERVOIR!$G$4:$G$1807,B_INPUT_RESERVOIR!$A$4:$A$1807,A87,B_INPUT_RESERVOIR!$C$4:$C$1807,B87))</f>
        <v>0</v>
      </c>
      <c r="G87" s="12">
        <f>IF(C87=0,"",SUMIFS(B_INPUT_RESERVOIR!$F$4:$F$1807,B_INPUT_RESERVOIR!$A$4:$A$1807,A87,B_INPUT_RESERVOIR!$C$4:$C$1807,B87))</f>
        <v>0</v>
      </c>
      <c r="H87" s="8">
        <f>IF(C87=0,"",SUMIFS(B_INPUT_RESERVOIR!$K$4:$K$1807,B_INPUT_RESERVOIR!$A$4:$A$1807,A87,B_INPUT_RESERVOIR!$C$4:$C$1807,B87))</f>
        <v>0</v>
      </c>
      <c r="I87" s="10">
        <f t="shared" si="11"/>
        <v>1</v>
      </c>
      <c r="J87" s="10" t="str">
        <f t="shared" si="8"/>
        <v/>
      </c>
      <c r="K87" s="10">
        <f>IF(H87=0,0,SUMIFS(B_INPUT_RESERVOIR!$L$4:$L$1807,B_INPUT_RESERVOIR!$A$4:$A$1807,A87,B_INPUT_RESERVOIR!$C$4:$C$1807,B87)/H87)</f>
        <v>0</v>
      </c>
      <c r="L87" s="10">
        <f t="shared" si="12"/>
        <v>1</v>
      </c>
      <c r="M87" s="10">
        <f>IF(SUMIFS(B_INPUT_RESERVOIR!$N$4:$N$1807,B_INPUT_RESERVOIR!$A$4:$A$1807,A87,B_INPUT_RESERVOIR!$C$4:$C$1807,B87)=0,1,SUMIFS(B_INPUT_RESERVOIR!$O$4:$O$1807,B_INPUT_RESERVOIR!$A$4:$A$1807,A87,B_INPUT_RESERVOIR!$C$4:$C$1807,B87)/SUMIFS(B_INPUT_RESERVOIR!$N$4:$N$1807,B_INPUT_RESERVOIR!$A$4:$A$1807,A87,B_INPUT_RESERVOIR!$C$4:$C$1807,B87))</f>
        <v>1</v>
      </c>
      <c r="N87" s="8">
        <f t="shared" si="9"/>
        <v>0</v>
      </c>
      <c r="O87" s="12">
        <f>_xlfn.SINGLE(IF(C87=0,"",_xlfn.MINIFS(B_INPUT_RESERVOIR!$H$4:$H$1807,B_INPUT_RESERVOIR!$A$4:$A$1807,A87,B_INPUT_RESERVOIR!$C$4:$C$1807,B87)))</f>
        <v>0</v>
      </c>
      <c r="P87" s="12">
        <f>IF(C87=0,"",SUMIFS(B_INPUT_RESERVOIR!$H$4:$H$1807,B_INPUT_RESERVOIR!$A$4:$A$1807,A87,B_INPUT_RESERVOIR!$C$4:$C$1807,B87,B_INPUT_RESERVOIR!$D$4:$D$1807,12))</f>
        <v>0</v>
      </c>
      <c r="Q87" s="13" t="str">
        <f t="shared" si="10"/>
        <v>No failure</v>
      </c>
    </row>
    <row r="88" spans="1:17" x14ac:dyDescent="0.25">
      <c r="A88" s="4" t="s">
        <v>30</v>
      </c>
      <c r="B88" s="4">
        <f t="shared" si="5"/>
        <v>2040</v>
      </c>
      <c r="C88" s="8">
        <f>COUNTIFS(B_INPUT_RESERVOIR!$A$4:$A$1807,A88,B_INPUT_RESERVOIR!$C$4:$C$1807,B88)</f>
        <v>12</v>
      </c>
      <c r="D88" s="12">
        <f>IF(C88=0,0,SUMIFS(B_INPUT_RESERVOIR!$E$4:$E$1807,B_INPUT_RESERVOIR!$A$4:$A$1807,A88,B_INPUT_RESERVOIR!$C$4:$C$1807,B88))</f>
        <v>0</v>
      </c>
      <c r="E88" s="12">
        <f>IF(C88=0,0,SUMIFS(B_INPUT_RESERVOIR!$J$4:$J$1807,B_INPUT_RESERVOIR!$A$4:$A$1807,A88,B_INPUT_RESERVOIR!$C$4:$C$1807,B88))</f>
        <v>0</v>
      </c>
      <c r="F88" s="12">
        <f>IF(C88=0,"",SUMIFS(B_INPUT_RESERVOIR!$G$4:$G$1807,B_INPUT_RESERVOIR!$A$4:$A$1807,A88,B_INPUT_RESERVOIR!$C$4:$C$1807,B88))</f>
        <v>0</v>
      </c>
      <c r="G88" s="12">
        <f>IF(C88=0,"",SUMIFS(B_INPUT_RESERVOIR!$F$4:$F$1807,B_INPUT_RESERVOIR!$A$4:$A$1807,A88,B_INPUT_RESERVOIR!$C$4:$C$1807,B88))</f>
        <v>0</v>
      </c>
      <c r="H88" s="8">
        <f>IF(C88=0,"",SUMIFS(B_INPUT_RESERVOIR!$K$4:$K$1807,B_INPUT_RESERVOIR!$A$4:$A$1807,A88,B_INPUT_RESERVOIR!$C$4:$C$1807,B88))</f>
        <v>0</v>
      </c>
      <c r="I88" s="10">
        <f t="shared" si="11"/>
        <v>1</v>
      </c>
      <c r="J88" s="10" t="str">
        <f t="shared" si="8"/>
        <v/>
      </c>
      <c r="K88" s="10">
        <f>IF(H88=0,0,SUMIFS(B_INPUT_RESERVOIR!$L$4:$L$1807,B_INPUT_RESERVOIR!$A$4:$A$1807,A88,B_INPUT_RESERVOIR!$C$4:$C$1807,B88)/H88)</f>
        <v>0</v>
      </c>
      <c r="L88" s="10">
        <f t="shared" si="12"/>
        <v>1</v>
      </c>
      <c r="M88" s="10">
        <f>IF(SUMIFS(B_INPUT_RESERVOIR!$N$4:$N$1807,B_INPUT_RESERVOIR!$A$4:$A$1807,A88,B_INPUT_RESERVOIR!$C$4:$C$1807,B88)=0,1,SUMIFS(B_INPUT_RESERVOIR!$O$4:$O$1807,B_INPUT_RESERVOIR!$A$4:$A$1807,A88,B_INPUT_RESERVOIR!$C$4:$C$1807,B88)/SUMIFS(B_INPUT_RESERVOIR!$N$4:$N$1807,B_INPUT_RESERVOIR!$A$4:$A$1807,A88,B_INPUT_RESERVOIR!$C$4:$C$1807,B88))</f>
        <v>1</v>
      </c>
      <c r="N88" s="8">
        <f t="shared" si="9"/>
        <v>0</v>
      </c>
      <c r="O88" s="12">
        <f>_xlfn.SINGLE(IF(C88=0,"",_xlfn.MINIFS(B_INPUT_RESERVOIR!$H$4:$H$1807,B_INPUT_RESERVOIR!$A$4:$A$1807,A88,B_INPUT_RESERVOIR!$C$4:$C$1807,B88)))</f>
        <v>0</v>
      </c>
      <c r="P88" s="12">
        <f>IF(C88=0,"",SUMIFS(B_INPUT_RESERVOIR!$H$4:$H$1807,B_INPUT_RESERVOIR!$A$4:$A$1807,A88,B_INPUT_RESERVOIR!$C$4:$C$1807,B88,B_INPUT_RESERVOIR!$D$4:$D$1807,12))</f>
        <v>0</v>
      </c>
      <c r="Q88" s="13" t="str">
        <f t="shared" si="10"/>
        <v>No failure</v>
      </c>
    </row>
    <row r="89" spans="1:17" x14ac:dyDescent="0.25">
      <c r="A89" s="4" t="s">
        <v>30</v>
      </c>
      <c r="B89" s="4">
        <f t="shared" si="5"/>
        <v>2041</v>
      </c>
      <c r="C89" s="8">
        <f>COUNTIFS(B_INPUT_RESERVOIR!$A$4:$A$1807,A89,B_INPUT_RESERVOIR!$C$4:$C$1807,B89)</f>
        <v>12</v>
      </c>
      <c r="D89" s="12">
        <f>IF(C89=0,0,SUMIFS(B_INPUT_RESERVOIR!$E$4:$E$1807,B_INPUT_RESERVOIR!$A$4:$A$1807,A89,B_INPUT_RESERVOIR!$C$4:$C$1807,B89))</f>
        <v>0</v>
      </c>
      <c r="E89" s="12">
        <f>IF(C89=0,0,SUMIFS(B_INPUT_RESERVOIR!$J$4:$J$1807,B_INPUT_RESERVOIR!$A$4:$A$1807,A89,B_INPUT_RESERVOIR!$C$4:$C$1807,B89))</f>
        <v>0</v>
      </c>
      <c r="F89" s="12">
        <f>IF(C89=0,"",SUMIFS(B_INPUT_RESERVOIR!$G$4:$G$1807,B_INPUT_RESERVOIR!$A$4:$A$1807,A89,B_INPUT_RESERVOIR!$C$4:$C$1807,B89))</f>
        <v>0</v>
      </c>
      <c r="G89" s="12">
        <f>IF(C89=0,"",SUMIFS(B_INPUT_RESERVOIR!$F$4:$F$1807,B_INPUT_RESERVOIR!$A$4:$A$1807,A89,B_INPUT_RESERVOIR!$C$4:$C$1807,B89))</f>
        <v>0</v>
      </c>
      <c r="H89" s="8">
        <f>IF(C89=0,"",SUMIFS(B_INPUT_RESERVOIR!$K$4:$K$1807,B_INPUT_RESERVOIR!$A$4:$A$1807,A89,B_INPUT_RESERVOIR!$C$4:$C$1807,B89))</f>
        <v>0</v>
      </c>
      <c r="I89" s="10">
        <f t="shared" si="11"/>
        <v>1</v>
      </c>
      <c r="J89" s="10" t="str">
        <f t="shared" si="8"/>
        <v/>
      </c>
      <c r="K89" s="10">
        <f>IF(H89=0,0,SUMIFS(B_INPUT_RESERVOIR!$L$4:$L$1807,B_INPUT_RESERVOIR!$A$4:$A$1807,A89,B_INPUT_RESERVOIR!$C$4:$C$1807,B89)/H89)</f>
        <v>0</v>
      </c>
      <c r="L89" s="10">
        <f t="shared" si="12"/>
        <v>1</v>
      </c>
      <c r="M89" s="10">
        <f>IF(SUMIFS(B_INPUT_RESERVOIR!$N$4:$N$1807,B_INPUT_RESERVOIR!$A$4:$A$1807,A89,B_INPUT_RESERVOIR!$C$4:$C$1807,B89)=0,1,SUMIFS(B_INPUT_RESERVOIR!$O$4:$O$1807,B_INPUT_RESERVOIR!$A$4:$A$1807,A89,B_INPUT_RESERVOIR!$C$4:$C$1807,B89)/SUMIFS(B_INPUT_RESERVOIR!$N$4:$N$1807,B_INPUT_RESERVOIR!$A$4:$A$1807,A89,B_INPUT_RESERVOIR!$C$4:$C$1807,B89))</f>
        <v>1</v>
      </c>
      <c r="N89" s="8">
        <f t="shared" si="9"/>
        <v>0</v>
      </c>
      <c r="O89" s="12">
        <f>_xlfn.SINGLE(IF(C89=0,"",_xlfn.MINIFS(B_INPUT_RESERVOIR!$H$4:$H$1807,B_INPUT_RESERVOIR!$A$4:$A$1807,A89,B_INPUT_RESERVOIR!$C$4:$C$1807,B89)))</f>
        <v>0</v>
      </c>
      <c r="P89" s="12">
        <f>IF(C89=0,"",SUMIFS(B_INPUT_RESERVOIR!$H$4:$H$1807,B_INPUT_RESERVOIR!$A$4:$A$1807,A89,B_INPUT_RESERVOIR!$C$4:$C$1807,B89,B_INPUT_RESERVOIR!$D$4:$D$1807,12))</f>
        <v>0</v>
      </c>
      <c r="Q89" s="13" t="str">
        <f t="shared" si="10"/>
        <v>No failure</v>
      </c>
    </row>
    <row r="90" spans="1:17" x14ac:dyDescent="0.25">
      <c r="A90" s="4" t="s">
        <v>30</v>
      </c>
      <c r="B90" s="4">
        <f t="shared" si="5"/>
        <v>2042</v>
      </c>
      <c r="C90" s="8">
        <f>COUNTIFS(B_INPUT_RESERVOIR!$A$4:$A$1807,A90,B_INPUT_RESERVOIR!$C$4:$C$1807,B90)</f>
        <v>12</v>
      </c>
      <c r="D90" s="12">
        <f>IF(C90=0,0,SUMIFS(B_INPUT_RESERVOIR!$E$4:$E$1807,B_INPUT_RESERVOIR!$A$4:$A$1807,A90,B_INPUT_RESERVOIR!$C$4:$C$1807,B90))</f>
        <v>0</v>
      </c>
      <c r="E90" s="12">
        <f>IF(C90=0,0,SUMIFS(B_INPUT_RESERVOIR!$J$4:$J$1807,B_INPUT_RESERVOIR!$A$4:$A$1807,A90,B_INPUT_RESERVOIR!$C$4:$C$1807,B90))</f>
        <v>0</v>
      </c>
      <c r="F90" s="12">
        <f>IF(C90=0,"",SUMIFS(B_INPUT_RESERVOIR!$G$4:$G$1807,B_INPUT_RESERVOIR!$A$4:$A$1807,A90,B_INPUT_RESERVOIR!$C$4:$C$1807,B90))</f>
        <v>0</v>
      </c>
      <c r="G90" s="12">
        <f>IF(C90=0,"",SUMIFS(B_INPUT_RESERVOIR!$F$4:$F$1807,B_INPUT_RESERVOIR!$A$4:$A$1807,A90,B_INPUT_RESERVOIR!$C$4:$C$1807,B90))</f>
        <v>0</v>
      </c>
      <c r="H90" s="8">
        <f>IF(C90=0,"",SUMIFS(B_INPUT_RESERVOIR!$K$4:$K$1807,B_INPUT_RESERVOIR!$A$4:$A$1807,A90,B_INPUT_RESERVOIR!$C$4:$C$1807,B90))</f>
        <v>0</v>
      </c>
      <c r="I90" s="10">
        <f t="shared" si="11"/>
        <v>1</v>
      </c>
      <c r="J90" s="10" t="str">
        <f t="shared" si="8"/>
        <v/>
      </c>
      <c r="K90" s="10">
        <f>IF(H90=0,0,SUMIFS(B_INPUT_RESERVOIR!$L$4:$L$1807,B_INPUT_RESERVOIR!$A$4:$A$1807,A90,B_INPUT_RESERVOIR!$C$4:$C$1807,B90)/H90)</f>
        <v>0</v>
      </c>
      <c r="L90" s="10">
        <f t="shared" si="12"/>
        <v>1</v>
      </c>
      <c r="M90" s="10">
        <f>IF(SUMIFS(B_INPUT_RESERVOIR!$N$4:$N$1807,B_INPUT_RESERVOIR!$A$4:$A$1807,A90,B_INPUT_RESERVOIR!$C$4:$C$1807,B90)=0,1,SUMIFS(B_INPUT_RESERVOIR!$O$4:$O$1807,B_INPUT_RESERVOIR!$A$4:$A$1807,A90,B_INPUT_RESERVOIR!$C$4:$C$1807,B90)/SUMIFS(B_INPUT_RESERVOIR!$N$4:$N$1807,B_INPUT_RESERVOIR!$A$4:$A$1807,A90,B_INPUT_RESERVOIR!$C$4:$C$1807,B90))</f>
        <v>1</v>
      </c>
      <c r="N90" s="8">
        <f t="shared" si="9"/>
        <v>0</v>
      </c>
      <c r="O90" s="12">
        <f>_xlfn.SINGLE(IF(C90=0,"",_xlfn.MINIFS(B_INPUT_RESERVOIR!$H$4:$H$1807,B_INPUT_RESERVOIR!$A$4:$A$1807,A90,B_INPUT_RESERVOIR!$C$4:$C$1807,B90)))</f>
        <v>0</v>
      </c>
      <c r="P90" s="12">
        <f>IF(C90=0,"",SUMIFS(B_INPUT_RESERVOIR!$H$4:$H$1807,B_INPUT_RESERVOIR!$A$4:$A$1807,A90,B_INPUT_RESERVOIR!$C$4:$C$1807,B90,B_INPUT_RESERVOIR!$D$4:$D$1807,12))</f>
        <v>0</v>
      </c>
      <c r="Q90" s="13" t="str">
        <f t="shared" si="10"/>
        <v>No failure</v>
      </c>
    </row>
    <row r="91" spans="1:17" x14ac:dyDescent="0.25">
      <c r="A91" s="4" t="s">
        <v>30</v>
      </c>
      <c r="B91" s="4">
        <f t="shared" si="5"/>
        <v>2043</v>
      </c>
      <c r="C91" s="8">
        <f>COUNTIFS(B_INPUT_RESERVOIR!$A$4:$A$1807,A91,B_INPUT_RESERVOIR!$C$4:$C$1807,B91)</f>
        <v>12</v>
      </c>
      <c r="D91" s="12">
        <f>IF(C91=0,0,SUMIFS(B_INPUT_RESERVOIR!$E$4:$E$1807,B_INPUT_RESERVOIR!$A$4:$A$1807,A91,B_INPUT_RESERVOIR!$C$4:$C$1807,B91))</f>
        <v>0</v>
      </c>
      <c r="E91" s="12">
        <f>IF(C91=0,0,SUMIFS(B_INPUT_RESERVOIR!$J$4:$J$1807,B_INPUT_RESERVOIR!$A$4:$A$1807,A91,B_INPUT_RESERVOIR!$C$4:$C$1807,B91))</f>
        <v>0</v>
      </c>
      <c r="F91" s="12">
        <f>IF(C91=0,"",SUMIFS(B_INPUT_RESERVOIR!$G$4:$G$1807,B_INPUT_RESERVOIR!$A$4:$A$1807,A91,B_INPUT_RESERVOIR!$C$4:$C$1807,B91))</f>
        <v>0</v>
      </c>
      <c r="G91" s="12">
        <f>IF(C91=0,"",SUMIFS(B_INPUT_RESERVOIR!$F$4:$F$1807,B_INPUT_RESERVOIR!$A$4:$A$1807,A91,B_INPUT_RESERVOIR!$C$4:$C$1807,B91))</f>
        <v>0</v>
      </c>
      <c r="H91" s="8">
        <f>IF(C91=0,"",SUMIFS(B_INPUT_RESERVOIR!$K$4:$K$1807,B_INPUT_RESERVOIR!$A$4:$A$1807,A91,B_INPUT_RESERVOIR!$C$4:$C$1807,B91))</f>
        <v>0</v>
      </c>
      <c r="I91" s="10">
        <f t="shared" si="11"/>
        <v>1</v>
      </c>
      <c r="J91" s="10" t="str">
        <f t="shared" si="8"/>
        <v/>
      </c>
      <c r="K91" s="10">
        <f>IF(H91=0,0,SUMIFS(B_INPUT_RESERVOIR!$L$4:$L$1807,B_INPUT_RESERVOIR!$A$4:$A$1807,A91,B_INPUT_RESERVOIR!$C$4:$C$1807,B91)/H91)</f>
        <v>0</v>
      </c>
      <c r="L91" s="10">
        <f t="shared" si="12"/>
        <v>1</v>
      </c>
      <c r="M91" s="10">
        <f>IF(SUMIFS(B_INPUT_RESERVOIR!$N$4:$N$1807,B_INPUT_RESERVOIR!$A$4:$A$1807,A91,B_INPUT_RESERVOIR!$C$4:$C$1807,B91)=0,1,SUMIFS(B_INPUT_RESERVOIR!$O$4:$O$1807,B_INPUT_RESERVOIR!$A$4:$A$1807,A91,B_INPUT_RESERVOIR!$C$4:$C$1807,B91)/SUMIFS(B_INPUT_RESERVOIR!$N$4:$N$1807,B_INPUT_RESERVOIR!$A$4:$A$1807,A91,B_INPUT_RESERVOIR!$C$4:$C$1807,B91))</f>
        <v>1</v>
      </c>
      <c r="N91" s="8">
        <f t="shared" si="9"/>
        <v>0</v>
      </c>
      <c r="O91" s="12">
        <f>_xlfn.SINGLE(IF(C91=0,"",_xlfn.MINIFS(B_INPUT_RESERVOIR!$H$4:$H$1807,B_INPUT_RESERVOIR!$A$4:$A$1807,A91,B_INPUT_RESERVOIR!$C$4:$C$1807,B91)))</f>
        <v>0</v>
      </c>
      <c r="P91" s="12">
        <f>IF(C91=0,"",SUMIFS(B_INPUT_RESERVOIR!$H$4:$H$1807,B_INPUT_RESERVOIR!$A$4:$A$1807,A91,B_INPUT_RESERVOIR!$C$4:$C$1807,B91,B_INPUT_RESERVOIR!$D$4:$D$1807,12))</f>
        <v>0</v>
      </c>
      <c r="Q91" s="13" t="str">
        <f t="shared" si="10"/>
        <v>No failure</v>
      </c>
    </row>
    <row r="92" spans="1:17" x14ac:dyDescent="0.25">
      <c r="A92" s="4" t="s">
        <v>30</v>
      </c>
      <c r="B92" s="4">
        <f t="shared" si="5"/>
        <v>2044</v>
      </c>
      <c r="C92" s="8">
        <f>COUNTIFS(B_INPUT_RESERVOIR!$A$4:$A$1807,A92,B_INPUT_RESERVOIR!$C$4:$C$1807,B92)</f>
        <v>12</v>
      </c>
      <c r="D92" s="12">
        <f>IF(C92=0,0,SUMIFS(B_INPUT_RESERVOIR!$E$4:$E$1807,B_INPUT_RESERVOIR!$A$4:$A$1807,A92,B_INPUT_RESERVOIR!$C$4:$C$1807,B92))</f>
        <v>0</v>
      </c>
      <c r="E92" s="12">
        <f>IF(C92=0,0,SUMIFS(B_INPUT_RESERVOIR!$J$4:$J$1807,B_INPUT_RESERVOIR!$A$4:$A$1807,A92,B_INPUT_RESERVOIR!$C$4:$C$1807,B92))</f>
        <v>0</v>
      </c>
      <c r="F92" s="12">
        <f>IF(C92=0,"",SUMIFS(B_INPUT_RESERVOIR!$G$4:$G$1807,B_INPUT_RESERVOIR!$A$4:$A$1807,A92,B_INPUT_RESERVOIR!$C$4:$C$1807,B92))</f>
        <v>0</v>
      </c>
      <c r="G92" s="12">
        <f>IF(C92=0,"",SUMIFS(B_INPUT_RESERVOIR!$F$4:$F$1807,B_INPUT_RESERVOIR!$A$4:$A$1807,A92,B_INPUT_RESERVOIR!$C$4:$C$1807,B92))</f>
        <v>0</v>
      </c>
      <c r="H92" s="8">
        <f>IF(C92=0,"",SUMIFS(B_INPUT_RESERVOIR!$K$4:$K$1807,B_INPUT_RESERVOIR!$A$4:$A$1807,A92,B_INPUT_RESERVOIR!$C$4:$C$1807,B92))</f>
        <v>0</v>
      </c>
      <c r="I92" s="10">
        <f t="shared" si="11"/>
        <v>1</v>
      </c>
      <c r="J92" s="10" t="str">
        <f t="shared" si="8"/>
        <v/>
      </c>
      <c r="K92" s="10">
        <f>IF(H92=0,0,SUMIFS(B_INPUT_RESERVOIR!$L$4:$L$1807,B_INPUT_RESERVOIR!$A$4:$A$1807,A92,B_INPUT_RESERVOIR!$C$4:$C$1807,B92)/H92)</f>
        <v>0</v>
      </c>
      <c r="L92" s="10">
        <f t="shared" si="12"/>
        <v>1</v>
      </c>
      <c r="M92" s="10">
        <f>IF(SUMIFS(B_INPUT_RESERVOIR!$N$4:$N$1807,B_INPUT_RESERVOIR!$A$4:$A$1807,A92,B_INPUT_RESERVOIR!$C$4:$C$1807,B92)=0,1,SUMIFS(B_INPUT_RESERVOIR!$O$4:$O$1807,B_INPUT_RESERVOIR!$A$4:$A$1807,A92,B_INPUT_RESERVOIR!$C$4:$C$1807,B92)/SUMIFS(B_INPUT_RESERVOIR!$N$4:$N$1807,B_INPUT_RESERVOIR!$A$4:$A$1807,A92,B_INPUT_RESERVOIR!$C$4:$C$1807,B92))</f>
        <v>1</v>
      </c>
      <c r="N92" s="8">
        <f t="shared" si="9"/>
        <v>0</v>
      </c>
      <c r="O92" s="12">
        <f>_xlfn.SINGLE(IF(C92=0,"",_xlfn.MINIFS(B_INPUT_RESERVOIR!$H$4:$H$1807,B_INPUT_RESERVOIR!$A$4:$A$1807,A92,B_INPUT_RESERVOIR!$C$4:$C$1807,B92)))</f>
        <v>0</v>
      </c>
      <c r="P92" s="12">
        <f>IF(C92=0,"",SUMIFS(B_INPUT_RESERVOIR!$H$4:$H$1807,B_INPUT_RESERVOIR!$A$4:$A$1807,A92,B_INPUT_RESERVOIR!$C$4:$C$1807,B92,B_INPUT_RESERVOIR!$D$4:$D$1807,12))</f>
        <v>0</v>
      </c>
      <c r="Q92" s="13" t="str">
        <f t="shared" si="10"/>
        <v>No failure</v>
      </c>
    </row>
    <row r="93" spans="1:17" x14ac:dyDescent="0.25">
      <c r="A93" s="4" t="s">
        <v>30</v>
      </c>
      <c r="B93" s="4">
        <f t="shared" si="5"/>
        <v>2045</v>
      </c>
      <c r="C93" s="8">
        <f>COUNTIFS(B_INPUT_RESERVOIR!$A$4:$A$1807,A93,B_INPUT_RESERVOIR!$C$4:$C$1807,B93)</f>
        <v>9</v>
      </c>
      <c r="D93" s="12">
        <f>IF(C93=0,0,SUMIFS(B_INPUT_RESERVOIR!$E$4:$E$1807,B_INPUT_RESERVOIR!$A$4:$A$1807,A93,B_INPUT_RESERVOIR!$C$4:$C$1807,B93))</f>
        <v>0</v>
      </c>
      <c r="E93" s="12">
        <f>IF(C93=0,0,SUMIFS(B_INPUT_RESERVOIR!$J$4:$J$1807,B_INPUT_RESERVOIR!$A$4:$A$1807,A93,B_INPUT_RESERVOIR!$C$4:$C$1807,B93))</f>
        <v>0</v>
      </c>
      <c r="F93" s="12">
        <f>IF(C93=0,"",SUMIFS(B_INPUT_RESERVOIR!$G$4:$G$1807,B_INPUT_RESERVOIR!$A$4:$A$1807,A93,B_INPUT_RESERVOIR!$C$4:$C$1807,B93))</f>
        <v>0</v>
      </c>
      <c r="G93" s="12">
        <f>IF(C93=0,"",SUMIFS(B_INPUT_RESERVOIR!$F$4:$F$1807,B_INPUT_RESERVOIR!$A$4:$A$1807,A93,B_INPUT_RESERVOIR!$C$4:$C$1807,B93))</f>
        <v>0</v>
      </c>
      <c r="H93" s="8">
        <f>IF(C93=0,"",SUMIFS(B_INPUT_RESERVOIR!$K$4:$K$1807,B_INPUT_RESERVOIR!$A$4:$A$1807,A93,B_INPUT_RESERVOIR!$C$4:$C$1807,B93))</f>
        <v>0</v>
      </c>
      <c r="I93" s="10">
        <f t="shared" si="11"/>
        <v>1</v>
      </c>
      <c r="J93" s="10" t="str">
        <f t="shared" si="8"/>
        <v/>
      </c>
      <c r="K93" s="10">
        <f>IF(H93=0,0,SUMIFS(B_INPUT_RESERVOIR!$L$4:$L$1807,B_INPUT_RESERVOIR!$A$4:$A$1807,A93,B_INPUT_RESERVOIR!$C$4:$C$1807,B93)/H93)</f>
        <v>0</v>
      </c>
      <c r="L93" s="10">
        <f t="shared" si="12"/>
        <v>1</v>
      </c>
      <c r="M93" s="10">
        <f>IF(SUMIFS(B_INPUT_RESERVOIR!$N$4:$N$1807,B_INPUT_RESERVOIR!$A$4:$A$1807,A93,B_INPUT_RESERVOIR!$C$4:$C$1807,B93)=0,1,SUMIFS(B_INPUT_RESERVOIR!$O$4:$O$1807,B_INPUT_RESERVOIR!$A$4:$A$1807,A93,B_INPUT_RESERVOIR!$C$4:$C$1807,B93)/SUMIFS(B_INPUT_RESERVOIR!$N$4:$N$1807,B_INPUT_RESERVOIR!$A$4:$A$1807,A93,B_INPUT_RESERVOIR!$C$4:$C$1807,B93))</f>
        <v>1</v>
      </c>
      <c r="N93" s="8">
        <f t="shared" si="9"/>
        <v>0</v>
      </c>
      <c r="O93" s="12">
        <f>_xlfn.SINGLE(IF(C93=0,"",_xlfn.MINIFS(B_INPUT_RESERVOIR!$H$4:$H$1807,B_INPUT_RESERVOIR!$A$4:$A$1807,A93,B_INPUT_RESERVOIR!$C$4:$C$1807,B93)))</f>
        <v>0</v>
      </c>
      <c r="P93" s="12">
        <f>IF(C93=0,"",SUMIFS(B_INPUT_RESERVOIR!$H$4:$H$1807,B_INPUT_RESERVOIR!$A$4:$A$1807,A93,B_INPUT_RESERVOIR!$C$4:$C$1807,B93,B_INPUT_RESERVOIR!$D$4:$D$1807,12))</f>
        <v>0</v>
      </c>
      <c r="Q93" s="13" t="str">
        <f t="shared" si="10"/>
        <v>No failure</v>
      </c>
    </row>
    <row r="94" spans="1:17" x14ac:dyDescent="0.25">
      <c r="A94" s="4" t="s">
        <v>98</v>
      </c>
      <c r="B94" s="4">
        <f t="shared" si="5"/>
        <v>2016</v>
      </c>
      <c r="C94" s="8">
        <f>COUNTIFS(B_INPUT_RESERVOIR!$A$4:$A$1807,A94,B_INPUT_RESERVOIR!$C$4:$C$1807,B94)</f>
        <v>12</v>
      </c>
      <c r="D94" s="12">
        <f>IF(C94=0,0,SUMIFS(B_INPUT_RESERVOIR!$E$4:$E$1807,B_INPUT_RESERVOIR!$A$4:$A$1807,A94,B_INPUT_RESERVOIR!$C$4:$C$1807,B94))</f>
        <v>5292553.9991066791</v>
      </c>
      <c r="E94" s="12">
        <f>IF(C94=0,0,SUMIFS(B_INPUT_RESERVOIR!$J$4:$J$1807,B_INPUT_RESERVOIR!$A$4:$A$1807,A94,B_INPUT_RESERVOIR!$C$4:$C$1807,B94))</f>
        <v>5292553.9991066791</v>
      </c>
      <c r="F94" s="12">
        <f>IF(C94=0,"",SUMIFS(B_INPUT_RESERVOIR!$G$4:$G$1807,B_INPUT_RESERVOIR!$A$4:$A$1807,A94,B_INPUT_RESERVOIR!$C$4:$C$1807,B94))</f>
        <v>0</v>
      </c>
      <c r="G94" s="12">
        <f>IF(C94=0,"",SUMIFS(B_INPUT_RESERVOIR!$F$4:$F$1807,B_INPUT_RESERVOIR!$A$4:$A$1807,A94,B_INPUT_RESERVOIR!$C$4:$C$1807,B94))</f>
        <v>0</v>
      </c>
      <c r="H94" s="8">
        <f>IF(C94=0,"",SUMIFS(B_INPUT_RESERVOIR!$K$4:$K$1807,B_INPUT_RESERVOIR!$A$4:$A$1807,A94,B_INPUT_RESERVOIR!$C$4:$C$1807,B94))</f>
        <v>0</v>
      </c>
      <c r="I94" s="10">
        <f t="shared" si="11"/>
        <v>1</v>
      </c>
      <c r="J94" s="10">
        <f t="shared" si="8"/>
        <v>1</v>
      </c>
      <c r="K94" s="10">
        <f>IF(H94=0,0,SUMIFS(B_INPUT_RESERVOIR!$L$4:$L$1807,B_INPUT_RESERVOIR!$A$4:$A$1807,A94,B_INPUT_RESERVOIR!$C$4:$C$1807,B94)/H94)</f>
        <v>0</v>
      </c>
      <c r="L94" s="10">
        <f t="shared" si="12"/>
        <v>1</v>
      </c>
      <c r="M94" s="10">
        <f>IF(SUMIFS(B_INPUT_RESERVOIR!$N$4:$N$1807,B_INPUT_RESERVOIR!$A$4:$A$1807,A94,B_INPUT_RESERVOIR!$C$4:$C$1807,B94)=0,1,SUMIFS(B_INPUT_RESERVOIR!$O$4:$O$1807,B_INPUT_RESERVOIR!$A$4:$A$1807,A94,B_INPUT_RESERVOIR!$C$4:$C$1807,B94)/SUMIFS(B_INPUT_RESERVOIR!$N$4:$N$1807,B_INPUT_RESERVOIR!$A$4:$A$1807,A94,B_INPUT_RESERVOIR!$C$4:$C$1807,B94))</f>
        <v>1</v>
      </c>
      <c r="N94" s="8">
        <f t="shared" si="9"/>
        <v>0</v>
      </c>
      <c r="O94" s="12">
        <f>_xlfn.SINGLE(IF(C94=0,"",_xlfn.MINIFS(B_INPUT_RESERVOIR!$H$4:$H$1807,B_INPUT_RESERVOIR!$A$4:$A$1807,A94,B_INPUT_RESERVOIR!$C$4:$C$1807,B94)))</f>
        <v>33310250.220730525</v>
      </c>
      <c r="P94" s="12">
        <f>IF(C94=0,"",SUMIFS(B_INPUT_RESERVOIR!$H$4:$H$1807,B_INPUT_RESERVOIR!$A$4:$A$1807,A94,B_INPUT_RESERVOIR!$C$4:$C$1807,B94,B_INPUT_RESERVOIR!$D$4:$D$1807,12))</f>
        <v>33689331.37319494</v>
      </c>
      <c r="Q94" s="13" t="str">
        <f t="shared" si="10"/>
        <v>No failure</v>
      </c>
    </row>
    <row r="95" spans="1:17" x14ac:dyDescent="0.25">
      <c r="A95" s="4" t="s">
        <v>98</v>
      </c>
      <c r="B95" s="4">
        <f t="shared" si="5"/>
        <v>2017</v>
      </c>
      <c r="C95" s="8">
        <f>COUNTIFS(B_INPUT_RESERVOIR!$A$4:$A$1807,A95,B_INPUT_RESERVOIR!$C$4:$C$1807,B95)</f>
        <v>12</v>
      </c>
      <c r="D95" s="12">
        <f>IF(C95=0,0,SUMIFS(B_INPUT_RESERVOIR!$E$4:$E$1807,B_INPUT_RESERVOIR!$A$4:$A$1807,A95,B_INPUT_RESERVOIR!$C$4:$C$1807,B95))</f>
        <v>5579946.965691369</v>
      </c>
      <c r="E95" s="12">
        <f>IF(C95=0,0,SUMIFS(B_INPUT_RESERVOIR!$J$4:$J$1807,B_INPUT_RESERVOIR!$A$4:$A$1807,A95,B_INPUT_RESERVOIR!$C$4:$C$1807,B95))</f>
        <v>5579946.965691369</v>
      </c>
      <c r="F95" s="12">
        <f>IF(C95=0,"",SUMIFS(B_INPUT_RESERVOIR!$G$4:$G$1807,B_INPUT_RESERVOIR!$A$4:$A$1807,A95,B_INPUT_RESERVOIR!$C$4:$C$1807,B95))</f>
        <v>0</v>
      </c>
      <c r="G95" s="12">
        <f>IF(C95=0,"",SUMIFS(B_INPUT_RESERVOIR!$F$4:$F$1807,B_INPUT_RESERVOIR!$A$4:$A$1807,A95,B_INPUT_RESERVOIR!$C$4:$C$1807,B95))</f>
        <v>0</v>
      </c>
      <c r="H95" s="8">
        <f>IF(C95=0,"",SUMIFS(B_INPUT_RESERVOIR!$K$4:$K$1807,B_INPUT_RESERVOIR!$A$4:$A$1807,A95,B_INPUT_RESERVOIR!$C$4:$C$1807,B95))</f>
        <v>0</v>
      </c>
      <c r="I95" s="10">
        <f t="shared" si="11"/>
        <v>1</v>
      </c>
      <c r="J95" s="10">
        <f t="shared" si="8"/>
        <v>1</v>
      </c>
      <c r="K95" s="10">
        <f>IF(H95=0,0,SUMIFS(B_INPUT_RESERVOIR!$L$4:$L$1807,B_INPUT_RESERVOIR!$A$4:$A$1807,A95,B_INPUT_RESERVOIR!$C$4:$C$1807,B95)/H95)</f>
        <v>0</v>
      </c>
      <c r="L95" s="10">
        <f t="shared" si="12"/>
        <v>1</v>
      </c>
      <c r="M95" s="10">
        <f>IF(SUMIFS(B_INPUT_RESERVOIR!$N$4:$N$1807,B_INPUT_RESERVOIR!$A$4:$A$1807,A95,B_INPUT_RESERVOIR!$C$4:$C$1807,B95)=0,1,SUMIFS(B_INPUT_RESERVOIR!$O$4:$O$1807,B_INPUT_RESERVOIR!$A$4:$A$1807,A95,B_INPUT_RESERVOIR!$C$4:$C$1807,B95)/SUMIFS(B_INPUT_RESERVOIR!$N$4:$N$1807,B_INPUT_RESERVOIR!$A$4:$A$1807,A95,B_INPUT_RESERVOIR!$C$4:$C$1807,B95))</f>
        <v>1</v>
      </c>
      <c r="N95" s="8">
        <f t="shared" si="9"/>
        <v>0</v>
      </c>
      <c r="O95" s="12">
        <f>_xlfn.SINGLE(IF(C95=0,"",_xlfn.MINIFS(B_INPUT_RESERVOIR!$H$4:$H$1807,B_INPUT_RESERVOIR!$A$4:$A$1807,A95,B_INPUT_RESERVOIR!$C$4:$C$1807,B95)))</f>
        <v>25523774.536588367</v>
      </c>
      <c r="P95" s="12">
        <f>IF(C95=0,"",SUMIFS(B_INPUT_RESERVOIR!$H$4:$H$1807,B_INPUT_RESERVOIR!$A$4:$A$1807,A95,B_INPUT_RESERVOIR!$C$4:$C$1807,B95,B_INPUT_RESERVOIR!$D$4:$D$1807,12))</f>
        <v>25675004.791807793</v>
      </c>
      <c r="Q95" s="13" t="str">
        <f t="shared" si="10"/>
        <v>No failure</v>
      </c>
    </row>
    <row r="96" spans="1:17" x14ac:dyDescent="0.25">
      <c r="A96" s="4" t="s">
        <v>98</v>
      </c>
      <c r="B96" s="4">
        <f t="shared" si="5"/>
        <v>2018</v>
      </c>
      <c r="C96" s="8">
        <f>COUNTIFS(B_INPUT_RESERVOIR!$A$4:$A$1807,A96,B_INPUT_RESERVOIR!$C$4:$C$1807,B96)</f>
        <v>12</v>
      </c>
      <c r="D96" s="12">
        <f>IF(C96=0,0,SUMIFS(B_INPUT_RESERVOIR!$E$4:$E$1807,B_INPUT_RESERVOIR!$A$4:$A$1807,A96,B_INPUT_RESERVOIR!$C$4:$C$1807,B96))</f>
        <v>4848065.7433072254</v>
      </c>
      <c r="E96" s="12">
        <f>IF(C96=0,0,SUMIFS(B_INPUT_RESERVOIR!$J$4:$J$1807,B_INPUT_RESERVOIR!$A$4:$A$1807,A96,B_INPUT_RESERVOIR!$C$4:$C$1807,B96))</f>
        <v>4848065.7433072254</v>
      </c>
      <c r="F96" s="12">
        <f>IF(C96=0,"",SUMIFS(B_INPUT_RESERVOIR!$G$4:$G$1807,B_INPUT_RESERVOIR!$A$4:$A$1807,A96,B_INPUT_RESERVOIR!$C$4:$C$1807,B96))</f>
        <v>0</v>
      </c>
      <c r="G96" s="12">
        <f>IF(C96=0,"",SUMIFS(B_INPUT_RESERVOIR!$F$4:$F$1807,B_INPUT_RESERVOIR!$A$4:$A$1807,A96,B_INPUT_RESERVOIR!$C$4:$C$1807,B96))</f>
        <v>0</v>
      </c>
      <c r="H96" s="8">
        <f>IF(C96=0,"",SUMIFS(B_INPUT_RESERVOIR!$K$4:$K$1807,B_INPUT_RESERVOIR!$A$4:$A$1807,A96,B_INPUT_RESERVOIR!$C$4:$C$1807,B96))</f>
        <v>0</v>
      </c>
      <c r="I96" s="10">
        <f t="shared" si="11"/>
        <v>1</v>
      </c>
      <c r="J96" s="10">
        <f t="shared" si="8"/>
        <v>1</v>
      </c>
      <c r="K96" s="10">
        <f>IF(H96=0,0,SUMIFS(B_INPUT_RESERVOIR!$L$4:$L$1807,B_INPUT_RESERVOIR!$A$4:$A$1807,A96,B_INPUT_RESERVOIR!$C$4:$C$1807,B96)/H96)</f>
        <v>0</v>
      </c>
      <c r="L96" s="10">
        <f t="shared" si="12"/>
        <v>1</v>
      </c>
      <c r="M96" s="10">
        <f>IF(SUMIFS(B_INPUT_RESERVOIR!$N$4:$N$1807,B_INPUT_RESERVOIR!$A$4:$A$1807,A96,B_INPUT_RESERVOIR!$C$4:$C$1807,B96)=0,1,SUMIFS(B_INPUT_RESERVOIR!$O$4:$O$1807,B_INPUT_RESERVOIR!$A$4:$A$1807,A96,B_INPUT_RESERVOIR!$C$4:$C$1807,B96)/SUMIFS(B_INPUT_RESERVOIR!$N$4:$N$1807,B_INPUT_RESERVOIR!$A$4:$A$1807,A96,B_INPUT_RESERVOIR!$C$4:$C$1807,B96))</f>
        <v>1</v>
      </c>
      <c r="N96" s="8">
        <f t="shared" si="9"/>
        <v>0</v>
      </c>
      <c r="O96" s="12">
        <f>_xlfn.SINGLE(IF(C96=0,"",_xlfn.MINIFS(B_INPUT_RESERVOIR!$H$4:$H$1807,B_INPUT_RESERVOIR!$A$4:$A$1807,A96,B_INPUT_RESERVOIR!$C$4:$C$1807,B96)))</f>
        <v>25788893.443769492</v>
      </c>
      <c r="P96" s="12">
        <f>IF(C96=0,"",SUMIFS(B_INPUT_RESERVOIR!$H$4:$H$1807,B_INPUT_RESERVOIR!$A$4:$A$1807,A96,B_INPUT_RESERVOIR!$C$4:$C$1807,B96,B_INPUT_RESERVOIR!$D$4:$D$1807,12))</f>
        <v>28934368.979754042</v>
      </c>
      <c r="Q96" s="13" t="str">
        <f t="shared" si="10"/>
        <v>No failure</v>
      </c>
    </row>
    <row r="97" spans="1:17" x14ac:dyDescent="0.25">
      <c r="A97" s="4" t="s">
        <v>98</v>
      </c>
      <c r="B97" s="4">
        <f t="shared" si="5"/>
        <v>2019</v>
      </c>
      <c r="C97" s="8">
        <f>COUNTIFS(B_INPUT_RESERVOIR!$A$4:$A$1807,A97,B_INPUT_RESERVOIR!$C$4:$C$1807,B97)</f>
        <v>12</v>
      </c>
      <c r="D97" s="12">
        <f>IF(C97=0,0,SUMIFS(B_INPUT_RESERVOIR!$E$4:$E$1807,B_INPUT_RESERVOIR!$A$4:$A$1807,A97,B_INPUT_RESERVOIR!$C$4:$C$1807,B97))</f>
        <v>5564220.2568912357</v>
      </c>
      <c r="E97" s="12">
        <f>IF(C97=0,0,SUMIFS(B_INPUT_RESERVOIR!$J$4:$J$1807,B_INPUT_RESERVOIR!$A$4:$A$1807,A97,B_INPUT_RESERVOIR!$C$4:$C$1807,B97))</f>
        <v>5564220.2568912357</v>
      </c>
      <c r="F97" s="12">
        <f>IF(C97=0,"",SUMIFS(B_INPUT_RESERVOIR!$G$4:$G$1807,B_INPUT_RESERVOIR!$A$4:$A$1807,A97,B_INPUT_RESERVOIR!$C$4:$C$1807,B97))</f>
        <v>0</v>
      </c>
      <c r="G97" s="12">
        <f>IF(C97=0,"",SUMIFS(B_INPUT_RESERVOIR!$F$4:$F$1807,B_INPUT_RESERVOIR!$A$4:$A$1807,A97,B_INPUT_RESERVOIR!$C$4:$C$1807,B97))</f>
        <v>0</v>
      </c>
      <c r="H97" s="8">
        <f>IF(C97=0,"",SUMIFS(B_INPUT_RESERVOIR!$K$4:$K$1807,B_INPUT_RESERVOIR!$A$4:$A$1807,A97,B_INPUT_RESERVOIR!$C$4:$C$1807,B97))</f>
        <v>0</v>
      </c>
      <c r="I97" s="10">
        <f t="shared" si="11"/>
        <v>1</v>
      </c>
      <c r="J97" s="10">
        <f t="shared" si="8"/>
        <v>1</v>
      </c>
      <c r="K97" s="10">
        <f>IF(H97=0,0,SUMIFS(B_INPUT_RESERVOIR!$L$4:$L$1807,B_INPUT_RESERVOIR!$A$4:$A$1807,A97,B_INPUT_RESERVOIR!$C$4:$C$1807,B97)/H97)</f>
        <v>0</v>
      </c>
      <c r="L97" s="10">
        <f t="shared" si="12"/>
        <v>1</v>
      </c>
      <c r="M97" s="10">
        <f>IF(SUMIFS(B_INPUT_RESERVOIR!$N$4:$N$1807,B_INPUT_RESERVOIR!$A$4:$A$1807,A97,B_INPUT_RESERVOIR!$C$4:$C$1807,B97)=0,1,SUMIFS(B_INPUT_RESERVOIR!$O$4:$O$1807,B_INPUT_RESERVOIR!$A$4:$A$1807,A97,B_INPUT_RESERVOIR!$C$4:$C$1807,B97)/SUMIFS(B_INPUT_RESERVOIR!$N$4:$N$1807,B_INPUT_RESERVOIR!$A$4:$A$1807,A97,B_INPUT_RESERVOIR!$C$4:$C$1807,B97))</f>
        <v>1</v>
      </c>
      <c r="N97" s="8">
        <f t="shared" si="9"/>
        <v>0</v>
      </c>
      <c r="O97" s="12">
        <f>_xlfn.SINGLE(IF(C97=0,"",_xlfn.MINIFS(B_INPUT_RESERVOIR!$H$4:$H$1807,B_INPUT_RESERVOIR!$A$4:$A$1807,A97,B_INPUT_RESERVOIR!$C$4:$C$1807,B97)))</f>
        <v>20826757.31433031</v>
      </c>
      <c r="P97" s="12">
        <f>IF(C97=0,"",SUMIFS(B_INPUT_RESERVOIR!$H$4:$H$1807,B_INPUT_RESERVOIR!$A$4:$A$1807,A97,B_INPUT_RESERVOIR!$C$4:$C$1807,B97,B_INPUT_RESERVOIR!$D$4:$D$1807,12))</f>
        <v>24061126.412837405</v>
      </c>
      <c r="Q97" s="13" t="str">
        <f t="shared" si="10"/>
        <v>No failure</v>
      </c>
    </row>
    <row r="98" spans="1:17" x14ac:dyDescent="0.25">
      <c r="A98" s="4" t="s">
        <v>98</v>
      </c>
      <c r="B98" s="4">
        <f t="shared" si="5"/>
        <v>2020</v>
      </c>
      <c r="C98" s="8">
        <f>COUNTIFS(B_INPUT_RESERVOIR!$A$4:$A$1807,A98,B_INPUT_RESERVOIR!$C$4:$C$1807,B98)</f>
        <v>12</v>
      </c>
      <c r="D98" s="12">
        <f>IF(C98=0,0,SUMIFS(B_INPUT_RESERVOIR!$E$4:$E$1807,B_INPUT_RESERVOIR!$A$4:$A$1807,A98,B_INPUT_RESERVOIR!$C$4:$C$1807,B98))</f>
        <v>5143687.1656966871</v>
      </c>
      <c r="E98" s="12">
        <f>IF(C98=0,0,SUMIFS(B_INPUT_RESERVOIR!$J$4:$J$1807,B_INPUT_RESERVOIR!$A$4:$A$1807,A98,B_INPUT_RESERVOIR!$C$4:$C$1807,B98))</f>
        <v>5143687.1656966871</v>
      </c>
      <c r="F98" s="12">
        <f>IF(C98=0,"",SUMIFS(B_INPUT_RESERVOIR!$G$4:$G$1807,B_INPUT_RESERVOIR!$A$4:$A$1807,A98,B_INPUT_RESERVOIR!$C$4:$C$1807,B98))</f>
        <v>0</v>
      </c>
      <c r="G98" s="12">
        <f>IF(C98=0,"",SUMIFS(B_INPUT_RESERVOIR!$F$4:$F$1807,B_INPUT_RESERVOIR!$A$4:$A$1807,A98,B_INPUT_RESERVOIR!$C$4:$C$1807,B98))</f>
        <v>0</v>
      </c>
      <c r="H98" s="8">
        <f>IF(C98=0,"",SUMIFS(B_INPUT_RESERVOIR!$K$4:$K$1807,B_INPUT_RESERVOIR!$A$4:$A$1807,A98,B_INPUT_RESERVOIR!$C$4:$C$1807,B98))</f>
        <v>0</v>
      </c>
      <c r="I98" s="10">
        <f t="shared" si="11"/>
        <v>1</v>
      </c>
      <c r="J98" s="10">
        <f t="shared" si="8"/>
        <v>1</v>
      </c>
      <c r="K98" s="10">
        <f>IF(H98=0,0,SUMIFS(B_INPUT_RESERVOIR!$L$4:$L$1807,B_INPUT_RESERVOIR!$A$4:$A$1807,A98,B_INPUT_RESERVOIR!$C$4:$C$1807,B98)/H98)</f>
        <v>0</v>
      </c>
      <c r="L98" s="10">
        <f t="shared" si="12"/>
        <v>1</v>
      </c>
      <c r="M98" s="10">
        <f>IF(SUMIFS(B_INPUT_RESERVOIR!$N$4:$N$1807,B_INPUT_RESERVOIR!$A$4:$A$1807,A98,B_INPUT_RESERVOIR!$C$4:$C$1807,B98)=0,1,SUMIFS(B_INPUT_RESERVOIR!$O$4:$O$1807,B_INPUT_RESERVOIR!$A$4:$A$1807,A98,B_INPUT_RESERVOIR!$C$4:$C$1807,B98)/SUMIFS(B_INPUT_RESERVOIR!$N$4:$N$1807,B_INPUT_RESERVOIR!$A$4:$A$1807,A98,B_INPUT_RESERVOIR!$C$4:$C$1807,B98))</f>
        <v>1</v>
      </c>
      <c r="N98" s="8">
        <f t="shared" si="9"/>
        <v>0</v>
      </c>
      <c r="O98" s="12">
        <f>_xlfn.SINGLE(IF(C98=0,"",_xlfn.MINIFS(B_INPUT_RESERVOIR!$H$4:$H$1807,B_INPUT_RESERVOIR!$A$4:$A$1807,A98,B_INPUT_RESERVOIR!$C$4:$C$1807,B98)))</f>
        <v>18721103.18893373</v>
      </c>
      <c r="P98" s="12">
        <f>IF(C98=0,"",SUMIFS(B_INPUT_RESERVOIR!$H$4:$H$1807,B_INPUT_RESERVOIR!$A$4:$A$1807,A98,B_INPUT_RESERVOIR!$C$4:$C$1807,B98,B_INPUT_RESERVOIR!$D$4:$D$1807,12))</f>
        <v>21828607.751556631</v>
      </c>
      <c r="Q98" s="13" t="str">
        <f t="shared" si="10"/>
        <v>No failure</v>
      </c>
    </row>
    <row r="99" spans="1:17" x14ac:dyDescent="0.25">
      <c r="A99" s="4" t="s">
        <v>98</v>
      </c>
      <c r="B99" s="4">
        <f t="shared" ref="B99:B153" si="13">B69</f>
        <v>2021</v>
      </c>
      <c r="C99" s="8">
        <f>COUNTIFS(B_INPUT_RESERVOIR!$A$4:$A$1807,A99,B_INPUT_RESERVOIR!$C$4:$C$1807,B99)</f>
        <v>12</v>
      </c>
      <c r="D99" s="12">
        <f>IF(C99=0,0,SUMIFS(B_INPUT_RESERVOIR!$E$4:$E$1807,B_INPUT_RESERVOIR!$A$4:$A$1807,A99,B_INPUT_RESERVOIR!$C$4:$C$1807,B99))</f>
        <v>5570131.0685452754</v>
      </c>
      <c r="E99" s="12">
        <f>IF(C99=0,0,SUMIFS(B_INPUT_RESERVOIR!$J$4:$J$1807,B_INPUT_RESERVOIR!$A$4:$A$1807,A99,B_INPUT_RESERVOIR!$C$4:$C$1807,B99))</f>
        <v>5570131.0685452754</v>
      </c>
      <c r="F99" s="12">
        <f>IF(C99=0,"",SUMIFS(B_INPUT_RESERVOIR!$G$4:$G$1807,B_INPUT_RESERVOIR!$A$4:$A$1807,A99,B_INPUT_RESERVOIR!$C$4:$C$1807,B99))</f>
        <v>0</v>
      </c>
      <c r="G99" s="12">
        <f>IF(C99=0,"",SUMIFS(B_INPUT_RESERVOIR!$F$4:$F$1807,B_INPUT_RESERVOIR!$A$4:$A$1807,A99,B_INPUT_RESERVOIR!$C$4:$C$1807,B99))</f>
        <v>0</v>
      </c>
      <c r="H99" s="8">
        <f>IF(C99=0,"",SUMIFS(B_INPUT_RESERVOIR!$K$4:$K$1807,B_INPUT_RESERVOIR!$A$4:$A$1807,A99,B_INPUT_RESERVOIR!$C$4:$C$1807,B99))</f>
        <v>0</v>
      </c>
      <c r="I99" s="10">
        <f t="shared" si="11"/>
        <v>1</v>
      </c>
      <c r="J99" s="10">
        <f t="shared" si="8"/>
        <v>1</v>
      </c>
      <c r="K99" s="10">
        <f>IF(H99=0,0,SUMIFS(B_INPUT_RESERVOIR!$L$4:$L$1807,B_INPUT_RESERVOIR!$A$4:$A$1807,A99,B_INPUT_RESERVOIR!$C$4:$C$1807,B99)/H99)</f>
        <v>0</v>
      </c>
      <c r="L99" s="10">
        <f t="shared" si="12"/>
        <v>1</v>
      </c>
      <c r="M99" s="10">
        <f>IF(SUMIFS(B_INPUT_RESERVOIR!$N$4:$N$1807,B_INPUT_RESERVOIR!$A$4:$A$1807,A99,B_INPUT_RESERVOIR!$C$4:$C$1807,B99)=0,1,SUMIFS(B_INPUT_RESERVOIR!$O$4:$O$1807,B_INPUT_RESERVOIR!$A$4:$A$1807,A99,B_INPUT_RESERVOIR!$C$4:$C$1807,B99)/SUMIFS(B_INPUT_RESERVOIR!$N$4:$N$1807,B_INPUT_RESERVOIR!$A$4:$A$1807,A99,B_INPUT_RESERVOIR!$C$4:$C$1807,B99))</f>
        <v>1</v>
      </c>
      <c r="N99" s="8">
        <f t="shared" si="9"/>
        <v>0</v>
      </c>
      <c r="O99" s="12">
        <f>_xlfn.SINGLE(IF(C99=0,"",_xlfn.MINIFS(B_INPUT_RESERVOIR!$H$4:$H$1807,B_INPUT_RESERVOIR!$A$4:$A$1807,A99,B_INPUT_RESERVOIR!$C$4:$C$1807,B99)))</f>
        <v>22018036.807656858</v>
      </c>
      <c r="P99" s="12">
        <f>IF(C99=0,"",SUMIFS(B_INPUT_RESERVOIR!$H$4:$H$1807,B_INPUT_RESERVOIR!$A$4:$A$1807,A99,B_INPUT_RESERVOIR!$C$4:$C$1807,B99,B_INPUT_RESERVOIR!$D$4:$D$1807,12))</f>
        <v>22171730.171508241</v>
      </c>
      <c r="Q99" s="13" t="str">
        <f t="shared" si="10"/>
        <v>No failure</v>
      </c>
    </row>
    <row r="100" spans="1:17" x14ac:dyDescent="0.25">
      <c r="A100" s="4" t="s">
        <v>98</v>
      </c>
      <c r="B100" s="4">
        <f t="shared" si="13"/>
        <v>2022</v>
      </c>
      <c r="C100" s="8">
        <f>COUNTIFS(B_INPUT_RESERVOIR!$A$4:$A$1807,A100,B_INPUT_RESERVOIR!$C$4:$C$1807,B100)</f>
        <v>12</v>
      </c>
      <c r="D100" s="12">
        <f>IF(C100=0,0,SUMIFS(B_INPUT_RESERVOIR!$E$4:$E$1807,B_INPUT_RESERVOIR!$A$4:$A$1807,A100,B_INPUT_RESERVOIR!$C$4:$C$1807,B100))</f>
        <v>6693256.0380596397</v>
      </c>
      <c r="E100" s="12">
        <f>IF(C100=0,0,SUMIFS(B_INPUT_RESERVOIR!$J$4:$J$1807,B_INPUT_RESERVOIR!$A$4:$A$1807,A100,B_INPUT_RESERVOIR!$C$4:$C$1807,B100))</f>
        <v>6693256.0380596397</v>
      </c>
      <c r="F100" s="12">
        <f>IF(C100=0,"",SUMIFS(B_INPUT_RESERVOIR!$G$4:$G$1807,B_INPUT_RESERVOIR!$A$4:$A$1807,A100,B_INPUT_RESERVOIR!$C$4:$C$1807,B100))</f>
        <v>0</v>
      </c>
      <c r="G100" s="12">
        <f>IF(C100=0,"",SUMIFS(B_INPUT_RESERVOIR!$F$4:$F$1807,B_INPUT_RESERVOIR!$A$4:$A$1807,A100,B_INPUT_RESERVOIR!$C$4:$C$1807,B100))</f>
        <v>0</v>
      </c>
      <c r="H100" s="8">
        <f>IF(C100=0,"",SUMIFS(B_INPUT_RESERVOIR!$K$4:$K$1807,B_INPUT_RESERVOIR!$A$4:$A$1807,A100,B_INPUT_RESERVOIR!$C$4:$C$1807,B100))</f>
        <v>0</v>
      </c>
      <c r="I100" s="10">
        <f t="shared" si="11"/>
        <v>1</v>
      </c>
      <c r="J100" s="10">
        <f t="shared" ref="J100:J131" si="14">IF(D100=0,"",E100/D100)</f>
        <v>1</v>
      </c>
      <c r="K100" s="10">
        <f>IF(H100=0,0,SUMIFS(B_INPUT_RESERVOIR!$L$4:$L$1807,B_INPUT_RESERVOIR!$A$4:$A$1807,A100,B_INPUT_RESERVOIR!$C$4:$C$1807,B100)/H100)</f>
        <v>0</v>
      </c>
      <c r="L100" s="10">
        <f t="shared" si="12"/>
        <v>1</v>
      </c>
      <c r="M100" s="10">
        <f>IF(SUMIFS(B_INPUT_RESERVOIR!$N$4:$N$1807,B_INPUT_RESERVOIR!$A$4:$A$1807,A100,B_INPUT_RESERVOIR!$C$4:$C$1807,B100)=0,1,SUMIFS(B_INPUT_RESERVOIR!$O$4:$O$1807,B_INPUT_RESERVOIR!$A$4:$A$1807,A100,B_INPUT_RESERVOIR!$C$4:$C$1807,B100)/SUMIFS(B_INPUT_RESERVOIR!$N$4:$N$1807,B_INPUT_RESERVOIR!$A$4:$A$1807,A100,B_INPUT_RESERVOIR!$C$4:$C$1807,B100))</f>
        <v>1</v>
      </c>
      <c r="N100" s="8">
        <f t="shared" si="9"/>
        <v>0</v>
      </c>
      <c r="O100" s="12">
        <f>_xlfn.SINGLE(IF(C100=0,"",_xlfn.MINIFS(B_INPUT_RESERVOIR!$H$4:$H$1807,B_INPUT_RESERVOIR!$A$4:$A$1807,A100,B_INPUT_RESERVOIR!$C$4:$C$1807,B100)))</f>
        <v>14139133.631917369</v>
      </c>
      <c r="P100" s="12">
        <f>IF(C100=0,"",SUMIFS(B_INPUT_RESERVOIR!$H$4:$H$1807,B_INPUT_RESERVOIR!$A$4:$A$1807,A100,B_INPUT_RESERVOIR!$C$4:$C$1807,B100,B_INPUT_RESERVOIR!$D$4:$D$1807,12))</f>
        <v>20093490.302106202</v>
      </c>
      <c r="Q100" s="13" t="str">
        <f t="shared" ref="Q100:Q131" si="15">IF(C100=0,"No data",IF(H100&gt;0,"Failure year","No failure"))</f>
        <v>No failure</v>
      </c>
    </row>
    <row r="101" spans="1:17" x14ac:dyDescent="0.25">
      <c r="A101" s="4" t="s">
        <v>98</v>
      </c>
      <c r="B101" s="4">
        <f t="shared" si="13"/>
        <v>2023</v>
      </c>
      <c r="C101" s="8">
        <f>COUNTIFS(B_INPUT_RESERVOIR!$A$4:$A$1807,A101,B_INPUT_RESERVOIR!$C$4:$C$1807,B101)</f>
        <v>12</v>
      </c>
      <c r="D101" s="12">
        <f>IF(C101=0,0,SUMIFS(B_INPUT_RESERVOIR!$E$4:$E$1807,B_INPUT_RESERVOIR!$A$4:$A$1807,A101,B_INPUT_RESERVOIR!$C$4:$C$1807,B101))</f>
        <v>7119849.7585912682</v>
      </c>
      <c r="E101" s="12">
        <f>IF(C101=0,0,SUMIFS(B_INPUT_RESERVOIR!$J$4:$J$1807,B_INPUT_RESERVOIR!$A$4:$A$1807,A101,B_INPUT_RESERVOIR!$C$4:$C$1807,B101))</f>
        <v>7119849.7585912682</v>
      </c>
      <c r="F101" s="12">
        <f>IF(C101=0,"",SUMIFS(B_INPUT_RESERVOIR!$G$4:$G$1807,B_INPUT_RESERVOIR!$A$4:$A$1807,A101,B_INPUT_RESERVOIR!$C$4:$C$1807,B101))</f>
        <v>0</v>
      </c>
      <c r="G101" s="12">
        <f>IF(C101=0,"",SUMIFS(B_INPUT_RESERVOIR!$F$4:$F$1807,B_INPUT_RESERVOIR!$A$4:$A$1807,A101,B_INPUT_RESERVOIR!$C$4:$C$1807,B101))</f>
        <v>0</v>
      </c>
      <c r="H101" s="8">
        <f>IF(C101=0,"",SUMIFS(B_INPUT_RESERVOIR!$K$4:$K$1807,B_INPUT_RESERVOIR!$A$4:$A$1807,A101,B_INPUT_RESERVOIR!$C$4:$C$1807,B101))</f>
        <v>0</v>
      </c>
      <c r="I101" s="10">
        <f t="shared" si="11"/>
        <v>1</v>
      </c>
      <c r="J101" s="10">
        <f t="shared" si="14"/>
        <v>1</v>
      </c>
      <c r="K101" s="10">
        <f>IF(H101=0,0,SUMIFS(B_INPUT_RESERVOIR!$L$4:$L$1807,B_INPUT_RESERVOIR!$A$4:$A$1807,A101,B_INPUT_RESERVOIR!$C$4:$C$1807,B101)/H101)</f>
        <v>0</v>
      </c>
      <c r="L101" s="10">
        <f t="shared" si="12"/>
        <v>1</v>
      </c>
      <c r="M101" s="10">
        <f>IF(SUMIFS(B_INPUT_RESERVOIR!$N$4:$N$1807,B_INPUT_RESERVOIR!$A$4:$A$1807,A101,B_INPUT_RESERVOIR!$C$4:$C$1807,B101)=0,1,SUMIFS(B_INPUT_RESERVOIR!$O$4:$O$1807,B_INPUT_RESERVOIR!$A$4:$A$1807,A101,B_INPUT_RESERVOIR!$C$4:$C$1807,B101)/SUMIFS(B_INPUT_RESERVOIR!$N$4:$N$1807,B_INPUT_RESERVOIR!$A$4:$A$1807,A101,B_INPUT_RESERVOIR!$C$4:$C$1807,B101))</f>
        <v>1</v>
      </c>
      <c r="N101" s="8">
        <f t="shared" si="9"/>
        <v>0</v>
      </c>
      <c r="O101" s="12">
        <f>_xlfn.SINGLE(IF(C101=0,"",_xlfn.MINIFS(B_INPUT_RESERVOIR!$H$4:$H$1807,B_INPUT_RESERVOIR!$A$4:$A$1807,A101,B_INPUT_RESERVOIR!$C$4:$C$1807,B101)))</f>
        <v>12407264.758795232</v>
      </c>
      <c r="P101" s="12">
        <f>IF(C101=0,"",SUMIFS(B_INPUT_RESERVOIR!$H$4:$H$1807,B_INPUT_RESERVOIR!$A$4:$A$1807,A101,B_INPUT_RESERVOIR!$C$4:$C$1807,B101,B_INPUT_RESERVOIR!$D$4:$D$1807,12))</f>
        <v>18406501.170738071</v>
      </c>
      <c r="Q101" s="13" t="str">
        <f t="shared" si="15"/>
        <v>No failure</v>
      </c>
    </row>
    <row r="102" spans="1:17" x14ac:dyDescent="0.25">
      <c r="A102" s="4" t="s">
        <v>98</v>
      </c>
      <c r="B102" s="4">
        <f t="shared" si="13"/>
        <v>2024</v>
      </c>
      <c r="C102" s="8">
        <f>COUNTIFS(B_INPUT_RESERVOIR!$A$4:$A$1807,A102,B_INPUT_RESERVOIR!$C$4:$C$1807,B102)</f>
        <v>12</v>
      </c>
      <c r="D102" s="12">
        <f>IF(C102=0,0,SUMIFS(B_INPUT_RESERVOIR!$E$4:$E$1807,B_INPUT_RESERVOIR!$A$4:$A$1807,A102,B_INPUT_RESERVOIR!$C$4:$C$1807,B102))</f>
        <v>5887543.7599911522</v>
      </c>
      <c r="E102" s="12">
        <f>IF(C102=0,0,SUMIFS(B_INPUT_RESERVOIR!$J$4:$J$1807,B_INPUT_RESERVOIR!$A$4:$A$1807,A102,B_INPUT_RESERVOIR!$C$4:$C$1807,B102))</f>
        <v>5887543.7599911522</v>
      </c>
      <c r="F102" s="12">
        <f>IF(C102=0,"",SUMIFS(B_INPUT_RESERVOIR!$G$4:$G$1807,B_INPUT_RESERVOIR!$A$4:$A$1807,A102,B_INPUT_RESERVOIR!$C$4:$C$1807,B102))</f>
        <v>0</v>
      </c>
      <c r="G102" s="12">
        <f>IF(C102=0,"",SUMIFS(B_INPUT_RESERVOIR!$F$4:$F$1807,B_INPUT_RESERVOIR!$A$4:$A$1807,A102,B_INPUT_RESERVOIR!$C$4:$C$1807,B102))</f>
        <v>0</v>
      </c>
      <c r="H102" s="8">
        <f>IF(C102=0,"",SUMIFS(B_INPUT_RESERVOIR!$K$4:$K$1807,B_INPUT_RESERVOIR!$A$4:$A$1807,A102,B_INPUT_RESERVOIR!$C$4:$C$1807,B102))</f>
        <v>0</v>
      </c>
      <c r="I102" s="10">
        <f t="shared" si="11"/>
        <v>1</v>
      </c>
      <c r="J102" s="10">
        <f t="shared" si="14"/>
        <v>1</v>
      </c>
      <c r="K102" s="10">
        <f>IF(H102=0,0,SUMIFS(B_INPUT_RESERVOIR!$L$4:$L$1807,B_INPUT_RESERVOIR!$A$4:$A$1807,A102,B_INPUT_RESERVOIR!$C$4:$C$1807,B102)/H102)</f>
        <v>0</v>
      </c>
      <c r="L102" s="10">
        <f t="shared" si="12"/>
        <v>1</v>
      </c>
      <c r="M102" s="10">
        <f>IF(SUMIFS(B_INPUT_RESERVOIR!$N$4:$N$1807,B_INPUT_RESERVOIR!$A$4:$A$1807,A102,B_INPUT_RESERVOIR!$C$4:$C$1807,B102)=0,1,SUMIFS(B_INPUT_RESERVOIR!$O$4:$O$1807,B_INPUT_RESERVOIR!$A$4:$A$1807,A102,B_INPUT_RESERVOIR!$C$4:$C$1807,B102)/SUMIFS(B_INPUT_RESERVOIR!$N$4:$N$1807,B_INPUT_RESERVOIR!$A$4:$A$1807,A102,B_INPUT_RESERVOIR!$C$4:$C$1807,B102))</f>
        <v>1</v>
      </c>
      <c r="N102" s="8">
        <f t="shared" si="9"/>
        <v>0</v>
      </c>
      <c r="O102" s="12">
        <f>_xlfn.SINGLE(IF(C102=0,"",_xlfn.MINIFS(B_INPUT_RESERVOIR!$H$4:$H$1807,B_INPUT_RESERVOIR!$A$4:$A$1807,A102,B_INPUT_RESERVOIR!$C$4:$C$1807,B102)))</f>
        <v>19114450.679486047</v>
      </c>
      <c r="P102" s="12">
        <f>IF(C102=0,"",SUMIFS(B_INPUT_RESERVOIR!$H$4:$H$1807,B_INPUT_RESERVOIR!$A$4:$A$1807,A102,B_INPUT_RESERVOIR!$C$4:$C$1807,B102,B_INPUT_RESERVOIR!$D$4:$D$1807,12))</f>
        <v>22037284.503902283</v>
      </c>
      <c r="Q102" s="13" t="str">
        <f t="shared" si="15"/>
        <v>No failure</v>
      </c>
    </row>
    <row r="103" spans="1:17" x14ac:dyDescent="0.25">
      <c r="A103" s="4" t="s">
        <v>98</v>
      </c>
      <c r="B103" s="4">
        <f t="shared" si="13"/>
        <v>2025</v>
      </c>
      <c r="C103" s="8">
        <f>COUNTIFS(B_INPUT_RESERVOIR!$A$4:$A$1807,A103,B_INPUT_RESERVOIR!$C$4:$C$1807,B103)</f>
        <v>12</v>
      </c>
      <c r="D103" s="12">
        <f>IF(C103=0,0,SUMIFS(B_INPUT_RESERVOIR!$E$4:$E$1807,B_INPUT_RESERVOIR!$A$4:$A$1807,A103,B_INPUT_RESERVOIR!$C$4:$C$1807,B103))</f>
        <v>6513600.3079912085</v>
      </c>
      <c r="E103" s="12">
        <f>IF(C103=0,0,SUMIFS(B_INPUT_RESERVOIR!$J$4:$J$1807,B_INPUT_RESERVOIR!$A$4:$A$1807,A103,B_INPUT_RESERVOIR!$C$4:$C$1807,B103))</f>
        <v>6513600.3079912085</v>
      </c>
      <c r="F103" s="12">
        <f>IF(C103=0,"",SUMIFS(B_INPUT_RESERVOIR!$G$4:$G$1807,B_INPUT_RESERVOIR!$A$4:$A$1807,A103,B_INPUT_RESERVOIR!$C$4:$C$1807,B103))</f>
        <v>0</v>
      </c>
      <c r="G103" s="12">
        <f>IF(C103=0,"",SUMIFS(B_INPUT_RESERVOIR!$F$4:$F$1807,B_INPUT_RESERVOIR!$A$4:$A$1807,A103,B_INPUT_RESERVOIR!$C$4:$C$1807,B103))</f>
        <v>0</v>
      </c>
      <c r="H103" s="8">
        <f>IF(C103=0,"",SUMIFS(B_INPUT_RESERVOIR!$K$4:$K$1807,B_INPUT_RESERVOIR!$A$4:$A$1807,A103,B_INPUT_RESERVOIR!$C$4:$C$1807,B103))</f>
        <v>0</v>
      </c>
      <c r="I103" s="10">
        <f t="shared" si="11"/>
        <v>1</v>
      </c>
      <c r="J103" s="10">
        <f t="shared" si="14"/>
        <v>1</v>
      </c>
      <c r="K103" s="10">
        <f>IF(H103=0,0,SUMIFS(B_INPUT_RESERVOIR!$L$4:$L$1807,B_INPUT_RESERVOIR!$A$4:$A$1807,A103,B_INPUT_RESERVOIR!$C$4:$C$1807,B103)/H103)</f>
        <v>0</v>
      </c>
      <c r="L103" s="10">
        <f t="shared" si="12"/>
        <v>1</v>
      </c>
      <c r="M103" s="10">
        <f>IF(SUMIFS(B_INPUT_RESERVOIR!$N$4:$N$1807,B_INPUT_RESERVOIR!$A$4:$A$1807,A103,B_INPUT_RESERVOIR!$C$4:$C$1807,B103)=0,1,SUMIFS(B_INPUT_RESERVOIR!$O$4:$O$1807,B_INPUT_RESERVOIR!$A$4:$A$1807,A103,B_INPUT_RESERVOIR!$C$4:$C$1807,B103)/SUMIFS(B_INPUT_RESERVOIR!$N$4:$N$1807,B_INPUT_RESERVOIR!$A$4:$A$1807,A103,B_INPUT_RESERVOIR!$C$4:$C$1807,B103))</f>
        <v>1</v>
      </c>
      <c r="N103" s="8">
        <f t="shared" si="9"/>
        <v>0</v>
      </c>
      <c r="O103" s="12">
        <f>_xlfn.SINGLE(IF(C103=0,"",_xlfn.MINIFS(B_INPUT_RESERVOIR!$H$4:$H$1807,B_INPUT_RESERVOIR!$A$4:$A$1807,A103,B_INPUT_RESERVOIR!$C$4:$C$1807,B103)))</f>
        <v>23896680.824543398</v>
      </c>
      <c r="P103" s="12">
        <f>IF(C103=0,"",SUMIFS(B_INPUT_RESERVOIR!$H$4:$H$1807,B_INPUT_RESERVOIR!$A$4:$A$1807,A103,B_INPUT_RESERVOIR!$C$4:$C$1807,B103,B_INPUT_RESERVOIR!$D$4:$D$1807,12))</f>
        <v>40804874.238556564</v>
      </c>
      <c r="Q103" s="13" t="str">
        <f t="shared" si="15"/>
        <v>No failure</v>
      </c>
    </row>
    <row r="104" spans="1:17" x14ac:dyDescent="0.25">
      <c r="A104" s="4" t="s">
        <v>98</v>
      </c>
      <c r="B104" s="4">
        <f t="shared" si="13"/>
        <v>2026</v>
      </c>
      <c r="C104" s="8">
        <f>COUNTIFS(B_INPUT_RESERVOIR!$A$4:$A$1807,A104,B_INPUT_RESERVOIR!$C$4:$C$1807,B104)</f>
        <v>12</v>
      </c>
      <c r="D104" s="12">
        <f>IF(C104=0,0,SUMIFS(B_INPUT_RESERVOIR!$E$4:$E$1807,B_INPUT_RESERVOIR!$A$4:$A$1807,A104,B_INPUT_RESERVOIR!$C$4:$C$1807,B104))</f>
        <v>253492.44396084792</v>
      </c>
      <c r="E104" s="12">
        <f>IF(C104=0,0,SUMIFS(B_INPUT_RESERVOIR!$J$4:$J$1807,B_INPUT_RESERVOIR!$A$4:$A$1807,A104,B_INPUT_RESERVOIR!$C$4:$C$1807,B104))</f>
        <v>253492.44396084792</v>
      </c>
      <c r="F104" s="12">
        <f>IF(C104=0,"",SUMIFS(B_INPUT_RESERVOIR!$G$4:$G$1807,B_INPUT_RESERVOIR!$A$4:$A$1807,A104,B_INPUT_RESERVOIR!$C$4:$C$1807,B104))</f>
        <v>0</v>
      </c>
      <c r="G104" s="12">
        <f>IF(C104=0,"",SUMIFS(B_INPUT_RESERVOIR!$F$4:$F$1807,B_INPUT_RESERVOIR!$A$4:$A$1807,A104,B_INPUT_RESERVOIR!$C$4:$C$1807,B104))</f>
        <v>10607591.760599218</v>
      </c>
      <c r="H104" s="8">
        <f>IF(C104=0,"",SUMIFS(B_INPUT_RESERVOIR!$K$4:$K$1807,B_INPUT_RESERVOIR!$A$4:$A$1807,A104,B_INPUT_RESERVOIR!$C$4:$C$1807,B104))</f>
        <v>0</v>
      </c>
      <c r="I104" s="10">
        <f t="shared" si="11"/>
        <v>1</v>
      </c>
      <c r="J104" s="10">
        <f t="shared" si="14"/>
        <v>1</v>
      </c>
      <c r="K104" s="10">
        <f>IF(H104=0,0,SUMIFS(B_INPUT_RESERVOIR!$L$4:$L$1807,B_INPUT_RESERVOIR!$A$4:$A$1807,A104,B_INPUT_RESERVOIR!$C$4:$C$1807,B104)/H104)</f>
        <v>0</v>
      </c>
      <c r="L104" s="10">
        <f t="shared" si="12"/>
        <v>1</v>
      </c>
      <c r="M104" s="10">
        <f>IF(SUMIFS(B_INPUT_RESERVOIR!$N$4:$N$1807,B_INPUT_RESERVOIR!$A$4:$A$1807,A104,B_INPUT_RESERVOIR!$C$4:$C$1807,B104)=0,1,SUMIFS(B_INPUT_RESERVOIR!$O$4:$O$1807,B_INPUT_RESERVOIR!$A$4:$A$1807,A104,B_INPUT_RESERVOIR!$C$4:$C$1807,B104)/SUMIFS(B_INPUT_RESERVOIR!$N$4:$N$1807,B_INPUT_RESERVOIR!$A$4:$A$1807,A104,B_INPUT_RESERVOIR!$C$4:$C$1807,B104))</f>
        <v>1</v>
      </c>
      <c r="N104" s="8">
        <f t="shared" si="9"/>
        <v>0</v>
      </c>
      <c r="O104" s="12">
        <f>_xlfn.SINGLE(IF(C104=0,"",_xlfn.MINIFS(B_INPUT_RESERVOIR!$H$4:$H$1807,B_INPUT_RESERVOIR!$A$4:$A$1807,A104,B_INPUT_RESERVOIR!$C$4:$C$1807,B104)))</f>
        <v>49033109.167995043</v>
      </c>
      <c r="P104" s="12">
        <f>IF(C104=0,"",SUMIFS(B_INPUT_RESERVOIR!$H$4:$H$1807,B_INPUT_RESERVOIR!$A$4:$A$1807,A104,B_INPUT_RESERVOIR!$C$4:$C$1807,B104,B_INPUT_RESERVOIR!$D$4:$D$1807,12))</f>
        <v>0</v>
      </c>
      <c r="Q104" s="13" t="str">
        <f t="shared" si="15"/>
        <v>No failure</v>
      </c>
    </row>
    <row r="105" spans="1:17" x14ac:dyDescent="0.25">
      <c r="A105" s="4" t="s">
        <v>98</v>
      </c>
      <c r="B105" s="4">
        <f t="shared" si="13"/>
        <v>2027</v>
      </c>
      <c r="C105" s="8">
        <f>COUNTIFS(B_INPUT_RESERVOIR!$A$4:$A$1807,A105,B_INPUT_RESERVOIR!$C$4:$C$1807,B105)</f>
        <v>12</v>
      </c>
      <c r="D105" s="12">
        <f>IF(C105=0,0,SUMIFS(B_INPUT_RESERVOIR!$E$4:$E$1807,B_INPUT_RESERVOIR!$A$4:$A$1807,A105,B_INPUT_RESERVOIR!$C$4:$C$1807,B105))</f>
        <v>0</v>
      </c>
      <c r="E105" s="12">
        <f>IF(C105=0,0,SUMIFS(B_INPUT_RESERVOIR!$J$4:$J$1807,B_INPUT_RESERVOIR!$A$4:$A$1807,A105,B_INPUT_RESERVOIR!$C$4:$C$1807,B105))</f>
        <v>0</v>
      </c>
      <c r="F105" s="12">
        <f>IF(C105=0,"",SUMIFS(B_INPUT_RESERVOIR!$G$4:$G$1807,B_INPUT_RESERVOIR!$A$4:$A$1807,A105,B_INPUT_RESERVOIR!$C$4:$C$1807,B105))</f>
        <v>0</v>
      </c>
      <c r="G105" s="12">
        <f>IF(C105=0,"",SUMIFS(B_INPUT_RESERVOIR!$F$4:$F$1807,B_INPUT_RESERVOIR!$A$4:$A$1807,A105,B_INPUT_RESERVOIR!$C$4:$C$1807,B105))</f>
        <v>0</v>
      </c>
      <c r="H105" s="8">
        <f>IF(C105=0,"",SUMIFS(B_INPUT_RESERVOIR!$K$4:$K$1807,B_INPUT_RESERVOIR!$A$4:$A$1807,A105,B_INPUT_RESERVOIR!$C$4:$C$1807,B105))</f>
        <v>0</v>
      </c>
      <c r="I105" s="10">
        <f t="shared" si="11"/>
        <v>1</v>
      </c>
      <c r="J105" s="10" t="str">
        <f t="shared" si="14"/>
        <v/>
      </c>
      <c r="K105" s="10">
        <f>IF(H105=0,0,SUMIFS(B_INPUT_RESERVOIR!$L$4:$L$1807,B_INPUT_RESERVOIR!$A$4:$A$1807,A105,B_INPUT_RESERVOIR!$C$4:$C$1807,B105)/H105)</f>
        <v>0</v>
      </c>
      <c r="L105" s="10">
        <f t="shared" si="12"/>
        <v>1</v>
      </c>
      <c r="M105" s="10">
        <f>IF(SUMIFS(B_INPUT_RESERVOIR!$N$4:$N$1807,B_INPUT_RESERVOIR!$A$4:$A$1807,A105,B_INPUT_RESERVOIR!$C$4:$C$1807,B105)=0,1,SUMIFS(B_INPUT_RESERVOIR!$O$4:$O$1807,B_INPUT_RESERVOIR!$A$4:$A$1807,A105,B_INPUT_RESERVOIR!$C$4:$C$1807,B105)/SUMIFS(B_INPUT_RESERVOIR!$N$4:$N$1807,B_INPUT_RESERVOIR!$A$4:$A$1807,A105,B_INPUT_RESERVOIR!$C$4:$C$1807,B105))</f>
        <v>1</v>
      </c>
      <c r="N105" s="8">
        <f t="shared" si="9"/>
        <v>0</v>
      </c>
      <c r="O105" s="12">
        <f>_xlfn.SINGLE(IF(C105=0,"",_xlfn.MINIFS(B_INPUT_RESERVOIR!$H$4:$H$1807,B_INPUT_RESERVOIR!$A$4:$A$1807,A105,B_INPUT_RESERVOIR!$C$4:$C$1807,B105)))</f>
        <v>0</v>
      </c>
      <c r="P105" s="12">
        <f>IF(C105=0,"",SUMIFS(B_INPUT_RESERVOIR!$H$4:$H$1807,B_INPUT_RESERVOIR!$A$4:$A$1807,A105,B_INPUT_RESERVOIR!$C$4:$C$1807,B105,B_INPUT_RESERVOIR!$D$4:$D$1807,12))</f>
        <v>0</v>
      </c>
      <c r="Q105" s="13" t="str">
        <f t="shared" si="15"/>
        <v>No failure</v>
      </c>
    </row>
    <row r="106" spans="1:17" x14ac:dyDescent="0.25">
      <c r="A106" s="4" t="s">
        <v>98</v>
      </c>
      <c r="B106" s="4">
        <f t="shared" si="13"/>
        <v>2028</v>
      </c>
      <c r="C106" s="8">
        <f>COUNTIFS(B_INPUT_RESERVOIR!$A$4:$A$1807,A106,B_INPUT_RESERVOIR!$C$4:$C$1807,B106)</f>
        <v>12</v>
      </c>
      <c r="D106" s="12">
        <f>IF(C106=0,0,SUMIFS(B_INPUT_RESERVOIR!$E$4:$E$1807,B_INPUT_RESERVOIR!$A$4:$A$1807,A106,B_INPUT_RESERVOIR!$C$4:$C$1807,B106))</f>
        <v>0</v>
      </c>
      <c r="E106" s="12">
        <f>IF(C106=0,0,SUMIFS(B_INPUT_RESERVOIR!$J$4:$J$1807,B_INPUT_RESERVOIR!$A$4:$A$1807,A106,B_INPUT_RESERVOIR!$C$4:$C$1807,B106))</f>
        <v>0</v>
      </c>
      <c r="F106" s="12">
        <f>IF(C106=0,"",SUMIFS(B_INPUT_RESERVOIR!$G$4:$G$1807,B_INPUT_RESERVOIR!$A$4:$A$1807,A106,B_INPUT_RESERVOIR!$C$4:$C$1807,B106))</f>
        <v>0</v>
      </c>
      <c r="G106" s="12">
        <f>IF(C106=0,"",SUMIFS(B_INPUT_RESERVOIR!$F$4:$F$1807,B_INPUT_RESERVOIR!$A$4:$A$1807,A106,B_INPUT_RESERVOIR!$C$4:$C$1807,B106))</f>
        <v>0</v>
      </c>
      <c r="H106" s="8">
        <f>IF(C106=0,"",SUMIFS(B_INPUT_RESERVOIR!$K$4:$K$1807,B_INPUT_RESERVOIR!$A$4:$A$1807,A106,B_INPUT_RESERVOIR!$C$4:$C$1807,B106))</f>
        <v>0</v>
      </c>
      <c r="I106" s="10">
        <f t="shared" si="11"/>
        <v>1</v>
      </c>
      <c r="J106" s="10" t="str">
        <f t="shared" si="14"/>
        <v/>
      </c>
      <c r="K106" s="10">
        <f>IF(H106=0,0,SUMIFS(B_INPUT_RESERVOIR!$L$4:$L$1807,B_INPUT_RESERVOIR!$A$4:$A$1807,A106,B_INPUT_RESERVOIR!$C$4:$C$1807,B106)/H106)</f>
        <v>0</v>
      </c>
      <c r="L106" s="10">
        <f t="shared" si="12"/>
        <v>1</v>
      </c>
      <c r="M106" s="10">
        <f>IF(SUMIFS(B_INPUT_RESERVOIR!$N$4:$N$1807,B_INPUT_RESERVOIR!$A$4:$A$1807,A106,B_INPUT_RESERVOIR!$C$4:$C$1807,B106)=0,1,SUMIFS(B_INPUT_RESERVOIR!$O$4:$O$1807,B_INPUT_RESERVOIR!$A$4:$A$1807,A106,B_INPUT_RESERVOIR!$C$4:$C$1807,B106)/SUMIFS(B_INPUT_RESERVOIR!$N$4:$N$1807,B_INPUT_RESERVOIR!$A$4:$A$1807,A106,B_INPUT_RESERVOIR!$C$4:$C$1807,B106))</f>
        <v>1</v>
      </c>
      <c r="N106" s="8">
        <f t="shared" si="9"/>
        <v>0</v>
      </c>
      <c r="O106" s="12">
        <f>_xlfn.SINGLE(IF(C106=0,"",_xlfn.MINIFS(B_INPUT_RESERVOIR!$H$4:$H$1807,B_INPUT_RESERVOIR!$A$4:$A$1807,A106,B_INPUT_RESERVOIR!$C$4:$C$1807,B106)))</f>
        <v>0</v>
      </c>
      <c r="P106" s="12">
        <f>IF(C106=0,"",SUMIFS(B_INPUT_RESERVOIR!$H$4:$H$1807,B_INPUT_RESERVOIR!$A$4:$A$1807,A106,B_INPUT_RESERVOIR!$C$4:$C$1807,B106,B_INPUT_RESERVOIR!$D$4:$D$1807,12))</f>
        <v>0</v>
      </c>
      <c r="Q106" s="13" t="str">
        <f t="shared" si="15"/>
        <v>No failure</v>
      </c>
    </row>
    <row r="107" spans="1:17" x14ac:dyDescent="0.25">
      <c r="A107" s="4" t="s">
        <v>98</v>
      </c>
      <c r="B107" s="4">
        <f t="shared" si="13"/>
        <v>2029</v>
      </c>
      <c r="C107" s="8">
        <f>COUNTIFS(B_INPUT_RESERVOIR!$A$4:$A$1807,A107,B_INPUT_RESERVOIR!$C$4:$C$1807,B107)</f>
        <v>12</v>
      </c>
      <c r="D107" s="12">
        <f>IF(C107=0,0,SUMIFS(B_INPUT_RESERVOIR!$E$4:$E$1807,B_INPUT_RESERVOIR!$A$4:$A$1807,A107,B_INPUT_RESERVOIR!$C$4:$C$1807,B107))</f>
        <v>0</v>
      </c>
      <c r="E107" s="12">
        <f>IF(C107=0,0,SUMIFS(B_INPUT_RESERVOIR!$J$4:$J$1807,B_INPUT_RESERVOIR!$A$4:$A$1807,A107,B_INPUT_RESERVOIR!$C$4:$C$1807,B107))</f>
        <v>0</v>
      </c>
      <c r="F107" s="12">
        <f>IF(C107=0,"",SUMIFS(B_INPUT_RESERVOIR!$G$4:$G$1807,B_INPUT_RESERVOIR!$A$4:$A$1807,A107,B_INPUT_RESERVOIR!$C$4:$C$1807,B107))</f>
        <v>0</v>
      </c>
      <c r="G107" s="12">
        <f>IF(C107=0,"",SUMIFS(B_INPUT_RESERVOIR!$F$4:$F$1807,B_INPUT_RESERVOIR!$A$4:$A$1807,A107,B_INPUT_RESERVOIR!$C$4:$C$1807,B107))</f>
        <v>0</v>
      </c>
      <c r="H107" s="8">
        <f>IF(C107=0,"",SUMIFS(B_INPUT_RESERVOIR!$K$4:$K$1807,B_INPUT_RESERVOIR!$A$4:$A$1807,A107,B_INPUT_RESERVOIR!$C$4:$C$1807,B107))</f>
        <v>0</v>
      </c>
      <c r="I107" s="10">
        <f t="shared" si="11"/>
        <v>1</v>
      </c>
      <c r="J107" s="10" t="str">
        <f t="shared" si="14"/>
        <v/>
      </c>
      <c r="K107" s="10">
        <f>IF(H107=0,0,SUMIFS(B_INPUT_RESERVOIR!$L$4:$L$1807,B_INPUT_RESERVOIR!$A$4:$A$1807,A107,B_INPUT_RESERVOIR!$C$4:$C$1807,B107)/H107)</f>
        <v>0</v>
      </c>
      <c r="L107" s="10">
        <f t="shared" si="12"/>
        <v>1</v>
      </c>
      <c r="M107" s="10">
        <f>IF(SUMIFS(B_INPUT_RESERVOIR!$N$4:$N$1807,B_INPUT_RESERVOIR!$A$4:$A$1807,A107,B_INPUT_RESERVOIR!$C$4:$C$1807,B107)=0,1,SUMIFS(B_INPUT_RESERVOIR!$O$4:$O$1807,B_INPUT_RESERVOIR!$A$4:$A$1807,A107,B_INPUT_RESERVOIR!$C$4:$C$1807,B107)/SUMIFS(B_INPUT_RESERVOIR!$N$4:$N$1807,B_INPUT_RESERVOIR!$A$4:$A$1807,A107,B_INPUT_RESERVOIR!$C$4:$C$1807,B107))</f>
        <v>1</v>
      </c>
      <c r="N107" s="8">
        <f t="shared" si="9"/>
        <v>0</v>
      </c>
      <c r="O107" s="12">
        <f>_xlfn.SINGLE(IF(C107=0,"",_xlfn.MINIFS(B_INPUT_RESERVOIR!$H$4:$H$1807,B_INPUT_RESERVOIR!$A$4:$A$1807,A107,B_INPUT_RESERVOIR!$C$4:$C$1807,B107)))</f>
        <v>0</v>
      </c>
      <c r="P107" s="12">
        <f>IF(C107=0,"",SUMIFS(B_INPUT_RESERVOIR!$H$4:$H$1807,B_INPUT_RESERVOIR!$A$4:$A$1807,A107,B_INPUT_RESERVOIR!$C$4:$C$1807,B107,B_INPUT_RESERVOIR!$D$4:$D$1807,12))</f>
        <v>0</v>
      </c>
      <c r="Q107" s="13" t="str">
        <f t="shared" si="15"/>
        <v>No failure</v>
      </c>
    </row>
    <row r="108" spans="1:17" x14ac:dyDescent="0.25">
      <c r="A108" s="4" t="s">
        <v>98</v>
      </c>
      <c r="B108" s="4">
        <f t="shared" si="13"/>
        <v>2030</v>
      </c>
      <c r="C108" s="8">
        <f>COUNTIFS(B_INPUT_RESERVOIR!$A$4:$A$1807,A108,B_INPUT_RESERVOIR!$C$4:$C$1807,B108)</f>
        <v>12</v>
      </c>
      <c r="D108" s="12">
        <f>IF(C108=0,0,SUMIFS(B_INPUT_RESERVOIR!$E$4:$E$1807,B_INPUT_RESERVOIR!$A$4:$A$1807,A108,B_INPUT_RESERVOIR!$C$4:$C$1807,B108))</f>
        <v>0</v>
      </c>
      <c r="E108" s="12">
        <f>IF(C108=0,0,SUMIFS(B_INPUT_RESERVOIR!$J$4:$J$1807,B_INPUT_RESERVOIR!$A$4:$A$1807,A108,B_INPUT_RESERVOIR!$C$4:$C$1807,B108))</f>
        <v>0</v>
      </c>
      <c r="F108" s="12">
        <f>IF(C108=0,"",SUMIFS(B_INPUT_RESERVOIR!$G$4:$G$1807,B_INPUT_RESERVOIR!$A$4:$A$1807,A108,B_INPUT_RESERVOIR!$C$4:$C$1807,B108))</f>
        <v>0</v>
      </c>
      <c r="G108" s="12">
        <f>IF(C108=0,"",SUMIFS(B_INPUT_RESERVOIR!$F$4:$F$1807,B_INPUT_RESERVOIR!$A$4:$A$1807,A108,B_INPUT_RESERVOIR!$C$4:$C$1807,B108))</f>
        <v>0</v>
      </c>
      <c r="H108" s="8">
        <f>IF(C108=0,"",SUMIFS(B_INPUT_RESERVOIR!$K$4:$K$1807,B_INPUT_RESERVOIR!$A$4:$A$1807,A108,B_INPUT_RESERVOIR!$C$4:$C$1807,B108))</f>
        <v>0</v>
      </c>
      <c r="I108" s="10">
        <f t="shared" si="11"/>
        <v>1</v>
      </c>
      <c r="J108" s="10" t="str">
        <f t="shared" si="14"/>
        <v/>
      </c>
      <c r="K108" s="10">
        <f>IF(H108=0,0,SUMIFS(B_INPUT_RESERVOIR!$L$4:$L$1807,B_INPUT_RESERVOIR!$A$4:$A$1807,A108,B_INPUT_RESERVOIR!$C$4:$C$1807,B108)/H108)</f>
        <v>0</v>
      </c>
      <c r="L108" s="10">
        <f t="shared" si="12"/>
        <v>1</v>
      </c>
      <c r="M108" s="10">
        <f>IF(SUMIFS(B_INPUT_RESERVOIR!$N$4:$N$1807,B_INPUT_RESERVOIR!$A$4:$A$1807,A108,B_INPUT_RESERVOIR!$C$4:$C$1807,B108)=0,1,SUMIFS(B_INPUT_RESERVOIR!$O$4:$O$1807,B_INPUT_RESERVOIR!$A$4:$A$1807,A108,B_INPUT_RESERVOIR!$C$4:$C$1807,B108)/SUMIFS(B_INPUT_RESERVOIR!$N$4:$N$1807,B_INPUT_RESERVOIR!$A$4:$A$1807,A108,B_INPUT_RESERVOIR!$C$4:$C$1807,B108))</f>
        <v>1</v>
      </c>
      <c r="N108" s="8">
        <f t="shared" si="9"/>
        <v>0</v>
      </c>
      <c r="O108" s="12">
        <f>_xlfn.SINGLE(IF(C108=0,"",_xlfn.MINIFS(B_INPUT_RESERVOIR!$H$4:$H$1807,B_INPUT_RESERVOIR!$A$4:$A$1807,A108,B_INPUT_RESERVOIR!$C$4:$C$1807,B108)))</f>
        <v>0</v>
      </c>
      <c r="P108" s="12">
        <f>IF(C108=0,"",SUMIFS(B_INPUT_RESERVOIR!$H$4:$H$1807,B_INPUT_RESERVOIR!$A$4:$A$1807,A108,B_INPUT_RESERVOIR!$C$4:$C$1807,B108,B_INPUT_RESERVOIR!$D$4:$D$1807,12))</f>
        <v>0</v>
      </c>
      <c r="Q108" s="13" t="str">
        <f t="shared" si="15"/>
        <v>No failure</v>
      </c>
    </row>
    <row r="109" spans="1:17" x14ac:dyDescent="0.25">
      <c r="A109" s="4" t="s">
        <v>98</v>
      </c>
      <c r="B109" s="4">
        <f t="shared" si="13"/>
        <v>2031</v>
      </c>
      <c r="C109" s="8">
        <f>COUNTIFS(B_INPUT_RESERVOIR!$A$4:$A$1807,A109,B_INPUT_RESERVOIR!$C$4:$C$1807,B109)</f>
        <v>12</v>
      </c>
      <c r="D109" s="12">
        <f>IF(C109=0,0,SUMIFS(B_INPUT_RESERVOIR!$E$4:$E$1807,B_INPUT_RESERVOIR!$A$4:$A$1807,A109,B_INPUT_RESERVOIR!$C$4:$C$1807,B109))</f>
        <v>0</v>
      </c>
      <c r="E109" s="12">
        <f>IF(C109=0,0,SUMIFS(B_INPUT_RESERVOIR!$J$4:$J$1807,B_INPUT_RESERVOIR!$A$4:$A$1807,A109,B_INPUT_RESERVOIR!$C$4:$C$1807,B109))</f>
        <v>0</v>
      </c>
      <c r="F109" s="12">
        <f>IF(C109=0,"",SUMIFS(B_INPUT_RESERVOIR!$G$4:$G$1807,B_INPUT_RESERVOIR!$A$4:$A$1807,A109,B_INPUT_RESERVOIR!$C$4:$C$1807,B109))</f>
        <v>0</v>
      </c>
      <c r="G109" s="12">
        <f>IF(C109=0,"",SUMIFS(B_INPUT_RESERVOIR!$F$4:$F$1807,B_INPUT_RESERVOIR!$A$4:$A$1807,A109,B_INPUT_RESERVOIR!$C$4:$C$1807,B109))</f>
        <v>0</v>
      </c>
      <c r="H109" s="8">
        <f>IF(C109=0,"",SUMIFS(B_INPUT_RESERVOIR!$K$4:$K$1807,B_INPUT_RESERVOIR!$A$4:$A$1807,A109,B_INPUT_RESERVOIR!$C$4:$C$1807,B109))</f>
        <v>0</v>
      </c>
      <c r="I109" s="10">
        <f t="shared" si="11"/>
        <v>1</v>
      </c>
      <c r="J109" s="10" t="str">
        <f t="shared" si="14"/>
        <v/>
      </c>
      <c r="K109" s="10">
        <f>IF(H109=0,0,SUMIFS(B_INPUT_RESERVOIR!$L$4:$L$1807,B_INPUT_RESERVOIR!$A$4:$A$1807,A109,B_INPUT_RESERVOIR!$C$4:$C$1807,B109)/H109)</f>
        <v>0</v>
      </c>
      <c r="L109" s="10">
        <f t="shared" si="12"/>
        <v>1</v>
      </c>
      <c r="M109" s="10">
        <f>IF(SUMIFS(B_INPUT_RESERVOIR!$N$4:$N$1807,B_INPUT_RESERVOIR!$A$4:$A$1807,A109,B_INPUT_RESERVOIR!$C$4:$C$1807,B109)=0,1,SUMIFS(B_INPUT_RESERVOIR!$O$4:$O$1807,B_INPUT_RESERVOIR!$A$4:$A$1807,A109,B_INPUT_RESERVOIR!$C$4:$C$1807,B109)/SUMIFS(B_INPUT_RESERVOIR!$N$4:$N$1807,B_INPUT_RESERVOIR!$A$4:$A$1807,A109,B_INPUT_RESERVOIR!$C$4:$C$1807,B109))</f>
        <v>1</v>
      </c>
      <c r="N109" s="8">
        <f t="shared" si="9"/>
        <v>0</v>
      </c>
      <c r="O109" s="12">
        <f>_xlfn.SINGLE(IF(C109=0,"",_xlfn.MINIFS(B_INPUT_RESERVOIR!$H$4:$H$1807,B_INPUT_RESERVOIR!$A$4:$A$1807,A109,B_INPUT_RESERVOIR!$C$4:$C$1807,B109)))</f>
        <v>0</v>
      </c>
      <c r="P109" s="12">
        <f>IF(C109=0,"",SUMIFS(B_INPUT_RESERVOIR!$H$4:$H$1807,B_INPUT_RESERVOIR!$A$4:$A$1807,A109,B_INPUT_RESERVOIR!$C$4:$C$1807,B109,B_INPUT_RESERVOIR!$D$4:$D$1807,12))</f>
        <v>0</v>
      </c>
      <c r="Q109" s="13" t="str">
        <f t="shared" si="15"/>
        <v>No failure</v>
      </c>
    </row>
    <row r="110" spans="1:17" x14ac:dyDescent="0.25">
      <c r="A110" s="4" t="s">
        <v>98</v>
      </c>
      <c r="B110" s="4">
        <f t="shared" si="13"/>
        <v>2032</v>
      </c>
      <c r="C110" s="8">
        <f>COUNTIFS(B_INPUT_RESERVOIR!$A$4:$A$1807,A110,B_INPUT_RESERVOIR!$C$4:$C$1807,B110)</f>
        <v>12</v>
      </c>
      <c r="D110" s="12">
        <f>IF(C110=0,0,SUMIFS(B_INPUT_RESERVOIR!$E$4:$E$1807,B_INPUT_RESERVOIR!$A$4:$A$1807,A110,B_INPUT_RESERVOIR!$C$4:$C$1807,B110))</f>
        <v>0</v>
      </c>
      <c r="E110" s="12">
        <f>IF(C110=0,0,SUMIFS(B_INPUT_RESERVOIR!$J$4:$J$1807,B_INPUT_RESERVOIR!$A$4:$A$1807,A110,B_INPUT_RESERVOIR!$C$4:$C$1807,B110))</f>
        <v>0</v>
      </c>
      <c r="F110" s="12">
        <f>IF(C110=0,"",SUMIFS(B_INPUT_RESERVOIR!$G$4:$G$1807,B_INPUT_RESERVOIR!$A$4:$A$1807,A110,B_INPUT_RESERVOIR!$C$4:$C$1807,B110))</f>
        <v>0</v>
      </c>
      <c r="G110" s="12">
        <f>IF(C110=0,"",SUMIFS(B_INPUT_RESERVOIR!$F$4:$F$1807,B_INPUT_RESERVOIR!$A$4:$A$1807,A110,B_INPUT_RESERVOIR!$C$4:$C$1807,B110))</f>
        <v>0</v>
      </c>
      <c r="H110" s="8">
        <f>IF(C110=0,"",SUMIFS(B_INPUT_RESERVOIR!$K$4:$K$1807,B_INPUT_RESERVOIR!$A$4:$A$1807,A110,B_INPUT_RESERVOIR!$C$4:$C$1807,B110))</f>
        <v>0</v>
      </c>
      <c r="I110" s="10">
        <f t="shared" si="11"/>
        <v>1</v>
      </c>
      <c r="J110" s="10" t="str">
        <f t="shared" si="14"/>
        <v/>
      </c>
      <c r="K110" s="10">
        <f>IF(H110=0,0,SUMIFS(B_INPUT_RESERVOIR!$L$4:$L$1807,B_INPUT_RESERVOIR!$A$4:$A$1807,A110,B_INPUT_RESERVOIR!$C$4:$C$1807,B110)/H110)</f>
        <v>0</v>
      </c>
      <c r="L110" s="10">
        <f t="shared" si="12"/>
        <v>1</v>
      </c>
      <c r="M110" s="10">
        <f>IF(SUMIFS(B_INPUT_RESERVOIR!$N$4:$N$1807,B_INPUT_RESERVOIR!$A$4:$A$1807,A110,B_INPUT_RESERVOIR!$C$4:$C$1807,B110)=0,1,SUMIFS(B_INPUT_RESERVOIR!$O$4:$O$1807,B_INPUT_RESERVOIR!$A$4:$A$1807,A110,B_INPUT_RESERVOIR!$C$4:$C$1807,B110)/SUMIFS(B_INPUT_RESERVOIR!$N$4:$N$1807,B_INPUT_RESERVOIR!$A$4:$A$1807,A110,B_INPUT_RESERVOIR!$C$4:$C$1807,B110))</f>
        <v>1</v>
      </c>
      <c r="N110" s="8">
        <f t="shared" si="9"/>
        <v>0</v>
      </c>
      <c r="O110" s="12">
        <f>_xlfn.SINGLE(IF(C110=0,"",_xlfn.MINIFS(B_INPUT_RESERVOIR!$H$4:$H$1807,B_INPUT_RESERVOIR!$A$4:$A$1807,A110,B_INPUT_RESERVOIR!$C$4:$C$1807,B110)))</f>
        <v>0</v>
      </c>
      <c r="P110" s="12">
        <f>IF(C110=0,"",SUMIFS(B_INPUT_RESERVOIR!$H$4:$H$1807,B_INPUT_RESERVOIR!$A$4:$A$1807,A110,B_INPUT_RESERVOIR!$C$4:$C$1807,B110,B_INPUT_RESERVOIR!$D$4:$D$1807,12))</f>
        <v>0</v>
      </c>
      <c r="Q110" s="13" t="str">
        <f t="shared" si="15"/>
        <v>No failure</v>
      </c>
    </row>
    <row r="111" spans="1:17" x14ac:dyDescent="0.25">
      <c r="A111" s="4" t="s">
        <v>98</v>
      </c>
      <c r="B111" s="4">
        <f t="shared" si="13"/>
        <v>2033</v>
      </c>
      <c r="C111" s="8">
        <f>COUNTIFS(B_INPUT_RESERVOIR!$A$4:$A$1807,A111,B_INPUT_RESERVOIR!$C$4:$C$1807,B111)</f>
        <v>12</v>
      </c>
      <c r="D111" s="12">
        <f>IF(C111=0,0,SUMIFS(B_INPUT_RESERVOIR!$E$4:$E$1807,B_INPUT_RESERVOIR!$A$4:$A$1807,A111,B_INPUT_RESERVOIR!$C$4:$C$1807,B111))</f>
        <v>0</v>
      </c>
      <c r="E111" s="12">
        <f>IF(C111=0,0,SUMIFS(B_INPUT_RESERVOIR!$J$4:$J$1807,B_INPUT_RESERVOIR!$A$4:$A$1807,A111,B_INPUT_RESERVOIR!$C$4:$C$1807,B111))</f>
        <v>0</v>
      </c>
      <c r="F111" s="12">
        <f>IF(C111=0,"",SUMIFS(B_INPUT_RESERVOIR!$G$4:$G$1807,B_INPUT_RESERVOIR!$A$4:$A$1807,A111,B_INPUT_RESERVOIR!$C$4:$C$1807,B111))</f>
        <v>0</v>
      </c>
      <c r="G111" s="12">
        <f>IF(C111=0,"",SUMIFS(B_INPUT_RESERVOIR!$F$4:$F$1807,B_INPUT_RESERVOIR!$A$4:$A$1807,A111,B_INPUT_RESERVOIR!$C$4:$C$1807,B111))</f>
        <v>0</v>
      </c>
      <c r="H111" s="8">
        <f>IF(C111=0,"",SUMIFS(B_INPUT_RESERVOIR!$K$4:$K$1807,B_INPUT_RESERVOIR!$A$4:$A$1807,A111,B_INPUT_RESERVOIR!$C$4:$C$1807,B111))</f>
        <v>0</v>
      </c>
      <c r="I111" s="10">
        <f t="shared" si="11"/>
        <v>1</v>
      </c>
      <c r="J111" s="10" t="str">
        <f t="shared" si="14"/>
        <v/>
      </c>
      <c r="K111" s="10">
        <f>IF(H111=0,0,SUMIFS(B_INPUT_RESERVOIR!$L$4:$L$1807,B_INPUT_RESERVOIR!$A$4:$A$1807,A111,B_INPUT_RESERVOIR!$C$4:$C$1807,B111)/H111)</f>
        <v>0</v>
      </c>
      <c r="L111" s="10">
        <f t="shared" si="12"/>
        <v>1</v>
      </c>
      <c r="M111" s="10">
        <f>IF(SUMIFS(B_INPUT_RESERVOIR!$N$4:$N$1807,B_INPUT_RESERVOIR!$A$4:$A$1807,A111,B_INPUT_RESERVOIR!$C$4:$C$1807,B111)=0,1,SUMIFS(B_INPUT_RESERVOIR!$O$4:$O$1807,B_INPUT_RESERVOIR!$A$4:$A$1807,A111,B_INPUT_RESERVOIR!$C$4:$C$1807,B111)/SUMIFS(B_INPUT_RESERVOIR!$N$4:$N$1807,B_INPUT_RESERVOIR!$A$4:$A$1807,A111,B_INPUT_RESERVOIR!$C$4:$C$1807,B111))</f>
        <v>1</v>
      </c>
      <c r="N111" s="8">
        <f t="shared" si="9"/>
        <v>0</v>
      </c>
      <c r="O111" s="12">
        <f>_xlfn.SINGLE(IF(C111=0,"",_xlfn.MINIFS(B_INPUT_RESERVOIR!$H$4:$H$1807,B_INPUT_RESERVOIR!$A$4:$A$1807,A111,B_INPUT_RESERVOIR!$C$4:$C$1807,B111)))</f>
        <v>0</v>
      </c>
      <c r="P111" s="12">
        <f>IF(C111=0,"",SUMIFS(B_INPUT_RESERVOIR!$H$4:$H$1807,B_INPUT_RESERVOIR!$A$4:$A$1807,A111,B_INPUT_RESERVOIR!$C$4:$C$1807,B111,B_INPUT_RESERVOIR!$D$4:$D$1807,12))</f>
        <v>0</v>
      </c>
      <c r="Q111" s="13" t="str">
        <f t="shared" si="15"/>
        <v>No failure</v>
      </c>
    </row>
    <row r="112" spans="1:17" x14ac:dyDescent="0.25">
      <c r="A112" s="4" t="s">
        <v>98</v>
      </c>
      <c r="B112" s="4">
        <f t="shared" si="13"/>
        <v>2034</v>
      </c>
      <c r="C112" s="8">
        <f>COUNTIFS(B_INPUT_RESERVOIR!$A$4:$A$1807,A112,B_INPUT_RESERVOIR!$C$4:$C$1807,B112)</f>
        <v>12</v>
      </c>
      <c r="D112" s="12">
        <f>IF(C112=0,0,SUMIFS(B_INPUT_RESERVOIR!$E$4:$E$1807,B_INPUT_RESERVOIR!$A$4:$A$1807,A112,B_INPUT_RESERVOIR!$C$4:$C$1807,B112))</f>
        <v>0</v>
      </c>
      <c r="E112" s="12">
        <f>IF(C112=0,0,SUMIFS(B_INPUT_RESERVOIR!$J$4:$J$1807,B_INPUT_RESERVOIR!$A$4:$A$1807,A112,B_INPUT_RESERVOIR!$C$4:$C$1807,B112))</f>
        <v>0</v>
      </c>
      <c r="F112" s="12">
        <f>IF(C112=0,"",SUMIFS(B_INPUT_RESERVOIR!$G$4:$G$1807,B_INPUT_RESERVOIR!$A$4:$A$1807,A112,B_INPUT_RESERVOIR!$C$4:$C$1807,B112))</f>
        <v>0</v>
      </c>
      <c r="G112" s="12">
        <f>IF(C112=0,"",SUMIFS(B_INPUT_RESERVOIR!$F$4:$F$1807,B_INPUT_RESERVOIR!$A$4:$A$1807,A112,B_INPUT_RESERVOIR!$C$4:$C$1807,B112))</f>
        <v>0</v>
      </c>
      <c r="H112" s="8">
        <f>IF(C112=0,"",SUMIFS(B_INPUT_RESERVOIR!$K$4:$K$1807,B_INPUT_RESERVOIR!$A$4:$A$1807,A112,B_INPUT_RESERVOIR!$C$4:$C$1807,B112))</f>
        <v>0</v>
      </c>
      <c r="I112" s="10">
        <f t="shared" si="11"/>
        <v>1</v>
      </c>
      <c r="J112" s="10" t="str">
        <f t="shared" si="14"/>
        <v/>
      </c>
      <c r="K112" s="10">
        <f>IF(H112=0,0,SUMIFS(B_INPUT_RESERVOIR!$L$4:$L$1807,B_INPUT_RESERVOIR!$A$4:$A$1807,A112,B_INPUT_RESERVOIR!$C$4:$C$1807,B112)/H112)</f>
        <v>0</v>
      </c>
      <c r="L112" s="10">
        <f t="shared" si="12"/>
        <v>1</v>
      </c>
      <c r="M112" s="10">
        <f>IF(SUMIFS(B_INPUT_RESERVOIR!$N$4:$N$1807,B_INPUT_RESERVOIR!$A$4:$A$1807,A112,B_INPUT_RESERVOIR!$C$4:$C$1807,B112)=0,1,SUMIFS(B_INPUT_RESERVOIR!$O$4:$O$1807,B_INPUT_RESERVOIR!$A$4:$A$1807,A112,B_INPUT_RESERVOIR!$C$4:$C$1807,B112)/SUMIFS(B_INPUT_RESERVOIR!$N$4:$N$1807,B_INPUT_RESERVOIR!$A$4:$A$1807,A112,B_INPUT_RESERVOIR!$C$4:$C$1807,B112))</f>
        <v>1</v>
      </c>
      <c r="N112" s="8">
        <f t="shared" si="9"/>
        <v>0</v>
      </c>
      <c r="O112" s="12">
        <f>_xlfn.SINGLE(IF(C112=0,"",_xlfn.MINIFS(B_INPUT_RESERVOIR!$H$4:$H$1807,B_INPUT_RESERVOIR!$A$4:$A$1807,A112,B_INPUT_RESERVOIR!$C$4:$C$1807,B112)))</f>
        <v>0</v>
      </c>
      <c r="P112" s="12">
        <f>IF(C112=0,"",SUMIFS(B_INPUT_RESERVOIR!$H$4:$H$1807,B_INPUT_RESERVOIR!$A$4:$A$1807,A112,B_INPUT_RESERVOIR!$C$4:$C$1807,B112,B_INPUT_RESERVOIR!$D$4:$D$1807,12))</f>
        <v>0</v>
      </c>
      <c r="Q112" s="13" t="str">
        <f t="shared" si="15"/>
        <v>No failure</v>
      </c>
    </row>
    <row r="113" spans="1:17" x14ac:dyDescent="0.25">
      <c r="A113" s="4" t="s">
        <v>98</v>
      </c>
      <c r="B113" s="4">
        <f t="shared" si="13"/>
        <v>2035</v>
      </c>
      <c r="C113" s="8">
        <f>COUNTIFS(B_INPUT_RESERVOIR!$A$4:$A$1807,A113,B_INPUT_RESERVOIR!$C$4:$C$1807,B113)</f>
        <v>12</v>
      </c>
      <c r="D113" s="12">
        <f>IF(C113=0,0,SUMIFS(B_INPUT_RESERVOIR!$E$4:$E$1807,B_INPUT_RESERVOIR!$A$4:$A$1807,A113,B_INPUT_RESERVOIR!$C$4:$C$1807,B113))</f>
        <v>0</v>
      </c>
      <c r="E113" s="12">
        <f>IF(C113=0,0,SUMIFS(B_INPUT_RESERVOIR!$J$4:$J$1807,B_INPUT_RESERVOIR!$A$4:$A$1807,A113,B_INPUT_RESERVOIR!$C$4:$C$1807,B113))</f>
        <v>0</v>
      </c>
      <c r="F113" s="12">
        <f>IF(C113=0,"",SUMIFS(B_INPUT_RESERVOIR!$G$4:$G$1807,B_INPUT_RESERVOIR!$A$4:$A$1807,A113,B_INPUT_RESERVOIR!$C$4:$C$1807,B113))</f>
        <v>0</v>
      </c>
      <c r="G113" s="12">
        <f>IF(C113=0,"",SUMIFS(B_INPUT_RESERVOIR!$F$4:$F$1807,B_INPUT_RESERVOIR!$A$4:$A$1807,A113,B_INPUT_RESERVOIR!$C$4:$C$1807,B113))</f>
        <v>0</v>
      </c>
      <c r="H113" s="8">
        <f>IF(C113=0,"",SUMIFS(B_INPUT_RESERVOIR!$K$4:$K$1807,B_INPUT_RESERVOIR!$A$4:$A$1807,A113,B_INPUT_RESERVOIR!$C$4:$C$1807,B113))</f>
        <v>0</v>
      </c>
      <c r="I113" s="10">
        <f t="shared" si="11"/>
        <v>1</v>
      </c>
      <c r="J113" s="10" t="str">
        <f t="shared" si="14"/>
        <v/>
      </c>
      <c r="K113" s="10">
        <f>IF(H113=0,0,SUMIFS(B_INPUT_RESERVOIR!$L$4:$L$1807,B_INPUT_RESERVOIR!$A$4:$A$1807,A113,B_INPUT_RESERVOIR!$C$4:$C$1807,B113)/H113)</f>
        <v>0</v>
      </c>
      <c r="L113" s="10">
        <f t="shared" si="12"/>
        <v>1</v>
      </c>
      <c r="M113" s="10">
        <f>IF(SUMIFS(B_INPUT_RESERVOIR!$N$4:$N$1807,B_INPUT_RESERVOIR!$A$4:$A$1807,A113,B_INPUT_RESERVOIR!$C$4:$C$1807,B113)=0,1,SUMIFS(B_INPUT_RESERVOIR!$O$4:$O$1807,B_INPUT_RESERVOIR!$A$4:$A$1807,A113,B_INPUT_RESERVOIR!$C$4:$C$1807,B113)/SUMIFS(B_INPUT_RESERVOIR!$N$4:$N$1807,B_INPUT_RESERVOIR!$A$4:$A$1807,A113,B_INPUT_RESERVOIR!$C$4:$C$1807,B113))</f>
        <v>1</v>
      </c>
      <c r="N113" s="8">
        <f t="shared" si="9"/>
        <v>0</v>
      </c>
      <c r="O113" s="12">
        <f>_xlfn.SINGLE(IF(C113=0,"",_xlfn.MINIFS(B_INPUT_RESERVOIR!$H$4:$H$1807,B_INPUT_RESERVOIR!$A$4:$A$1807,A113,B_INPUT_RESERVOIR!$C$4:$C$1807,B113)))</f>
        <v>0</v>
      </c>
      <c r="P113" s="12">
        <f>IF(C113=0,"",SUMIFS(B_INPUT_RESERVOIR!$H$4:$H$1807,B_INPUT_RESERVOIR!$A$4:$A$1807,A113,B_INPUT_RESERVOIR!$C$4:$C$1807,B113,B_INPUT_RESERVOIR!$D$4:$D$1807,12))</f>
        <v>0</v>
      </c>
      <c r="Q113" s="13" t="str">
        <f t="shared" si="15"/>
        <v>No failure</v>
      </c>
    </row>
    <row r="114" spans="1:17" x14ac:dyDescent="0.25">
      <c r="A114" s="4" t="s">
        <v>98</v>
      </c>
      <c r="B114" s="4">
        <f t="shared" si="13"/>
        <v>2036</v>
      </c>
      <c r="C114" s="8">
        <f>COUNTIFS(B_INPUT_RESERVOIR!$A$4:$A$1807,A114,B_INPUT_RESERVOIR!$C$4:$C$1807,B114)</f>
        <v>12</v>
      </c>
      <c r="D114" s="12">
        <f>IF(C114=0,0,SUMIFS(B_INPUT_RESERVOIR!$E$4:$E$1807,B_INPUT_RESERVOIR!$A$4:$A$1807,A114,B_INPUT_RESERVOIR!$C$4:$C$1807,B114))</f>
        <v>0</v>
      </c>
      <c r="E114" s="12">
        <f>IF(C114=0,0,SUMIFS(B_INPUT_RESERVOIR!$J$4:$J$1807,B_INPUT_RESERVOIR!$A$4:$A$1807,A114,B_INPUT_RESERVOIR!$C$4:$C$1807,B114))</f>
        <v>0</v>
      </c>
      <c r="F114" s="12">
        <f>IF(C114=0,"",SUMIFS(B_INPUT_RESERVOIR!$G$4:$G$1807,B_INPUT_RESERVOIR!$A$4:$A$1807,A114,B_INPUT_RESERVOIR!$C$4:$C$1807,B114))</f>
        <v>0</v>
      </c>
      <c r="G114" s="12">
        <f>IF(C114=0,"",SUMIFS(B_INPUT_RESERVOIR!$F$4:$F$1807,B_INPUT_RESERVOIR!$A$4:$A$1807,A114,B_INPUT_RESERVOIR!$C$4:$C$1807,B114))</f>
        <v>0</v>
      </c>
      <c r="H114" s="8">
        <f>IF(C114=0,"",SUMIFS(B_INPUT_RESERVOIR!$K$4:$K$1807,B_INPUT_RESERVOIR!$A$4:$A$1807,A114,B_INPUT_RESERVOIR!$C$4:$C$1807,B114))</f>
        <v>0</v>
      </c>
      <c r="I114" s="10">
        <f t="shared" si="11"/>
        <v>1</v>
      </c>
      <c r="J114" s="10" t="str">
        <f t="shared" si="14"/>
        <v/>
      </c>
      <c r="K114" s="10">
        <f>IF(H114=0,0,SUMIFS(B_INPUT_RESERVOIR!$L$4:$L$1807,B_INPUT_RESERVOIR!$A$4:$A$1807,A114,B_INPUT_RESERVOIR!$C$4:$C$1807,B114)/H114)</f>
        <v>0</v>
      </c>
      <c r="L114" s="10">
        <f t="shared" si="12"/>
        <v>1</v>
      </c>
      <c r="M114" s="10">
        <f>IF(SUMIFS(B_INPUT_RESERVOIR!$N$4:$N$1807,B_INPUT_RESERVOIR!$A$4:$A$1807,A114,B_INPUT_RESERVOIR!$C$4:$C$1807,B114)=0,1,SUMIFS(B_INPUT_RESERVOIR!$O$4:$O$1807,B_INPUT_RESERVOIR!$A$4:$A$1807,A114,B_INPUT_RESERVOIR!$C$4:$C$1807,B114)/SUMIFS(B_INPUT_RESERVOIR!$N$4:$N$1807,B_INPUT_RESERVOIR!$A$4:$A$1807,A114,B_INPUT_RESERVOIR!$C$4:$C$1807,B114))</f>
        <v>1</v>
      </c>
      <c r="N114" s="8">
        <f t="shared" si="9"/>
        <v>0</v>
      </c>
      <c r="O114" s="12">
        <f>_xlfn.SINGLE(IF(C114=0,"",_xlfn.MINIFS(B_INPUT_RESERVOIR!$H$4:$H$1807,B_INPUT_RESERVOIR!$A$4:$A$1807,A114,B_INPUT_RESERVOIR!$C$4:$C$1807,B114)))</f>
        <v>0</v>
      </c>
      <c r="P114" s="12">
        <f>IF(C114=0,"",SUMIFS(B_INPUT_RESERVOIR!$H$4:$H$1807,B_INPUT_RESERVOIR!$A$4:$A$1807,A114,B_INPUT_RESERVOIR!$C$4:$C$1807,B114,B_INPUT_RESERVOIR!$D$4:$D$1807,12))</f>
        <v>0</v>
      </c>
      <c r="Q114" s="13" t="str">
        <f t="shared" si="15"/>
        <v>No failure</v>
      </c>
    </row>
    <row r="115" spans="1:17" x14ac:dyDescent="0.25">
      <c r="A115" s="4" t="s">
        <v>98</v>
      </c>
      <c r="B115" s="4">
        <f t="shared" si="13"/>
        <v>2037</v>
      </c>
      <c r="C115" s="8">
        <f>COUNTIFS(B_INPUT_RESERVOIR!$A$4:$A$1807,A115,B_INPUT_RESERVOIR!$C$4:$C$1807,B115)</f>
        <v>12</v>
      </c>
      <c r="D115" s="12">
        <f>IF(C115=0,0,SUMIFS(B_INPUT_RESERVOIR!$E$4:$E$1807,B_INPUT_RESERVOIR!$A$4:$A$1807,A115,B_INPUT_RESERVOIR!$C$4:$C$1807,B115))</f>
        <v>0</v>
      </c>
      <c r="E115" s="12">
        <f>IF(C115=0,0,SUMIFS(B_INPUT_RESERVOIR!$J$4:$J$1807,B_INPUT_RESERVOIR!$A$4:$A$1807,A115,B_INPUT_RESERVOIR!$C$4:$C$1807,B115))</f>
        <v>0</v>
      </c>
      <c r="F115" s="12">
        <f>IF(C115=0,"",SUMIFS(B_INPUT_RESERVOIR!$G$4:$G$1807,B_INPUT_RESERVOIR!$A$4:$A$1807,A115,B_INPUT_RESERVOIR!$C$4:$C$1807,B115))</f>
        <v>0</v>
      </c>
      <c r="G115" s="12">
        <f>IF(C115=0,"",SUMIFS(B_INPUT_RESERVOIR!$F$4:$F$1807,B_INPUT_RESERVOIR!$A$4:$A$1807,A115,B_INPUT_RESERVOIR!$C$4:$C$1807,B115))</f>
        <v>0</v>
      </c>
      <c r="H115" s="8">
        <f>IF(C115=0,"",SUMIFS(B_INPUT_RESERVOIR!$K$4:$K$1807,B_INPUT_RESERVOIR!$A$4:$A$1807,A115,B_INPUT_RESERVOIR!$C$4:$C$1807,B115))</f>
        <v>0</v>
      </c>
      <c r="I115" s="10">
        <f t="shared" si="11"/>
        <v>1</v>
      </c>
      <c r="J115" s="10" t="str">
        <f t="shared" si="14"/>
        <v/>
      </c>
      <c r="K115" s="10">
        <f>IF(H115=0,0,SUMIFS(B_INPUT_RESERVOIR!$L$4:$L$1807,B_INPUT_RESERVOIR!$A$4:$A$1807,A115,B_INPUT_RESERVOIR!$C$4:$C$1807,B115)/H115)</f>
        <v>0</v>
      </c>
      <c r="L115" s="10">
        <f t="shared" si="12"/>
        <v>1</v>
      </c>
      <c r="M115" s="10">
        <f>IF(SUMIFS(B_INPUT_RESERVOIR!$N$4:$N$1807,B_INPUT_RESERVOIR!$A$4:$A$1807,A115,B_INPUT_RESERVOIR!$C$4:$C$1807,B115)=0,1,SUMIFS(B_INPUT_RESERVOIR!$O$4:$O$1807,B_INPUT_RESERVOIR!$A$4:$A$1807,A115,B_INPUT_RESERVOIR!$C$4:$C$1807,B115)/SUMIFS(B_INPUT_RESERVOIR!$N$4:$N$1807,B_INPUT_RESERVOIR!$A$4:$A$1807,A115,B_INPUT_RESERVOIR!$C$4:$C$1807,B115))</f>
        <v>1</v>
      </c>
      <c r="N115" s="8">
        <f t="shared" si="9"/>
        <v>0</v>
      </c>
      <c r="O115" s="12">
        <f>_xlfn.SINGLE(IF(C115=0,"",_xlfn.MINIFS(B_INPUT_RESERVOIR!$H$4:$H$1807,B_INPUT_RESERVOIR!$A$4:$A$1807,A115,B_INPUT_RESERVOIR!$C$4:$C$1807,B115)))</f>
        <v>0</v>
      </c>
      <c r="P115" s="12">
        <f>IF(C115=0,"",SUMIFS(B_INPUT_RESERVOIR!$H$4:$H$1807,B_INPUT_RESERVOIR!$A$4:$A$1807,A115,B_INPUT_RESERVOIR!$C$4:$C$1807,B115,B_INPUT_RESERVOIR!$D$4:$D$1807,12))</f>
        <v>0</v>
      </c>
      <c r="Q115" s="13" t="str">
        <f t="shared" si="15"/>
        <v>No failure</v>
      </c>
    </row>
    <row r="116" spans="1:17" x14ac:dyDescent="0.25">
      <c r="A116" s="4" t="s">
        <v>98</v>
      </c>
      <c r="B116" s="4">
        <f t="shared" si="13"/>
        <v>2038</v>
      </c>
      <c r="C116" s="8">
        <f>COUNTIFS(B_INPUT_RESERVOIR!$A$4:$A$1807,A116,B_INPUT_RESERVOIR!$C$4:$C$1807,B116)</f>
        <v>12</v>
      </c>
      <c r="D116" s="12">
        <f>IF(C116=0,0,SUMIFS(B_INPUT_RESERVOIR!$E$4:$E$1807,B_INPUT_RESERVOIR!$A$4:$A$1807,A116,B_INPUT_RESERVOIR!$C$4:$C$1807,B116))</f>
        <v>0</v>
      </c>
      <c r="E116" s="12">
        <f>IF(C116=0,0,SUMIFS(B_INPUT_RESERVOIR!$J$4:$J$1807,B_INPUT_RESERVOIR!$A$4:$A$1807,A116,B_INPUT_RESERVOIR!$C$4:$C$1807,B116))</f>
        <v>0</v>
      </c>
      <c r="F116" s="12">
        <f>IF(C116=0,"",SUMIFS(B_INPUT_RESERVOIR!$G$4:$G$1807,B_INPUT_RESERVOIR!$A$4:$A$1807,A116,B_INPUT_RESERVOIR!$C$4:$C$1807,B116))</f>
        <v>0</v>
      </c>
      <c r="G116" s="12">
        <f>IF(C116=0,"",SUMIFS(B_INPUT_RESERVOIR!$F$4:$F$1807,B_INPUT_RESERVOIR!$A$4:$A$1807,A116,B_INPUT_RESERVOIR!$C$4:$C$1807,B116))</f>
        <v>0</v>
      </c>
      <c r="H116" s="8">
        <f>IF(C116=0,"",SUMIFS(B_INPUT_RESERVOIR!$K$4:$K$1807,B_INPUT_RESERVOIR!$A$4:$A$1807,A116,B_INPUT_RESERVOIR!$C$4:$C$1807,B116))</f>
        <v>0</v>
      </c>
      <c r="I116" s="10">
        <f t="shared" si="11"/>
        <v>1</v>
      </c>
      <c r="J116" s="10" t="str">
        <f t="shared" si="14"/>
        <v/>
      </c>
      <c r="K116" s="10">
        <f>IF(H116=0,0,SUMIFS(B_INPUT_RESERVOIR!$L$4:$L$1807,B_INPUT_RESERVOIR!$A$4:$A$1807,A116,B_INPUT_RESERVOIR!$C$4:$C$1807,B116)/H116)</f>
        <v>0</v>
      </c>
      <c r="L116" s="10">
        <f t="shared" si="12"/>
        <v>1</v>
      </c>
      <c r="M116" s="10">
        <f>IF(SUMIFS(B_INPUT_RESERVOIR!$N$4:$N$1807,B_INPUT_RESERVOIR!$A$4:$A$1807,A116,B_INPUT_RESERVOIR!$C$4:$C$1807,B116)=0,1,SUMIFS(B_INPUT_RESERVOIR!$O$4:$O$1807,B_INPUT_RESERVOIR!$A$4:$A$1807,A116,B_INPUT_RESERVOIR!$C$4:$C$1807,B116)/SUMIFS(B_INPUT_RESERVOIR!$N$4:$N$1807,B_INPUT_RESERVOIR!$A$4:$A$1807,A116,B_INPUT_RESERVOIR!$C$4:$C$1807,B116))</f>
        <v>1</v>
      </c>
      <c r="N116" s="8">
        <f t="shared" si="9"/>
        <v>0</v>
      </c>
      <c r="O116" s="12">
        <f>_xlfn.SINGLE(IF(C116=0,"",_xlfn.MINIFS(B_INPUT_RESERVOIR!$H$4:$H$1807,B_INPUT_RESERVOIR!$A$4:$A$1807,A116,B_INPUT_RESERVOIR!$C$4:$C$1807,B116)))</f>
        <v>0</v>
      </c>
      <c r="P116" s="12">
        <f>IF(C116=0,"",SUMIFS(B_INPUT_RESERVOIR!$H$4:$H$1807,B_INPUT_RESERVOIR!$A$4:$A$1807,A116,B_INPUT_RESERVOIR!$C$4:$C$1807,B116,B_INPUT_RESERVOIR!$D$4:$D$1807,12))</f>
        <v>0</v>
      </c>
      <c r="Q116" s="13" t="str">
        <f t="shared" si="15"/>
        <v>No failure</v>
      </c>
    </row>
    <row r="117" spans="1:17" x14ac:dyDescent="0.25">
      <c r="A117" s="4" t="s">
        <v>98</v>
      </c>
      <c r="B117" s="4">
        <f t="shared" si="13"/>
        <v>2039</v>
      </c>
      <c r="C117" s="8">
        <f>COUNTIFS(B_INPUT_RESERVOIR!$A$4:$A$1807,A117,B_INPUT_RESERVOIR!$C$4:$C$1807,B117)</f>
        <v>12</v>
      </c>
      <c r="D117" s="12">
        <f>IF(C117=0,0,SUMIFS(B_INPUT_RESERVOIR!$E$4:$E$1807,B_INPUT_RESERVOIR!$A$4:$A$1807,A117,B_INPUT_RESERVOIR!$C$4:$C$1807,B117))</f>
        <v>0</v>
      </c>
      <c r="E117" s="12">
        <f>IF(C117=0,0,SUMIFS(B_INPUT_RESERVOIR!$J$4:$J$1807,B_INPUT_RESERVOIR!$A$4:$A$1807,A117,B_INPUT_RESERVOIR!$C$4:$C$1807,B117))</f>
        <v>0</v>
      </c>
      <c r="F117" s="12">
        <f>IF(C117=0,"",SUMIFS(B_INPUT_RESERVOIR!$G$4:$G$1807,B_INPUT_RESERVOIR!$A$4:$A$1807,A117,B_INPUT_RESERVOIR!$C$4:$C$1807,B117))</f>
        <v>0</v>
      </c>
      <c r="G117" s="12">
        <f>IF(C117=0,"",SUMIFS(B_INPUT_RESERVOIR!$F$4:$F$1807,B_INPUT_RESERVOIR!$A$4:$A$1807,A117,B_INPUT_RESERVOIR!$C$4:$C$1807,B117))</f>
        <v>0</v>
      </c>
      <c r="H117" s="8">
        <f>IF(C117=0,"",SUMIFS(B_INPUT_RESERVOIR!$K$4:$K$1807,B_INPUT_RESERVOIR!$A$4:$A$1807,A117,B_INPUT_RESERVOIR!$C$4:$C$1807,B117))</f>
        <v>0</v>
      </c>
      <c r="I117" s="10">
        <f t="shared" si="11"/>
        <v>1</v>
      </c>
      <c r="J117" s="10" t="str">
        <f t="shared" si="14"/>
        <v/>
      </c>
      <c r="K117" s="10">
        <f>IF(H117=0,0,SUMIFS(B_INPUT_RESERVOIR!$L$4:$L$1807,B_INPUT_RESERVOIR!$A$4:$A$1807,A117,B_INPUT_RESERVOIR!$C$4:$C$1807,B117)/H117)</f>
        <v>0</v>
      </c>
      <c r="L117" s="10">
        <f t="shared" si="12"/>
        <v>1</v>
      </c>
      <c r="M117" s="10">
        <f>IF(SUMIFS(B_INPUT_RESERVOIR!$N$4:$N$1807,B_INPUT_RESERVOIR!$A$4:$A$1807,A117,B_INPUT_RESERVOIR!$C$4:$C$1807,B117)=0,1,SUMIFS(B_INPUT_RESERVOIR!$O$4:$O$1807,B_INPUT_RESERVOIR!$A$4:$A$1807,A117,B_INPUT_RESERVOIR!$C$4:$C$1807,B117)/SUMIFS(B_INPUT_RESERVOIR!$N$4:$N$1807,B_INPUT_RESERVOIR!$A$4:$A$1807,A117,B_INPUT_RESERVOIR!$C$4:$C$1807,B117))</f>
        <v>1</v>
      </c>
      <c r="N117" s="8">
        <f t="shared" si="9"/>
        <v>0</v>
      </c>
      <c r="O117" s="12">
        <f>_xlfn.SINGLE(IF(C117=0,"",_xlfn.MINIFS(B_INPUT_RESERVOIR!$H$4:$H$1807,B_INPUT_RESERVOIR!$A$4:$A$1807,A117,B_INPUT_RESERVOIR!$C$4:$C$1807,B117)))</f>
        <v>0</v>
      </c>
      <c r="P117" s="12">
        <f>IF(C117=0,"",SUMIFS(B_INPUT_RESERVOIR!$H$4:$H$1807,B_INPUT_RESERVOIR!$A$4:$A$1807,A117,B_INPUT_RESERVOIR!$C$4:$C$1807,B117,B_INPUT_RESERVOIR!$D$4:$D$1807,12))</f>
        <v>0</v>
      </c>
      <c r="Q117" s="13" t="str">
        <f t="shared" si="15"/>
        <v>No failure</v>
      </c>
    </row>
    <row r="118" spans="1:17" x14ac:dyDescent="0.25">
      <c r="A118" s="4" t="s">
        <v>98</v>
      </c>
      <c r="B118" s="4">
        <f t="shared" si="13"/>
        <v>2040</v>
      </c>
      <c r="C118" s="8">
        <f>COUNTIFS(B_INPUT_RESERVOIR!$A$4:$A$1807,A118,B_INPUT_RESERVOIR!$C$4:$C$1807,B118)</f>
        <v>12</v>
      </c>
      <c r="D118" s="12">
        <f>IF(C118=0,0,SUMIFS(B_INPUT_RESERVOIR!$E$4:$E$1807,B_INPUT_RESERVOIR!$A$4:$A$1807,A118,B_INPUT_RESERVOIR!$C$4:$C$1807,B118))</f>
        <v>0</v>
      </c>
      <c r="E118" s="12">
        <f>IF(C118=0,0,SUMIFS(B_INPUT_RESERVOIR!$J$4:$J$1807,B_INPUT_RESERVOIR!$A$4:$A$1807,A118,B_INPUT_RESERVOIR!$C$4:$C$1807,B118))</f>
        <v>0</v>
      </c>
      <c r="F118" s="12">
        <f>IF(C118=0,"",SUMIFS(B_INPUT_RESERVOIR!$G$4:$G$1807,B_INPUT_RESERVOIR!$A$4:$A$1807,A118,B_INPUT_RESERVOIR!$C$4:$C$1807,B118))</f>
        <v>0</v>
      </c>
      <c r="G118" s="12">
        <f>IF(C118=0,"",SUMIFS(B_INPUT_RESERVOIR!$F$4:$F$1807,B_INPUT_RESERVOIR!$A$4:$A$1807,A118,B_INPUT_RESERVOIR!$C$4:$C$1807,B118))</f>
        <v>0</v>
      </c>
      <c r="H118" s="8">
        <f>IF(C118=0,"",SUMIFS(B_INPUT_RESERVOIR!$K$4:$K$1807,B_INPUT_RESERVOIR!$A$4:$A$1807,A118,B_INPUT_RESERVOIR!$C$4:$C$1807,B118))</f>
        <v>0</v>
      </c>
      <c r="I118" s="10">
        <f t="shared" si="11"/>
        <v>1</v>
      </c>
      <c r="J118" s="10" t="str">
        <f t="shared" si="14"/>
        <v/>
      </c>
      <c r="K118" s="10">
        <f>IF(H118=0,0,SUMIFS(B_INPUT_RESERVOIR!$L$4:$L$1807,B_INPUT_RESERVOIR!$A$4:$A$1807,A118,B_INPUT_RESERVOIR!$C$4:$C$1807,B118)/H118)</f>
        <v>0</v>
      </c>
      <c r="L118" s="10">
        <f t="shared" si="12"/>
        <v>1</v>
      </c>
      <c r="M118" s="10">
        <f>IF(SUMIFS(B_INPUT_RESERVOIR!$N$4:$N$1807,B_INPUT_RESERVOIR!$A$4:$A$1807,A118,B_INPUT_RESERVOIR!$C$4:$C$1807,B118)=0,1,SUMIFS(B_INPUT_RESERVOIR!$O$4:$O$1807,B_INPUT_RESERVOIR!$A$4:$A$1807,A118,B_INPUT_RESERVOIR!$C$4:$C$1807,B118)/SUMIFS(B_INPUT_RESERVOIR!$N$4:$N$1807,B_INPUT_RESERVOIR!$A$4:$A$1807,A118,B_INPUT_RESERVOIR!$C$4:$C$1807,B118))</f>
        <v>1</v>
      </c>
      <c r="N118" s="8">
        <f t="shared" si="9"/>
        <v>0</v>
      </c>
      <c r="O118" s="12">
        <f>_xlfn.SINGLE(IF(C118=0,"",_xlfn.MINIFS(B_INPUT_RESERVOIR!$H$4:$H$1807,B_INPUT_RESERVOIR!$A$4:$A$1807,A118,B_INPUT_RESERVOIR!$C$4:$C$1807,B118)))</f>
        <v>0</v>
      </c>
      <c r="P118" s="12">
        <f>IF(C118=0,"",SUMIFS(B_INPUT_RESERVOIR!$H$4:$H$1807,B_INPUT_RESERVOIR!$A$4:$A$1807,A118,B_INPUT_RESERVOIR!$C$4:$C$1807,B118,B_INPUT_RESERVOIR!$D$4:$D$1807,12))</f>
        <v>0</v>
      </c>
      <c r="Q118" s="13" t="str">
        <f t="shared" si="15"/>
        <v>No failure</v>
      </c>
    </row>
    <row r="119" spans="1:17" x14ac:dyDescent="0.25">
      <c r="A119" s="4" t="s">
        <v>98</v>
      </c>
      <c r="B119" s="4">
        <f t="shared" si="13"/>
        <v>2041</v>
      </c>
      <c r="C119" s="8">
        <f>COUNTIFS(B_INPUT_RESERVOIR!$A$4:$A$1807,A119,B_INPUT_RESERVOIR!$C$4:$C$1807,B119)</f>
        <v>12</v>
      </c>
      <c r="D119" s="12">
        <f>IF(C119=0,0,SUMIFS(B_INPUT_RESERVOIR!$E$4:$E$1807,B_INPUT_RESERVOIR!$A$4:$A$1807,A119,B_INPUT_RESERVOIR!$C$4:$C$1807,B119))</f>
        <v>0</v>
      </c>
      <c r="E119" s="12">
        <f>IF(C119=0,0,SUMIFS(B_INPUT_RESERVOIR!$J$4:$J$1807,B_INPUT_RESERVOIR!$A$4:$A$1807,A119,B_INPUT_RESERVOIR!$C$4:$C$1807,B119))</f>
        <v>0</v>
      </c>
      <c r="F119" s="12">
        <f>IF(C119=0,"",SUMIFS(B_INPUT_RESERVOIR!$G$4:$G$1807,B_INPUT_RESERVOIR!$A$4:$A$1807,A119,B_INPUT_RESERVOIR!$C$4:$C$1807,B119))</f>
        <v>0</v>
      </c>
      <c r="G119" s="12">
        <f>IF(C119=0,"",SUMIFS(B_INPUT_RESERVOIR!$F$4:$F$1807,B_INPUT_RESERVOIR!$A$4:$A$1807,A119,B_INPUT_RESERVOIR!$C$4:$C$1807,B119))</f>
        <v>0</v>
      </c>
      <c r="H119" s="8">
        <f>IF(C119=0,"",SUMIFS(B_INPUT_RESERVOIR!$K$4:$K$1807,B_INPUT_RESERVOIR!$A$4:$A$1807,A119,B_INPUT_RESERVOIR!$C$4:$C$1807,B119))</f>
        <v>0</v>
      </c>
      <c r="I119" s="10">
        <f t="shared" si="11"/>
        <v>1</v>
      </c>
      <c r="J119" s="10" t="str">
        <f t="shared" si="14"/>
        <v/>
      </c>
      <c r="K119" s="10">
        <f>IF(H119=0,0,SUMIFS(B_INPUT_RESERVOIR!$L$4:$L$1807,B_INPUT_RESERVOIR!$A$4:$A$1807,A119,B_INPUT_RESERVOIR!$C$4:$C$1807,B119)/H119)</f>
        <v>0</v>
      </c>
      <c r="L119" s="10">
        <f t="shared" si="12"/>
        <v>1</v>
      </c>
      <c r="M119" s="10">
        <f>IF(SUMIFS(B_INPUT_RESERVOIR!$N$4:$N$1807,B_INPUT_RESERVOIR!$A$4:$A$1807,A119,B_INPUT_RESERVOIR!$C$4:$C$1807,B119)=0,1,SUMIFS(B_INPUT_RESERVOIR!$O$4:$O$1807,B_INPUT_RESERVOIR!$A$4:$A$1807,A119,B_INPUT_RESERVOIR!$C$4:$C$1807,B119)/SUMIFS(B_INPUT_RESERVOIR!$N$4:$N$1807,B_INPUT_RESERVOIR!$A$4:$A$1807,A119,B_INPUT_RESERVOIR!$C$4:$C$1807,B119))</f>
        <v>1</v>
      </c>
      <c r="N119" s="8">
        <f t="shared" si="9"/>
        <v>0</v>
      </c>
      <c r="O119" s="12">
        <f>_xlfn.SINGLE(IF(C119=0,"",_xlfn.MINIFS(B_INPUT_RESERVOIR!$H$4:$H$1807,B_INPUT_RESERVOIR!$A$4:$A$1807,A119,B_INPUT_RESERVOIR!$C$4:$C$1807,B119)))</f>
        <v>0</v>
      </c>
      <c r="P119" s="12">
        <f>IF(C119=0,"",SUMIFS(B_INPUT_RESERVOIR!$H$4:$H$1807,B_INPUT_RESERVOIR!$A$4:$A$1807,A119,B_INPUT_RESERVOIR!$C$4:$C$1807,B119,B_INPUT_RESERVOIR!$D$4:$D$1807,12))</f>
        <v>0</v>
      </c>
      <c r="Q119" s="13" t="str">
        <f t="shared" si="15"/>
        <v>No failure</v>
      </c>
    </row>
    <row r="120" spans="1:17" x14ac:dyDescent="0.25">
      <c r="A120" s="4" t="s">
        <v>98</v>
      </c>
      <c r="B120" s="4">
        <f t="shared" si="13"/>
        <v>2042</v>
      </c>
      <c r="C120" s="8">
        <f>COUNTIFS(B_INPUT_RESERVOIR!$A$4:$A$1807,A120,B_INPUT_RESERVOIR!$C$4:$C$1807,B120)</f>
        <v>12</v>
      </c>
      <c r="D120" s="12">
        <f>IF(C120=0,0,SUMIFS(B_INPUT_RESERVOIR!$E$4:$E$1807,B_INPUT_RESERVOIR!$A$4:$A$1807,A120,B_INPUT_RESERVOIR!$C$4:$C$1807,B120))</f>
        <v>0</v>
      </c>
      <c r="E120" s="12">
        <f>IF(C120=0,0,SUMIFS(B_INPUT_RESERVOIR!$J$4:$J$1807,B_INPUT_RESERVOIR!$A$4:$A$1807,A120,B_INPUT_RESERVOIR!$C$4:$C$1807,B120))</f>
        <v>0</v>
      </c>
      <c r="F120" s="12">
        <f>IF(C120=0,"",SUMIFS(B_INPUT_RESERVOIR!$G$4:$G$1807,B_INPUT_RESERVOIR!$A$4:$A$1807,A120,B_INPUT_RESERVOIR!$C$4:$C$1807,B120))</f>
        <v>0</v>
      </c>
      <c r="G120" s="12">
        <f>IF(C120=0,"",SUMIFS(B_INPUT_RESERVOIR!$F$4:$F$1807,B_INPUT_RESERVOIR!$A$4:$A$1807,A120,B_INPUT_RESERVOIR!$C$4:$C$1807,B120))</f>
        <v>0</v>
      </c>
      <c r="H120" s="8">
        <f>IF(C120=0,"",SUMIFS(B_INPUT_RESERVOIR!$K$4:$K$1807,B_INPUT_RESERVOIR!$A$4:$A$1807,A120,B_INPUT_RESERVOIR!$C$4:$C$1807,B120))</f>
        <v>0</v>
      </c>
      <c r="I120" s="10">
        <f t="shared" si="11"/>
        <v>1</v>
      </c>
      <c r="J120" s="10" t="str">
        <f t="shared" si="14"/>
        <v/>
      </c>
      <c r="K120" s="10">
        <f>IF(H120=0,0,SUMIFS(B_INPUT_RESERVOIR!$L$4:$L$1807,B_INPUT_RESERVOIR!$A$4:$A$1807,A120,B_INPUT_RESERVOIR!$C$4:$C$1807,B120)/H120)</f>
        <v>0</v>
      </c>
      <c r="L120" s="10">
        <f t="shared" si="12"/>
        <v>1</v>
      </c>
      <c r="M120" s="10">
        <f>IF(SUMIFS(B_INPUT_RESERVOIR!$N$4:$N$1807,B_INPUT_RESERVOIR!$A$4:$A$1807,A120,B_INPUT_RESERVOIR!$C$4:$C$1807,B120)=0,1,SUMIFS(B_INPUT_RESERVOIR!$O$4:$O$1807,B_INPUT_RESERVOIR!$A$4:$A$1807,A120,B_INPUT_RESERVOIR!$C$4:$C$1807,B120)/SUMIFS(B_INPUT_RESERVOIR!$N$4:$N$1807,B_INPUT_RESERVOIR!$A$4:$A$1807,A120,B_INPUT_RESERVOIR!$C$4:$C$1807,B120))</f>
        <v>1</v>
      </c>
      <c r="N120" s="8">
        <f t="shared" si="9"/>
        <v>0</v>
      </c>
      <c r="O120" s="12">
        <f>_xlfn.SINGLE(IF(C120=0,"",_xlfn.MINIFS(B_INPUT_RESERVOIR!$H$4:$H$1807,B_INPUT_RESERVOIR!$A$4:$A$1807,A120,B_INPUT_RESERVOIR!$C$4:$C$1807,B120)))</f>
        <v>0</v>
      </c>
      <c r="P120" s="12">
        <f>IF(C120=0,"",SUMIFS(B_INPUT_RESERVOIR!$H$4:$H$1807,B_INPUT_RESERVOIR!$A$4:$A$1807,A120,B_INPUT_RESERVOIR!$C$4:$C$1807,B120,B_INPUT_RESERVOIR!$D$4:$D$1807,12))</f>
        <v>0</v>
      </c>
      <c r="Q120" s="13" t="str">
        <f t="shared" si="15"/>
        <v>No failure</v>
      </c>
    </row>
    <row r="121" spans="1:17" x14ac:dyDescent="0.25">
      <c r="A121" s="4" t="s">
        <v>98</v>
      </c>
      <c r="B121" s="4">
        <f t="shared" si="13"/>
        <v>2043</v>
      </c>
      <c r="C121" s="8">
        <f>COUNTIFS(B_INPUT_RESERVOIR!$A$4:$A$1807,A121,B_INPUT_RESERVOIR!$C$4:$C$1807,B121)</f>
        <v>12</v>
      </c>
      <c r="D121" s="12">
        <f>IF(C121=0,0,SUMIFS(B_INPUT_RESERVOIR!$E$4:$E$1807,B_INPUT_RESERVOIR!$A$4:$A$1807,A121,B_INPUT_RESERVOIR!$C$4:$C$1807,B121))</f>
        <v>0</v>
      </c>
      <c r="E121" s="12">
        <f>IF(C121=0,0,SUMIFS(B_INPUT_RESERVOIR!$J$4:$J$1807,B_INPUT_RESERVOIR!$A$4:$A$1807,A121,B_INPUT_RESERVOIR!$C$4:$C$1807,B121))</f>
        <v>0</v>
      </c>
      <c r="F121" s="12">
        <f>IF(C121=0,"",SUMIFS(B_INPUT_RESERVOIR!$G$4:$G$1807,B_INPUT_RESERVOIR!$A$4:$A$1807,A121,B_INPUT_RESERVOIR!$C$4:$C$1807,B121))</f>
        <v>0</v>
      </c>
      <c r="G121" s="12">
        <f>IF(C121=0,"",SUMIFS(B_INPUT_RESERVOIR!$F$4:$F$1807,B_INPUT_RESERVOIR!$A$4:$A$1807,A121,B_INPUT_RESERVOIR!$C$4:$C$1807,B121))</f>
        <v>0</v>
      </c>
      <c r="H121" s="8">
        <f>IF(C121=0,"",SUMIFS(B_INPUT_RESERVOIR!$K$4:$K$1807,B_INPUT_RESERVOIR!$A$4:$A$1807,A121,B_INPUT_RESERVOIR!$C$4:$C$1807,B121))</f>
        <v>0</v>
      </c>
      <c r="I121" s="10">
        <f t="shared" si="11"/>
        <v>1</v>
      </c>
      <c r="J121" s="10" t="str">
        <f t="shared" si="14"/>
        <v/>
      </c>
      <c r="K121" s="10">
        <f>IF(H121=0,0,SUMIFS(B_INPUT_RESERVOIR!$L$4:$L$1807,B_INPUT_RESERVOIR!$A$4:$A$1807,A121,B_INPUT_RESERVOIR!$C$4:$C$1807,B121)/H121)</f>
        <v>0</v>
      </c>
      <c r="L121" s="10">
        <f t="shared" si="12"/>
        <v>1</v>
      </c>
      <c r="M121" s="10">
        <f>IF(SUMIFS(B_INPUT_RESERVOIR!$N$4:$N$1807,B_INPUT_RESERVOIR!$A$4:$A$1807,A121,B_INPUT_RESERVOIR!$C$4:$C$1807,B121)=0,1,SUMIFS(B_INPUT_RESERVOIR!$O$4:$O$1807,B_INPUT_RESERVOIR!$A$4:$A$1807,A121,B_INPUT_RESERVOIR!$C$4:$C$1807,B121)/SUMIFS(B_INPUT_RESERVOIR!$N$4:$N$1807,B_INPUT_RESERVOIR!$A$4:$A$1807,A121,B_INPUT_RESERVOIR!$C$4:$C$1807,B121))</f>
        <v>1</v>
      </c>
      <c r="N121" s="8">
        <f t="shared" si="9"/>
        <v>0</v>
      </c>
      <c r="O121" s="12">
        <f>_xlfn.SINGLE(IF(C121=0,"",_xlfn.MINIFS(B_INPUT_RESERVOIR!$H$4:$H$1807,B_INPUT_RESERVOIR!$A$4:$A$1807,A121,B_INPUT_RESERVOIR!$C$4:$C$1807,B121)))</f>
        <v>0</v>
      </c>
      <c r="P121" s="12">
        <f>IF(C121=0,"",SUMIFS(B_INPUT_RESERVOIR!$H$4:$H$1807,B_INPUT_RESERVOIR!$A$4:$A$1807,A121,B_INPUT_RESERVOIR!$C$4:$C$1807,B121,B_INPUT_RESERVOIR!$D$4:$D$1807,12))</f>
        <v>0</v>
      </c>
      <c r="Q121" s="13" t="str">
        <f t="shared" si="15"/>
        <v>No failure</v>
      </c>
    </row>
    <row r="122" spans="1:17" x14ac:dyDescent="0.25">
      <c r="A122" s="4" t="s">
        <v>98</v>
      </c>
      <c r="B122" s="4">
        <f t="shared" si="13"/>
        <v>2044</v>
      </c>
      <c r="C122" s="8">
        <f>COUNTIFS(B_INPUT_RESERVOIR!$A$4:$A$1807,A122,B_INPUT_RESERVOIR!$C$4:$C$1807,B122)</f>
        <v>12</v>
      </c>
      <c r="D122" s="12">
        <f>IF(C122=0,0,SUMIFS(B_INPUT_RESERVOIR!$E$4:$E$1807,B_INPUT_RESERVOIR!$A$4:$A$1807,A122,B_INPUT_RESERVOIR!$C$4:$C$1807,B122))</f>
        <v>0</v>
      </c>
      <c r="E122" s="12">
        <f>IF(C122=0,0,SUMIFS(B_INPUT_RESERVOIR!$J$4:$J$1807,B_INPUT_RESERVOIR!$A$4:$A$1807,A122,B_INPUT_RESERVOIR!$C$4:$C$1807,B122))</f>
        <v>0</v>
      </c>
      <c r="F122" s="12">
        <f>IF(C122=0,"",SUMIFS(B_INPUT_RESERVOIR!$G$4:$G$1807,B_INPUT_RESERVOIR!$A$4:$A$1807,A122,B_INPUT_RESERVOIR!$C$4:$C$1807,B122))</f>
        <v>0</v>
      </c>
      <c r="G122" s="12">
        <f>IF(C122=0,"",SUMIFS(B_INPUT_RESERVOIR!$F$4:$F$1807,B_INPUT_RESERVOIR!$A$4:$A$1807,A122,B_INPUT_RESERVOIR!$C$4:$C$1807,B122))</f>
        <v>0</v>
      </c>
      <c r="H122" s="8">
        <f>IF(C122=0,"",SUMIFS(B_INPUT_RESERVOIR!$K$4:$K$1807,B_INPUT_RESERVOIR!$A$4:$A$1807,A122,B_INPUT_RESERVOIR!$C$4:$C$1807,B122))</f>
        <v>0</v>
      </c>
      <c r="I122" s="10">
        <f t="shared" si="11"/>
        <v>1</v>
      </c>
      <c r="J122" s="10" t="str">
        <f t="shared" si="14"/>
        <v/>
      </c>
      <c r="K122" s="10">
        <f>IF(H122=0,0,SUMIFS(B_INPUT_RESERVOIR!$L$4:$L$1807,B_INPUT_RESERVOIR!$A$4:$A$1807,A122,B_INPUT_RESERVOIR!$C$4:$C$1807,B122)/H122)</f>
        <v>0</v>
      </c>
      <c r="L122" s="10">
        <f t="shared" si="12"/>
        <v>1</v>
      </c>
      <c r="M122" s="10">
        <f>IF(SUMIFS(B_INPUT_RESERVOIR!$N$4:$N$1807,B_INPUT_RESERVOIR!$A$4:$A$1807,A122,B_INPUT_RESERVOIR!$C$4:$C$1807,B122)=0,1,SUMIFS(B_INPUT_RESERVOIR!$O$4:$O$1807,B_INPUT_RESERVOIR!$A$4:$A$1807,A122,B_INPUT_RESERVOIR!$C$4:$C$1807,B122)/SUMIFS(B_INPUT_RESERVOIR!$N$4:$N$1807,B_INPUT_RESERVOIR!$A$4:$A$1807,A122,B_INPUT_RESERVOIR!$C$4:$C$1807,B122))</f>
        <v>1</v>
      </c>
      <c r="N122" s="8">
        <f t="shared" si="9"/>
        <v>0</v>
      </c>
      <c r="O122" s="12">
        <f>_xlfn.SINGLE(IF(C122=0,"",_xlfn.MINIFS(B_INPUT_RESERVOIR!$H$4:$H$1807,B_INPUT_RESERVOIR!$A$4:$A$1807,A122,B_INPUT_RESERVOIR!$C$4:$C$1807,B122)))</f>
        <v>0</v>
      </c>
      <c r="P122" s="12">
        <f>IF(C122=0,"",SUMIFS(B_INPUT_RESERVOIR!$H$4:$H$1807,B_INPUT_RESERVOIR!$A$4:$A$1807,A122,B_INPUT_RESERVOIR!$C$4:$C$1807,B122,B_INPUT_RESERVOIR!$D$4:$D$1807,12))</f>
        <v>0</v>
      </c>
      <c r="Q122" s="13" t="str">
        <f t="shared" si="15"/>
        <v>No failure</v>
      </c>
    </row>
    <row r="123" spans="1:17" x14ac:dyDescent="0.25">
      <c r="A123" s="4" t="s">
        <v>98</v>
      </c>
      <c r="B123" s="4">
        <f t="shared" si="13"/>
        <v>2045</v>
      </c>
      <c r="C123" s="8">
        <f>COUNTIFS(B_INPUT_RESERVOIR!$A$4:$A$1807,A123,B_INPUT_RESERVOIR!$C$4:$C$1807,B123)</f>
        <v>9</v>
      </c>
      <c r="D123" s="12">
        <f>IF(C123=0,0,SUMIFS(B_INPUT_RESERVOIR!$E$4:$E$1807,B_INPUT_RESERVOIR!$A$4:$A$1807,A123,B_INPUT_RESERVOIR!$C$4:$C$1807,B123))</f>
        <v>0</v>
      </c>
      <c r="E123" s="12">
        <f>IF(C123=0,0,SUMIFS(B_INPUT_RESERVOIR!$J$4:$J$1807,B_INPUT_RESERVOIR!$A$4:$A$1807,A123,B_INPUT_RESERVOIR!$C$4:$C$1807,B123))</f>
        <v>0</v>
      </c>
      <c r="F123" s="12">
        <f>IF(C123=0,"",SUMIFS(B_INPUT_RESERVOIR!$G$4:$G$1807,B_INPUT_RESERVOIR!$A$4:$A$1807,A123,B_INPUT_RESERVOIR!$C$4:$C$1807,B123))</f>
        <v>0</v>
      </c>
      <c r="G123" s="12">
        <f>IF(C123=0,"",SUMIFS(B_INPUT_RESERVOIR!$F$4:$F$1807,B_INPUT_RESERVOIR!$A$4:$A$1807,A123,B_INPUT_RESERVOIR!$C$4:$C$1807,B123))</f>
        <v>0</v>
      </c>
      <c r="H123" s="8">
        <f>IF(C123=0,"",SUMIFS(B_INPUT_RESERVOIR!$K$4:$K$1807,B_INPUT_RESERVOIR!$A$4:$A$1807,A123,B_INPUT_RESERVOIR!$C$4:$C$1807,B123))</f>
        <v>0</v>
      </c>
      <c r="I123" s="10">
        <f t="shared" si="11"/>
        <v>1</v>
      </c>
      <c r="J123" s="10" t="str">
        <f t="shared" si="14"/>
        <v/>
      </c>
      <c r="K123" s="10">
        <f>IF(H123=0,0,SUMIFS(B_INPUT_RESERVOIR!$L$4:$L$1807,B_INPUT_RESERVOIR!$A$4:$A$1807,A123,B_INPUT_RESERVOIR!$C$4:$C$1807,B123)/H123)</f>
        <v>0</v>
      </c>
      <c r="L123" s="10">
        <f t="shared" si="12"/>
        <v>1</v>
      </c>
      <c r="M123" s="10">
        <f>IF(SUMIFS(B_INPUT_RESERVOIR!$N$4:$N$1807,B_INPUT_RESERVOIR!$A$4:$A$1807,A123,B_INPUT_RESERVOIR!$C$4:$C$1807,B123)=0,1,SUMIFS(B_INPUT_RESERVOIR!$O$4:$O$1807,B_INPUT_RESERVOIR!$A$4:$A$1807,A123,B_INPUT_RESERVOIR!$C$4:$C$1807,B123)/SUMIFS(B_INPUT_RESERVOIR!$N$4:$N$1807,B_INPUT_RESERVOIR!$A$4:$A$1807,A123,B_INPUT_RESERVOIR!$C$4:$C$1807,B123))</f>
        <v>1</v>
      </c>
      <c r="N123" s="8">
        <f t="shared" si="9"/>
        <v>0</v>
      </c>
      <c r="O123" s="12">
        <f>_xlfn.SINGLE(IF(C123=0,"",_xlfn.MINIFS(B_INPUT_RESERVOIR!$H$4:$H$1807,B_INPUT_RESERVOIR!$A$4:$A$1807,A123,B_INPUT_RESERVOIR!$C$4:$C$1807,B123)))</f>
        <v>0</v>
      </c>
      <c r="P123" s="12">
        <f>IF(C123=0,"",SUMIFS(B_INPUT_RESERVOIR!$H$4:$H$1807,B_INPUT_RESERVOIR!$A$4:$A$1807,A123,B_INPUT_RESERVOIR!$C$4:$C$1807,B123,B_INPUT_RESERVOIR!$D$4:$D$1807,12))</f>
        <v>0</v>
      </c>
      <c r="Q123" s="13" t="str">
        <f t="shared" si="15"/>
        <v>No failure</v>
      </c>
    </row>
    <row r="124" spans="1:17" x14ac:dyDescent="0.25">
      <c r="A124" s="4" t="s">
        <v>99</v>
      </c>
      <c r="B124" s="4">
        <f t="shared" si="13"/>
        <v>2016</v>
      </c>
      <c r="C124" s="8">
        <f>COUNTIFS(B_INPUT_RESERVOIR!$A$4:$A$1807,A124,B_INPUT_RESERVOIR!$C$4:$C$1807,B124)</f>
        <v>12</v>
      </c>
      <c r="D124" s="12">
        <f>IF(C124=0,0,SUMIFS(B_INPUT_RESERVOIR!$E$4:$E$1807,B_INPUT_RESERVOIR!$A$4:$A$1807,A124,B_INPUT_RESERVOIR!$C$4:$C$1807,B124))</f>
        <v>6084057.141040477</v>
      </c>
      <c r="E124" s="12">
        <f>IF(C124=0,0,SUMIFS(B_INPUT_RESERVOIR!$J$4:$J$1807,B_INPUT_RESERVOIR!$A$4:$A$1807,A124,B_INPUT_RESERVOIR!$C$4:$C$1807,B124))</f>
        <v>6084057.141040477</v>
      </c>
      <c r="F124" s="12">
        <f>IF(C124=0,"",SUMIFS(B_INPUT_RESERVOIR!$G$4:$G$1807,B_INPUT_RESERVOIR!$A$4:$A$1807,A124,B_INPUT_RESERVOIR!$C$4:$C$1807,B124))</f>
        <v>0</v>
      </c>
      <c r="G124" s="12">
        <f>IF(C124=0,"",SUMIFS(B_INPUT_RESERVOIR!$F$4:$F$1807,B_INPUT_RESERVOIR!$A$4:$A$1807,A124,B_INPUT_RESERVOIR!$C$4:$C$1807,B124))</f>
        <v>0</v>
      </c>
      <c r="H124" s="8">
        <f>IF(C124=0,"",SUMIFS(B_INPUT_RESERVOIR!$K$4:$K$1807,B_INPUT_RESERVOIR!$A$4:$A$1807,A124,B_INPUT_RESERVOIR!$C$4:$C$1807,B124))</f>
        <v>0</v>
      </c>
      <c r="I124" s="10">
        <f t="shared" si="11"/>
        <v>1</v>
      </c>
      <c r="J124" s="10">
        <f t="shared" si="14"/>
        <v>1</v>
      </c>
      <c r="K124" s="10">
        <f>IF(H124=0,0,SUMIFS(B_INPUT_RESERVOIR!$L$4:$L$1807,B_INPUT_RESERVOIR!$A$4:$A$1807,A124,B_INPUT_RESERVOIR!$C$4:$C$1807,B124)/H124)</f>
        <v>0</v>
      </c>
      <c r="L124" s="10">
        <f t="shared" si="12"/>
        <v>1</v>
      </c>
      <c r="M124" s="10">
        <f>IF(SUMIFS(B_INPUT_RESERVOIR!$N$4:$N$1807,B_INPUT_RESERVOIR!$A$4:$A$1807,A124,B_INPUT_RESERVOIR!$C$4:$C$1807,B124)=0,1,SUMIFS(B_INPUT_RESERVOIR!$O$4:$O$1807,B_INPUT_RESERVOIR!$A$4:$A$1807,A124,B_INPUT_RESERVOIR!$C$4:$C$1807,B124)/SUMIFS(B_INPUT_RESERVOIR!$N$4:$N$1807,B_INPUT_RESERVOIR!$A$4:$A$1807,A124,B_INPUT_RESERVOIR!$C$4:$C$1807,B124))</f>
        <v>1</v>
      </c>
      <c r="N124" s="8">
        <f t="shared" si="9"/>
        <v>0</v>
      </c>
      <c r="O124" s="12">
        <f>_xlfn.SINGLE(IF(C124=0,"",_xlfn.MINIFS(B_INPUT_RESERVOIR!$H$4:$H$1807,B_INPUT_RESERVOIR!$A$4:$A$1807,A124,B_INPUT_RESERVOIR!$C$4:$C$1807,B124)))</f>
        <v>32533129.826334115</v>
      </c>
      <c r="P124" s="12">
        <f>IF(C124=0,"",SUMIFS(B_INPUT_RESERVOIR!$H$4:$H$1807,B_INPUT_RESERVOIR!$A$4:$A$1807,A124,B_INPUT_RESERVOIR!$C$4:$C$1807,B124,B_INPUT_RESERVOIR!$D$4:$D$1807,12))</f>
        <v>32906277.992829744</v>
      </c>
      <c r="Q124" s="13" t="str">
        <f t="shared" si="15"/>
        <v>No failure</v>
      </c>
    </row>
    <row r="125" spans="1:17" x14ac:dyDescent="0.25">
      <c r="A125" s="4" t="s">
        <v>99</v>
      </c>
      <c r="B125" s="4">
        <f t="shared" si="13"/>
        <v>2017</v>
      </c>
      <c r="C125" s="8">
        <f>COUNTIFS(B_INPUT_RESERVOIR!$A$4:$A$1807,A125,B_INPUT_RESERVOIR!$C$4:$C$1807,B125)</f>
        <v>12</v>
      </c>
      <c r="D125" s="12">
        <f>IF(C125=0,0,SUMIFS(B_INPUT_RESERVOIR!$E$4:$E$1807,B_INPUT_RESERVOIR!$A$4:$A$1807,A125,B_INPUT_RESERVOIR!$C$4:$C$1807,B125))</f>
        <v>6414431.5239920504</v>
      </c>
      <c r="E125" s="12">
        <f>IF(C125=0,0,SUMIFS(B_INPUT_RESERVOIR!$J$4:$J$1807,B_INPUT_RESERVOIR!$A$4:$A$1807,A125,B_INPUT_RESERVOIR!$C$4:$C$1807,B125))</f>
        <v>6414431.5239920504</v>
      </c>
      <c r="F125" s="12">
        <f>IF(C125=0,"",SUMIFS(B_INPUT_RESERVOIR!$G$4:$G$1807,B_INPUT_RESERVOIR!$A$4:$A$1807,A125,B_INPUT_RESERVOIR!$C$4:$C$1807,B125))</f>
        <v>0</v>
      </c>
      <c r="G125" s="12">
        <f>IF(C125=0,"",SUMIFS(B_INPUT_RESERVOIR!$F$4:$F$1807,B_INPUT_RESERVOIR!$A$4:$A$1807,A125,B_INPUT_RESERVOIR!$C$4:$C$1807,B125))</f>
        <v>0</v>
      </c>
      <c r="H125" s="8">
        <f>IF(C125=0,"",SUMIFS(B_INPUT_RESERVOIR!$K$4:$K$1807,B_INPUT_RESERVOIR!$A$4:$A$1807,A125,B_INPUT_RESERVOIR!$C$4:$C$1807,B125))</f>
        <v>0</v>
      </c>
      <c r="I125" s="10">
        <f t="shared" si="11"/>
        <v>1</v>
      </c>
      <c r="J125" s="10">
        <f t="shared" si="14"/>
        <v>1</v>
      </c>
      <c r="K125" s="10">
        <f>IF(H125=0,0,SUMIFS(B_INPUT_RESERVOIR!$L$4:$L$1807,B_INPUT_RESERVOIR!$A$4:$A$1807,A125,B_INPUT_RESERVOIR!$C$4:$C$1807,B125)/H125)</f>
        <v>0</v>
      </c>
      <c r="L125" s="10">
        <f t="shared" si="12"/>
        <v>1</v>
      </c>
      <c r="M125" s="10">
        <f>IF(SUMIFS(B_INPUT_RESERVOIR!$N$4:$N$1807,B_INPUT_RESERVOIR!$A$4:$A$1807,A125,B_INPUT_RESERVOIR!$C$4:$C$1807,B125)=0,1,SUMIFS(B_INPUT_RESERVOIR!$O$4:$O$1807,B_INPUT_RESERVOIR!$A$4:$A$1807,A125,B_INPUT_RESERVOIR!$C$4:$C$1807,B125)/SUMIFS(B_INPUT_RESERVOIR!$N$4:$N$1807,B_INPUT_RESERVOIR!$A$4:$A$1807,A125,B_INPUT_RESERVOIR!$C$4:$C$1807,B125))</f>
        <v>1</v>
      </c>
      <c r="N125" s="8">
        <f t="shared" si="9"/>
        <v>0</v>
      </c>
      <c r="O125" s="12">
        <f>_xlfn.SINGLE(IF(C125=0,"",_xlfn.MINIFS(B_INPUT_RESERVOIR!$H$4:$H$1807,B_INPUT_RESERVOIR!$A$4:$A$1807,A125,B_INPUT_RESERVOIR!$C$4:$C$1807,B125)))</f>
        <v>23980768.167800784</v>
      </c>
      <c r="P125" s="12">
        <f>IF(C125=0,"",SUMIFS(B_INPUT_RESERVOIR!$H$4:$H$1807,B_INPUT_RESERVOIR!$A$4:$A$1807,A125,B_INPUT_RESERVOIR!$C$4:$C$1807,B125,B_INPUT_RESERVOIR!$D$4:$D$1807,12))</f>
        <v>24125822.800540805</v>
      </c>
      <c r="Q125" s="13" t="str">
        <f t="shared" si="15"/>
        <v>No failure</v>
      </c>
    </row>
    <row r="126" spans="1:17" x14ac:dyDescent="0.25">
      <c r="A126" s="4" t="s">
        <v>99</v>
      </c>
      <c r="B126" s="4">
        <f t="shared" si="13"/>
        <v>2018</v>
      </c>
      <c r="C126" s="8">
        <f>COUNTIFS(B_INPUT_RESERVOIR!$A$4:$A$1807,A126,B_INPUT_RESERVOIR!$C$4:$C$1807,B126)</f>
        <v>12</v>
      </c>
      <c r="D126" s="12">
        <f>IF(C126=0,0,SUMIFS(B_INPUT_RESERVOIR!$E$4:$E$1807,B_INPUT_RESERVOIR!$A$4:$A$1807,A126,B_INPUT_RESERVOIR!$C$4:$C$1807,B126))</f>
        <v>5572097.0060528554</v>
      </c>
      <c r="E126" s="12">
        <f>IF(C126=0,0,SUMIFS(B_INPUT_RESERVOIR!$J$4:$J$1807,B_INPUT_RESERVOIR!$A$4:$A$1807,A126,B_INPUT_RESERVOIR!$C$4:$C$1807,B126))</f>
        <v>5572097.0060528554</v>
      </c>
      <c r="F126" s="12">
        <f>IF(C126=0,"",SUMIFS(B_INPUT_RESERVOIR!$G$4:$G$1807,B_INPUT_RESERVOIR!$A$4:$A$1807,A126,B_INPUT_RESERVOIR!$C$4:$C$1807,B126))</f>
        <v>0</v>
      </c>
      <c r="G126" s="12">
        <f>IF(C126=0,"",SUMIFS(B_INPUT_RESERVOIR!$F$4:$F$1807,B_INPUT_RESERVOIR!$A$4:$A$1807,A126,B_INPUT_RESERVOIR!$C$4:$C$1807,B126))</f>
        <v>0</v>
      </c>
      <c r="H126" s="8">
        <f>IF(C126=0,"",SUMIFS(B_INPUT_RESERVOIR!$K$4:$K$1807,B_INPUT_RESERVOIR!$A$4:$A$1807,A126,B_INPUT_RESERVOIR!$C$4:$C$1807,B126))</f>
        <v>0</v>
      </c>
      <c r="I126" s="10">
        <f t="shared" si="11"/>
        <v>1</v>
      </c>
      <c r="J126" s="10">
        <f t="shared" si="14"/>
        <v>1</v>
      </c>
      <c r="K126" s="10">
        <f>IF(H126=0,0,SUMIFS(B_INPUT_RESERVOIR!$L$4:$L$1807,B_INPUT_RESERVOIR!$A$4:$A$1807,A126,B_INPUT_RESERVOIR!$C$4:$C$1807,B126)/H126)</f>
        <v>0</v>
      </c>
      <c r="L126" s="10">
        <f t="shared" si="12"/>
        <v>1</v>
      </c>
      <c r="M126" s="10">
        <f>IF(SUMIFS(B_INPUT_RESERVOIR!$N$4:$N$1807,B_INPUT_RESERVOIR!$A$4:$A$1807,A126,B_INPUT_RESERVOIR!$C$4:$C$1807,B126)=0,1,SUMIFS(B_INPUT_RESERVOIR!$O$4:$O$1807,B_INPUT_RESERVOIR!$A$4:$A$1807,A126,B_INPUT_RESERVOIR!$C$4:$C$1807,B126)/SUMIFS(B_INPUT_RESERVOIR!$N$4:$N$1807,B_INPUT_RESERVOIR!$A$4:$A$1807,A126,B_INPUT_RESERVOIR!$C$4:$C$1807,B126))</f>
        <v>1</v>
      </c>
      <c r="N126" s="8">
        <f t="shared" si="9"/>
        <v>0</v>
      </c>
      <c r="O126" s="12">
        <f>_xlfn.SINGLE(IF(C126=0,"",_xlfn.MINIFS(B_INPUT_RESERVOIR!$H$4:$H$1807,B_INPUT_RESERVOIR!$A$4:$A$1807,A126,B_INPUT_RESERVOIR!$C$4:$C$1807,B126)))</f>
        <v>24235067.872259673</v>
      </c>
      <c r="P126" s="12">
        <f>IF(C126=0,"",SUMIFS(B_INPUT_RESERVOIR!$H$4:$H$1807,B_INPUT_RESERVOIR!$A$4:$A$1807,A126,B_INPUT_RESERVOIR!$C$4:$C$1807,B126,B_INPUT_RESERVOIR!$D$4:$D$1807,12))</f>
        <v>26709109.284647707</v>
      </c>
      <c r="Q126" s="13" t="str">
        <f t="shared" si="15"/>
        <v>No failure</v>
      </c>
    </row>
    <row r="127" spans="1:17" x14ac:dyDescent="0.25">
      <c r="A127" s="4" t="s">
        <v>99</v>
      </c>
      <c r="B127" s="4">
        <f t="shared" si="13"/>
        <v>2019</v>
      </c>
      <c r="C127" s="8">
        <f>COUNTIFS(B_INPUT_RESERVOIR!$A$4:$A$1807,A127,B_INPUT_RESERVOIR!$C$4:$C$1807,B127)</f>
        <v>12</v>
      </c>
      <c r="D127" s="12">
        <f>IF(C127=0,0,SUMIFS(B_INPUT_RESERVOIR!$E$4:$E$1807,B_INPUT_RESERVOIR!$A$4:$A$1807,A127,B_INPUT_RESERVOIR!$C$4:$C$1807,B127))</f>
        <v>6391513.2441372536</v>
      </c>
      <c r="E127" s="12">
        <f>IF(C127=0,0,SUMIFS(B_INPUT_RESERVOIR!$J$4:$J$1807,B_INPUT_RESERVOIR!$A$4:$A$1807,A127,B_INPUT_RESERVOIR!$C$4:$C$1807,B127))</f>
        <v>6391513.2441372536</v>
      </c>
      <c r="F127" s="12">
        <f>IF(C127=0,"",SUMIFS(B_INPUT_RESERVOIR!$G$4:$G$1807,B_INPUT_RESERVOIR!$A$4:$A$1807,A127,B_INPUT_RESERVOIR!$C$4:$C$1807,B127))</f>
        <v>0</v>
      </c>
      <c r="G127" s="12">
        <f>IF(C127=0,"",SUMIFS(B_INPUT_RESERVOIR!$F$4:$F$1807,B_INPUT_RESERVOIR!$A$4:$A$1807,A127,B_INPUT_RESERVOIR!$C$4:$C$1807,B127))</f>
        <v>0</v>
      </c>
      <c r="H127" s="8">
        <f>IF(C127=0,"",SUMIFS(B_INPUT_RESERVOIR!$K$4:$K$1807,B_INPUT_RESERVOIR!$A$4:$A$1807,A127,B_INPUT_RESERVOIR!$C$4:$C$1807,B127))</f>
        <v>0</v>
      </c>
      <c r="I127" s="10">
        <f t="shared" si="11"/>
        <v>1</v>
      </c>
      <c r="J127" s="10">
        <f t="shared" si="14"/>
        <v>1</v>
      </c>
      <c r="K127" s="10">
        <f>IF(H127=0,0,SUMIFS(B_INPUT_RESERVOIR!$L$4:$L$1807,B_INPUT_RESERVOIR!$A$4:$A$1807,A127,B_INPUT_RESERVOIR!$C$4:$C$1807,B127)/H127)</f>
        <v>0</v>
      </c>
      <c r="L127" s="10">
        <f t="shared" si="12"/>
        <v>1</v>
      </c>
      <c r="M127" s="10">
        <f>IF(SUMIFS(B_INPUT_RESERVOIR!$N$4:$N$1807,B_INPUT_RESERVOIR!$A$4:$A$1807,A127,B_INPUT_RESERVOIR!$C$4:$C$1807,B127)=0,1,SUMIFS(B_INPUT_RESERVOIR!$O$4:$O$1807,B_INPUT_RESERVOIR!$A$4:$A$1807,A127,B_INPUT_RESERVOIR!$C$4:$C$1807,B127)/SUMIFS(B_INPUT_RESERVOIR!$N$4:$N$1807,B_INPUT_RESERVOIR!$A$4:$A$1807,A127,B_INPUT_RESERVOIR!$C$4:$C$1807,B127))</f>
        <v>1</v>
      </c>
      <c r="N127" s="8">
        <f t="shared" si="9"/>
        <v>0</v>
      </c>
      <c r="O127" s="12">
        <f>_xlfn.SINGLE(IF(C127=0,"",_xlfn.MINIFS(B_INPUT_RESERVOIR!$H$4:$H$1807,B_INPUT_RESERVOIR!$A$4:$A$1807,A127,B_INPUT_RESERVOIR!$C$4:$C$1807,B127)))</f>
        <v>17951866.058937728</v>
      </c>
      <c r="P127" s="12">
        <f>IF(C127=0,"",SUMIFS(B_INPUT_RESERVOIR!$H$4:$H$1807,B_INPUT_RESERVOIR!$A$4:$A$1807,A127,B_INPUT_RESERVOIR!$C$4:$C$1807,B127,B_INPUT_RESERVOIR!$D$4:$D$1807,12))</f>
        <v>21137221.205997299</v>
      </c>
      <c r="Q127" s="13" t="str">
        <f t="shared" si="15"/>
        <v>No failure</v>
      </c>
    </row>
    <row r="128" spans="1:17" x14ac:dyDescent="0.25">
      <c r="A128" s="4" t="s">
        <v>99</v>
      </c>
      <c r="B128" s="4">
        <f t="shared" si="13"/>
        <v>2020</v>
      </c>
      <c r="C128" s="8">
        <f>COUNTIFS(B_INPUT_RESERVOIR!$A$4:$A$1807,A128,B_INPUT_RESERVOIR!$C$4:$C$1807,B128)</f>
        <v>12</v>
      </c>
      <c r="D128" s="12">
        <f>IF(C128=0,0,SUMIFS(B_INPUT_RESERVOIR!$E$4:$E$1807,B_INPUT_RESERVOIR!$A$4:$A$1807,A128,B_INPUT_RESERVOIR!$C$4:$C$1807,B128))</f>
        <v>5905505.0613197898</v>
      </c>
      <c r="E128" s="12">
        <f>IF(C128=0,0,SUMIFS(B_INPUT_RESERVOIR!$J$4:$J$1807,B_INPUT_RESERVOIR!$A$4:$A$1807,A128,B_INPUT_RESERVOIR!$C$4:$C$1807,B128))</f>
        <v>5905505.0613197898</v>
      </c>
      <c r="F128" s="12">
        <f>IF(C128=0,"",SUMIFS(B_INPUT_RESERVOIR!$G$4:$G$1807,B_INPUT_RESERVOIR!$A$4:$A$1807,A128,B_INPUT_RESERVOIR!$C$4:$C$1807,B128))</f>
        <v>0</v>
      </c>
      <c r="G128" s="12">
        <f>IF(C128=0,"",SUMIFS(B_INPUT_RESERVOIR!$F$4:$F$1807,B_INPUT_RESERVOIR!$A$4:$A$1807,A128,B_INPUT_RESERVOIR!$C$4:$C$1807,B128))</f>
        <v>0</v>
      </c>
      <c r="H128" s="8">
        <f>IF(C128=0,"",SUMIFS(B_INPUT_RESERVOIR!$K$4:$K$1807,B_INPUT_RESERVOIR!$A$4:$A$1807,A128,B_INPUT_RESERVOIR!$C$4:$C$1807,B128))</f>
        <v>0</v>
      </c>
      <c r="I128" s="10">
        <f t="shared" si="11"/>
        <v>1</v>
      </c>
      <c r="J128" s="10">
        <f t="shared" si="14"/>
        <v>1</v>
      </c>
      <c r="K128" s="10">
        <f>IF(H128=0,0,SUMIFS(B_INPUT_RESERVOIR!$L$4:$L$1807,B_INPUT_RESERVOIR!$A$4:$A$1807,A128,B_INPUT_RESERVOIR!$C$4:$C$1807,B128)/H128)</f>
        <v>0</v>
      </c>
      <c r="L128" s="10">
        <f t="shared" si="12"/>
        <v>1</v>
      </c>
      <c r="M128" s="10">
        <f>IF(SUMIFS(B_INPUT_RESERVOIR!$N$4:$N$1807,B_INPUT_RESERVOIR!$A$4:$A$1807,A128,B_INPUT_RESERVOIR!$C$4:$C$1807,B128)=0,1,SUMIFS(B_INPUT_RESERVOIR!$O$4:$O$1807,B_INPUT_RESERVOIR!$A$4:$A$1807,A128,B_INPUT_RESERVOIR!$C$4:$C$1807,B128)/SUMIFS(B_INPUT_RESERVOIR!$N$4:$N$1807,B_INPUT_RESERVOIR!$A$4:$A$1807,A128,B_INPUT_RESERVOIR!$C$4:$C$1807,B128))</f>
        <v>1</v>
      </c>
      <c r="N128" s="8">
        <f t="shared" si="9"/>
        <v>0</v>
      </c>
      <c r="O128" s="12">
        <f>_xlfn.SINGLE(IF(C128=0,"",_xlfn.MINIFS(B_INPUT_RESERVOIR!$H$4:$H$1807,B_INPUT_RESERVOIR!$A$4:$A$1807,A128,B_INPUT_RESERVOIR!$C$4:$C$1807,B128)))</f>
        <v>15198466.60903999</v>
      </c>
      <c r="P128" s="12">
        <f>IF(C128=0,"",SUMIFS(B_INPUT_RESERVOIR!$H$4:$H$1807,B_INPUT_RESERVOIR!$A$4:$A$1807,A128,B_INPUT_RESERVOIR!$C$4:$C$1807,B128,B_INPUT_RESERVOIR!$D$4:$D$1807,12))</f>
        <v>18223271.032426208</v>
      </c>
      <c r="Q128" s="13" t="str">
        <f t="shared" si="15"/>
        <v>No failure</v>
      </c>
    </row>
    <row r="129" spans="1:17" x14ac:dyDescent="0.25">
      <c r="A129" s="4" t="s">
        <v>99</v>
      </c>
      <c r="B129" s="4">
        <f t="shared" si="13"/>
        <v>2021</v>
      </c>
      <c r="C129" s="8">
        <f>COUNTIFS(B_INPUT_RESERVOIR!$A$4:$A$1807,A129,B_INPUT_RESERVOIR!$C$4:$C$1807,B129)</f>
        <v>12</v>
      </c>
      <c r="D129" s="12">
        <f>IF(C129=0,0,SUMIFS(B_INPUT_RESERVOIR!$E$4:$E$1807,B_INPUT_RESERVOIR!$A$4:$A$1807,A129,B_INPUT_RESERVOIR!$C$4:$C$1807,B129))</f>
        <v>6395929.1316958023</v>
      </c>
      <c r="E129" s="12">
        <f>IF(C129=0,0,SUMIFS(B_INPUT_RESERVOIR!$J$4:$J$1807,B_INPUT_RESERVOIR!$A$4:$A$1807,A129,B_INPUT_RESERVOIR!$C$4:$C$1807,B129))</f>
        <v>6395929.1316958023</v>
      </c>
      <c r="F129" s="12">
        <f>IF(C129=0,"",SUMIFS(B_INPUT_RESERVOIR!$G$4:$G$1807,B_INPUT_RESERVOIR!$A$4:$A$1807,A129,B_INPUT_RESERVOIR!$C$4:$C$1807,B129))</f>
        <v>0</v>
      </c>
      <c r="G129" s="12">
        <f>IF(C129=0,"",SUMIFS(B_INPUT_RESERVOIR!$F$4:$F$1807,B_INPUT_RESERVOIR!$A$4:$A$1807,A129,B_INPUT_RESERVOIR!$C$4:$C$1807,B129))</f>
        <v>0</v>
      </c>
      <c r="H129" s="8">
        <f>IF(C129=0,"",SUMIFS(B_INPUT_RESERVOIR!$K$4:$K$1807,B_INPUT_RESERVOIR!$A$4:$A$1807,A129,B_INPUT_RESERVOIR!$C$4:$C$1807,B129))</f>
        <v>0</v>
      </c>
      <c r="I129" s="10">
        <f t="shared" si="11"/>
        <v>1</v>
      </c>
      <c r="J129" s="10">
        <f t="shared" si="14"/>
        <v>1</v>
      </c>
      <c r="K129" s="10">
        <f>IF(H129=0,0,SUMIFS(B_INPUT_RESERVOIR!$L$4:$L$1807,B_INPUT_RESERVOIR!$A$4:$A$1807,A129,B_INPUT_RESERVOIR!$C$4:$C$1807,B129)/H129)</f>
        <v>0</v>
      </c>
      <c r="L129" s="10">
        <f t="shared" si="12"/>
        <v>1</v>
      </c>
      <c r="M129" s="10">
        <f>IF(SUMIFS(B_INPUT_RESERVOIR!$N$4:$N$1807,B_INPUT_RESERVOIR!$A$4:$A$1807,A129,B_INPUT_RESERVOIR!$C$4:$C$1807,B129)=0,1,SUMIFS(B_INPUT_RESERVOIR!$O$4:$O$1807,B_INPUT_RESERVOIR!$A$4:$A$1807,A129,B_INPUT_RESERVOIR!$C$4:$C$1807,B129)/SUMIFS(B_INPUT_RESERVOIR!$N$4:$N$1807,B_INPUT_RESERVOIR!$A$4:$A$1807,A129,B_INPUT_RESERVOIR!$C$4:$C$1807,B129))</f>
        <v>1</v>
      </c>
      <c r="N129" s="8">
        <f t="shared" si="9"/>
        <v>0</v>
      </c>
      <c r="O129" s="12">
        <f>_xlfn.SINGLE(IF(C129=0,"",_xlfn.MINIFS(B_INPUT_RESERVOIR!$H$4:$H$1807,B_INPUT_RESERVOIR!$A$4:$A$1807,A129,B_INPUT_RESERVOIR!$C$4:$C$1807,B129)))</f>
        <v>17733657.417710185</v>
      </c>
      <c r="P129" s="12">
        <f>IF(C129=0,"",SUMIFS(B_INPUT_RESERVOIR!$H$4:$H$1807,B_INPUT_RESERVOIR!$A$4:$A$1807,A129,B_INPUT_RESERVOIR!$C$4:$C$1807,B129,B_INPUT_RESERVOIR!$D$4:$D$1807,12))</f>
        <v>17866639.809552502</v>
      </c>
      <c r="Q129" s="13" t="str">
        <f t="shared" si="15"/>
        <v>No failure</v>
      </c>
    </row>
    <row r="130" spans="1:17" x14ac:dyDescent="0.25">
      <c r="A130" s="4" t="s">
        <v>99</v>
      </c>
      <c r="B130" s="4">
        <f t="shared" si="13"/>
        <v>2022</v>
      </c>
      <c r="C130" s="8">
        <f>COUNTIFS(B_INPUT_RESERVOIR!$A$4:$A$1807,A130,B_INPUT_RESERVOIR!$C$4:$C$1807,B130)</f>
        <v>12</v>
      </c>
      <c r="D130" s="12">
        <f>IF(C130=0,0,SUMIFS(B_INPUT_RESERVOIR!$E$4:$E$1807,B_INPUT_RESERVOIR!$A$4:$A$1807,A130,B_INPUT_RESERVOIR!$C$4:$C$1807,B130))</f>
        <v>7661640.244949175</v>
      </c>
      <c r="E130" s="12">
        <f>IF(C130=0,0,SUMIFS(B_INPUT_RESERVOIR!$J$4:$J$1807,B_INPUT_RESERVOIR!$A$4:$A$1807,A130,B_INPUT_RESERVOIR!$C$4:$C$1807,B130))</f>
        <v>7661640.244949175</v>
      </c>
      <c r="F130" s="12">
        <f>IF(C130=0,"",SUMIFS(B_INPUT_RESERVOIR!$G$4:$G$1807,B_INPUT_RESERVOIR!$A$4:$A$1807,A130,B_INPUT_RESERVOIR!$C$4:$C$1807,B130))</f>
        <v>0</v>
      </c>
      <c r="G130" s="12">
        <f>IF(C130=0,"",SUMIFS(B_INPUT_RESERVOIR!$F$4:$F$1807,B_INPUT_RESERVOIR!$A$4:$A$1807,A130,B_INPUT_RESERVOIR!$C$4:$C$1807,B130))</f>
        <v>0</v>
      </c>
      <c r="H130" s="8">
        <f>IF(C130=0,"",SUMIFS(B_INPUT_RESERVOIR!$K$4:$K$1807,B_INPUT_RESERVOIR!$A$4:$A$1807,A130,B_INPUT_RESERVOIR!$C$4:$C$1807,B130))</f>
        <v>0</v>
      </c>
      <c r="I130" s="10">
        <f t="shared" si="11"/>
        <v>1</v>
      </c>
      <c r="J130" s="10">
        <f t="shared" si="14"/>
        <v>1</v>
      </c>
      <c r="K130" s="10">
        <f>IF(H130=0,0,SUMIFS(B_INPUT_RESERVOIR!$L$4:$L$1807,B_INPUT_RESERVOIR!$A$4:$A$1807,A130,B_INPUT_RESERVOIR!$C$4:$C$1807,B130)/H130)</f>
        <v>0</v>
      </c>
      <c r="L130" s="10">
        <f t="shared" si="12"/>
        <v>1</v>
      </c>
      <c r="M130" s="10">
        <f>IF(SUMIFS(B_INPUT_RESERVOIR!$N$4:$N$1807,B_INPUT_RESERVOIR!$A$4:$A$1807,A130,B_INPUT_RESERVOIR!$C$4:$C$1807,B130)=0,1,SUMIFS(B_INPUT_RESERVOIR!$O$4:$O$1807,B_INPUT_RESERVOIR!$A$4:$A$1807,A130,B_INPUT_RESERVOIR!$C$4:$C$1807,B130)/SUMIFS(B_INPUT_RESERVOIR!$N$4:$N$1807,B_INPUT_RESERVOIR!$A$4:$A$1807,A130,B_INPUT_RESERVOIR!$C$4:$C$1807,B130))</f>
        <v>1</v>
      </c>
      <c r="N130" s="8">
        <f t="shared" si="9"/>
        <v>0</v>
      </c>
      <c r="O130" s="12">
        <f>_xlfn.SINGLE(IF(C130=0,"",_xlfn.MINIFS(B_INPUT_RESERVOIR!$H$4:$H$1807,B_INPUT_RESERVOIR!$A$4:$A$1807,A130,B_INPUT_RESERVOIR!$C$4:$C$1807,B130)))</f>
        <v>9132444.9457283616</v>
      </c>
      <c r="P130" s="12">
        <f>IF(C130=0,"",SUMIFS(B_INPUT_RESERVOIR!$H$4:$H$1807,B_INPUT_RESERVOIR!$A$4:$A$1807,A130,B_INPUT_RESERVOIR!$C$4:$C$1807,B130,B_INPUT_RESERVOIR!$D$4:$D$1807,12))</f>
        <v>14976254.132132377</v>
      </c>
      <c r="Q130" s="13" t="str">
        <f t="shared" si="15"/>
        <v>No failure</v>
      </c>
    </row>
    <row r="131" spans="1:17" x14ac:dyDescent="0.25">
      <c r="A131" s="4" t="s">
        <v>99</v>
      </c>
      <c r="B131" s="4">
        <f t="shared" si="13"/>
        <v>2023</v>
      </c>
      <c r="C131" s="8">
        <f>COUNTIFS(B_INPUT_RESERVOIR!$A$4:$A$1807,A131,B_INPUT_RESERVOIR!$C$4:$C$1807,B131)</f>
        <v>12</v>
      </c>
      <c r="D131" s="12">
        <f>IF(C131=0,0,SUMIFS(B_INPUT_RESERVOIR!$E$4:$E$1807,B_INPUT_RESERVOIR!$A$4:$A$1807,A131,B_INPUT_RESERVOIR!$C$4:$C$1807,B131))</f>
        <v>8142962.1480750358</v>
      </c>
      <c r="E131" s="12">
        <f>IF(C131=0,0,SUMIFS(B_INPUT_RESERVOIR!$J$4:$J$1807,B_INPUT_RESERVOIR!$A$4:$A$1807,A131,B_INPUT_RESERVOIR!$C$4:$C$1807,B131))</f>
        <v>8142962.1480750358</v>
      </c>
      <c r="F131" s="12">
        <f>IF(C131=0,"",SUMIFS(B_INPUT_RESERVOIR!$G$4:$G$1807,B_INPUT_RESERVOIR!$A$4:$A$1807,A131,B_INPUT_RESERVOIR!$C$4:$C$1807,B131))</f>
        <v>0</v>
      </c>
      <c r="G131" s="12">
        <f>IF(C131=0,"",SUMIFS(B_INPUT_RESERVOIR!$F$4:$F$1807,B_INPUT_RESERVOIR!$A$4:$A$1807,A131,B_INPUT_RESERVOIR!$C$4:$C$1807,B131))</f>
        <v>0</v>
      </c>
      <c r="H131" s="8">
        <f>IF(C131=0,"",SUMIFS(B_INPUT_RESERVOIR!$K$4:$K$1807,B_INPUT_RESERVOIR!$A$4:$A$1807,A131,B_INPUT_RESERVOIR!$C$4:$C$1807,B131))</f>
        <v>0</v>
      </c>
      <c r="I131" s="10">
        <f t="shared" si="11"/>
        <v>1</v>
      </c>
      <c r="J131" s="10">
        <f t="shared" si="14"/>
        <v>1</v>
      </c>
      <c r="K131" s="10">
        <f>IF(H131=0,0,SUMIFS(B_INPUT_RESERVOIR!$L$4:$L$1807,B_INPUT_RESERVOIR!$A$4:$A$1807,A131,B_INPUT_RESERVOIR!$C$4:$C$1807,B131)/H131)</f>
        <v>0</v>
      </c>
      <c r="L131" s="10">
        <f t="shared" si="12"/>
        <v>1</v>
      </c>
      <c r="M131" s="10">
        <f>IF(SUMIFS(B_INPUT_RESERVOIR!$N$4:$N$1807,B_INPUT_RESERVOIR!$A$4:$A$1807,A131,B_INPUT_RESERVOIR!$C$4:$C$1807,B131)=0,1,SUMIFS(B_INPUT_RESERVOIR!$O$4:$O$1807,B_INPUT_RESERVOIR!$A$4:$A$1807,A131,B_INPUT_RESERVOIR!$C$4:$C$1807,B131)/SUMIFS(B_INPUT_RESERVOIR!$N$4:$N$1807,B_INPUT_RESERVOIR!$A$4:$A$1807,A131,B_INPUT_RESERVOIR!$C$4:$C$1807,B131))</f>
        <v>1</v>
      </c>
      <c r="N131" s="8">
        <f t="shared" si="9"/>
        <v>0</v>
      </c>
      <c r="O131" s="12">
        <f>_xlfn.SINGLE(IF(C131=0,"",_xlfn.MINIFS(B_INPUT_RESERVOIR!$H$4:$H$1807,B_INPUT_RESERVOIR!$A$4:$A$1807,A131,B_INPUT_RESERVOIR!$C$4:$C$1807,B131)))</f>
        <v>6715096.8996429667</v>
      </c>
      <c r="P131" s="12">
        <f>IF(C131=0,"",SUMIFS(B_INPUT_RESERVOIR!$H$4:$H$1807,B_INPUT_RESERVOIR!$A$4:$A$1807,A131,B_INPUT_RESERVOIR!$C$4:$C$1807,B131,B_INPUT_RESERVOIR!$D$4:$D$1807,12))</f>
        <v>12494383.521817004</v>
      </c>
      <c r="Q131" s="13" t="str">
        <f t="shared" si="15"/>
        <v>No failure</v>
      </c>
    </row>
    <row r="132" spans="1:17" x14ac:dyDescent="0.25">
      <c r="A132" s="4" t="s">
        <v>99</v>
      </c>
      <c r="B132" s="4">
        <f t="shared" si="13"/>
        <v>2024</v>
      </c>
      <c r="C132" s="8">
        <f>COUNTIFS(B_INPUT_RESERVOIR!$A$4:$A$1807,A132,B_INPUT_RESERVOIR!$C$4:$C$1807,B132)</f>
        <v>12</v>
      </c>
      <c r="D132" s="12">
        <f>IF(C132=0,0,SUMIFS(B_INPUT_RESERVOIR!$E$4:$E$1807,B_INPUT_RESERVOIR!$A$4:$A$1807,A132,B_INPUT_RESERVOIR!$C$4:$C$1807,B132))</f>
        <v>6726367.1356528737</v>
      </c>
      <c r="E132" s="12">
        <f>IF(C132=0,0,SUMIFS(B_INPUT_RESERVOIR!$J$4:$J$1807,B_INPUT_RESERVOIR!$A$4:$A$1807,A132,B_INPUT_RESERVOIR!$C$4:$C$1807,B132))</f>
        <v>6726367.1356528737</v>
      </c>
      <c r="F132" s="12">
        <f>IF(C132=0,"",SUMIFS(B_INPUT_RESERVOIR!$G$4:$G$1807,B_INPUT_RESERVOIR!$A$4:$A$1807,A132,B_INPUT_RESERVOIR!$C$4:$C$1807,B132))</f>
        <v>0</v>
      </c>
      <c r="G132" s="12">
        <f>IF(C132=0,"",SUMIFS(B_INPUT_RESERVOIR!$F$4:$F$1807,B_INPUT_RESERVOIR!$A$4:$A$1807,A132,B_INPUT_RESERVOIR!$C$4:$C$1807,B132))</f>
        <v>0</v>
      </c>
      <c r="H132" s="8">
        <f>IF(C132=0,"",SUMIFS(B_INPUT_RESERVOIR!$K$4:$K$1807,B_INPUT_RESERVOIR!$A$4:$A$1807,A132,B_INPUT_RESERVOIR!$C$4:$C$1807,B132))</f>
        <v>0</v>
      </c>
      <c r="I132" s="10">
        <f t="shared" si="11"/>
        <v>1</v>
      </c>
      <c r="J132" s="10">
        <f t="shared" ref="J132:J153" si="16">IF(D132=0,"",E132/D132)</f>
        <v>1</v>
      </c>
      <c r="K132" s="10">
        <f>IF(H132=0,0,SUMIFS(B_INPUT_RESERVOIR!$L$4:$L$1807,B_INPUT_RESERVOIR!$A$4:$A$1807,A132,B_INPUT_RESERVOIR!$C$4:$C$1807,B132)/H132)</f>
        <v>0</v>
      </c>
      <c r="L132" s="10">
        <f t="shared" si="12"/>
        <v>1</v>
      </c>
      <c r="M132" s="10">
        <f>IF(SUMIFS(B_INPUT_RESERVOIR!$N$4:$N$1807,B_INPUT_RESERVOIR!$A$4:$A$1807,A132,B_INPUT_RESERVOIR!$C$4:$C$1807,B132)=0,1,SUMIFS(B_INPUT_RESERVOIR!$O$4:$O$1807,B_INPUT_RESERVOIR!$A$4:$A$1807,A132,B_INPUT_RESERVOIR!$C$4:$C$1807,B132)/SUMIFS(B_INPUT_RESERVOIR!$N$4:$N$1807,B_INPUT_RESERVOIR!$A$4:$A$1807,A132,B_INPUT_RESERVOIR!$C$4:$C$1807,B132))</f>
        <v>1</v>
      </c>
      <c r="N132" s="8">
        <f t="shared" ref="N132:N153" si="17">IF(AND(G132&gt;0,F132&gt;0),1,0)</f>
        <v>0</v>
      </c>
      <c r="O132" s="12">
        <f>_xlfn.SINGLE(IF(C132=0,"",_xlfn.MINIFS(B_INPUT_RESERVOIR!$H$4:$H$1807,B_INPUT_RESERVOIR!$A$4:$A$1807,A132,B_INPUT_RESERVOIR!$C$4:$C$1807,B132)))</f>
        <v>12613150.371598739</v>
      </c>
      <c r="P132" s="12">
        <f>IF(C132=0,"",SUMIFS(B_INPUT_RESERVOIR!$H$4:$H$1807,B_INPUT_RESERVOIR!$A$4:$A$1807,A132,B_INPUT_RESERVOIR!$C$4:$C$1807,B132,B_INPUT_RESERVOIR!$D$4:$D$1807,12))</f>
        <v>15433471.944626929</v>
      </c>
      <c r="Q132" s="13" t="str">
        <f t="shared" ref="Q132:Q153" si="18">IF(C132=0,"No data",IF(H132&gt;0,"Failure year","No failure"))</f>
        <v>No failure</v>
      </c>
    </row>
    <row r="133" spans="1:17" x14ac:dyDescent="0.25">
      <c r="A133" s="4" t="s">
        <v>99</v>
      </c>
      <c r="B133" s="4">
        <f t="shared" si="13"/>
        <v>2025</v>
      </c>
      <c r="C133" s="8">
        <f>COUNTIFS(B_INPUT_RESERVOIR!$A$4:$A$1807,A133,B_INPUT_RESERVOIR!$C$4:$C$1807,B133)</f>
        <v>12</v>
      </c>
      <c r="D133" s="12">
        <f>IF(C133=0,0,SUMIFS(B_INPUT_RESERVOIR!$E$4:$E$1807,B_INPUT_RESERVOIR!$A$4:$A$1807,A133,B_INPUT_RESERVOIR!$C$4:$C$1807,B133))</f>
        <v>7452002.9784957794</v>
      </c>
      <c r="E133" s="12">
        <f>IF(C133=0,0,SUMIFS(B_INPUT_RESERVOIR!$J$4:$J$1807,B_INPUT_RESERVOIR!$A$4:$A$1807,A133,B_INPUT_RESERVOIR!$C$4:$C$1807,B133))</f>
        <v>7452002.9784957794</v>
      </c>
      <c r="F133" s="12">
        <f>IF(C133=0,"",SUMIFS(B_INPUT_RESERVOIR!$G$4:$G$1807,B_INPUT_RESERVOIR!$A$4:$A$1807,A133,B_INPUT_RESERVOIR!$C$4:$C$1807,B133))</f>
        <v>0</v>
      </c>
      <c r="G133" s="12">
        <f>IF(C133=0,"",SUMIFS(B_INPUT_RESERVOIR!$F$4:$F$1807,B_INPUT_RESERVOIR!$A$4:$A$1807,A133,B_INPUT_RESERVOIR!$C$4:$C$1807,B133))</f>
        <v>0</v>
      </c>
      <c r="H133" s="8">
        <f>IF(C133=0,"",SUMIFS(B_INPUT_RESERVOIR!$K$4:$K$1807,B_INPUT_RESERVOIR!$A$4:$A$1807,A133,B_INPUT_RESERVOIR!$C$4:$C$1807,B133))</f>
        <v>0</v>
      </c>
      <c r="I133" s="10">
        <f t="shared" ref="I133:I153" si="19">IF(C133=0,"",1-H133/C133)</f>
        <v>1</v>
      </c>
      <c r="J133" s="10">
        <f t="shared" si="16"/>
        <v>1</v>
      </c>
      <c r="K133" s="10">
        <f>IF(H133=0,0,SUMIFS(B_INPUT_RESERVOIR!$L$4:$L$1807,B_INPUT_RESERVOIR!$A$4:$A$1807,A133,B_INPUT_RESERVOIR!$C$4:$C$1807,B133)/H133)</f>
        <v>0</v>
      </c>
      <c r="L133" s="10">
        <f t="shared" ref="L133:L153" si="20">IF(H133=0,1,1-K133)</f>
        <v>1</v>
      </c>
      <c r="M133" s="10">
        <f>IF(SUMIFS(B_INPUT_RESERVOIR!$N$4:$N$1807,B_INPUT_RESERVOIR!$A$4:$A$1807,A133,B_INPUT_RESERVOIR!$C$4:$C$1807,B133)=0,1,SUMIFS(B_INPUT_RESERVOIR!$O$4:$O$1807,B_INPUT_RESERVOIR!$A$4:$A$1807,A133,B_INPUT_RESERVOIR!$C$4:$C$1807,B133)/SUMIFS(B_INPUT_RESERVOIR!$N$4:$N$1807,B_INPUT_RESERVOIR!$A$4:$A$1807,A133,B_INPUT_RESERVOIR!$C$4:$C$1807,B133))</f>
        <v>1</v>
      </c>
      <c r="N133" s="8">
        <f t="shared" si="17"/>
        <v>0</v>
      </c>
      <c r="O133" s="12">
        <f>_xlfn.SINGLE(IF(C133=0,"",_xlfn.MINIFS(B_INPUT_RESERVOIR!$H$4:$H$1807,B_INPUT_RESERVOIR!$A$4:$A$1807,A133,B_INPUT_RESERVOIR!$C$4:$C$1807,B133)))</f>
        <v>17220137.074808005</v>
      </c>
      <c r="P133" s="12">
        <f>IF(C133=0,"",SUMIFS(B_INPUT_RESERVOIR!$H$4:$H$1807,B_INPUT_RESERVOIR!$A$4:$A$1807,A133,B_INPUT_RESERVOIR!$C$4:$C$1807,B133,B_INPUT_RESERVOIR!$D$4:$D$1807,12))</f>
        <v>33286086.120811556</v>
      </c>
      <c r="Q133" s="13" t="str">
        <f t="shared" si="18"/>
        <v>No failure</v>
      </c>
    </row>
    <row r="134" spans="1:17" x14ac:dyDescent="0.25">
      <c r="A134" s="4" t="s">
        <v>99</v>
      </c>
      <c r="B134" s="4">
        <f t="shared" si="13"/>
        <v>2026</v>
      </c>
      <c r="C134" s="8">
        <f>COUNTIFS(B_INPUT_RESERVOIR!$A$4:$A$1807,A134,B_INPUT_RESERVOIR!$C$4:$C$1807,B134)</f>
        <v>12</v>
      </c>
      <c r="D134" s="12">
        <f>IF(C134=0,0,SUMIFS(B_INPUT_RESERVOIR!$E$4:$E$1807,B_INPUT_RESERVOIR!$A$4:$A$1807,A134,B_INPUT_RESERVOIR!$C$4:$C$1807,B134))</f>
        <v>288493.58166137338</v>
      </c>
      <c r="E134" s="12">
        <f>IF(C134=0,0,SUMIFS(B_INPUT_RESERVOIR!$J$4:$J$1807,B_INPUT_RESERVOIR!$A$4:$A$1807,A134,B_INPUT_RESERVOIR!$C$4:$C$1807,B134))</f>
        <v>288493.58166137338</v>
      </c>
      <c r="F134" s="12">
        <f>IF(C134=0,"",SUMIFS(B_INPUT_RESERVOIR!$G$4:$G$1807,B_INPUT_RESERVOIR!$A$4:$A$1807,A134,B_INPUT_RESERVOIR!$C$4:$C$1807,B134))</f>
        <v>0</v>
      </c>
      <c r="G134" s="12">
        <f>IF(C134=0,"",SUMIFS(B_INPUT_RESERVOIR!$F$4:$F$1807,B_INPUT_RESERVOIR!$A$4:$A$1807,A134,B_INPUT_RESERVOIR!$C$4:$C$1807,B134))</f>
        <v>2974807.4073180705</v>
      </c>
      <c r="H134" s="8">
        <f>IF(C134=0,"",SUMIFS(B_INPUT_RESERVOIR!$K$4:$K$1807,B_INPUT_RESERVOIR!$A$4:$A$1807,A134,B_INPUT_RESERVOIR!$C$4:$C$1807,B134))</f>
        <v>0</v>
      </c>
      <c r="I134" s="10">
        <f t="shared" si="19"/>
        <v>1</v>
      </c>
      <c r="J134" s="10">
        <f t="shared" si="16"/>
        <v>1</v>
      </c>
      <c r="K134" s="10">
        <f>IF(H134=0,0,SUMIFS(B_INPUT_RESERVOIR!$L$4:$L$1807,B_INPUT_RESERVOIR!$A$4:$A$1807,A134,B_INPUT_RESERVOIR!$C$4:$C$1807,B134)/H134)</f>
        <v>0</v>
      </c>
      <c r="L134" s="10">
        <f t="shared" si="20"/>
        <v>1</v>
      </c>
      <c r="M134" s="10">
        <f>IF(SUMIFS(B_INPUT_RESERVOIR!$N$4:$N$1807,B_INPUT_RESERVOIR!$A$4:$A$1807,A134,B_INPUT_RESERVOIR!$C$4:$C$1807,B134)=0,1,SUMIFS(B_INPUT_RESERVOIR!$O$4:$O$1807,B_INPUT_RESERVOIR!$A$4:$A$1807,A134,B_INPUT_RESERVOIR!$C$4:$C$1807,B134)/SUMIFS(B_INPUT_RESERVOIR!$N$4:$N$1807,B_INPUT_RESERVOIR!$A$4:$A$1807,A134,B_INPUT_RESERVOIR!$C$4:$C$1807,B134))</f>
        <v>1</v>
      </c>
      <c r="N134" s="8">
        <f t="shared" si="17"/>
        <v>0</v>
      </c>
      <c r="O134" s="12">
        <f>_xlfn.SINGLE(IF(C134=0,"",_xlfn.MINIFS(B_INPUT_RESERVOIR!$H$4:$H$1807,B_INPUT_RESERVOIR!$A$4:$A$1807,A134,B_INPUT_RESERVOIR!$C$4:$C$1807,B134)))</f>
        <v>48488305.150783569</v>
      </c>
      <c r="P134" s="12">
        <f>IF(C134=0,"",SUMIFS(B_INPUT_RESERVOIR!$H$4:$H$1807,B_INPUT_RESERVOIR!$A$4:$A$1807,A134,B_INPUT_RESERVOIR!$C$4:$C$1807,B134,B_INPUT_RESERVOIR!$D$4:$D$1807,12))</f>
        <v>0</v>
      </c>
      <c r="Q134" s="13" t="str">
        <f t="shared" si="18"/>
        <v>No failure</v>
      </c>
    </row>
    <row r="135" spans="1:17" x14ac:dyDescent="0.25">
      <c r="A135" s="4" t="s">
        <v>99</v>
      </c>
      <c r="B135" s="4">
        <f t="shared" si="13"/>
        <v>2027</v>
      </c>
      <c r="C135" s="8">
        <f>COUNTIFS(B_INPUT_RESERVOIR!$A$4:$A$1807,A135,B_INPUT_RESERVOIR!$C$4:$C$1807,B135)</f>
        <v>12</v>
      </c>
      <c r="D135" s="12">
        <f>IF(C135=0,0,SUMIFS(B_INPUT_RESERVOIR!$E$4:$E$1807,B_INPUT_RESERVOIR!$A$4:$A$1807,A135,B_INPUT_RESERVOIR!$C$4:$C$1807,B135))</f>
        <v>0</v>
      </c>
      <c r="E135" s="12">
        <f>IF(C135=0,0,SUMIFS(B_INPUT_RESERVOIR!$J$4:$J$1807,B_INPUT_RESERVOIR!$A$4:$A$1807,A135,B_INPUT_RESERVOIR!$C$4:$C$1807,B135))</f>
        <v>0</v>
      </c>
      <c r="F135" s="12">
        <f>IF(C135=0,"",SUMIFS(B_INPUT_RESERVOIR!$G$4:$G$1807,B_INPUT_RESERVOIR!$A$4:$A$1807,A135,B_INPUT_RESERVOIR!$C$4:$C$1807,B135))</f>
        <v>0</v>
      </c>
      <c r="G135" s="12">
        <f>IF(C135=0,"",SUMIFS(B_INPUT_RESERVOIR!$F$4:$F$1807,B_INPUT_RESERVOIR!$A$4:$A$1807,A135,B_INPUT_RESERVOIR!$C$4:$C$1807,B135))</f>
        <v>0</v>
      </c>
      <c r="H135" s="8">
        <f>IF(C135=0,"",SUMIFS(B_INPUT_RESERVOIR!$K$4:$K$1807,B_INPUT_RESERVOIR!$A$4:$A$1807,A135,B_INPUT_RESERVOIR!$C$4:$C$1807,B135))</f>
        <v>0</v>
      </c>
      <c r="I135" s="10">
        <f t="shared" si="19"/>
        <v>1</v>
      </c>
      <c r="J135" s="10" t="str">
        <f t="shared" si="16"/>
        <v/>
      </c>
      <c r="K135" s="10">
        <f>IF(H135=0,0,SUMIFS(B_INPUT_RESERVOIR!$L$4:$L$1807,B_INPUT_RESERVOIR!$A$4:$A$1807,A135,B_INPUT_RESERVOIR!$C$4:$C$1807,B135)/H135)</f>
        <v>0</v>
      </c>
      <c r="L135" s="10">
        <f t="shared" si="20"/>
        <v>1</v>
      </c>
      <c r="M135" s="10">
        <f>IF(SUMIFS(B_INPUT_RESERVOIR!$N$4:$N$1807,B_INPUT_RESERVOIR!$A$4:$A$1807,A135,B_INPUT_RESERVOIR!$C$4:$C$1807,B135)=0,1,SUMIFS(B_INPUT_RESERVOIR!$O$4:$O$1807,B_INPUT_RESERVOIR!$A$4:$A$1807,A135,B_INPUT_RESERVOIR!$C$4:$C$1807,B135)/SUMIFS(B_INPUT_RESERVOIR!$N$4:$N$1807,B_INPUT_RESERVOIR!$A$4:$A$1807,A135,B_INPUT_RESERVOIR!$C$4:$C$1807,B135))</f>
        <v>1</v>
      </c>
      <c r="N135" s="8">
        <f t="shared" si="17"/>
        <v>0</v>
      </c>
      <c r="O135" s="12">
        <f>_xlfn.SINGLE(IF(C135=0,"",_xlfn.MINIFS(B_INPUT_RESERVOIR!$H$4:$H$1807,B_INPUT_RESERVOIR!$A$4:$A$1807,A135,B_INPUT_RESERVOIR!$C$4:$C$1807,B135)))</f>
        <v>0</v>
      </c>
      <c r="P135" s="12">
        <f>IF(C135=0,"",SUMIFS(B_INPUT_RESERVOIR!$H$4:$H$1807,B_INPUT_RESERVOIR!$A$4:$A$1807,A135,B_INPUT_RESERVOIR!$C$4:$C$1807,B135,B_INPUT_RESERVOIR!$D$4:$D$1807,12))</f>
        <v>0</v>
      </c>
      <c r="Q135" s="13" t="str">
        <f t="shared" si="18"/>
        <v>No failure</v>
      </c>
    </row>
    <row r="136" spans="1:17" x14ac:dyDescent="0.25">
      <c r="A136" s="4" t="s">
        <v>99</v>
      </c>
      <c r="B136" s="4">
        <f t="shared" si="13"/>
        <v>2028</v>
      </c>
      <c r="C136" s="8">
        <f>COUNTIFS(B_INPUT_RESERVOIR!$A$4:$A$1807,A136,B_INPUT_RESERVOIR!$C$4:$C$1807,B136)</f>
        <v>12</v>
      </c>
      <c r="D136" s="12">
        <f>IF(C136=0,0,SUMIFS(B_INPUT_RESERVOIR!$E$4:$E$1807,B_INPUT_RESERVOIR!$A$4:$A$1807,A136,B_INPUT_RESERVOIR!$C$4:$C$1807,B136))</f>
        <v>0</v>
      </c>
      <c r="E136" s="12">
        <f>IF(C136=0,0,SUMIFS(B_INPUT_RESERVOIR!$J$4:$J$1807,B_INPUT_RESERVOIR!$A$4:$A$1807,A136,B_INPUT_RESERVOIR!$C$4:$C$1807,B136))</f>
        <v>0</v>
      </c>
      <c r="F136" s="12">
        <f>IF(C136=0,"",SUMIFS(B_INPUT_RESERVOIR!$G$4:$G$1807,B_INPUT_RESERVOIR!$A$4:$A$1807,A136,B_INPUT_RESERVOIR!$C$4:$C$1807,B136))</f>
        <v>0</v>
      </c>
      <c r="G136" s="12">
        <f>IF(C136=0,"",SUMIFS(B_INPUT_RESERVOIR!$F$4:$F$1807,B_INPUT_RESERVOIR!$A$4:$A$1807,A136,B_INPUT_RESERVOIR!$C$4:$C$1807,B136))</f>
        <v>0</v>
      </c>
      <c r="H136" s="8">
        <f>IF(C136=0,"",SUMIFS(B_INPUT_RESERVOIR!$K$4:$K$1807,B_INPUT_RESERVOIR!$A$4:$A$1807,A136,B_INPUT_RESERVOIR!$C$4:$C$1807,B136))</f>
        <v>0</v>
      </c>
      <c r="I136" s="10">
        <f t="shared" si="19"/>
        <v>1</v>
      </c>
      <c r="J136" s="10" t="str">
        <f t="shared" si="16"/>
        <v/>
      </c>
      <c r="K136" s="10">
        <f>IF(H136=0,0,SUMIFS(B_INPUT_RESERVOIR!$L$4:$L$1807,B_INPUT_RESERVOIR!$A$4:$A$1807,A136,B_INPUT_RESERVOIR!$C$4:$C$1807,B136)/H136)</f>
        <v>0</v>
      </c>
      <c r="L136" s="10">
        <f t="shared" si="20"/>
        <v>1</v>
      </c>
      <c r="M136" s="10">
        <f>IF(SUMIFS(B_INPUT_RESERVOIR!$N$4:$N$1807,B_INPUT_RESERVOIR!$A$4:$A$1807,A136,B_INPUT_RESERVOIR!$C$4:$C$1807,B136)=0,1,SUMIFS(B_INPUT_RESERVOIR!$O$4:$O$1807,B_INPUT_RESERVOIR!$A$4:$A$1807,A136,B_INPUT_RESERVOIR!$C$4:$C$1807,B136)/SUMIFS(B_INPUT_RESERVOIR!$N$4:$N$1807,B_INPUT_RESERVOIR!$A$4:$A$1807,A136,B_INPUT_RESERVOIR!$C$4:$C$1807,B136))</f>
        <v>1</v>
      </c>
      <c r="N136" s="8">
        <f t="shared" si="17"/>
        <v>0</v>
      </c>
      <c r="O136" s="12">
        <f>_xlfn.SINGLE(IF(C136=0,"",_xlfn.MINIFS(B_INPUT_RESERVOIR!$H$4:$H$1807,B_INPUT_RESERVOIR!$A$4:$A$1807,A136,B_INPUT_RESERVOIR!$C$4:$C$1807,B136)))</f>
        <v>0</v>
      </c>
      <c r="P136" s="12">
        <f>IF(C136=0,"",SUMIFS(B_INPUT_RESERVOIR!$H$4:$H$1807,B_INPUT_RESERVOIR!$A$4:$A$1807,A136,B_INPUT_RESERVOIR!$C$4:$C$1807,B136,B_INPUT_RESERVOIR!$D$4:$D$1807,12))</f>
        <v>0</v>
      </c>
      <c r="Q136" s="13" t="str">
        <f t="shared" si="18"/>
        <v>No failure</v>
      </c>
    </row>
    <row r="137" spans="1:17" x14ac:dyDescent="0.25">
      <c r="A137" s="4" t="s">
        <v>99</v>
      </c>
      <c r="B137" s="4">
        <f t="shared" si="13"/>
        <v>2029</v>
      </c>
      <c r="C137" s="8">
        <f>COUNTIFS(B_INPUT_RESERVOIR!$A$4:$A$1807,A137,B_INPUT_RESERVOIR!$C$4:$C$1807,B137)</f>
        <v>12</v>
      </c>
      <c r="D137" s="12">
        <f>IF(C137=0,0,SUMIFS(B_INPUT_RESERVOIR!$E$4:$E$1807,B_INPUT_RESERVOIR!$A$4:$A$1807,A137,B_INPUT_RESERVOIR!$C$4:$C$1807,B137))</f>
        <v>0</v>
      </c>
      <c r="E137" s="12">
        <f>IF(C137=0,0,SUMIFS(B_INPUT_RESERVOIR!$J$4:$J$1807,B_INPUT_RESERVOIR!$A$4:$A$1807,A137,B_INPUT_RESERVOIR!$C$4:$C$1807,B137))</f>
        <v>0</v>
      </c>
      <c r="F137" s="12">
        <f>IF(C137=0,"",SUMIFS(B_INPUT_RESERVOIR!$G$4:$G$1807,B_INPUT_RESERVOIR!$A$4:$A$1807,A137,B_INPUT_RESERVOIR!$C$4:$C$1807,B137))</f>
        <v>0</v>
      </c>
      <c r="G137" s="12">
        <f>IF(C137=0,"",SUMIFS(B_INPUT_RESERVOIR!$F$4:$F$1807,B_INPUT_RESERVOIR!$A$4:$A$1807,A137,B_INPUT_RESERVOIR!$C$4:$C$1807,B137))</f>
        <v>0</v>
      </c>
      <c r="H137" s="8">
        <f>IF(C137=0,"",SUMIFS(B_INPUT_RESERVOIR!$K$4:$K$1807,B_INPUT_RESERVOIR!$A$4:$A$1807,A137,B_INPUT_RESERVOIR!$C$4:$C$1807,B137))</f>
        <v>0</v>
      </c>
      <c r="I137" s="10">
        <f t="shared" si="19"/>
        <v>1</v>
      </c>
      <c r="J137" s="10" t="str">
        <f t="shared" si="16"/>
        <v/>
      </c>
      <c r="K137" s="10">
        <f>IF(H137=0,0,SUMIFS(B_INPUT_RESERVOIR!$L$4:$L$1807,B_INPUT_RESERVOIR!$A$4:$A$1807,A137,B_INPUT_RESERVOIR!$C$4:$C$1807,B137)/H137)</f>
        <v>0</v>
      </c>
      <c r="L137" s="10">
        <f t="shared" si="20"/>
        <v>1</v>
      </c>
      <c r="M137" s="10">
        <f>IF(SUMIFS(B_INPUT_RESERVOIR!$N$4:$N$1807,B_INPUT_RESERVOIR!$A$4:$A$1807,A137,B_INPUT_RESERVOIR!$C$4:$C$1807,B137)=0,1,SUMIFS(B_INPUT_RESERVOIR!$O$4:$O$1807,B_INPUT_RESERVOIR!$A$4:$A$1807,A137,B_INPUT_RESERVOIR!$C$4:$C$1807,B137)/SUMIFS(B_INPUT_RESERVOIR!$N$4:$N$1807,B_INPUT_RESERVOIR!$A$4:$A$1807,A137,B_INPUT_RESERVOIR!$C$4:$C$1807,B137))</f>
        <v>1</v>
      </c>
      <c r="N137" s="8">
        <f t="shared" si="17"/>
        <v>0</v>
      </c>
      <c r="O137" s="12">
        <f>_xlfn.SINGLE(IF(C137=0,"",_xlfn.MINIFS(B_INPUT_RESERVOIR!$H$4:$H$1807,B_INPUT_RESERVOIR!$A$4:$A$1807,A137,B_INPUT_RESERVOIR!$C$4:$C$1807,B137)))</f>
        <v>0</v>
      </c>
      <c r="P137" s="12">
        <f>IF(C137=0,"",SUMIFS(B_INPUT_RESERVOIR!$H$4:$H$1807,B_INPUT_RESERVOIR!$A$4:$A$1807,A137,B_INPUT_RESERVOIR!$C$4:$C$1807,B137,B_INPUT_RESERVOIR!$D$4:$D$1807,12))</f>
        <v>0</v>
      </c>
      <c r="Q137" s="13" t="str">
        <f t="shared" si="18"/>
        <v>No failure</v>
      </c>
    </row>
    <row r="138" spans="1:17" x14ac:dyDescent="0.25">
      <c r="A138" s="4" t="s">
        <v>99</v>
      </c>
      <c r="B138" s="4">
        <f t="shared" si="13"/>
        <v>2030</v>
      </c>
      <c r="C138" s="8">
        <f>COUNTIFS(B_INPUT_RESERVOIR!$A$4:$A$1807,A138,B_INPUT_RESERVOIR!$C$4:$C$1807,B138)</f>
        <v>12</v>
      </c>
      <c r="D138" s="12">
        <f>IF(C138=0,0,SUMIFS(B_INPUT_RESERVOIR!$E$4:$E$1807,B_INPUT_RESERVOIR!$A$4:$A$1807,A138,B_INPUT_RESERVOIR!$C$4:$C$1807,B138))</f>
        <v>0</v>
      </c>
      <c r="E138" s="12">
        <f>IF(C138=0,0,SUMIFS(B_INPUT_RESERVOIR!$J$4:$J$1807,B_INPUT_RESERVOIR!$A$4:$A$1807,A138,B_INPUT_RESERVOIR!$C$4:$C$1807,B138))</f>
        <v>0</v>
      </c>
      <c r="F138" s="12">
        <f>IF(C138=0,"",SUMIFS(B_INPUT_RESERVOIR!$G$4:$G$1807,B_INPUT_RESERVOIR!$A$4:$A$1807,A138,B_INPUT_RESERVOIR!$C$4:$C$1807,B138))</f>
        <v>0</v>
      </c>
      <c r="G138" s="12">
        <f>IF(C138=0,"",SUMIFS(B_INPUT_RESERVOIR!$F$4:$F$1807,B_INPUT_RESERVOIR!$A$4:$A$1807,A138,B_INPUT_RESERVOIR!$C$4:$C$1807,B138))</f>
        <v>0</v>
      </c>
      <c r="H138" s="8">
        <f>IF(C138=0,"",SUMIFS(B_INPUT_RESERVOIR!$K$4:$K$1807,B_INPUT_RESERVOIR!$A$4:$A$1807,A138,B_INPUT_RESERVOIR!$C$4:$C$1807,B138))</f>
        <v>0</v>
      </c>
      <c r="I138" s="10">
        <f t="shared" si="19"/>
        <v>1</v>
      </c>
      <c r="J138" s="10" t="str">
        <f t="shared" si="16"/>
        <v/>
      </c>
      <c r="K138" s="10">
        <f>IF(H138=0,0,SUMIFS(B_INPUT_RESERVOIR!$L$4:$L$1807,B_INPUT_RESERVOIR!$A$4:$A$1807,A138,B_INPUT_RESERVOIR!$C$4:$C$1807,B138)/H138)</f>
        <v>0</v>
      </c>
      <c r="L138" s="10">
        <f t="shared" si="20"/>
        <v>1</v>
      </c>
      <c r="M138" s="10">
        <f>IF(SUMIFS(B_INPUT_RESERVOIR!$N$4:$N$1807,B_INPUT_RESERVOIR!$A$4:$A$1807,A138,B_INPUT_RESERVOIR!$C$4:$C$1807,B138)=0,1,SUMIFS(B_INPUT_RESERVOIR!$O$4:$O$1807,B_INPUT_RESERVOIR!$A$4:$A$1807,A138,B_INPUT_RESERVOIR!$C$4:$C$1807,B138)/SUMIFS(B_INPUT_RESERVOIR!$N$4:$N$1807,B_INPUT_RESERVOIR!$A$4:$A$1807,A138,B_INPUT_RESERVOIR!$C$4:$C$1807,B138))</f>
        <v>1</v>
      </c>
      <c r="N138" s="8">
        <f t="shared" si="17"/>
        <v>0</v>
      </c>
      <c r="O138" s="12">
        <f>_xlfn.SINGLE(IF(C138=0,"",_xlfn.MINIFS(B_INPUT_RESERVOIR!$H$4:$H$1807,B_INPUT_RESERVOIR!$A$4:$A$1807,A138,B_INPUT_RESERVOIR!$C$4:$C$1807,B138)))</f>
        <v>0</v>
      </c>
      <c r="P138" s="12">
        <f>IF(C138=0,"",SUMIFS(B_INPUT_RESERVOIR!$H$4:$H$1807,B_INPUT_RESERVOIR!$A$4:$A$1807,A138,B_INPUT_RESERVOIR!$C$4:$C$1807,B138,B_INPUT_RESERVOIR!$D$4:$D$1807,12))</f>
        <v>0</v>
      </c>
      <c r="Q138" s="13" t="str">
        <f t="shared" si="18"/>
        <v>No failure</v>
      </c>
    </row>
    <row r="139" spans="1:17" x14ac:dyDescent="0.25">
      <c r="A139" s="4" t="s">
        <v>99</v>
      </c>
      <c r="B139" s="4">
        <f t="shared" si="13"/>
        <v>2031</v>
      </c>
      <c r="C139" s="8">
        <f>COUNTIFS(B_INPUT_RESERVOIR!$A$4:$A$1807,A139,B_INPUT_RESERVOIR!$C$4:$C$1807,B139)</f>
        <v>12</v>
      </c>
      <c r="D139" s="12">
        <f>IF(C139=0,0,SUMIFS(B_INPUT_RESERVOIR!$E$4:$E$1807,B_INPUT_RESERVOIR!$A$4:$A$1807,A139,B_INPUT_RESERVOIR!$C$4:$C$1807,B139))</f>
        <v>0</v>
      </c>
      <c r="E139" s="12">
        <f>IF(C139=0,0,SUMIFS(B_INPUT_RESERVOIR!$J$4:$J$1807,B_INPUT_RESERVOIR!$A$4:$A$1807,A139,B_INPUT_RESERVOIR!$C$4:$C$1807,B139))</f>
        <v>0</v>
      </c>
      <c r="F139" s="12">
        <f>IF(C139=0,"",SUMIFS(B_INPUT_RESERVOIR!$G$4:$G$1807,B_INPUT_RESERVOIR!$A$4:$A$1807,A139,B_INPUT_RESERVOIR!$C$4:$C$1807,B139))</f>
        <v>0</v>
      </c>
      <c r="G139" s="12">
        <f>IF(C139=0,"",SUMIFS(B_INPUT_RESERVOIR!$F$4:$F$1807,B_INPUT_RESERVOIR!$A$4:$A$1807,A139,B_INPUT_RESERVOIR!$C$4:$C$1807,B139))</f>
        <v>0</v>
      </c>
      <c r="H139" s="8">
        <f>IF(C139=0,"",SUMIFS(B_INPUT_RESERVOIR!$K$4:$K$1807,B_INPUT_RESERVOIR!$A$4:$A$1807,A139,B_INPUT_RESERVOIR!$C$4:$C$1807,B139))</f>
        <v>0</v>
      </c>
      <c r="I139" s="10">
        <f t="shared" si="19"/>
        <v>1</v>
      </c>
      <c r="J139" s="10" t="str">
        <f t="shared" si="16"/>
        <v/>
      </c>
      <c r="K139" s="10">
        <f>IF(H139=0,0,SUMIFS(B_INPUT_RESERVOIR!$L$4:$L$1807,B_INPUT_RESERVOIR!$A$4:$A$1807,A139,B_INPUT_RESERVOIR!$C$4:$C$1807,B139)/H139)</f>
        <v>0</v>
      </c>
      <c r="L139" s="10">
        <f t="shared" si="20"/>
        <v>1</v>
      </c>
      <c r="M139" s="10">
        <f>IF(SUMIFS(B_INPUT_RESERVOIR!$N$4:$N$1807,B_INPUT_RESERVOIR!$A$4:$A$1807,A139,B_INPUT_RESERVOIR!$C$4:$C$1807,B139)=0,1,SUMIFS(B_INPUT_RESERVOIR!$O$4:$O$1807,B_INPUT_RESERVOIR!$A$4:$A$1807,A139,B_INPUT_RESERVOIR!$C$4:$C$1807,B139)/SUMIFS(B_INPUT_RESERVOIR!$N$4:$N$1807,B_INPUT_RESERVOIR!$A$4:$A$1807,A139,B_INPUT_RESERVOIR!$C$4:$C$1807,B139))</f>
        <v>1</v>
      </c>
      <c r="N139" s="8">
        <f t="shared" si="17"/>
        <v>0</v>
      </c>
      <c r="O139" s="12">
        <f>_xlfn.SINGLE(IF(C139=0,"",_xlfn.MINIFS(B_INPUT_RESERVOIR!$H$4:$H$1807,B_INPUT_RESERVOIR!$A$4:$A$1807,A139,B_INPUT_RESERVOIR!$C$4:$C$1807,B139)))</f>
        <v>0</v>
      </c>
      <c r="P139" s="12">
        <f>IF(C139=0,"",SUMIFS(B_INPUT_RESERVOIR!$H$4:$H$1807,B_INPUT_RESERVOIR!$A$4:$A$1807,A139,B_INPUT_RESERVOIR!$C$4:$C$1807,B139,B_INPUT_RESERVOIR!$D$4:$D$1807,12))</f>
        <v>0</v>
      </c>
      <c r="Q139" s="13" t="str">
        <f t="shared" si="18"/>
        <v>No failure</v>
      </c>
    </row>
    <row r="140" spans="1:17" x14ac:dyDescent="0.25">
      <c r="A140" s="4" t="s">
        <v>99</v>
      </c>
      <c r="B140" s="4">
        <f t="shared" si="13"/>
        <v>2032</v>
      </c>
      <c r="C140" s="8">
        <f>COUNTIFS(B_INPUT_RESERVOIR!$A$4:$A$1807,A140,B_INPUT_RESERVOIR!$C$4:$C$1807,B140)</f>
        <v>12</v>
      </c>
      <c r="D140" s="12">
        <f>IF(C140=0,0,SUMIFS(B_INPUT_RESERVOIR!$E$4:$E$1807,B_INPUT_RESERVOIR!$A$4:$A$1807,A140,B_INPUT_RESERVOIR!$C$4:$C$1807,B140))</f>
        <v>0</v>
      </c>
      <c r="E140" s="12">
        <f>IF(C140=0,0,SUMIFS(B_INPUT_RESERVOIR!$J$4:$J$1807,B_INPUT_RESERVOIR!$A$4:$A$1807,A140,B_INPUT_RESERVOIR!$C$4:$C$1807,B140))</f>
        <v>0</v>
      </c>
      <c r="F140" s="12">
        <f>IF(C140=0,"",SUMIFS(B_INPUT_RESERVOIR!$G$4:$G$1807,B_INPUT_RESERVOIR!$A$4:$A$1807,A140,B_INPUT_RESERVOIR!$C$4:$C$1807,B140))</f>
        <v>0</v>
      </c>
      <c r="G140" s="12">
        <f>IF(C140=0,"",SUMIFS(B_INPUT_RESERVOIR!$F$4:$F$1807,B_INPUT_RESERVOIR!$A$4:$A$1807,A140,B_INPUT_RESERVOIR!$C$4:$C$1807,B140))</f>
        <v>0</v>
      </c>
      <c r="H140" s="8">
        <f>IF(C140=0,"",SUMIFS(B_INPUT_RESERVOIR!$K$4:$K$1807,B_INPUT_RESERVOIR!$A$4:$A$1807,A140,B_INPUT_RESERVOIR!$C$4:$C$1807,B140))</f>
        <v>0</v>
      </c>
      <c r="I140" s="10">
        <f t="shared" si="19"/>
        <v>1</v>
      </c>
      <c r="J140" s="10" t="str">
        <f t="shared" si="16"/>
        <v/>
      </c>
      <c r="K140" s="10">
        <f>IF(H140=0,0,SUMIFS(B_INPUT_RESERVOIR!$L$4:$L$1807,B_INPUT_RESERVOIR!$A$4:$A$1807,A140,B_INPUT_RESERVOIR!$C$4:$C$1807,B140)/H140)</f>
        <v>0</v>
      </c>
      <c r="L140" s="10">
        <f t="shared" si="20"/>
        <v>1</v>
      </c>
      <c r="M140" s="10">
        <f>IF(SUMIFS(B_INPUT_RESERVOIR!$N$4:$N$1807,B_INPUT_RESERVOIR!$A$4:$A$1807,A140,B_INPUT_RESERVOIR!$C$4:$C$1807,B140)=0,1,SUMIFS(B_INPUT_RESERVOIR!$O$4:$O$1807,B_INPUT_RESERVOIR!$A$4:$A$1807,A140,B_INPUT_RESERVOIR!$C$4:$C$1807,B140)/SUMIFS(B_INPUT_RESERVOIR!$N$4:$N$1807,B_INPUT_RESERVOIR!$A$4:$A$1807,A140,B_INPUT_RESERVOIR!$C$4:$C$1807,B140))</f>
        <v>1</v>
      </c>
      <c r="N140" s="8">
        <f t="shared" si="17"/>
        <v>0</v>
      </c>
      <c r="O140" s="12">
        <f>_xlfn.SINGLE(IF(C140=0,"",_xlfn.MINIFS(B_INPUT_RESERVOIR!$H$4:$H$1807,B_INPUT_RESERVOIR!$A$4:$A$1807,A140,B_INPUT_RESERVOIR!$C$4:$C$1807,B140)))</f>
        <v>0</v>
      </c>
      <c r="P140" s="12">
        <f>IF(C140=0,"",SUMIFS(B_INPUT_RESERVOIR!$H$4:$H$1807,B_INPUT_RESERVOIR!$A$4:$A$1807,A140,B_INPUT_RESERVOIR!$C$4:$C$1807,B140,B_INPUT_RESERVOIR!$D$4:$D$1807,12))</f>
        <v>0</v>
      </c>
      <c r="Q140" s="13" t="str">
        <f t="shared" si="18"/>
        <v>No failure</v>
      </c>
    </row>
    <row r="141" spans="1:17" x14ac:dyDescent="0.25">
      <c r="A141" s="4" t="s">
        <v>99</v>
      </c>
      <c r="B141" s="4">
        <f t="shared" si="13"/>
        <v>2033</v>
      </c>
      <c r="C141" s="8">
        <f>COUNTIFS(B_INPUT_RESERVOIR!$A$4:$A$1807,A141,B_INPUT_RESERVOIR!$C$4:$C$1807,B141)</f>
        <v>12</v>
      </c>
      <c r="D141" s="12">
        <f>IF(C141=0,0,SUMIFS(B_INPUT_RESERVOIR!$E$4:$E$1807,B_INPUT_RESERVOIR!$A$4:$A$1807,A141,B_INPUT_RESERVOIR!$C$4:$C$1807,B141))</f>
        <v>0</v>
      </c>
      <c r="E141" s="12">
        <f>IF(C141=0,0,SUMIFS(B_INPUT_RESERVOIR!$J$4:$J$1807,B_INPUT_RESERVOIR!$A$4:$A$1807,A141,B_INPUT_RESERVOIR!$C$4:$C$1807,B141))</f>
        <v>0</v>
      </c>
      <c r="F141" s="12">
        <f>IF(C141=0,"",SUMIFS(B_INPUT_RESERVOIR!$G$4:$G$1807,B_INPUT_RESERVOIR!$A$4:$A$1807,A141,B_INPUT_RESERVOIR!$C$4:$C$1807,B141))</f>
        <v>0</v>
      </c>
      <c r="G141" s="12">
        <f>IF(C141=0,"",SUMIFS(B_INPUT_RESERVOIR!$F$4:$F$1807,B_INPUT_RESERVOIR!$A$4:$A$1807,A141,B_INPUT_RESERVOIR!$C$4:$C$1807,B141))</f>
        <v>0</v>
      </c>
      <c r="H141" s="8">
        <f>IF(C141=0,"",SUMIFS(B_INPUT_RESERVOIR!$K$4:$K$1807,B_INPUT_RESERVOIR!$A$4:$A$1807,A141,B_INPUT_RESERVOIR!$C$4:$C$1807,B141))</f>
        <v>0</v>
      </c>
      <c r="I141" s="10">
        <f t="shared" si="19"/>
        <v>1</v>
      </c>
      <c r="J141" s="10" t="str">
        <f t="shared" si="16"/>
        <v/>
      </c>
      <c r="K141" s="10">
        <f>IF(H141=0,0,SUMIFS(B_INPUT_RESERVOIR!$L$4:$L$1807,B_INPUT_RESERVOIR!$A$4:$A$1807,A141,B_INPUT_RESERVOIR!$C$4:$C$1807,B141)/H141)</f>
        <v>0</v>
      </c>
      <c r="L141" s="10">
        <f t="shared" si="20"/>
        <v>1</v>
      </c>
      <c r="M141" s="10">
        <f>IF(SUMIFS(B_INPUT_RESERVOIR!$N$4:$N$1807,B_INPUT_RESERVOIR!$A$4:$A$1807,A141,B_INPUT_RESERVOIR!$C$4:$C$1807,B141)=0,1,SUMIFS(B_INPUT_RESERVOIR!$O$4:$O$1807,B_INPUT_RESERVOIR!$A$4:$A$1807,A141,B_INPUT_RESERVOIR!$C$4:$C$1807,B141)/SUMIFS(B_INPUT_RESERVOIR!$N$4:$N$1807,B_INPUT_RESERVOIR!$A$4:$A$1807,A141,B_INPUT_RESERVOIR!$C$4:$C$1807,B141))</f>
        <v>1</v>
      </c>
      <c r="N141" s="8">
        <f t="shared" si="17"/>
        <v>0</v>
      </c>
      <c r="O141" s="12">
        <f>_xlfn.SINGLE(IF(C141=0,"",_xlfn.MINIFS(B_INPUT_RESERVOIR!$H$4:$H$1807,B_INPUT_RESERVOIR!$A$4:$A$1807,A141,B_INPUT_RESERVOIR!$C$4:$C$1807,B141)))</f>
        <v>0</v>
      </c>
      <c r="P141" s="12">
        <f>IF(C141=0,"",SUMIFS(B_INPUT_RESERVOIR!$H$4:$H$1807,B_INPUT_RESERVOIR!$A$4:$A$1807,A141,B_INPUT_RESERVOIR!$C$4:$C$1807,B141,B_INPUT_RESERVOIR!$D$4:$D$1807,12))</f>
        <v>0</v>
      </c>
      <c r="Q141" s="13" t="str">
        <f t="shared" si="18"/>
        <v>No failure</v>
      </c>
    </row>
    <row r="142" spans="1:17" x14ac:dyDescent="0.25">
      <c r="A142" s="4" t="s">
        <v>99</v>
      </c>
      <c r="B142" s="4">
        <f t="shared" si="13"/>
        <v>2034</v>
      </c>
      <c r="C142" s="8">
        <f>COUNTIFS(B_INPUT_RESERVOIR!$A$4:$A$1807,A142,B_INPUT_RESERVOIR!$C$4:$C$1807,B142)</f>
        <v>12</v>
      </c>
      <c r="D142" s="12">
        <f>IF(C142=0,0,SUMIFS(B_INPUT_RESERVOIR!$E$4:$E$1807,B_INPUT_RESERVOIR!$A$4:$A$1807,A142,B_INPUT_RESERVOIR!$C$4:$C$1807,B142))</f>
        <v>0</v>
      </c>
      <c r="E142" s="12">
        <f>IF(C142=0,0,SUMIFS(B_INPUT_RESERVOIR!$J$4:$J$1807,B_INPUT_RESERVOIR!$A$4:$A$1807,A142,B_INPUT_RESERVOIR!$C$4:$C$1807,B142))</f>
        <v>0</v>
      </c>
      <c r="F142" s="12">
        <f>IF(C142=0,"",SUMIFS(B_INPUT_RESERVOIR!$G$4:$G$1807,B_INPUT_RESERVOIR!$A$4:$A$1807,A142,B_INPUT_RESERVOIR!$C$4:$C$1807,B142))</f>
        <v>0</v>
      </c>
      <c r="G142" s="12">
        <f>IF(C142=0,"",SUMIFS(B_INPUT_RESERVOIR!$F$4:$F$1807,B_INPUT_RESERVOIR!$A$4:$A$1807,A142,B_INPUT_RESERVOIR!$C$4:$C$1807,B142))</f>
        <v>0</v>
      </c>
      <c r="H142" s="8">
        <f>IF(C142=0,"",SUMIFS(B_INPUT_RESERVOIR!$K$4:$K$1807,B_INPUT_RESERVOIR!$A$4:$A$1807,A142,B_INPUT_RESERVOIR!$C$4:$C$1807,B142))</f>
        <v>0</v>
      </c>
      <c r="I142" s="10">
        <f t="shared" si="19"/>
        <v>1</v>
      </c>
      <c r="J142" s="10" t="str">
        <f t="shared" si="16"/>
        <v/>
      </c>
      <c r="K142" s="10">
        <f>IF(H142=0,0,SUMIFS(B_INPUT_RESERVOIR!$L$4:$L$1807,B_INPUT_RESERVOIR!$A$4:$A$1807,A142,B_INPUT_RESERVOIR!$C$4:$C$1807,B142)/H142)</f>
        <v>0</v>
      </c>
      <c r="L142" s="10">
        <f t="shared" si="20"/>
        <v>1</v>
      </c>
      <c r="M142" s="10">
        <f>IF(SUMIFS(B_INPUT_RESERVOIR!$N$4:$N$1807,B_INPUT_RESERVOIR!$A$4:$A$1807,A142,B_INPUT_RESERVOIR!$C$4:$C$1807,B142)=0,1,SUMIFS(B_INPUT_RESERVOIR!$O$4:$O$1807,B_INPUT_RESERVOIR!$A$4:$A$1807,A142,B_INPUT_RESERVOIR!$C$4:$C$1807,B142)/SUMIFS(B_INPUT_RESERVOIR!$N$4:$N$1807,B_INPUT_RESERVOIR!$A$4:$A$1807,A142,B_INPUT_RESERVOIR!$C$4:$C$1807,B142))</f>
        <v>1</v>
      </c>
      <c r="N142" s="8">
        <f t="shared" si="17"/>
        <v>0</v>
      </c>
      <c r="O142" s="12">
        <f>_xlfn.SINGLE(IF(C142=0,"",_xlfn.MINIFS(B_INPUT_RESERVOIR!$H$4:$H$1807,B_INPUT_RESERVOIR!$A$4:$A$1807,A142,B_INPUT_RESERVOIR!$C$4:$C$1807,B142)))</f>
        <v>0</v>
      </c>
      <c r="P142" s="12">
        <f>IF(C142=0,"",SUMIFS(B_INPUT_RESERVOIR!$H$4:$H$1807,B_INPUT_RESERVOIR!$A$4:$A$1807,A142,B_INPUT_RESERVOIR!$C$4:$C$1807,B142,B_INPUT_RESERVOIR!$D$4:$D$1807,12))</f>
        <v>0</v>
      </c>
      <c r="Q142" s="13" t="str">
        <f t="shared" si="18"/>
        <v>No failure</v>
      </c>
    </row>
    <row r="143" spans="1:17" x14ac:dyDescent="0.25">
      <c r="A143" s="4" t="s">
        <v>99</v>
      </c>
      <c r="B143" s="4">
        <f t="shared" si="13"/>
        <v>2035</v>
      </c>
      <c r="C143" s="8">
        <f>COUNTIFS(B_INPUT_RESERVOIR!$A$4:$A$1807,A143,B_INPUT_RESERVOIR!$C$4:$C$1807,B143)</f>
        <v>12</v>
      </c>
      <c r="D143" s="12">
        <f>IF(C143=0,0,SUMIFS(B_INPUT_RESERVOIR!$E$4:$E$1807,B_INPUT_RESERVOIR!$A$4:$A$1807,A143,B_INPUT_RESERVOIR!$C$4:$C$1807,B143))</f>
        <v>0</v>
      </c>
      <c r="E143" s="12">
        <f>IF(C143=0,0,SUMIFS(B_INPUT_RESERVOIR!$J$4:$J$1807,B_INPUT_RESERVOIR!$A$4:$A$1807,A143,B_INPUT_RESERVOIR!$C$4:$C$1807,B143))</f>
        <v>0</v>
      </c>
      <c r="F143" s="12">
        <f>IF(C143=0,"",SUMIFS(B_INPUT_RESERVOIR!$G$4:$G$1807,B_INPUT_RESERVOIR!$A$4:$A$1807,A143,B_INPUT_RESERVOIR!$C$4:$C$1807,B143))</f>
        <v>0</v>
      </c>
      <c r="G143" s="12">
        <f>IF(C143=0,"",SUMIFS(B_INPUT_RESERVOIR!$F$4:$F$1807,B_INPUT_RESERVOIR!$A$4:$A$1807,A143,B_INPUT_RESERVOIR!$C$4:$C$1807,B143))</f>
        <v>0</v>
      </c>
      <c r="H143" s="8">
        <f>IF(C143=0,"",SUMIFS(B_INPUT_RESERVOIR!$K$4:$K$1807,B_INPUT_RESERVOIR!$A$4:$A$1807,A143,B_INPUT_RESERVOIR!$C$4:$C$1807,B143))</f>
        <v>0</v>
      </c>
      <c r="I143" s="10">
        <f t="shared" si="19"/>
        <v>1</v>
      </c>
      <c r="J143" s="10" t="str">
        <f t="shared" si="16"/>
        <v/>
      </c>
      <c r="K143" s="10">
        <f>IF(H143=0,0,SUMIFS(B_INPUT_RESERVOIR!$L$4:$L$1807,B_INPUT_RESERVOIR!$A$4:$A$1807,A143,B_INPUT_RESERVOIR!$C$4:$C$1807,B143)/H143)</f>
        <v>0</v>
      </c>
      <c r="L143" s="10">
        <f t="shared" si="20"/>
        <v>1</v>
      </c>
      <c r="M143" s="10">
        <f>IF(SUMIFS(B_INPUT_RESERVOIR!$N$4:$N$1807,B_INPUT_RESERVOIR!$A$4:$A$1807,A143,B_INPUT_RESERVOIR!$C$4:$C$1807,B143)=0,1,SUMIFS(B_INPUT_RESERVOIR!$O$4:$O$1807,B_INPUT_RESERVOIR!$A$4:$A$1807,A143,B_INPUT_RESERVOIR!$C$4:$C$1807,B143)/SUMIFS(B_INPUT_RESERVOIR!$N$4:$N$1807,B_INPUT_RESERVOIR!$A$4:$A$1807,A143,B_INPUT_RESERVOIR!$C$4:$C$1807,B143))</f>
        <v>1</v>
      </c>
      <c r="N143" s="8">
        <f t="shared" si="17"/>
        <v>0</v>
      </c>
      <c r="O143" s="12">
        <f>_xlfn.SINGLE(IF(C143=0,"",_xlfn.MINIFS(B_INPUT_RESERVOIR!$H$4:$H$1807,B_INPUT_RESERVOIR!$A$4:$A$1807,A143,B_INPUT_RESERVOIR!$C$4:$C$1807,B143)))</f>
        <v>0</v>
      </c>
      <c r="P143" s="12">
        <f>IF(C143=0,"",SUMIFS(B_INPUT_RESERVOIR!$H$4:$H$1807,B_INPUT_RESERVOIR!$A$4:$A$1807,A143,B_INPUT_RESERVOIR!$C$4:$C$1807,B143,B_INPUT_RESERVOIR!$D$4:$D$1807,12))</f>
        <v>0</v>
      </c>
      <c r="Q143" s="13" t="str">
        <f t="shared" si="18"/>
        <v>No failure</v>
      </c>
    </row>
    <row r="144" spans="1:17" x14ac:dyDescent="0.25">
      <c r="A144" s="4" t="s">
        <v>99</v>
      </c>
      <c r="B144" s="4">
        <f t="shared" si="13"/>
        <v>2036</v>
      </c>
      <c r="C144" s="8">
        <f>COUNTIFS(B_INPUT_RESERVOIR!$A$4:$A$1807,A144,B_INPUT_RESERVOIR!$C$4:$C$1807,B144)</f>
        <v>12</v>
      </c>
      <c r="D144" s="12">
        <f>IF(C144=0,0,SUMIFS(B_INPUT_RESERVOIR!$E$4:$E$1807,B_INPUT_RESERVOIR!$A$4:$A$1807,A144,B_INPUT_RESERVOIR!$C$4:$C$1807,B144))</f>
        <v>0</v>
      </c>
      <c r="E144" s="12">
        <f>IF(C144=0,0,SUMIFS(B_INPUT_RESERVOIR!$J$4:$J$1807,B_INPUT_RESERVOIR!$A$4:$A$1807,A144,B_INPUT_RESERVOIR!$C$4:$C$1807,B144))</f>
        <v>0</v>
      </c>
      <c r="F144" s="12">
        <f>IF(C144=0,"",SUMIFS(B_INPUT_RESERVOIR!$G$4:$G$1807,B_INPUT_RESERVOIR!$A$4:$A$1807,A144,B_INPUT_RESERVOIR!$C$4:$C$1807,B144))</f>
        <v>0</v>
      </c>
      <c r="G144" s="12">
        <f>IF(C144=0,"",SUMIFS(B_INPUT_RESERVOIR!$F$4:$F$1807,B_INPUT_RESERVOIR!$A$4:$A$1807,A144,B_INPUT_RESERVOIR!$C$4:$C$1807,B144))</f>
        <v>0</v>
      </c>
      <c r="H144" s="8">
        <f>IF(C144=0,"",SUMIFS(B_INPUT_RESERVOIR!$K$4:$K$1807,B_INPUT_RESERVOIR!$A$4:$A$1807,A144,B_INPUT_RESERVOIR!$C$4:$C$1807,B144))</f>
        <v>0</v>
      </c>
      <c r="I144" s="10">
        <f t="shared" si="19"/>
        <v>1</v>
      </c>
      <c r="J144" s="10" t="str">
        <f t="shared" si="16"/>
        <v/>
      </c>
      <c r="K144" s="10">
        <f>IF(H144=0,0,SUMIFS(B_INPUT_RESERVOIR!$L$4:$L$1807,B_INPUT_RESERVOIR!$A$4:$A$1807,A144,B_INPUT_RESERVOIR!$C$4:$C$1807,B144)/H144)</f>
        <v>0</v>
      </c>
      <c r="L144" s="10">
        <f t="shared" si="20"/>
        <v>1</v>
      </c>
      <c r="M144" s="10">
        <f>IF(SUMIFS(B_INPUT_RESERVOIR!$N$4:$N$1807,B_INPUT_RESERVOIR!$A$4:$A$1807,A144,B_INPUT_RESERVOIR!$C$4:$C$1807,B144)=0,1,SUMIFS(B_INPUT_RESERVOIR!$O$4:$O$1807,B_INPUT_RESERVOIR!$A$4:$A$1807,A144,B_INPUT_RESERVOIR!$C$4:$C$1807,B144)/SUMIFS(B_INPUT_RESERVOIR!$N$4:$N$1807,B_INPUT_RESERVOIR!$A$4:$A$1807,A144,B_INPUT_RESERVOIR!$C$4:$C$1807,B144))</f>
        <v>1</v>
      </c>
      <c r="N144" s="8">
        <f t="shared" si="17"/>
        <v>0</v>
      </c>
      <c r="O144" s="12">
        <f>_xlfn.SINGLE(IF(C144=0,"",_xlfn.MINIFS(B_INPUT_RESERVOIR!$H$4:$H$1807,B_INPUT_RESERVOIR!$A$4:$A$1807,A144,B_INPUT_RESERVOIR!$C$4:$C$1807,B144)))</f>
        <v>0</v>
      </c>
      <c r="P144" s="12">
        <f>IF(C144=0,"",SUMIFS(B_INPUT_RESERVOIR!$H$4:$H$1807,B_INPUT_RESERVOIR!$A$4:$A$1807,A144,B_INPUT_RESERVOIR!$C$4:$C$1807,B144,B_INPUT_RESERVOIR!$D$4:$D$1807,12))</f>
        <v>0</v>
      </c>
      <c r="Q144" s="13" t="str">
        <f t="shared" si="18"/>
        <v>No failure</v>
      </c>
    </row>
    <row r="145" spans="1:17" x14ac:dyDescent="0.25">
      <c r="A145" s="4" t="s">
        <v>99</v>
      </c>
      <c r="B145" s="4">
        <f t="shared" si="13"/>
        <v>2037</v>
      </c>
      <c r="C145" s="8">
        <f>COUNTIFS(B_INPUT_RESERVOIR!$A$4:$A$1807,A145,B_INPUT_RESERVOIR!$C$4:$C$1807,B145)</f>
        <v>12</v>
      </c>
      <c r="D145" s="12">
        <f>IF(C145=0,0,SUMIFS(B_INPUT_RESERVOIR!$E$4:$E$1807,B_INPUT_RESERVOIR!$A$4:$A$1807,A145,B_INPUT_RESERVOIR!$C$4:$C$1807,B145))</f>
        <v>0</v>
      </c>
      <c r="E145" s="12">
        <f>IF(C145=0,0,SUMIFS(B_INPUT_RESERVOIR!$J$4:$J$1807,B_INPUT_RESERVOIR!$A$4:$A$1807,A145,B_INPUT_RESERVOIR!$C$4:$C$1807,B145))</f>
        <v>0</v>
      </c>
      <c r="F145" s="12">
        <f>IF(C145=0,"",SUMIFS(B_INPUT_RESERVOIR!$G$4:$G$1807,B_INPUT_RESERVOIR!$A$4:$A$1807,A145,B_INPUT_RESERVOIR!$C$4:$C$1807,B145))</f>
        <v>0</v>
      </c>
      <c r="G145" s="12">
        <f>IF(C145=0,"",SUMIFS(B_INPUT_RESERVOIR!$F$4:$F$1807,B_INPUT_RESERVOIR!$A$4:$A$1807,A145,B_INPUT_RESERVOIR!$C$4:$C$1807,B145))</f>
        <v>0</v>
      </c>
      <c r="H145" s="8">
        <f>IF(C145=0,"",SUMIFS(B_INPUT_RESERVOIR!$K$4:$K$1807,B_INPUT_RESERVOIR!$A$4:$A$1807,A145,B_INPUT_RESERVOIR!$C$4:$C$1807,B145))</f>
        <v>0</v>
      </c>
      <c r="I145" s="10">
        <f t="shared" si="19"/>
        <v>1</v>
      </c>
      <c r="J145" s="10" t="str">
        <f t="shared" si="16"/>
        <v/>
      </c>
      <c r="K145" s="10">
        <f>IF(H145=0,0,SUMIFS(B_INPUT_RESERVOIR!$L$4:$L$1807,B_INPUT_RESERVOIR!$A$4:$A$1807,A145,B_INPUT_RESERVOIR!$C$4:$C$1807,B145)/H145)</f>
        <v>0</v>
      </c>
      <c r="L145" s="10">
        <f t="shared" si="20"/>
        <v>1</v>
      </c>
      <c r="M145" s="10">
        <f>IF(SUMIFS(B_INPUT_RESERVOIR!$N$4:$N$1807,B_INPUT_RESERVOIR!$A$4:$A$1807,A145,B_INPUT_RESERVOIR!$C$4:$C$1807,B145)=0,1,SUMIFS(B_INPUT_RESERVOIR!$O$4:$O$1807,B_INPUT_RESERVOIR!$A$4:$A$1807,A145,B_INPUT_RESERVOIR!$C$4:$C$1807,B145)/SUMIFS(B_INPUT_RESERVOIR!$N$4:$N$1807,B_INPUT_RESERVOIR!$A$4:$A$1807,A145,B_INPUT_RESERVOIR!$C$4:$C$1807,B145))</f>
        <v>1</v>
      </c>
      <c r="N145" s="8">
        <f t="shared" si="17"/>
        <v>0</v>
      </c>
      <c r="O145" s="12">
        <f>_xlfn.SINGLE(IF(C145=0,"",_xlfn.MINIFS(B_INPUT_RESERVOIR!$H$4:$H$1807,B_INPUT_RESERVOIR!$A$4:$A$1807,A145,B_INPUT_RESERVOIR!$C$4:$C$1807,B145)))</f>
        <v>0</v>
      </c>
      <c r="P145" s="12">
        <f>IF(C145=0,"",SUMIFS(B_INPUT_RESERVOIR!$H$4:$H$1807,B_INPUT_RESERVOIR!$A$4:$A$1807,A145,B_INPUT_RESERVOIR!$C$4:$C$1807,B145,B_INPUT_RESERVOIR!$D$4:$D$1807,12))</f>
        <v>0</v>
      </c>
      <c r="Q145" s="13" t="str">
        <f t="shared" si="18"/>
        <v>No failure</v>
      </c>
    </row>
    <row r="146" spans="1:17" x14ac:dyDescent="0.25">
      <c r="A146" s="4" t="s">
        <v>99</v>
      </c>
      <c r="B146" s="4">
        <f t="shared" si="13"/>
        <v>2038</v>
      </c>
      <c r="C146" s="8">
        <f>COUNTIFS(B_INPUT_RESERVOIR!$A$4:$A$1807,A146,B_INPUT_RESERVOIR!$C$4:$C$1807,B146)</f>
        <v>12</v>
      </c>
      <c r="D146" s="12">
        <f>IF(C146=0,0,SUMIFS(B_INPUT_RESERVOIR!$E$4:$E$1807,B_INPUT_RESERVOIR!$A$4:$A$1807,A146,B_INPUT_RESERVOIR!$C$4:$C$1807,B146))</f>
        <v>0</v>
      </c>
      <c r="E146" s="12">
        <f>IF(C146=0,0,SUMIFS(B_INPUT_RESERVOIR!$J$4:$J$1807,B_INPUT_RESERVOIR!$A$4:$A$1807,A146,B_INPUT_RESERVOIR!$C$4:$C$1807,B146))</f>
        <v>0</v>
      </c>
      <c r="F146" s="12">
        <f>IF(C146=0,"",SUMIFS(B_INPUT_RESERVOIR!$G$4:$G$1807,B_INPUT_RESERVOIR!$A$4:$A$1807,A146,B_INPUT_RESERVOIR!$C$4:$C$1807,B146))</f>
        <v>0</v>
      </c>
      <c r="G146" s="12">
        <f>IF(C146=0,"",SUMIFS(B_INPUT_RESERVOIR!$F$4:$F$1807,B_INPUT_RESERVOIR!$A$4:$A$1807,A146,B_INPUT_RESERVOIR!$C$4:$C$1807,B146))</f>
        <v>0</v>
      </c>
      <c r="H146" s="8">
        <f>IF(C146=0,"",SUMIFS(B_INPUT_RESERVOIR!$K$4:$K$1807,B_INPUT_RESERVOIR!$A$4:$A$1807,A146,B_INPUT_RESERVOIR!$C$4:$C$1807,B146))</f>
        <v>0</v>
      </c>
      <c r="I146" s="10">
        <f t="shared" si="19"/>
        <v>1</v>
      </c>
      <c r="J146" s="10" t="str">
        <f t="shared" si="16"/>
        <v/>
      </c>
      <c r="K146" s="10">
        <f>IF(H146=0,0,SUMIFS(B_INPUT_RESERVOIR!$L$4:$L$1807,B_INPUT_RESERVOIR!$A$4:$A$1807,A146,B_INPUT_RESERVOIR!$C$4:$C$1807,B146)/H146)</f>
        <v>0</v>
      </c>
      <c r="L146" s="10">
        <f t="shared" si="20"/>
        <v>1</v>
      </c>
      <c r="M146" s="10">
        <f>IF(SUMIFS(B_INPUT_RESERVOIR!$N$4:$N$1807,B_INPUT_RESERVOIR!$A$4:$A$1807,A146,B_INPUT_RESERVOIR!$C$4:$C$1807,B146)=0,1,SUMIFS(B_INPUT_RESERVOIR!$O$4:$O$1807,B_INPUT_RESERVOIR!$A$4:$A$1807,A146,B_INPUT_RESERVOIR!$C$4:$C$1807,B146)/SUMIFS(B_INPUT_RESERVOIR!$N$4:$N$1807,B_INPUT_RESERVOIR!$A$4:$A$1807,A146,B_INPUT_RESERVOIR!$C$4:$C$1807,B146))</f>
        <v>1</v>
      </c>
      <c r="N146" s="8">
        <f t="shared" si="17"/>
        <v>0</v>
      </c>
      <c r="O146" s="12">
        <f>_xlfn.SINGLE(IF(C146=0,"",_xlfn.MINIFS(B_INPUT_RESERVOIR!$H$4:$H$1807,B_INPUT_RESERVOIR!$A$4:$A$1807,A146,B_INPUT_RESERVOIR!$C$4:$C$1807,B146)))</f>
        <v>0</v>
      </c>
      <c r="P146" s="12">
        <f>IF(C146=0,"",SUMIFS(B_INPUT_RESERVOIR!$H$4:$H$1807,B_INPUT_RESERVOIR!$A$4:$A$1807,A146,B_INPUT_RESERVOIR!$C$4:$C$1807,B146,B_INPUT_RESERVOIR!$D$4:$D$1807,12))</f>
        <v>0</v>
      </c>
      <c r="Q146" s="13" t="str">
        <f t="shared" si="18"/>
        <v>No failure</v>
      </c>
    </row>
    <row r="147" spans="1:17" x14ac:dyDescent="0.25">
      <c r="A147" s="4" t="s">
        <v>99</v>
      </c>
      <c r="B147" s="4">
        <f t="shared" si="13"/>
        <v>2039</v>
      </c>
      <c r="C147" s="8">
        <f>COUNTIFS(B_INPUT_RESERVOIR!$A$4:$A$1807,A147,B_INPUT_RESERVOIR!$C$4:$C$1807,B147)</f>
        <v>12</v>
      </c>
      <c r="D147" s="12">
        <f>IF(C147=0,0,SUMIFS(B_INPUT_RESERVOIR!$E$4:$E$1807,B_INPUT_RESERVOIR!$A$4:$A$1807,A147,B_INPUT_RESERVOIR!$C$4:$C$1807,B147))</f>
        <v>0</v>
      </c>
      <c r="E147" s="12">
        <f>IF(C147=0,0,SUMIFS(B_INPUT_RESERVOIR!$J$4:$J$1807,B_INPUT_RESERVOIR!$A$4:$A$1807,A147,B_INPUT_RESERVOIR!$C$4:$C$1807,B147))</f>
        <v>0</v>
      </c>
      <c r="F147" s="12">
        <f>IF(C147=0,"",SUMIFS(B_INPUT_RESERVOIR!$G$4:$G$1807,B_INPUT_RESERVOIR!$A$4:$A$1807,A147,B_INPUT_RESERVOIR!$C$4:$C$1807,B147))</f>
        <v>0</v>
      </c>
      <c r="G147" s="12">
        <f>IF(C147=0,"",SUMIFS(B_INPUT_RESERVOIR!$F$4:$F$1807,B_INPUT_RESERVOIR!$A$4:$A$1807,A147,B_INPUT_RESERVOIR!$C$4:$C$1807,B147))</f>
        <v>0</v>
      </c>
      <c r="H147" s="8">
        <f>IF(C147=0,"",SUMIFS(B_INPUT_RESERVOIR!$K$4:$K$1807,B_INPUT_RESERVOIR!$A$4:$A$1807,A147,B_INPUT_RESERVOIR!$C$4:$C$1807,B147))</f>
        <v>0</v>
      </c>
      <c r="I147" s="10">
        <f t="shared" si="19"/>
        <v>1</v>
      </c>
      <c r="J147" s="10" t="str">
        <f t="shared" si="16"/>
        <v/>
      </c>
      <c r="K147" s="10">
        <f>IF(H147=0,0,SUMIFS(B_INPUT_RESERVOIR!$L$4:$L$1807,B_INPUT_RESERVOIR!$A$4:$A$1807,A147,B_INPUT_RESERVOIR!$C$4:$C$1807,B147)/H147)</f>
        <v>0</v>
      </c>
      <c r="L147" s="10">
        <f t="shared" si="20"/>
        <v>1</v>
      </c>
      <c r="M147" s="10">
        <f>IF(SUMIFS(B_INPUT_RESERVOIR!$N$4:$N$1807,B_INPUT_RESERVOIR!$A$4:$A$1807,A147,B_INPUT_RESERVOIR!$C$4:$C$1807,B147)=0,1,SUMIFS(B_INPUT_RESERVOIR!$O$4:$O$1807,B_INPUT_RESERVOIR!$A$4:$A$1807,A147,B_INPUT_RESERVOIR!$C$4:$C$1807,B147)/SUMIFS(B_INPUT_RESERVOIR!$N$4:$N$1807,B_INPUT_RESERVOIR!$A$4:$A$1807,A147,B_INPUT_RESERVOIR!$C$4:$C$1807,B147))</f>
        <v>1</v>
      </c>
      <c r="N147" s="8">
        <f t="shared" si="17"/>
        <v>0</v>
      </c>
      <c r="O147" s="12">
        <f>_xlfn.SINGLE(IF(C147=0,"",_xlfn.MINIFS(B_INPUT_RESERVOIR!$H$4:$H$1807,B_INPUT_RESERVOIR!$A$4:$A$1807,A147,B_INPUT_RESERVOIR!$C$4:$C$1807,B147)))</f>
        <v>0</v>
      </c>
      <c r="P147" s="12">
        <f>IF(C147=0,"",SUMIFS(B_INPUT_RESERVOIR!$H$4:$H$1807,B_INPUT_RESERVOIR!$A$4:$A$1807,A147,B_INPUT_RESERVOIR!$C$4:$C$1807,B147,B_INPUT_RESERVOIR!$D$4:$D$1807,12))</f>
        <v>0</v>
      </c>
      <c r="Q147" s="13" t="str">
        <f t="shared" si="18"/>
        <v>No failure</v>
      </c>
    </row>
    <row r="148" spans="1:17" x14ac:dyDescent="0.25">
      <c r="A148" s="4" t="s">
        <v>99</v>
      </c>
      <c r="B148" s="4">
        <f t="shared" si="13"/>
        <v>2040</v>
      </c>
      <c r="C148" s="8">
        <f>COUNTIFS(B_INPUT_RESERVOIR!$A$4:$A$1807,A148,B_INPUT_RESERVOIR!$C$4:$C$1807,B148)</f>
        <v>12</v>
      </c>
      <c r="D148" s="12">
        <f>IF(C148=0,0,SUMIFS(B_INPUT_RESERVOIR!$E$4:$E$1807,B_INPUT_RESERVOIR!$A$4:$A$1807,A148,B_INPUT_RESERVOIR!$C$4:$C$1807,B148))</f>
        <v>0</v>
      </c>
      <c r="E148" s="12">
        <f>IF(C148=0,0,SUMIFS(B_INPUT_RESERVOIR!$J$4:$J$1807,B_INPUT_RESERVOIR!$A$4:$A$1807,A148,B_INPUT_RESERVOIR!$C$4:$C$1807,B148))</f>
        <v>0</v>
      </c>
      <c r="F148" s="12">
        <f>IF(C148=0,"",SUMIFS(B_INPUT_RESERVOIR!$G$4:$G$1807,B_INPUT_RESERVOIR!$A$4:$A$1807,A148,B_INPUT_RESERVOIR!$C$4:$C$1807,B148))</f>
        <v>0</v>
      </c>
      <c r="G148" s="12">
        <f>IF(C148=0,"",SUMIFS(B_INPUT_RESERVOIR!$F$4:$F$1807,B_INPUT_RESERVOIR!$A$4:$A$1807,A148,B_INPUT_RESERVOIR!$C$4:$C$1807,B148))</f>
        <v>0</v>
      </c>
      <c r="H148" s="8">
        <f>IF(C148=0,"",SUMIFS(B_INPUT_RESERVOIR!$K$4:$K$1807,B_INPUT_RESERVOIR!$A$4:$A$1807,A148,B_INPUT_RESERVOIR!$C$4:$C$1807,B148))</f>
        <v>0</v>
      </c>
      <c r="I148" s="10">
        <f t="shared" si="19"/>
        <v>1</v>
      </c>
      <c r="J148" s="10" t="str">
        <f t="shared" si="16"/>
        <v/>
      </c>
      <c r="K148" s="10">
        <f>IF(H148=0,0,SUMIFS(B_INPUT_RESERVOIR!$L$4:$L$1807,B_INPUT_RESERVOIR!$A$4:$A$1807,A148,B_INPUT_RESERVOIR!$C$4:$C$1807,B148)/H148)</f>
        <v>0</v>
      </c>
      <c r="L148" s="10">
        <f t="shared" si="20"/>
        <v>1</v>
      </c>
      <c r="M148" s="10">
        <f>IF(SUMIFS(B_INPUT_RESERVOIR!$N$4:$N$1807,B_INPUT_RESERVOIR!$A$4:$A$1807,A148,B_INPUT_RESERVOIR!$C$4:$C$1807,B148)=0,1,SUMIFS(B_INPUT_RESERVOIR!$O$4:$O$1807,B_INPUT_RESERVOIR!$A$4:$A$1807,A148,B_INPUT_RESERVOIR!$C$4:$C$1807,B148)/SUMIFS(B_INPUT_RESERVOIR!$N$4:$N$1807,B_INPUT_RESERVOIR!$A$4:$A$1807,A148,B_INPUT_RESERVOIR!$C$4:$C$1807,B148))</f>
        <v>1</v>
      </c>
      <c r="N148" s="8">
        <f t="shared" si="17"/>
        <v>0</v>
      </c>
      <c r="O148" s="12">
        <f>_xlfn.SINGLE(IF(C148=0,"",_xlfn.MINIFS(B_INPUT_RESERVOIR!$H$4:$H$1807,B_INPUT_RESERVOIR!$A$4:$A$1807,A148,B_INPUT_RESERVOIR!$C$4:$C$1807,B148)))</f>
        <v>0</v>
      </c>
      <c r="P148" s="12">
        <f>IF(C148=0,"",SUMIFS(B_INPUT_RESERVOIR!$H$4:$H$1807,B_INPUT_RESERVOIR!$A$4:$A$1807,A148,B_INPUT_RESERVOIR!$C$4:$C$1807,B148,B_INPUT_RESERVOIR!$D$4:$D$1807,12))</f>
        <v>0</v>
      </c>
      <c r="Q148" s="13" t="str">
        <f t="shared" si="18"/>
        <v>No failure</v>
      </c>
    </row>
    <row r="149" spans="1:17" x14ac:dyDescent="0.25">
      <c r="A149" s="4" t="s">
        <v>99</v>
      </c>
      <c r="B149" s="4">
        <f t="shared" si="13"/>
        <v>2041</v>
      </c>
      <c r="C149" s="8">
        <f>COUNTIFS(B_INPUT_RESERVOIR!$A$4:$A$1807,A149,B_INPUT_RESERVOIR!$C$4:$C$1807,B149)</f>
        <v>12</v>
      </c>
      <c r="D149" s="12">
        <f>IF(C149=0,0,SUMIFS(B_INPUT_RESERVOIR!$E$4:$E$1807,B_INPUT_RESERVOIR!$A$4:$A$1807,A149,B_INPUT_RESERVOIR!$C$4:$C$1807,B149))</f>
        <v>0</v>
      </c>
      <c r="E149" s="12">
        <f>IF(C149=0,0,SUMIFS(B_INPUT_RESERVOIR!$J$4:$J$1807,B_INPUT_RESERVOIR!$A$4:$A$1807,A149,B_INPUT_RESERVOIR!$C$4:$C$1807,B149))</f>
        <v>0</v>
      </c>
      <c r="F149" s="12">
        <f>IF(C149=0,"",SUMIFS(B_INPUT_RESERVOIR!$G$4:$G$1807,B_INPUT_RESERVOIR!$A$4:$A$1807,A149,B_INPUT_RESERVOIR!$C$4:$C$1807,B149))</f>
        <v>0</v>
      </c>
      <c r="G149" s="12">
        <f>IF(C149=0,"",SUMIFS(B_INPUT_RESERVOIR!$F$4:$F$1807,B_INPUT_RESERVOIR!$A$4:$A$1807,A149,B_INPUT_RESERVOIR!$C$4:$C$1807,B149))</f>
        <v>0</v>
      </c>
      <c r="H149" s="8">
        <f>IF(C149=0,"",SUMIFS(B_INPUT_RESERVOIR!$K$4:$K$1807,B_INPUT_RESERVOIR!$A$4:$A$1807,A149,B_INPUT_RESERVOIR!$C$4:$C$1807,B149))</f>
        <v>0</v>
      </c>
      <c r="I149" s="10">
        <f t="shared" si="19"/>
        <v>1</v>
      </c>
      <c r="J149" s="10" t="str">
        <f t="shared" si="16"/>
        <v/>
      </c>
      <c r="K149" s="10">
        <f>IF(H149=0,0,SUMIFS(B_INPUT_RESERVOIR!$L$4:$L$1807,B_INPUT_RESERVOIR!$A$4:$A$1807,A149,B_INPUT_RESERVOIR!$C$4:$C$1807,B149)/H149)</f>
        <v>0</v>
      </c>
      <c r="L149" s="10">
        <f t="shared" si="20"/>
        <v>1</v>
      </c>
      <c r="M149" s="10">
        <f>IF(SUMIFS(B_INPUT_RESERVOIR!$N$4:$N$1807,B_INPUT_RESERVOIR!$A$4:$A$1807,A149,B_INPUT_RESERVOIR!$C$4:$C$1807,B149)=0,1,SUMIFS(B_INPUT_RESERVOIR!$O$4:$O$1807,B_INPUT_RESERVOIR!$A$4:$A$1807,A149,B_INPUT_RESERVOIR!$C$4:$C$1807,B149)/SUMIFS(B_INPUT_RESERVOIR!$N$4:$N$1807,B_INPUT_RESERVOIR!$A$4:$A$1807,A149,B_INPUT_RESERVOIR!$C$4:$C$1807,B149))</f>
        <v>1</v>
      </c>
      <c r="N149" s="8">
        <f t="shared" si="17"/>
        <v>0</v>
      </c>
      <c r="O149" s="12">
        <f>_xlfn.SINGLE(IF(C149=0,"",_xlfn.MINIFS(B_INPUT_RESERVOIR!$H$4:$H$1807,B_INPUT_RESERVOIR!$A$4:$A$1807,A149,B_INPUT_RESERVOIR!$C$4:$C$1807,B149)))</f>
        <v>0</v>
      </c>
      <c r="P149" s="12">
        <f>IF(C149=0,"",SUMIFS(B_INPUT_RESERVOIR!$H$4:$H$1807,B_INPUT_RESERVOIR!$A$4:$A$1807,A149,B_INPUT_RESERVOIR!$C$4:$C$1807,B149,B_INPUT_RESERVOIR!$D$4:$D$1807,12))</f>
        <v>0</v>
      </c>
      <c r="Q149" s="13" t="str">
        <f t="shared" si="18"/>
        <v>No failure</v>
      </c>
    </row>
    <row r="150" spans="1:17" x14ac:dyDescent="0.25">
      <c r="A150" s="4" t="s">
        <v>99</v>
      </c>
      <c r="B150" s="4">
        <f t="shared" si="13"/>
        <v>2042</v>
      </c>
      <c r="C150" s="8">
        <f>COUNTIFS(B_INPUT_RESERVOIR!$A$4:$A$1807,A150,B_INPUT_RESERVOIR!$C$4:$C$1807,B150)</f>
        <v>12</v>
      </c>
      <c r="D150" s="12">
        <f>IF(C150=0,0,SUMIFS(B_INPUT_RESERVOIR!$E$4:$E$1807,B_INPUT_RESERVOIR!$A$4:$A$1807,A150,B_INPUT_RESERVOIR!$C$4:$C$1807,B150))</f>
        <v>0</v>
      </c>
      <c r="E150" s="12">
        <f>IF(C150=0,0,SUMIFS(B_INPUT_RESERVOIR!$J$4:$J$1807,B_INPUT_RESERVOIR!$A$4:$A$1807,A150,B_INPUT_RESERVOIR!$C$4:$C$1807,B150))</f>
        <v>0</v>
      </c>
      <c r="F150" s="12">
        <f>IF(C150=0,"",SUMIFS(B_INPUT_RESERVOIR!$G$4:$G$1807,B_INPUT_RESERVOIR!$A$4:$A$1807,A150,B_INPUT_RESERVOIR!$C$4:$C$1807,B150))</f>
        <v>0</v>
      </c>
      <c r="G150" s="12">
        <f>IF(C150=0,"",SUMIFS(B_INPUT_RESERVOIR!$F$4:$F$1807,B_INPUT_RESERVOIR!$A$4:$A$1807,A150,B_INPUT_RESERVOIR!$C$4:$C$1807,B150))</f>
        <v>0</v>
      </c>
      <c r="H150" s="8">
        <f>IF(C150=0,"",SUMIFS(B_INPUT_RESERVOIR!$K$4:$K$1807,B_INPUT_RESERVOIR!$A$4:$A$1807,A150,B_INPUT_RESERVOIR!$C$4:$C$1807,B150))</f>
        <v>0</v>
      </c>
      <c r="I150" s="10">
        <f t="shared" si="19"/>
        <v>1</v>
      </c>
      <c r="J150" s="10" t="str">
        <f t="shared" si="16"/>
        <v/>
      </c>
      <c r="K150" s="10">
        <f>IF(H150=0,0,SUMIFS(B_INPUT_RESERVOIR!$L$4:$L$1807,B_INPUT_RESERVOIR!$A$4:$A$1807,A150,B_INPUT_RESERVOIR!$C$4:$C$1807,B150)/H150)</f>
        <v>0</v>
      </c>
      <c r="L150" s="10">
        <f t="shared" si="20"/>
        <v>1</v>
      </c>
      <c r="M150" s="10">
        <f>IF(SUMIFS(B_INPUT_RESERVOIR!$N$4:$N$1807,B_INPUT_RESERVOIR!$A$4:$A$1807,A150,B_INPUT_RESERVOIR!$C$4:$C$1807,B150)=0,1,SUMIFS(B_INPUT_RESERVOIR!$O$4:$O$1807,B_INPUT_RESERVOIR!$A$4:$A$1807,A150,B_INPUT_RESERVOIR!$C$4:$C$1807,B150)/SUMIFS(B_INPUT_RESERVOIR!$N$4:$N$1807,B_INPUT_RESERVOIR!$A$4:$A$1807,A150,B_INPUT_RESERVOIR!$C$4:$C$1807,B150))</f>
        <v>1</v>
      </c>
      <c r="N150" s="8">
        <f t="shared" si="17"/>
        <v>0</v>
      </c>
      <c r="O150" s="12">
        <f>_xlfn.SINGLE(IF(C150=0,"",_xlfn.MINIFS(B_INPUT_RESERVOIR!$H$4:$H$1807,B_INPUT_RESERVOIR!$A$4:$A$1807,A150,B_INPUT_RESERVOIR!$C$4:$C$1807,B150)))</f>
        <v>0</v>
      </c>
      <c r="P150" s="12">
        <f>IF(C150=0,"",SUMIFS(B_INPUT_RESERVOIR!$H$4:$H$1807,B_INPUT_RESERVOIR!$A$4:$A$1807,A150,B_INPUT_RESERVOIR!$C$4:$C$1807,B150,B_INPUT_RESERVOIR!$D$4:$D$1807,12))</f>
        <v>0</v>
      </c>
      <c r="Q150" s="13" t="str">
        <f t="shared" si="18"/>
        <v>No failure</v>
      </c>
    </row>
    <row r="151" spans="1:17" x14ac:dyDescent="0.25">
      <c r="A151" s="4" t="s">
        <v>99</v>
      </c>
      <c r="B151" s="4">
        <f t="shared" si="13"/>
        <v>2043</v>
      </c>
      <c r="C151" s="8">
        <f>COUNTIFS(B_INPUT_RESERVOIR!$A$4:$A$1807,A151,B_INPUT_RESERVOIR!$C$4:$C$1807,B151)</f>
        <v>12</v>
      </c>
      <c r="D151" s="12">
        <f>IF(C151=0,0,SUMIFS(B_INPUT_RESERVOIR!$E$4:$E$1807,B_INPUT_RESERVOIR!$A$4:$A$1807,A151,B_INPUT_RESERVOIR!$C$4:$C$1807,B151))</f>
        <v>0</v>
      </c>
      <c r="E151" s="12">
        <f>IF(C151=0,0,SUMIFS(B_INPUT_RESERVOIR!$J$4:$J$1807,B_INPUT_RESERVOIR!$A$4:$A$1807,A151,B_INPUT_RESERVOIR!$C$4:$C$1807,B151))</f>
        <v>0</v>
      </c>
      <c r="F151" s="12">
        <f>IF(C151=0,"",SUMIFS(B_INPUT_RESERVOIR!$G$4:$G$1807,B_INPUT_RESERVOIR!$A$4:$A$1807,A151,B_INPUT_RESERVOIR!$C$4:$C$1807,B151))</f>
        <v>0</v>
      </c>
      <c r="G151" s="12">
        <f>IF(C151=0,"",SUMIFS(B_INPUT_RESERVOIR!$F$4:$F$1807,B_INPUT_RESERVOIR!$A$4:$A$1807,A151,B_INPUT_RESERVOIR!$C$4:$C$1807,B151))</f>
        <v>0</v>
      </c>
      <c r="H151" s="8">
        <f>IF(C151=0,"",SUMIFS(B_INPUT_RESERVOIR!$K$4:$K$1807,B_INPUT_RESERVOIR!$A$4:$A$1807,A151,B_INPUT_RESERVOIR!$C$4:$C$1807,B151))</f>
        <v>0</v>
      </c>
      <c r="I151" s="10">
        <f t="shared" si="19"/>
        <v>1</v>
      </c>
      <c r="J151" s="10" t="str">
        <f t="shared" si="16"/>
        <v/>
      </c>
      <c r="K151" s="10">
        <f>IF(H151=0,0,SUMIFS(B_INPUT_RESERVOIR!$L$4:$L$1807,B_INPUT_RESERVOIR!$A$4:$A$1807,A151,B_INPUT_RESERVOIR!$C$4:$C$1807,B151)/H151)</f>
        <v>0</v>
      </c>
      <c r="L151" s="10">
        <f t="shared" si="20"/>
        <v>1</v>
      </c>
      <c r="M151" s="10">
        <f>IF(SUMIFS(B_INPUT_RESERVOIR!$N$4:$N$1807,B_INPUT_RESERVOIR!$A$4:$A$1807,A151,B_INPUT_RESERVOIR!$C$4:$C$1807,B151)=0,1,SUMIFS(B_INPUT_RESERVOIR!$O$4:$O$1807,B_INPUT_RESERVOIR!$A$4:$A$1807,A151,B_INPUT_RESERVOIR!$C$4:$C$1807,B151)/SUMIFS(B_INPUT_RESERVOIR!$N$4:$N$1807,B_INPUT_RESERVOIR!$A$4:$A$1807,A151,B_INPUT_RESERVOIR!$C$4:$C$1807,B151))</f>
        <v>1</v>
      </c>
      <c r="N151" s="8">
        <f t="shared" si="17"/>
        <v>0</v>
      </c>
      <c r="O151" s="12">
        <f>_xlfn.SINGLE(IF(C151=0,"",_xlfn.MINIFS(B_INPUT_RESERVOIR!$H$4:$H$1807,B_INPUT_RESERVOIR!$A$4:$A$1807,A151,B_INPUT_RESERVOIR!$C$4:$C$1807,B151)))</f>
        <v>0</v>
      </c>
      <c r="P151" s="12">
        <f>IF(C151=0,"",SUMIFS(B_INPUT_RESERVOIR!$H$4:$H$1807,B_INPUT_RESERVOIR!$A$4:$A$1807,A151,B_INPUT_RESERVOIR!$C$4:$C$1807,B151,B_INPUT_RESERVOIR!$D$4:$D$1807,12))</f>
        <v>0</v>
      </c>
      <c r="Q151" s="13" t="str">
        <f t="shared" si="18"/>
        <v>No failure</v>
      </c>
    </row>
    <row r="152" spans="1:17" x14ac:dyDescent="0.25">
      <c r="A152" s="4" t="s">
        <v>99</v>
      </c>
      <c r="B152" s="4">
        <f t="shared" si="13"/>
        <v>2044</v>
      </c>
      <c r="C152" s="8">
        <f>COUNTIFS(B_INPUT_RESERVOIR!$A$4:$A$1807,A152,B_INPUT_RESERVOIR!$C$4:$C$1807,B152)</f>
        <v>12</v>
      </c>
      <c r="D152" s="12">
        <f>IF(C152=0,0,SUMIFS(B_INPUT_RESERVOIR!$E$4:$E$1807,B_INPUT_RESERVOIR!$A$4:$A$1807,A152,B_INPUT_RESERVOIR!$C$4:$C$1807,B152))</f>
        <v>0</v>
      </c>
      <c r="E152" s="12">
        <f>IF(C152=0,0,SUMIFS(B_INPUT_RESERVOIR!$J$4:$J$1807,B_INPUT_RESERVOIR!$A$4:$A$1807,A152,B_INPUT_RESERVOIR!$C$4:$C$1807,B152))</f>
        <v>0</v>
      </c>
      <c r="F152" s="12">
        <f>IF(C152=0,"",SUMIFS(B_INPUT_RESERVOIR!$G$4:$G$1807,B_INPUT_RESERVOIR!$A$4:$A$1807,A152,B_INPUT_RESERVOIR!$C$4:$C$1807,B152))</f>
        <v>0</v>
      </c>
      <c r="G152" s="12">
        <f>IF(C152=0,"",SUMIFS(B_INPUT_RESERVOIR!$F$4:$F$1807,B_INPUT_RESERVOIR!$A$4:$A$1807,A152,B_INPUT_RESERVOIR!$C$4:$C$1807,B152))</f>
        <v>0</v>
      </c>
      <c r="H152" s="8">
        <f>IF(C152=0,"",SUMIFS(B_INPUT_RESERVOIR!$K$4:$K$1807,B_INPUT_RESERVOIR!$A$4:$A$1807,A152,B_INPUT_RESERVOIR!$C$4:$C$1807,B152))</f>
        <v>0</v>
      </c>
      <c r="I152" s="10">
        <f t="shared" si="19"/>
        <v>1</v>
      </c>
      <c r="J152" s="10" t="str">
        <f t="shared" si="16"/>
        <v/>
      </c>
      <c r="K152" s="10">
        <f>IF(H152=0,0,SUMIFS(B_INPUT_RESERVOIR!$L$4:$L$1807,B_INPUT_RESERVOIR!$A$4:$A$1807,A152,B_INPUT_RESERVOIR!$C$4:$C$1807,B152)/H152)</f>
        <v>0</v>
      </c>
      <c r="L152" s="10">
        <f t="shared" si="20"/>
        <v>1</v>
      </c>
      <c r="M152" s="10">
        <f>IF(SUMIFS(B_INPUT_RESERVOIR!$N$4:$N$1807,B_INPUT_RESERVOIR!$A$4:$A$1807,A152,B_INPUT_RESERVOIR!$C$4:$C$1807,B152)=0,1,SUMIFS(B_INPUT_RESERVOIR!$O$4:$O$1807,B_INPUT_RESERVOIR!$A$4:$A$1807,A152,B_INPUT_RESERVOIR!$C$4:$C$1807,B152)/SUMIFS(B_INPUT_RESERVOIR!$N$4:$N$1807,B_INPUT_RESERVOIR!$A$4:$A$1807,A152,B_INPUT_RESERVOIR!$C$4:$C$1807,B152))</f>
        <v>1</v>
      </c>
      <c r="N152" s="8">
        <f t="shared" si="17"/>
        <v>0</v>
      </c>
      <c r="O152" s="12">
        <f>_xlfn.SINGLE(IF(C152=0,"",_xlfn.MINIFS(B_INPUT_RESERVOIR!$H$4:$H$1807,B_INPUT_RESERVOIR!$A$4:$A$1807,A152,B_INPUT_RESERVOIR!$C$4:$C$1807,B152)))</f>
        <v>0</v>
      </c>
      <c r="P152" s="12">
        <f>IF(C152=0,"",SUMIFS(B_INPUT_RESERVOIR!$H$4:$H$1807,B_INPUT_RESERVOIR!$A$4:$A$1807,A152,B_INPUT_RESERVOIR!$C$4:$C$1807,B152,B_INPUT_RESERVOIR!$D$4:$D$1807,12))</f>
        <v>0</v>
      </c>
      <c r="Q152" s="13" t="str">
        <f t="shared" si="18"/>
        <v>No failure</v>
      </c>
    </row>
    <row r="153" spans="1:17" x14ac:dyDescent="0.25">
      <c r="A153" s="4" t="s">
        <v>99</v>
      </c>
      <c r="B153" s="4">
        <f t="shared" si="13"/>
        <v>2045</v>
      </c>
      <c r="C153" s="8">
        <f>COUNTIFS(B_INPUT_RESERVOIR!$A$4:$A$1807,A153,B_INPUT_RESERVOIR!$C$4:$C$1807,B153)</f>
        <v>9</v>
      </c>
      <c r="D153" s="12">
        <f>IF(C153=0,0,SUMIFS(B_INPUT_RESERVOIR!$E$4:$E$1807,B_INPUT_RESERVOIR!$A$4:$A$1807,A153,B_INPUT_RESERVOIR!$C$4:$C$1807,B153))</f>
        <v>0</v>
      </c>
      <c r="E153" s="12">
        <f>IF(C153=0,0,SUMIFS(B_INPUT_RESERVOIR!$J$4:$J$1807,B_INPUT_RESERVOIR!$A$4:$A$1807,A153,B_INPUT_RESERVOIR!$C$4:$C$1807,B153))</f>
        <v>0</v>
      </c>
      <c r="F153" s="12">
        <f>IF(C153=0,"",SUMIFS(B_INPUT_RESERVOIR!$G$4:$G$1807,B_INPUT_RESERVOIR!$A$4:$A$1807,A153,B_INPUT_RESERVOIR!$C$4:$C$1807,B153))</f>
        <v>0</v>
      </c>
      <c r="G153" s="12">
        <f>IF(C153=0,"",SUMIFS(B_INPUT_RESERVOIR!$F$4:$F$1807,B_INPUT_RESERVOIR!$A$4:$A$1807,A153,B_INPUT_RESERVOIR!$C$4:$C$1807,B153))</f>
        <v>0</v>
      </c>
      <c r="H153" s="8">
        <f>IF(C153=0,"",SUMIFS(B_INPUT_RESERVOIR!$K$4:$K$1807,B_INPUT_RESERVOIR!$A$4:$A$1807,A153,B_INPUT_RESERVOIR!$C$4:$C$1807,B153))</f>
        <v>0</v>
      </c>
      <c r="I153" s="10">
        <f t="shared" si="19"/>
        <v>1</v>
      </c>
      <c r="J153" s="10" t="str">
        <f t="shared" si="16"/>
        <v/>
      </c>
      <c r="K153" s="10">
        <f>IF(H153=0,0,SUMIFS(B_INPUT_RESERVOIR!$L$4:$L$1807,B_INPUT_RESERVOIR!$A$4:$A$1807,A153,B_INPUT_RESERVOIR!$C$4:$C$1807,B153)/H153)</f>
        <v>0</v>
      </c>
      <c r="L153" s="10">
        <f t="shared" si="20"/>
        <v>1</v>
      </c>
      <c r="M153" s="10">
        <f>IF(SUMIFS(B_INPUT_RESERVOIR!$N$4:$N$1807,B_INPUT_RESERVOIR!$A$4:$A$1807,A153,B_INPUT_RESERVOIR!$C$4:$C$1807,B153)=0,1,SUMIFS(B_INPUT_RESERVOIR!$O$4:$O$1807,B_INPUT_RESERVOIR!$A$4:$A$1807,A153,B_INPUT_RESERVOIR!$C$4:$C$1807,B153)/SUMIFS(B_INPUT_RESERVOIR!$N$4:$N$1807,B_INPUT_RESERVOIR!$A$4:$A$1807,A153,B_INPUT_RESERVOIR!$C$4:$C$1807,B153))</f>
        <v>1</v>
      </c>
      <c r="N153" s="8">
        <f t="shared" si="17"/>
        <v>0</v>
      </c>
      <c r="O153" s="12">
        <f>_xlfn.SINGLE(IF(C153=0,"",_xlfn.MINIFS(B_INPUT_RESERVOIR!$H$4:$H$1807,B_INPUT_RESERVOIR!$A$4:$A$1807,A153,B_INPUT_RESERVOIR!$C$4:$C$1807,B153)))</f>
        <v>0</v>
      </c>
      <c r="P153" s="12">
        <f>IF(C153=0,"",SUMIFS(B_INPUT_RESERVOIR!$H$4:$H$1807,B_INPUT_RESERVOIR!$A$4:$A$1807,A153,B_INPUT_RESERVOIR!$C$4:$C$1807,B153,B_INPUT_RESERVOIR!$D$4:$D$1807,12))</f>
        <v>0</v>
      </c>
      <c r="Q153" s="13" t="str">
        <f t="shared" si="18"/>
        <v>No failure</v>
      </c>
    </row>
  </sheetData>
  <mergeCells count="1">
    <mergeCell ref="A1:Q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P8"/>
  <sheetViews>
    <sheetView workbookViewId="0">
      <pane ySplit="3" topLeftCell="A4" activePane="bottomLeft" state="frozen"/>
      <selection pane="bottomLeft" activeCell="V11" sqref="V11"/>
    </sheetView>
  </sheetViews>
  <sheetFormatPr defaultRowHeight="15" x14ac:dyDescent="0.25"/>
  <cols>
    <col min="1" max="1" width="26" customWidth="1"/>
    <col min="2" max="2" width="9" customWidth="1"/>
    <col min="3" max="3" width="20" customWidth="1"/>
    <col min="4" max="5" width="18" customWidth="1"/>
    <col min="6" max="7" width="14" customWidth="1"/>
    <col min="8" max="9" width="10" customWidth="1"/>
    <col min="10" max="11" width="20" customWidth="1"/>
    <col min="12" max="12" width="12" customWidth="1"/>
    <col min="13" max="13" width="18" customWidth="1"/>
    <col min="14" max="15" width="22" customWidth="1"/>
    <col min="16" max="16" width="18" customWidth="1"/>
  </cols>
  <sheetData>
    <row r="1" spans="1:16" ht="18.75" x14ac:dyDescent="0.25">
      <c r="A1" s="64" t="s">
        <v>113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3" spans="1:16" ht="30" x14ac:dyDescent="0.25">
      <c r="A3" s="2" t="s">
        <v>79</v>
      </c>
      <c r="B3" s="2" t="s">
        <v>101</v>
      </c>
      <c r="C3" s="2" t="s">
        <v>83</v>
      </c>
      <c r="D3" s="2" t="s">
        <v>87</v>
      </c>
      <c r="E3" s="2" t="s">
        <v>102</v>
      </c>
      <c r="F3" s="2" t="s">
        <v>84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114</v>
      </c>
      <c r="N3" s="2" t="s">
        <v>115</v>
      </c>
      <c r="O3" s="2" t="s">
        <v>110</v>
      </c>
      <c r="P3" s="2" t="s">
        <v>49</v>
      </c>
    </row>
    <row r="4" spans="1:16" x14ac:dyDescent="0.25">
      <c r="A4" s="4" t="s">
        <v>96</v>
      </c>
      <c r="B4" s="8">
        <f>SUMIFS(B_CALC_ANNUAL!$C$4:$C$1807,B_CALC_ANNUAL!$A$4:$A$1807,$A4,B_CALC_ANNUAL!$B$4:$B$1807,"&gt;="&amp;CONTROL_PANEL!$B$6,B_CALC_ANNUAL!$B$4:$B$1807,"&lt;="&amp;CONTROL_PANEL!$B$7)</f>
        <v>120</v>
      </c>
      <c r="C4" s="12">
        <f>SUMIFS(B_CALC_ANNUAL!$D$4:$D$1807,B_CALC_ANNUAL!$A$4:$A$1807,A4,B_CALC_ANNUAL!$B$4:$B$1807,"&gt;="&amp;CONTROL_PANEL!$B$6,B_CALC_ANNUAL!$B$4:$B$1807,"&lt;="&amp;CONTROL_PANEL!$B$7)</f>
        <v>60174044.954313293</v>
      </c>
      <c r="D4" s="12">
        <f>SUMIFS(B_CALC_ANNUAL!$E$4:$E$1807,B_CALC_ANNUAL!$A$4:$A$1807,A4,B_CALC_ANNUAL!$B$4:$B$1807,"&gt;="&amp;CONTROL_PANEL!$B$6,B_CALC_ANNUAL!$B$4:$B$1807,"&lt;="&amp;CONTROL_PANEL!$B$7)</f>
        <v>60174044.954313293</v>
      </c>
      <c r="E4" s="12">
        <f>SUMIFS(B_CALC_ANNUAL!$F$4:$F$1807,B_CALC_ANNUAL!$A$4:$A$1807,A4,B_CALC_ANNUAL!$B$4:$B$1807,"&gt;="&amp;CONTROL_PANEL!$B$6,B_CALC_ANNUAL!$B$4:$B$1807,"&lt;="&amp;CONTROL_PANEL!$B$7)</f>
        <v>0</v>
      </c>
      <c r="F4" s="12">
        <f>SUMIFS(B_CALC_ANNUAL!$G$4:$G$1807,B_CALC_ANNUAL!$A$4:$A$1807,A4,B_CALC_ANNUAL!$B$4:$B$1807,"&gt;="&amp;CONTROL_PANEL!$B$6,B_CALC_ANNUAL!$B$4:$B$1807,"&lt;="&amp;CONTROL_PANEL!$B$7)</f>
        <v>0</v>
      </c>
      <c r="G4" s="8">
        <f>SUMIFS(B_CALC_ANNUAL!$H$4:$H$1807,B_CALC_ANNUAL!$A$4:$A$1807,A4,B_CALC_ANNUAL!$B$4:$B$1807,"&gt;="&amp;CONTROL_PANEL!$B$6,B_CALC_ANNUAL!$B$4:$B$1807,"&lt;="&amp;CONTROL_PANEL!$B$7)</f>
        <v>0</v>
      </c>
      <c r="H4" s="10">
        <f>IF(B4=0,"",1-G4/B4)</f>
        <v>1</v>
      </c>
      <c r="I4" s="10">
        <f>IF(C4=0,"",D4/C4)</f>
        <v>1</v>
      </c>
      <c r="J4" s="10">
        <f>IF(G4=0,0,SUMIFS(B_INPUT_RESERVOIR!$L$4:$L$1807,B_INPUT_RESERVOIR!$A$4:$A$1807,A4)/G4)</f>
        <v>0</v>
      </c>
      <c r="K4" s="10">
        <f>IF(G4=0,1,1-J4)</f>
        <v>1</v>
      </c>
      <c r="L4" s="10">
        <f>IF(SUMIFS(B_INPUT_RESERVOIR!$N$4:$N$1807,B_INPUT_RESERVOIR!$A$4:$A$1807,A4)=0,1,SUMIFS(B_INPUT_RESERVOIR!$O$4:$O$1807,B_INPUT_RESERVOIR!$A$4:$A$1807,A4)/SUMIFS(B_INPUT_RESERVOIR!$N$4:$N$1807,B_INPUT_RESERVOIR!$A$4:$A$1807,A4))</f>
        <v>1</v>
      </c>
      <c r="M4" s="10">
        <f>IF(COUNTIFS(B_CALC_ANNUAL!$A$4:$A$1807,A4,B_CALC_ANNUAL!$B$4:$B$1807,"&gt;="&amp;CONTROL_PANEL!$B$6,B_CALC_ANNUAL!$B$4:$B$1807,"&lt;="&amp;CONTROL_PANEL!$B$7)=0,"",AVERAGEIFS(B_CALC_ANNUAL!$N$4:$N$1807,B_CALC_ANNUAL!$A$4:$A$1807,A4,B_CALC_ANNUAL!$B$4:$B$1807,"&gt;="&amp;CONTROL_PANEL!$B$6,B_CALC_ANNUAL!$B$4:$B$1807,"&lt;="&amp;CONTROL_PANEL!$B$7))</f>
        <v>0</v>
      </c>
      <c r="N4" s="10">
        <f>IF(M4="","",1-M4)</f>
        <v>1</v>
      </c>
      <c r="O4" s="12">
        <f>_xlfn.SINGLE(_xlfn.MINIFS(B_CALC_ANNUAL!$O$4:$O$1807,B_CALC_ANNUAL!$A$4:$A$1807,A4,B_CALC_ANNUAL!$B$4:$B$1807,"&gt;="&amp;CONTROL_PANEL!$B$6,B_CALC_ANNUAL!$B$4:$B$1807,"&lt;="&amp;CONTROL_PANEL!$B$7))</f>
        <v>10868174.584636217</v>
      </c>
      <c r="P4" s="8" t="str">
        <f>IF(G4&gt;0,"Failures occur","No service failure")</f>
        <v>No service failure</v>
      </c>
    </row>
    <row r="5" spans="1:16" x14ac:dyDescent="0.25">
      <c r="A5" s="4" t="s">
        <v>97</v>
      </c>
      <c r="B5" s="8">
        <f>SUMIFS(B_CALC_ANNUAL!$C$4:$C$1807,B_CALC_ANNUAL!$A$4:$A$1807,$A5,B_CALC_ANNUAL!$B$4:$B$1807,"&gt;="&amp;CONTROL_PANEL!$B$6,B_CALC_ANNUAL!$B$4:$B$1807,"&lt;="&amp;CONTROL_PANEL!$B$7)</f>
        <v>120</v>
      </c>
      <c r="C5" s="12">
        <f>SUMIFS(B_CALC_ANNUAL!$D$4:$D$1807,B_CALC_ANNUAL!$A$4:$A$1807,A5,B_CALC_ANNUAL!$B$4:$B$1807,"&gt;="&amp;CONTROL_PANEL!$B$6,B_CALC_ANNUAL!$B$4:$B$1807,"&lt;="&amp;CONTROL_PANEL!$B$7)</f>
        <v>76467061.133385986</v>
      </c>
      <c r="D5" s="12">
        <f>SUMIFS(B_CALC_ANNUAL!$E$4:$E$1807,B_CALC_ANNUAL!$A$4:$A$1807,A5,B_CALC_ANNUAL!$B$4:$B$1807,"&gt;="&amp;CONTROL_PANEL!$B$6,B_CALC_ANNUAL!$B$4:$B$1807,"&lt;="&amp;CONTROL_PANEL!$B$7)</f>
        <v>73550281.13776207</v>
      </c>
      <c r="E5" s="12">
        <f>SUMIFS(B_CALC_ANNUAL!$F$4:$F$1807,B_CALC_ANNUAL!$A$4:$A$1807,A5,B_CALC_ANNUAL!$B$4:$B$1807,"&gt;="&amp;CONTROL_PANEL!$B$6,B_CALC_ANNUAL!$B$4:$B$1807,"&lt;="&amp;CONTROL_PANEL!$B$7)</f>
        <v>2916779.9956239075</v>
      </c>
      <c r="F5" s="12">
        <f>SUMIFS(B_CALC_ANNUAL!$G$4:$G$1807,B_CALC_ANNUAL!$A$4:$A$1807,A5,B_CALC_ANNUAL!$B$4:$B$1807,"&gt;="&amp;CONTROL_PANEL!$B$6,B_CALC_ANNUAL!$B$4:$B$1807,"&lt;="&amp;CONTROL_PANEL!$B$7)</f>
        <v>0</v>
      </c>
      <c r="G5" s="8">
        <f>SUMIFS(B_CALC_ANNUAL!$H$4:$H$1807,B_CALC_ANNUAL!$A$4:$A$1807,A5,B_CALC_ANNUAL!$B$4:$B$1807,"&gt;="&amp;CONTROL_PANEL!$B$6,B_CALC_ANNUAL!$B$4:$B$1807,"&lt;="&amp;CONTROL_PANEL!$B$7)</f>
        <v>3</v>
      </c>
      <c r="H5" s="10">
        <f>IF(B5=0,"",1-G5/B5)</f>
        <v>0.97499999999999998</v>
      </c>
      <c r="I5" s="10">
        <f>IF(C5=0,"",D5/C5)</f>
        <v>0.96185573301246652</v>
      </c>
      <c r="J5" s="10">
        <f>IF(G5=0,0,SUMIFS(B_INPUT_RESERVOIR!$L$4:$L$1807,B_INPUT_RESERVOIR!$A$4:$A$1807,A5)/G5)</f>
        <v>0.9137856363078497</v>
      </c>
      <c r="K5" s="10">
        <f>IF(G5=0,1,1-J5)</f>
        <v>8.6214363692150298E-2</v>
      </c>
      <c r="L5" s="10">
        <f>IF(SUMIFS(B_INPUT_RESERVOIR!$N$4:$N$1807,B_INPUT_RESERVOIR!$A$4:$A$1807,A5)=0,1,SUMIFS(B_INPUT_RESERVOIR!$O$4:$O$1807,B_INPUT_RESERVOIR!$A$4:$A$1807,A5)/SUMIFS(B_INPUT_RESERVOIR!$N$4:$N$1807,B_INPUT_RESERVOIR!$A$4:$A$1807,A5))</f>
        <v>0.33333333333333331</v>
      </c>
      <c r="M5" s="10">
        <f>IF(COUNTIFS(B_CALC_ANNUAL!$A$4:$A$1807,A5,B_CALC_ANNUAL!$B$4:$B$1807,"&gt;="&amp;CONTROL_PANEL!$B$6,B_CALC_ANNUAL!$B$4:$B$1807,"&lt;="&amp;CONTROL_PANEL!$B$7)=0,"",AVERAGEIFS(B_CALC_ANNUAL!$N$4:$N$1807,B_CALC_ANNUAL!$A$4:$A$1807,A5,B_CALC_ANNUAL!$B$4:$B$1807,"&gt;="&amp;CONTROL_PANEL!$B$6,B_CALC_ANNUAL!$B$4:$B$1807,"&lt;="&amp;CONTROL_PANEL!$B$7))</f>
        <v>0</v>
      </c>
      <c r="N5" s="10">
        <f>IF(M5="","",1-M5)</f>
        <v>1</v>
      </c>
      <c r="O5" s="12">
        <f>_xlfn.SINGLE(_xlfn.MINIFS(B_CALC_ANNUAL!$O$4:$O$1807,B_CALC_ANNUAL!$A$4:$A$1807,A5,B_CALC_ANNUAL!$B$4:$B$1807,"&gt;="&amp;CONTROL_PANEL!$B$6,B_CALC_ANNUAL!$B$4:$B$1807,"&lt;="&amp;CONTROL_PANEL!$B$7))</f>
        <v>77330.13753833808</v>
      </c>
      <c r="P5" s="8" t="str">
        <f>IF(G5&gt;0,"Failures occur","No service failure")</f>
        <v>Failures occur</v>
      </c>
    </row>
    <row r="6" spans="1:16" x14ac:dyDescent="0.25">
      <c r="A6" s="4" t="s">
        <v>30</v>
      </c>
      <c r="B6" s="8">
        <f>SUMIFS(B_CALC_ANNUAL!$C$4:$C$1807,B_CALC_ANNUAL!$A$4:$A$1807,$A6,B_CALC_ANNUAL!$B$4:$B$1807,"&gt;="&amp;CONTROL_PANEL!$B$6,B_CALC_ANNUAL!$B$4:$B$1807,"&lt;="&amp;CONTROL_PANEL!$B$7)</f>
        <v>120</v>
      </c>
      <c r="C6" s="12">
        <f>SUMIFS(B_CALC_ANNUAL!$D$4:$D$1807,B_CALC_ANNUAL!$A$4:$A$1807,A6,B_CALC_ANNUAL!$B$4:$B$1807,"&gt;="&amp;CONTROL_PANEL!$B$6,B_CALC_ANNUAL!$B$4:$B$1807,"&lt;="&amp;CONTROL_PANEL!$B$7)</f>
        <v>65400116.69174552</v>
      </c>
      <c r="D6" s="12">
        <f>SUMIFS(B_CALC_ANNUAL!$E$4:$E$1807,B_CALC_ANNUAL!$A$4:$A$1807,A6,B_CALC_ANNUAL!$B$4:$B$1807,"&gt;="&amp;CONTROL_PANEL!$B$6,B_CALC_ANNUAL!$B$4:$B$1807,"&lt;="&amp;CONTROL_PANEL!$B$7)</f>
        <v>65400116.69174552</v>
      </c>
      <c r="E6" s="12">
        <f>SUMIFS(B_CALC_ANNUAL!$F$4:$F$1807,B_CALC_ANNUAL!$A$4:$A$1807,A6,B_CALC_ANNUAL!$B$4:$B$1807,"&gt;="&amp;CONTROL_PANEL!$B$6,B_CALC_ANNUAL!$B$4:$B$1807,"&lt;="&amp;CONTROL_PANEL!$B$7)</f>
        <v>0</v>
      </c>
      <c r="F6" s="12">
        <f>SUMIFS(B_CALC_ANNUAL!$G$4:$G$1807,B_CALC_ANNUAL!$A$4:$A$1807,A6,B_CALC_ANNUAL!$B$4:$B$1807,"&gt;="&amp;CONTROL_PANEL!$B$6,B_CALC_ANNUAL!$B$4:$B$1807,"&lt;="&amp;CONTROL_PANEL!$B$7)</f>
        <v>0</v>
      </c>
      <c r="G6" s="8">
        <f>SUMIFS(B_CALC_ANNUAL!$H$4:$H$1807,B_CALC_ANNUAL!$A$4:$A$1807,A6,B_CALC_ANNUAL!$B$4:$B$1807,"&gt;="&amp;CONTROL_PANEL!$B$6,B_CALC_ANNUAL!$B$4:$B$1807,"&lt;="&amp;CONTROL_PANEL!$B$7)</f>
        <v>0</v>
      </c>
      <c r="H6" s="10">
        <f>IF(B6=0,"",1-G6/B6)</f>
        <v>1</v>
      </c>
      <c r="I6" s="10">
        <f>IF(C6=0,"",D6/C6)</f>
        <v>1</v>
      </c>
      <c r="J6" s="10">
        <f>IF(G6=0,0,SUMIFS(B_INPUT_RESERVOIR!$L$4:$L$1807,B_INPUT_RESERVOIR!$A$4:$A$1807,A6)/G6)</f>
        <v>0</v>
      </c>
      <c r="K6" s="10">
        <f>IF(G6=0,1,1-J6)</f>
        <v>1</v>
      </c>
      <c r="L6" s="10">
        <f>IF(SUMIFS(B_INPUT_RESERVOIR!$N$4:$N$1807,B_INPUT_RESERVOIR!$A$4:$A$1807,A6)=0,1,SUMIFS(B_INPUT_RESERVOIR!$O$4:$O$1807,B_INPUT_RESERVOIR!$A$4:$A$1807,A6)/SUMIFS(B_INPUT_RESERVOIR!$N$4:$N$1807,B_INPUT_RESERVOIR!$A$4:$A$1807,A6))</f>
        <v>1</v>
      </c>
      <c r="M6" s="10">
        <f>IF(COUNTIFS(B_CALC_ANNUAL!$A$4:$A$1807,A6,B_CALC_ANNUAL!$B$4:$B$1807,"&gt;="&amp;CONTROL_PANEL!$B$6,B_CALC_ANNUAL!$B$4:$B$1807,"&lt;="&amp;CONTROL_PANEL!$B$7)=0,"",AVERAGEIFS(B_CALC_ANNUAL!$N$4:$N$1807,B_CALC_ANNUAL!$A$4:$A$1807,A6,B_CALC_ANNUAL!$B$4:$B$1807,"&gt;="&amp;CONTROL_PANEL!$B$6,B_CALC_ANNUAL!$B$4:$B$1807,"&lt;="&amp;CONTROL_PANEL!$B$7))</f>
        <v>0</v>
      </c>
      <c r="N6" s="10">
        <f>IF(M6="","",1-M6)</f>
        <v>1</v>
      </c>
      <c r="O6" s="12">
        <f>_xlfn.SINGLE(_xlfn.MINIFS(B_CALC_ANNUAL!$O$4:$O$1807,B_CALC_ANNUAL!$A$4:$A$1807,A6,B_CALC_ANNUAL!$B$4:$B$1807,"&gt;="&amp;CONTROL_PANEL!$B$6,B_CALC_ANNUAL!$B$4:$B$1807,"&lt;="&amp;CONTROL_PANEL!$B$7))</f>
        <v>7487508.6755754407</v>
      </c>
      <c r="P6" s="8" t="str">
        <f>IF(G6&gt;0,"Failures occur","No service failure")</f>
        <v>No service failure</v>
      </c>
    </row>
    <row r="7" spans="1:16" x14ac:dyDescent="0.25">
      <c r="A7" s="4" t="s">
        <v>98</v>
      </c>
      <c r="B7" s="8">
        <f>SUMIFS(B_CALC_ANNUAL!$C$4:$C$1807,B_CALC_ANNUAL!$A$4:$A$1807,$A7,B_CALC_ANNUAL!$B$4:$B$1807,"&gt;="&amp;CONTROL_PANEL!$B$6,B_CALC_ANNUAL!$B$4:$B$1807,"&lt;="&amp;CONTROL_PANEL!$B$7)</f>
        <v>120</v>
      </c>
      <c r="C7" s="12">
        <f>SUMIFS(B_CALC_ANNUAL!$D$4:$D$1807,B_CALC_ANNUAL!$A$4:$A$1807,A7,B_CALC_ANNUAL!$B$4:$B$1807,"&gt;="&amp;CONTROL_PANEL!$B$6,B_CALC_ANNUAL!$B$4:$B$1807,"&lt;="&amp;CONTROL_PANEL!$B$7)</f>
        <v>58212855.063871741</v>
      </c>
      <c r="D7" s="12">
        <f>SUMIFS(B_CALC_ANNUAL!$E$4:$E$1807,B_CALC_ANNUAL!$A$4:$A$1807,A7,B_CALC_ANNUAL!$B$4:$B$1807,"&gt;="&amp;CONTROL_PANEL!$B$6,B_CALC_ANNUAL!$B$4:$B$1807,"&lt;="&amp;CONTROL_PANEL!$B$7)</f>
        <v>58212855.063871741</v>
      </c>
      <c r="E7" s="12">
        <f>SUMIFS(B_CALC_ANNUAL!$F$4:$F$1807,B_CALC_ANNUAL!$A$4:$A$1807,A7,B_CALC_ANNUAL!$B$4:$B$1807,"&gt;="&amp;CONTROL_PANEL!$B$6,B_CALC_ANNUAL!$B$4:$B$1807,"&lt;="&amp;CONTROL_PANEL!$B$7)</f>
        <v>0</v>
      </c>
      <c r="F7" s="12">
        <f>SUMIFS(B_CALC_ANNUAL!$G$4:$G$1807,B_CALC_ANNUAL!$A$4:$A$1807,A7,B_CALC_ANNUAL!$B$4:$B$1807,"&gt;="&amp;CONTROL_PANEL!$B$6,B_CALC_ANNUAL!$B$4:$B$1807,"&lt;="&amp;CONTROL_PANEL!$B$7)</f>
        <v>0</v>
      </c>
      <c r="G7" s="8">
        <f>SUMIFS(B_CALC_ANNUAL!$H$4:$H$1807,B_CALC_ANNUAL!$A$4:$A$1807,A7,B_CALC_ANNUAL!$B$4:$B$1807,"&gt;="&amp;CONTROL_PANEL!$B$6,B_CALC_ANNUAL!$B$4:$B$1807,"&lt;="&amp;CONTROL_PANEL!$B$7)</f>
        <v>0</v>
      </c>
      <c r="H7" s="10">
        <f>IF(B7=0,"",1-G7/B7)</f>
        <v>1</v>
      </c>
      <c r="I7" s="10">
        <f>IF(C7=0,"",D7/C7)</f>
        <v>1</v>
      </c>
      <c r="J7" s="10">
        <f>IF(G7=0,0,SUMIFS(B_INPUT_RESERVOIR!$L$4:$L$1807,B_INPUT_RESERVOIR!$A$4:$A$1807,A7)/G7)</f>
        <v>0</v>
      </c>
      <c r="K7" s="10">
        <f>IF(G7=0,1,1-J7)</f>
        <v>1</v>
      </c>
      <c r="L7" s="10">
        <f>IF(SUMIFS(B_INPUT_RESERVOIR!$N$4:$N$1807,B_INPUT_RESERVOIR!$A$4:$A$1807,A7)=0,1,SUMIFS(B_INPUT_RESERVOIR!$O$4:$O$1807,B_INPUT_RESERVOIR!$A$4:$A$1807,A7)/SUMIFS(B_INPUT_RESERVOIR!$N$4:$N$1807,B_INPUT_RESERVOIR!$A$4:$A$1807,A7))</f>
        <v>1</v>
      </c>
      <c r="M7" s="10">
        <f>IF(COUNTIFS(B_CALC_ANNUAL!$A$4:$A$1807,A7,B_CALC_ANNUAL!$B$4:$B$1807,"&gt;="&amp;CONTROL_PANEL!$B$6,B_CALC_ANNUAL!$B$4:$B$1807,"&lt;="&amp;CONTROL_PANEL!$B$7)=0,"",AVERAGEIFS(B_CALC_ANNUAL!$N$4:$N$1807,B_CALC_ANNUAL!$A$4:$A$1807,A7,B_CALC_ANNUAL!$B$4:$B$1807,"&gt;="&amp;CONTROL_PANEL!$B$6,B_CALC_ANNUAL!$B$4:$B$1807,"&lt;="&amp;CONTROL_PANEL!$B$7))</f>
        <v>0</v>
      </c>
      <c r="N7" s="10">
        <f>IF(M7="","",1-M7)</f>
        <v>1</v>
      </c>
      <c r="O7" s="12">
        <f>_xlfn.SINGLE(_xlfn.MINIFS(B_CALC_ANNUAL!$O$4:$O$1807,B_CALC_ANNUAL!$A$4:$A$1807,A7,B_CALC_ANNUAL!$B$4:$B$1807,"&gt;="&amp;CONTROL_PANEL!$B$6,B_CALC_ANNUAL!$B$4:$B$1807,"&lt;="&amp;CONTROL_PANEL!$B$7))</f>
        <v>12407264.758795232</v>
      </c>
      <c r="P7" s="8" t="str">
        <f>IF(G7&gt;0,"Failures occur","No service failure")</f>
        <v>No service failure</v>
      </c>
    </row>
    <row r="8" spans="1:16" x14ac:dyDescent="0.25">
      <c r="A8" s="4" t="s">
        <v>99</v>
      </c>
      <c r="B8" s="8">
        <f>SUMIFS(B_CALC_ANNUAL!$C$4:$C$1807,B_CALC_ANNUAL!$A$4:$A$1807,$A8,B_CALC_ANNUAL!$B$4:$B$1807,"&gt;="&amp;CONTROL_PANEL!$B$6,B_CALC_ANNUAL!$B$4:$B$1807,"&lt;="&amp;CONTROL_PANEL!$B$7)</f>
        <v>120</v>
      </c>
      <c r="C8" s="12">
        <f>SUMIFS(B_CALC_ANNUAL!$D$4:$D$1807,B_CALC_ANNUAL!$A$4:$A$1807,A8,B_CALC_ANNUAL!$B$4:$B$1807,"&gt;="&amp;CONTROL_PANEL!$B$6,B_CALC_ANNUAL!$B$4:$B$1807,"&lt;="&amp;CONTROL_PANEL!$B$7)</f>
        <v>66746505.615411088</v>
      </c>
      <c r="D8" s="12">
        <f>SUMIFS(B_CALC_ANNUAL!$E$4:$E$1807,B_CALC_ANNUAL!$A$4:$A$1807,A8,B_CALC_ANNUAL!$B$4:$B$1807,"&gt;="&amp;CONTROL_PANEL!$B$6,B_CALC_ANNUAL!$B$4:$B$1807,"&lt;="&amp;CONTROL_PANEL!$B$7)</f>
        <v>66746505.615411088</v>
      </c>
      <c r="E8" s="12">
        <f>SUMIFS(B_CALC_ANNUAL!$F$4:$F$1807,B_CALC_ANNUAL!$A$4:$A$1807,A8,B_CALC_ANNUAL!$B$4:$B$1807,"&gt;="&amp;CONTROL_PANEL!$B$6,B_CALC_ANNUAL!$B$4:$B$1807,"&lt;="&amp;CONTROL_PANEL!$B$7)</f>
        <v>0</v>
      </c>
      <c r="F8" s="12">
        <f>SUMIFS(B_CALC_ANNUAL!$G$4:$G$1807,B_CALC_ANNUAL!$A$4:$A$1807,A8,B_CALC_ANNUAL!$B$4:$B$1807,"&gt;="&amp;CONTROL_PANEL!$B$6,B_CALC_ANNUAL!$B$4:$B$1807,"&lt;="&amp;CONTROL_PANEL!$B$7)</f>
        <v>0</v>
      </c>
      <c r="G8" s="8">
        <f>SUMIFS(B_CALC_ANNUAL!$H$4:$H$1807,B_CALC_ANNUAL!$A$4:$A$1807,A8,B_CALC_ANNUAL!$B$4:$B$1807,"&gt;="&amp;CONTROL_PANEL!$B$6,B_CALC_ANNUAL!$B$4:$B$1807,"&lt;="&amp;CONTROL_PANEL!$B$7)</f>
        <v>0</v>
      </c>
      <c r="H8" s="10">
        <f>IF(B8=0,"",1-G8/B8)</f>
        <v>1</v>
      </c>
      <c r="I8" s="10">
        <f>IF(C8=0,"",D8/C8)</f>
        <v>1</v>
      </c>
      <c r="J8" s="10">
        <f>IF(G8=0,0,SUMIFS(B_INPUT_RESERVOIR!$L$4:$L$1807,B_INPUT_RESERVOIR!$A$4:$A$1807,A8)/G8)</f>
        <v>0</v>
      </c>
      <c r="K8" s="10">
        <f>IF(G8=0,1,1-J8)</f>
        <v>1</v>
      </c>
      <c r="L8" s="10">
        <f>IF(SUMIFS(B_INPUT_RESERVOIR!$N$4:$N$1807,B_INPUT_RESERVOIR!$A$4:$A$1807,A8)=0,1,SUMIFS(B_INPUT_RESERVOIR!$O$4:$O$1807,B_INPUT_RESERVOIR!$A$4:$A$1807,A8)/SUMIFS(B_INPUT_RESERVOIR!$N$4:$N$1807,B_INPUT_RESERVOIR!$A$4:$A$1807,A8))</f>
        <v>1</v>
      </c>
      <c r="M8" s="10">
        <f>IF(COUNTIFS(B_CALC_ANNUAL!$A$4:$A$1807,A8,B_CALC_ANNUAL!$B$4:$B$1807,"&gt;="&amp;CONTROL_PANEL!$B$6,B_CALC_ANNUAL!$B$4:$B$1807,"&lt;="&amp;CONTROL_PANEL!$B$7)=0,"",AVERAGEIFS(B_CALC_ANNUAL!$N$4:$N$1807,B_CALC_ANNUAL!$A$4:$A$1807,A8,B_CALC_ANNUAL!$B$4:$B$1807,"&gt;="&amp;CONTROL_PANEL!$B$6,B_CALC_ANNUAL!$B$4:$B$1807,"&lt;="&amp;CONTROL_PANEL!$B$7))</f>
        <v>0</v>
      </c>
      <c r="N8" s="10">
        <f>IF(M8="","",1-M8)</f>
        <v>1</v>
      </c>
      <c r="O8" s="12">
        <f>_xlfn.SINGLE(_xlfn.MINIFS(B_CALC_ANNUAL!$O$4:$O$1807,B_CALC_ANNUAL!$A$4:$A$1807,A8,B_CALC_ANNUAL!$B$4:$B$1807,"&gt;="&amp;CONTROL_PANEL!$B$6,B_CALC_ANNUAL!$B$4:$B$1807,"&lt;="&amp;CONTROL_PANEL!$B$7))</f>
        <v>6715096.8996429667</v>
      </c>
      <c r="P8" s="8" t="str">
        <f>IF(G8&gt;0,"Failures occur","No service failure")</f>
        <v>No service failure</v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E15" sqref="E15"/>
    </sheetView>
  </sheetViews>
  <sheetFormatPr defaultRowHeight="15" x14ac:dyDescent="0.25"/>
  <cols>
    <col min="1" max="1" width="42" customWidth="1"/>
    <col min="2" max="2" width="12" customWidth="1"/>
    <col min="3" max="3" width="55" customWidth="1"/>
    <col min="4" max="4" width="38" customWidth="1"/>
    <col min="5" max="5" width="85" customWidth="1"/>
  </cols>
  <sheetData>
    <row r="1" spans="1:5" ht="18.75" x14ac:dyDescent="0.25">
      <c r="A1" s="64" t="s">
        <v>120</v>
      </c>
      <c r="B1" s="64"/>
      <c r="C1" s="64"/>
      <c r="D1" s="64"/>
      <c r="E1" s="64"/>
    </row>
    <row r="3" spans="1:5" x14ac:dyDescent="0.25">
      <c r="A3" s="2" t="s">
        <v>121</v>
      </c>
      <c r="B3" s="2" t="s">
        <v>122</v>
      </c>
      <c r="C3" s="2" t="s">
        <v>49</v>
      </c>
      <c r="D3" s="2" t="s">
        <v>123</v>
      </c>
      <c r="E3" s="2" t="s">
        <v>124</v>
      </c>
    </row>
    <row r="4" spans="1:5" x14ac:dyDescent="0.25">
      <c r="A4" s="1" t="s">
        <v>125</v>
      </c>
      <c r="B4" s="1" t="str">
        <f>IF(COUNTIF(B_INPUT_RESERVOIR!$S$4:$S$1807,"ERROR*")=0,"PASS","ERROR")</f>
        <v>PASS</v>
      </c>
      <c r="C4" s="1" t="s">
        <v>126</v>
      </c>
      <c r="D4" s="1" t="s">
        <v>127</v>
      </c>
      <c r="E4" s="1" t="str">
        <f>IF(COUNTIF(B_INPUT_RESERVOIR!$S$4:$S$1807,"ERROR*")=0,"PASS","ERROR")</f>
        <v>PASS</v>
      </c>
    </row>
    <row r="5" spans="1:5" ht="30" x14ac:dyDescent="0.25">
      <c r="A5" s="1" t="s">
        <v>128</v>
      </c>
      <c r="B5" s="1" t="str">
        <f>IF(MIN(B_CALC_PERIOD!$B$4:$B$8)&gt;=120,"PASS","WARNING")</f>
        <v>PASS</v>
      </c>
      <c r="C5" s="1" t="s">
        <v>129</v>
      </c>
      <c r="D5" s="1" t="s">
        <v>130</v>
      </c>
      <c r="E5" s="1" t="str">
        <f>IF(MIN(B_CALC_PERIOD!$B$4:$B$8)&gt;=120,"PASS","WARNING")</f>
        <v>PASS</v>
      </c>
    </row>
    <row r="6" spans="1:5" x14ac:dyDescent="0.25">
      <c r="A6" s="1" t="s">
        <v>131</v>
      </c>
      <c r="B6" s="1" t="str">
        <f>IF(MIN(B_INPUT_RESERVOIR!$E$4:$E$1807)&gt;=0,"PASS","ERROR")</f>
        <v>PASS</v>
      </c>
      <c r="C6" s="1" t="s">
        <v>132</v>
      </c>
      <c r="D6" s="1" t="s">
        <v>133</v>
      </c>
      <c r="E6" s="1" t="str">
        <f>IF(MIN(B_INPUT_RESERVOIR!$E$4:$E$1807)&gt;=0,"PASS","ERROR")</f>
        <v>PASS</v>
      </c>
    </row>
    <row r="7" spans="1:5" ht="30" x14ac:dyDescent="0.25">
      <c r="A7" s="1" t="s">
        <v>134</v>
      </c>
      <c r="B7" s="1" t="str" cm="1">
        <f t="array" ref="B7">IF(SUMPRODUCT((B_INPUT_RESERVOIR!$G$4:$G$1807&gt;B_INPUT_RESERVOIR!$E$4:$E$1807)*(B_INPUT_RESERVOIR!$E$4:$E$1807&gt;0))=0,"PASS","WARNING")</f>
        <v>PASS</v>
      </c>
      <c r="C7" s="1" t="s">
        <v>135</v>
      </c>
      <c r="D7" s="1" t="s">
        <v>136</v>
      </c>
      <c r="E7" s="1" t="str" cm="1">
        <f t="array" ref="E7">IF(SUMPRODUCT((B_INPUT_RESERVOIR!$G$4:$G$1807&gt;B_INPUT_RESERVOIR!$E$4:$E$1807)*(B_INPUT_RESERVOIR!$E$4:$E$1807&gt;0))=0,"PASS","WARNING")</f>
        <v>PASS</v>
      </c>
    </row>
    <row r="8" spans="1:5" x14ac:dyDescent="0.25">
      <c r="A8" s="1" t="s">
        <v>137</v>
      </c>
      <c r="B8" s="1" t="str" cm="1">
        <f t="array" ref="B8">IF(SUMPRODUCT((B_INPUT_RESERVOIR!$G$4:$G$1807&gt;B_INPUT_RESERVOIR!$E$4:$E$1807)*(B_INPUT_RESERVOIR!$E$4:$E$1807&gt;0))=0,"PASS","WARNING")</f>
        <v>PASS</v>
      </c>
      <c r="C8" s="1" t="s">
        <v>138</v>
      </c>
      <c r="D8" s="1" t="s">
        <v>139</v>
      </c>
      <c r="E8" s="1" t="str" cm="1">
        <f t="array" ref="E8">IF(SUMPRODUCT((B_INPUT_RESERVOIR!$G$4:$G$1807&gt;B_INPUT_RESERVOIR!$E$4:$E$1807)*(B_INPUT_RESERVOIR!$E$4:$E$1807&gt;0))=0,"PASS","WARNING")</f>
        <v>PASS</v>
      </c>
    </row>
  </sheetData>
  <mergeCells count="1">
    <mergeCell ref="A1:E1"/>
  </mergeCells>
  <conditionalFormatting sqref="B4:B8">
    <cfRule type="expression" dxfId="2" priority="1">
      <formula>B4="PASS"</formula>
    </cfRule>
    <cfRule type="expression" dxfId="1" priority="2">
      <formula>B4="WARNING"</formula>
    </cfRule>
    <cfRule type="expression" dxfId="0" priority="3">
      <formula>B4="ERROR"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2AB3-E5C7-4D92-A1AB-BEE4D7071045}">
  <sheetPr>
    <tabColor theme="5"/>
  </sheetPr>
  <dimension ref="A1:J31"/>
  <sheetViews>
    <sheetView workbookViewId="0">
      <selection activeCell="Q32" sqref="Q32"/>
    </sheetView>
  </sheetViews>
  <sheetFormatPr defaultRowHeight="15" x14ac:dyDescent="0.25"/>
  <cols>
    <col min="1" max="1" width="25.140625" style="50" customWidth="1"/>
    <col min="2" max="6" width="22.85546875" style="50" customWidth="1"/>
    <col min="7" max="9" width="18.28515625" style="50" customWidth="1"/>
    <col min="10" max="10" width="34.28515625" style="50" customWidth="1"/>
    <col min="11" max="16384" width="9.140625" style="50"/>
  </cols>
  <sheetData>
    <row r="1" spans="1:10" ht="27.95" customHeight="1" x14ac:dyDescent="0.25">
      <c r="A1" s="61" t="s">
        <v>226</v>
      </c>
      <c r="B1" s="62"/>
      <c r="C1" s="62"/>
      <c r="D1" s="62"/>
      <c r="E1" s="62"/>
      <c r="F1" s="62"/>
      <c r="G1" s="62"/>
      <c r="H1" s="62"/>
      <c r="I1" s="62"/>
      <c r="J1" s="63"/>
    </row>
    <row r="3" spans="1:10" x14ac:dyDescent="0.25">
      <c r="A3" s="51" t="s">
        <v>273</v>
      </c>
      <c r="B3" s="4" t="s">
        <v>274</v>
      </c>
      <c r="C3" s="51" t="s">
        <v>275</v>
      </c>
      <c r="D3" s="4" t="s">
        <v>19</v>
      </c>
      <c r="E3" s="51" t="s">
        <v>276</v>
      </c>
      <c r="F3" s="4" t="s">
        <v>277</v>
      </c>
      <c r="G3" s="51" t="s">
        <v>278</v>
      </c>
      <c r="H3" s="4" t="s">
        <v>279</v>
      </c>
    </row>
    <row r="4" spans="1:10" x14ac:dyDescent="0.25">
      <c r="A4" s="51" t="s">
        <v>280</v>
      </c>
      <c r="B4" s="4" t="s">
        <v>281</v>
      </c>
      <c r="C4" s="51" t="s">
        <v>230</v>
      </c>
      <c r="D4" s="4" t="s">
        <v>231</v>
      </c>
      <c r="E4" s="51" t="s">
        <v>227</v>
      </c>
      <c r="F4" s="4" t="s">
        <v>211</v>
      </c>
      <c r="G4" s="51" t="s">
        <v>228</v>
      </c>
      <c r="H4" s="4" t="s">
        <v>229</v>
      </c>
    </row>
    <row r="5" spans="1:10" x14ac:dyDescent="0.25">
      <c r="A5" s="51" t="s">
        <v>282</v>
      </c>
      <c r="B5" s="4" t="s">
        <v>283</v>
      </c>
      <c r="C5" s="51" t="s">
        <v>284</v>
      </c>
      <c r="D5" s="4" t="s">
        <v>285</v>
      </c>
      <c r="E5" s="51" t="s">
        <v>286</v>
      </c>
      <c r="F5" s="4" t="s">
        <v>287</v>
      </c>
      <c r="G5" s="51" t="s">
        <v>288</v>
      </c>
      <c r="H5" s="4" t="s">
        <v>289</v>
      </c>
    </row>
    <row r="6" spans="1:10" ht="48" customHeight="1" x14ac:dyDescent="0.25">
      <c r="A6" s="2" t="s">
        <v>79</v>
      </c>
      <c r="B6" s="2" t="s">
        <v>232</v>
      </c>
      <c r="C6" s="2" t="s">
        <v>233</v>
      </c>
      <c r="D6" s="2" t="s">
        <v>234</v>
      </c>
      <c r="E6" s="2" t="s">
        <v>235</v>
      </c>
      <c r="F6" s="2" t="s">
        <v>236</v>
      </c>
      <c r="G6" s="2" t="s">
        <v>118</v>
      </c>
      <c r="H6" s="2" t="s">
        <v>237</v>
      </c>
      <c r="I6" s="2" t="s">
        <v>119</v>
      </c>
      <c r="J6" s="2" t="s">
        <v>238</v>
      </c>
    </row>
    <row r="7" spans="1:10" x14ac:dyDescent="0.25">
      <c r="A7" s="51" t="str">
        <f>B_CALC_PERIOD!A4</f>
        <v>50% ISW + high efficiency</v>
      </c>
      <c r="B7" s="4">
        <f>B_CALC_PERIOD!H4</f>
        <v>1</v>
      </c>
      <c r="C7" s="4">
        <f>B_CALC_PERIOD!I4</f>
        <v>1</v>
      </c>
      <c r="D7" s="4">
        <f>B_CALC_PERIOD!J4</f>
        <v>0</v>
      </c>
      <c r="E7" s="4">
        <f>B_CALC_PERIOD!K4</f>
        <v>1</v>
      </c>
      <c r="F7" s="4">
        <f>B_CALC_PERIOD!L4</f>
        <v>1</v>
      </c>
      <c r="G7" s="6">
        <f>B_CALC_PERIOD!C4</f>
        <v>60174044.954313293</v>
      </c>
      <c r="H7" s="6">
        <f>B_CALC_PERIOD!E4</f>
        <v>0</v>
      </c>
      <c r="I7" s="6">
        <f>B_CALC_PERIOD!O4</f>
        <v>10868174.584636217</v>
      </c>
      <c r="J7" s="4"/>
    </row>
    <row r="8" spans="1:10" x14ac:dyDescent="0.25">
      <c r="A8" s="51" t="str">
        <f>B_CALC_PERIOD!A5</f>
        <v>50% ISW + low efficiency</v>
      </c>
      <c r="B8" s="43">
        <f>B_CALC_PERIOD!H5</f>
        <v>0.97499999999999998</v>
      </c>
      <c r="C8" s="43">
        <f>B_CALC_PERIOD!I5</f>
        <v>0.96185573301246652</v>
      </c>
      <c r="D8" s="43">
        <f>B_CALC_PERIOD!J5</f>
        <v>0.9137856363078497</v>
      </c>
      <c r="E8" s="43">
        <f>B_CALC_PERIOD!K5</f>
        <v>8.6214363692150298E-2</v>
      </c>
      <c r="F8" s="43">
        <f>B_CALC_PERIOD!L5</f>
        <v>0.33333333333333331</v>
      </c>
      <c r="G8" s="6">
        <f>B_CALC_PERIOD!C5</f>
        <v>76467061.133385986</v>
      </c>
      <c r="H8" s="6">
        <f>B_CALC_PERIOD!E5</f>
        <v>2916779.9956239075</v>
      </c>
      <c r="I8" s="6">
        <f>B_CALC_PERIOD!O5</f>
        <v>77330.13753833808</v>
      </c>
      <c r="J8" s="4"/>
    </row>
    <row r="9" spans="1:10" x14ac:dyDescent="0.25">
      <c r="A9" s="51" t="str">
        <f>B_CALC_PERIOD!A7</f>
        <v>90% ISW + high efficiency</v>
      </c>
      <c r="B9" s="4">
        <f>B_CALC_PERIOD!H7</f>
        <v>1</v>
      </c>
      <c r="C9" s="4">
        <f>B_CALC_PERIOD!I7</f>
        <v>1</v>
      </c>
      <c r="D9" s="4">
        <f>B_CALC_PERIOD!J7</f>
        <v>0</v>
      </c>
      <c r="E9" s="4">
        <f>B_CALC_PERIOD!K7</f>
        <v>1</v>
      </c>
      <c r="F9" s="4">
        <f>B_CALC_PERIOD!L7</f>
        <v>1</v>
      </c>
      <c r="G9" s="6">
        <f>B_CALC_PERIOD!C7</f>
        <v>58212855.063871741</v>
      </c>
      <c r="H9" s="6">
        <f>B_CALC_PERIOD!E7</f>
        <v>0</v>
      </c>
      <c r="I9" s="6">
        <f>B_CALC_PERIOD!O7</f>
        <v>12407264.758795232</v>
      </c>
      <c r="J9" s="4"/>
    </row>
    <row r="10" spans="1:10" x14ac:dyDescent="0.25">
      <c r="A10" s="51" t="str">
        <f>B_CALC_PERIOD!A8</f>
        <v>90% ISW + low efficiency</v>
      </c>
      <c r="B10" s="4">
        <f>B_CALC_PERIOD!H8</f>
        <v>1</v>
      </c>
      <c r="C10" s="4">
        <f>B_CALC_PERIOD!I8</f>
        <v>1</v>
      </c>
      <c r="D10" s="4">
        <f>B_CALC_PERIOD!J8</f>
        <v>0</v>
      </c>
      <c r="E10" s="4">
        <f>B_CALC_PERIOD!K8</f>
        <v>1</v>
      </c>
      <c r="F10" s="4">
        <f>B_CALC_PERIOD!L8</f>
        <v>1</v>
      </c>
      <c r="G10" s="6">
        <f>B_CALC_PERIOD!C8</f>
        <v>66746505.615411088</v>
      </c>
      <c r="H10" s="6">
        <f>B_CALC_PERIOD!E8</f>
        <v>0</v>
      </c>
      <c r="I10" s="6">
        <f>B_CALC_PERIOD!O8</f>
        <v>6715096.8996429667</v>
      </c>
      <c r="J10" s="4"/>
    </row>
    <row r="11" spans="1:10" x14ac:dyDescent="0.25">
      <c r="B11" s="53"/>
      <c r="C11" s="53"/>
      <c r="D11" s="53"/>
      <c r="E11" s="53"/>
      <c r="F11" s="53"/>
      <c r="G11" s="54"/>
      <c r="H11" s="54"/>
      <c r="I11" s="54"/>
    </row>
    <row r="12" spans="1:10" ht="30" x14ac:dyDescent="0.25">
      <c r="A12" s="51" t="s">
        <v>30</v>
      </c>
      <c r="B12" s="55">
        <f t="shared" ref="B12:I12" si="0">IF(COUNT(B7:B10)=0,"",AVERAGE(B7:B10))</f>
        <v>0.99375000000000002</v>
      </c>
      <c r="C12" s="55">
        <f t="shared" si="0"/>
        <v>0.99046393325311666</v>
      </c>
      <c r="D12" s="55">
        <f>IF(COUNT(D7:D10)=0,"",AVERAGE(D7:D10))</f>
        <v>0.22844640907696243</v>
      </c>
      <c r="E12" s="55">
        <f t="shared" si="0"/>
        <v>0.77155359092303755</v>
      </c>
      <c r="F12" s="55">
        <f t="shared" si="0"/>
        <v>0.83333333333333326</v>
      </c>
      <c r="G12" s="56">
        <f t="shared" si="0"/>
        <v>65400116.691745535</v>
      </c>
      <c r="H12" s="56">
        <f t="shared" si="0"/>
        <v>729194.99890597688</v>
      </c>
      <c r="I12" s="56">
        <f t="shared" si="0"/>
        <v>7516966.5951531883</v>
      </c>
      <c r="J12" s="51" t="s">
        <v>239</v>
      </c>
    </row>
    <row r="13" spans="1:10" ht="30" x14ac:dyDescent="0.25">
      <c r="A13" s="51" t="s">
        <v>240</v>
      </c>
      <c r="B13" s="55">
        <f t="shared" ref="B13:I13" si="1">IF(COUNT(B7:B10)=0,"",MIN(B7:B10))</f>
        <v>0.97499999999999998</v>
      </c>
      <c r="C13" s="55">
        <f t="shared" si="1"/>
        <v>0.96185573301246652</v>
      </c>
      <c r="D13" s="55">
        <f t="shared" si="1"/>
        <v>0</v>
      </c>
      <c r="E13" s="55">
        <f t="shared" si="1"/>
        <v>8.6214363692150298E-2</v>
      </c>
      <c r="F13" s="55">
        <f t="shared" si="1"/>
        <v>0.33333333333333331</v>
      </c>
      <c r="G13" s="56">
        <f t="shared" si="1"/>
        <v>58212855.063871741</v>
      </c>
      <c r="H13" s="56">
        <f t="shared" si="1"/>
        <v>0</v>
      </c>
      <c r="I13" s="56">
        <f t="shared" si="1"/>
        <v>77330.13753833808</v>
      </c>
      <c r="J13" s="51" t="s">
        <v>241</v>
      </c>
    </row>
    <row r="14" spans="1:10" ht="30" x14ac:dyDescent="0.25">
      <c r="A14" s="51" t="s">
        <v>242</v>
      </c>
      <c r="B14" s="55">
        <f t="shared" ref="B14:I14" si="2">IF(COUNT(B7:B10)=0,"",MAX(B7:B10))</f>
        <v>1</v>
      </c>
      <c r="C14" s="55">
        <f t="shared" si="2"/>
        <v>1</v>
      </c>
      <c r="D14" s="55">
        <f t="shared" si="2"/>
        <v>0.9137856363078497</v>
      </c>
      <c r="E14" s="55">
        <f t="shared" si="2"/>
        <v>1</v>
      </c>
      <c r="F14" s="55">
        <f t="shared" si="2"/>
        <v>1</v>
      </c>
      <c r="G14" s="56">
        <f t="shared" si="2"/>
        <v>76467061.133385986</v>
      </c>
      <c r="H14" s="56">
        <f t="shared" si="2"/>
        <v>2916779.9956239075</v>
      </c>
      <c r="I14" s="56">
        <f t="shared" si="2"/>
        <v>12407264.758795232</v>
      </c>
      <c r="J14" s="51" t="s">
        <v>243</v>
      </c>
    </row>
    <row r="17" spans="1:10" ht="30" customHeight="1" x14ac:dyDescent="0.25">
      <c r="A17" s="61" t="s">
        <v>244</v>
      </c>
      <c r="B17" s="62"/>
      <c r="C17" s="62"/>
      <c r="D17" s="62"/>
      <c r="E17" s="62"/>
      <c r="F17" s="62"/>
      <c r="G17" s="62"/>
      <c r="H17" s="62"/>
      <c r="I17" s="62"/>
      <c r="J17" s="63"/>
    </row>
    <row r="18" spans="1:10" x14ac:dyDescent="0.25">
      <c r="A18" s="2" t="s">
        <v>245</v>
      </c>
      <c r="B18" s="2" t="s">
        <v>45</v>
      </c>
      <c r="C18" s="2" t="s">
        <v>246</v>
      </c>
      <c r="D18" s="2" t="s">
        <v>47</v>
      </c>
      <c r="E18" s="2" t="s">
        <v>247</v>
      </c>
      <c r="F18" s="2" t="s">
        <v>116</v>
      </c>
    </row>
    <row r="19" spans="1:10" ht="30" x14ac:dyDescent="0.25">
      <c r="A19" s="57" t="s">
        <v>51</v>
      </c>
      <c r="B19" s="52" t="s">
        <v>52</v>
      </c>
      <c r="C19" s="58">
        <f>B12</f>
        <v>0.99375000000000002</v>
      </c>
      <c r="D19" s="52" t="s">
        <v>54</v>
      </c>
      <c r="E19" s="52" t="s">
        <v>248</v>
      </c>
      <c r="F19" s="52" t="s">
        <v>249</v>
      </c>
    </row>
    <row r="20" spans="1:10" ht="30" x14ac:dyDescent="0.25">
      <c r="A20" s="57" t="s">
        <v>58</v>
      </c>
      <c r="B20" s="52" t="s">
        <v>59</v>
      </c>
      <c r="C20" s="58">
        <f>C12</f>
        <v>0.99046393325311666</v>
      </c>
      <c r="D20" s="52" t="s">
        <v>54</v>
      </c>
      <c r="E20" s="52" t="s">
        <v>248</v>
      </c>
      <c r="F20" s="52" t="s">
        <v>250</v>
      </c>
    </row>
    <row r="21" spans="1:10" ht="45" x14ac:dyDescent="0.25">
      <c r="A21" s="57" t="s">
        <v>62</v>
      </c>
      <c r="B21" s="52" t="s">
        <v>251</v>
      </c>
      <c r="C21" s="58">
        <f>D12</f>
        <v>0.22844640907696243</v>
      </c>
      <c r="D21" s="52" t="s">
        <v>54</v>
      </c>
      <c r="E21" s="52" t="s">
        <v>248</v>
      </c>
      <c r="F21" s="52" t="s">
        <v>252</v>
      </c>
    </row>
    <row r="22" spans="1:10" ht="30" x14ac:dyDescent="0.25">
      <c r="A22" s="57" t="s">
        <v>67</v>
      </c>
      <c r="B22" s="52" t="s">
        <v>68</v>
      </c>
      <c r="C22" s="58">
        <f>E12</f>
        <v>0.77155359092303755</v>
      </c>
      <c r="D22" s="52" t="s">
        <v>54</v>
      </c>
      <c r="E22" s="52" t="s">
        <v>248</v>
      </c>
      <c r="F22" s="52" t="s">
        <v>253</v>
      </c>
    </row>
    <row r="23" spans="1:10" ht="30" x14ac:dyDescent="0.25">
      <c r="A23" s="57" t="s">
        <v>72</v>
      </c>
      <c r="B23" s="52" t="s">
        <v>254</v>
      </c>
      <c r="C23" s="58">
        <f>F12</f>
        <v>0.83333333333333326</v>
      </c>
      <c r="D23" s="52" t="s">
        <v>54</v>
      </c>
      <c r="E23" s="52" t="s">
        <v>248</v>
      </c>
      <c r="F23" s="52" t="s">
        <v>255</v>
      </c>
    </row>
    <row r="26" spans="1:10" x14ac:dyDescent="0.25">
      <c r="A26" s="61" t="s">
        <v>256</v>
      </c>
      <c r="B26" s="62"/>
      <c r="C26" s="62"/>
      <c r="D26" s="62"/>
      <c r="E26" s="62"/>
      <c r="F26" s="62"/>
      <c r="G26" s="62"/>
      <c r="H26" s="62"/>
      <c r="I26" s="62"/>
      <c r="J26" s="63"/>
    </row>
    <row r="27" spans="1:10" x14ac:dyDescent="0.25">
      <c r="A27" s="2" t="s">
        <v>257</v>
      </c>
      <c r="B27" s="2" t="s">
        <v>258</v>
      </c>
      <c r="C27" s="2" t="s">
        <v>259</v>
      </c>
      <c r="D27" s="2" t="s">
        <v>260</v>
      </c>
    </row>
    <row r="28" spans="1:10" x14ac:dyDescent="0.25">
      <c r="A28" s="57" t="s">
        <v>261</v>
      </c>
      <c r="B28" s="4" t="s">
        <v>262</v>
      </c>
      <c r="C28" s="4" t="s">
        <v>229</v>
      </c>
      <c r="D28" s="4" t="s">
        <v>263</v>
      </c>
    </row>
    <row r="29" spans="1:10" x14ac:dyDescent="0.25">
      <c r="A29" s="57" t="s">
        <v>264</v>
      </c>
      <c r="B29" s="4" t="s">
        <v>265</v>
      </c>
      <c r="C29" s="4" t="s">
        <v>161</v>
      </c>
      <c r="D29" s="4" t="s">
        <v>266</v>
      </c>
    </row>
    <row r="30" spans="1:10" x14ac:dyDescent="0.25">
      <c r="A30" s="57" t="s">
        <v>267</v>
      </c>
      <c r="B30" s="4" t="s">
        <v>268</v>
      </c>
      <c r="C30" s="4" t="s">
        <v>269</v>
      </c>
      <c r="D30" s="4" t="s">
        <v>270</v>
      </c>
    </row>
    <row r="31" spans="1:10" x14ac:dyDescent="0.25">
      <c r="A31" s="57" t="s">
        <v>271</v>
      </c>
      <c r="B31" s="4" t="s">
        <v>268</v>
      </c>
      <c r="C31" s="4" t="s">
        <v>144</v>
      </c>
      <c r="D31" s="4" t="s">
        <v>272</v>
      </c>
    </row>
  </sheetData>
  <mergeCells count="3">
    <mergeCell ref="A1:J1"/>
    <mergeCell ref="A17:J17"/>
    <mergeCell ref="A26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CONTROL_PANEL</vt:lpstr>
      <vt:lpstr>B_METHOD</vt:lpstr>
      <vt:lpstr>DATA_DICTIONARY</vt:lpstr>
      <vt:lpstr>DATA_INPUT</vt:lpstr>
      <vt:lpstr>STORAGE_BALANCE_ENSEMBLE</vt:lpstr>
      <vt:lpstr>B_INPUT_RESERVOIR</vt:lpstr>
      <vt:lpstr>B_CALC_ANNUAL</vt:lpstr>
      <vt:lpstr>B_CALC_PERIOD</vt:lpstr>
      <vt:lpstr>QUALITY_CHECKS</vt:lpstr>
      <vt:lpstr>EXPORT_CIS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Antónia Fortes Duarte Ferreira</cp:lastModifiedBy>
  <dcterms:created xsi:type="dcterms:W3CDTF">2026-06-08T09:56:13Z</dcterms:created>
  <dcterms:modified xsi:type="dcterms:W3CDTF">2026-07-23T13:52:27Z</dcterms:modified>
</cp:coreProperties>
</file>